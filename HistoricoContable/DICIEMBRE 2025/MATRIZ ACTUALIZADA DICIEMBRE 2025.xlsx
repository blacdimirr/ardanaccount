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DICIEMBRE 2025\"/>
    </mc:Choice>
  </mc:AlternateContent>
  <xr:revisionPtr revIDLastSave="0" documentId="13_ncr:1_{6F1F1352-ADDA-492A-B403-3BFED5E8BE20}" xr6:coauthVersionLast="47" xr6:coauthVersionMax="47" xr10:uidLastSave="{00000000-0000-0000-0000-000000000000}"/>
  <bookViews>
    <workbookView xWindow="-120" yWindow="-120" windowWidth="24240" windowHeight="13140" tabRatio="878" xr2:uid="{00000000-000D-0000-FFFF-FFFF00000000}"/>
  </bookViews>
  <sheets>
    <sheet name="RELACION DE PAGOS EMITIDOS" sheetId="14" r:id="rId1"/>
    <sheet name="RELACION ORDENES DE COMPRAS" sheetId="15" r:id="rId2"/>
    <sheet name="CONS. FUENTES FINAN" sheetId="4" r:id="rId3"/>
    <sheet name="CUENTA T FONDO 100" sheetId="13" r:id="rId4"/>
    <sheet name="CUENTA T VS" sheetId="1" r:id="rId5"/>
    <sheet name="GASTOS X ATENCION" sheetId="6" r:id="rId6"/>
    <sheet name="PLANTILLA PRESUPUESTO" sheetId="18" r:id="rId7"/>
    <sheet name="Sheet2" sheetId="27" state="hidden" r:id="rId8"/>
    <sheet name="TRANSFERENCIA CORRIENTE" sheetId="16" r:id="rId9"/>
    <sheet name="VS" sheetId="17" r:id="rId10"/>
    <sheet name="OBLIGACIONES PENDIENTES" sheetId="19" r:id="rId11"/>
    <sheet name="INGR SEGUN ORIGEN" sheetId="25" r:id="rId12"/>
    <sheet name="Sheet1" sheetId="26" state="hidden" r:id="rId13"/>
    <sheet name="DEUDA" sheetId="23" r:id="rId14"/>
    <sheet name="INGRESOS POR A.R.S" sheetId="21" r:id="rId15"/>
    <sheet name="GLOSA" sheetId="22" r:id="rId16"/>
  </sheets>
  <definedNames>
    <definedName name="_xlnm._FilterDatabase" localSheetId="2" hidden="1">'CONS. FUENTES FINAN'!$A$27:$J$501</definedName>
    <definedName name="_xlnm._FilterDatabase" localSheetId="0" hidden="1">'RELACION DE PAGOS EMITIDOS'!$A$10:$H$300</definedName>
    <definedName name="_Hlk211416489" localSheetId="0">'RELACION DE PAGOS EMITIDOS'!#REF!</definedName>
    <definedName name="_xlnm.Print_Area" localSheetId="2">'CONS. FUENTES FINAN'!$A$1:$J$501</definedName>
    <definedName name="_xlnm.Print_Area" localSheetId="15">GLOSA!$A$1:$E$20</definedName>
    <definedName name="_xlnm.Print_Area" localSheetId="11">'INGR SEGUN ORIGEN'!$A$1:$E$54</definedName>
    <definedName name="_xlnm.Print_Area" localSheetId="0">'RELACION DE PAGOS EMITIDOS'!$A$1:$H$307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4" l="1"/>
  <c r="J19" i="23" l="1"/>
  <c r="Z10" i="21" l="1"/>
  <c r="Y15" i="21"/>
  <c r="N15" i="17" l="1"/>
  <c r="N25" i="17"/>
  <c r="N35" i="17"/>
  <c r="N51" i="17"/>
  <c r="D25" i="16"/>
  <c r="E25" i="16"/>
  <c r="F25" i="16"/>
  <c r="G25" i="16"/>
  <c r="H25" i="16"/>
  <c r="I25" i="16"/>
  <c r="J25" i="16"/>
  <c r="K25" i="16"/>
  <c r="L25" i="16"/>
  <c r="M25" i="16"/>
  <c r="N25" i="16"/>
  <c r="C25" i="16"/>
  <c r="B25" i="16"/>
  <c r="B52" i="16"/>
  <c r="B51" i="16"/>
  <c r="N9" i="16"/>
  <c r="N15" i="16"/>
  <c r="EA481" i="1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E32" i="25"/>
  <c r="D12" i="19"/>
  <c r="D13" i="19"/>
  <c r="JL86" i="1"/>
  <c r="JL89" i="1"/>
  <c r="JL90" i="1"/>
  <c r="JL92" i="1"/>
  <c r="JL93" i="1"/>
  <c r="JL94" i="1"/>
  <c r="JL95" i="1"/>
  <c r="JL96" i="1"/>
  <c r="JL97" i="1"/>
  <c r="JL98" i="1"/>
  <c r="JL99" i="1"/>
  <c r="JL100" i="1"/>
  <c r="JL101" i="1"/>
  <c r="G300" i="14"/>
  <c r="JI85" i="1"/>
  <c r="H283" i="14"/>
  <c r="A193" i="13"/>
  <c r="B193" i="13"/>
  <c r="C193" i="13"/>
  <c r="D193" i="13"/>
  <c r="E193" i="13"/>
  <c r="F193" i="13"/>
  <c r="G193" i="13"/>
  <c r="H193" i="13"/>
  <c r="I193" i="13"/>
  <c r="J193" i="13"/>
  <c r="K193" i="13"/>
  <c r="L193" i="13"/>
  <c r="M193" i="13"/>
  <c r="N193" i="13"/>
  <c r="O193" i="13"/>
  <c r="P193" i="13"/>
  <c r="Q193" i="13"/>
  <c r="R193" i="13"/>
  <c r="S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AJ193" i="13"/>
  <c r="AK193" i="13"/>
  <c r="AL193" i="13"/>
  <c r="AM193" i="13"/>
  <c r="AN193" i="13"/>
  <c r="AO193" i="13"/>
  <c r="AP193" i="13"/>
  <c r="AQ193" i="13"/>
  <c r="AR193" i="13"/>
  <c r="AS193" i="13"/>
  <c r="AT193" i="13"/>
  <c r="AU193" i="13"/>
  <c r="AV193" i="13"/>
  <c r="AW193" i="13"/>
  <c r="AX193" i="13"/>
  <c r="AY193" i="13"/>
  <c r="AZ193" i="13"/>
  <c r="BA193" i="13"/>
  <c r="BB193" i="13"/>
  <c r="BC193" i="13"/>
  <c r="BD193" i="13"/>
  <c r="BE193" i="13"/>
  <c r="BF193" i="13"/>
  <c r="BG193" i="13"/>
  <c r="BH193" i="13"/>
  <c r="BI193" i="13"/>
  <c r="BJ193" i="13"/>
  <c r="BK193" i="13"/>
  <c r="BL193" i="13"/>
  <c r="BM193" i="13"/>
  <c r="BN193" i="13"/>
  <c r="BO193" i="13"/>
  <c r="BP193" i="13"/>
  <c r="BQ193" i="13"/>
  <c r="BR193" i="13"/>
  <c r="BS193" i="13"/>
  <c r="BT193" i="13"/>
  <c r="BU193" i="13"/>
  <c r="BV193" i="13"/>
  <c r="BW193" i="13"/>
  <c r="BX193" i="13"/>
  <c r="BY193" i="13"/>
  <c r="BZ193" i="13"/>
  <c r="CA193" i="13"/>
  <c r="CB193" i="13"/>
  <c r="CC193" i="13"/>
  <c r="CD193" i="13"/>
  <c r="CE193" i="13"/>
  <c r="CF193" i="13"/>
  <c r="CG193" i="13"/>
  <c r="CH193" i="13"/>
  <c r="CI193" i="13"/>
  <c r="CJ193" i="13"/>
  <c r="CK193" i="13"/>
  <c r="CL193" i="13"/>
  <c r="CM193" i="13"/>
  <c r="CN193" i="13"/>
  <c r="CO193" i="13"/>
  <c r="CP193" i="13"/>
  <c r="CQ193" i="13"/>
  <c r="CR193" i="13"/>
  <c r="CS193" i="13"/>
  <c r="CT193" i="13"/>
  <c r="CU193" i="13"/>
  <c r="CV193" i="13"/>
  <c r="CW193" i="13"/>
  <c r="CX193" i="13"/>
  <c r="CY193" i="13"/>
  <c r="CZ193" i="13"/>
  <c r="DA193" i="13"/>
  <c r="DB193" i="13"/>
  <c r="DC193" i="13"/>
  <c r="DD193" i="13"/>
  <c r="DE193" i="13"/>
  <c r="DF193" i="13"/>
  <c r="DG193" i="13"/>
  <c r="DH193" i="13"/>
  <c r="DI193" i="13"/>
  <c r="DJ193" i="13"/>
  <c r="DK193" i="13"/>
  <c r="DL193" i="13"/>
  <c r="DM193" i="13"/>
  <c r="DN193" i="13"/>
  <c r="DO193" i="13"/>
  <c r="DP193" i="13"/>
  <c r="DQ193" i="13"/>
  <c r="DR193" i="13"/>
  <c r="DS193" i="13"/>
  <c r="DT193" i="13"/>
  <c r="DU193" i="13"/>
  <c r="DV193" i="13"/>
  <c r="DW193" i="13"/>
  <c r="DX193" i="13"/>
  <c r="DY193" i="13"/>
  <c r="DZ193" i="13"/>
  <c r="EA193" i="13"/>
  <c r="EB193" i="13"/>
  <c r="EC193" i="13"/>
  <c r="ED193" i="13"/>
  <c r="EE193" i="13"/>
  <c r="EF193" i="13"/>
  <c r="EG193" i="13"/>
  <c r="EH193" i="13"/>
  <c r="EI193" i="13"/>
  <c r="EJ193" i="13"/>
  <c r="EK193" i="13"/>
  <c r="EL193" i="13"/>
  <c r="EM193" i="13"/>
  <c r="EN193" i="13"/>
  <c r="EO193" i="13"/>
  <c r="EP193" i="13"/>
  <c r="EQ193" i="13"/>
  <c r="ER193" i="13"/>
  <c r="ES193" i="13"/>
  <c r="ET193" i="13"/>
  <c r="EU193" i="13"/>
  <c r="EV193" i="13"/>
  <c r="EW193" i="13"/>
  <c r="EX193" i="13"/>
  <c r="EY193" i="13"/>
  <c r="EZ193" i="13"/>
  <c r="FA193" i="13"/>
  <c r="FB193" i="13"/>
  <c r="FC193" i="13"/>
  <c r="FD193" i="13"/>
  <c r="FE193" i="13"/>
  <c r="FF193" i="13"/>
  <c r="FG193" i="13"/>
  <c r="FH193" i="13"/>
  <c r="FI193" i="13"/>
  <c r="FJ193" i="13"/>
  <c r="FK193" i="13"/>
  <c r="FL193" i="13"/>
  <c r="FM193" i="13"/>
  <c r="FN193" i="13"/>
  <c r="FO193" i="13"/>
  <c r="FP193" i="13"/>
  <c r="FQ193" i="13"/>
  <c r="FR193" i="13"/>
  <c r="FS193" i="13"/>
  <c r="FT193" i="13"/>
  <c r="FU193" i="13"/>
  <c r="FV193" i="13"/>
  <c r="FW193" i="13"/>
  <c r="FX193" i="13"/>
  <c r="FY193" i="13"/>
  <c r="FZ193" i="13"/>
  <c r="GA193" i="13"/>
  <c r="GB193" i="13"/>
  <c r="GC193" i="13"/>
  <c r="GD193" i="13"/>
  <c r="GE193" i="13"/>
  <c r="GF193" i="13"/>
  <c r="GG193" i="13"/>
  <c r="GH193" i="13"/>
  <c r="GI193" i="13"/>
  <c r="GJ193" i="13"/>
  <c r="GK193" i="13"/>
  <c r="GL193" i="13"/>
  <c r="GM193" i="13"/>
  <c r="GN193" i="13"/>
  <c r="GO193" i="13"/>
  <c r="GP193" i="13"/>
  <c r="GQ193" i="13"/>
  <c r="GR193" i="13"/>
  <c r="GS193" i="13"/>
  <c r="GT193" i="13"/>
  <c r="GU193" i="13"/>
  <c r="GV193" i="13"/>
  <c r="GW193" i="13"/>
  <c r="GX193" i="13"/>
  <c r="GY193" i="13"/>
  <c r="GZ193" i="13"/>
  <c r="HA193" i="13"/>
  <c r="HB193" i="13"/>
  <c r="HC193" i="13"/>
  <c r="HD193" i="13"/>
  <c r="HE193" i="13"/>
  <c r="HF193" i="13"/>
  <c r="HG193" i="13"/>
  <c r="HH193" i="13"/>
  <c r="HI193" i="13"/>
  <c r="HJ193" i="13"/>
  <c r="HK193" i="13"/>
  <c r="HL193" i="13"/>
  <c r="HM193" i="13"/>
  <c r="HN193" i="13"/>
  <c r="HO193" i="13"/>
  <c r="HP193" i="13"/>
  <c r="HQ193" i="13"/>
  <c r="HR193" i="13"/>
  <c r="HS193" i="13"/>
  <c r="HT193" i="13"/>
  <c r="HU193" i="13"/>
  <c r="HV193" i="13"/>
  <c r="HW193" i="13"/>
  <c r="HX193" i="13"/>
  <c r="HY193" i="13"/>
  <c r="HZ193" i="13"/>
  <c r="IA193" i="13"/>
  <c r="IB193" i="13"/>
  <c r="IC193" i="13"/>
  <c r="ID193" i="13"/>
  <c r="IE193" i="13"/>
  <c r="IF193" i="13"/>
  <c r="IG193" i="13"/>
  <c r="IH193" i="13"/>
  <c r="II193" i="13"/>
  <c r="IJ193" i="13"/>
  <c r="IK193" i="13"/>
  <c r="IL193" i="13"/>
  <c r="IM193" i="13"/>
  <c r="IN193" i="13"/>
  <c r="IO193" i="13"/>
  <c r="IP193" i="13"/>
  <c r="IQ193" i="13"/>
  <c r="IR193" i="13"/>
  <c r="IS193" i="13"/>
  <c r="IT193" i="13"/>
  <c r="IU193" i="13"/>
  <c r="IV193" i="13"/>
  <c r="IW193" i="13"/>
  <c r="IX193" i="13"/>
  <c r="IY193" i="13"/>
  <c r="IZ193" i="13"/>
  <c r="JA193" i="13"/>
  <c r="JB193" i="13"/>
  <c r="JC193" i="13"/>
  <c r="JD193" i="13"/>
  <c r="JE193" i="13"/>
  <c r="JF193" i="13"/>
  <c r="JG193" i="13"/>
  <c r="JH193" i="13"/>
  <c r="AB124" i="13"/>
  <c r="JI79" i="13" l="1"/>
  <c r="JI80" i="13"/>
  <c r="JI81" i="13"/>
  <c r="JI82" i="13"/>
  <c r="JI83" i="13"/>
  <c r="JI84" i="13"/>
  <c r="JI85" i="13"/>
  <c r="JI86" i="13"/>
  <c r="JI87" i="13"/>
  <c r="JI88" i="13"/>
  <c r="JI89" i="13"/>
  <c r="JI90" i="13"/>
  <c r="JI91" i="13"/>
  <c r="JI92" i="13"/>
  <c r="JI93" i="13"/>
  <c r="JI94" i="13"/>
  <c r="JI95" i="13"/>
  <c r="JI96" i="13"/>
  <c r="JI97" i="13"/>
  <c r="JI98" i="13"/>
  <c r="JI99" i="13"/>
  <c r="JI100" i="13"/>
  <c r="JI101" i="13"/>
  <c r="JI102" i="13"/>
  <c r="JI103" i="13"/>
  <c r="JI104" i="13"/>
  <c r="JI105" i="13"/>
  <c r="JI106" i="13"/>
  <c r="JI107" i="13"/>
  <c r="JI108" i="13"/>
  <c r="JI109" i="13"/>
  <c r="JI110" i="13"/>
  <c r="JI111" i="13"/>
  <c r="JI112" i="13"/>
  <c r="JI113" i="13"/>
  <c r="JI114" i="13"/>
  <c r="JI115" i="13"/>
  <c r="JI116" i="13"/>
  <c r="JI117" i="13"/>
  <c r="JI118" i="13"/>
  <c r="JI119" i="13"/>
  <c r="JI120" i="13"/>
  <c r="JI121" i="13"/>
  <c r="JI122" i="13"/>
  <c r="JI123" i="13"/>
  <c r="JI124" i="13"/>
  <c r="JI125" i="13"/>
  <c r="JI126" i="13"/>
  <c r="JI127" i="13"/>
  <c r="JI128" i="13"/>
  <c r="JI129" i="13"/>
  <c r="JI130" i="13"/>
  <c r="JI131" i="13"/>
  <c r="JI132" i="13"/>
  <c r="JI133" i="13"/>
  <c r="JI134" i="13"/>
  <c r="JI135" i="13"/>
  <c r="JI136" i="13"/>
  <c r="JI137" i="13"/>
  <c r="JI138" i="13"/>
  <c r="JI139" i="13"/>
  <c r="JI140" i="13"/>
  <c r="JI141" i="13"/>
  <c r="JI142" i="13"/>
  <c r="JI143" i="13"/>
  <c r="JI144" i="13"/>
  <c r="JI145" i="13"/>
  <c r="JI146" i="13"/>
  <c r="JI147" i="13"/>
  <c r="JI148" i="13"/>
  <c r="JI149" i="13"/>
  <c r="JI150" i="13"/>
  <c r="JI151" i="13"/>
  <c r="JI152" i="13"/>
  <c r="JI153" i="13"/>
  <c r="JI154" i="13"/>
  <c r="JI155" i="13"/>
  <c r="JI156" i="13"/>
  <c r="JI157" i="13"/>
  <c r="JI158" i="13"/>
  <c r="JI159" i="13"/>
  <c r="JI160" i="13"/>
  <c r="JI161" i="13"/>
  <c r="JI162" i="13"/>
  <c r="JI163" i="13"/>
  <c r="JI164" i="13"/>
  <c r="JI165" i="13"/>
  <c r="JI166" i="13"/>
  <c r="JI167" i="13"/>
  <c r="JI168" i="13"/>
  <c r="JI169" i="13"/>
  <c r="JI170" i="13"/>
  <c r="JI171" i="13"/>
  <c r="JI172" i="13"/>
  <c r="JI173" i="13"/>
  <c r="JI174" i="13"/>
  <c r="JI175" i="13"/>
  <c r="JI176" i="13"/>
  <c r="JI177" i="13"/>
  <c r="JI178" i="13"/>
  <c r="JI179" i="13"/>
  <c r="JI180" i="13"/>
  <c r="JI181" i="13"/>
  <c r="JI182" i="13"/>
  <c r="JI183" i="13"/>
  <c r="JI184" i="13"/>
  <c r="JI185" i="13"/>
  <c r="JI186" i="13"/>
  <c r="JI187" i="13"/>
  <c r="JI188" i="13"/>
  <c r="JI189" i="13"/>
  <c r="JI190" i="13"/>
  <c r="JI191" i="13"/>
  <c r="JI192" i="13"/>
  <c r="JI86" i="1"/>
  <c r="JI84" i="1"/>
  <c r="H282" i="14"/>
  <c r="JI3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BK481" i="1"/>
  <c r="BL481" i="1"/>
  <c r="BM481" i="1"/>
  <c r="BN481" i="1"/>
  <c r="BO481" i="1"/>
  <c r="BP481" i="1"/>
  <c r="BQ481" i="1"/>
  <c r="BR481" i="1"/>
  <c r="BS481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CU481" i="1"/>
  <c r="CV481" i="1"/>
  <c r="CW481" i="1"/>
  <c r="CX481" i="1"/>
  <c r="CY481" i="1"/>
  <c r="CZ481" i="1"/>
  <c r="DA481" i="1"/>
  <c r="DB481" i="1"/>
  <c r="DC481" i="1"/>
  <c r="DD481" i="1"/>
  <c r="DE481" i="1"/>
  <c r="DF481" i="1"/>
  <c r="DG481" i="1"/>
  <c r="DH481" i="1"/>
  <c r="DI481" i="1"/>
  <c r="DJ481" i="1"/>
  <c r="DK481" i="1"/>
  <c r="DL481" i="1"/>
  <c r="DM481" i="1"/>
  <c r="DN481" i="1"/>
  <c r="DO481" i="1"/>
  <c r="DP481" i="1"/>
  <c r="DQ481" i="1"/>
  <c r="DR481" i="1"/>
  <c r="DS481" i="1"/>
  <c r="DT481" i="1"/>
  <c r="DU481" i="1"/>
  <c r="DV481" i="1"/>
  <c r="DW481" i="1"/>
  <c r="DX481" i="1"/>
  <c r="DY481" i="1"/>
  <c r="DZ481" i="1"/>
  <c r="EB481" i="1"/>
  <c r="EC481" i="1"/>
  <c r="ED481" i="1"/>
  <c r="EE481" i="1"/>
  <c r="EF481" i="1"/>
  <c r="EG481" i="1"/>
  <c r="EH481" i="1"/>
  <c r="EI481" i="1"/>
  <c r="EJ481" i="1"/>
  <c r="EK481" i="1"/>
  <c r="EL481" i="1"/>
  <c r="EM481" i="1"/>
  <c r="EN481" i="1"/>
  <c r="EO481" i="1"/>
  <c r="EP481" i="1"/>
  <c r="EQ481" i="1"/>
  <c r="ER481" i="1"/>
  <c r="ES481" i="1"/>
  <c r="ET481" i="1"/>
  <c r="EU481" i="1"/>
  <c r="EV481" i="1"/>
  <c r="EW481" i="1"/>
  <c r="EX481" i="1"/>
  <c r="EY481" i="1"/>
  <c r="EZ481" i="1"/>
  <c r="FA481" i="1"/>
  <c r="FB481" i="1"/>
  <c r="FC481" i="1"/>
  <c r="FD481" i="1"/>
  <c r="FE481" i="1"/>
  <c r="FF481" i="1"/>
  <c r="FG481" i="1"/>
  <c r="FH481" i="1"/>
  <c r="FI481" i="1"/>
  <c r="FJ481" i="1"/>
  <c r="FK481" i="1"/>
  <c r="FL481" i="1"/>
  <c r="FM481" i="1"/>
  <c r="FN481" i="1"/>
  <c r="FO481" i="1"/>
  <c r="FP481" i="1"/>
  <c r="FQ481" i="1"/>
  <c r="FR481" i="1"/>
  <c r="FS481" i="1"/>
  <c r="FT481" i="1"/>
  <c r="FU481" i="1"/>
  <c r="FV481" i="1"/>
  <c r="FW481" i="1"/>
  <c r="FX481" i="1"/>
  <c r="FY481" i="1"/>
  <c r="FZ481" i="1"/>
  <c r="GA481" i="1"/>
  <c r="GC481" i="1"/>
  <c r="GD481" i="1"/>
  <c r="GE481" i="1"/>
  <c r="GF481" i="1"/>
  <c r="GG481" i="1"/>
  <c r="GH481" i="1"/>
  <c r="GI481" i="1"/>
  <c r="GJ481" i="1"/>
  <c r="GK481" i="1"/>
  <c r="GL481" i="1"/>
  <c r="GM481" i="1"/>
  <c r="GN481" i="1"/>
  <c r="GO481" i="1"/>
  <c r="GP481" i="1"/>
  <c r="GQ481" i="1"/>
  <c r="GR481" i="1"/>
  <c r="GS481" i="1"/>
  <c r="GT481" i="1"/>
  <c r="GU481" i="1"/>
  <c r="GV481" i="1"/>
  <c r="GW481" i="1"/>
  <c r="GX481" i="1"/>
  <c r="GY481" i="1"/>
  <c r="GZ481" i="1"/>
  <c r="HA481" i="1"/>
  <c r="HB481" i="1"/>
  <c r="HC481" i="1"/>
  <c r="HD481" i="1"/>
  <c r="HE481" i="1"/>
  <c r="HF481" i="1"/>
  <c r="HG481" i="1"/>
  <c r="HH481" i="1"/>
  <c r="HI481" i="1"/>
  <c r="HJ481" i="1"/>
  <c r="HK481" i="1"/>
  <c r="HL481" i="1"/>
  <c r="HM481" i="1"/>
  <c r="HN481" i="1"/>
  <c r="HO481" i="1"/>
  <c r="HP481" i="1"/>
  <c r="HQ481" i="1"/>
  <c r="HR481" i="1"/>
  <c r="HS481" i="1"/>
  <c r="HT481" i="1"/>
  <c r="HU481" i="1"/>
  <c r="HV481" i="1"/>
  <c r="HW481" i="1"/>
  <c r="HX481" i="1"/>
  <c r="HY481" i="1"/>
  <c r="HZ481" i="1"/>
  <c r="IA481" i="1"/>
  <c r="IB481" i="1"/>
  <c r="IC481" i="1"/>
  <c r="ID481" i="1"/>
  <c r="IE481" i="1"/>
  <c r="IF481" i="1"/>
  <c r="IG481" i="1"/>
  <c r="IH481" i="1"/>
  <c r="II481" i="1"/>
  <c r="IJ481" i="1"/>
  <c r="IK481" i="1"/>
  <c r="IL481" i="1"/>
  <c r="IM481" i="1"/>
  <c r="IN481" i="1"/>
  <c r="IO481" i="1"/>
  <c r="IP481" i="1"/>
  <c r="IQ481" i="1"/>
  <c r="IR481" i="1"/>
  <c r="IS481" i="1"/>
  <c r="IT481" i="1"/>
  <c r="IU481" i="1"/>
  <c r="IV481" i="1"/>
  <c r="IW481" i="1"/>
  <c r="IX481" i="1"/>
  <c r="IY481" i="1"/>
  <c r="IZ481" i="1"/>
  <c r="JA481" i="1"/>
  <c r="JB481" i="1"/>
  <c r="JC481" i="1"/>
  <c r="JD481" i="1"/>
  <c r="JE481" i="1"/>
  <c r="JF481" i="1"/>
  <c r="JG481" i="1"/>
  <c r="JH481" i="1"/>
  <c r="JI4" i="1"/>
  <c r="JI5" i="1"/>
  <c r="JI6" i="1"/>
  <c r="JI7" i="1"/>
  <c r="JI8" i="1"/>
  <c r="JI9" i="1"/>
  <c r="JI10" i="1"/>
  <c r="JI11" i="1"/>
  <c r="JI12" i="1"/>
  <c r="JI13" i="1"/>
  <c r="JI14" i="1"/>
  <c r="JI15" i="1"/>
  <c r="JI16" i="1"/>
  <c r="JI17" i="1"/>
  <c r="JI18" i="1"/>
  <c r="JI19" i="1"/>
  <c r="JI20" i="1"/>
  <c r="JI21" i="1"/>
  <c r="JI22" i="1"/>
  <c r="JI23" i="1"/>
  <c r="JI24" i="1"/>
  <c r="JI25" i="1"/>
  <c r="JI26" i="1"/>
  <c r="JI27" i="1"/>
  <c r="JI28" i="1"/>
  <c r="JI29" i="1"/>
  <c r="JI30" i="1"/>
  <c r="JI31" i="1"/>
  <c r="JI32" i="1"/>
  <c r="JI33" i="1"/>
  <c r="JI34" i="1"/>
  <c r="JI35" i="1"/>
  <c r="JI36" i="1"/>
  <c r="JI38" i="1"/>
  <c r="JI39" i="1"/>
  <c r="JI40" i="1"/>
  <c r="JI41" i="1"/>
  <c r="JI42" i="1"/>
  <c r="JI43" i="1"/>
  <c r="JI44" i="1"/>
  <c r="JI45" i="1"/>
  <c r="JL45" i="1" s="1"/>
  <c r="JI46" i="1"/>
  <c r="JL46" i="1" s="1"/>
  <c r="JI47" i="1"/>
  <c r="JL47" i="1" s="1"/>
  <c r="JI48" i="1"/>
  <c r="JL48" i="1" s="1"/>
  <c r="JI49" i="1"/>
  <c r="JL49" i="1" s="1"/>
  <c r="JI50" i="1"/>
  <c r="JL50" i="1" s="1"/>
  <c r="JI51" i="1"/>
  <c r="JL51" i="1" s="1"/>
  <c r="JI52" i="1"/>
  <c r="JL52" i="1" s="1"/>
  <c r="JI53" i="1"/>
  <c r="JL53" i="1" s="1"/>
  <c r="JI54" i="1"/>
  <c r="JL54" i="1" s="1"/>
  <c r="JI55" i="1"/>
  <c r="JL55" i="1" s="1"/>
  <c r="JI56" i="1"/>
  <c r="JL56" i="1" s="1"/>
  <c r="JI57" i="1"/>
  <c r="JL57" i="1" s="1"/>
  <c r="JI58" i="1"/>
  <c r="JL58" i="1" s="1"/>
  <c r="JI59" i="1"/>
  <c r="JL59" i="1" s="1"/>
  <c r="JI60" i="1"/>
  <c r="JL60" i="1" s="1"/>
  <c r="JI61" i="1"/>
  <c r="JL61" i="1" s="1"/>
  <c r="JI62" i="1"/>
  <c r="JL62" i="1" s="1"/>
  <c r="JI63" i="1"/>
  <c r="JL63" i="1" s="1"/>
  <c r="JI64" i="1"/>
  <c r="JL64" i="1" s="1"/>
  <c r="JI65" i="1"/>
  <c r="JL65" i="1" s="1"/>
  <c r="JI66" i="1"/>
  <c r="JL66" i="1" s="1"/>
  <c r="JI67" i="1"/>
  <c r="JL67" i="1" s="1"/>
  <c r="JI68" i="1"/>
  <c r="JL68" i="1" s="1"/>
  <c r="JI69" i="1"/>
  <c r="JL69" i="1" s="1"/>
  <c r="JI70" i="1"/>
  <c r="JL70" i="1" s="1"/>
  <c r="JI71" i="1"/>
  <c r="JL71" i="1" s="1"/>
  <c r="JI72" i="1"/>
  <c r="JL72" i="1" s="1"/>
  <c r="JI73" i="1"/>
  <c r="JL73" i="1" s="1"/>
  <c r="JI74" i="1"/>
  <c r="JL74" i="1" s="1"/>
  <c r="JI75" i="1"/>
  <c r="JL75" i="1" s="1"/>
  <c r="JI76" i="1"/>
  <c r="JL76" i="1" s="1"/>
  <c r="JI77" i="1"/>
  <c r="JL77" i="1" s="1"/>
  <c r="JI78" i="1"/>
  <c r="JL78" i="1" s="1"/>
  <c r="JI79" i="1"/>
  <c r="JL79" i="1" s="1"/>
  <c r="JI80" i="1"/>
  <c r="JL80" i="1" s="1"/>
  <c r="JI81" i="1"/>
  <c r="JL81" i="1" s="1"/>
  <c r="JI82" i="1"/>
  <c r="JL82" i="1" s="1"/>
  <c r="JI83" i="1"/>
  <c r="JL83" i="1" s="1"/>
  <c r="JI89" i="1"/>
  <c r="JI90" i="1"/>
  <c r="JI92" i="1"/>
  <c r="JI93" i="1"/>
  <c r="JI94" i="1"/>
  <c r="JI95" i="1"/>
  <c r="JI96" i="1"/>
  <c r="JI97" i="1"/>
  <c r="JI98" i="1"/>
  <c r="JI99" i="1"/>
  <c r="JI100" i="1"/>
  <c r="JI101" i="1"/>
  <c r="JI3" i="13"/>
  <c r="JI4" i="13"/>
  <c r="JI5" i="13"/>
  <c r="JI6" i="13"/>
  <c r="JI7" i="13"/>
  <c r="JI8" i="13"/>
  <c r="JI9" i="13"/>
  <c r="JI10" i="13"/>
  <c r="JI11" i="13"/>
  <c r="JI12" i="13"/>
  <c r="JI13" i="13"/>
  <c r="JI14" i="13"/>
  <c r="JI15" i="13"/>
  <c r="JI16" i="13"/>
  <c r="JI17" i="13"/>
  <c r="JI18" i="13"/>
  <c r="JI19" i="13"/>
  <c r="JI20" i="13"/>
  <c r="JI21" i="13"/>
  <c r="JI22" i="13"/>
  <c r="JI23" i="13"/>
  <c r="JI24" i="13"/>
  <c r="JI25" i="13"/>
  <c r="JI26" i="13"/>
  <c r="JI27" i="13"/>
  <c r="JI28" i="13"/>
  <c r="JI29" i="13"/>
  <c r="JI30" i="13"/>
  <c r="JI31" i="13"/>
  <c r="JI32" i="13"/>
  <c r="JI33" i="13"/>
  <c r="JI34" i="13"/>
  <c r="JI35" i="13"/>
  <c r="JI36" i="13"/>
  <c r="JI37" i="13"/>
  <c r="JI193" i="13" s="1"/>
  <c r="JI38" i="13"/>
  <c r="JI39" i="13"/>
  <c r="JI40" i="13"/>
  <c r="JI41" i="13"/>
  <c r="JI42" i="13"/>
  <c r="JI43" i="13"/>
  <c r="JI44" i="13"/>
  <c r="JI45" i="13"/>
  <c r="JI46" i="13"/>
  <c r="JI47" i="13"/>
  <c r="JI48" i="13"/>
  <c r="JI49" i="13"/>
  <c r="JI50" i="13"/>
  <c r="JI51" i="13"/>
  <c r="JI52" i="13"/>
  <c r="JI53" i="13"/>
  <c r="JI54" i="13"/>
  <c r="JI55" i="13"/>
  <c r="JI56" i="13"/>
  <c r="JI57" i="13"/>
  <c r="JI58" i="13"/>
  <c r="JI59" i="13"/>
  <c r="JI60" i="13"/>
  <c r="JI61" i="13"/>
  <c r="JI62" i="13"/>
  <c r="JI63" i="13"/>
  <c r="JI64" i="13"/>
  <c r="JI65" i="13"/>
  <c r="JI66" i="13"/>
  <c r="JI67" i="13"/>
  <c r="JI68" i="13"/>
  <c r="JI69" i="13"/>
  <c r="JI70" i="13"/>
  <c r="JI71" i="13"/>
  <c r="JI72" i="13"/>
  <c r="JI73" i="13"/>
  <c r="JI74" i="13"/>
  <c r="JI75" i="13"/>
  <c r="JI76" i="13"/>
  <c r="JI77" i="13"/>
  <c r="JI78" i="13"/>
  <c r="JI195" i="13"/>
  <c r="JI196" i="13"/>
  <c r="JI197" i="13"/>
  <c r="JI198" i="13"/>
  <c r="JI199" i="13"/>
  <c r="JI200" i="13"/>
  <c r="JI201" i="13"/>
  <c r="JI202" i="13"/>
  <c r="JI203" i="13"/>
  <c r="JI204" i="13"/>
  <c r="JI205" i="13"/>
  <c r="JI206" i="13"/>
  <c r="JI207" i="13"/>
  <c r="JI208" i="13"/>
  <c r="C47" i="25"/>
  <c r="D47" i="25"/>
  <c r="B47" i="25"/>
  <c r="GB481" i="1" l="1"/>
  <c r="JI209" i="13"/>
  <c r="JI210" i="13"/>
  <c r="X19" i="23" l="1"/>
  <c r="F19" i="23"/>
  <c r="G19" i="23"/>
  <c r="H19" i="23"/>
  <c r="I19" i="23"/>
  <c r="X7" i="23"/>
  <c r="X8" i="23"/>
  <c r="X9" i="23"/>
  <c r="X10" i="23"/>
  <c r="X11" i="23"/>
  <c r="X12" i="23"/>
  <c r="X13" i="23"/>
  <c r="X14" i="23"/>
  <c r="X15" i="23"/>
  <c r="X16" i="23"/>
  <c r="X17" i="23"/>
  <c r="X18" i="23"/>
  <c r="X6" i="23"/>
  <c r="A17" i="23"/>
  <c r="A7" i="23" l="1"/>
  <c r="A8" i="23" s="1"/>
  <c r="A9" i="23" s="1"/>
  <c r="A10" i="23" s="1"/>
  <c r="A11" i="23" s="1"/>
  <c r="A12" i="23" s="1"/>
  <c r="A13" i="23" s="1"/>
  <c r="A14" i="23" s="1"/>
  <c r="A15" i="23" s="1"/>
  <c r="A16" i="23" s="1"/>
  <c r="A18" i="23" s="1"/>
  <c r="E19" i="23"/>
  <c r="C17" i="22" l="1"/>
  <c r="B17" i="22"/>
  <c r="E16" i="22"/>
  <c r="H300" i="14" l="1"/>
  <c r="I106" i="15"/>
  <c r="C304" i="14"/>
  <c r="C305" i="14"/>
  <c r="E15" i="22" l="1"/>
  <c r="X38" i="21"/>
  <c r="X15" i="21"/>
  <c r="X10" i="21"/>
  <c r="E33" i="25"/>
  <c r="E26" i="25"/>
  <c r="W14" i="21" l="1"/>
  <c r="W38" i="21"/>
  <c r="W15" i="21"/>
  <c r="C85" i="17" l="1"/>
  <c r="D85" i="17"/>
  <c r="E85" i="17"/>
  <c r="F85" i="17"/>
  <c r="G85" i="17"/>
  <c r="H85" i="17"/>
  <c r="I85" i="17"/>
  <c r="J85" i="17"/>
  <c r="K85" i="17"/>
  <c r="L85" i="17"/>
  <c r="M85" i="17"/>
  <c r="C73" i="17"/>
  <c r="D73" i="17"/>
  <c r="E73" i="17"/>
  <c r="F73" i="17"/>
  <c r="G73" i="17"/>
  <c r="H73" i="17"/>
  <c r="I73" i="17"/>
  <c r="J73" i="17"/>
  <c r="K73" i="17"/>
  <c r="L73" i="17"/>
  <c r="M73" i="17"/>
  <c r="B9" i="17"/>
  <c r="C51" i="17"/>
  <c r="D51" i="17"/>
  <c r="E51" i="17"/>
  <c r="F51" i="17"/>
  <c r="G51" i="17"/>
  <c r="H51" i="17"/>
  <c r="I51" i="17"/>
  <c r="J51" i="17"/>
  <c r="K51" i="17"/>
  <c r="L51" i="17"/>
  <c r="M51" i="17"/>
  <c r="C35" i="17"/>
  <c r="D35" i="17"/>
  <c r="E35" i="17"/>
  <c r="F35" i="17"/>
  <c r="G35" i="17"/>
  <c r="H35" i="17"/>
  <c r="I35" i="17"/>
  <c r="J35" i="17"/>
  <c r="K35" i="17"/>
  <c r="L35" i="17"/>
  <c r="M35" i="17"/>
  <c r="C25" i="17"/>
  <c r="D25" i="17"/>
  <c r="E25" i="17"/>
  <c r="F25" i="17"/>
  <c r="G25" i="17"/>
  <c r="H25" i="17"/>
  <c r="I25" i="17"/>
  <c r="J25" i="17"/>
  <c r="K25" i="17"/>
  <c r="L25" i="17"/>
  <c r="M25" i="17"/>
  <c r="B16" i="17"/>
  <c r="B17" i="17"/>
  <c r="B18" i="17"/>
  <c r="B19" i="17"/>
  <c r="B20" i="17"/>
  <c r="B21" i="17"/>
  <c r="B22" i="17"/>
  <c r="B23" i="17"/>
  <c r="B24" i="17"/>
  <c r="B15" i="17"/>
  <c r="M69" i="17"/>
  <c r="M66" i="17"/>
  <c r="M61" i="17"/>
  <c r="M9" i="17"/>
  <c r="M15" i="17"/>
  <c r="C73" i="16"/>
  <c r="D73" i="16"/>
  <c r="E73" i="16"/>
  <c r="F73" i="16"/>
  <c r="G73" i="16"/>
  <c r="H73" i="16"/>
  <c r="I73" i="16"/>
  <c r="J73" i="16"/>
  <c r="K73" i="16"/>
  <c r="L73" i="16"/>
  <c r="M73" i="16"/>
  <c r="B53" i="16"/>
  <c r="B54" i="16"/>
  <c r="B55" i="16"/>
  <c r="B56" i="16"/>
  <c r="B57" i="16"/>
  <c r="B58" i="16"/>
  <c r="B59" i="16"/>
  <c r="B60" i="16"/>
  <c r="E51" i="16"/>
  <c r="F51" i="16"/>
  <c r="G51" i="16"/>
  <c r="H51" i="16"/>
  <c r="I51" i="16"/>
  <c r="J51" i="16"/>
  <c r="K51" i="16"/>
  <c r="L51" i="16"/>
  <c r="M51" i="16"/>
  <c r="N51" i="16"/>
  <c r="D51" i="16"/>
  <c r="B26" i="16"/>
  <c r="B10" i="16"/>
  <c r="B24" i="16"/>
  <c r="B23" i="16"/>
  <c r="B22" i="16"/>
  <c r="B21" i="16"/>
  <c r="B20" i="16"/>
  <c r="B19" i="16"/>
  <c r="B18" i="16"/>
  <c r="B17" i="16"/>
  <c r="B16" i="16"/>
  <c r="B34" i="16"/>
  <c r="B33" i="16"/>
  <c r="B32" i="16"/>
  <c r="B31" i="16"/>
  <c r="B30" i="16"/>
  <c r="B29" i="16"/>
  <c r="B28" i="16"/>
  <c r="B27" i="16"/>
  <c r="N73" i="16"/>
  <c r="B15" i="16"/>
  <c r="B11" i="16"/>
  <c r="B12" i="16"/>
  <c r="B13" i="16"/>
  <c r="B14" i="16"/>
  <c r="M15" i="16"/>
  <c r="M9" i="16"/>
  <c r="JL5" i="1"/>
  <c r="JL6" i="1"/>
  <c r="JL7" i="1"/>
  <c r="JL8" i="1"/>
  <c r="JL9" i="1"/>
  <c r="JL10" i="1"/>
  <c r="JL11" i="1"/>
  <c r="JL12" i="1"/>
  <c r="JL13" i="1"/>
  <c r="JL14" i="1"/>
  <c r="JL15" i="1"/>
  <c r="JL16" i="1"/>
  <c r="JL17" i="1"/>
  <c r="JL18" i="1"/>
  <c r="JL19" i="1"/>
  <c r="JL20" i="1"/>
  <c r="JL21" i="1"/>
  <c r="JL22" i="1"/>
  <c r="JL23" i="1"/>
  <c r="JL24" i="1"/>
  <c r="JL25" i="1"/>
  <c r="JL26" i="1"/>
  <c r="JL27" i="1"/>
  <c r="JL29" i="1"/>
  <c r="JL30" i="1"/>
  <c r="JL31" i="1"/>
  <c r="JL32" i="1"/>
  <c r="JL33" i="1"/>
  <c r="JL34" i="1"/>
  <c r="JL35" i="1"/>
  <c r="JL36" i="1"/>
  <c r="JL38" i="1"/>
  <c r="JL39" i="1"/>
  <c r="JL40" i="1"/>
  <c r="JL41" i="1"/>
  <c r="JL42" i="1"/>
  <c r="JL43" i="1"/>
  <c r="JL44" i="1"/>
  <c r="JL467" i="1"/>
  <c r="JL468" i="1"/>
  <c r="JL469" i="1"/>
  <c r="JL470" i="1"/>
  <c r="JL471" i="1"/>
  <c r="JL472" i="1"/>
  <c r="JL473" i="1"/>
  <c r="JL3" i="1"/>
  <c r="JL4" i="1"/>
  <c r="JL28" i="1"/>
  <c r="N73" i="17" l="1"/>
  <c r="N85" i="17" s="1"/>
  <c r="B9" i="16"/>
  <c r="B73" i="16" l="1"/>
  <c r="C307" i="14"/>
  <c r="L85" i="16" l="1"/>
  <c r="M85" i="16"/>
  <c r="N85" i="16"/>
  <c r="B85" i="16"/>
  <c r="C85" i="16"/>
  <c r="D85" i="16"/>
  <c r="E85" i="16"/>
  <c r="F85" i="16"/>
  <c r="G85" i="16"/>
  <c r="H85" i="16"/>
  <c r="I85" i="16"/>
  <c r="L15" i="17"/>
  <c r="L15" i="16"/>
  <c r="L9" i="16"/>
  <c r="JK481" i="1" l="1"/>
  <c r="JI474" i="1"/>
  <c r="JI475" i="1"/>
  <c r="JL475" i="1" s="1"/>
  <c r="JI476" i="1"/>
  <c r="JL476" i="1" s="1"/>
  <c r="JI477" i="1"/>
  <c r="JL477" i="1" s="1"/>
  <c r="JI478" i="1"/>
  <c r="JL478" i="1" s="1"/>
  <c r="JI479" i="1"/>
  <c r="JL479" i="1" s="1"/>
  <c r="JI480" i="1"/>
  <c r="JI483" i="1"/>
  <c r="JI484" i="1"/>
  <c r="JI485" i="1"/>
  <c r="JI486" i="1"/>
  <c r="JI487" i="1"/>
  <c r="JI488" i="1"/>
  <c r="JI489" i="1"/>
  <c r="JI490" i="1"/>
  <c r="JI491" i="1"/>
  <c r="JI492" i="1"/>
  <c r="JI493" i="1"/>
  <c r="JI494" i="1"/>
  <c r="JI495" i="1"/>
  <c r="JI496" i="1"/>
  <c r="JI481" i="1" l="1"/>
  <c r="JL474" i="1"/>
  <c r="D17" i="22"/>
  <c r="E6" i="22"/>
  <c r="E7" i="22"/>
  <c r="E8" i="22"/>
  <c r="E9" i="22"/>
  <c r="E10" i="22"/>
  <c r="E11" i="22"/>
  <c r="E12" i="22"/>
  <c r="E13" i="22"/>
  <c r="E14" i="22"/>
  <c r="E5" i="22"/>
  <c r="U38" i="21"/>
  <c r="U39" i="21" s="1"/>
  <c r="U15" i="21"/>
  <c r="E17" i="22" l="1"/>
  <c r="V24" i="21"/>
  <c r="V28" i="21"/>
  <c r="K85" i="16" l="1"/>
  <c r="J85" i="16"/>
  <c r="B10" i="17"/>
  <c r="B11" i="17"/>
  <c r="B12" i="17"/>
  <c r="B13" i="17"/>
  <c r="B14" i="17"/>
  <c r="B26" i="17"/>
  <c r="B27" i="17"/>
  <c r="B28" i="17"/>
  <c r="B29" i="17"/>
  <c r="B30" i="17"/>
  <c r="B31" i="17"/>
  <c r="B32" i="17"/>
  <c r="B33" i="17"/>
  <c r="B34" i="17"/>
  <c r="B36" i="17"/>
  <c r="B35" i="17" s="1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4" i="17"/>
  <c r="B75" i="17"/>
  <c r="B76" i="17"/>
  <c r="B77" i="17"/>
  <c r="B78" i="17"/>
  <c r="B79" i="17"/>
  <c r="B80" i="17"/>
  <c r="B81" i="17"/>
  <c r="B82" i="17"/>
  <c r="B83" i="17"/>
  <c r="B84" i="17"/>
  <c r="K61" i="17"/>
  <c r="K43" i="17"/>
  <c r="K15" i="17"/>
  <c r="K9" i="17"/>
  <c r="B51" i="17" l="1"/>
  <c r="B25" i="17"/>
  <c r="B73" i="17" s="1"/>
  <c r="K43" i="16"/>
  <c r="K35" i="16"/>
  <c r="K9" i="16"/>
  <c r="K15" i="16"/>
  <c r="B85" i="17" l="1"/>
  <c r="T14" i="21"/>
  <c r="T39" i="21" s="1"/>
  <c r="U14" i="21"/>
  <c r="V14" i="21"/>
  <c r="X14" i="21"/>
  <c r="Y14" i="21"/>
  <c r="Z14" i="21"/>
  <c r="T38" i="21"/>
  <c r="V38" i="21"/>
  <c r="Y38" i="21"/>
  <c r="Z38" i="21"/>
  <c r="T15" i="21"/>
  <c r="T11" i="21"/>
  <c r="S39" i="21"/>
  <c r="S14" i="21"/>
  <c r="S38" i="21"/>
  <c r="S15" i="21"/>
  <c r="Z39" i="21" l="1"/>
  <c r="Y39" i="21"/>
  <c r="X39" i="21"/>
  <c r="W39" i="21"/>
  <c r="V39" i="21"/>
  <c r="B31" i="26" l="1"/>
  <c r="A33" i="26"/>
  <c r="A31" i="26"/>
  <c r="E12" i="25"/>
  <c r="G15" i="4" l="1"/>
  <c r="E34" i="25"/>
  <c r="A209" i="13"/>
  <c r="J83" i="18" l="1"/>
  <c r="I83" i="18"/>
  <c r="H83" i="18"/>
  <c r="G83" i="18"/>
  <c r="G82" i="18" s="1"/>
  <c r="J81" i="18"/>
  <c r="I81" i="18"/>
  <c r="H81" i="18"/>
  <c r="G81" i="18"/>
  <c r="J80" i="18"/>
  <c r="I80" i="18"/>
  <c r="H80" i="18"/>
  <c r="M80" i="18" s="1"/>
  <c r="G80" i="18"/>
  <c r="J79" i="18"/>
  <c r="I79" i="18"/>
  <c r="H79" i="18"/>
  <c r="G79" i="18"/>
  <c r="J78" i="18"/>
  <c r="O78" i="18" s="1"/>
  <c r="I78" i="18"/>
  <c r="H78" i="18"/>
  <c r="G78" i="18"/>
  <c r="J77" i="18"/>
  <c r="I77" i="18"/>
  <c r="H77" i="18"/>
  <c r="G77" i="18"/>
  <c r="J76" i="18"/>
  <c r="I76" i="18"/>
  <c r="H76" i="18"/>
  <c r="G76" i="18"/>
  <c r="J75" i="18"/>
  <c r="O75" i="18" s="1"/>
  <c r="I75" i="18"/>
  <c r="H75" i="18"/>
  <c r="G75" i="18"/>
  <c r="J74" i="18"/>
  <c r="I74" i="18"/>
  <c r="H74" i="18"/>
  <c r="G74" i="18"/>
  <c r="J73" i="18"/>
  <c r="I73" i="18"/>
  <c r="H73" i="18"/>
  <c r="G73" i="18"/>
  <c r="J71" i="18"/>
  <c r="I71" i="18"/>
  <c r="H71" i="18"/>
  <c r="J70" i="18"/>
  <c r="I70" i="18"/>
  <c r="H70" i="18"/>
  <c r="M70" i="18" s="1"/>
  <c r="J69" i="18"/>
  <c r="O69" i="18" s="1"/>
  <c r="I69" i="18"/>
  <c r="H69" i="18"/>
  <c r="G70" i="18"/>
  <c r="G69" i="18"/>
  <c r="J67" i="18"/>
  <c r="I67" i="18"/>
  <c r="H67" i="18"/>
  <c r="G67" i="18"/>
  <c r="J66" i="18"/>
  <c r="I66" i="18"/>
  <c r="H66" i="18"/>
  <c r="H65" i="18" s="1"/>
  <c r="G66" i="18"/>
  <c r="L66" i="18" s="1"/>
  <c r="J64" i="18"/>
  <c r="I64" i="18"/>
  <c r="H64" i="18"/>
  <c r="G64" i="18"/>
  <c r="J63" i="18"/>
  <c r="I63" i="18"/>
  <c r="H63" i="18"/>
  <c r="G63" i="18"/>
  <c r="J62" i="18"/>
  <c r="I62" i="18"/>
  <c r="H62" i="18"/>
  <c r="H60" i="18" s="1"/>
  <c r="G62" i="18"/>
  <c r="J61" i="18"/>
  <c r="I61" i="18"/>
  <c r="H61" i="18"/>
  <c r="G61" i="18"/>
  <c r="J59" i="18"/>
  <c r="O59" i="18" s="1"/>
  <c r="I59" i="18"/>
  <c r="H59" i="18"/>
  <c r="G59" i="18"/>
  <c r="J58" i="18"/>
  <c r="I58" i="18"/>
  <c r="H58" i="18"/>
  <c r="M58" i="18" s="1"/>
  <c r="G58" i="18"/>
  <c r="J57" i="18"/>
  <c r="I57" i="18"/>
  <c r="H57" i="18"/>
  <c r="G57" i="18"/>
  <c r="J56" i="18"/>
  <c r="O56" i="18" s="1"/>
  <c r="I56" i="18"/>
  <c r="H56" i="18"/>
  <c r="G56" i="18"/>
  <c r="J55" i="18"/>
  <c r="I55" i="18"/>
  <c r="H55" i="18"/>
  <c r="M55" i="18" s="1"/>
  <c r="G55" i="18"/>
  <c r="J54" i="18"/>
  <c r="I54" i="18"/>
  <c r="H54" i="18"/>
  <c r="G54" i="18"/>
  <c r="J53" i="18"/>
  <c r="I53" i="18"/>
  <c r="H53" i="18"/>
  <c r="G53" i="18"/>
  <c r="J52" i="18"/>
  <c r="I52" i="18"/>
  <c r="H52" i="18"/>
  <c r="M52" i="18" s="1"/>
  <c r="G52" i="18"/>
  <c r="J51" i="18"/>
  <c r="I51" i="18"/>
  <c r="H51" i="18"/>
  <c r="G51" i="18"/>
  <c r="J49" i="18"/>
  <c r="O49" i="18" s="1"/>
  <c r="I49" i="18"/>
  <c r="H49" i="18"/>
  <c r="G49" i="18"/>
  <c r="J48" i="18"/>
  <c r="I48" i="18"/>
  <c r="H48" i="18"/>
  <c r="M48" i="18" s="1"/>
  <c r="G48" i="18"/>
  <c r="J47" i="18"/>
  <c r="I47" i="18"/>
  <c r="H47" i="18"/>
  <c r="G47" i="18"/>
  <c r="J46" i="18"/>
  <c r="I46" i="18"/>
  <c r="N46" i="18" s="1"/>
  <c r="H46" i="18"/>
  <c r="G46" i="18"/>
  <c r="J45" i="18"/>
  <c r="I45" i="18"/>
  <c r="H45" i="18"/>
  <c r="H42" i="18" s="1"/>
  <c r="G45" i="18"/>
  <c r="J44" i="18"/>
  <c r="I44" i="18"/>
  <c r="H44" i="18"/>
  <c r="G44" i="18"/>
  <c r="J43" i="18"/>
  <c r="I43" i="18"/>
  <c r="H43" i="18"/>
  <c r="G43" i="18"/>
  <c r="J41" i="18"/>
  <c r="I41" i="18"/>
  <c r="H41" i="18"/>
  <c r="M41" i="18" s="1"/>
  <c r="G41" i="18"/>
  <c r="J40" i="18"/>
  <c r="I40" i="18"/>
  <c r="H40" i="18"/>
  <c r="G40" i="18"/>
  <c r="J39" i="18"/>
  <c r="I39" i="18"/>
  <c r="N39" i="18" s="1"/>
  <c r="H39" i="18"/>
  <c r="G39" i="18"/>
  <c r="J38" i="18"/>
  <c r="I38" i="18"/>
  <c r="H38" i="18"/>
  <c r="M38" i="18" s="1"/>
  <c r="G38" i="18"/>
  <c r="J37" i="18"/>
  <c r="I37" i="18"/>
  <c r="H37" i="18"/>
  <c r="G37" i="18"/>
  <c r="J36" i="18"/>
  <c r="I36" i="18"/>
  <c r="H36" i="18"/>
  <c r="G36" i="18"/>
  <c r="G34" i="18" s="1"/>
  <c r="J35" i="18"/>
  <c r="I35" i="18"/>
  <c r="H35" i="18"/>
  <c r="M35" i="18" s="1"/>
  <c r="G35" i="18"/>
  <c r="J33" i="18"/>
  <c r="I33" i="18"/>
  <c r="H33" i="18"/>
  <c r="G33" i="18"/>
  <c r="J32" i="18"/>
  <c r="O32" i="18" s="1"/>
  <c r="I32" i="18"/>
  <c r="H32" i="18"/>
  <c r="G32" i="18"/>
  <c r="J31" i="18"/>
  <c r="I31" i="18"/>
  <c r="H31" i="18"/>
  <c r="M31" i="18" s="1"/>
  <c r="G31" i="18"/>
  <c r="J30" i="18"/>
  <c r="I30" i="18"/>
  <c r="H30" i="18"/>
  <c r="G30" i="18"/>
  <c r="J29" i="18"/>
  <c r="I29" i="18"/>
  <c r="H29" i="18"/>
  <c r="G29" i="18"/>
  <c r="J28" i="18"/>
  <c r="I28" i="18"/>
  <c r="H28" i="18"/>
  <c r="M28" i="18" s="1"/>
  <c r="G28" i="18"/>
  <c r="J27" i="18"/>
  <c r="I27" i="18"/>
  <c r="H27" i="18"/>
  <c r="G27" i="18"/>
  <c r="J26" i="18"/>
  <c r="I26" i="18"/>
  <c r="H26" i="18"/>
  <c r="G26" i="18"/>
  <c r="G24" i="18" s="1"/>
  <c r="J25" i="18"/>
  <c r="I25" i="18"/>
  <c r="H25" i="18"/>
  <c r="H24" i="18" s="1"/>
  <c r="G25" i="18"/>
  <c r="J23" i="18"/>
  <c r="I23" i="18"/>
  <c r="H23" i="18"/>
  <c r="G23" i="18"/>
  <c r="J22" i="18"/>
  <c r="I22" i="18"/>
  <c r="H22" i="18"/>
  <c r="G22" i="18"/>
  <c r="J21" i="18"/>
  <c r="I21" i="18"/>
  <c r="H21" i="18"/>
  <c r="M21" i="18" s="1"/>
  <c r="G21" i="18"/>
  <c r="J20" i="18"/>
  <c r="I20" i="18"/>
  <c r="H20" i="18"/>
  <c r="G20" i="18"/>
  <c r="J19" i="18"/>
  <c r="I19" i="18"/>
  <c r="H19" i="18"/>
  <c r="G19" i="18"/>
  <c r="J18" i="18"/>
  <c r="I18" i="18"/>
  <c r="H18" i="18"/>
  <c r="M18" i="18" s="1"/>
  <c r="G18" i="18"/>
  <c r="J17" i="18"/>
  <c r="I17" i="18"/>
  <c r="H17" i="18"/>
  <c r="G17" i="18"/>
  <c r="J16" i="18"/>
  <c r="I16" i="18"/>
  <c r="H16" i="18"/>
  <c r="G16" i="18"/>
  <c r="J15" i="18"/>
  <c r="I15" i="18"/>
  <c r="H15" i="18"/>
  <c r="M15" i="18" s="1"/>
  <c r="G15" i="18"/>
  <c r="J13" i="18"/>
  <c r="I13" i="18"/>
  <c r="H13" i="18"/>
  <c r="G13" i="18"/>
  <c r="J12" i="18"/>
  <c r="I12" i="18"/>
  <c r="N12" i="18" s="1"/>
  <c r="H12" i="18"/>
  <c r="G12" i="18"/>
  <c r="J11" i="18"/>
  <c r="I11" i="18"/>
  <c r="H11" i="18"/>
  <c r="M11" i="18" s="1"/>
  <c r="G11" i="18"/>
  <c r="J10" i="18"/>
  <c r="I10" i="18"/>
  <c r="H10" i="18"/>
  <c r="G10" i="18"/>
  <c r="J9" i="18"/>
  <c r="I9" i="18"/>
  <c r="H9" i="18"/>
  <c r="G9" i="18"/>
  <c r="G8" i="18" s="1"/>
  <c r="E83" i="18"/>
  <c r="D83" i="18"/>
  <c r="D82" i="18" s="1"/>
  <c r="C83" i="18"/>
  <c r="M83" i="18" s="1"/>
  <c r="B83" i="18"/>
  <c r="B82" i="18" s="1"/>
  <c r="E81" i="18"/>
  <c r="D81" i="18"/>
  <c r="C81" i="18"/>
  <c r="B81" i="18"/>
  <c r="E80" i="18"/>
  <c r="O80" i="18" s="1"/>
  <c r="D80" i="18"/>
  <c r="N80" i="18" s="1"/>
  <c r="C80" i="18"/>
  <c r="B80" i="18"/>
  <c r="E79" i="18"/>
  <c r="D79" i="18"/>
  <c r="C79" i="18"/>
  <c r="M79" i="18" s="1"/>
  <c r="B79" i="18"/>
  <c r="E78" i="18"/>
  <c r="D78" i="18"/>
  <c r="C78" i="18"/>
  <c r="M78" i="18" s="1"/>
  <c r="B78" i="18"/>
  <c r="E77" i="18"/>
  <c r="D77" i="18"/>
  <c r="C77" i="18"/>
  <c r="B77" i="18"/>
  <c r="E76" i="18"/>
  <c r="D76" i="18"/>
  <c r="C76" i="18"/>
  <c r="M76" i="18" s="1"/>
  <c r="B76" i="18"/>
  <c r="E75" i="18"/>
  <c r="D75" i="18"/>
  <c r="C75" i="18"/>
  <c r="B75" i="18"/>
  <c r="E74" i="18"/>
  <c r="D74" i="18"/>
  <c r="C74" i="18"/>
  <c r="B74" i="18"/>
  <c r="E73" i="18"/>
  <c r="D73" i="18"/>
  <c r="C73" i="18"/>
  <c r="M73" i="18" s="1"/>
  <c r="B73" i="18"/>
  <c r="E71" i="18"/>
  <c r="D71" i="18"/>
  <c r="C71" i="18"/>
  <c r="B71" i="18"/>
  <c r="E70" i="18"/>
  <c r="D70" i="18"/>
  <c r="D68" i="18" s="1"/>
  <c r="C70" i="18"/>
  <c r="B70" i="18"/>
  <c r="E69" i="18"/>
  <c r="D69" i="18"/>
  <c r="N69" i="18" s="1"/>
  <c r="C69" i="18"/>
  <c r="C68" i="18" s="1"/>
  <c r="B69" i="18"/>
  <c r="E67" i="18"/>
  <c r="D67" i="18"/>
  <c r="C67" i="18"/>
  <c r="M67" i="18" s="1"/>
  <c r="B67" i="18"/>
  <c r="E66" i="18"/>
  <c r="O66" i="18" s="1"/>
  <c r="D66" i="18"/>
  <c r="C66" i="18"/>
  <c r="B66" i="18"/>
  <c r="E64" i="18"/>
  <c r="O64" i="18" s="1"/>
  <c r="D64" i="18"/>
  <c r="C64" i="18"/>
  <c r="M64" i="18" s="1"/>
  <c r="B64" i="18"/>
  <c r="E63" i="18"/>
  <c r="D63" i="18"/>
  <c r="C63" i="18"/>
  <c r="M63" i="18" s="1"/>
  <c r="B63" i="18"/>
  <c r="E62" i="18"/>
  <c r="D62" i="18"/>
  <c r="C62" i="18"/>
  <c r="B62" i="18"/>
  <c r="L62" i="18" s="1"/>
  <c r="E61" i="18"/>
  <c r="E60" i="18" s="1"/>
  <c r="D61" i="18"/>
  <c r="C61" i="18"/>
  <c r="M61" i="18" s="1"/>
  <c r="B61" i="18"/>
  <c r="L61" i="18" s="1"/>
  <c r="E59" i="18"/>
  <c r="D59" i="18"/>
  <c r="C59" i="18"/>
  <c r="M59" i="18" s="1"/>
  <c r="B59" i="18"/>
  <c r="E58" i="18"/>
  <c r="D58" i="18"/>
  <c r="C58" i="18"/>
  <c r="B58" i="18"/>
  <c r="L58" i="18" s="1"/>
  <c r="E57" i="18"/>
  <c r="D57" i="18"/>
  <c r="C57" i="18"/>
  <c r="B57" i="18"/>
  <c r="L57" i="18" s="1"/>
  <c r="E56" i="18"/>
  <c r="D56" i="18"/>
  <c r="C56" i="18"/>
  <c r="B56" i="18"/>
  <c r="E55" i="18"/>
  <c r="D55" i="18"/>
  <c r="C55" i="18"/>
  <c r="B55" i="18"/>
  <c r="L55" i="18" s="1"/>
  <c r="E54" i="18"/>
  <c r="D54" i="18"/>
  <c r="C54" i="18"/>
  <c r="M54" i="18" s="1"/>
  <c r="B54" i="18"/>
  <c r="L54" i="18" s="1"/>
  <c r="E53" i="18"/>
  <c r="D53" i="18"/>
  <c r="C53" i="18"/>
  <c r="B53" i="18"/>
  <c r="E52" i="18"/>
  <c r="D52" i="18"/>
  <c r="C52" i="18"/>
  <c r="B52" i="18"/>
  <c r="L52" i="18" s="1"/>
  <c r="E51" i="18"/>
  <c r="D51" i="18"/>
  <c r="C51" i="18"/>
  <c r="M51" i="18" s="1"/>
  <c r="B51" i="18"/>
  <c r="L51" i="18" s="1"/>
  <c r="E49" i="18"/>
  <c r="D49" i="18"/>
  <c r="C49" i="18"/>
  <c r="M49" i="18" s="1"/>
  <c r="B49" i="18"/>
  <c r="E48" i="18"/>
  <c r="D48" i="18"/>
  <c r="C48" i="18"/>
  <c r="B48" i="18"/>
  <c r="E47" i="18"/>
  <c r="D47" i="18"/>
  <c r="C47" i="18"/>
  <c r="M47" i="18" s="1"/>
  <c r="B47" i="18"/>
  <c r="E46" i="18"/>
  <c r="D46" i="18"/>
  <c r="C46" i="18"/>
  <c r="M46" i="18" s="1"/>
  <c r="B46" i="18"/>
  <c r="E45" i="18"/>
  <c r="O45" i="18" s="1"/>
  <c r="D45" i="18"/>
  <c r="N45" i="18" s="1"/>
  <c r="C45" i="18"/>
  <c r="B45" i="18"/>
  <c r="E44" i="18"/>
  <c r="D44" i="18"/>
  <c r="C44" i="18"/>
  <c r="M44" i="18" s="1"/>
  <c r="B44" i="18"/>
  <c r="E43" i="18"/>
  <c r="D43" i="18"/>
  <c r="C43" i="18"/>
  <c r="B43" i="18"/>
  <c r="E41" i="18"/>
  <c r="D41" i="18"/>
  <c r="C41" i="18"/>
  <c r="B41" i="18"/>
  <c r="L41" i="18" s="1"/>
  <c r="E40" i="18"/>
  <c r="D40" i="18"/>
  <c r="C40" i="18"/>
  <c r="M40" i="18" s="1"/>
  <c r="B40" i="18"/>
  <c r="E39" i="18"/>
  <c r="D39" i="18"/>
  <c r="C39" i="18"/>
  <c r="M39" i="18" s="1"/>
  <c r="B39" i="18"/>
  <c r="E38" i="18"/>
  <c r="O38" i="18" s="1"/>
  <c r="D38" i="18"/>
  <c r="C38" i="18"/>
  <c r="B38" i="18"/>
  <c r="L38" i="18" s="1"/>
  <c r="E37" i="18"/>
  <c r="O37" i="18" s="1"/>
  <c r="D37" i="18"/>
  <c r="C37" i="18"/>
  <c r="M37" i="18" s="1"/>
  <c r="B37" i="18"/>
  <c r="L37" i="18" s="1"/>
  <c r="E36" i="18"/>
  <c r="D36" i="18"/>
  <c r="C36" i="18"/>
  <c r="C34" i="18" s="1"/>
  <c r="B36" i="18"/>
  <c r="E35" i="18"/>
  <c r="D35" i="18"/>
  <c r="D34" i="18" s="1"/>
  <c r="C35" i="18"/>
  <c r="B35" i="18"/>
  <c r="E33" i="18"/>
  <c r="D33" i="18"/>
  <c r="C33" i="18"/>
  <c r="M33" i="18" s="1"/>
  <c r="B33" i="18"/>
  <c r="L33" i="18" s="1"/>
  <c r="E32" i="18"/>
  <c r="D32" i="18"/>
  <c r="C32" i="18"/>
  <c r="B32" i="18"/>
  <c r="E31" i="18"/>
  <c r="D31" i="18"/>
  <c r="C31" i="18"/>
  <c r="B31" i="18"/>
  <c r="L31" i="18" s="1"/>
  <c r="E30" i="18"/>
  <c r="D30" i="18"/>
  <c r="C30" i="18"/>
  <c r="M30" i="18" s="1"/>
  <c r="B30" i="18"/>
  <c r="L30" i="18" s="1"/>
  <c r="E29" i="18"/>
  <c r="O29" i="18" s="1"/>
  <c r="D29" i="18"/>
  <c r="C29" i="18"/>
  <c r="M29" i="18" s="1"/>
  <c r="B29" i="18"/>
  <c r="E28" i="18"/>
  <c r="D28" i="18"/>
  <c r="C28" i="18"/>
  <c r="B28" i="18"/>
  <c r="L28" i="18" s="1"/>
  <c r="E27" i="18"/>
  <c r="D27" i="18"/>
  <c r="C27" i="18"/>
  <c r="M27" i="18" s="1"/>
  <c r="B27" i="18"/>
  <c r="L27" i="18" s="1"/>
  <c r="E26" i="18"/>
  <c r="D26" i="18"/>
  <c r="C26" i="18"/>
  <c r="M26" i="18" s="1"/>
  <c r="B26" i="18"/>
  <c r="E25" i="18"/>
  <c r="D25" i="18"/>
  <c r="C25" i="18"/>
  <c r="B25" i="18"/>
  <c r="L25" i="18" s="1"/>
  <c r="E23" i="18"/>
  <c r="D23" i="18"/>
  <c r="C23" i="18"/>
  <c r="M23" i="18" s="1"/>
  <c r="B23" i="18"/>
  <c r="E22" i="18"/>
  <c r="O22" i="18" s="1"/>
  <c r="D22" i="18"/>
  <c r="C22" i="18"/>
  <c r="B22" i="18"/>
  <c r="E21" i="18"/>
  <c r="D21" i="18"/>
  <c r="C21" i="18"/>
  <c r="B21" i="18"/>
  <c r="E20" i="18"/>
  <c r="D20" i="18"/>
  <c r="C20" i="18"/>
  <c r="M20" i="18" s="1"/>
  <c r="B20" i="18"/>
  <c r="E19" i="18"/>
  <c r="D19" i="18"/>
  <c r="N19" i="18" s="1"/>
  <c r="C19" i="18"/>
  <c r="B19" i="18"/>
  <c r="E18" i="18"/>
  <c r="D18" i="18"/>
  <c r="C18" i="18"/>
  <c r="B18" i="18"/>
  <c r="E17" i="18"/>
  <c r="D17" i="18"/>
  <c r="C17" i="18"/>
  <c r="M17" i="18" s="1"/>
  <c r="B17" i="18"/>
  <c r="E16" i="18"/>
  <c r="D16" i="18"/>
  <c r="C16" i="18"/>
  <c r="B16" i="18"/>
  <c r="E15" i="18"/>
  <c r="D15" i="18"/>
  <c r="C15" i="18"/>
  <c r="B15" i="18"/>
  <c r="L15" i="18" s="1"/>
  <c r="E13" i="18"/>
  <c r="O13" i="18" s="1"/>
  <c r="D13" i="18"/>
  <c r="C13" i="18"/>
  <c r="B13" i="18"/>
  <c r="L13" i="18" s="1"/>
  <c r="E12" i="18"/>
  <c r="D12" i="18"/>
  <c r="C12" i="18"/>
  <c r="B12" i="18"/>
  <c r="E11" i="18"/>
  <c r="O11" i="18" s="1"/>
  <c r="D11" i="18"/>
  <c r="C11" i="18"/>
  <c r="B11" i="18"/>
  <c r="E10" i="18"/>
  <c r="O10" i="18" s="1"/>
  <c r="D10" i="18"/>
  <c r="C10" i="18"/>
  <c r="M10" i="18" s="1"/>
  <c r="B10" i="18"/>
  <c r="E9" i="18"/>
  <c r="O9" i="18" s="1"/>
  <c r="D9" i="18"/>
  <c r="C9" i="18"/>
  <c r="M9" i="18" s="1"/>
  <c r="B9" i="18"/>
  <c r="J82" i="18"/>
  <c r="I82" i="18"/>
  <c r="H82" i="18"/>
  <c r="O81" i="18"/>
  <c r="N81" i="18"/>
  <c r="O79" i="18"/>
  <c r="N78" i="18"/>
  <c r="M77" i="18"/>
  <c r="N76" i="18"/>
  <c r="N75" i="18"/>
  <c r="M75" i="18"/>
  <c r="M74" i="18"/>
  <c r="O73" i="18"/>
  <c r="O71" i="18"/>
  <c r="L71" i="18"/>
  <c r="L70" i="18"/>
  <c r="E68" i="18"/>
  <c r="B68" i="18"/>
  <c r="O67" i="18"/>
  <c r="N67" i="18"/>
  <c r="J65" i="18"/>
  <c r="D65" i="18"/>
  <c r="B65" i="18"/>
  <c r="O63" i="18"/>
  <c r="N63" i="18"/>
  <c r="O62" i="18"/>
  <c r="O61" i="18"/>
  <c r="J60" i="18"/>
  <c r="N59" i="18"/>
  <c r="N58" i="18"/>
  <c r="O57" i="18"/>
  <c r="N56" i="18"/>
  <c r="O54" i="18"/>
  <c r="N49" i="18"/>
  <c r="O47" i="18"/>
  <c r="O46" i="18"/>
  <c r="M45" i="18"/>
  <c r="J42" i="18"/>
  <c r="E42" i="18"/>
  <c r="O43" i="18"/>
  <c r="N43" i="18"/>
  <c r="M43" i="18"/>
  <c r="L43" i="18"/>
  <c r="D42" i="18"/>
  <c r="O40" i="18"/>
  <c r="O39" i="18"/>
  <c r="E34" i="18"/>
  <c r="N36" i="18"/>
  <c r="L35" i="18"/>
  <c r="B34" i="18"/>
  <c r="N32" i="18"/>
  <c r="M32" i="18"/>
  <c r="N26" i="18"/>
  <c r="M22" i="18"/>
  <c r="N20" i="18"/>
  <c r="M19" i="18"/>
  <c r="N16" i="18"/>
  <c r="M16" i="18"/>
  <c r="G14" i="18"/>
  <c r="N9" i="18"/>
  <c r="J8" i="18"/>
  <c r="O27" i="18" l="1"/>
  <c r="O23" i="18"/>
  <c r="J24" i="18"/>
  <c r="O28" i="18"/>
  <c r="O25" i="18"/>
  <c r="O21" i="18"/>
  <c r="N83" i="18"/>
  <c r="O55" i="18"/>
  <c r="O53" i="18"/>
  <c r="J50" i="18"/>
  <c r="O51" i="18"/>
  <c r="O33" i="18"/>
  <c r="O30" i="18"/>
  <c r="O20" i="18"/>
  <c r="J14" i="18"/>
  <c r="O17" i="18"/>
  <c r="E50" i="18"/>
  <c r="O26" i="18"/>
  <c r="O19" i="18"/>
  <c r="E14" i="18"/>
  <c r="E8" i="18"/>
  <c r="O8" i="18" s="1"/>
  <c r="N29" i="18"/>
  <c r="N22" i="18"/>
  <c r="M36" i="18"/>
  <c r="N74" i="18"/>
  <c r="N77" i="18"/>
  <c r="D60" i="18"/>
  <c r="N11" i="18"/>
  <c r="N15" i="18"/>
  <c r="N18" i="18"/>
  <c r="N21" i="18"/>
  <c r="N25" i="18"/>
  <c r="N28" i="18"/>
  <c r="N31" i="18"/>
  <c r="N35" i="18"/>
  <c r="N38" i="18"/>
  <c r="N41" i="18"/>
  <c r="N48" i="18"/>
  <c r="N52" i="18"/>
  <c r="N55" i="18"/>
  <c r="N66" i="18"/>
  <c r="N70" i="18"/>
  <c r="O74" i="18"/>
  <c r="O77" i="18"/>
  <c r="O15" i="18"/>
  <c r="O18" i="18"/>
  <c r="O31" i="18"/>
  <c r="O41" i="18"/>
  <c r="O48" i="18"/>
  <c r="O58" i="18"/>
  <c r="M71" i="18"/>
  <c r="M81" i="18"/>
  <c r="L73" i="18"/>
  <c r="B8" i="18"/>
  <c r="C24" i="18"/>
  <c r="N61" i="18"/>
  <c r="O76" i="18"/>
  <c r="O12" i="18"/>
  <c r="O60" i="18"/>
  <c r="N10" i="18"/>
  <c r="N13" i="18"/>
  <c r="N17" i="18"/>
  <c r="N23" i="18"/>
  <c r="N30" i="18"/>
  <c r="N33" i="18"/>
  <c r="N37" i="18"/>
  <c r="N40" i="18"/>
  <c r="N44" i="18"/>
  <c r="N47" i="18"/>
  <c r="N51" i="18"/>
  <c r="N54" i="18"/>
  <c r="N64" i="18"/>
  <c r="N73" i="18"/>
  <c r="N79" i="18"/>
  <c r="I42" i="18"/>
  <c r="I60" i="18"/>
  <c r="J34" i="18"/>
  <c r="J68" i="18"/>
  <c r="O68" i="18" s="1"/>
  <c r="G65" i="18"/>
  <c r="L22" i="18"/>
  <c r="L26" i="18"/>
  <c r="L29" i="18"/>
  <c r="L36" i="18"/>
  <c r="L53" i="18"/>
  <c r="L56" i="18"/>
  <c r="L59" i="18"/>
  <c r="L63" i="18"/>
  <c r="D8" i="18"/>
  <c r="I24" i="18"/>
  <c r="H34" i="18"/>
  <c r="M62" i="18"/>
  <c r="I65" i="18"/>
  <c r="H68" i="18"/>
  <c r="M68" i="18" s="1"/>
  <c r="C8" i="18"/>
  <c r="C72" i="18" s="1"/>
  <c r="C14" i="18"/>
  <c r="I34" i="18"/>
  <c r="C50" i="18"/>
  <c r="N62" i="18"/>
  <c r="I68" i="18"/>
  <c r="N68" i="18" s="1"/>
  <c r="L12" i="18"/>
  <c r="L16" i="18"/>
  <c r="L19" i="18"/>
  <c r="L46" i="18"/>
  <c r="L49" i="18"/>
  <c r="I8" i="18"/>
  <c r="I72" i="18" s="1"/>
  <c r="D14" i="18"/>
  <c r="M25" i="18"/>
  <c r="D50" i="18"/>
  <c r="M69" i="18"/>
  <c r="M66" i="18"/>
  <c r="M12" i="18"/>
  <c r="M53" i="18"/>
  <c r="M56" i="18"/>
  <c r="N71" i="18"/>
  <c r="H50" i="18"/>
  <c r="M50" i="18" s="1"/>
  <c r="C60" i="18"/>
  <c r="M60" i="18" s="1"/>
  <c r="C82" i="18"/>
  <c r="M82" i="18" s="1"/>
  <c r="N53" i="18"/>
  <c r="H14" i="18"/>
  <c r="I50" i="18"/>
  <c r="I14" i="18"/>
  <c r="L10" i="18"/>
  <c r="L17" i="18"/>
  <c r="L20" i="18"/>
  <c r="L23" i="18"/>
  <c r="G42" i="18"/>
  <c r="L47" i="18"/>
  <c r="C42" i="18"/>
  <c r="M13" i="18"/>
  <c r="M57" i="18"/>
  <c r="N57" i="18"/>
  <c r="O42" i="18"/>
  <c r="L74" i="18"/>
  <c r="B42" i="18"/>
  <c r="L42" i="18" s="1"/>
  <c r="L11" i="18"/>
  <c r="L18" i="18"/>
  <c r="L21" i="18"/>
  <c r="L45" i="18"/>
  <c r="L48" i="18"/>
  <c r="G50" i="18"/>
  <c r="G60" i="18"/>
  <c r="O83" i="18"/>
  <c r="N82" i="18"/>
  <c r="L82" i="18"/>
  <c r="L75" i="18"/>
  <c r="L76" i="18"/>
  <c r="L77" i="18"/>
  <c r="L78" i="18"/>
  <c r="L79" i="18"/>
  <c r="L80" i="18"/>
  <c r="L81" i="18"/>
  <c r="O70" i="18"/>
  <c r="G68" i="18"/>
  <c r="L68" i="18" s="1"/>
  <c r="L69" i="18"/>
  <c r="L67" i="18"/>
  <c r="L65" i="18"/>
  <c r="N65" i="18"/>
  <c r="N60" i="18"/>
  <c r="L64" i="18"/>
  <c r="L44" i="18"/>
  <c r="N42" i="18"/>
  <c r="M42" i="18"/>
  <c r="L39" i="18"/>
  <c r="L40" i="18"/>
  <c r="O35" i="18"/>
  <c r="L34" i="18"/>
  <c r="O34" i="18"/>
  <c r="M34" i="18"/>
  <c r="N34" i="18"/>
  <c r="L32" i="18"/>
  <c r="M24" i="18"/>
  <c r="H8" i="18"/>
  <c r="E82" i="18"/>
  <c r="O82" i="18" s="1"/>
  <c r="C65" i="18"/>
  <c r="M65" i="18" s="1"/>
  <c r="B60" i="18"/>
  <c r="B50" i="18"/>
  <c r="L50" i="18" s="1"/>
  <c r="E24" i="18"/>
  <c r="O24" i="18" s="1"/>
  <c r="D24" i="18"/>
  <c r="B24" i="18"/>
  <c r="L24" i="18" s="1"/>
  <c r="B14" i="18"/>
  <c r="L14" i="18" s="1"/>
  <c r="L9" i="18"/>
  <c r="O16" i="18"/>
  <c r="O36" i="18"/>
  <c r="O44" i="18"/>
  <c r="O52" i="18"/>
  <c r="E65" i="18"/>
  <c r="O65" i="18" s="1"/>
  <c r="L83" i="18"/>
  <c r="L8" i="18"/>
  <c r="O14" i="18" l="1"/>
  <c r="O50" i="18"/>
  <c r="J72" i="18"/>
  <c r="N24" i="18"/>
  <c r="N14" i="18"/>
  <c r="N50" i="18"/>
  <c r="N8" i="18"/>
  <c r="L60" i="18"/>
  <c r="M14" i="18"/>
  <c r="H72" i="18"/>
  <c r="G72" i="18"/>
  <c r="M72" i="18"/>
  <c r="M8" i="18"/>
  <c r="N27" i="18"/>
  <c r="E72" i="18"/>
  <c r="D72" i="18"/>
  <c r="N72" i="18" s="1"/>
  <c r="B72" i="18"/>
  <c r="O72" i="18" l="1"/>
  <c r="L72" i="18"/>
  <c r="A2" i="6"/>
  <c r="JH209" i="13" l="1"/>
  <c r="JG209" i="13"/>
  <c r="JF209" i="13"/>
  <c r="JE209" i="13"/>
  <c r="JD209" i="13"/>
  <c r="JC209" i="13"/>
  <c r="JB209" i="13"/>
  <c r="JA209" i="13"/>
  <c r="IZ209" i="13"/>
  <c r="IY209" i="13"/>
  <c r="IX209" i="13"/>
  <c r="IX210" i="13" s="1"/>
  <c r="G479" i="4" s="1"/>
  <c r="IW209" i="13"/>
  <c r="IV209" i="13"/>
  <c r="IU209" i="13"/>
  <c r="IT209" i="13"/>
  <c r="IS209" i="13"/>
  <c r="IR209" i="13"/>
  <c r="IQ209" i="13"/>
  <c r="IP209" i="13"/>
  <c r="IO209" i="13"/>
  <c r="IN209" i="13"/>
  <c r="IM209" i="13"/>
  <c r="IL209" i="13"/>
  <c r="IL210" i="13" s="1"/>
  <c r="G454" i="4" s="1"/>
  <c r="IK209" i="13"/>
  <c r="IJ209" i="13"/>
  <c r="II209" i="13"/>
  <c r="IH209" i="13"/>
  <c r="IG209" i="13"/>
  <c r="IF209" i="13"/>
  <c r="IE209" i="13"/>
  <c r="ID209" i="13"/>
  <c r="IC209" i="13"/>
  <c r="IB209" i="13"/>
  <c r="IA209" i="13"/>
  <c r="HZ209" i="13"/>
  <c r="HZ210" i="13" s="1"/>
  <c r="G433" i="4" s="1"/>
  <c r="HY209" i="13"/>
  <c r="HX209" i="13"/>
  <c r="HW209" i="13"/>
  <c r="HV209" i="13"/>
  <c r="HU209" i="13"/>
  <c r="HT209" i="13"/>
  <c r="HS209" i="13"/>
  <c r="HR209" i="13"/>
  <c r="HQ209" i="13"/>
  <c r="HP209" i="13"/>
  <c r="HO209" i="13"/>
  <c r="HN209" i="13"/>
  <c r="HN210" i="13" s="1"/>
  <c r="G409" i="4" s="1"/>
  <c r="HM209" i="13"/>
  <c r="HL209" i="13"/>
  <c r="HK209" i="13"/>
  <c r="HJ209" i="13"/>
  <c r="HI209" i="13"/>
  <c r="HH209" i="13"/>
  <c r="HG209" i="13"/>
  <c r="HF209" i="13"/>
  <c r="HE209" i="13"/>
  <c r="HD209" i="13"/>
  <c r="HC209" i="13"/>
  <c r="HB209" i="13"/>
  <c r="HB210" i="13" s="1"/>
  <c r="G382" i="4" s="1"/>
  <c r="HA209" i="13"/>
  <c r="GZ209" i="13"/>
  <c r="GY209" i="13"/>
  <c r="GX209" i="13"/>
  <c r="GW209" i="13"/>
  <c r="GV209" i="13"/>
  <c r="GU209" i="13"/>
  <c r="GT209" i="13"/>
  <c r="GS209" i="13"/>
  <c r="GR209" i="13"/>
  <c r="GQ209" i="13"/>
  <c r="GP209" i="13"/>
  <c r="GP210" i="13" s="1"/>
  <c r="G356" i="4" s="1"/>
  <c r="GO209" i="13"/>
  <c r="GN209" i="13"/>
  <c r="GM209" i="13"/>
  <c r="GL209" i="13"/>
  <c r="GK209" i="13"/>
  <c r="GJ209" i="13"/>
  <c r="GI209" i="13"/>
  <c r="GH209" i="13"/>
  <c r="GG209" i="13"/>
  <c r="GF209" i="13"/>
  <c r="GE209" i="13"/>
  <c r="GD209" i="13"/>
  <c r="GD210" i="13" s="1"/>
  <c r="G332" i="4" s="1"/>
  <c r="GC209" i="13"/>
  <c r="GB209" i="13"/>
  <c r="GA209" i="13"/>
  <c r="FZ209" i="13"/>
  <c r="FY209" i="13"/>
  <c r="FX209" i="13"/>
  <c r="FW209" i="13"/>
  <c r="FV209" i="13"/>
  <c r="FU209" i="13"/>
  <c r="FT209" i="13"/>
  <c r="FS209" i="13"/>
  <c r="FR209" i="13"/>
  <c r="FR210" i="13" s="1"/>
  <c r="G311" i="4" s="1"/>
  <c r="FQ209" i="13"/>
  <c r="FP209" i="13"/>
  <c r="FO209" i="13"/>
  <c r="FN209" i="13"/>
  <c r="FM209" i="13"/>
  <c r="FL209" i="13"/>
  <c r="FK209" i="13"/>
  <c r="FJ209" i="13"/>
  <c r="FI209" i="13"/>
  <c r="FH209" i="13"/>
  <c r="FG209" i="13"/>
  <c r="FF209" i="13"/>
  <c r="FF210" i="13" s="1"/>
  <c r="G293" i="4" s="1"/>
  <c r="FE209" i="13"/>
  <c r="FD209" i="13"/>
  <c r="FC209" i="13"/>
  <c r="FB209" i="13"/>
  <c r="FA209" i="13"/>
  <c r="EZ209" i="13"/>
  <c r="EY209" i="13"/>
  <c r="EX209" i="13"/>
  <c r="EW209" i="13"/>
  <c r="EV209" i="13"/>
  <c r="EU209" i="13"/>
  <c r="ET209" i="13"/>
  <c r="ET210" i="13" s="1"/>
  <c r="G278" i="4" s="1"/>
  <c r="ES209" i="13"/>
  <c r="ER209" i="13"/>
  <c r="EQ209" i="13"/>
  <c r="EP209" i="13"/>
  <c r="EO209" i="13"/>
  <c r="EN209" i="13"/>
  <c r="EM209" i="13"/>
  <c r="EL209" i="13"/>
  <c r="EK209" i="13"/>
  <c r="EJ209" i="13"/>
  <c r="EI209" i="13"/>
  <c r="EH209" i="13"/>
  <c r="EH210" i="13" s="1"/>
  <c r="G263" i="4" s="1"/>
  <c r="EG209" i="13"/>
  <c r="EF209" i="13"/>
  <c r="EE209" i="13"/>
  <c r="ED209" i="13"/>
  <c r="EC209" i="13"/>
  <c r="EB209" i="13"/>
  <c r="EA209" i="13"/>
  <c r="DZ209" i="13"/>
  <c r="DY209" i="13"/>
  <c r="DX209" i="13"/>
  <c r="DW209" i="13"/>
  <c r="DV209" i="13"/>
  <c r="DV210" i="13" s="1"/>
  <c r="G236" i="4" s="1"/>
  <c r="DU209" i="13"/>
  <c r="DT209" i="13"/>
  <c r="DS209" i="13"/>
  <c r="DR209" i="13"/>
  <c r="DQ209" i="13"/>
  <c r="DP209" i="13"/>
  <c r="DO209" i="13"/>
  <c r="DN209" i="13"/>
  <c r="DM209" i="13"/>
  <c r="DL209" i="13"/>
  <c r="DK209" i="13"/>
  <c r="DJ209" i="13"/>
  <c r="DJ210" i="13" s="1"/>
  <c r="G211" i="4" s="1"/>
  <c r="DI209" i="13"/>
  <c r="DH209" i="13"/>
  <c r="DG209" i="13"/>
  <c r="DF209" i="13"/>
  <c r="DE209" i="13"/>
  <c r="DD209" i="13"/>
  <c r="DC209" i="13"/>
  <c r="DB209" i="13"/>
  <c r="DA209" i="13"/>
  <c r="CZ209" i="13"/>
  <c r="CY209" i="13"/>
  <c r="CX209" i="13"/>
  <c r="CX210" i="13" s="1"/>
  <c r="G195" i="4" s="1"/>
  <c r="CW209" i="13"/>
  <c r="CV209" i="13"/>
  <c r="CU209" i="13"/>
  <c r="CT209" i="13"/>
  <c r="CS209" i="13"/>
  <c r="CR209" i="13"/>
  <c r="CQ209" i="13"/>
  <c r="CP209" i="13"/>
  <c r="CO209" i="13"/>
  <c r="CN209" i="13"/>
  <c r="CM209" i="13"/>
  <c r="CL209" i="13"/>
  <c r="CL210" i="13" s="1"/>
  <c r="G175" i="4" s="1"/>
  <c r="CK209" i="13"/>
  <c r="CJ209" i="13"/>
  <c r="CI209" i="13"/>
  <c r="CH209" i="13"/>
  <c r="CG209" i="13"/>
  <c r="CF209" i="13"/>
  <c r="CE209" i="13"/>
  <c r="CD209" i="13"/>
  <c r="CC209" i="13"/>
  <c r="CB209" i="13"/>
  <c r="CA209" i="13"/>
  <c r="BZ209" i="13"/>
  <c r="BZ210" i="13" s="1"/>
  <c r="G162" i="4" s="1"/>
  <c r="BY209" i="13"/>
  <c r="BX209" i="13"/>
  <c r="BW209" i="13"/>
  <c r="BV209" i="13"/>
  <c r="BU209" i="13"/>
  <c r="BT209" i="13"/>
  <c r="BS209" i="13"/>
  <c r="BR209" i="13"/>
  <c r="BQ209" i="13"/>
  <c r="BP209" i="13"/>
  <c r="BO209" i="13"/>
  <c r="BN209" i="13"/>
  <c r="BN210" i="13" s="1"/>
  <c r="G139" i="4" s="1"/>
  <c r="BM209" i="13"/>
  <c r="BL209" i="13"/>
  <c r="BK209" i="13"/>
  <c r="BJ209" i="13"/>
  <c r="BI209" i="13"/>
  <c r="BH209" i="13"/>
  <c r="BG209" i="13"/>
  <c r="BF209" i="13"/>
  <c r="BE209" i="13"/>
  <c r="BD209" i="13"/>
  <c r="BC209" i="13"/>
  <c r="BB209" i="13"/>
  <c r="BB210" i="13" s="1"/>
  <c r="G118" i="4" s="1"/>
  <c r="BA209" i="13"/>
  <c r="AZ209" i="13"/>
  <c r="AY209" i="13"/>
  <c r="AX209" i="13"/>
  <c r="AW209" i="13"/>
  <c r="AV209" i="13"/>
  <c r="AV210" i="13" s="1"/>
  <c r="G103" i="4" s="1"/>
  <c r="AU209" i="13"/>
  <c r="AT209" i="13"/>
  <c r="AS209" i="13"/>
  <c r="AR209" i="13"/>
  <c r="AQ209" i="13"/>
  <c r="AP209" i="13"/>
  <c r="AP210" i="13" s="1"/>
  <c r="G92" i="4" s="1"/>
  <c r="AO209" i="13"/>
  <c r="AN209" i="13"/>
  <c r="AM209" i="13"/>
  <c r="AL209" i="13"/>
  <c r="AK209" i="13"/>
  <c r="AJ209" i="13"/>
  <c r="AJ210" i="13" s="1"/>
  <c r="G77" i="4" s="1"/>
  <c r="AI209" i="13"/>
  <c r="AH209" i="13"/>
  <c r="AG209" i="13"/>
  <c r="AF209" i="13"/>
  <c r="AE209" i="13"/>
  <c r="AD209" i="13"/>
  <c r="AD210" i="13" s="1"/>
  <c r="G67" i="4" s="1"/>
  <c r="AC209" i="13"/>
  <c r="AB209" i="13"/>
  <c r="AA209" i="13"/>
  <c r="Z209" i="13"/>
  <c r="Y209" i="13"/>
  <c r="X209" i="13"/>
  <c r="W209" i="13"/>
  <c r="V209" i="13"/>
  <c r="U209" i="13"/>
  <c r="T209" i="13"/>
  <c r="S209" i="13"/>
  <c r="R209" i="13"/>
  <c r="R210" i="13" s="1"/>
  <c r="G50" i="4" s="1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F210" i="13" s="1"/>
  <c r="G34" i="4" s="1"/>
  <c r="E209" i="13"/>
  <c r="D209" i="13"/>
  <c r="C209" i="13"/>
  <c r="B209" i="13"/>
  <c r="JP193" i="13"/>
  <c r="JN193" i="13"/>
  <c r="JM194" i="13"/>
  <c r="JK194" i="13"/>
  <c r="JH210" i="13"/>
  <c r="G501" i="4" s="1"/>
  <c r="JG210" i="13"/>
  <c r="G499" i="4" s="1"/>
  <c r="JF210" i="13"/>
  <c r="G496" i="4" s="1"/>
  <c r="JE210" i="13"/>
  <c r="G494" i="4" s="1"/>
  <c r="JD210" i="13"/>
  <c r="G491" i="4" s="1"/>
  <c r="JB210" i="13"/>
  <c r="G487" i="4" s="1"/>
  <c r="IZ210" i="13"/>
  <c r="G483" i="4" s="1"/>
  <c r="IV210" i="13"/>
  <c r="G475" i="4" s="1"/>
  <c r="IU210" i="13"/>
  <c r="G472" i="4" s="1"/>
  <c r="IT210" i="13"/>
  <c r="G470" i="4" s="1"/>
  <c r="IS210" i="13"/>
  <c r="G468" i="4" s="1"/>
  <c r="IR210" i="13"/>
  <c r="G466" i="4" s="1"/>
  <c r="IP210" i="13"/>
  <c r="G460" i="4" s="1"/>
  <c r="IN210" i="13"/>
  <c r="G458" i="4" s="1"/>
  <c r="IJ210" i="13"/>
  <c r="G451" i="4" s="1"/>
  <c r="II210" i="13"/>
  <c r="G449" i="4" s="1"/>
  <c r="IH210" i="13"/>
  <c r="G448" i="4" s="1"/>
  <c r="IG210" i="13"/>
  <c r="G445" i="4" s="1"/>
  <c r="IF210" i="13"/>
  <c r="G443" i="4" s="1"/>
  <c r="ID210" i="13"/>
  <c r="G441" i="4" s="1"/>
  <c r="IB210" i="13"/>
  <c r="G437" i="4" s="1"/>
  <c r="HX210" i="13"/>
  <c r="G430" i="4" s="1"/>
  <c r="HW210" i="13"/>
  <c r="G428" i="4" s="1"/>
  <c r="HV210" i="13"/>
  <c r="G426" i="4" s="1"/>
  <c r="HU210" i="13"/>
  <c r="G423" i="4" s="1"/>
  <c r="HT210" i="13"/>
  <c r="G421" i="4" s="1"/>
  <c r="HR210" i="13"/>
  <c r="G417" i="4" s="1"/>
  <c r="HP210" i="13"/>
  <c r="G413" i="4" s="1"/>
  <c r="HL210" i="13"/>
  <c r="G404" i="4" s="1"/>
  <c r="HK210" i="13"/>
  <c r="G402" i="4" s="1"/>
  <c r="HJ210" i="13"/>
  <c r="G399" i="4" s="1"/>
  <c r="HI210" i="13"/>
  <c r="G397" i="4" s="1"/>
  <c r="HH210" i="13"/>
  <c r="G395" i="4" s="1"/>
  <c r="HF210" i="13"/>
  <c r="G391" i="4" s="1"/>
  <c r="HD210" i="13"/>
  <c r="G387" i="4" s="1"/>
  <c r="GZ210" i="13"/>
  <c r="G378" i="4" s="1"/>
  <c r="GY210" i="13"/>
  <c r="G376" i="4" s="1"/>
  <c r="GX210" i="13"/>
  <c r="G374" i="4" s="1"/>
  <c r="GW210" i="13"/>
  <c r="G372" i="4" s="1"/>
  <c r="GV210" i="13"/>
  <c r="G370" i="4" s="1"/>
  <c r="GT210" i="13"/>
  <c r="G365" i="4" s="1"/>
  <c r="GR210" i="13"/>
  <c r="G361" i="4" s="1"/>
  <c r="GN210" i="13"/>
  <c r="G352" i="4" s="1"/>
  <c r="GM210" i="13"/>
  <c r="G350" i="4" s="1"/>
  <c r="GL210" i="13"/>
  <c r="G347" i="4" s="1"/>
  <c r="GK210" i="13"/>
  <c r="G345" i="4" s="1"/>
  <c r="GJ210" i="13"/>
  <c r="G343" i="4" s="1"/>
  <c r="GH210" i="13"/>
  <c r="G339" i="4" s="1"/>
  <c r="GF210" i="13"/>
  <c r="G334" i="4" s="1"/>
  <c r="GB210" i="13"/>
  <c r="G329" i="4" s="1"/>
  <c r="GA210" i="13"/>
  <c r="G328" i="4" s="1"/>
  <c r="FZ210" i="13"/>
  <c r="G326" i="4" s="1"/>
  <c r="FY210" i="13"/>
  <c r="G325" i="4" s="1"/>
  <c r="FX210" i="13"/>
  <c r="G323" i="4" s="1"/>
  <c r="FV210" i="13"/>
  <c r="G319" i="4" s="1"/>
  <c r="FT210" i="13"/>
  <c r="G315" i="4" s="1"/>
  <c r="FP210" i="13"/>
  <c r="G307" i="4" s="1"/>
  <c r="FO210" i="13"/>
  <c r="G305" i="4" s="1"/>
  <c r="FN210" i="13"/>
  <c r="G302" i="4" s="1"/>
  <c r="B10" i="6" s="1"/>
  <c r="FM210" i="13"/>
  <c r="G301" i="4" s="1"/>
  <c r="FL210" i="13"/>
  <c r="G300" i="4" s="1"/>
  <c r="FJ210" i="13"/>
  <c r="G298" i="4" s="1"/>
  <c r="FH210" i="13"/>
  <c r="G296" i="4" s="1"/>
  <c r="FD210" i="13"/>
  <c r="G291" i="4" s="1"/>
  <c r="FC210" i="13"/>
  <c r="G290" i="4" s="1"/>
  <c r="FB210" i="13"/>
  <c r="G289" i="4" s="1"/>
  <c r="FA210" i="13"/>
  <c r="G288" i="4" s="1"/>
  <c r="B29" i="6" s="1"/>
  <c r="EZ210" i="13"/>
  <c r="G285" i="4" s="1"/>
  <c r="EX210" i="13"/>
  <c r="G282" i="4" s="1"/>
  <c r="EV210" i="13"/>
  <c r="G280" i="4" s="1"/>
  <c r="ER210" i="13"/>
  <c r="G275" i="4" s="1"/>
  <c r="EQ210" i="13"/>
  <c r="G274" i="4" s="1"/>
  <c r="EP210" i="13"/>
  <c r="G273" i="4" s="1"/>
  <c r="EO210" i="13"/>
  <c r="G271" i="4" s="1"/>
  <c r="EN210" i="13"/>
  <c r="G270" i="4" s="1"/>
  <c r="EL210" i="13"/>
  <c r="G267" i="4" s="1"/>
  <c r="EJ210" i="13"/>
  <c r="G265" i="4" s="1"/>
  <c r="EF210" i="13"/>
  <c r="G258" i="4" s="1"/>
  <c r="EE210" i="13"/>
  <c r="G256" i="4" s="1"/>
  <c r="ED210" i="13"/>
  <c r="G254" i="4" s="1"/>
  <c r="EC210" i="13"/>
  <c r="G252" i="4" s="1"/>
  <c r="EB210" i="13"/>
  <c r="G249" i="4" s="1"/>
  <c r="DZ210" i="13"/>
  <c r="G244" i="4" s="1"/>
  <c r="DX210" i="13"/>
  <c r="G240" i="4" s="1"/>
  <c r="DT210" i="13"/>
  <c r="G231" i="4" s="1"/>
  <c r="DS210" i="13"/>
  <c r="G229" i="4" s="1"/>
  <c r="DR210" i="13"/>
  <c r="G227" i="4" s="1"/>
  <c r="DQ210" i="13"/>
  <c r="G224" i="4" s="1"/>
  <c r="DP210" i="13"/>
  <c r="G222" i="4" s="1"/>
  <c r="DN210" i="13"/>
  <c r="G220" i="4" s="1"/>
  <c r="DL210" i="13"/>
  <c r="G216" i="4" s="1"/>
  <c r="DH210" i="13"/>
  <c r="G207" i="4" s="1"/>
  <c r="DG210" i="13"/>
  <c r="G206" i="4" s="1"/>
  <c r="DF210" i="13"/>
  <c r="G205" i="4" s="1"/>
  <c r="DE210" i="13"/>
  <c r="G203" i="4" s="1"/>
  <c r="DD210" i="13"/>
  <c r="G202" i="4" s="1"/>
  <c r="DB210" i="13"/>
  <c r="G200" i="4" s="1"/>
  <c r="CZ210" i="13"/>
  <c r="G198" i="4" s="1"/>
  <c r="CV210" i="13"/>
  <c r="G193" i="4" s="1"/>
  <c r="CU210" i="13"/>
  <c r="G191" i="4" s="1"/>
  <c r="CT210" i="13"/>
  <c r="G190" i="4" s="1"/>
  <c r="CS210" i="13"/>
  <c r="G189" i="4" s="1"/>
  <c r="CR210" i="13"/>
  <c r="G187" i="4" s="1"/>
  <c r="CP210" i="13"/>
  <c r="G183" i="4" s="1"/>
  <c r="CN210" i="13"/>
  <c r="G178" i="4" s="1"/>
  <c r="CJ210" i="13"/>
  <c r="G173" i="4" s="1"/>
  <c r="CI210" i="13"/>
  <c r="G172" i="4" s="1"/>
  <c r="CH210" i="13"/>
  <c r="G171" i="4" s="1"/>
  <c r="CG210" i="13"/>
  <c r="G170" i="4" s="1"/>
  <c r="CF210" i="13"/>
  <c r="G169" i="4" s="1"/>
  <c r="CD210" i="13"/>
  <c r="G166" i="4" s="1"/>
  <c r="CB210" i="13"/>
  <c r="G164" i="4" s="1"/>
  <c r="BX210" i="13"/>
  <c r="G160" i="4" s="1"/>
  <c r="BW210" i="13"/>
  <c r="G159" i="4" s="1"/>
  <c r="BV210" i="13"/>
  <c r="G156" i="4" s="1"/>
  <c r="BU210" i="13"/>
  <c r="G154" i="4" s="1"/>
  <c r="BT210" i="13"/>
  <c r="G152" i="4" s="1"/>
  <c r="BR210" i="13"/>
  <c r="G147" i="4" s="1"/>
  <c r="BP210" i="13"/>
  <c r="G143" i="4" s="1"/>
  <c r="BL210" i="13"/>
  <c r="G135" i="4" s="1"/>
  <c r="BK210" i="13"/>
  <c r="G134" i="4" s="1"/>
  <c r="BJ210" i="13"/>
  <c r="G133" i="4" s="1"/>
  <c r="BI210" i="13"/>
  <c r="G132" i="4" s="1"/>
  <c r="BH210" i="13"/>
  <c r="G131" i="4" s="1"/>
  <c r="BF210" i="13"/>
  <c r="G127" i="4" s="1"/>
  <c r="BD210" i="13"/>
  <c r="G122" i="4" s="1"/>
  <c r="AZ210" i="13"/>
  <c r="G113" i="4" s="1"/>
  <c r="AY210" i="13"/>
  <c r="G110" i="4" s="1"/>
  <c r="AX210" i="13"/>
  <c r="G108" i="4" s="1"/>
  <c r="AW210" i="13"/>
  <c r="G105" i="4" s="1"/>
  <c r="AT210" i="13"/>
  <c r="G100" i="4" s="1"/>
  <c r="AR210" i="13"/>
  <c r="G96" i="4" s="1"/>
  <c r="AN210" i="13"/>
  <c r="G86" i="4" s="1"/>
  <c r="AM210" i="13"/>
  <c r="G84" i="4" s="1"/>
  <c r="AL210" i="13"/>
  <c r="G82" i="4" s="1"/>
  <c r="AK210" i="13"/>
  <c r="G80" i="4" s="1"/>
  <c r="AH210" i="13"/>
  <c r="G75" i="4" s="1"/>
  <c r="AF210" i="13"/>
  <c r="G70" i="4" s="1"/>
  <c r="AB210" i="13"/>
  <c r="G63" i="4" s="1"/>
  <c r="AA210" i="13"/>
  <c r="G62" i="4" s="1"/>
  <c r="Z210" i="13"/>
  <c r="G61" i="4" s="1"/>
  <c r="Y210" i="13"/>
  <c r="G60" i="4" s="1"/>
  <c r="X210" i="13"/>
  <c r="G59" i="4" s="1"/>
  <c r="V210" i="13"/>
  <c r="G57" i="4" s="1"/>
  <c r="T210" i="13"/>
  <c r="G55" i="4" s="1"/>
  <c r="P210" i="13"/>
  <c r="G48" i="4" s="1"/>
  <c r="O210" i="13"/>
  <c r="G47" i="4" s="1"/>
  <c r="N210" i="13"/>
  <c r="G45" i="4" s="1"/>
  <c r="M210" i="13"/>
  <c r="G43" i="4" s="1"/>
  <c r="L210" i="13"/>
  <c r="G41" i="4" s="1"/>
  <c r="J210" i="13"/>
  <c r="G39" i="4" s="1"/>
  <c r="H210" i="13"/>
  <c r="G37" i="4" s="1"/>
  <c r="D210" i="13"/>
  <c r="G32" i="4" s="1"/>
  <c r="C210" i="13"/>
  <c r="G31" i="4" s="1"/>
  <c r="B210" i="13"/>
  <c r="G30" i="4" s="1"/>
  <c r="A210" i="13"/>
  <c r="G29" i="4" s="1"/>
  <c r="JO3" i="13"/>
  <c r="JO193" i="13" s="1"/>
  <c r="JL194" i="13" l="1"/>
  <c r="E210" i="13"/>
  <c r="G33" i="4" s="1"/>
  <c r="Q210" i="13"/>
  <c r="G49" i="4" s="1"/>
  <c r="AC210" i="13"/>
  <c r="G66" i="4" s="1"/>
  <c r="AO210" i="13"/>
  <c r="G90" i="4" s="1"/>
  <c r="BA210" i="13"/>
  <c r="G115" i="4" s="1"/>
  <c r="BM210" i="13"/>
  <c r="G137" i="4" s="1"/>
  <c r="BY210" i="13"/>
  <c r="G161" i="4" s="1"/>
  <c r="CK210" i="13"/>
  <c r="G174" i="4" s="1"/>
  <c r="CW210" i="13"/>
  <c r="G194" i="4" s="1"/>
  <c r="DI210" i="13"/>
  <c r="G210" i="4" s="1"/>
  <c r="DU210" i="13"/>
  <c r="G234" i="4" s="1"/>
  <c r="EG210" i="13"/>
  <c r="G260" i="4" s="1"/>
  <c r="ES210" i="13"/>
  <c r="G277" i="4" s="1"/>
  <c r="FE210" i="13"/>
  <c r="G292" i="4" s="1"/>
  <c r="FQ210" i="13"/>
  <c r="G310" i="4" s="1"/>
  <c r="GC210" i="13"/>
  <c r="G331" i="4" s="1"/>
  <c r="GO210" i="13"/>
  <c r="G354" i="4" s="1"/>
  <c r="HA210" i="13"/>
  <c r="G380" i="4" s="1"/>
  <c r="HM210" i="13"/>
  <c r="G407" i="4" s="1"/>
  <c r="HY210" i="13"/>
  <c r="G431" i="4" s="1"/>
  <c r="IK210" i="13"/>
  <c r="G452" i="4" s="1"/>
  <c r="IW210" i="13"/>
  <c r="G477" i="4" s="1"/>
  <c r="G210" i="13"/>
  <c r="G36" i="4" s="1"/>
  <c r="S210" i="13"/>
  <c r="G53" i="4" s="1"/>
  <c r="AE210" i="13"/>
  <c r="G69" i="4" s="1"/>
  <c r="AQ210" i="13"/>
  <c r="G94" i="4" s="1"/>
  <c r="BC210" i="13"/>
  <c r="G120" i="4" s="1"/>
  <c r="BO210" i="13"/>
  <c r="G141" i="4" s="1"/>
  <c r="CA210" i="13"/>
  <c r="G163" i="4" s="1"/>
  <c r="CM210" i="13"/>
  <c r="G176" i="4" s="1"/>
  <c r="CY210" i="13"/>
  <c r="G196" i="4" s="1"/>
  <c r="DK210" i="13"/>
  <c r="G215" i="4" s="1"/>
  <c r="DW210" i="13"/>
  <c r="G238" i="4" s="1"/>
  <c r="EI210" i="13"/>
  <c r="G264" i="4" s="1"/>
  <c r="EU210" i="13"/>
  <c r="G279" i="4" s="1"/>
  <c r="FG210" i="13"/>
  <c r="G294" i="4" s="1"/>
  <c r="B31" i="6" s="1"/>
  <c r="FS210" i="13"/>
  <c r="G313" i="4" s="1"/>
  <c r="GE210" i="13"/>
  <c r="G333" i="4" s="1"/>
  <c r="GQ210" i="13"/>
  <c r="G359" i="4" s="1"/>
  <c r="HC210" i="13"/>
  <c r="G385" i="4" s="1"/>
  <c r="HO210" i="13"/>
  <c r="G411" i="4" s="1"/>
  <c r="IA210" i="13"/>
  <c r="G435" i="4" s="1"/>
  <c r="IM210" i="13"/>
  <c r="G456" i="4" s="1"/>
  <c r="IY210" i="13"/>
  <c r="G481" i="4" s="1"/>
  <c r="I210" i="13"/>
  <c r="G38" i="4" s="1"/>
  <c r="U210" i="13"/>
  <c r="G56" i="4" s="1"/>
  <c r="AG210" i="13"/>
  <c r="G73" i="4" s="1"/>
  <c r="AS210" i="13"/>
  <c r="G98" i="4" s="1"/>
  <c r="BE210" i="13"/>
  <c r="G124" i="4" s="1"/>
  <c r="BQ210" i="13"/>
  <c r="G145" i="4" s="1"/>
  <c r="CC210" i="13"/>
  <c r="G165" i="4" s="1"/>
  <c r="CO210" i="13"/>
  <c r="G181" i="4" s="1"/>
  <c r="DA210" i="13"/>
  <c r="G199" i="4" s="1"/>
  <c r="DM210" i="13"/>
  <c r="G218" i="4" s="1"/>
  <c r="DY210" i="13"/>
  <c r="G242" i="4" s="1"/>
  <c r="EK210" i="13"/>
  <c r="G266" i="4" s="1"/>
  <c r="EW210" i="13"/>
  <c r="G281" i="4" s="1"/>
  <c r="FI210" i="13"/>
  <c r="G297" i="4" s="1"/>
  <c r="B11" i="6" s="1"/>
  <c r="FU210" i="13"/>
  <c r="G317" i="4" s="1"/>
  <c r="GG210" i="13"/>
  <c r="G335" i="4" s="1"/>
  <c r="GS210" i="13"/>
  <c r="G363" i="4" s="1"/>
  <c r="HE210" i="13"/>
  <c r="G389" i="4" s="1"/>
  <c r="HQ210" i="13"/>
  <c r="G415" i="4" s="1"/>
  <c r="IC210" i="13"/>
  <c r="G439" i="4" s="1"/>
  <c r="IO210" i="13"/>
  <c r="G459" i="4" s="1"/>
  <c r="JA210" i="13"/>
  <c r="G485" i="4" s="1"/>
  <c r="K210" i="13"/>
  <c r="G40" i="4" s="1"/>
  <c r="W210" i="13"/>
  <c r="G58" i="4" s="1"/>
  <c r="AI210" i="13"/>
  <c r="G76" i="4" s="1"/>
  <c r="AU210" i="13"/>
  <c r="G101" i="4" s="1"/>
  <c r="BG210" i="13"/>
  <c r="G129" i="4" s="1"/>
  <c r="BS210" i="13"/>
  <c r="G150" i="4" s="1"/>
  <c r="CE210" i="13"/>
  <c r="G168" i="4" s="1"/>
  <c r="CQ210" i="13"/>
  <c r="G185" i="4" s="1"/>
  <c r="DC210" i="13"/>
  <c r="G201" i="4" s="1"/>
  <c r="DO210" i="13"/>
  <c r="G221" i="4" s="1"/>
  <c r="EA210" i="13"/>
  <c r="G247" i="4" s="1"/>
  <c r="EM210" i="13"/>
  <c r="G269" i="4" s="1"/>
  <c r="EY210" i="13"/>
  <c r="G283" i="4" s="1"/>
  <c r="FK210" i="13"/>
  <c r="G299" i="4" s="1"/>
  <c r="FW210" i="13"/>
  <c r="G321" i="4" s="1"/>
  <c r="GI210" i="13"/>
  <c r="G341" i="4" s="1"/>
  <c r="GU210" i="13"/>
  <c r="G368" i="4" s="1"/>
  <c r="HG210" i="13"/>
  <c r="G393" i="4" s="1"/>
  <c r="HS210" i="13"/>
  <c r="G419" i="4" s="1"/>
  <c r="IE210" i="13"/>
  <c r="G442" i="4" s="1"/>
  <c r="IQ210" i="13"/>
  <c r="G462" i="4" s="1"/>
  <c r="JC210" i="13"/>
  <c r="G489" i="4" s="1"/>
  <c r="B30" i="6"/>
  <c r="B497" i="1"/>
  <c r="C497" i="1"/>
  <c r="D497" i="1"/>
  <c r="D498" i="1" s="1"/>
  <c r="E497" i="1"/>
  <c r="E498" i="1" s="1"/>
  <c r="F497" i="1"/>
  <c r="F498" i="1" s="1"/>
  <c r="G497" i="1"/>
  <c r="G498" i="1" s="1"/>
  <c r="H497" i="1"/>
  <c r="I497" i="1"/>
  <c r="J497" i="1"/>
  <c r="K497" i="1"/>
  <c r="L497" i="1"/>
  <c r="M497" i="1"/>
  <c r="N497" i="1"/>
  <c r="O497" i="1"/>
  <c r="P497" i="1"/>
  <c r="Q497" i="1"/>
  <c r="Q498" i="1" s="1"/>
  <c r="R497" i="1"/>
  <c r="R498" i="1" s="1"/>
  <c r="S497" i="1"/>
  <c r="S498" i="1" s="1"/>
  <c r="T497" i="1"/>
  <c r="U497" i="1"/>
  <c r="V497" i="1"/>
  <c r="W497" i="1"/>
  <c r="X497" i="1"/>
  <c r="Y497" i="1"/>
  <c r="Z497" i="1"/>
  <c r="AA497" i="1"/>
  <c r="AB497" i="1"/>
  <c r="AB498" i="1" s="1"/>
  <c r="AC497" i="1"/>
  <c r="AC498" i="1" s="1"/>
  <c r="AD497" i="1"/>
  <c r="AD498" i="1" s="1"/>
  <c r="AE497" i="1"/>
  <c r="AE498" i="1" s="1"/>
  <c r="AF497" i="1"/>
  <c r="AG497" i="1"/>
  <c r="AH497" i="1"/>
  <c r="AI497" i="1"/>
  <c r="AJ497" i="1"/>
  <c r="AK497" i="1"/>
  <c r="AL497" i="1"/>
  <c r="AM497" i="1"/>
  <c r="AN497" i="1"/>
  <c r="AO497" i="1"/>
  <c r="AO498" i="1" s="1"/>
  <c r="AP497" i="1"/>
  <c r="AP498" i="1" s="1"/>
  <c r="AQ497" i="1"/>
  <c r="AQ498" i="1" s="1"/>
  <c r="AR497" i="1"/>
  <c r="AS497" i="1"/>
  <c r="AT497" i="1"/>
  <c r="AU497" i="1"/>
  <c r="AV497" i="1"/>
  <c r="AW497" i="1"/>
  <c r="AX497" i="1"/>
  <c r="AX498" i="1" s="1"/>
  <c r="AY497" i="1"/>
  <c r="AZ497" i="1"/>
  <c r="BA497" i="1"/>
  <c r="BA498" i="1" s="1"/>
  <c r="BB497" i="1"/>
  <c r="BB498" i="1" s="1"/>
  <c r="BC497" i="1"/>
  <c r="BC498" i="1" s="1"/>
  <c r="BD497" i="1"/>
  <c r="BE497" i="1"/>
  <c r="BF497" i="1"/>
  <c r="BG497" i="1"/>
  <c r="BH497" i="1"/>
  <c r="BI497" i="1"/>
  <c r="BJ497" i="1"/>
  <c r="BK497" i="1"/>
  <c r="BL497" i="1"/>
  <c r="BL498" i="1" s="1"/>
  <c r="BM497" i="1"/>
  <c r="BM498" i="1" s="1"/>
  <c r="BN497" i="1"/>
  <c r="BN498" i="1" s="1"/>
  <c r="BO497" i="1"/>
  <c r="BO498" i="1" s="1"/>
  <c r="BP497" i="1"/>
  <c r="BQ497" i="1"/>
  <c r="BR497" i="1"/>
  <c r="BS497" i="1"/>
  <c r="BT497" i="1"/>
  <c r="BU497" i="1"/>
  <c r="BV497" i="1"/>
  <c r="BV498" i="1" s="1"/>
  <c r="BW497" i="1"/>
  <c r="BX497" i="1"/>
  <c r="BX498" i="1" s="1"/>
  <c r="BY497" i="1"/>
  <c r="BY498" i="1" s="1"/>
  <c r="BZ497" i="1"/>
  <c r="BZ498" i="1" s="1"/>
  <c r="CA497" i="1"/>
  <c r="CA498" i="1" s="1"/>
  <c r="CB497" i="1"/>
  <c r="CC497" i="1"/>
  <c r="CD497" i="1"/>
  <c r="CE497" i="1"/>
  <c r="CF497" i="1"/>
  <c r="CG497" i="1"/>
  <c r="CH497" i="1"/>
  <c r="CI497" i="1"/>
  <c r="CJ497" i="1"/>
  <c r="CJ498" i="1" s="1"/>
  <c r="CK497" i="1"/>
  <c r="CK498" i="1" s="1"/>
  <c r="CL497" i="1"/>
  <c r="CL498" i="1" s="1"/>
  <c r="CM497" i="1"/>
  <c r="CM498" i="1" s="1"/>
  <c r="CN497" i="1"/>
  <c r="CO497" i="1"/>
  <c r="CP497" i="1"/>
  <c r="CQ497" i="1"/>
  <c r="CR497" i="1"/>
  <c r="CS497" i="1"/>
  <c r="CT497" i="1"/>
  <c r="CU497" i="1"/>
  <c r="CV497" i="1"/>
  <c r="CV498" i="1" s="1"/>
  <c r="CW497" i="1"/>
  <c r="CW498" i="1" s="1"/>
  <c r="CX497" i="1"/>
  <c r="CX498" i="1" s="1"/>
  <c r="CY497" i="1"/>
  <c r="CY498" i="1" s="1"/>
  <c r="CZ497" i="1"/>
  <c r="DA497" i="1"/>
  <c r="DB497" i="1"/>
  <c r="DC497" i="1"/>
  <c r="DD497" i="1"/>
  <c r="DE497" i="1"/>
  <c r="DF497" i="1"/>
  <c r="DG497" i="1"/>
  <c r="DH497" i="1"/>
  <c r="DI497" i="1"/>
  <c r="DI498" i="1" s="1"/>
  <c r="DJ497" i="1"/>
  <c r="DK497" i="1"/>
  <c r="DK498" i="1" s="1"/>
  <c r="DL497" i="1"/>
  <c r="DM497" i="1"/>
  <c r="DN497" i="1"/>
  <c r="DO497" i="1"/>
  <c r="DP497" i="1"/>
  <c r="DQ497" i="1"/>
  <c r="DR497" i="1"/>
  <c r="DS497" i="1"/>
  <c r="DT497" i="1"/>
  <c r="DT498" i="1" s="1"/>
  <c r="DU497" i="1"/>
  <c r="DU498" i="1" s="1"/>
  <c r="DV497" i="1"/>
  <c r="DV498" i="1" s="1"/>
  <c r="DW497" i="1"/>
  <c r="DW498" i="1" s="1"/>
  <c r="DX497" i="1"/>
  <c r="DY497" i="1"/>
  <c r="DZ497" i="1"/>
  <c r="EA497" i="1"/>
  <c r="EB497" i="1"/>
  <c r="EC497" i="1"/>
  <c r="ED497" i="1"/>
  <c r="EE497" i="1"/>
  <c r="EF497" i="1"/>
  <c r="EF498" i="1" s="1"/>
  <c r="EG497" i="1"/>
  <c r="EG498" i="1" s="1"/>
  <c r="EH497" i="1"/>
  <c r="EH498" i="1" s="1"/>
  <c r="EI497" i="1"/>
  <c r="EI498" i="1" s="1"/>
  <c r="EJ497" i="1"/>
  <c r="EK497" i="1"/>
  <c r="EL497" i="1"/>
  <c r="EM497" i="1"/>
  <c r="EN497" i="1"/>
  <c r="EO497" i="1"/>
  <c r="EP497" i="1"/>
  <c r="EQ497" i="1"/>
  <c r="ER497" i="1"/>
  <c r="ER498" i="1" s="1"/>
  <c r="ES497" i="1"/>
  <c r="ES498" i="1" s="1"/>
  <c r="ET497" i="1"/>
  <c r="ET498" i="1" s="1"/>
  <c r="EU497" i="1"/>
  <c r="EU498" i="1" s="1"/>
  <c r="EV497" i="1"/>
  <c r="EW497" i="1"/>
  <c r="EX497" i="1"/>
  <c r="EY497" i="1"/>
  <c r="EZ497" i="1"/>
  <c r="FA497" i="1"/>
  <c r="FB497" i="1"/>
  <c r="FC497" i="1"/>
  <c r="FD497" i="1"/>
  <c r="FE497" i="1"/>
  <c r="FE498" i="1" s="1"/>
  <c r="FF497" i="1"/>
  <c r="FF498" i="1" s="1"/>
  <c r="FG497" i="1"/>
  <c r="FG498" i="1" s="1"/>
  <c r="FH497" i="1"/>
  <c r="FI497" i="1"/>
  <c r="FJ497" i="1"/>
  <c r="FK497" i="1"/>
  <c r="FL497" i="1"/>
  <c r="FM497" i="1"/>
  <c r="FN497" i="1"/>
  <c r="FO497" i="1"/>
  <c r="FP497" i="1"/>
  <c r="FQ497" i="1"/>
  <c r="FQ498" i="1" s="1"/>
  <c r="FR497" i="1"/>
  <c r="FR498" i="1" s="1"/>
  <c r="FS497" i="1"/>
  <c r="FS498" i="1" s="1"/>
  <c r="FT497" i="1"/>
  <c r="FU497" i="1"/>
  <c r="FV497" i="1"/>
  <c r="FW497" i="1"/>
  <c r="FX497" i="1"/>
  <c r="FY497" i="1"/>
  <c r="FZ497" i="1"/>
  <c r="GA497" i="1"/>
  <c r="GB497" i="1"/>
  <c r="GB498" i="1" s="1"/>
  <c r="GC497" i="1"/>
  <c r="GC498" i="1" s="1"/>
  <c r="GD497" i="1"/>
  <c r="GD498" i="1" s="1"/>
  <c r="GE497" i="1"/>
  <c r="GE498" i="1" s="1"/>
  <c r="GF497" i="1"/>
  <c r="GG497" i="1"/>
  <c r="GH497" i="1"/>
  <c r="GI497" i="1"/>
  <c r="GJ497" i="1"/>
  <c r="GK497" i="1"/>
  <c r="GL497" i="1"/>
  <c r="GM497" i="1"/>
  <c r="GN497" i="1"/>
  <c r="GN498" i="1" s="1"/>
  <c r="GO497" i="1"/>
  <c r="GO498" i="1" s="1"/>
  <c r="GP497" i="1"/>
  <c r="GP498" i="1" s="1"/>
  <c r="GQ497" i="1"/>
  <c r="GQ498" i="1" s="1"/>
  <c r="GR497" i="1"/>
  <c r="GS497" i="1"/>
  <c r="GT497" i="1"/>
  <c r="GU497" i="1"/>
  <c r="GV497" i="1"/>
  <c r="GW497" i="1"/>
  <c r="GX497" i="1"/>
  <c r="GY497" i="1"/>
  <c r="GZ497" i="1"/>
  <c r="GZ498" i="1" s="1"/>
  <c r="HA497" i="1"/>
  <c r="HA498" i="1" s="1"/>
  <c r="HB497" i="1"/>
  <c r="HB498" i="1" s="1"/>
  <c r="HC497" i="1"/>
  <c r="HC498" i="1" s="1"/>
  <c r="HD497" i="1"/>
  <c r="HE497" i="1"/>
  <c r="HF497" i="1"/>
  <c r="HG497" i="1"/>
  <c r="HH497" i="1"/>
  <c r="HI497" i="1"/>
  <c r="HJ497" i="1"/>
  <c r="HK497" i="1"/>
  <c r="HL497" i="1"/>
  <c r="HM497" i="1"/>
  <c r="HM498" i="1" s="1"/>
  <c r="HN497" i="1"/>
  <c r="HN498" i="1" s="1"/>
  <c r="HO497" i="1"/>
  <c r="HO498" i="1" s="1"/>
  <c r="HP497" i="1"/>
  <c r="HQ497" i="1"/>
  <c r="HR497" i="1"/>
  <c r="HS497" i="1"/>
  <c r="HT497" i="1"/>
  <c r="HU497" i="1"/>
  <c r="HV497" i="1"/>
  <c r="HV498" i="1" s="1"/>
  <c r="HW497" i="1"/>
  <c r="HX497" i="1"/>
  <c r="HX498" i="1" s="1"/>
  <c r="HY497" i="1"/>
  <c r="HY498" i="1" s="1"/>
  <c r="HZ497" i="1"/>
  <c r="HZ498" i="1" s="1"/>
  <c r="IA497" i="1"/>
  <c r="IA498" i="1" s="1"/>
  <c r="IB497" i="1"/>
  <c r="IC497" i="1"/>
  <c r="ID497" i="1"/>
  <c r="IE497" i="1"/>
  <c r="IF497" i="1"/>
  <c r="IG497" i="1"/>
  <c r="IH497" i="1"/>
  <c r="II497" i="1"/>
  <c r="IJ497" i="1"/>
  <c r="IJ498" i="1" s="1"/>
  <c r="IK497" i="1"/>
  <c r="IK498" i="1" s="1"/>
  <c r="IL497" i="1"/>
  <c r="IL498" i="1" s="1"/>
  <c r="IM497" i="1"/>
  <c r="IM498" i="1" s="1"/>
  <c r="IN497" i="1"/>
  <c r="IO497" i="1"/>
  <c r="IP497" i="1"/>
  <c r="IQ497" i="1"/>
  <c r="IR497" i="1"/>
  <c r="IS497" i="1"/>
  <c r="IT497" i="1"/>
  <c r="IU497" i="1"/>
  <c r="IV497" i="1"/>
  <c r="IV498" i="1" s="1"/>
  <c r="IW497" i="1"/>
  <c r="IW498" i="1" s="1"/>
  <c r="IX497" i="1"/>
  <c r="IX498" i="1" s="1"/>
  <c r="IY497" i="1"/>
  <c r="IY498" i="1" s="1"/>
  <c r="IZ497" i="1"/>
  <c r="JA497" i="1"/>
  <c r="JB497" i="1"/>
  <c r="JC497" i="1"/>
  <c r="JD497" i="1"/>
  <c r="JE497" i="1"/>
  <c r="JE498" i="1" s="1"/>
  <c r="JF497" i="1"/>
  <c r="JF498" i="1" s="1"/>
  <c r="JG497" i="1"/>
  <c r="JH497" i="1"/>
  <c r="JH498" i="1" s="1"/>
  <c r="A497" i="1"/>
  <c r="B498" i="1"/>
  <c r="C498" i="1"/>
  <c r="H498" i="1"/>
  <c r="K498" i="1"/>
  <c r="L498" i="1"/>
  <c r="M498" i="1"/>
  <c r="N498" i="1"/>
  <c r="O498" i="1"/>
  <c r="P498" i="1"/>
  <c r="T498" i="1"/>
  <c r="W498" i="1"/>
  <c r="X498" i="1"/>
  <c r="Y498" i="1"/>
  <c r="Z498" i="1"/>
  <c r="AA498" i="1"/>
  <c r="AF498" i="1"/>
  <c r="AI498" i="1"/>
  <c r="H76" i="4" s="1"/>
  <c r="AJ498" i="1"/>
  <c r="AK498" i="1"/>
  <c r="AL498" i="1"/>
  <c r="AM498" i="1"/>
  <c r="AN498" i="1"/>
  <c r="AR498" i="1"/>
  <c r="AU498" i="1"/>
  <c r="AV498" i="1"/>
  <c r="AW498" i="1"/>
  <c r="AY498" i="1"/>
  <c r="AZ498" i="1"/>
  <c r="BD498" i="1"/>
  <c r="BG498" i="1"/>
  <c r="BH498" i="1"/>
  <c r="BI498" i="1"/>
  <c r="BJ498" i="1"/>
  <c r="BK498" i="1"/>
  <c r="BP498" i="1"/>
  <c r="BS498" i="1"/>
  <c r="BT498" i="1"/>
  <c r="BU498" i="1"/>
  <c r="BW498" i="1"/>
  <c r="CB498" i="1"/>
  <c r="CE498" i="1"/>
  <c r="CF498" i="1"/>
  <c r="CG498" i="1"/>
  <c r="CH498" i="1"/>
  <c r="CI498" i="1"/>
  <c r="CN498" i="1"/>
  <c r="CQ498" i="1"/>
  <c r="CR498" i="1"/>
  <c r="CS498" i="1"/>
  <c r="CT498" i="1"/>
  <c r="CU498" i="1"/>
  <c r="CZ498" i="1"/>
  <c r="DC498" i="1"/>
  <c r="DD498" i="1"/>
  <c r="DE498" i="1"/>
  <c r="DF498" i="1"/>
  <c r="DG498" i="1"/>
  <c r="DH498" i="1"/>
  <c r="DJ498" i="1"/>
  <c r="DL498" i="1"/>
  <c r="DO498" i="1"/>
  <c r="DP498" i="1"/>
  <c r="DQ498" i="1"/>
  <c r="DR498" i="1"/>
  <c r="DS498" i="1"/>
  <c r="DX498" i="1"/>
  <c r="EA498" i="1"/>
  <c r="EB498" i="1"/>
  <c r="EC498" i="1"/>
  <c r="ED498" i="1"/>
  <c r="EE498" i="1"/>
  <c r="EJ498" i="1"/>
  <c r="EM498" i="1"/>
  <c r="EN498" i="1"/>
  <c r="EO498" i="1"/>
  <c r="EP498" i="1"/>
  <c r="EQ498" i="1"/>
  <c r="EV498" i="1"/>
  <c r="EY498" i="1"/>
  <c r="EZ498" i="1"/>
  <c r="FA498" i="1"/>
  <c r="FB498" i="1"/>
  <c r="FC498" i="1"/>
  <c r="FH498" i="1"/>
  <c r="FK498" i="1"/>
  <c r="FL498" i="1"/>
  <c r="FM498" i="1"/>
  <c r="FN498" i="1"/>
  <c r="FO498" i="1"/>
  <c r="FP498" i="1"/>
  <c r="FT498" i="1"/>
  <c r="FW498" i="1"/>
  <c r="FX498" i="1"/>
  <c r="FY498" i="1"/>
  <c r="FZ498" i="1"/>
  <c r="GA498" i="1"/>
  <c r="GF498" i="1"/>
  <c r="GI498" i="1"/>
  <c r="GJ498" i="1"/>
  <c r="GK498" i="1"/>
  <c r="GL498" i="1"/>
  <c r="GM498" i="1"/>
  <c r="GR498" i="1"/>
  <c r="GU498" i="1"/>
  <c r="GV498" i="1"/>
  <c r="GW498" i="1"/>
  <c r="GX498" i="1"/>
  <c r="GY498" i="1"/>
  <c r="HD498" i="1"/>
  <c r="HG498" i="1"/>
  <c r="HH498" i="1"/>
  <c r="HI498" i="1"/>
  <c r="HJ498" i="1"/>
  <c r="HK498" i="1"/>
  <c r="HL498" i="1"/>
  <c r="HP498" i="1"/>
  <c r="HS498" i="1"/>
  <c r="HT498" i="1"/>
  <c r="HU498" i="1"/>
  <c r="HW498" i="1"/>
  <c r="IB498" i="1"/>
  <c r="IE498" i="1"/>
  <c r="IF498" i="1"/>
  <c r="IG498" i="1"/>
  <c r="IH498" i="1"/>
  <c r="II498" i="1"/>
  <c r="IN498" i="1"/>
  <c r="IQ498" i="1"/>
  <c r="IR498" i="1"/>
  <c r="IS498" i="1"/>
  <c r="IT498" i="1"/>
  <c r="IU498" i="1"/>
  <c r="IZ498" i="1"/>
  <c r="JC498" i="1"/>
  <c r="JD498" i="1"/>
  <c r="JG498" i="1"/>
  <c r="JL480" i="1"/>
  <c r="JL481" i="1" s="1"/>
  <c r="JI497" i="1" l="1"/>
  <c r="A498" i="1"/>
  <c r="FD498" i="1"/>
  <c r="JB498" i="1"/>
  <c r="IP498" i="1"/>
  <c r="ID498" i="1"/>
  <c r="HR498" i="1"/>
  <c r="HF498" i="1"/>
  <c r="GT498" i="1"/>
  <c r="GH498" i="1"/>
  <c r="FV498" i="1"/>
  <c r="FJ498" i="1"/>
  <c r="EX498" i="1"/>
  <c r="EL498" i="1"/>
  <c r="DZ498" i="1"/>
  <c r="DN498" i="1"/>
  <c r="DB498" i="1"/>
  <c r="CP498" i="1"/>
  <c r="CD498" i="1"/>
  <c r="BR498" i="1"/>
  <c r="BF498" i="1"/>
  <c r="AT498" i="1"/>
  <c r="AH498" i="1"/>
  <c r="H75" i="4" s="1"/>
  <c r="V498" i="1"/>
  <c r="J498" i="1"/>
  <c r="JA498" i="1"/>
  <c r="IO498" i="1"/>
  <c r="IC498" i="1"/>
  <c r="HQ498" i="1"/>
  <c r="HE498" i="1"/>
  <c r="GS498" i="1"/>
  <c r="GG498" i="1"/>
  <c r="FU498" i="1"/>
  <c r="FI498" i="1"/>
  <c r="EW498" i="1"/>
  <c r="EK498" i="1"/>
  <c r="DY498" i="1"/>
  <c r="DM498" i="1"/>
  <c r="DA498" i="1"/>
  <c r="CO498" i="1"/>
  <c r="CC498" i="1"/>
  <c r="BQ498" i="1"/>
  <c r="BE498" i="1"/>
  <c r="AS498" i="1"/>
  <c r="AG498" i="1"/>
  <c r="U498" i="1"/>
  <c r="I498" i="1"/>
  <c r="G450" i="4"/>
  <c r="G447" i="4"/>
  <c r="H452" i="4"/>
  <c r="I452" i="4" s="1"/>
  <c r="H449" i="4"/>
  <c r="I449" i="4" s="1"/>
  <c r="H329" i="4"/>
  <c r="JI498" i="1" l="1"/>
  <c r="I329" i="4"/>
  <c r="H147" i="4"/>
  <c r="H146" i="4" s="1"/>
  <c r="G146" i="4" l="1"/>
  <c r="I146" i="4" s="1"/>
  <c r="H311" i="4"/>
  <c r="I311" i="4" s="1"/>
  <c r="G177" i="4"/>
  <c r="I147" i="4" l="1"/>
  <c r="H211" i="4"/>
  <c r="I211" i="4" l="1"/>
  <c r="G35" i="4"/>
  <c r="JO481" i="1"/>
  <c r="JM481" i="1"/>
  <c r="JN481" i="1"/>
  <c r="JP481" i="1"/>
  <c r="H33" i="4"/>
  <c r="H37" i="4"/>
  <c r="H57" i="4"/>
  <c r="H100" i="4"/>
  <c r="H127" i="4"/>
  <c r="H126" i="4" s="1"/>
  <c r="H150" i="4"/>
  <c r="H149" i="4" s="1"/>
  <c r="H168" i="4"/>
  <c r="H185" i="4"/>
  <c r="H184" i="4" s="1"/>
  <c r="H201" i="4"/>
  <c r="H222" i="4"/>
  <c r="I222" i="4" s="1"/>
  <c r="H249" i="4"/>
  <c r="H248" i="4" s="1"/>
  <c r="H270" i="4"/>
  <c r="H285" i="4"/>
  <c r="I285" i="4" s="1"/>
  <c r="H300" i="4"/>
  <c r="H325" i="4"/>
  <c r="H335" i="4"/>
  <c r="I335" i="4" s="1"/>
  <c r="H347" i="4"/>
  <c r="H346" i="4" s="1"/>
  <c r="H363" i="4"/>
  <c r="I363" i="4" s="1"/>
  <c r="H389" i="4"/>
  <c r="H399" i="4"/>
  <c r="H415" i="4"/>
  <c r="I415" i="4" s="1"/>
  <c r="H426" i="4"/>
  <c r="H425" i="4" s="1"/>
  <c r="H439" i="4"/>
  <c r="H438" i="4" s="1"/>
  <c r="H460" i="4"/>
  <c r="I460" i="4" s="1"/>
  <c r="H487" i="4"/>
  <c r="H486" i="4" s="1"/>
  <c r="H501" i="4"/>
  <c r="I501" i="4" s="1"/>
  <c r="I17" i="4"/>
  <c r="G28" i="4"/>
  <c r="G42" i="4"/>
  <c r="G44" i="4"/>
  <c r="G46" i="4"/>
  <c r="G52" i="4"/>
  <c r="G54" i="4"/>
  <c r="G65" i="4"/>
  <c r="G68" i="4"/>
  <c r="G72" i="4"/>
  <c r="G74" i="4"/>
  <c r="G79" i="4"/>
  <c r="G81" i="4"/>
  <c r="G83" i="4"/>
  <c r="G85" i="4"/>
  <c r="G128" i="4"/>
  <c r="G138" i="4"/>
  <c r="G140" i="4"/>
  <c r="G142" i="4"/>
  <c r="G153" i="4"/>
  <c r="G155" i="4"/>
  <c r="G217" i="4"/>
  <c r="G223" i="4"/>
  <c r="G248" i="4"/>
  <c r="G284" i="4"/>
  <c r="G304" i="4"/>
  <c r="G306" i="4"/>
  <c r="G316" i="4"/>
  <c r="G322" i="4"/>
  <c r="G330" i="4"/>
  <c r="G338" i="4"/>
  <c r="G340" i="4"/>
  <c r="G342" i="4"/>
  <c r="G344" i="4"/>
  <c r="G346" i="4"/>
  <c r="G349" i="4"/>
  <c r="G351" i="4"/>
  <c r="G353" i="4"/>
  <c r="G355" i="4"/>
  <c r="G358" i="4"/>
  <c r="G360" i="4"/>
  <c r="G362" i="4"/>
  <c r="G364" i="4"/>
  <c r="G367" i="4"/>
  <c r="G369" i="4"/>
  <c r="G371" i="4"/>
  <c r="G373" i="4"/>
  <c r="G375" i="4"/>
  <c r="G377" i="4"/>
  <c r="G379" i="4"/>
  <c r="G381" i="4"/>
  <c r="G384" i="4"/>
  <c r="G386" i="4"/>
  <c r="G388" i="4"/>
  <c r="G390" i="4"/>
  <c r="G392" i="4"/>
  <c r="G394" i="4"/>
  <c r="G396" i="4"/>
  <c r="G398" i="4"/>
  <c r="G401" i="4"/>
  <c r="G403" i="4"/>
  <c r="G406" i="4"/>
  <c r="G408" i="4"/>
  <c r="G410" i="4"/>
  <c r="G412" i="4"/>
  <c r="G414" i="4"/>
  <c r="G416" i="4"/>
  <c r="G418" i="4"/>
  <c r="G420" i="4"/>
  <c r="G422" i="4"/>
  <c r="G425" i="4"/>
  <c r="G427" i="4"/>
  <c r="G429" i="4"/>
  <c r="G432" i="4"/>
  <c r="G434" i="4"/>
  <c r="G436" i="4"/>
  <c r="G438" i="4"/>
  <c r="G440" i="4"/>
  <c r="G444" i="4"/>
  <c r="G453" i="4"/>
  <c r="G455" i="4"/>
  <c r="G457" i="4"/>
  <c r="G461" i="4"/>
  <c r="G465" i="4"/>
  <c r="G467" i="4"/>
  <c r="G469" i="4"/>
  <c r="G471" i="4"/>
  <c r="G474" i="4"/>
  <c r="G476" i="4"/>
  <c r="G478" i="4"/>
  <c r="G480" i="4"/>
  <c r="G482" i="4"/>
  <c r="G484" i="4"/>
  <c r="G486" i="4"/>
  <c r="G488" i="4"/>
  <c r="G490" i="4"/>
  <c r="G493" i="4"/>
  <c r="G495" i="4"/>
  <c r="G498" i="4"/>
  <c r="G500" i="4"/>
  <c r="H92" i="4" l="1"/>
  <c r="H32" i="4"/>
  <c r="I32" i="4" s="1"/>
  <c r="H315" i="4"/>
  <c r="H314" i="4" s="1"/>
  <c r="H294" i="4"/>
  <c r="I294" i="4" s="1"/>
  <c r="H279" i="4"/>
  <c r="H264" i="4"/>
  <c r="H238" i="4"/>
  <c r="H237" i="4" s="1"/>
  <c r="H215" i="4"/>
  <c r="H195" i="4"/>
  <c r="H175" i="4"/>
  <c r="H162" i="4"/>
  <c r="I162" i="4" s="1"/>
  <c r="H137" i="4"/>
  <c r="H136" i="4" s="1"/>
  <c r="H115" i="4"/>
  <c r="H114" i="4" s="1"/>
  <c r="H90" i="4"/>
  <c r="H89" i="4" s="1"/>
  <c r="H66" i="4"/>
  <c r="I66" i="4" s="1"/>
  <c r="H49" i="4"/>
  <c r="I49" i="4" s="1"/>
  <c r="I168" i="4"/>
  <c r="H499" i="4"/>
  <c r="H498" i="4" s="1"/>
  <c r="I498" i="4" s="1"/>
  <c r="H472" i="4"/>
  <c r="H445" i="4"/>
  <c r="H444" i="4" s="1"/>
  <c r="I444" i="4" s="1"/>
  <c r="G114" i="4"/>
  <c r="I114" i="4" s="1"/>
  <c r="G228" i="4"/>
  <c r="G102" i="4"/>
  <c r="G235" i="4"/>
  <c r="G149" i="4"/>
  <c r="I149" i="4" s="1"/>
  <c r="I270" i="4"/>
  <c r="G214" i="4"/>
  <c r="G243" i="4"/>
  <c r="G186" i="4"/>
  <c r="H496" i="4"/>
  <c r="I496" i="4" s="1"/>
  <c r="H470" i="4"/>
  <c r="I470" i="4" s="1"/>
  <c r="H443" i="4"/>
  <c r="I443" i="4" s="1"/>
  <c r="H423" i="4"/>
  <c r="I423" i="4" s="1"/>
  <c r="H397" i="4"/>
  <c r="H396" i="4" s="1"/>
  <c r="I396" i="4" s="1"/>
  <c r="H345" i="4"/>
  <c r="I345" i="4" s="1"/>
  <c r="H323" i="4"/>
  <c r="H322" i="4" s="1"/>
  <c r="I322" i="4" s="1"/>
  <c r="H299" i="4"/>
  <c r="I299" i="4" s="1"/>
  <c r="H283" i="4"/>
  <c r="H269" i="4"/>
  <c r="H247" i="4"/>
  <c r="H246" i="4" s="1"/>
  <c r="H245" i="4" s="1"/>
  <c r="H221" i="4"/>
  <c r="H200" i="4"/>
  <c r="I200" i="4" s="1"/>
  <c r="H183" i="4"/>
  <c r="H166" i="4"/>
  <c r="H145" i="4"/>
  <c r="H124" i="4"/>
  <c r="H123" i="4" s="1"/>
  <c r="H98" i="4"/>
  <c r="H97" i="4" s="1"/>
  <c r="I75" i="4"/>
  <c r="H56" i="4"/>
  <c r="I56" i="4" s="1"/>
  <c r="H40" i="4"/>
  <c r="I40" i="4" s="1"/>
  <c r="G303" i="4"/>
  <c r="H459" i="4"/>
  <c r="I459" i="4" s="1"/>
  <c r="H413" i="4"/>
  <c r="I413" i="4" s="1"/>
  <c r="H361" i="4"/>
  <c r="H360" i="4" s="1"/>
  <c r="I360" i="4" s="1"/>
  <c r="H334" i="4"/>
  <c r="I334" i="4" s="1"/>
  <c r="H313" i="4"/>
  <c r="H312" i="4" s="1"/>
  <c r="H293" i="4"/>
  <c r="H278" i="4"/>
  <c r="I278" i="4" s="1"/>
  <c r="H263" i="4"/>
  <c r="H236" i="4"/>
  <c r="H235" i="4" s="1"/>
  <c r="H210" i="4"/>
  <c r="H209" i="4" s="1"/>
  <c r="H208" i="4" s="1"/>
  <c r="H194" i="4"/>
  <c r="H174" i="4"/>
  <c r="H161" i="4"/>
  <c r="I161" i="4" s="1"/>
  <c r="H135" i="4"/>
  <c r="H113" i="4"/>
  <c r="H112" i="4" s="1"/>
  <c r="H86" i="4"/>
  <c r="H85" i="4" s="1"/>
  <c r="I85" i="4" s="1"/>
  <c r="H63" i="4"/>
  <c r="I63" i="4" s="1"/>
  <c r="H48" i="4"/>
  <c r="I48" i="4" s="1"/>
  <c r="H437" i="4"/>
  <c r="I437" i="4" s="1"/>
  <c r="H387" i="4"/>
  <c r="H386" i="4" s="1"/>
  <c r="I386" i="4" s="1"/>
  <c r="H483" i="4"/>
  <c r="I483" i="4" s="1"/>
  <c r="H475" i="4"/>
  <c r="H474" i="4" s="1"/>
  <c r="H458" i="4"/>
  <c r="I458" i="4" s="1"/>
  <c r="H448" i="4"/>
  <c r="H435" i="4"/>
  <c r="I435" i="4" s="1"/>
  <c r="H428" i="4"/>
  <c r="H427" i="4" s="1"/>
  <c r="I427" i="4" s="1"/>
  <c r="H411" i="4"/>
  <c r="H410" i="4" s="1"/>
  <c r="I410" i="4" s="1"/>
  <c r="H402" i="4"/>
  <c r="I402" i="4" s="1"/>
  <c r="H385" i="4"/>
  <c r="H384" i="4" s="1"/>
  <c r="H376" i="4"/>
  <c r="I376" i="4" s="1"/>
  <c r="H359" i="4"/>
  <c r="I359" i="4" s="1"/>
  <c r="H350" i="4"/>
  <c r="I350" i="4" s="1"/>
  <c r="H333" i="4"/>
  <c r="I333" i="4" s="1"/>
  <c r="H326" i="4"/>
  <c r="H324" i="4" s="1"/>
  <c r="H310" i="4"/>
  <c r="H309" i="4" s="1"/>
  <c r="C32" i="6" s="1"/>
  <c r="H301" i="4"/>
  <c r="H292" i="4"/>
  <c r="H288" i="4"/>
  <c r="C29" i="6" s="1"/>
  <c r="H277" i="4"/>
  <c r="H271" i="4"/>
  <c r="H260" i="4"/>
  <c r="H259" i="4" s="1"/>
  <c r="C28" i="6" s="1"/>
  <c r="H252" i="4"/>
  <c r="H251" i="4" s="1"/>
  <c r="H234" i="4"/>
  <c r="H233" i="4" s="1"/>
  <c r="H224" i="4"/>
  <c r="I224" i="4" s="1"/>
  <c r="H207" i="4"/>
  <c r="H202" i="4"/>
  <c r="I202" i="4" s="1"/>
  <c r="H193" i="4"/>
  <c r="H187" i="4"/>
  <c r="H173" i="4"/>
  <c r="H169" i="4"/>
  <c r="H160" i="4"/>
  <c r="I160" i="4" s="1"/>
  <c r="H152" i="4"/>
  <c r="H151" i="4" s="1"/>
  <c r="H134" i="4"/>
  <c r="H129" i="4"/>
  <c r="H128" i="4" s="1"/>
  <c r="I128" i="4" s="1"/>
  <c r="H110" i="4"/>
  <c r="H109" i="4" s="1"/>
  <c r="H101" i="4"/>
  <c r="I101" i="4" s="1"/>
  <c r="H84" i="4"/>
  <c r="I84" i="4" s="1"/>
  <c r="H62" i="4"/>
  <c r="I62" i="4" s="1"/>
  <c r="H58" i="4"/>
  <c r="I58" i="4" s="1"/>
  <c r="H47" i="4"/>
  <c r="H38" i="4"/>
  <c r="I38" i="4" s="1"/>
  <c r="H34" i="4"/>
  <c r="I34" i="4" s="1"/>
  <c r="H485" i="4"/>
  <c r="I485" i="4" s="1"/>
  <c r="H41" i="4"/>
  <c r="I41" i="4" s="1"/>
  <c r="G71" i="4"/>
  <c r="G400" i="4"/>
  <c r="G497" i="4"/>
  <c r="G348" i="4"/>
  <c r="G383" i="4"/>
  <c r="G366" i="4"/>
  <c r="G446" i="4"/>
  <c r="G27" i="4"/>
  <c r="G464" i="4"/>
  <c r="G424" i="4"/>
  <c r="H494" i="4"/>
  <c r="H481" i="4"/>
  <c r="H480" i="4" s="1"/>
  <c r="I480" i="4" s="1"/>
  <c r="H468" i="4"/>
  <c r="H467" i="4" s="1"/>
  <c r="I467" i="4" s="1"/>
  <c r="H456" i="4"/>
  <c r="H442" i="4"/>
  <c r="I442" i="4" s="1"/>
  <c r="H433" i="4"/>
  <c r="H421" i="4"/>
  <c r="H420" i="4" s="1"/>
  <c r="I420" i="4" s="1"/>
  <c r="H409" i="4"/>
  <c r="H395" i="4"/>
  <c r="H394" i="4" s="1"/>
  <c r="I394" i="4" s="1"/>
  <c r="H382" i="4"/>
  <c r="H370" i="4"/>
  <c r="H369" i="4" s="1"/>
  <c r="I369" i="4" s="1"/>
  <c r="H356" i="4"/>
  <c r="H343" i="4"/>
  <c r="H332" i="4"/>
  <c r="I332" i="4" s="1"/>
  <c r="H321" i="4"/>
  <c r="H320" i="4" s="1"/>
  <c r="C15" i="6" s="1"/>
  <c r="H307" i="4"/>
  <c r="H306" i="4" s="1"/>
  <c r="I306" i="4" s="1"/>
  <c r="H298" i="4"/>
  <c r="H291" i="4"/>
  <c r="H282" i="4"/>
  <c r="I282" i="4" s="1"/>
  <c r="H275" i="4"/>
  <c r="H267" i="4"/>
  <c r="H258" i="4"/>
  <c r="H257" i="4" s="1"/>
  <c r="H244" i="4"/>
  <c r="H243" i="4" s="1"/>
  <c r="H231" i="4"/>
  <c r="H230" i="4" s="1"/>
  <c r="H220" i="4"/>
  <c r="H206" i="4"/>
  <c r="H199" i="4"/>
  <c r="H191" i="4"/>
  <c r="H181" i="4"/>
  <c r="H180" i="4" s="1"/>
  <c r="H172" i="4"/>
  <c r="H165" i="4"/>
  <c r="H159" i="4"/>
  <c r="H143" i="4"/>
  <c r="H142" i="4" s="1"/>
  <c r="I142" i="4" s="1"/>
  <c r="H133" i="4"/>
  <c r="H122" i="4"/>
  <c r="H121" i="4" s="1"/>
  <c r="H108" i="4"/>
  <c r="H107" i="4" s="1"/>
  <c r="H96" i="4"/>
  <c r="H95" i="4" s="1"/>
  <c r="H82" i="4"/>
  <c r="H81" i="4" s="1"/>
  <c r="H70" i="4"/>
  <c r="I70" i="4" s="1"/>
  <c r="H61" i="4"/>
  <c r="I61" i="4" s="1"/>
  <c r="H55" i="4"/>
  <c r="H45" i="4"/>
  <c r="H36" i="4"/>
  <c r="H31" i="4"/>
  <c r="I31" i="4" s="1"/>
  <c r="I249" i="4"/>
  <c r="H280" i="4"/>
  <c r="I280" i="4" s="1"/>
  <c r="I426" i="4"/>
  <c r="I486" i="4"/>
  <c r="H362" i="4"/>
  <c r="I362" i="4" s="1"/>
  <c r="G473" i="4"/>
  <c r="H414" i="4"/>
  <c r="I414" i="4" s="1"/>
  <c r="I347" i="4"/>
  <c r="H491" i="4"/>
  <c r="I491" i="4" s="1"/>
  <c r="H479" i="4"/>
  <c r="I479" i="4" s="1"/>
  <c r="H466" i="4"/>
  <c r="H465" i="4" s="1"/>
  <c r="H454" i="4"/>
  <c r="H453" i="4" s="1"/>
  <c r="I453" i="4" s="1"/>
  <c r="H441" i="4"/>
  <c r="I441" i="4" s="1"/>
  <c r="H431" i="4"/>
  <c r="I431" i="4" s="1"/>
  <c r="H419" i="4"/>
  <c r="I419" i="4" s="1"/>
  <c r="H407" i="4"/>
  <c r="H406" i="4" s="1"/>
  <c r="I406" i="4" s="1"/>
  <c r="H393" i="4"/>
  <c r="H392" i="4" s="1"/>
  <c r="I392" i="4" s="1"/>
  <c r="H380" i="4"/>
  <c r="I380" i="4" s="1"/>
  <c r="H368" i="4"/>
  <c r="I368" i="4" s="1"/>
  <c r="H354" i="4"/>
  <c r="H353" i="4" s="1"/>
  <c r="I353" i="4" s="1"/>
  <c r="H341" i="4"/>
  <c r="H340" i="4" s="1"/>
  <c r="I340" i="4" s="1"/>
  <c r="H331" i="4"/>
  <c r="I331" i="4" s="1"/>
  <c r="H319" i="4"/>
  <c r="H318" i="4" s="1"/>
  <c r="H305" i="4"/>
  <c r="I305" i="4" s="1"/>
  <c r="H297" i="4"/>
  <c r="H290" i="4"/>
  <c r="I290" i="4" s="1"/>
  <c r="H281" i="4"/>
  <c r="I281" i="4" s="1"/>
  <c r="H274" i="4"/>
  <c r="H266" i="4"/>
  <c r="H256" i="4"/>
  <c r="H255" i="4" s="1"/>
  <c r="H242" i="4"/>
  <c r="H241" i="4" s="1"/>
  <c r="H229" i="4"/>
  <c r="H228" i="4" s="1"/>
  <c r="H218" i="4"/>
  <c r="H217" i="4" s="1"/>
  <c r="I217" i="4" s="1"/>
  <c r="H205" i="4"/>
  <c r="H198" i="4"/>
  <c r="H190" i="4"/>
  <c r="H178" i="4"/>
  <c r="H171" i="4"/>
  <c r="H164" i="4"/>
  <c r="H156" i="4"/>
  <c r="H155" i="4" s="1"/>
  <c r="I155" i="4" s="1"/>
  <c r="H141" i="4"/>
  <c r="H140" i="4" s="1"/>
  <c r="I140" i="4" s="1"/>
  <c r="H132" i="4"/>
  <c r="H120" i="4"/>
  <c r="H119" i="4" s="1"/>
  <c r="H105" i="4"/>
  <c r="H104" i="4" s="1"/>
  <c r="H94" i="4"/>
  <c r="H80" i="4"/>
  <c r="H79" i="4" s="1"/>
  <c r="H69" i="4"/>
  <c r="H60" i="4"/>
  <c r="I60" i="4" s="1"/>
  <c r="H53" i="4"/>
  <c r="H43" i="4"/>
  <c r="H30" i="4"/>
  <c r="I30" i="4" s="1"/>
  <c r="H489" i="4"/>
  <c r="H477" i="4"/>
  <c r="H462" i="4"/>
  <c r="H461" i="4" s="1"/>
  <c r="I461" i="4" s="1"/>
  <c r="H451" i="4"/>
  <c r="H450" i="4" s="1"/>
  <c r="H430" i="4"/>
  <c r="I430" i="4" s="1"/>
  <c r="H417" i="4"/>
  <c r="H416" i="4" s="1"/>
  <c r="I416" i="4" s="1"/>
  <c r="H404" i="4"/>
  <c r="H391" i="4"/>
  <c r="I391" i="4" s="1"/>
  <c r="H378" i="4"/>
  <c r="H365" i="4"/>
  <c r="I365" i="4" s="1"/>
  <c r="H352" i="4"/>
  <c r="H339" i="4"/>
  <c r="I339" i="4" s="1"/>
  <c r="H328" i="4"/>
  <c r="H327" i="4" s="1"/>
  <c r="H317" i="4"/>
  <c r="H302" i="4"/>
  <c r="C10" i="6" s="1"/>
  <c r="H296" i="4"/>
  <c r="H289" i="4"/>
  <c r="H273" i="4"/>
  <c r="H265" i="4"/>
  <c r="H254" i="4"/>
  <c r="H253" i="4" s="1"/>
  <c r="H240" i="4"/>
  <c r="H239" i="4" s="1"/>
  <c r="H227" i="4"/>
  <c r="H226" i="4" s="1"/>
  <c r="H216" i="4"/>
  <c r="I216" i="4" s="1"/>
  <c r="H203" i="4"/>
  <c r="H196" i="4"/>
  <c r="I196" i="4" s="1"/>
  <c r="H189" i="4"/>
  <c r="H176" i="4"/>
  <c r="H170" i="4"/>
  <c r="I170" i="4" s="1"/>
  <c r="H163" i="4"/>
  <c r="I163" i="4" s="1"/>
  <c r="H154" i="4"/>
  <c r="H153" i="4" s="1"/>
  <c r="H139" i="4"/>
  <c r="H131" i="4"/>
  <c r="H118" i="4"/>
  <c r="H117" i="4" s="1"/>
  <c r="H103" i="4"/>
  <c r="H102" i="4" s="1"/>
  <c r="H77" i="4"/>
  <c r="I77" i="4" s="1"/>
  <c r="H67" i="4"/>
  <c r="H59" i="4"/>
  <c r="I59" i="4" s="1"/>
  <c r="H50" i="4"/>
  <c r="I50" i="4" s="1"/>
  <c r="H39" i="4"/>
  <c r="I39" i="4" s="1"/>
  <c r="H284" i="4"/>
  <c r="I284" i="4" s="1"/>
  <c r="I37" i="4"/>
  <c r="I76" i="4"/>
  <c r="I57" i="4"/>
  <c r="I33" i="4"/>
  <c r="I300" i="4"/>
  <c r="G182" i="4"/>
  <c r="B24" i="6" s="1"/>
  <c r="G107" i="4"/>
  <c r="I472" i="4"/>
  <c r="H471" i="4"/>
  <c r="I471" i="4" s="1"/>
  <c r="I389" i="4"/>
  <c r="H388" i="4"/>
  <c r="I388" i="4" s="1"/>
  <c r="H91" i="4"/>
  <c r="I399" i="4"/>
  <c r="H398" i="4"/>
  <c r="I398" i="4" s="1"/>
  <c r="H372" i="4"/>
  <c r="H374" i="4"/>
  <c r="I439" i="4"/>
  <c r="I195" i="4"/>
  <c r="I487" i="4"/>
  <c r="H73" i="4"/>
  <c r="H500" i="4"/>
  <c r="I500" i="4" s="1"/>
  <c r="I425" i="4"/>
  <c r="H29" i="4"/>
  <c r="I438" i="4"/>
  <c r="G337" i="4"/>
  <c r="G405" i="4"/>
  <c r="G357" i="4"/>
  <c r="G492" i="4"/>
  <c r="M18" i="4"/>
  <c r="I346" i="4"/>
  <c r="I248" i="4"/>
  <c r="G51" i="4"/>
  <c r="G78" i="4"/>
  <c r="G64" i="4"/>
  <c r="I499" i="4" l="1"/>
  <c r="C31" i="6"/>
  <c r="C30" i="6"/>
  <c r="C25" i="6"/>
  <c r="I173" i="4"/>
  <c r="I445" i="4"/>
  <c r="H295" i="4"/>
  <c r="I175" i="4"/>
  <c r="H225" i="4"/>
  <c r="I187" i="4"/>
  <c r="I269" i="4"/>
  <c r="I267" i="4"/>
  <c r="I194" i="4"/>
  <c r="G312" i="4"/>
  <c r="I312" i="4" s="1"/>
  <c r="I291" i="4"/>
  <c r="I279" i="4"/>
  <c r="H167" i="4"/>
  <c r="C9" i="6"/>
  <c r="I53" i="4"/>
  <c r="H52" i="4"/>
  <c r="I52" i="4" s="1"/>
  <c r="H177" i="4"/>
  <c r="I177" i="4" s="1"/>
  <c r="H158" i="4"/>
  <c r="H192" i="4"/>
  <c r="I384" i="4"/>
  <c r="H116" i="4"/>
  <c r="C22" i="6" s="1"/>
  <c r="H35" i="4"/>
  <c r="I35" i="4" s="1"/>
  <c r="I474" i="4"/>
  <c r="H182" i="4"/>
  <c r="C24" i="6" s="1"/>
  <c r="I29" i="4"/>
  <c r="H28" i="4"/>
  <c r="H130" i="4"/>
  <c r="H188" i="4"/>
  <c r="H197" i="4"/>
  <c r="H44" i="4"/>
  <c r="I44" i="4" s="1"/>
  <c r="H106" i="4"/>
  <c r="H276" i="4"/>
  <c r="H111" i="4"/>
  <c r="C21" i="6" s="1"/>
  <c r="I79" i="4"/>
  <c r="I55" i="4"/>
  <c r="H54" i="4"/>
  <c r="I54" i="4" s="1"/>
  <c r="H287" i="4"/>
  <c r="H65" i="4"/>
  <c r="I47" i="4"/>
  <c r="H46" i="4"/>
  <c r="I46" i="4" s="1"/>
  <c r="H232" i="4"/>
  <c r="C27" i="6" s="1"/>
  <c r="H42" i="4"/>
  <c r="I42" i="4" s="1"/>
  <c r="H250" i="4"/>
  <c r="I264" i="4"/>
  <c r="I448" i="4"/>
  <c r="H447" i="4"/>
  <c r="I447" i="4" s="1"/>
  <c r="I198" i="4"/>
  <c r="I113" i="4"/>
  <c r="G89" i="4"/>
  <c r="H83" i="4"/>
  <c r="I83" i="4" s="1"/>
  <c r="I323" i="4"/>
  <c r="G99" i="4"/>
  <c r="I115" i="4"/>
  <c r="I133" i="4"/>
  <c r="G192" i="4"/>
  <c r="I228" i="4"/>
  <c r="I235" i="4"/>
  <c r="G184" i="4"/>
  <c r="I258" i="4"/>
  <c r="I203" i="4"/>
  <c r="I207" i="4"/>
  <c r="I201" i="4"/>
  <c r="I242" i="4"/>
  <c r="G91" i="4"/>
  <c r="G320" i="4"/>
  <c r="I190" i="4"/>
  <c r="I275" i="4"/>
  <c r="I301" i="4"/>
  <c r="I199" i="4"/>
  <c r="G151" i="4"/>
  <c r="G148" i="4" s="1"/>
  <c r="I221" i="4"/>
  <c r="I238" i="4"/>
  <c r="G314" i="4"/>
  <c r="I314" i="4" s="1"/>
  <c r="G167" i="4"/>
  <c r="I171" i="4"/>
  <c r="I159" i="4"/>
  <c r="G219" i="4"/>
  <c r="G213" i="4" s="1"/>
  <c r="G119" i="4"/>
  <c r="I119" i="4" s="1"/>
  <c r="I236" i="4"/>
  <c r="G246" i="4"/>
  <c r="G245" i="4" s="1"/>
  <c r="I288" i="4"/>
  <c r="G104" i="4"/>
  <c r="I104" i="4" s="1"/>
  <c r="G180" i="4"/>
  <c r="I180" i="4" s="1"/>
  <c r="I265" i="4"/>
  <c r="G253" i="4"/>
  <c r="I253" i="4" s="1"/>
  <c r="I273" i="4"/>
  <c r="G188" i="4"/>
  <c r="I191" i="4"/>
  <c r="G230" i="4"/>
  <c r="I230" i="4" s="1"/>
  <c r="G95" i="4"/>
  <c r="I95" i="4" s="1"/>
  <c r="H144" i="4"/>
  <c r="I205" i="4"/>
  <c r="I45" i="4"/>
  <c r="I428" i="4"/>
  <c r="I166" i="4"/>
  <c r="I326" i="4"/>
  <c r="H223" i="4"/>
  <c r="I223" i="4" s="1"/>
  <c r="H422" i="4"/>
  <c r="I422" i="4" s="1"/>
  <c r="H412" i="4"/>
  <c r="I412" i="4" s="1"/>
  <c r="I277" i="4"/>
  <c r="I150" i="4"/>
  <c r="G126" i="4"/>
  <c r="G97" i="4"/>
  <c r="I97" i="4" s="1"/>
  <c r="I124" i="4"/>
  <c r="G262" i="4"/>
  <c r="I385" i="4"/>
  <c r="I129" i="4"/>
  <c r="I296" i="4"/>
  <c r="C11" i="6"/>
  <c r="H268" i="4"/>
  <c r="G109" i="4"/>
  <c r="I174" i="4"/>
  <c r="I297" i="4"/>
  <c r="G251" i="4"/>
  <c r="I251" i="4" s="1"/>
  <c r="G233" i="4"/>
  <c r="I233" i="4" s="1"/>
  <c r="I260" i="4"/>
  <c r="G324" i="4"/>
  <c r="I324" i="4" s="1"/>
  <c r="I393" i="4"/>
  <c r="I397" i="4"/>
  <c r="I475" i="4"/>
  <c r="H482" i="4"/>
  <c r="I482" i="4" s="1"/>
  <c r="I293" i="4"/>
  <c r="I176" i="4"/>
  <c r="H495" i="4"/>
  <c r="I495" i="4" s="1"/>
  <c r="I215" i="4"/>
  <c r="I131" i="4"/>
  <c r="I165" i="4"/>
  <c r="H219" i="4"/>
  <c r="H344" i="4"/>
  <c r="I344" i="4" s="1"/>
  <c r="I283" i="4"/>
  <c r="I292" i="4"/>
  <c r="I164" i="4"/>
  <c r="I263" i="4"/>
  <c r="I135" i="4"/>
  <c r="G276" i="4"/>
  <c r="G268" i="4"/>
  <c r="G130" i="4"/>
  <c r="H457" i="4"/>
  <c r="I457" i="4" s="1"/>
  <c r="G144" i="4"/>
  <c r="I189" i="4"/>
  <c r="I132" i="4"/>
  <c r="H434" i="4"/>
  <c r="I434" i="4" s="1"/>
  <c r="G136" i="4"/>
  <c r="I136" i="4" s="1"/>
  <c r="G117" i="4"/>
  <c r="I117" i="4" s="1"/>
  <c r="G309" i="4"/>
  <c r="B32" i="6" s="1"/>
  <c r="I172" i="4"/>
  <c r="I36" i="4"/>
  <c r="H375" i="4"/>
  <c r="I375" i="4" s="1"/>
  <c r="H401" i="4"/>
  <c r="I401" i="4" s="1"/>
  <c r="I325" i="4"/>
  <c r="H469" i="4"/>
  <c r="I469" i="4" s="1"/>
  <c r="I271" i="4"/>
  <c r="I86" i="4"/>
  <c r="H484" i="4"/>
  <c r="I484" i="4" s="1"/>
  <c r="H349" i="4"/>
  <c r="I349" i="4" s="1"/>
  <c r="I454" i="4"/>
  <c r="I421" i="4"/>
  <c r="I411" i="4"/>
  <c r="H436" i="4"/>
  <c r="I436" i="4" s="1"/>
  <c r="I370" i="4"/>
  <c r="H99" i="4"/>
  <c r="C20" i="6" s="1"/>
  <c r="I341" i="4"/>
  <c r="I361" i="4"/>
  <c r="I387" i="4"/>
  <c r="H186" i="4"/>
  <c r="I186" i="4" s="1"/>
  <c r="H358" i="4"/>
  <c r="I358" i="4" s="1"/>
  <c r="I243" i="4"/>
  <c r="I468" i="4"/>
  <c r="I244" i="4"/>
  <c r="I298" i="4"/>
  <c r="I354" i="4"/>
  <c r="I107" i="4"/>
  <c r="I417" i="4"/>
  <c r="I462" i="4"/>
  <c r="I143" i="4"/>
  <c r="I395" i="4"/>
  <c r="G463" i="4"/>
  <c r="H262" i="4"/>
  <c r="I178" i="4"/>
  <c r="I220" i="4"/>
  <c r="H68" i="4"/>
  <c r="I68" i="4" s="1"/>
  <c r="H338" i="4"/>
  <c r="I481" i="4"/>
  <c r="I81" i="4"/>
  <c r="I206" i="4"/>
  <c r="I382" i="4"/>
  <c r="H381" i="4"/>
  <c r="I381" i="4" s="1"/>
  <c r="I456" i="4"/>
  <c r="H455" i="4"/>
  <c r="I455" i="4" s="1"/>
  <c r="H497" i="4"/>
  <c r="I497" i="4" s="1"/>
  <c r="I307" i="4"/>
  <c r="H429" i="4"/>
  <c r="I429" i="4" s="1"/>
  <c r="I266" i="4"/>
  <c r="I82" i="4"/>
  <c r="H408" i="4"/>
  <c r="I408" i="4" s="1"/>
  <c r="I409" i="4"/>
  <c r="I141" i="4"/>
  <c r="I343" i="4"/>
  <c r="H342" i="4"/>
  <c r="I342" i="4" s="1"/>
  <c r="I494" i="4"/>
  <c r="H493" i="4"/>
  <c r="H214" i="4"/>
  <c r="I466" i="4"/>
  <c r="I69" i="4"/>
  <c r="H490" i="4"/>
  <c r="I490" i="4" s="1"/>
  <c r="I356" i="4"/>
  <c r="H355" i="4"/>
  <c r="I355" i="4" s="1"/>
  <c r="I433" i="4"/>
  <c r="H432" i="4"/>
  <c r="I432" i="4" s="1"/>
  <c r="G93" i="4"/>
  <c r="G239" i="4"/>
  <c r="I239" i="4" s="1"/>
  <c r="I183" i="4"/>
  <c r="I256" i="4"/>
  <c r="I193" i="4"/>
  <c r="I102" i="4"/>
  <c r="H367" i="4"/>
  <c r="I156" i="4"/>
  <c r="H204" i="4"/>
  <c r="I80" i="4"/>
  <c r="D30" i="6"/>
  <c r="I229" i="4"/>
  <c r="I407" i="4"/>
  <c r="H478" i="4"/>
  <c r="I478" i="4" s="1"/>
  <c r="I103" i="4"/>
  <c r="H93" i="4"/>
  <c r="C19" i="6" s="1"/>
  <c r="I43" i="4"/>
  <c r="H390" i="4"/>
  <c r="I390" i="4" s="1"/>
  <c r="H364" i="4"/>
  <c r="I134" i="4"/>
  <c r="H418" i="4"/>
  <c r="H330" i="4"/>
  <c r="I218" i="4"/>
  <c r="H440" i="4"/>
  <c r="I440" i="4" s="1"/>
  <c r="I274" i="4"/>
  <c r="I153" i="4"/>
  <c r="H148" i="4"/>
  <c r="I465" i="4"/>
  <c r="H488" i="4"/>
  <c r="I488" i="4" s="1"/>
  <c r="I489" i="4"/>
  <c r="I154" i="4"/>
  <c r="H351" i="4"/>
  <c r="I351" i="4" s="1"/>
  <c r="I352" i="4"/>
  <c r="I67" i="4"/>
  <c r="H304" i="4"/>
  <c r="H272" i="4"/>
  <c r="H379" i="4"/>
  <c r="I379" i="4" s="1"/>
  <c r="H377" i="4"/>
  <c r="I377" i="4" s="1"/>
  <c r="I378" i="4"/>
  <c r="I450" i="4"/>
  <c r="I451" i="4"/>
  <c r="I317" i="4"/>
  <c r="H316" i="4"/>
  <c r="H308" i="4" s="1"/>
  <c r="I139" i="4"/>
  <c r="H138" i="4"/>
  <c r="I138" i="4" s="1"/>
  <c r="H403" i="4"/>
  <c r="I403" i="4" s="1"/>
  <c r="I404" i="4"/>
  <c r="H476" i="4"/>
  <c r="I476" i="4" s="1"/>
  <c r="I477" i="4"/>
  <c r="I108" i="4"/>
  <c r="G204" i="4"/>
  <c r="I289" i="4"/>
  <c r="G121" i="4"/>
  <c r="G272" i="4"/>
  <c r="G112" i="4"/>
  <c r="H74" i="4"/>
  <c r="I74" i="4" s="1"/>
  <c r="I73" i="4"/>
  <c r="H72" i="4"/>
  <c r="H373" i="4"/>
  <c r="I373" i="4" s="1"/>
  <c r="I374" i="4"/>
  <c r="I372" i="4"/>
  <c r="H371" i="4"/>
  <c r="G336" i="4"/>
  <c r="B36" i="6" s="1"/>
  <c r="G26" i="4"/>
  <c r="B18" i="6" s="1"/>
  <c r="I28" i="4" l="1"/>
  <c r="H27" i="4"/>
  <c r="C26" i="6"/>
  <c r="C12" i="6"/>
  <c r="B20" i="6"/>
  <c r="D20" i="6" s="1"/>
  <c r="I89" i="4"/>
  <c r="I320" i="4"/>
  <c r="B15" i="6"/>
  <c r="D15" i="6" s="1"/>
  <c r="I109" i="4"/>
  <c r="B25" i="6"/>
  <c r="I91" i="4"/>
  <c r="B19" i="6"/>
  <c r="D19" i="6" s="1"/>
  <c r="I245" i="4"/>
  <c r="B9" i="6"/>
  <c r="M20" i="4"/>
  <c r="B37" i="6"/>
  <c r="B38" i="6" s="1"/>
  <c r="H213" i="4"/>
  <c r="I90" i="4"/>
  <c r="I313" i="4"/>
  <c r="D9" i="6"/>
  <c r="H78" i="4"/>
  <c r="I78" i="4" s="1"/>
  <c r="I100" i="4"/>
  <c r="H383" i="4"/>
  <c r="I383" i="4" s="1"/>
  <c r="I144" i="4"/>
  <c r="H179" i="4"/>
  <c r="H64" i="4"/>
  <c r="I64" i="4" s="1"/>
  <c r="H71" i="4"/>
  <c r="I367" i="4"/>
  <c r="H366" i="4"/>
  <c r="I182" i="4"/>
  <c r="I27" i="4"/>
  <c r="H157" i="4"/>
  <c r="I65" i="4"/>
  <c r="H261" i="4"/>
  <c r="D24" i="6"/>
  <c r="H51" i="4"/>
  <c r="I51" i="4" s="1"/>
  <c r="I338" i="4"/>
  <c r="H337" i="4"/>
  <c r="I337" i="4" s="1"/>
  <c r="I214" i="4"/>
  <c r="H88" i="4"/>
  <c r="H473" i="4"/>
  <c r="I473" i="4" s="1"/>
  <c r="I99" i="4"/>
  <c r="H446" i="4"/>
  <c r="I446" i="4" s="1"/>
  <c r="G125" i="4"/>
  <c r="B23" i="6" s="1"/>
  <c r="G327" i="4"/>
  <c r="I327" i="4" s="1"/>
  <c r="H125" i="4"/>
  <c r="C23" i="6" s="1"/>
  <c r="I192" i="4"/>
  <c r="I151" i="4"/>
  <c r="G257" i="4"/>
  <c r="I257" i="4" s="1"/>
  <c r="G241" i="4"/>
  <c r="I241" i="4" s="1"/>
  <c r="G237" i="4"/>
  <c r="I237" i="4" s="1"/>
  <c r="I309" i="4"/>
  <c r="I92" i="4"/>
  <c r="D32" i="6"/>
  <c r="I185" i="4"/>
  <c r="I321" i="4"/>
  <c r="D31" i="6"/>
  <c r="I169" i="4"/>
  <c r="G197" i="4"/>
  <c r="I197" i="4" s="1"/>
  <c r="I152" i="4"/>
  <c r="I148" i="4"/>
  <c r="G158" i="4"/>
  <c r="G157" i="4" s="1"/>
  <c r="I246" i="4"/>
  <c r="I315" i="4"/>
  <c r="D29" i="6"/>
  <c r="I96" i="4"/>
  <c r="I181" i="4"/>
  <c r="I254" i="4"/>
  <c r="I120" i="4"/>
  <c r="I247" i="4"/>
  <c r="G259" i="4"/>
  <c r="I219" i="4"/>
  <c r="I145" i="4"/>
  <c r="I328" i="4"/>
  <c r="I126" i="4"/>
  <c r="I105" i="4"/>
  <c r="I188" i="4"/>
  <c r="I231" i="4"/>
  <c r="I262" i="4"/>
  <c r="G123" i="4"/>
  <c r="I123" i="4" s="1"/>
  <c r="I98" i="4"/>
  <c r="G261" i="4"/>
  <c r="I252" i="4"/>
  <c r="G106" i="4"/>
  <c r="I106" i="4" s="1"/>
  <c r="I234" i="4"/>
  <c r="I127" i="4"/>
  <c r="I110" i="4"/>
  <c r="H464" i="4"/>
  <c r="I464" i="4" s="1"/>
  <c r="I268" i="4"/>
  <c r="I310" i="4"/>
  <c r="D10" i="6"/>
  <c r="I118" i="4"/>
  <c r="I276" i="4"/>
  <c r="I137" i="4"/>
  <c r="H357" i="4"/>
  <c r="G209" i="4"/>
  <c r="I210" i="4"/>
  <c r="H286" i="4"/>
  <c r="I167" i="4"/>
  <c r="H405" i="4"/>
  <c r="I405" i="4" s="1"/>
  <c r="I93" i="4"/>
  <c r="I493" i="4"/>
  <c r="H492" i="4"/>
  <c r="I492" i="4" s="1"/>
  <c r="H348" i="4"/>
  <c r="I348" i="4" s="1"/>
  <c r="I240" i="4"/>
  <c r="G226" i="4"/>
  <c r="I227" i="4"/>
  <c r="I94" i="4"/>
  <c r="G88" i="4"/>
  <c r="G255" i="4"/>
  <c r="I255" i="4" s="1"/>
  <c r="I272" i="4"/>
  <c r="I121" i="4"/>
  <c r="I364" i="4"/>
  <c r="I418" i="4"/>
  <c r="G287" i="4"/>
  <c r="I287" i="4" s="1"/>
  <c r="I204" i="4"/>
  <c r="H424" i="4"/>
  <c r="I424" i="4" s="1"/>
  <c r="I130" i="4"/>
  <c r="N18" i="4"/>
  <c r="I330" i="4"/>
  <c r="I304" i="4"/>
  <c r="H303" i="4"/>
  <c r="I303" i="4" s="1"/>
  <c r="I316" i="4"/>
  <c r="H400" i="4"/>
  <c r="I400" i="4" s="1"/>
  <c r="I122" i="4"/>
  <c r="I112" i="4"/>
  <c r="G111" i="4"/>
  <c r="I184" i="4"/>
  <c r="I72" i="4"/>
  <c r="I371" i="4"/>
  <c r="I319" i="4"/>
  <c r="G318" i="4"/>
  <c r="M15" i="4"/>
  <c r="M19" i="4"/>
  <c r="B14" i="6" l="1"/>
  <c r="C33" i="6"/>
  <c r="I111" i="4"/>
  <c r="B21" i="6"/>
  <c r="D21" i="6" s="1"/>
  <c r="I259" i="4"/>
  <c r="B28" i="6"/>
  <c r="D28" i="6" s="1"/>
  <c r="C14" i="6"/>
  <c r="H26" i="4"/>
  <c r="I125" i="4"/>
  <c r="G232" i="4"/>
  <c r="G179" i="4"/>
  <c r="I179" i="4" s="1"/>
  <c r="I158" i="4"/>
  <c r="I261" i="4"/>
  <c r="G116" i="4"/>
  <c r="D23" i="6"/>
  <c r="I157" i="4"/>
  <c r="I357" i="4"/>
  <c r="G208" i="4"/>
  <c r="I209" i="4"/>
  <c r="H463" i="4"/>
  <c r="I213" i="4"/>
  <c r="D25" i="6"/>
  <c r="G225" i="4"/>
  <c r="I225" i="4" s="1"/>
  <c r="I226" i="4"/>
  <c r="G250" i="4"/>
  <c r="I250" i="4" s="1"/>
  <c r="H87" i="4"/>
  <c r="N16" i="4" s="1"/>
  <c r="I88" i="4"/>
  <c r="H212" i="4"/>
  <c r="N17" i="4" s="1"/>
  <c r="I302" i="4"/>
  <c r="G295" i="4"/>
  <c r="D11" i="6"/>
  <c r="B12" i="6"/>
  <c r="H336" i="4"/>
  <c r="C36" i="6" s="1"/>
  <c r="I366" i="4"/>
  <c r="I71" i="4"/>
  <c r="I318" i="4"/>
  <c r="G308" i="4"/>
  <c r="B33" i="6" l="1"/>
  <c r="D33" i="6" s="1"/>
  <c r="I232" i="4"/>
  <c r="B27" i="6"/>
  <c r="D27" i="6" s="1"/>
  <c r="I116" i="4"/>
  <c r="B22" i="6"/>
  <c r="I208" i="4"/>
  <c r="B26" i="6"/>
  <c r="D26" i="6" s="1"/>
  <c r="D36" i="6"/>
  <c r="N20" i="4"/>
  <c r="C37" i="6"/>
  <c r="D37" i="6" s="1"/>
  <c r="D14" i="6"/>
  <c r="D16" i="6" s="1"/>
  <c r="E15" i="6" s="1"/>
  <c r="B16" i="6"/>
  <c r="G87" i="4"/>
  <c r="M16" i="4" s="1"/>
  <c r="I463" i="4"/>
  <c r="C16" i="6"/>
  <c r="I295" i="4"/>
  <c r="G286" i="4"/>
  <c r="I286" i="4" s="1"/>
  <c r="D12" i="6"/>
  <c r="E9" i="6" s="1"/>
  <c r="C18" i="6"/>
  <c r="C34" i="6" s="1"/>
  <c r="I26" i="4"/>
  <c r="N15" i="4"/>
  <c r="H25" i="4"/>
  <c r="N19" i="4"/>
  <c r="I336" i="4"/>
  <c r="I308" i="4"/>
  <c r="C38" i="6" l="1"/>
  <c r="C39" i="6" s="1"/>
  <c r="D22" i="6"/>
  <c r="B34" i="6"/>
  <c r="B39" i="6" s="1"/>
  <c r="D38" i="6"/>
  <c r="E14" i="6"/>
  <c r="I87" i="4"/>
  <c r="E10" i="6"/>
  <c r="G212" i="4"/>
  <c r="M17" i="4" s="1"/>
  <c r="E11" i="6"/>
  <c r="D18" i="6"/>
  <c r="D34" i="6" l="1"/>
  <c r="E26" i="6" s="1"/>
  <c r="G25" i="4"/>
  <c r="I212" i="4"/>
  <c r="I25" i="4" l="1"/>
  <c r="E28" i="6"/>
  <c r="D39" i="6"/>
  <c r="E38" i="6" s="1"/>
  <c r="E25" i="6"/>
  <c r="E31" i="6"/>
  <c r="E33" i="6"/>
  <c r="E21" i="6"/>
  <c r="E27" i="6"/>
  <c r="E29" i="6"/>
  <c r="E20" i="6"/>
  <c r="E32" i="6"/>
  <c r="E30" i="6"/>
  <c r="E18" i="6"/>
  <c r="E23" i="6"/>
  <c r="E22" i="6"/>
  <c r="E19" i="6"/>
  <c r="E24" i="6"/>
  <c r="E36" i="6"/>
  <c r="E37" i="6"/>
  <c r="J449" i="4"/>
  <c r="J452" i="4"/>
  <c r="J311" i="4"/>
  <c r="J329" i="4"/>
  <c r="J211" i="4"/>
  <c r="J147" i="4"/>
  <c r="J40" i="4"/>
  <c r="J445" i="4"/>
  <c r="J41" i="4"/>
  <c r="J221" i="4"/>
  <c r="J459" i="4"/>
  <c r="J133" i="4"/>
  <c r="J265" i="4"/>
  <c r="J395" i="4"/>
  <c r="J238" i="4"/>
  <c r="J448" i="4"/>
  <c r="J150" i="4"/>
  <c r="J172" i="4"/>
  <c r="J341" i="4"/>
  <c r="J141" i="4"/>
  <c r="J431" i="4"/>
  <c r="J256" i="4"/>
  <c r="J385" i="4"/>
  <c r="J400" i="4"/>
  <c r="J174" i="4"/>
  <c r="J168" i="4"/>
  <c r="J275" i="4"/>
  <c r="J231" i="4"/>
  <c r="J31" i="4"/>
  <c r="J100" i="4"/>
  <c r="J294" i="4"/>
  <c r="J242" i="4"/>
  <c r="J115" i="4"/>
  <c r="J451" i="4"/>
  <c r="J43" i="4"/>
  <c r="J160" i="4"/>
  <c r="J59" i="4"/>
  <c r="J343" i="4"/>
  <c r="J249" i="4"/>
  <c r="J96" i="4"/>
  <c r="J118" i="4"/>
  <c r="J441" i="4"/>
  <c r="J426" i="4"/>
  <c r="J48" i="4"/>
  <c r="J374" i="4"/>
  <c r="J274" i="4"/>
  <c r="J67" i="4"/>
  <c r="J491" i="4"/>
  <c r="J86" i="4"/>
  <c r="J220" i="4"/>
  <c r="J162" i="4"/>
  <c r="J137" i="4"/>
  <c r="J56" i="4"/>
  <c r="J331" i="4"/>
  <c r="J485" i="4"/>
  <c r="J77" i="4"/>
  <c r="J185" i="4"/>
  <c r="J288" i="4"/>
  <c r="J413" i="4"/>
  <c r="J376" i="4"/>
  <c r="J315" i="4"/>
  <c r="J207" i="4"/>
  <c r="J156" i="4"/>
  <c r="J336" i="4"/>
  <c r="J393" i="4"/>
  <c r="J200" i="4"/>
  <c r="J193" i="4"/>
  <c r="J494" i="4"/>
  <c r="J382" i="4"/>
  <c r="J298" i="4"/>
  <c r="J411" i="4"/>
  <c r="J187" i="4"/>
  <c r="J173" i="4"/>
  <c r="J84" i="4"/>
  <c r="J266" i="4"/>
  <c r="J496" i="4"/>
  <c r="J407" i="4"/>
  <c r="J454" i="4"/>
  <c r="J122" i="4"/>
  <c r="J240" i="4"/>
  <c r="J397" i="4"/>
  <c r="J421" i="4"/>
  <c r="J260" i="4"/>
  <c r="J161" i="4"/>
  <c r="J387" i="4"/>
  <c r="J29" i="4"/>
  <c r="J310" i="4"/>
  <c r="J439" i="4"/>
  <c r="J181" i="4"/>
  <c r="J124" i="4"/>
  <c r="J218" i="4"/>
  <c r="J433" i="4"/>
  <c r="J479" i="4"/>
  <c r="J34" i="4"/>
  <c r="J350" i="4"/>
  <c r="J58" i="4"/>
  <c r="J273" i="4"/>
  <c r="J73" i="4"/>
  <c r="J399" i="4"/>
  <c r="J176" i="4"/>
  <c r="J466" i="4"/>
  <c r="J321" i="4"/>
  <c r="J169" i="4"/>
  <c r="J335" i="4"/>
  <c r="J90" i="4"/>
  <c r="J307" i="4"/>
  <c r="J224" i="4"/>
  <c r="J212" i="4"/>
  <c r="J278" i="4"/>
  <c r="J202" i="4"/>
  <c r="J489" i="4"/>
  <c r="J263" i="4"/>
  <c r="J332" i="4"/>
  <c r="J199" i="4"/>
  <c r="J201" i="4"/>
  <c r="J183" i="4"/>
  <c r="J98" i="4"/>
  <c r="J468" i="4"/>
  <c r="J110" i="4"/>
  <c r="J189" i="4"/>
  <c r="J252" i="4"/>
  <c r="J391" i="4"/>
  <c r="J222" i="4"/>
  <c r="J361" i="4"/>
  <c r="J325" i="4"/>
  <c r="J76" i="4"/>
  <c r="J32" i="4"/>
  <c r="J456" i="4"/>
  <c r="J269" i="4"/>
  <c r="J258" i="4"/>
  <c r="J216" i="4"/>
  <c r="J129" i="4"/>
  <c r="J254" i="4"/>
  <c r="J428" i="4"/>
  <c r="J302" i="4"/>
  <c r="J460" i="4"/>
  <c r="J92" i="4"/>
  <c r="J244" i="4"/>
  <c r="J50" i="4"/>
  <c r="J205" i="4"/>
  <c r="J290" i="4"/>
  <c r="J305" i="4"/>
  <c r="J280" i="4"/>
  <c r="J49" i="4"/>
  <c r="J247" i="4"/>
  <c r="J75" i="4"/>
  <c r="J236" i="4"/>
  <c r="J94" i="4"/>
  <c r="J299" i="4"/>
  <c r="J47" i="4"/>
  <c r="J108" i="4"/>
  <c r="J296" i="4"/>
  <c r="J330" i="4"/>
  <c r="J359" i="4"/>
  <c r="J402" i="4"/>
  <c r="J55" i="4"/>
  <c r="J409" i="4"/>
  <c r="J170" i="4"/>
  <c r="J164" i="4"/>
  <c r="J33" i="4"/>
  <c r="J191" i="4"/>
  <c r="J194" i="4"/>
  <c r="J437" i="4"/>
  <c r="J198" i="4"/>
  <c r="J458" i="4"/>
  <c r="J152" i="4"/>
  <c r="J134" i="4"/>
  <c r="J61" i="4"/>
  <c r="J69" i="4"/>
  <c r="J368" i="4"/>
  <c r="J463" i="4"/>
  <c r="J57" i="4"/>
  <c r="J82" i="4"/>
  <c r="J70" i="4"/>
  <c r="J264" i="4"/>
  <c r="J483" i="4"/>
  <c r="J354" i="4"/>
  <c r="J175" i="4"/>
  <c r="J38" i="4"/>
  <c r="J80" i="4"/>
  <c r="J487" i="4"/>
  <c r="J267" i="4"/>
  <c r="J443" i="4"/>
  <c r="J63" i="4"/>
  <c r="J334" i="4"/>
  <c r="J292" i="4"/>
  <c r="J339" i="4"/>
  <c r="J347" i="4"/>
  <c r="J60" i="4"/>
  <c r="J363" i="4"/>
  <c r="J380" i="4"/>
  <c r="J285" i="4"/>
  <c r="J165" i="4"/>
  <c r="J301" i="4"/>
  <c r="J430" i="4"/>
  <c r="J300" i="4"/>
  <c r="J289" i="4"/>
  <c r="J135" i="4"/>
  <c r="J62" i="4"/>
  <c r="J101" i="4"/>
  <c r="J139" i="4"/>
  <c r="J326" i="4"/>
  <c r="J282" i="4"/>
  <c r="J36" i="4"/>
  <c r="J66" i="4"/>
  <c r="J352" i="4"/>
  <c r="J234" i="4"/>
  <c r="J365" i="4"/>
  <c r="J378" i="4"/>
  <c r="J404" i="4"/>
  <c r="J370" i="4"/>
  <c r="J328" i="4"/>
  <c r="J499" i="4"/>
  <c r="J281" i="4"/>
  <c r="J103" i="4"/>
  <c r="J190" i="4"/>
  <c r="J227" i="4"/>
  <c r="J313" i="4"/>
  <c r="J127" i="4"/>
  <c r="J215" i="4"/>
  <c r="J419" i="4"/>
  <c r="J210" i="4"/>
  <c r="J53" i="4"/>
  <c r="J113" i="4"/>
  <c r="J39" i="4"/>
  <c r="J423" i="4"/>
  <c r="J229" i="4"/>
  <c r="J442" i="4"/>
  <c r="J26" i="4"/>
  <c r="J291" i="4"/>
  <c r="J462" i="4"/>
  <c r="J203" i="4"/>
  <c r="J333" i="4"/>
  <c r="J159" i="4"/>
  <c r="J501" i="4"/>
  <c r="J163" i="4"/>
  <c r="J435" i="4"/>
  <c r="J171" i="4"/>
  <c r="J37" i="4"/>
  <c r="J372" i="4"/>
  <c r="J195" i="4"/>
  <c r="J317" i="4"/>
  <c r="J389" i="4"/>
  <c r="J45" i="4"/>
  <c r="J293" i="4"/>
  <c r="J277" i="4"/>
  <c r="J145" i="4"/>
  <c r="J196" i="4"/>
  <c r="J319" i="4"/>
  <c r="J132" i="4"/>
  <c r="J270" i="4"/>
  <c r="J131" i="4"/>
  <c r="J105" i="4"/>
  <c r="J297" i="4"/>
  <c r="J345" i="4"/>
  <c r="J166" i="4"/>
  <c r="J283" i="4"/>
  <c r="J481" i="4"/>
  <c r="J120" i="4"/>
  <c r="J206" i="4"/>
  <c r="J279" i="4"/>
  <c r="J356" i="4"/>
  <c r="J472" i="4"/>
  <c r="J154" i="4"/>
  <c r="J30" i="4"/>
  <c r="J477" i="4"/>
  <c r="J271" i="4"/>
  <c r="J417" i="4"/>
  <c r="J178" i="4"/>
  <c r="J475" i="4"/>
  <c r="J470" i="4"/>
  <c r="J143" i="4"/>
  <c r="J87" i="4"/>
  <c r="J415" i="4"/>
  <c r="J323" i="4"/>
  <c r="E16" i="6" l="1"/>
  <c r="E34" i="6"/>
  <c r="J25" i="4"/>
  <c r="C40" i="6"/>
  <c r="E12" i="6"/>
  <c r="B40" i="6"/>
  <c r="E39" i="6" l="1"/>
  <c r="D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tc={83937EEF-014E-4ADD-8DB1-68A82781D008}</author>
  </authors>
  <commentList>
    <comment ref="J9" authorId="0" shapeId="0" xr:uid="{9ECDAB3F-65C8-4DFF-BFAE-73180C85CDA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proceso. Publicado. Desierto. 
Adjudicado y Celebrado. Cancelado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AB165" authorId="0" shapeId="0" xr:uid="{1BC8B5A7-DE2D-4C10-A731-EBDADE8581B7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2.1.2.2.15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Libanesa Feliz</author>
  </authors>
  <commentList>
    <comment ref="C9" authorId="0" shapeId="0" xr:uid="{F02A3F13-5CB2-4334-B940-B24E69A9401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D9" authorId="0" shapeId="0" xr:uid="{01656516-5F52-4403-A40D-32FBB3EF09F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E9" authorId="0" shapeId="0" xr:uid="{5E1257A1-C183-409F-A47E-F95080501DEA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F9" authorId="0" shapeId="0" xr:uid="{3A124828-E3C1-48E2-B034-64B565AF347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G9" authorId="0" shapeId="0" xr:uid="{DE98A363-A96F-48B9-BA1F-61E327573941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H9" authorId="0" shapeId="0" xr:uid="{14A68CD1-1612-4DBE-97E1-D782418730B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I9" authorId="0" shapeId="0" xr:uid="{697DF205-6BEF-451D-989C-1D502CD142B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J9" authorId="0" shapeId="0" xr:uid="{E6C912A1-0423-4AB1-AA57-6A81483F8C7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K9" authorId="0" shapeId="0" xr:uid="{D702904F-F89B-49BC-B54C-51C03B0BD14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L9" authorId="0" shapeId="0" xr:uid="{739402DC-BE1B-4AFB-84A3-B8E52623B97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M9" authorId="0" shapeId="0" xr:uid="{0416BA56-BF24-4CE9-9987-8118172DBA2F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N9" authorId="0" shapeId="0" xr:uid="{191C2BF0-6F4E-42AF-AFA3-D31B952769AE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O9" authorId="0" shapeId="0" xr:uid="{9939DAA4-2682-476E-AAB4-F34EDC26D45A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P9" authorId="0" shapeId="0" xr:uid="{58B019FC-1EF3-4F8B-B3BF-6A3411FF4BF9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Q9" authorId="0" shapeId="0" xr:uid="{D5917503-9C5F-4874-B27D-527049B03605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R9" authorId="0" shapeId="0" xr:uid="{EE424643-7E9C-40CA-B73F-43CE495A204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S9" authorId="0" shapeId="0" xr:uid="{FA838393-43B2-47FA-8646-70F6E6EC307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T9" authorId="0" shapeId="0" xr:uid="{EC689D68-BADD-49C5-B934-CF8198B57DB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U9" authorId="0" shapeId="0" xr:uid="{6E679887-9AE6-4929-ABCD-4BDDAA57B04D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V9" authorId="0" shapeId="0" xr:uid="{AD41F104-C8A0-49EB-9CA7-B16DF7D7E7ED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W9" authorId="0" shapeId="0" xr:uid="{C0F63B75-6AD3-420D-9752-AF66ACC8D4BF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X9" authorId="0" shapeId="0" xr:uid="{85F590EA-3C8B-4614-9153-2E379079808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Y9" authorId="0" shapeId="0" xr:uid="{CA515D77-CC34-4EC2-9A48-932D9D85EBAE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Z9" authorId="0" shapeId="0" xr:uid="{83207460-FC8C-41DC-811B-3155F149DA86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</commentList>
</comments>
</file>

<file path=xl/sharedStrings.xml><?xml version="1.0" encoding="utf-8"?>
<sst xmlns="http://schemas.openxmlformats.org/spreadsheetml/2006/main" count="2756" uniqueCount="1441">
  <si>
    <t>Totales</t>
  </si>
  <si>
    <t>Productos y útiles varios n.i.p.</t>
  </si>
  <si>
    <t>Repuestos y accesorios menores</t>
  </si>
  <si>
    <t>Productos eléctricos y afines</t>
  </si>
  <si>
    <t>Útiles de cocina y comedor</t>
  </si>
  <si>
    <t>Material para limpieza</t>
  </si>
  <si>
    <t>Otros Productos Quimicos y Conexos</t>
  </si>
  <si>
    <t>99</t>
  </si>
  <si>
    <t>Productos químicos y conexos</t>
  </si>
  <si>
    <t>Lubricantes</t>
  </si>
  <si>
    <t>Gas GLP</t>
  </si>
  <si>
    <t>Gasoil</t>
  </si>
  <si>
    <t>Gasolina</t>
  </si>
  <si>
    <t>Combustibles y lubricantes</t>
  </si>
  <si>
    <t>Otros minerales</t>
  </si>
  <si>
    <t>Carbón mineral</t>
  </si>
  <si>
    <t>Minerales metalíferos</t>
  </si>
  <si>
    <t>Minerales</t>
  </si>
  <si>
    <t>Accesorios de metal</t>
  </si>
  <si>
    <t>Productos de hojalata</t>
  </si>
  <si>
    <t>Herramientas menores</t>
  </si>
  <si>
    <t>Productos metálicos y sus derivados</t>
  </si>
  <si>
    <t>Productos de porcelana</t>
  </si>
  <si>
    <t>Productos de loza</t>
  </si>
  <si>
    <t>Productos de vidrio</t>
  </si>
  <si>
    <t>Productos de vidrio, loza y porcelana</t>
  </si>
  <si>
    <t>Productos de arcilla y derivados</t>
  </si>
  <si>
    <t>Productos de yeso</t>
  </si>
  <si>
    <t>Productos de asbestos</t>
  </si>
  <si>
    <t>Productos de cal</t>
  </si>
  <si>
    <t>Productos de cemento</t>
  </si>
  <si>
    <t>Artículos de plástico</t>
  </si>
  <si>
    <t>Artículos de caucho</t>
  </si>
  <si>
    <t>Llantas y neumáticos</t>
  </si>
  <si>
    <t>Artículos de cuero</t>
  </si>
  <si>
    <t>Cueros y pieles</t>
  </si>
  <si>
    <t>Productos medicinales para uso humano</t>
  </si>
  <si>
    <t>Libros, revistas y periódicos</t>
  </si>
  <si>
    <t>Productos de artes gráficas</t>
  </si>
  <si>
    <t>Papel de escritorio</t>
  </si>
  <si>
    <t>Prendas de vestir</t>
  </si>
  <si>
    <t>Acabados textiles</t>
  </si>
  <si>
    <t>Hilados y telas</t>
  </si>
  <si>
    <t>02</t>
  </si>
  <si>
    <t>01</t>
  </si>
  <si>
    <t>Alimentos y bebidas para personas</t>
  </si>
  <si>
    <t>Servicios de alimentación</t>
  </si>
  <si>
    <t>Tasas</t>
  </si>
  <si>
    <t>Derechos</t>
  </si>
  <si>
    <t>Impuestos</t>
  </si>
  <si>
    <t>Impuestos, derechos y tasas</t>
  </si>
  <si>
    <t>Festividades</t>
  </si>
  <si>
    <t>Organización de eventos y festividades</t>
  </si>
  <si>
    <t>Limpieza e higiene</t>
  </si>
  <si>
    <t>Lavandería</t>
  </si>
  <si>
    <t>Fumigación</t>
  </si>
  <si>
    <t>Fumigación, lavandería, limpieza e higiene</t>
  </si>
  <si>
    <t>Servicios funerarios y gastos conexos</t>
  </si>
  <si>
    <t>Comisiones y gastos bancarios</t>
  </si>
  <si>
    <t>Gastos judiciales</t>
  </si>
  <si>
    <t>07</t>
  </si>
  <si>
    <t>06</t>
  </si>
  <si>
    <t>Seguro de bienes muebles</t>
  </si>
  <si>
    <t>Alquileres de maquinarias y equipos</t>
  </si>
  <si>
    <t>Fletes</t>
  </si>
  <si>
    <t>Viáticos fuera del país</t>
  </si>
  <si>
    <t>Recolección de residuos sólidos</t>
  </si>
  <si>
    <t>Agua</t>
  </si>
  <si>
    <t>Energía eléctrica</t>
  </si>
  <si>
    <t>Electricidad</t>
  </si>
  <si>
    <t>Telefax y correos</t>
  </si>
  <si>
    <t>Teléfono local</t>
  </si>
  <si>
    <t>%</t>
  </si>
  <si>
    <t>Auxiliar</t>
  </si>
  <si>
    <t>Cuenta</t>
  </si>
  <si>
    <t>Objeto</t>
  </si>
  <si>
    <t>Tipo</t>
  </si>
  <si>
    <t>SERVICIO NACIONAL DE SALUD</t>
  </si>
  <si>
    <t>D E S G L O S E    D E    L A S    C U E N T A S</t>
  </si>
  <si>
    <t>1% a ser asignado durante el ejercicio para inversión por calamidad pública</t>
  </si>
  <si>
    <t>`01</t>
  </si>
  <si>
    <t>5% a ser asignado durante el ejercicio para inversión</t>
  </si>
  <si>
    <t>Gastos a Ser Asignados Durante el Ejercicio para Inversión (Art. 32 Y 33 Ley 423-06)</t>
  </si>
  <si>
    <t>Construcciones en bienes de uso privado concesionados</t>
  </si>
  <si>
    <t>Construcciones en bienes de uso público concesionados</t>
  </si>
  <si>
    <t>Construcciones En Bienes Concesionados</t>
  </si>
  <si>
    <t>Obras en plantas industriales, hidrocarburos y minas</t>
  </si>
  <si>
    <t>Obras en cementerios</t>
  </si>
  <si>
    <t>Obras urbanísticas</t>
  </si>
  <si>
    <t>Infraestructura y plantaciones agrícolas</t>
  </si>
  <si>
    <t>Infraestructura marítima y aérea</t>
  </si>
  <si>
    <t>Infraestructura terrestre y obras anexas</t>
  </si>
  <si>
    <t>Obras de telecomunicaciones</t>
  </si>
  <si>
    <t>Obras de Energía</t>
  </si>
  <si>
    <t>Obras Hidráulicas Y Sanitarias</t>
  </si>
  <si>
    <t>Infraestructura</t>
  </si>
  <si>
    <t>Mejoras de tierras y terrenos</t>
  </si>
  <si>
    <t>Obras para edificación de otras estructuras</t>
  </si>
  <si>
    <t>Obras para edificación no residencial</t>
  </si>
  <si>
    <t>Obras para edificación residencial (viviendas)</t>
  </si>
  <si>
    <t>Obras En Edificaciones</t>
  </si>
  <si>
    <t>Obras</t>
  </si>
  <si>
    <t>Otras estructuras</t>
  </si>
  <si>
    <t>Objetos del patrimonio culyural</t>
  </si>
  <si>
    <t>03</t>
  </si>
  <si>
    <t>Antiguedades, bienes artisticos y otros objetos de arte</t>
  </si>
  <si>
    <t>Metales y piedras preciosas</t>
  </si>
  <si>
    <t>Objetos de valor</t>
  </si>
  <si>
    <t>Tierras</t>
  </si>
  <si>
    <t>Terrenos</t>
  </si>
  <si>
    <t>Edificios no residenciales</t>
  </si>
  <si>
    <t>Edificios residenciales (viviendas)</t>
  </si>
  <si>
    <t>Bienes Inmuebles</t>
  </si>
  <si>
    <t>Otros activos intangibles</t>
  </si>
  <si>
    <t>Comerciales</t>
  </si>
  <si>
    <t>`04</t>
  </si>
  <si>
    <t>Industriales</t>
  </si>
  <si>
    <t>`03</t>
  </si>
  <si>
    <t>Intelectuales</t>
  </si>
  <si>
    <t>`02</t>
  </si>
  <si>
    <t>Concesiones</t>
  </si>
  <si>
    <t>Marcas y patentes</t>
  </si>
  <si>
    <t>Estudios de preinversión</t>
  </si>
  <si>
    <t>Originales para esparcimiento, literarios o artísticos</t>
  </si>
  <si>
    <t>Base de datos</t>
  </si>
  <si>
    <t>Programas de informática</t>
  </si>
  <si>
    <t>Programas de informática y base de datos</t>
  </si>
  <si>
    <t>Exploración y evaluación minera</t>
  </si>
  <si>
    <t>Investigación y desarrollo</t>
  </si>
  <si>
    <t>Bienes Intangibles</t>
  </si>
  <si>
    <t>Árboles, cultivos y plantas que generan productos recurrentes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</si>
  <si>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</si>
  <si>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</si>
  <si>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</si>
  <si>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</si>
  <si>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</si>
  <si>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</si>
  <si>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</si>
  <si>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Activos Biológicos Cultivables</t>
  </si>
  <si>
    <t>Equipos de Seguridad</t>
  </si>
  <si>
    <t>Equipos De Defensa</t>
  </si>
  <si>
    <t>Equipos De Defensa Y Seguridad</t>
  </si>
  <si>
    <t>Otros equipos</t>
  </si>
  <si>
    <t>Equipo de comunicación, telecomunicaciones y señalamiento</t>
  </si>
  <si>
    <t>Maquinaria y equipo de construcción</t>
  </si>
  <si>
    <t>Maquinaria y equipo industrial</t>
  </si>
  <si>
    <t>Maquinaria y equipo agropecuario</t>
  </si>
  <si>
    <t>Maquinaria, Otros Equipos y Herramientas</t>
  </si>
  <si>
    <t>Otros equipos de transporte</t>
  </si>
  <si>
    <t>Equipo de elevación</t>
  </si>
  <si>
    <t>Equipo de tracción</t>
  </si>
  <si>
    <t>Embarcaciones</t>
  </si>
  <si>
    <t>Equipo ferroviario</t>
  </si>
  <si>
    <t>Equipo aeronáutico</t>
  </si>
  <si>
    <t>Carrocerías y remolques</t>
  </si>
  <si>
    <t>Automóviles y camiones</t>
  </si>
  <si>
    <t>Vehículos y Equipo de Transporte, Tracción y Elevación</t>
  </si>
  <si>
    <t>Equipo veterinario</t>
  </si>
  <si>
    <t>Instrumental médico y de laboratorio</t>
  </si>
  <si>
    <t>Equipo médico y de laboratorio</t>
  </si>
  <si>
    <t>Equipo e Instrumental, Científico Y Laboratorio</t>
  </si>
  <si>
    <t>Cámaras fotográficas y de video</t>
  </si>
  <si>
    <t>Aparatos deportivos</t>
  </si>
  <si>
    <t>Equipos y aparatos audiovisuales</t>
  </si>
  <si>
    <t>Otros mobiliarios y equipos no identificados precedentemente</t>
  </si>
  <si>
    <t>Electrodomésticos</t>
  </si>
  <si>
    <t>Muebles de alojamiento, excepto de oficina y estantería</t>
  </si>
  <si>
    <t>Mobiliario Y Equipo</t>
  </si>
  <si>
    <t>Bienes Muebles, Inmuebles e Intangibles</t>
  </si>
  <si>
    <t>Subsidios para viviendas económicas</t>
  </si>
  <si>
    <t>05</t>
  </si>
  <si>
    <t>Subsidio obreros portuarios Ley 199-02</t>
  </si>
  <si>
    <t>04</t>
  </si>
  <si>
    <t>Programa de repitencia escolar</t>
  </si>
  <si>
    <t>Ayudas y donaciones ocasionales a hogares y personas</t>
  </si>
  <si>
    <t>Ayudas y donaciones programadas a hogares y personas</t>
  </si>
  <si>
    <t>Ayudas y donaciones a personas</t>
  </si>
  <si>
    <t xml:space="preserve">Accesorios     </t>
  </si>
  <si>
    <t xml:space="preserve">Repuestos   </t>
  </si>
  <si>
    <t>Productos y útiles veterinarios</t>
  </si>
  <si>
    <t>Útiles destinados a actividades deportivas y recreativas</t>
  </si>
  <si>
    <t>Útiles menores médico quirúrgicos</t>
  </si>
  <si>
    <t>Productos y Útiles Varios</t>
  </si>
  <si>
    <t>1% a ser asignados durante el ej. para gastos corrientes por calamidad pública</t>
  </si>
  <si>
    <t>5% a ser asignados durante el ejercicio para gastos corrientes</t>
  </si>
  <si>
    <t>Gastos a ser Asignados Durante el Ejercicio (ART. 32 Y 33 Ley 423-06)</t>
  </si>
  <si>
    <t>Pinturas, Lacas, Barnices, Diluyentes y Absorbentes para Pintura</t>
  </si>
  <si>
    <t>Insecticidas, Fumigantes y Otros</t>
  </si>
  <si>
    <t>Abonos y Fertilizantes</t>
  </si>
  <si>
    <t>Productos Fotoquímicos</t>
  </si>
  <si>
    <t>Productos explosivos y Pirotecnia</t>
  </si>
  <si>
    <t>Gas Natural</t>
  </si>
  <si>
    <t>Aceites y Grasas</t>
  </si>
  <si>
    <t>Kerosén</t>
  </si>
  <si>
    <t>Combustibles, Lubricantes, Productos Químicos y Conexos</t>
  </si>
  <si>
    <t>Otros Productos Minerales no metálicos</t>
  </si>
  <si>
    <t>Productos abrasivos</t>
  </si>
  <si>
    <t>Productos aislantes</t>
  </si>
  <si>
    <t>Piedra, arcilla y arena</t>
  </si>
  <si>
    <t>Petróleo crudo</t>
  </si>
  <si>
    <t>Productos de cemento, cal, asbesto, yeso y arcilla</t>
  </si>
  <si>
    <t>Productos de Minerales, Metálicos y No Metálicos</t>
  </si>
  <si>
    <t>Productos de Cuero, Caucho y Plásticos</t>
  </si>
  <si>
    <t>Productos medicinales para uso veterinario</t>
  </si>
  <si>
    <t>Productos Farmacéuticos</t>
  </si>
  <si>
    <t>Especies timbrados y valoradas</t>
  </si>
  <si>
    <t>Textos de enseñanza</t>
  </si>
  <si>
    <t>Productos de Papel, Cartón e Impresos</t>
  </si>
  <si>
    <t>Textiles y Vestuarios</t>
  </si>
  <si>
    <t>Madera, corcho y sus manufacturas</t>
  </si>
  <si>
    <t>Productos forestales</t>
  </si>
  <si>
    <t>Productos agrícolas</t>
  </si>
  <si>
    <t>Productos pecuarios</t>
  </si>
  <si>
    <t>Productos agroforestales y pecuarios</t>
  </si>
  <si>
    <t>Alimentos para animales</t>
  </si>
  <si>
    <t>Desayuno escolar</t>
  </si>
  <si>
    <t>Alimentos y Productos Agroforestales</t>
  </si>
  <si>
    <t>Materiales y Suministros</t>
  </si>
  <si>
    <t>Otras Contrataciones de Servicios</t>
  </si>
  <si>
    <t>Otros servicios técnicos profesionales</t>
  </si>
  <si>
    <t>Servicios de informática y sistemas computarizados</t>
  </si>
  <si>
    <t>Servicios de capacitación</t>
  </si>
  <si>
    <t>Servicios de contabilidad y auditoria</t>
  </si>
  <si>
    <t>Servicios jurídicos</t>
  </si>
  <si>
    <t>Estudios, investigaciones y análisis de factibilidad</t>
  </si>
  <si>
    <t>Servicios Técnicos y Profesionales</t>
  </si>
  <si>
    <t>Actuaciones artísticas</t>
  </si>
  <si>
    <t>Actuaciones deportivas</t>
  </si>
  <si>
    <t>Eventos generales</t>
  </si>
  <si>
    <t>Servicios sanitarios médicos y veterinarios</t>
  </si>
  <si>
    <t>Otros Servicios No Personales</t>
  </si>
  <si>
    <t>Instalaciones temporales</t>
  </si>
  <si>
    <t>Otros servicios de mantenimiento y reparacion de maquinaria y equipos, no identificados anteriormente</t>
  </si>
  <si>
    <t>Servicios de Mant. Reparacion, desmonte e instalacion</t>
  </si>
  <si>
    <t>08</t>
  </si>
  <si>
    <t xml:space="preserve">Mant. Y reparacion de equipos industriales y produccion </t>
  </si>
  <si>
    <t>Mantenimiento y reparación de equipos de transporte, tracción y elevación</t>
  </si>
  <si>
    <t>Mantenimiento y reparación de equipo de comunicación</t>
  </si>
  <si>
    <t>Mantenimiento y reparación de equipos sanitarios y de laboratorio</t>
  </si>
  <si>
    <t>Mantenimiento y reparación de equipo educacional</t>
  </si>
  <si>
    <t>Mantenimiento y reparación de equipo de oficina y muebles</t>
  </si>
  <si>
    <t>Reparaciones de maquinarias y equipos</t>
  </si>
  <si>
    <t>Otros mantenimientos, reparaciones y sus derivados, no identificados precedentemente</t>
  </si>
  <si>
    <t>Instalaciones eléctricas</t>
  </si>
  <si>
    <t>Obras en bienes de dominio público</t>
  </si>
  <si>
    <t>Mantenimiento y reparación de obras civiles en instalaciones varias</t>
  </si>
  <si>
    <t>Limpieza, desmalezamiento de tierras y terrenos</t>
  </si>
  <si>
    <t>Servicios especiales de mantenimiento y reparación</t>
  </si>
  <si>
    <t>Obras menores en edificaciones</t>
  </si>
  <si>
    <t>Obras Menores</t>
  </si>
  <si>
    <t>Servicios de Conservación, Reparaciones Menores e Instalaciones Temporales</t>
  </si>
  <si>
    <t>Seguros de la producción agrícola</t>
  </si>
  <si>
    <t>Seguros de personas</t>
  </si>
  <si>
    <t>Seguro de bienes inmuebles e infraestructura</t>
  </si>
  <si>
    <t>Seguros</t>
  </si>
  <si>
    <t>Otros alquileres</t>
  </si>
  <si>
    <t>Alquileres de equipos de construcción y movimiento de tierras</t>
  </si>
  <si>
    <t>Alquileres de terrenos</t>
  </si>
  <si>
    <t>Alquiler de tierras</t>
  </si>
  <si>
    <t>Alquileres de equipos de transporte, tracción y elevación</t>
  </si>
  <si>
    <t>Alquiler de equipos sanitarios y de laboratorios</t>
  </si>
  <si>
    <t>Alquiler de equipo de oficina y muebles</t>
  </si>
  <si>
    <t>Alquiler de equipo de comunicación</t>
  </si>
  <si>
    <t>Alquiler de equipo educacional</t>
  </si>
  <si>
    <t>Alquileres de equipos de producción</t>
  </si>
  <si>
    <t>Alquileres y rentas de edificios y locales</t>
  </si>
  <si>
    <t>Alquileres y Rentas</t>
  </si>
  <si>
    <t>Peaje</t>
  </si>
  <si>
    <t>Almacenaje</t>
  </si>
  <si>
    <t>Pasajes</t>
  </si>
  <si>
    <t>Transporte y Almacenaje</t>
  </si>
  <si>
    <t>Viáticos dentro del país</t>
  </si>
  <si>
    <t>Viáticos</t>
  </si>
  <si>
    <t>Impresión y encuadernación</t>
  </si>
  <si>
    <t>Publicidad y propaganda</t>
  </si>
  <si>
    <t>Publicidad Impresión y Encuadernación</t>
  </si>
  <si>
    <t>Electricidad no cortable</t>
  </si>
  <si>
    <t>Servicio de Internet y televisión por cable</t>
  </si>
  <si>
    <t>Servicios telefónico de larga distancia</t>
  </si>
  <si>
    <t>Radiocomunicación</t>
  </si>
  <si>
    <t>Servicios Básicos</t>
  </si>
  <si>
    <t>Servicios No Personales</t>
  </si>
  <si>
    <t>Contribuciones al plan de retiro complementario</t>
  </si>
  <si>
    <t>Contribuciones al seguro de riesgo laboral</t>
  </si>
  <si>
    <t>Contribuciones al seguro de pensiones</t>
  </si>
  <si>
    <t>Contribuciones al seguro de salud</t>
  </si>
  <si>
    <t>Contribuciones a la Seguridad Social y Riesgo Laboral</t>
  </si>
  <si>
    <t>Gratificaciones por aniversario de institución</t>
  </si>
  <si>
    <t>Gratificaciones por pasantías</t>
  </si>
  <si>
    <t>Bono escolar</t>
  </si>
  <si>
    <t>Otras Gratificaciones y Bonificaciones</t>
  </si>
  <si>
    <t>Bonificaciones</t>
  </si>
  <si>
    <t>Gratificaciones y Bonificaciones</t>
  </si>
  <si>
    <t>Gastos de representación en el exterior</t>
  </si>
  <si>
    <t>Gastos de representación en el país</t>
  </si>
  <si>
    <t>Gastos de representación</t>
  </si>
  <si>
    <t>Dietas en el exterior</t>
  </si>
  <si>
    <t>Dietas en el país</t>
  </si>
  <si>
    <t>Dietas</t>
  </si>
  <si>
    <t>Dietas y Gastos de Representación</t>
  </si>
  <si>
    <t>09</t>
  </si>
  <si>
    <t>Compensaciones especiales</t>
  </si>
  <si>
    <t>Compensación por distancia</t>
  </si>
  <si>
    <t>Compensación servicios de Seguridad</t>
  </si>
  <si>
    <t>Prima de transporte</t>
  </si>
  <si>
    <t>Compensación por gastos de alimentación</t>
  </si>
  <si>
    <t>Compensación</t>
  </si>
  <si>
    <t>Primas por antigüedad</t>
  </si>
  <si>
    <t>Sobresueldos</t>
  </si>
  <si>
    <t>Proporción de vacaciones no disfrutadas</t>
  </si>
  <si>
    <t>Prestación laboral por desvinculación</t>
  </si>
  <si>
    <t>Pago de porcentaje por desvinculación de cargo</t>
  </si>
  <si>
    <t>Sueldos al personal fijo en trámite de pensiones</t>
  </si>
  <si>
    <t xml:space="preserve"> Jornales</t>
  </si>
  <si>
    <t>Sueldo al personal nominal en período probatorio</t>
  </si>
  <si>
    <t>Suplencias</t>
  </si>
  <si>
    <t>Remuneraciones al personal con carácter transitorio</t>
  </si>
  <si>
    <t>Incentivos y escalafón</t>
  </si>
  <si>
    <t>Nuevas plazas maestros</t>
  </si>
  <si>
    <t>Ascensos a militares</t>
  </si>
  <si>
    <t>Sueldos a médicos</t>
  </si>
  <si>
    <t>Remuneraciones al personal fijo</t>
  </si>
  <si>
    <t>Remuneraciones</t>
  </si>
  <si>
    <t>Servicios Personales</t>
  </si>
  <si>
    <t>Gastos</t>
  </si>
  <si>
    <t>Aportes Nomina SNS</t>
  </si>
  <si>
    <t>Venta de Servicios/    Otros Aportes</t>
  </si>
  <si>
    <t>Sub-Cuenta</t>
  </si>
  <si>
    <t>TOTAL</t>
  </si>
  <si>
    <t xml:space="preserve">Distribución del Gasto por Fuente de Financiamiento </t>
  </si>
  <si>
    <t>Descripción Gasto por Cuenta</t>
  </si>
  <si>
    <t>Código Presupuestario</t>
  </si>
  <si>
    <t>TOTAL INGRESOS RDS</t>
  </si>
  <si>
    <t>Venta de Servicios</t>
  </si>
  <si>
    <t>Transferencias Corrientes</t>
  </si>
  <si>
    <t>VS</t>
  </si>
  <si>
    <t>FR</t>
  </si>
  <si>
    <t>OBJETAL</t>
  </si>
  <si>
    <t>Otros Aportes</t>
  </si>
  <si>
    <t>Anticipo Financiero</t>
  </si>
  <si>
    <t>2.- Ingresos por Fuente / Cuenta</t>
  </si>
  <si>
    <t>1.- Balance Inicial / Fuente:</t>
  </si>
  <si>
    <t>Ingresos Generales:</t>
  </si>
  <si>
    <t>Consolidado de Ingresos y Gastos por Fuente de Financiamiento</t>
  </si>
  <si>
    <t>Servicio Nacional de Salud</t>
  </si>
  <si>
    <t>Form. No.6 SRS</t>
  </si>
  <si>
    <t>Porciento</t>
  </si>
  <si>
    <t>Total General</t>
  </si>
  <si>
    <t>Total</t>
  </si>
  <si>
    <t>Otros  Egresos y Gastos</t>
  </si>
  <si>
    <t>Materiales de Limpieza e Higiene</t>
  </si>
  <si>
    <t>GLP</t>
  </si>
  <si>
    <t xml:space="preserve">Gasolina </t>
  </si>
  <si>
    <t>Articulos de Plasticos</t>
  </si>
  <si>
    <t>Productos de papel, carton e impesos</t>
  </si>
  <si>
    <t xml:space="preserve">Alimentos y Bebidas para Personas </t>
  </si>
  <si>
    <t xml:space="preserve">Materiales de Oficina, Impresión y Encuadernación  </t>
  </si>
  <si>
    <t xml:space="preserve">Comisiones y Gastos Bancarios </t>
  </si>
  <si>
    <t xml:space="preserve">Alquileres </t>
  </si>
  <si>
    <t>Transporte y almacenaje</t>
  </si>
  <si>
    <t xml:space="preserve">Viáticos </t>
  </si>
  <si>
    <t>Servicio Telefónico</t>
  </si>
  <si>
    <t xml:space="preserve">Servicios Personales </t>
  </si>
  <si>
    <t>Gastos Administrativos</t>
  </si>
  <si>
    <t xml:space="preserve">Productos Eléctricos y Afines </t>
  </si>
  <si>
    <t>Reparación y Mantenimiento Maquinaria y Eq.</t>
  </si>
  <si>
    <t>Mantenimiento de Equipos</t>
  </si>
  <si>
    <t>Reactivos e Insumos de Laboratorio</t>
  </si>
  <si>
    <t>Oxigeno</t>
  </si>
  <si>
    <t>Medicamentos e Insumos Médicos</t>
  </si>
  <si>
    <t>Atención Directa</t>
  </si>
  <si>
    <t xml:space="preserve"> VENTA SERVICIOS</t>
  </si>
  <si>
    <t>DETALLE</t>
  </si>
  <si>
    <t>RETENCION</t>
  </si>
  <si>
    <t>FECHA</t>
  </si>
  <si>
    <t>TRANSF NO.</t>
  </si>
  <si>
    <t>VALOR</t>
  </si>
  <si>
    <t>AÑOS ANTERIORES</t>
  </si>
  <si>
    <t>Proveedor Informal</t>
  </si>
  <si>
    <t>Incentivo por Rendimieto Individual</t>
  </si>
  <si>
    <t>11</t>
  </si>
  <si>
    <t>Productos Químicos de uso Personal y Laboratorio</t>
  </si>
  <si>
    <t>Contraseña: 0001</t>
  </si>
  <si>
    <t>Personal de carácter eventual</t>
  </si>
  <si>
    <t xml:space="preserve">Servicios de alimentación </t>
  </si>
  <si>
    <t>Servicios de catering</t>
  </si>
  <si>
    <t>Nuevas plazas a médicos</t>
  </si>
  <si>
    <t xml:space="preserve"> Sueldos a empleados fijos</t>
  </si>
  <si>
    <t>Empleados temporales</t>
  </si>
  <si>
    <t>Interinato</t>
  </si>
  <si>
    <t>Sueldo anual no. 13</t>
  </si>
  <si>
    <t>Prestaciones económinas</t>
  </si>
  <si>
    <t>Pago de horas extraordinarias</t>
  </si>
  <si>
    <t>Bono por desempeño a servidores de carrera</t>
  </si>
  <si>
    <t>Compensacion por cumplimiento de indicadores</t>
  </si>
  <si>
    <t>Alquileres de equipos electricos (plantas)</t>
  </si>
  <si>
    <t>Alquiler de equipo de tecnologia y almacenamiento de datos</t>
  </si>
  <si>
    <t>Derechos de uso</t>
  </si>
  <si>
    <t>Licencias informaticas</t>
  </si>
  <si>
    <t>Mantenimiento, reparacion, servicios de pintura y sus derivados</t>
  </si>
  <si>
    <t>Mantenimiento y rep. de equipo de tecnologia e informatica</t>
  </si>
  <si>
    <t>Papel y cartón</t>
  </si>
  <si>
    <t>Otros productos no metálicos</t>
  </si>
  <si>
    <t>Útiles y materiales de limpieza e higiene</t>
  </si>
  <si>
    <t>Útiles y materiales de limpieza e higiene personal</t>
  </si>
  <si>
    <t>Útiles y materiales de escritorio, oficina e informática</t>
  </si>
  <si>
    <t>Útiles de escritorio, oficina, informática, escolares y de enseñanza</t>
  </si>
  <si>
    <t>Productos y útiles e defensa y seguridad</t>
  </si>
  <si>
    <t>Muebles, equipos de oficina y estantería</t>
  </si>
  <si>
    <t>Equipo de tecnologia de la informacion y comunicación</t>
  </si>
  <si>
    <t>Mobiliario y equipo educacional y recreativo</t>
  </si>
  <si>
    <t>Mobiliario y Eq. de Audio, Audiovisual, Recreativo y Educacional</t>
  </si>
  <si>
    <t>Equipo e instrumentos de medición científica</t>
  </si>
  <si>
    <t>Sistemas y equipos de climatización</t>
  </si>
  <si>
    <t>Equipo de generación eléctrica y a fines</t>
  </si>
  <si>
    <t>Máquinas-herramientas</t>
  </si>
  <si>
    <t>Otros activos que generan producción recurrente</t>
  </si>
  <si>
    <t>Adquisición de mejoras residenciales</t>
  </si>
  <si>
    <t>Adquisición de mejoras no residenciales</t>
  </si>
  <si>
    <t>Licencias intelectuales, industriales y comerciales</t>
  </si>
  <si>
    <t>Dirección de Fizcalización</t>
  </si>
  <si>
    <t>Gastos Inversion y Capital</t>
  </si>
  <si>
    <t>Servicios Basicos (electricidad, agua y residuos solidos)</t>
  </si>
  <si>
    <t>Fondo 100</t>
  </si>
  <si>
    <t>RESUMEN COMPARATIVO DE GASTOS ESPECIFICOS FONDO 100 Y VENTA DE SERVICIOS</t>
  </si>
  <si>
    <t>DIRECCION DE FISCALIZACION Y CONTROL</t>
  </si>
  <si>
    <t xml:space="preserve"> LIBRAMIENTO</t>
  </si>
  <si>
    <t>TRANSFERENCIA</t>
  </si>
  <si>
    <t>CHEQUE</t>
  </si>
  <si>
    <t>BENEFICIARIO</t>
  </si>
  <si>
    <t xml:space="preserve">NO.FACTURAS </t>
  </si>
  <si>
    <t>VALOR DE  FACTURA</t>
  </si>
  <si>
    <t>VALOR PAGADO</t>
  </si>
  <si>
    <t>MONTO</t>
  </si>
  <si>
    <t>TIPO</t>
  </si>
  <si>
    <t>Valor</t>
  </si>
  <si>
    <t>No. Cta. Objetal del Gasto</t>
  </si>
  <si>
    <t>Rubro</t>
  </si>
  <si>
    <t>Beneficiario</t>
  </si>
  <si>
    <t>Fuente. Financ      (FR-VS)</t>
  </si>
  <si>
    <t>No. De Factura Fiscal NCF</t>
  </si>
  <si>
    <t>Fecha</t>
  </si>
  <si>
    <t>Fuente: [fuente]</t>
  </si>
  <si>
    <t>TOTAL GASTOS Y APLICACIONES FINANCIERAS</t>
  </si>
  <si>
    <t>TOTAL APLICACIONES FINANCIERAS</t>
  </si>
  <si>
    <t>4.3.5 - DISMINUCIÓN DEPÓSITOS FONDOS DE TERCEROS</t>
  </si>
  <si>
    <t>4.3 - DISMINUCIÓN DE FONDOS DE TERCEROS</t>
  </si>
  <si>
    <t>4.2.2 - DISMINUCIÓN DE PASIVOS NO CORRIENTES</t>
  </si>
  <si>
    <t>4.2.1 - DISMINUCIÓN DE PASIVOS CORRIENTES</t>
  </si>
  <si>
    <t>4.2 - DISMINUCIÓN DE PASIVOS</t>
  </si>
  <si>
    <t>4.1.2 - INCREMENTO DE ACTIVOS FINANCIEROS NO CORRIENTES</t>
  </si>
  <si>
    <t>4.1.1 - INCREMENTO DE ACTIVOS FINANCIEROS CORRIENTES</t>
  </si>
  <si>
    <t>4.1 - INCREMENTO DE ACTIVOS FINANCIEROS</t>
  </si>
  <si>
    <t>4 - APLICACIONES FINANCIERAS</t>
  </si>
  <si>
    <t>Total Gastos</t>
  </si>
  <si>
    <t>2.9.4 - COMISIONES Y OTROS GASTOS BANCARIOS DE LA DEUDA PÚBLICA</t>
  </si>
  <si>
    <t>2.9.2 - INTERESES DE LA DEUDA PUBLICA EXTERNA</t>
  </si>
  <si>
    <t>2.9.1 - INTERESES DE LA DEUDA PÚBLICA INTERNA</t>
  </si>
  <si>
    <t>2.9 - GASTOS FINANCIEROS</t>
  </si>
  <si>
    <t>2.8.2 - ADQUISICIÓN DE TÍTULOS VALORES REPRESENTATIVOS DE DEUDA</t>
  </si>
  <si>
    <t>2.8.1 - CONCESIÓN DE PRESTAMOS</t>
  </si>
  <si>
    <t>2.8 - ADQUISICION DE ACTIVOS FINANCIEROS CON FINES DE POLÍTICA</t>
  </si>
  <si>
    <t>2.7.4 - GASTOS QUE SE ASIGNARÁN DURANTE EL EJERCICIO PARA INVERSIÓN (ART. 32 Y 33 LEY 423-06)</t>
  </si>
  <si>
    <t>2.7.3 - CONSTRUCCIONES EN BIENES CONCESIONADOS</t>
  </si>
  <si>
    <t>2.7.2 - INFRAESTRUCTURA</t>
  </si>
  <si>
    <t>2.7.1 - OBRAS EN EDIFICACIONES</t>
  </si>
  <si>
    <t>2.7 - OBRAS</t>
  </si>
  <si>
    <t>2.6.9 - EDIFICIOS, ESTRUCTURAS, TIERRAS, TERRENOS Y OBJETOS DE VALOR</t>
  </si>
  <si>
    <t>2.6.8 - BIENES INTANGIBLES</t>
  </si>
  <si>
    <t>2.6.7 - ACTIVOS BIÓLOGICOS CULTIVABLES</t>
  </si>
  <si>
    <t>2.6.6 - EQUIPOS DE DEFENSA Y SEGURIDAD</t>
  </si>
  <si>
    <t>2.6.5 - MAQUINARIA, OTROS EQUIPOS Y HERRAMIENTAS</t>
  </si>
  <si>
    <t>2.6.4 - VEHÍCULOS Y EQUIPO DE TRANSPORTE, TRACCIÓN Y ELEVACIÓN</t>
  </si>
  <si>
    <t>2.6.3 - EQUIPO E INSTRUMENTAL, CIENTÍFICO Y LABORATORIO</t>
  </si>
  <si>
    <t>2.6.2 - MOBILIARIO Y EQUIPO EDUCACIONAL Y RECREATIVO</t>
  </si>
  <si>
    <t>2.6.1 - MOBILIARIO Y EQUIPO</t>
  </si>
  <si>
    <t>2.6 - BIENES MUEBLES, INMUEBLES E INTANGIBLES</t>
  </si>
  <si>
    <t>2.5.9 - TRANSFERENCIAS DE CAPITAL A OTRAS INSTITUCIONES PÚBLICAS</t>
  </si>
  <si>
    <t>2.5.6 - TRANSFERENCIAS DE CAPITAL AL SECTOR EXTERNO</t>
  </si>
  <si>
    <t>2.5.5 - TRANSFERENCIAS DE CAPITAL A INSTITUCIONES PÚBLICAS FINANCIERAS</t>
  </si>
  <si>
    <t>2.5.4 - TRANSFERENCIAS DE CAPITAL  A EMPRESAS PÚBLICAS NO FINANCIERAS</t>
  </si>
  <si>
    <t>2.5.3 - TRANSFERENCIAS DE CAPITAL A GOBIERNOS GENERALES LOCALES</t>
  </si>
  <si>
    <t>2.5.2 - TRANSFERENCIAS DE CAPITAL AL GOBIERNO GENERAL  NACIONAL</t>
  </si>
  <si>
    <t>2.5.1 - TRANSFERENCIAS DE CAPITAL AL SECTOR PRIVADO</t>
  </si>
  <si>
    <t>2.5 - TRANSFERENCIAS DE CAPITAL</t>
  </si>
  <si>
    <t>2.4.9 - TRANSFERENCIAS CORRIENTES A OTRAS INSTITUCIONES PÚBLICAS</t>
  </si>
  <si>
    <t>2.4.7 - TRANSFERENCIAS CORRIENTES AL SECTOR EXTERNO</t>
  </si>
  <si>
    <t>2.4.5 - TRANSFERENCIAS CORRIENTES A INSTITUCIONES PÚBLICAS FINANCIERAS</t>
  </si>
  <si>
    <t>2.4.4 - TRANSFERENCIAS CORRIENTES A EMPRESAS PÚBLICAS NO FINANCIERAS</t>
  </si>
  <si>
    <t>2.4.3 - TRANSFERENCIAS CORRIENTES A GOBIERNOS GENERALES LOCALES</t>
  </si>
  <si>
    <t>2.4.2 - TRANSFERENCIAS CORRIENTES AL  GOBIERNO GENERAL NACIONAL</t>
  </si>
  <si>
    <t>2.4.1 - TRANSFERENCIAS CORRIENTES AL SECTOR PRIVADO</t>
  </si>
  <si>
    <t>2.4 - TRANSFERENCIAS CORRIENTES</t>
  </si>
  <si>
    <t>2.3.9 - PRODUCTOS Y ÚTILES VARIOS</t>
  </si>
  <si>
    <t>2.3.8 - GASTOS QUE SE ASIGNARÁN DURANTE EL EJERCICIO (ART. 32 Y 33 LEY 423-06)</t>
  </si>
  <si>
    <t>2.3.7 - COMBUSTIBLES, LUBRICANTES, PRODUCTOS QUÍMICOS Y CONEXOS</t>
  </si>
  <si>
    <t>2.3.6 - PRODUCTOS DE MINERALES, METÁLICOS Y NO METÁLICOS</t>
  </si>
  <si>
    <t>2.3.5 - PRODUCTOS DE CUERO, CAUCHO Y PLÁSTICO</t>
  </si>
  <si>
    <t>2.3.4 - PRODUCTOS FARMACÉUTICOS</t>
  </si>
  <si>
    <t>2.3.3 - PRODUCTOS DE PAPEL, CARTÓN E IMPRESOS</t>
  </si>
  <si>
    <t>2.3.2 - TEXTILES Y VESTUARIOS</t>
  </si>
  <si>
    <t>2.3.1 - ALIMENTOS Y PRODUCTOS AGROFORESTALES</t>
  </si>
  <si>
    <t>2.3 - MATERIALES Y SUMINISTROS</t>
  </si>
  <si>
    <t>2.2.9 - OTRAS CONTRATACIONES DE SERVICIOS</t>
  </si>
  <si>
    <t>2.2.8 - OTROS SERVICIOS NO INCLUIDOS EN CONCEPTOS ANTERIORES</t>
  </si>
  <si>
    <t>2.2.7 - SERVICIOS DE CONSERVACIÓN, REPARACIONES MENORES E INSTALACIONES TEMPORALES</t>
  </si>
  <si>
    <t>2.2.6 - SEGUROS</t>
  </si>
  <si>
    <t>2.2.5 - ALQUILERES Y RENTAS</t>
  </si>
  <si>
    <t>2.2.4 - TRANSPORTE Y ALMACENAJE</t>
  </si>
  <si>
    <t>2.2.3 - VIÁTICOS</t>
  </si>
  <si>
    <t>2.2.2 - PUBLICIDAD, IMPRESIÓN Y ENCUADERNACIÓN</t>
  </si>
  <si>
    <t>2.2.1 - SERVICIOS BÁSICOS</t>
  </si>
  <si>
    <t>2.2 - CONTRATACIÓN DE SERVICIOS</t>
  </si>
  <si>
    <t>2.1.5 - CONTRIBUCIONES A LA SEGURIDAD SOCIAL</t>
  </si>
  <si>
    <t>2.1.4 - GRATIFICACIONES Y BONIFICACIONES</t>
  </si>
  <si>
    <t>2.1.3 - DIETAS Y GASTOS DE REPRESENTACIÓN</t>
  </si>
  <si>
    <t>2.1.2 - SOBRESUELDOS</t>
  </si>
  <si>
    <t>2.1.1 - REMUNERACIONES</t>
  </si>
  <si>
    <t>2.1 - REMUNERACIONES Y CONTRIBUCIONES</t>
  </si>
  <si>
    <t>2 - GASTOS</t>
  </si>
  <si>
    <t>Diciembre</t>
  </si>
  <si>
    <t>Noviembre</t>
  </si>
  <si>
    <t xml:space="preserve">Octubre </t>
  </si>
  <si>
    <t>Septiembre</t>
  </si>
  <si>
    <t>Agosto</t>
  </si>
  <si>
    <t>Julio</t>
  </si>
  <si>
    <t>Junio</t>
  </si>
  <si>
    <t>Mayo</t>
  </si>
  <si>
    <t>Abril</t>
  </si>
  <si>
    <t>Marzo</t>
  </si>
  <si>
    <t xml:space="preserve">Febrero </t>
  </si>
  <si>
    <t xml:space="preserve">Enero </t>
  </si>
  <si>
    <t xml:space="preserve">Total </t>
  </si>
  <si>
    <t>Detalle</t>
  </si>
  <si>
    <t>En RD$</t>
  </si>
  <si>
    <t>REGION</t>
  </si>
  <si>
    <t>NOMBRE DEL ESTABLECIMIENTO</t>
  </si>
  <si>
    <t xml:space="preserve">SERVICIO NACIONAL DE SALUD </t>
  </si>
  <si>
    <t>FONDO REPONIBLE</t>
  </si>
  <si>
    <t>VENTA SEVICIOS/OTROS APORTES</t>
  </si>
  <si>
    <t xml:space="preserve">TOTAL </t>
  </si>
  <si>
    <t>1ro</t>
  </si>
  <si>
    <t>2do</t>
  </si>
  <si>
    <t>3ro</t>
  </si>
  <si>
    <t>4to</t>
  </si>
  <si>
    <t>SERVICIO REGIONAL DE SALUD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</si>
  <si>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</si>
  <si>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</si>
  <si>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</si>
  <si>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</si>
  <si>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</si>
  <si>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</si>
  <si>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</si>
  <si>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</si>
  <si>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</si>
  <si>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</si>
  <si>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</si>
  <si>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</si>
  <si>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</si>
  <si>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</si>
  <si>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</si>
  <si>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</si>
  <si>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</si>
  <si>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</si>
  <si>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</si>
  <si>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</si>
  <si>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</si>
  <si>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Preparado por: </t>
  </si>
  <si>
    <t xml:space="preserve">Revisado por: </t>
  </si>
  <si>
    <t xml:space="preserve">                                                                                        ___________________________________________</t>
  </si>
  <si>
    <t xml:space="preserve">Servicio Nacional de Salud </t>
  </si>
  <si>
    <t xml:space="preserve">Dirección de Fiscalización </t>
  </si>
  <si>
    <t xml:space="preserve">Comportamiento de Ingresos percibidos Segregados según Origen </t>
  </si>
  <si>
    <t>origen</t>
  </si>
  <si>
    <t>ARS</t>
  </si>
  <si>
    <t xml:space="preserve">Fecha deposito </t>
  </si>
  <si>
    <t xml:space="preserve">No. De Documento de referencia </t>
  </si>
  <si>
    <t xml:space="preserve">valor de Transferencia o Cheque </t>
  </si>
  <si>
    <t>INGRESOS</t>
  </si>
  <si>
    <t xml:space="preserve">Sub-Total </t>
  </si>
  <si>
    <t xml:space="preserve">Venta de Servicio </t>
  </si>
  <si>
    <t>SUBSIDIADO</t>
  </si>
  <si>
    <t>SALUD SEGURA</t>
  </si>
  <si>
    <t>APS</t>
  </si>
  <si>
    <t>SIMAG</t>
  </si>
  <si>
    <t>GMA</t>
  </si>
  <si>
    <t>YUNEN</t>
  </si>
  <si>
    <t>UNIVERSAL</t>
  </si>
  <si>
    <t>MONUMENTAL</t>
  </si>
  <si>
    <t>FUTURO</t>
  </si>
  <si>
    <t xml:space="preserve">Cafetería </t>
  </si>
  <si>
    <t>Alquiler de espacios internos a terceros</t>
  </si>
  <si>
    <t>Aportes provenientes de convenios Institucionales</t>
  </si>
  <si>
    <t>INGRESOS POR SERVICIOS PACIENTES PRIVADOS Y DIFERENCIAS POR SEGUROS MEDICOS</t>
  </si>
  <si>
    <t xml:space="preserve">Total General </t>
  </si>
  <si>
    <t xml:space="preserve">Aprobado por:  </t>
  </si>
  <si>
    <t xml:space="preserve">Servicio Nacional De Salud </t>
  </si>
  <si>
    <t xml:space="preserve">Dirección de Fiscalizacion </t>
  </si>
  <si>
    <t>Ingresos Por Facturación ARS</t>
  </si>
  <si>
    <t xml:space="preserve"> </t>
  </si>
  <si>
    <t>Establecimiento: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</si>
  <si>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</si>
  <si>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</si>
  <si>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</si>
  <si>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</si>
  <si>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</si>
  <si>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</si>
  <si>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</si>
  <si>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</si>
  <si>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</si>
  <si>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</si>
  <si>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</si>
  <si>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</si>
  <si>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Facturado </t>
  </si>
  <si>
    <t xml:space="preserve">Recibido </t>
  </si>
  <si>
    <t>SENASA SUBSIDIADO</t>
  </si>
  <si>
    <t>SENASA CONTRIBUTIVO</t>
  </si>
  <si>
    <t>SENASA  JUB. Y PENS.</t>
  </si>
  <si>
    <t>Total SeNaSa</t>
  </si>
  <si>
    <t>PALIC SALUD</t>
  </si>
  <si>
    <t xml:space="preserve">ARL </t>
  </si>
  <si>
    <t>RENACER</t>
  </si>
  <si>
    <t>ARS HUMANO</t>
  </si>
  <si>
    <t xml:space="preserve">ARS PLANSALUD BANCO CENTRAL </t>
  </si>
  <si>
    <t xml:space="preserve">SEMMA </t>
  </si>
  <si>
    <t>CONSTITUCION</t>
  </si>
  <si>
    <t>META SALUD</t>
  </si>
  <si>
    <t>ASEMAP</t>
  </si>
  <si>
    <t>CMD</t>
  </si>
  <si>
    <t>RESERVAS</t>
  </si>
  <si>
    <t>SEMUNASED</t>
  </si>
  <si>
    <t>SERVICIOS MEDICOS UASD</t>
  </si>
  <si>
    <t xml:space="preserve">PRIMERA ARS HUMANO </t>
  </si>
  <si>
    <t>Total ARS PRIVADAS</t>
  </si>
  <si>
    <t>Preparado por:</t>
  </si>
  <si>
    <t xml:space="preserve">Licda. </t>
  </si>
  <si>
    <t xml:space="preserve">              Servicio Nacional de Salud                              </t>
  </si>
  <si>
    <t>Glosa /mes</t>
  </si>
  <si>
    <t>Establecimientos</t>
  </si>
  <si>
    <t>Facturado</t>
  </si>
  <si>
    <t>Glosado</t>
  </si>
  <si>
    <t>DIRECCION DE FISCALIZACION</t>
  </si>
  <si>
    <t>FONDO 100</t>
  </si>
  <si>
    <t>CONSOLIDADO GASTOS EJECUCION FINANCIERA 2025</t>
  </si>
  <si>
    <t>Ejecución de Gastos  Fondo (100) 2025</t>
  </si>
  <si>
    <t>FONDO 100(2.1)</t>
  </si>
  <si>
    <t>Enero</t>
  </si>
  <si>
    <t>Febrero</t>
  </si>
  <si>
    <t>Octubre</t>
  </si>
  <si>
    <t>Odontologia (facturacion servicios no contemplado en Plan Basico)</t>
  </si>
  <si>
    <t>________________________________</t>
  </si>
  <si>
    <t>___________________________________</t>
  </si>
  <si>
    <t>____________________________________</t>
  </si>
  <si>
    <t>Balance Conciliado</t>
  </si>
  <si>
    <t>Balance en Banco</t>
  </si>
  <si>
    <t>Balance en libro</t>
  </si>
  <si>
    <t>Cuenta Núm.</t>
  </si>
  <si>
    <t>HOSPITAL MATERNO INFANTIL SAN LORENZO DE LOS MINA</t>
  </si>
  <si>
    <t>ESTABLECIMIENTO: HOSPITAL MATERNO INFANTIL SAN LORENZO DE LOS MINA</t>
  </si>
  <si>
    <t>Corporacion Medica A.G., SRL</t>
  </si>
  <si>
    <t>Abrias Novo Group SRL</t>
  </si>
  <si>
    <t>Lambda Diagnósticos, SRL</t>
  </si>
  <si>
    <t>Farmaco Internacional, SRL</t>
  </si>
  <si>
    <t>Diucam Group SRL</t>
  </si>
  <si>
    <t>Osiris &amp; Co, SA</t>
  </si>
  <si>
    <t>Medequip, SRL</t>
  </si>
  <si>
    <t>Ciencia Tecnología y Consultas, SRL</t>
  </si>
  <si>
    <t>Suplimed, SRL</t>
  </si>
  <si>
    <t>RESUMEN DE GASTOS</t>
  </si>
  <si>
    <t>PAGOS A PROVEEDORES</t>
  </si>
  <si>
    <t>CAJA CHICA</t>
  </si>
  <si>
    <t>NOMINA</t>
  </si>
  <si>
    <t>OTROS GASTOS</t>
  </si>
  <si>
    <t>TOTAL GENERAL</t>
  </si>
  <si>
    <t>Bio Nuclear, SA</t>
  </si>
  <si>
    <t>Antares Pharma, SRL</t>
  </si>
  <si>
    <t>Macrotech Farmacéutica, SRL</t>
  </si>
  <si>
    <t>Destreza Comercial, SRL</t>
  </si>
  <si>
    <t>SENASA LARIMAR</t>
  </si>
  <si>
    <t>EXTRANJEROS</t>
  </si>
  <si>
    <t>Ejecución de Gastos  VENTA SERVICIOS  2025</t>
  </si>
  <si>
    <t>Fecha de registro: hasta el [01] de [01] del [2025]</t>
  </si>
  <si>
    <t>#  Orden de Compra o Servicios</t>
  </si>
  <si>
    <t># DE EXPEDIENTE(PROCESO CELEBRADO)</t>
  </si>
  <si>
    <t>Status del proceso</t>
  </si>
  <si>
    <t>solo observar cuando se presentas esos procesos</t>
  </si>
  <si>
    <t>Grupo Xeron Medic SRL</t>
  </si>
  <si>
    <t>Bio Nova, SRL</t>
  </si>
  <si>
    <t>Gestoria Administrativa Ynuñez S.R.L</t>
  </si>
  <si>
    <t>Bello-Lab, SRL</t>
  </si>
  <si>
    <t>BAAM &amp; Asociados, SRL</t>
  </si>
  <si>
    <t>Medina N Solutions, SRL</t>
  </si>
  <si>
    <t>FONDO 100 (2.3)</t>
  </si>
  <si>
    <t>FONDO 100 (2.6)</t>
  </si>
  <si>
    <t>Otros (INGRESOS EXTRANJEROS )</t>
  </si>
  <si>
    <t>ARS FUTURO</t>
  </si>
  <si>
    <t>010-390450-6</t>
  </si>
  <si>
    <t>DIRECCIÓN DE FISCALIZACIÓN Y CONTROL</t>
  </si>
  <si>
    <t>PROMESE CAL</t>
  </si>
  <si>
    <t>010-026900-0</t>
  </si>
  <si>
    <t>602-500900-0</t>
  </si>
  <si>
    <t>999-510700-0</t>
  </si>
  <si>
    <t>GA INTERPRISE IMPORT, SRL</t>
  </si>
  <si>
    <t>Agua Planeta Azul, SA</t>
  </si>
  <si>
    <t>28 DE FEBRERO 2025</t>
  </si>
  <si>
    <t>31 DE MARZO 2025</t>
  </si>
  <si>
    <t>30 DE ABRIL 2025</t>
  </si>
  <si>
    <t>31 DE MAYO 2025</t>
  </si>
  <si>
    <t>30 DE JUNIO 2025</t>
  </si>
  <si>
    <t>31 DE JULIO 2025</t>
  </si>
  <si>
    <t>30 DE SEPTIEMBRE 2025</t>
  </si>
  <si>
    <t>31 DE AGOSTO 2025</t>
  </si>
  <si>
    <t>.</t>
  </si>
  <si>
    <t>31 DE OCTUBRE 2025</t>
  </si>
  <si>
    <t xml:space="preserve">RELACIÓN DE ORDENES DE COMPRAS DE BIENES Y SERVICIOS EFECTUADAS. </t>
  </si>
  <si>
    <r>
      <t xml:space="preserve">                          </t>
    </r>
    <r>
      <rPr>
        <b/>
        <sz val="14"/>
        <color theme="1"/>
        <rFont val="Calibri"/>
        <family val="2"/>
        <scheme val="minor"/>
      </rPr>
      <t xml:space="preserve">ESTABLECIMIENTO: HOSPITAL MATERNO INFANTIL SAN LORENZO DE LOS MINA                         </t>
    </r>
    <r>
      <rPr>
        <b/>
        <sz val="12"/>
        <color theme="1"/>
        <rFont val="Calibri"/>
        <family val="2"/>
        <scheme val="minor"/>
      </rPr>
      <t>REGION OZAMA</t>
    </r>
  </si>
  <si>
    <t>Express Service Conserg Exsercon, SRL</t>
  </si>
  <si>
    <t>Cristina  Rosario Rosario</t>
  </si>
  <si>
    <t>Jocace, SA</t>
  </si>
  <si>
    <t>Sub-Total INGR. POR FACT DE SERV. DE INSTITUCIONES</t>
  </si>
  <si>
    <t>AYUNTAMIENTO SANTO DOMINGO ESTE</t>
  </si>
  <si>
    <t xml:space="preserve">IV BIODESINFECCION SRL </t>
  </si>
  <si>
    <t>TROPIGAS DOMINICANA SRL</t>
  </si>
  <si>
    <t>NULO</t>
  </si>
  <si>
    <t>Deuda Autogestion</t>
  </si>
  <si>
    <t xml:space="preserve">Reporte clasificacion de deuda por proveedor y por periodos. </t>
  </si>
  <si>
    <t>Nombre del Establecimiento: HOSPITAL MATERNO INFANTIL SAN LORENZO DE LOS MINA</t>
  </si>
  <si>
    <t>No.</t>
  </si>
  <si>
    <t>Proveedor</t>
  </si>
  <si>
    <t>PERIODOS</t>
  </si>
  <si>
    <t>Concepto de Compras</t>
  </si>
  <si>
    <t>Fuente Financiamiento</t>
  </si>
  <si>
    <r>
      <rPr>
        <b/>
        <sz val="11"/>
        <color rgb="FF000000"/>
        <rFont val="Aptos Narrow"/>
        <family val="2"/>
      </rPr>
      <t>≤</t>
    </r>
    <r>
      <rPr>
        <b/>
        <sz val="11"/>
        <color rgb="FF000000"/>
        <rFont val="Calibri"/>
        <family val="2"/>
      </rPr>
      <t>2014</t>
    </r>
  </si>
  <si>
    <t>2015-2019</t>
  </si>
  <si>
    <t>31 DE ENERO 2025</t>
  </si>
  <si>
    <t xml:space="preserve">AMMB IMPORTACION SRL </t>
  </si>
  <si>
    <t xml:space="preserve">INVERSIONES FH SRL </t>
  </si>
  <si>
    <t>PAPELERIA E IMPRESOS CRISHOAN, SRL</t>
  </si>
  <si>
    <t>Dumas Pharmaceuticals, S.R.L.</t>
  </si>
  <si>
    <t>AMMB Importacion, SRL</t>
  </si>
  <si>
    <t>CEM Caribbean Equipment Medical, SRL</t>
  </si>
  <si>
    <t>Insocorp, SRL</t>
  </si>
  <si>
    <t>CRISTINA ROSARIO ROSARIO</t>
  </si>
  <si>
    <t>Morami, SRL</t>
  </si>
  <si>
    <t>HOSPITAL MATERNO INFANTIL SAN LORENZO DE LOS MINAS</t>
  </si>
  <si>
    <t>CORPORACION DEL ACUEDUCTO Y ALCANTARILLADO DE SANTO DOMINGO</t>
  </si>
  <si>
    <t>BAUCOMER, SRL</t>
  </si>
  <si>
    <t>Soluciones de Servicios y Técnicas Altadis, SRL</t>
  </si>
  <si>
    <t>P&amp;D RECYCLING SRL</t>
  </si>
  <si>
    <t>RELACION DE PAGOS EMITIDOS DURANTE EL MES DE NOVIEMBRE 2025</t>
  </si>
  <si>
    <t>Lilian Yomayra Encarnación de Matos</t>
  </si>
  <si>
    <t>BIO NOVA, SRL</t>
  </si>
  <si>
    <t>DELMIRA GARCIA</t>
  </si>
  <si>
    <t>RUDDY SEGURA</t>
  </si>
  <si>
    <t>ALEXANDER MENDEZ CONTRERAS</t>
  </si>
  <si>
    <t>NELSON YNFANTE VELAZQUEZ</t>
  </si>
  <si>
    <t>FREDDY OSCAR RODRIGUEZ RIVAS</t>
  </si>
  <si>
    <t>OVIDIO DE JESUS DURAN CLEMENTE</t>
  </si>
  <si>
    <t>SUBSIDIADO (odontologia)</t>
  </si>
  <si>
    <t>ARS RENACER</t>
  </si>
  <si>
    <t>ARS META SALUD</t>
  </si>
  <si>
    <t>EN PROCESO POR EL AREA DE COMPRAS</t>
  </si>
  <si>
    <t>Empresa Rotricomercial, SRL</t>
  </si>
  <si>
    <t>Hospifar, SRL</t>
  </si>
  <si>
    <t>Global Multi-Pharma Dominicana THM, SRL</t>
  </si>
  <si>
    <t>Air Liquide Dominicana, SAS</t>
  </si>
  <si>
    <t>G &amp; M Gelmat Comercial, SRL</t>
  </si>
  <si>
    <t xml:space="preserve">AMMB IMPORTACION, SRL </t>
  </si>
  <si>
    <t>Ameriline Pharmaceutical, SRL</t>
  </si>
  <si>
    <t>30 DE NOVIEMBRE 2025</t>
  </si>
  <si>
    <t>OBSERVACIONES</t>
  </si>
  <si>
    <t xml:space="preserve">ALTICE DOMINICANA S, A </t>
  </si>
  <si>
    <t xml:space="preserve">TROPIGAS DOMINICANA SRL </t>
  </si>
  <si>
    <t>PRODUCTOS TECNOLOGICOS E INDUSTRIALES JARDIN DEL EDEN EIRL</t>
  </si>
  <si>
    <t>CENTRO DE LA SANGRE Y ESPECIALIDADES SRL</t>
  </si>
  <si>
    <t>GTA ELEVATORS SRL</t>
  </si>
  <si>
    <t>ABRIAS NOVO GROUP SRL</t>
  </si>
  <si>
    <t>SUED &amp; FARGESA SRL</t>
  </si>
  <si>
    <t>MARINO ENRIQUEZ NUÑEZ CASTRO</t>
  </si>
  <si>
    <t>BIO WIN</t>
  </si>
  <si>
    <t>PLANETA AZUL S,A</t>
  </si>
  <si>
    <t xml:space="preserve">SUED &amp; FARGESA SRL  </t>
  </si>
  <si>
    <t xml:space="preserve">DIUCAM GROUP SRL </t>
  </si>
  <si>
    <t xml:space="preserve">ADLER AMICIS VALDEZ MARMOLEJOS  </t>
  </si>
  <si>
    <t>DISTRIBUIDORA ELECTRONICA LAMA SRL</t>
  </si>
  <si>
    <t>EXPRESS SERVICE CONSERG, EXSERCON, SRL</t>
  </si>
  <si>
    <t>PRODUCTOS TECNOLOGICOS E INDUSTRIALES JARDIN DEL EDEN, E.I.R.</t>
  </si>
  <si>
    <t xml:space="preserve">MEDINA SOLUTIONS SRL </t>
  </si>
  <si>
    <t xml:space="preserve">ADLER AMICIS VALDEZ MARMOLEJOS </t>
  </si>
  <si>
    <t xml:space="preserve">PAPELERIA E IMPRESOS CRISHOAN SRL  </t>
  </si>
  <si>
    <t xml:space="preserve">MIGUELINA VAZQUEZ CASTILLO   </t>
  </si>
  <si>
    <t xml:space="preserve">PRODUCTOS CANO SRL     </t>
  </si>
  <si>
    <t xml:space="preserve">T.D INDUGLAS SRL </t>
  </si>
  <si>
    <t>FELIPE ANTONIO MOREY PAULINO</t>
  </si>
  <si>
    <t xml:space="preserve">OFITOP SRL </t>
  </si>
  <si>
    <t>TU AMIGO SRL</t>
  </si>
  <si>
    <t xml:space="preserve">RYS SOLUCIONES E INVERSIONES INTEGRALES SRL </t>
  </si>
  <si>
    <t>KINZHAL  IMPORTS SRL</t>
  </si>
  <si>
    <t>JESUS FERMIN MARTINEZ LOPEZ</t>
  </si>
  <si>
    <t>PRODUCTOS TECNOLOGICOS E INDUSTRIALES JARDIN DEL EDEN, EIRL</t>
  </si>
  <si>
    <t>OSIRIS &amp; CO, SA</t>
  </si>
  <si>
    <t>GESTIONES SANITARIAS &amp; AMBIENTALES, SRL</t>
  </si>
  <si>
    <t>LABORATORIO CLINICO LCDA PATRIA RIVAS, SRL</t>
  </si>
  <si>
    <t>PRODUCCIONES FAGURE, SRL</t>
  </si>
  <si>
    <t>CONSTRUVIO GROUP, SRL</t>
  </si>
  <si>
    <t xml:space="preserve">MEDEQUIP SRL </t>
  </si>
  <si>
    <t>GESTIONES SANITARIAS &amp; AMBIENTALES SRL</t>
  </si>
  <si>
    <t xml:space="preserve">SIERRA SECURITY SRL </t>
  </si>
  <si>
    <t>MCMONY HOLDING SRL</t>
  </si>
  <si>
    <t>SERVICIO DE BIOMEDICINA MEDICO, SRL (SERBIOMED)</t>
  </si>
  <si>
    <t>JT INVESTDENT SRL</t>
  </si>
  <si>
    <t>IMD MEDIC INTER SRL</t>
  </si>
  <si>
    <t xml:space="preserve">P&amp;D RECYCLING SRL </t>
  </si>
  <si>
    <t xml:space="preserve">DUMAS MEDICAL SRL </t>
  </si>
  <si>
    <t xml:space="preserve">ABRIAS NOVO GROUP SRL </t>
  </si>
  <si>
    <t>BIO NOVA SRL</t>
  </si>
  <si>
    <t xml:space="preserve">HOSPITRONICA, SRL  </t>
  </si>
  <si>
    <t xml:space="preserve">CENTRO DE LA SANGRE Y ESPECIALIDADES SRL </t>
  </si>
  <si>
    <t xml:space="preserve">BIO WIN SRL </t>
  </si>
  <si>
    <t>SSP SERVISALUD PREMIUM, SRL</t>
  </si>
  <si>
    <t>COPEM HOSPICLINIC, SRL</t>
  </si>
  <si>
    <t>GESTORIA ADMINISTRATIVA Y NUÑEZ, SRL</t>
  </si>
  <si>
    <t>XAVIER VARGAS INGENIERIA ELECTROMECANICA, EIRL</t>
  </si>
  <si>
    <t>PAGO NCF E4500000020152, E4500000020372 SERVICIO DE COMUNICACIÓN CUENTA 2666630 FECHA DE CORTE 23/11/2025 Y CUENTA 12843802 FECHA DE CORTE 01/12/2025</t>
  </si>
  <si>
    <t>PAGO NCF B1500000322 SERVICIO DE RECOGIDA DE DESECHOS BIOMEDICOS SEGÚN ORDEN DE COMPRA HSLM-2025-01173</t>
  </si>
  <si>
    <t>PAGO NCF B1500005523 ADQUISICION DE GAS LICUADO DE PETROLEO SEGÚN ORDEN DE COMPRA HSLM-2025-00730</t>
  </si>
  <si>
    <t>PAGO NCF B1500056944 POR SERVICIO DE RECOGIDA DE DESECHOS SOLIDOS EN EL MES DE DICIEMBRE 2025</t>
  </si>
  <si>
    <t>PAGO NCF B1500000149 ADQUISICION DE DETERGENTE PARA LAVANDERIA SEGÚN O/C HSLM-2025-01202</t>
  </si>
  <si>
    <t>:  PAGO NCF B1500000421 SERVICIO DE SANGRE Y PLAQUETA SEGÚN O/C HSLM-2025-00428.</t>
  </si>
  <si>
    <t>PAGO NCF B1500000024 MANTENIMIENTO DE ASCENSORES SEGÚN O/C HSLM-2025-01055.</t>
  </si>
  <si>
    <t>PAGO NCF B1500000173 SERVICIO DE DECORACION CON MOTIVO AL DIA DEL PREMATURO  SEGÚN O/C HSLM-2025-01132</t>
  </si>
  <si>
    <t>PAGO NCF E4500500005186 ADQUISICION DE MEDICAMENTOS SEGÚN O/C HSLM-2025-01264.</t>
  </si>
  <si>
    <t>PAGO DE FACT NCF NO. B1500000175, POR ADQUISICION DE CORTINAS HOSPITALARIAS PARA SER UTILIZADAS EN EL AREA DE LEGRADO DE ESTE HOSPITAL, SEGÚN ORDEN DE COMPRA HSLM-2025-01056.</t>
  </si>
  <si>
    <t>PAGO DE FACT NCF NO. B1500000131, POR SERVICIO DE FUMIGACION, SEGÚN ORDEN DE SERVICIO HSLM-2025-01235</t>
  </si>
  <si>
    <t>PAGO DE FACT NCF NO. B1500002661, B1500002663 POR ADQUISICION DE SANGRE DE CARNERO SEGÚN O/C HSLM-2025-01136.</t>
  </si>
  <si>
    <t>PAGO DE FACT NCF NO. B1500001571, POR ADQUISICION DE TIKETS DE COMBUSTIBLE SEGÚN O/C HSLM-2025-01266.</t>
  </si>
  <si>
    <t>PAGO DE FACT NCF NO. E450000012701 POR ADQUISICION DE BOTELLITAS DE AGUA  SEGÚN O/C HSLM-2025-01004</t>
  </si>
  <si>
    <t>PAGO DE FACT NCF NO. E450000020107, E450000020104, E450000020102, POR ADQUISICION DE BOTELLONES  DE AGUA SEGÚN O/C HSLM-2025-00587</t>
  </si>
  <si>
    <t>PAGO DE FACT NCF NO. B1500000128 ADQUISICION DE BATA DESECHABLES MANGA CORTA SEGÚN O/C HSLM-2025-01194</t>
  </si>
  <si>
    <t>PAGO DE FACT NCF NO. E4500000003344 ADQUISICION DE REACTIVOS SEGÚN O/C HSLM-2025-00714</t>
  </si>
  <si>
    <t>PAGO DE FACT NCF NO. B1500000033, B1500000036 ADQUISICION DE UTILES DE LIMPIEZA SEGÚN O/C HSLM-2025-00937</t>
  </si>
  <si>
    <t>PAGO DE FACT NCF NO. B1500000282 SERVICIO DE CONFECCION DE BROCHURE SEGÚN O/C HSLM-2025-01108.</t>
  </si>
  <si>
    <t>PAGO DE FACT NCF NO. B1500000283 ADQUISICION DE PLACAS DE RECONOCIMIENTO SEGÚN O/C HSLM-2025-01152</t>
  </si>
  <si>
    <t>PAGO DE FACT NCF NO. B1500000285 ADQUISICION DE LETREROS SEGÚN O/C HSLM-2025-01225.</t>
  </si>
  <si>
    <t>PAGO DE FACT NCF NO. B1500000286 ADQUISICION DE SEÑALIZACION PARA SER UTILIZADA EN DIFERENTES AREAS DEL HOSPITAL SEGÚN O/C HSLM-2025-00742</t>
  </si>
  <si>
    <t>PAGO DE FACT NCF NO. B1500001361 ADQUISICION DE UTIL MEDICO, SEGÚN ORDEN DE COMPRA HSLM-2025-01170.</t>
  </si>
  <si>
    <t>PAGO DE FACT NCF NO. B1500000160 ADQUISICION DE DETERGENTE PARA LAVANDERIA, SEGÚN ORDEN DE COMPRA HSLM-2025-01202</t>
  </si>
  <si>
    <t>PAGO DE FACT NCF NO. B1500000061 ADQUISICION DE ARTICULOS FERRETEROS   SEGÚN ORDEN DE COMPRA HSLM-2025-01109</t>
  </si>
  <si>
    <t>PAGO DE FACT NCF NO. B1500000053 ADQUISICION DE PRODUCTOS FERRETEROS SEGÚN ORDEN DE COMPRA HSLM-2025-00993</t>
  </si>
  <si>
    <t>PAGO DE FACT NCF NO. B1500000288 ADQUISICION DE CARNETS INSTITUCIONALES SEGÚN ORDEN DE COMPRA HSLM-2025-00483</t>
  </si>
  <si>
    <t>PAGO DE FACT NCF NO. B1500001788 ADQUISICION DE MOBILIARIOS SEGÚN ORDEN DE COMPRA HSLM-2025-01058</t>
  </si>
  <si>
    <t>PAGO DE FACT NCF NO. B1500000558 ADQUISICION DE MATERIALES FERRETEROS SEGÚN ORDEN DE COMPRA HSLM-2025-01101.</t>
  </si>
  <si>
    <t>PAGO DE FACT NCF NO. B1500001464 ADQUISICION DE PAN SEGÚN ORDEN DE COMPRA HSLM-2025-01050</t>
  </si>
  <si>
    <t>PAGO DE FACT NCF NO. B150000363 ADQUISICION DE PUERTA AUTOMATICA AUTOMATICA SEGÚN ORDEN DE COMPRA HSLM-2025-00892</t>
  </si>
  <si>
    <t>PAGO DE FACT NCF NO. B15000134 ADQUISICION DE MATERIALES IMPRESOS SEGÚN ORDEN DE COMPRA HSLM-2025-01104.</t>
  </si>
  <si>
    <t>PAGO DE FACT NCF NO. B1500000170 ADQUISICION DE MOBILIARIOS SEGÚN ORDEN DE COMPRA HSLM-2025-00985.</t>
  </si>
  <si>
    <t>PAGO DE FACT NCF NO. B1500000041 ADQUISICION DE ARBOLITO Y ADORNOS SEGÚN ORDEN DE COMPRA HSLM-2025-01048.</t>
  </si>
  <si>
    <t>PAGO DE FACT NCF NO. B1500000027 ADQUISICION DE TABURETE, ESCALERA Y CUADROS DECORATIVOS SEGÚN ORDEN DE COMPRA HSLM-2025-01150</t>
  </si>
  <si>
    <t>PAGO DE FACT NCF NO. B1500000315 SERVICIO DE BIODESINFECCION SEGÚN ORDEN DE COMPRA HSLM-2025-01268.</t>
  </si>
  <si>
    <t>PAGO DE FACT NCF NO. B1500000322 POR ADQUISICION DE GASOIL SEGÚN ORDEN DE COMPRA HSLM-2025-01245</t>
  </si>
  <si>
    <t>PAGO DE FACT NCF NO. B1500000483 POR ADQUISICION DE MATERIAL GASTABLE DE OFICINA, IMPRESOS Y CALCULADORA SEGÚN ORDEN DE COMPRA HSLM-2025-01215</t>
  </si>
  <si>
    <t>PAGO DE FACT NCF NO. B1500000012 POR ADQUISICION DE EQUIPOS PARA EL AREA DE COSTURA SEGÚN ORDEN DE COMPRA HSLM-2025-01227</t>
  </si>
  <si>
    <t>PAGO DE FACT NCF NO. E450000003601 POR ADQUISICION DE GAS LICUADO DE PETROLEO SEGÚN ORDEN DE COMPRA HSLM-2025-00730</t>
  </si>
  <si>
    <t>PAGO DE FACT NCF NO. B1500000479, B1500000481, POR SERVICIO DE TRANSPORTE SEGÚN ORDEN DE COMPRA HSLM-2025-00709</t>
  </si>
  <si>
    <t>PAGO DE FACT NCF B1500002675, POR ADQUISICION DE SANGRE DE CARNERO, SEGÚN DE COMPRA HSLM-2025-01136</t>
  </si>
  <si>
    <t>PAGO DE FACT NCF NO, B1500000167, POR ADQUISICION DE DETERGENTE PARA LAVANDERIA, SEGÚN ORDEN DE COMPRA HSLM-2025-01202</t>
  </si>
  <si>
    <t>PAGO DE FACT NCF NO. E45000000069, POR ADQUISICION DE REPUESTOS PARA VENTILADORES, SEGÚN ORDEN DE COMPRA HSLM-2025-01269</t>
  </si>
  <si>
    <t>PAGO DE FACT NCF NO E4500000000002, POR SERVICIO DE RECOLECCION Y ANALISIS MICROBIOLOGICO DEL AGUA, SEGÚN ORDEN DE COMPRA HSLM-2025-01153</t>
  </si>
  <si>
    <t>PAGO DE FACT NCF NO E4500000000184, POR SERVICIO DE ESTUDIOS ESPECIALIZADOS A PACIENTES INTERNOS, SEGÚN ORDEN DE COMPRA HSLM-2025-00312</t>
  </si>
  <si>
    <t>PAGO DE FACT NCF B1500000017, POR ADQUISICION DE LAVADORA/SECADORA TIPO TORRE INDUSTRIAL, SEGÚN ORDEN DE COMPRA HSLM-2025-01216</t>
  </si>
  <si>
    <t>PAGO DE FACT NCF NO. B1500000067, POR SERVICIO DE SISTEMA DE LLAVE PARA ASCENSOR SEGÚN ORDEN DE COMPRA HSLM-2025-00663</t>
  </si>
  <si>
    <t>Pago de regencia de drogas controladas del Hospital perteneciente al mes de noviembre y diciembre 2025</t>
  </si>
  <si>
    <t>PAGO NCF B1500000091 ADQUISICION DE BALANZA DIGITAL PEDIATRICA SEGÚN O/C HSLM-2025-01293.</t>
  </si>
  <si>
    <t>PAGO NCF B1500000473 SERVICIO DE ANALISIS DEL AGUA POTABLE SEGÚN O/C HSLM-2025-00748.</t>
  </si>
  <si>
    <t>PAGO NCF E450000000007 ADQUISICION DE BOMBA DOSIFICADORA ELECTONICA   SEGÚN O/C HSLM-2025-01231</t>
  </si>
  <si>
    <t>PAGO NCF E4500000012842 ADQUISICION DE BOTELLITAS DE AGUA SEGÚN O/C HSLM-2025-01004.</t>
  </si>
  <si>
    <t>PAGO NCF BB1500000330 ADQUISICION DE CAMARA DE SEGURIDAD SEGÚN O/C HSLM-2025-01226.</t>
  </si>
  <si>
    <t>PAGO NCF B1500000002 SERVICIO DE CATERING SEGÚN O/C HSLM-2025-01267</t>
  </si>
  <si>
    <t>PAGO DE NCF NO. B1500000258, POR SERVICIO DE MANTENIMIENTO GENERAL DE LOS AUTOCLAVE, SEGÚN ORDEN DE COMPRA HSLM-2025-01338</t>
  </si>
  <si>
    <t>PAGO DE NCF NO. B1500000483, POR SERVICIO DE TRANSPORTE SEGÚN O/C COMPRA HSLM-2025-01315</t>
  </si>
  <si>
    <t>PAGO DE NCF NO. B1500000268, POR ADQUISICION DE INSUMOS DE ODONTOLOGIA DE, SEGÚN ORDEN DE COMPRA HSLM-2025-01265</t>
  </si>
  <si>
    <t>PAGO DE NCF NO. B1500000249, POR ADQUISICION DE GERDEX, SEGÚN ORDEN DE COMPRA HSLM-2025-01332</t>
  </si>
  <si>
    <t>PAGO DE NCF NO. B1500000323, POR SERVICIO DE RECOGIDA DE DESECHOS BIOMEDICOS SEGÚN ORDEN DE COMPRA HSLM-2025-01305</t>
  </si>
  <si>
    <t>PAGO DE NCF NO. E4500000021100, E4500000021097, E4500000020895 E4500000020893, E4500000021439, POR ADQUISICION DE BOTELLONES DE AGUA SEGÚN ORDEN DE COMPRA HSLM-2025-01259</t>
  </si>
  <si>
    <t>PAGO DE NCF NO. B1500000098, POR ADQUISICION DE MEDICAMENTOS SEGÚN ORDEN DE COMPRA HSLM-2025-01183</t>
  </si>
  <si>
    <t>PAGO DE NCF NO. B1500000179, POR ADQUISICION DE INSUMOS LIMPIEZA SEGÚN ORDEN DE COMPRA HSLM-2025-01314</t>
  </si>
  <si>
    <t>PAGO DE NCF NO. E450000000204 POR ADQUISICION DE REACTIVOS PARA LABORATORIO SEGÚN ORDEN DE COMPRA HSLM-2025-01286.</t>
  </si>
  <si>
    <t>PAGO DE FACT NCF NO. B1500000195, POR ADQUISICION DE VENTILADOR, SEGUN ORDEN DE COMPRA HSLM-2025-01340</t>
  </si>
  <si>
    <t>: PAGO DE FACT NCF NO. E45000000002, E450000000003 POR ADQUISICION DE SANGRE PARA PACIENTES INTERNOS, SEGUN ORDEN DE COMPRA HSLM-2025-00428</t>
  </si>
  <si>
    <t>PAGO DE FACT NCF NO. B1500002681, B1500002688, B1500002697, B1500002700, B1500002702 POR ADQUISICION DE SANGRE DE CARNERO, SEGUN ORDEN DE COMPRA HSLM-2025-01136</t>
  </si>
  <si>
    <t>PAGO DE FACT NCF NO. E45000000101, POR ADQUISICION DE UTIL MEDICO, SEGUN ORDEN DE COMPRA HSLM-2025-01330</t>
  </si>
  <si>
    <t>PAGO DE FACT NCF NO. E45000000424, POR ADQUISICION DE UTIL MEDICO, SEGUN ORDEN DE COMPRA HSLM-2025-01295</t>
  </si>
  <si>
    <t>PAGO DE FACT NCF NO. B1500000011, POR ADQUISICION DE UTIL MEDICO, SEGUN ORDEN DE COMPRA HSLM-2025-01327</t>
  </si>
  <si>
    <t>PAGO DE FACT NCF NO. E450000000100, POR ADQUISICION DE UTIL MEDICO, SEGUN ORDEN DE COMPRA HSLM-2025-01317</t>
  </si>
  <si>
    <t>PAGO DE FACT NCF NO. B1500000253, POR SERVICIO DE REPARACION DE SISTEMA VRF IMAGENES, SEGUN ORDEN DE COMPRA HSLM-2025-01134</t>
  </si>
  <si>
    <t>TONER DEPOT MULTISERVICIOS EORG, SRL</t>
  </si>
  <si>
    <t>Grupo Eikova Group, SRL</t>
  </si>
  <si>
    <t>Oficclin Comercial, SRL</t>
  </si>
  <si>
    <t>First Medical Depot By Guzman, SRL</t>
  </si>
  <si>
    <t>Vanguardia Salud, SRL</t>
  </si>
  <si>
    <t>Súper Laptop Browsing, SRL</t>
  </si>
  <si>
    <t>Asenp Quality Consulting,SRL</t>
  </si>
  <si>
    <t>L &amp; C Supply Products, SRL</t>
  </si>
  <si>
    <t>Ropharma, SRL</t>
  </si>
  <si>
    <t>A&amp;S Importadora Medicas, SRL</t>
  </si>
  <si>
    <t>Sean Dominican, SRL</t>
  </si>
  <si>
    <t>Ventas Diversas Farmaceuticas, SRL</t>
  </si>
  <si>
    <t>DISTRIBUIDORA BRITO CONTRERAS, SRL</t>
  </si>
  <si>
    <t>Soluciones Garrido Cedano, SRL</t>
  </si>
  <si>
    <t>SANDRY GOMEZ RODRIGUEZ</t>
  </si>
  <si>
    <t>Ofitop, S.R.L</t>
  </si>
  <si>
    <t>Margayu, SRL</t>
  </si>
  <si>
    <t>OCAP, SRL</t>
  </si>
  <si>
    <t>Grupo Barchi, SRL</t>
  </si>
  <si>
    <t>LINAMED, SRL</t>
  </si>
  <si>
    <t>GAVALSA, SRL</t>
  </si>
  <si>
    <t>Ramisol, SRL</t>
  </si>
  <si>
    <t>Leansan Pharmas, SRL</t>
  </si>
  <si>
    <t>Q&amp;Q Medical RD, SRL</t>
  </si>
  <si>
    <t>Construvio Group, SRL</t>
  </si>
  <si>
    <t>JM Distribución, SRL</t>
  </si>
  <si>
    <t>SSP Servisalud Premium, SRL</t>
  </si>
  <si>
    <t>Khris Aus Pharmacy, S.R.L</t>
  </si>
  <si>
    <t>RONAJUS FARMACEUTICA, SRL</t>
  </si>
  <si>
    <t>MCP Medical Cure Pharmaceutical, SRL</t>
  </si>
  <si>
    <t>Inversiones R &amp; S Di MC, S.R.L</t>
  </si>
  <si>
    <t>Leromed Pharma, SRL</t>
  </si>
  <si>
    <t>HOSANLORE.NOMINA COMPLEMENTARIA FIJO NOVIEMBRE 2025</t>
  </si>
  <si>
    <t>HOSANLORE. NOMINA PAGO VACACIONES NO TOMADAS BENEFICIARIA NOVIEMBRE 2025</t>
  </si>
  <si>
    <t>HOSANLORE. NOMINA PAGO INDEMNIZACION BENEFICIARIA NOVIEMBRE 2025</t>
  </si>
  <si>
    <t>PAGO DE FACT NCF E450000000519 POR SERVICIO DE ALQUILER DE IMPRESORA SEGUN O/C HSLM-2025-00725.</t>
  </si>
  <si>
    <t>PAGO DE FACT NCF B1500001810 POR ADQUISICION DE MATERIAL IMPRESO SEGUN O/C HSLM-2025-01210.</t>
  </si>
  <si>
    <t>PAGO DE FACT NCF E450000008379 POR ADQUISICION DE REACTIVOS SEGUN O/C HSLM-2025-01018.</t>
  </si>
  <si>
    <t>PAGO DE FACT NCF B1500000399 POR SERVICIO DE REPARACION DE VENTILADOR SEGUN O/C HSLM-2025-01118.</t>
  </si>
  <si>
    <t>PAGO DE FACT NCF B1500000248 POR ADQUISICION DE INSTRUMENTOS CONSULTA GINECOLOGIA SEGUN O/C HSLM-2025-00909.</t>
  </si>
  <si>
    <t>PAGO DE FACT NCF B1500000642 POR ADQUISICION DE MEDICAMENTOS SEGUN O/C HSLM-2025-01167.</t>
  </si>
  <si>
    <t>PAGO DE FACT NCF B1500000542 POR SERVICIO DE REPARACION DE TORRE DE LAPARASCOPIA SEGUN O/C HSLM-2025-01107.</t>
  </si>
  <si>
    <t>PAGO DE FACT NCF E450000009040 POR ADQUISICION DE REACTIVOS SEGUN O/C HSLM-2025-01164.</t>
  </si>
  <si>
    <t>PAGO DE FACT NCF E450000009108 POR ADQUISICION DE REACTIVOS SEGU O/C HSLM-2025-01192.</t>
  </si>
  <si>
    <t>PAGO DE FACT NCF B1500000438 POR ADQUISICION DE UTILES MEDICOS Y GEL DE SONOGRAFIA SEGUN O/C HSLM-2025-01200.</t>
  </si>
  <si>
    <t>PAGO DE FACT NCF B1500000187 POR ADQUISICION DE IMPRESORA SEGUN O/C HSLM-2025-01129.</t>
  </si>
  <si>
    <t>PAGO DE FACT NCF B1500000003 POR ADQUISICION DE BOMBA TCI SEGUN O/C HSLM-2025-00768.</t>
  </si>
  <si>
    <t>PAGO DE FACT NCF E450000020395 POR SERVICIO DE AGUA CORRESPONDIENTE AL MES DE DICIEMBRE 2025.</t>
  </si>
  <si>
    <t>PAGO DE FACT NCF B1500000084 POR ADQUISICION DE HORNO DE SECADO DE LABORATORIO SEGUN O/C HSLM-2025-01040.</t>
  </si>
  <si>
    <t>PAGO DE FACT NCF NO. B1500001216, POR ADQUISICION DE UTIL MEDICO, SEGUN ORDEN DE COMPRA HSLM-2025-01248</t>
  </si>
  <si>
    <t>PAGO DE LA FACT NCF NO B1500001370, POR ADQUISICION DE UTILES MEDICOS, SEGÚN ORDEN DE COMPRA HSLM-2025-01237</t>
  </si>
  <si>
    <t>PAGO DE FACT NCF B1500000236 POR ADQUISICION DE SERVIDORES DE INFORMATICA SEGUN O/C HSLM-2025-01182.</t>
  </si>
  <si>
    <t>PAGO DE LA FACT NCF NO B1500001368, POR ADQUISICION DE UTILES MEDICOS, SEGÚN ORDEN DE COMPRA HSLM-2025-01230</t>
  </si>
  <si>
    <t>PAGO FACTURA NCF B1500000329 POR ADQUISICION DE UTILES MEDICOS Y MEDICAMENTOS SEGUN O/C HSLM-2025-01209.</t>
  </si>
  <si>
    <t>PAGO DE FACT NCF B1500000545 POR SERVICIO DE REPARACION DE RAYOS X Y CONFIGURACION DEL SISTEMA SEGUN O/C HSLM-2025-01106.</t>
  </si>
  <si>
    <t>PAGO DE LA FACT NCF NO B1500001366, POR ADQUISICION DE UTILES MEDICOS, SEGÚN ORDEN DE COMPRA HSLM-2025-01232</t>
  </si>
  <si>
    <t>PAGO FACTURA NCF B1500000086 POR ADQUISICION DE MEDICAMENTOS  SEGUN O/C HSLM-2025-01241.</t>
  </si>
  <si>
    <t>PAGO DE FACT NCF NO B1500001484, POR ADQUISICION DE MEDICAMENTOS, SEGUN ORDEN DE COMPRA HSLM-2025-01190</t>
  </si>
  <si>
    <t>PAGO DE FACT NCF B1500000156 POR ADQUISICION DE UTILES MEDICOS SEGUN O/C HSLM-2025-01151.</t>
  </si>
  <si>
    <t>PAGO DE FACT NCF B1500001186 POR ADQUISICION DE UTIL MEDICO SEGUN O/C HSLM-2025-01147.</t>
  </si>
  <si>
    <t>PAGO DE FACT NCF NO B1500000155, POR ADQUISICION DE UTILES MEDICOS, SEGUN ORDEN DE COMPRA HSLM-2025-01144</t>
  </si>
  <si>
    <t>PAGO FACTURA NCF B1500000401 POR ADQUSICION DE MEDICAMENTOS SEGUN O/C HSLM-2025-01163.</t>
  </si>
  <si>
    <t>PAGO DE FACT NCF B1500000643 POR ADQUISICION DE MEDICAMENTOS SEGUN O/C HSLM-2025-01166.</t>
  </si>
  <si>
    <t>PAGO DE FACT NCF NO B1500000205, POR ADQUISICION DE MEDICAMENTOS. SEGUN ORDEN DE COMPRA HSLM-2025-01168</t>
  </si>
  <si>
    <t>PAGO DE FACT NCF NO. B1500000382, POR ADQUISICION DE UTIL MEDICO, SEGUN ORDEN DE COMPRA HSLM-2025-01131</t>
  </si>
  <si>
    <t>PAGO DE FACT NCF NO E450000000268, POR ADQUISICION DE MEDICAMENTO, SEGUN ORDEN DE COMPRA HSLM-2025-01121</t>
  </si>
  <si>
    <t>PAGO DE FACT NCF NO. B1500000157, POR ADQUISICION DE UTIL MEDICO, SEGUN ORDEN DE COMPRA HSLM-2025-01148</t>
  </si>
  <si>
    <t>PAGO DE FACT NCF B1500000158 POR ADQUISICION DE UTIL MEDICO SEGUN O/C HSLM-2025-01149.</t>
  </si>
  <si>
    <t>PAGO FACT NCF B1500002471 POR ADQUISICION DE MEDICAMENTOS SEGUN O/C HSLM-2025-01201.</t>
  </si>
  <si>
    <t>PAGO DE FACT NCF E450000000300 POR ADQUISICION DE MEDICAMENTOS SEGUN O/C HSLM-2025-01139.</t>
  </si>
  <si>
    <t>PAGO DE LA FACT NCF NO E450000000045 POR ADQUISICION DE UTILES MEDICOS, SEGÚN ORDEN DE COMPRA HSLM-2025-01224</t>
  </si>
  <si>
    <t>PAGO FACTURA NCF B1500000154 POR ADQUISICION DE UTIL MEDICO SEGUN O/C HSLM-2025-01145.</t>
  </si>
  <si>
    <t>PAGO DE FACT NCF B1500000204 POR ADQUISICION DE MEDICAMENTOS SEGUN O/C HSLM-2025-01165.</t>
  </si>
  <si>
    <t>PAGO DE LA FACT NCF NO B1500000129 POR ADQUISICION DE UTILES MEDICOS, SEGÚN ORDEN DE COMPRA HSLM-2025-01263</t>
  </si>
  <si>
    <t>PAGO DE LA FACT NCF NO B1500000651 POR ADQUISICION DE MEDICAMENTOS, SEGÚN ORDEN DE COMPRA HSLM-2025-01244</t>
  </si>
  <si>
    <t>PAGO DE FACT NCF B1500000275 POR ADQUISICION DE MEDICAMENTOS SEGUN O/C HSLM-2025-01197.</t>
  </si>
  <si>
    <t>PAGO DE FACT NCF E450000000704 POR ADQUISICION DE UTILES MEDICOS SEGUN O/C HSLM-2025-01127.</t>
  </si>
  <si>
    <t>PAGO DE FACT NCF NO. B1500001188, POR ADQUISICION DE UTIL MEDICO, SEGUN ORDEN DE COMPRA HSLM-2025-01157</t>
  </si>
  <si>
    <t>PAGO FACTURA NCF B1500000328 POR ADQUISICION DE MEDICAMENTOS Y UTILES MEDICOS SEGUN O/C HSLM-2025-01208.</t>
  </si>
  <si>
    <t>PAGO DE FACT NCF NO E450000000059, POR ADQUISICION DE UTIL MEDICO, SEGUN ORDEN DE COMPRA HSLM-2025-01174</t>
  </si>
  <si>
    <t>PAGO DE FACT NCF B1500000247 POR ADQUISICION DE UTILES MEDICOS SEGUN O/C HSLM-2025-00763.</t>
  </si>
  <si>
    <t>PAGO DE FACT NCF NO B1500000317, POR ADQUISICION DE UTIL MEDICO, SEGUN ORDEN DE COMPRA HSLM-2025-01124</t>
  </si>
  <si>
    <t>PAGO DE FACT NCF B1500001485 POR ADQUISICION DE MEDICAMENTOS SEGUN O/C HSLM-2025-01189.</t>
  </si>
  <si>
    <t>PAGO FACT E450000001746 POR ADQUISICION DE UTILES MEDICOS SEGUN O/C HSLM-2025-01084.</t>
  </si>
  <si>
    <t>PAGO DE LA FACT NCF NO B1500001483, POR ADQUISICION DE MEDICAMENTOS, SEGÚN ORDEN DE COMPRA HSLM-2025-01120</t>
  </si>
  <si>
    <t>PAGO DE FACT NCF B1500000404 POR ADQUISICION DE MEDICAMENTOS SEGUN O/C HSLM-2025-01162.</t>
  </si>
  <si>
    <t>PAGO FACTURA NCF B1500000428 POR ADQUISICION UTILES MEDICOS SEGUN O/C HSLM-2025-01103.</t>
  </si>
  <si>
    <t>PAGO DE LA FACT NCF NO B1500001477, POR ADQUISICION DE MEDICAMENTOS, SEGÚN ORDEN DE COMPRA HSLM-2025-01120</t>
  </si>
  <si>
    <t>PAGO DE FACT NCF B1500000400 POR ADQUISICION DE MEDICAMENTOS SEGUN O/C HSLM-2025-01122.</t>
  </si>
  <si>
    <t>PAGO FACTURA NCF E450000000063 POR ADQUISICION DE EQUIPOS MEDICOS SEGUN O/C HSLM-2025-01203.</t>
  </si>
  <si>
    <t>PAGO DE FACT NCF B1500000063 POR ADQUISICION DE ARTICULOS FERRETEROS SEGUN O/C HSLM-2025-01140.</t>
  </si>
  <si>
    <t>PAGO FACTURA CNCF B1500000003 POR ADQUISICION DE ALIMENTOS SEGUN O/C HSLM-2025-01027.</t>
  </si>
  <si>
    <t>PAGO DE FACT NCF NO. B1500000577, POR ADQUISICION DE MEDICAMENTOS, SEGUN ORDEN DE COMPRA HSLM-2025-01002</t>
  </si>
  <si>
    <t>PAGO DE FACT NCF B1500000235 POR ADQUISICION DE EQUIPOS TECNOLOGICOS SEGUN O/C HSLM-2025-01198.</t>
  </si>
  <si>
    <t>PAGO FACTURA NCF B1500000020 POR ADQUISICION DE MOBILIARIOS SEGUN O/C HSLM-2025-01009.</t>
  </si>
  <si>
    <t>PAGO DE FACT NCF B1500000235 POR ADQUISICION DE MOUSE Y TECLADOS SEGUN O/C HSLM-2025-01198.</t>
  </si>
  <si>
    <t>PAGO DE LA FACT NCF NO. B1500000576, POR ADQUISICION DE ALIMENTOS, SEGUN ORDEN DE COMPRA HSLM-2025-01008</t>
  </si>
  <si>
    <t>PAGO FACTURA NCF B1500000020 POR ADQUISICION DE MOBILIARIOS DE OFICINA SEGUN O/C HSLM-2025-01009.</t>
  </si>
  <si>
    <t>PAGO DE FACT NCF NO B1500001481, POR ADQUISICION DE MEDICAMENTOS, SEGUN ORDEN DE COMPRA HSLM-2025-01161</t>
  </si>
  <si>
    <t>PAGO DE FACT NCF B1500001121 POR ADQUISICION DE UTILES MEDICOS Y REACTIVO SEGUN O/C HSLM-2025-01054.</t>
  </si>
  <si>
    <t>PAGO DE FACT NCF B1500001806 POR ADQUISICION DE MOBILIARIO DE OFICINA, BEBEDERO Y NEVERA EJECUTIVA SEGUN O/C HSLM-2025-01141.</t>
  </si>
  <si>
    <t>PAGO DE FACT NCF NO B1500000006, POR ADQUISICION DE REACTIVOS Y UTILES MEDICOS, SEGUN ORDEN DE COMPRA HSLM-2025-01052</t>
  </si>
  <si>
    <t>PAGO DE FACT NCF NO B1500000322, POR ADQUISICION DE CARNES Y EMBUTIDOS, SEGUN ORDEN DE COMPRA HSLM-2025-01116</t>
  </si>
  <si>
    <t>PAGO DE FACT NCF NO B1500000407, POR ADQUISICION DE MEDICAMENTOS, SEGUN ORDEN DE COMPRA HSLM-2025-01262</t>
  </si>
  <si>
    <t>PAGO DE FACT NCF NO B1500000007, POR ADQUISICION DE UTIL MEDICO, SEGUN ORDEN DE COMPRA HSLM-2025-01242</t>
  </si>
  <si>
    <t>PAGO DE FACT NCF NO B1500000160, POR ADQUISICION DE MEDICAMENTOS, SEGUN ORDEN DE COMPRA HSLM-2025-01187</t>
  </si>
  <si>
    <t>PAGO DE FACT NCF NO B1500000003 POR ADQUISICION DE NEVERA EJECUTIVA Y SILLA TIPO CAJERO SEGUN ORDEN DE COMPRA HSLM-2025-00720</t>
  </si>
  <si>
    <t>PAGO DE FACT NCF NO B1500000008 POR ADQUISICION DE UTILES MEDICOS, SEGUN ORDEN DE COMPRA HSLM-2025-01253</t>
  </si>
  <si>
    <t>PAGO DE FACT NCF B1500000177 POR ADQUISICION DE MATERIAL DE LIMPIEZA SEGUN O/C HSLM-2025-01155.</t>
  </si>
  <si>
    <t>PAGO DE FACT NCF B1500000056 POR ADQUISICION DE ALIMENTOS SEGUN O/C HSLM-2025-01113.</t>
  </si>
  <si>
    <t>PAGO DE FACT NCF E450000000273 POR ADQUISICION DE REACTIVOS Y ROLLO DE PRINTER SEGUN O/C HSLM-2025-01178.</t>
  </si>
  <si>
    <t>PAGO DE FACT NCF E4500000026 POR ADQUISICION DE REACTIVOS SEGUN O/C HSLM-2025-01184.</t>
  </si>
  <si>
    <t>PAGO DE FACT NCF B1500000064 POR ADQUISICION DE PINTURAS Y PALO DE PINTURA SEGUN O/C HSLM-2025-01199.</t>
  </si>
  <si>
    <t>PAGO DE FACT NCF B1500000004 POR ADQUISICION DE EQUIPOS MEDICOS DE ANESTESIOLOGIA PEDIATRICA SEGUN O/C HSLM-2025-00752.</t>
  </si>
  <si>
    <t>PAGO DE FACT NCF B1500000403 POR ADQUISICION SERVICIO DE REPARACION DE SONOGRAFO MINDRAY SEGUN O/C HSLM-2025-01180.</t>
  </si>
  <si>
    <t>PAGO DE FACT NCF NO, E450000000417, POR ADQUISICION DE UTIL MEDICO, SEGUN ORDEN DE COMPRA HSLM-2025-01238</t>
  </si>
  <si>
    <t>PAGO FACTURA NCF E450000000144 POR ADQUISICION DE UTIL MEDICO SEGUN O/C HSLM-2025-00894.</t>
  </si>
  <si>
    <t>PAGO DE FACT NCF B1500001127 POR ADQUISICION DE REACTIVOS, UTILES MEDICOS, MARCADORES Y LAPIZ DE CERA AZUL SEGUN O/C HSLM-2025-01176.</t>
  </si>
  <si>
    <t>PAGO DE FACT NCF NO, B1500000131, POR ADQUISICION DE MEDICAMENTOS, SEGUN ORDEN DE COMPRA HSLM-2025-01276</t>
  </si>
  <si>
    <t>PAGO DE FACT NCF NO, B1500000356, POR ADQUISICION DE UTIL MEDICO, SEGUN ORDEN DE COMPRA HSLM-2025-01229</t>
  </si>
  <si>
    <t>PAGO FACTURA NCF B150000089 POR ADQUISICION DE UTILES MEDICOS SEGUN O/C HSLM-2025-01171.</t>
  </si>
  <si>
    <t>PAGO FACTURA NCF E450000000347 POR ADQUISICION DE MEDICAMENTOS SEGUN O/C HSLM-2025-01260.</t>
  </si>
  <si>
    <t>PAGO DE FACT NCF E450000000160 POR ADQUISICION DE UTILES MEDICOS SEGUN O/C HSLM-2025-01246.</t>
  </si>
  <si>
    <t>PAGO DE FACT NCF NO, B1500000335, POR ADQUISICION DE MEDICAMENTOS, SEGUN ORDEN DE COMPRA HSLM-2025-01279</t>
  </si>
  <si>
    <t>PAGO DE FACT NCF B1500000009 POR ADQUISICION DE UTILES MEDICOS SEGUN O/C HSLM-2025-01255.</t>
  </si>
  <si>
    <t>PAGO FACTURA NCF B1500000026 POR ADQUISICION DE MATERIALES DE LIMPIEZA Y ALFOMBRAS SEGUN O/C HSLM-2025-01088.</t>
  </si>
  <si>
    <t>PAGO DE FACT NCF E450000000161 POR ADQUISICION DE UTILES MEDICOS SEGUN O/C HSLM-2025-01247.</t>
  </si>
  <si>
    <t>PAGO DE FACT NCF NO, E450000000358, POR ADQUISICION DE MEDICAMENTOS, SEGUN ORDEN DE COMPRA HSLM-2025-01273</t>
  </si>
  <si>
    <t>PAGO FACT NCF B1500000176 POR  ROTULACION EN VINIL PARA EMERGENCIA PEDIATRICA SEGUN O/C HSLM-2025-01177.</t>
  </si>
  <si>
    <t>PAGO DE FACT NCF B1500001811 POR ADQUISICION DE MOBILIARIOS DE OFICINA SEGUN O/C HSLM-2025-01221.</t>
  </si>
  <si>
    <t>PAGO FACTURA NCF B1500001768  POR ADQUISICION DE SELLOS PRETINTADOS SEGUN O/C HSLM-2025-00911.</t>
  </si>
  <si>
    <t>PAGO DE FACT NCF B1500001442 POR ADQUISICION DE UTILES MEDICOS SEGUN O/C HSLM-2025-00873.</t>
  </si>
  <si>
    <t>PAGO DE FACT NCF E450000000046 POR ADQUISICION DE UTILES MEDICOS SEGUN O/C HSLM-2025-01067.</t>
  </si>
  <si>
    <t>PAGO DE FACT NCF E450000000324 POR ADQUISICION DE UTILES MEDICOS SEGUN O/C HSLM-2025-01080.</t>
  </si>
  <si>
    <t>PAGO DE FACT NCF NO. B1500000133, POR ADQUISICION DE UTIL MEDICO, SEGUN ORDEN DE COMPRA HSLM-2025-01291</t>
  </si>
  <si>
    <t>PAGO DE FACT NCF E450000000046 POR ADQUISICION DE LISADORES Y DILUENTES SEGUN O/C HSLM-2025-01188.</t>
  </si>
  <si>
    <t>PAGO DE FACT NCF E450000000155 POR ADQUISICION DE UTILES MEDICOS SEGUN O/C HSLM-2025-01249.</t>
  </si>
  <si>
    <t>PAGO DE FACT NCF E450000000156 POR ADQUISICION DE UTILES MEDICOS SEGUN O/C HSLM-2025-01252.</t>
  </si>
  <si>
    <t>PAGO FACT NCF B1500000088 POR ADQUISICION DE MEDICAMENTOS SEGUN O/C HSLM-2025-01283.</t>
  </si>
  <si>
    <t>PAGO DE FACT NCF B1500000457 POR ADQUISICION DE BATAS MANGA CORTA DESECHABLE SEGUN O/CH HSLM-2025-01223.</t>
  </si>
  <si>
    <t>PAGO DE FACT NCF B1500000012 POR ADQUISICION DE UTILES MEDICOS SEGUN O/C HSLM-2025-01258.</t>
  </si>
  <si>
    <t>PAGO FACTURA NCF B15000000337 POR ADQUSICION DE PAPEL CAMILLA SEGUN O/C HSLM-2025-01306.</t>
  </si>
  <si>
    <t>PAGO DE FACT NCF B1500000009 POR ADQUISICION DE REACTIVOS Y UTILES MEDICOS SEGUN O/C HSLM-2025-01175.</t>
  </si>
  <si>
    <t>PAGO FACTURA NCF E450000002193 POR ADQUISICION DE UTIL MEDICO SEGUN O/C HSLM-2025-00850.</t>
  </si>
  <si>
    <t>PAGO DE FACT NCF B1500000133 POR SERVICIO DE ADECUACION DE UNIDAD DE ONCOLOGIA-GINECOLOGIA PRIMERA ETAPA DEL PRIMER NIVEL SEGUN O/C HSLM-2025-00394.</t>
  </si>
  <si>
    <t>PAGO DE FACT NCF NO. B1500000256, POR SERVICIO DE SUMINISTRO Y APLICACION DE MEMBRANA DE ASFALTO PARA EL TECHO DEL AREA DE PERINATO, SEGUN ORDEN DE COMPRA HSLM-2025-01213</t>
  </si>
  <si>
    <t>PAGO DE FACT NCF NO. B1500000253, POR SERVICIO DE SUMINISTRO Y APLICACION DE MEMBRANA DE ASFALTO PARA EL TECHO DEL AREA DE LA UNIDAD DE CUIDADOS INTENSIVOS, SEGUN ORDEN DE COMPRA HSLM-2025-01179</t>
  </si>
  <si>
    <t>PAGO DE FACT NCF NO. B1500000255, POR SERVICIO DE SUMINISTRO Y APLICACION DE MEMBRANA DE ASFALTO PARA EL TECHO CIRUGIA PEDIATRICA, SEGUN ORDEN DE COMPRA HSLM-2025-01214</t>
  </si>
  <si>
    <t>PAGO FACTURA NCF B1500000772 POR ADQUISICION DE MEDICAMENTOS SEGUN O/C HSLM-2025-01301.</t>
  </si>
  <si>
    <t>HOSANLORE.NÓMINA SUELDO PERSONAL DE VIGILANCIA DICIEMBRE 2025</t>
  </si>
  <si>
    <t>HOSANLORE.NÓMINA SUELDO TEMPORAL DICIEMBRE 2025</t>
  </si>
  <si>
    <t>PAGO FACTURA NCF B1500000338 POR ADQUISICION DE UTIL MEDICO SEGUN O/C HSLM-2025-001307.</t>
  </si>
  <si>
    <t>PAGO FACTURA NCF B1500000386 POR ADQUISICION DE MEDICAMENTOS SEGUN O/C HSLM-2025-01312.</t>
  </si>
  <si>
    <t>HOSANLORE.NOMINA SUELDO FIJO DICIEMBRE 2025</t>
  </si>
  <si>
    <t>PAGO DE FATC NCF B1500000004 POR ADQUISICION DE ALIMENTOS, ROLLO DE PAPEL ALUMINIO Y SERVILLETA SEGUN O/C HSLM-2025-01126.</t>
  </si>
  <si>
    <t>PAGO DE FACT NCF E450000000037, POR ADQUISICION DE EQUIPOS MEDICOS, SEGUN ORDEN DE COMPRA HSLM-2025-01207</t>
  </si>
  <si>
    <t>PAGO DE FACT NCF E450000000038, POR ADQUISICION DE EQUIPOS MEDICOS, SEGUN ORDEN DE COMPRA HSLM-2025-01193</t>
  </si>
  <si>
    <t>PAGO DE FACT NCF NO. B1500000250, POR ADQUISICION DE BANDEJA PARA HISTERECTOMIA COMPLETA, SEGUN ORDEN DE COMPRA HSLM-2025-00910</t>
  </si>
  <si>
    <t>PAGO DE FACT NCF NO. B1500000249, POR ADQUISICION DE PINZA DE  CAMPO BACKHAUS, SEGUN ORDEN DE COMPRA HSLM-2025-00877</t>
  </si>
  <si>
    <t>PAGO DE FACT NCF E450000002192 POR ADQUISICION DE UTILES MEDICOS SEGUN O/C HSLM-2025-00849.</t>
  </si>
  <si>
    <t>PAGO DE FACT NCF B1500000151 POR ADQUISICION DE UTILES MEDICOS SEGUN O/C HSLM-2025-01125.</t>
  </si>
  <si>
    <t>PAGO DE FACT NCF E450000002087 POR ADQUISICION DE UTILES MEDICOS SEGUN O/C HSLM-2025-01084.</t>
  </si>
  <si>
    <t>PAGO DE FACT NCF NO B1500000130, POR ADQUISICION DE UTIL MEDICO, SEGUN ORDEN DE COMPRA HSLM-2025-01272</t>
  </si>
  <si>
    <t>PAGO DE FACT NCF NO B1500001501, POR ADQUISICION DE MEDICAMENTO, SEGUN ORDEN DE COMPRA HSLM-2025-01297</t>
  </si>
  <si>
    <t>PAGO DE FACT NCF NO. B1500001372, POR ADQUISICION DE UTIL MEDICO, SEGUN ORDEN DE COMPRA HSLM-2025-01234</t>
  </si>
  <si>
    <t>PAGO DE FACT NCF B1500000165 POR ADQUISICION DE UTILES MEDICOS SEGUN O/C HSLM-2025-01275.</t>
  </si>
  <si>
    <t>PAGO DE FACT NCF E450000000374 POR ADQUISICION DE MEDICAMENTOS SEGUNH O/C HSLM-2025-01296.</t>
  </si>
  <si>
    <t>PAGO DE FACT NCF NO. E4500000000453, POR ADQUISICION DE MEDICAMENTOS, SEGÚN ORDEN DE COMPRA HSLM-2025-01261</t>
  </si>
  <si>
    <t>PAGO DE FACT NCF NO. B1500000010, POR ADQUISICION DE UTIL MEDICO, SEGÚN ORDEN DE COMPRA HSLM-2025-01277</t>
  </si>
  <si>
    <t>PAGO DE FACT NCF E450000000606 POR SERVICIO DE ALQUILER DE IMPRESORA SEGUN O/C HSLM-2025-00725.</t>
  </si>
  <si>
    <t>PAGO DE FACT NCF NO. B1500000572, POR ADQUISICION DE UTIL MEDICO, SEGUN ORDEN DE COMPRA HSLM-2025-01257</t>
  </si>
  <si>
    <t>PAGO DE FACT NCF NO B1500000047, POR ADQUISICION DE ALIMENTOS E INSUMOS PARA USO DEL HOSPITAL, SEGUN ORDEN DE COMPRA HSLM-2025-01254</t>
  </si>
  <si>
    <t>PAGO DE FACT NCF NO B1500000211, POR ADQUISICION DE MEDICAMENTOS, SEGUN ORDEN DE COMPRA HSLM-2025-01299</t>
  </si>
  <si>
    <t>PAGO DE FACT NCF NO. B1500000029, POR ADQUSICION DE MOBILIARIO, SEGUN ORDEN DE COMPRA HSLM-2025-01278</t>
  </si>
  <si>
    <t>PAGO DE FACT NCF NO. B1500000048, POR ADQUISICION DE PAPEL DE ALUMINIO, SEGUN ORDEN DE COMPRA HSLM-2025-01288</t>
  </si>
  <si>
    <t>PAGO FACTURA NCF B1500000305 POR ADQUISICION DE GEL LUBRICANTE SEUN O/C HSLM-2025-01294.</t>
  </si>
  <si>
    <t>HOSANLORE. PAGO NOMINA PRESTACIONES LABORALES POR INDEMNIZACION DICIEMBRE 2025</t>
  </si>
  <si>
    <t>PAGO DE FACT NCF NO E450000000068, POR ADQUISICION DE REACTIVOS, SEGUN ORDEN DE COMPRA HSLM-2025-01302</t>
  </si>
  <si>
    <t>PAGO DE FACT NCF NO E450000000318, POR ADQUISICION DE REACTIVOS, SEGUN ORDEN DE COMPRA HSLM-2025-01300</t>
  </si>
  <si>
    <t>PAGO DE FACT NCF NO E450000000218, POR ADQUISICION DE REACTIVOS, SEGUN ORDEN DE COMPRA HSLM-2025-00944</t>
  </si>
  <si>
    <t>PAGO DE FACT NCF NO B1500001141, POR ADQUISICION DE REACTIVOS, SEGUN ORDEN DE COMPRA HSLM-2025-01328</t>
  </si>
  <si>
    <t>PAGO DE FACT NCF NO B1500000096, POR ADQUISICION DE REACTIVOS, SEGUN ORDEN DE COMPRA HSLM-2025-01304</t>
  </si>
  <si>
    <t>PAGO DE FACT NCF NO E4500000009548, POR ADQUISICION DE REACTIVOS, SEGUN ORDEN DE COMPRA HSLM-2025-01287</t>
  </si>
  <si>
    <t>PAGO DE FACT NCF NO. E450000009600, POR ADQUISICION DE REACTIVOS SEGUN ORDEN DE COMPRA HSLM-2025-01316</t>
  </si>
  <si>
    <t>PAGO DE FACT NCF NO B1500000458, POR ADQUISICION DE MEDICAMENTOS, SEGUN ORDEN DE COMPRA HSLM-2025-01274</t>
  </si>
  <si>
    <t>HOSANLORE. NOMINA PAGO VACACIONES NO DISFRUTADAS A EXEMPLEADOS DICIEMBRE 2025</t>
  </si>
  <si>
    <t>PAGO DE FACT NCF NO. B1500000081, POR SERVICIO DE REPARACION Y MODERNIZACION DE ASCENSOR, SEGÚN ORDEN DE COMPRA HSLM-2025-01133</t>
  </si>
  <si>
    <t>PAGO DE FACT NCF NO. B1500000014, POR ADQUISICION DE MEDICAMENTOS, SEGUN ORDEN DE COMPRA HSLM-2025-01309</t>
  </si>
  <si>
    <t>PAGO DE FACT NCF NO. E450000000231, POR ADQUISICION DE REACTIVOS, SEGUN ORDEN DE COMPRA HSLM-2025-01047</t>
  </si>
  <si>
    <t>PAGO DE FACT NCF NO. B1500000340, POR ADQUISICION DE DESECHABLES, SEGUN ORDEN DE COMPRA HSLM-2025-01159</t>
  </si>
  <si>
    <t>PAGO DE FACT NCF NO. B1500000098, POR ADQUISICION REACTIVOS, SEGUN ORDEN DE COMPRA HSLM-2025-01329</t>
  </si>
  <si>
    <t>PAGO FACTURA NCF E450000000097 POR ADQUISICION DE ALCOHOL ISOPROPILICO SEGUN O/C HSLM-2025-01318.</t>
  </si>
  <si>
    <t>PAGO DE FACT NCF NO B1500000184, POR ADQUISICION DE MEDICAMENTOS, SEGUN ORDEN DE COMPRA HSLM-2025-01333</t>
  </si>
  <si>
    <t>PAGO DE FACT NCF NO. B1500000134, POR ADQUISICION DE UTIL MEDICO, SEGUN ORDEN DE COMPRA HSLM-2025-01292</t>
  </si>
  <si>
    <t>HOSANLORE. PAGO NOMINA COMPENSACION EXTRAORDINARIA ANUAL AÑO 2025</t>
  </si>
  <si>
    <t>PAGO DE FACT NCF NO B1500000028, POR SERVICIO DE ADECUACION AREA SALA DE ESPERA UCI, SEGUN ORDEN DE COMPRA HSLM-2025-01239</t>
  </si>
  <si>
    <t>PAGO DE FACT NCF NO B1500000341, POR ADQUISICION DE SENSORES DE OXIMETRO NEONATAL, SEGUN ORDEN DE COMPRA HSLM-2025-01335</t>
  </si>
  <si>
    <t>PAGO DE FACT NCF NO B1500001611, POR ADQUISICION DE UTIL MEDICO, SEGUN ORDEN DE COMPRA HSLM-2025-01319</t>
  </si>
  <si>
    <t>PAGO DE FACT NCF NO B1500000180, POR ADQUISICION DE MEDICAMENTOS, SEGUN ORDEN DE COMPRA HSLM-2025-01290</t>
  </si>
  <si>
    <t>PAGO DE FACT NCF NO B1500000076, POR ADQUISICION DE MEDICAMENTOS, SEGUN ORDEN DE COMPRA HSLM-2025-01308</t>
  </si>
  <si>
    <t>PAGO DE FACT NCF NO B1500001614, POR ADQUISICION DE MEDICAMENTOS, SEGUN ORDEN DE COMPRA HSLM-2025-01334</t>
  </si>
  <si>
    <t>PAGO DE FACT NCF NO B1500000185, POR ADQUISICION DE MEDICAMENTOS, SEGUN ORDEN DE COMPRA HSLM-2025-01336</t>
  </si>
  <si>
    <t>PAGO DE FACT NCF NO B1500000182, POR ADQUISICION DE MEDICAMENTOS, SEGUN ORDEN DE COMPRA HSLM-2025-01311</t>
  </si>
  <si>
    <t>PAGO DE FACT NCF NO E450000000063, POR ADQUISICION DE UTIL MEDICO, SEGUN ORDEN DE COMPRA HSLM-2025-01284</t>
  </si>
  <si>
    <t>PAGO DE FACT NCF NO B1500000173, POR ADQUISICION DE UTIL MEDICO, SEGUN EXPEDIENTE HSLM-DAF-CM-2025-0364</t>
  </si>
  <si>
    <t>PAGO DE FACT NCF NO B1500000411 POR ADQUISICION DE VENTILADOR MECANICO, SEGUN ORDEN DE COMPRA HSLM-2025-01320</t>
  </si>
  <si>
    <t>PAGO DE FACT NCF NO B1500000412 POR ADQUISICION DE VENTILADOR MECANICO, SEGUN ORDEN DE COMPRA HSLM-2025-01321</t>
  </si>
  <si>
    <t>PAGO DE FACT NCF NO. B1500000134, POR SERVICIO DE ADECUACION Y REMOZAMIENTO, UNIDAD DE ONCOLOGIA-GINECOLOGIA SEGUNDA ETAPA PRIMER NIVEL, SEGUN ORDEN DE COMPRA HSLM-2025-00393</t>
  </si>
  <si>
    <t>PAGO DE FACT VARIAS CORRESPONDIENTE A LOS MESES DE OCTUBRE-NOVIEMBRE Y DICIEMBRE 2025, POR SERVICIO DE OXIGENO MEDICO, CONTRATO No. BS-0015088-2023,</t>
  </si>
  <si>
    <t>PAGO DE FACT NCF CORRESPONDIENTE AL MES DICIEMBRE 2025, POR SERVICIO DE RELLENADO DE TANQUES DE OXIGENO DEL HOSPITAL, SEGUN ORDEN DE COMPRA HSLM-2025-01303</t>
  </si>
  <si>
    <t>PAGO DE FACT NCF NO B1500000108, POR SUMINISTRO E INSTALACION DE PUERTA DE DOS HOJAS, PUERTA DE ALUMINIO, ACEERO INOXIDABLE, SEGUN ORDEN DE COMPRA HSLM-2025-01075</t>
  </si>
  <si>
    <t>PAGO DE FACT NCF NO B1500000015, POR ADQUISICION DE UTIL MEDICO, SEGUN ORDEN DE COMPRA HSLM-2025-01343</t>
  </si>
  <si>
    <t>PAGO DE FACT NCF NO. B1500001140, POR ADQUISICION DE REACTIVOS, SEGUN ORDEN DE COMPRA HSLM-2025-01322</t>
  </si>
  <si>
    <t>PAGO DE FACT NCF NO E450000000025, POR ADQUISICION DE MEDICAMENTOS, SEGUN ORDEN DE COMPRA HSLM-2025-01326</t>
  </si>
  <si>
    <t>PAGO DE FACT NCF NO B1500000010, POR ADQUISICION DE REACTIVOS SEGUN ORDEN DE COMPRA HSLM-2025-01323</t>
  </si>
  <si>
    <t>PAGO DE FACT NCF NO E450000000210, POR ADQUISICION DE REACTIVOS SEGUN ORDEN DE COMPRA HSLM-2025-01289</t>
  </si>
  <si>
    <t>PAGO DE FACT NCF B1500000090 POR ADQUISICION DE BANCADAS PARA 4 PERSONAS Y MANOMETRO PARA TANQUE DE OXIGENO SEGUN O/C HSLM-2025-01271.</t>
  </si>
  <si>
    <t>PAGO DE FACT NCF E450000009784 POR ADQUISICION DE HORNO PARA DESPARAFINAR TEJIDOS SEGUN O/C HSLM-2025-01310.</t>
  </si>
  <si>
    <t>PAGO DE FACT NCF NO. B1500001519, POR ADQUISICION DE MEDICAMENTOS, SEGUN ORDEN DE COMPRA HSLM-2025-01282</t>
  </si>
  <si>
    <t>PAGO DE FACT NCF NO E450000009761, POR ADQUISICION DE REACTIVOS, SEGUN ORDEN DE COMPRA HSLM-2025-01339</t>
  </si>
  <si>
    <t>PAGO DE FACT NCF NO E450000000041, POR ADQUISICION DE REACTIVOS, SEGUN ORDEN DE COMPRA HSLM-2025-01281</t>
  </si>
  <si>
    <t>PAGO DE FACT NCF NO B1500000091, POR ADQUISICION DE REACTIVOS, SEGUN ORDEN DE COMPRA HSLM-2025-01068</t>
  </si>
  <si>
    <t>01/12/2025</t>
  </si>
  <si>
    <t>02/12/2025</t>
  </si>
  <si>
    <t>03/12/2025</t>
  </si>
  <si>
    <t>04/12/2025</t>
  </si>
  <si>
    <t>05/12/2025</t>
  </si>
  <si>
    <t>09/12/2025</t>
  </si>
  <si>
    <t>10/12/2025</t>
  </si>
  <si>
    <t>11/12/2025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</si>
  <si>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</si>
  <si>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</si>
  <si>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</si>
  <si>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</si>
  <si>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</si>
  <si>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</si>
  <si>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</si>
  <si>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</si>
  <si>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</si>
  <si>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</si>
  <si>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26/12/2025</t>
  </si>
  <si>
    <t>29/12/2025</t>
  </si>
  <si>
    <t>30/12/2025</t>
  </si>
  <si>
    <t>31/12/2025</t>
  </si>
  <si>
    <t>YISAURI MONTAS</t>
  </si>
  <si>
    <t>OLEGARIO GUERRERO</t>
  </si>
  <si>
    <t>ELVIS EMMANUEL DE LA ROSA NUÑEZ</t>
  </si>
  <si>
    <t>RAUL PATRICIO CARVAJAL BERBERE</t>
  </si>
  <si>
    <t>BELARMINIO GARCIA BATISTA</t>
  </si>
  <si>
    <t>CRISTIAN ERASMO VENTURA</t>
  </si>
  <si>
    <t xml:space="preserve">CARIBBEAN EQUIPMENT MEDICAL, SRL </t>
  </si>
  <si>
    <t>PAGO FACTURA NCF B1500001496 POR ADQUISICION DE CARTUCHOS PARA GASES ARTERIALES SEGUN O/C HSLM-2025-00745</t>
  </si>
  <si>
    <t>FARMACIA RUTH SRL</t>
  </si>
  <si>
    <t>PAGO NCF B1500000289, B1500000314, B1500000351, B1500000284, B1500000316 B1500000360 ADQUISICION DE MEDICAMENTOS SEGÚN O/S 1937 PRIMER PAGO DE LA ORDEN.</t>
  </si>
  <si>
    <t>PAGO NCF B1500000372, B1500000371, B1500000377, B1500000382, B1500000384,  POR ADQUISICION DE MEDICAMENTOS Y UTILES MEDICOS SEGÚN O/S 0069</t>
  </si>
  <si>
    <t xml:space="preserve">GALVASA, SRL </t>
  </si>
  <si>
    <t>PAGO DE FACT NCF NO. B1500000254, POR SERVICIO DE SUMINISTRO Y APLICACION DE MEMBRANA DE ASFALTO PARA EL TECHO BLOQUE QUIRURGICO, SEGUN ORDEN DE COMPRA HSLM-2025-01181.</t>
  </si>
  <si>
    <t>CENTRO DE ESTUDIOS MEDICOS Y DIAGNOSTICOS POR IMÁGENES SRL</t>
  </si>
  <si>
    <t>PAGO NCF B1500000413, B1500000419 SERVICIO DE ESTUDIOS ESPECIALIZADOS A PACIENTES INTERNOS</t>
  </si>
  <si>
    <t>HSML-2025-01265</t>
  </si>
  <si>
    <t>HSLM-DAF-CM-2025-0332</t>
  </si>
  <si>
    <t>HSML-2025-01243</t>
  </si>
  <si>
    <t>HSLM-DAF-CD-2025-0959</t>
  </si>
  <si>
    <t>HSML-2025-01240</t>
  </si>
  <si>
    <t>HSLM-DAF-CD-2025-0960</t>
  </si>
  <si>
    <t>HSML-2025-01269</t>
  </si>
  <si>
    <t>HSLM-DAF-CM-2025-0333</t>
  </si>
  <si>
    <t>HSML-2025-01270</t>
  </si>
  <si>
    <t>HSLM-DAF-CM-2025-0334</t>
  </si>
  <si>
    <t>HSML-2025-01267</t>
  </si>
  <si>
    <t>HSLM-DAF-CM-2025-0335</t>
  </si>
  <si>
    <t>HSML-2025-01252</t>
  </si>
  <si>
    <t>HSLM-DAF-CD-2025-0961</t>
  </si>
  <si>
    <t>HSML-2025-01257</t>
  </si>
  <si>
    <t>HSLM-DAF-CD-2025-0962</t>
  </si>
  <si>
    <t>HSML-2025-01313</t>
  </si>
  <si>
    <t>HSLM-DAF-CM-2025-0336</t>
  </si>
  <si>
    <t>HSML-2025-01275</t>
  </si>
  <si>
    <t>HSLM-DAF-CM-2025-0340</t>
  </si>
  <si>
    <t>HSML-2025-01258</t>
  </si>
  <si>
    <t>HSLM-DAF-CD-2025-0963</t>
  </si>
  <si>
    <t>HSML-2025-01282</t>
  </si>
  <si>
    <t>HSLM-DAF-CM-2025-0337</t>
  </si>
  <si>
    <t>HSML-2025-01263</t>
  </si>
  <si>
    <t>HSLM-DAF-CD-2025-0964</t>
  </si>
  <si>
    <t>HSML-2025-01276</t>
  </si>
  <si>
    <t>HSLM-DAF-CM-2025-0339</t>
  </si>
  <si>
    <t>HSML-2025-01277</t>
  </si>
  <si>
    <t>HSLM-DAF-CM-2025-0338</t>
  </si>
  <si>
    <t>HSML-2025-01259</t>
  </si>
  <si>
    <t>HSLM-DAF-CD-2025-0965</t>
  </si>
  <si>
    <t>HSML-2025-01260</t>
  </si>
  <si>
    <t>HSLM-DAF-CD-2025-0966</t>
  </si>
  <si>
    <t>HSML-2025-01261</t>
  </si>
  <si>
    <t>HSLM-DAF-CD-2025-0967</t>
  </si>
  <si>
    <t>HSML-2025-01262</t>
  </si>
  <si>
    <t>HSLM-DAF-CD-2025-0968</t>
  </si>
  <si>
    <t>HSML-2025-01320</t>
  </si>
  <si>
    <t>HSLM-DAF-CM-2025-0341</t>
  </si>
  <si>
    <t>HSML-2025-01264</t>
  </si>
  <si>
    <t>HSLM-DAF-CD-2025-0969</t>
  </si>
  <si>
    <t>HSML-2025-01303</t>
  </si>
  <si>
    <t>HSLM-CCC-PEPU-2025-0001</t>
  </si>
  <si>
    <t>HSML-2025-01266</t>
  </si>
  <si>
    <t>HSLM-DAF-CD-2025-0970</t>
  </si>
  <si>
    <t>HSML-2025-01268</t>
  </si>
  <si>
    <t>HSLM-DAF-CD-2025-0971</t>
  </si>
  <si>
    <t>HSML-2025-01287</t>
  </si>
  <si>
    <t>HSLM-DAF-CM-2025-0344</t>
  </si>
  <si>
    <t>HSML-2025-01289</t>
  </si>
  <si>
    <t>HSLM-DAF-CD-2025-0972</t>
  </si>
  <si>
    <t>HSML-2025-01297</t>
  </si>
  <si>
    <t>HSLM-DAF-CM-2025-0343</t>
  </si>
  <si>
    <t>HSML-2025-01299</t>
  </si>
  <si>
    <t>HSLM-DAF-CM-2025-0345</t>
  </si>
  <si>
    <t>HSML-2025-01308</t>
  </si>
  <si>
    <t>HSLM-DAF-CM-2025-0346</t>
  </si>
  <si>
    <t>HSML-2025-01300</t>
  </si>
  <si>
    <t>HSLM-DAF-CM-2025-0349</t>
  </si>
  <si>
    <t>HSLM-DAF-CM-2025-0347</t>
  </si>
  <si>
    <t>HSML-2025-01271</t>
  </si>
  <si>
    <t>HSLM-DAF-CD-2025-0974</t>
  </si>
  <si>
    <t>HSML-2025-01301</t>
  </si>
  <si>
    <t>HSLM-DAF-CM-2025-0352</t>
  </si>
  <si>
    <t>HSML-2025-01298</t>
  </si>
  <si>
    <t>HSLM-DAF-CM-2025-0350</t>
  </si>
  <si>
    <t>HSML-2025-01272</t>
  </si>
  <si>
    <t>HSLM-DAF-CD-2025-0975</t>
  </si>
  <si>
    <t>HSML-2025-01274</t>
  </si>
  <si>
    <t>HSLM-DAF-CD-2025-0976</t>
  </si>
  <si>
    <t>HSML-2025-01273</t>
  </si>
  <si>
    <t>HSLM-DAF-CD-2025-0977</t>
  </si>
  <si>
    <t>HSML-2025-01305</t>
  </si>
  <si>
    <t>HSLM-DAF-CM-2025-0351</t>
  </si>
  <si>
    <t>HSML-2025-01302</t>
  </si>
  <si>
    <t>HSLM-DAF-CM-2025-0353</t>
  </si>
  <si>
    <t>HSML-2025-01285</t>
  </si>
  <si>
    <t>HSLM-DAF-CD-2025-0978</t>
  </si>
  <si>
    <t>HSML-2025-01279</t>
  </si>
  <si>
    <t>HSLM-DAF-CD-2025-0979</t>
  </si>
  <si>
    <t>HSML-2025-01322</t>
  </si>
  <si>
    <t>HSLM-DAF-CM-2025-0356</t>
  </si>
  <si>
    <t>HSML-2025-01323</t>
  </si>
  <si>
    <t>HSML-2025-01304</t>
  </si>
  <si>
    <t>HSLM-DAF-CM-2025-0357</t>
  </si>
  <si>
    <t>HSML-2025-01321</t>
  </si>
  <si>
    <t>HSLM-DAF-CM-2025-0354</t>
  </si>
  <si>
    <t>HSML-2025-01306</t>
  </si>
  <si>
    <t>HSLM-DAF-CM-2025-0355</t>
  </si>
  <si>
    <t>HSML-2025-01278</t>
  </si>
  <si>
    <t>HSLM-DAF-CD-2025-0980</t>
  </si>
  <si>
    <t>HSML-2025-01280</t>
  </si>
  <si>
    <t>HSLM-DAF-CD-2025-0981</t>
  </si>
  <si>
    <t>HSML-2025-01284</t>
  </si>
  <si>
    <t>HSLM-DAF-CD-2025-0983</t>
  </si>
  <si>
    <t>HSML-2025-01283</t>
  </si>
  <si>
    <t>HSLM-DAF-CD-2025-0982</t>
  </si>
  <si>
    <t>HSML-2025-01307</t>
  </si>
  <si>
    <t>HSLM-DAF-CD-2025-0984</t>
  </si>
  <si>
    <t>HSML-2025-01291</t>
  </si>
  <si>
    <t>HSLM-DAF-CD-2025-0985</t>
  </si>
  <si>
    <t>HSML-2025-01292</t>
  </si>
  <si>
    <t>HSLM-DAF-CD-2025-0987</t>
  </si>
  <si>
    <t>HSML-2025-01286</t>
  </si>
  <si>
    <t>HSLM-DAF-CD-2025-0986</t>
  </si>
  <si>
    <t>HSML-2025-01290</t>
  </si>
  <si>
    <t>HSLM-DAF-CD-2025-0988</t>
  </si>
  <si>
    <t>HSML-2025-01339</t>
  </si>
  <si>
    <t>HSLM-DAF-CD-2025-0989</t>
  </si>
  <si>
    <t>HSML-2025-01309</t>
  </si>
  <si>
    <t>HSLM-DAF-CM-2025-0358</t>
  </si>
  <si>
    <t>HSML-2025-01319</t>
  </si>
  <si>
    <t>HSLM-DAF-CM-2025-0359</t>
  </si>
  <si>
    <t>HSML-2025-01288</t>
  </si>
  <si>
    <t>HSLM-DAF-CD-2025-0991</t>
  </si>
  <si>
    <t>HSML-2025-01295</t>
  </si>
  <si>
    <t>HSLM-DAF-CD-2025-0990</t>
  </si>
  <si>
    <t>HSML-2025-01294</t>
  </si>
  <si>
    <t>HSLM-DAF-CD-2025-0992</t>
  </si>
  <si>
    <t>HSML-2025-01296</t>
  </si>
  <si>
    <t>HSLM-DAF-CD-2025-0993</t>
  </si>
  <si>
    <t>HSML-2025-01293</t>
  </si>
  <si>
    <t>HSLM-DAF-CD-2025-0994</t>
  </si>
  <si>
    <t>HSML-2025-01310</t>
  </si>
  <si>
    <t>HSLM-DAF-CD-2025-0995</t>
  </si>
  <si>
    <t>HSML-2025-01311</t>
  </si>
  <si>
    <t>HSLM-DAF-CD-2025-0996</t>
  </si>
  <si>
    <t>HSML-2025-01312</t>
  </si>
  <si>
    <t>HSLM-DAF-CD-2025-0997</t>
  </si>
  <si>
    <t>HSML-2025-01318</t>
  </si>
  <si>
    <t>HSLM-DAF-CD-2025-0998</t>
  </si>
  <si>
    <t>HSML-2025-01314</t>
  </si>
  <si>
    <t>HSLM-DAF-CD-2025-0999</t>
  </si>
  <si>
    <t>HSML-2025-01317</t>
  </si>
  <si>
    <t>HSLM-DAF-CD-2025-1000</t>
  </si>
  <si>
    <t>HSLM-DAF-CD-2025-1001</t>
  </si>
  <si>
    <t>HSML-2025-01330</t>
  </si>
  <si>
    <t>HSLM-DAF-CM-2025-0360</t>
  </si>
  <si>
    <t>HSML-2025-01315</t>
  </si>
  <si>
    <t>HSLM-DAF-CD-2025-1002</t>
  </si>
  <si>
    <t>cancelado</t>
  </si>
  <si>
    <t>HSLM-DAF-CD-2025-1003</t>
  </si>
  <si>
    <t>HSML-2025-01326</t>
  </si>
  <si>
    <t>HSLM-DAF-CD-2025-1004</t>
  </si>
  <si>
    <t>HSML-2025-01324</t>
  </si>
  <si>
    <t>HSLM-DAF-CD-2025-1005</t>
  </si>
  <si>
    <t>HSML-2025-01325</t>
  </si>
  <si>
    <t>HSLM-DAF-CD-2025-1006</t>
  </si>
  <si>
    <t>HSML-2025-01337</t>
  </si>
  <si>
    <t>HSLM-DAF-CM-2025-0361</t>
  </si>
  <si>
    <t>HSML-2025-01338</t>
  </si>
  <si>
    <t>HSLM-DAF-CM-2025-0362</t>
  </si>
  <si>
    <t>HSML-2025-01340</t>
  </si>
  <si>
    <t>HSLM-DAF-CM-2025-0363</t>
  </si>
  <si>
    <t>HSML-2025-01342</t>
  </si>
  <si>
    <t>HSLM-DAF-CM-2025-0364</t>
  </si>
  <si>
    <t>HSML-2025-01343</t>
  </si>
  <si>
    <t>HSLM-DAF-CM-2025-0365</t>
  </si>
  <si>
    <t>HSML-2025-01329</t>
  </si>
  <si>
    <t>HSLM-DAF-CD-2025-1007</t>
  </si>
  <si>
    <t>HSML-2025-01327</t>
  </si>
  <si>
    <t>HSLM-DAF-CD-2025-1008</t>
  </si>
  <si>
    <t>HSML-2025-01328</t>
  </si>
  <si>
    <t>HSML-2025-01331</t>
  </si>
  <si>
    <t>HSLM-DAF-CD-2025-1009</t>
  </si>
  <si>
    <t>HSML-2025-01332</t>
  </si>
  <si>
    <t>HSLM-DAF-CD-2025-1011</t>
  </si>
  <si>
    <t>HSML-2025-01333</t>
  </si>
  <si>
    <t>HSLM-DAF-CD-2025-1010</t>
  </si>
  <si>
    <t>HSML-2025-01335</t>
  </si>
  <si>
    <t>HSLM-DAF-CD-2025-1012</t>
  </si>
  <si>
    <t>HSML-2025-01334</t>
  </si>
  <si>
    <t>HSLM-DAF-CD-2025-1013</t>
  </si>
  <si>
    <t>HSML-2025-01347</t>
  </si>
  <si>
    <t>HSLM-DAF-CM-2025-0366</t>
  </si>
  <si>
    <t>HSML-2025-01336</t>
  </si>
  <si>
    <t>HSLM-DAF-CD-2025-1014</t>
  </si>
  <si>
    <t>HSML-2025-01344</t>
  </si>
  <si>
    <t>HSLM-DAF-CM-2025-0367</t>
  </si>
  <si>
    <t>HSML-2025-01345</t>
  </si>
  <si>
    <t>HSLM-DAF-CM-2025-0368</t>
  </si>
  <si>
    <t>HSML-2025-01341</t>
  </si>
  <si>
    <t>HSLM-DAF-CD-2025-1015</t>
  </si>
  <si>
    <t>HSML-2025-01346</t>
  </si>
  <si>
    <t>HSLM-DAF-CD-2025-1016</t>
  </si>
  <si>
    <t>FG/VS</t>
  </si>
  <si>
    <t>Equipos y suministros dentales</t>
  </si>
  <si>
    <t>Adjudicado</t>
  </si>
  <si>
    <t>Capegar, SRL</t>
  </si>
  <si>
    <t>Elementos  y  gases</t>
  </si>
  <si>
    <t>Sonicru, S.R.L.</t>
  </si>
  <si>
    <t>Calefacción, ventilación y circulación del aire</t>
  </si>
  <si>
    <t>Maquinaria,  equipo  y  suministros  de  procesos  industriales</t>
  </si>
  <si>
    <t>Servicios de mantenimiento y reparaciones de construcciones e instalaciones</t>
  </si>
  <si>
    <t>Mcmony Holding, SRL</t>
  </si>
  <si>
    <t>Restaurantes y catering (servicios de comidas y bebidas)</t>
  </si>
  <si>
    <t>Suministros, productos de tratamiento y cuidado del enfermo</t>
  </si>
  <si>
    <t>Toner Depot Multiservicios EORG, SRL</t>
  </si>
  <si>
    <t>Servicios de reproducción</t>
  </si>
  <si>
    <t>Productos de examen y control del paciente</t>
  </si>
  <si>
    <t>Medicamentos para el sistema nervioso central</t>
  </si>
  <si>
    <t>AMMB Importación, SRL</t>
  </si>
  <si>
    <t>Productos para administración intravenosa y arterial</t>
  </si>
  <si>
    <t>Medicamentos que afectan al sistema gastrointestinal</t>
  </si>
  <si>
    <t>Telas y vestidos médicos</t>
  </si>
  <si>
    <t>Planeta Azul, SA</t>
  </si>
  <si>
    <t>Bebidas</t>
  </si>
  <si>
    <t>Medicamentos hematólogos</t>
  </si>
  <si>
    <t>Medicamentos antiinfecciosos</t>
  </si>
  <si>
    <t>Hormonas y antagonistas hormonales</t>
  </si>
  <si>
    <t>Productos de resucitación, anestesia y respiratorio</t>
  </si>
  <si>
    <t>Sued &amp; Fargesa, SRL</t>
  </si>
  <si>
    <t>Agentes antitumorales</t>
  </si>
  <si>
    <t>INVERSIONES FH, SRL</t>
  </si>
  <si>
    <t>Combustibles</t>
  </si>
  <si>
    <t>I.V. Biodesinfección, SRL</t>
  </si>
  <si>
    <t>Servicios de descontaminación</t>
  </si>
  <si>
    <t>Instrumentos de medida, observación y ensayo</t>
  </si>
  <si>
    <t>Dumas Pharmaceuticals, SRL</t>
  </si>
  <si>
    <t>Baucomer, SRL</t>
  </si>
  <si>
    <t>Equipo de laboratorio y científico</t>
  </si>
  <si>
    <t>P&amp;D Recycling, SRL</t>
  </si>
  <si>
    <t>Eliminación y tratamiento de desechos</t>
  </si>
  <si>
    <t>Tratamientos de ventanas</t>
  </si>
  <si>
    <t>ELECTRONICA LAMA SRL</t>
  </si>
  <si>
    <t>Electrónica de consumo</t>
  </si>
  <si>
    <t>Medicamentos cardiovasculares</t>
  </si>
  <si>
    <t>Productos para el cuidado de heridas</t>
  </si>
  <si>
    <t>Medicamentos que afectan al sistema respiratorio</t>
  </si>
  <si>
    <t>Ronajus Farmaceutica, SRL</t>
  </si>
  <si>
    <t>Productos medicinales de deportes y ortopédicos y prótesis</t>
  </si>
  <si>
    <t>Papel  para  uso  industrial</t>
  </si>
  <si>
    <t>Copem Hospiclinic, SRL</t>
  </si>
  <si>
    <t>Equipo y suministros post mortem y funerarios</t>
  </si>
  <si>
    <t>Productos para la esterilización médica</t>
  </si>
  <si>
    <t>Suministros de aseo y limpieza</t>
  </si>
  <si>
    <t>Transporte de correo y carga</t>
  </si>
  <si>
    <t>Frutos secos</t>
  </si>
  <si>
    <t>Cancelado</t>
  </si>
  <si>
    <t>Smart Supply Medical Dominicana (SMARTMEDOM),  SRL</t>
  </si>
  <si>
    <t>Servicios de mantenimiento, renovación y reparación de equipo médico quirúrgico.</t>
  </si>
  <si>
    <t>SERVIOMED SRL</t>
  </si>
  <si>
    <t>HOSPITRONICA SRL</t>
  </si>
  <si>
    <t xml:space="preserve">INVERSIONES RJS </t>
  </si>
  <si>
    <t>IMD Medic Inter, SRL</t>
  </si>
  <si>
    <t>Alimentos preparados y conservados</t>
  </si>
  <si>
    <t>Aditivos</t>
  </si>
  <si>
    <t>Distribuidora Victor Del Rosario, SRL</t>
  </si>
  <si>
    <t>Productos de carne y aves de corral</t>
  </si>
  <si>
    <t>GRUPO BARCHI SRL</t>
  </si>
  <si>
    <t>JEAN CARLOS BASULTO</t>
  </si>
  <si>
    <t>TOTAL GENERAL DE COMPRAS</t>
  </si>
  <si>
    <t>DETALLE OBLIGACIONES CONTRAÍDAS PENDIENTES AL 31 DE DICIEMBRE 2025</t>
  </si>
  <si>
    <t>DEL 01 AL 31 DE DICIEMBRE 2025</t>
  </si>
  <si>
    <t>ARS YUNEN</t>
  </si>
  <si>
    <t>ARS SEMMA</t>
  </si>
  <si>
    <t>SENASA PENSIONADO</t>
  </si>
  <si>
    <t>31 DE DICIEMBRE 2025</t>
  </si>
  <si>
    <t>PAGO DE NCF NO. E4500000009911, POR ADQUISICION DE BOTELLONES DE AGUA SEGÚN ORDEN DE COMPRA HSLM-2025-01172</t>
  </si>
  <si>
    <t>D, Cora Industrial, S.R.L</t>
  </si>
  <si>
    <t>IMPUESTOS</t>
  </si>
  <si>
    <t>ERROR EN EL COMPRABANTE</t>
  </si>
  <si>
    <t>COLABORACION PARA ESTUDIO A PACIENTE INTERNO, SEGÚN INDICACION Y COTIZACION ANEXA</t>
  </si>
  <si>
    <t>REPOSICION DE FONDO DE CAJA CHICA</t>
  </si>
  <si>
    <t>PAGO DE FACT NC NO B1100000085, SERVICIO DE LIMPIEZA Y CLORIFICACION DE LA CISTERNA DEL HOSPITAL</t>
  </si>
  <si>
    <t>PAGO DE FACT NC NO B1100000086, SERVICIO DE PINTURA DE DIFERENTES AREAS DEL HOSPITAL</t>
  </si>
  <si>
    <t>PAGO DE FACT NCF NO. B1100000087, POR SERVICIO DE JARDINERIA PARA LAS AREAS VERDES DEL HOSPITAL</t>
  </si>
  <si>
    <t>PAGO POR SERVICIO DE TRANSPORTE DE LA AMBULANCIA CORRESPONDIENTE AL MES DE DICIEMBRE 2025</t>
  </si>
  <si>
    <t>COLABORACION DE CAVACION DE HOYO Y CERTIFICACION DE ACTAS EN EL MES DE DICIEMBRE 2025</t>
  </si>
  <si>
    <t>PAGO POR DESPACHO  Y ENTREGA EN LOS ALMACENES DE FARMACIA (AYUDANTE EXTRA)</t>
  </si>
  <si>
    <t>PAGO POR SERVICIOS DE HERRERIA</t>
  </si>
  <si>
    <t>GRUPO IRMACELI SERVICES, SRL</t>
  </si>
  <si>
    <t>PAGO DE FACT NCF NO. B1500000289, POR RELLENADO DE EXTINTORES, SEGÚN ORDEN DE COMPRA HSLM-2025-00979</t>
  </si>
  <si>
    <t>PAGOS CORRESPONDIENTES AL MES : DICIEMBRE 2025</t>
  </si>
  <si>
    <t>DICIEMBRE 2025</t>
  </si>
  <si>
    <t>PAGO POR SERVICIO DE PINTURA EXTERIOR Y PODA DEL CESPED</t>
  </si>
  <si>
    <t>PAGO POR SERVICIO DE MANTENIMIENTO DE LA AMBULANCIA</t>
  </si>
  <si>
    <t>INSOCORP, SRL</t>
  </si>
  <si>
    <t>PAGO DE FACT NCF NO.B1500000246, POR ADQUISICION DE LARINGOSCOPIO, SEGÚN  ORDEN DE COMPRA HSLM-2025-01057</t>
  </si>
  <si>
    <t>ARS MONUMENTAL</t>
  </si>
  <si>
    <t>Bajo las funciones que nos asisten certificamos que el valor de los ingresos percibidos al  30/11/2025 correspondieron a un monto de RD$139,407,793.14</t>
  </si>
  <si>
    <t>Dado a los 31 dias del mes de diciembre  del año 2025</t>
  </si>
  <si>
    <r>
      <t xml:space="preserve">Establecimiento:      HOSPITAL MATERNO INFANTIL SAN LORENZO DE LOS MINA   Mes:  DICIEMBRE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</si>
  <si>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ERROR EN LA ORDEN</t>
  </si>
  <si>
    <t>Fecha de imputación: hasta el [31] de [12] del [2025]</t>
  </si>
  <si>
    <t>ARS 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</si>
</sst>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_(* #,##0_);_(* \(#,##0\);_(* &quot;-&quot;??_);_(@_)"/>
    <numFmt numFmtId="166" formatCode="dd/mm/yyyy;@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Baskerville Old Face"/>
      <family val="1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Baskerville Old Face"/>
      <family val="1"/>
    </font>
    <font>
      <b/>
      <sz val="10"/>
      <color indexed="8"/>
      <name val="Baskerville Old Face"/>
      <family val="1"/>
    </font>
    <font>
      <b/>
      <strike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mbria"/>
      <family val="1"/>
    </font>
    <font>
      <b/>
      <sz val="8"/>
      <name val="Cambria"/>
      <family val="1"/>
    </font>
    <font>
      <b/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omic Sans MS"/>
      <family val="4"/>
    </font>
    <font>
      <sz val="9"/>
      <name val="Comic Sans MS"/>
      <family val="4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 Light"/>
      <family val="1"/>
      <scheme val="major"/>
    </font>
    <font>
      <sz val="14"/>
      <name val="Calibri Light"/>
      <family val="1"/>
      <scheme val="major"/>
    </font>
    <font>
      <sz val="18"/>
      <name val="Calibri Light"/>
      <family val="1"/>
      <scheme val="major"/>
    </font>
    <font>
      <b/>
      <sz val="14"/>
      <name val="Calibri Light"/>
      <family val="2"/>
      <scheme val="major"/>
    </font>
    <font>
      <b/>
      <sz val="18"/>
      <name val="Times New Roman"/>
      <family val="1"/>
    </font>
    <font>
      <b/>
      <sz val="18"/>
      <name val="Calibri Light"/>
      <family val="1"/>
      <scheme val="major"/>
    </font>
    <font>
      <sz val="18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4"/>
      <name val="Calibri Light"/>
      <family val="2"/>
      <scheme val="major"/>
    </font>
    <font>
      <sz val="14"/>
      <color rgb="FFFF0000"/>
      <name val="Calibri Light"/>
      <family val="1"/>
      <scheme val="major"/>
    </font>
    <font>
      <sz val="14"/>
      <color indexed="81"/>
      <name val="Tahoma"/>
      <family val="2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MS Sans Serif"/>
      <family val="2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 Light"/>
      <family val="1"/>
      <scheme val="major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double">
        <color indexed="64"/>
      </bottom>
      <diagonal/>
    </border>
  </borders>
  <cellStyleXfs count="17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</cellStyleXfs>
  <cellXfs count="50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0" fontId="3" fillId="0" borderId="0" xfId="1" applyFont="1"/>
    <xf numFmtId="9" fontId="3" fillId="0" borderId="0" xfId="1" applyNumberFormat="1" applyFont="1"/>
    <xf numFmtId="9" fontId="4" fillId="3" borderId="1" xfId="2" applyFont="1" applyFill="1" applyBorder="1" applyAlignment="1">
      <alignment vertical="top"/>
    </xf>
    <xf numFmtId="164" fontId="4" fillId="2" borderId="1" xfId="4" applyNumberFormat="1" applyFont="1" applyFill="1" applyBorder="1" applyAlignment="1">
      <alignment vertical="top"/>
    </xf>
    <xf numFmtId="0" fontId="4" fillId="2" borderId="1" xfId="1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center" vertical="top"/>
    </xf>
    <xf numFmtId="0" fontId="4" fillId="2" borderId="1" xfId="5" applyFont="1" applyFill="1" applyBorder="1" applyAlignment="1">
      <alignment vertical="top"/>
    </xf>
    <xf numFmtId="9" fontId="4" fillId="4" borderId="1" xfId="2" applyFont="1" applyFill="1" applyBorder="1" applyAlignment="1">
      <alignment vertical="top"/>
    </xf>
    <xf numFmtId="164" fontId="4" fillId="4" borderId="1" xfId="4" applyNumberFormat="1" applyFont="1" applyFill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6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vertical="top"/>
    </xf>
    <xf numFmtId="0" fontId="4" fillId="2" borderId="1" xfId="5" applyFont="1" applyFill="1" applyBorder="1"/>
    <xf numFmtId="0" fontId="4" fillId="4" borderId="1" xfId="5" applyFont="1" applyFill="1" applyBorder="1"/>
    <xf numFmtId="9" fontId="6" fillId="5" borderId="1" xfId="2" applyFont="1" applyFill="1" applyBorder="1" applyAlignment="1">
      <alignment vertical="top"/>
    </xf>
    <xf numFmtId="164" fontId="6" fillId="5" borderId="1" xfId="4" applyNumberFormat="1" applyFont="1" applyFill="1" applyBorder="1" applyAlignment="1">
      <alignment vertical="top"/>
    </xf>
    <xf numFmtId="0" fontId="6" fillId="5" borderId="1" xfId="1" applyFont="1" applyFill="1" applyBorder="1" applyAlignment="1">
      <alignment vertical="top" wrapText="1"/>
    </xf>
    <xf numFmtId="0" fontId="6" fillId="5" borderId="1" xfId="5" applyFont="1" applyFill="1" applyBorder="1" applyAlignment="1">
      <alignment horizontal="center" vertical="top"/>
    </xf>
    <xf numFmtId="0" fontId="6" fillId="5" borderId="1" xfId="5" applyFont="1" applyFill="1" applyBorder="1"/>
    <xf numFmtId="0" fontId="4" fillId="2" borderId="1" xfId="5" quotePrefix="1" applyFont="1" applyFill="1" applyBorder="1" applyAlignment="1">
      <alignment horizontal="center" vertical="top"/>
    </xf>
    <xf numFmtId="164" fontId="4" fillId="0" borderId="1" xfId="4" applyNumberFormat="1" applyFont="1" applyFill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4" fillId="0" borderId="1" xfId="5" applyFont="1" applyBorder="1" applyAlignment="1">
      <alignment horizontal="center" vertical="top"/>
    </xf>
    <xf numFmtId="0" fontId="4" fillId="0" borderId="1" xfId="5" applyFont="1" applyBorder="1"/>
    <xf numFmtId="0" fontId="4" fillId="5" borderId="1" xfId="5" applyFont="1" applyFill="1" applyBorder="1" applyAlignment="1">
      <alignment horizontal="center" vertical="top"/>
    </xf>
    <xf numFmtId="0" fontId="6" fillId="5" borderId="1" xfId="5" applyFont="1" applyFill="1" applyBorder="1" applyAlignment="1">
      <alignment vertical="top"/>
    </xf>
    <xf numFmtId="0" fontId="6" fillId="5" borderId="1" xfId="5" applyFont="1" applyFill="1" applyBorder="1" applyAlignment="1">
      <alignment horizontal="left" vertical="top"/>
    </xf>
    <xf numFmtId="0" fontId="6" fillId="5" borderId="1" xfId="5" applyFont="1" applyFill="1" applyBorder="1" applyAlignment="1">
      <alignment horizontal="right" vertical="top"/>
    </xf>
    <xf numFmtId="0" fontId="4" fillId="2" borderId="1" xfId="5" applyFont="1" applyFill="1" applyBorder="1" applyAlignment="1">
      <alignment vertical="top" wrapText="1"/>
    </xf>
    <xf numFmtId="0" fontId="4" fillId="4" borderId="1" xfId="5" applyFont="1" applyFill="1" applyBorder="1" applyAlignment="1">
      <alignment vertical="top" wrapText="1"/>
    </xf>
    <xf numFmtId="0" fontId="6" fillId="5" borderId="1" xfId="5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justify" vertical="top" wrapText="1"/>
    </xf>
    <xf numFmtId="0" fontId="4" fillId="2" borderId="1" xfId="1" applyFont="1" applyFill="1" applyBorder="1" applyAlignment="1">
      <alignment wrapText="1"/>
    </xf>
    <xf numFmtId="0" fontId="4" fillId="4" borderId="1" xfId="1" applyFont="1" applyFill="1" applyBorder="1"/>
    <xf numFmtId="0" fontId="6" fillId="5" borderId="1" xfId="1" applyFont="1" applyFill="1" applyBorder="1" applyAlignment="1">
      <alignment wrapText="1"/>
    </xf>
    <xf numFmtId="0" fontId="4" fillId="2" borderId="1" xfId="1" applyFont="1" applyFill="1" applyBorder="1"/>
    <xf numFmtId="0" fontId="6" fillId="5" borderId="1" xfId="1" applyFont="1" applyFill="1" applyBorder="1"/>
    <xf numFmtId="0" fontId="6" fillId="5" borderId="1" xfId="5" applyFont="1" applyFill="1" applyBorder="1" applyAlignment="1">
      <alignment horizontal="center"/>
    </xf>
    <xf numFmtId="0" fontId="4" fillId="2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vertical="top"/>
    </xf>
    <xf numFmtId="164" fontId="6" fillId="5" borderId="14" xfId="4" applyNumberFormat="1" applyFont="1" applyFill="1" applyBorder="1" applyAlignment="1">
      <alignment vertical="top"/>
    </xf>
    <xf numFmtId="0" fontId="6" fillId="5" borderId="14" xfId="5" applyFont="1" applyFill="1" applyBorder="1" applyAlignment="1">
      <alignment vertical="top"/>
    </xf>
    <xf numFmtId="0" fontId="6" fillId="5" borderId="14" xfId="5" applyFont="1" applyFill="1" applyBorder="1" applyAlignment="1">
      <alignment horizontal="center" vertical="top"/>
    </xf>
    <xf numFmtId="0" fontId="7" fillId="5" borderId="14" xfId="5" applyFont="1" applyFill="1" applyBorder="1" applyAlignment="1">
      <alignment vertical="top"/>
    </xf>
    <xf numFmtId="9" fontId="8" fillId="6" borderId="2" xfId="2" applyFont="1" applyFill="1" applyBorder="1" applyAlignment="1">
      <alignment vertical="top"/>
    </xf>
    <xf numFmtId="164" fontId="8" fillId="6" borderId="12" xfId="4" applyNumberFormat="1" applyFont="1" applyFill="1" applyBorder="1" applyAlignment="1">
      <alignment vertical="top"/>
    </xf>
    <xf numFmtId="0" fontId="8" fillId="6" borderId="12" xfId="5" applyFont="1" applyFill="1" applyBorder="1" applyAlignment="1">
      <alignment vertical="top"/>
    </xf>
    <xf numFmtId="0" fontId="8" fillId="6" borderId="12" xfId="5" applyFont="1" applyFill="1" applyBorder="1" applyAlignment="1">
      <alignment horizontal="center" vertical="top"/>
    </xf>
    <xf numFmtId="0" fontId="9" fillId="6" borderId="12" xfId="5" applyFont="1" applyFill="1" applyBorder="1" applyAlignment="1">
      <alignment vertical="top"/>
    </xf>
    <xf numFmtId="0" fontId="2" fillId="0" borderId="0" xfId="1" applyAlignment="1">
      <alignment horizontal="center"/>
    </xf>
    <xf numFmtId="0" fontId="15" fillId="8" borderId="1" xfId="5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164" fontId="2" fillId="0" borderId="0" xfId="1" applyNumberFormat="1"/>
    <xf numFmtId="0" fontId="6" fillId="3" borderId="15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13" xfId="1" applyFont="1" applyFill="1" applyBorder="1" applyAlignment="1">
      <alignment horizontal="center"/>
    </xf>
    <xf numFmtId="4" fontId="7" fillId="9" borderId="0" xfId="1" applyNumberFormat="1" applyFont="1" applyFill="1"/>
    <xf numFmtId="4" fontId="16" fillId="9" borderId="0" xfId="1" applyNumberFormat="1" applyFont="1" applyFill="1"/>
    <xf numFmtId="4" fontId="17" fillId="9" borderId="0" xfId="1" applyNumberFormat="1" applyFont="1" applyFill="1"/>
    <xf numFmtId="0" fontId="16" fillId="9" borderId="0" xfId="1" applyFont="1" applyFill="1"/>
    <xf numFmtId="0" fontId="17" fillId="9" borderId="0" xfId="1" applyFont="1" applyFill="1"/>
    <xf numFmtId="4" fontId="17" fillId="9" borderId="0" xfId="1" applyNumberFormat="1" applyFont="1" applyFill="1" applyAlignment="1">
      <alignment horizontal="left"/>
    </xf>
    <xf numFmtId="0" fontId="16" fillId="9" borderId="13" xfId="1" applyFont="1" applyFill="1" applyBorder="1"/>
    <xf numFmtId="4" fontId="18" fillId="2" borderId="0" xfId="1" applyNumberFormat="1" applyFont="1" applyFill="1" applyAlignment="1">
      <alignment horizontal="center"/>
    </xf>
    <xf numFmtId="4" fontId="6" fillId="2" borderId="0" xfId="1" applyNumberFormat="1" applyFont="1" applyFill="1" applyAlignment="1">
      <alignment horizontal="center"/>
    </xf>
    <xf numFmtId="4" fontId="17" fillId="2" borderId="0" xfId="1" applyNumberFormat="1" applyFont="1" applyFill="1" applyAlignment="1">
      <alignment horizontal="left" indent="11"/>
    </xf>
    <xf numFmtId="0" fontId="16" fillId="2" borderId="0" xfId="1" applyFont="1" applyFill="1"/>
    <xf numFmtId="0" fontId="16" fillId="2" borderId="13" xfId="1" applyFont="1" applyFill="1" applyBorder="1"/>
    <xf numFmtId="4" fontId="18" fillId="2" borderId="16" xfId="1" applyNumberFormat="1" applyFont="1" applyFill="1" applyBorder="1"/>
    <xf numFmtId="43" fontId="6" fillId="0" borderId="0" xfId="4" applyFont="1" applyBorder="1" applyAlignment="1">
      <alignment horizontal="left"/>
    </xf>
    <xf numFmtId="4" fontId="18" fillId="2" borderId="17" xfId="1" applyNumberFormat="1" applyFont="1" applyFill="1" applyBorder="1"/>
    <xf numFmtId="4" fontId="6" fillId="2" borderId="0" xfId="1" applyNumberFormat="1" applyFont="1" applyFill="1" applyAlignment="1">
      <alignment horizontal="left" indent="11"/>
    </xf>
    <xf numFmtId="4" fontId="18" fillId="2" borderId="0" xfId="1" applyNumberFormat="1" applyFont="1" applyFill="1"/>
    <xf numFmtId="4" fontId="6" fillId="2" borderId="0" xfId="1" applyNumberFormat="1" applyFont="1" applyFill="1" applyAlignment="1">
      <alignment horizontal="left" indent="2"/>
    </xf>
    <xf numFmtId="4" fontId="18" fillId="2" borderId="4" xfId="1" applyNumberFormat="1" applyFont="1" applyFill="1" applyBorder="1"/>
    <xf numFmtId="4" fontId="7" fillId="2" borderId="0" xfId="1" applyNumberFormat="1" applyFont="1" applyFill="1" applyAlignment="1">
      <alignment horizontal="left" indent="2"/>
    </xf>
    <xf numFmtId="4" fontId="6" fillId="2" borderId="0" xfId="1" applyNumberFormat="1" applyFont="1" applyFill="1" applyAlignment="1">
      <alignment horizontal="left" indent="3"/>
    </xf>
    <xf numFmtId="4" fontId="19" fillId="2" borderId="0" xfId="1" applyNumberFormat="1" applyFont="1" applyFill="1" applyAlignment="1">
      <alignment horizontal="left" indent="2"/>
    </xf>
    <xf numFmtId="0" fontId="18" fillId="2" borderId="0" xfId="1" applyFont="1" applyFill="1"/>
    <xf numFmtId="0" fontId="6" fillId="2" borderId="0" xfId="1" applyFont="1" applyFill="1" applyAlignment="1">
      <alignment horizontal="left" indent="3"/>
    </xf>
    <xf numFmtId="0" fontId="17" fillId="9" borderId="15" xfId="1" applyFont="1" applyFill="1" applyBorder="1" applyAlignment="1">
      <alignment horizontal="left"/>
    </xf>
    <xf numFmtId="0" fontId="17" fillId="9" borderId="0" xfId="1" applyFont="1" applyFill="1" applyAlignment="1">
      <alignment horizontal="left"/>
    </xf>
    <xf numFmtId="0" fontId="17" fillId="9" borderId="13" xfId="1" applyFont="1" applyFill="1" applyBorder="1" applyAlignment="1">
      <alignment horizontal="left"/>
    </xf>
    <xf numFmtId="0" fontId="23" fillId="3" borderId="15" xfId="1" applyFont="1" applyFill="1" applyBorder="1"/>
    <xf numFmtId="0" fontId="23" fillId="3" borderId="0" xfId="1" applyFont="1" applyFill="1"/>
    <xf numFmtId="0" fontId="23" fillId="3" borderId="10" xfId="1" applyFont="1" applyFill="1" applyBorder="1"/>
    <xf numFmtId="0" fontId="23" fillId="3" borderId="17" xfId="1" applyFont="1" applyFill="1" applyBorder="1"/>
    <xf numFmtId="0" fontId="4" fillId="3" borderId="17" xfId="1" applyFont="1" applyFill="1" applyBorder="1"/>
    <xf numFmtId="0" fontId="4" fillId="3" borderId="11" xfId="1" applyFont="1" applyFill="1" applyBorder="1"/>
    <xf numFmtId="0" fontId="25" fillId="0" borderId="0" xfId="1" applyFont="1"/>
    <xf numFmtId="9" fontId="26" fillId="5" borderId="8" xfId="1" applyNumberFormat="1" applyFont="1" applyFill="1" applyBorder="1" applyAlignment="1">
      <alignment horizontal="center"/>
    </xf>
    <xf numFmtId="9" fontId="26" fillId="5" borderId="8" xfId="2" applyFont="1" applyFill="1" applyBorder="1"/>
    <xf numFmtId="0" fontId="27" fillId="5" borderId="9" xfId="1" applyFont="1" applyFill="1" applyBorder="1" applyAlignment="1">
      <alignment horizontal="center"/>
    </xf>
    <xf numFmtId="4" fontId="26" fillId="5" borderId="8" xfId="1" applyNumberFormat="1" applyFont="1" applyFill="1" applyBorder="1"/>
    <xf numFmtId="9" fontId="26" fillId="10" borderId="8" xfId="1" applyNumberFormat="1" applyFont="1" applyFill="1" applyBorder="1" applyAlignment="1">
      <alignment horizontal="center"/>
    </xf>
    <xf numFmtId="4" fontId="26" fillId="10" borderId="1" xfId="1" applyNumberFormat="1" applyFont="1" applyFill="1" applyBorder="1"/>
    <xf numFmtId="0" fontId="26" fillId="10" borderId="9" xfId="1" applyFont="1" applyFill="1" applyBorder="1" applyAlignment="1">
      <alignment horizontal="center"/>
    </xf>
    <xf numFmtId="9" fontId="28" fillId="0" borderId="18" xfId="2" applyFont="1" applyBorder="1" applyAlignment="1">
      <alignment horizontal="center"/>
    </xf>
    <xf numFmtId="4" fontId="28" fillId="0" borderId="5" xfId="1" applyNumberFormat="1" applyFont="1" applyBorder="1"/>
    <xf numFmtId="4" fontId="28" fillId="0" borderId="1" xfId="1" applyNumberFormat="1" applyFont="1" applyBorder="1"/>
    <xf numFmtId="0" fontId="29" fillId="0" borderId="19" xfId="1" applyFont="1" applyBorder="1" applyAlignment="1">
      <alignment horizontal="left"/>
    </xf>
    <xf numFmtId="9" fontId="28" fillId="0" borderId="20" xfId="2" applyFont="1" applyBorder="1" applyAlignment="1">
      <alignment horizontal="center"/>
    </xf>
    <xf numFmtId="0" fontId="30" fillId="0" borderId="21" xfId="1" applyFont="1" applyBorder="1" applyAlignment="1">
      <alignment horizontal="left"/>
    </xf>
    <xf numFmtId="0" fontId="29" fillId="0" borderId="22" xfId="1" applyFont="1" applyBorder="1" applyAlignment="1">
      <alignment horizontal="left"/>
    </xf>
    <xf numFmtId="0" fontId="31" fillId="11" borderId="23" xfId="1" applyFont="1" applyFill="1" applyBorder="1" applyAlignment="1">
      <alignment horizontal="center" vertical="center"/>
    </xf>
    <xf numFmtId="0" fontId="31" fillId="11" borderId="0" xfId="1" applyFont="1" applyFill="1" applyAlignment="1">
      <alignment horizontal="center" vertical="center"/>
    </xf>
    <xf numFmtId="0" fontId="31" fillId="11" borderId="0" xfId="1" applyFont="1" applyFill="1" applyAlignment="1">
      <alignment horizontal="center" wrapText="1"/>
    </xf>
    <xf numFmtId="0" fontId="32" fillId="11" borderId="24" xfId="1" applyFont="1" applyFill="1" applyBorder="1" applyAlignment="1">
      <alignment horizontal="left" vertical="center"/>
    </xf>
    <xf numFmtId="9" fontId="26" fillId="10" borderId="20" xfId="2" applyFont="1" applyFill="1" applyBorder="1" applyAlignment="1">
      <alignment horizontal="center"/>
    </xf>
    <xf numFmtId="0" fontId="33" fillId="10" borderId="22" xfId="1" applyFont="1" applyFill="1" applyBorder="1" applyAlignment="1">
      <alignment horizontal="center"/>
    </xf>
    <xf numFmtId="0" fontId="30" fillId="0" borderId="22" xfId="1" applyFont="1" applyBorder="1" applyAlignment="1">
      <alignment horizontal="left"/>
    </xf>
    <xf numFmtId="0" fontId="26" fillId="0" borderId="0" xfId="1" applyFont="1" applyAlignment="1">
      <alignment horizontal="center"/>
    </xf>
    <xf numFmtId="0" fontId="39" fillId="0" borderId="1" xfId="0" applyFont="1" applyBorder="1" applyAlignment="1">
      <alignment horizontal="center"/>
    </xf>
    <xf numFmtId="43" fontId="0" fillId="0" borderId="1" xfId="6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2" fillId="0" borderId="0" xfId="1" applyFont="1"/>
    <xf numFmtId="43" fontId="0" fillId="0" borderId="1" xfId="6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3" fillId="0" borderId="1" xfId="0" applyFont="1" applyBorder="1" applyAlignment="1">
      <alignment horizontal="center"/>
    </xf>
    <xf numFmtId="43" fontId="0" fillId="0" borderId="1" xfId="6" applyFont="1" applyBorder="1"/>
    <xf numFmtId="0" fontId="29" fillId="0" borderId="29" xfId="1" applyFont="1" applyBorder="1" applyAlignment="1">
      <alignment horizontal="left"/>
    </xf>
    <xf numFmtId="4" fontId="28" fillId="0" borderId="2" xfId="1" applyNumberFormat="1" applyFont="1" applyBorder="1"/>
    <xf numFmtId="4" fontId="26" fillId="10" borderId="30" xfId="1" applyNumberFormat="1" applyFont="1" applyFill="1" applyBorder="1"/>
    <xf numFmtId="4" fontId="26" fillId="10" borderId="31" xfId="1" applyNumberFormat="1" applyFont="1" applyFill="1" applyBorder="1"/>
    <xf numFmtId="0" fontId="43" fillId="0" borderId="0" xfId="0" applyFont="1" applyAlignment="1">
      <alignment horizontal="center"/>
    </xf>
    <xf numFmtId="0" fontId="0" fillId="3" borderId="0" xfId="0" applyFill="1"/>
    <xf numFmtId="0" fontId="46" fillId="14" borderId="1" xfId="0" applyFont="1" applyFill="1" applyBorder="1" applyAlignment="1">
      <alignment horizontal="center" vertical="center" wrapText="1"/>
    </xf>
    <xf numFmtId="0" fontId="46" fillId="14" borderId="1" xfId="0" applyFont="1" applyFill="1" applyBorder="1" applyAlignment="1">
      <alignment horizontal="left" vertical="center" wrapText="1"/>
    </xf>
    <xf numFmtId="43" fontId="46" fillId="14" borderId="1" xfId="6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3" fontId="47" fillId="0" borderId="1" xfId="6" applyFont="1" applyFill="1" applyBorder="1"/>
    <xf numFmtId="43" fontId="47" fillId="0" borderId="1" xfId="6" applyFont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8" fillId="0" borderId="1" xfId="0" applyFont="1" applyBorder="1"/>
    <xf numFmtId="0" fontId="43" fillId="0" borderId="0" xfId="0" applyFont="1"/>
    <xf numFmtId="0" fontId="0" fillId="0" borderId="1" xfId="0" applyBorder="1" applyAlignment="1">
      <alignment wrapText="1"/>
    </xf>
    <xf numFmtId="0" fontId="40" fillId="0" borderId="0" xfId="0" applyFont="1" applyAlignment="1">
      <alignment horizontal="center"/>
    </xf>
    <xf numFmtId="43" fontId="43" fillId="16" borderId="1" xfId="6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horizontal="left" vertical="center" wrapText="1"/>
    </xf>
    <xf numFmtId="43" fontId="43" fillId="17" borderId="1" xfId="6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left" vertical="center" wrapText="1"/>
    </xf>
    <xf numFmtId="43" fontId="0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2"/>
    </xf>
    <xf numFmtId="43" fontId="43" fillId="0" borderId="1" xfId="6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43" fontId="43" fillId="0" borderId="1" xfId="6" applyFont="1" applyBorder="1"/>
    <xf numFmtId="43" fontId="43" fillId="18" borderId="1" xfId="6" applyFont="1" applyFill="1" applyBorder="1" applyAlignment="1">
      <alignment wrapText="1"/>
    </xf>
    <xf numFmtId="43" fontId="0" fillId="18" borderId="1" xfId="6" applyFont="1" applyFill="1" applyBorder="1"/>
    <xf numFmtId="0" fontId="43" fillId="18" borderId="1" xfId="0" applyFont="1" applyFill="1" applyBorder="1" applyAlignment="1">
      <alignment horizontal="left" vertical="center" wrapText="1"/>
    </xf>
    <xf numFmtId="43" fontId="43" fillId="0" borderId="1" xfId="6" applyFont="1" applyBorder="1" applyAlignment="1">
      <alignment horizontal="left" vertical="center" wrapText="1"/>
    </xf>
    <xf numFmtId="0" fontId="39" fillId="16" borderId="1" xfId="0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vertical="center" wrapText="1"/>
    </xf>
    <xf numFmtId="165" fontId="43" fillId="0" borderId="1" xfId="0" applyNumberFormat="1" applyFont="1" applyBorder="1" applyAlignment="1">
      <alignment vertical="center" wrapText="1"/>
    </xf>
    <xf numFmtId="165" fontId="43" fillId="17" borderId="1" xfId="0" applyNumberFormat="1" applyFont="1" applyFill="1" applyBorder="1" applyAlignment="1">
      <alignment horizontal="center" vertical="center" wrapText="1"/>
    </xf>
    <xf numFmtId="43" fontId="43" fillId="0" borderId="1" xfId="6" applyFont="1" applyFill="1" applyBorder="1" applyAlignment="1">
      <alignment horizontal="left" vertical="center" wrapText="1"/>
    </xf>
    <xf numFmtId="43" fontId="43" fillId="18" borderId="1" xfId="6" applyFont="1" applyFill="1" applyBorder="1" applyAlignment="1">
      <alignment horizontal="right" wrapText="1"/>
    </xf>
    <xf numFmtId="43" fontId="43" fillId="18" borderId="1" xfId="0" applyNumberFormat="1" applyFont="1" applyFill="1" applyBorder="1"/>
    <xf numFmtId="43" fontId="43" fillId="0" borderId="1" xfId="6" applyFont="1" applyFill="1" applyBorder="1" applyAlignment="1">
      <alignment horizontal="right" wrapText="1"/>
    </xf>
    <xf numFmtId="43" fontId="43" fillId="0" borderId="1" xfId="6" applyFont="1" applyFill="1" applyBorder="1" applyAlignment="1">
      <alignment horizontal="right"/>
    </xf>
    <xf numFmtId="43" fontId="0" fillId="0" borderId="1" xfId="0" applyNumberFormat="1" applyBorder="1"/>
    <xf numFmtId="0" fontId="0" fillId="18" borderId="0" xfId="0" applyFill="1"/>
    <xf numFmtId="43" fontId="43" fillId="18" borderId="1" xfId="6" applyFont="1" applyFill="1" applyBorder="1" applyAlignment="1">
      <alignment vertical="center" wrapText="1"/>
    </xf>
    <xf numFmtId="0" fontId="39" fillId="0" borderId="1" xfId="0" applyFont="1" applyBorder="1" applyAlignment="1">
      <alignment horizontal="left" vertical="center" wrapText="1"/>
    </xf>
    <xf numFmtId="0" fontId="39" fillId="18" borderId="33" xfId="0" applyFont="1" applyFill="1" applyBorder="1" applyAlignment="1">
      <alignment horizontal="center"/>
    </xf>
    <xf numFmtId="0" fontId="39" fillId="11" borderId="1" xfId="0" applyFont="1" applyFill="1" applyBorder="1" applyAlignment="1">
      <alignment wrapText="1"/>
    </xf>
    <xf numFmtId="0" fontId="39" fillId="11" borderId="20" xfId="0" applyFont="1" applyFill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49" fillId="0" borderId="0" xfId="0" applyFont="1"/>
    <xf numFmtId="0" fontId="45" fillId="0" borderId="0" xfId="0" applyFont="1"/>
    <xf numFmtId="14" fontId="0" fillId="0" borderId="1" xfId="0" applyNumberFormat="1" applyBorder="1"/>
    <xf numFmtId="0" fontId="43" fillId="22" borderId="0" xfId="0" applyFont="1" applyFill="1" applyAlignment="1">
      <alignment horizontal="center" vertical="center" wrapText="1"/>
    </xf>
    <xf numFmtId="0" fontId="0" fillId="22" borderId="0" xfId="0" applyFill="1"/>
    <xf numFmtId="43" fontId="43" fillId="22" borderId="0" xfId="0" applyNumberFormat="1" applyFont="1" applyFill="1"/>
    <xf numFmtId="43" fontId="0" fillId="0" borderId="0" xfId="6" applyFont="1"/>
    <xf numFmtId="0" fontId="53" fillId="0" borderId="0" xfId="5" applyFont="1"/>
    <xf numFmtId="0" fontId="56" fillId="0" borderId="0" xfId="5" applyFont="1"/>
    <xf numFmtId="43" fontId="56" fillId="0" borderId="0" xfId="6" applyFont="1" applyFill="1" applyAlignment="1"/>
    <xf numFmtId="0" fontId="57" fillId="0" borderId="0" xfId="5" applyFont="1"/>
    <xf numFmtId="0" fontId="57" fillId="0" borderId="0" xfId="5" applyFont="1" applyAlignment="1">
      <alignment horizontal="left"/>
    </xf>
    <xf numFmtId="43" fontId="58" fillId="0" borderId="0" xfId="6" applyFont="1"/>
    <xf numFmtId="0" fontId="58" fillId="0" borderId="0" xfId="0" applyFont="1"/>
    <xf numFmtId="43" fontId="58" fillId="0" borderId="0" xfId="0" applyNumberFormat="1" applyFont="1"/>
    <xf numFmtId="0" fontId="1" fillId="0" borderId="0" xfId="5" applyAlignment="1">
      <alignment horizontal="center"/>
    </xf>
    <xf numFmtId="0" fontId="1" fillId="0" borderId="0" xfId="5"/>
    <xf numFmtId="43" fontId="2" fillId="0" borderId="0" xfId="6" applyFont="1"/>
    <xf numFmtId="0" fontId="59" fillId="23" borderId="1" xfId="5" applyFont="1" applyFill="1" applyBorder="1" applyAlignment="1">
      <alignment horizontal="center" vertical="center"/>
    </xf>
    <xf numFmtId="43" fontId="59" fillId="24" borderId="1" xfId="6" applyFont="1" applyFill="1" applyBorder="1" applyAlignment="1">
      <alignment horizontal="center" vertical="center"/>
    </xf>
    <xf numFmtId="0" fontId="53" fillId="0" borderId="1" xfId="5" applyFont="1" applyBorder="1" applyAlignment="1">
      <alignment horizontal="center"/>
    </xf>
    <xf numFmtId="0" fontId="53" fillId="0" borderId="1" xfId="5" applyFont="1" applyBorder="1" applyAlignment="1">
      <alignment horizontal="left" vertical="center"/>
    </xf>
    <xf numFmtId="43" fontId="53" fillId="0" borderId="1" xfId="6" applyFont="1" applyFill="1" applyBorder="1" applyAlignment="1">
      <alignment vertical="center"/>
    </xf>
    <xf numFmtId="43" fontId="53" fillId="0" borderId="1" xfId="6" applyFont="1" applyFill="1" applyBorder="1" applyAlignment="1">
      <alignment horizontal="left" vertical="center"/>
    </xf>
    <xf numFmtId="43" fontId="53" fillId="0" borderId="1" xfId="10" applyFont="1" applyFill="1" applyBorder="1" applyAlignment="1"/>
    <xf numFmtId="43" fontId="53" fillId="0" borderId="1" xfId="6" applyFont="1" applyFill="1" applyBorder="1" applyAlignment="1"/>
    <xf numFmtId="43" fontId="59" fillId="21" borderId="1" xfId="5" applyNumberFormat="1" applyFont="1" applyFill="1" applyBorder="1" applyAlignment="1">
      <alignment vertical="center"/>
    </xf>
    <xf numFmtId="43" fontId="59" fillId="21" borderId="1" xfId="5" applyNumberFormat="1" applyFont="1" applyFill="1" applyBorder="1" applyAlignment="1">
      <alignment horizontal="center" vertical="center"/>
    </xf>
    <xf numFmtId="43" fontId="59" fillId="21" borderId="1" xfId="6" applyFont="1" applyFill="1" applyBorder="1" applyAlignment="1">
      <alignment horizontal="center" vertical="center"/>
    </xf>
    <xf numFmtId="43" fontId="59" fillId="21" borderId="1" xfId="10" applyFont="1" applyFill="1" applyBorder="1" applyAlignment="1"/>
    <xf numFmtId="43" fontId="53" fillId="0" borderId="1" xfId="5" applyNumberFormat="1" applyFont="1" applyBorder="1" applyAlignment="1">
      <alignment vertical="center"/>
    </xf>
    <xf numFmtId="43" fontId="53" fillId="0" borderId="1" xfId="5" applyNumberFormat="1" applyFont="1" applyBorder="1" applyAlignment="1">
      <alignment horizontal="left" vertical="center"/>
    </xf>
    <xf numFmtId="43" fontId="60" fillId="0" borderId="1" xfId="10" applyFont="1" applyFill="1" applyBorder="1" applyAlignment="1">
      <alignment horizontal="center"/>
    </xf>
    <xf numFmtId="43" fontId="59" fillId="0" borderId="1" xfId="6" applyFont="1" applyFill="1" applyBorder="1" applyAlignment="1">
      <alignment horizontal="center"/>
    </xf>
    <xf numFmtId="43" fontId="60" fillId="0" borderId="1" xfId="6" applyFont="1" applyFill="1" applyBorder="1" applyAlignment="1">
      <alignment horizontal="center"/>
    </xf>
    <xf numFmtId="43" fontId="59" fillId="24" borderId="1" xfId="5" applyNumberFormat="1" applyFont="1" applyFill="1" applyBorder="1" applyAlignment="1">
      <alignment horizontal="center" vertical="center"/>
    </xf>
    <xf numFmtId="0" fontId="59" fillId="3" borderId="0" xfId="5" applyFont="1" applyFill="1" applyAlignment="1">
      <alignment horizontal="center" vertical="center"/>
    </xf>
    <xf numFmtId="43" fontId="59" fillId="3" borderId="0" xfId="5" applyNumberFormat="1" applyFont="1" applyFill="1" applyAlignment="1">
      <alignment horizontal="center" vertical="center"/>
    </xf>
    <xf numFmtId="43" fontId="59" fillId="3" borderId="0" xfId="6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43" fontId="53" fillId="0" borderId="0" xfId="10" applyFont="1" applyFill="1" applyBorder="1" applyAlignment="1"/>
    <xf numFmtId="43" fontId="53" fillId="0" borderId="0" xfId="6" applyFont="1" applyFill="1" applyBorder="1" applyAlignment="1"/>
    <xf numFmtId="17" fontId="53" fillId="0" borderId="0" xfId="5" applyNumberFormat="1" applyFont="1" applyAlignment="1">
      <alignment horizontal="left"/>
    </xf>
    <xf numFmtId="43" fontId="0" fillId="0" borderId="0" xfId="0" applyNumberFormat="1"/>
    <xf numFmtId="0" fontId="26" fillId="0" borderId="0" xfId="0" applyFont="1" applyAlignment="1">
      <alignment horizontal="left"/>
    </xf>
    <xf numFmtId="43" fontId="53" fillId="0" borderId="0" xfId="5" applyNumberFormat="1" applyFont="1"/>
    <xf numFmtId="0" fontId="59" fillId="0" borderId="0" xfId="5" applyFont="1" applyAlignment="1">
      <alignment horizontal="left" vertical="center"/>
    </xf>
    <xf numFmtId="0" fontId="59" fillId="0" borderId="0" xfId="5" applyFont="1" applyAlignment="1">
      <alignment horizontal="center" vertical="center"/>
    </xf>
    <xf numFmtId="43" fontId="59" fillId="0" borderId="0" xfId="6" applyFont="1" applyFill="1" applyBorder="1" applyAlignment="1">
      <alignment horizontal="center" vertical="center"/>
    </xf>
    <xf numFmtId="17" fontId="61" fillId="0" borderId="0" xfId="5" applyNumberFormat="1" applyFont="1" applyAlignment="1">
      <alignment horizontal="left"/>
    </xf>
    <xf numFmtId="43" fontId="61" fillId="0" borderId="0" xfId="10" applyFont="1" applyFill="1" applyBorder="1" applyAlignment="1"/>
    <xf numFmtId="43" fontId="61" fillId="0" borderId="0" xfId="5" applyNumberFormat="1" applyFont="1"/>
    <xf numFmtId="0" fontId="61" fillId="0" borderId="0" xfId="5" applyFont="1"/>
    <xf numFmtId="43" fontId="61" fillId="0" borderId="0" xfId="6" applyFont="1" applyFill="1" applyBorder="1" applyAlignment="1"/>
    <xf numFmtId="0" fontId="59" fillId="0" borderId="0" xfId="5" applyFont="1" applyAlignment="1">
      <alignment horizontal="left"/>
    </xf>
    <xf numFmtId="43" fontId="59" fillId="0" borderId="0" xfId="5" applyNumberFormat="1" applyFont="1"/>
    <xf numFmtId="0" fontId="53" fillId="0" borderId="0" xfId="5" applyFont="1" applyAlignment="1">
      <alignment horizontal="left"/>
    </xf>
    <xf numFmtId="0" fontId="33" fillId="24" borderId="2" xfId="5" applyFont="1" applyFill="1" applyBorder="1" applyAlignment="1">
      <alignment horizontal="center" vertical="center" wrapText="1"/>
    </xf>
    <xf numFmtId="0" fontId="64" fillId="3" borderId="1" xfId="0" applyFont="1" applyFill="1" applyBorder="1" applyAlignment="1">
      <alignment horizontal="left" vertical="center" wrapText="1" readingOrder="1"/>
    </xf>
    <xf numFmtId="4" fontId="38" fillId="0" borderId="1" xfId="10" applyNumberFormat="1" applyFont="1" applyBorder="1" applyAlignment="1">
      <alignment horizontal="center"/>
    </xf>
    <xf numFmtId="4" fontId="38" fillId="3" borderId="1" xfId="3" applyNumberFormat="1" applyFont="1" applyFill="1" applyBorder="1" applyAlignment="1">
      <alignment horizontal="center" vertical="center" wrapText="1"/>
    </xf>
    <xf numFmtId="4" fontId="38" fillId="3" borderId="1" xfId="3" applyNumberFormat="1" applyFont="1" applyFill="1" applyBorder="1" applyAlignment="1">
      <alignment horizontal="center" vertical="center"/>
    </xf>
    <xf numFmtId="4" fontId="38" fillId="0" borderId="1" xfId="3" applyNumberFormat="1" applyFont="1" applyBorder="1" applyAlignment="1">
      <alignment horizontal="center" vertical="center"/>
    </xf>
    <xf numFmtId="0" fontId="33" fillId="24" borderId="1" xfId="5" applyFont="1" applyFill="1" applyBorder="1" applyAlignment="1">
      <alignment horizontal="center" wrapText="1"/>
    </xf>
    <xf numFmtId="4" fontId="33" fillId="24" borderId="1" xfId="3" applyNumberFormat="1" applyFont="1" applyFill="1" applyBorder="1" applyAlignment="1">
      <alignment horizontal="right" vertical="center"/>
    </xf>
    <xf numFmtId="0" fontId="64" fillId="3" borderId="0" xfId="5" applyFont="1" applyFill="1" applyAlignment="1">
      <alignment horizontal="center"/>
    </xf>
    <xf numFmtId="3" fontId="64" fillId="3" borderId="0" xfId="5" applyNumberFormat="1" applyFont="1" applyFill="1" applyAlignment="1">
      <alignment horizontal="center" vertical="center"/>
    </xf>
    <xf numFmtId="0" fontId="65" fillId="0" borderId="0" xfId="0" applyFont="1"/>
    <xf numFmtId="0" fontId="2" fillId="3" borderId="0" xfId="1" applyFill="1"/>
    <xf numFmtId="0" fontId="67" fillId="0" borderId="0" xfId="0" applyFont="1"/>
    <xf numFmtId="0" fontId="67" fillId="25" borderId="5" xfId="0" applyFont="1" applyFill="1" applyBorder="1"/>
    <xf numFmtId="0" fontId="67" fillId="25" borderId="1" xfId="0" applyFont="1" applyFill="1" applyBorder="1" applyAlignment="1">
      <alignment horizontal="center"/>
    </xf>
    <xf numFmtId="43" fontId="46" fillId="14" borderId="1" xfId="6" applyFont="1" applyFill="1" applyBorder="1" applyAlignment="1">
      <alignment horizontal="left" vertical="center" wrapText="1"/>
    </xf>
    <xf numFmtId="1" fontId="47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1" fontId="47" fillId="0" borderId="1" xfId="1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4" fontId="0" fillId="0" borderId="1" xfId="0" applyNumberFormat="1" applyBorder="1"/>
    <xf numFmtId="0" fontId="47" fillId="0" borderId="1" xfId="0" applyFont="1" applyFill="1" applyBorder="1" applyAlignment="1">
      <alignment horizontal="center"/>
    </xf>
    <xf numFmtId="1" fontId="47" fillId="0" borderId="1" xfId="1" applyNumberFormat="1" applyFont="1" applyFill="1" applyBorder="1" applyAlignment="1">
      <alignment horizontal="left" vertical="center" wrapText="1"/>
    </xf>
    <xf numFmtId="1" fontId="47" fillId="0" borderId="1" xfId="0" applyNumberFormat="1" applyFont="1" applyFill="1" applyBorder="1" applyAlignment="1">
      <alignment horizontal="left" wrapText="1"/>
    </xf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 wrapText="1"/>
    </xf>
    <xf numFmtId="0" fontId="59" fillId="24" borderId="1" xfId="5" applyFont="1" applyFill="1" applyBorder="1" applyAlignment="1">
      <alignment horizontal="center" vertical="center"/>
    </xf>
    <xf numFmtId="0" fontId="47" fillId="0" borderId="1" xfId="0" applyNumberFormat="1" applyFont="1" applyBorder="1" applyAlignment="1">
      <alignment horizontal="center"/>
    </xf>
    <xf numFmtId="14" fontId="47" fillId="0" borderId="1" xfId="0" applyNumberFormat="1" applyFont="1" applyFill="1" applyBorder="1" applyAlignment="1">
      <alignment horizontal="center"/>
    </xf>
    <xf numFmtId="43" fontId="43" fillId="0" borderId="1" xfId="0" applyNumberFormat="1" applyFont="1" applyBorder="1"/>
    <xf numFmtId="43" fontId="59" fillId="0" borderId="1" xfId="10" applyFont="1" applyFill="1" applyBorder="1" applyAlignment="1"/>
    <xf numFmtId="43" fontId="59" fillId="0" borderId="0" xfId="5" applyNumberFormat="1" applyFont="1" applyAlignment="1">
      <alignment horizontal="center" vertical="center"/>
    </xf>
    <xf numFmtId="10" fontId="38" fillId="3" borderId="1" xfId="9" applyNumberFormat="1" applyFont="1" applyFill="1" applyBorder="1" applyAlignment="1">
      <alignment horizontal="right" vertical="center"/>
    </xf>
    <xf numFmtId="10" fontId="33" fillId="24" borderId="1" xfId="9" applyNumberFormat="1" applyFont="1" applyFill="1" applyBorder="1" applyAlignment="1">
      <alignment horizontal="center" vertical="center"/>
    </xf>
    <xf numFmtId="43" fontId="39" fillId="16" borderId="1" xfId="6" applyFont="1" applyFill="1" applyBorder="1" applyAlignment="1">
      <alignment horizontal="center" vertical="center" wrapText="1"/>
    </xf>
    <xf numFmtId="43" fontId="43" fillId="18" borderId="1" xfId="6" applyFont="1" applyFill="1" applyBorder="1"/>
    <xf numFmtId="43" fontId="1" fillId="0" borderId="1" xfId="6" applyFont="1" applyBorder="1"/>
    <xf numFmtId="0" fontId="43" fillId="0" borderId="1" xfId="0" applyFont="1" applyBorder="1" applyAlignment="1">
      <alignment horizontal="center" wrapText="1"/>
    </xf>
    <xf numFmtId="166" fontId="0" fillId="0" borderId="1" xfId="0" applyNumberFormat="1" applyBorder="1"/>
    <xf numFmtId="166" fontId="0" fillId="0" borderId="1" xfId="0" applyNumberFormat="1" applyBorder="1" applyAlignment="1">
      <alignment horizontal="right"/>
    </xf>
    <xf numFmtId="43" fontId="51" fillId="0" borderId="1" xfId="6" applyFont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39" fillId="18" borderId="27" xfId="0" applyFont="1" applyFill="1" applyBorder="1" applyAlignment="1">
      <alignment horizontal="center"/>
    </xf>
    <xf numFmtId="0" fontId="39" fillId="11" borderId="42" xfId="0" applyFont="1" applyFill="1" applyBorder="1" applyAlignment="1">
      <alignment horizontal="center"/>
    </xf>
    <xf numFmtId="0" fontId="39" fillId="11" borderId="38" xfId="0" applyFont="1" applyFill="1" applyBorder="1" applyAlignment="1">
      <alignment horizontal="center"/>
    </xf>
    <xf numFmtId="0" fontId="39" fillId="11" borderId="43" xfId="0" applyFont="1" applyFill="1" applyBorder="1" applyAlignment="1">
      <alignment horizontal="center"/>
    </xf>
    <xf numFmtId="0" fontId="39" fillId="18" borderId="1" xfId="0" applyFont="1" applyFill="1" applyBorder="1" applyAlignment="1">
      <alignment horizontal="center"/>
    </xf>
    <xf numFmtId="0" fontId="39" fillId="11" borderId="1" xfId="0" applyFont="1" applyFill="1" applyBorder="1"/>
    <xf numFmtId="14" fontId="0" fillId="0" borderId="1" xfId="0" applyNumberFormat="1" applyBorder="1" applyAlignment="1">
      <alignment horizontal="right"/>
    </xf>
    <xf numFmtId="4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3" fillId="0" borderId="34" xfId="0" applyFont="1" applyBorder="1"/>
    <xf numFmtId="0" fontId="43" fillId="0" borderId="46" xfId="0" applyFont="1" applyBorder="1"/>
    <xf numFmtId="44" fontId="43" fillId="0" borderId="46" xfId="8" applyFont="1" applyBorder="1"/>
    <xf numFmtId="44" fontId="43" fillId="0" borderId="35" xfId="8" applyFont="1" applyBorder="1"/>
    <xf numFmtId="43" fontId="1" fillId="0" borderId="1" xfId="6" applyFont="1" applyBorder="1" applyAlignment="1">
      <alignment horizontal="center"/>
    </xf>
    <xf numFmtId="43" fontId="43" fillId="0" borderId="1" xfId="0" applyNumberFormat="1" applyFont="1" applyBorder="1" applyAlignment="1">
      <alignment horizontal="center"/>
    </xf>
    <xf numFmtId="14" fontId="47" fillId="14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68" fillId="20" borderId="37" xfId="0" applyFont="1" applyFill="1" applyBorder="1" applyAlignment="1">
      <alignment horizontal="center" vertical="center"/>
    </xf>
    <xf numFmtId="0" fontId="68" fillId="20" borderId="38" xfId="0" applyFont="1" applyFill="1" applyBorder="1" applyAlignment="1">
      <alignment horizontal="center" vertical="center"/>
    </xf>
    <xf numFmtId="0" fontId="68" fillId="20" borderId="38" xfId="0" applyFont="1" applyFill="1" applyBorder="1" applyAlignment="1">
      <alignment horizontal="center" vertical="center" wrapText="1"/>
    </xf>
    <xf numFmtId="0" fontId="48" fillId="3" borderId="2" xfId="0" applyFont="1" applyFill="1" applyBorder="1" applyAlignment="1">
      <alignment vertical="center" wrapText="1"/>
    </xf>
    <xf numFmtId="14" fontId="48" fillId="3" borderId="1" xfId="0" applyNumberFormat="1" applyFont="1" applyFill="1" applyBorder="1"/>
    <xf numFmtId="1" fontId="48" fillId="3" borderId="1" xfId="0" applyNumberFormat="1" applyFont="1" applyFill="1" applyBorder="1"/>
    <xf numFmtId="44" fontId="48" fillId="3" borderId="1" xfId="8" applyFont="1" applyFill="1" applyBorder="1"/>
    <xf numFmtId="0" fontId="48" fillId="21" borderId="1" xfId="0" applyFont="1" applyFill="1" applyBorder="1"/>
    <xf numFmtId="44" fontId="68" fillId="21" borderId="1" xfId="8" applyFont="1" applyFill="1" applyBorder="1"/>
    <xf numFmtId="166" fontId="48" fillId="0" borderId="1" xfId="0" applyNumberFormat="1" applyFont="1" applyBorder="1" applyAlignment="1">
      <alignment horizontal="right"/>
    </xf>
    <xf numFmtId="1" fontId="48" fillId="0" borderId="7" xfId="0" applyNumberFormat="1" applyFont="1" applyBorder="1"/>
    <xf numFmtId="43" fontId="48" fillId="0" borderId="1" xfId="6" applyFont="1" applyBorder="1"/>
    <xf numFmtId="1" fontId="48" fillId="0" borderId="1" xfId="0" applyNumberFormat="1" applyFont="1" applyBorder="1"/>
    <xf numFmtId="0" fontId="48" fillId="0" borderId="2" xfId="0" applyFont="1" applyFill="1" applyBorder="1" applyAlignment="1">
      <alignment wrapText="1"/>
    </xf>
    <xf numFmtId="44" fontId="48" fillId="0" borderId="1" xfId="8" applyFont="1" applyFill="1" applyBorder="1" applyAlignment="1">
      <alignment wrapText="1"/>
    </xf>
    <xf numFmtId="1" fontId="48" fillId="0" borderId="1" xfId="0" applyNumberFormat="1" applyFont="1" applyFill="1" applyBorder="1"/>
    <xf numFmtId="44" fontId="48" fillId="0" borderId="1" xfId="8" applyFont="1" applyFill="1" applyBorder="1"/>
    <xf numFmtId="0" fontId="48" fillId="0" borderId="1" xfId="0" applyFont="1" applyFill="1" applyBorder="1"/>
    <xf numFmtId="0" fontId="48" fillId="0" borderId="1" xfId="0" applyFont="1" applyFill="1" applyBorder="1" applyAlignment="1">
      <alignment wrapText="1"/>
    </xf>
    <xf numFmtId="0" fontId="68" fillId="0" borderId="13" xfId="0" applyFont="1" applyBorder="1" applyAlignment="1">
      <alignment horizontal="center" vertical="center" wrapText="1"/>
    </xf>
    <xf numFmtId="14" fontId="69" fillId="0" borderId="1" xfId="5" applyNumberFormat="1" applyFont="1" applyFill="1" applyBorder="1" applyAlignment="1">
      <alignment wrapText="1"/>
    </xf>
    <xf numFmtId="44" fontId="69" fillId="0" borderId="1" xfId="8" applyFont="1" applyFill="1" applyBorder="1"/>
    <xf numFmtId="0" fontId="48" fillId="0" borderId="2" xfId="0" applyFont="1" applyBorder="1"/>
    <xf numFmtId="44" fontId="69" fillId="3" borderId="1" xfId="8" applyFont="1" applyFill="1" applyBorder="1"/>
    <xf numFmtId="0" fontId="48" fillId="22" borderId="1" xfId="0" applyFont="1" applyFill="1" applyBorder="1"/>
    <xf numFmtId="44" fontId="68" fillId="22" borderId="1" xfId="8" applyFont="1" applyFill="1" applyBorder="1"/>
    <xf numFmtId="0" fontId="48" fillId="0" borderId="1" xfId="0" applyFont="1" applyBorder="1" applyAlignment="1">
      <alignment vertical="center" wrapText="1"/>
    </xf>
    <xf numFmtId="0" fontId="39" fillId="0" borderId="15" xfId="0" applyFont="1" applyBorder="1" applyAlignment="1">
      <alignment horizontal="center" wrapText="1"/>
    </xf>
    <xf numFmtId="0" fontId="47" fillId="0" borderId="1" xfId="0" applyNumberFormat="1" applyFont="1" applyFill="1" applyBorder="1" applyAlignment="1">
      <alignment horizontal="center"/>
    </xf>
    <xf numFmtId="0" fontId="44" fillId="0" borderId="1" xfId="0" applyFont="1" applyFill="1" applyBorder="1" applyAlignment="1">
      <alignment vertical="center" wrapText="1"/>
    </xf>
    <xf numFmtId="166" fontId="48" fillId="0" borderId="1" xfId="0" applyNumberFormat="1" applyFont="1" applyFill="1" applyBorder="1" applyAlignment="1">
      <alignment horizontal="right"/>
    </xf>
    <xf numFmtId="43" fontId="48" fillId="0" borderId="1" xfId="6" applyFont="1" applyFill="1" applyBorder="1"/>
    <xf numFmtId="43" fontId="43" fillId="15" borderId="1" xfId="0" applyNumberFormat="1" applyFont="1" applyFill="1" applyBorder="1" applyAlignment="1"/>
    <xf numFmtId="0" fontId="71" fillId="14" borderId="50" xfId="0" applyFont="1" applyFill="1" applyBorder="1" applyAlignment="1">
      <alignment horizontal="center"/>
    </xf>
    <xf numFmtId="0" fontId="71" fillId="0" borderId="53" xfId="0" applyFont="1" applyBorder="1" applyAlignment="1">
      <alignment horizontal="center"/>
    </xf>
    <xf numFmtId="0" fontId="38" fillId="3" borderId="1" xfId="0" applyFont="1" applyFill="1" applyBorder="1" applyAlignment="1">
      <alignment wrapText="1"/>
    </xf>
    <xf numFmtId="0" fontId="38" fillId="3" borderId="1" xfId="0" applyFont="1" applyFill="1" applyBorder="1"/>
    <xf numFmtId="0" fontId="38" fillId="3" borderId="2" xfId="0" applyFont="1" applyFill="1" applyBorder="1" applyAlignment="1">
      <alignment wrapText="1"/>
    </xf>
    <xf numFmtId="0" fontId="73" fillId="0" borderId="1" xfId="0" applyFont="1" applyBorder="1" applyAlignment="1">
      <alignment horizontal="center"/>
    </xf>
    <xf numFmtId="0" fontId="38" fillId="3" borderId="1" xfId="0" applyFont="1" applyFill="1" applyBorder="1" applyAlignment="1">
      <alignment horizontal="left"/>
    </xf>
    <xf numFmtId="4" fontId="73" fillId="0" borderId="1" xfId="0" applyNumberFormat="1" applyFont="1" applyBorder="1"/>
    <xf numFmtId="14" fontId="47" fillId="0" borderId="1" xfId="0" applyNumberFormat="1" applyFont="1" applyFill="1" applyBorder="1" applyAlignment="1">
      <alignment horizontal="center" vertical="center" wrapText="1"/>
    </xf>
    <xf numFmtId="0" fontId="46" fillId="0" borderId="1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left" vertical="center" wrapText="1"/>
    </xf>
    <xf numFmtId="43" fontId="47" fillId="0" borderId="1" xfId="6" applyFont="1" applyFill="1" applyBorder="1" applyAlignment="1">
      <alignment horizontal="left" vertical="center" wrapText="1"/>
    </xf>
    <xf numFmtId="0" fontId="47" fillId="0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39" fillId="0" borderId="16" xfId="0" applyFont="1" applyBorder="1" applyAlignment="1">
      <alignment horizontal="center"/>
    </xf>
    <xf numFmtId="0" fontId="39" fillId="18" borderId="1" xfId="0" applyFont="1" applyFill="1" applyBorder="1" applyAlignment="1">
      <alignment horizontal="center" vertical="center" wrapText="1"/>
    </xf>
    <xf numFmtId="0" fontId="0" fillId="0" borderId="1" xfId="6" applyNumberFormat="1" applyFont="1" applyBorder="1"/>
    <xf numFmtId="43" fontId="43" fillId="0" borderId="1" xfId="6" applyFont="1" applyFill="1" applyBorder="1"/>
    <xf numFmtId="0" fontId="0" fillId="0" borderId="1" xfId="0" applyBorder="1" applyAlignment="1">
      <alignment horizontal="left" vertical="center" wrapText="1"/>
    </xf>
    <xf numFmtId="0" fontId="48" fillId="0" borderId="1" xfId="0" applyFont="1" applyFill="1" applyBorder="1" applyAlignment="1">
      <alignment vertical="center" wrapText="1"/>
    </xf>
    <xf numFmtId="0" fontId="39" fillId="0" borderId="1" xfId="0" applyFont="1" applyBorder="1" applyAlignment="1">
      <alignment horizontal="left"/>
    </xf>
    <xf numFmtId="0" fontId="39" fillId="0" borderId="1" xfId="0" applyFont="1" applyBorder="1" applyAlignment="1">
      <alignment horizontal="center" wrapText="1"/>
    </xf>
    <xf numFmtId="43" fontId="73" fillId="0" borderId="1" xfId="6" applyFont="1" applyBorder="1"/>
    <xf numFmtId="0" fontId="73" fillId="0" borderId="50" xfId="0" applyFont="1" applyBorder="1" applyAlignment="1">
      <alignment horizontal="center"/>
    </xf>
    <xf numFmtId="0" fontId="71" fillId="14" borderId="55" xfId="0" applyFont="1" applyFill="1" applyBorder="1" applyAlignment="1">
      <alignment horizontal="center" wrapText="1"/>
    </xf>
    <xf numFmtId="4" fontId="73" fillId="0" borderId="1" xfId="0" applyNumberFormat="1" applyFont="1" applyBorder="1" applyAlignment="1">
      <alignment horizontal="center"/>
    </xf>
    <xf numFmtId="4" fontId="73" fillId="0" borderId="2" xfId="0" applyNumberFormat="1" applyFont="1" applyBorder="1" applyAlignment="1">
      <alignment horizontal="center"/>
    </xf>
    <xf numFmtId="4" fontId="74" fillId="23" borderId="54" xfId="0" applyNumberFormat="1" applyFont="1" applyFill="1" applyBorder="1" applyAlignment="1">
      <alignment horizontal="center"/>
    </xf>
    <xf numFmtId="0" fontId="0" fillId="3" borderId="0" xfId="0" applyFill="1" applyAlignment="1">
      <alignment wrapText="1"/>
    </xf>
    <xf numFmtId="0" fontId="71" fillId="14" borderId="57" xfId="0" applyFont="1" applyFill="1" applyBorder="1" applyAlignment="1">
      <alignment horizontal="center" wrapText="1"/>
    </xf>
    <xf numFmtId="43" fontId="0" fillId="0" borderId="1" xfId="6" applyFont="1" applyFill="1" applyBorder="1"/>
    <xf numFmtId="4" fontId="0" fillId="0" borderId="1" xfId="6" applyNumberFormat="1" applyFont="1" applyFill="1" applyBorder="1"/>
    <xf numFmtId="8" fontId="0" fillId="0" borderId="1" xfId="6" applyNumberFormat="1" applyFont="1" applyBorder="1"/>
    <xf numFmtId="0" fontId="43" fillId="27" borderId="58" xfId="0" applyFont="1" applyFill="1" applyBorder="1"/>
    <xf numFmtId="8" fontId="43" fillId="27" borderId="58" xfId="6" applyNumberFormat="1" applyFont="1" applyFill="1" applyBorder="1"/>
    <xf numFmtId="0" fontId="71" fillId="0" borderId="51" xfId="0" applyFont="1" applyBorder="1" applyAlignment="1"/>
    <xf numFmtId="0" fontId="71" fillId="0" borderId="48" xfId="0" applyFont="1" applyBorder="1" applyAlignment="1"/>
    <xf numFmtId="0" fontId="71" fillId="0" borderId="52" xfId="0" applyFont="1" applyBorder="1" applyAlignment="1"/>
    <xf numFmtId="0" fontId="38" fillId="3" borderId="2" xfId="0" applyFont="1" applyFill="1" applyBorder="1"/>
    <xf numFmtId="4" fontId="73" fillId="0" borderId="2" xfId="0" applyNumberFormat="1" applyFont="1" applyBorder="1"/>
    <xf numFmtId="4" fontId="73" fillId="0" borderId="1" xfId="0" applyNumberFormat="1" applyFont="1" applyBorder="1" applyAlignment="1">
      <alignment horizontal="right"/>
    </xf>
    <xf numFmtId="43" fontId="73" fillId="0" borderId="1" xfId="6" applyFont="1" applyBorder="1" applyAlignment="1">
      <alignment horizontal="right"/>
    </xf>
    <xf numFmtId="43" fontId="73" fillId="0" borderId="2" xfId="6" applyFont="1" applyBorder="1"/>
    <xf numFmtId="166" fontId="38" fillId="3" borderId="2" xfId="0" applyNumberFormat="1" applyFont="1" applyFill="1" applyBorder="1" applyAlignment="1">
      <alignment wrapText="1"/>
    </xf>
    <xf numFmtId="0" fontId="71" fillId="0" borderId="56" xfId="0" applyFont="1" applyBorder="1" applyAlignment="1"/>
    <xf numFmtId="0" fontId="71" fillId="0" borderId="47" xfId="0" applyFont="1" applyBorder="1" applyAlignment="1"/>
    <xf numFmtId="43" fontId="71" fillId="0" borderId="47" xfId="6" applyFont="1" applyBorder="1" applyAlignment="1"/>
    <xf numFmtId="43" fontId="1" fillId="0" borderId="1" xfId="6" applyFont="1" applyFill="1" applyBorder="1" applyAlignment="1">
      <alignment wrapText="1"/>
    </xf>
    <xf numFmtId="43" fontId="1" fillId="0" borderId="1" xfId="6" applyFont="1" applyBorder="1" applyAlignment="1">
      <alignment vertical="center" wrapText="1"/>
    </xf>
    <xf numFmtId="0" fontId="4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/>
    <xf numFmtId="43" fontId="43" fillId="0" borderId="1" xfId="6" applyFont="1" applyBorder="1" applyAlignment="1">
      <alignment horizontal="center"/>
    </xf>
    <xf numFmtId="0" fontId="71" fillId="0" borderId="49" xfId="0" applyFont="1" applyBorder="1" applyAlignment="1">
      <alignment wrapText="1"/>
    </xf>
    <xf numFmtId="0" fontId="71" fillId="14" borderId="49" xfId="0" applyFont="1" applyFill="1" applyBorder="1" applyAlignment="1">
      <alignment wrapText="1"/>
    </xf>
    <xf numFmtId="0" fontId="72" fillId="14" borderId="49" xfId="0" applyFont="1" applyFill="1" applyBorder="1" applyAlignment="1">
      <alignment horizontal="center" wrapText="1"/>
    </xf>
    <xf numFmtId="0" fontId="71" fillId="14" borderId="49" xfId="0" applyFont="1" applyFill="1" applyBorder="1" applyAlignment="1">
      <alignment horizontal="center" wrapText="1"/>
    </xf>
    <xf numFmtId="0" fontId="43" fillId="0" borderId="0" xfId="0" applyFont="1" applyAlignment="1">
      <alignment horizontal="center"/>
    </xf>
    <xf numFmtId="0" fontId="43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3" fillId="3" borderId="16" xfId="0" applyFont="1" applyFill="1" applyBorder="1" applyAlignment="1">
      <alignment horizontal="center"/>
    </xf>
    <xf numFmtId="0" fontId="43" fillId="15" borderId="1" xfId="0" applyFont="1" applyFill="1" applyBorder="1" applyAlignment="1">
      <alignment horizontal="center"/>
    </xf>
    <xf numFmtId="0" fontId="43" fillId="0" borderId="5" xfId="0" applyFont="1" applyBorder="1" applyAlignment="1">
      <alignment horizontal="left"/>
    </xf>
    <xf numFmtId="0" fontId="43" fillId="0" borderId="3" xfId="0" applyFont="1" applyBorder="1" applyAlignment="1">
      <alignment horizontal="left"/>
    </xf>
    <xf numFmtId="0" fontId="43" fillId="0" borderId="5" xfId="0" applyFont="1" applyBorder="1" applyAlignment="1">
      <alignment horizontal="center"/>
    </xf>
    <xf numFmtId="0" fontId="43" fillId="0" borderId="4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17" fontId="39" fillId="26" borderId="4" xfId="0" applyNumberFormat="1" applyFont="1" applyFill="1" applyBorder="1" applyAlignment="1">
      <alignment horizontal="center"/>
    </xf>
    <xf numFmtId="0" fontId="39" fillId="26" borderId="4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39" fillId="0" borderId="16" xfId="0" applyFont="1" applyBorder="1" applyAlignment="1">
      <alignment horizontal="center"/>
    </xf>
    <xf numFmtId="0" fontId="11" fillId="7" borderId="2" xfId="5" applyFont="1" applyFill="1" applyBorder="1" applyAlignment="1">
      <alignment horizontal="center" vertical="center" wrapText="1"/>
    </xf>
    <xf numFmtId="0" fontId="11" fillId="7" borderId="7" xfId="5" applyFont="1" applyFill="1" applyBorder="1" applyAlignment="1">
      <alignment horizontal="center" vertical="center" wrapText="1"/>
    </xf>
    <xf numFmtId="0" fontId="11" fillId="7" borderId="6" xfId="5" applyFont="1" applyFill="1" applyBorder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 wrapText="1"/>
    </xf>
    <xf numFmtId="0" fontId="12" fillId="7" borderId="4" xfId="1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24" fillId="3" borderId="13" xfId="1" applyFont="1" applyFill="1" applyBorder="1" applyAlignment="1">
      <alignment horizontal="center"/>
    </xf>
    <xf numFmtId="0" fontId="24" fillId="3" borderId="0" xfId="1" applyFont="1" applyFill="1" applyAlignment="1">
      <alignment horizontal="center"/>
    </xf>
    <xf numFmtId="0" fontId="22" fillId="3" borderId="13" xfId="1" applyFont="1" applyFill="1" applyBorder="1" applyAlignment="1">
      <alignment horizontal="center"/>
    </xf>
    <xf numFmtId="0" fontId="22" fillId="3" borderId="0" xfId="1" applyFont="1" applyFill="1" applyAlignment="1">
      <alignment horizontal="center"/>
    </xf>
    <xf numFmtId="0" fontId="22" fillId="3" borderId="15" xfId="1" applyFont="1" applyFill="1" applyBorder="1" applyAlignment="1">
      <alignment horizontal="center"/>
    </xf>
    <xf numFmtId="0" fontId="21" fillId="3" borderId="13" xfId="1" applyFont="1" applyFill="1" applyBorder="1" applyAlignment="1">
      <alignment horizontal="center"/>
    </xf>
    <xf numFmtId="0" fontId="21" fillId="3" borderId="0" xfId="1" applyFont="1" applyFill="1" applyAlignment="1">
      <alignment horizontal="center"/>
    </xf>
    <xf numFmtId="0" fontId="21" fillId="3" borderId="15" xfId="1" applyFont="1" applyFill="1" applyBorder="1" applyAlignment="1">
      <alignment horizontal="center"/>
    </xf>
    <xf numFmtId="0" fontId="20" fillId="3" borderId="13" xfId="1" applyFont="1" applyFill="1" applyBorder="1" applyAlignment="1">
      <alignment horizontal="center"/>
    </xf>
    <xf numFmtId="0" fontId="20" fillId="3" borderId="0" xfId="1" applyFont="1" applyFill="1" applyAlignment="1">
      <alignment horizontal="center"/>
    </xf>
    <xf numFmtId="0" fontId="20" fillId="3" borderId="15" xfId="1" applyFont="1" applyFill="1" applyBorder="1" applyAlignment="1">
      <alignment horizontal="center"/>
    </xf>
    <xf numFmtId="0" fontId="17" fillId="2" borderId="13" xfId="1" applyFont="1" applyFill="1" applyBorder="1" applyAlignment="1">
      <alignment horizontal="center"/>
    </xf>
    <xf numFmtId="0" fontId="17" fillId="2" borderId="0" xfId="1" applyFont="1" applyFill="1" applyAlignment="1">
      <alignment horizontal="center"/>
    </xf>
    <xf numFmtId="0" fontId="17" fillId="2" borderId="15" xfId="1" applyFont="1" applyFill="1" applyBorder="1" applyAlignment="1">
      <alignment horizontal="center"/>
    </xf>
    <xf numFmtId="49" fontId="17" fillId="2" borderId="13" xfId="1" applyNumberFormat="1" applyFont="1" applyFill="1" applyBorder="1" applyAlignment="1">
      <alignment horizontal="center"/>
    </xf>
    <xf numFmtId="49" fontId="17" fillId="2" borderId="0" xfId="1" applyNumberFormat="1" applyFont="1" applyFill="1" applyAlignment="1">
      <alignment horizontal="center"/>
    </xf>
    <xf numFmtId="49" fontId="17" fillId="2" borderId="15" xfId="1" applyNumberFormat="1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/>
    </xf>
    <xf numFmtId="0" fontId="15" fillId="8" borderId="4" xfId="5" applyFont="1" applyFill="1" applyBorder="1" applyAlignment="1">
      <alignment horizontal="center"/>
    </xf>
    <xf numFmtId="0" fontId="14" fillId="7" borderId="1" xfId="1" applyFont="1" applyFill="1" applyBorder="1" applyAlignment="1">
      <alignment horizontal="center" vertical="center"/>
    </xf>
    <xf numFmtId="9" fontId="10" fillId="7" borderId="2" xfId="2" applyFont="1" applyFill="1" applyBorder="1" applyAlignment="1">
      <alignment horizontal="center" vertical="center"/>
    </xf>
    <xf numFmtId="9" fontId="10" fillId="7" borderId="7" xfId="2" applyFont="1" applyFill="1" applyBorder="1" applyAlignment="1">
      <alignment horizontal="center" vertical="center"/>
    </xf>
    <xf numFmtId="9" fontId="10" fillId="7" borderId="6" xfId="2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 textRotation="90"/>
    </xf>
    <xf numFmtId="0" fontId="11" fillId="7" borderId="6" xfId="5" applyFont="1" applyFill="1" applyBorder="1" applyAlignment="1">
      <alignment horizontal="center" vertical="center" textRotation="90"/>
    </xf>
    <xf numFmtId="0" fontId="41" fillId="0" borderId="16" xfId="0" applyFont="1" applyBorder="1" applyAlignment="1">
      <alignment horizontal="center"/>
    </xf>
    <xf numFmtId="0" fontId="35" fillId="0" borderId="0" xfId="1" applyFont="1" applyAlignment="1">
      <alignment horizontal="center"/>
    </xf>
    <xf numFmtId="0" fontId="34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31" fillId="12" borderId="27" xfId="1" applyFont="1" applyFill="1" applyBorder="1" applyAlignment="1">
      <alignment horizontal="center" vertical="center"/>
    </xf>
    <xf numFmtId="0" fontId="31" fillId="12" borderId="25" xfId="1" applyFont="1" applyFill="1" applyBorder="1" applyAlignment="1">
      <alignment horizontal="center" vertical="center"/>
    </xf>
    <xf numFmtId="0" fontId="31" fillId="12" borderId="28" xfId="1" applyFont="1" applyFill="1" applyBorder="1" applyAlignment="1">
      <alignment horizontal="center" wrapText="1"/>
    </xf>
    <xf numFmtId="0" fontId="31" fillId="12" borderId="26" xfId="1" applyFont="1" applyFill="1" applyBorder="1" applyAlignment="1">
      <alignment horizontal="center" wrapText="1"/>
    </xf>
    <xf numFmtId="0" fontId="31" fillId="12" borderId="27" xfId="1" applyFont="1" applyFill="1" applyBorder="1" applyAlignment="1">
      <alignment horizontal="center" wrapText="1"/>
    </xf>
    <xf numFmtId="0" fontId="31" fillId="12" borderId="25" xfId="1" applyFont="1" applyFill="1" applyBorder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18" borderId="5" xfId="0" applyFont="1" applyFill="1" applyBorder="1" applyAlignment="1">
      <alignment horizontal="center" vertical="center" wrapText="1"/>
    </xf>
    <xf numFmtId="0" fontId="39" fillId="18" borderId="4" xfId="0" applyFont="1" applyFill="1" applyBorder="1" applyAlignment="1">
      <alignment horizontal="center" vertical="center" wrapText="1"/>
    </xf>
    <xf numFmtId="0" fontId="39" fillId="19" borderId="2" xfId="0" applyFont="1" applyFill="1" applyBorder="1" applyAlignment="1">
      <alignment horizontal="center" vertical="center" wrapText="1"/>
    </xf>
    <xf numFmtId="0" fontId="39" fillId="19" borderId="7" xfId="0" applyFont="1" applyFill="1" applyBorder="1" applyAlignment="1">
      <alignment horizontal="center" vertical="center" wrapText="1"/>
    </xf>
    <xf numFmtId="0" fontId="39" fillId="19" borderId="6" xfId="0" applyFont="1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 wrapText="1"/>
    </xf>
    <xf numFmtId="0" fontId="43" fillId="18" borderId="5" xfId="0" applyFont="1" applyFill="1" applyBorder="1" applyAlignment="1">
      <alignment horizontal="center"/>
    </xf>
    <xf numFmtId="0" fontId="43" fillId="18" borderId="4" xfId="0" applyFont="1" applyFill="1" applyBorder="1" applyAlignment="1">
      <alignment horizontal="center"/>
    </xf>
    <xf numFmtId="0" fontId="43" fillId="18" borderId="3" xfId="0" applyFont="1" applyFill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 wrapText="1"/>
    </xf>
    <xf numFmtId="0" fontId="39" fillId="18" borderId="29" xfId="0" applyFont="1" applyFill="1" applyBorder="1" applyAlignment="1">
      <alignment horizontal="center"/>
    </xf>
    <xf numFmtId="0" fontId="39" fillId="18" borderId="45" xfId="0" applyFont="1" applyFill="1" applyBorder="1" applyAlignment="1">
      <alignment horizontal="center"/>
    </xf>
    <xf numFmtId="0" fontId="39" fillId="18" borderId="5" xfId="0" applyFont="1" applyFill="1" applyBorder="1" applyAlignment="1">
      <alignment horizontal="center"/>
    </xf>
    <xf numFmtId="0" fontId="39" fillId="18" borderId="3" xfId="0" applyFont="1" applyFill="1" applyBorder="1" applyAlignment="1">
      <alignment horizontal="center"/>
    </xf>
    <xf numFmtId="0" fontId="39" fillId="11" borderId="5" xfId="0" applyFont="1" applyFill="1" applyBorder="1" applyAlignment="1">
      <alignment horizontal="center"/>
    </xf>
    <xf numFmtId="0" fontId="39" fillId="11" borderId="4" xfId="0" applyFont="1" applyFill="1" applyBorder="1" applyAlignment="1">
      <alignment horizontal="center"/>
    </xf>
    <xf numFmtId="0" fontId="39" fillId="11" borderId="44" xfId="0" applyFont="1" applyFill="1" applyBorder="1" applyAlignment="1">
      <alignment horizontal="center"/>
    </xf>
    <xf numFmtId="0" fontId="43" fillId="0" borderId="17" xfId="0" applyFont="1" applyBorder="1" applyAlignment="1">
      <alignment horizontal="center" wrapText="1"/>
    </xf>
    <xf numFmtId="0" fontId="40" fillId="0" borderId="32" xfId="0" applyFont="1" applyBorder="1" applyAlignment="1">
      <alignment horizontal="center"/>
    </xf>
    <xf numFmtId="0" fontId="39" fillId="18" borderId="40" xfId="0" applyFont="1" applyFill="1" applyBorder="1" applyAlignment="1">
      <alignment horizontal="center"/>
    </xf>
    <xf numFmtId="0" fontId="39" fillId="18" borderId="41" xfId="0" applyFont="1" applyFill="1" applyBorder="1" applyAlignment="1">
      <alignment horizontal="center"/>
    </xf>
    <xf numFmtId="0" fontId="0" fillId="3" borderId="0" xfId="0" applyFill="1" applyAlignment="1">
      <alignment horizontal="left" vertical="top" wrapText="1"/>
    </xf>
    <xf numFmtId="0" fontId="41" fillId="0" borderId="0" xfId="0" applyFont="1" applyAlignment="1">
      <alignment horizontal="center"/>
    </xf>
    <xf numFmtId="0" fontId="43" fillId="20" borderId="1" xfId="0" applyFont="1" applyFill="1" applyBorder="1" applyAlignment="1">
      <alignment horizontal="center"/>
    </xf>
    <xf numFmtId="0" fontId="43" fillId="0" borderId="36" xfId="0" applyFont="1" applyBorder="1" applyAlignment="1">
      <alignment horizontal="left"/>
    </xf>
    <xf numFmtId="0" fontId="68" fillId="21" borderId="1" xfId="0" applyFont="1" applyFill="1" applyBorder="1" applyAlignment="1">
      <alignment horizontal="center" vertical="center" wrapText="1"/>
    </xf>
    <xf numFmtId="0" fontId="68" fillId="0" borderId="2" xfId="0" applyFont="1" applyBorder="1" applyAlignment="1">
      <alignment horizontal="center" vertical="center" wrapText="1"/>
    </xf>
    <xf numFmtId="0" fontId="68" fillId="0" borderId="7" xfId="0" applyFont="1" applyBorder="1" applyAlignment="1">
      <alignment horizontal="center" vertical="center" wrapText="1"/>
    </xf>
    <xf numFmtId="0" fontId="68" fillId="21" borderId="5" xfId="0" applyFont="1" applyFill="1" applyBorder="1" applyAlignment="1">
      <alignment horizontal="center" vertical="center" wrapText="1"/>
    </xf>
    <xf numFmtId="0" fontId="68" fillId="21" borderId="3" xfId="0" applyFont="1" applyFill="1" applyBorder="1" applyAlignment="1">
      <alignment horizontal="center" vertical="center" wrapText="1"/>
    </xf>
    <xf numFmtId="0" fontId="68" fillId="22" borderId="5" xfId="0" applyFont="1" applyFill="1" applyBorder="1" applyAlignment="1">
      <alignment horizontal="center" vertical="center" wrapText="1"/>
    </xf>
    <xf numFmtId="0" fontId="68" fillId="22" borderId="3" xfId="0" applyFont="1" applyFill="1" applyBorder="1" applyAlignment="1">
      <alignment horizontal="center" vertical="center" wrapText="1"/>
    </xf>
    <xf numFmtId="0" fontId="68" fillId="3" borderId="2" xfId="0" applyFont="1" applyFill="1" applyBorder="1" applyAlignment="1">
      <alignment horizontal="center" vertical="center"/>
    </xf>
    <xf numFmtId="0" fontId="68" fillId="3" borderId="7" xfId="0" applyFont="1" applyFill="1" applyBorder="1" applyAlignment="1">
      <alignment horizontal="center" vertical="center"/>
    </xf>
    <xf numFmtId="0" fontId="68" fillId="3" borderId="6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70" fillId="0" borderId="0" xfId="0" applyFont="1" applyAlignment="1">
      <alignment horizontal="center"/>
    </xf>
    <xf numFmtId="0" fontId="71" fillId="3" borderId="47" xfId="0" applyFont="1" applyFill="1" applyBorder="1" applyAlignment="1">
      <alignment horizontal="center"/>
    </xf>
    <xf numFmtId="0" fontId="71" fillId="0" borderId="48" xfId="0" applyFont="1" applyFill="1" applyBorder="1" applyAlignment="1">
      <alignment horizontal="center"/>
    </xf>
    <xf numFmtId="0" fontId="59" fillId="24" borderId="39" xfId="5" applyFont="1" applyFill="1" applyBorder="1" applyAlignment="1">
      <alignment horizontal="center" vertical="center"/>
    </xf>
    <xf numFmtId="0" fontId="59" fillId="21" borderId="1" xfId="5" applyFont="1" applyFill="1" applyBorder="1" applyAlignment="1">
      <alignment horizontal="center" vertical="center"/>
    </xf>
    <xf numFmtId="0" fontId="59" fillId="24" borderId="1" xfId="5" applyFont="1" applyFill="1" applyBorder="1" applyAlignment="1">
      <alignment horizontal="center" vertical="center"/>
    </xf>
    <xf numFmtId="0" fontId="52" fillId="0" borderId="0" xfId="5" applyFont="1" applyAlignment="1">
      <alignment horizontal="center"/>
    </xf>
    <xf numFmtId="0" fontId="54" fillId="0" borderId="0" xfId="5" applyFont="1" applyAlignment="1">
      <alignment horizontal="center"/>
    </xf>
    <xf numFmtId="0" fontId="55" fillId="0" borderId="0" xfId="5" applyFont="1" applyAlignment="1">
      <alignment horizontal="center"/>
    </xf>
    <xf numFmtId="17" fontId="0" fillId="0" borderId="0" xfId="0" applyNumberFormat="1" applyAlignment="1">
      <alignment horizontal="center"/>
    </xf>
    <xf numFmtId="0" fontId="59" fillId="23" borderId="28" xfId="5" applyFont="1" applyFill="1" applyBorder="1" applyAlignment="1">
      <alignment horizontal="center" vertical="center"/>
    </xf>
    <xf numFmtId="0" fontId="59" fillId="23" borderId="39" xfId="5" applyFont="1" applyFill="1" applyBorder="1" applyAlignment="1">
      <alignment horizontal="center" vertical="center"/>
    </xf>
    <xf numFmtId="0" fontId="59" fillId="24" borderId="40" xfId="5" applyFont="1" applyFill="1" applyBorder="1" applyAlignment="1">
      <alignment horizontal="center" vertical="center"/>
    </xf>
    <xf numFmtId="0" fontId="59" fillId="24" borderId="41" xfId="5" applyFont="1" applyFill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56" fillId="0" borderId="0" xfId="5" applyFont="1" applyAlignment="1">
      <alignment horizontal="center" wrapText="1"/>
    </xf>
    <xf numFmtId="0" fontId="56" fillId="0" borderId="0" xfId="5" applyFont="1" applyAlignment="1">
      <alignment horizontal="center"/>
    </xf>
  </cellXfs>
  <cellStyles count="17">
    <cellStyle name="Millares" xfId="6" builtinId="3"/>
    <cellStyle name="Millares 2" xfId="3" xr:uid="{00000000-0005-0000-0000-000001000000}"/>
    <cellStyle name="Millares 2 2" xfId="4" xr:uid="{00000000-0005-0000-0000-000002000000}"/>
    <cellStyle name="Millares 2 4" xfId="10" xr:uid="{00000000-0005-0000-0000-000003000000}"/>
    <cellStyle name="Millares 3" xfId="7" xr:uid="{00000000-0005-0000-0000-000004000000}"/>
    <cellStyle name="Moneda" xfId="8" builtinId="4"/>
    <cellStyle name="Normal" xfId="0" builtinId="0"/>
    <cellStyle name="Normal 10" xfId="13" xr:uid="{00000000-0005-0000-0000-000007000000}"/>
    <cellStyle name="Normal 11" xfId="14" xr:uid="{00000000-0005-0000-0000-000008000000}"/>
    <cellStyle name="Normal 12 3" xfId="16" xr:uid="{00000000-0005-0000-0000-000009000000}"/>
    <cellStyle name="Normal 17" xfId="11" xr:uid="{00000000-0005-0000-0000-00000A000000}"/>
    <cellStyle name="Normal 2" xfId="1" xr:uid="{00000000-0005-0000-0000-00000B000000}"/>
    <cellStyle name="Normal 2 2" xfId="5" xr:uid="{00000000-0005-0000-0000-00000C000000}"/>
    <cellStyle name="Normal 2 4" xfId="12" xr:uid="{00000000-0005-0000-0000-00000D000000}"/>
    <cellStyle name="Normal 9" xfId="15" xr:uid="{00000000-0005-0000-0000-00000E000000}"/>
    <cellStyle name="Porcentaje" xfId="9" builtinId="5"/>
    <cellStyle name="Porcentaje 2" xfId="2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704850</xdr:colOff>
      <xdr:row>0</xdr:row>
      <xdr:rowOff>57150</xdr:rowOff>
    </xdr:from>
    <xdr:to>
      <xdr:col>5</xdr:col>
      <xdr:colOff>17212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0DEE7-31C4-4FFD-BD64-78D50EEA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57150"/>
          <a:ext cx="156661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398992</xdr:colOff>
      <xdr:row>0</xdr:row>
      <xdr:rowOff>185208</xdr:rowOff>
    </xdr:from>
    <xdr:ext cx="1304925" cy="456142"/>
    <xdr:pic>
      <xdr:nvPicPr>
        <xdr:cNvPr id="3" name="Imagen 2">
          <a:extLst>
            <a:ext uri="{FF2B5EF4-FFF2-40B4-BE49-F238E27FC236}">
              <a16:creationId xmlns:a16="http://schemas.microsoft.com/office/drawing/2014/main" id="{D4D4F5AB-B93F-4377-995B-F9989866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185208"/>
          <a:ext cx="1304925" cy="456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52917</xdr:rowOff>
    </xdr:from>
    <xdr:to>
      <xdr:col>0</xdr:col>
      <xdr:colOff>2296583</xdr:colOff>
      <xdr:row>5</xdr:row>
      <xdr:rowOff>46567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22184B-713C-4575-B9C7-A17EAD78FF3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50"/>
          <a:ext cx="2296583" cy="628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307"/>
  <sheetViews>
    <sheetView tabSelected="1" view="pageBreakPreview" zoomScale="90" zoomScaleNormal="90" zoomScaleSheetLayoutView="90" workbookViewId="0">
      <selection activeCell="A11" sqref="A11"/>
    </sheetView>
  </sheetViews>
  <sheetFormatPr baseColWidth="10" defaultColWidth="11.42578125" defaultRowHeight="15"/>
  <cols>
    <col min="1" max="1" width="11.42578125" style="294"/>
    <col min="2" max="2" width="17.7109375" customWidth="1"/>
    <col min="3" max="3" width="16.7109375" bestFit="1" customWidth="1"/>
    <col min="4" max="4" width="16" bestFit="1" customWidth="1"/>
    <col min="5" max="5" width="33.85546875" style="251" bestFit="1" customWidth="1"/>
    <col min="6" max="6" width="58.5703125" style="251" bestFit="1" customWidth="1"/>
    <col min="7" max="7" width="16" style="183" bestFit="1" customWidth="1"/>
    <col min="8" max="8" width="15.85546875" bestFit="1" customWidth="1"/>
  </cols>
  <sheetData>
    <row r="5" spans="1:8">
      <c r="A5" s="386" t="s">
        <v>425</v>
      </c>
      <c r="B5" s="386"/>
      <c r="C5" s="386"/>
      <c r="D5" s="386"/>
      <c r="E5" s="386"/>
      <c r="F5" s="386"/>
      <c r="G5" s="386"/>
      <c r="H5" s="386"/>
    </row>
    <row r="6" spans="1:8">
      <c r="A6" s="387" t="s">
        <v>749</v>
      </c>
      <c r="B6" s="387"/>
      <c r="C6" s="387"/>
      <c r="D6" s="387"/>
      <c r="E6" s="387"/>
      <c r="F6" s="387"/>
      <c r="G6" s="387"/>
      <c r="H6" s="387"/>
    </row>
    <row r="7" spans="1:8">
      <c r="A7" s="388" t="s">
        <v>658</v>
      </c>
      <c r="B7" s="388"/>
      <c r="C7" s="388"/>
      <c r="D7" s="388"/>
      <c r="E7" s="388"/>
      <c r="F7" s="388"/>
      <c r="G7" s="388"/>
      <c r="H7" s="388"/>
    </row>
    <row r="9" spans="1:8" s="131" customFormat="1">
      <c r="A9" s="389" t="s">
        <v>1428</v>
      </c>
      <c r="B9" s="389"/>
      <c r="C9" s="389"/>
      <c r="D9" s="389"/>
      <c r="E9" s="389"/>
      <c r="F9" s="389"/>
      <c r="G9" s="389"/>
      <c r="H9" s="389"/>
    </row>
    <row r="10" spans="1:8" ht="27">
      <c r="A10" s="293" t="s">
        <v>374</v>
      </c>
      <c r="B10" s="132" t="s">
        <v>426</v>
      </c>
      <c r="C10" s="132" t="s">
        <v>427</v>
      </c>
      <c r="D10" s="132" t="s">
        <v>428</v>
      </c>
      <c r="E10" s="133" t="s">
        <v>429</v>
      </c>
      <c r="F10" s="249" t="s">
        <v>430</v>
      </c>
      <c r="G10" s="134" t="s">
        <v>431</v>
      </c>
      <c r="H10" s="134" t="s">
        <v>432</v>
      </c>
    </row>
    <row r="11" spans="1:8" ht="28.5" customHeight="1">
      <c r="A11" s="135" t="s">
        <v>1117</v>
      </c>
      <c r="B11" s="263">
        <v>5368</v>
      </c>
      <c r="C11" s="1"/>
      <c r="D11" s="136"/>
      <c r="E11" s="252" t="s">
        <v>744</v>
      </c>
      <c r="F11" s="250" t="s">
        <v>927</v>
      </c>
      <c r="G11" s="137">
        <v>46582.94</v>
      </c>
      <c r="H11" s="138"/>
    </row>
    <row r="12" spans="1:8" ht="28.5">
      <c r="A12" s="135" t="s">
        <v>1118</v>
      </c>
      <c r="B12" s="263">
        <v>5370</v>
      </c>
      <c r="C12" s="1"/>
      <c r="D12" s="136"/>
      <c r="E12" s="252" t="s">
        <v>744</v>
      </c>
      <c r="F12" s="250" t="s">
        <v>928</v>
      </c>
      <c r="G12" s="137">
        <v>17997.23</v>
      </c>
      <c r="H12" s="138"/>
    </row>
    <row r="13" spans="1:8" ht="28.5">
      <c r="A13" s="135" t="s">
        <v>1118</v>
      </c>
      <c r="B13" s="263">
        <v>5372</v>
      </c>
      <c r="C13" s="1"/>
      <c r="D13" s="136"/>
      <c r="E13" s="252" t="s">
        <v>744</v>
      </c>
      <c r="F13" s="250" t="s">
        <v>929</v>
      </c>
      <c r="G13" s="137">
        <v>65000</v>
      </c>
      <c r="H13" s="138"/>
    </row>
    <row r="14" spans="1:8" ht="28.5">
      <c r="A14" s="135" t="s">
        <v>1119</v>
      </c>
      <c r="B14" s="263">
        <v>5384</v>
      </c>
      <c r="C14" s="1"/>
      <c r="D14" s="136"/>
      <c r="E14" s="252" t="s">
        <v>895</v>
      </c>
      <c r="F14" s="250" t="s">
        <v>930</v>
      </c>
      <c r="G14" s="137">
        <v>357942.95</v>
      </c>
      <c r="H14" s="138"/>
    </row>
    <row r="15" spans="1:8" ht="28.5">
      <c r="A15" s="135" t="s">
        <v>1119</v>
      </c>
      <c r="B15" s="263">
        <v>5388</v>
      </c>
      <c r="C15" s="1"/>
      <c r="D15" s="136"/>
      <c r="E15" s="252" t="s">
        <v>737</v>
      </c>
      <c r="F15" s="250" t="s">
        <v>931</v>
      </c>
      <c r="G15" s="137">
        <v>271695</v>
      </c>
      <c r="H15" s="138"/>
    </row>
    <row r="16" spans="1:8" ht="28.5">
      <c r="A16" s="135" t="s">
        <v>1120</v>
      </c>
      <c r="B16" s="263">
        <v>5402</v>
      </c>
      <c r="C16" s="1"/>
      <c r="D16" s="136"/>
      <c r="E16" s="252" t="s">
        <v>674</v>
      </c>
      <c r="F16" s="250" t="s">
        <v>932</v>
      </c>
      <c r="G16" s="137">
        <v>209157.5</v>
      </c>
      <c r="H16" s="138"/>
    </row>
    <row r="17" spans="1:8" ht="28.5">
      <c r="A17" s="135" t="s">
        <v>1120</v>
      </c>
      <c r="B17" s="263">
        <v>5407</v>
      </c>
      <c r="C17" s="1"/>
      <c r="D17" s="136"/>
      <c r="E17" s="252" t="s">
        <v>896</v>
      </c>
      <c r="F17" s="250" t="s">
        <v>933</v>
      </c>
      <c r="G17" s="137">
        <v>241664</v>
      </c>
      <c r="H17" s="138"/>
    </row>
    <row r="18" spans="1:8" ht="42.75">
      <c r="A18" s="135" t="s">
        <v>1120</v>
      </c>
      <c r="B18" s="263">
        <v>5411</v>
      </c>
      <c r="C18" s="1"/>
      <c r="D18" s="136"/>
      <c r="E18" s="252" t="s">
        <v>741</v>
      </c>
      <c r="F18" s="250" t="s">
        <v>934</v>
      </c>
      <c r="G18" s="137">
        <v>354814.96</v>
      </c>
      <c r="H18" s="138"/>
    </row>
    <row r="19" spans="1:8" ht="28.5">
      <c r="A19" s="135" t="s">
        <v>1120</v>
      </c>
      <c r="B19" s="263">
        <v>5415</v>
      </c>
      <c r="C19" s="1"/>
      <c r="D19" s="136"/>
      <c r="E19" s="252" t="s">
        <v>897</v>
      </c>
      <c r="F19" s="250" t="s">
        <v>935</v>
      </c>
      <c r="G19" s="137">
        <v>48750</v>
      </c>
      <c r="H19" s="138"/>
    </row>
    <row r="20" spans="1:8" ht="42.75">
      <c r="A20" s="135" t="s">
        <v>1120</v>
      </c>
      <c r="B20" s="263">
        <v>5419</v>
      </c>
      <c r="C20" s="1"/>
      <c r="D20" s="136"/>
      <c r="E20" s="252" t="s">
        <v>898</v>
      </c>
      <c r="F20" s="250" t="s">
        <v>936</v>
      </c>
      <c r="G20" s="137">
        <v>59000</v>
      </c>
      <c r="H20" s="138"/>
    </row>
    <row r="21" spans="1:8" ht="28.5">
      <c r="A21" s="135" t="s">
        <v>1120</v>
      </c>
      <c r="B21" s="263">
        <v>5423</v>
      </c>
      <c r="C21" s="1"/>
      <c r="D21" s="136"/>
      <c r="E21" s="252" t="s">
        <v>674</v>
      </c>
      <c r="F21" s="250" t="s">
        <v>937</v>
      </c>
      <c r="G21" s="137">
        <v>533138</v>
      </c>
      <c r="H21" s="138"/>
    </row>
    <row r="22" spans="1:8" ht="28.5">
      <c r="A22" s="135" t="s">
        <v>1120</v>
      </c>
      <c r="B22" s="263">
        <v>5427</v>
      </c>
      <c r="C22" s="1"/>
      <c r="D22" s="136"/>
      <c r="E22" s="252" t="s">
        <v>674</v>
      </c>
      <c r="F22" s="250" t="s">
        <v>938</v>
      </c>
      <c r="G22" s="137">
        <v>21564</v>
      </c>
      <c r="H22" s="138"/>
    </row>
    <row r="23" spans="1:8" ht="42.75">
      <c r="A23" s="135" t="s">
        <v>1120</v>
      </c>
      <c r="B23" s="263">
        <v>5431</v>
      </c>
      <c r="C23" s="1"/>
      <c r="D23" s="136"/>
      <c r="E23" s="252" t="s">
        <v>899</v>
      </c>
      <c r="F23" s="250" t="s">
        <v>939</v>
      </c>
      <c r="G23" s="137">
        <v>112214</v>
      </c>
      <c r="H23" s="138"/>
    </row>
    <row r="24" spans="1:8" ht="28.5">
      <c r="A24" s="135" t="s">
        <v>1120</v>
      </c>
      <c r="B24" s="263">
        <v>5435</v>
      </c>
      <c r="C24" s="1"/>
      <c r="D24" s="136"/>
      <c r="E24" s="252" t="s">
        <v>900</v>
      </c>
      <c r="F24" s="250" t="s">
        <v>940</v>
      </c>
      <c r="G24" s="137">
        <v>234000</v>
      </c>
      <c r="H24" s="138"/>
    </row>
    <row r="25" spans="1:8" ht="28.5">
      <c r="A25" s="135" t="s">
        <v>1121</v>
      </c>
      <c r="B25" s="263">
        <v>5440</v>
      </c>
      <c r="C25" s="1"/>
      <c r="D25" s="136"/>
      <c r="E25" s="252" t="s">
        <v>901</v>
      </c>
      <c r="F25" s="250" t="s">
        <v>941</v>
      </c>
      <c r="G25" s="137">
        <v>1289204.28</v>
      </c>
      <c r="H25" s="138"/>
    </row>
    <row r="26" spans="1:8" ht="42.75">
      <c r="A26" s="135" t="s">
        <v>1122</v>
      </c>
      <c r="B26" s="263">
        <v>5446</v>
      </c>
      <c r="C26" s="1"/>
      <c r="D26" s="136"/>
      <c r="E26" s="252" t="s">
        <v>745</v>
      </c>
      <c r="F26" s="250" t="s">
        <v>942</v>
      </c>
      <c r="G26" s="137">
        <v>211735</v>
      </c>
      <c r="H26" s="138"/>
    </row>
    <row r="27" spans="1:8" ht="42.75">
      <c r="A27" s="135" t="s">
        <v>1122</v>
      </c>
      <c r="B27" s="263">
        <v>5450</v>
      </c>
      <c r="C27" s="1"/>
      <c r="D27" s="136"/>
      <c r="E27" s="252" t="s">
        <v>665</v>
      </c>
      <c r="F27" s="250" t="s">
        <v>943</v>
      </c>
      <c r="G27" s="137">
        <v>155870.92000000001</v>
      </c>
      <c r="H27" s="138"/>
    </row>
    <row r="28" spans="1:8" ht="28.5">
      <c r="A28" s="135" t="s">
        <v>1123</v>
      </c>
      <c r="B28" s="263">
        <v>5454</v>
      </c>
      <c r="C28" s="1"/>
      <c r="D28" s="136"/>
      <c r="E28" s="252" t="s">
        <v>764</v>
      </c>
      <c r="F28" s="250" t="s">
        <v>944</v>
      </c>
      <c r="G28" s="137">
        <v>178840</v>
      </c>
      <c r="H28" s="138"/>
    </row>
    <row r="29" spans="1:8" ht="28.5">
      <c r="A29" s="135" t="s">
        <v>1123</v>
      </c>
      <c r="B29" s="263">
        <v>5461</v>
      </c>
      <c r="C29" s="1"/>
      <c r="D29" s="136"/>
      <c r="E29" s="252" t="s">
        <v>716</v>
      </c>
      <c r="F29" s="250" t="s">
        <v>945</v>
      </c>
      <c r="G29" s="137">
        <v>1842000</v>
      </c>
      <c r="H29" s="138"/>
    </row>
    <row r="30" spans="1:8" ht="28.5">
      <c r="A30" s="135" t="s">
        <v>1123</v>
      </c>
      <c r="B30" s="263">
        <v>5475</v>
      </c>
      <c r="C30" s="1"/>
      <c r="D30" s="136"/>
      <c r="E30" s="252" t="s">
        <v>902</v>
      </c>
      <c r="F30" s="250" t="s">
        <v>946</v>
      </c>
      <c r="G30" s="137">
        <v>1141950.8999999999</v>
      </c>
      <c r="H30" s="138"/>
    </row>
    <row r="31" spans="1:8" ht="28.5">
      <c r="A31" s="135" t="s">
        <v>1123</v>
      </c>
      <c r="B31" s="263">
        <v>5479</v>
      </c>
      <c r="C31" s="1"/>
      <c r="D31" s="136"/>
      <c r="E31" s="252" t="s">
        <v>716</v>
      </c>
      <c r="F31" s="250" t="s">
        <v>947</v>
      </c>
      <c r="G31" s="137">
        <v>1548640</v>
      </c>
      <c r="H31" s="138"/>
    </row>
    <row r="32" spans="1:8" ht="42.75">
      <c r="A32" s="135" t="s">
        <v>1123</v>
      </c>
      <c r="B32" s="263">
        <v>5480</v>
      </c>
      <c r="C32" s="1"/>
      <c r="D32" s="136"/>
      <c r="E32" s="252" t="s">
        <v>686</v>
      </c>
      <c r="F32" s="250" t="s">
        <v>948</v>
      </c>
      <c r="G32" s="137">
        <v>105857.02</v>
      </c>
      <c r="H32" s="138"/>
    </row>
    <row r="33" spans="1:8" ht="42.75">
      <c r="A33" s="135" t="s">
        <v>1123</v>
      </c>
      <c r="B33" s="263">
        <v>5489</v>
      </c>
      <c r="C33" s="1"/>
      <c r="D33" s="136"/>
      <c r="E33" s="252" t="s">
        <v>898</v>
      </c>
      <c r="F33" s="250" t="s">
        <v>949</v>
      </c>
      <c r="G33" s="137">
        <v>135700</v>
      </c>
      <c r="H33" s="138"/>
    </row>
    <row r="34" spans="1:8" ht="28.5">
      <c r="A34" s="135" t="s">
        <v>1123</v>
      </c>
      <c r="B34" s="263">
        <v>5490</v>
      </c>
      <c r="C34" s="1"/>
      <c r="D34" s="136"/>
      <c r="E34" s="252" t="s">
        <v>716</v>
      </c>
      <c r="F34" s="250" t="s">
        <v>950</v>
      </c>
      <c r="G34" s="137">
        <v>1812480</v>
      </c>
      <c r="H34" s="138"/>
    </row>
    <row r="35" spans="1:8" ht="28.5">
      <c r="A35" s="135" t="s">
        <v>1123</v>
      </c>
      <c r="B35" s="263">
        <v>5492</v>
      </c>
      <c r="C35" s="1"/>
      <c r="D35" s="136"/>
      <c r="E35" s="252" t="s">
        <v>677</v>
      </c>
      <c r="F35" s="250" t="s">
        <v>951</v>
      </c>
      <c r="G35" s="137">
        <v>830000</v>
      </c>
      <c r="H35" s="138"/>
    </row>
    <row r="36" spans="1:8" ht="42.75">
      <c r="A36" s="135" t="s">
        <v>1123</v>
      </c>
      <c r="B36" s="263">
        <v>5503</v>
      </c>
      <c r="C36" s="1"/>
      <c r="D36" s="136"/>
      <c r="E36" s="252" t="s">
        <v>903</v>
      </c>
      <c r="F36" s="250" t="s">
        <v>952</v>
      </c>
      <c r="G36" s="137">
        <v>265000</v>
      </c>
      <c r="H36" s="138"/>
    </row>
    <row r="37" spans="1:8" ht="28.5">
      <c r="A37" s="135" t="s">
        <v>1123</v>
      </c>
      <c r="B37" s="263">
        <v>5504</v>
      </c>
      <c r="C37" s="1"/>
      <c r="D37" s="136"/>
      <c r="E37" s="252" t="s">
        <v>659</v>
      </c>
      <c r="F37" s="250" t="s">
        <v>953</v>
      </c>
      <c r="G37" s="137">
        <v>241664</v>
      </c>
      <c r="H37" s="138"/>
    </row>
    <row r="38" spans="1:8" ht="28.5">
      <c r="A38" s="135" t="s">
        <v>1123</v>
      </c>
      <c r="B38" s="263">
        <v>5512</v>
      </c>
      <c r="C38" s="1"/>
      <c r="D38" s="136"/>
      <c r="E38" s="252" t="s">
        <v>764</v>
      </c>
      <c r="F38" s="250" t="s">
        <v>954</v>
      </c>
      <c r="G38" s="137">
        <v>239304</v>
      </c>
      <c r="H38" s="138"/>
    </row>
    <row r="39" spans="1:8" ht="42.75">
      <c r="A39" s="135" t="s">
        <v>1123</v>
      </c>
      <c r="B39" s="263">
        <v>5513</v>
      </c>
      <c r="C39" s="1"/>
      <c r="D39" s="136"/>
      <c r="E39" s="252" t="s">
        <v>659</v>
      </c>
      <c r="F39" s="250" t="s">
        <v>955</v>
      </c>
      <c r="G39" s="137">
        <v>242342.5</v>
      </c>
      <c r="H39" s="138"/>
    </row>
    <row r="40" spans="1:8" ht="28.5">
      <c r="A40" s="135" t="s">
        <v>1123</v>
      </c>
      <c r="B40" s="263">
        <v>5514</v>
      </c>
      <c r="C40" s="1"/>
      <c r="D40" s="136"/>
      <c r="E40" s="252" t="s">
        <v>762</v>
      </c>
      <c r="F40" s="250" t="s">
        <v>956</v>
      </c>
      <c r="G40" s="137">
        <v>270000</v>
      </c>
      <c r="H40" s="138"/>
    </row>
    <row r="41" spans="1:8" ht="28.5">
      <c r="A41" s="135" t="s">
        <v>1123</v>
      </c>
      <c r="B41" s="263">
        <v>5520</v>
      </c>
      <c r="C41" s="1"/>
      <c r="D41" s="136"/>
      <c r="E41" s="252" t="s">
        <v>897</v>
      </c>
      <c r="F41" s="250" t="s">
        <v>957</v>
      </c>
      <c r="G41" s="137">
        <v>259700</v>
      </c>
      <c r="H41" s="138"/>
    </row>
    <row r="42" spans="1:8" ht="42.75">
      <c r="A42" s="135" t="s">
        <v>1123</v>
      </c>
      <c r="B42" s="263">
        <v>5526</v>
      </c>
      <c r="C42" s="1"/>
      <c r="D42" s="136"/>
      <c r="E42" s="252" t="s">
        <v>766</v>
      </c>
      <c r="F42" s="250" t="s">
        <v>958</v>
      </c>
      <c r="G42" s="137">
        <v>210266</v>
      </c>
      <c r="H42" s="138"/>
    </row>
    <row r="43" spans="1:8" ht="28.5">
      <c r="A43" s="135" t="s">
        <v>1123</v>
      </c>
      <c r="B43" s="263">
        <v>5530</v>
      </c>
      <c r="C43" s="1"/>
      <c r="D43" s="136"/>
      <c r="E43" s="252" t="s">
        <v>742</v>
      </c>
      <c r="F43" s="250" t="s">
        <v>959</v>
      </c>
      <c r="G43" s="137">
        <v>271990</v>
      </c>
      <c r="H43" s="138"/>
    </row>
    <row r="44" spans="1:8" ht="42.75">
      <c r="A44" s="135" t="s">
        <v>1123</v>
      </c>
      <c r="B44" s="263">
        <v>5534</v>
      </c>
      <c r="C44" s="1"/>
      <c r="D44" s="136"/>
      <c r="E44" s="252" t="s">
        <v>743</v>
      </c>
      <c r="F44" s="250" t="s">
        <v>960</v>
      </c>
      <c r="G44" s="137">
        <v>208000</v>
      </c>
      <c r="H44" s="138"/>
    </row>
    <row r="45" spans="1:8" ht="28.5">
      <c r="A45" s="135" t="s">
        <v>1123</v>
      </c>
      <c r="B45" s="263">
        <v>5543</v>
      </c>
      <c r="C45" s="1"/>
      <c r="D45" s="136"/>
      <c r="E45" s="252" t="s">
        <v>659</v>
      </c>
      <c r="F45" s="250" t="s">
        <v>961</v>
      </c>
      <c r="G45" s="137">
        <v>214099.20000000001</v>
      </c>
      <c r="H45" s="138"/>
    </row>
    <row r="46" spans="1:8" ht="28.5">
      <c r="A46" s="135" t="s">
        <v>1123</v>
      </c>
      <c r="B46" s="263">
        <v>5548</v>
      </c>
      <c r="C46" s="1"/>
      <c r="D46" s="136"/>
      <c r="E46" s="252" t="s">
        <v>659</v>
      </c>
      <c r="F46" s="250" t="s">
        <v>962</v>
      </c>
      <c r="G46" s="137">
        <v>248700</v>
      </c>
      <c r="H46" s="138"/>
    </row>
    <row r="47" spans="1:8" ht="28.5">
      <c r="A47" s="135" t="s">
        <v>1123</v>
      </c>
      <c r="B47" s="263">
        <v>5552</v>
      </c>
      <c r="C47" s="1"/>
      <c r="D47" s="136"/>
      <c r="E47" s="252" t="s">
        <v>904</v>
      </c>
      <c r="F47" s="250" t="s">
        <v>963</v>
      </c>
      <c r="G47" s="137">
        <v>183810</v>
      </c>
      <c r="H47" s="138"/>
    </row>
    <row r="48" spans="1:8" ht="28.5">
      <c r="A48" s="135" t="s">
        <v>1123</v>
      </c>
      <c r="B48" s="263">
        <v>5558</v>
      </c>
      <c r="C48" s="1"/>
      <c r="D48" s="136"/>
      <c r="E48" s="252" t="s">
        <v>905</v>
      </c>
      <c r="F48" s="250" t="s">
        <v>964</v>
      </c>
      <c r="G48" s="137">
        <v>199000</v>
      </c>
      <c r="H48" s="138"/>
    </row>
    <row r="49" spans="1:8" ht="42.75">
      <c r="A49" s="135" t="s">
        <v>1123</v>
      </c>
      <c r="B49" s="263">
        <v>5560</v>
      </c>
      <c r="C49" s="1"/>
      <c r="D49" s="136"/>
      <c r="E49" s="252" t="s">
        <v>906</v>
      </c>
      <c r="F49" s="250" t="s">
        <v>965</v>
      </c>
      <c r="G49" s="137">
        <v>185850</v>
      </c>
      <c r="H49" s="138"/>
    </row>
    <row r="50" spans="1:8" ht="28.5">
      <c r="A50" s="135" t="s">
        <v>1123</v>
      </c>
      <c r="B50" s="263">
        <v>5567</v>
      </c>
      <c r="C50" s="1"/>
      <c r="D50" s="136"/>
      <c r="E50" s="252" t="s">
        <v>659</v>
      </c>
      <c r="F50" s="250" t="s">
        <v>966</v>
      </c>
      <c r="G50" s="137">
        <v>247800</v>
      </c>
      <c r="H50" s="138"/>
    </row>
    <row r="51" spans="1:8" ht="28.5">
      <c r="A51" s="135" t="s">
        <v>1123</v>
      </c>
      <c r="B51" s="263">
        <v>5568</v>
      </c>
      <c r="C51" s="1"/>
      <c r="D51" s="136"/>
      <c r="E51" s="252" t="s">
        <v>766</v>
      </c>
      <c r="F51" s="250" t="s">
        <v>967</v>
      </c>
      <c r="G51" s="137">
        <v>212400</v>
      </c>
      <c r="H51" s="138"/>
    </row>
    <row r="52" spans="1:8" ht="28.5">
      <c r="A52" s="135" t="s">
        <v>1123</v>
      </c>
      <c r="B52" s="263">
        <v>5570</v>
      </c>
      <c r="C52" s="1"/>
      <c r="D52" s="136"/>
      <c r="E52" s="252" t="s">
        <v>739</v>
      </c>
      <c r="F52" s="250" t="s">
        <v>968</v>
      </c>
      <c r="G52" s="137">
        <v>247800</v>
      </c>
      <c r="H52" s="138"/>
    </row>
    <row r="53" spans="1:8" ht="28.5">
      <c r="A53" s="135" t="s">
        <v>1123</v>
      </c>
      <c r="B53" s="263">
        <v>5577</v>
      </c>
      <c r="C53" s="1"/>
      <c r="D53" s="136"/>
      <c r="E53" s="252" t="s">
        <v>897</v>
      </c>
      <c r="F53" s="250" t="s">
        <v>969</v>
      </c>
      <c r="G53" s="137">
        <v>1825000</v>
      </c>
      <c r="H53" s="138"/>
    </row>
    <row r="54" spans="1:8" ht="28.5">
      <c r="A54" s="135" t="s">
        <v>1123</v>
      </c>
      <c r="B54" s="263">
        <v>5578</v>
      </c>
      <c r="C54" s="1"/>
      <c r="D54" s="136"/>
      <c r="E54" s="252" t="s">
        <v>907</v>
      </c>
      <c r="F54" s="250" t="s">
        <v>970</v>
      </c>
      <c r="G54" s="137">
        <v>138340</v>
      </c>
      <c r="H54" s="138"/>
    </row>
    <row r="55" spans="1:8" ht="28.5">
      <c r="A55" s="135" t="s">
        <v>1123</v>
      </c>
      <c r="B55" s="263">
        <v>5587</v>
      </c>
      <c r="C55" s="1"/>
      <c r="D55" s="136"/>
      <c r="E55" s="252" t="s">
        <v>763</v>
      </c>
      <c r="F55" s="250" t="s">
        <v>971</v>
      </c>
      <c r="G55" s="137">
        <v>472000</v>
      </c>
      <c r="H55" s="138"/>
    </row>
    <row r="56" spans="1:8" ht="28.5">
      <c r="A56" s="135" t="s">
        <v>1123</v>
      </c>
      <c r="B56" s="263">
        <v>5589</v>
      </c>
      <c r="C56" s="1"/>
      <c r="D56" s="136"/>
      <c r="E56" s="252" t="s">
        <v>764</v>
      </c>
      <c r="F56" s="250" t="s">
        <v>972</v>
      </c>
      <c r="G56" s="137">
        <v>169920</v>
      </c>
      <c r="H56" s="138"/>
    </row>
    <row r="57" spans="1:8" ht="42.75">
      <c r="A57" s="135" t="s">
        <v>1123</v>
      </c>
      <c r="B57" s="263">
        <v>5590</v>
      </c>
      <c r="C57" s="1"/>
      <c r="D57" s="136"/>
      <c r="E57" s="252" t="s">
        <v>686</v>
      </c>
      <c r="F57" s="250" t="s">
        <v>973</v>
      </c>
      <c r="G57" s="137">
        <v>229356</v>
      </c>
      <c r="H57" s="138"/>
    </row>
    <row r="58" spans="1:8" ht="42.75">
      <c r="A58" s="135" t="s">
        <v>1123</v>
      </c>
      <c r="B58" s="263">
        <v>5596</v>
      </c>
      <c r="C58" s="1"/>
      <c r="D58" s="136"/>
      <c r="E58" s="252" t="s">
        <v>664</v>
      </c>
      <c r="F58" s="250" t="s">
        <v>974</v>
      </c>
      <c r="G58" s="137">
        <v>405611.43</v>
      </c>
      <c r="H58" s="138"/>
    </row>
    <row r="59" spans="1:8" ht="28.5">
      <c r="A59" s="135" t="s">
        <v>1123</v>
      </c>
      <c r="B59" s="263">
        <v>5601</v>
      </c>
      <c r="C59" s="1"/>
      <c r="D59" s="136"/>
      <c r="E59" s="252" t="s">
        <v>741</v>
      </c>
      <c r="F59" s="250" t="s">
        <v>975</v>
      </c>
      <c r="G59" s="137">
        <v>225993.60000000001</v>
      </c>
      <c r="H59" s="138"/>
    </row>
    <row r="60" spans="1:8" ht="28.5">
      <c r="A60" s="135" t="s">
        <v>1123</v>
      </c>
      <c r="B60" s="263">
        <v>5602</v>
      </c>
      <c r="C60" s="1"/>
      <c r="D60" s="136"/>
      <c r="E60" s="252" t="s">
        <v>686</v>
      </c>
      <c r="F60" s="250" t="s">
        <v>976</v>
      </c>
      <c r="G60" s="137">
        <v>262243.20000000001</v>
      </c>
      <c r="H60" s="138"/>
    </row>
    <row r="61" spans="1:8" ht="28.5">
      <c r="A61" s="135" t="s">
        <v>1123</v>
      </c>
      <c r="B61" s="263">
        <v>5608</v>
      </c>
      <c r="C61" s="1"/>
      <c r="D61" s="136"/>
      <c r="E61" s="252" t="s">
        <v>903</v>
      </c>
      <c r="F61" s="250" t="s">
        <v>977</v>
      </c>
      <c r="G61" s="137">
        <v>241700</v>
      </c>
      <c r="H61" s="138"/>
    </row>
    <row r="62" spans="1:8" ht="28.5">
      <c r="A62" s="135" t="s">
        <v>1123</v>
      </c>
      <c r="B62" s="263">
        <v>5612</v>
      </c>
      <c r="C62" s="1"/>
      <c r="D62" s="136"/>
      <c r="E62" s="252" t="s">
        <v>676</v>
      </c>
      <c r="F62" s="250" t="s">
        <v>978</v>
      </c>
      <c r="G62" s="137">
        <v>525496.48</v>
      </c>
      <c r="H62" s="138"/>
    </row>
    <row r="63" spans="1:8" ht="28.5">
      <c r="A63" s="135" t="s">
        <v>1123</v>
      </c>
      <c r="B63" s="263">
        <v>5615</v>
      </c>
      <c r="C63" s="1"/>
      <c r="D63" s="136"/>
      <c r="E63" s="252" t="s">
        <v>903</v>
      </c>
      <c r="F63" s="250" t="s">
        <v>979</v>
      </c>
      <c r="G63" s="137">
        <v>237500</v>
      </c>
      <c r="H63" s="138"/>
    </row>
    <row r="64" spans="1:8" ht="28.5">
      <c r="A64" s="135" t="s">
        <v>1123</v>
      </c>
      <c r="B64" s="263">
        <v>5622</v>
      </c>
      <c r="C64" s="1"/>
      <c r="D64" s="136"/>
      <c r="E64" s="252" t="s">
        <v>762</v>
      </c>
      <c r="F64" s="250" t="s">
        <v>980</v>
      </c>
      <c r="G64" s="137">
        <v>270000</v>
      </c>
      <c r="H64" s="138"/>
    </row>
    <row r="65" spans="1:8" ht="28.5">
      <c r="A65" s="135" t="s">
        <v>1123</v>
      </c>
      <c r="B65" s="263">
        <v>5627</v>
      </c>
      <c r="C65" s="1"/>
      <c r="D65" s="136"/>
      <c r="E65" s="252" t="s">
        <v>899</v>
      </c>
      <c r="F65" s="250" t="s">
        <v>981</v>
      </c>
      <c r="G65" s="137">
        <v>215350</v>
      </c>
      <c r="H65" s="138"/>
    </row>
    <row r="66" spans="1:8" ht="28.5">
      <c r="A66" s="135" t="s">
        <v>1123</v>
      </c>
      <c r="B66" s="263">
        <v>5628</v>
      </c>
      <c r="C66" s="1"/>
      <c r="D66" s="136"/>
      <c r="E66" s="252" t="s">
        <v>903</v>
      </c>
      <c r="F66" s="250" t="s">
        <v>982</v>
      </c>
      <c r="G66" s="137">
        <v>260000</v>
      </c>
      <c r="H66" s="138"/>
    </row>
    <row r="67" spans="1:8" ht="28.5">
      <c r="A67" s="135" t="s">
        <v>1123</v>
      </c>
      <c r="B67" s="263">
        <v>5630</v>
      </c>
      <c r="C67" s="1"/>
      <c r="D67" s="136"/>
      <c r="E67" s="252" t="s">
        <v>762</v>
      </c>
      <c r="F67" s="250" t="s">
        <v>983</v>
      </c>
      <c r="G67" s="137">
        <v>90000</v>
      </c>
      <c r="H67" s="138"/>
    </row>
    <row r="68" spans="1:8" ht="28.5">
      <c r="A68" s="135" t="s">
        <v>1123</v>
      </c>
      <c r="B68" s="263">
        <v>5635</v>
      </c>
      <c r="C68" s="1"/>
      <c r="D68" s="136"/>
      <c r="E68" s="252" t="s">
        <v>664</v>
      </c>
      <c r="F68" s="250" t="s">
        <v>984</v>
      </c>
      <c r="G68" s="137">
        <v>1882572</v>
      </c>
      <c r="H68" s="138"/>
    </row>
    <row r="69" spans="1:8" ht="28.5">
      <c r="A69" s="135" t="s">
        <v>1123</v>
      </c>
      <c r="B69" s="263">
        <v>5638</v>
      </c>
      <c r="C69" s="1"/>
      <c r="D69" s="136"/>
      <c r="E69" s="252" t="s">
        <v>691</v>
      </c>
      <c r="F69" s="250" t="s">
        <v>985</v>
      </c>
      <c r="G69" s="137">
        <v>270877.17</v>
      </c>
      <c r="H69" s="138"/>
    </row>
    <row r="70" spans="1:8" ht="28.5">
      <c r="A70" s="135" t="s">
        <v>1123</v>
      </c>
      <c r="B70" s="263">
        <v>5642</v>
      </c>
      <c r="C70" s="1"/>
      <c r="D70" s="136"/>
      <c r="E70" s="252" t="s">
        <v>908</v>
      </c>
      <c r="F70" s="250" t="s">
        <v>986</v>
      </c>
      <c r="G70" s="137">
        <v>826167.48</v>
      </c>
      <c r="H70" s="138"/>
    </row>
    <row r="71" spans="1:8" ht="42.75">
      <c r="A71" s="135" t="s">
        <v>1123</v>
      </c>
      <c r="B71" s="263">
        <v>5652</v>
      </c>
      <c r="C71" s="1"/>
      <c r="D71" s="136"/>
      <c r="E71" s="252" t="s">
        <v>909</v>
      </c>
      <c r="F71" s="250" t="s">
        <v>987</v>
      </c>
      <c r="G71" s="137">
        <v>468280</v>
      </c>
      <c r="H71" s="138"/>
    </row>
    <row r="72" spans="1:8" ht="28.5">
      <c r="A72" s="135" t="s">
        <v>1123</v>
      </c>
      <c r="B72" s="263">
        <v>5653</v>
      </c>
      <c r="C72" s="1"/>
      <c r="D72" s="136"/>
      <c r="E72" s="252" t="s">
        <v>902</v>
      </c>
      <c r="F72" s="250" t="s">
        <v>988</v>
      </c>
      <c r="G72" s="137">
        <v>1847142.5</v>
      </c>
      <c r="H72" s="138"/>
    </row>
    <row r="73" spans="1:8" ht="28.5">
      <c r="A73" s="135" t="s">
        <v>1123</v>
      </c>
      <c r="B73" s="263">
        <v>5654</v>
      </c>
      <c r="C73" s="1"/>
      <c r="D73" s="136"/>
      <c r="E73" s="252" t="s">
        <v>910</v>
      </c>
      <c r="F73" s="250" t="s">
        <v>989</v>
      </c>
      <c r="G73" s="137">
        <v>43838.559999999998</v>
      </c>
      <c r="H73" s="138"/>
    </row>
    <row r="74" spans="1:8" ht="28.5">
      <c r="A74" s="135" t="s">
        <v>1123</v>
      </c>
      <c r="B74" s="263">
        <v>5662</v>
      </c>
      <c r="C74" s="1"/>
      <c r="D74" s="136"/>
      <c r="E74" s="252" t="s">
        <v>902</v>
      </c>
      <c r="F74" s="250" t="s">
        <v>990</v>
      </c>
      <c r="G74" s="137">
        <v>52215</v>
      </c>
      <c r="H74" s="138"/>
    </row>
    <row r="75" spans="1:8" ht="28.5">
      <c r="A75" s="135" t="s">
        <v>1123</v>
      </c>
      <c r="B75" s="263">
        <v>5664</v>
      </c>
      <c r="C75" s="1"/>
      <c r="D75" s="136"/>
      <c r="E75" s="252" t="s">
        <v>909</v>
      </c>
      <c r="F75" s="250" t="s">
        <v>991</v>
      </c>
      <c r="G75" s="137">
        <v>688500</v>
      </c>
      <c r="H75" s="138"/>
    </row>
    <row r="76" spans="1:8" ht="28.5">
      <c r="A76" s="135" t="s">
        <v>1123</v>
      </c>
      <c r="B76" s="263">
        <v>5668</v>
      </c>
      <c r="C76" s="1"/>
      <c r="D76" s="136"/>
      <c r="E76" s="252" t="s">
        <v>910</v>
      </c>
      <c r="F76" s="250" t="s">
        <v>992</v>
      </c>
      <c r="G76" s="137">
        <v>393293.04</v>
      </c>
      <c r="H76" s="138"/>
    </row>
    <row r="77" spans="1:8" ht="28.5">
      <c r="A77" s="135" t="s">
        <v>1123</v>
      </c>
      <c r="B77" s="263">
        <v>5674</v>
      </c>
      <c r="C77" s="1"/>
      <c r="D77" s="136"/>
      <c r="E77" s="252" t="s">
        <v>903</v>
      </c>
      <c r="F77" s="250" t="s">
        <v>993</v>
      </c>
      <c r="G77" s="137">
        <v>270000</v>
      </c>
      <c r="H77" s="138"/>
    </row>
    <row r="78" spans="1:8" ht="28.5">
      <c r="A78" s="135" t="s">
        <v>1123</v>
      </c>
      <c r="B78" s="263">
        <v>5676</v>
      </c>
      <c r="C78" s="1"/>
      <c r="D78" s="136"/>
      <c r="E78" s="252" t="s">
        <v>689</v>
      </c>
      <c r="F78" s="250" t="s">
        <v>994</v>
      </c>
      <c r="G78" s="137">
        <v>358259.8</v>
      </c>
      <c r="H78" s="138"/>
    </row>
    <row r="79" spans="1:8" ht="42.75">
      <c r="A79" s="135" t="s">
        <v>1123</v>
      </c>
      <c r="B79" s="263">
        <v>5684</v>
      </c>
      <c r="C79" s="1"/>
      <c r="D79" s="136"/>
      <c r="E79" s="252" t="s">
        <v>737</v>
      </c>
      <c r="F79" s="250" t="s">
        <v>995</v>
      </c>
      <c r="G79" s="137">
        <v>210748</v>
      </c>
      <c r="H79" s="138"/>
    </row>
    <row r="80" spans="1:8" ht="42.75">
      <c r="A80" s="135" t="s">
        <v>1123</v>
      </c>
      <c r="B80" s="263">
        <v>5687</v>
      </c>
      <c r="C80" s="1"/>
      <c r="D80" s="136"/>
      <c r="E80" s="252" t="s">
        <v>688</v>
      </c>
      <c r="F80" s="250" t="s">
        <v>996</v>
      </c>
      <c r="G80" s="137">
        <v>592803.6</v>
      </c>
      <c r="H80" s="138"/>
    </row>
    <row r="81" spans="1:8" ht="42.75">
      <c r="A81" s="135" t="s">
        <v>1123</v>
      </c>
      <c r="B81" s="263">
        <v>5695</v>
      </c>
      <c r="C81" s="1"/>
      <c r="D81" s="136"/>
      <c r="E81" s="252" t="s">
        <v>911</v>
      </c>
      <c r="F81" s="250" t="s">
        <v>997</v>
      </c>
      <c r="G81" s="137">
        <v>1407050</v>
      </c>
      <c r="H81" s="138"/>
    </row>
    <row r="82" spans="1:8" ht="42.75">
      <c r="A82" s="135" t="s">
        <v>1123</v>
      </c>
      <c r="B82" s="263">
        <v>5699</v>
      </c>
      <c r="C82" s="1"/>
      <c r="D82" s="136"/>
      <c r="E82" s="252" t="s">
        <v>762</v>
      </c>
      <c r="F82" s="250" t="s">
        <v>998</v>
      </c>
      <c r="G82" s="137">
        <v>260000</v>
      </c>
      <c r="H82" s="138"/>
    </row>
    <row r="83" spans="1:8" ht="28.5">
      <c r="A83" s="135" t="s">
        <v>1123</v>
      </c>
      <c r="B83" s="263">
        <v>5703</v>
      </c>
      <c r="C83" s="1"/>
      <c r="D83" s="136"/>
      <c r="E83" s="252" t="s">
        <v>912</v>
      </c>
      <c r="F83" s="250" t="s">
        <v>999</v>
      </c>
      <c r="G83" s="137">
        <v>1982400</v>
      </c>
      <c r="H83" s="138"/>
    </row>
    <row r="84" spans="1:8" ht="42.75">
      <c r="A84" s="135" t="s">
        <v>1123</v>
      </c>
      <c r="B84" s="263">
        <v>5707</v>
      </c>
      <c r="C84" s="1"/>
      <c r="D84" s="136"/>
      <c r="E84" s="252" t="s">
        <v>659</v>
      </c>
      <c r="F84" s="250" t="s">
        <v>1000</v>
      </c>
      <c r="G84" s="137">
        <v>272500</v>
      </c>
      <c r="H84" s="138"/>
    </row>
    <row r="85" spans="1:8" ht="42.75">
      <c r="A85" s="135" t="s">
        <v>1123</v>
      </c>
      <c r="B85" s="263">
        <v>5712</v>
      </c>
      <c r="C85" s="1"/>
      <c r="D85" s="136"/>
      <c r="E85" s="252" t="s">
        <v>910</v>
      </c>
      <c r="F85" s="250" t="s">
        <v>1001</v>
      </c>
      <c r="G85" s="137">
        <v>271917.21999999997</v>
      </c>
      <c r="H85" s="138"/>
    </row>
    <row r="86" spans="1:8" ht="42.75">
      <c r="A86" s="135" t="s">
        <v>1123</v>
      </c>
      <c r="B86" s="263">
        <v>5716</v>
      </c>
      <c r="C86" s="1"/>
      <c r="D86" s="136"/>
      <c r="E86" s="252" t="s">
        <v>912</v>
      </c>
      <c r="F86" s="250" t="s">
        <v>1002</v>
      </c>
      <c r="G86" s="137">
        <v>1239000</v>
      </c>
      <c r="H86" s="138"/>
    </row>
    <row r="87" spans="1:8" ht="28.5">
      <c r="A87" s="135" t="s">
        <v>1124</v>
      </c>
      <c r="B87" s="263">
        <v>5720</v>
      </c>
      <c r="C87" s="1"/>
      <c r="D87" s="136"/>
      <c r="E87" s="252" t="s">
        <v>660</v>
      </c>
      <c r="F87" s="250" t="s">
        <v>1003</v>
      </c>
      <c r="G87" s="137">
        <v>81333.62</v>
      </c>
      <c r="H87" s="138"/>
    </row>
    <row r="88" spans="1:8" ht="28.5">
      <c r="A88" s="135" t="s">
        <v>1124</v>
      </c>
      <c r="B88" s="263">
        <v>5724</v>
      </c>
      <c r="C88" s="1"/>
      <c r="D88" s="136"/>
      <c r="E88" s="252" t="s">
        <v>913</v>
      </c>
      <c r="F88" s="250" t="s">
        <v>1004</v>
      </c>
      <c r="G88" s="137">
        <v>464596</v>
      </c>
      <c r="H88" s="138"/>
    </row>
    <row r="89" spans="1:8" ht="28.5">
      <c r="A89" s="135" t="s">
        <v>1124</v>
      </c>
      <c r="B89" s="263">
        <v>5728</v>
      </c>
      <c r="C89" s="1"/>
      <c r="D89" s="136"/>
      <c r="E89" s="252" t="s">
        <v>661</v>
      </c>
      <c r="F89" s="250" t="s">
        <v>1005</v>
      </c>
      <c r="G89" s="137">
        <v>556517.39</v>
      </c>
      <c r="H89" s="138"/>
    </row>
    <row r="90" spans="1:8" ht="28.5">
      <c r="A90" s="135" t="s">
        <v>1124</v>
      </c>
      <c r="B90" s="263">
        <v>5732</v>
      </c>
      <c r="C90" s="1"/>
      <c r="D90" s="136"/>
      <c r="E90" s="252" t="s">
        <v>666</v>
      </c>
      <c r="F90" s="250" t="s">
        <v>1006</v>
      </c>
      <c r="G90" s="137">
        <v>432132</v>
      </c>
      <c r="H90" s="138"/>
    </row>
    <row r="91" spans="1:8" ht="28.5">
      <c r="A91" s="135" t="s">
        <v>1124</v>
      </c>
      <c r="B91" s="263">
        <v>5740</v>
      </c>
      <c r="C91" s="1"/>
      <c r="D91" s="136"/>
      <c r="E91" s="252" t="s">
        <v>691</v>
      </c>
      <c r="F91" s="250" t="s">
        <v>1007</v>
      </c>
      <c r="G91" s="137">
        <v>272381.34999999998</v>
      </c>
      <c r="H91" s="138"/>
    </row>
    <row r="92" spans="1:8" ht="42.75">
      <c r="A92" s="135" t="s">
        <v>1124</v>
      </c>
      <c r="B92" s="263">
        <v>5744</v>
      </c>
      <c r="C92" s="1"/>
      <c r="D92" s="136"/>
      <c r="E92" s="252" t="s">
        <v>901</v>
      </c>
      <c r="F92" s="250" t="s">
        <v>1008</v>
      </c>
      <c r="G92" s="137">
        <v>1784515.48</v>
      </c>
      <c r="H92" s="138"/>
    </row>
    <row r="93" spans="1:8" ht="42.75">
      <c r="A93" s="135" t="s">
        <v>1125</v>
      </c>
      <c r="B93" s="263">
        <v>5754</v>
      </c>
      <c r="C93" s="1"/>
      <c r="D93" s="136"/>
      <c r="E93" s="252" t="s">
        <v>896</v>
      </c>
      <c r="F93" s="250" t="s">
        <v>1009</v>
      </c>
      <c r="G93" s="137">
        <v>555827</v>
      </c>
      <c r="H93" s="138"/>
    </row>
    <row r="94" spans="1:8" ht="42.75">
      <c r="A94" s="135" t="s">
        <v>1125</v>
      </c>
      <c r="B94" s="263">
        <v>5756</v>
      </c>
      <c r="C94" s="1"/>
      <c r="D94" s="136"/>
      <c r="E94" s="252" t="s">
        <v>667</v>
      </c>
      <c r="F94" s="250" t="s">
        <v>1010</v>
      </c>
      <c r="G94" s="137">
        <v>812112.5</v>
      </c>
      <c r="H94" s="138"/>
    </row>
    <row r="95" spans="1:8" ht="28.5">
      <c r="A95" s="135" t="s">
        <v>1125</v>
      </c>
      <c r="B95" s="263">
        <v>5760</v>
      </c>
      <c r="C95" s="1"/>
      <c r="D95" s="136"/>
      <c r="E95" s="252" t="s">
        <v>662</v>
      </c>
      <c r="F95" s="250" t="s">
        <v>1011</v>
      </c>
      <c r="G95" s="137">
        <v>808447.5</v>
      </c>
      <c r="H95" s="138"/>
    </row>
    <row r="96" spans="1:8" ht="42.75">
      <c r="A96" s="135" t="s">
        <v>1125</v>
      </c>
      <c r="B96" s="263">
        <v>5765</v>
      </c>
      <c r="C96" s="1"/>
      <c r="D96" s="136"/>
      <c r="E96" s="252" t="s">
        <v>689</v>
      </c>
      <c r="F96" s="250" t="s">
        <v>1012</v>
      </c>
      <c r="G96" s="137">
        <v>147671.4</v>
      </c>
      <c r="H96" s="138"/>
    </row>
    <row r="97" spans="1:8" ht="42.75">
      <c r="A97" s="135" t="s">
        <v>1125</v>
      </c>
      <c r="B97" s="263">
        <v>5767</v>
      </c>
      <c r="C97" s="1"/>
      <c r="D97" s="136"/>
      <c r="E97" s="252" t="s">
        <v>739</v>
      </c>
      <c r="F97" s="250" t="s">
        <v>1013</v>
      </c>
      <c r="G97" s="137">
        <v>900000</v>
      </c>
      <c r="H97" s="138"/>
    </row>
    <row r="98" spans="1:8" ht="28.5">
      <c r="A98" s="135" t="s">
        <v>1125</v>
      </c>
      <c r="B98" s="263">
        <v>5774</v>
      </c>
      <c r="C98" s="1"/>
      <c r="D98" s="136"/>
      <c r="E98" s="252" t="s">
        <v>914</v>
      </c>
      <c r="F98" s="250" t="s">
        <v>1014</v>
      </c>
      <c r="G98" s="137">
        <v>271400</v>
      </c>
      <c r="H98" s="138"/>
    </row>
    <row r="99" spans="1:8" ht="28.5">
      <c r="A99" s="135" t="s">
        <v>1125</v>
      </c>
      <c r="B99" s="263">
        <v>5775</v>
      </c>
      <c r="C99" s="1"/>
      <c r="D99" s="136"/>
      <c r="E99" s="252" t="s">
        <v>665</v>
      </c>
      <c r="F99" s="250" t="s">
        <v>1015</v>
      </c>
      <c r="G99" s="137">
        <v>1079476.27</v>
      </c>
      <c r="H99" s="138"/>
    </row>
    <row r="100" spans="1:8" ht="28.5">
      <c r="A100" s="135" t="s">
        <v>1125</v>
      </c>
      <c r="B100" s="263">
        <v>5782</v>
      </c>
      <c r="C100" s="1"/>
      <c r="D100" s="136"/>
      <c r="E100" s="252" t="s">
        <v>743</v>
      </c>
      <c r="F100" s="250" t="s">
        <v>1016</v>
      </c>
      <c r="G100" s="137">
        <v>270000</v>
      </c>
      <c r="H100" s="138"/>
    </row>
    <row r="101" spans="1:8" ht="28.5">
      <c r="A101" s="135" t="s">
        <v>1125</v>
      </c>
      <c r="B101" s="263">
        <v>5786</v>
      </c>
      <c r="C101" s="1"/>
      <c r="D101" s="136"/>
      <c r="E101" s="252" t="s">
        <v>662</v>
      </c>
      <c r="F101" s="250" t="s">
        <v>1017</v>
      </c>
      <c r="G101" s="137">
        <v>658424.42000000004</v>
      </c>
      <c r="H101" s="138"/>
    </row>
    <row r="102" spans="1:8" ht="42.75">
      <c r="A102" s="135" t="s">
        <v>1125</v>
      </c>
      <c r="B102" s="263">
        <v>5787</v>
      </c>
      <c r="C102" s="1"/>
      <c r="D102" s="136"/>
      <c r="E102" s="252" t="s">
        <v>686</v>
      </c>
      <c r="F102" s="250" t="s">
        <v>1018</v>
      </c>
      <c r="G102" s="137">
        <v>250000</v>
      </c>
      <c r="H102" s="138"/>
    </row>
    <row r="103" spans="1:8" ht="28.5">
      <c r="A103" s="135" t="s">
        <v>1125</v>
      </c>
      <c r="B103" s="263">
        <v>5792</v>
      </c>
      <c r="C103" s="1"/>
      <c r="D103" s="136"/>
      <c r="E103" s="252" t="s">
        <v>912</v>
      </c>
      <c r="F103" s="250" t="s">
        <v>1019</v>
      </c>
      <c r="G103" s="137">
        <v>1239000</v>
      </c>
      <c r="H103" s="138"/>
    </row>
    <row r="104" spans="1:8" ht="42.75">
      <c r="A104" s="135" t="s">
        <v>1125</v>
      </c>
      <c r="B104" s="263">
        <v>5800</v>
      </c>
      <c r="C104" s="1"/>
      <c r="D104" s="136"/>
      <c r="E104" s="252" t="s">
        <v>910</v>
      </c>
      <c r="F104" s="250" t="s">
        <v>1020</v>
      </c>
      <c r="G104" s="137">
        <v>542971.15</v>
      </c>
      <c r="H104" s="138"/>
    </row>
    <row r="105" spans="1:8" ht="28.5">
      <c r="A105" s="135" t="s">
        <v>1125</v>
      </c>
      <c r="B105" s="263">
        <v>5801</v>
      </c>
      <c r="C105" s="1"/>
      <c r="D105" s="136"/>
      <c r="E105" s="252" t="s">
        <v>662</v>
      </c>
      <c r="F105" s="250" t="s">
        <v>1021</v>
      </c>
      <c r="G105" s="137">
        <v>1140470</v>
      </c>
      <c r="H105" s="138"/>
    </row>
    <row r="106" spans="1:8" ht="42.75">
      <c r="A106" s="135" t="s">
        <v>1125</v>
      </c>
      <c r="B106" s="263">
        <v>5803</v>
      </c>
      <c r="C106" s="1"/>
      <c r="D106" s="136"/>
      <c r="E106" s="252" t="s">
        <v>743</v>
      </c>
      <c r="F106" s="250" t="s">
        <v>1022</v>
      </c>
      <c r="G106" s="137">
        <v>240000</v>
      </c>
      <c r="H106" s="138"/>
    </row>
    <row r="107" spans="1:8" ht="28.5">
      <c r="A107" s="135" t="s">
        <v>1125</v>
      </c>
      <c r="B107" s="263">
        <v>5810</v>
      </c>
      <c r="C107" s="1"/>
      <c r="D107" s="136"/>
      <c r="E107" s="252" t="s">
        <v>660</v>
      </c>
      <c r="F107" s="250" t="s">
        <v>1023</v>
      </c>
      <c r="G107" s="137">
        <v>300172.65000000002</v>
      </c>
      <c r="H107" s="138"/>
    </row>
    <row r="108" spans="1:8" ht="28.5">
      <c r="A108" s="135" t="s">
        <v>1125</v>
      </c>
      <c r="B108" s="263">
        <v>5813</v>
      </c>
      <c r="C108" s="1"/>
      <c r="D108" s="136"/>
      <c r="E108" s="252" t="s">
        <v>737</v>
      </c>
      <c r="F108" s="250" t="s">
        <v>1024</v>
      </c>
      <c r="G108" s="137">
        <v>265028</v>
      </c>
      <c r="H108" s="138"/>
    </row>
    <row r="109" spans="1:8" ht="28.5">
      <c r="A109" s="135" t="s">
        <v>1125</v>
      </c>
      <c r="B109" s="263">
        <v>5818</v>
      </c>
      <c r="C109" s="1"/>
      <c r="D109" s="136"/>
      <c r="E109" s="252" t="s">
        <v>737</v>
      </c>
      <c r="F109" s="250" t="s">
        <v>1025</v>
      </c>
      <c r="G109" s="137">
        <v>212400</v>
      </c>
      <c r="H109" s="138"/>
    </row>
    <row r="110" spans="1:8" ht="28.5">
      <c r="A110" s="135" t="s">
        <v>1125</v>
      </c>
      <c r="B110" s="263">
        <v>5820</v>
      </c>
      <c r="C110" s="1"/>
      <c r="D110" s="136"/>
      <c r="E110" s="252" t="s">
        <v>738</v>
      </c>
      <c r="F110" s="250" t="s">
        <v>1026</v>
      </c>
      <c r="G110" s="137">
        <v>255284.8</v>
      </c>
      <c r="H110" s="138"/>
    </row>
    <row r="111" spans="1:8" ht="28.5">
      <c r="A111" s="135" t="s">
        <v>1126</v>
      </c>
      <c r="B111" s="263">
        <v>5824</v>
      </c>
      <c r="C111" s="1"/>
      <c r="D111" s="136"/>
      <c r="E111" s="252" t="s">
        <v>664</v>
      </c>
      <c r="F111" s="250" t="s">
        <v>1027</v>
      </c>
      <c r="G111" s="137">
        <v>187623.54</v>
      </c>
      <c r="H111" s="138"/>
    </row>
    <row r="112" spans="1:8" ht="28.5">
      <c r="A112" s="135" t="s">
        <v>1126</v>
      </c>
      <c r="B112" s="263">
        <v>5831</v>
      </c>
      <c r="C112" s="1"/>
      <c r="D112" s="136"/>
      <c r="E112" s="252" t="s">
        <v>667</v>
      </c>
      <c r="F112" s="250" t="s">
        <v>1028</v>
      </c>
      <c r="G112" s="137">
        <v>73546.12</v>
      </c>
      <c r="H112" s="138"/>
    </row>
    <row r="113" spans="1:8" ht="28.5">
      <c r="A113" s="135" t="s">
        <v>1126</v>
      </c>
      <c r="B113" s="263">
        <v>5832</v>
      </c>
      <c r="C113" s="1"/>
      <c r="D113" s="136"/>
      <c r="E113" s="252" t="s">
        <v>739</v>
      </c>
      <c r="F113" s="250" t="s">
        <v>1029</v>
      </c>
      <c r="G113" s="137">
        <v>271375</v>
      </c>
      <c r="H113" s="138"/>
    </row>
    <row r="114" spans="1:8" ht="28.5">
      <c r="A114" s="135" t="s">
        <v>1126</v>
      </c>
      <c r="B114" s="263">
        <v>5839</v>
      </c>
      <c r="C114" s="1"/>
      <c r="D114" s="136"/>
      <c r="E114" s="252" t="s">
        <v>751</v>
      </c>
      <c r="F114" s="250" t="s">
        <v>1030</v>
      </c>
      <c r="G114" s="137">
        <v>193848</v>
      </c>
      <c r="H114" s="138"/>
    </row>
    <row r="115" spans="1:8" ht="28.5">
      <c r="A115" s="135" t="s">
        <v>1126</v>
      </c>
      <c r="B115" s="263">
        <v>5847</v>
      </c>
      <c r="C115" s="1"/>
      <c r="D115" s="136"/>
      <c r="E115" s="252" t="s">
        <v>662</v>
      </c>
      <c r="F115" s="250" t="s">
        <v>1031</v>
      </c>
      <c r="G115" s="137">
        <v>582912</v>
      </c>
      <c r="H115" s="138"/>
    </row>
    <row r="116" spans="1:8" ht="28.5">
      <c r="A116" s="135" t="s">
        <v>1126</v>
      </c>
      <c r="B116" s="263">
        <v>5852</v>
      </c>
      <c r="C116" s="1"/>
      <c r="D116" s="136"/>
      <c r="E116" s="252" t="s">
        <v>662</v>
      </c>
      <c r="F116" s="250" t="s">
        <v>1032</v>
      </c>
      <c r="G116" s="137">
        <v>62681.599999999999</v>
      </c>
      <c r="H116" s="138"/>
    </row>
    <row r="117" spans="1:8" ht="28.5">
      <c r="A117" s="135" t="s">
        <v>1126</v>
      </c>
      <c r="B117" s="263">
        <v>5856</v>
      </c>
      <c r="C117" s="1"/>
      <c r="D117" s="136"/>
      <c r="E117" s="252" t="s">
        <v>677</v>
      </c>
      <c r="F117" s="250" t="s">
        <v>1033</v>
      </c>
      <c r="G117" s="137">
        <v>237500</v>
      </c>
      <c r="H117" s="138"/>
    </row>
    <row r="118" spans="1:8" ht="42.75">
      <c r="A118" s="135" t="s">
        <v>1126</v>
      </c>
      <c r="B118" s="263">
        <v>5860</v>
      </c>
      <c r="C118" s="1"/>
      <c r="D118" s="136"/>
      <c r="E118" s="252" t="s">
        <v>768</v>
      </c>
      <c r="F118" s="250" t="s">
        <v>1034</v>
      </c>
      <c r="G118" s="137">
        <v>247800</v>
      </c>
      <c r="H118" s="138"/>
    </row>
    <row r="119" spans="1:8" ht="28.5">
      <c r="A119" s="135" t="s">
        <v>1126</v>
      </c>
      <c r="B119" s="263">
        <v>5864</v>
      </c>
      <c r="C119" s="1"/>
      <c r="D119" s="136"/>
      <c r="E119" s="252" t="s">
        <v>675</v>
      </c>
      <c r="F119" s="250" t="s">
        <v>1035</v>
      </c>
      <c r="G119" s="137">
        <v>100684.68</v>
      </c>
      <c r="H119" s="138"/>
    </row>
    <row r="120" spans="1:8" ht="28.5">
      <c r="A120" s="135" t="s">
        <v>1126</v>
      </c>
      <c r="B120" s="263">
        <v>5870</v>
      </c>
      <c r="C120" s="1"/>
      <c r="D120" s="136"/>
      <c r="E120" s="252" t="s">
        <v>686</v>
      </c>
      <c r="F120" s="250" t="s">
        <v>1036</v>
      </c>
      <c r="G120" s="137">
        <v>934560</v>
      </c>
      <c r="H120" s="138"/>
    </row>
    <row r="121" spans="1:8" ht="28.5">
      <c r="A121" s="135" t="s">
        <v>1126</v>
      </c>
      <c r="B121" s="263">
        <v>5872</v>
      </c>
      <c r="C121" s="1"/>
      <c r="D121" s="136"/>
      <c r="E121" s="252" t="s">
        <v>688</v>
      </c>
      <c r="F121" s="250" t="s">
        <v>1037</v>
      </c>
      <c r="G121" s="137">
        <v>347237.96</v>
      </c>
      <c r="H121" s="138"/>
    </row>
    <row r="122" spans="1:8" ht="28.5">
      <c r="A122" s="135" t="s">
        <v>1126</v>
      </c>
      <c r="B122" s="263">
        <v>5881</v>
      </c>
      <c r="C122" s="1"/>
      <c r="D122" s="136"/>
      <c r="E122" s="252" t="s">
        <v>676</v>
      </c>
      <c r="F122" s="250" t="s">
        <v>1038</v>
      </c>
      <c r="G122" s="137">
        <v>1246953.2</v>
      </c>
      <c r="H122" s="138"/>
    </row>
    <row r="123" spans="1:8" ht="42.75">
      <c r="A123" s="135" t="s">
        <v>1126</v>
      </c>
      <c r="B123" s="263">
        <v>5883</v>
      </c>
      <c r="C123" s="1"/>
      <c r="D123" s="136"/>
      <c r="E123" s="252" t="s">
        <v>747</v>
      </c>
      <c r="F123" s="250" t="s">
        <v>1039</v>
      </c>
      <c r="G123" s="137">
        <v>1567052.21</v>
      </c>
      <c r="H123" s="138"/>
    </row>
    <row r="124" spans="1:8" ht="57">
      <c r="A124" s="135" t="s">
        <v>1126</v>
      </c>
      <c r="B124" s="263">
        <v>5884</v>
      </c>
      <c r="C124" s="1"/>
      <c r="D124" s="136"/>
      <c r="E124" s="252" t="s">
        <v>915</v>
      </c>
      <c r="F124" s="250" t="s">
        <v>1040</v>
      </c>
      <c r="G124" s="137">
        <v>1449403.85</v>
      </c>
      <c r="H124" s="138"/>
    </row>
    <row r="125" spans="1:8" ht="57">
      <c r="A125" s="135" t="s">
        <v>1126</v>
      </c>
      <c r="B125" s="263">
        <v>5892</v>
      </c>
      <c r="C125" s="1"/>
      <c r="D125" s="136"/>
      <c r="E125" s="252" t="s">
        <v>915</v>
      </c>
      <c r="F125" s="250" t="s">
        <v>1041</v>
      </c>
      <c r="G125" s="137">
        <v>1860624.85</v>
      </c>
      <c r="H125" s="138"/>
    </row>
    <row r="126" spans="1:8" ht="57">
      <c r="A126" s="135" t="s">
        <v>1126</v>
      </c>
      <c r="B126" s="263">
        <v>5900</v>
      </c>
      <c r="C126" s="1"/>
      <c r="D126" s="136"/>
      <c r="E126" s="252" t="s">
        <v>915</v>
      </c>
      <c r="F126" s="250" t="s">
        <v>1042</v>
      </c>
      <c r="G126" s="137">
        <v>1248786.45</v>
      </c>
      <c r="H126" s="138"/>
    </row>
    <row r="127" spans="1:8" ht="28.5">
      <c r="A127" s="135" t="s">
        <v>1127</v>
      </c>
      <c r="B127" s="263">
        <v>5904</v>
      </c>
      <c r="C127" s="1"/>
      <c r="D127" s="136"/>
      <c r="E127" s="252" t="s">
        <v>746</v>
      </c>
      <c r="F127" s="250" t="s">
        <v>1043</v>
      </c>
      <c r="G127" s="137">
        <v>900000</v>
      </c>
      <c r="H127" s="138"/>
    </row>
    <row r="128" spans="1:8" ht="28.5">
      <c r="A128" s="135" t="s">
        <v>1127</v>
      </c>
      <c r="B128" s="263">
        <v>5906</v>
      </c>
      <c r="C128" s="1"/>
      <c r="D128" s="136"/>
      <c r="E128" s="252" t="s">
        <v>744</v>
      </c>
      <c r="F128" s="250" t="s">
        <v>1044</v>
      </c>
      <c r="G128" s="137">
        <v>75000</v>
      </c>
      <c r="H128" s="138"/>
    </row>
    <row r="129" spans="1:8" ht="28.5">
      <c r="A129" s="135" t="s">
        <v>1127</v>
      </c>
      <c r="B129" s="263">
        <v>5908</v>
      </c>
      <c r="C129" s="1"/>
      <c r="D129" s="136"/>
      <c r="E129" s="252" t="s">
        <v>744</v>
      </c>
      <c r="F129" s="250" t="s">
        <v>1045</v>
      </c>
      <c r="G129" s="137">
        <v>1548866.94</v>
      </c>
      <c r="H129" s="138"/>
    </row>
    <row r="130" spans="1:8" ht="28.5">
      <c r="A130" s="135" t="s">
        <v>1127</v>
      </c>
      <c r="B130" s="263">
        <v>5912</v>
      </c>
      <c r="C130" s="1"/>
      <c r="D130" s="136"/>
      <c r="E130" s="252" t="s">
        <v>686</v>
      </c>
      <c r="F130" s="250" t="s">
        <v>1046</v>
      </c>
      <c r="G130" s="137">
        <v>262243.20000000001</v>
      </c>
      <c r="H130" s="138"/>
    </row>
    <row r="131" spans="1:8" ht="28.5">
      <c r="A131" s="135" t="s">
        <v>1127</v>
      </c>
      <c r="B131" s="263">
        <v>5916</v>
      </c>
      <c r="C131" s="1"/>
      <c r="D131" s="136"/>
      <c r="E131" s="252" t="s">
        <v>742</v>
      </c>
      <c r="F131" s="250" t="s">
        <v>1047</v>
      </c>
      <c r="G131" s="137">
        <v>250000</v>
      </c>
      <c r="H131" s="138"/>
    </row>
    <row r="132" spans="1:8" ht="28.5">
      <c r="A132" s="135" t="s">
        <v>1127</v>
      </c>
      <c r="B132" s="263">
        <v>5918</v>
      </c>
      <c r="C132" s="1"/>
      <c r="D132" s="136"/>
      <c r="E132" s="252" t="s">
        <v>744</v>
      </c>
      <c r="F132" s="250" t="s">
        <v>1048</v>
      </c>
      <c r="G132" s="137">
        <v>71473931.950000003</v>
      </c>
      <c r="H132" s="138"/>
    </row>
    <row r="133" spans="1:8" ht="42.75">
      <c r="A133" s="135" t="s">
        <v>1127</v>
      </c>
      <c r="B133" s="263">
        <v>5922</v>
      </c>
      <c r="C133" s="1"/>
      <c r="D133" s="136"/>
      <c r="E133" s="252" t="s">
        <v>908</v>
      </c>
      <c r="F133" s="250" t="s">
        <v>1049</v>
      </c>
      <c r="G133" s="137">
        <v>733482.48</v>
      </c>
      <c r="H133" s="138"/>
    </row>
    <row r="134" spans="1:8" ht="42.75">
      <c r="A134" s="135" t="s">
        <v>1127</v>
      </c>
      <c r="B134" s="263">
        <v>5926</v>
      </c>
      <c r="C134" s="1"/>
      <c r="D134" s="136"/>
      <c r="E134" s="252" t="s">
        <v>740</v>
      </c>
      <c r="F134" s="250" t="s">
        <v>1050</v>
      </c>
      <c r="G134" s="137">
        <v>1791000</v>
      </c>
      <c r="H134" s="138"/>
    </row>
    <row r="135" spans="1:8" ht="42.75">
      <c r="A135" s="135" t="s">
        <v>1127</v>
      </c>
      <c r="B135" s="263">
        <v>5930</v>
      </c>
      <c r="C135" s="1"/>
      <c r="D135" s="136"/>
      <c r="E135" s="252" t="s">
        <v>740</v>
      </c>
      <c r="F135" s="250" t="s">
        <v>1051</v>
      </c>
      <c r="G135" s="137">
        <v>1791000</v>
      </c>
      <c r="H135" s="138"/>
    </row>
    <row r="136" spans="1:8" ht="42.75">
      <c r="A136" s="135" t="s">
        <v>1127</v>
      </c>
      <c r="B136" s="263">
        <v>5934</v>
      </c>
      <c r="C136" s="1"/>
      <c r="D136" s="136"/>
      <c r="E136" s="252" t="s">
        <v>741</v>
      </c>
      <c r="F136" s="250" t="s">
        <v>1052</v>
      </c>
      <c r="G136" s="137">
        <v>708000</v>
      </c>
      <c r="H136" s="138"/>
    </row>
    <row r="137" spans="1:8" ht="42.75">
      <c r="A137" s="135" t="s">
        <v>1127</v>
      </c>
      <c r="B137" s="263">
        <v>5938</v>
      </c>
      <c r="C137" s="1"/>
      <c r="D137" s="136"/>
      <c r="E137" s="252" t="s">
        <v>741</v>
      </c>
      <c r="F137" s="250" t="s">
        <v>1053</v>
      </c>
      <c r="G137" s="137">
        <v>413000</v>
      </c>
      <c r="H137" s="138"/>
    </row>
    <row r="138" spans="1:8" ht="28.5">
      <c r="A138" s="135" t="s">
        <v>1128</v>
      </c>
      <c r="B138" s="263">
        <v>5942</v>
      </c>
      <c r="C138" s="1"/>
      <c r="D138" s="136"/>
      <c r="E138" s="252" t="s">
        <v>676</v>
      </c>
      <c r="F138" s="250" t="s">
        <v>1054</v>
      </c>
      <c r="G138" s="137">
        <v>1215695</v>
      </c>
      <c r="H138" s="138"/>
    </row>
    <row r="139" spans="1:8" ht="28.5">
      <c r="A139" s="135" t="s">
        <v>1128</v>
      </c>
      <c r="B139" s="263">
        <v>5943</v>
      </c>
      <c r="C139" s="1"/>
      <c r="D139" s="136"/>
      <c r="E139" s="252" t="s">
        <v>659</v>
      </c>
      <c r="F139" s="250" t="s">
        <v>1055</v>
      </c>
      <c r="G139" s="137">
        <v>257150</v>
      </c>
      <c r="H139" s="138"/>
    </row>
    <row r="140" spans="1:8" ht="28.5">
      <c r="A140" s="135" t="s">
        <v>1128</v>
      </c>
      <c r="B140" s="263">
        <v>5947</v>
      </c>
      <c r="C140" s="1"/>
      <c r="D140" s="136"/>
      <c r="E140" s="252" t="s">
        <v>676</v>
      </c>
      <c r="F140" s="250" t="s">
        <v>1056</v>
      </c>
      <c r="G140" s="137">
        <v>525496.48</v>
      </c>
      <c r="H140" s="138"/>
    </row>
    <row r="141" spans="1:8" ht="28.5">
      <c r="A141" s="135" t="s">
        <v>1129</v>
      </c>
      <c r="B141" s="263">
        <v>5951</v>
      </c>
      <c r="C141" s="1"/>
      <c r="D141" s="136"/>
      <c r="E141" s="252" t="s">
        <v>739</v>
      </c>
      <c r="F141" s="250" t="s">
        <v>1057</v>
      </c>
      <c r="G141" s="137">
        <v>118000</v>
      </c>
      <c r="H141" s="138"/>
    </row>
    <row r="142" spans="1:8" ht="28.5">
      <c r="A142" s="135" t="s">
        <v>1129</v>
      </c>
      <c r="B142" s="263">
        <v>5956</v>
      </c>
      <c r="C142" s="1"/>
      <c r="D142" s="136"/>
      <c r="E142" s="252" t="s">
        <v>738</v>
      </c>
      <c r="F142" s="250" t="s">
        <v>1058</v>
      </c>
      <c r="G142" s="137">
        <v>1725000</v>
      </c>
      <c r="H142" s="138"/>
    </row>
    <row r="143" spans="1:8" ht="28.5">
      <c r="A143" s="135" t="s">
        <v>1129</v>
      </c>
      <c r="B143" s="263">
        <v>5961</v>
      </c>
      <c r="C143" s="1"/>
      <c r="D143" s="136"/>
      <c r="E143" s="252" t="s">
        <v>716</v>
      </c>
      <c r="F143" s="250" t="s">
        <v>1059</v>
      </c>
      <c r="G143" s="137">
        <v>1792420</v>
      </c>
      <c r="H143" s="138"/>
    </row>
    <row r="144" spans="1:8" ht="28.5">
      <c r="A144" s="135" t="s">
        <v>1129</v>
      </c>
      <c r="B144" s="263">
        <v>5968</v>
      </c>
      <c r="C144" s="1"/>
      <c r="D144" s="136"/>
      <c r="E144" s="252" t="s">
        <v>659</v>
      </c>
      <c r="F144" s="250" t="s">
        <v>1060</v>
      </c>
      <c r="G144" s="137">
        <v>531000</v>
      </c>
      <c r="H144" s="138"/>
    </row>
    <row r="145" spans="1:8" ht="28.5">
      <c r="A145" s="135" t="s">
        <v>1129</v>
      </c>
      <c r="B145" s="263">
        <v>5975</v>
      </c>
      <c r="C145" s="1"/>
      <c r="D145" s="136"/>
      <c r="E145" s="252" t="s">
        <v>905</v>
      </c>
      <c r="F145" s="250" t="s">
        <v>1061</v>
      </c>
      <c r="G145" s="137">
        <v>199000</v>
      </c>
      <c r="H145" s="138"/>
    </row>
    <row r="146" spans="1:8" ht="28.5">
      <c r="A146" s="135" t="s">
        <v>1130</v>
      </c>
      <c r="B146" s="263">
        <v>5978</v>
      </c>
      <c r="C146" s="1"/>
      <c r="D146" s="136"/>
      <c r="E146" s="252" t="s">
        <v>916</v>
      </c>
      <c r="F146" s="250" t="s">
        <v>1062</v>
      </c>
      <c r="G146" s="137">
        <v>167160</v>
      </c>
      <c r="H146" s="138"/>
    </row>
    <row r="147" spans="1:8" ht="28.5">
      <c r="A147" s="135" t="s">
        <v>1130</v>
      </c>
      <c r="B147" s="263">
        <v>5982</v>
      </c>
      <c r="C147" s="1"/>
      <c r="D147" s="136"/>
      <c r="E147" s="252" t="s">
        <v>912</v>
      </c>
      <c r="F147" s="250" t="s">
        <v>1063</v>
      </c>
      <c r="G147" s="137">
        <v>1982400</v>
      </c>
      <c r="H147" s="138"/>
    </row>
    <row r="148" spans="1:8" ht="28.5">
      <c r="A148" s="135" t="s">
        <v>1130</v>
      </c>
      <c r="B148" s="263">
        <v>5986</v>
      </c>
      <c r="C148" s="1"/>
      <c r="D148" s="136"/>
      <c r="E148" s="252" t="s">
        <v>895</v>
      </c>
      <c r="F148" s="250" t="s">
        <v>1064</v>
      </c>
      <c r="G148" s="137">
        <v>275000</v>
      </c>
      <c r="H148" s="138"/>
    </row>
    <row r="149" spans="1:8" ht="28.5">
      <c r="A149" s="135" t="s">
        <v>1130</v>
      </c>
      <c r="B149" s="263">
        <v>5990</v>
      </c>
      <c r="C149" s="1"/>
      <c r="D149" s="136"/>
      <c r="E149" s="252" t="s">
        <v>718</v>
      </c>
      <c r="F149" s="250" t="s">
        <v>1065</v>
      </c>
      <c r="G149" s="137">
        <v>82372.08</v>
      </c>
      <c r="H149" s="138"/>
    </row>
    <row r="150" spans="1:8" ht="42.75">
      <c r="A150" s="135" t="s">
        <v>1130</v>
      </c>
      <c r="B150" s="263">
        <v>5994</v>
      </c>
      <c r="C150" s="1"/>
      <c r="D150" s="136"/>
      <c r="E150" s="252" t="s">
        <v>663</v>
      </c>
      <c r="F150" s="250" t="s">
        <v>1066</v>
      </c>
      <c r="G150" s="137">
        <v>805048</v>
      </c>
      <c r="H150" s="138"/>
    </row>
    <row r="151" spans="1:8" ht="42.75">
      <c r="A151" s="135" t="s">
        <v>1130</v>
      </c>
      <c r="B151" s="263">
        <v>5998</v>
      </c>
      <c r="C151" s="1"/>
      <c r="D151" s="136"/>
      <c r="E151" s="252" t="s">
        <v>766</v>
      </c>
      <c r="F151" s="250" t="s">
        <v>1067</v>
      </c>
      <c r="G151" s="137">
        <v>1775000</v>
      </c>
      <c r="H151" s="138"/>
    </row>
    <row r="152" spans="1:8" ht="28.5">
      <c r="A152" s="135" t="s">
        <v>1131</v>
      </c>
      <c r="B152" s="263">
        <v>6003</v>
      </c>
      <c r="C152" s="1"/>
      <c r="D152" s="136"/>
      <c r="E152" s="252" t="s">
        <v>910</v>
      </c>
      <c r="F152" s="250" t="s">
        <v>1068</v>
      </c>
      <c r="G152" s="137">
        <v>175733.63</v>
      </c>
      <c r="H152" s="138"/>
    </row>
    <row r="153" spans="1:8" ht="42.75">
      <c r="A153" s="135" t="s">
        <v>1131</v>
      </c>
      <c r="B153" s="263">
        <v>6007</v>
      </c>
      <c r="C153" s="1"/>
      <c r="D153" s="136"/>
      <c r="E153" s="252" t="s">
        <v>663</v>
      </c>
      <c r="F153" s="250" t="s">
        <v>1069</v>
      </c>
      <c r="G153" s="137">
        <v>31152</v>
      </c>
      <c r="H153" s="138"/>
    </row>
    <row r="154" spans="1:8" ht="28.5">
      <c r="A154" s="135" t="s">
        <v>1132</v>
      </c>
      <c r="B154" s="263">
        <v>6011</v>
      </c>
      <c r="C154" s="1"/>
      <c r="D154" s="136"/>
      <c r="E154" s="252" t="s">
        <v>917</v>
      </c>
      <c r="F154" s="250" t="s">
        <v>1070</v>
      </c>
      <c r="G154" s="137">
        <v>271875</v>
      </c>
      <c r="H154" s="138"/>
    </row>
    <row r="155" spans="1:8" ht="28.5">
      <c r="A155" s="135" t="s">
        <v>1133</v>
      </c>
      <c r="B155" s="263">
        <v>6063</v>
      </c>
      <c r="C155" s="1"/>
      <c r="D155" s="136"/>
      <c r="E155" s="252" t="s">
        <v>744</v>
      </c>
      <c r="F155" s="250" t="s">
        <v>1071</v>
      </c>
      <c r="G155" s="137">
        <v>493888</v>
      </c>
      <c r="H155" s="138"/>
    </row>
    <row r="156" spans="1:8" ht="28.5">
      <c r="A156" s="135" t="s">
        <v>1134</v>
      </c>
      <c r="B156" s="263">
        <v>6094</v>
      </c>
      <c r="C156" s="1"/>
      <c r="D156" s="136"/>
      <c r="E156" s="252" t="s">
        <v>666</v>
      </c>
      <c r="F156" s="250" t="s">
        <v>1072</v>
      </c>
      <c r="G156" s="137">
        <v>1087680.32</v>
      </c>
      <c r="H156" s="138"/>
    </row>
    <row r="157" spans="1:8" ht="28.5">
      <c r="A157" s="135" t="s">
        <v>1134</v>
      </c>
      <c r="B157" s="263">
        <v>6098</v>
      </c>
      <c r="C157" s="1"/>
      <c r="D157" s="136"/>
      <c r="E157" s="252" t="s">
        <v>661</v>
      </c>
      <c r="F157" s="250" t="s">
        <v>1073</v>
      </c>
      <c r="G157" s="137">
        <v>459950.69</v>
      </c>
      <c r="H157" s="138"/>
    </row>
    <row r="158" spans="1:8" ht="28.5">
      <c r="A158" s="135" t="s">
        <v>1134</v>
      </c>
      <c r="B158" s="263">
        <v>6102</v>
      </c>
      <c r="C158" s="1"/>
      <c r="D158" s="136"/>
      <c r="E158" s="252" t="s">
        <v>661</v>
      </c>
      <c r="F158" s="250" t="s">
        <v>1074</v>
      </c>
      <c r="G158" s="137">
        <v>108675</v>
      </c>
      <c r="H158" s="138"/>
    </row>
    <row r="159" spans="1:8" ht="28.5">
      <c r="A159" s="135" t="s">
        <v>1134</v>
      </c>
      <c r="B159" s="263">
        <v>6106</v>
      </c>
      <c r="C159" s="1"/>
      <c r="D159" s="136"/>
      <c r="E159" s="252" t="s">
        <v>689</v>
      </c>
      <c r="F159" s="250" t="s">
        <v>1075</v>
      </c>
      <c r="G159" s="137">
        <v>27900</v>
      </c>
      <c r="H159" s="138"/>
    </row>
    <row r="160" spans="1:8" ht="28.5">
      <c r="A160" s="135" t="s">
        <v>1134</v>
      </c>
      <c r="B160" s="263">
        <v>6110</v>
      </c>
      <c r="C160" s="1"/>
      <c r="D160" s="136"/>
      <c r="E160" s="252" t="s">
        <v>918</v>
      </c>
      <c r="F160" s="250" t="s">
        <v>1076</v>
      </c>
      <c r="G160" s="137">
        <v>390060.46</v>
      </c>
      <c r="H160" s="138"/>
    </row>
    <row r="161" spans="1:8" ht="28.5">
      <c r="A161" s="135" t="s">
        <v>1134</v>
      </c>
      <c r="B161" s="263">
        <v>6114</v>
      </c>
      <c r="C161" s="1"/>
      <c r="D161" s="136"/>
      <c r="E161" s="252" t="s">
        <v>674</v>
      </c>
      <c r="F161" s="250" t="s">
        <v>1077</v>
      </c>
      <c r="G161" s="137">
        <v>323028.5</v>
      </c>
      <c r="H161" s="138"/>
    </row>
    <row r="162" spans="1:8" ht="28.5">
      <c r="A162" s="135" t="s">
        <v>1134</v>
      </c>
      <c r="B162" s="263">
        <v>6118</v>
      </c>
      <c r="C162" s="1"/>
      <c r="D162" s="136"/>
      <c r="E162" s="252" t="s">
        <v>674</v>
      </c>
      <c r="F162" s="250" t="s">
        <v>1078</v>
      </c>
      <c r="G162" s="137">
        <v>100755</v>
      </c>
      <c r="H162" s="138"/>
    </row>
    <row r="163" spans="1:8" ht="42.75">
      <c r="A163" s="135" t="s">
        <v>1134</v>
      </c>
      <c r="B163" s="263">
        <v>6123</v>
      </c>
      <c r="C163" s="1"/>
      <c r="D163" s="136"/>
      <c r="E163" s="252" t="s">
        <v>768</v>
      </c>
      <c r="F163" s="250" t="s">
        <v>1079</v>
      </c>
      <c r="G163" s="137">
        <v>185220</v>
      </c>
      <c r="H163" s="138"/>
    </row>
    <row r="164" spans="1:8" ht="28.5">
      <c r="A164" s="135" t="s">
        <v>1135</v>
      </c>
      <c r="B164" s="263">
        <v>6127</v>
      </c>
      <c r="C164" s="1"/>
      <c r="D164" s="136"/>
      <c r="E164" s="252" t="s">
        <v>744</v>
      </c>
      <c r="F164" s="250" t="s">
        <v>1080</v>
      </c>
      <c r="G164" s="137">
        <v>323909.78999999998</v>
      </c>
      <c r="H164" s="138"/>
    </row>
    <row r="165" spans="1:8" ht="42.75">
      <c r="A165" s="135" t="s">
        <v>1135</v>
      </c>
      <c r="B165" s="263">
        <v>6130</v>
      </c>
      <c r="C165" s="1"/>
      <c r="D165" s="136"/>
      <c r="E165" s="252" t="s">
        <v>919</v>
      </c>
      <c r="F165" s="250" t="s">
        <v>1081</v>
      </c>
      <c r="G165" s="137">
        <v>1328349.6000000001</v>
      </c>
      <c r="H165" s="138"/>
    </row>
    <row r="166" spans="1:8" ht="42.75">
      <c r="A166" s="135" t="s">
        <v>1135</v>
      </c>
      <c r="B166" s="263">
        <v>6134</v>
      </c>
      <c r="C166" s="1"/>
      <c r="D166" s="136"/>
      <c r="E166" s="252" t="s">
        <v>675</v>
      </c>
      <c r="F166" s="250" t="s">
        <v>1082</v>
      </c>
      <c r="G166" s="137">
        <v>545820</v>
      </c>
      <c r="H166" s="138"/>
    </row>
    <row r="167" spans="1:8" ht="28.5">
      <c r="A167" s="135" t="s">
        <v>1135</v>
      </c>
      <c r="B167" s="263">
        <v>6138</v>
      </c>
      <c r="C167" s="1"/>
      <c r="D167" s="136"/>
      <c r="E167" s="252" t="s">
        <v>661</v>
      </c>
      <c r="F167" s="250" t="s">
        <v>1083</v>
      </c>
      <c r="G167" s="137">
        <v>767086.12</v>
      </c>
      <c r="H167" s="138"/>
    </row>
    <row r="168" spans="1:8" ht="28.5">
      <c r="A168" s="135" t="s">
        <v>1135</v>
      </c>
      <c r="B168" s="263">
        <v>6143</v>
      </c>
      <c r="C168" s="1"/>
      <c r="D168" s="136"/>
      <c r="E168" s="252" t="s">
        <v>920</v>
      </c>
      <c r="F168" s="250" t="s">
        <v>1084</v>
      </c>
      <c r="G168" s="137">
        <v>799922.08</v>
      </c>
      <c r="H168" s="138"/>
    </row>
    <row r="169" spans="1:8" ht="28.5">
      <c r="A169" s="135" t="s">
        <v>1135</v>
      </c>
      <c r="B169" s="263">
        <v>6147</v>
      </c>
      <c r="C169" s="1"/>
      <c r="D169" s="136"/>
      <c r="E169" s="252" t="s">
        <v>918</v>
      </c>
      <c r="F169" s="250" t="s">
        <v>1085</v>
      </c>
      <c r="G169" s="137">
        <v>48526</v>
      </c>
      <c r="H169" s="138"/>
    </row>
    <row r="170" spans="1:8" ht="28.5">
      <c r="A170" s="135" t="s">
        <v>1135</v>
      </c>
      <c r="B170" s="263">
        <v>6151</v>
      </c>
      <c r="C170" s="1"/>
      <c r="D170" s="136"/>
      <c r="E170" s="252" t="s">
        <v>921</v>
      </c>
      <c r="F170" s="250" t="s">
        <v>1086</v>
      </c>
      <c r="G170" s="137">
        <v>109297.5</v>
      </c>
      <c r="H170" s="138"/>
    </row>
    <row r="171" spans="1:8" ht="42.75">
      <c r="A171" s="135" t="s">
        <v>1135</v>
      </c>
      <c r="B171" s="263">
        <v>6156</v>
      </c>
      <c r="C171" s="1"/>
      <c r="D171" s="136"/>
      <c r="E171" s="252" t="s">
        <v>922</v>
      </c>
      <c r="F171" s="250" t="s">
        <v>1087</v>
      </c>
      <c r="G171" s="137">
        <v>270000</v>
      </c>
      <c r="H171" s="138"/>
    </row>
    <row r="172" spans="1:8" ht="28.5">
      <c r="A172" s="135" t="s">
        <v>1135</v>
      </c>
      <c r="B172" s="263">
        <v>6160</v>
      </c>
      <c r="C172" s="1"/>
      <c r="D172" s="136"/>
      <c r="E172" s="252" t="s">
        <v>739</v>
      </c>
      <c r="F172" s="250" t="s">
        <v>1088</v>
      </c>
      <c r="G172" s="137">
        <v>236000</v>
      </c>
      <c r="H172" s="138"/>
    </row>
    <row r="173" spans="1:8" ht="28.5">
      <c r="A173" s="135" t="s">
        <v>1136</v>
      </c>
      <c r="B173" s="263">
        <v>6177</v>
      </c>
      <c r="C173" s="1"/>
      <c r="D173" s="136"/>
      <c r="E173" s="252" t="s">
        <v>744</v>
      </c>
      <c r="F173" s="250" t="s">
        <v>1089</v>
      </c>
      <c r="G173" s="137">
        <v>7672544</v>
      </c>
      <c r="H173" s="138"/>
    </row>
    <row r="174" spans="1:8" ht="42.75">
      <c r="A174" s="135" t="s">
        <v>1136</v>
      </c>
      <c r="B174" s="263">
        <v>6181</v>
      </c>
      <c r="C174" s="1"/>
      <c r="D174" s="136"/>
      <c r="E174" s="252" t="s">
        <v>910</v>
      </c>
      <c r="F174" s="250" t="s">
        <v>1090</v>
      </c>
      <c r="G174" s="137">
        <v>939988</v>
      </c>
      <c r="H174" s="138"/>
    </row>
    <row r="175" spans="1:8" ht="42.75">
      <c r="A175" s="135" t="s">
        <v>1136</v>
      </c>
      <c r="B175" s="263">
        <v>6185</v>
      </c>
      <c r="C175" s="1"/>
      <c r="D175" s="136"/>
      <c r="E175" s="252" t="s">
        <v>686</v>
      </c>
      <c r="F175" s="250" t="s">
        <v>1091</v>
      </c>
      <c r="G175" s="137">
        <v>271046</v>
      </c>
      <c r="H175" s="138"/>
    </row>
    <row r="176" spans="1:8" ht="28.5">
      <c r="A176" s="135" t="s">
        <v>1136</v>
      </c>
      <c r="B176" s="263">
        <v>6189</v>
      </c>
      <c r="C176" s="1"/>
      <c r="D176" s="136"/>
      <c r="E176" s="252" t="s">
        <v>923</v>
      </c>
      <c r="F176" s="250" t="s">
        <v>1092</v>
      </c>
      <c r="G176" s="137">
        <v>389400</v>
      </c>
      <c r="H176" s="138"/>
    </row>
    <row r="177" spans="1:8" ht="42.75">
      <c r="A177" s="135" t="s">
        <v>1136</v>
      </c>
      <c r="B177" s="263">
        <v>6193</v>
      </c>
      <c r="C177" s="1"/>
      <c r="D177" s="136"/>
      <c r="E177" s="252" t="s">
        <v>922</v>
      </c>
      <c r="F177" s="250" t="s">
        <v>1093</v>
      </c>
      <c r="G177" s="137">
        <v>225000</v>
      </c>
      <c r="H177" s="138"/>
    </row>
    <row r="178" spans="1:8" ht="42.75">
      <c r="A178" s="135" t="s">
        <v>1136</v>
      </c>
      <c r="B178" s="263">
        <v>6197</v>
      </c>
      <c r="C178" s="1"/>
      <c r="D178" s="136"/>
      <c r="E178" s="252" t="s">
        <v>924</v>
      </c>
      <c r="F178" s="250" t="s">
        <v>1094</v>
      </c>
      <c r="G178" s="137">
        <v>230070</v>
      </c>
      <c r="H178" s="138"/>
    </row>
    <row r="179" spans="1:8" ht="42.75">
      <c r="A179" s="135" t="s">
        <v>1136</v>
      </c>
      <c r="B179" s="263">
        <v>6201</v>
      </c>
      <c r="C179" s="1"/>
      <c r="D179" s="136"/>
      <c r="E179" s="252" t="s">
        <v>923</v>
      </c>
      <c r="F179" s="250" t="s">
        <v>1095</v>
      </c>
      <c r="G179" s="137">
        <v>190000</v>
      </c>
      <c r="H179" s="138"/>
    </row>
    <row r="180" spans="1:8" ht="42.75">
      <c r="A180" s="135" t="s">
        <v>1136</v>
      </c>
      <c r="B180" s="263">
        <v>6214</v>
      </c>
      <c r="C180" s="1"/>
      <c r="D180" s="136"/>
      <c r="E180" s="252" t="s">
        <v>922</v>
      </c>
      <c r="F180" s="250" t="s">
        <v>1096</v>
      </c>
      <c r="G180" s="137">
        <v>195000</v>
      </c>
      <c r="H180" s="138"/>
    </row>
    <row r="181" spans="1:8" ht="28.5">
      <c r="A181" s="135" t="s">
        <v>1136</v>
      </c>
      <c r="B181" s="263">
        <v>6218</v>
      </c>
      <c r="C181" s="1"/>
      <c r="D181" s="136"/>
      <c r="E181" s="252" t="s">
        <v>922</v>
      </c>
      <c r="F181" s="250" t="s">
        <v>1097</v>
      </c>
      <c r="G181" s="137">
        <v>225000</v>
      </c>
      <c r="H181" s="138"/>
    </row>
    <row r="182" spans="1:8" ht="42.75">
      <c r="A182" s="135" t="s">
        <v>1136</v>
      </c>
      <c r="B182" s="263">
        <v>6223</v>
      </c>
      <c r="C182" s="1"/>
      <c r="D182" s="136"/>
      <c r="E182" s="252" t="s">
        <v>906</v>
      </c>
      <c r="F182" s="250" t="s">
        <v>1098</v>
      </c>
      <c r="G182" s="137">
        <v>123900</v>
      </c>
      <c r="H182" s="138"/>
    </row>
    <row r="183" spans="1:8" ht="28.5">
      <c r="A183" s="135" t="s">
        <v>1136</v>
      </c>
      <c r="B183" s="263">
        <v>6227</v>
      </c>
      <c r="C183" s="1"/>
      <c r="D183" s="136"/>
      <c r="E183" s="252" t="s">
        <v>925</v>
      </c>
      <c r="F183" s="250" t="s">
        <v>1099</v>
      </c>
      <c r="G183" s="137">
        <v>743400</v>
      </c>
      <c r="H183" s="138"/>
    </row>
    <row r="184" spans="1:8" ht="42.75">
      <c r="A184" s="135" t="s">
        <v>1136</v>
      </c>
      <c r="B184" s="263">
        <v>6232</v>
      </c>
      <c r="C184" s="1"/>
      <c r="D184" s="136"/>
      <c r="E184" s="252" t="s">
        <v>896</v>
      </c>
      <c r="F184" s="250" t="s">
        <v>1100</v>
      </c>
      <c r="G184" s="137">
        <v>1575000</v>
      </c>
      <c r="H184" s="138"/>
    </row>
    <row r="185" spans="1:8" ht="42.75">
      <c r="A185" s="135" t="s">
        <v>1136</v>
      </c>
      <c r="B185" s="263">
        <v>6236</v>
      </c>
      <c r="C185" s="1"/>
      <c r="D185" s="136"/>
      <c r="E185" s="252" t="s">
        <v>896</v>
      </c>
      <c r="F185" s="250" t="s">
        <v>1101</v>
      </c>
      <c r="G185" s="137">
        <v>1575000</v>
      </c>
      <c r="H185" s="138"/>
    </row>
    <row r="186" spans="1:8" ht="57">
      <c r="A186" s="135" t="s">
        <v>1137</v>
      </c>
      <c r="B186" s="263">
        <v>6247</v>
      </c>
      <c r="C186" s="1"/>
      <c r="D186" s="136"/>
      <c r="E186" s="252" t="s">
        <v>747</v>
      </c>
      <c r="F186" s="250" t="s">
        <v>1102</v>
      </c>
      <c r="G186" s="137">
        <v>1566377.06</v>
      </c>
      <c r="H186" s="138"/>
    </row>
    <row r="187" spans="1:8" ht="42.75">
      <c r="A187" s="135" t="s">
        <v>1137</v>
      </c>
      <c r="B187" s="263">
        <v>6251</v>
      </c>
      <c r="C187" s="1"/>
      <c r="D187" s="136"/>
      <c r="E187" s="252" t="s">
        <v>765</v>
      </c>
      <c r="F187" s="250" t="s">
        <v>1103</v>
      </c>
      <c r="G187" s="137">
        <v>3953634.83</v>
      </c>
      <c r="H187" s="138"/>
    </row>
    <row r="188" spans="1:8" ht="57">
      <c r="A188" s="135" t="s">
        <v>1137</v>
      </c>
      <c r="B188" s="263">
        <v>6255</v>
      </c>
      <c r="C188" s="1"/>
      <c r="D188" s="136"/>
      <c r="E188" s="252" t="s">
        <v>765</v>
      </c>
      <c r="F188" s="250" t="s">
        <v>1104</v>
      </c>
      <c r="G188" s="137">
        <v>841206.53</v>
      </c>
      <c r="H188" s="138"/>
    </row>
    <row r="189" spans="1:8" ht="57">
      <c r="A189" s="135" t="s">
        <v>1137</v>
      </c>
      <c r="B189" s="263">
        <v>6259</v>
      </c>
      <c r="C189" s="1"/>
      <c r="D189" s="136"/>
      <c r="E189" s="252" t="s">
        <v>690</v>
      </c>
      <c r="F189" s="250" t="s">
        <v>1105</v>
      </c>
      <c r="G189" s="137">
        <v>1519632.77</v>
      </c>
      <c r="H189" s="138"/>
    </row>
    <row r="190" spans="1:8" ht="28.5">
      <c r="A190" s="135" t="s">
        <v>1137</v>
      </c>
      <c r="B190" s="263">
        <v>6267</v>
      </c>
      <c r="C190" s="1"/>
      <c r="D190" s="136"/>
      <c r="E190" s="252" t="s">
        <v>912</v>
      </c>
      <c r="F190" s="250" t="s">
        <v>1106</v>
      </c>
      <c r="G190" s="137">
        <v>1239000</v>
      </c>
      <c r="H190" s="138"/>
    </row>
    <row r="191" spans="1:8" ht="28.5">
      <c r="A191" s="135" t="s">
        <v>1137</v>
      </c>
      <c r="B191" s="263">
        <v>6271</v>
      </c>
      <c r="C191" s="1"/>
      <c r="D191" s="136"/>
      <c r="E191" s="252" t="s">
        <v>689</v>
      </c>
      <c r="F191" s="250" t="s">
        <v>1107</v>
      </c>
      <c r="G191" s="137">
        <v>230750.68</v>
      </c>
      <c r="H191" s="138"/>
    </row>
    <row r="192" spans="1:8" ht="42.75">
      <c r="A192" s="135" t="s">
        <v>1137</v>
      </c>
      <c r="B192" s="263">
        <v>6275</v>
      </c>
      <c r="C192" s="1"/>
      <c r="D192" s="136"/>
      <c r="E192" s="252" t="s">
        <v>926</v>
      </c>
      <c r="F192" s="250" t="s">
        <v>1108</v>
      </c>
      <c r="G192" s="137">
        <v>263600</v>
      </c>
      <c r="H192" s="138"/>
    </row>
    <row r="193" spans="1:8" ht="28.5">
      <c r="A193" s="135" t="s">
        <v>1137</v>
      </c>
      <c r="B193" s="263">
        <v>6280</v>
      </c>
      <c r="C193" s="1"/>
      <c r="D193" s="136"/>
      <c r="E193" s="252" t="s">
        <v>688</v>
      </c>
      <c r="F193" s="250" t="s">
        <v>1109</v>
      </c>
      <c r="G193" s="137">
        <v>414584.2</v>
      </c>
      <c r="H193" s="138"/>
    </row>
    <row r="194" spans="1:8" ht="28.5">
      <c r="A194" s="135" t="s">
        <v>1137</v>
      </c>
      <c r="B194" s="263">
        <v>6285</v>
      </c>
      <c r="C194" s="1"/>
      <c r="D194" s="136"/>
      <c r="E194" s="252" t="s">
        <v>751</v>
      </c>
      <c r="F194" s="250" t="s">
        <v>1110</v>
      </c>
      <c r="G194" s="137">
        <v>292248</v>
      </c>
      <c r="H194" s="138"/>
    </row>
    <row r="195" spans="1:8" ht="42.75">
      <c r="A195" s="135" t="s">
        <v>1137</v>
      </c>
      <c r="B195" s="263">
        <v>6287</v>
      </c>
      <c r="C195" s="1"/>
      <c r="D195" s="136"/>
      <c r="E195" s="252" t="s">
        <v>665</v>
      </c>
      <c r="F195" s="250" t="s">
        <v>1111</v>
      </c>
      <c r="G195" s="137">
        <v>107319.7</v>
      </c>
      <c r="H195" s="138"/>
    </row>
    <row r="196" spans="1:8" ht="42.75">
      <c r="A196" s="135" t="s">
        <v>1137</v>
      </c>
      <c r="B196" s="263">
        <v>6291</v>
      </c>
      <c r="C196" s="1"/>
      <c r="D196" s="136"/>
      <c r="E196" s="252" t="s">
        <v>674</v>
      </c>
      <c r="F196" s="250" t="s">
        <v>1112</v>
      </c>
      <c r="G196" s="137">
        <v>58292</v>
      </c>
      <c r="H196" s="138"/>
    </row>
    <row r="197" spans="1:8" ht="42.75">
      <c r="A197" s="135" t="s">
        <v>1138</v>
      </c>
      <c r="B197" s="263">
        <v>6299</v>
      </c>
      <c r="C197" s="1"/>
      <c r="D197" s="136"/>
      <c r="E197" s="252" t="s">
        <v>903</v>
      </c>
      <c r="F197" s="250" t="s">
        <v>1113</v>
      </c>
      <c r="G197" s="137">
        <v>1552500</v>
      </c>
      <c r="H197" s="138"/>
    </row>
    <row r="198" spans="1:8" ht="28.5">
      <c r="A198" s="135" t="s">
        <v>1138</v>
      </c>
      <c r="B198" s="263">
        <v>6303</v>
      </c>
      <c r="C198" s="1"/>
      <c r="D198" s="136"/>
      <c r="E198" s="252" t="s">
        <v>674</v>
      </c>
      <c r="F198" s="250" t="s">
        <v>1114</v>
      </c>
      <c r="G198" s="137">
        <v>8645</v>
      </c>
      <c r="H198" s="138"/>
    </row>
    <row r="199" spans="1:8" ht="28.5">
      <c r="A199" s="135" t="s">
        <v>1138</v>
      </c>
      <c r="B199" s="263">
        <v>6307</v>
      </c>
      <c r="C199" s="1"/>
      <c r="D199" s="136"/>
      <c r="E199" s="252" t="s">
        <v>740</v>
      </c>
      <c r="F199" s="250" t="s">
        <v>1115</v>
      </c>
      <c r="G199" s="137">
        <v>178475</v>
      </c>
      <c r="H199" s="138"/>
    </row>
    <row r="200" spans="1:8" ht="28.5">
      <c r="A200" s="135" t="s">
        <v>1138</v>
      </c>
      <c r="B200" s="263">
        <v>6311</v>
      </c>
      <c r="C200" s="1"/>
      <c r="D200" s="136"/>
      <c r="E200" s="252" t="s">
        <v>918</v>
      </c>
      <c r="F200" s="250" t="s">
        <v>1116</v>
      </c>
      <c r="G200" s="137">
        <v>142839</v>
      </c>
      <c r="H200" s="138"/>
    </row>
    <row r="201" spans="1:8" ht="42.75" customHeight="1">
      <c r="A201" s="336">
        <v>45992</v>
      </c>
      <c r="B201" s="337"/>
      <c r="C201" s="341">
        <v>409</v>
      </c>
      <c r="D201" s="338"/>
      <c r="E201" s="339" t="s">
        <v>1152</v>
      </c>
      <c r="F201" s="340" t="s">
        <v>1153</v>
      </c>
      <c r="G201" s="125">
        <v>90300</v>
      </c>
      <c r="H201" s="125">
        <v>85785</v>
      </c>
    </row>
    <row r="202" spans="1:8" ht="42.75">
      <c r="A202" s="135">
        <v>45993</v>
      </c>
      <c r="B202" s="263"/>
      <c r="C202" s="1">
        <v>410</v>
      </c>
      <c r="D202" s="136"/>
      <c r="E202" s="252" t="s">
        <v>771</v>
      </c>
      <c r="F202" s="250" t="s">
        <v>823</v>
      </c>
      <c r="G202" s="359">
        <v>213516.07</v>
      </c>
      <c r="H202" s="359">
        <v>213516.07</v>
      </c>
    </row>
    <row r="203" spans="1:8" ht="28.5">
      <c r="A203" s="264">
        <v>45993</v>
      </c>
      <c r="B203" s="263"/>
      <c r="C203" s="1">
        <v>411</v>
      </c>
      <c r="D203" s="136"/>
      <c r="E203" s="250" t="s">
        <v>748</v>
      </c>
      <c r="F203" s="250" t="s">
        <v>824</v>
      </c>
      <c r="G203" s="359">
        <v>720000</v>
      </c>
      <c r="H203" s="359">
        <v>684000</v>
      </c>
    </row>
    <row r="204" spans="1:8" ht="28.5">
      <c r="A204" s="264">
        <v>45993</v>
      </c>
      <c r="B204" s="263"/>
      <c r="C204" s="1">
        <v>412</v>
      </c>
      <c r="D204" s="136"/>
      <c r="E204" s="252" t="s">
        <v>772</v>
      </c>
      <c r="F204" s="250" t="s">
        <v>825</v>
      </c>
      <c r="G204" s="359">
        <v>24010</v>
      </c>
      <c r="H204" s="359">
        <v>24010</v>
      </c>
    </row>
    <row r="205" spans="1:8" ht="28.5">
      <c r="A205" s="264">
        <v>45995</v>
      </c>
      <c r="B205" s="263"/>
      <c r="C205" s="1">
        <v>413</v>
      </c>
      <c r="D205" s="136"/>
      <c r="E205" s="252" t="s">
        <v>720</v>
      </c>
      <c r="F205" s="250" t="s">
        <v>826</v>
      </c>
      <c r="G205" s="359">
        <v>25000</v>
      </c>
      <c r="H205" s="359">
        <v>25000</v>
      </c>
    </row>
    <row r="206" spans="1:8" ht="42.75">
      <c r="A206" s="264">
        <v>45995</v>
      </c>
      <c r="B206" s="263"/>
      <c r="C206" s="1">
        <v>414</v>
      </c>
      <c r="D206" s="136"/>
      <c r="E206" s="252" t="s">
        <v>773</v>
      </c>
      <c r="F206" s="250" t="s">
        <v>827</v>
      </c>
      <c r="G206" s="359">
        <v>1027154.6</v>
      </c>
      <c r="H206" s="359">
        <v>983631.1</v>
      </c>
    </row>
    <row r="207" spans="1:8" ht="28.5">
      <c r="A207" s="264">
        <v>45995</v>
      </c>
      <c r="B207" s="263"/>
      <c r="C207" s="1">
        <v>415</v>
      </c>
      <c r="D207" s="136"/>
      <c r="E207" s="252" t="s">
        <v>774</v>
      </c>
      <c r="F207" s="250" t="s">
        <v>828</v>
      </c>
      <c r="G207" s="359">
        <v>9000</v>
      </c>
      <c r="H207" s="359">
        <v>8550</v>
      </c>
    </row>
    <row r="208" spans="1:8" ht="28.5">
      <c r="A208" s="264">
        <v>45995</v>
      </c>
      <c r="B208" s="263"/>
      <c r="C208" s="1">
        <v>416</v>
      </c>
      <c r="D208" s="136"/>
      <c r="E208" s="252" t="s">
        <v>775</v>
      </c>
      <c r="F208" s="250" t="s">
        <v>829</v>
      </c>
      <c r="G208" s="359">
        <v>229864</v>
      </c>
      <c r="H208" s="359">
        <v>220124</v>
      </c>
    </row>
    <row r="209" spans="1:8" ht="28.5">
      <c r="A209" s="264">
        <v>45996</v>
      </c>
      <c r="B209" s="263"/>
      <c r="C209" s="1">
        <v>417</v>
      </c>
      <c r="D209" s="136"/>
      <c r="E209" s="252" t="s">
        <v>776</v>
      </c>
      <c r="F209" s="250" t="s">
        <v>830</v>
      </c>
      <c r="G209" s="359">
        <v>86730</v>
      </c>
      <c r="H209" s="359">
        <v>83055</v>
      </c>
    </row>
    <row r="210" spans="1:8" ht="28.5">
      <c r="A210" s="264">
        <v>45995</v>
      </c>
      <c r="B210" s="263"/>
      <c r="C210" s="1">
        <v>418</v>
      </c>
      <c r="D210" s="136"/>
      <c r="E210" s="252" t="s">
        <v>777</v>
      </c>
      <c r="F210" s="250" t="s">
        <v>831</v>
      </c>
      <c r="G210" s="359">
        <v>64500</v>
      </c>
      <c r="H210" s="359">
        <v>64500</v>
      </c>
    </row>
    <row r="211" spans="1:8" ht="57">
      <c r="A211" s="264">
        <v>46000</v>
      </c>
      <c r="B211" s="263"/>
      <c r="C211" s="1">
        <v>419</v>
      </c>
      <c r="D211" s="136"/>
      <c r="E211" s="252" t="s">
        <v>776</v>
      </c>
      <c r="F211" s="250" t="s">
        <v>832</v>
      </c>
      <c r="G211" s="359">
        <v>623449.22</v>
      </c>
      <c r="H211" s="359">
        <v>597031.88</v>
      </c>
    </row>
    <row r="212" spans="1:8" ht="28.5">
      <c r="A212" s="264">
        <v>46000</v>
      </c>
      <c r="B212" s="263"/>
      <c r="C212" s="1">
        <v>420</v>
      </c>
      <c r="D212" s="136"/>
      <c r="E212" s="252" t="s">
        <v>778</v>
      </c>
      <c r="F212" s="250" t="s">
        <v>833</v>
      </c>
      <c r="G212" s="359">
        <v>202960</v>
      </c>
      <c r="H212" s="359">
        <v>163400</v>
      </c>
    </row>
    <row r="213" spans="1:8" ht="45.75">
      <c r="A213" s="264">
        <v>46000</v>
      </c>
      <c r="B213" s="263"/>
      <c r="C213" s="1">
        <v>421</v>
      </c>
      <c r="D213" s="136"/>
      <c r="E213" s="252" t="s">
        <v>779</v>
      </c>
      <c r="F213" s="143" t="s">
        <v>834</v>
      </c>
      <c r="G213" s="359">
        <v>4800</v>
      </c>
      <c r="H213" s="359">
        <v>4560</v>
      </c>
    </row>
    <row r="214" spans="1:8" ht="28.5">
      <c r="A214" s="264">
        <v>46000</v>
      </c>
      <c r="B214" s="263"/>
      <c r="C214" s="1">
        <v>422</v>
      </c>
      <c r="D214" s="136"/>
      <c r="E214" s="252" t="s">
        <v>736</v>
      </c>
      <c r="F214" s="250" t="s">
        <v>835</v>
      </c>
      <c r="G214" s="359">
        <v>172000</v>
      </c>
      <c r="H214" s="359">
        <v>170573.26</v>
      </c>
    </row>
    <row r="215" spans="1:8" ht="28.5">
      <c r="A215" s="264">
        <v>46000</v>
      </c>
      <c r="B215" s="263"/>
      <c r="C215" s="1">
        <v>423</v>
      </c>
      <c r="D215" s="136"/>
      <c r="E215" s="252" t="s">
        <v>780</v>
      </c>
      <c r="F215" s="250" t="s">
        <v>836</v>
      </c>
      <c r="G215" s="359">
        <v>14000</v>
      </c>
      <c r="H215" s="359">
        <v>14000</v>
      </c>
    </row>
    <row r="216" spans="1:8" ht="42.75">
      <c r="A216" s="264">
        <v>46000</v>
      </c>
      <c r="B216" s="263"/>
      <c r="C216" s="1">
        <v>424</v>
      </c>
      <c r="D216" s="136"/>
      <c r="E216" s="252" t="s">
        <v>780</v>
      </c>
      <c r="F216" s="250" t="s">
        <v>837</v>
      </c>
      <c r="G216" s="359">
        <v>22140</v>
      </c>
      <c r="H216" s="359">
        <v>22140</v>
      </c>
    </row>
    <row r="217" spans="1:8" ht="28.5">
      <c r="A217" s="264">
        <v>46000</v>
      </c>
      <c r="B217" s="263"/>
      <c r="C217" s="1">
        <v>425</v>
      </c>
      <c r="D217" s="136"/>
      <c r="E217" s="252" t="s">
        <v>735</v>
      </c>
      <c r="F217" s="250" t="s">
        <v>838</v>
      </c>
      <c r="G217" s="359">
        <v>247800</v>
      </c>
      <c r="H217" s="359">
        <v>237300</v>
      </c>
    </row>
    <row r="218" spans="1:8" ht="28.5">
      <c r="A218" s="264">
        <v>46000</v>
      </c>
      <c r="B218" s="263"/>
      <c r="C218" s="1">
        <v>426</v>
      </c>
      <c r="D218" s="136"/>
      <c r="E218" s="252" t="s">
        <v>781</v>
      </c>
      <c r="F218" s="250" t="s">
        <v>839</v>
      </c>
      <c r="G218" s="359">
        <v>16188</v>
      </c>
      <c r="H218" s="359">
        <v>16188</v>
      </c>
    </row>
    <row r="219" spans="1:8" ht="42.75">
      <c r="A219" s="264">
        <v>46000</v>
      </c>
      <c r="B219" s="263"/>
      <c r="C219" s="1">
        <v>427</v>
      </c>
      <c r="D219" s="136"/>
      <c r="E219" s="252" t="s">
        <v>782</v>
      </c>
      <c r="F219" s="250" t="s">
        <v>840</v>
      </c>
      <c r="G219" s="359">
        <v>264674</v>
      </c>
      <c r="H219" s="359">
        <v>253459</v>
      </c>
    </row>
    <row r="220" spans="1:8" ht="28.5">
      <c r="A220" s="264">
        <v>46000</v>
      </c>
      <c r="B220" s="263"/>
      <c r="C220" s="1">
        <v>428</v>
      </c>
      <c r="D220" s="136"/>
      <c r="E220" s="252" t="s">
        <v>783</v>
      </c>
      <c r="F220" s="250" t="s">
        <v>841</v>
      </c>
      <c r="G220" s="359">
        <v>17700</v>
      </c>
      <c r="H220" s="359">
        <v>16950</v>
      </c>
    </row>
    <row r="221" spans="1:8" ht="28.5">
      <c r="A221" s="264">
        <v>46000</v>
      </c>
      <c r="B221" s="263"/>
      <c r="C221" s="1">
        <v>429</v>
      </c>
      <c r="D221" s="136"/>
      <c r="E221" s="252" t="s">
        <v>783</v>
      </c>
      <c r="F221" s="250" t="s">
        <v>842</v>
      </c>
      <c r="G221" s="359">
        <v>30680</v>
      </c>
      <c r="H221" s="359">
        <v>29380</v>
      </c>
    </row>
    <row r="222" spans="1:8" ht="28.5">
      <c r="A222" s="264">
        <v>46000</v>
      </c>
      <c r="B222" s="323"/>
      <c r="C222" s="1">
        <v>430</v>
      </c>
      <c r="D222" s="255"/>
      <c r="E222" s="256" t="s">
        <v>783</v>
      </c>
      <c r="F222" s="257" t="s">
        <v>843</v>
      </c>
      <c r="G222" s="359">
        <v>139476</v>
      </c>
      <c r="H222" s="359">
        <v>133566</v>
      </c>
    </row>
    <row r="223" spans="1:8" ht="42.75">
      <c r="A223" s="264">
        <v>46000</v>
      </c>
      <c r="B223" s="323"/>
      <c r="C223" s="1">
        <v>431</v>
      </c>
      <c r="D223" s="255"/>
      <c r="E223" s="256" t="s">
        <v>783</v>
      </c>
      <c r="F223" s="257" t="s">
        <v>844</v>
      </c>
      <c r="G223" s="359">
        <v>128620</v>
      </c>
      <c r="H223" s="359">
        <v>123170</v>
      </c>
    </row>
    <row r="224" spans="1:8" ht="28.5">
      <c r="A224" s="264">
        <v>46001</v>
      </c>
      <c r="B224" s="323"/>
      <c r="C224" s="1">
        <v>432</v>
      </c>
      <c r="D224" s="255"/>
      <c r="E224" s="256" t="s">
        <v>784</v>
      </c>
      <c r="F224" s="257" t="s">
        <v>845</v>
      </c>
      <c r="G224" s="359">
        <v>15576</v>
      </c>
      <c r="H224" s="360">
        <v>14916</v>
      </c>
    </row>
    <row r="225" spans="1:8" ht="28.5">
      <c r="A225" s="264">
        <v>46001</v>
      </c>
      <c r="B225" s="323"/>
      <c r="C225" s="1">
        <v>433</v>
      </c>
      <c r="D225" s="255"/>
      <c r="E225" s="256" t="s">
        <v>785</v>
      </c>
      <c r="F225" s="257" t="s">
        <v>845</v>
      </c>
      <c r="G225" s="359">
        <v>1062128</v>
      </c>
      <c r="H225" s="359">
        <v>1009021.6</v>
      </c>
    </row>
    <row r="226" spans="1:8" ht="42.75">
      <c r="A226" s="264">
        <v>46001</v>
      </c>
      <c r="B226" s="323"/>
      <c r="C226" s="1">
        <v>434</v>
      </c>
      <c r="D226" s="255"/>
      <c r="E226" s="256" t="s">
        <v>786</v>
      </c>
      <c r="F226" s="257" t="s">
        <v>846</v>
      </c>
      <c r="G226" s="359">
        <v>324488.2</v>
      </c>
      <c r="H226" s="359">
        <v>310738.7</v>
      </c>
    </row>
    <row r="227" spans="1:8" ht="42.75">
      <c r="A227" s="264">
        <v>46001</v>
      </c>
      <c r="B227" s="323"/>
      <c r="C227" s="1">
        <v>435</v>
      </c>
      <c r="D227" s="255"/>
      <c r="E227" s="256" t="s">
        <v>787</v>
      </c>
      <c r="F227" s="257" t="s">
        <v>847</v>
      </c>
      <c r="G227" s="359">
        <v>247149.87</v>
      </c>
      <c r="H227" s="359">
        <v>236677.42</v>
      </c>
    </row>
    <row r="228" spans="1:8" ht="42.75">
      <c r="A228" s="264">
        <v>46001</v>
      </c>
      <c r="B228" s="323"/>
      <c r="C228" s="1">
        <v>436</v>
      </c>
      <c r="D228" s="255"/>
      <c r="E228" s="256" t="s">
        <v>787</v>
      </c>
      <c r="F228" s="257" t="s">
        <v>848</v>
      </c>
      <c r="G228" s="359">
        <v>151162.85</v>
      </c>
      <c r="H228" s="359">
        <v>143604.71</v>
      </c>
    </row>
    <row r="229" spans="1:8" ht="42.75">
      <c r="A229" s="264">
        <v>46001</v>
      </c>
      <c r="B229" s="323"/>
      <c r="C229" s="1">
        <v>437</v>
      </c>
      <c r="D229" s="255"/>
      <c r="E229" s="256" t="s">
        <v>788</v>
      </c>
      <c r="F229" s="257" t="s">
        <v>849</v>
      </c>
      <c r="G229" s="359">
        <v>82305</v>
      </c>
      <c r="H229" s="359">
        <v>78817.5</v>
      </c>
    </row>
    <row r="230" spans="1:8" ht="28.5">
      <c r="A230" s="264">
        <v>46001</v>
      </c>
      <c r="B230" s="323"/>
      <c r="C230" s="1">
        <v>438</v>
      </c>
      <c r="D230" s="255"/>
      <c r="E230" s="256" t="s">
        <v>789</v>
      </c>
      <c r="F230" s="257" t="s">
        <v>850</v>
      </c>
      <c r="G230" s="359">
        <v>97114</v>
      </c>
      <c r="H230" s="359">
        <v>92999</v>
      </c>
    </row>
    <row r="231" spans="1:8" ht="42.75">
      <c r="A231" s="264">
        <v>46001</v>
      </c>
      <c r="B231" s="323"/>
      <c r="C231" s="1">
        <v>439</v>
      </c>
      <c r="D231" s="255"/>
      <c r="E231" s="256" t="s">
        <v>790</v>
      </c>
      <c r="F231" s="257" t="s">
        <v>851</v>
      </c>
      <c r="G231" s="359">
        <v>249615.7</v>
      </c>
      <c r="H231" s="359">
        <v>239038.76</v>
      </c>
    </row>
    <row r="232" spans="1:8" ht="28.5">
      <c r="A232" s="264">
        <v>46001</v>
      </c>
      <c r="B232" s="323"/>
      <c r="C232" s="1">
        <v>440</v>
      </c>
      <c r="D232" s="255"/>
      <c r="E232" s="256" t="s">
        <v>791</v>
      </c>
      <c r="F232" s="257" t="s">
        <v>852</v>
      </c>
      <c r="G232" s="359">
        <v>88675</v>
      </c>
      <c r="H232" s="359">
        <v>84241.25</v>
      </c>
    </row>
    <row r="233" spans="1:8" ht="42.75">
      <c r="A233" s="264">
        <v>46001</v>
      </c>
      <c r="B233" s="323"/>
      <c r="C233" s="1">
        <v>441</v>
      </c>
      <c r="D233" s="255"/>
      <c r="E233" s="256" t="s">
        <v>792</v>
      </c>
      <c r="F233" s="257" t="s">
        <v>853</v>
      </c>
      <c r="G233" s="359">
        <v>175230</v>
      </c>
      <c r="H233" s="359">
        <v>167805</v>
      </c>
    </row>
    <row r="234" spans="1:8" ht="42.75">
      <c r="A234" s="264">
        <v>46001</v>
      </c>
      <c r="B234" s="323"/>
      <c r="C234" s="1">
        <v>442</v>
      </c>
      <c r="D234" s="255"/>
      <c r="E234" s="256" t="s">
        <v>793</v>
      </c>
      <c r="F234" s="257" t="s">
        <v>854</v>
      </c>
      <c r="G234" s="359">
        <v>258420</v>
      </c>
      <c r="H234" s="359">
        <v>247470</v>
      </c>
    </row>
    <row r="235" spans="1:8" ht="15.75">
      <c r="A235" s="264"/>
      <c r="B235" s="323"/>
      <c r="C235" s="1">
        <v>443</v>
      </c>
      <c r="D235" s="255"/>
      <c r="E235" s="256"/>
      <c r="F235" s="257"/>
      <c r="G235" s="359"/>
      <c r="H235" s="359"/>
    </row>
    <row r="236" spans="1:8" ht="28.5">
      <c r="A236" s="264">
        <v>46006</v>
      </c>
      <c r="B236" s="323"/>
      <c r="C236" s="1">
        <v>444</v>
      </c>
      <c r="D236" s="255"/>
      <c r="E236" s="256" t="s">
        <v>776</v>
      </c>
      <c r="F236" s="257" t="s">
        <v>855</v>
      </c>
      <c r="G236" s="359">
        <v>252409.04</v>
      </c>
      <c r="H236" s="359">
        <v>241713.74</v>
      </c>
    </row>
    <row r="237" spans="1:8" ht="42.75">
      <c r="A237" s="264">
        <v>46006</v>
      </c>
      <c r="B237" s="323"/>
      <c r="C237" s="1">
        <v>445</v>
      </c>
      <c r="D237" s="255"/>
      <c r="E237" s="256" t="s">
        <v>782</v>
      </c>
      <c r="F237" s="257" t="s">
        <v>856</v>
      </c>
      <c r="G237" s="359">
        <v>271990</v>
      </c>
      <c r="H237" s="359">
        <v>260465</v>
      </c>
    </row>
    <row r="238" spans="1:8" ht="42.75">
      <c r="A238" s="264">
        <v>46006</v>
      </c>
      <c r="B238" s="323"/>
      <c r="C238" s="1">
        <v>446</v>
      </c>
      <c r="D238" s="255"/>
      <c r="E238" s="256" t="s">
        <v>794</v>
      </c>
      <c r="F238" s="257" t="s">
        <v>857</v>
      </c>
      <c r="G238" s="359">
        <v>216496.38</v>
      </c>
      <c r="H238" s="359">
        <v>207322.8</v>
      </c>
    </row>
    <row r="239" spans="1:8" ht="42.75">
      <c r="A239" s="264">
        <v>46006</v>
      </c>
      <c r="B239" s="323"/>
      <c r="C239" s="1">
        <v>447</v>
      </c>
      <c r="D239" s="255"/>
      <c r="E239" s="256" t="s">
        <v>721</v>
      </c>
      <c r="F239" s="257" t="s">
        <v>858</v>
      </c>
      <c r="G239" s="359">
        <v>197673.60000000001</v>
      </c>
      <c r="H239" s="359">
        <v>189297.6</v>
      </c>
    </row>
    <row r="240" spans="1:8" ht="28.5">
      <c r="A240" s="264">
        <v>46006</v>
      </c>
      <c r="B240" s="323"/>
      <c r="C240" s="1">
        <v>448</v>
      </c>
      <c r="D240" s="255"/>
      <c r="E240" s="256" t="s">
        <v>795</v>
      </c>
      <c r="F240" s="257" t="s">
        <v>859</v>
      </c>
      <c r="G240" s="359">
        <v>1124000</v>
      </c>
      <c r="H240" s="359">
        <v>1115974.6399999999</v>
      </c>
    </row>
    <row r="241" spans="1:8" ht="42.75">
      <c r="A241" s="264">
        <v>46006</v>
      </c>
      <c r="B241" s="323"/>
      <c r="C241" s="1">
        <v>449</v>
      </c>
      <c r="D241" s="255"/>
      <c r="E241" s="256" t="s">
        <v>796</v>
      </c>
      <c r="F241" s="257" t="s">
        <v>860</v>
      </c>
      <c r="G241" s="359">
        <v>151488</v>
      </c>
      <c r="H241" s="359">
        <v>144783</v>
      </c>
    </row>
    <row r="242" spans="1:8" ht="42.75">
      <c r="A242" s="264">
        <v>46007</v>
      </c>
      <c r="B242" s="263"/>
      <c r="C242" s="1">
        <v>450</v>
      </c>
      <c r="D242" s="136"/>
      <c r="E242" s="252" t="s">
        <v>797</v>
      </c>
      <c r="F242" s="250" t="s">
        <v>861</v>
      </c>
      <c r="G242" s="359">
        <v>190500.03</v>
      </c>
      <c r="H242" s="359">
        <v>182427.99</v>
      </c>
    </row>
    <row r="243" spans="1:8" ht="42.75">
      <c r="A243" s="264">
        <v>46007</v>
      </c>
      <c r="B243" s="263"/>
      <c r="C243" s="1">
        <v>451</v>
      </c>
      <c r="D243" s="136"/>
      <c r="E243" s="252" t="s">
        <v>722</v>
      </c>
      <c r="F243" s="250" t="s">
        <v>862</v>
      </c>
      <c r="G243" s="359">
        <v>20580</v>
      </c>
      <c r="H243" s="359">
        <v>20580</v>
      </c>
    </row>
    <row r="244" spans="1:8" ht="42.75">
      <c r="A244" s="264">
        <v>46010</v>
      </c>
      <c r="B244" s="323"/>
      <c r="C244" s="380">
        <v>452</v>
      </c>
      <c r="D244" s="255"/>
      <c r="E244" s="256" t="s">
        <v>798</v>
      </c>
      <c r="F244" s="257" t="s">
        <v>863</v>
      </c>
      <c r="G244" s="359">
        <v>40000</v>
      </c>
      <c r="H244" s="359">
        <v>38000</v>
      </c>
    </row>
    <row r="245" spans="1:8" ht="28.5">
      <c r="A245" s="264">
        <v>46010</v>
      </c>
      <c r="B245" s="263"/>
      <c r="C245" s="1">
        <v>453</v>
      </c>
      <c r="D245" s="136"/>
      <c r="E245" s="252" t="s">
        <v>779</v>
      </c>
      <c r="F245" s="250" t="s">
        <v>864</v>
      </c>
      <c r="G245" s="359">
        <v>2400</v>
      </c>
      <c r="H245" s="359">
        <v>2280</v>
      </c>
    </row>
    <row r="246" spans="1:8" ht="42.75">
      <c r="A246" s="264">
        <v>46010</v>
      </c>
      <c r="B246" s="263"/>
      <c r="C246" s="1">
        <v>454</v>
      </c>
      <c r="D246" s="136"/>
      <c r="E246" s="252" t="s">
        <v>799</v>
      </c>
      <c r="F246" s="250" t="s">
        <v>865</v>
      </c>
      <c r="G246" s="359">
        <v>363841.2</v>
      </c>
      <c r="H246" s="359">
        <v>308340</v>
      </c>
    </row>
    <row r="247" spans="1:8" ht="42.75">
      <c r="A247" s="264">
        <v>46010</v>
      </c>
      <c r="B247" s="263"/>
      <c r="C247" s="1">
        <v>455</v>
      </c>
      <c r="D247" s="136"/>
      <c r="E247" s="252" t="s">
        <v>800</v>
      </c>
      <c r="F247" s="250" t="s">
        <v>866</v>
      </c>
      <c r="G247" s="359">
        <v>1387459.34</v>
      </c>
      <c r="H247" s="359">
        <v>1387459.34</v>
      </c>
    </row>
    <row r="248" spans="1:8" ht="42.75">
      <c r="A248" s="264">
        <v>46010</v>
      </c>
      <c r="B248" s="263"/>
      <c r="C248" s="1">
        <v>456</v>
      </c>
      <c r="D248" s="136"/>
      <c r="E248" s="252" t="s">
        <v>801</v>
      </c>
      <c r="F248" s="250" t="s">
        <v>867</v>
      </c>
      <c r="G248" s="359">
        <v>20060</v>
      </c>
      <c r="H248" s="359">
        <v>20060</v>
      </c>
    </row>
    <row r="249" spans="1:8" ht="42.75">
      <c r="A249" s="264">
        <v>46010</v>
      </c>
      <c r="B249" s="263"/>
      <c r="C249" s="1">
        <v>457</v>
      </c>
      <c r="D249" s="136"/>
      <c r="E249" s="252" t="s">
        <v>802</v>
      </c>
      <c r="F249" s="250" t="s">
        <v>868</v>
      </c>
      <c r="G249" s="359">
        <v>10850</v>
      </c>
      <c r="H249" s="359">
        <v>10850</v>
      </c>
    </row>
    <row r="250" spans="1:8" ht="42.75">
      <c r="A250" s="264">
        <v>46010</v>
      </c>
      <c r="B250" s="263"/>
      <c r="C250" s="1">
        <v>458</v>
      </c>
      <c r="D250" s="136"/>
      <c r="E250" s="252" t="s">
        <v>803</v>
      </c>
      <c r="F250" s="250" t="s">
        <v>869</v>
      </c>
      <c r="G250" s="359">
        <v>489700</v>
      </c>
      <c r="H250" s="359">
        <v>468950</v>
      </c>
    </row>
    <row r="251" spans="1:8" ht="45.75">
      <c r="A251" s="264">
        <v>46010</v>
      </c>
      <c r="B251" s="263"/>
      <c r="C251" s="1">
        <v>459</v>
      </c>
      <c r="D251" s="136"/>
      <c r="E251" s="253" t="s">
        <v>804</v>
      </c>
      <c r="F251" s="253" t="s">
        <v>870</v>
      </c>
      <c r="G251" s="359">
        <v>150379.20000000001</v>
      </c>
      <c r="H251" s="359">
        <v>144007.20000000001</v>
      </c>
    </row>
    <row r="252" spans="1:8" ht="28.5">
      <c r="A252" s="264">
        <v>46014</v>
      </c>
      <c r="B252" s="263"/>
      <c r="C252" s="1">
        <v>460</v>
      </c>
      <c r="D252" s="136"/>
      <c r="E252" s="252" t="s">
        <v>750</v>
      </c>
      <c r="F252" s="250" t="s">
        <v>871</v>
      </c>
      <c r="G252" s="359">
        <v>20000</v>
      </c>
      <c r="H252" s="359">
        <v>20000</v>
      </c>
    </row>
    <row r="253" spans="1:8" ht="28.5">
      <c r="A253" s="264">
        <v>46014</v>
      </c>
      <c r="B253" s="263"/>
      <c r="C253" s="1">
        <v>461</v>
      </c>
      <c r="D253" s="136"/>
      <c r="E253" s="252" t="s">
        <v>805</v>
      </c>
      <c r="F253" s="250" t="s">
        <v>872</v>
      </c>
      <c r="G253" s="359">
        <v>7684.16</v>
      </c>
      <c r="H253" s="359">
        <v>7358.56</v>
      </c>
    </row>
    <row r="254" spans="1:8" ht="28.5">
      <c r="A254" s="264">
        <v>46014</v>
      </c>
      <c r="B254" s="263"/>
      <c r="C254" s="1">
        <v>462</v>
      </c>
      <c r="D254" s="136"/>
      <c r="E254" s="252" t="s">
        <v>806</v>
      </c>
      <c r="F254" s="250" t="s">
        <v>873</v>
      </c>
      <c r="G254" s="359">
        <v>16520</v>
      </c>
      <c r="H254" s="359">
        <v>15820</v>
      </c>
    </row>
    <row r="255" spans="1:8" ht="28.5">
      <c r="A255" s="264">
        <v>46014</v>
      </c>
      <c r="B255" s="263"/>
      <c r="C255" s="1">
        <v>463</v>
      </c>
      <c r="D255" s="136"/>
      <c r="E255" s="252" t="s">
        <v>806</v>
      </c>
      <c r="F255" s="250" t="s">
        <v>874</v>
      </c>
      <c r="G255" s="359">
        <v>119298</v>
      </c>
      <c r="H255" s="359">
        <v>119298</v>
      </c>
    </row>
    <row r="256" spans="1:8" ht="28.5">
      <c r="A256" s="264">
        <v>46014</v>
      </c>
      <c r="B256" s="263"/>
      <c r="C256" s="1">
        <v>464</v>
      </c>
      <c r="D256" s="136"/>
      <c r="E256" s="252" t="s">
        <v>780</v>
      </c>
      <c r="F256" s="250" t="s">
        <v>875</v>
      </c>
      <c r="G256" s="359">
        <v>14000</v>
      </c>
      <c r="H256" s="359">
        <v>14000</v>
      </c>
    </row>
    <row r="257" spans="1:8" ht="28.5">
      <c r="A257" s="264">
        <v>46017</v>
      </c>
      <c r="B257" s="263"/>
      <c r="C257" s="1">
        <v>465</v>
      </c>
      <c r="D257" s="136"/>
      <c r="E257" s="252" t="s">
        <v>807</v>
      </c>
      <c r="F257" s="250" t="s">
        <v>876</v>
      </c>
      <c r="G257" s="359">
        <v>121929.03</v>
      </c>
      <c r="H257" s="359">
        <v>116762.55</v>
      </c>
    </row>
    <row r="258" spans="1:8" ht="28.5">
      <c r="A258" s="264">
        <v>46017</v>
      </c>
      <c r="B258" s="263"/>
      <c r="C258" s="1">
        <v>466</v>
      </c>
      <c r="D258" s="136"/>
      <c r="E258" s="252" t="s">
        <v>808</v>
      </c>
      <c r="F258" s="250" t="s">
        <v>877</v>
      </c>
      <c r="G258" s="359">
        <v>1734600</v>
      </c>
      <c r="H258" s="359">
        <v>1661100</v>
      </c>
    </row>
    <row r="259" spans="1:8" ht="42.75">
      <c r="A259" s="264">
        <v>46020</v>
      </c>
      <c r="B259" s="263"/>
      <c r="C259" s="1">
        <v>467</v>
      </c>
      <c r="D259" s="136"/>
      <c r="E259" s="252" t="s">
        <v>809</v>
      </c>
      <c r="F259" s="250" t="s">
        <v>878</v>
      </c>
      <c r="G259" s="359">
        <v>513300</v>
      </c>
      <c r="H259" s="359">
        <v>491550</v>
      </c>
    </row>
    <row r="260" spans="1:8" ht="28.5">
      <c r="A260" s="264">
        <v>46020</v>
      </c>
      <c r="B260" s="323"/>
      <c r="C260" s="380">
        <v>468</v>
      </c>
      <c r="D260" s="255"/>
      <c r="E260" s="256" t="s">
        <v>798</v>
      </c>
      <c r="F260" s="257" t="s">
        <v>879</v>
      </c>
      <c r="G260" s="359">
        <v>8000</v>
      </c>
      <c r="H260" s="359">
        <v>7600</v>
      </c>
    </row>
    <row r="261" spans="1:8" ht="42.75">
      <c r="A261" s="264">
        <v>46020</v>
      </c>
      <c r="B261" s="263"/>
      <c r="C261" s="1">
        <v>469</v>
      </c>
      <c r="D261" s="136"/>
      <c r="E261" s="252" t="s">
        <v>810</v>
      </c>
      <c r="F261" s="250" t="s">
        <v>880</v>
      </c>
      <c r="G261" s="359">
        <v>647002</v>
      </c>
      <c r="H261" s="359">
        <v>619007</v>
      </c>
    </row>
    <row r="262" spans="1:8" ht="28.5">
      <c r="A262" s="264">
        <v>46020</v>
      </c>
      <c r="B262" s="263"/>
      <c r="C262" s="1">
        <v>470</v>
      </c>
      <c r="D262" s="136"/>
      <c r="E262" s="252" t="s">
        <v>811</v>
      </c>
      <c r="F262" s="250" t="s">
        <v>881</v>
      </c>
      <c r="G262" s="359">
        <v>80000</v>
      </c>
      <c r="H262" s="359">
        <v>76000</v>
      </c>
    </row>
    <row r="263" spans="1:8" ht="42.75">
      <c r="A263" s="264">
        <v>46020</v>
      </c>
      <c r="B263" s="263"/>
      <c r="C263" s="1">
        <v>471</v>
      </c>
      <c r="D263" s="136"/>
      <c r="E263" s="252" t="s">
        <v>812</v>
      </c>
      <c r="F263" s="250" t="s">
        <v>882</v>
      </c>
      <c r="G263" s="359">
        <v>720000</v>
      </c>
      <c r="H263" s="359">
        <v>684000</v>
      </c>
    </row>
    <row r="264" spans="1:8" ht="57">
      <c r="A264" s="264">
        <v>46020</v>
      </c>
      <c r="B264" s="263"/>
      <c r="C264" s="1">
        <v>472</v>
      </c>
      <c r="D264" s="136"/>
      <c r="E264" s="252" t="s">
        <v>780</v>
      </c>
      <c r="F264" s="250" t="s">
        <v>883</v>
      </c>
      <c r="G264" s="359">
        <v>43500</v>
      </c>
      <c r="H264" s="359">
        <v>43500</v>
      </c>
    </row>
    <row r="265" spans="1:8" ht="42.75">
      <c r="A265" s="264">
        <v>46020</v>
      </c>
      <c r="B265" s="263"/>
      <c r="C265" s="1">
        <v>473</v>
      </c>
      <c r="D265" s="136"/>
      <c r="E265" s="252" t="s">
        <v>780</v>
      </c>
      <c r="F265" s="250" t="s">
        <v>1413</v>
      </c>
      <c r="G265" s="359">
        <v>15000</v>
      </c>
      <c r="H265" s="359">
        <v>15000</v>
      </c>
    </row>
    <row r="266" spans="1:8" ht="28.5">
      <c r="A266" s="264">
        <v>46020</v>
      </c>
      <c r="B266" s="263"/>
      <c r="C266" s="1">
        <v>474</v>
      </c>
      <c r="D266" s="136"/>
      <c r="E266" s="252" t="s">
        <v>813</v>
      </c>
      <c r="F266" s="250" t="s">
        <v>884</v>
      </c>
      <c r="G266" s="359">
        <v>65000</v>
      </c>
      <c r="H266" s="359">
        <v>61750</v>
      </c>
    </row>
    <row r="267" spans="1:8" ht="42.75">
      <c r="A267" s="264">
        <v>46020</v>
      </c>
      <c r="B267" s="263"/>
      <c r="C267" s="1">
        <v>475</v>
      </c>
      <c r="D267" s="136"/>
      <c r="E267" s="252" t="s">
        <v>814</v>
      </c>
      <c r="F267" s="250" t="s">
        <v>885</v>
      </c>
      <c r="G267" s="359">
        <v>47436</v>
      </c>
      <c r="H267" s="359">
        <v>45426</v>
      </c>
    </row>
    <row r="268" spans="1:8" ht="42.75">
      <c r="A268" s="264">
        <v>46020</v>
      </c>
      <c r="B268" s="263"/>
      <c r="C268" s="1">
        <v>476</v>
      </c>
      <c r="D268" s="136"/>
      <c r="E268" s="252" t="s">
        <v>815</v>
      </c>
      <c r="F268" s="250" t="s">
        <v>886</v>
      </c>
      <c r="G268" s="359">
        <v>16605</v>
      </c>
      <c r="H268" s="359">
        <v>16605</v>
      </c>
    </row>
    <row r="269" spans="1:8" ht="28.5">
      <c r="A269" s="264">
        <v>46021</v>
      </c>
      <c r="B269" s="263"/>
      <c r="C269" s="1">
        <v>477</v>
      </c>
      <c r="D269" s="136"/>
      <c r="E269" s="252" t="s">
        <v>816</v>
      </c>
      <c r="F269" s="250" t="s">
        <v>887</v>
      </c>
      <c r="G269" s="359">
        <v>1888000</v>
      </c>
      <c r="H269" s="359">
        <v>1808000</v>
      </c>
    </row>
    <row r="270" spans="1:8" ht="42.75">
      <c r="A270" s="264">
        <v>46021</v>
      </c>
      <c r="B270" s="263"/>
      <c r="C270" s="1">
        <v>478</v>
      </c>
      <c r="D270" s="136"/>
      <c r="E270" s="252" t="s">
        <v>817</v>
      </c>
      <c r="F270" s="250" t="s">
        <v>888</v>
      </c>
      <c r="G270" s="359">
        <v>32000</v>
      </c>
      <c r="H270" s="359">
        <v>32000</v>
      </c>
    </row>
    <row r="271" spans="1:8" ht="57">
      <c r="A271" s="264">
        <v>46021</v>
      </c>
      <c r="B271" s="263"/>
      <c r="C271" s="1">
        <v>479</v>
      </c>
      <c r="D271" s="136"/>
      <c r="E271" s="252" t="s">
        <v>818</v>
      </c>
      <c r="F271" s="250" t="s">
        <v>889</v>
      </c>
      <c r="G271" s="359">
        <v>9600</v>
      </c>
      <c r="H271" s="359">
        <v>9120</v>
      </c>
    </row>
    <row r="272" spans="1:8" ht="28.5">
      <c r="A272" s="135">
        <v>46022</v>
      </c>
      <c r="B272" s="263"/>
      <c r="C272" s="1">
        <v>480</v>
      </c>
      <c r="D272" s="136"/>
      <c r="E272" s="252" t="s">
        <v>819</v>
      </c>
      <c r="F272" s="250" t="s">
        <v>890</v>
      </c>
      <c r="G272" s="359">
        <v>258561.6</v>
      </c>
      <c r="H272" s="359">
        <v>258561.6</v>
      </c>
    </row>
    <row r="273" spans="1:8" ht="28.5">
      <c r="A273" s="135">
        <v>46022</v>
      </c>
      <c r="B273" s="263"/>
      <c r="C273" s="1">
        <v>481</v>
      </c>
      <c r="D273" s="136"/>
      <c r="E273" s="252" t="s">
        <v>820</v>
      </c>
      <c r="F273" s="250" t="s">
        <v>891</v>
      </c>
      <c r="G273" s="359">
        <v>241200</v>
      </c>
      <c r="H273" s="359">
        <v>241200</v>
      </c>
    </row>
    <row r="274" spans="1:8" ht="28.5">
      <c r="A274" s="135">
        <v>46022</v>
      </c>
      <c r="B274" s="263"/>
      <c r="C274" s="1">
        <v>482</v>
      </c>
      <c r="D274" s="136"/>
      <c r="E274" s="252" t="s">
        <v>821</v>
      </c>
      <c r="F274" s="250" t="s">
        <v>892</v>
      </c>
      <c r="G274" s="359">
        <v>36400</v>
      </c>
      <c r="H274" s="359">
        <v>34580</v>
      </c>
    </row>
    <row r="275" spans="1:8" ht="42.75">
      <c r="A275" s="135">
        <v>46022</v>
      </c>
      <c r="B275" s="263"/>
      <c r="C275" s="1">
        <v>483</v>
      </c>
      <c r="D275" s="136"/>
      <c r="E275" s="252" t="s">
        <v>819</v>
      </c>
      <c r="F275" s="250" t="s">
        <v>893</v>
      </c>
      <c r="G275" s="359">
        <v>92470.7</v>
      </c>
      <c r="H275" s="359">
        <v>88552.5</v>
      </c>
    </row>
    <row r="276" spans="1:8" ht="42.75">
      <c r="A276" s="135">
        <v>46022</v>
      </c>
      <c r="B276" s="263"/>
      <c r="C276" s="1">
        <v>484</v>
      </c>
      <c r="D276" s="136"/>
      <c r="E276" s="252" t="s">
        <v>822</v>
      </c>
      <c r="F276" s="250" t="s">
        <v>894</v>
      </c>
      <c r="G276" s="359">
        <v>165200</v>
      </c>
      <c r="H276" s="359">
        <v>158200</v>
      </c>
    </row>
    <row r="277" spans="1:8" ht="42.75">
      <c r="A277" s="135">
        <v>46022</v>
      </c>
      <c r="B277" s="263"/>
      <c r="C277" s="1">
        <v>485</v>
      </c>
      <c r="D277" s="136"/>
      <c r="E277" s="252" t="s">
        <v>1145</v>
      </c>
      <c r="F277" s="250" t="s">
        <v>1146</v>
      </c>
      <c r="G277" s="137">
        <v>600000</v>
      </c>
      <c r="H277" s="138">
        <v>570000</v>
      </c>
    </row>
    <row r="278" spans="1:8" ht="42.75">
      <c r="A278" s="135">
        <v>46022</v>
      </c>
      <c r="B278" s="263"/>
      <c r="C278" s="1">
        <v>486</v>
      </c>
      <c r="D278" s="136"/>
      <c r="E278" s="252" t="s">
        <v>1147</v>
      </c>
      <c r="F278" s="250" t="s">
        <v>1148</v>
      </c>
      <c r="G278" s="137">
        <v>172676</v>
      </c>
      <c r="H278" s="138">
        <v>163976.46</v>
      </c>
    </row>
    <row r="279" spans="1:8" ht="42.75">
      <c r="A279" s="135">
        <v>46022</v>
      </c>
      <c r="B279" s="263"/>
      <c r="C279" s="1">
        <v>487</v>
      </c>
      <c r="D279" s="136"/>
      <c r="E279" s="252" t="s">
        <v>1147</v>
      </c>
      <c r="F279" s="250" t="s">
        <v>1149</v>
      </c>
      <c r="G279" s="137">
        <v>88075</v>
      </c>
      <c r="H279" s="138">
        <v>83739.89</v>
      </c>
    </row>
    <row r="280" spans="1:8" ht="57">
      <c r="A280" s="135">
        <v>46022</v>
      </c>
      <c r="B280" s="263"/>
      <c r="C280" s="1">
        <v>488</v>
      </c>
      <c r="D280" s="136"/>
      <c r="E280" s="252" t="s">
        <v>1150</v>
      </c>
      <c r="F280" s="250" t="s">
        <v>1151</v>
      </c>
      <c r="G280" s="137">
        <v>1860406.55</v>
      </c>
      <c r="H280" s="138">
        <v>1781575.76</v>
      </c>
    </row>
    <row r="281" spans="1:8" ht="28.5">
      <c r="A281" s="135">
        <v>46022</v>
      </c>
      <c r="B281" s="263"/>
      <c r="C281" s="1">
        <v>489</v>
      </c>
      <c r="D281" s="136"/>
      <c r="E281" s="252" t="s">
        <v>767</v>
      </c>
      <c r="F281" s="250" t="s">
        <v>1088</v>
      </c>
      <c r="G281" s="137">
        <v>236000</v>
      </c>
      <c r="H281" s="138">
        <v>226000</v>
      </c>
    </row>
    <row r="282" spans="1:8" ht="28.5">
      <c r="A282" s="135">
        <v>46022</v>
      </c>
      <c r="B282" s="263"/>
      <c r="C282" s="1">
        <v>490</v>
      </c>
      <c r="D282" s="136"/>
      <c r="E282" s="252" t="s">
        <v>1426</v>
      </c>
      <c r="F282" s="250" t="s">
        <v>1427</v>
      </c>
      <c r="G282" s="137">
        <v>135936</v>
      </c>
      <c r="H282" s="138">
        <f>135936-(115200*0.05)</f>
        <v>130176</v>
      </c>
    </row>
    <row r="283" spans="1:8" ht="28.5">
      <c r="A283" s="135"/>
      <c r="B283" s="263"/>
      <c r="C283" s="1">
        <v>491</v>
      </c>
      <c r="D283" s="136"/>
      <c r="E283" s="252" t="s">
        <v>1432</v>
      </c>
      <c r="F283" s="250" t="s">
        <v>1433</v>
      </c>
      <c r="G283" s="137">
        <v>784700</v>
      </c>
      <c r="H283" s="138">
        <f>784700-(665000*0.05)</f>
        <v>751450</v>
      </c>
    </row>
    <row r="284" spans="1:8" ht="28.5">
      <c r="A284" s="135">
        <v>45992</v>
      </c>
      <c r="B284" s="263"/>
      <c r="C284" s="1"/>
      <c r="D284" s="136">
        <v>37324</v>
      </c>
      <c r="E284" s="252" t="s">
        <v>1139</v>
      </c>
      <c r="F284" s="250" t="s">
        <v>1417</v>
      </c>
      <c r="G284" s="137">
        <v>12400</v>
      </c>
      <c r="H284" s="138">
        <v>12400</v>
      </c>
    </row>
    <row r="285" spans="1:8" ht="15.75">
      <c r="A285" s="135">
        <v>45995</v>
      </c>
      <c r="B285" s="263"/>
      <c r="C285" s="1"/>
      <c r="D285" s="136">
        <v>37325</v>
      </c>
      <c r="E285" s="252" t="s">
        <v>723</v>
      </c>
      <c r="F285" s="250" t="s">
        <v>723</v>
      </c>
      <c r="G285" s="137">
        <v>0</v>
      </c>
      <c r="H285" s="138">
        <v>0</v>
      </c>
    </row>
    <row r="286" spans="1:8" ht="15.75">
      <c r="A286" s="135">
        <v>45995</v>
      </c>
      <c r="B286" s="263"/>
      <c r="C286" s="1"/>
      <c r="D286" s="136">
        <v>37326</v>
      </c>
      <c r="E286" s="252" t="s">
        <v>723</v>
      </c>
      <c r="F286" s="250" t="s">
        <v>723</v>
      </c>
      <c r="G286" s="137">
        <v>0</v>
      </c>
      <c r="H286" s="138">
        <v>0</v>
      </c>
    </row>
    <row r="287" spans="1:8" ht="15.75">
      <c r="A287" s="135">
        <v>45995</v>
      </c>
      <c r="B287" s="263"/>
      <c r="C287" s="1"/>
      <c r="D287" s="136">
        <v>37327</v>
      </c>
      <c r="E287" s="252" t="s">
        <v>752</v>
      </c>
      <c r="F287" s="250" t="s">
        <v>1418</v>
      </c>
      <c r="G287" s="137">
        <v>55896.480000000003</v>
      </c>
      <c r="H287" s="138">
        <v>55896.480000000003</v>
      </c>
    </row>
    <row r="288" spans="1:8" ht="28.5">
      <c r="A288" s="135">
        <v>45995</v>
      </c>
      <c r="B288" s="263"/>
      <c r="C288" s="1"/>
      <c r="D288" s="136">
        <v>37328</v>
      </c>
      <c r="E288" s="252" t="s">
        <v>1140</v>
      </c>
      <c r="F288" s="250" t="s">
        <v>1430</v>
      </c>
      <c r="G288" s="137">
        <v>9632.66</v>
      </c>
      <c r="H288" s="138">
        <v>8000</v>
      </c>
    </row>
    <row r="289" spans="1:8" ht="15.75">
      <c r="A289" s="135">
        <v>45995</v>
      </c>
      <c r="B289" s="263"/>
      <c r="C289" s="1"/>
      <c r="D289" s="136">
        <v>37329</v>
      </c>
      <c r="E289" s="252" t="s">
        <v>723</v>
      </c>
      <c r="F289" s="250" t="s">
        <v>723</v>
      </c>
      <c r="G289" s="137"/>
      <c r="H289" s="138">
        <v>0</v>
      </c>
    </row>
    <row r="290" spans="1:8" ht="28.5">
      <c r="A290" s="135">
        <v>45995</v>
      </c>
      <c r="B290" s="263"/>
      <c r="C290" s="1"/>
      <c r="D290" s="136">
        <v>37330</v>
      </c>
      <c r="E290" s="252" t="s">
        <v>1141</v>
      </c>
      <c r="F290" s="250" t="s">
        <v>1431</v>
      </c>
      <c r="G290" s="137">
        <v>22877.56</v>
      </c>
      <c r="H290" s="138">
        <v>19000</v>
      </c>
    </row>
    <row r="291" spans="1:8" ht="28.5">
      <c r="A291" s="135">
        <v>46010</v>
      </c>
      <c r="B291" s="263"/>
      <c r="C291" s="1"/>
      <c r="D291" s="136">
        <v>37331</v>
      </c>
      <c r="E291" s="252" t="s">
        <v>754</v>
      </c>
      <c r="F291" s="250" t="s">
        <v>1419</v>
      </c>
      <c r="G291" s="137">
        <v>19626.54</v>
      </c>
      <c r="H291" s="138">
        <v>16300.01</v>
      </c>
    </row>
    <row r="292" spans="1:8" ht="28.5">
      <c r="A292" s="135">
        <v>46010</v>
      </c>
      <c r="B292" s="263"/>
      <c r="C292" s="1"/>
      <c r="D292" s="136">
        <v>37332</v>
      </c>
      <c r="E292" s="252" t="s">
        <v>755</v>
      </c>
      <c r="F292" s="250" t="s">
        <v>1420</v>
      </c>
      <c r="G292" s="137">
        <v>18061.22</v>
      </c>
      <c r="H292" s="138">
        <v>15000</v>
      </c>
    </row>
    <row r="293" spans="1:8" ht="28.5">
      <c r="A293" s="135">
        <v>46010</v>
      </c>
      <c r="B293" s="263"/>
      <c r="C293" s="1"/>
      <c r="D293" s="136">
        <v>37333</v>
      </c>
      <c r="E293" s="252" t="s">
        <v>753</v>
      </c>
      <c r="F293" s="250" t="s">
        <v>1421</v>
      </c>
      <c r="G293" s="137">
        <v>21673.47</v>
      </c>
      <c r="H293" s="138">
        <v>18000</v>
      </c>
    </row>
    <row r="294" spans="1:8" ht="28.5">
      <c r="A294" s="135">
        <v>46010</v>
      </c>
      <c r="B294" s="263"/>
      <c r="C294" s="1"/>
      <c r="D294" s="136">
        <v>37334</v>
      </c>
      <c r="E294" s="252" t="s">
        <v>757</v>
      </c>
      <c r="F294" s="250" t="s">
        <v>1422</v>
      </c>
      <c r="G294" s="137">
        <v>20000</v>
      </c>
      <c r="H294" s="138">
        <v>20000</v>
      </c>
    </row>
    <row r="295" spans="1:8" ht="15.75">
      <c r="A295" s="135">
        <v>46010</v>
      </c>
      <c r="B295" s="263"/>
      <c r="C295" s="1"/>
      <c r="D295" s="136">
        <v>37335</v>
      </c>
      <c r="E295" s="252" t="s">
        <v>752</v>
      </c>
      <c r="F295" s="250" t="s">
        <v>1418</v>
      </c>
      <c r="G295" s="137">
        <v>57022.9</v>
      </c>
      <c r="H295" s="138">
        <v>57022.9</v>
      </c>
    </row>
    <row r="296" spans="1:8" ht="28.5">
      <c r="A296" s="135">
        <v>46013</v>
      </c>
      <c r="B296" s="263"/>
      <c r="C296" s="1"/>
      <c r="D296" s="136">
        <v>37336</v>
      </c>
      <c r="E296" s="252" t="s">
        <v>756</v>
      </c>
      <c r="F296" s="250" t="s">
        <v>1423</v>
      </c>
      <c r="G296" s="137">
        <v>3600</v>
      </c>
      <c r="H296" s="138">
        <v>3600</v>
      </c>
    </row>
    <row r="297" spans="1:8" ht="28.5">
      <c r="A297" s="135">
        <v>46014</v>
      </c>
      <c r="B297" s="263"/>
      <c r="C297" s="1"/>
      <c r="D297" s="136">
        <v>37337</v>
      </c>
      <c r="E297" s="252" t="s">
        <v>1142</v>
      </c>
      <c r="F297" s="250" t="s">
        <v>1424</v>
      </c>
      <c r="G297" s="137">
        <v>10000</v>
      </c>
      <c r="H297" s="138">
        <v>10000</v>
      </c>
    </row>
    <row r="298" spans="1:8" ht="28.5">
      <c r="A298" s="135">
        <v>46014</v>
      </c>
      <c r="B298" s="263"/>
      <c r="C298" s="1"/>
      <c r="D298" s="136">
        <v>37338</v>
      </c>
      <c r="E298" s="252" t="s">
        <v>1143</v>
      </c>
      <c r="F298" s="250" t="s">
        <v>1424</v>
      </c>
      <c r="G298" s="137">
        <v>10000</v>
      </c>
      <c r="H298" s="138">
        <v>10000</v>
      </c>
    </row>
    <row r="299" spans="1:8" ht="15.75">
      <c r="A299" s="135">
        <v>46014</v>
      </c>
      <c r="B299" s="263"/>
      <c r="C299" s="1"/>
      <c r="D299" s="136">
        <v>37339</v>
      </c>
      <c r="E299" s="252" t="s">
        <v>1144</v>
      </c>
      <c r="F299" s="250" t="s">
        <v>1425</v>
      </c>
      <c r="G299" s="137">
        <v>39734.69</v>
      </c>
      <c r="H299" s="138">
        <v>33000</v>
      </c>
    </row>
    <row r="300" spans="1:8">
      <c r="A300" s="390" t="s">
        <v>348</v>
      </c>
      <c r="B300" s="390"/>
      <c r="C300" s="390"/>
      <c r="D300" s="390"/>
      <c r="E300" s="390"/>
      <c r="F300" s="390"/>
      <c r="G300" s="327">
        <f>SUM(G11:G299)</f>
        <v>208146777.91999993</v>
      </c>
      <c r="H300" s="327">
        <f>SUM(H11:H299)</f>
        <v>22171859.270000007</v>
      </c>
    </row>
    <row r="302" spans="1:8">
      <c r="A302" s="393" t="s">
        <v>668</v>
      </c>
      <c r="B302" s="394"/>
      <c r="C302" s="395"/>
    </row>
    <row r="303" spans="1:8">
      <c r="A303" s="396" t="s">
        <v>669</v>
      </c>
      <c r="B303" s="397"/>
      <c r="C303" s="167">
        <v>125991986.17</v>
      </c>
      <c r="D303" s="220"/>
    </row>
    <row r="304" spans="1:8">
      <c r="A304" s="396" t="s">
        <v>670</v>
      </c>
      <c r="B304" s="397"/>
      <c r="C304" s="167">
        <f>+H287+H295</f>
        <v>112919.38</v>
      </c>
    </row>
    <row r="305" spans="1:4">
      <c r="A305" s="396" t="s">
        <v>671</v>
      </c>
      <c r="B305" s="397"/>
      <c r="C305" s="167">
        <f>+G11+G12+G13+G128+G129+G132+G155+G164+G173</f>
        <v>81717720.850000009</v>
      </c>
    </row>
    <row r="306" spans="1:4">
      <c r="A306" s="396" t="s">
        <v>672</v>
      </c>
      <c r="B306" s="397"/>
      <c r="C306" s="167">
        <v>300525.52</v>
      </c>
      <c r="D306" s="220"/>
    </row>
    <row r="307" spans="1:4">
      <c r="A307" s="391" t="s">
        <v>673</v>
      </c>
      <c r="B307" s="392"/>
      <c r="C307" s="265">
        <f>+C303+C304+C305+C306</f>
        <v>208123151.92000002</v>
      </c>
      <c r="D307" s="220"/>
    </row>
  </sheetData>
  <sortState xmlns:xlrd2="http://schemas.microsoft.com/office/spreadsheetml/2017/richdata2" ref="A11:H299">
    <sortCondition ref="B11:B299"/>
  </sortState>
  <mergeCells count="11">
    <mergeCell ref="A307:B307"/>
    <mergeCell ref="A302:C302"/>
    <mergeCell ref="A303:B303"/>
    <mergeCell ref="A304:B304"/>
    <mergeCell ref="A305:B305"/>
    <mergeCell ref="A306:B306"/>
    <mergeCell ref="A5:H5"/>
    <mergeCell ref="A6:H6"/>
    <mergeCell ref="A7:H7"/>
    <mergeCell ref="A9:H9"/>
    <mergeCell ref="A300:F300"/>
  </mergeCells>
  <pageMargins left="0.70866141732283472" right="0.70866141732283472" top="0.74803149606299213" bottom="0.74803149606299213" header="0.31496062992125984" footer="0.31496062992125984"/>
  <pageSetup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7"/>
  <sheetViews>
    <sheetView zoomScale="90" zoomScaleNormal="90" workbookViewId="0">
      <selection activeCell="F27" sqref="F27"/>
    </sheetView>
  </sheetViews>
  <sheetFormatPr baseColWidth="10" defaultColWidth="12.5703125" defaultRowHeight="15"/>
  <cols>
    <col min="1" max="1" width="11.5703125" bestFit="1" customWidth="1"/>
    <col min="2" max="2" width="17.140625" bestFit="1" customWidth="1"/>
    <col min="3" max="3" width="25.42578125" bestFit="1" customWidth="1"/>
    <col min="6" max="6" width="51.42578125" bestFit="1" customWidth="1"/>
    <col min="7" max="7" width="10" bestFit="1" customWidth="1"/>
    <col min="8" max="8" width="76.140625" bestFit="1" customWidth="1"/>
    <col min="9" max="9" width="32.28515625" customWidth="1"/>
    <col min="10" max="10" width="32.140625" customWidth="1"/>
    <col min="11" max="11" width="18.140625" customWidth="1"/>
  </cols>
  <sheetData>
    <row r="1" spans="1:11">
      <c r="A1" s="139"/>
      <c r="B1" s="139"/>
      <c r="F1" s="342"/>
    </row>
    <row r="2" spans="1:11">
      <c r="A2" s="139"/>
      <c r="B2" s="139"/>
    </row>
    <row r="3" spans="1:11">
      <c r="A3" s="386"/>
      <c r="B3" s="386"/>
      <c r="C3" s="386"/>
      <c r="D3" s="386"/>
      <c r="E3" s="386"/>
      <c r="F3" s="386"/>
      <c r="G3" s="386"/>
      <c r="H3" s="386"/>
      <c r="I3" s="386"/>
    </row>
    <row r="4" spans="1:11" ht="18.75">
      <c r="A4" s="400" t="s">
        <v>77</v>
      </c>
      <c r="B4" s="400"/>
      <c r="C4" s="400"/>
      <c r="D4" s="400"/>
      <c r="E4" s="400"/>
      <c r="F4" s="400"/>
      <c r="G4" s="400"/>
      <c r="H4" s="400"/>
      <c r="I4" s="400"/>
    </row>
    <row r="5" spans="1:11" ht="18.75">
      <c r="A5" s="400" t="s">
        <v>641</v>
      </c>
      <c r="B5" s="400"/>
      <c r="C5" s="400"/>
      <c r="D5" s="400"/>
      <c r="E5" s="400"/>
      <c r="F5" s="400"/>
      <c r="G5" s="400"/>
      <c r="H5" s="400"/>
      <c r="I5" s="400"/>
    </row>
    <row r="6" spans="1:11" ht="18.75">
      <c r="A6" s="400" t="s">
        <v>714</v>
      </c>
      <c r="B6" s="400"/>
      <c r="C6" s="400"/>
      <c r="D6" s="400"/>
      <c r="E6" s="400"/>
      <c r="F6" s="400"/>
      <c r="G6" s="400"/>
      <c r="H6" s="400"/>
      <c r="I6" s="400"/>
    </row>
    <row r="7" spans="1:11" ht="18.75">
      <c r="A7" s="401" t="s">
        <v>715</v>
      </c>
      <c r="B7" s="401"/>
      <c r="C7" s="401"/>
      <c r="D7" s="401"/>
      <c r="E7" s="401"/>
      <c r="F7" s="401"/>
      <c r="G7" s="401"/>
      <c r="H7" s="401"/>
      <c r="I7" s="401"/>
    </row>
    <row r="8" spans="1:11" ht="15.75">
      <c r="A8" s="398">
        <v>45992</v>
      </c>
      <c r="B8" s="399"/>
      <c r="C8" s="399"/>
      <c r="D8" s="343"/>
      <c r="E8" s="343"/>
      <c r="F8" s="343"/>
      <c r="G8" s="343"/>
      <c r="H8" s="343"/>
      <c r="I8" s="343"/>
      <c r="J8" t="s">
        <v>761</v>
      </c>
    </row>
    <row r="9" spans="1:11" ht="63">
      <c r="A9" s="349" t="s">
        <v>441</v>
      </c>
      <c r="B9" s="273" t="s">
        <v>682</v>
      </c>
      <c r="C9" s="273" t="s">
        <v>683</v>
      </c>
      <c r="D9" s="350" t="s">
        <v>440</v>
      </c>
      <c r="E9" s="350" t="s">
        <v>439</v>
      </c>
      <c r="F9" s="118" t="s">
        <v>438</v>
      </c>
      <c r="G9" s="118" t="s">
        <v>437</v>
      </c>
      <c r="H9" s="350" t="s">
        <v>436</v>
      </c>
      <c r="I9" s="118" t="s">
        <v>435</v>
      </c>
      <c r="J9" s="118" t="s">
        <v>684</v>
      </c>
      <c r="K9" s="322" t="s">
        <v>685</v>
      </c>
    </row>
    <row r="10" spans="1:11">
      <c r="A10" s="179">
        <v>45992</v>
      </c>
      <c r="B10" s="1" t="s">
        <v>1154</v>
      </c>
      <c r="C10" s="1" t="s">
        <v>1155</v>
      </c>
      <c r="D10" s="1"/>
      <c r="E10" s="1" t="s">
        <v>1340</v>
      </c>
      <c r="F10" s="1" t="s">
        <v>810</v>
      </c>
      <c r="G10" s="1">
        <v>42150000</v>
      </c>
      <c r="H10" s="1" t="s">
        <v>1341</v>
      </c>
      <c r="I10" s="361">
        <v>647002</v>
      </c>
      <c r="J10" s="1" t="s">
        <v>1342</v>
      </c>
    </row>
    <row r="11" spans="1:11">
      <c r="A11" s="179">
        <v>45992</v>
      </c>
      <c r="B11" s="1" t="s">
        <v>1156</v>
      </c>
      <c r="C11" s="1" t="s">
        <v>1157</v>
      </c>
      <c r="D11" s="1"/>
      <c r="E11" s="1" t="s">
        <v>1340</v>
      </c>
      <c r="F11" s="1" t="s">
        <v>1343</v>
      </c>
      <c r="G11" s="1">
        <v>12140000</v>
      </c>
      <c r="H11" s="1" t="s">
        <v>1344</v>
      </c>
      <c r="I11" s="361">
        <v>259978</v>
      </c>
      <c r="J11" s="1" t="s">
        <v>1342</v>
      </c>
    </row>
    <row r="12" spans="1:11">
      <c r="A12" s="179">
        <v>45992</v>
      </c>
      <c r="B12" s="1" t="s">
        <v>1158</v>
      </c>
      <c r="C12" s="1" t="s">
        <v>1159</v>
      </c>
      <c r="D12" s="1"/>
      <c r="E12" s="1" t="s">
        <v>1340</v>
      </c>
      <c r="F12" s="1" t="s">
        <v>1345</v>
      </c>
      <c r="G12" s="1">
        <v>40100000</v>
      </c>
      <c r="H12" s="1" t="s">
        <v>1346</v>
      </c>
      <c r="I12" s="361">
        <v>188328</v>
      </c>
      <c r="J12" s="1" t="s">
        <v>1342</v>
      </c>
    </row>
    <row r="13" spans="1:11">
      <c r="A13" s="179">
        <v>45992</v>
      </c>
      <c r="B13" s="1" t="s">
        <v>1160</v>
      </c>
      <c r="C13" s="1" t="s">
        <v>1161</v>
      </c>
      <c r="D13" s="1"/>
      <c r="E13" s="1" t="s">
        <v>1340</v>
      </c>
      <c r="F13" s="1" t="s">
        <v>664</v>
      </c>
      <c r="G13" s="1">
        <v>23150000</v>
      </c>
      <c r="H13" s="1" t="s">
        <v>1347</v>
      </c>
      <c r="I13" s="361">
        <v>1387459</v>
      </c>
      <c r="J13" s="1" t="s">
        <v>1342</v>
      </c>
    </row>
    <row r="14" spans="1:11">
      <c r="A14" s="179">
        <v>45993</v>
      </c>
      <c r="B14" s="1" t="s">
        <v>1162</v>
      </c>
      <c r="C14" s="1" t="s">
        <v>1163</v>
      </c>
      <c r="D14" s="1"/>
      <c r="E14" s="1" t="s">
        <v>1340</v>
      </c>
      <c r="F14" s="1" t="s">
        <v>910</v>
      </c>
      <c r="G14" s="1">
        <v>72100000</v>
      </c>
      <c r="H14" s="1" t="s">
        <v>1348</v>
      </c>
      <c r="I14" s="361">
        <v>649000</v>
      </c>
      <c r="J14" s="1" t="s">
        <v>1342</v>
      </c>
    </row>
    <row r="15" spans="1:11">
      <c r="A15" s="179">
        <v>45993</v>
      </c>
      <c r="B15" s="1" t="s">
        <v>1164</v>
      </c>
      <c r="C15" s="1" t="s">
        <v>1165</v>
      </c>
      <c r="D15" s="1"/>
      <c r="E15" s="1" t="s">
        <v>1340</v>
      </c>
      <c r="F15" s="1" t="s">
        <v>1349</v>
      </c>
      <c r="G15" s="1">
        <v>90100000</v>
      </c>
      <c r="H15" s="1" t="s">
        <v>1350</v>
      </c>
      <c r="I15" s="361">
        <v>1734600</v>
      </c>
      <c r="J15" s="1" t="s">
        <v>1342</v>
      </c>
    </row>
    <row r="16" spans="1:11">
      <c r="A16" s="179">
        <v>45993</v>
      </c>
      <c r="B16" s="1" t="s">
        <v>1166</v>
      </c>
      <c r="C16" s="1" t="s">
        <v>1167</v>
      </c>
      <c r="D16" s="1"/>
      <c r="E16" s="1" t="s">
        <v>1340</v>
      </c>
      <c r="F16" s="1" t="s">
        <v>662</v>
      </c>
      <c r="G16" s="1">
        <v>42140000</v>
      </c>
      <c r="H16" s="1" t="s">
        <v>1351</v>
      </c>
      <c r="I16" s="361">
        <v>62682</v>
      </c>
      <c r="J16" s="1" t="s">
        <v>1342</v>
      </c>
    </row>
    <row r="17" spans="1:10">
      <c r="A17" s="179">
        <v>45994</v>
      </c>
      <c r="B17" s="1" t="s">
        <v>1168</v>
      </c>
      <c r="C17" s="1" t="s">
        <v>1169</v>
      </c>
      <c r="D17" s="1"/>
      <c r="E17" s="1" t="s">
        <v>1340</v>
      </c>
      <c r="F17" s="1" t="s">
        <v>718</v>
      </c>
      <c r="G17" s="1">
        <v>42140000</v>
      </c>
      <c r="H17" s="1" t="s">
        <v>1351</v>
      </c>
      <c r="I17" s="361">
        <v>82372</v>
      </c>
      <c r="J17" s="1" t="s">
        <v>1342</v>
      </c>
    </row>
    <row r="18" spans="1:10">
      <c r="A18" s="179">
        <v>45994</v>
      </c>
      <c r="B18" s="1" t="s">
        <v>1170</v>
      </c>
      <c r="C18" s="1" t="s">
        <v>1171</v>
      </c>
      <c r="D18" s="1"/>
      <c r="E18" s="1" t="s">
        <v>1340</v>
      </c>
      <c r="F18" s="1" t="s">
        <v>1352</v>
      </c>
      <c r="G18" s="1">
        <v>82120000</v>
      </c>
      <c r="H18" s="1" t="s">
        <v>1353</v>
      </c>
      <c r="I18" s="361">
        <v>1650000</v>
      </c>
      <c r="J18" s="1" t="s">
        <v>1342</v>
      </c>
    </row>
    <row r="19" spans="1:10">
      <c r="A19" s="179">
        <v>45995</v>
      </c>
      <c r="B19" s="1" t="s">
        <v>1172</v>
      </c>
      <c r="C19" s="1" t="s">
        <v>1173</v>
      </c>
      <c r="D19" s="1"/>
      <c r="E19" s="1" t="s">
        <v>1340</v>
      </c>
      <c r="F19" s="1" t="s">
        <v>659</v>
      </c>
      <c r="G19" s="1">
        <v>42180000</v>
      </c>
      <c r="H19" s="1" t="s">
        <v>1354</v>
      </c>
      <c r="I19" s="361">
        <v>531000</v>
      </c>
      <c r="J19" s="1" t="s">
        <v>1342</v>
      </c>
    </row>
    <row r="20" spans="1:10">
      <c r="A20" s="179">
        <v>45995</v>
      </c>
      <c r="B20" s="1" t="s">
        <v>1174</v>
      </c>
      <c r="C20" s="1" t="s">
        <v>1175</v>
      </c>
      <c r="D20" s="1"/>
      <c r="E20" s="1" t="s">
        <v>1340</v>
      </c>
      <c r="F20" s="1" t="s">
        <v>675</v>
      </c>
      <c r="G20" s="1">
        <v>42140000</v>
      </c>
      <c r="H20" s="1" t="s">
        <v>1351</v>
      </c>
      <c r="I20" s="361">
        <v>100685</v>
      </c>
      <c r="J20" s="1" t="s">
        <v>1342</v>
      </c>
    </row>
    <row r="21" spans="1:10">
      <c r="A21" s="179">
        <v>45995</v>
      </c>
      <c r="B21" s="1" t="s">
        <v>1176</v>
      </c>
      <c r="C21" s="1" t="s">
        <v>1177</v>
      </c>
      <c r="D21" s="1"/>
      <c r="E21" s="1" t="s">
        <v>1340</v>
      </c>
      <c r="F21" s="1" t="s">
        <v>903</v>
      </c>
      <c r="G21" s="1">
        <v>51140000</v>
      </c>
      <c r="H21" s="1" t="s">
        <v>1355</v>
      </c>
      <c r="I21" s="361">
        <v>1552500</v>
      </c>
      <c r="J21" s="1" t="s">
        <v>1342</v>
      </c>
    </row>
    <row r="22" spans="1:10">
      <c r="A22" s="179">
        <v>45995</v>
      </c>
      <c r="B22" s="1" t="s">
        <v>1178</v>
      </c>
      <c r="C22" s="1" t="s">
        <v>1179</v>
      </c>
      <c r="D22" s="1"/>
      <c r="E22" s="1" t="s">
        <v>1340</v>
      </c>
      <c r="F22" s="1" t="s">
        <v>1356</v>
      </c>
      <c r="G22" s="1">
        <v>42220000</v>
      </c>
      <c r="H22" s="1" t="s">
        <v>1357</v>
      </c>
      <c r="I22" s="361">
        <v>247800</v>
      </c>
      <c r="J22" s="1" t="s">
        <v>1342</v>
      </c>
    </row>
    <row r="23" spans="1:10">
      <c r="A23" s="179">
        <v>45995</v>
      </c>
      <c r="B23" s="1" t="s">
        <v>1180</v>
      </c>
      <c r="C23" s="1" t="s">
        <v>1181</v>
      </c>
      <c r="D23" s="1"/>
      <c r="E23" s="1" t="s">
        <v>1340</v>
      </c>
      <c r="F23" s="1" t="s">
        <v>1356</v>
      </c>
      <c r="G23" s="1">
        <v>51170000</v>
      </c>
      <c r="H23" s="1" t="s">
        <v>1358</v>
      </c>
      <c r="I23" s="361">
        <v>900000</v>
      </c>
      <c r="J23" s="1" t="s">
        <v>1342</v>
      </c>
    </row>
    <row r="24" spans="1:10">
      <c r="A24" s="179">
        <v>45995</v>
      </c>
      <c r="B24" s="1" t="s">
        <v>1182</v>
      </c>
      <c r="C24" s="1" t="s">
        <v>1183</v>
      </c>
      <c r="D24" s="1"/>
      <c r="E24" s="1" t="s">
        <v>1340</v>
      </c>
      <c r="F24" s="1" t="s">
        <v>912</v>
      </c>
      <c r="G24" s="1">
        <v>42130000</v>
      </c>
      <c r="H24" s="1" t="s">
        <v>1359</v>
      </c>
      <c r="I24" s="361">
        <v>1982400</v>
      </c>
      <c r="J24" s="1" t="s">
        <v>1342</v>
      </c>
    </row>
    <row r="25" spans="1:10">
      <c r="A25" s="179">
        <v>45995</v>
      </c>
      <c r="B25" s="1" t="s">
        <v>1184</v>
      </c>
      <c r="C25" s="1" t="s">
        <v>1185</v>
      </c>
      <c r="D25" s="1"/>
      <c r="E25" s="1" t="s">
        <v>1340</v>
      </c>
      <c r="F25" s="1" t="s">
        <v>1360</v>
      </c>
      <c r="G25" s="1">
        <v>50200000</v>
      </c>
      <c r="H25" s="1" t="s">
        <v>1361</v>
      </c>
      <c r="I25" s="361">
        <v>150000</v>
      </c>
      <c r="J25" s="1" t="s">
        <v>1342</v>
      </c>
    </row>
    <row r="26" spans="1:10">
      <c r="A26" s="179">
        <v>45995</v>
      </c>
      <c r="B26" s="1" t="s">
        <v>1186</v>
      </c>
      <c r="C26" s="1" t="s">
        <v>1187</v>
      </c>
      <c r="D26" s="1"/>
      <c r="E26" s="1" t="s">
        <v>1340</v>
      </c>
      <c r="F26" s="1" t="s">
        <v>743</v>
      </c>
      <c r="G26" s="1">
        <v>51130000</v>
      </c>
      <c r="H26" s="1" t="s">
        <v>1362</v>
      </c>
      <c r="I26" s="361">
        <v>270000</v>
      </c>
      <c r="J26" s="1" t="s">
        <v>1342</v>
      </c>
    </row>
    <row r="27" spans="1:10">
      <c r="A27" s="179">
        <v>45995</v>
      </c>
      <c r="B27" s="1" t="s">
        <v>1188</v>
      </c>
      <c r="C27" s="1" t="s">
        <v>1189</v>
      </c>
      <c r="D27" s="1"/>
      <c r="E27" s="1" t="s">
        <v>1340</v>
      </c>
      <c r="F27" s="1" t="s">
        <v>916</v>
      </c>
      <c r="G27" s="1">
        <v>51100000</v>
      </c>
      <c r="H27" s="1" t="s">
        <v>1363</v>
      </c>
      <c r="I27" s="361">
        <v>167160</v>
      </c>
      <c r="J27" s="1" t="s">
        <v>1342</v>
      </c>
    </row>
    <row r="28" spans="1:10">
      <c r="A28" s="179">
        <v>45995</v>
      </c>
      <c r="B28" s="1" t="s">
        <v>1190</v>
      </c>
      <c r="C28" s="1" t="s">
        <v>1191</v>
      </c>
      <c r="D28" s="1"/>
      <c r="E28" s="1" t="s">
        <v>1340</v>
      </c>
      <c r="F28" s="1" t="s">
        <v>762</v>
      </c>
      <c r="G28" s="1">
        <v>51180000</v>
      </c>
      <c r="H28" s="1" t="s">
        <v>1364</v>
      </c>
      <c r="I28" s="361">
        <v>260000</v>
      </c>
      <c r="J28" s="1" t="s">
        <v>1342</v>
      </c>
    </row>
    <row r="29" spans="1:10">
      <c r="A29" s="179">
        <v>45995</v>
      </c>
      <c r="B29" s="1" t="s">
        <v>1192</v>
      </c>
      <c r="C29" s="1" t="s">
        <v>1193</v>
      </c>
      <c r="D29" s="1"/>
      <c r="E29" s="1" t="s">
        <v>1340</v>
      </c>
      <c r="F29" s="1" t="s">
        <v>896</v>
      </c>
      <c r="G29" s="1">
        <v>42270000</v>
      </c>
      <c r="H29" s="1" t="s">
        <v>1365</v>
      </c>
      <c r="I29" s="361">
        <v>1575000</v>
      </c>
      <c r="J29" s="1" t="s">
        <v>1342</v>
      </c>
    </row>
    <row r="30" spans="1:10">
      <c r="A30" s="179">
        <v>45995</v>
      </c>
      <c r="B30" s="1" t="s">
        <v>1194</v>
      </c>
      <c r="C30" s="1" t="s">
        <v>1195</v>
      </c>
      <c r="D30" s="1"/>
      <c r="E30" s="1" t="s">
        <v>1340</v>
      </c>
      <c r="F30" s="1" t="s">
        <v>1366</v>
      </c>
      <c r="G30" s="1">
        <v>51110000</v>
      </c>
      <c r="H30" s="1" t="s">
        <v>1367</v>
      </c>
      <c r="I30" s="361">
        <v>64500</v>
      </c>
      <c r="J30" s="1" t="s">
        <v>1342</v>
      </c>
    </row>
    <row r="31" spans="1:10">
      <c r="A31" s="179">
        <v>45996</v>
      </c>
      <c r="B31" s="1" t="s">
        <v>1196</v>
      </c>
      <c r="C31" s="1" t="s">
        <v>1197</v>
      </c>
      <c r="D31" s="1"/>
      <c r="E31" s="1" t="s">
        <v>1340</v>
      </c>
      <c r="F31" s="1" t="s">
        <v>765</v>
      </c>
      <c r="G31" s="1">
        <v>12140000</v>
      </c>
      <c r="H31" s="1" t="s">
        <v>1344</v>
      </c>
      <c r="I31" s="361">
        <v>51635136</v>
      </c>
      <c r="J31" s="1" t="s">
        <v>1342</v>
      </c>
    </row>
    <row r="32" spans="1:10">
      <c r="A32" s="179">
        <v>45996</v>
      </c>
      <c r="B32" s="1" t="s">
        <v>1198</v>
      </c>
      <c r="C32" s="1" t="s">
        <v>1199</v>
      </c>
      <c r="D32" s="1"/>
      <c r="E32" s="1" t="s">
        <v>1340</v>
      </c>
      <c r="F32" s="1" t="s">
        <v>1368</v>
      </c>
      <c r="G32" s="1">
        <v>15100000</v>
      </c>
      <c r="H32" s="1" t="s">
        <v>1369</v>
      </c>
      <c r="I32" s="361">
        <v>172000</v>
      </c>
      <c r="J32" s="1" t="s">
        <v>1342</v>
      </c>
    </row>
    <row r="33" spans="1:10">
      <c r="A33" s="179">
        <v>45996</v>
      </c>
      <c r="B33" s="1" t="s">
        <v>1200</v>
      </c>
      <c r="C33" s="1" t="s">
        <v>1201</v>
      </c>
      <c r="D33" s="1"/>
      <c r="E33" s="1" t="s">
        <v>1340</v>
      </c>
      <c r="F33" s="1" t="s">
        <v>1370</v>
      </c>
      <c r="G33" s="1">
        <v>76100000</v>
      </c>
      <c r="H33" s="1" t="s">
        <v>1371</v>
      </c>
      <c r="I33" s="361">
        <v>197674</v>
      </c>
      <c r="J33" s="1" t="s">
        <v>1342</v>
      </c>
    </row>
    <row r="34" spans="1:10">
      <c r="A34" s="179">
        <v>45996</v>
      </c>
      <c r="B34" s="1" t="s">
        <v>1202</v>
      </c>
      <c r="C34" s="1" t="s">
        <v>1203</v>
      </c>
      <c r="D34" s="1"/>
      <c r="E34" s="1" t="s">
        <v>1340</v>
      </c>
      <c r="F34" s="1" t="s">
        <v>674</v>
      </c>
      <c r="G34" s="1">
        <v>41110000</v>
      </c>
      <c r="H34" s="1" t="s">
        <v>1372</v>
      </c>
      <c r="I34" s="361">
        <v>323029</v>
      </c>
      <c r="J34" s="1" t="s">
        <v>1342</v>
      </c>
    </row>
    <row r="35" spans="1:10">
      <c r="A35" s="179">
        <v>45996</v>
      </c>
      <c r="B35" s="1" t="s">
        <v>1204</v>
      </c>
      <c r="C35" s="1" t="s">
        <v>1205</v>
      </c>
      <c r="D35" s="1"/>
      <c r="E35" s="1" t="s">
        <v>1340</v>
      </c>
      <c r="F35" s="1" t="s">
        <v>740</v>
      </c>
      <c r="G35" s="1">
        <v>41110000</v>
      </c>
      <c r="H35" s="1" t="s">
        <v>1372</v>
      </c>
      <c r="I35" s="361">
        <v>178475</v>
      </c>
      <c r="J35" s="1" t="s">
        <v>1342</v>
      </c>
    </row>
    <row r="36" spans="1:10">
      <c r="A36" s="179">
        <v>45999</v>
      </c>
      <c r="B36" s="1" t="s">
        <v>1206</v>
      </c>
      <c r="C36" s="1" t="s">
        <v>1207</v>
      </c>
      <c r="D36" s="1"/>
      <c r="E36" s="1" t="s">
        <v>1340</v>
      </c>
      <c r="F36" s="1" t="s">
        <v>687</v>
      </c>
      <c r="G36" s="1">
        <v>41110000</v>
      </c>
      <c r="H36" s="1" t="s">
        <v>1372</v>
      </c>
      <c r="I36" s="361">
        <v>292248</v>
      </c>
      <c r="J36" s="1" t="s">
        <v>1342</v>
      </c>
    </row>
    <row r="37" spans="1:10">
      <c r="A37" s="179">
        <v>45999</v>
      </c>
      <c r="B37" s="1" t="s">
        <v>1208</v>
      </c>
      <c r="C37" s="1" t="s">
        <v>1209</v>
      </c>
      <c r="D37" s="1"/>
      <c r="E37" s="1" t="s">
        <v>1340</v>
      </c>
      <c r="F37" s="1" t="s">
        <v>1373</v>
      </c>
      <c r="G37" s="1">
        <v>51130000</v>
      </c>
      <c r="H37" s="1" t="s">
        <v>1362</v>
      </c>
      <c r="I37" s="361">
        <v>1725000</v>
      </c>
      <c r="J37" s="1" t="s">
        <v>1342</v>
      </c>
    </row>
    <row r="38" spans="1:10">
      <c r="A38" s="179">
        <v>45999</v>
      </c>
      <c r="B38" s="1" t="s">
        <v>1210</v>
      </c>
      <c r="C38" s="1" t="s">
        <v>1211</v>
      </c>
      <c r="D38" s="1"/>
      <c r="E38" s="1" t="s">
        <v>1340</v>
      </c>
      <c r="F38" s="1" t="s">
        <v>766</v>
      </c>
      <c r="G38" s="1">
        <v>51130000</v>
      </c>
      <c r="H38" s="1" t="s">
        <v>1362</v>
      </c>
      <c r="I38" s="361">
        <v>1775000</v>
      </c>
      <c r="J38" s="1" t="s">
        <v>1342</v>
      </c>
    </row>
    <row r="39" spans="1:10">
      <c r="A39" s="179">
        <v>45999</v>
      </c>
      <c r="B39" s="1" t="s">
        <v>1212</v>
      </c>
      <c r="C39" s="1" t="s">
        <v>1213</v>
      </c>
      <c r="D39" s="1"/>
      <c r="E39" s="1" t="s">
        <v>1340</v>
      </c>
      <c r="F39" s="1" t="s">
        <v>924</v>
      </c>
      <c r="G39" s="1">
        <v>51140000</v>
      </c>
      <c r="H39" s="1" t="s">
        <v>1355</v>
      </c>
      <c r="I39" s="361">
        <v>230070</v>
      </c>
      <c r="J39" s="1" t="s">
        <v>1342</v>
      </c>
    </row>
    <row r="40" spans="1:10">
      <c r="A40" s="179">
        <v>45999</v>
      </c>
      <c r="B40" s="1" t="s">
        <v>1154</v>
      </c>
      <c r="C40" s="1" t="s">
        <v>1214</v>
      </c>
      <c r="D40" s="1"/>
      <c r="E40" s="1" t="s">
        <v>1340</v>
      </c>
      <c r="F40" s="1" t="s">
        <v>661</v>
      </c>
      <c r="G40" s="1">
        <v>41110000</v>
      </c>
      <c r="H40" s="1" t="s">
        <v>1372</v>
      </c>
      <c r="I40" s="361">
        <v>459949</v>
      </c>
      <c r="J40" s="1" t="s">
        <v>1342</v>
      </c>
    </row>
    <row r="41" spans="1:10">
      <c r="A41" s="179">
        <v>45999</v>
      </c>
      <c r="B41" s="1" t="s">
        <v>1215</v>
      </c>
      <c r="C41" s="1" t="s">
        <v>1216</v>
      </c>
      <c r="D41" s="1"/>
      <c r="E41" s="1" t="s">
        <v>1340</v>
      </c>
      <c r="F41" s="1" t="s">
        <v>665</v>
      </c>
      <c r="G41" s="1">
        <v>42270000</v>
      </c>
      <c r="H41" s="1" t="s">
        <v>1365</v>
      </c>
      <c r="I41" s="361">
        <v>107320</v>
      </c>
      <c r="J41" s="1" t="s">
        <v>1342</v>
      </c>
    </row>
    <row r="42" spans="1:10">
      <c r="A42" s="179">
        <v>45999</v>
      </c>
      <c r="B42" s="1" t="s">
        <v>1217</v>
      </c>
      <c r="C42" s="1" t="s">
        <v>1218</v>
      </c>
      <c r="D42" s="1"/>
      <c r="E42" s="1" t="s">
        <v>1340</v>
      </c>
      <c r="F42" s="1" t="s">
        <v>1374</v>
      </c>
      <c r="G42" s="1">
        <v>51100000</v>
      </c>
      <c r="H42" s="1" t="s">
        <v>1363</v>
      </c>
      <c r="I42" s="361">
        <v>900000</v>
      </c>
      <c r="J42" s="1" t="s">
        <v>1342</v>
      </c>
    </row>
    <row r="43" spans="1:10">
      <c r="A43" s="179">
        <v>45999</v>
      </c>
      <c r="B43" s="1" t="s">
        <v>1219</v>
      </c>
      <c r="C43" s="1" t="s">
        <v>1220</v>
      </c>
      <c r="D43" s="1"/>
      <c r="E43" s="1" t="s">
        <v>1340</v>
      </c>
      <c r="F43" s="1" t="s">
        <v>762</v>
      </c>
      <c r="G43" s="1">
        <v>51100000</v>
      </c>
      <c r="H43" s="1" t="s">
        <v>1363</v>
      </c>
      <c r="I43" s="361">
        <v>1840000</v>
      </c>
      <c r="J43" s="1" t="s">
        <v>1342</v>
      </c>
    </row>
    <row r="44" spans="1:10">
      <c r="A44" s="179">
        <v>45999</v>
      </c>
      <c r="B44" s="1" t="s">
        <v>1221</v>
      </c>
      <c r="C44" s="1" t="s">
        <v>1222</v>
      </c>
      <c r="D44" s="1"/>
      <c r="E44" s="1" t="s">
        <v>1340</v>
      </c>
      <c r="F44" s="1" t="s">
        <v>1356</v>
      </c>
      <c r="G44" s="1">
        <v>41100000</v>
      </c>
      <c r="H44" s="1" t="s">
        <v>1375</v>
      </c>
      <c r="I44" s="361">
        <v>118000</v>
      </c>
      <c r="J44" s="1" t="s">
        <v>1342</v>
      </c>
    </row>
    <row r="45" spans="1:10">
      <c r="A45" s="179">
        <v>45999</v>
      </c>
      <c r="B45" s="1" t="s">
        <v>1223</v>
      </c>
      <c r="C45" s="1" t="s">
        <v>1224</v>
      </c>
      <c r="D45" s="1"/>
      <c r="E45" s="1" t="s">
        <v>1340</v>
      </c>
      <c r="F45" s="1" t="s">
        <v>768</v>
      </c>
      <c r="G45" s="1">
        <v>51100000</v>
      </c>
      <c r="H45" s="1" t="s">
        <v>1363</v>
      </c>
      <c r="I45" s="361">
        <v>185220</v>
      </c>
      <c r="J45" s="1" t="s">
        <v>1342</v>
      </c>
    </row>
    <row r="46" spans="1:10">
      <c r="A46" s="179">
        <v>45999</v>
      </c>
      <c r="B46" s="1" t="s">
        <v>1225</v>
      </c>
      <c r="C46" s="1" t="s">
        <v>1226</v>
      </c>
      <c r="D46" s="1"/>
      <c r="E46" s="1" t="s">
        <v>1340</v>
      </c>
      <c r="F46" s="1" t="s">
        <v>743</v>
      </c>
      <c r="G46" s="1">
        <v>51100000</v>
      </c>
      <c r="H46" s="1" t="s">
        <v>1363</v>
      </c>
      <c r="I46" s="361">
        <v>240000</v>
      </c>
      <c r="J46" s="1" t="s">
        <v>1342</v>
      </c>
    </row>
    <row r="47" spans="1:10">
      <c r="A47" s="179">
        <v>45999</v>
      </c>
      <c r="B47" s="1" t="s">
        <v>1227</v>
      </c>
      <c r="C47" s="1" t="s">
        <v>1228</v>
      </c>
      <c r="D47" s="1"/>
      <c r="E47" s="1" t="s">
        <v>1340</v>
      </c>
      <c r="F47" s="1" t="s">
        <v>1376</v>
      </c>
      <c r="G47" s="1">
        <v>76120000</v>
      </c>
      <c r="H47" s="1" t="s">
        <v>1377</v>
      </c>
      <c r="I47" s="361">
        <v>720000</v>
      </c>
      <c r="J47" s="1" t="s">
        <v>1342</v>
      </c>
    </row>
    <row r="48" spans="1:10">
      <c r="A48" s="179">
        <v>45999</v>
      </c>
      <c r="B48" s="1" t="s">
        <v>1229</v>
      </c>
      <c r="C48" s="1" t="s">
        <v>1230</v>
      </c>
      <c r="D48" s="1"/>
      <c r="E48" s="1" t="s">
        <v>1340</v>
      </c>
      <c r="F48" s="1" t="s">
        <v>666</v>
      </c>
      <c r="G48" s="1">
        <v>41110000</v>
      </c>
      <c r="H48" s="1" t="s">
        <v>1372</v>
      </c>
      <c r="I48" s="361">
        <v>1087680</v>
      </c>
      <c r="J48" s="1" t="s">
        <v>1342</v>
      </c>
    </row>
    <row r="49" spans="1:10">
      <c r="A49" s="179">
        <v>45999</v>
      </c>
      <c r="B49" s="1" t="s">
        <v>1231</v>
      </c>
      <c r="C49" s="1" t="s">
        <v>1232</v>
      </c>
      <c r="D49" s="1"/>
      <c r="E49" s="1" t="s">
        <v>1340</v>
      </c>
      <c r="F49" s="1" t="s">
        <v>1366</v>
      </c>
      <c r="G49" s="1">
        <v>41110000</v>
      </c>
      <c r="H49" s="1" t="s">
        <v>1372</v>
      </c>
      <c r="I49" s="361">
        <v>148531.44</v>
      </c>
      <c r="J49" s="1" t="s">
        <v>1342</v>
      </c>
    </row>
    <row r="50" spans="1:10">
      <c r="A50" s="179">
        <v>45999</v>
      </c>
      <c r="B50" s="1" t="s">
        <v>1233</v>
      </c>
      <c r="C50" s="1" t="s">
        <v>1234</v>
      </c>
      <c r="D50" s="1"/>
      <c r="E50" s="1" t="s">
        <v>1340</v>
      </c>
      <c r="F50" s="1" t="s">
        <v>686</v>
      </c>
      <c r="G50" s="1">
        <v>51140000</v>
      </c>
      <c r="H50" s="1" t="s">
        <v>1355</v>
      </c>
      <c r="I50" s="361">
        <v>250000</v>
      </c>
      <c r="J50" s="1" t="s">
        <v>1342</v>
      </c>
    </row>
    <row r="51" spans="1:10">
      <c r="A51" s="179">
        <v>45999</v>
      </c>
      <c r="B51" s="1" t="s">
        <v>1235</v>
      </c>
      <c r="C51" s="1" t="s">
        <v>1236</v>
      </c>
      <c r="D51" s="1"/>
      <c r="E51" s="1" t="s">
        <v>1340</v>
      </c>
      <c r="F51" s="1" t="s">
        <v>689</v>
      </c>
      <c r="G51" s="1">
        <v>41110000</v>
      </c>
      <c r="H51" s="1" t="s">
        <v>1372</v>
      </c>
      <c r="I51" s="361">
        <v>230751</v>
      </c>
      <c r="J51" s="1" t="s">
        <v>1342</v>
      </c>
    </row>
    <row r="52" spans="1:10">
      <c r="A52" s="179">
        <v>45999</v>
      </c>
      <c r="B52" s="1" t="s">
        <v>1237</v>
      </c>
      <c r="C52" s="1" t="s">
        <v>1236</v>
      </c>
      <c r="D52" s="1"/>
      <c r="E52" s="1" t="s">
        <v>1340</v>
      </c>
      <c r="F52" s="1" t="s">
        <v>688</v>
      </c>
      <c r="G52" s="1">
        <v>41110000</v>
      </c>
      <c r="H52" s="1" t="s">
        <v>1372</v>
      </c>
      <c r="I52" s="361">
        <v>414584</v>
      </c>
      <c r="J52" s="1" t="s">
        <v>1342</v>
      </c>
    </row>
    <row r="53" spans="1:10">
      <c r="A53" s="179">
        <v>45999</v>
      </c>
      <c r="B53" s="1" t="s">
        <v>1238</v>
      </c>
      <c r="C53" s="1" t="s">
        <v>1239</v>
      </c>
      <c r="D53" s="1"/>
      <c r="E53" s="1" t="s">
        <v>1340</v>
      </c>
      <c r="F53" s="1" t="s">
        <v>918</v>
      </c>
      <c r="G53" s="1">
        <v>41110000</v>
      </c>
      <c r="H53" s="1" t="s">
        <v>1372</v>
      </c>
      <c r="I53" s="361">
        <v>390060.46</v>
      </c>
      <c r="J53" s="1" t="s">
        <v>1342</v>
      </c>
    </row>
    <row r="54" spans="1:10">
      <c r="A54" s="179">
        <v>46000</v>
      </c>
      <c r="B54" s="1" t="s">
        <v>1240</v>
      </c>
      <c r="C54" s="1" t="s">
        <v>1241</v>
      </c>
      <c r="D54" s="1"/>
      <c r="E54" s="1" t="s">
        <v>1340</v>
      </c>
      <c r="F54" s="1" t="s">
        <v>896</v>
      </c>
      <c r="G54" s="1">
        <v>42270000</v>
      </c>
      <c r="H54" s="1" t="s">
        <v>1365</v>
      </c>
      <c r="I54" s="361">
        <v>1575000</v>
      </c>
      <c r="J54" s="1" t="s">
        <v>1342</v>
      </c>
    </row>
    <row r="55" spans="1:10">
      <c r="A55" s="179">
        <v>46000</v>
      </c>
      <c r="B55" s="1" t="s">
        <v>1242</v>
      </c>
      <c r="C55" s="1" t="s">
        <v>1243</v>
      </c>
      <c r="D55" s="1"/>
      <c r="E55" s="1" t="s">
        <v>1340</v>
      </c>
      <c r="F55" s="1" t="s">
        <v>686</v>
      </c>
      <c r="G55" s="1">
        <v>42140000</v>
      </c>
      <c r="H55" s="1" t="s">
        <v>1351</v>
      </c>
      <c r="I55" s="361">
        <v>934560</v>
      </c>
      <c r="J55" s="1" t="s">
        <v>1342</v>
      </c>
    </row>
    <row r="56" spans="1:10">
      <c r="A56" s="179">
        <v>46000</v>
      </c>
      <c r="B56" s="1" t="s">
        <v>1244</v>
      </c>
      <c r="C56" s="1" t="s">
        <v>1245</v>
      </c>
      <c r="D56" s="1"/>
      <c r="E56" s="1" t="s">
        <v>1340</v>
      </c>
      <c r="F56" s="1" t="s">
        <v>910</v>
      </c>
      <c r="G56" s="1">
        <v>52130000</v>
      </c>
      <c r="H56" s="1" t="s">
        <v>1378</v>
      </c>
      <c r="I56" s="361">
        <v>175734</v>
      </c>
      <c r="J56" s="1" t="s">
        <v>1342</v>
      </c>
    </row>
    <row r="57" spans="1:10">
      <c r="A57" s="179">
        <v>46000</v>
      </c>
      <c r="B57" s="1" t="s">
        <v>1246</v>
      </c>
      <c r="C57" s="1" t="s">
        <v>1247</v>
      </c>
      <c r="D57" s="1"/>
      <c r="E57" s="1" t="s">
        <v>1340</v>
      </c>
      <c r="F57" s="1" t="s">
        <v>1379</v>
      </c>
      <c r="G57" s="1">
        <v>52160000</v>
      </c>
      <c r="H57" s="1" t="s">
        <v>1380</v>
      </c>
      <c r="I57" s="361">
        <v>15576</v>
      </c>
      <c r="J57" s="1" t="s">
        <v>1342</v>
      </c>
    </row>
    <row r="58" spans="1:10">
      <c r="A58" s="179">
        <v>46000</v>
      </c>
      <c r="B58" s="1" t="s">
        <v>1248</v>
      </c>
      <c r="C58" s="1" t="s">
        <v>1249</v>
      </c>
      <c r="D58" s="1"/>
      <c r="E58" s="1" t="s">
        <v>1340</v>
      </c>
      <c r="F58" s="1" t="s">
        <v>906</v>
      </c>
      <c r="G58" s="1">
        <v>42130000</v>
      </c>
      <c r="H58" s="1" t="s">
        <v>1359</v>
      </c>
      <c r="I58" s="361">
        <v>123900</v>
      </c>
      <c r="J58" s="1" t="s">
        <v>1342</v>
      </c>
    </row>
    <row r="59" spans="1:10">
      <c r="A59" s="179">
        <v>46000</v>
      </c>
      <c r="B59" s="1" t="s">
        <v>1250</v>
      </c>
      <c r="C59" s="1" t="s">
        <v>1251</v>
      </c>
      <c r="D59" s="1"/>
      <c r="E59" s="1" t="s">
        <v>1340</v>
      </c>
      <c r="F59" s="1" t="s">
        <v>677</v>
      </c>
      <c r="G59" s="1">
        <v>51120000</v>
      </c>
      <c r="H59" s="1" t="s">
        <v>1381</v>
      </c>
      <c r="I59" s="361">
        <v>237500</v>
      </c>
      <c r="J59" s="1" t="s">
        <v>1342</v>
      </c>
    </row>
    <row r="60" spans="1:10">
      <c r="A60" s="179">
        <v>46001</v>
      </c>
      <c r="B60" s="1" t="s">
        <v>1252</v>
      </c>
      <c r="C60" s="1" t="s">
        <v>1253</v>
      </c>
      <c r="D60" s="1"/>
      <c r="E60" s="1" t="s">
        <v>1340</v>
      </c>
      <c r="F60" s="1" t="s">
        <v>686</v>
      </c>
      <c r="G60" s="1">
        <v>42270000</v>
      </c>
      <c r="H60" s="1" t="s">
        <v>1365</v>
      </c>
      <c r="I60" s="361">
        <v>262243</v>
      </c>
      <c r="J60" s="1" t="s">
        <v>1342</v>
      </c>
    </row>
    <row r="61" spans="1:10">
      <c r="A61" s="179">
        <v>46001</v>
      </c>
      <c r="B61" s="1" t="s">
        <v>1254</v>
      </c>
      <c r="C61" s="1" t="s">
        <v>1255</v>
      </c>
      <c r="D61" s="1"/>
      <c r="E61" s="1" t="s">
        <v>1340</v>
      </c>
      <c r="F61" s="1" t="s">
        <v>1356</v>
      </c>
      <c r="G61" s="1">
        <v>42310000</v>
      </c>
      <c r="H61" s="1" t="s">
        <v>1382</v>
      </c>
      <c r="I61" s="361">
        <v>271375</v>
      </c>
      <c r="J61" s="1" t="s">
        <v>1342</v>
      </c>
    </row>
    <row r="62" spans="1:10">
      <c r="A62" s="179">
        <v>46001</v>
      </c>
      <c r="B62" s="1" t="s">
        <v>1256</v>
      </c>
      <c r="C62" s="1" t="s">
        <v>1257</v>
      </c>
      <c r="D62" s="1"/>
      <c r="E62" s="1" t="s">
        <v>1340</v>
      </c>
      <c r="F62" s="1" t="s">
        <v>1356</v>
      </c>
      <c r="G62" s="1">
        <v>41100000</v>
      </c>
      <c r="H62" s="1" t="s">
        <v>1375</v>
      </c>
      <c r="I62" s="361">
        <v>236000</v>
      </c>
      <c r="J62" s="1" t="s">
        <v>1342</v>
      </c>
    </row>
    <row r="63" spans="1:10">
      <c r="A63" s="179">
        <v>46001</v>
      </c>
      <c r="B63" s="1" t="s">
        <v>1258</v>
      </c>
      <c r="C63" s="1" t="s">
        <v>1259</v>
      </c>
      <c r="D63" s="1"/>
      <c r="E63" s="1" t="s">
        <v>1340</v>
      </c>
      <c r="F63" s="1" t="s">
        <v>687</v>
      </c>
      <c r="G63" s="1">
        <v>41110000</v>
      </c>
      <c r="H63" s="1" t="s">
        <v>1372</v>
      </c>
      <c r="I63" s="361">
        <v>16605</v>
      </c>
      <c r="J63" s="1" t="s">
        <v>1342</v>
      </c>
    </row>
    <row r="64" spans="1:10">
      <c r="A64" s="179">
        <v>46001</v>
      </c>
      <c r="B64" s="1" t="s">
        <v>1260</v>
      </c>
      <c r="C64" s="1" t="s">
        <v>1261</v>
      </c>
      <c r="D64" s="1"/>
      <c r="E64" s="1" t="s">
        <v>1340</v>
      </c>
      <c r="F64" s="1" t="s">
        <v>922</v>
      </c>
      <c r="G64" s="1">
        <v>51160000</v>
      </c>
      <c r="H64" s="1" t="s">
        <v>1383</v>
      </c>
      <c r="I64" s="361">
        <v>225000</v>
      </c>
      <c r="J64" s="1" t="s">
        <v>1342</v>
      </c>
    </row>
    <row r="65" spans="1:10">
      <c r="A65" s="179">
        <v>46001</v>
      </c>
      <c r="B65" s="1" t="s">
        <v>1262</v>
      </c>
      <c r="C65" s="1" t="s">
        <v>1263</v>
      </c>
      <c r="D65" s="1"/>
      <c r="E65" s="1" t="s">
        <v>1340</v>
      </c>
      <c r="F65" s="1" t="s">
        <v>674</v>
      </c>
      <c r="G65" s="1">
        <v>41110000</v>
      </c>
      <c r="H65" s="1" t="s">
        <v>1372</v>
      </c>
      <c r="I65" s="361">
        <v>8645</v>
      </c>
      <c r="J65" s="1" t="s">
        <v>1342</v>
      </c>
    </row>
    <row r="66" spans="1:10">
      <c r="A66" s="179">
        <v>46001</v>
      </c>
      <c r="B66" s="1" t="s">
        <v>1264</v>
      </c>
      <c r="C66" s="1" t="s">
        <v>1265</v>
      </c>
      <c r="D66" s="1"/>
      <c r="E66" s="1" t="s">
        <v>1340</v>
      </c>
      <c r="F66" s="1" t="s">
        <v>675</v>
      </c>
      <c r="G66" s="1">
        <v>51110000</v>
      </c>
      <c r="H66" s="1" t="s">
        <v>1367</v>
      </c>
      <c r="I66" s="361">
        <v>545820</v>
      </c>
      <c r="J66" s="1" t="s">
        <v>1342</v>
      </c>
    </row>
    <row r="67" spans="1:10">
      <c r="A67" s="179">
        <v>46001</v>
      </c>
      <c r="B67" s="1" t="s">
        <v>1266</v>
      </c>
      <c r="C67" s="1" t="s">
        <v>1267</v>
      </c>
      <c r="D67" s="1"/>
      <c r="E67" s="1" t="s">
        <v>1340</v>
      </c>
      <c r="F67" s="1" t="s">
        <v>1384</v>
      </c>
      <c r="G67" s="1">
        <v>42240000</v>
      </c>
      <c r="H67" s="1" t="s">
        <v>1385</v>
      </c>
      <c r="I67" s="361">
        <v>389400</v>
      </c>
      <c r="J67" s="1" t="s">
        <v>1342</v>
      </c>
    </row>
    <row r="68" spans="1:10">
      <c r="A68" s="179">
        <v>46001</v>
      </c>
      <c r="B68" s="1" t="s">
        <v>1268</v>
      </c>
      <c r="C68" s="1" t="s">
        <v>1269</v>
      </c>
      <c r="D68" s="1"/>
      <c r="E68" s="1" t="s">
        <v>1340</v>
      </c>
      <c r="F68" s="1" t="s">
        <v>663</v>
      </c>
      <c r="G68" s="1">
        <v>14120000</v>
      </c>
      <c r="H68" s="1" t="s">
        <v>1386</v>
      </c>
      <c r="I68" s="361">
        <v>31152</v>
      </c>
      <c r="J68" s="1" t="s">
        <v>1342</v>
      </c>
    </row>
    <row r="69" spans="1:10">
      <c r="A69" s="179">
        <v>46001</v>
      </c>
      <c r="B69" s="1" t="s">
        <v>1270</v>
      </c>
      <c r="C69" s="1" t="s">
        <v>1271</v>
      </c>
      <c r="D69" s="1"/>
      <c r="E69" s="1" t="s">
        <v>1340</v>
      </c>
      <c r="F69" s="1" t="s">
        <v>1387</v>
      </c>
      <c r="G69" s="1">
        <v>42260000</v>
      </c>
      <c r="H69" s="1" t="s">
        <v>1388</v>
      </c>
      <c r="I69" s="361">
        <v>241200</v>
      </c>
      <c r="J69" s="1" t="s">
        <v>1342</v>
      </c>
    </row>
    <row r="70" spans="1:10">
      <c r="A70" s="179">
        <v>46001</v>
      </c>
      <c r="B70" s="1" t="s">
        <v>1272</v>
      </c>
      <c r="C70" s="1" t="s">
        <v>1273</v>
      </c>
      <c r="D70" s="1"/>
      <c r="E70" s="1" t="s">
        <v>1340</v>
      </c>
      <c r="F70" s="1" t="s">
        <v>917</v>
      </c>
      <c r="G70" s="1">
        <v>42180000</v>
      </c>
      <c r="H70" s="1" t="s">
        <v>1354</v>
      </c>
      <c r="I70" s="361">
        <v>271875</v>
      </c>
      <c r="J70" s="1" t="s">
        <v>1342</v>
      </c>
    </row>
    <row r="71" spans="1:10">
      <c r="A71" s="179">
        <v>46001</v>
      </c>
      <c r="B71" s="1" t="s">
        <v>1274</v>
      </c>
      <c r="C71" s="1" t="s">
        <v>1275</v>
      </c>
      <c r="D71" s="1"/>
      <c r="E71" s="1" t="s">
        <v>1340</v>
      </c>
      <c r="F71" s="1" t="s">
        <v>905</v>
      </c>
      <c r="G71" s="1">
        <v>51140000</v>
      </c>
      <c r="H71" s="1" t="s">
        <v>1355</v>
      </c>
      <c r="I71" s="361">
        <v>199000</v>
      </c>
      <c r="J71" s="1" t="s">
        <v>1342</v>
      </c>
    </row>
    <row r="72" spans="1:10">
      <c r="A72" s="179">
        <v>46002</v>
      </c>
      <c r="B72" s="1" t="s">
        <v>1276</v>
      </c>
      <c r="C72" s="1" t="s">
        <v>1277</v>
      </c>
      <c r="D72" s="1"/>
      <c r="E72" s="1" t="s">
        <v>1340</v>
      </c>
      <c r="F72" s="1" t="s">
        <v>665</v>
      </c>
      <c r="G72" s="1">
        <v>42180000</v>
      </c>
      <c r="H72" s="1" t="s">
        <v>1354</v>
      </c>
      <c r="I72" s="361">
        <v>7684</v>
      </c>
      <c r="J72" s="1" t="s">
        <v>1342</v>
      </c>
    </row>
    <row r="73" spans="1:10">
      <c r="A73" s="179">
        <v>46006</v>
      </c>
      <c r="B73" s="1" t="s">
        <v>1278</v>
      </c>
      <c r="C73" s="1" t="s">
        <v>1279</v>
      </c>
      <c r="D73" s="1"/>
      <c r="E73" s="1" t="s">
        <v>1340</v>
      </c>
      <c r="F73" s="1" t="s">
        <v>674</v>
      </c>
      <c r="G73" s="1">
        <v>42280000</v>
      </c>
      <c r="H73" s="1" t="s">
        <v>1389</v>
      </c>
      <c r="I73" s="361">
        <v>58292</v>
      </c>
      <c r="J73" s="1" t="s">
        <v>1342</v>
      </c>
    </row>
    <row r="74" spans="1:10">
      <c r="A74" s="179">
        <v>46006</v>
      </c>
      <c r="B74" s="1" t="s">
        <v>1280</v>
      </c>
      <c r="C74" s="1" t="s">
        <v>1281</v>
      </c>
      <c r="D74" s="1"/>
      <c r="E74" s="1" t="s">
        <v>1340</v>
      </c>
      <c r="F74" s="1" t="s">
        <v>922</v>
      </c>
      <c r="G74" s="1">
        <v>51160000</v>
      </c>
      <c r="H74" s="1" t="s">
        <v>1383</v>
      </c>
      <c r="I74" s="361">
        <v>225000</v>
      </c>
      <c r="J74" s="1" t="s">
        <v>1342</v>
      </c>
    </row>
    <row r="75" spans="1:10">
      <c r="A75" s="179">
        <v>46006</v>
      </c>
      <c r="B75" s="1" t="s">
        <v>1282</v>
      </c>
      <c r="C75" s="1" t="s">
        <v>1283</v>
      </c>
      <c r="D75" s="1"/>
      <c r="E75" s="1" t="s">
        <v>1340</v>
      </c>
      <c r="F75" s="1" t="s">
        <v>717</v>
      </c>
      <c r="G75" s="1">
        <v>51140000</v>
      </c>
      <c r="H75" s="1" t="s">
        <v>1355</v>
      </c>
      <c r="I75" s="361">
        <v>250000</v>
      </c>
      <c r="J75" s="1" t="s">
        <v>1342</v>
      </c>
    </row>
    <row r="76" spans="1:10">
      <c r="A76" s="179">
        <v>46007</v>
      </c>
      <c r="B76" s="1" t="s">
        <v>1284</v>
      </c>
      <c r="C76" s="1" t="s">
        <v>1285</v>
      </c>
      <c r="D76" s="1"/>
      <c r="E76" s="1" t="s">
        <v>1340</v>
      </c>
      <c r="F76" s="1" t="s">
        <v>674</v>
      </c>
      <c r="G76" s="1">
        <v>41110000</v>
      </c>
      <c r="H76" s="1" t="s">
        <v>1372</v>
      </c>
      <c r="I76" s="361">
        <v>100755</v>
      </c>
      <c r="J76" s="1" t="s">
        <v>1342</v>
      </c>
    </row>
    <row r="77" spans="1:10">
      <c r="A77" s="179">
        <v>46007</v>
      </c>
      <c r="B77" s="1" t="s">
        <v>1286</v>
      </c>
      <c r="C77" s="1" t="s">
        <v>1287</v>
      </c>
      <c r="D77" s="1"/>
      <c r="E77" s="1" t="s">
        <v>1340</v>
      </c>
      <c r="F77" s="1" t="s">
        <v>660</v>
      </c>
      <c r="G77" s="1">
        <v>47130000</v>
      </c>
      <c r="H77" s="1" t="s">
        <v>1390</v>
      </c>
      <c r="I77" s="361">
        <v>47436</v>
      </c>
      <c r="J77" s="1" t="s">
        <v>1342</v>
      </c>
    </row>
    <row r="78" spans="1:10">
      <c r="A78" s="179">
        <v>46007</v>
      </c>
      <c r="B78" s="1" t="s">
        <v>1288</v>
      </c>
      <c r="C78" s="1" t="s">
        <v>1289</v>
      </c>
      <c r="D78" s="1"/>
      <c r="E78" s="1" t="s">
        <v>1340</v>
      </c>
      <c r="F78" s="1" t="s">
        <v>921</v>
      </c>
      <c r="G78" s="1">
        <v>42140000</v>
      </c>
      <c r="H78" s="1" t="s">
        <v>1351</v>
      </c>
      <c r="I78" s="361">
        <v>184936</v>
      </c>
      <c r="J78" s="1" t="s">
        <v>1342</v>
      </c>
    </row>
    <row r="79" spans="1:10">
      <c r="A79" s="179">
        <v>46007</v>
      </c>
      <c r="B79" s="1" t="s">
        <v>1284</v>
      </c>
      <c r="C79" s="1" t="s">
        <v>1290</v>
      </c>
      <c r="D79" s="1"/>
      <c r="E79" s="1" t="s">
        <v>1340</v>
      </c>
      <c r="F79" s="1" t="s">
        <v>921</v>
      </c>
      <c r="G79" s="1">
        <v>51100000</v>
      </c>
      <c r="H79" s="1" t="s">
        <v>1363</v>
      </c>
      <c r="I79" s="361">
        <v>109298</v>
      </c>
      <c r="J79" s="1" t="s">
        <v>1342</v>
      </c>
    </row>
    <row r="80" spans="1:10">
      <c r="A80" s="179">
        <v>46007</v>
      </c>
      <c r="B80" s="1" t="s">
        <v>1291</v>
      </c>
      <c r="C80" s="1" t="s">
        <v>1292</v>
      </c>
      <c r="D80" s="1"/>
      <c r="E80" s="1" t="s">
        <v>1340</v>
      </c>
      <c r="F80" s="1" t="s">
        <v>921</v>
      </c>
      <c r="G80" s="1">
        <v>42140000</v>
      </c>
      <c r="H80" s="1" t="s">
        <v>1351</v>
      </c>
      <c r="I80" s="361">
        <v>293820</v>
      </c>
      <c r="J80" s="1" t="s">
        <v>1342</v>
      </c>
    </row>
    <row r="81" spans="1:10">
      <c r="A81" s="179">
        <v>46007</v>
      </c>
      <c r="B81" s="1" t="s">
        <v>1293</v>
      </c>
      <c r="C81" s="1" t="s">
        <v>1294</v>
      </c>
      <c r="D81" s="1"/>
      <c r="E81" s="1" t="s">
        <v>1340</v>
      </c>
      <c r="F81" s="1" t="s">
        <v>798</v>
      </c>
      <c r="G81" s="1">
        <v>78100000</v>
      </c>
      <c r="H81" s="1" t="s">
        <v>1391</v>
      </c>
      <c r="I81" s="361">
        <v>128000</v>
      </c>
      <c r="J81" s="1" t="s">
        <v>1342</v>
      </c>
    </row>
    <row r="82" spans="1:10">
      <c r="A82" s="179">
        <v>46008</v>
      </c>
      <c r="B82" s="1" t="s">
        <v>1295</v>
      </c>
      <c r="C82" s="1" t="s">
        <v>1296</v>
      </c>
      <c r="D82" s="1"/>
      <c r="E82" s="1" t="s">
        <v>1340</v>
      </c>
      <c r="F82" s="1"/>
      <c r="G82" s="1">
        <v>50100000</v>
      </c>
      <c r="H82" s="1" t="s">
        <v>1392</v>
      </c>
      <c r="I82" s="125"/>
      <c r="J82" s="1" t="s">
        <v>1393</v>
      </c>
    </row>
    <row r="83" spans="1:10">
      <c r="A83" s="179">
        <v>46008</v>
      </c>
      <c r="B83" s="1" t="s">
        <v>1297</v>
      </c>
      <c r="C83" s="1" t="s">
        <v>1298</v>
      </c>
      <c r="D83" s="1"/>
      <c r="E83" s="1" t="s">
        <v>1340</v>
      </c>
      <c r="F83" s="1" t="s">
        <v>926</v>
      </c>
      <c r="G83" s="1">
        <v>51160000</v>
      </c>
      <c r="H83" s="1" t="s">
        <v>1383</v>
      </c>
      <c r="I83" s="361">
        <v>263600</v>
      </c>
      <c r="J83" s="1" t="s">
        <v>1342</v>
      </c>
    </row>
    <row r="84" spans="1:10">
      <c r="A84" s="179">
        <v>46008</v>
      </c>
      <c r="B84" s="1" t="s">
        <v>1299</v>
      </c>
      <c r="C84" s="1" t="s">
        <v>1300</v>
      </c>
      <c r="D84" s="1"/>
      <c r="E84" s="1" t="s">
        <v>1340</v>
      </c>
      <c r="F84" s="1" t="s">
        <v>909</v>
      </c>
      <c r="G84" s="1">
        <v>50100000</v>
      </c>
      <c r="H84" s="1" t="s">
        <v>1392</v>
      </c>
      <c r="I84" s="361">
        <v>59340</v>
      </c>
      <c r="J84" s="1" t="s">
        <v>1342</v>
      </c>
    </row>
    <row r="85" spans="1:10">
      <c r="A85" s="179">
        <v>46008</v>
      </c>
      <c r="B85" s="1" t="s">
        <v>1301</v>
      </c>
      <c r="C85" s="1" t="s">
        <v>1302</v>
      </c>
      <c r="D85" s="1"/>
      <c r="E85" s="1" t="s">
        <v>1340</v>
      </c>
      <c r="F85" s="1" t="s">
        <v>1394</v>
      </c>
      <c r="G85" s="1">
        <v>51170000</v>
      </c>
      <c r="H85" s="1" t="s">
        <v>1358</v>
      </c>
      <c r="I85" s="361">
        <v>148500</v>
      </c>
      <c r="J85" s="1" t="s">
        <v>1342</v>
      </c>
    </row>
    <row r="86" spans="1:10">
      <c r="A86" s="179">
        <v>46008</v>
      </c>
      <c r="B86" s="1" t="s">
        <v>1303</v>
      </c>
      <c r="C86" s="1" t="s">
        <v>1304</v>
      </c>
      <c r="D86" s="1"/>
      <c r="E86" s="1" t="s">
        <v>1340</v>
      </c>
      <c r="F86" s="1" t="s">
        <v>896</v>
      </c>
      <c r="G86" s="1">
        <v>85160000</v>
      </c>
      <c r="H86" s="1" t="s">
        <v>1395</v>
      </c>
      <c r="I86" s="361">
        <v>910073</v>
      </c>
      <c r="J86" s="1" t="s">
        <v>1342</v>
      </c>
    </row>
    <row r="87" spans="1:10">
      <c r="A87" s="179">
        <v>46008</v>
      </c>
      <c r="B87" s="1" t="s">
        <v>1305</v>
      </c>
      <c r="C87" s="1" t="s">
        <v>1306</v>
      </c>
      <c r="D87" s="1"/>
      <c r="E87" s="1" t="s">
        <v>1340</v>
      </c>
      <c r="F87" s="1" t="s">
        <v>1396</v>
      </c>
      <c r="G87" s="1">
        <v>85160000</v>
      </c>
      <c r="H87" s="1" t="s">
        <v>1395</v>
      </c>
      <c r="I87" s="361">
        <v>513300</v>
      </c>
      <c r="J87" s="1" t="s">
        <v>1342</v>
      </c>
    </row>
    <row r="88" spans="1:10">
      <c r="A88" s="179">
        <v>46008</v>
      </c>
      <c r="B88" s="1" t="s">
        <v>1307</v>
      </c>
      <c r="C88" s="1" t="s">
        <v>1308</v>
      </c>
      <c r="D88" s="1"/>
      <c r="E88" s="1" t="s">
        <v>1340</v>
      </c>
      <c r="F88" s="1" t="s">
        <v>1397</v>
      </c>
      <c r="G88" s="1">
        <v>42270000</v>
      </c>
      <c r="H88" s="1" t="s">
        <v>1365</v>
      </c>
      <c r="I88" s="361">
        <v>1888000</v>
      </c>
      <c r="J88" s="1" t="s">
        <v>1342</v>
      </c>
    </row>
    <row r="89" spans="1:10">
      <c r="A89" s="179">
        <v>46009</v>
      </c>
      <c r="B89" s="1" t="s">
        <v>1309</v>
      </c>
      <c r="C89" s="1" t="s">
        <v>1310</v>
      </c>
      <c r="D89" s="1"/>
      <c r="E89" s="1" t="s">
        <v>1340</v>
      </c>
      <c r="F89" s="1" t="s">
        <v>1398</v>
      </c>
      <c r="G89" s="1">
        <v>42130000</v>
      </c>
      <c r="H89" s="1" t="s">
        <v>1359</v>
      </c>
      <c r="I89" s="361">
        <v>743400</v>
      </c>
      <c r="J89" s="1" t="s">
        <v>1342</v>
      </c>
    </row>
    <row r="90" spans="1:10">
      <c r="A90" s="179">
        <v>46009</v>
      </c>
      <c r="B90" s="1" t="s">
        <v>1311</v>
      </c>
      <c r="C90" s="1" t="s">
        <v>1312</v>
      </c>
      <c r="D90" s="1"/>
      <c r="E90" s="1" t="s">
        <v>1340</v>
      </c>
      <c r="F90" s="1" t="s">
        <v>912</v>
      </c>
      <c r="G90" s="1">
        <v>42130000</v>
      </c>
      <c r="H90" s="1" t="s">
        <v>1359</v>
      </c>
      <c r="I90" s="361">
        <v>1239000</v>
      </c>
      <c r="J90" s="1" t="s">
        <v>1342</v>
      </c>
    </row>
    <row r="91" spans="1:10">
      <c r="A91" s="179">
        <v>46009</v>
      </c>
      <c r="B91" s="1" t="s">
        <v>1313</v>
      </c>
      <c r="C91" s="1" t="s">
        <v>1314</v>
      </c>
      <c r="D91" s="1"/>
      <c r="E91" s="1" t="s">
        <v>1340</v>
      </c>
      <c r="F91" s="1" t="s">
        <v>918</v>
      </c>
      <c r="G91" s="1">
        <v>41100000</v>
      </c>
      <c r="H91" s="1" t="s">
        <v>1375</v>
      </c>
      <c r="I91" s="361">
        <v>48526</v>
      </c>
      <c r="J91" s="1" t="s">
        <v>1342</v>
      </c>
    </row>
    <row r="92" spans="1:10">
      <c r="A92" s="179">
        <v>46010</v>
      </c>
      <c r="B92" s="1" t="s">
        <v>1315</v>
      </c>
      <c r="C92" s="1" t="s">
        <v>1316</v>
      </c>
      <c r="D92" s="1"/>
      <c r="E92" s="1" t="s">
        <v>1340</v>
      </c>
      <c r="F92" s="1" t="s">
        <v>688</v>
      </c>
      <c r="G92" s="1">
        <v>41100000</v>
      </c>
      <c r="H92" s="1" t="s">
        <v>1375</v>
      </c>
      <c r="I92" s="361">
        <v>36400</v>
      </c>
      <c r="J92" s="1" t="s">
        <v>1342</v>
      </c>
    </row>
    <row r="93" spans="1:10">
      <c r="A93" s="179">
        <v>46010</v>
      </c>
      <c r="B93" s="1" t="s">
        <v>1317</v>
      </c>
      <c r="C93" s="1" t="s">
        <v>1316</v>
      </c>
      <c r="D93" s="1"/>
      <c r="E93" s="1" t="s">
        <v>1340</v>
      </c>
      <c r="F93" s="1" t="s">
        <v>689</v>
      </c>
      <c r="G93" s="1">
        <v>41100000</v>
      </c>
      <c r="H93" s="1" t="s">
        <v>1375</v>
      </c>
      <c r="I93" s="361">
        <v>27900</v>
      </c>
      <c r="J93" s="1" t="s">
        <v>1342</v>
      </c>
    </row>
    <row r="94" spans="1:10">
      <c r="A94" s="179">
        <v>46010</v>
      </c>
      <c r="B94" s="1" t="s">
        <v>1318</v>
      </c>
      <c r="C94" s="1" t="s">
        <v>1319</v>
      </c>
      <c r="D94" s="1"/>
      <c r="E94" s="1" t="s">
        <v>1340</v>
      </c>
      <c r="F94" s="1" t="s">
        <v>689</v>
      </c>
      <c r="G94" s="1">
        <v>41110000</v>
      </c>
      <c r="H94" s="1" t="s">
        <v>1372</v>
      </c>
      <c r="I94" s="361">
        <v>39400</v>
      </c>
      <c r="J94" s="1" t="s">
        <v>1342</v>
      </c>
    </row>
    <row r="95" spans="1:10">
      <c r="A95" s="179">
        <v>46013</v>
      </c>
      <c r="B95" s="1" t="s">
        <v>1320</v>
      </c>
      <c r="C95" s="1" t="s">
        <v>1321</v>
      </c>
      <c r="D95" s="1"/>
      <c r="E95" s="1" t="s">
        <v>1340</v>
      </c>
      <c r="F95" s="1" t="s">
        <v>1399</v>
      </c>
      <c r="G95" s="1">
        <v>42280000</v>
      </c>
      <c r="H95" s="1" t="s">
        <v>1389</v>
      </c>
      <c r="I95" s="361">
        <v>80000</v>
      </c>
      <c r="J95" s="1" t="s">
        <v>1342</v>
      </c>
    </row>
    <row r="96" spans="1:10">
      <c r="A96" s="179">
        <v>46013</v>
      </c>
      <c r="B96" s="1" t="s">
        <v>1322</v>
      </c>
      <c r="C96" s="1" t="s">
        <v>1323</v>
      </c>
      <c r="D96" s="1"/>
      <c r="E96" s="1" t="s">
        <v>1340</v>
      </c>
      <c r="F96" s="1" t="s">
        <v>922</v>
      </c>
      <c r="G96" s="1">
        <v>51140000</v>
      </c>
      <c r="H96" s="1" t="s">
        <v>1355</v>
      </c>
      <c r="I96" s="361">
        <v>270000</v>
      </c>
      <c r="J96" s="1" t="s">
        <v>1342</v>
      </c>
    </row>
    <row r="97" spans="1:10">
      <c r="A97" s="179">
        <v>46013</v>
      </c>
      <c r="B97" s="1" t="s">
        <v>1324</v>
      </c>
      <c r="C97" s="1" t="s">
        <v>1325</v>
      </c>
      <c r="D97" s="1"/>
      <c r="E97" s="1" t="s">
        <v>1340</v>
      </c>
      <c r="F97" s="1" t="s">
        <v>686</v>
      </c>
      <c r="G97" s="1">
        <v>42180000</v>
      </c>
      <c r="H97" s="1" t="s">
        <v>1354</v>
      </c>
      <c r="I97" s="361">
        <v>271046</v>
      </c>
      <c r="J97" s="1" t="s">
        <v>1342</v>
      </c>
    </row>
    <row r="98" spans="1:10">
      <c r="A98" s="179">
        <v>46013</v>
      </c>
      <c r="B98" s="1" t="s">
        <v>1326</v>
      </c>
      <c r="C98" s="1" t="s">
        <v>1327</v>
      </c>
      <c r="D98" s="1"/>
      <c r="E98" s="1" t="s">
        <v>1340</v>
      </c>
      <c r="F98" s="1" t="s">
        <v>1384</v>
      </c>
      <c r="G98" s="1">
        <v>51140000</v>
      </c>
      <c r="H98" s="1" t="s">
        <v>1355</v>
      </c>
      <c r="I98" s="361">
        <v>190000</v>
      </c>
      <c r="J98" s="1" t="s">
        <v>1342</v>
      </c>
    </row>
    <row r="99" spans="1:10">
      <c r="A99" s="179">
        <v>46013</v>
      </c>
      <c r="B99" s="1" t="s">
        <v>1328</v>
      </c>
      <c r="C99" s="1" t="s">
        <v>1329</v>
      </c>
      <c r="D99" s="1"/>
      <c r="E99" s="1" t="s">
        <v>1340</v>
      </c>
      <c r="F99" s="1" t="s">
        <v>663</v>
      </c>
      <c r="G99" s="1">
        <v>50190000</v>
      </c>
      <c r="H99" s="1" t="s">
        <v>1400</v>
      </c>
      <c r="I99" s="361">
        <v>842842.4</v>
      </c>
      <c r="J99" s="1" t="s">
        <v>1342</v>
      </c>
    </row>
    <row r="100" spans="1:10">
      <c r="A100" s="179">
        <v>46013</v>
      </c>
      <c r="B100" s="1" t="s">
        <v>1330</v>
      </c>
      <c r="C100" s="1" t="s">
        <v>1331</v>
      </c>
      <c r="D100" s="1"/>
      <c r="E100" s="1" t="s">
        <v>1340</v>
      </c>
      <c r="F100" s="1" t="s">
        <v>922</v>
      </c>
      <c r="G100" s="1">
        <v>12160000</v>
      </c>
      <c r="H100" s="1" t="s">
        <v>1401</v>
      </c>
      <c r="I100" s="361">
        <v>195000</v>
      </c>
      <c r="J100" s="1" t="s">
        <v>1342</v>
      </c>
    </row>
    <row r="101" spans="1:10">
      <c r="A101" s="179">
        <v>46014</v>
      </c>
      <c r="B101" s="1" t="s">
        <v>1332</v>
      </c>
      <c r="C101" s="1" t="s">
        <v>1333</v>
      </c>
      <c r="D101" s="1"/>
      <c r="E101" s="1" t="s">
        <v>1340</v>
      </c>
      <c r="F101" s="1" t="s">
        <v>1402</v>
      </c>
      <c r="G101" s="1">
        <v>50110000</v>
      </c>
      <c r="H101" s="1" t="s">
        <v>1403</v>
      </c>
      <c r="I101" s="361">
        <v>959900</v>
      </c>
      <c r="J101" s="1" t="s">
        <v>1342</v>
      </c>
    </row>
    <row r="102" spans="1:10">
      <c r="A102" s="179">
        <v>46014</v>
      </c>
      <c r="B102" s="1" t="s">
        <v>1334</v>
      </c>
      <c r="C102" s="1" t="s">
        <v>1335</v>
      </c>
      <c r="D102" s="1"/>
      <c r="E102" s="1" t="s">
        <v>1340</v>
      </c>
      <c r="F102" s="1" t="s">
        <v>1404</v>
      </c>
      <c r="G102" s="1">
        <v>50100000</v>
      </c>
      <c r="H102" s="1" t="s">
        <v>1392</v>
      </c>
      <c r="I102" s="361">
        <v>375475</v>
      </c>
      <c r="J102" s="1" t="s">
        <v>1342</v>
      </c>
    </row>
    <row r="103" spans="1:10">
      <c r="A103" s="179">
        <v>46014</v>
      </c>
      <c r="B103" s="1" t="s">
        <v>1336</v>
      </c>
      <c r="C103" s="1" t="s">
        <v>1337</v>
      </c>
      <c r="D103" s="1"/>
      <c r="E103" s="1" t="s">
        <v>1340</v>
      </c>
      <c r="F103" s="1" t="s">
        <v>922</v>
      </c>
      <c r="G103" s="1">
        <v>51100000</v>
      </c>
      <c r="H103" s="1" t="s">
        <v>1363</v>
      </c>
      <c r="I103" s="361">
        <v>237500</v>
      </c>
      <c r="J103" s="1" t="s">
        <v>1342</v>
      </c>
    </row>
    <row r="104" spans="1:10">
      <c r="A104" s="179">
        <v>46020</v>
      </c>
      <c r="B104" s="1" t="s">
        <v>1338</v>
      </c>
      <c r="C104" s="1" t="s">
        <v>1339</v>
      </c>
      <c r="D104" s="1"/>
      <c r="E104" s="1" t="s">
        <v>1340</v>
      </c>
      <c r="F104" s="1" t="s">
        <v>1405</v>
      </c>
      <c r="G104" s="1">
        <v>42140000</v>
      </c>
      <c r="H104" s="1" t="s">
        <v>1351</v>
      </c>
      <c r="I104" s="361">
        <v>222564.4</v>
      </c>
      <c r="J104" s="1" t="s">
        <v>1342</v>
      </c>
    </row>
    <row r="105" spans="1:10">
      <c r="I105" s="183"/>
    </row>
    <row r="106" spans="1:10" ht="15.75" thickBot="1">
      <c r="H106" s="362" t="s">
        <v>1406</v>
      </c>
      <c r="I106" s="363">
        <f>SUM(I10:I105)</f>
        <v>94810766.700000003</v>
      </c>
    </row>
    <row r="107" spans="1:10" ht="15.75" thickTop="1">
      <c r="I107" s="183"/>
    </row>
    <row r="108" spans="1:10">
      <c r="I108" s="183"/>
    </row>
    <row r="109" spans="1:10">
      <c r="I109" s="183"/>
    </row>
    <row r="110" spans="1:10">
      <c r="I110" s="183"/>
    </row>
    <row r="111" spans="1:10">
      <c r="I111" s="183"/>
    </row>
    <row r="112" spans="1:10">
      <c r="I112" s="183"/>
    </row>
    <row r="113" spans="9:9">
      <c r="I113" s="183"/>
    </row>
    <row r="114" spans="9:9">
      <c r="I114" s="183"/>
    </row>
    <row r="115" spans="9:9">
      <c r="I115" s="183"/>
    </row>
    <row r="116" spans="9:9">
      <c r="I116" s="183"/>
    </row>
    <row r="117" spans="9:9">
      <c r="I117" s="183"/>
    </row>
    <row r="118" spans="9:9">
      <c r="I118" s="183"/>
    </row>
    <row r="119" spans="9:9">
      <c r="I119" s="183"/>
    </row>
    <row r="120" spans="9:9">
      <c r="I120" s="183"/>
    </row>
    <row r="121" spans="9:9">
      <c r="I121" s="183"/>
    </row>
    <row r="122" spans="9:9">
      <c r="I122" s="183"/>
    </row>
    <row r="123" spans="9:9">
      <c r="I123" s="183"/>
    </row>
    <row r="124" spans="9:9">
      <c r="I124" s="183"/>
    </row>
    <row r="125" spans="9:9">
      <c r="I125" s="183"/>
    </row>
    <row r="126" spans="9:9">
      <c r="I126" s="183"/>
    </row>
    <row r="127" spans="9:9">
      <c r="I127" s="183"/>
    </row>
    <row r="128" spans="9:9">
      <c r="I128" s="183"/>
    </row>
    <row r="129" spans="9:9">
      <c r="I129" s="183"/>
    </row>
    <row r="130" spans="9:9">
      <c r="I130" s="183"/>
    </row>
    <row r="131" spans="9:9">
      <c r="I131" s="183"/>
    </row>
    <row r="132" spans="9:9">
      <c r="I132" s="183"/>
    </row>
    <row r="133" spans="9:9">
      <c r="I133" s="183"/>
    </row>
    <row r="134" spans="9:9">
      <c r="I134" s="183"/>
    </row>
    <row r="135" spans="9:9">
      <c r="I135" s="183"/>
    </row>
    <row r="136" spans="9:9">
      <c r="I136" s="183"/>
    </row>
    <row r="137" spans="9:9">
      <c r="I137" s="183"/>
    </row>
    <row r="138" spans="9:9">
      <c r="I138" s="183"/>
    </row>
    <row r="139" spans="9:9">
      <c r="I139" s="183"/>
    </row>
    <row r="140" spans="9:9">
      <c r="I140" s="183"/>
    </row>
    <row r="141" spans="9:9">
      <c r="I141" s="183"/>
    </row>
    <row r="142" spans="9:9">
      <c r="I142" s="183"/>
    </row>
    <row r="143" spans="9:9">
      <c r="I143" s="183"/>
    </row>
    <row r="144" spans="9:9">
      <c r="I144" s="183"/>
    </row>
    <row r="145" spans="9:9">
      <c r="I145" s="183"/>
    </row>
    <row r="146" spans="9:9">
      <c r="I146" s="183"/>
    </row>
    <row r="147" spans="9:9">
      <c r="I147" s="183"/>
    </row>
  </sheetData>
  <mergeCells count="6">
    <mergeCell ref="A8:C8"/>
    <mergeCell ref="A3:I3"/>
    <mergeCell ref="A6:I6"/>
    <mergeCell ref="A7:I7"/>
    <mergeCell ref="A4:I4"/>
    <mergeCell ref="A5:I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1"/>
  <sheetViews>
    <sheetView zoomScale="90" zoomScaleNormal="90" workbookViewId="0">
      <selection activeCell="G17" sqref="G17"/>
    </sheetView>
  </sheetViews>
  <sheetFormatPr baseColWidth="10" defaultColWidth="2.85546875" defaultRowHeight="12.75"/>
  <cols>
    <col min="1" max="1" width="5.7109375" style="3" customWidth="1"/>
    <col min="2" max="2" width="13" style="3" customWidth="1"/>
    <col min="3" max="3" width="9.42578125" style="3" customWidth="1"/>
    <col min="4" max="4" width="11.28515625" style="3" customWidth="1"/>
    <col min="5" max="5" width="12.140625" style="3" customWidth="1"/>
    <col min="6" max="6" width="46.42578125" style="3" customWidth="1"/>
    <col min="7" max="8" width="17.140625" style="3" customWidth="1"/>
    <col min="9" max="9" width="18.7109375" style="3" bestFit="1" customWidth="1"/>
    <col min="10" max="10" width="24.42578125" style="3" customWidth="1"/>
    <col min="11" max="11" width="11.42578125" style="3" customWidth="1"/>
    <col min="12" max="12" width="14.5703125" style="3" bestFit="1" customWidth="1"/>
    <col min="13" max="13" width="15" style="3" bestFit="1" customWidth="1"/>
    <col min="14" max="15" width="14.5703125" style="3" bestFit="1" customWidth="1"/>
    <col min="16" max="252" width="11.42578125" style="3" customWidth="1"/>
    <col min="253" max="253" width="3.28515625" style="3" customWidth="1"/>
    <col min="254" max="254" width="4.140625" style="3" customWidth="1"/>
    <col min="255" max="16384" width="2.85546875" style="3"/>
  </cols>
  <sheetData>
    <row r="1" spans="1:14" ht="15">
      <c r="A1" s="94" t="s">
        <v>345</v>
      </c>
      <c r="B1" s="93"/>
      <c r="C1" s="93"/>
      <c r="D1" s="93"/>
      <c r="E1" s="93"/>
      <c r="F1" s="93"/>
      <c r="G1" s="93"/>
      <c r="H1" s="93"/>
      <c r="I1" s="92"/>
      <c r="J1" s="91"/>
    </row>
    <row r="2" spans="1:14" ht="23.25">
      <c r="A2" s="413"/>
      <c r="B2" s="414"/>
      <c r="C2" s="414"/>
      <c r="D2" s="414"/>
      <c r="E2" s="414"/>
      <c r="F2" s="414"/>
      <c r="G2" s="414"/>
      <c r="H2" s="414"/>
      <c r="I2" s="90"/>
      <c r="J2" s="89"/>
    </row>
    <row r="3" spans="1:14" ht="26.25">
      <c r="A3" s="415" t="s">
        <v>344</v>
      </c>
      <c r="B3" s="416"/>
      <c r="C3" s="416"/>
      <c r="D3" s="416"/>
      <c r="E3" s="416"/>
      <c r="F3" s="416"/>
      <c r="G3" s="416"/>
      <c r="H3" s="416"/>
      <c r="I3" s="416"/>
      <c r="J3" s="417"/>
    </row>
    <row r="4" spans="1:14" s="245" customFormat="1" ht="18.75">
      <c r="A4" s="418" t="s">
        <v>420</v>
      </c>
      <c r="B4" s="419"/>
      <c r="C4" s="419"/>
      <c r="D4" s="419"/>
      <c r="E4" s="419"/>
      <c r="F4" s="419"/>
      <c r="G4" s="419"/>
      <c r="H4" s="419"/>
      <c r="I4" s="419"/>
      <c r="J4" s="420"/>
    </row>
    <row r="5" spans="1:14" ht="15">
      <c r="A5" s="421" t="s">
        <v>343</v>
      </c>
      <c r="B5" s="422"/>
      <c r="C5" s="422"/>
      <c r="D5" s="422"/>
      <c r="E5" s="422"/>
      <c r="F5" s="422"/>
      <c r="G5" s="422"/>
      <c r="H5" s="422"/>
      <c r="I5" s="422"/>
      <c r="J5" s="423"/>
    </row>
    <row r="6" spans="1:14" ht="15.75">
      <c r="A6" s="424" t="s">
        <v>657</v>
      </c>
      <c r="B6" s="425"/>
      <c r="C6" s="425"/>
      <c r="D6" s="425"/>
      <c r="E6" s="425"/>
      <c r="F6" s="425"/>
      <c r="G6" s="425"/>
      <c r="H6" s="425"/>
      <c r="I6" s="425"/>
      <c r="J6" s="426"/>
    </row>
    <row r="7" spans="1:14" ht="15.75">
      <c r="A7" s="427" t="s">
        <v>1429</v>
      </c>
      <c r="B7" s="428"/>
      <c r="C7" s="428"/>
      <c r="D7" s="428"/>
      <c r="E7" s="428"/>
      <c r="F7" s="428"/>
      <c r="G7" s="428"/>
      <c r="H7" s="428"/>
      <c r="I7" s="428"/>
      <c r="J7" s="429"/>
    </row>
    <row r="8" spans="1:14" ht="15.75">
      <c r="A8" s="88"/>
      <c r="B8" s="87"/>
      <c r="C8" s="87" t="s">
        <v>342</v>
      </c>
      <c r="D8" s="87"/>
      <c r="E8" s="87"/>
      <c r="F8" s="87"/>
      <c r="G8" s="87"/>
      <c r="H8" s="87"/>
      <c r="I8" s="87"/>
      <c r="J8" s="86"/>
    </row>
    <row r="9" spans="1:14" ht="15.75">
      <c r="A9" s="73"/>
      <c r="B9" s="72"/>
      <c r="C9" s="72"/>
      <c r="D9" s="72"/>
      <c r="E9" s="85" t="s">
        <v>341</v>
      </c>
      <c r="F9" s="60"/>
      <c r="G9" s="84"/>
      <c r="H9" s="84"/>
      <c r="I9" s="84"/>
      <c r="J9" s="59"/>
    </row>
    <row r="10" spans="1:14" ht="15.75">
      <c r="A10" s="73"/>
      <c r="B10" s="72"/>
      <c r="C10" s="72"/>
      <c r="D10" s="72"/>
      <c r="E10" s="77" t="s">
        <v>339</v>
      </c>
      <c r="F10" s="60"/>
      <c r="G10" s="74"/>
      <c r="H10" s="81" t="s">
        <v>338</v>
      </c>
      <c r="I10" s="74"/>
      <c r="J10" s="59"/>
      <c r="L10" s="121" t="s">
        <v>382</v>
      </c>
    </row>
    <row r="11" spans="1:14" ht="15.75">
      <c r="A11" s="73"/>
      <c r="B11" s="72"/>
      <c r="C11" s="72"/>
      <c r="D11" s="72"/>
      <c r="E11" s="77" t="s">
        <v>334</v>
      </c>
      <c r="F11" s="60"/>
      <c r="G11" s="74"/>
      <c r="H11" s="83"/>
      <c r="I11" s="78"/>
      <c r="J11" s="59"/>
    </row>
    <row r="12" spans="1:14" ht="15.75">
      <c r="A12" s="73"/>
      <c r="B12" s="72"/>
      <c r="C12" s="72"/>
      <c r="D12" s="72"/>
      <c r="E12" s="77" t="s">
        <v>333</v>
      </c>
      <c r="F12" s="60"/>
      <c r="G12" s="80">
        <v>2685939.809999994</v>
      </c>
      <c r="H12" s="79"/>
      <c r="I12" s="78"/>
      <c r="J12" s="59"/>
    </row>
    <row r="13" spans="1:14" ht="15.75">
      <c r="A13" s="73"/>
      <c r="B13" s="72"/>
      <c r="C13" s="72"/>
      <c r="D13" s="72"/>
      <c r="E13" s="82" t="s">
        <v>340</v>
      </c>
      <c r="F13" s="60"/>
      <c r="G13" s="78"/>
      <c r="H13" s="78"/>
      <c r="I13" s="78"/>
      <c r="J13" s="59"/>
    </row>
    <row r="14" spans="1:14" ht="15.75">
      <c r="A14" s="73"/>
      <c r="B14" s="72"/>
      <c r="C14" s="72"/>
      <c r="D14" s="72"/>
      <c r="E14" s="77" t="s">
        <v>339</v>
      </c>
      <c r="F14" s="60"/>
      <c r="G14" s="74"/>
      <c r="H14" s="81" t="s">
        <v>338</v>
      </c>
      <c r="I14" s="74"/>
      <c r="J14" s="59"/>
      <c r="L14" s="3" t="s">
        <v>337</v>
      </c>
      <c r="M14" s="3" t="s">
        <v>336</v>
      </c>
      <c r="N14" s="3" t="s">
        <v>335</v>
      </c>
    </row>
    <row r="15" spans="1:14" ht="15.75">
      <c r="A15" s="73"/>
      <c r="B15" s="72"/>
      <c r="C15" s="72"/>
      <c r="D15" s="72"/>
      <c r="E15" s="77" t="s">
        <v>334</v>
      </c>
      <c r="F15" s="60"/>
      <c r="G15" s="80">
        <f>+'INGR SEGUN ORIGEN'!E12</f>
        <v>105741368.23999999</v>
      </c>
      <c r="H15" s="79" t="s">
        <v>325</v>
      </c>
      <c r="I15" s="74"/>
      <c r="J15" s="59"/>
      <c r="L15" s="3">
        <v>2.1</v>
      </c>
      <c r="M15" s="58">
        <f>G26</f>
        <v>81717720.849999994</v>
      </c>
      <c r="N15" s="58">
        <f>H26</f>
        <v>0</v>
      </c>
    </row>
    <row r="16" spans="1:14" ht="15.75">
      <c r="A16" s="73"/>
      <c r="B16" s="72"/>
      <c r="C16" s="72"/>
      <c r="D16" s="72"/>
      <c r="E16" s="77" t="s">
        <v>333</v>
      </c>
      <c r="F16" s="60"/>
      <c r="G16" s="80">
        <f>+'INGR SEGUN ORIGEN'!E26+'INGR SEGUN ORIGEN'!E33</f>
        <v>16833212.450000003</v>
      </c>
      <c r="H16" s="79"/>
      <c r="I16" s="78"/>
      <c r="J16" s="59"/>
      <c r="L16" s="3">
        <v>2.2000000000000002</v>
      </c>
      <c r="M16" s="58">
        <f>G87</f>
        <v>13617256.389999999</v>
      </c>
      <c r="N16" s="58">
        <f>H87</f>
        <v>7601154.9300000006</v>
      </c>
    </row>
    <row r="17" spans="1:16" ht="15.75">
      <c r="A17" s="73"/>
      <c r="B17" s="72"/>
      <c r="C17" s="72"/>
      <c r="D17" s="72"/>
      <c r="E17" s="77"/>
      <c r="F17" s="60"/>
      <c r="G17" s="76"/>
      <c r="H17" s="75" t="s">
        <v>332</v>
      </c>
      <c r="I17" s="74">
        <f>+G10+G11+G12+I10+G14+G15+G16+I14+I15</f>
        <v>125260520.49999999</v>
      </c>
      <c r="J17" s="59"/>
      <c r="L17" s="3">
        <v>2.2999999999999998</v>
      </c>
      <c r="M17" s="58">
        <f>'CONS. FUENTES FINAN'!G212</f>
        <v>71708916.149999991</v>
      </c>
      <c r="N17" s="58">
        <f>'CONS. FUENTES FINAN'!H212</f>
        <v>11135613.280000001</v>
      </c>
    </row>
    <row r="18" spans="1:16" ht="15.75">
      <c r="A18" s="73"/>
      <c r="B18" s="72"/>
      <c r="C18" s="72"/>
      <c r="D18" s="72"/>
      <c r="E18" s="71"/>
      <c r="F18" s="70"/>
      <c r="G18" s="69"/>
      <c r="H18" s="69"/>
      <c r="I18" s="60"/>
      <c r="J18" s="59"/>
      <c r="L18" s="3">
        <v>2.4</v>
      </c>
      <c r="M18" s="58">
        <f>G330</f>
        <v>0</v>
      </c>
      <c r="N18" s="58">
        <f>H330</f>
        <v>16000</v>
      </c>
    </row>
    <row r="19" spans="1:16" ht="15.75">
      <c r="A19" s="68"/>
      <c r="B19" s="66"/>
      <c r="C19" s="67"/>
      <c r="D19" s="66"/>
      <c r="E19" s="65"/>
      <c r="F19" s="64"/>
      <c r="G19" s="64"/>
      <c r="H19" s="64"/>
      <c r="I19" s="63"/>
      <c r="J19" s="62"/>
      <c r="L19" s="3">
        <v>2.6</v>
      </c>
      <c r="M19" s="58">
        <f>G336</f>
        <v>17995005.589999996</v>
      </c>
      <c r="N19" s="58">
        <f>H336</f>
        <v>4350775.54</v>
      </c>
    </row>
    <row r="20" spans="1:16">
      <c r="A20" s="61"/>
      <c r="B20" s="60"/>
      <c r="C20" s="60"/>
      <c r="D20" s="60"/>
      <c r="E20" s="60"/>
      <c r="F20" s="60"/>
      <c r="G20" s="60"/>
      <c r="H20" s="60"/>
      <c r="I20" s="60"/>
      <c r="J20" s="59"/>
      <c r="L20" s="3">
        <v>2.7</v>
      </c>
      <c r="M20" s="58">
        <f>'CONS. FUENTES FINAN'!G463</f>
        <v>0</v>
      </c>
      <c r="N20" s="58">
        <f>'CONS. FUENTES FINAN'!H463</f>
        <v>0</v>
      </c>
    </row>
    <row r="21" spans="1:16">
      <c r="A21" s="430">
        <v>1</v>
      </c>
      <c r="B21" s="430"/>
      <c r="C21" s="430"/>
      <c r="D21" s="430"/>
      <c r="E21" s="430"/>
      <c r="F21" s="57">
        <v>2</v>
      </c>
      <c r="G21" s="431">
        <v>3</v>
      </c>
      <c r="H21" s="432"/>
      <c r="I21" s="56">
        <v>4</v>
      </c>
      <c r="J21" s="56">
        <v>5</v>
      </c>
    </row>
    <row r="22" spans="1:16">
      <c r="A22" s="433" t="s">
        <v>331</v>
      </c>
      <c r="B22" s="433"/>
      <c r="C22" s="433"/>
      <c r="D22" s="433"/>
      <c r="E22" s="433"/>
      <c r="F22" s="407" t="s">
        <v>330</v>
      </c>
      <c r="G22" s="410" t="s">
        <v>329</v>
      </c>
      <c r="H22" s="411"/>
      <c r="I22" s="402" t="s">
        <v>328</v>
      </c>
      <c r="J22" s="434" t="s">
        <v>72</v>
      </c>
    </row>
    <row r="23" spans="1:16" ht="29.25" customHeight="1">
      <c r="A23" s="437" t="s">
        <v>76</v>
      </c>
      <c r="B23" s="437" t="s">
        <v>75</v>
      </c>
      <c r="C23" s="437" t="s">
        <v>74</v>
      </c>
      <c r="D23" s="437" t="s">
        <v>327</v>
      </c>
      <c r="E23" s="437" t="s">
        <v>73</v>
      </c>
      <c r="F23" s="408"/>
      <c r="G23" s="405" t="s">
        <v>423</v>
      </c>
      <c r="H23" s="405" t="s">
        <v>326</v>
      </c>
      <c r="I23" s="403"/>
      <c r="J23" s="435"/>
      <c r="L23" s="412"/>
      <c r="M23" s="412"/>
      <c r="N23" s="412"/>
      <c r="O23" s="412"/>
      <c r="P23" s="412"/>
    </row>
    <row r="24" spans="1:16" ht="18.75" customHeight="1">
      <c r="A24" s="438"/>
      <c r="B24" s="438"/>
      <c r="C24" s="438"/>
      <c r="D24" s="438"/>
      <c r="E24" s="438"/>
      <c r="F24" s="409"/>
      <c r="G24" s="406"/>
      <c r="H24" s="406"/>
      <c r="I24" s="404"/>
      <c r="J24" s="436"/>
      <c r="L24" s="55"/>
      <c r="M24" s="55"/>
      <c r="N24" s="55"/>
      <c r="O24" s="55"/>
      <c r="P24" s="55"/>
    </row>
    <row r="25" spans="1:16" ht="13.5" thickBot="1">
      <c r="A25" s="54">
        <v>2</v>
      </c>
      <c r="B25" s="53"/>
      <c r="C25" s="53"/>
      <c r="D25" s="53"/>
      <c r="E25" s="53"/>
      <c r="F25" s="52" t="s">
        <v>324</v>
      </c>
      <c r="G25" s="51">
        <f>+G26+G87+G212+G330+G336+G463</f>
        <v>185038898.97999999</v>
      </c>
      <c r="H25" s="51">
        <f>+H26+H87+H212+H330+H336+H463</f>
        <v>23103543.75</v>
      </c>
      <c r="I25" s="51">
        <f t="shared" ref="I25:I88" si="0">SUM(G25:H25)</f>
        <v>208142442.72999999</v>
      </c>
      <c r="J25" s="50">
        <f>+J26+J87+J212+J330+J336+J463</f>
        <v>1</v>
      </c>
      <c r="K25" s="58"/>
    </row>
    <row r="26" spans="1:16" ht="13.5" thickTop="1">
      <c r="A26" s="49">
        <v>2</v>
      </c>
      <c r="B26" s="48">
        <v>1</v>
      </c>
      <c r="C26" s="48"/>
      <c r="D26" s="48"/>
      <c r="E26" s="48"/>
      <c r="F26" s="47" t="s">
        <v>323</v>
      </c>
      <c r="G26" s="46">
        <f>+G27+G51+G64+G71+G78</f>
        <v>81717720.849999994</v>
      </c>
      <c r="H26" s="46">
        <f>+H27+H51+H64+H71+H78</f>
        <v>0</v>
      </c>
      <c r="I26" s="46">
        <f t="shared" si="0"/>
        <v>81717720.849999994</v>
      </c>
      <c r="J26" s="19">
        <f>I26/$I$25</f>
        <v>0.39260479399678849</v>
      </c>
    </row>
    <row r="27" spans="1:16">
      <c r="A27" s="30">
        <v>2</v>
      </c>
      <c r="B27" s="22">
        <v>1</v>
      </c>
      <c r="C27" s="22">
        <v>1</v>
      </c>
      <c r="D27" s="22"/>
      <c r="E27" s="22"/>
      <c r="F27" s="30" t="s">
        <v>322</v>
      </c>
      <c r="G27" s="20">
        <f>+G28+G35+G42+G44+G46</f>
        <v>61417331.100000001</v>
      </c>
      <c r="H27" s="20">
        <f>+H28+H35+H42+H44+H46</f>
        <v>0</v>
      </c>
      <c r="I27" s="20">
        <f t="shared" si="0"/>
        <v>61417331.100000001</v>
      </c>
      <c r="J27" s="19"/>
    </row>
    <row r="28" spans="1:16">
      <c r="A28" s="16">
        <v>2</v>
      </c>
      <c r="B28" s="15">
        <v>1</v>
      </c>
      <c r="C28" s="15">
        <v>1</v>
      </c>
      <c r="D28" s="15">
        <v>1</v>
      </c>
      <c r="E28" s="15"/>
      <c r="F28" s="16" t="s">
        <v>321</v>
      </c>
      <c r="G28" s="12">
        <f>SUM(G29:G34)</f>
        <v>59174005.049999997</v>
      </c>
      <c r="H28" s="12">
        <f>SUM(H29:H34)</f>
        <v>0</v>
      </c>
      <c r="I28" s="12">
        <f t="shared" si="0"/>
        <v>59174005.049999997</v>
      </c>
      <c r="J28" s="11"/>
    </row>
    <row r="29" spans="1:16">
      <c r="A29" s="10">
        <v>2</v>
      </c>
      <c r="B29" s="9">
        <v>1</v>
      </c>
      <c r="C29" s="9">
        <v>1</v>
      </c>
      <c r="D29" s="9">
        <v>1</v>
      </c>
      <c r="E29" s="24" t="s">
        <v>44</v>
      </c>
      <c r="F29" s="10" t="s">
        <v>387</v>
      </c>
      <c r="G29" s="7">
        <f>'CUENTA T FONDO 100'!A210</f>
        <v>59174005.049999997</v>
      </c>
      <c r="H29" s="7">
        <f>'CUENTA T VS'!A498</f>
        <v>0</v>
      </c>
      <c r="I29" s="7">
        <f t="shared" si="0"/>
        <v>59174005.049999997</v>
      </c>
      <c r="J29" s="6">
        <f t="shared" ref="J29:J34" si="1">I29/$I$25</f>
        <v>0.28429571726877367</v>
      </c>
    </row>
    <row r="30" spans="1:16">
      <c r="A30" s="10">
        <v>2</v>
      </c>
      <c r="B30" s="9">
        <v>1</v>
      </c>
      <c r="C30" s="9">
        <v>1</v>
      </c>
      <c r="D30" s="9">
        <v>1</v>
      </c>
      <c r="E30" s="24" t="s">
        <v>43</v>
      </c>
      <c r="F30" s="43" t="s">
        <v>320</v>
      </c>
      <c r="G30" s="7">
        <f>'CUENTA T FONDO 100'!B210</f>
        <v>0</v>
      </c>
      <c r="H30" s="7">
        <f>'CUENTA T VS'!B498</f>
        <v>0</v>
      </c>
      <c r="I30" s="7">
        <f t="shared" si="0"/>
        <v>0</v>
      </c>
      <c r="J30" s="6">
        <f t="shared" si="1"/>
        <v>0</v>
      </c>
    </row>
    <row r="31" spans="1:16">
      <c r="A31" s="10">
        <v>2</v>
      </c>
      <c r="B31" s="9">
        <v>1</v>
      </c>
      <c r="C31" s="9">
        <v>1</v>
      </c>
      <c r="D31" s="9">
        <v>1</v>
      </c>
      <c r="E31" s="24" t="s">
        <v>104</v>
      </c>
      <c r="F31" s="43" t="s">
        <v>319</v>
      </c>
      <c r="G31" s="7">
        <f>'CUENTA T FONDO 100'!C210</f>
        <v>0</v>
      </c>
      <c r="H31" s="7">
        <f>'CUENTA T VS'!C498</f>
        <v>0</v>
      </c>
      <c r="I31" s="7">
        <f t="shared" si="0"/>
        <v>0</v>
      </c>
      <c r="J31" s="6">
        <f t="shared" si="1"/>
        <v>0</v>
      </c>
    </row>
    <row r="32" spans="1:16">
      <c r="A32" s="10">
        <v>2</v>
      </c>
      <c r="B32" s="9">
        <v>1</v>
      </c>
      <c r="C32" s="9">
        <v>1</v>
      </c>
      <c r="D32" s="9">
        <v>1</v>
      </c>
      <c r="E32" s="24" t="s">
        <v>172</v>
      </c>
      <c r="F32" s="43" t="s">
        <v>318</v>
      </c>
      <c r="G32" s="7">
        <f>'CUENTA T FONDO 100'!D210</f>
        <v>0</v>
      </c>
      <c r="H32" s="7">
        <f>'CUENTA T VS'!D498</f>
        <v>0</v>
      </c>
      <c r="I32" s="7">
        <f t="shared" si="0"/>
        <v>0</v>
      </c>
      <c r="J32" s="6">
        <f t="shared" si="1"/>
        <v>0</v>
      </c>
    </row>
    <row r="33" spans="1:10">
      <c r="A33" s="10">
        <v>2</v>
      </c>
      <c r="B33" s="9">
        <v>1</v>
      </c>
      <c r="C33" s="9">
        <v>1</v>
      </c>
      <c r="D33" s="9">
        <v>1</v>
      </c>
      <c r="E33" s="24" t="s">
        <v>170</v>
      </c>
      <c r="F33" s="43" t="s">
        <v>317</v>
      </c>
      <c r="G33" s="7">
        <f>'CUENTA T FONDO 100'!E210</f>
        <v>0</v>
      </c>
      <c r="H33" s="7">
        <f>'CUENTA T VS'!E498</f>
        <v>0</v>
      </c>
      <c r="I33" s="7">
        <f t="shared" si="0"/>
        <v>0</v>
      </c>
      <c r="J33" s="6">
        <f t="shared" si="1"/>
        <v>0</v>
      </c>
    </row>
    <row r="34" spans="1:10">
      <c r="A34" s="10">
        <v>2</v>
      </c>
      <c r="B34" s="9">
        <v>1</v>
      </c>
      <c r="C34" s="9">
        <v>1</v>
      </c>
      <c r="D34" s="9">
        <v>1</v>
      </c>
      <c r="E34" s="24" t="s">
        <v>61</v>
      </c>
      <c r="F34" s="43" t="s">
        <v>386</v>
      </c>
      <c r="G34" s="7">
        <f>'CUENTA T FONDO 100'!F210</f>
        <v>0</v>
      </c>
      <c r="H34" s="7">
        <f>'CUENTA T VS'!F498</f>
        <v>0</v>
      </c>
      <c r="I34" s="7">
        <f t="shared" si="0"/>
        <v>0</v>
      </c>
      <c r="J34" s="6">
        <f t="shared" si="1"/>
        <v>0</v>
      </c>
    </row>
    <row r="35" spans="1:10">
      <c r="A35" s="16">
        <v>2</v>
      </c>
      <c r="B35" s="15">
        <v>1</v>
      </c>
      <c r="C35" s="15">
        <v>1</v>
      </c>
      <c r="D35" s="15">
        <v>2</v>
      </c>
      <c r="E35" s="15"/>
      <c r="F35" s="44" t="s">
        <v>316</v>
      </c>
      <c r="G35" s="12">
        <f>SUM(G36:G41)</f>
        <v>1342531.03</v>
      </c>
      <c r="H35" s="12">
        <f>SUM(H36:H41)</f>
        <v>0</v>
      </c>
      <c r="I35" s="12">
        <f t="shared" si="0"/>
        <v>1342531.03</v>
      </c>
      <c r="J35" s="11"/>
    </row>
    <row r="36" spans="1:10">
      <c r="A36" s="10">
        <v>2</v>
      </c>
      <c r="B36" s="9">
        <v>1</v>
      </c>
      <c r="C36" s="9">
        <v>1</v>
      </c>
      <c r="D36" s="9">
        <v>2</v>
      </c>
      <c r="E36" s="24" t="s">
        <v>104</v>
      </c>
      <c r="F36" s="43" t="s">
        <v>315</v>
      </c>
      <c r="G36" s="7">
        <f>'CUENTA T FONDO 100'!G210</f>
        <v>0</v>
      </c>
      <c r="H36" s="7">
        <f>'CUENTA T VS'!G498</f>
        <v>0</v>
      </c>
      <c r="I36" s="7">
        <f t="shared" si="0"/>
        <v>0</v>
      </c>
      <c r="J36" s="6">
        <f t="shared" ref="J36:J41" si="2">I36/$I$25</f>
        <v>0</v>
      </c>
    </row>
    <row r="37" spans="1:10">
      <c r="A37" s="10">
        <v>2</v>
      </c>
      <c r="B37" s="9">
        <v>1</v>
      </c>
      <c r="C37" s="9">
        <v>1</v>
      </c>
      <c r="D37" s="9">
        <v>2</v>
      </c>
      <c r="E37" s="24" t="s">
        <v>170</v>
      </c>
      <c r="F37" s="43" t="s">
        <v>314</v>
      </c>
      <c r="G37" s="7">
        <f>'CUENTA T FONDO 100'!H210</f>
        <v>0</v>
      </c>
      <c r="H37" s="7">
        <f>'CUENTA T VS'!H498</f>
        <v>0</v>
      </c>
      <c r="I37" s="7">
        <f t="shared" si="0"/>
        <v>0</v>
      </c>
      <c r="J37" s="6">
        <f t="shared" si="2"/>
        <v>0</v>
      </c>
    </row>
    <row r="38" spans="1:10">
      <c r="A38" s="10">
        <v>2</v>
      </c>
      <c r="B38" s="9">
        <v>1</v>
      </c>
      <c r="C38" s="9">
        <v>1</v>
      </c>
      <c r="D38" s="9">
        <v>2</v>
      </c>
      <c r="E38" s="24" t="s">
        <v>61</v>
      </c>
      <c r="F38" s="43" t="s">
        <v>313</v>
      </c>
      <c r="G38" s="7">
        <f>'CUENTA T FONDO 100'!I210</f>
        <v>0</v>
      </c>
      <c r="H38" s="7">
        <f>'CUENTA T VS'!I498</f>
        <v>0</v>
      </c>
      <c r="I38" s="7">
        <f t="shared" si="0"/>
        <v>0</v>
      </c>
      <c r="J38" s="6">
        <f t="shared" si="2"/>
        <v>0</v>
      </c>
    </row>
    <row r="39" spans="1:10">
      <c r="A39" s="10">
        <v>2</v>
      </c>
      <c r="B39" s="9">
        <v>1</v>
      </c>
      <c r="C39" s="9">
        <v>1</v>
      </c>
      <c r="D39" s="9">
        <v>2</v>
      </c>
      <c r="E39" s="24" t="s">
        <v>234</v>
      </c>
      <c r="F39" s="43" t="s">
        <v>388</v>
      </c>
      <c r="G39" s="7">
        <f>'CUENTA T FONDO 100'!J210</f>
        <v>1342531.03</v>
      </c>
      <c r="H39" s="7">
        <f>'CUENTA T VS'!J498</f>
        <v>0</v>
      </c>
      <c r="I39" s="7">
        <f t="shared" si="0"/>
        <v>1342531.03</v>
      </c>
      <c r="J39" s="6">
        <f t="shared" si="2"/>
        <v>6.4500589711129512E-3</v>
      </c>
    </row>
    <row r="40" spans="1:10">
      <c r="A40" s="10">
        <v>2</v>
      </c>
      <c r="B40" s="9">
        <v>1</v>
      </c>
      <c r="C40" s="9">
        <v>1</v>
      </c>
      <c r="D40" s="9">
        <v>2</v>
      </c>
      <c r="E40" s="24" t="s">
        <v>300</v>
      </c>
      <c r="F40" s="43" t="s">
        <v>383</v>
      </c>
      <c r="G40" s="7">
        <f>'CUENTA T FONDO 100'!K210</f>
        <v>0</v>
      </c>
      <c r="H40" s="7">
        <f>'CUENTA T VS'!K498</f>
        <v>0</v>
      </c>
      <c r="I40" s="7">
        <f t="shared" si="0"/>
        <v>0</v>
      </c>
      <c r="J40" s="6">
        <f t="shared" si="2"/>
        <v>0</v>
      </c>
    </row>
    <row r="41" spans="1:10">
      <c r="A41" s="10">
        <v>2</v>
      </c>
      <c r="B41" s="9">
        <v>1</v>
      </c>
      <c r="C41" s="9">
        <v>1</v>
      </c>
      <c r="D41" s="9">
        <v>2</v>
      </c>
      <c r="E41" s="24" t="s">
        <v>380</v>
      </c>
      <c r="F41" s="43" t="s">
        <v>389</v>
      </c>
      <c r="G41" s="7">
        <f>'CUENTA T FONDO 100'!L210</f>
        <v>0</v>
      </c>
      <c r="H41" s="7">
        <f>'CUENTA T VS'!L498</f>
        <v>0</v>
      </c>
      <c r="I41" s="7">
        <f t="shared" si="0"/>
        <v>0</v>
      </c>
      <c r="J41" s="6">
        <f t="shared" si="2"/>
        <v>0</v>
      </c>
    </row>
    <row r="42" spans="1:10">
      <c r="A42" s="16">
        <v>2</v>
      </c>
      <c r="B42" s="15">
        <v>1</v>
      </c>
      <c r="C42" s="15">
        <v>1</v>
      </c>
      <c r="D42" s="15">
        <v>3</v>
      </c>
      <c r="E42" s="15"/>
      <c r="F42" s="44" t="s">
        <v>312</v>
      </c>
      <c r="G42" s="12">
        <f>SUM(G43)</f>
        <v>0</v>
      </c>
      <c r="H42" s="12">
        <f>SUM(H43)</f>
        <v>0</v>
      </c>
      <c r="I42" s="12">
        <f t="shared" si="0"/>
        <v>0</v>
      </c>
      <c r="J42" s="11"/>
    </row>
    <row r="43" spans="1:10">
      <c r="A43" s="10">
        <v>2</v>
      </c>
      <c r="B43" s="9">
        <v>1</v>
      </c>
      <c r="C43" s="9">
        <v>1</v>
      </c>
      <c r="D43" s="9">
        <v>3</v>
      </c>
      <c r="E43" s="24" t="s">
        <v>44</v>
      </c>
      <c r="F43" s="43" t="s">
        <v>312</v>
      </c>
      <c r="G43" s="7">
        <f>'CUENTA T FONDO 100'!M210</f>
        <v>0</v>
      </c>
      <c r="H43" s="7">
        <f>'CUENTA T VS'!M498</f>
        <v>0</v>
      </c>
      <c r="I43" s="7">
        <f t="shared" si="0"/>
        <v>0</v>
      </c>
      <c r="J43" s="6">
        <f>I43/$I$25</f>
        <v>0</v>
      </c>
    </row>
    <row r="44" spans="1:10">
      <c r="A44" s="16">
        <v>2</v>
      </c>
      <c r="B44" s="15">
        <v>1</v>
      </c>
      <c r="C44" s="15">
        <v>1</v>
      </c>
      <c r="D44" s="15">
        <v>4</v>
      </c>
      <c r="E44" s="15"/>
      <c r="F44" s="44" t="s">
        <v>390</v>
      </c>
      <c r="G44" s="12">
        <f>SUM(G45)</f>
        <v>0</v>
      </c>
      <c r="H44" s="12">
        <f>SUM(H45)</f>
        <v>0</v>
      </c>
      <c r="I44" s="12">
        <f t="shared" si="0"/>
        <v>0</v>
      </c>
      <c r="J44" s="11"/>
    </row>
    <row r="45" spans="1:10">
      <c r="A45" s="10">
        <v>2</v>
      </c>
      <c r="B45" s="9">
        <v>1</v>
      </c>
      <c r="C45" s="9">
        <v>1</v>
      </c>
      <c r="D45" s="9">
        <v>4</v>
      </c>
      <c r="E45" s="24" t="s">
        <v>44</v>
      </c>
      <c r="F45" s="43" t="s">
        <v>390</v>
      </c>
      <c r="G45" s="7">
        <f>'CUENTA T FONDO 100'!N210</f>
        <v>0</v>
      </c>
      <c r="H45" s="7">
        <f>'CUENTA T VS'!N498</f>
        <v>0</v>
      </c>
      <c r="I45" s="7">
        <f t="shared" si="0"/>
        <v>0</v>
      </c>
      <c r="J45" s="6">
        <f>I45/$I$25</f>
        <v>0</v>
      </c>
    </row>
    <row r="46" spans="1:10">
      <c r="A46" s="16">
        <v>2</v>
      </c>
      <c r="B46" s="15">
        <v>1</v>
      </c>
      <c r="C46" s="15">
        <v>1</v>
      </c>
      <c r="D46" s="15">
        <v>5</v>
      </c>
      <c r="E46" s="15"/>
      <c r="F46" s="44" t="s">
        <v>391</v>
      </c>
      <c r="G46" s="12">
        <f>SUM(G47:G50)</f>
        <v>900795.02</v>
      </c>
      <c r="H46" s="12">
        <f>SUM(H47:H50)</f>
        <v>0</v>
      </c>
      <c r="I46" s="12">
        <f t="shared" si="0"/>
        <v>900795.02</v>
      </c>
      <c r="J46" s="11"/>
    </row>
    <row r="47" spans="1:10">
      <c r="A47" s="10">
        <v>2</v>
      </c>
      <c r="B47" s="9">
        <v>1</v>
      </c>
      <c r="C47" s="9">
        <v>1</v>
      </c>
      <c r="D47" s="9">
        <v>5</v>
      </c>
      <c r="E47" s="24" t="s">
        <v>44</v>
      </c>
      <c r="F47" s="43" t="s">
        <v>391</v>
      </c>
      <c r="G47" s="7">
        <f>'CUENTA T FONDO 100'!O210</f>
        <v>0</v>
      </c>
      <c r="H47" s="7">
        <f>'CUENTA T VS'!O498</f>
        <v>0</v>
      </c>
      <c r="I47" s="7">
        <f t="shared" si="0"/>
        <v>0</v>
      </c>
      <c r="J47" s="6">
        <f>I47/$I$25</f>
        <v>0</v>
      </c>
    </row>
    <row r="48" spans="1:10">
      <c r="A48" s="10">
        <v>2</v>
      </c>
      <c r="B48" s="9">
        <v>1</v>
      </c>
      <c r="C48" s="9">
        <v>1</v>
      </c>
      <c r="D48" s="9">
        <v>5</v>
      </c>
      <c r="E48" s="24" t="s">
        <v>43</v>
      </c>
      <c r="F48" s="43" t="s">
        <v>311</v>
      </c>
      <c r="G48" s="7">
        <f>'CUENTA T FONDO 100'!P210</f>
        <v>0</v>
      </c>
      <c r="H48" s="7">
        <f>'CUENTA T VS'!P498</f>
        <v>0</v>
      </c>
      <c r="I48" s="7">
        <f t="shared" si="0"/>
        <v>0</v>
      </c>
      <c r="J48" s="6">
        <f>I48/$I$25</f>
        <v>0</v>
      </c>
    </row>
    <row r="49" spans="1:10">
      <c r="A49" s="10">
        <v>2</v>
      </c>
      <c r="B49" s="9">
        <v>1</v>
      </c>
      <c r="C49" s="9">
        <v>1</v>
      </c>
      <c r="D49" s="9">
        <v>5</v>
      </c>
      <c r="E49" s="24" t="s">
        <v>104</v>
      </c>
      <c r="F49" s="43" t="s">
        <v>310</v>
      </c>
      <c r="G49" s="7">
        <f>'CUENTA T FONDO 100'!Q210</f>
        <v>558888</v>
      </c>
      <c r="H49" s="7">
        <f>'CUENTA T VS'!Q498</f>
        <v>0</v>
      </c>
      <c r="I49" s="7">
        <f t="shared" si="0"/>
        <v>558888</v>
      </c>
      <c r="J49" s="6">
        <f>I49/$I$25</f>
        <v>2.6851227105323403E-3</v>
      </c>
    </row>
    <row r="50" spans="1:10">
      <c r="A50" s="10">
        <v>2</v>
      </c>
      <c r="B50" s="9">
        <v>1</v>
      </c>
      <c r="C50" s="9">
        <v>1</v>
      </c>
      <c r="D50" s="9">
        <v>5</v>
      </c>
      <c r="E50" s="24" t="s">
        <v>172</v>
      </c>
      <c r="F50" s="43" t="s">
        <v>309</v>
      </c>
      <c r="G50" s="7">
        <f>'CUENTA T FONDO 100'!R210</f>
        <v>341907.01999999996</v>
      </c>
      <c r="H50" s="7">
        <f>'CUENTA T VS'!R498</f>
        <v>0</v>
      </c>
      <c r="I50" s="7">
        <f t="shared" si="0"/>
        <v>341907.01999999996</v>
      </c>
      <c r="J50" s="6">
        <f>I50/$I$25</f>
        <v>1.6426588230422465E-3</v>
      </c>
    </row>
    <row r="51" spans="1:10">
      <c r="A51" s="30">
        <v>2</v>
      </c>
      <c r="B51" s="22">
        <v>1</v>
      </c>
      <c r="C51" s="22">
        <v>2</v>
      </c>
      <c r="D51" s="22"/>
      <c r="E51" s="22"/>
      <c r="F51" s="45" t="s">
        <v>308</v>
      </c>
      <c r="G51" s="20">
        <f>+G52+G54</f>
        <v>10988252.65</v>
      </c>
      <c r="H51" s="20">
        <f>+H52+H54</f>
        <v>0</v>
      </c>
      <c r="I51" s="20">
        <f t="shared" si="0"/>
        <v>10988252.65</v>
      </c>
      <c r="J51" s="19"/>
    </row>
    <row r="52" spans="1:10">
      <c r="A52" s="16">
        <v>2</v>
      </c>
      <c r="B52" s="15">
        <v>1</v>
      </c>
      <c r="C52" s="15">
        <v>2</v>
      </c>
      <c r="D52" s="15">
        <v>1</v>
      </c>
      <c r="E52" s="15"/>
      <c r="F52" s="44" t="s">
        <v>307</v>
      </c>
      <c r="G52" s="12">
        <f>SUM(G53)</f>
        <v>2652914.66</v>
      </c>
      <c r="H52" s="12">
        <f>SUM(H53)</f>
        <v>0</v>
      </c>
      <c r="I52" s="12">
        <f t="shared" si="0"/>
        <v>2652914.66</v>
      </c>
      <c r="J52" s="11"/>
    </row>
    <row r="53" spans="1:10">
      <c r="A53" s="10">
        <v>2</v>
      </c>
      <c r="B53" s="9">
        <v>1</v>
      </c>
      <c r="C53" s="9">
        <v>2</v>
      </c>
      <c r="D53" s="9">
        <v>1</v>
      </c>
      <c r="E53" s="24" t="s">
        <v>44</v>
      </c>
      <c r="F53" s="43" t="s">
        <v>307</v>
      </c>
      <c r="G53" s="7">
        <f>'CUENTA T FONDO 100'!S210</f>
        <v>2652914.66</v>
      </c>
      <c r="H53" s="7">
        <f>'CUENTA T VS'!S498</f>
        <v>0</v>
      </c>
      <c r="I53" s="7">
        <f t="shared" si="0"/>
        <v>2652914.66</v>
      </c>
      <c r="J53" s="6">
        <f>I53/$I$25</f>
        <v>1.2745668904449876E-2</v>
      </c>
    </row>
    <row r="54" spans="1:10">
      <c r="A54" s="16">
        <v>2</v>
      </c>
      <c r="B54" s="15">
        <v>1</v>
      </c>
      <c r="C54" s="15">
        <v>2</v>
      </c>
      <c r="D54" s="15">
        <v>2</v>
      </c>
      <c r="E54" s="15"/>
      <c r="F54" s="44" t="s">
        <v>306</v>
      </c>
      <c r="G54" s="12">
        <f>SUM(G55:G63)</f>
        <v>8335337.9900000002</v>
      </c>
      <c r="H54" s="12">
        <f>SUM(H55:H63)</f>
        <v>0</v>
      </c>
      <c r="I54" s="12">
        <f t="shared" si="0"/>
        <v>8335337.9900000002</v>
      </c>
      <c r="J54" s="11"/>
    </row>
    <row r="55" spans="1:10">
      <c r="A55" s="10">
        <v>2</v>
      </c>
      <c r="B55" s="9">
        <v>1</v>
      </c>
      <c r="C55" s="9">
        <v>2</v>
      </c>
      <c r="D55" s="9">
        <v>2</v>
      </c>
      <c r="E55" s="24" t="s">
        <v>44</v>
      </c>
      <c r="F55" s="43" t="s">
        <v>305</v>
      </c>
      <c r="G55" s="7">
        <f>'CUENTA T FONDO 100'!T210</f>
        <v>0</v>
      </c>
      <c r="H55" s="7">
        <f>'CUENTA T VS'!T498</f>
        <v>0</v>
      </c>
      <c r="I55" s="7">
        <f t="shared" si="0"/>
        <v>0</v>
      </c>
      <c r="J55" s="6">
        <f t="shared" ref="J55:J63" si="3">I55/$I$25</f>
        <v>0</v>
      </c>
    </row>
    <row r="56" spans="1:10">
      <c r="A56" s="10">
        <v>2</v>
      </c>
      <c r="B56" s="9">
        <v>1</v>
      </c>
      <c r="C56" s="9">
        <v>2</v>
      </c>
      <c r="D56" s="9">
        <v>2</v>
      </c>
      <c r="E56" s="24" t="s">
        <v>104</v>
      </c>
      <c r="F56" s="8" t="s">
        <v>392</v>
      </c>
      <c r="G56" s="7">
        <f>'CUENTA T FONDO 100'!U210</f>
        <v>0</v>
      </c>
      <c r="H56" s="7">
        <f>'CUENTA T VS'!U498</f>
        <v>0</v>
      </c>
      <c r="I56" s="7">
        <f t="shared" si="0"/>
        <v>0</v>
      </c>
      <c r="J56" s="6">
        <f t="shared" si="3"/>
        <v>0</v>
      </c>
    </row>
    <row r="57" spans="1:10">
      <c r="A57" s="10">
        <v>2</v>
      </c>
      <c r="B57" s="9">
        <v>1</v>
      </c>
      <c r="C57" s="9">
        <v>2</v>
      </c>
      <c r="D57" s="9">
        <v>2</v>
      </c>
      <c r="E57" s="24" t="s">
        <v>172</v>
      </c>
      <c r="F57" s="43" t="s">
        <v>304</v>
      </c>
      <c r="G57" s="7">
        <f>'CUENTA T FONDO 100'!V210</f>
        <v>0</v>
      </c>
      <c r="H57" s="7">
        <f>'CUENTA T VS'!V498</f>
        <v>0</v>
      </c>
      <c r="I57" s="7">
        <f t="shared" si="0"/>
        <v>0</v>
      </c>
      <c r="J57" s="6">
        <f t="shared" si="3"/>
        <v>0</v>
      </c>
    </row>
    <row r="58" spans="1:10">
      <c r="A58" s="10">
        <v>2</v>
      </c>
      <c r="B58" s="9">
        <v>1</v>
      </c>
      <c r="C58" s="9">
        <v>2</v>
      </c>
      <c r="D58" s="9">
        <v>2</v>
      </c>
      <c r="E58" s="24" t="s">
        <v>170</v>
      </c>
      <c r="F58" s="43" t="s">
        <v>303</v>
      </c>
      <c r="G58" s="7">
        <f>'CUENTA T FONDO 100'!W210</f>
        <v>75000</v>
      </c>
      <c r="H58" s="7">
        <f>'CUENTA T VS'!W498</f>
        <v>0</v>
      </c>
      <c r="I58" s="7">
        <f t="shared" si="0"/>
        <v>75000</v>
      </c>
      <c r="J58" s="6">
        <f t="shared" si="3"/>
        <v>3.6033016148123693E-4</v>
      </c>
    </row>
    <row r="59" spans="1:10">
      <c r="A59" s="10">
        <v>2</v>
      </c>
      <c r="B59" s="9">
        <v>1</v>
      </c>
      <c r="C59" s="9">
        <v>2</v>
      </c>
      <c r="D59" s="9">
        <v>2</v>
      </c>
      <c r="E59" s="24" t="s">
        <v>61</v>
      </c>
      <c r="F59" s="43" t="s">
        <v>379</v>
      </c>
      <c r="G59" s="7">
        <f>'CUENTA T FONDO 100'!X210</f>
        <v>0</v>
      </c>
      <c r="H59" s="7">
        <f>'CUENTA T VS'!X498</f>
        <v>0</v>
      </c>
      <c r="I59" s="7">
        <f t="shared" si="0"/>
        <v>0</v>
      </c>
      <c r="J59" s="6">
        <f t="shared" si="3"/>
        <v>0</v>
      </c>
    </row>
    <row r="60" spans="1:10">
      <c r="A60" s="10">
        <v>2</v>
      </c>
      <c r="B60" s="9">
        <v>1</v>
      </c>
      <c r="C60" s="9">
        <v>2</v>
      </c>
      <c r="D60" s="9">
        <v>2</v>
      </c>
      <c r="E60" s="24" t="s">
        <v>60</v>
      </c>
      <c r="F60" s="43" t="s">
        <v>302</v>
      </c>
      <c r="G60" s="7">
        <f>'CUENTA T FONDO 100'!Y210</f>
        <v>0</v>
      </c>
      <c r="H60" s="7">
        <f>'CUENTA T VS'!Y498</f>
        <v>0</v>
      </c>
      <c r="I60" s="7">
        <f t="shared" si="0"/>
        <v>0</v>
      </c>
      <c r="J60" s="6">
        <f t="shared" si="3"/>
        <v>0</v>
      </c>
    </row>
    <row r="61" spans="1:10">
      <c r="A61" s="10">
        <v>2</v>
      </c>
      <c r="B61" s="9">
        <v>1</v>
      </c>
      <c r="C61" s="9">
        <v>2</v>
      </c>
      <c r="D61" s="9">
        <v>2</v>
      </c>
      <c r="E61" s="24" t="s">
        <v>234</v>
      </c>
      <c r="F61" s="43" t="s">
        <v>301</v>
      </c>
      <c r="G61" s="7">
        <f>'CUENTA T FONDO 100'!Z210</f>
        <v>301200</v>
      </c>
      <c r="H61" s="7">
        <f>'CUENTA T VS'!Z498</f>
        <v>0</v>
      </c>
      <c r="I61" s="7">
        <f t="shared" si="0"/>
        <v>301200</v>
      </c>
      <c r="J61" s="6">
        <f t="shared" si="3"/>
        <v>1.4470859285086474E-3</v>
      </c>
    </row>
    <row r="62" spans="1:10">
      <c r="A62" s="10">
        <v>2</v>
      </c>
      <c r="B62" s="9">
        <v>1</v>
      </c>
      <c r="C62" s="9">
        <v>2</v>
      </c>
      <c r="D62" s="9">
        <v>2</v>
      </c>
      <c r="E62" s="24" t="s">
        <v>300</v>
      </c>
      <c r="F62" s="43" t="s">
        <v>393</v>
      </c>
      <c r="G62" s="7">
        <f>'CUENTA T FONDO 100'!AA210</f>
        <v>0</v>
      </c>
      <c r="H62" s="7">
        <f>'CUENTA T VS'!AA498</f>
        <v>0</v>
      </c>
      <c r="I62" s="7">
        <f t="shared" si="0"/>
        <v>0</v>
      </c>
      <c r="J62" s="6">
        <f t="shared" si="3"/>
        <v>0</v>
      </c>
    </row>
    <row r="63" spans="1:10">
      <c r="A63" s="10">
        <v>2</v>
      </c>
      <c r="B63" s="9">
        <v>1</v>
      </c>
      <c r="C63" s="9">
        <v>2</v>
      </c>
      <c r="D63" s="9">
        <v>2</v>
      </c>
      <c r="E63" s="9">
        <v>10</v>
      </c>
      <c r="F63" s="8" t="s">
        <v>394</v>
      </c>
      <c r="G63" s="7">
        <f>'CUENTA T FONDO 100'!AB210</f>
        <v>7959137.9900000002</v>
      </c>
      <c r="H63" s="7">
        <f>'CUENTA T VS'!AB498</f>
        <v>0</v>
      </c>
      <c r="I63" s="7">
        <f t="shared" si="0"/>
        <v>7959137.9900000002</v>
      </c>
      <c r="J63" s="6">
        <f t="shared" si="3"/>
        <v>3.8238899695841967E-2</v>
      </c>
    </row>
    <row r="64" spans="1:10">
      <c r="A64" s="23">
        <v>2</v>
      </c>
      <c r="B64" s="22">
        <v>1</v>
      </c>
      <c r="C64" s="22">
        <v>3</v>
      </c>
      <c r="D64" s="22"/>
      <c r="E64" s="22"/>
      <c r="F64" s="41" t="s">
        <v>299</v>
      </c>
      <c r="G64" s="20">
        <f>+G65+G68</f>
        <v>0</v>
      </c>
      <c r="H64" s="20">
        <f>+H65+H68</f>
        <v>0</v>
      </c>
      <c r="I64" s="20">
        <f t="shared" si="0"/>
        <v>0</v>
      </c>
      <c r="J64" s="19"/>
    </row>
    <row r="65" spans="1:10">
      <c r="A65" s="18">
        <v>2</v>
      </c>
      <c r="B65" s="15">
        <v>1</v>
      </c>
      <c r="C65" s="15">
        <v>3</v>
      </c>
      <c r="D65" s="15">
        <v>1</v>
      </c>
      <c r="E65" s="15"/>
      <c r="F65" s="38" t="s">
        <v>298</v>
      </c>
      <c r="G65" s="12">
        <f>SUM(G66:G67)</f>
        <v>0</v>
      </c>
      <c r="H65" s="12">
        <f>SUM(H66:H67)</f>
        <v>0</v>
      </c>
      <c r="I65" s="12">
        <f t="shared" si="0"/>
        <v>0</v>
      </c>
      <c r="J65" s="11"/>
    </row>
    <row r="66" spans="1:10">
      <c r="A66" s="17">
        <v>2</v>
      </c>
      <c r="B66" s="9">
        <v>1</v>
      </c>
      <c r="C66" s="9">
        <v>3</v>
      </c>
      <c r="D66" s="9">
        <v>1</v>
      </c>
      <c r="E66" s="24" t="s">
        <v>44</v>
      </c>
      <c r="F66" s="40" t="s">
        <v>297</v>
      </c>
      <c r="G66" s="7">
        <f>'CUENTA T FONDO 100'!AC210</f>
        <v>0</v>
      </c>
      <c r="H66" s="7">
        <f>'CUENTA T VS'!AC498</f>
        <v>0</v>
      </c>
      <c r="I66" s="7">
        <f t="shared" si="0"/>
        <v>0</v>
      </c>
      <c r="J66" s="6">
        <f>I66/$I$25</f>
        <v>0</v>
      </c>
    </row>
    <row r="67" spans="1:10">
      <c r="A67" s="17">
        <v>2</v>
      </c>
      <c r="B67" s="9">
        <v>1</v>
      </c>
      <c r="C67" s="9">
        <v>3</v>
      </c>
      <c r="D67" s="9">
        <v>1</v>
      </c>
      <c r="E67" s="24" t="s">
        <v>43</v>
      </c>
      <c r="F67" s="40" t="s">
        <v>296</v>
      </c>
      <c r="G67" s="7">
        <f>'CUENTA T FONDO 100'!AD210</f>
        <v>0</v>
      </c>
      <c r="H67" s="7">
        <f>'CUENTA T VS'!AD498</f>
        <v>0</v>
      </c>
      <c r="I67" s="7">
        <f t="shared" si="0"/>
        <v>0</v>
      </c>
      <c r="J67" s="6">
        <f>I67/$I$25</f>
        <v>0</v>
      </c>
    </row>
    <row r="68" spans="1:10">
      <c r="A68" s="18">
        <v>2</v>
      </c>
      <c r="B68" s="15">
        <v>1</v>
      </c>
      <c r="C68" s="15">
        <v>3</v>
      </c>
      <c r="D68" s="15">
        <v>2</v>
      </c>
      <c r="E68" s="15"/>
      <c r="F68" s="38" t="s">
        <v>295</v>
      </c>
      <c r="G68" s="12">
        <f>SUM(G69:G70)</f>
        <v>0</v>
      </c>
      <c r="H68" s="12">
        <f>SUM(H69:H70)</f>
        <v>0</v>
      </c>
      <c r="I68" s="12">
        <f t="shared" si="0"/>
        <v>0</v>
      </c>
      <c r="J68" s="11"/>
    </row>
    <row r="69" spans="1:10">
      <c r="A69" s="17">
        <v>2</v>
      </c>
      <c r="B69" s="9">
        <v>1</v>
      </c>
      <c r="C69" s="9">
        <v>3</v>
      </c>
      <c r="D69" s="9">
        <v>2</v>
      </c>
      <c r="E69" s="24" t="s">
        <v>44</v>
      </c>
      <c r="F69" s="40" t="s">
        <v>294</v>
      </c>
      <c r="G69" s="7">
        <f>'CUENTA T FONDO 100'!AE210</f>
        <v>0</v>
      </c>
      <c r="H69" s="7">
        <f>'CUENTA T VS'!AE498</f>
        <v>0</v>
      </c>
      <c r="I69" s="7">
        <f t="shared" si="0"/>
        <v>0</v>
      </c>
      <c r="J69" s="6">
        <f>I69/$I$25</f>
        <v>0</v>
      </c>
    </row>
    <row r="70" spans="1:10">
      <c r="A70" s="17">
        <v>2</v>
      </c>
      <c r="B70" s="9">
        <v>1</v>
      </c>
      <c r="C70" s="9">
        <v>3</v>
      </c>
      <c r="D70" s="9">
        <v>2</v>
      </c>
      <c r="E70" s="24" t="s">
        <v>43</v>
      </c>
      <c r="F70" s="40" t="s">
        <v>293</v>
      </c>
      <c r="G70" s="7">
        <f>'CUENTA T FONDO 100'!AF210</f>
        <v>0</v>
      </c>
      <c r="H70" s="7">
        <f>'CUENTA T VS'!AF498</f>
        <v>0</v>
      </c>
      <c r="I70" s="7">
        <f t="shared" si="0"/>
        <v>0</v>
      </c>
      <c r="J70" s="6">
        <f>I70/$I$25</f>
        <v>0</v>
      </c>
    </row>
    <row r="71" spans="1:10">
      <c r="A71" s="23">
        <v>2</v>
      </c>
      <c r="B71" s="22">
        <v>1</v>
      </c>
      <c r="C71" s="22">
        <v>4</v>
      </c>
      <c r="D71" s="22"/>
      <c r="E71" s="22"/>
      <c r="F71" s="41" t="s">
        <v>292</v>
      </c>
      <c r="G71" s="20">
        <f>+G72+G74</f>
        <v>0</v>
      </c>
      <c r="H71" s="20">
        <f>+H72+H74</f>
        <v>0</v>
      </c>
      <c r="I71" s="20">
        <f t="shared" si="0"/>
        <v>0</v>
      </c>
      <c r="J71" s="19"/>
    </row>
    <row r="72" spans="1:10">
      <c r="A72" s="16">
        <v>2</v>
      </c>
      <c r="B72" s="15">
        <v>1</v>
      </c>
      <c r="C72" s="15">
        <v>4</v>
      </c>
      <c r="D72" s="15">
        <v>1</v>
      </c>
      <c r="E72" s="15"/>
      <c r="F72" s="44" t="s">
        <v>291</v>
      </c>
      <c r="G72" s="12">
        <f>SUM(G73)</f>
        <v>0</v>
      </c>
      <c r="H72" s="12">
        <f>SUM(H73)</f>
        <v>0</v>
      </c>
      <c r="I72" s="12">
        <f t="shared" si="0"/>
        <v>0</v>
      </c>
      <c r="J72" s="11"/>
    </row>
    <row r="73" spans="1:10">
      <c r="A73" s="10">
        <v>2</v>
      </c>
      <c r="B73" s="9">
        <v>1</v>
      </c>
      <c r="C73" s="9">
        <v>4</v>
      </c>
      <c r="D73" s="9">
        <v>1</v>
      </c>
      <c r="E73" s="24" t="s">
        <v>44</v>
      </c>
      <c r="F73" s="43" t="s">
        <v>291</v>
      </c>
      <c r="G73" s="7">
        <f>'CUENTA T FONDO 100'!AG210</f>
        <v>0</v>
      </c>
      <c r="H73" s="7">
        <f>'CUENTA T VS'!AG498</f>
        <v>0</v>
      </c>
      <c r="I73" s="7">
        <f t="shared" si="0"/>
        <v>0</v>
      </c>
      <c r="J73" s="6">
        <f>I73/$I$25</f>
        <v>0</v>
      </c>
    </row>
    <row r="74" spans="1:10">
      <c r="A74" s="16">
        <v>2</v>
      </c>
      <c r="B74" s="15">
        <v>1</v>
      </c>
      <c r="C74" s="15">
        <v>4</v>
      </c>
      <c r="D74" s="15">
        <v>2</v>
      </c>
      <c r="E74" s="15"/>
      <c r="F74" s="44" t="s">
        <v>290</v>
      </c>
      <c r="G74" s="12">
        <f>SUM(G75:G77)</f>
        <v>0</v>
      </c>
      <c r="H74" s="12">
        <f>SUM(H75:H77)</f>
        <v>0</v>
      </c>
      <c r="I74" s="12">
        <f t="shared" si="0"/>
        <v>0</v>
      </c>
      <c r="J74" s="11"/>
    </row>
    <row r="75" spans="1:10">
      <c r="A75" s="10">
        <v>2</v>
      </c>
      <c r="B75" s="9">
        <v>1</v>
      </c>
      <c r="C75" s="9">
        <v>4</v>
      </c>
      <c r="D75" s="9">
        <v>2</v>
      </c>
      <c r="E75" s="24" t="s">
        <v>44</v>
      </c>
      <c r="F75" s="43" t="s">
        <v>289</v>
      </c>
      <c r="G75" s="7">
        <f>'CUENTA T FONDO 100'!AH210</f>
        <v>0</v>
      </c>
      <c r="H75" s="7">
        <f>'CUENTA T VS'!AH498</f>
        <v>0</v>
      </c>
      <c r="I75" s="7">
        <f t="shared" si="0"/>
        <v>0</v>
      </c>
      <c r="J75" s="6">
        <f>I75/$I$25</f>
        <v>0</v>
      </c>
    </row>
    <row r="76" spans="1:10">
      <c r="A76" s="10">
        <v>2</v>
      </c>
      <c r="B76" s="9">
        <v>1</v>
      </c>
      <c r="C76" s="9">
        <v>4</v>
      </c>
      <c r="D76" s="9">
        <v>2</v>
      </c>
      <c r="E76" s="24" t="s">
        <v>43</v>
      </c>
      <c r="F76" s="43" t="s">
        <v>288</v>
      </c>
      <c r="G76" s="7">
        <f>'CUENTA T FONDO 100'!AI210</f>
        <v>0</v>
      </c>
      <c r="H76" s="7">
        <f>'CUENTA T VS'!AI498</f>
        <v>0</v>
      </c>
      <c r="I76" s="7">
        <f t="shared" si="0"/>
        <v>0</v>
      </c>
      <c r="J76" s="6">
        <f>I76/$I$25</f>
        <v>0</v>
      </c>
    </row>
    <row r="77" spans="1:10">
      <c r="A77" s="10">
        <v>2</v>
      </c>
      <c r="B77" s="9">
        <v>1</v>
      </c>
      <c r="C77" s="9">
        <v>4</v>
      </c>
      <c r="D77" s="9">
        <v>2</v>
      </c>
      <c r="E77" s="24" t="s">
        <v>104</v>
      </c>
      <c r="F77" s="43" t="s">
        <v>287</v>
      </c>
      <c r="G77" s="7">
        <f>'CUENTA T FONDO 100'!AJ210</f>
        <v>0</v>
      </c>
      <c r="H77" s="7">
        <f>'CUENTA T VS'!AJ498</f>
        <v>0</v>
      </c>
      <c r="I77" s="7">
        <f t="shared" si="0"/>
        <v>0</v>
      </c>
      <c r="J77" s="6">
        <f>I77/$I$25</f>
        <v>0</v>
      </c>
    </row>
    <row r="78" spans="1:10">
      <c r="A78" s="23">
        <v>2</v>
      </c>
      <c r="B78" s="22">
        <v>1</v>
      </c>
      <c r="C78" s="22">
        <v>5</v>
      </c>
      <c r="D78" s="22"/>
      <c r="E78" s="22"/>
      <c r="F78" s="41" t="s">
        <v>286</v>
      </c>
      <c r="G78" s="20">
        <f>+G79+G81+G83+G85</f>
        <v>9312137.0999999996</v>
      </c>
      <c r="H78" s="20">
        <f>+H79+H81+H83+H85</f>
        <v>0</v>
      </c>
      <c r="I78" s="20">
        <f t="shared" si="0"/>
        <v>9312137.0999999996</v>
      </c>
      <c r="J78" s="19"/>
    </row>
    <row r="79" spans="1:10">
      <c r="A79" s="16">
        <v>2</v>
      </c>
      <c r="B79" s="15">
        <v>1</v>
      </c>
      <c r="C79" s="15">
        <v>5</v>
      </c>
      <c r="D79" s="15">
        <v>1</v>
      </c>
      <c r="E79" s="15"/>
      <c r="F79" s="44" t="s">
        <v>285</v>
      </c>
      <c r="G79" s="12">
        <f>SUM(G80)</f>
        <v>4290757.45</v>
      </c>
      <c r="H79" s="12">
        <f>SUM(H80)</f>
        <v>0</v>
      </c>
      <c r="I79" s="12">
        <f t="shared" si="0"/>
        <v>4290757.45</v>
      </c>
      <c r="J79" s="11"/>
    </row>
    <row r="80" spans="1:10">
      <c r="A80" s="10">
        <v>2</v>
      </c>
      <c r="B80" s="9">
        <v>1</v>
      </c>
      <c r="C80" s="9">
        <v>5</v>
      </c>
      <c r="D80" s="9">
        <v>1</v>
      </c>
      <c r="E80" s="24" t="s">
        <v>44</v>
      </c>
      <c r="F80" s="43" t="s">
        <v>285</v>
      </c>
      <c r="G80" s="7">
        <f>'CUENTA T FONDO 100'!AK210</f>
        <v>4290757.45</v>
      </c>
      <c r="H80" s="7">
        <f>'CUENTA T VS'!AK498</f>
        <v>0</v>
      </c>
      <c r="I80" s="7">
        <f t="shared" si="0"/>
        <v>4290757.45</v>
      </c>
      <c r="J80" s="6">
        <f>I80/$I$25</f>
        <v>2.0614524331137606E-2</v>
      </c>
    </row>
    <row r="81" spans="1:10">
      <c r="A81" s="16">
        <v>2</v>
      </c>
      <c r="B81" s="15">
        <v>1</v>
      </c>
      <c r="C81" s="15">
        <v>5</v>
      </c>
      <c r="D81" s="15">
        <v>2</v>
      </c>
      <c r="E81" s="15"/>
      <c r="F81" s="44" t="s">
        <v>284</v>
      </c>
      <c r="G81" s="12">
        <f>SUM(G82)</f>
        <v>4296541.5199999996</v>
      </c>
      <c r="H81" s="12">
        <f>SUM(H82)</f>
        <v>0</v>
      </c>
      <c r="I81" s="12">
        <f t="shared" si="0"/>
        <v>4296541.5199999996</v>
      </c>
      <c r="J81" s="11"/>
    </row>
    <row r="82" spans="1:10">
      <c r="A82" s="10">
        <v>2</v>
      </c>
      <c r="B82" s="9">
        <v>1</v>
      </c>
      <c r="C82" s="9">
        <v>5</v>
      </c>
      <c r="D82" s="9">
        <v>2</v>
      </c>
      <c r="E82" s="24" t="s">
        <v>44</v>
      </c>
      <c r="F82" s="43" t="s">
        <v>284</v>
      </c>
      <c r="G82" s="7">
        <f>'CUENTA T FONDO 100'!AL210</f>
        <v>4296541.5199999996</v>
      </c>
      <c r="H82" s="7">
        <f>'CUENTA T VS'!AL498</f>
        <v>0</v>
      </c>
      <c r="I82" s="7">
        <f t="shared" si="0"/>
        <v>4296541.5199999996</v>
      </c>
      <c r="J82" s="6">
        <f>I82/$I$25</f>
        <v>2.0642313329499184E-2</v>
      </c>
    </row>
    <row r="83" spans="1:10">
      <c r="A83" s="16">
        <v>2</v>
      </c>
      <c r="B83" s="15">
        <v>1</v>
      </c>
      <c r="C83" s="15">
        <v>5</v>
      </c>
      <c r="D83" s="15">
        <v>3</v>
      </c>
      <c r="E83" s="15"/>
      <c r="F83" s="44" t="s">
        <v>283</v>
      </c>
      <c r="G83" s="12">
        <f>SUM(G84)</f>
        <v>724838.13</v>
      </c>
      <c r="H83" s="12">
        <f>SUM(H84)</f>
        <v>0</v>
      </c>
      <c r="I83" s="12">
        <f t="shared" si="0"/>
        <v>724838.13</v>
      </c>
      <c r="J83" s="11"/>
    </row>
    <row r="84" spans="1:10">
      <c r="A84" s="10">
        <v>2</v>
      </c>
      <c r="B84" s="9">
        <v>1</v>
      </c>
      <c r="C84" s="9">
        <v>5</v>
      </c>
      <c r="D84" s="9">
        <v>3</v>
      </c>
      <c r="E84" s="24" t="s">
        <v>44</v>
      </c>
      <c r="F84" s="43" t="s">
        <v>283</v>
      </c>
      <c r="G84" s="7">
        <f>'CUENTA T FONDO 100'!AM210</f>
        <v>724838.13</v>
      </c>
      <c r="H84" s="7">
        <f>'CUENTA T VS'!AM498</f>
        <v>0</v>
      </c>
      <c r="I84" s="7">
        <f t="shared" si="0"/>
        <v>724838.13</v>
      </c>
      <c r="J84" s="6">
        <f>I84/$I$25</f>
        <v>3.4824138724087704E-3</v>
      </c>
    </row>
    <row r="85" spans="1:10">
      <c r="A85" s="16">
        <v>2</v>
      </c>
      <c r="B85" s="15">
        <v>1</v>
      </c>
      <c r="C85" s="15">
        <v>5</v>
      </c>
      <c r="D85" s="15">
        <v>4</v>
      </c>
      <c r="E85" s="15"/>
      <c r="F85" s="44" t="s">
        <v>282</v>
      </c>
      <c r="G85" s="12">
        <f>SUM(G86)</f>
        <v>0</v>
      </c>
      <c r="H85" s="12">
        <f>SUM(H86)</f>
        <v>0</v>
      </c>
      <c r="I85" s="12">
        <f t="shared" si="0"/>
        <v>0</v>
      </c>
      <c r="J85" s="11"/>
    </row>
    <row r="86" spans="1:10">
      <c r="A86" s="10">
        <v>2</v>
      </c>
      <c r="B86" s="9">
        <v>1</v>
      </c>
      <c r="C86" s="9">
        <v>5</v>
      </c>
      <c r="D86" s="9">
        <v>4</v>
      </c>
      <c r="E86" s="24" t="s">
        <v>44</v>
      </c>
      <c r="F86" s="43" t="s">
        <v>282</v>
      </c>
      <c r="G86" s="7">
        <f>'CUENTA T FONDO 100'!AN210</f>
        <v>0</v>
      </c>
      <c r="H86" s="7">
        <f>'CUENTA T VS'!AN498</f>
        <v>0</v>
      </c>
      <c r="I86" s="7">
        <f t="shared" si="0"/>
        <v>0</v>
      </c>
      <c r="J86" s="6">
        <f>I86/$I$25</f>
        <v>0</v>
      </c>
    </row>
    <row r="87" spans="1:10">
      <c r="A87" s="23">
        <v>2</v>
      </c>
      <c r="B87" s="42">
        <v>2</v>
      </c>
      <c r="C87" s="22"/>
      <c r="D87" s="22"/>
      <c r="E87" s="22"/>
      <c r="F87" s="41" t="s">
        <v>281</v>
      </c>
      <c r="G87" s="20">
        <f>G88+G106+G111+G116+G125+G148+G157+G179+G208</f>
        <v>13617256.389999999</v>
      </c>
      <c r="H87" s="20">
        <f>H88+H106+H111+H116+H125+H148+H157+H179+H208</f>
        <v>7601154.9300000006</v>
      </c>
      <c r="I87" s="20">
        <f t="shared" si="0"/>
        <v>21218411.32</v>
      </c>
      <c r="J87" s="19">
        <f>I87/$I$25</f>
        <v>0.10194178103081207</v>
      </c>
    </row>
    <row r="88" spans="1:10">
      <c r="A88" s="23">
        <v>2</v>
      </c>
      <c r="B88" s="22">
        <v>2</v>
      </c>
      <c r="C88" s="22">
        <v>1</v>
      </c>
      <c r="D88" s="22"/>
      <c r="E88" s="22"/>
      <c r="F88" s="41" t="s">
        <v>280</v>
      </c>
      <c r="G88" s="20">
        <f>+G89+G91+G93+G95+G97+G99+G102+G104</f>
        <v>211735</v>
      </c>
      <c r="H88" s="20">
        <f>+H89+H91+H93+H95+H97+H99+H102+H104</f>
        <v>1678516.07</v>
      </c>
      <c r="I88" s="20">
        <f t="shared" si="0"/>
        <v>1890251.07</v>
      </c>
      <c r="J88" s="19"/>
    </row>
    <row r="89" spans="1:10">
      <c r="A89" s="18">
        <v>2</v>
      </c>
      <c r="B89" s="15">
        <v>2</v>
      </c>
      <c r="C89" s="15">
        <v>1</v>
      </c>
      <c r="D89" s="15">
        <v>1</v>
      </c>
      <c r="E89" s="15"/>
      <c r="F89" s="38" t="s">
        <v>279</v>
      </c>
      <c r="G89" s="12">
        <f>SUM(G90)</f>
        <v>0</v>
      </c>
      <c r="H89" s="12">
        <f>SUM(H90)</f>
        <v>0</v>
      </c>
      <c r="I89" s="12">
        <f t="shared" ref="I89:I152" si="4">SUM(G89:H89)</f>
        <v>0</v>
      </c>
      <c r="J89" s="11"/>
    </row>
    <row r="90" spans="1:10">
      <c r="A90" s="17">
        <v>2</v>
      </c>
      <c r="B90" s="9">
        <v>2</v>
      </c>
      <c r="C90" s="9">
        <v>1</v>
      </c>
      <c r="D90" s="9">
        <v>1</v>
      </c>
      <c r="E90" s="24" t="s">
        <v>44</v>
      </c>
      <c r="F90" s="40" t="s">
        <v>279</v>
      </c>
      <c r="G90" s="7">
        <f>'CUENTA T FONDO 100'!AO210</f>
        <v>0</v>
      </c>
      <c r="H90" s="7">
        <f>'CUENTA T VS'!AO498</f>
        <v>0</v>
      </c>
      <c r="I90" s="7">
        <f t="shared" si="4"/>
        <v>0</v>
      </c>
      <c r="J90" s="6">
        <f>I90/$I$25</f>
        <v>0</v>
      </c>
    </row>
    <row r="91" spans="1:10">
      <c r="A91" s="18">
        <v>2</v>
      </c>
      <c r="B91" s="15">
        <v>2</v>
      </c>
      <c r="C91" s="15">
        <v>1</v>
      </c>
      <c r="D91" s="15">
        <v>2</v>
      </c>
      <c r="E91" s="15"/>
      <c r="F91" s="38" t="s">
        <v>278</v>
      </c>
      <c r="G91" s="12">
        <f>SUM(G92)</f>
        <v>0</v>
      </c>
      <c r="H91" s="12">
        <f>SUM(H92)</f>
        <v>0</v>
      </c>
      <c r="I91" s="12">
        <f t="shared" si="4"/>
        <v>0</v>
      </c>
      <c r="J91" s="11"/>
    </row>
    <row r="92" spans="1:10">
      <c r="A92" s="17">
        <v>2</v>
      </c>
      <c r="B92" s="9">
        <v>2</v>
      </c>
      <c r="C92" s="9">
        <v>1</v>
      </c>
      <c r="D92" s="9">
        <v>2</v>
      </c>
      <c r="E92" s="24" t="s">
        <v>44</v>
      </c>
      <c r="F92" s="40" t="s">
        <v>278</v>
      </c>
      <c r="G92" s="7">
        <f>'CUENTA T FONDO 100'!AP210</f>
        <v>0</v>
      </c>
      <c r="H92" s="7">
        <f>'CUENTA T VS'!AP498</f>
        <v>0</v>
      </c>
      <c r="I92" s="7">
        <f t="shared" si="4"/>
        <v>0</v>
      </c>
      <c r="J92" s="6">
        <f>I92/$I$25</f>
        <v>0</v>
      </c>
    </row>
    <row r="93" spans="1:10">
      <c r="A93" s="18">
        <v>2</v>
      </c>
      <c r="B93" s="15">
        <v>2</v>
      </c>
      <c r="C93" s="15">
        <v>1</v>
      </c>
      <c r="D93" s="15">
        <v>3</v>
      </c>
      <c r="E93" s="15"/>
      <c r="F93" s="38" t="s">
        <v>71</v>
      </c>
      <c r="G93" s="12">
        <f>SUM(G94)</f>
        <v>0</v>
      </c>
      <c r="H93" s="12">
        <f>SUM(H94)</f>
        <v>213516.07</v>
      </c>
      <c r="I93" s="12">
        <f t="shared" si="4"/>
        <v>213516.07</v>
      </c>
      <c r="J93" s="11"/>
    </row>
    <row r="94" spans="1:10">
      <c r="A94" s="17">
        <v>2</v>
      </c>
      <c r="B94" s="9">
        <v>2</v>
      </c>
      <c r="C94" s="9">
        <v>1</v>
      </c>
      <c r="D94" s="9">
        <v>3</v>
      </c>
      <c r="E94" s="24" t="s">
        <v>44</v>
      </c>
      <c r="F94" s="40" t="s">
        <v>71</v>
      </c>
      <c r="G94" s="7">
        <f>'CUENTA T FONDO 100'!AQ210</f>
        <v>0</v>
      </c>
      <c r="H94" s="7">
        <f>'CUENTA T VS'!AQ498</f>
        <v>213516.07</v>
      </c>
      <c r="I94" s="7">
        <f t="shared" si="4"/>
        <v>213516.07</v>
      </c>
      <c r="J94" s="6">
        <f>I94/$I$25</f>
        <v>1.0258170664258544E-3</v>
      </c>
    </row>
    <row r="95" spans="1:10">
      <c r="A95" s="18">
        <v>2</v>
      </c>
      <c r="B95" s="15">
        <v>2</v>
      </c>
      <c r="C95" s="15">
        <v>1</v>
      </c>
      <c r="D95" s="15">
        <v>4</v>
      </c>
      <c r="E95" s="15"/>
      <c r="F95" s="38" t="s">
        <v>70</v>
      </c>
      <c r="G95" s="12">
        <f>SUM(G96)</f>
        <v>0</v>
      </c>
      <c r="H95" s="12">
        <f>SUM(H96)</f>
        <v>0</v>
      </c>
      <c r="I95" s="12">
        <f t="shared" si="4"/>
        <v>0</v>
      </c>
      <c r="J95" s="11"/>
    </row>
    <row r="96" spans="1:10">
      <c r="A96" s="17">
        <v>2</v>
      </c>
      <c r="B96" s="9">
        <v>2</v>
      </c>
      <c r="C96" s="9">
        <v>1</v>
      </c>
      <c r="D96" s="9">
        <v>4</v>
      </c>
      <c r="E96" s="24" t="s">
        <v>44</v>
      </c>
      <c r="F96" s="40" t="s">
        <v>70</v>
      </c>
      <c r="G96" s="7">
        <f>'CUENTA T FONDO 100'!AR210</f>
        <v>0</v>
      </c>
      <c r="H96" s="7">
        <f>'CUENTA T VS'!AR498</f>
        <v>0</v>
      </c>
      <c r="I96" s="7">
        <f t="shared" si="4"/>
        <v>0</v>
      </c>
      <c r="J96" s="6">
        <f>I96/$I$25</f>
        <v>0</v>
      </c>
    </row>
    <row r="97" spans="1:10">
      <c r="A97" s="18">
        <v>2</v>
      </c>
      <c r="B97" s="15">
        <v>2</v>
      </c>
      <c r="C97" s="15">
        <v>1</v>
      </c>
      <c r="D97" s="15">
        <v>5</v>
      </c>
      <c r="E97" s="15"/>
      <c r="F97" s="38" t="s">
        <v>277</v>
      </c>
      <c r="G97" s="12">
        <f>SUM(G98)</f>
        <v>0</v>
      </c>
      <c r="H97" s="12">
        <f>SUM(H98)</f>
        <v>0</v>
      </c>
      <c r="I97" s="12">
        <f t="shared" si="4"/>
        <v>0</v>
      </c>
      <c r="J97" s="11"/>
    </row>
    <row r="98" spans="1:10">
      <c r="A98" s="17">
        <v>2</v>
      </c>
      <c r="B98" s="9">
        <v>2</v>
      </c>
      <c r="C98" s="9">
        <v>1</v>
      </c>
      <c r="D98" s="9">
        <v>5</v>
      </c>
      <c r="E98" s="24" t="s">
        <v>44</v>
      </c>
      <c r="F98" s="40" t="s">
        <v>277</v>
      </c>
      <c r="G98" s="7">
        <f>'CUENTA T FONDO 100'!AS210</f>
        <v>0</v>
      </c>
      <c r="H98" s="7">
        <f>'CUENTA T VS'!AS498</f>
        <v>0</v>
      </c>
      <c r="I98" s="7">
        <f t="shared" si="4"/>
        <v>0</v>
      </c>
      <c r="J98" s="6">
        <f>I98/$I$25</f>
        <v>0</v>
      </c>
    </row>
    <row r="99" spans="1:10">
      <c r="A99" s="18">
        <v>2</v>
      </c>
      <c r="B99" s="15">
        <v>2</v>
      </c>
      <c r="C99" s="15">
        <v>1</v>
      </c>
      <c r="D99" s="15">
        <v>6</v>
      </c>
      <c r="E99" s="15"/>
      <c r="F99" s="38" t="s">
        <v>69</v>
      </c>
      <c r="G99" s="12">
        <f>SUM(G100:G101)</f>
        <v>0</v>
      </c>
      <c r="H99" s="12">
        <f>SUM(H100:H101)</f>
        <v>0</v>
      </c>
      <c r="I99" s="12">
        <f t="shared" si="4"/>
        <v>0</v>
      </c>
      <c r="J99" s="11"/>
    </row>
    <row r="100" spans="1:10">
      <c r="A100" s="17">
        <v>2</v>
      </c>
      <c r="B100" s="9">
        <v>2</v>
      </c>
      <c r="C100" s="9">
        <v>1</v>
      </c>
      <c r="D100" s="9">
        <v>6</v>
      </c>
      <c r="E100" s="24" t="s">
        <v>44</v>
      </c>
      <c r="F100" s="40" t="s">
        <v>68</v>
      </c>
      <c r="G100" s="7">
        <f>'CUENTA T FONDO 100'!AT210</f>
        <v>0</v>
      </c>
      <c r="H100" s="7">
        <f>'CUENTA T VS'!AT498</f>
        <v>0</v>
      </c>
      <c r="I100" s="7">
        <f t="shared" si="4"/>
        <v>0</v>
      </c>
      <c r="J100" s="6">
        <f>I100/$I$25</f>
        <v>0</v>
      </c>
    </row>
    <row r="101" spans="1:10">
      <c r="A101" s="17">
        <v>2</v>
      </c>
      <c r="B101" s="9">
        <v>2</v>
      </c>
      <c r="C101" s="9">
        <v>1</v>
      </c>
      <c r="D101" s="9">
        <v>6</v>
      </c>
      <c r="E101" s="24" t="s">
        <v>43</v>
      </c>
      <c r="F101" s="40" t="s">
        <v>276</v>
      </c>
      <c r="G101" s="7">
        <f>'CUENTA T FONDO 100'!AU210</f>
        <v>0</v>
      </c>
      <c r="H101" s="7">
        <f>'CUENTA T VS'!AU498</f>
        <v>0</v>
      </c>
      <c r="I101" s="7">
        <f t="shared" si="4"/>
        <v>0</v>
      </c>
      <c r="J101" s="6">
        <f>I101/$I$25</f>
        <v>0</v>
      </c>
    </row>
    <row r="102" spans="1:10">
      <c r="A102" s="18">
        <v>2</v>
      </c>
      <c r="B102" s="15">
        <v>2</v>
      </c>
      <c r="C102" s="15">
        <v>1</v>
      </c>
      <c r="D102" s="15">
        <v>7</v>
      </c>
      <c r="E102" s="15"/>
      <c r="F102" s="38" t="s">
        <v>67</v>
      </c>
      <c r="G102" s="12">
        <f>SUM(G103)</f>
        <v>211735</v>
      </c>
      <c r="H102" s="12">
        <f>SUM(H103)</f>
        <v>0</v>
      </c>
      <c r="I102" s="12">
        <f t="shared" si="4"/>
        <v>211735</v>
      </c>
      <c r="J102" s="11"/>
    </row>
    <row r="103" spans="1:10">
      <c r="A103" s="17">
        <v>2</v>
      </c>
      <c r="B103" s="9">
        <v>2</v>
      </c>
      <c r="C103" s="9">
        <v>1</v>
      </c>
      <c r="D103" s="9">
        <v>7</v>
      </c>
      <c r="E103" s="24" t="s">
        <v>44</v>
      </c>
      <c r="F103" s="40" t="s">
        <v>67</v>
      </c>
      <c r="G103" s="7">
        <f>'CUENTA T FONDO 100'!AV210</f>
        <v>211735</v>
      </c>
      <c r="H103" s="7">
        <f>'CUENTA T VS'!AV498</f>
        <v>0</v>
      </c>
      <c r="I103" s="7">
        <f t="shared" si="4"/>
        <v>211735</v>
      </c>
      <c r="J103" s="6">
        <f>I103/$I$25</f>
        <v>1.0172600898830627E-3</v>
      </c>
    </row>
    <row r="104" spans="1:10">
      <c r="A104" s="18">
        <v>2</v>
      </c>
      <c r="B104" s="15">
        <v>2</v>
      </c>
      <c r="C104" s="15">
        <v>1</v>
      </c>
      <c r="D104" s="15">
        <v>8</v>
      </c>
      <c r="E104" s="15"/>
      <c r="F104" s="38" t="s">
        <v>66</v>
      </c>
      <c r="G104" s="12">
        <f>SUM(G105)</f>
        <v>0</v>
      </c>
      <c r="H104" s="12">
        <f>SUM(H105)</f>
        <v>1465000</v>
      </c>
      <c r="I104" s="12">
        <f t="shared" si="4"/>
        <v>1465000</v>
      </c>
      <c r="J104" s="11"/>
    </row>
    <row r="105" spans="1:10">
      <c r="A105" s="17">
        <v>2</v>
      </c>
      <c r="B105" s="9">
        <v>2</v>
      </c>
      <c r="C105" s="9">
        <v>1</v>
      </c>
      <c r="D105" s="9">
        <v>8</v>
      </c>
      <c r="E105" s="24" t="s">
        <v>44</v>
      </c>
      <c r="F105" s="40" t="s">
        <v>66</v>
      </c>
      <c r="G105" s="7">
        <f>'CUENTA T FONDO 100'!AW210</f>
        <v>0</v>
      </c>
      <c r="H105" s="7">
        <f>'CUENTA T VS'!AW498</f>
        <v>1465000</v>
      </c>
      <c r="I105" s="7">
        <f t="shared" si="4"/>
        <v>1465000</v>
      </c>
      <c r="J105" s="6">
        <f>I105/$I$25</f>
        <v>7.0384491542668272E-3</v>
      </c>
    </row>
    <row r="106" spans="1:10">
      <c r="A106" s="23">
        <v>2</v>
      </c>
      <c r="B106" s="22">
        <v>2</v>
      </c>
      <c r="C106" s="22">
        <v>2</v>
      </c>
      <c r="D106" s="22"/>
      <c r="E106" s="22"/>
      <c r="F106" s="41" t="s">
        <v>275</v>
      </c>
      <c r="G106" s="20">
        <f>+G107+G109</f>
        <v>300172.65000000002</v>
      </c>
      <c r="H106" s="20">
        <f>+H107+H109</f>
        <v>554568.57000000007</v>
      </c>
      <c r="I106" s="20">
        <f t="shared" si="4"/>
        <v>854741.22000000009</v>
      </c>
      <c r="J106" s="19"/>
    </row>
    <row r="107" spans="1:10">
      <c r="A107" s="18">
        <v>2</v>
      </c>
      <c r="B107" s="15">
        <v>2</v>
      </c>
      <c r="C107" s="15">
        <v>2</v>
      </c>
      <c r="D107" s="15">
        <v>1</v>
      </c>
      <c r="E107" s="15"/>
      <c r="F107" s="38" t="s">
        <v>274</v>
      </c>
      <c r="G107" s="12">
        <f>SUM(G108)</f>
        <v>0</v>
      </c>
      <c r="H107" s="12">
        <f>SUM(H108)</f>
        <v>0</v>
      </c>
      <c r="I107" s="12">
        <f t="shared" si="4"/>
        <v>0</v>
      </c>
      <c r="J107" s="11"/>
    </row>
    <row r="108" spans="1:10">
      <c r="A108" s="17">
        <v>2</v>
      </c>
      <c r="B108" s="9">
        <v>2</v>
      </c>
      <c r="C108" s="9">
        <v>2</v>
      </c>
      <c r="D108" s="9">
        <v>1</v>
      </c>
      <c r="E108" s="24" t="s">
        <v>44</v>
      </c>
      <c r="F108" s="40" t="s">
        <v>274</v>
      </c>
      <c r="G108" s="7">
        <f>'CUENTA T FONDO 100'!AX210</f>
        <v>0</v>
      </c>
      <c r="H108" s="7">
        <f>'CUENTA T VS'!AX498</f>
        <v>0</v>
      </c>
      <c r="I108" s="7">
        <f t="shared" si="4"/>
        <v>0</v>
      </c>
      <c r="J108" s="6">
        <f>I108/$I$25</f>
        <v>0</v>
      </c>
    </row>
    <row r="109" spans="1:10">
      <c r="A109" s="18">
        <v>2</v>
      </c>
      <c r="B109" s="15">
        <v>2</v>
      </c>
      <c r="C109" s="15">
        <v>2</v>
      </c>
      <c r="D109" s="15">
        <v>2</v>
      </c>
      <c r="E109" s="15"/>
      <c r="F109" s="38" t="s">
        <v>273</v>
      </c>
      <c r="G109" s="12">
        <f>SUM(G110)</f>
        <v>300172.65000000002</v>
      </c>
      <c r="H109" s="12">
        <f>SUM(H110)</f>
        <v>554568.57000000007</v>
      </c>
      <c r="I109" s="12">
        <f t="shared" si="4"/>
        <v>854741.22000000009</v>
      </c>
      <c r="J109" s="11"/>
    </row>
    <row r="110" spans="1:10">
      <c r="A110" s="17">
        <v>2</v>
      </c>
      <c r="B110" s="9">
        <v>2</v>
      </c>
      <c r="C110" s="9">
        <v>2</v>
      </c>
      <c r="D110" s="9">
        <v>2</v>
      </c>
      <c r="E110" s="24" t="s">
        <v>44</v>
      </c>
      <c r="F110" s="40" t="s">
        <v>273</v>
      </c>
      <c r="G110" s="7">
        <f>'CUENTA T FONDO 100'!AY210</f>
        <v>300172.65000000002</v>
      </c>
      <c r="H110" s="7">
        <f>'CUENTA T VS'!AY498</f>
        <v>554568.57000000007</v>
      </c>
      <c r="I110" s="7">
        <f t="shared" si="4"/>
        <v>854741.22000000009</v>
      </c>
      <c r="J110" s="6">
        <f>I110/$I$25</f>
        <v>4.1065205576969266E-3</v>
      </c>
    </row>
    <row r="111" spans="1:10">
      <c r="A111" s="23">
        <v>2</v>
      </c>
      <c r="B111" s="22">
        <v>2</v>
      </c>
      <c r="C111" s="22">
        <v>3</v>
      </c>
      <c r="D111" s="22"/>
      <c r="E111" s="22"/>
      <c r="F111" s="41" t="s">
        <v>272</v>
      </c>
      <c r="G111" s="20">
        <f>+G112+G114</f>
        <v>0</v>
      </c>
      <c r="H111" s="20">
        <f>+H112+H114</f>
        <v>0</v>
      </c>
      <c r="I111" s="20">
        <f t="shared" si="4"/>
        <v>0</v>
      </c>
      <c r="J111" s="19"/>
    </row>
    <row r="112" spans="1:10">
      <c r="A112" s="18">
        <v>2</v>
      </c>
      <c r="B112" s="15">
        <v>2</v>
      </c>
      <c r="C112" s="15">
        <v>3</v>
      </c>
      <c r="D112" s="15">
        <v>1</v>
      </c>
      <c r="E112" s="15"/>
      <c r="F112" s="38" t="s">
        <v>271</v>
      </c>
      <c r="G112" s="12">
        <f>SUM(G113)</f>
        <v>0</v>
      </c>
      <c r="H112" s="12">
        <f>SUM(H113)</f>
        <v>0</v>
      </c>
      <c r="I112" s="12">
        <f t="shared" si="4"/>
        <v>0</v>
      </c>
      <c r="J112" s="11"/>
    </row>
    <row r="113" spans="1:10">
      <c r="A113" s="17">
        <v>2</v>
      </c>
      <c r="B113" s="9">
        <v>2</v>
      </c>
      <c r="C113" s="9">
        <v>3</v>
      </c>
      <c r="D113" s="9">
        <v>1</v>
      </c>
      <c r="E113" s="24" t="s">
        <v>44</v>
      </c>
      <c r="F113" s="40" t="s">
        <v>271</v>
      </c>
      <c r="G113" s="7">
        <f>'CUENTA T FONDO 100'!AZ210</f>
        <v>0</v>
      </c>
      <c r="H113" s="7">
        <f>'CUENTA T VS'!AZ498</f>
        <v>0</v>
      </c>
      <c r="I113" s="7">
        <f t="shared" si="4"/>
        <v>0</v>
      </c>
      <c r="J113" s="6">
        <f>I113/$I$25</f>
        <v>0</v>
      </c>
    </row>
    <row r="114" spans="1:10">
      <c r="A114" s="18">
        <v>2</v>
      </c>
      <c r="B114" s="15">
        <v>2</v>
      </c>
      <c r="C114" s="15">
        <v>3</v>
      </c>
      <c r="D114" s="15">
        <v>2</v>
      </c>
      <c r="E114" s="15"/>
      <c r="F114" s="38" t="s">
        <v>65</v>
      </c>
      <c r="G114" s="12">
        <f>SUM(G115)</f>
        <v>0</v>
      </c>
      <c r="H114" s="12">
        <f>SUM(H115)</f>
        <v>0</v>
      </c>
      <c r="I114" s="12">
        <f t="shared" si="4"/>
        <v>0</v>
      </c>
      <c r="J114" s="11"/>
    </row>
    <row r="115" spans="1:10">
      <c r="A115" s="17">
        <v>2</v>
      </c>
      <c r="B115" s="9">
        <v>2</v>
      </c>
      <c r="C115" s="9">
        <v>3</v>
      </c>
      <c r="D115" s="9">
        <v>2</v>
      </c>
      <c r="E115" s="24" t="s">
        <v>44</v>
      </c>
      <c r="F115" s="40" t="s">
        <v>65</v>
      </c>
      <c r="G115" s="7">
        <f>'CUENTA T FONDO 100'!BA210</f>
        <v>0</v>
      </c>
      <c r="H115" s="7">
        <f>'CUENTA T VS'!BA498</f>
        <v>0</v>
      </c>
      <c r="I115" s="7">
        <f t="shared" si="4"/>
        <v>0</v>
      </c>
      <c r="J115" s="6">
        <f>I115/$I$25</f>
        <v>0</v>
      </c>
    </row>
    <row r="116" spans="1:10">
      <c r="A116" s="23">
        <v>2</v>
      </c>
      <c r="B116" s="22">
        <v>2</v>
      </c>
      <c r="C116" s="22">
        <v>4</v>
      </c>
      <c r="D116" s="22"/>
      <c r="E116" s="22"/>
      <c r="F116" s="41" t="s">
        <v>270</v>
      </c>
      <c r="G116" s="20">
        <f>+G117+G119+G121+G123</f>
        <v>0</v>
      </c>
      <c r="H116" s="20">
        <f>+H117+H119+H121+H123</f>
        <v>68000</v>
      </c>
      <c r="I116" s="20">
        <f t="shared" si="4"/>
        <v>68000</v>
      </c>
      <c r="J116" s="19"/>
    </row>
    <row r="117" spans="1:10">
      <c r="A117" s="18">
        <v>2</v>
      </c>
      <c r="B117" s="15">
        <v>2</v>
      </c>
      <c r="C117" s="15">
        <v>4</v>
      </c>
      <c r="D117" s="15">
        <v>1</v>
      </c>
      <c r="E117" s="15"/>
      <c r="F117" s="38" t="s">
        <v>269</v>
      </c>
      <c r="G117" s="12">
        <f>SUM(G118)</f>
        <v>0</v>
      </c>
      <c r="H117" s="12">
        <f>SUM(H118)</f>
        <v>20000</v>
      </c>
      <c r="I117" s="12">
        <f t="shared" si="4"/>
        <v>20000</v>
      </c>
      <c r="J117" s="11"/>
    </row>
    <row r="118" spans="1:10">
      <c r="A118" s="17">
        <v>2</v>
      </c>
      <c r="B118" s="9">
        <v>2</v>
      </c>
      <c r="C118" s="9">
        <v>4</v>
      </c>
      <c r="D118" s="9">
        <v>1</v>
      </c>
      <c r="E118" s="24" t="s">
        <v>44</v>
      </c>
      <c r="F118" s="40" t="s">
        <v>269</v>
      </c>
      <c r="G118" s="7">
        <f>'CUENTA T FONDO 100'!BB210</f>
        <v>0</v>
      </c>
      <c r="H118" s="7">
        <f>'CUENTA T VS'!BB498</f>
        <v>20000</v>
      </c>
      <c r="I118" s="7">
        <f t="shared" si="4"/>
        <v>20000</v>
      </c>
      <c r="J118" s="6">
        <f>I118/$I$25</f>
        <v>9.6088043061663168E-5</v>
      </c>
    </row>
    <row r="119" spans="1:10">
      <c r="A119" s="18">
        <v>2</v>
      </c>
      <c r="B119" s="15">
        <v>2</v>
      </c>
      <c r="C119" s="15">
        <v>4</v>
      </c>
      <c r="D119" s="15">
        <v>2</v>
      </c>
      <c r="E119" s="15"/>
      <c r="F119" s="38" t="s">
        <v>64</v>
      </c>
      <c r="G119" s="12">
        <f>SUM(G120)</f>
        <v>0</v>
      </c>
      <c r="H119" s="12">
        <f>SUM(H120)</f>
        <v>48000</v>
      </c>
      <c r="I119" s="12">
        <f t="shared" si="4"/>
        <v>48000</v>
      </c>
      <c r="J119" s="11"/>
    </row>
    <row r="120" spans="1:10">
      <c r="A120" s="17">
        <v>2</v>
      </c>
      <c r="B120" s="9">
        <v>2</v>
      </c>
      <c r="C120" s="9">
        <v>4</v>
      </c>
      <c r="D120" s="9">
        <v>2</v>
      </c>
      <c r="E120" s="24" t="s">
        <v>44</v>
      </c>
      <c r="F120" s="40" t="s">
        <v>64</v>
      </c>
      <c r="G120" s="7">
        <f>'CUENTA T FONDO 100'!BC210</f>
        <v>0</v>
      </c>
      <c r="H120" s="7">
        <f>'CUENTA T VS'!BC498</f>
        <v>48000</v>
      </c>
      <c r="I120" s="7">
        <f t="shared" si="4"/>
        <v>48000</v>
      </c>
      <c r="J120" s="6">
        <f>I120/$I$25</f>
        <v>2.3061130334799161E-4</v>
      </c>
    </row>
    <row r="121" spans="1:10">
      <c r="A121" s="18">
        <v>2</v>
      </c>
      <c r="B121" s="15">
        <v>2</v>
      </c>
      <c r="C121" s="15">
        <v>4</v>
      </c>
      <c r="D121" s="15">
        <v>3</v>
      </c>
      <c r="E121" s="15"/>
      <c r="F121" s="38" t="s">
        <v>268</v>
      </c>
      <c r="G121" s="12">
        <f>SUM(G122)</f>
        <v>0</v>
      </c>
      <c r="H121" s="12">
        <f>SUM(H122)</f>
        <v>0</v>
      </c>
      <c r="I121" s="12">
        <f t="shared" si="4"/>
        <v>0</v>
      </c>
      <c r="J121" s="11"/>
    </row>
    <row r="122" spans="1:10">
      <c r="A122" s="17">
        <v>2</v>
      </c>
      <c r="B122" s="9">
        <v>2</v>
      </c>
      <c r="C122" s="9">
        <v>4</v>
      </c>
      <c r="D122" s="9">
        <v>3</v>
      </c>
      <c r="E122" s="24" t="s">
        <v>44</v>
      </c>
      <c r="F122" s="40" t="s">
        <v>268</v>
      </c>
      <c r="G122" s="7">
        <f>'CUENTA T FONDO 100'!BD210</f>
        <v>0</v>
      </c>
      <c r="H122" s="7">
        <f>'CUENTA T VS'!BD498</f>
        <v>0</v>
      </c>
      <c r="I122" s="7">
        <f t="shared" si="4"/>
        <v>0</v>
      </c>
      <c r="J122" s="6">
        <f>I122/$I$25</f>
        <v>0</v>
      </c>
    </row>
    <row r="123" spans="1:10">
      <c r="A123" s="18">
        <v>2</v>
      </c>
      <c r="B123" s="15">
        <v>2</v>
      </c>
      <c r="C123" s="15">
        <v>4</v>
      </c>
      <c r="D123" s="15">
        <v>4</v>
      </c>
      <c r="E123" s="15"/>
      <c r="F123" s="38" t="s">
        <v>267</v>
      </c>
      <c r="G123" s="12">
        <f>SUM(G124)</f>
        <v>0</v>
      </c>
      <c r="H123" s="12">
        <f>SUM(H124)</f>
        <v>0</v>
      </c>
      <c r="I123" s="12">
        <f t="shared" si="4"/>
        <v>0</v>
      </c>
      <c r="J123" s="11"/>
    </row>
    <row r="124" spans="1:10">
      <c r="A124" s="17">
        <v>2</v>
      </c>
      <c r="B124" s="9">
        <v>2</v>
      </c>
      <c r="C124" s="9">
        <v>4</v>
      </c>
      <c r="D124" s="9">
        <v>4</v>
      </c>
      <c r="E124" s="24" t="s">
        <v>44</v>
      </c>
      <c r="F124" s="40" t="s">
        <v>267</v>
      </c>
      <c r="G124" s="7">
        <f>'CUENTA T FONDO 100'!BE210</f>
        <v>0</v>
      </c>
      <c r="H124" s="7">
        <f>'CUENTA T VS'!BE498</f>
        <v>0</v>
      </c>
      <c r="I124" s="7">
        <f t="shared" si="4"/>
        <v>0</v>
      </c>
      <c r="J124" s="6">
        <f>I124/$I$25</f>
        <v>0</v>
      </c>
    </row>
    <row r="125" spans="1:10">
      <c r="A125" s="30">
        <v>2</v>
      </c>
      <c r="B125" s="22">
        <v>2</v>
      </c>
      <c r="C125" s="22">
        <v>5</v>
      </c>
      <c r="D125" s="22"/>
      <c r="E125" s="22"/>
      <c r="F125" s="41" t="s">
        <v>266</v>
      </c>
      <c r="G125" s="20">
        <f>+G126+G128+G130+G136+G138+G140+G142+G144+G146</f>
        <v>632942.94999999995</v>
      </c>
      <c r="H125" s="20">
        <f>+H126+H128+H130+H136+H138+H140+H142+H144+H146</f>
        <v>0</v>
      </c>
      <c r="I125" s="20">
        <f t="shared" si="4"/>
        <v>632942.94999999995</v>
      </c>
      <c r="J125" s="19"/>
    </row>
    <row r="126" spans="1:10">
      <c r="A126" s="18">
        <v>2</v>
      </c>
      <c r="B126" s="15">
        <v>2</v>
      </c>
      <c r="C126" s="15">
        <v>5</v>
      </c>
      <c r="D126" s="15">
        <v>1</v>
      </c>
      <c r="E126" s="14"/>
      <c r="F126" s="38" t="s">
        <v>265</v>
      </c>
      <c r="G126" s="12">
        <f>SUM(G127)</f>
        <v>0</v>
      </c>
      <c r="H126" s="12">
        <f>SUM(H127)</f>
        <v>0</v>
      </c>
      <c r="I126" s="12">
        <f t="shared" si="4"/>
        <v>0</v>
      </c>
      <c r="J126" s="11"/>
    </row>
    <row r="127" spans="1:10">
      <c r="A127" s="17">
        <v>2</v>
      </c>
      <c r="B127" s="9">
        <v>2</v>
      </c>
      <c r="C127" s="9">
        <v>5</v>
      </c>
      <c r="D127" s="9">
        <v>1</v>
      </c>
      <c r="E127" s="24" t="s">
        <v>44</v>
      </c>
      <c r="F127" s="40" t="s">
        <v>265</v>
      </c>
      <c r="G127" s="7">
        <f>'CUENTA T FONDO 100'!BF210</f>
        <v>0</v>
      </c>
      <c r="H127" s="7">
        <f>'CUENTA T VS'!BF498</f>
        <v>0</v>
      </c>
      <c r="I127" s="7">
        <f t="shared" si="4"/>
        <v>0</v>
      </c>
      <c r="J127" s="6">
        <f>I127/$I$25</f>
        <v>0</v>
      </c>
    </row>
    <row r="128" spans="1:10">
      <c r="A128" s="18">
        <v>2</v>
      </c>
      <c r="B128" s="15">
        <v>2</v>
      </c>
      <c r="C128" s="15">
        <v>5</v>
      </c>
      <c r="D128" s="15">
        <v>2</v>
      </c>
      <c r="E128" s="14"/>
      <c r="F128" s="38" t="s">
        <v>264</v>
      </c>
      <c r="G128" s="12">
        <f>SUM(G129)</f>
        <v>0</v>
      </c>
      <c r="H128" s="12">
        <f>SUM(H129)</f>
        <v>0</v>
      </c>
      <c r="I128" s="12">
        <f t="shared" si="4"/>
        <v>0</v>
      </c>
      <c r="J128" s="11"/>
    </row>
    <row r="129" spans="1:10">
      <c r="A129" s="17">
        <v>2</v>
      </c>
      <c r="B129" s="9">
        <v>2</v>
      </c>
      <c r="C129" s="9">
        <v>5</v>
      </c>
      <c r="D129" s="9">
        <v>2</v>
      </c>
      <c r="E129" s="24" t="s">
        <v>44</v>
      </c>
      <c r="F129" s="40" t="s">
        <v>395</v>
      </c>
      <c r="G129" s="7">
        <f>'CUENTA T FONDO 100'!BG210</f>
        <v>0</v>
      </c>
      <c r="H129" s="7">
        <f>'CUENTA T VS'!BG498</f>
        <v>0</v>
      </c>
      <c r="I129" s="7">
        <f t="shared" si="4"/>
        <v>0</v>
      </c>
      <c r="J129" s="6">
        <f>I129/$I$25</f>
        <v>0</v>
      </c>
    </row>
    <row r="130" spans="1:10">
      <c r="A130" s="18">
        <v>2</v>
      </c>
      <c r="B130" s="15">
        <v>2</v>
      </c>
      <c r="C130" s="15">
        <v>5</v>
      </c>
      <c r="D130" s="15">
        <v>3</v>
      </c>
      <c r="E130" s="14"/>
      <c r="F130" s="38" t="s">
        <v>63</v>
      </c>
      <c r="G130" s="12">
        <f>SUM(G131:G135)</f>
        <v>632942.94999999995</v>
      </c>
      <c r="H130" s="12">
        <f>SUM(H131:H135)</f>
        <v>0</v>
      </c>
      <c r="I130" s="12">
        <f t="shared" si="4"/>
        <v>632942.94999999995</v>
      </c>
      <c r="J130" s="11"/>
    </row>
    <row r="131" spans="1:10">
      <c r="A131" s="17">
        <v>2</v>
      </c>
      <c r="B131" s="9">
        <v>2</v>
      </c>
      <c r="C131" s="9">
        <v>5</v>
      </c>
      <c r="D131" s="9">
        <v>3</v>
      </c>
      <c r="E131" s="24" t="s">
        <v>44</v>
      </c>
      <c r="F131" s="40" t="s">
        <v>263</v>
      </c>
      <c r="G131" s="7">
        <f>'CUENTA T FONDO 100'!BH210</f>
        <v>0</v>
      </c>
      <c r="H131" s="7">
        <f>'CUENTA T VS'!BH498</f>
        <v>0</v>
      </c>
      <c r="I131" s="7">
        <f t="shared" si="4"/>
        <v>0</v>
      </c>
      <c r="J131" s="6">
        <f>I131/$I$25</f>
        <v>0</v>
      </c>
    </row>
    <row r="132" spans="1:10">
      <c r="A132" s="17">
        <v>2</v>
      </c>
      <c r="B132" s="9">
        <v>2</v>
      </c>
      <c r="C132" s="9">
        <v>5</v>
      </c>
      <c r="D132" s="9">
        <v>3</v>
      </c>
      <c r="E132" s="24" t="s">
        <v>43</v>
      </c>
      <c r="F132" s="40" t="s">
        <v>396</v>
      </c>
      <c r="G132" s="7">
        <f>'CUENTA T FONDO 100'!BI210</f>
        <v>632942.94999999995</v>
      </c>
      <c r="H132" s="7">
        <f>'CUENTA T VS'!BI498</f>
        <v>0</v>
      </c>
      <c r="I132" s="7">
        <f t="shared" si="4"/>
        <v>632942.94999999995</v>
      </c>
      <c r="J132" s="6">
        <f>I132/$I$25</f>
        <v>3.0409124717588058E-3</v>
      </c>
    </row>
    <row r="133" spans="1:10">
      <c r="A133" s="17">
        <v>2</v>
      </c>
      <c r="B133" s="9">
        <v>2</v>
      </c>
      <c r="C133" s="9">
        <v>5</v>
      </c>
      <c r="D133" s="9">
        <v>3</v>
      </c>
      <c r="E133" s="24" t="s">
        <v>104</v>
      </c>
      <c r="F133" s="40" t="s">
        <v>262</v>
      </c>
      <c r="G133" s="7">
        <f>'CUENTA T FONDO 100'!BJ210</f>
        <v>0</v>
      </c>
      <c r="H133" s="7">
        <f>'CUENTA T VS'!BJ498</f>
        <v>0</v>
      </c>
      <c r="I133" s="7">
        <f t="shared" si="4"/>
        <v>0</v>
      </c>
      <c r="J133" s="6">
        <f>I133/$I$25</f>
        <v>0</v>
      </c>
    </row>
    <row r="134" spans="1:10">
      <c r="A134" s="17">
        <v>2</v>
      </c>
      <c r="B134" s="9">
        <v>2</v>
      </c>
      <c r="C134" s="9">
        <v>5</v>
      </c>
      <c r="D134" s="9">
        <v>3</v>
      </c>
      <c r="E134" s="24" t="s">
        <v>172</v>
      </c>
      <c r="F134" s="40" t="s">
        <v>261</v>
      </c>
      <c r="G134" s="7">
        <f>'CUENTA T FONDO 100'!BK210</f>
        <v>0</v>
      </c>
      <c r="H134" s="7">
        <f>'CUENTA T VS'!BK498</f>
        <v>0</v>
      </c>
      <c r="I134" s="7">
        <f t="shared" si="4"/>
        <v>0</v>
      </c>
      <c r="J134" s="6">
        <f>I134/$I$25</f>
        <v>0</v>
      </c>
    </row>
    <row r="135" spans="1:10">
      <c r="A135" s="17">
        <v>2</v>
      </c>
      <c r="B135" s="9">
        <v>2</v>
      </c>
      <c r="C135" s="9">
        <v>5</v>
      </c>
      <c r="D135" s="9">
        <v>3</v>
      </c>
      <c r="E135" s="24" t="s">
        <v>170</v>
      </c>
      <c r="F135" s="40" t="s">
        <v>260</v>
      </c>
      <c r="G135" s="7">
        <f>'CUENTA T FONDO 100'!BL210</f>
        <v>0</v>
      </c>
      <c r="H135" s="7">
        <f>'CUENTA T VS'!BL498</f>
        <v>0</v>
      </c>
      <c r="I135" s="7">
        <f t="shared" si="4"/>
        <v>0</v>
      </c>
      <c r="J135" s="6">
        <f>I135/$I$25</f>
        <v>0</v>
      </c>
    </row>
    <row r="136" spans="1:10">
      <c r="A136" s="18">
        <v>2</v>
      </c>
      <c r="B136" s="15">
        <v>2</v>
      </c>
      <c r="C136" s="15">
        <v>5</v>
      </c>
      <c r="D136" s="15">
        <v>4</v>
      </c>
      <c r="E136" s="14"/>
      <c r="F136" s="38" t="s">
        <v>259</v>
      </c>
      <c r="G136" s="12">
        <f>SUM(G137)</f>
        <v>0</v>
      </c>
      <c r="H136" s="12">
        <f>SUM(H137)</f>
        <v>0</v>
      </c>
      <c r="I136" s="12">
        <f t="shared" si="4"/>
        <v>0</v>
      </c>
      <c r="J136" s="11"/>
    </row>
    <row r="137" spans="1:10">
      <c r="A137" s="17">
        <v>2</v>
      </c>
      <c r="B137" s="9">
        <v>2</v>
      </c>
      <c r="C137" s="9">
        <v>5</v>
      </c>
      <c r="D137" s="9">
        <v>4</v>
      </c>
      <c r="E137" s="24" t="s">
        <v>44</v>
      </c>
      <c r="F137" s="40" t="s">
        <v>259</v>
      </c>
      <c r="G137" s="7">
        <f>'CUENTA T FONDO 100'!BM210</f>
        <v>0</v>
      </c>
      <c r="H137" s="7">
        <f>'CUENTA T VS'!BM498</f>
        <v>0</v>
      </c>
      <c r="I137" s="7">
        <f t="shared" si="4"/>
        <v>0</v>
      </c>
      <c r="J137" s="6">
        <f>I137/$I$25</f>
        <v>0</v>
      </c>
    </row>
    <row r="138" spans="1:10">
      <c r="A138" s="18">
        <v>2</v>
      </c>
      <c r="B138" s="15">
        <v>2</v>
      </c>
      <c r="C138" s="15">
        <v>5</v>
      </c>
      <c r="D138" s="15">
        <v>5</v>
      </c>
      <c r="E138" s="14"/>
      <c r="F138" s="38" t="s">
        <v>258</v>
      </c>
      <c r="G138" s="12">
        <f>SUM(G139)</f>
        <v>0</v>
      </c>
      <c r="H138" s="12">
        <f>SUM(H139)</f>
        <v>0</v>
      </c>
      <c r="I138" s="12">
        <f t="shared" si="4"/>
        <v>0</v>
      </c>
      <c r="J138" s="11"/>
    </row>
    <row r="139" spans="1:10">
      <c r="A139" s="17">
        <v>2</v>
      </c>
      <c r="B139" s="9">
        <v>2</v>
      </c>
      <c r="C139" s="9">
        <v>5</v>
      </c>
      <c r="D139" s="9">
        <v>5</v>
      </c>
      <c r="E139" s="24" t="s">
        <v>44</v>
      </c>
      <c r="F139" s="40" t="s">
        <v>258</v>
      </c>
      <c r="G139" s="7">
        <f>'CUENTA T FONDO 100'!BN210</f>
        <v>0</v>
      </c>
      <c r="H139" s="7">
        <f>'CUENTA T VS'!BN498</f>
        <v>0</v>
      </c>
      <c r="I139" s="7">
        <f t="shared" si="4"/>
        <v>0</v>
      </c>
      <c r="J139" s="6">
        <f>I139/$I$25</f>
        <v>0</v>
      </c>
    </row>
    <row r="140" spans="1:10">
      <c r="A140" s="18">
        <v>2</v>
      </c>
      <c r="B140" s="15">
        <v>2</v>
      </c>
      <c r="C140" s="15">
        <v>5</v>
      </c>
      <c r="D140" s="15">
        <v>6</v>
      </c>
      <c r="E140" s="14"/>
      <c r="F140" s="38" t="s">
        <v>257</v>
      </c>
      <c r="G140" s="12">
        <f>SUM(G141)</f>
        <v>0</v>
      </c>
      <c r="H140" s="12">
        <f>SUM(H141)</f>
        <v>0</v>
      </c>
      <c r="I140" s="12">
        <f t="shared" si="4"/>
        <v>0</v>
      </c>
      <c r="J140" s="11"/>
    </row>
    <row r="141" spans="1:10">
      <c r="A141" s="17">
        <v>2</v>
      </c>
      <c r="B141" s="9">
        <v>2</v>
      </c>
      <c r="C141" s="9">
        <v>5</v>
      </c>
      <c r="D141" s="9">
        <v>6</v>
      </c>
      <c r="E141" s="24" t="s">
        <v>44</v>
      </c>
      <c r="F141" s="40" t="s">
        <v>257</v>
      </c>
      <c r="G141" s="7">
        <f>'CUENTA T FONDO 100'!BO210</f>
        <v>0</v>
      </c>
      <c r="H141" s="7">
        <f>'CUENTA T VS'!BO498</f>
        <v>0</v>
      </c>
      <c r="I141" s="7">
        <f t="shared" si="4"/>
        <v>0</v>
      </c>
      <c r="J141" s="6">
        <f>I141/$I$25</f>
        <v>0</v>
      </c>
    </row>
    <row r="142" spans="1:10">
      <c r="A142" s="18">
        <v>2</v>
      </c>
      <c r="B142" s="15">
        <v>2</v>
      </c>
      <c r="C142" s="15">
        <v>5</v>
      </c>
      <c r="D142" s="15">
        <v>7</v>
      </c>
      <c r="E142" s="14"/>
      <c r="F142" s="38" t="s">
        <v>256</v>
      </c>
      <c r="G142" s="12">
        <f>SUM(G143)</f>
        <v>0</v>
      </c>
      <c r="H142" s="12">
        <f>SUM(H143)</f>
        <v>0</v>
      </c>
      <c r="I142" s="12">
        <f t="shared" si="4"/>
        <v>0</v>
      </c>
      <c r="J142" s="11"/>
    </row>
    <row r="143" spans="1:10">
      <c r="A143" s="17">
        <v>2</v>
      </c>
      <c r="B143" s="9">
        <v>2</v>
      </c>
      <c r="C143" s="9">
        <v>5</v>
      </c>
      <c r="D143" s="9">
        <v>7</v>
      </c>
      <c r="E143" s="24" t="s">
        <v>44</v>
      </c>
      <c r="F143" s="40" t="s">
        <v>256</v>
      </c>
      <c r="G143" s="7">
        <f>'CUENTA T FONDO 100'!BP210</f>
        <v>0</v>
      </c>
      <c r="H143" s="7">
        <f>'CUENTA T VS'!BP498</f>
        <v>0</v>
      </c>
      <c r="I143" s="7">
        <f t="shared" si="4"/>
        <v>0</v>
      </c>
      <c r="J143" s="6">
        <f>I143/$I$25</f>
        <v>0</v>
      </c>
    </row>
    <row r="144" spans="1:10">
      <c r="A144" s="18">
        <v>2</v>
      </c>
      <c r="B144" s="15">
        <v>2</v>
      </c>
      <c r="C144" s="15">
        <v>5</v>
      </c>
      <c r="D144" s="15">
        <v>8</v>
      </c>
      <c r="E144" s="14"/>
      <c r="F144" s="38" t="s">
        <v>255</v>
      </c>
      <c r="G144" s="12">
        <f>SUM(G145)</f>
        <v>0</v>
      </c>
      <c r="H144" s="12">
        <f>SUM(H145)</f>
        <v>0</v>
      </c>
      <c r="I144" s="12">
        <f t="shared" si="4"/>
        <v>0</v>
      </c>
      <c r="J144" s="11"/>
    </row>
    <row r="145" spans="1:10">
      <c r="A145" s="17">
        <v>2</v>
      </c>
      <c r="B145" s="9">
        <v>2</v>
      </c>
      <c r="C145" s="9">
        <v>5</v>
      </c>
      <c r="D145" s="9">
        <v>8</v>
      </c>
      <c r="E145" s="24" t="s">
        <v>44</v>
      </c>
      <c r="F145" s="40" t="s">
        <v>255</v>
      </c>
      <c r="G145" s="7">
        <f>'CUENTA T FONDO 100'!BQ210</f>
        <v>0</v>
      </c>
      <c r="H145" s="7">
        <f>'CUENTA T VS'!BQ498</f>
        <v>0</v>
      </c>
      <c r="I145" s="7">
        <f t="shared" si="4"/>
        <v>0</v>
      </c>
      <c r="J145" s="6">
        <f>I145/$I$25</f>
        <v>0</v>
      </c>
    </row>
    <row r="146" spans="1:10">
      <c r="A146" s="18">
        <v>2</v>
      </c>
      <c r="B146" s="15">
        <v>2</v>
      </c>
      <c r="C146" s="15">
        <v>5</v>
      </c>
      <c r="D146" s="15">
        <v>9</v>
      </c>
      <c r="E146" s="14"/>
      <c r="F146" s="38" t="s">
        <v>397</v>
      </c>
      <c r="G146" s="12">
        <f>SUM(G147)</f>
        <v>0</v>
      </c>
      <c r="H146" s="12">
        <f>SUM(H147)</f>
        <v>0</v>
      </c>
      <c r="I146" s="12">
        <f t="shared" si="4"/>
        <v>0</v>
      </c>
      <c r="J146" s="11"/>
    </row>
    <row r="147" spans="1:10">
      <c r="A147" s="17">
        <v>2</v>
      </c>
      <c r="B147" s="9">
        <v>2</v>
      </c>
      <c r="C147" s="9">
        <v>5</v>
      </c>
      <c r="D147" s="9">
        <v>9</v>
      </c>
      <c r="E147" s="24" t="s">
        <v>44</v>
      </c>
      <c r="F147" s="40" t="s">
        <v>398</v>
      </c>
      <c r="G147" s="7">
        <f>'CUENTA T FONDO 100'!BR210</f>
        <v>0</v>
      </c>
      <c r="H147" s="7">
        <f>'CUENTA T VS'!BR498</f>
        <v>0</v>
      </c>
      <c r="I147" s="7">
        <f t="shared" si="4"/>
        <v>0</v>
      </c>
      <c r="J147" s="6">
        <f>I147/$I$25</f>
        <v>0</v>
      </c>
    </row>
    <row r="148" spans="1:10">
      <c r="A148" s="30">
        <v>2</v>
      </c>
      <c r="B148" s="22">
        <v>2</v>
      </c>
      <c r="C148" s="22">
        <v>6</v>
      </c>
      <c r="D148" s="22"/>
      <c r="E148" s="22"/>
      <c r="F148" s="41" t="s">
        <v>254</v>
      </c>
      <c r="G148" s="20">
        <f>+G149+G151+G153+G155</f>
        <v>0</v>
      </c>
      <c r="H148" s="20">
        <f>+H149+H151+H153+H155</f>
        <v>0</v>
      </c>
      <c r="I148" s="20">
        <f t="shared" si="4"/>
        <v>0</v>
      </c>
      <c r="J148" s="19"/>
    </row>
    <row r="149" spans="1:10">
      <c r="A149" s="18">
        <v>2</v>
      </c>
      <c r="B149" s="15">
        <v>2</v>
      </c>
      <c r="C149" s="15">
        <v>6</v>
      </c>
      <c r="D149" s="15">
        <v>1</v>
      </c>
      <c r="E149" s="14"/>
      <c r="F149" s="38" t="s">
        <v>253</v>
      </c>
      <c r="G149" s="12">
        <f>SUM(G150)</f>
        <v>0</v>
      </c>
      <c r="H149" s="12">
        <f>SUM(H150)</f>
        <v>0</v>
      </c>
      <c r="I149" s="12">
        <f t="shared" si="4"/>
        <v>0</v>
      </c>
      <c r="J149" s="11"/>
    </row>
    <row r="150" spans="1:10">
      <c r="A150" s="17">
        <v>2</v>
      </c>
      <c r="B150" s="9">
        <v>2</v>
      </c>
      <c r="C150" s="9">
        <v>6</v>
      </c>
      <c r="D150" s="9">
        <v>1</v>
      </c>
      <c r="E150" s="24" t="s">
        <v>44</v>
      </c>
      <c r="F150" s="40" t="s">
        <v>253</v>
      </c>
      <c r="G150" s="7">
        <f>'CUENTA T FONDO 100'!BS210</f>
        <v>0</v>
      </c>
      <c r="H150" s="7">
        <f>'CUENTA T VS'!BS498</f>
        <v>0</v>
      </c>
      <c r="I150" s="7">
        <f t="shared" si="4"/>
        <v>0</v>
      </c>
      <c r="J150" s="6">
        <f>I150/$I$25</f>
        <v>0</v>
      </c>
    </row>
    <row r="151" spans="1:10">
      <c r="A151" s="18">
        <v>2</v>
      </c>
      <c r="B151" s="15">
        <v>2</v>
      </c>
      <c r="C151" s="15">
        <v>6</v>
      </c>
      <c r="D151" s="15">
        <v>2</v>
      </c>
      <c r="E151" s="15"/>
      <c r="F151" s="38" t="s">
        <v>62</v>
      </c>
      <c r="G151" s="12">
        <f>SUM(G152)</f>
        <v>0</v>
      </c>
      <c r="H151" s="12">
        <f>SUM(H152)</f>
        <v>0</v>
      </c>
      <c r="I151" s="12">
        <f t="shared" si="4"/>
        <v>0</v>
      </c>
      <c r="J151" s="11"/>
    </row>
    <row r="152" spans="1:10">
      <c r="A152" s="17">
        <v>2</v>
      </c>
      <c r="B152" s="9">
        <v>2</v>
      </c>
      <c r="C152" s="9">
        <v>6</v>
      </c>
      <c r="D152" s="9">
        <v>2</v>
      </c>
      <c r="E152" s="24" t="s">
        <v>44</v>
      </c>
      <c r="F152" s="40" t="s">
        <v>62</v>
      </c>
      <c r="G152" s="7">
        <f>'CUENTA T FONDO 100'!BT210</f>
        <v>0</v>
      </c>
      <c r="H152" s="7">
        <f>'CUENTA T VS'!BT498</f>
        <v>0</v>
      </c>
      <c r="I152" s="7">
        <f t="shared" si="4"/>
        <v>0</v>
      </c>
      <c r="J152" s="6">
        <f>I152/$I$25</f>
        <v>0</v>
      </c>
    </row>
    <row r="153" spans="1:10">
      <c r="A153" s="18">
        <v>2</v>
      </c>
      <c r="B153" s="15">
        <v>2</v>
      </c>
      <c r="C153" s="15">
        <v>6</v>
      </c>
      <c r="D153" s="15">
        <v>3</v>
      </c>
      <c r="E153" s="15"/>
      <c r="F153" s="38" t="s">
        <v>252</v>
      </c>
      <c r="G153" s="12">
        <f>SUM(G154)</f>
        <v>0</v>
      </c>
      <c r="H153" s="12">
        <f>SUM(H154)</f>
        <v>0</v>
      </c>
      <c r="I153" s="12">
        <f t="shared" ref="I153:I216" si="5">SUM(G153:H153)</f>
        <v>0</v>
      </c>
      <c r="J153" s="11"/>
    </row>
    <row r="154" spans="1:10">
      <c r="A154" s="17">
        <v>2</v>
      </c>
      <c r="B154" s="9">
        <v>2</v>
      </c>
      <c r="C154" s="9">
        <v>6</v>
      </c>
      <c r="D154" s="9">
        <v>3</v>
      </c>
      <c r="E154" s="24" t="s">
        <v>44</v>
      </c>
      <c r="F154" s="40" t="s">
        <v>252</v>
      </c>
      <c r="G154" s="7">
        <f>'CUENTA T FONDO 100'!BU210</f>
        <v>0</v>
      </c>
      <c r="H154" s="7">
        <f>'CUENTA T VS'!BU498</f>
        <v>0</v>
      </c>
      <c r="I154" s="7">
        <f t="shared" si="5"/>
        <v>0</v>
      </c>
      <c r="J154" s="6">
        <f>I154/$I$25</f>
        <v>0</v>
      </c>
    </row>
    <row r="155" spans="1:10">
      <c r="A155" s="18">
        <v>2</v>
      </c>
      <c r="B155" s="15">
        <v>2</v>
      </c>
      <c r="C155" s="15">
        <v>6</v>
      </c>
      <c r="D155" s="15">
        <v>4</v>
      </c>
      <c r="E155" s="15"/>
      <c r="F155" s="38" t="s">
        <v>251</v>
      </c>
      <c r="G155" s="12">
        <f>SUM(G156)</f>
        <v>0</v>
      </c>
      <c r="H155" s="12">
        <f>SUM(H156)</f>
        <v>0</v>
      </c>
      <c r="I155" s="12">
        <f t="shared" si="5"/>
        <v>0</v>
      </c>
      <c r="J155" s="11"/>
    </row>
    <row r="156" spans="1:10">
      <c r="A156" s="17">
        <v>2</v>
      </c>
      <c r="B156" s="9">
        <v>2</v>
      </c>
      <c r="C156" s="9">
        <v>6</v>
      </c>
      <c r="D156" s="9">
        <v>4</v>
      </c>
      <c r="E156" s="24" t="s">
        <v>44</v>
      </c>
      <c r="F156" s="40" t="s">
        <v>251</v>
      </c>
      <c r="G156" s="7">
        <f>'CUENTA T FONDO 100'!BV210</f>
        <v>0</v>
      </c>
      <c r="H156" s="7">
        <f>'CUENTA T VS'!BV498</f>
        <v>0</v>
      </c>
      <c r="I156" s="7">
        <f t="shared" si="5"/>
        <v>0</v>
      </c>
      <c r="J156" s="6">
        <f>I156/$I$25</f>
        <v>0</v>
      </c>
    </row>
    <row r="157" spans="1:10" ht="25.5">
      <c r="A157" s="30">
        <v>2</v>
      </c>
      <c r="B157" s="22">
        <v>2</v>
      </c>
      <c r="C157" s="22">
        <v>7</v>
      </c>
      <c r="D157" s="22"/>
      <c r="E157" s="29"/>
      <c r="F157" s="39" t="s">
        <v>250</v>
      </c>
      <c r="G157" s="20">
        <f>+G158+G167+G177</f>
        <v>12472405.789999999</v>
      </c>
      <c r="H157" s="20">
        <f>+H158+H167+H177</f>
        <v>2693876.6799999997</v>
      </c>
      <c r="I157" s="20">
        <f t="shared" si="5"/>
        <v>15166282.469999999</v>
      </c>
      <c r="J157" s="19"/>
    </row>
    <row r="158" spans="1:10">
      <c r="A158" s="18">
        <v>2</v>
      </c>
      <c r="B158" s="15">
        <v>2</v>
      </c>
      <c r="C158" s="15">
        <v>7</v>
      </c>
      <c r="D158" s="15">
        <v>1</v>
      </c>
      <c r="E158" s="15"/>
      <c r="F158" s="38" t="s">
        <v>249</v>
      </c>
      <c r="G158" s="12">
        <f>SUM(G159:G166)</f>
        <v>10151865.189999999</v>
      </c>
      <c r="H158" s="12">
        <f>SUM(H159:H166)</f>
        <v>1927835.1199999999</v>
      </c>
      <c r="I158" s="12">
        <f t="shared" si="5"/>
        <v>12079700.309999999</v>
      </c>
      <c r="J158" s="11"/>
    </row>
    <row r="159" spans="1:10">
      <c r="A159" s="10">
        <v>2</v>
      </c>
      <c r="B159" s="9">
        <v>2</v>
      </c>
      <c r="C159" s="9">
        <v>7</v>
      </c>
      <c r="D159" s="9">
        <v>1</v>
      </c>
      <c r="E159" s="24" t="s">
        <v>44</v>
      </c>
      <c r="F159" s="37" t="s">
        <v>248</v>
      </c>
      <c r="G159" s="7">
        <f>'CUENTA T FONDO 100'!BW210</f>
        <v>10151865.189999999</v>
      </c>
      <c r="H159" s="7">
        <f>'CUENTA T VS'!BW498</f>
        <v>1927835.1199999999</v>
      </c>
      <c r="I159" s="7">
        <f t="shared" si="5"/>
        <v>12079700.309999999</v>
      </c>
      <c r="J159" s="6">
        <f t="shared" ref="J159:J166" si="6">I159/$I$25</f>
        <v>5.8035738177963293E-2</v>
      </c>
    </row>
    <row r="160" spans="1:10">
      <c r="A160" s="10">
        <v>2</v>
      </c>
      <c r="B160" s="9">
        <v>2</v>
      </c>
      <c r="C160" s="9">
        <v>7</v>
      </c>
      <c r="D160" s="9">
        <v>1</v>
      </c>
      <c r="E160" s="24" t="s">
        <v>43</v>
      </c>
      <c r="F160" s="37" t="s">
        <v>247</v>
      </c>
      <c r="G160" s="7">
        <f>'CUENTA T FONDO 100'!BX210</f>
        <v>0</v>
      </c>
      <c r="H160" s="7">
        <f>'CUENTA T VS'!BX498</f>
        <v>0</v>
      </c>
      <c r="I160" s="7">
        <f t="shared" si="5"/>
        <v>0</v>
      </c>
      <c r="J160" s="6">
        <f t="shared" si="6"/>
        <v>0</v>
      </c>
    </row>
    <row r="161" spans="1:10">
      <c r="A161" s="10">
        <v>2</v>
      </c>
      <c r="B161" s="9">
        <v>2</v>
      </c>
      <c r="C161" s="9">
        <v>7</v>
      </c>
      <c r="D161" s="9">
        <v>1</v>
      </c>
      <c r="E161" s="24" t="s">
        <v>104</v>
      </c>
      <c r="F161" s="37" t="s">
        <v>246</v>
      </c>
      <c r="G161" s="7">
        <f>'CUENTA T FONDO 100'!BY210</f>
        <v>0</v>
      </c>
      <c r="H161" s="7">
        <f>'CUENTA T VS'!BY498</f>
        <v>0</v>
      </c>
      <c r="I161" s="7">
        <f t="shared" si="5"/>
        <v>0</v>
      </c>
      <c r="J161" s="6">
        <f t="shared" si="6"/>
        <v>0</v>
      </c>
    </row>
    <row r="162" spans="1:10" ht="25.5">
      <c r="A162" s="10">
        <v>2</v>
      </c>
      <c r="B162" s="9">
        <v>2</v>
      </c>
      <c r="C162" s="9">
        <v>7</v>
      </c>
      <c r="D162" s="9">
        <v>1</v>
      </c>
      <c r="E162" s="24" t="s">
        <v>172</v>
      </c>
      <c r="F162" s="37" t="s">
        <v>245</v>
      </c>
      <c r="G162" s="7">
        <f>'CUENTA T FONDO 100'!BZ210</f>
        <v>0</v>
      </c>
      <c r="H162" s="7">
        <f>'CUENTA T VS'!BZ498</f>
        <v>0</v>
      </c>
      <c r="I162" s="7">
        <f t="shared" si="5"/>
        <v>0</v>
      </c>
      <c r="J162" s="6">
        <f t="shared" si="6"/>
        <v>0</v>
      </c>
    </row>
    <row r="163" spans="1:10">
      <c r="A163" s="10">
        <v>2</v>
      </c>
      <c r="B163" s="9">
        <v>2</v>
      </c>
      <c r="C163" s="9">
        <v>7</v>
      </c>
      <c r="D163" s="9">
        <v>1</v>
      </c>
      <c r="E163" s="24" t="s">
        <v>170</v>
      </c>
      <c r="F163" s="37" t="s">
        <v>244</v>
      </c>
      <c r="G163" s="7">
        <f>'CUENTA T FONDO 100'!CA210</f>
        <v>0</v>
      </c>
      <c r="H163" s="7">
        <f>'CUENTA T VS'!CA498</f>
        <v>0</v>
      </c>
      <c r="I163" s="7">
        <f t="shared" si="5"/>
        <v>0</v>
      </c>
      <c r="J163" s="6">
        <f t="shared" si="6"/>
        <v>0</v>
      </c>
    </row>
    <row r="164" spans="1:10">
      <c r="A164" s="10">
        <v>2</v>
      </c>
      <c r="B164" s="9">
        <v>2</v>
      </c>
      <c r="C164" s="9">
        <v>7</v>
      </c>
      <c r="D164" s="9">
        <v>1</v>
      </c>
      <c r="E164" s="24" t="s">
        <v>61</v>
      </c>
      <c r="F164" s="37" t="s">
        <v>243</v>
      </c>
      <c r="G164" s="7">
        <f>'CUENTA T FONDO 100'!CB210</f>
        <v>0</v>
      </c>
      <c r="H164" s="7">
        <f>'CUENTA T VS'!CB498</f>
        <v>0</v>
      </c>
      <c r="I164" s="7">
        <f t="shared" si="5"/>
        <v>0</v>
      </c>
      <c r="J164" s="6">
        <f t="shared" si="6"/>
        <v>0</v>
      </c>
    </row>
    <row r="165" spans="1:10" ht="25.5">
      <c r="A165" s="10">
        <v>2</v>
      </c>
      <c r="B165" s="9">
        <v>2</v>
      </c>
      <c r="C165" s="9">
        <v>7</v>
      </c>
      <c r="D165" s="9">
        <v>1</v>
      </c>
      <c r="E165" s="24" t="s">
        <v>60</v>
      </c>
      <c r="F165" s="37" t="s">
        <v>399</v>
      </c>
      <c r="G165" s="7">
        <f>'CUENTA T FONDO 100'!CC210</f>
        <v>0</v>
      </c>
      <c r="H165" s="7">
        <f>'CUENTA T VS'!CC498</f>
        <v>0</v>
      </c>
      <c r="I165" s="7">
        <f t="shared" si="5"/>
        <v>0</v>
      </c>
      <c r="J165" s="6">
        <f t="shared" si="6"/>
        <v>0</v>
      </c>
    </row>
    <row r="166" spans="1:10" ht="25.5">
      <c r="A166" s="10">
        <v>2</v>
      </c>
      <c r="B166" s="9">
        <v>2</v>
      </c>
      <c r="C166" s="9">
        <v>7</v>
      </c>
      <c r="D166" s="9">
        <v>1</v>
      </c>
      <c r="E166" s="24" t="s">
        <v>7</v>
      </c>
      <c r="F166" s="37" t="s">
        <v>242</v>
      </c>
      <c r="G166" s="7">
        <f>'CUENTA T FONDO 100'!CD210</f>
        <v>0</v>
      </c>
      <c r="H166" s="7">
        <f>'CUENTA T VS'!CD498</f>
        <v>0</v>
      </c>
      <c r="I166" s="7">
        <f t="shared" si="5"/>
        <v>0</v>
      </c>
      <c r="J166" s="6">
        <f t="shared" si="6"/>
        <v>0</v>
      </c>
    </row>
    <row r="167" spans="1:10">
      <c r="A167" s="18">
        <v>2</v>
      </c>
      <c r="B167" s="15">
        <v>2</v>
      </c>
      <c r="C167" s="15">
        <v>7</v>
      </c>
      <c r="D167" s="15">
        <v>2</v>
      </c>
      <c r="E167" s="15"/>
      <c r="F167" s="38" t="s">
        <v>241</v>
      </c>
      <c r="G167" s="12">
        <f>SUM(G168:G176)</f>
        <v>2320540.6</v>
      </c>
      <c r="H167" s="12">
        <f>SUM(H168:H176)</f>
        <v>766041.56</v>
      </c>
      <c r="I167" s="12">
        <f t="shared" si="5"/>
        <v>3086582.16</v>
      </c>
      <c r="J167" s="11"/>
    </row>
    <row r="168" spans="1:10" ht="25.5">
      <c r="A168" s="10">
        <v>2</v>
      </c>
      <c r="B168" s="9">
        <v>2</v>
      </c>
      <c r="C168" s="9">
        <v>7</v>
      </c>
      <c r="D168" s="9">
        <v>2</v>
      </c>
      <c r="E168" s="24" t="s">
        <v>44</v>
      </c>
      <c r="F168" s="37" t="s">
        <v>240</v>
      </c>
      <c r="G168" s="7">
        <f>'CUENTA T FONDO 100'!CE210</f>
        <v>0</v>
      </c>
      <c r="H168" s="7">
        <f>'CUENTA T VS'!CE498</f>
        <v>0</v>
      </c>
      <c r="I168" s="7">
        <f t="shared" si="5"/>
        <v>0</v>
      </c>
      <c r="J168" s="6">
        <f t="shared" ref="J168:J176" si="7">I168/$I$25</f>
        <v>0</v>
      </c>
    </row>
    <row r="169" spans="1:10" ht="25.5">
      <c r="A169" s="10">
        <v>2</v>
      </c>
      <c r="B169" s="9">
        <v>2</v>
      </c>
      <c r="C169" s="9">
        <v>7</v>
      </c>
      <c r="D169" s="9">
        <v>2</v>
      </c>
      <c r="E169" s="24" t="s">
        <v>43</v>
      </c>
      <c r="F169" s="37" t="s">
        <v>400</v>
      </c>
      <c r="G169" s="7">
        <f>'CUENTA T FONDO 100'!CF210</f>
        <v>0</v>
      </c>
      <c r="H169" s="7">
        <f>'CUENTA T VS'!CF498</f>
        <v>0</v>
      </c>
      <c r="I169" s="7">
        <f t="shared" si="5"/>
        <v>0</v>
      </c>
      <c r="J169" s="6">
        <f t="shared" si="7"/>
        <v>0</v>
      </c>
    </row>
    <row r="170" spans="1:10">
      <c r="A170" s="10">
        <v>2</v>
      </c>
      <c r="B170" s="9">
        <v>2</v>
      </c>
      <c r="C170" s="9">
        <v>7</v>
      </c>
      <c r="D170" s="9">
        <v>2</v>
      </c>
      <c r="E170" s="24" t="s">
        <v>104</v>
      </c>
      <c r="F170" s="37" t="s">
        <v>239</v>
      </c>
      <c r="G170" s="7">
        <f>'CUENTA T FONDO 100'!CG210</f>
        <v>0</v>
      </c>
      <c r="H170" s="7">
        <f>'CUENTA T VS'!CG498</f>
        <v>0</v>
      </c>
      <c r="I170" s="7">
        <f t="shared" si="5"/>
        <v>0</v>
      </c>
      <c r="J170" s="6">
        <f t="shared" si="7"/>
        <v>0</v>
      </c>
    </row>
    <row r="171" spans="1:10" ht="25.5">
      <c r="A171" s="10">
        <v>2</v>
      </c>
      <c r="B171" s="9">
        <v>2</v>
      </c>
      <c r="C171" s="9">
        <v>7</v>
      </c>
      <c r="D171" s="9">
        <v>2</v>
      </c>
      <c r="E171" s="24" t="s">
        <v>172</v>
      </c>
      <c r="F171" s="37" t="s">
        <v>238</v>
      </c>
      <c r="G171" s="7">
        <f>'CUENTA T FONDO 100'!CH210</f>
        <v>992191</v>
      </c>
      <c r="H171" s="7">
        <f>'CUENTA T VS'!CH498</f>
        <v>513300</v>
      </c>
      <c r="I171" s="7">
        <f t="shared" si="5"/>
        <v>1505491</v>
      </c>
      <c r="J171" s="6">
        <f t="shared" si="7"/>
        <v>7.232984201847318E-3</v>
      </c>
    </row>
    <row r="172" spans="1:10">
      <c r="A172" s="10">
        <v>2</v>
      </c>
      <c r="B172" s="9">
        <v>2</v>
      </c>
      <c r="C172" s="9">
        <v>7</v>
      </c>
      <c r="D172" s="9">
        <v>2</v>
      </c>
      <c r="E172" s="24" t="s">
        <v>170</v>
      </c>
      <c r="F172" s="37" t="s">
        <v>237</v>
      </c>
      <c r="G172" s="7">
        <f>'CUENTA T FONDO 100'!CI210</f>
        <v>0</v>
      </c>
      <c r="H172" s="7">
        <f>'CUENTA T VS'!CI498</f>
        <v>0</v>
      </c>
      <c r="I172" s="7">
        <f t="shared" si="5"/>
        <v>0</v>
      </c>
      <c r="J172" s="6">
        <f t="shared" si="7"/>
        <v>0</v>
      </c>
    </row>
    <row r="173" spans="1:10" ht="25.5">
      <c r="A173" s="10">
        <v>2</v>
      </c>
      <c r="B173" s="9">
        <v>2</v>
      </c>
      <c r="C173" s="9">
        <v>7</v>
      </c>
      <c r="D173" s="9">
        <v>2</v>
      </c>
      <c r="E173" s="24" t="s">
        <v>61</v>
      </c>
      <c r="F173" s="33" t="s">
        <v>236</v>
      </c>
      <c r="G173" s="7">
        <f>'CUENTA T FONDO 100'!CJ210</f>
        <v>0</v>
      </c>
      <c r="H173" s="7">
        <f>'CUENTA T VS'!CJ498</f>
        <v>252741.56</v>
      </c>
      <c r="I173" s="7">
        <f t="shared" si="5"/>
        <v>252741.56</v>
      </c>
      <c r="J173" s="6">
        <f t="shared" si="7"/>
        <v>1.2142720950375962E-3</v>
      </c>
    </row>
    <row r="174" spans="1:10" ht="25.5">
      <c r="A174" s="10">
        <v>2</v>
      </c>
      <c r="B174" s="9">
        <v>2</v>
      </c>
      <c r="C174" s="9">
        <v>7</v>
      </c>
      <c r="D174" s="9">
        <v>2</v>
      </c>
      <c r="E174" s="24" t="s">
        <v>60</v>
      </c>
      <c r="F174" s="33" t="s">
        <v>235</v>
      </c>
      <c r="G174" s="7">
        <f>'CUENTA T FONDO 100'!CK210</f>
        <v>0</v>
      </c>
      <c r="H174" s="7">
        <f>'CUENTA T VS'!CK498</f>
        <v>0</v>
      </c>
      <c r="I174" s="7">
        <f t="shared" si="5"/>
        <v>0</v>
      </c>
      <c r="J174" s="6">
        <f t="shared" si="7"/>
        <v>0</v>
      </c>
    </row>
    <row r="175" spans="1:10">
      <c r="A175" s="10">
        <v>2</v>
      </c>
      <c r="B175" s="9">
        <v>2</v>
      </c>
      <c r="C175" s="9">
        <v>7</v>
      </c>
      <c r="D175" s="9">
        <v>2</v>
      </c>
      <c r="E175" s="24" t="s">
        <v>234</v>
      </c>
      <c r="F175" s="33" t="s">
        <v>233</v>
      </c>
      <c r="G175" s="7">
        <f>'CUENTA T FONDO 100'!CL210</f>
        <v>1328349.6000000001</v>
      </c>
      <c r="H175" s="7">
        <f>'CUENTA T VS'!CL498</f>
        <v>0</v>
      </c>
      <c r="I175" s="7">
        <f t="shared" si="5"/>
        <v>1328349.6000000001</v>
      </c>
      <c r="J175" s="6">
        <f t="shared" si="7"/>
        <v>6.3819256782871531E-3</v>
      </c>
    </row>
    <row r="176" spans="1:10" ht="25.5">
      <c r="A176" s="10">
        <v>2</v>
      </c>
      <c r="B176" s="9">
        <v>2</v>
      </c>
      <c r="C176" s="9">
        <v>7</v>
      </c>
      <c r="D176" s="9">
        <v>2</v>
      </c>
      <c r="E176" s="24" t="s">
        <v>7</v>
      </c>
      <c r="F176" s="33" t="s">
        <v>232</v>
      </c>
      <c r="G176" s="7">
        <f>'CUENTA T FONDO 100'!CM210</f>
        <v>0</v>
      </c>
      <c r="H176" s="7">
        <f>'CUENTA T VS'!CM498</f>
        <v>0</v>
      </c>
      <c r="I176" s="7">
        <f t="shared" si="5"/>
        <v>0</v>
      </c>
      <c r="J176" s="6">
        <f t="shared" si="7"/>
        <v>0</v>
      </c>
    </row>
    <row r="177" spans="1:10">
      <c r="A177" s="16">
        <v>2</v>
      </c>
      <c r="B177" s="15">
        <v>2</v>
      </c>
      <c r="C177" s="15">
        <v>7</v>
      </c>
      <c r="D177" s="15">
        <v>3</v>
      </c>
      <c r="E177" s="14"/>
      <c r="F177" s="16" t="s">
        <v>231</v>
      </c>
      <c r="G177" s="12">
        <f>SUM(G178)</f>
        <v>0</v>
      </c>
      <c r="H177" s="12">
        <f>SUM(H178)</f>
        <v>0</v>
      </c>
      <c r="I177" s="12">
        <f t="shared" si="5"/>
        <v>0</v>
      </c>
      <c r="J177" s="11"/>
    </row>
    <row r="178" spans="1:10">
      <c r="A178" s="10">
        <v>2</v>
      </c>
      <c r="B178" s="9">
        <v>2</v>
      </c>
      <c r="C178" s="9">
        <v>7</v>
      </c>
      <c r="D178" s="9">
        <v>3</v>
      </c>
      <c r="E178" s="24" t="s">
        <v>44</v>
      </c>
      <c r="F178" s="10" t="s">
        <v>231</v>
      </c>
      <c r="G178" s="7">
        <f>'CUENTA T FONDO 100'!CN210</f>
        <v>0</v>
      </c>
      <c r="H178" s="7">
        <f>'CUENTA T VS'!CN498</f>
        <v>0</v>
      </c>
      <c r="I178" s="7">
        <f t="shared" si="5"/>
        <v>0</v>
      </c>
      <c r="J178" s="6">
        <f>I178/$I$25</f>
        <v>0</v>
      </c>
    </row>
    <row r="179" spans="1:10">
      <c r="A179" s="30">
        <v>2</v>
      </c>
      <c r="B179" s="22">
        <v>2</v>
      </c>
      <c r="C179" s="22">
        <v>8</v>
      </c>
      <c r="D179" s="22"/>
      <c r="E179" s="22"/>
      <c r="F179" s="30" t="s">
        <v>230</v>
      </c>
      <c r="G179" s="20">
        <f>+G180+G182+G184+G186+G188+G192+G197+G204</f>
        <v>0</v>
      </c>
      <c r="H179" s="20">
        <f>+H180+H182+H184+H186+H188+H192+H197+H204</f>
        <v>871593.61</v>
      </c>
      <c r="I179" s="20">
        <f t="shared" si="5"/>
        <v>871593.61</v>
      </c>
      <c r="J179" s="19"/>
    </row>
    <row r="180" spans="1:10">
      <c r="A180" s="16">
        <v>2</v>
      </c>
      <c r="B180" s="15">
        <v>2</v>
      </c>
      <c r="C180" s="15">
        <v>8</v>
      </c>
      <c r="D180" s="15">
        <v>1</v>
      </c>
      <c r="E180" s="15"/>
      <c r="F180" s="16" t="s">
        <v>59</v>
      </c>
      <c r="G180" s="12">
        <f>SUM(G181)</f>
        <v>0</v>
      </c>
      <c r="H180" s="12">
        <f>SUM(H181)</f>
        <v>0</v>
      </c>
      <c r="I180" s="12">
        <f t="shared" si="5"/>
        <v>0</v>
      </c>
      <c r="J180" s="11"/>
    </row>
    <row r="181" spans="1:10">
      <c r="A181" s="10">
        <v>2</v>
      </c>
      <c r="B181" s="9">
        <v>2</v>
      </c>
      <c r="C181" s="9">
        <v>8</v>
      </c>
      <c r="D181" s="9">
        <v>1</v>
      </c>
      <c r="E181" s="24" t="s">
        <v>44</v>
      </c>
      <c r="F181" s="10" t="s">
        <v>59</v>
      </c>
      <c r="G181" s="7">
        <f>'CUENTA T FONDO 100'!CO210</f>
        <v>0</v>
      </c>
      <c r="H181" s="7">
        <f>'CUENTA T VS'!CO498</f>
        <v>0</v>
      </c>
      <c r="I181" s="7">
        <f t="shared" si="5"/>
        <v>0</v>
      </c>
      <c r="J181" s="6">
        <f>I181/$I$25</f>
        <v>0</v>
      </c>
    </row>
    <row r="182" spans="1:10">
      <c r="A182" s="16">
        <v>2</v>
      </c>
      <c r="B182" s="15">
        <v>2</v>
      </c>
      <c r="C182" s="15">
        <v>8</v>
      </c>
      <c r="D182" s="15">
        <v>2</v>
      </c>
      <c r="E182" s="15"/>
      <c r="F182" s="16" t="s">
        <v>58</v>
      </c>
      <c r="G182" s="12">
        <f>SUM(G183)</f>
        <v>0</v>
      </c>
      <c r="H182" s="12">
        <f>SUM(H183)</f>
        <v>0</v>
      </c>
      <c r="I182" s="12">
        <f t="shared" si="5"/>
        <v>0</v>
      </c>
      <c r="J182" s="11"/>
    </row>
    <row r="183" spans="1:10">
      <c r="A183" s="10">
        <v>2</v>
      </c>
      <c r="B183" s="9">
        <v>2</v>
      </c>
      <c r="C183" s="9">
        <v>8</v>
      </c>
      <c r="D183" s="9">
        <v>2</v>
      </c>
      <c r="E183" s="24" t="s">
        <v>44</v>
      </c>
      <c r="F183" s="10" t="s">
        <v>58</v>
      </c>
      <c r="G183" s="7">
        <f>'CUENTA T FONDO 100'!CP210</f>
        <v>0</v>
      </c>
      <c r="H183" s="7">
        <f>'CUENTA T VS'!CP498</f>
        <v>0</v>
      </c>
      <c r="I183" s="7">
        <f t="shared" si="5"/>
        <v>0</v>
      </c>
      <c r="J183" s="6">
        <f>I183/$I$25</f>
        <v>0</v>
      </c>
    </row>
    <row r="184" spans="1:10">
      <c r="A184" s="16">
        <v>2</v>
      </c>
      <c r="B184" s="15">
        <v>2</v>
      </c>
      <c r="C184" s="15">
        <v>8</v>
      </c>
      <c r="D184" s="15">
        <v>3</v>
      </c>
      <c r="E184" s="15"/>
      <c r="F184" s="16" t="s">
        <v>229</v>
      </c>
      <c r="G184" s="12">
        <f>SUM(G185)</f>
        <v>0</v>
      </c>
      <c r="H184" s="12">
        <f>SUM(H185)</f>
        <v>0</v>
      </c>
      <c r="I184" s="12">
        <f t="shared" si="5"/>
        <v>0</v>
      </c>
      <c r="J184" s="11"/>
    </row>
    <row r="185" spans="1:10">
      <c r="A185" s="10">
        <v>2</v>
      </c>
      <c r="B185" s="9">
        <v>2</v>
      </c>
      <c r="C185" s="9">
        <v>8</v>
      </c>
      <c r="D185" s="9">
        <v>3</v>
      </c>
      <c r="E185" s="24" t="s">
        <v>44</v>
      </c>
      <c r="F185" s="10" t="s">
        <v>229</v>
      </c>
      <c r="G185" s="7">
        <f>'CUENTA T FONDO 100'!CQ210</f>
        <v>0</v>
      </c>
      <c r="H185" s="7">
        <f>'CUENTA T VS'!CQ498</f>
        <v>0</v>
      </c>
      <c r="I185" s="7">
        <f t="shared" si="5"/>
        <v>0</v>
      </c>
      <c r="J185" s="6">
        <f>I185/$I$25</f>
        <v>0</v>
      </c>
    </row>
    <row r="186" spans="1:10">
      <c r="A186" s="16">
        <v>2</v>
      </c>
      <c r="B186" s="15">
        <v>2</v>
      </c>
      <c r="C186" s="15">
        <v>8</v>
      </c>
      <c r="D186" s="15">
        <v>4</v>
      </c>
      <c r="E186" s="15"/>
      <c r="F186" s="16" t="s">
        <v>57</v>
      </c>
      <c r="G186" s="12">
        <f>SUM(G187)</f>
        <v>0</v>
      </c>
      <c r="H186" s="12">
        <f>SUM(H187)</f>
        <v>0</v>
      </c>
      <c r="I186" s="12">
        <f t="shared" si="5"/>
        <v>0</v>
      </c>
      <c r="J186" s="11"/>
    </row>
    <row r="187" spans="1:10">
      <c r="A187" s="10">
        <v>2</v>
      </c>
      <c r="B187" s="9">
        <v>2</v>
      </c>
      <c r="C187" s="9">
        <v>8</v>
      </c>
      <c r="D187" s="9">
        <v>4</v>
      </c>
      <c r="E187" s="24" t="s">
        <v>44</v>
      </c>
      <c r="F187" s="10" t="s">
        <v>57</v>
      </c>
      <c r="G187" s="7">
        <f>'CUENTA T FONDO 100'!CR210</f>
        <v>0</v>
      </c>
      <c r="H187" s="7">
        <f>'CUENTA T VS'!CR498</f>
        <v>0</v>
      </c>
      <c r="I187" s="7">
        <f t="shared" si="5"/>
        <v>0</v>
      </c>
      <c r="J187" s="6">
        <f>I187/$I$25</f>
        <v>0</v>
      </c>
    </row>
    <row r="188" spans="1:10">
      <c r="A188" s="16">
        <v>2</v>
      </c>
      <c r="B188" s="15">
        <v>2</v>
      </c>
      <c r="C188" s="15">
        <v>8</v>
      </c>
      <c r="D188" s="15">
        <v>5</v>
      </c>
      <c r="E188" s="15"/>
      <c r="F188" s="16" t="s">
        <v>56</v>
      </c>
      <c r="G188" s="12">
        <f>SUM(G189:G191)</f>
        <v>0</v>
      </c>
      <c r="H188" s="12">
        <f>SUM(H189:H191)</f>
        <v>458453.61</v>
      </c>
      <c r="I188" s="12">
        <f t="shared" si="5"/>
        <v>458453.61</v>
      </c>
      <c r="J188" s="11"/>
    </row>
    <row r="189" spans="1:10">
      <c r="A189" s="10">
        <v>2</v>
      </c>
      <c r="B189" s="9">
        <v>2</v>
      </c>
      <c r="C189" s="9">
        <v>8</v>
      </c>
      <c r="D189" s="9">
        <v>5</v>
      </c>
      <c r="E189" s="24" t="s">
        <v>44</v>
      </c>
      <c r="F189" s="10" t="s">
        <v>55</v>
      </c>
      <c r="G189" s="7">
        <f>'CUENTA T FONDO 100'!CS210</f>
        <v>0</v>
      </c>
      <c r="H189" s="7">
        <f>'CUENTA T VS'!CS498</f>
        <v>202960</v>
      </c>
      <c r="I189" s="7">
        <f t="shared" si="5"/>
        <v>202960</v>
      </c>
      <c r="J189" s="6">
        <f>I189/$I$25</f>
        <v>9.751014609897579E-4</v>
      </c>
    </row>
    <row r="190" spans="1:10">
      <c r="A190" s="10">
        <v>2</v>
      </c>
      <c r="B190" s="9">
        <v>2</v>
      </c>
      <c r="C190" s="9">
        <v>8</v>
      </c>
      <c r="D190" s="9">
        <v>5</v>
      </c>
      <c r="E190" s="24" t="s">
        <v>43</v>
      </c>
      <c r="F190" s="10" t="s">
        <v>54</v>
      </c>
      <c r="G190" s="7">
        <f>'CUENTA T FONDO 100'!CT210</f>
        <v>0</v>
      </c>
      <c r="H190" s="7">
        <f>'CUENTA T VS'!CT498</f>
        <v>0</v>
      </c>
      <c r="I190" s="7">
        <f t="shared" si="5"/>
        <v>0</v>
      </c>
      <c r="J190" s="6">
        <f>I190/$I$25</f>
        <v>0</v>
      </c>
    </row>
    <row r="191" spans="1:10">
      <c r="A191" s="10">
        <v>2</v>
      </c>
      <c r="B191" s="9">
        <v>2</v>
      </c>
      <c r="C191" s="9">
        <v>8</v>
      </c>
      <c r="D191" s="9">
        <v>5</v>
      </c>
      <c r="E191" s="24" t="s">
        <v>104</v>
      </c>
      <c r="F191" s="10" t="s">
        <v>53</v>
      </c>
      <c r="G191" s="7">
        <f>'CUENTA T FONDO 100'!CU210</f>
        <v>0</v>
      </c>
      <c r="H191" s="7">
        <f>'CUENTA T VS'!CU498</f>
        <v>255493.61000000002</v>
      </c>
      <c r="I191" s="7">
        <f t="shared" si="5"/>
        <v>255493.61000000002</v>
      </c>
      <c r="J191" s="6">
        <f>I191/$I$25</f>
        <v>1.2274940499829889E-3</v>
      </c>
    </row>
    <row r="192" spans="1:10">
      <c r="A192" s="16">
        <v>2</v>
      </c>
      <c r="B192" s="15">
        <v>2</v>
      </c>
      <c r="C192" s="15">
        <v>8</v>
      </c>
      <c r="D192" s="15">
        <v>6</v>
      </c>
      <c r="E192" s="15"/>
      <c r="F192" s="16" t="s">
        <v>52</v>
      </c>
      <c r="G192" s="12">
        <f>SUM(G193:G196)</f>
        <v>0</v>
      </c>
      <c r="H192" s="12">
        <f>SUM(H193:H196)</f>
        <v>86730</v>
      </c>
      <c r="I192" s="12">
        <f t="shared" si="5"/>
        <v>86730</v>
      </c>
      <c r="J192" s="11"/>
    </row>
    <row r="193" spans="1:10">
      <c r="A193" s="10">
        <v>2</v>
      </c>
      <c r="B193" s="9">
        <v>2</v>
      </c>
      <c r="C193" s="9">
        <v>8</v>
      </c>
      <c r="D193" s="9">
        <v>6</v>
      </c>
      <c r="E193" s="24" t="s">
        <v>44</v>
      </c>
      <c r="F193" s="10" t="s">
        <v>228</v>
      </c>
      <c r="G193" s="7">
        <f>'CUENTA T FONDO 100'!CV210</f>
        <v>0</v>
      </c>
      <c r="H193" s="7">
        <f>'CUENTA T VS'!CV498</f>
        <v>86730</v>
      </c>
      <c r="I193" s="7">
        <f t="shared" si="5"/>
        <v>86730</v>
      </c>
      <c r="J193" s="6">
        <f>I193/$I$25</f>
        <v>4.1668579873690233E-4</v>
      </c>
    </row>
    <row r="194" spans="1:10">
      <c r="A194" s="10">
        <v>2</v>
      </c>
      <c r="B194" s="9">
        <v>2</v>
      </c>
      <c r="C194" s="9">
        <v>8</v>
      </c>
      <c r="D194" s="9">
        <v>6</v>
      </c>
      <c r="E194" s="24" t="s">
        <v>43</v>
      </c>
      <c r="F194" s="10" t="s">
        <v>51</v>
      </c>
      <c r="G194" s="7">
        <f>'CUENTA T FONDO 100'!CW210</f>
        <v>0</v>
      </c>
      <c r="H194" s="7">
        <f>'CUENTA T VS'!CW498</f>
        <v>0</v>
      </c>
      <c r="I194" s="7">
        <f t="shared" si="5"/>
        <v>0</v>
      </c>
      <c r="J194" s="6">
        <f>I194/$I$25</f>
        <v>0</v>
      </c>
    </row>
    <row r="195" spans="1:10">
      <c r="A195" s="10">
        <v>2</v>
      </c>
      <c r="B195" s="9">
        <v>2</v>
      </c>
      <c r="C195" s="9">
        <v>8</v>
      </c>
      <c r="D195" s="9">
        <v>6</v>
      </c>
      <c r="E195" s="24" t="s">
        <v>104</v>
      </c>
      <c r="F195" s="10" t="s">
        <v>227</v>
      </c>
      <c r="G195" s="7">
        <f>'CUENTA T FONDO 100'!CX210</f>
        <v>0</v>
      </c>
      <c r="H195" s="7">
        <f>'CUENTA T VS'!CX498</f>
        <v>0</v>
      </c>
      <c r="I195" s="7">
        <f t="shared" si="5"/>
        <v>0</v>
      </c>
      <c r="J195" s="6">
        <f>I195/$I$25</f>
        <v>0</v>
      </c>
    </row>
    <row r="196" spans="1:10">
      <c r="A196" s="10">
        <v>2</v>
      </c>
      <c r="B196" s="9">
        <v>2</v>
      </c>
      <c r="C196" s="9">
        <v>8</v>
      </c>
      <c r="D196" s="9">
        <v>6</v>
      </c>
      <c r="E196" s="24" t="s">
        <v>172</v>
      </c>
      <c r="F196" s="10" t="s">
        <v>226</v>
      </c>
      <c r="G196" s="7">
        <f>'CUENTA T FONDO 100'!CY210</f>
        <v>0</v>
      </c>
      <c r="H196" s="7">
        <f>'CUENTA T VS'!CY498</f>
        <v>0</v>
      </c>
      <c r="I196" s="7">
        <f t="shared" si="5"/>
        <v>0</v>
      </c>
      <c r="J196" s="6">
        <f>I196/$I$25</f>
        <v>0</v>
      </c>
    </row>
    <row r="197" spans="1:10">
      <c r="A197" s="16">
        <v>2</v>
      </c>
      <c r="B197" s="15">
        <v>2</v>
      </c>
      <c r="C197" s="15">
        <v>8</v>
      </c>
      <c r="D197" s="15">
        <v>7</v>
      </c>
      <c r="E197" s="15"/>
      <c r="F197" s="16" t="s">
        <v>225</v>
      </c>
      <c r="G197" s="12">
        <f>SUM(G198:G203)</f>
        <v>0</v>
      </c>
      <c r="H197" s="12">
        <f>SUM(H198:H203)</f>
        <v>315560</v>
      </c>
      <c r="I197" s="12">
        <f t="shared" si="5"/>
        <v>315560</v>
      </c>
      <c r="J197" s="11"/>
    </row>
    <row r="198" spans="1:10">
      <c r="A198" s="10">
        <v>2</v>
      </c>
      <c r="B198" s="9">
        <v>2</v>
      </c>
      <c r="C198" s="9">
        <v>8</v>
      </c>
      <c r="D198" s="9">
        <v>7</v>
      </c>
      <c r="E198" s="24" t="s">
        <v>44</v>
      </c>
      <c r="F198" s="33" t="s">
        <v>224</v>
      </c>
      <c r="G198" s="7">
        <f>'CUENTA T FONDO 100'!CZ210</f>
        <v>0</v>
      </c>
      <c r="H198" s="7">
        <f>'CUENTA T VS'!CZ498</f>
        <v>0</v>
      </c>
      <c r="I198" s="7">
        <f t="shared" si="5"/>
        <v>0</v>
      </c>
      <c r="J198" s="6">
        <f t="shared" ref="J198:J203" si="8">I198/$I$25</f>
        <v>0</v>
      </c>
    </row>
    <row r="199" spans="1:10">
      <c r="A199" s="10">
        <v>2</v>
      </c>
      <c r="B199" s="9">
        <v>2</v>
      </c>
      <c r="C199" s="9">
        <v>8</v>
      </c>
      <c r="D199" s="9">
        <v>7</v>
      </c>
      <c r="E199" s="24" t="s">
        <v>43</v>
      </c>
      <c r="F199" s="33" t="s">
        <v>223</v>
      </c>
      <c r="G199" s="7">
        <f>'CUENTA T FONDO 100'!DA210</f>
        <v>0</v>
      </c>
      <c r="H199" s="7">
        <f>'CUENTA T VS'!DA498</f>
        <v>0</v>
      </c>
      <c r="I199" s="7">
        <f t="shared" si="5"/>
        <v>0</v>
      </c>
      <c r="J199" s="6">
        <f t="shared" si="8"/>
        <v>0</v>
      </c>
    </row>
    <row r="200" spans="1:10">
      <c r="A200" s="10">
        <v>2</v>
      </c>
      <c r="B200" s="9">
        <v>2</v>
      </c>
      <c r="C200" s="9">
        <v>8</v>
      </c>
      <c r="D200" s="9">
        <v>7</v>
      </c>
      <c r="E200" s="24" t="s">
        <v>104</v>
      </c>
      <c r="F200" s="33" t="s">
        <v>222</v>
      </c>
      <c r="G200" s="7">
        <f>'CUENTA T FONDO 100'!DB210</f>
        <v>0</v>
      </c>
      <c r="H200" s="7">
        <f>'CUENTA T VS'!DB498</f>
        <v>0</v>
      </c>
      <c r="I200" s="7">
        <f t="shared" si="5"/>
        <v>0</v>
      </c>
      <c r="J200" s="6">
        <f t="shared" si="8"/>
        <v>0</v>
      </c>
    </row>
    <row r="201" spans="1:10">
      <c r="A201" s="10">
        <v>2</v>
      </c>
      <c r="B201" s="9">
        <v>2</v>
      </c>
      <c r="C201" s="9">
        <v>8</v>
      </c>
      <c r="D201" s="9">
        <v>7</v>
      </c>
      <c r="E201" s="24" t="s">
        <v>172</v>
      </c>
      <c r="F201" s="33" t="s">
        <v>221</v>
      </c>
      <c r="G201" s="7">
        <f>'CUENTA T FONDO 100'!DC210</f>
        <v>0</v>
      </c>
      <c r="H201" s="7">
        <f>'CUENTA T VS'!DC498</f>
        <v>0</v>
      </c>
      <c r="I201" s="7">
        <f t="shared" si="5"/>
        <v>0</v>
      </c>
      <c r="J201" s="6">
        <f t="shared" si="8"/>
        <v>0</v>
      </c>
    </row>
    <row r="202" spans="1:10">
      <c r="A202" s="10">
        <v>2</v>
      </c>
      <c r="B202" s="9">
        <v>2</v>
      </c>
      <c r="C202" s="9">
        <v>8</v>
      </c>
      <c r="D202" s="9">
        <v>7</v>
      </c>
      <c r="E202" s="24" t="s">
        <v>170</v>
      </c>
      <c r="F202" s="33" t="s">
        <v>220</v>
      </c>
      <c r="G202" s="7">
        <f>'CUENTA T FONDO 100'!DD210</f>
        <v>0</v>
      </c>
      <c r="H202" s="7">
        <f>'CUENTA T VS'!DD498</f>
        <v>0</v>
      </c>
      <c r="I202" s="7">
        <f t="shared" si="5"/>
        <v>0</v>
      </c>
      <c r="J202" s="6">
        <f t="shared" si="8"/>
        <v>0</v>
      </c>
    </row>
    <row r="203" spans="1:10">
      <c r="A203" s="10">
        <v>2</v>
      </c>
      <c r="B203" s="9">
        <v>2</v>
      </c>
      <c r="C203" s="9">
        <v>8</v>
      </c>
      <c r="D203" s="9">
        <v>7</v>
      </c>
      <c r="E203" s="24" t="s">
        <v>61</v>
      </c>
      <c r="F203" s="33" t="s">
        <v>219</v>
      </c>
      <c r="G203" s="7">
        <f>'CUENTA T FONDO 100'!DE210</f>
        <v>0</v>
      </c>
      <c r="H203" s="7">
        <f>'CUENTA T VS'!DE498</f>
        <v>315560</v>
      </c>
      <c r="I203" s="7">
        <f t="shared" si="5"/>
        <v>315560</v>
      </c>
      <c r="J203" s="6">
        <f t="shared" si="8"/>
        <v>1.5160771434269216E-3</v>
      </c>
    </row>
    <row r="204" spans="1:10">
      <c r="A204" s="16">
        <v>2</v>
      </c>
      <c r="B204" s="15">
        <v>2</v>
      </c>
      <c r="C204" s="15">
        <v>8</v>
      </c>
      <c r="D204" s="15">
        <v>8</v>
      </c>
      <c r="E204" s="15"/>
      <c r="F204" s="34" t="s">
        <v>50</v>
      </c>
      <c r="G204" s="12">
        <f>SUM(G205:G207)</f>
        <v>0</v>
      </c>
      <c r="H204" s="12">
        <f>SUM(H205:H207)</f>
        <v>10850</v>
      </c>
      <c r="I204" s="12">
        <f t="shared" si="5"/>
        <v>10850</v>
      </c>
      <c r="J204" s="11"/>
    </row>
    <row r="205" spans="1:10">
      <c r="A205" s="10">
        <v>2</v>
      </c>
      <c r="B205" s="9">
        <v>2</v>
      </c>
      <c r="C205" s="9">
        <v>8</v>
      </c>
      <c r="D205" s="9">
        <v>8</v>
      </c>
      <c r="E205" s="24" t="s">
        <v>44</v>
      </c>
      <c r="F205" s="33" t="s">
        <v>49</v>
      </c>
      <c r="G205" s="7">
        <f>'CUENTA T FONDO 100'!DF210</f>
        <v>0</v>
      </c>
      <c r="H205" s="7">
        <f>'CUENTA T VS'!DF498</f>
        <v>10850</v>
      </c>
      <c r="I205" s="7">
        <f t="shared" si="5"/>
        <v>10850</v>
      </c>
      <c r="J205" s="6">
        <f>I205/$I$25</f>
        <v>5.2127763360952274E-5</v>
      </c>
    </row>
    <row r="206" spans="1:10">
      <c r="A206" s="10">
        <v>2</v>
      </c>
      <c r="B206" s="9">
        <v>2</v>
      </c>
      <c r="C206" s="9">
        <v>8</v>
      </c>
      <c r="D206" s="9">
        <v>8</v>
      </c>
      <c r="E206" s="24" t="s">
        <v>43</v>
      </c>
      <c r="F206" s="33" t="s">
        <v>48</v>
      </c>
      <c r="G206" s="7">
        <f>'CUENTA T FONDO 100'!DG210</f>
        <v>0</v>
      </c>
      <c r="H206" s="7">
        <f>'CUENTA T VS'!DG498</f>
        <v>0</v>
      </c>
      <c r="I206" s="7">
        <f t="shared" si="5"/>
        <v>0</v>
      </c>
      <c r="J206" s="6">
        <f>I206/$I$25</f>
        <v>0</v>
      </c>
    </row>
    <row r="207" spans="1:10">
      <c r="A207" s="10">
        <v>2</v>
      </c>
      <c r="B207" s="9">
        <v>2</v>
      </c>
      <c r="C207" s="9">
        <v>8</v>
      </c>
      <c r="D207" s="9">
        <v>8</v>
      </c>
      <c r="E207" s="24" t="s">
        <v>104</v>
      </c>
      <c r="F207" s="33" t="s">
        <v>47</v>
      </c>
      <c r="G207" s="7">
        <f>'CUENTA T FONDO 100'!DH210</f>
        <v>0</v>
      </c>
      <c r="H207" s="7">
        <f>'CUENTA T VS'!DH498</f>
        <v>0</v>
      </c>
      <c r="I207" s="7">
        <f t="shared" si="5"/>
        <v>0</v>
      </c>
      <c r="J207" s="6">
        <f>I207/$I$25</f>
        <v>0</v>
      </c>
    </row>
    <row r="208" spans="1:10">
      <c r="A208" s="30">
        <v>2</v>
      </c>
      <c r="B208" s="22">
        <v>2</v>
      </c>
      <c r="C208" s="22">
        <v>9</v>
      </c>
      <c r="D208" s="22"/>
      <c r="E208" s="22"/>
      <c r="F208" s="30" t="s">
        <v>218</v>
      </c>
      <c r="G208" s="20">
        <f>+G209</f>
        <v>0</v>
      </c>
      <c r="H208" s="20">
        <f>+H209</f>
        <v>1734600</v>
      </c>
      <c r="I208" s="20">
        <f t="shared" si="5"/>
        <v>1734600</v>
      </c>
      <c r="J208" s="19"/>
    </row>
    <row r="209" spans="1:10">
      <c r="A209" s="16">
        <v>2</v>
      </c>
      <c r="B209" s="15">
        <v>2</v>
      </c>
      <c r="C209" s="15">
        <v>9</v>
      </c>
      <c r="D209" s="15">
        <v>2</v>
      </c>
      <c r="E209" s="15"/>
      <c r="F209" s="16" t="s">
        <v>46</v>
      </c>
      <c r="G209" s="12">
        <f>G210+G211</f>
        <v>0</v>
      </c>
      <c r="H209" s="12">
        <f>H210+H211</f>
        <v>1734600</v>
      </c>
      <c r="I209" s="12">
        <f t="shared" si="5"/>
        <v>1734600</v>
      </c>
      <c r="J209" s="11"/>
    </row>
    <row r="210" spans="1:10">
      <c r="A210" s="10">
        <v>2</v>
      </c>
      <c r="B210" s="9">
        <v>2</v>
      </c>
      <c r="C210" s="9">
        <v>9</v>
      </c>
      <c r="D210" s="9">
        <v>2</v>
      </c>
      <c r="E210" s="24" t="s">
        <v>44</v>
      </c>
      <c r="F210" s="33" t="s">
        <v>384</v>
      </c>
      <c r="G210" s="7">
        <f>'CUENTA T FONDO 100'!DI210</f>
        <v>0</v>
      </c>
      <c r="H210" s="7">
        <f>'CUENTA T VS'!DI498</f>
        <v>0</v>
      </c>
      <c r="I210" s="7">
        <f t="shared" si="5"/>
        <v>0</v>
      </c>
      <c r="J210" s="6">
        <f>I210/$I$25</f>
        <v>0</v>
      </c>
    </row>
    <row r="211" spans="1:10">
      <c r="A211" s="10">
        <v>2</v>
      </c>
      <c r="B211" s="9">
        <v>2</v>
      </c>
      <c r="C211" s="9">
        <v>9</v>
      </c>
      <c r="D211" s="9">
        <v>2</v>
      </c>
      <c r="E211" s="24" t="s">
        <v>104</v>
      </c>
      <c r="F211" s="33" t="s">
        <v>385</v>
      </c>
      <c r="G211" s="7">
        <f>'CUENTA T FONDO 100'!DJ210</f>
        <v>0</v>
      </c>
      <c r="H211" s="7">
        <f>'CUENTA T VS'!DJ498</f>
        <v>1734600</v>
      </c>
      <c r="I211" s="7">
        <f t="shared" si="5"/>
        <v>1734600</v>
      </c>
      <c r="J211" s="6">
        <f>I211/$I$25</f>
        <v>8.3337159747380474E-3</v>
      </c>
    </row>
    <row r="212" spans="1:10">
      <c r="A212" s="23">
        <v>2</v>
      </c>
      <c r="B212" s="22">
        <v>3</v>
      </c>
      <c r="C212" s="22"/>
      <c r="D212" s="22"/>
      <c r="E212" s="22"/>
      <c r="F212" s="30" t="s">
        <v>217</v>
      </c>
      <c r="G212" s="20">
        <f>G213+G225+G232+G245+G250+G261+G286+G303+G308</f>
        <v>71708916.149999991</v>
      </c>
      <c r="H212" s="20">
        <f>H213+H225+H232+H245+H250+H261+H286+H303+H308</f>
        <v>11135613.280000001</v>
      </c>
      <c r="I212" s="20">
        <f t="shared" si="5"/>
        <v>82844529.429999992</v>
      </c>
      <c r="J212" s="19">
        <f>I212/$I$25</f>
        <v>0.39801843556465305</v>
      </c>
    </row>
    <row r="213" spans="1:10">
      <c r="A213" s="23">
        <v>2</v>
      </c>
      <c r="B213" s="22">
        <v>3</v>
      </c>
      <c r="C213" s="22">
        <v>1</v>
      </c>
      <c r="D213" s="22"/>
      <c r="E213" s="22"/>
      <c r="F213" s="30" t="s">
        <v>216</v>
      </c>
      <c r="G213" s="20">
        <f>+G214+G217+G219+G223</f>
        <v>5340259.88</v>
      </c>
      <c r="H213" s="20">
        <f>+H214+H217+H219+H223</f>
        <v>197315</v>
      </c>
      <c r="I213" s="20">
        <f t="shared" si="5"/>
        <v>5537574.8799999999</v>
      </c>
      <c r="J213" s="19"/>
    </row>
    <row r="214" spans="1:10">
      <c r="A214" s="18">
        <v>2</v>
      </c>
      <c r="B214" s="15">
        <v>3</v>
      </c>
      <c r="C214" s="15">
        <v>1</v>
      </c>
      <c r="D214" s="15">
        <v>1</v>
      </c>
      <c r="E214" s="14"/>
      <c r="F214" s="16" t="s">
        <v>45</v>
      </c>
      <c r="G214" s="12">
        <f>SUM(G215:G216)</f>
        <v>5340259.88</v>
      </c>
      <c r="H214" s="12">
        <f>SUM(H215:H216)</f>
        <v>197315</v>
      </c>
      <c r="I214" s="12">
        <f t="shared" si="5"/>
        <v>5537574.8799999999</v>
      </c>
      <c r="J214" s="11"/>
    </row>
    <row r="215" spans="1:10">
      <c r="A215" s="17">
        <v>2</v>
      </c>
      <c r="B215" s="9">
        <v>3</v>
      </c>
      <c r="C215" s="9">
        <v>1</v>
      </c>
      <c r="D215" s="9">
        <v>1</v>
      </c>
      <c r="E215" s="24" t="s">
        <v>44</v>
      </c>
      <c r="F215" s="10" t="s">
        <v>45</v>
      </c>
      <c r="G215" s="7">
        <f>'CUENTA T FONDO 100'!DK210</f>
        <v>5340259.88</v>
      </c>
      <c r="H215" s="7">
        <f>'CUENTA T VS'!DK498</f>
        <v>197315</v>
      </c>
      <c r="I215" s="7">
        <f t="shared" si="5"/>
        <v>5537574.8799999999</v>
      </c>
      <c r="J215" s="6">
        <f>I215/$I$25</f>
        <v>2.6604736676331214E-2</v>
      </c>
    </row>
    <row r="216" spans="1:10">
      <c r="A216" s="17">
        <v>2</v>
      </c>
      <c r="B216" s="9">
        <v>3</v>
      </c>
      <c r="C216" s="9">
        <v>1</v>
      </c>
      <c r="D216" s="9">
        <v>1</v>
      </c>
      <c r="E216" s="24" t="s">
        <v>43</v>
      </c>
      <c r="F216" s="10" t="s">
        <v>215</v>
      </c>
      <c r="G216" s="7">
        <f>'CUENTA T FONDO 100'!DL210</f>
        <v>0</v>
      </c>
      <c r="H216" s="7">
        <f>'CUENTA T VS'!DL498</f>
        <v>0</v>
      </c>
      <c r="I216" s="7">
        <f t="shared" si="5"/>
        <v>0</v>
      </c>
      <c r="J216" s="6">
        <f>I216/$I$25</f>
        <v>0</v>
      </c>
    </row>
    <row r="217" spans="1:10">
      <c r="A217" s="18">
        <v>2</v>
      </c>
      <c r="B217" s="15">
        <v>3</v>
      </c>
      <c r="C217" s="15">
        <v>1</v>
      </c>
      <c r="D217" s="15">
        <v>2</v>
      </c>
      <c r="E217" s="14"/>
      <c r="F217" s="16" t="s">
        <v>214</v>
      </c>
      <c r="G217" s="12">
        <f>SUM(G218)</f>
        <v>0</v>
      </c>
      <c r="H217" s="12">
        <f>SUM(H218)</f>
        <v>0</v>
      </c>
      <c r="I217" s="12">
        <f t="shared" ref="I217:I280" si="9">SUM(G217:H217)</f>
        <v>0</v>
      </c>
      <c r="J217" s="11"/>
    </row>
    <row r="218" spans="1:10">
      <c r="A218" s="17">
        <v>2</v>
      </c>
      <c r="B218" s="9">
        <v>3</v>
      </c>
      <c r="C218" s="9">
        <v>1</v>
      </c>
      <c r="D218" s="9">
        <v>2</v>
      </c>
      <c r="E218" s="24" t="s">
        <v>44</v>
      </c>
      <c r="F218" s="10" t="s">
        <v>214</v>
      </c>
      <c r="G218" s="7">
        <f>'CUENTA T FONDO 100'!DM210</f>
        <v>0</v>
      </c>
      <c r="H218" s="7">
        <f>'CUENTA T VS'!DM498</f>
        <v>0</v>
      </c>
      <c r="I218" s="7">
        <f t="shared" si="9"/>
        <v>0</v>
      </c>
      <c r="J218" s="6">
        <f>I218/$I$25</f>
        <v>0</v>
      </c>
    </row>
    <row r="219" spans="1:10">
      <c r="A219" s="18">
        <v>2</v>
      </c>
      <c r="B219" s="15">
        <v>3</v>
      </c>
      <c r="C219" s="15">
        <v>1</v>
      </c>
      <c r="D219" s="15">
        <v>3</v>
      </c>
      <c r="E219" s="15"/>
      <c r="F219" s="16" t="s">
        <v>213</v>
      </c>
      <c r="G219" s="12">
        <f>SUM(G220:G222)</f>
        <v>0</v>
      </c>
      <c r="H219" s="12">
        <f>SUM(H220:H222)</f>
        <v>0</v>
      </c>
      <c r="I219" s="12">
        <f t="shared" si="9"/>
        <v>0</v>
      </c>
      <c r="J219" s="11"/>
    </row>
    <row r="220" spans="1:10">
      <c r="A220" s="17">
        <v>2</v>
      </c>
      <c r="B220" s="9">
        <v>3</v>
      </c>
      <c r="C220" s="9">
        <v>1</v>
      </c>
      <c r="D220" s="9">
        <v>3</v>
      </c>
      <c r="E220" s="24" t="s">
        <v>44</v>
      </c>
      <c r="F220" s="10" t="s">
        <v>212</v>
      </c>
      <c r="G220" s="7">
        <f>'CUENTA T FONDO 100'!DN210</f>
        <v>0</v>
      </c>
      <c r="H220" s="7">
        <f>'CUENTA T VS'!DN498</f>
        <v>0</v>
      </c>
      <c r="I220" s="7">
        <f t="shared" si="9"/>
        <v>0</v>
      </c>
      <c r="J220" s="6">
        <f>I220/$I$25</f>
        <v>0</v>
      </c>
    </row>
    <row r="221" spans="1:10">
      <c r="A221" s="17">
        <v>2</v>
      </c>
      <c r="B221" s="9">
        <v>3</v>
      </c>
      <c r="C221" s="9">
        <v>1</v>
      </c>
      <c r="D221" s="9">
        <v>3</v>
      </c>
      <c r="E221" s="24" t="s">
        <v>43</v>
      </c>
      <c r="F221" s="10" t="s">
        <v>211</v>
      </c>
      <c r="G221" s="7">
        <f>'CUENTA T FONDO 100'!DO210</f>
        <v>0</v>
      </c>
      <c r="H221" s="7">
        <f>'CUENTA T VS'!DO498</f>
        <v>0</v>
      </c>
      <c r="I221" s="7">
        <f t="shared" si="9"/>
        <v>0</v>
      </c>
      <c r="J221" s="6">
        <f>I221/$I$25</f>
        <v>0</v>
      </c>
    </row>
    <row r="222" spans="1:10">
      <c r="A222" s="17">
        <v>2</v>
      </c>
      <c r="B222" s="9">
        <v>3</v>
      </c>
      <c r="C222" s="9">
        <v>1</v>
      </c>
      <c r="D222" s="9">
        <v>3</v>
      </c>
      <c r="E222" s="24" t="s">
        <v>104</v>
      </c>
      <c r="F222" s="10" t="s">
        <v>210</v>
      </c>
      <c r="G222" s="7">
        <f>'CUENTA T FONDO 100'!DP210</f>
        <v>0</v>
      </c>
      <c r="H222" s="7">
        <f>'CUENTA T VS'!DP498</f>
        <v>0</v>
      </c>
      <c r="I222" s="7">
        <f t="shared" si="9"/>
        <v>0</v>
      </c>
      <c r="J222" s="6">
        <f>I222/$I$25</f>
        <v>0</v>
      </c>
    </row>
    <row r="223" spans="1:10">
      <c r="A223" s="18">
        <v>2</v>
      </c>
      <c r="B223" s="15">
        <v>3</v>
      </c>
      <c r="C223" s="15">
        <v>1</v>
      </c>
      <c r="D223" s="15">
        <v>4</v>
      </c>
      <c r="E223" s="15"/>
      <c r="F223" s="16" t="s">
        <v>209</v>
      </c>
      <c r="G223" s="12">
        <f>SUM(G224)</f>
        <v>0</v>
      </c>
      <c r="H223" s="12">
        <f>SUM(H224)</f>
        <v>0</v>
      </c>
      <c r="I223" s="12">
        <f t="shared" si="9"/>
        <v>0</v>
      </c>
      <c r="J223" s="11"/>
    </row>
    <row r="224" spans="1:10">
      <c r="A224" s="17">
        <v>2</v>
      </c>
      <c r="B224" s="9">
        <v>3</v>
      </c>
      <c r="C224" s="9">
        <v>1</v>
      </c>
      <c r="D224" s="9">
        <v>4</v>
      </c>
      <c r="E224" s="24" t="s">
        <v>44</v>
      </c>
      <c r="F224" s="10" t="s">
        <v>209</v>
      </c>
      <c r="G224" s="7">
        <f>'CUENTA T FONDO 100'!DQ210</f>
        <v>0</v>
      </c>
      <c r="H224" s="7">
        <f>'CUENTA T VS'!DQ498</f>
        <v>0</v>
      </c>
      <c r="I224" s="7">
        <f t="shared" si="9"/>
        <v>0</v>
      </c>
      <c r="J224" s="6">
        <f>I224/$I$25</f>
        <v>0</v>
      </c>
    </row>
    <row r="225" spans="1:10">
      <c r="A225" s="23">
        <v>2</v>
      </c>
      <c r="B225" s="22">
        <v>3</v>
      </c>
      <c r="C225" s="22">
        <v>2</v>
      </c>
      <c r="D225" s="22"/>
      <c r="E225" s="29"/>
      <c r="F225" s="30" t="s">
        <v>208</v>
      </c>
      <c r="G225" s="20">
        <f>+G226+G228+G230</f>
        <v>317487</v>
      </c>
      <c r="H225" s="20">
        <f>+H226+H228+H230</f>
        <v>623449.22</v>
      </c>
      <c r="I225" s="20">
        <f t="shared" si="9"/>
        <v>940936.22</v>
      </c>
      <c r="J225" s="19"/>
    </row>
    <row r="226" spans="1:10">
      <c r="A226" s="18">
        <v>2</v>
      </c>
      <c r="B226" s="15">
        <v>3</v>
      </c>
      <c r="C226" s="15">
        <v>2</v>
      </c>
      <c r="D226" s="15">
        <v>1</v>
      </c>
      <c r="E226" s="15"/>
      <c r="F226" s="16" t="s">
        <v>42</v>
      </c>
      <c r="G226" s="12">
        <f>SUM(G227)</f>
        <v>0</v>
      </c>
      <c r="H226" s="12">
        <f>SUM(H227)</f>
        <v>0</v>
      </c>
      <c r="I226" s="12">
        <f t="shared" si="9"/>
        <v>0</v>
      </c>
      <c r="J226" s="11"/>
    </row>
    <row r="227" spans="1:10">
      <c r="A227" s="17">
        <v>2</v>
      </c>
      <c r="B227" s="9">
        <v>3</v>
      </c>
      <c r="C227" s="9">
        <v>2</v>
      </c>
      <c r="D227" s="9">
        <v>1</v>
      </c>
      <c r="E227" s="24" t="s">
        <v>44</v>
      </c>
      <c r="F227" s="10" t="s">
        <v>42</v>
      </c>
      <c r="G227" s="7">
        <f>'CUENTA T FONDO 100'!DR210</f>
        <v>0</v>
      </c>
      <c r="H227" s="7">
        <f>'CUENTA T VS'!DR498</f>
        <v>0</v>
      </c>
      <c r="I227" s="7">
        <f t="shared" si="9"/>
        <v>0</v>
      </c>
      <c r="J227" s="6">
        <f>I227/$I$25</f>
        <v>0</v>
      </c>
    </row>
    <row r="228" spans="1:10">
      <c r="A228" s="18">
        <v>2</v>
      </c>
      <c r="B228" s="15">
        <v>3</v>
      </c>
      <c r="C228" s="15">
        <v>2</v>
      </c>
      <c r="D228" s="15">
        <v>2</v>
      </c>
      <c r="E228" s="15"/>
      <c r="F228" s="16" t="s">
        <v>41</v>
      </c>
      <c r="G228" s="12">
        <f>SUM(G229)</f>
        <v>317487</v>
      </c>
      <c r="H228" s="12">
        <f>SUM(H229)</f>
        <v>623449.22</v>
      </c>
      <c r="I228" s="12">
        <f t="shared" si="9"/>
        <v>940936.22</v>
      </c>
      <c r="J228" s="11"/>
    </row>
    <row r="229" spans="1:10">
      <c r="A229" s="17">
        <v>2</v>
      </c>
      <c r="B229" s="9">
        <v>3</v>
      </c>
      <c r="C229" s="9">
        <v>2</v>
      </c>
      <c r="D229" s="9">
        <v>2</v>
      </c>
      <c r="E229" s="24" t="s">
        <v>44</v>
      </c>
      <c r="F229" s="10" t="s">
        <v>41</v>
      </c>
      <c r="G229" s="7">
        <f>'CUENTA T FONDO 100'!DS210</f>
        <v>317487</v>
      </c>
      <c r="H229" s="7">
        <f>'CUENTA T VS'!DS498</f>
        <v>623449.22</v>
      </c>
      <c r="I229" s="7">
        <f t="shared" si="9"/>
        <v>940936.22</v>
      </c>
      <c r="J229" s="6">
        <f>I229/$I$25</f>
        <v>4.5206360012819283E-3</v>
      </c>
    </row>
    <row r="230" spans="1:10">
      <c r="A230" s="18">
        <v>2</v>
      </c>
      <c r="B230" s="15">
        <v>3</v>
      </c>
      <c r="C230" s="15">
        <v>2</v>
      </c>
      <c r="D230" s="15">
        <v>3</v>
      </c>
      <c r="E230" s="15"/>
      <c r="F230" s="16" t="s">
        <v>40</v>
      </c>
      <c r="G230" s="12">
        <f>SUM(G231)</f>
        <v>0</v>
      </c>
      <c r="H230" s="12">
        <f>SUM(H231)</f>
        <v>0</v>
      </c>
      <c r="I230" s="12">
        <f t="shared" si="9"/>
        <v>0</v>
      </c>
      <c r="J230" s="11"/>
    </row>
    <row r="231" spans="1:10">
      <c r="A231" s="17">
        <v>2</v>
      </c>
      <c r="B231" s="9">
        <v>3</v>
      </c>
      <c r="C231" s="9">
        <v>2</v>
      </c>
      <c r="D231" s="9">
        <v>3</v>
      </c>
      <c r="E231" s="24" t="s">
        <v>44</v>
      </c>
      <c r="F231" s="10" t="s">
        <v>40</v>
      </c>
      <c r="G231" s="7">
        <f>'CUENTA T FONDO 100'!DT210</f>
        <v>0</v>
      </c>
      <c r="H231" s="7">
        <f>'CUENTA T VS'!DT498</f>
        <v>0</v>
      </c>
      <c r="I231" s="7">
        <f t="shared" si="9"/>
        <v>0</v>
      </c>
      <c r="J231" s="6">
        <f>I231/$I$25</f>
        <v>0</v>
      </c>
    </row>
    <row r="232" spans="1:10">
      <c r="A232" s="23">
        <v>2</v>
      </c>
      <c r="B232" s="22">
        <v>3</v>
      </c>
      <c r="C232" s="22">
        <v>3</v>
      </c>
      <c r="D232" s="22"/>
      <c r="E232" s="29"/>
      <c r="F232" s="30" t="s">
        <v>207</v>
      </c>
      <c r="G232" s="20">
        <f>+G233+G235+G237+G239+G241+G243</f>
        <v>327499.21000000002</v>
      </c>
      <c r="H232" s="20">
        <f>+H233+H235+H237+H239+H241+H243</f>
        <v>289100</v>
      </c>
      <c r="I232" s="20">
        <f t="shared" si="9"/>
        <v>616599.21</v>
      </c>
      <c r="J232" s="19"/>
    </row>
    <row r="233" spans="1:10">
      <c r="A233" s="18">
        <v>2</v>
      </c>
      <c r="B233" s="15">
        <v>3</v>
      </c>
      <c r="C233" s="15">
        <v>3</v>
      </c>
      <c r="D233" s="15">
        <v>1</v>
      </c>
      <c r="E233" s="15"/>
      <c r="F233" s="16" t="s">
        <v>39</v>
      </c>
      <c r="G233" s="12">
        <f>SUM(G234)</f>
        <v>0</v>
      </c>
      <c r="H233" s="12">
        <f>SUM(H234)</f>
        <v>0</v>
      </c>
      <c r="I233" s="12">
        <f t="shared" si="9"/>
        <v>0</v>
      </c>
      <c r="J233" s="11"/>
    </row>
    <row r="234" spans="1:10">
      <c r="A234" s="17">
        <v>2</v>
      </c>
      <c r="B234" s="9">
        <v>3</v>
      </c>
      <c r="C234" s="9">
        <v>3</v>
      </c>
      <c r="D234" s="9">
        <v>1</v>
      </c>
      <c r="E234" s="24" t="s">
        <v>44</v>
      </c>
      <c r="F234" s="10" t="s">
        <v>39</v>
      </c>
      <c r="G234" s="7">
        <f>'CUENTA T FONDO 100'!DU210</f>
        <v>0</v>
      </c>
      <c r="H234" s="7">
        <f>'CUENTA T VS'!DU498</f>
        <v>0</v>
      </c>
      <c r="I234" s="7">
        <f t="shared" si="9"/>
        <v>0</v>
      </c>
      <c r="J234" s="6">
        <f>I234/$I$25</f>
        <v>0</v>
      </c>
    </row>
    <row r="235" spans="1:10">
      <c r="A235" s="18">
        <v>2</v>
      </c>
      <c r="B235" s="15">
        <v>3</v>
      </c>
      <c r="C235" s="15">
        <v>3</v>
      </c>
      <c r="D235" s="15">
        <v>2</v>
      </c>
      <c r="E235" s="15"/>
      <c r="F235" s="16" t="s">
        <v>401</v>
      </c>
      <c r="G235" s="12">
        <f>SUM(G236)</f>
        <v>55804.21</v>
      </c>
      <c r="H235" s="12">
        <f>SUM(H236)</f>
        <v>0</v>
      </c>
      <c r="I235" s="12">
        <f t="shared" si="9"/>
        <v>55804.21</v>
      </c>
      <c r="J235" s="11"/>
    </row>
    <row r="236" spans="1:10">
      <c r="A236" s="17">
        <v>2</v>
      </c>
      <c r="B236" s="9">
        <v>3</v>
      </c>
      <c r="C236" s="9">
        <v>3</v>
      </c>
      <c r="D236" s="9">
        <v>2</v>
      </c>
      <c r="E236" s="24" t="s">
        <v>44</v>
      </c>
      <c r="F236" s="10" t="s">
        <v>401</v>
      </c>
      <c r="G236" s="7">
        <f>'CUENTA T FONDO 100'!DV210</f>
        <v>55804.21</v>
      </c>
      <c r="H236" s="7">
        <f>'CUENTA T VS'!DV498</f>
        <v>0</v>
      </c>
      <c r="I236" s="7">
        <f t="shared" si="9"/>
        <v>55804.21</v>
      </c>
      <c r="J236" s="6">
        <f>I236/$I$25</f>
        <v>2.6810586667510471E-4</v>
      </c>
    </row>
    <row r="237" spans="1:10">
      <c r="A237" s="18">
        <v>2</v>
      </c>
      <c r="B237" s="15">
        <v>3</v>
      </c>
      <c r="C237" s="15">
        <v>3</v>
      </c>
      <c r="D237" s="15">
        <v>3</v>
      </c>
      <c r="E237" s="15"/>
      <c r="F237" s="16" t="s">
        <v>38</v>
      </c>
      <c r="G237" s="12">
        <f>SUM(G238)</f>
        <v>271695</v>
      </c>
      <c r="H237" s="12">
        <f>SUM(H238)</f>
        <v>289100</v>
      </c>
      <c r="I237" s="12">
        <f t="shared" si="9"/>
        <v>560795</v>
      </c>
      <c r="J237" s="11"/>
    </row>
    <row r="238" spans="1:10">
      <c r="A238" s="17">
        <v>2</v>
      </c>
      <c r="B238" s="9">
        <v>3</v>
      </c>
      <c r="C238" s="9">
        <v>3</v>
      </c>
      <c r="D238" s="9">
        <v>3</v>
      </c>
      <c r="E238" s="24" t="s">
        <v>44</v>
      </c>
      <c r="F238" s="10" t="s">
        <v>38</v>
      </c>
      <c r="G238" s="7">
        <f>'CUENTA T FONDO 100'!DW210</f>
        <v>271695</v>
      </c>
      <c r="H238" s="7">
        <f>'CUENTA T VS'!DW498</f>
        <v>289100</v>
      </c>
      <c r="I238" s="7">
        <f t="shared" si="9"/>
        <v>560795</v>
      </c>
      <c r="J238" s="6">
        <f>I238/$I$25</f>
        <v>2.6942847054382698E-3</v>
      </c>
    </row>
    <row r="239" spans="1:10">
      <c r="A239" s="18">
        <v>2</v>
      </c>
      <c r="B239" s="15">
        <v>3</v>
      </c>
      <c r="C239" s="15">
        <v>3</v>
      </c>
      <c r="D239" s="15">
        <v>4</v>
      </c>
      <c r="E239" s="15"/>
      <c r="F239" s="16" t="s">
        <v>37</v>
      </c>
      <c r="G239" s="12">
        <f>SUM(G240)</f>
        <v>0</v>
      </c>
      <c r="H239" s="12">
        <f>SUM(H240)</f>
        <v>0</v>
      </c>
      <c r="I239" s="12">
        <f t="shared" si="9"/>
        <v>0</v>
      </c>
      <c r="J239" s="11"/>
    </row>
    <row r="240" spans="1:10">
      <c r="A240" s="17">
        <v>2</v>
      </c>
      <c r="B240" s="9">
        <v>3</v>
      </c>
      <c r="C240" s="9">
        <v>3</v>
      </c>
      <c r="D240" s="9">
        <v>4</v>
      </c>
      <c r="E240" s="24" t="s">
        <v>44</v>
      </c>
      <c r="F240" s="10" t="s">
        <v>37</v>
      </c>
      <c r="G240" s="7">
        <f>'CUENTA T FONDO 100'!DX210</f>
        <v>0</v>
      </c>
      <c r="H240" s="7">
        <f>'CUENTA T VS'!DX498</f>
        <v>0</v>
      </c>
      <c r="I240" s="7">
        <f t="shared" si="9"/>
        <v>0</v>
      </c>
      <c r="J240" s="6">
        <f>I240/$I$25</f>
        <v>0</v>
      </c>
    </row>
    <row r="241" spans="1:10">
      <c r="A241" s="18">
        <v>2</v>
      </c>
      <c r="B241" s="15">
        <v>3</v>
      </c>
      <c r="C241" s="15">
        <v>3</v>
      </c>
      <c r="D241" s="15">
        <v>5</v>
      </c>
      <c r="E241" s="15"/>
      <c r="F241" s="16" t="s">
        <v>206</v>
      </c>
      <c r="G241" s="12">
        <f>SUM(G242)</f>
        <v>0</v>
      </c>
      <c r="H241" s="12">
        <f>SUM(H242)</f>
        <v>0</v>
      </c>
      <c r="I241" s="12">
        <f t="shared" si="9"/>
        <v>0</v>
      </c>
      <c r="J241" s="11"/>
    </row>
    <row r="242" spans="1:10">
      <c r="A242" s="17">
        <v>2</v>
      </c>
      <c r="B242" s="9">
        <v>3</v>
      </c>
      <c r="C242" s="9">
        <v>3</v>
      </c>
      <c r="D242" s="9">
        <v>5</v>
      </c>
      <c r="E242" s="24" t="s">
        <v>44</v>
      </c>
      <c r="F242" s="10" t="s">
        <v>206</v>
      </c>
      <c r="G242" s="7">
        <f>'CUENTA T FONDO 100'!DY210</f>
        <v>0</v>
      </c>
      <c r="H242" s="7">
        <f>'CUENTA T VS'!DY498</f>
        <v>0</v>
      </c>
      <c r="I242" s="7">
        <f t="shared" si="9"/>
        <v>0</v>
      </c>
      <c r="J242" s="6">
        <f>I242/$I$25</f>
        <v>0</v>
      </c>
    </row>
    <row r="243" spans="1:10">
      <c r="A243" s="18">
        <v>2</v>
      </c>
      <c r="B243" s="15">
        <v>3</v>
      </c>
      <c r="C243" s="15">
        <v>3</v>
      </c>
      <c r="D243" s="15">
        <v>6</v>
      </c>
      <c r="E243" s="15"/>
      <c r="F243" s="16" t="s">
        <v>205</v>
      </c>
      <c r="G243" s="12">
        <f>SUM(G244)</f>
        <v>0</v>
      </c>
      <c r="H243" s="12">
        <f>SUM(H244)</f>
        <v>0</v>
      </c>
      <c r="I243" s="12">
        <f t="shared" si="9"/>
        <v>0</v>
      </c>
      <c r="J243" s="11"/>
    </row>
    <row r="244" spans="1:10">
      <c r="A244" s="17">
        <v>2</v>
      </c>
      <c r="B244" s="9">
        <v>3</v>
      </c>
      <c r="C244" s="9">
        <v>3</v>
      </c>
      <c r="D244" s="9">
        <v>6</v>
      </c>
      <c r="E244" s="24" t="s">
        <v>44</v>
      </c>
      <c r="F244" s="10" t="s">
        <v>205</v>
      </c>
      <c r="G244" s="7">
        <f>'CUENTA T FONDO 100'!DZ210</f>
        <v>0</v>
      </c>
      <c r="H244" s="7">
        <f>'CUENTA T VS'!DZ498</f>
        <v>0</v>
      </c>
      <c r="I244" s="7">
        <f t="shared" si="9"/>
        <v>0</v>
      </c>
      <c r="J244" s="6">
        <f>I244/$I$25</f>
        <v>0</v>
      </c>
    </row>
    <row r="245" spans="1:10">
      <c r="A245" s="23">
        <v>2</v>
      </c>
      <c r="B245" s="22">
        <v>3</v>
      </c>
      <c r="C245" s="22">
        <v>4</v>
      </c>
      <c r="D245" s="22"/>
      <c r="E245" s="29"/>
      <c r="F245" s="30" t="s">
        <v>204</v>
      </c>
      <c r="G245" s="20">
        <f>+G246+G248</f>
        <v>19624399.5</v>
      </c>
      <c r="H245" s="20">
        <f>+H246+H248</f>
        <v>454061.65</v>
      </c>
      <c r="I245" s="20">
        <f t="shared" si="9"/>
        <v>20078461.149999999</v>
      </c>
      <c r="J245" s="19"/>
    </row>
    <row r="246" spans="1:10">
      <c r="A246" s="18">
        <v>2</v>
      </c>
      <c r="B246" s="15">
        <v>3</v>
      </c>
      <c r="C246" s="15">
        <v>4</v>
      </c>
      <c r="D246" s="15">
        <v>1</v>
      </c>
      <c r="E246" s="15"/>
      <c r="F246" s="16" t="s">
        <v>36</v>
      </c>
      <c r="G246" s="12">
        <f>SUM(G247)</f>
        <v>19624399.5</v>
      </c>
      <c r="H246" s="12">
        <f>SUM(H247)</f>
        <v>454061.65</v>
      </c>
      <c r="I246" s="12">
        <f t="shared" si="9"/>
        <v>20078461.149999999</v>
      </c>
      <c r="J246" s="11"/>
    </row>
    <row r="247" spans="1:10">
      <c r="A247" s="17">
        <v>2</v>
      </c>
      <c r="B247" s="9">
        <v>3</v>
      </c>
      <c r="C247" s="9">
        <v>4</v>
      </c>
      <c r="D247" s="9">
        <v>1</v>
      </c>
      <c r="E247" s="24" t="s">
        <v>44</v>
      </c>
      <c r="F247" s="10" t="s">
        <v>36</v>
      </c>
      <c r="G247" s="7">
        <f>'CUENTA T FONDO 100'!EA210</f>
        <v>19624399.5</v>
      </c>
      <c r="H247" s="7">
        <f>'CUENTA T VS'!EA498</f>
        <v>454061.65</v>
      </c>
      <c r="I247" s="7">
        <f t="shared" si="9"/>
        <v>20078461.149999999</v>
      </c>
      <c r="J247" s="6">
        <f>I247/$I$25</f>
        <v>9.6465001979656545E-2</v>
      </c>
    </row>
    <row r="248" spans="1:10">
      <c r="A248" s="18">
        <v>2</v>
      </c>
      <c r="B248" s="15">
        <v>3</v>
      </c>
      <c r="C248" s="15">
        <v>4</v>
      </c>
      <c r="D248" s="15">
        <v>2</v>
      </c>
      <c r="E248" s="15"/>
      <c r="F248" s="16" t="s">
        <v>203</v>
      </c>
      <c r="G248" s="12">
        <f>SUM(G249)</f>
        <v>0</v>
      </c>
      <c r="H248" s="12">
        <f>SUM(H249)</f>
        <v>0</v>
      </c>
      <c r="I248" s="12">
        <f t="shared" si="9"/>
        <v>0</v>
      </c>
      <c r="J248" s="11"/>
    </row>
    <row r="249" spans="1:10">
      <c r="A249" s="17">
        <v>2</v>
      </c>
      <c r="B249" s="9">
        <v>3</v>
      </c>
      <c r="C249" s="9">
        <v>4</v>
      </c>
      <c r="D249" s="9">
        <v>2</v>
      </c>
      <c r="E249" s="24" t="s">
        <v>44</v>
      </c>
      <c r="F249" s="10" t="s">
        <v>203</v>
      </c>
      <c r="G249" s="7">
        <f>'CUENTA T FONDO 100'!EB210</f>
        <v>0</v>
      </c>
      <c r="H249" s="7">
        <f>'CUENTA T VS'!EB498</f>
        <v>0</v>
      </c>
      <c r="I249" s="7">
        <f t="shared" si="9"/>
        <v>0</v>
      </c>
      <c r="J249" s="6">
        <f>I249/$I$25</f>
        <v>0</v>
      </c>
    </row>
    <row r="250" spans="1:10">
      <c r="A250" s="23">
        <v>2</v>
      </c>
      <c r="B250" s="22">
        <v>3</v>
      </c>
      <c r="C250" s="22">
        <v>5</v>
      </c>
      <c r="D250" s="22"/>
      <c r="E250" s="29"/>
      <c r="F250" s="30" t="s">
        <v>202</v>
      </c>
      <c r="G250" s="20">
        <f>+G251+G253+G255+G257+G259</f>
        <v>267714.86</v>
      </c>
      <c r="H250" s="20">
        <f>+H251+H253+H255+H257+H259</f>
        <v>10970.210000000001</v>
      </c>
      <c r="I250" s="20">
        <f t="shared" si="9"/>
        <v>278685.07</v>
      </c>
      <c r="J250" s="19"/>
    </row>
    <row r="251" spans="1:10">
      <c r="A251" s="18">
        <v>2</v>
      </c>
      <c r="B251" s="15">
        <v>3</v>
      </c>
      <c r="C251" s="15">
        <v>5</v>
      </c>
      <c r="D251" s="15">
        <v>1</v>
      </c>
      <c r="E251" s="15"/>
      <c r="F251" s="16" t="s">
        <v>35</v>
      </c>
      <c r="G251" s="12">
        <f>SUM(G252)</f>
        <v>0</v>
      </c>
      <c r="H251" s="12">
        <f>SUM(H252)</f>
        <v>0</v>
      </c>
      <c r="I251" s="12">
        <f t="shared" si="9"/>
        <v>0</v>
      </c>
      <c r="J251" s="11"/>
    </row>
    <row r="252" spans="1:10">
      <c r="A252" s="17">
        <v>2</v>
      </c>
      <c r="B252" s="9">
        <v>3</v>
      </c>
      <c r="C252" s="9">
        <v>5</v>
      </c>
      <c r="D252" s="9">
        <v>1</v>
      </c>
      <c r="E252" s="24" t="s">
        <v>44</v>
      </c>
      <c r="F252" s="10" t="s">
        <v>35</v>
      </c>
      <c r="G252" s="7">
        <f>'CUENTA T FONDO 100'!EC210</f>
        <v>0</v>
      </c>
      <c r="H252" s="7">
        <f>'CUENTA T VS'!EC498</f>
        <v>0</v>
      </c>
      <c r="I252" s="7">
        <f t="shared" si="9"/>
        <v>0</v>
      </c>
      <c r="J252" s="6">
        <f>I252/$I$25</f>
        <v>0</v>
      </c>
    </row>
    <row r="253" spans="1:10">
      <c r="A253" s="18">
        <v>2</v>
      </c>
      <c r="B253" s="15">
        <v>3</v>
      </c>
      <c r="C253" s="15">
        <v>5</v>
      </c>
      <c r="D253" s="15">
        <v>2</v>
      </c>
      <c r="E253" s="15"/>
      <c r="F253" s="16" t="s">
        <v>34</v>
      </c>
      <c r="G253" s="12">
        <f>SUM(G254)</f>
        <v>0</v>
      </c>
      <c r="H253" s="12">
        <f>SUM(H254)</f>
        <v>0</v>
      </c>
      <c r="I253" s="12">
        <f t="shared" si="9"/>
        <v>0</v>
      </c>
      <c r="J253" s="11"/>
    </row>
    <row r="254" spans="1:10">
      <c r="A254" s="17">
        <v>2</v>
      </c>
      <c r="B254" s="9">
        <v>3</v>
      </c>
      <c r="C254" s="9">
        <v>5</v>
      </c>
      <c r="D254" s="9">
        <v>2</v>
      </c>
      <c r="E254" s="24" t="s">
        <v>44</v>
      </c>
      <c r="F254" s="10" t="s">
        <v>34</v>
      </c>
      <c r="G254" s="7">
        <f>'CUENTA T FONDO 100'!ED210</f>
        <v>0</v>
      </c>
      <c r="H254" s="7">
        <f>'CUENTA T VS'!ED498</f>
        <v>0</v>
      </c>
      <c r="I254" s="7">
        <f t="shared" si="9"/>
        <v>0</v>
      </c>
      <c r="J254" s="6">
        <f>I254/$I$25</f>
        <v>0</v>
      </c>
    </row>
    <row r="255" spans="1:10">
      <c r="A255" s="18">
        <v>2</v>
      </c>
      <c r="B255" s="15">
        <v>3</v>
      </c>
      <c r="C255" s="15">
        <v>5</v>
      </c>
      <c r="D255" s="15">
        <v>3</v>
      </c>
      <c r="E255" s="15"/>
      <c r="F255" s="16" t="s">
        <v>33</v>
      </c>
      <c r="G255" s="12">
        <f>SUM(G256)</f>
        <v>0</v>
      </c>
      <c r="H255" s="12">
        <f>SUM(H256)</f>
        <v>0</v>
      </c>
      <c r="I255" s="12">
        <f t="shared" si="9"/>
        <v>0</v>
      </c>
      <c r="J255" s="11"/>
    </row>
    <row r="256" spans="1:10">
      <c r="A256" s="17">
        <v>2</v>
      </c>
      <c r="B256" s="9">
        <v>3</v>
      </c>
      <c r="C256" s="9">
        <v>5</v>
      </c>
      <c r="D256" s="9">
        <v>3</v>
      </c>
      <c r="E256" s="24" t="s">
        <v>44</v>
      </c>
      <c r="F256" s="10" t="s">
        <v>33</v>
      </c>
      <c r="G256" s="7">
        <f>'CUENTA T FONDO 100'!EE210</f>
        <v>0</v>
      </c>
      <c r="H256" s="7">
        <f>'CUENTA T VS'!EE498</f>
        <v>0</v>
      </c>
      <c r="I256" s="7">
        <f t="shared" si="9"/>
        <v>0</v>
      </c>
      <c r="J256" s="6">
        <f>I256/$I$25</f>
        <v>0</v>
      </c>
    </row>
    <row r="257" spans="1:10">
      <c r="A257" s="18">
        <v>2</v>
      </c>
      <c r="B257" s="15">
        <v>3</v>
      </c>
      <c r="C257" s="15">
        <v>5</v>
      </c>
      <c r="D257" s="15">
        <v>4</v>
      </c>
      <c r="E257" s="15"/>
      <c r="F257" s="16" t="s">
        <v>32</v>
      </c>
      <c r="G257" s="12">
        <f>SUM(G258)</f>
        <v>0</v>
      </c>
      <c r="H257" s="12">
        <f>SUM(H258)</f>
        <v>0</v>
      </c>
      <c r="I257" s="12">
        <f t="shared" si="9"/>
        <v>0</v>
      </c>
      <c r="J257" s="11"/>
    </row>
    <row r="258" spans="1:10">
      <c r="A258" s="17">
        <v>2</v>
      </c>
      <c r="B258" s="9">
        <v>3</v>
      </c>
      <c r="C258" s="9">
        <v>5</v>
      </c>
      <c r="D258" s="9">
        <v>4</v>
      </c>
      <c r="E258" s="24" t="s">
        <v>44</v>
      </c>
      <c r="F258" s="10" t="s">
        <v>32</v>
      </c>
      <c r="G258" s="7">
        <f>'CUENTA T FONDO 100'!EF210</f>
        <v>0</v>
      </c>
      <c r="H258" s="7">
        <f>'CUENTA T VS'!EF498</f>
        <v>0</v>
      </c>
      <c r="I258" s="7">
        <f t="shared" si="9"/>
        <v>0</v>
      </c>
      <c r="J258" s="6">
        <f>I258/$I$25</f>
        <v>0</v>
      </c>
    </row>
    <row r="259" spans="1:10">
      <c r="A259" s="18">
        <v>2</v>
      </c>
      <c r="B259" s="15">
        <v>3</v>
      </c>
      <c r="C259" s="15">
        <v>5</v>
      </c>
      <c r="D259" s="15">
        <v>5</v>
      </c>
      <c r="E259" s="15"/>
      <c r="F259" s="16" t="s">
        <v>31</v>
      </c>
      <c r="G259" s="12">
        <f>SUM(G260)</f>
        <v>267714.86</v>
      </c>
      <c r="H259" s="12">
        <f>SUM(H260)</f>
        <v>10970.210000000001</v>
      </c>
      <c r="I259" s="12">
        <f t="shared" si="9"/>
        <v>278685.07</v>
      </c>
      <c r="J259" s="11"/>
    </row>
    <row r="260" spans="1:10">
      <c r="A260" s="17">
        <v>2</v>
      </c>
      <c r="B260" s="9">
        <v>3</v>
      </c>
      <c r="C260" s="9">
        <v>5</v>
      </c>
      <c r="D260" s="9">
        <v>5</v>
      </c>
      <c r="E260" s="24" t="s">
        <v>44</v>
      </c>
      <c r="F260" s="10" t="s">
        <v>31</v>
      </c>
      <c r="G260" s="7">
        <f>'CUENTA T FONDO 100'!EG210</f>
        <v>267714.86</v>
      </c>
      <c r="H260" s="7">
        <f>'CUENTA T VS'!EG498</f>
        <v>10970.210000000001</v>
      </c>
      <c r="I260" s="7">
        <f t="shared" si="9"/>
        <v>278685.07</v>
      </c>
      <c r="J260" s="6">
        <f>I260/$I$25</f>
        <v>1.3389151503401307E-3</v>
      </c>
    </row>
    <row r="261" spans="1:10">
      <c r="A261" s="23">
        <v>2</v>
      </c>
      <c r="B261" s="22">
        <v>3</v>
      </c>
      <c r="C261" s="22">
        <v>6</v>
      </c>
      <c r="D261" s="22"/>
      <c r="E261" s="22"/>
      <c r="F261" s="30" t="s">
        <v>201</v>
      </c>
      <c r="G261" s="20">
        <f>+G262+G268+G272+G276+G284</f>
        <v>37434.229999999996</v>
      </c>
      <c r="H261" s="20">
        <f>+H262+H268+H272+H276+H284</f>
        <v>184614.49000000002</v>
      </c>
      <c r="I261" s="20">
        <f t="shared" si="9"/>
        <v>222048.72000000003</v>
      </c>
      <c r="J261" s="19"/>
    </row>
    <row r="262" spans="1:10">
      <c r="A262" s="18">
        <v>2</v>
      </c>
      <c r="B262" s="15">
        <v>3</v>
      </c>
      <c r="C262" s="15">
        <v>6</v>
      </c>
      <c r="D262" s="15">
        <v>1</v>
      </c>
      <c r="E262" s="15"/>
      <c r="F262" s="16" t="s">
        <v>200</v>
      </c>
      <c r="G262" s="12">
        <f>SUM(G263:G267)</f>
        <v>0</v>
      </c>
      <c r="H262" s="12">
        <f>SUM(H263:H267)</f>
        <v>0</v>
      </c>
      <c r="I262" s="12">
        <f t="shared" si="9"/>
        <v>0</v>
      </c>
      <c r="J262" s="11"/>
    </row>
    <row r="263" spans="1:10">
      <c r="A263" s="17">
        <v>2</v>
      </c>
      <c r="B263" s="9">
        <v>3</v>
      </c>
      <c r="C263" s="9">
        <v>6</v>
      </c>
      <c r="D263" s="9">
        <v>1</v>
      </c>
      <c r="E263" s="24" t="s">
        <v>44</v>
      </c>
      <c r="F263" s="10" t="s">
        <v>30</v>
      </c>
      <c r="G263" s="7">
        <f>'CUENTA T FONDO 100'!EH210</f>
        <v>0</v>
      </c>
      <c r="H263" s="7">
        <f>'CUENTA T VS'!EH498</f>
        <v>0</v>
      </c>
      <c r="I263" s="7">
        <f t="shared" si="9"/>
        <v>0</v>
      </c>
      <c r="J263" s="6">
        <f>I263/$I$25</f>
        <v>0</v>
      </c>
    </row>
    <row r="264" spans="1:10">
      <c r="A264" s="17">
        <v>2</v>
      </c>
      <c r="B264" s="9">
        <v>3</v>
      </c>
      <c r="C264" s="9">
        <v>6</v>
      </c>
      <c r="D264" s="9">
        <v>1</v>
      </c>
      <c r="E264" s="24" t="s">
        <v>43</v>
      </c>
      <c r="F264" s="10" t="s">
        <v>29</v>
      </c>
      <c r="G264" s="7">
        <f>'CUENTA T FONDO 100'!EI210</f>
        <v>0</v>
      </c>
      <c r="H264" s="7">
        <f>'CUENTA T VS'!EI498</f>
        <v>0</v>
      </c>
      <c r="I264" s="7">
        <f t="shared" si="9"/>
        <v>0</v>
      </c>
      <c r="J264" s="6">
        <f>I264/$I$25</f>
        <v>0</v>
      </c>
    </row>
    <row r="265" spans="1:10">
      <c r="A265" s="17">
        <v>2</v>
      </c>
      <c r="B265" s="9">
        <v>3</v>
      </c>
      <c r="C265" s="9">
        <v>6</v>
      </c>
      <c r="D265" s="9">
        <v>1</v>
      </c>
      <c r="E265" s="24" t="s">
        <v>104</v>
      </c>
      <c r="F265" s="10" t="s">
        <v>28</v>
      </c>
      <c r="G265" s="7">
        <f>'CUENTA T FONDO 100'!EJ210</f>
        <v>0</v>
      </c>
      <c r="H265" s="7">
        <f>'CUENTA T VS'!EJ498</f>
        <v>0</v>
      </c>
      <c r="I265" s="7">
        <f t="shared" si="9"/>
        <v>0</v>
      </c>
      <c r="J265" s="6">
        <f>I265/$I$25</f>
        <v>0</v>
      </c>
    </row>
    <row r="266" spans="1:10">
      <c r="A266" s="17">
        <v>2</v>
      </c>
      <c r="B266" s="9">
        <v>3</v>
      </c>
      <c r="C266" s="9">
        <v>6</v>
      </c>
      <c r="D266" s="9">
        <v>1</v>
      </c>
      <c r="E266" s="24" t="s">
        <v>172</v>
      </c>
      <c r="F266" s="10" t="s">
        <v>27</v>
      </c>
      <c r="G266" s="7">
        <f>'CUENTA T FONDO 100'!EK210</f>
        <v>0</v>
      </c>
      <c r="H266" s="7">
        <f>'CUENTA T VS'!EK498</f>
        <v>0</v>
      </c>
      <c r="I266" s="7">
        <f t="shared" si="9"/>
        <v>0</v>
      </c>
      <c r="J266" s="6">
        <f>I266/$I$25</f>
        <v>0</v>
      </c>
    </row>
    <row r="267" spans="1:10">
      <c r="A267" s="17">
        <v>2</v>
      </c>
      <c r="B267" s="9">
        <v>3</v>
      </c>
      <c r="C267" s="9">
        <v>6</v>
      </c>
      <c r="D267" s="9">
        <v>1</v>
      </c>
      <c r="E267" s="24" t="s">
        <v>170</v>
      </c>
      <c r="F267" s="10" t="s">
        <v>26</v>
      </c>
      <c r="G267" s="7">
        <f>'CUENTA T FONDO 100'!EL210</f>
        <v>0</v>
      </c>
      <c r="H267" s="7">
        <f>'CUENTA T VS'!EL498</f>
        <v>0</v>
      </c>
      <c r="I267" s="7">
        <f t="shared" si="9"/>
        <v>0</v>
      </c>
      <c r="J267" s="6">
        <f>I267/$I$25</f>
        <v>0</v>
      </c>
    </row>
    <row r="268" spans="1:10">
      <c r="A268" s="18">
        <v>2</v>
      </c>
      <c r="B268" s="15">
        <v>3</v>
      </c>
      <c r="C268" s="15">
        <v>6</v>
      </c>
      <c r="D268" s="15">
        <v>2</v>
      </c>
      <c r="E268" s="15"/>
      <c r="F268" s="16" t="s">
        <v>25</v>
      </c>
      <c r="G268" s="12">
        <f>SUM(G269:G271)</f>
        <v>0</v>
      </c>
      <c r="H268" s="12">
        <f>SUM(H269:H271)</f>
        <v>17746.010000000002</v>
      </c>
      <c r="I268" s="12">
        <f t="shared" si="9"/>
        <v>17746.010000000002</v>
      </c>
      <c r="J268" s="11"/>
    </row>
    <row r="269" spans="1:10">
      <c r="A269" s="17">
        <v>2</v>
      </c>
      <c r="B269" s="9">
        <v>3</v>
      </c>
      <c r="C269" s="9">
        <v>6</v>
      </c>
      <c r="D269" s="9">
        <v>2</v>
      </c>
      <c r="E269" s="24" t="s">
        <v>44</v>
      </c>
      <c r="F269" s="10" t="s">
        <v>24</v>
      </c>
      <c r="G269" s="7">
        <f>'CUENTA T FONDO 100'!EM210</f>
        <v>0</v>
      </c>
      <c r="H269" s="7">
        <f>'CUENTA T VS'!EM498</f>
        <v>9246.01</v>
      </c>
      <c r="I269" s="7">
        <f t="shared" si="9"/>
        <v>9246.01</v>
      </c>
      <c r="J269" s="6">
        <f>I269/$I$25</f>
        <v>4.4421550351428418E-5</v>
      </c>
    </row>
    <row r="270" spans="1:10">
      <c r="A270" s="17">
        <v>2</v>
      </c>
      <c r="B270" s="9">
        <v>3</v>
      </c>
      <c r="C270" s="9">
        <v>6</v>
      </c>
      <c r="D270" s="9">
        <v>2</v>
      </c>
      <c r="E270" s="24" t="s">
        <v>43</v>
      </c>
      <c r="F270" s="10" t="s">
        <v>23</v>
      </c>
      <c r="G270" s="7">
        <f>'CUENTA T FONDO 100'!EN210</f>
        <v>0</v>
      </c>
      <c r="H270" s="7">
        <f>'CUENTA T VS'!EN498</f>
        <v>0</v>
      </c>
      <c r="I270" s="7">
        <f t="shared" si="9"/>
        <v>0</v>
      </c>
      <c r="J270" s="6">
        <f>I270/$I$25</f>
        <v>0</v>
      </c>
    </row>
    <row r="271" spans="1:10">
      <c r="A271" s="17">
        <v>2</v>
      </c>
      <c r="B271" s="9">
        <v>3</v>
      </c>
      <c r="C271" s="9">
        <v>6</v>
      </c>
      <c r="D271" s="9">
        <v>2</v>
      </c>
      <c r="E271" s="24" t="s">
        <v>104</v>
      </c>
      <c r="F271" s="10" t="s">
        <v>22</v>
      </c>
      <c r="G271" s="7">
        <f>'CUENTA T FONDO 100'!EO210</f>
        <v>0</v>
      </c>
      <c r="H271" s="7">
        <f>'CUENTA T VS'!EO498</f>
        <v>8500</v>
      </c>
      <c r="I271" s="7">
        <f t="shared" si="9"/>
        <v>8500</v>
      </c>
      <c r="J271" s="6">
        <f>I271/$I$25</f>
        <v>4.0837418301206846E-5</v>
      </c>
    </row>
    <row r="272" spans="1:10">
      <c r="A272" s="18">
        <v>2</v>
      </c>
      <c r="B272" s="15">
        <v>3</v>
      </c>
      <c r="C272" s="15">
        <v>6</v>
      </c>
      <c r="D272" s="15">
        <v>3</v>
      </c>
      <c r="E272" s="15"/>
      <c r="F272" s="16" t="s">
        <v>21</v>
      </c>
      <c r="G272" s="12">
        <f>SUM(G273:G275)</f>
        <v>37434.229999999996</v>
      </c>
      <c r="H272" s="12">
        <f>SUM(H273:H275)</f>
        <v>163118.56</v>
      </c>
      <c r="I272" s="12">
        <f t="shared" si="9"/>
        <v>200552.78999999998</v>
      </c>
      <c r="J272" s="11"/>
    </row>
    <row r="273" spans="1:10">
      <c r="A273" s="17">
        <v>2</v>
      </c>
      <c r="B273" s="9">
        <v>3</v>
      </c>
      <c r="C273" s="9">
        <v>6</v>
      </c>
      <c r="D273" s="9">
        <v>3</v>
      </c>
      <c r="E273" s="24" t="s">
        <v>172</v>
      </c>
      <c r="F273" s="33" t="s">
        <v>20</v>
      </c>
      <c r="G273" s="7">
        <f>'CUENTA T FONDO 100'!EP210</f>
        <v>19020.419999999998</v>
      </c>
      <c r="H273" s="7">
        <f>'CUENTA T VS'!EP498</f>
        <v>78291.990000000005</v>
      </c>
      <c r="I273" s="7">
        <f t="shared" si="9"/>
        <v>97312.41</v>
      </c>
      <c r="J273" s="6">
        <f>I273/$I$25</f>
        <v>4.6752795212571114E-4</v>
      </c>
    </row>
    <row r="274" spans="1:10">
      <c r="A274" s="17">
        <v>2</v>
      </c>
      <c r="B274" s="9">
        <v>3</v>
      </c>
      <c r="C274" s="9">
        <v>6</v>
      </c>
      <c r="D274" s="9">
        <v>3</v>
      </c>
      <c r="E274" s="24" t="s">
        <v>170</v>
      </c>
      <c r="F274" s="10" t="s">
        <v>19</v>
      </c>
      <c r="G274" s="7">
        <f>'CUENTA T FONDO 100'!EQ210</f>
        <v>0</v>
      </c>
      <c r="H274" s="7">
        <f>'CUENTA T VS'!EQ498</f>
        <v>0</v>
      </c>
      <c r="I274" s="7">
        <f t="shared" si="9"/>
        <v>0</v>
      </c>
      <c r="J274" s="6">
        <f>I274/$I$25</f>
        <v>0</v>
      </c>
    </row>
    <row r="275" spans="1:10">
      <c r="A275" s="17">
        <v>2</v>
      </c>
      <c r="B275" s="9">
        <v>3</v>
      </c>
      <c r="C275" s="9">
        <v>6</v>
      </c>
      <c r="D275" s="9">
        <v>3</v>
      </c>
      <c r="E275" s="24" t="s">
        <v>61</v>
      </c>
      <c r="F275" s="10" t="s">
        <v>18</v>
      </c>
      <c r="G275" s="7">
        <f>'CUENTA T FONDO 100'!ER210</f>
        <v>18413.810000000001</v>
      </c>
      <c r="H275" s="7">
        <f>'CUENTA T VS'!ER498</f>
        <v>84826.57</v>
      </c>
      <c r="I275" s="7">
        <f t="shared" si="9"/>
        <v>103240.38</v>
      </c>
      <c r="J275" s="6">
        <f>I275/$I$25</f>
        <v>4.9600830395712351E-4</v>
      </c>
    </row>
    <row r="276" spans="1:10">
      <c r="A276" s="18">
        <v>2</v>
      </c>
      <c r="B276" s="15">
        <v>3</v>
      </c>
      <c r="C276" s="15">
        <v>6</v>
      </c>
      <c r="D276" s="15">
        <v>4</v>
      </c>
      <c r="E276" s="15"/>
      <c r="F276" s="16" t="s">
        <v>17</v>
      </c>
      <c r="G276" s="12">
        <f>SUM(G277:G283)</f>
        <v>0</v>
      </c>
      <c r="H276" s="12">
        <f>SUM(H277:H283)</f>
        <v>0</v>
      </c>
      <c r="I276" s="12">
        <f t="shared" si="9"/>
        <v>0</v>
      </c>
      <c r="J276" s="11"/>
    </row>
    <row r="277" spans="1:10">
      <c r="A277" s="17">
        <v>2</v>
      </c>
      <c r="B277" s="9">
        <v>3</v>
      </c>
      <c r="C277" s="9">
        <v>6</v>
      </c>
      <c r="D277" s="9">
        <v>4</v>
      </c>
      <c r="E277" s="24" t="s">
        <v>44</v>
      </c>
      <c r="F277" s="10" t="s">
        <v>16</v>
      </c>
      <c r="G277" s="7">
        <f>'CUENTA T FONDO 100'!ES210</f>
        <v>0</v>
      </c>
      <c r="H277" s="7">
        <f>'CUENTA T VS'!ES498</f>
        <v>0</v>
      </c>
      <c r="I277" s="7">
        <f t="shared" si="9"/>
        <v>0</v>
      </c>
      <c r="J277" s="6">
        <f t="shared" ref="J277:J283" si="10">I277/$I$25</f>
        <v>0</v>
      </c>
    </row>
    <row r="278" spans="1:10">
      <c r="A278" s="17">
        <v>2</v>
      </c>
      <c r="B278" s="9">
        <v>3</v>
      </c>
      <c r="C278" s="9">
        <v>6</v>
      </c>
      <c r="D278" s="9">
        <v>4</v>
      </c>
      <c r="E278" s="24" t="s">
        <v>43</v>
      </c>
      <c r="F278" s="10" t="s">
        <v>199</v>
      </c>
      <c r="G278" s="7">
        <f>'CUENTA T FONDO 100'!ET210</f>
        <v>0</v>
      </c>
      <c r="H278" s="7">
        <f>'CUENTA T VS'!ET498</f>
        <v>0</v>
      </c>
      <c r="I278" s="7">
        <f t="shared" si="9"/>
        <v>0</v>
      </c>
      <c r="J278" s="6">
        <f t="shared" si="10"/>
        <v>0</v>
      </c>
    </row>
    <row r="279" spans="1:10">
      <c r="A279" s="17">
        <v>2</v>
      </c>
      <c r="B279" s="9">
        <v>3</v>
      </c>
      <c r="C279" s="9">
        <v>6</v>
      </c>
      <c r="D279" s="9">
        <v>4</v>
      </c>
      <c r="E279" s="24" t="s">
        <v>104</v>
      </c>
      <c r="F279" s="10" t="s">
        <v>15</v>
      </c>
      <c r="G279" s="7">
        <f>'CUENTA T FONDO 100'!EU210</f>
        <v>0</v>
      </c>
      <c r="H279" s="7">
        <f>'CUENTA T VS'!EU498</f>
        <v>0</v>
      </c>
      <c r="I279" s="7">
        <f t="shared" si="9"/>
        <v>0</v>
      </c>
      <c r="J279" s="6">
        <f t="shared" si="10"/>
        <v>0</v>
      </c>
    </row>
    <row r="280" spans="1:10">
      <c r="A280" s="17">
        <v>2</v>
      </c>
      <c r="B280" s="9">
        <v>3</v>
      </c>
      <c r="C280" s="9">
        <v>6</v>
      </c>
      <c r="D280" s="9">
        <v>4</v>
      </c>
      <c r="E280" s="24" t="s">
        <v>172</v>
      </c>
      <c r="F280" s="10" t="s">
        <v>198</v>
      </c>
      <c r="G280" s="7">
        <f>'CUENTA T FONDO 100'!EV210</f>
        <v>0</v>
      </c>
      <c r="H280" s="7">
        <f>'CUENTA T VS'!EV498</f>
        <v>0</v>
      </c>
      <c r="I280" s="7">
        <f t="shared" si="9"/>
        <v>0</v>
      </c>
      <c r="J280" s="6">
        <f t="shared" si="10"/>
        <v>0</v>
      </c>
    </row>
    <row r="281" spans="1:10">
      <c r="A281" s="17">
        <v>2</v>
      </c>
      <c r="B281" s="9">
        <v>3</v>
      </c>
      <c r="C281" s="9">
        <v>6</v>
      </c>
      <c r="D281" s="9">
        <v>4</v>
      </c>
      <c r="E281" s="24" t="s">
        <v>170</v>
      </c>
      <c r="F281" s="10" t="s">
        <v>197</v>
      </c>
      <c r="G281" s="7">
        <f>'CUENTA T FONDO 100'!EW210</f>
        <v>0</v>
      </c>
      <c r="H281" s="7">
        <f>'CUENTA T VS'!EW498</f>
        <v>0</v>
      </c>
      <c r="I281" s="7">
        <f t="shared" ref="I281:I344" si="11">SUM(G281:H281)</f>
        <v>0</v>
      </c>
      <c r="J281" s="6">
        <f t="shared" si="10"/>
        <v>0</v>
      </c>
    </row>
    <row r="282" spans="1:10">
      <c r="A282" s="17">
        <v>2</v>
      </c>
      <c r="B282" s="9">
        <v>3</v>
      </c>
      <c r="C282" s="9">
        <v>6</v>
      </c>
      <c r="D282" s="9">
        <v>4</v>
      </c>
      <c r="E282" s="24" t="s">
        <v>61</v>
      </c>
      <c r="F282" s="10" t="s">
        <v>196</v>
      </c>
      <c r="G282" s="7">
        <f>'CUENTA T FONDO 100'!EX210</f>
        <v>0</v>
      </c>
      <c r="H282" s="7">
        <f>'CUENTA T VS'!EX498</f>
        <v>0</v>
      </c>
      <c r="I282" s="7">
        <f t="shared" si="11"/>
        <v>0</v>
      </c>
      <c r="J282" s="6">
        <f t="shared" si="10"/>
        <v>0</v>
      </c>
    </row>
    <row r="283" spans="1:10">
      <c r="A283" s="17">
        <v>2</v>
      </c>
      <c r="B283" s="9">
        <v>3</v>
      </c>
      <c r="C283" s="9">
        <v>6</v>
      </c>
      <c r="D283" s="9">
        <v>4</v>
      </c>
      <c r="E283" s="24" t="s">
        <v>60</v>
      </c>
      <c r="F283" s="10" t="s">
        <v>14</v>
      </c>
      <c r="G283" s="7">
        <f>'CUENTA T FONDO 100'!EY210</f>
        <v>0</v>
      </c>
      <c r="H283" s="7">
        <f>'CUENTA T VS'!EY498</f>
        <v>0</v>
      </c>
      <c r="I283" s="7">
        <f t="shared" si="11"/>
        <v>0</v>
      </c>
      <c r="J283" s="6">
        <f t="shared" si="10"/>
        <v>0</v>
      </c>
    </row>
    <row r="284" spans="1:10">
      <c r="A284" s="18">
        <v>2</v>
      </c>
      <c r="B284" s="15">
        <v>3</v>
      </c>
      <c r="C284" s="15">
        <v>6</v>
      </c>
      <c r="D284" s="15">
        <v>9</v>
      </c>
      <c r="E284" s="15"/>
      <c r="F284" s="16" t="s">
        <v>195</v>
      </c>
      <c r="G284" s="12">
        <f>SUM(G285)</f>
        <v>0</v>
      </c>
      <c r="H284" s="12">
        <f>SUM(H285)</f>
        <v>3749.92</v>
      </c>
      <c r="I284" s="12">
        <f t="shared" si="11"/>
        <v>3749.92</v>
      </c>
      <c r="J284" s="11"/>
    </row>
    <row r="285" spans="1:10">
      <c r="A285" s="17">
        <v>2</v>
      </c>
      <c r="B285" s="9">
        <v>3</v>
      </c>
      <c r="C285" s="9">
        <v>6</v>
      </c>
      <c r="D285" s="9">
        <v>9</v>
      </c>
      <c r="E285" s="24" t="s">
        <v>44</v>
      </c>
      <c r="F285" s="10" t="s">
        <v>402</v>
      </c>
      <c r="G285" s="7">
        <f>'CUENTA T FONDO 100'!EZ210</f>
        <v>0</v>
      </c>
      <c r="H285" s="7">
        <f>'CUENTA T VS'!EZ498</f>
        <v>3749.92</v>
      </c>
      <c r="I285" s="7">
        <f t="shared" si="11"/>
        <v>3749.92</v>
      </c>
      <c r="J285" s="6">
        <f>I285/$I$25</f>
        <v>1.8016123721889597E-5</v>
      </c>
    </row>
    <row r="286" spans="1:10" ht="25.5">
      <c r="A286" s="30">
        <v>2</v>
      </c>
      <c r="B286" s="22">
        <v>3</v>
      </c>
      <c r="C286" s="22">
        <v>7</v>
      </c>
      <c r="D286" s="22"/>
      <c r="E286" s="22"/>
      <c r="F286" s="35" t="s">
        <v>194</v>
      </c>
      <c r="G286" s="20">
        <f>G287+G295</f>
        <v>12521841.479999999</v>
      </c>
      <c r="H286" s="20">
        <f>H287+H295</f>
        <v>3213667</v>
      </c>
      <c r="I286" s="20">
        <f t="shared" si="11"/>
        <v>15735508.479999999</v>
      </c>
      <c r="J286" s="19"/>
    </row>
    <row r="287" spans="1:10">
      <c r="A287" s="18">
        <v>2</v>
      </c>
      <c r="B287" s="15">
        <v>3</v>
      </c>
      <c r="C287" s="15">
        <v>7</v>
      </c>
      <c r="D287" s="15">
        <v>1</v>
      </c>
      <c r="E287" s="15"/>
      <c r="F287" s="16" t="s">
        <v>13</v>
      </c>
      <c r="G287" s="12">
        <f>SUM(G288:G294)</f>
        <v>0</v>
      </c>
      <c r="H287" s="12">
        <f>SUM(H288:H294)</f>
        <v>1340590</v>
      </c>
      <c r="I287" s="12">
        <f t="shared" si="11"/>
        <v>1340590</v>
      </c>
      <c r="J287" s="11"/>
    </row>
    <row r="288" spans="1:10">
      <c r="A288" s="17">
        <v>2</v>
      </c>
      <c r="B288" s="9">
        <v>3</v>
      </c>
      <c r="C288" s="9">
        <v>7</v>
      </c>
      <c r="D288" s="9">
        <v>1</v>
      </c>
      <c r="E288" s="24" t="s">
        <v>44</v>
      </c>
      <c r="F288" s="10" t="s">
        <v>12</v>
      </c>
      <c r="G288" s="7">
        <f>'CUENTA T FONDO 100'!FA210</f>
        <v>0</v>
      </c>
      <c r="H288" s="7">
        <f>'CUENTA T VS'!FA498</f>
        <v>172000</v>
      </c>
      <c r="I288" s="7">
        <f t="shared" si="11"/>
        <v>172000</v>
      </c>
      <c r="J288" s="6">
        <f t="shared" ref="J288:J294" si="12">I288/$I$25</f>
        <v>8.2635717033030325E-4</v>
      </c>
    </row>
    <row r="289" spans="1:10">
      <c r="A289" s="17">
        <v>2</v>
      </c>
      <c r="B289" s="9">
        <v>3</v>
      </c>
      <c r="C289" s="9">
        <v>7</v>
      </c>
      <c r="D289" s="9">
        <v>1</v>
      </c>
      <c r="E289" s="24" t="s">
        <v>43</v>
      </c>
      <c r="F289" s="10" t="s">
        <v>11</v>
      </c>
      <c r="G289" s="7">
        <f>'CUENTA T FONDO 100'!FB210</f>
        <v>0</v>
      </c>
      <c r="H289" s="7">
        <f>'CUENTA T VS'!FB498</f>
        <v>1124000</v>
      </c>
      <c r="I289" s="7">
        <f t="shared" si="11"/>
        <v>1124000</v>
      </c>
      <c r="J289" s="6">
        <f t="shared" si="12"/>
        <v>5.4001480200654706E-3</v>
      </c>
    </row>
    <row r="290" spans="1:10">
      <c r="A290" s="17">
        <v>2</v>
      </c>
      <c r="B290" s="9">
        <v>3</v>
      </c>
      <c r="C290" s="9">
        <v>7</v>
      </c>
      <c r="D290" s="9">
        <v>1</v>
      </c>
      <c r="E290" s="24" t="s">
        <v>104</v>
      </c>
      <c r="F290" s="10" t="s">
        <v>193</v>
      </c>
      <c r="G290" s="7">
        <f>'CUENTA T FONDO 100'!FC210</f>
        <v>0</v>
      </c>
      <c r="H290" s="7">
        <f>'CUENTA T VS'!FC498</f>
        <v>0</v>
      </c>
      <c r="I290" s="7">
        <f t="shared" si="11"/>
        <v>0</v>
      </c>
      <c r="J290" s="6">
        <f t="shared" si="12"/>
        <v>0</v>
      </c>
    </row>
    <row r="291" spans="1:10">
      <c r="A291" s="17">
        <v>2</v>
      </c>
      <c r="B291" s="9">
        <v>3</v>
      </c>
      <c r="C291" s="9">
        <v>7</v>
      </c>
      <c r="D291" s="9">
        <v>1</v>
      </c>
      <c r="E291" s="24" t="s">
        <v>172</v>
      </c>
      <c r="F291" s="10" t="s">
        <v>10</v>
      </c>
      <c r="G291" s="7">
        <f>'CUENTA T FONDO 100'!FD210</f>
        <v>0</v>
      </c>
      <c r="H291" s="7">
        <f>'CUENTA T VS'!FD498</f>
        <v>44590</v>
      </c>
      <c r="I291" s="7">
        <f t="shared" si="11"/>
        <v>44590</v>
      </c>
      <c r="J291" s="6">
        <f t="shared" si="12"/>
        <v>2.1422829200597806E-4</v>
      </c>
    </row>
    <row r="292" spans="1:10">
      <c r="A292" s="17">
        <v>2</v>
      </c>
      <c r="B292" s="9">
        <v>3</v>
      </c>
      <c r="C292" s="9">
        <v>7</v>
      </c>
      <c r="D292" s="9">
        <v>1</v>
      </c>
      <c r="E292" s="24" t="s">
        <v>170</v>
      </c>
      <c r="F292" s="10" t="s">
        <v>192</v>
      </c>
      <c r="G292" s="7">
        <f>'CUENTA T FONDO 100'!FE210</f>
        <v>0</v>
      </c>
      <c r="H292" s="7">
        <f>'CUENTA T VS'!FE498</f>
        <v>0</v>
      </c>
      <c r="I292" s="7">
        <f t="shared" si="11"/>
        <v>0</v>
      </c>
      <c r="J292" s="6">
        <f t="shared" si="12"/>
        <v>0</v>
      </c>
    </row>
    <row r="293" spans="1:10">
      <c r="A293" s="17">
        <v>2</v>
      </c>
      <c r="B293" s="9">
        <v>3</v>
      </c>
      <c r="C293" s="9">
        <v>7</v>
      </c>
      <c r="D293" s="9">
        <v>1</v>
      </c>
      <c r="E293" s="24" t="s">
        <v>61</v>
      </c>
      <c r="F293" s="10" t="s">
        <v>9</v>
      </c>
      <c r="G293" s="7">
        <f>'CUENTA T FONDO 100'!FF210</f>
        <v>0</v>
      </c>
      <c r="H293" s="7">
        <f>'CUENTA T VS'!FF498</f>
        <v>0</v>
      </c>
      <c r="I293" s="7">
        <f t="shared" si="11"/>
        <v>0</v>
      </c>
      <c r="J293" s="6">
        <f t="shared" si="12"/>
        <v>0</v>
      </c>
    </row>
    <row r="294" spans="1:10">
      <c r="A294" s="17">
        <v>2</v>
      </c>
      <c r="B294" s="9">
        <v>3</v>
      </c>
      <c r="C294" s="9">
        <v>7</v>
      </c>
      <c r="D294" s="9">
        <v>1</v>
      </c>
      <c r="E294" s="24" t="s">
        <v>60</v>
      </c>
      <c r="F294" s="10" t="s">
        <v>191</v>
      </c>
      <c r="G294" s="7">
        <f>'CUENTA T FONDO 100'!FG210</f>
        <v>0</v>
      </c>
      <c r="H294" s="7">
        <f>'CUENTA T VS'!FG498</f>
        <v>0</v>
      </c>
      <c r="I294" s="7">
        <f t="shared" si="11"/>
        <v>0</v>
      </c>
      <c r="J294" s="6">
        <f t="shared" si="12"/>
        <v>0</v>
      </c>
    </row>
    <row r="295" spans="1:10">
      <c r="A295" s="18">
        <v>2</v>
      </c>
      <c r="B295" s="15">
        <v>3</v>
      </c>
      <c r="C295" s="15">
        <v>7</v>
      </c>
      <c r="D295" s="15">
        <v>2</v>
      </c>
      <c r="E295" s="15"/>
      <c r="F295" s="16" t="s">
        <v>8</v>
      </c>
      <c r="G295" s="12">
        <f>SUM(G296:G302)</f>
        <v>12521841.479999999</v>
      </c>
      <c r="H295" s="12">
        <f>SUM(H296:H302)</f>
        <v>1873077</v>
      </c>
      <c r="I295" s="12">
        <f t="shared" si="11"/>
        <v>14394918.479999999</v>
      </c>
      <c r="J295" s="11"/>
    </row>
    <row r="296" spans="1:10">
      <c r="A296" s="17">
        <v>2</v>
      </c>
      <c r="B296" s="9">
        <v>3</v>
      </c>
      <c r="C296" s="9">
        <v>7</v>
      </c>
      <c r="D296" s="9">
        <v>2</v>
      </c>
      <c r="E296" s="24" t="s">
        <v>44</v>
      </c>
      <c r="F296" s="10" t="s">
        <v>190</v>
      </c>
      <c r="G296" s="7">
        <f>'CUENTA T FONDO 100'!FH210</f>
        <v>0</v>
      </c>
      <c r="H296" s="7">
        <f>'CUENTA T VS'!FH498</f>
        <v>0</v>
      </c>
      <c r="I296" s="7">
        <f t="shared" si="11"/>
        <v>0</v>
      </c>
      <c r="J296" s="6">
        <f t="shared" ref="J296:J302" si="13">I296/$I$25</f>
        <v>0</v>
      </c>
    </row>
    <row r="297" spans="1:10">
      <c r="A297" s="17">
        <v>2</v>
      </c>
      <c r="B297" s="9">
        <v>3</v>
      </c>
      <c r="C297" s="9">
        <v>7</v>
      </c>
      <c r="D297" s="9">
        <v>2</v>
      </c>
      <c r="E297" s="24" t="s">
        <v>43</v>
      </c>
      <c r="F297" s="10" t="s">
        <v>189</v>
      </c>
      <c r="G297" s="7">
        <f>'CUENTA T FONDO 100'!FI210</f>
        <v>0</v>
      </c>
      <c r="H297" s="7">
        <f>'CUENTA T VS'!FI498</f>
        <v>0</v>
      </c>
      <c r="I297" s="7">
        <f t="shared" si="11"/>
        <v>0</v>
      </c>
      <c r="J297" s="6">
        <f t="shared" si="13"/>
        <v>0</v>
      </c>
    </row>
    <row r="298" spans="1:10">
      <c r="A298" s="17">
        <v>2</v>
      </c>
      <c r="B298" s="9">
        <v>3</v>
      </c>
      <c r="C298" s="9">
        <v>7</v>
      </c>
      <c r="D298" s="9">
        <v>2</v>
      </c>
      <c r="E298" s="24" t="s">
        <v>104</v>
      </c>
      <c r="F298" s="10" t="s">
        <v>381</v>
      </c>
      <c r="G298" s="7">
        <f>'CUENTA T FONDO 100'!FJ210</f>
        <v>12262492.049999999</v>
      </c>
      <c r="H298" s="7">
        <f>'CUENTA T VS'!FJ498</f>
        <v>129593</v>
      </c>
      <c r="I298" s="7">
        <f t="shared" si="11"/>
        <v>12392085.049999999</v>
      </c>
      <c r="J298" s="6">
        <f t="shared" si="13"/>
        <v>5.953656009540962E-2</v>
      </c>
    </row>
    <row r="299" spans="1:10">
      <c r="A299" s="17">
        <v>2</v>
      </c>
      <c r="B299" s="9">
        <v>3</v>
      </c>
      <c r="C299" s="9">
        <v>7</v>
      </c>
      <c r="D299" s="9">
        <v>2</v>
      </c>
      <c r="E299" s="24" t="s">
        <v>172</v>
      </c>
      <c r="F299" s="10" t="s">
        <v>188</v>
      </c>
      <c r="G299" s="7">
        <f>'CUENTA T FONDO 100'!FK210</f>
        <v>0</v>
      </c>
      <c r="H299" s="7">
        <f>'CUENTA T VS'!FK498</f>
        <v>0</v>
      </c>
      <c r="I299" s="7">
        <f t="shared" si="11"/>
        <v>0</v>
      </c>
      <c r="J299" s="6">
        <f t="shared" si="13"/>
        <v>0</v>
      </c>
    </row>
    <row r="300" spans="1:10">
      <c r="A300" s="17">
        <v>2</v>
      </c>
      <c r="B300" s="9">
        <v>3</v>
      </c>
      <c r="C300" s="9">
        <v>7</v>
      </c>
      <c r="D300" s="9">
        <v>2</v>
      </c>
      <c r="E300" s="24" t="s">
        <v>170</v>
      </c>
      <c r="F300" s="10" t="s">
        <v>187</v>
      </c>
      <c r="G300" s="7">
        <f>'CUENTA T FONDO 100'!FL210</f>
        <v>0</v>
      </c>
      <c r="H300" s="7">
        <f>'CUENTA T VS'!FL498</f>
        <v>0</v>
      </c>
      <c r="I300" s="7">
        <f t="shared" si="11"/>
        <v>0</v>
      </c>
      <c r="J300" s="6">
        <f t="shared" si="13"/>
        <v>0</v>
      </c>
    </row>
    <row r="301" spans="1:10" ht="25.5">
      <c r="A301" s="10">
        <v>2</v>
      </c>
      <c r="B301" s="9">
        <v>3</v>
      </c>
      <c r="C301" s="9">
        <v>7</v>
      </c>
      <c r="D301" s="9">
        <v>2</v>
      </c>
      <c r="E301" s="24" t="s">
        <v>61</v>
      </c>
      <c r="F301" s="36" t="s">
        <v>186</v>
      </c>
      <c r="G301" s="7">
        <f>'CUENTA T FONDO 100'!FM210</f>
        <v>259349.43</v>
      </c>
      <c r="H301" s="7">
        <f>'CUENTA T VS'!FM498</f>
        <v>0</v>
      </c>
      <c r="I301" s="7">
        <f t="shared" si="11"/>
        <v>259349.43</v>
      </c>
      <c r="J301" s="6">
        <f t="shared" si="13"/>
        <v>1.24601895989289E-3</v>
      </c>
    </row>
    <row r="302" spans="1:10">
      <c r="A302" s="10">
        <v>2</v>
      </c>
      <c r="B302" s="9">
        <v>3</v>
      </c>
      <c r="C302" s="9">
        <v>7</v>
      </c>
      <c r="D302" s="9">
        <v>2</v>
      </c>
      <c r="E302" s="24">
        <v>99</v>
      </c>
      <c r="F302" s="36" t="s">
        <v>6</v>
      </c>
      <c r="G302" s="7">
        <f>'CUENTA T FONDO 100'!FN210</f>
        <v>0</v>
      </c>
      <c r="H302" s="7">
        <f>'CUENTA T VS'!FN498</f>
        <v>1743484</v>
      </c>
      <c r="I302" s="7">
        <f t="shared" si="11"/>
        <v>1743484</v>
      </c>
      <c r="J302" s="6">
        <f t="shared" si="13"/>
        <v>8.3763982834660373E-3</v>
      </c>
    </row>
    <row r="303" spans="1:10" ht="25.5">
      <c r="A303" s="30">
        <v>2</v>
      </c>
      <c r="B303" s="22">
        <v>3</v>
      </c>
      <c r="C303" s="22">
        <v>8</v>
      </c>
      <c r="D303" s="22"/>
      <c r="E303" s="22"/>
      <c r="F303" s="35" t="s">
        <v>185</v>
      </c>
      <c r="G303" s="20">
        <f>+G304+G306</f>
        <v>0</v>
      </c>
      <c r="H303" s="20">
        <f>+H304+H306</f>
        <v>0</v>
      </c>
      <c r="I303" s="20">
        <f t="shared" si="11"/>
        <v>0</v>
      </c>
      <c r="J303" s="19"/>
    </row>
    <row r="304" spans="1:10">
      <c r="A304" s="16">
        <v>2</v>
      </c>
      <c r="B304" s="15">
        <v>3</v>
      </c>
      <c r="C304" s="15">
        <v>8</v>
      </c>
      <c r="D304" s="15">
        <v>1</v>
      </c>
      <c r="E304" s="15"/>
      <c r="F304" s="16" t="s">
        <v>184</v>
      </c>
      <c r="G304" s="12">
        <f>SUM(G305)</f>
        <v>0</v>
      </c>
      <c r="H304" s="12">
        <f>SUM(H305)</f>
        <v>0</v>
      </c>
      <c r="I304" s="12">
        <f t="shared" si="11"/>
        <v>0</v>
      </c>
      <c r="J304" s="11"/>
    </row>
    <row r="305" spans="1:10">
      <c r="A305" s="10">
        <v>2</v>
      </c>
      <c r="B305" s="9">
        <v>3</v>
      </c>
      <c r="C305" s="9">
        <v>8</v>
      </c>
      <c r="D305" s="9">
        <v>1</v>
      </c>
      <c r="E305" s="24" t="s">
        <v>44</v>
      </c>
      <c r="F305" s="10" t="s">
        <v>184</v>
      </c>
      <c r="G305" s="7">
        <f>'CUENTA T FONDO 100'!FO210</f>
        <v>0</v>
      </c>
      <c r="H305" s="7">
        <f>'CUENTA T VS'!FO498</f>
        <v>0</v>
      </c>
      <c r="I305" s="7">
        <f t="shared" si="11"/>
        <v>0</v>
      </c>
      <c r="J305" s="6">
        <f>I305/$I$25</f>
        <v>0</v>
      </c>
    </row>
    <row r="306" spans="1:10" ht="25.5">
      <c r="A306" s="16">
        <v>2</v>
      </c>
      <c r="B306" s="15">
        <v>3</v>
      </c>
      <c r="C306" s="15">
        <v>8</v>
      </c>
      <c r="D306" s="15">
        <v>2</v>
      </c>
      <c r="E306" s="15"/>
      <c r="F306" s="34" t="s">
        <v>183</v>
      </c>
      <c r="G306" s="12">
        <f>SUM(G307)</f>
        <v>0</v>
      </c>
      <c r="H306" s="12">
        <f>SUM(H307)</f>
        <v>0</v>
      </c>
      <c r="I306" s="12">
        <f t="shared" si="11"/>
        <v>0</v>
      </c>
      <c r="J306" s="11"/>
    </row>
    <row r="307" spans="1:10" ht="25.5">
      <c r="A307" s="10">
        <v>2</v>
      </c>
      <c r="B307" s="9">
        <v>3</v>
      </c>
      <c r="C307" s="9">
        <v>8</v>
      </c>
      <c r="D307" s="9">
        <v>2</v>
      </c>
      <c r="E307" s="24" t="s">
        <v>44</v>
      </c>
      <c r="F307" s="33" t="s">
        <v>183</v>
      </c>
      <c r="G307" s="7">
        <f>'CUENTA T FONDO 100'!FP210</f>
        <v>0</v>
      </c>
      <c r="H307" s="7">
        <f>'CUENTA T VS'!FP498</f>
        <v>0</v>
      </c>
      <c r="I307" s="7">
        <f t="shared" si="11"/>
        <v>0</v>
      </c>
      <c r="J307" s="6">
        <f>I307/$I$25</f>
        <v>0</v>
      </c>
    </row>
    <row r="308" spans="1:10">
      <c r="A308" s="30">
        <v>2</v>
      </c>
      <c r="B308" s="22">
        <v>3</v>
      </c>
      <c r="C308" s="22">
        <v>9</v>
      </c>
      <c r="D308" s="22"/>
      <c r="E308" s="22"/>
      <c r="F308" s="30" t="s">
        <v>182</v>
      </c>
      <c r="G308" s="20">
        <f>+G309+G312+G314+G316+G318+G320+G322+G324+G327</f>
        <v>33272279.989999998</v>
      </c>
      <c r="H308" s="20">
        <f>+H309+H312+H314+H316+H318+H320+H322+H324+H327</f>
        <v>6162435.7100000009</v>
      </c>
      <c r="I308" s="20">
        <f t="shared" si="11"/>
        <v>39434715.700000003</v>
      </c>
      <c r="J308" s="19"/>
    </row>
    <row r="309" spans="1:10">
      <c r="A309" s="18">
        <v>2</v>
      </c>
      <c r="B309" s="15">
        <v>3</v>
      </c>
      <c r="C309" s="15">
        <v>9</v>
      </c>
      <c r="D309" s="15">
        <v>1</v>
      </c>
      <c r="E309" s="15"/>
      <c r="F309" s="16" t="s">
        <v>5</v>
      </c>
      <c r="G309" s="12">
        <f>SUM(G310:G311)</f>
        <v>1140351.21</v>
      </c>
      <c r="H309" s="12">
        <f>SUM(H310:H311)</f>
        <v>312110</v>
      </c>
      <c r="I309" s="12">
        <f t="shared" si="11"/>
        <v>1452461.21</v>
      </c>
      <c r="J309" s="11"/>
    </row>
    <row r="310" spans="1:10">
      <c r="A310" s="17">
        <v>2</v>
      </c>
      <c r="B310" s="9">
        <v>3</v>
      </c>
      <c r="C310" s="9">
        <v>9</v>
      </c>
      <c r="D310" s="9">
        <v>1</v>
      </c>
      <c r="E310" s="24" t="s">
        <v>44</v>
      </c>
      <c r="F310" s="10" t="s">
        <v>403</v>
      </c>
      <c r="G310" s="7">
        <f>'CUENTA T FONDO 100'!FQ210</f>
        <v>1140351.21</v>
      </c>
      <c r="H310" s="7">
        <f>'CUENTA T VS'!FQ498</f>
        <v>312110</v>
      </c>
      <c r="I310" s="7">
        <f t="shared" si="11"/>
        <v>1452461.21</v>
      </c>
      <c r="J310" s="6">
        <f>I310/$I$25</f>
        <v>6.9782077645937695E-3</v>
      </c>
    </row>
    <row r="311" spans="1:10">
      <c r="A311" s="17">
        <v>2</v>
      </c>
      <c r="B311" s="9">
        <v>3</v>
      </c>
      <c r="C311" s="9">
        <v>9</v>
      </c>
      <c r="D311" s="9">
        <v>1</v>
      </c>
      <c r="E311" s="24" t="s">
        <v>43</v>
      </c>
      <c r="F311" s="10" t="s">
        <v>404</v>
      </c>
      <c r="G311" s="7">
        <f>'CUENTA T FONDO 100'!FR210</f>
        <v>0</v>
      </c>
      <c r="H311" s="7">
        <f>'CUENTA T VS'!FR498</f>
        <v>0</v>
      </c>
      <c r="I311" s="7">
        <f t="shared" si="11"/>
        <v>0</v>
      </c>
      <c r="J311" s="6">
        <f>I311/$I$25</f>
        <v>0</v>
      </c>
    </row>
    <row r="312" spans="1:10">
      <c r="A312" s="18">
        <v>2</v>
      </c>
      <c r="B312" s="15">
        <v>3</v>
      </c>
      <c r="C312" s="15">
        <v>9</v>
      </c>
      <c r="D312" s="15">
        <v>2</v>
      </c>
      <c r="E312" s="15"/>
      <c r="F312" s="16" t="s">
        <v>406</v>
      </c>
      <c r="G312" s="12">
        <f>SUM(G313)</f>
        <v>220046.4</v>
      </c>
      <c r="H312" s="12">
        <f>SUM(H313)</f>
        <v>93868.950000000012</v>
      </c>
      <c r="I312" s="12">
        <f t="shared" si="11"/>
        <v>313915.34999999998</v>
      </c>
      <c r="J312" s="11"/>
    </row>
    <row r="313" spans="1:10">
      <c r="A313" s="17">
        <v>2</v>
      </c>
      <c r="B313" s="9">
        <v>3</v>
      </c>
      <c r="C313" s="9">
        <v>9</v>
      </c>
      <c r="D313" s="9">
        <v>2</v>
      </c>
      <c r="E313" s="24" t="s">
        <v>44</v>
      </c>
      <c r="F313" s="10" t="s">
        <v>405</v>
      </c>
      <c r="G313" s="7">
        <f>'CUENTA T FONDO 100'!FS210</f>
        <v>220046.4</v>
      </c>
      <c r="H313" s="7">
        <f>'CUENTA T VS'!FS498</f>
        <v>93868.950000000012</v>
      </c>
      <c r="I313" s="7">
        <f t="shared" si="11"/>
        <v>313915.34999999998</v>
      </c>
      <c r="J313" s="6">
        <f>I313/$I$25</f>
        <v>1.5081755834258533E-3</v>
      </c>
    </row>
    <row r="314" spans="1:10">
      <c r="A314" s="18">
        <v>2</v>
      </c>
      <c r="B314" s="15">
        <v>3</v>
      </c>
      <c r="C314" s="15">
        <v>9</v>
      </c>
      <c r="D314" s="15">
        <v>3</v>
      </c>
      <c r="E314" s="15"/>
      <c r="F314" s="16" t="s">
        <v>181</v>
      </c>
      <c r="G314" s="12">
        <f>SUM(G315)</f>
        <v>31811444.18</v>
      </c>
      <c r="H314" s="12">
        <f>SUM(H315)</f>
        <v>3083216.5400000005</v>
      </c>
      <c r="I314" s="12">
        <f t="shared" si="11"/>
        <v>34894660.719999999</v>
      </c>
      <c r="J314" s="11"/>
    </row>
    <row r="315" spans="1:10">
      <c r="A315" s="17">
        <v>2</v>
      </c>
      <c r="B315" s="9">
        <v>3</v>
      </c>
      <c r="C315" s="9">
        <v>9</v>
      </c>
      <c r="D315" s="9">
        <v>3</v>
      </c>
      <c r="E315" s="24" t="s">
        <v>44</v>
      </c>
      <c r="F315" s="10" t="s">
        <v>181</v>
      </c>
      <c r="G315" s="7">
        <f>'CUENTA T FONDO 100'!FT210</f>
        <v>31811444.18</v>
      </c>
      <c r="H315" s="7">
        <f>'CUENTA T VS'!FT498</f>
        <v>3083216.5400000005</v>
      </c>
      <c r="I315" s="7">
        <f t="shared" si="11"/>
        <v>34894660.719999999</v>
      </c>
      <c r="J315" s="6">
        <f>I315/$I$25</f>
        <v>0.16764798309427431</v>
      </c>
    </row>
    <row r="316" spans="1:10">
      <c r="A316" s="18">
        <v>2</v>
      </c>
      <c r="B316" s="15">
        <v>3</v>
      </c>
      <c r="C316" s="15">
        <v>9</v>
      </c>
      <c r="D316" s="15">
        <v>4</v>
      </c>
      <c r="E316" s="15"/>
      <c r="F316" s="16" t="s">
        <v>180</v>
      </c>
      <c r="G316" s="12">
        <f>SUM(G317)</f>
        <v>0</v>
      </c>
      <c r="H316" s="12">
        <f>SUM(H317)</f>
        <v>50870.39</v>
      </c>
      <c r="I316" s="12">
        <f t="shared" si="11"/>
        <v>50870.39</v>
      </c>
      <c r="J316" s="11"/>
    </row>
    <row r="317" spans="1:10">
      <c r="A317" s="17">
        <v>2</v>
      </c>
      <c r="B317" s="9">
        <v>3</v>
      </c>
      <c r="C317" s="9">
        <v>9</v>
      </c>
      <c r="D317" s="9">
        <v>4</v>
      </c>
      <c r="E317" s="24" t="s">
        <v>44</v>
      </c>
      <c r="F317" s="10" t="s">
        <v>180</v>
      </c>
      <c r="G317" s="7">
        <f>'CUENTA T FONDO 100'!FU210</f>
        <v>0</v>
      </c>
      <c r="H317" s="7">
        <f>'CUENTA T VS'!FU498</f>
        <v>50870.39</v>
      </c>
      <c r="I317" s="7">
        <f t="shared" si="11"/>
        <v>50870.39</v>
      </c>
      <c r="J317" s="6">
        <f>I317/$I$25</f>
        <v>2.4440181124418001E-4</v>
      </c>
    </row>
    <row r="318" spans="1:10">
      <c r="A318" s="18">
        <v>2</v>
      </c>
      <c r="B318" s="15">
        <v>3</v>
      </c>
      <c r="C318" s="15">
        <v>9</v>
      </c>
      <c r="D318" s="15">
        <v>5</v>
      </c>
      <c r="E318" s="15"/>
      <c r="F318" s="16" t="s">
        <v>4</v>
      </c>
      <c r="G318" s="12">
        <f>SUM(G319)</f>
        <v>31152</v>
      </c>
      <c r="H318" s="12">
        <f>SUM(H319)</f>
        <v>0</v>
      </c>
      <c r="I318" s="12">
        <f t="shared" si="11"/>
        <v>31152</v>
      </c>
      <c r="J318" s="11"/>
    </row>
    <row r="319" spans="1:10">
      <c r="A319" s="17">
        <v>2</v>
      </c>
      <c r="B319" s="9">
        <v>3</v>
      </c>
      <c r="C319" s="9">
        <v>9</v>
      </c>
      <c r="D319" s="9">
        <v>5</v>
      </c>
      <c r="E319" s="24" t="s">
        <v>44</v>
      </c>
      <c r="F319" s="10" t="s">
        <v>4</v>
      </c>
      <c r="G319" s="7">
        <f>'CUENTA T FONDO 100'!FV210</f>
        <v>31152</v>
      </c>
      <c r="H319" s="7">
        <f>'CUENTA T VS'!FV498</f>
        <v>0</v>
      </c>
      <c r="I319" s="7">
        <f t="shared" si="11"/>
        <v>31152</v>
      </c>
      <c r="J319" s="6">
        <f>I319/$I$25</f>
        <v>1.4966673587284656E-4</v>
      </c>
    </row>
    <row r="320" spans="1:10">
      <c r="A320" s="18">
        <v>2</v>
      </c>
      <c r="B320" s="15">
        <v>3</v>
      </c>
      <c r="C320" s="15">
        <v>9</v>
      </c>
      <c r="D320" s="15">
        <v>6</v>
      </c>
      <c r="E320" s="15"/>
      <c r="F320" s="16" t="s">
        <v>3</v>
      </c>
      <c r="G320" s="12">
        <f>SUM(G321)</f>
        <v>0</v>
      </c>
      <c r="H320" s="12">
        <f>SUM(H321)</f>
        <v>157157.64000000001</v>
      </c>
      <c r="I320" s="12">
        <f t="shared" si="11"/>
        <v>157157.64000000001</v>
      </c>
      <c r="J320" s="11"/>
    </row>
    <row r="321" spans="1:10">
      <c r="A321" s="17">
        <v>2</v>
      </c>
      <c r="B321" s="9">
        <v>3</v>
      </c>
      <c r="C321" s="9">
        <v>9</v>
      </c>
      <c r="D321" s="9">
        <v>6</v>
      </c>
      <c r="E321" s="24" t="s">
        <v>44</v>
      </c>
      <c r="F321" s="10" t="s">
        <v>3</v>
      </c>
      <c r="G321" s="7">
        <f>'CUENTA T FONDO 100'!FW210</f>
        <v>0</v>
      </c>
      <c r="H321" s="7">
        <f>'CUENTA T VS'!FW498</f>
        <v>157157.64000000001</v>
      </c>
      <c r="I321" s="7">
        <f t="shared" si="11"/>
        <v>157157.64000000001</v>
      </c>
      <c r="J321" s="6">
        <f>I321/$I$25</f>
        <v>7.5504850398946802E-4</v>
      </c>
    </row>
    <row r="322" spans="1:10">
      <c r="A322" s="18">
        <v>2</v>
      </c>
      <c r="B322" s="15">
        <v>3</v>
      </c>
      <c r="C322" s="15">
        <v>9</v>
      </c>
      <c r="D322" s="15">
        <v>7</v>
      </c>
      <c r="E322" s="15"/>
      <c r="F322" s="16" t="s">
        <v>179</v>
      </c>
      <c r="G322" s="12">
        <f>SUM(G323)</f>
        <v>0</v>
      </c>
      <c r="H322" s="12">
        <f>SUM(H323)</f>
        <v>0</v>
      </c>
      <c r="I322" s="12">
        <f t="shared" si="11"/>
        <v>0</v>
      </c>
      <c r="J322" s="11"/>
    </row>
    <row r="323" spans="1:10">
      <c r="A323" s="17">
        <v>2</v>
      </c>
      <c r="B323" s="9">
        <v>3</v>
      </c>
      <c r="C323" s="9">
        <v>9</v>
      </c>
      <c r="D323" s="9">
        <v>7</v>
      </c>
      <c r="E323" s="24" t="s">
        <v>44</v>
      </c>
      <c r="F323" s="10" t="s">
        <v>179</v>
      </c>
      <c r="G323" s="7">
        <f>'CUENTA T FONDO 100'!FX210</f>
        <v>0</v>
      </c>
      <c r="H323" s="7">
        <f>'CUENTA T VS'!FX498</f>
        <v>0</v>
      </c>
      <c r="I323" s="7">
        <f t="shared" si="11"/>
        <v>0</v>
      </c>
      <c r="J323" s="6">
        <f>I323/$I$25</f>
        <v>0</v>
      </c>
    </row>
    <row r="324" spans="1:10">
      <c r="A324" s="18">
        <v>2</v>
      </c>
      <c r="B324" s="15">
        <v>3</v>
      </c>
      <c r="C324" s="15">
        <v>9</v>
      </c>
      <c r="D324" s="15">
        <v>8</v>
      </c>
      <c r="E324" s="15"/>
      <c r="F324" s="16" t="s">
        <v>2</v>
      </c>
      <c r="G324" s="12">
        <f>SUM(G325:G326)</f>
        <v>52215</v>
      </c>
      <c r="H324" s="12">
        <f>SUM(H325:H326)</f>
        <v>1749010.21</v>
      </c>
      <c r="I324" s="12">
        <f t="shared" si="11"/>
        <v>1801225.21</v>
      </c>
      <c r="J324" s="11"/>
    </row>
    <row r="325" spans="1:10">
      <c r="A325" s="17">
        <v>2</v>
      </c>
      <c r="B325" s="9">
        <v>3</v>
      </c>
      <c r="C325" s="9">
        <v>9</v>
      </c>
      <c r="D325" s="9">
        <v>8</v>
      </c>
      <c r="E325" s="24" t="s">
        <v>44</v>
      </c>
      <c r="F325" s="10" t="s">
        <v>178</v>
      </c>
      <c r="G325" s="7">
        <f>'CUENTA T FONDO 100'!FY210</f>
        <v>0</v>
      </c>
      <c r="H325" s="7">
        <f>'CUENTA T VS'!FY498</f>
        <v>1387459.34</v>
      </c>
      <c r="I325" s="7">
        <f t="shared" si="11"/>
        <v>1387459.34</v>
      </c>
      <c r="J325" s="6">
        <f>I325/$I$25</f>
        <v>6.6659126404113389E-3</v>
      </c>
    </row>
    <row r="326" spans="1:10">
      <c r="A326" s="17">
        <v>2</v>
      </c>
      <c r="B326" s="9">
        <v>3</v>
      </c>
      <c r="C326" s="9">
        <v>9</v>
      </c>
      <c r="D326" s="9">
        <v>8</v>
      </c>
      <c r="E326" s="24" t="s">
        <v>43</v>
      </c>
      <c r="F326" s="10" t="s">
        <v>177</v>
      </c>
      <c r="G326" s="7">
        <f>'CUENTA T FONDO 100'!FZ210</f>
        <v>52215</v>
      </c>
      <c r="H326" s="7">
        <f>'CUENTA T VS'!FZ498</f>
        <v>361550.87</v>
      </c>
      <c r="I326" s="7">
        <f t="shared" si="11"/>
        <v>413765.87</v>
      </c>
      <c r="J326" s="6">
        <f>I326/$I$25</f>
        <v>1.9878976367003263E-3</v>
      </c>
    </row>
    <row r="327" spans="1:10">
      <c r="A327" s="18">
        <v>2</v>
      </c>
      <c r="B327" s="15">
        <v>3</v>
      </c>
      <c r="C327" s="15">
        <v>9</v>
      </c>
      <c r="D327" s="15">
        <v>9</v>
      </c>
      <c r="E327" s="15"/>
      <c r="F327" s="16" t="s">
        <v>1</v>
      </c>
      <c r="G327" s="12">
        <f>SUM(G328:G329)</f>
        <v>17071.2</v>
      </c>
      <c r="H327" s="12">
        <f>SUM(H328:H329)</f>
        <v>716201.9800000001</v>
      </c>
      <c r="I327" s="12">
        <f t="shared" si="11"/>
        <v>733273.18</v>
      </c>
      <c r="J327" s="11"/>
    </row>
    <row r="328" spans="1:10">
      <c r="A328" s="17">
        <v>2</v>
      </c>
      <c r="B328" s="9">
        <v>3</v>
      </c>
      <c r="C328" s="9">
        <v>9</v>
      </c>
      <c r="D328" s="9">
        <v>9</v>
      </c>
      <c r="E328" s="24" t="s">
        <v>44</v>
      </c>
      <c r="F328" s="10" t="s">
        <v>1</v>
      </c>
      <c r="G328" s="7">
        <f>'CUENTA T FONDO 100'!GA210</f>
        <v>17071.2</v>
      </c>
      <c r="H328" s="7">
        <f>'CUENTA T VS'!GA498</f>
        <v>112919.38</v>
      </c>
      <c r="I328" s="7">
        <f t="shared" si="11"/>
        <v>129990.58</v>
      </c>
      <c r="J328" s="6">
        <f>I328/$I$25</f>
        <v>6.2452702243252865E-4</v>
      </c>
    </row>
    <row r="329" spans="1:10">
      <c r="A329" s="17">
        <v>2</v>
      </c>
      <c r="B329" s="9">
        <v>3</v>
      </c>
      <c r="C329" s="9">
        <v>9</v>
      </c>
      <c r="D329" s="9">
        <v>9</v>
      </c>
      <c r="E329" s="24" t="s">
        <v>172</v>
      </c>
      <c r="F329" s="10" t="s">
        <v>407</v>
      </c>
      <c r="G329" s="7">
        <f>'CUENTA T FONDO 100'!GB210</f>
        <v>0</v>
      </c>
      <c r="H329" s="7">
        <f>'CUENTA T VS'!GB498</f>
        <v>603282.60000000009</v>
      </c>
      <c r="I329" s="7">
        <f t="shared" si="11"/>
        <v>603282.60000000009</v>
      </c>
      <c r="J329" s="6">
        <f>I329/$I$25</f>
        <v>2.8984122223576062E-3</v>
      </c>
    </row>
    <row r="330" spans="1:10">
      <c r="A330" s="23">
        <v>2</v>
      </c>
      <c r="B330" s="22">
        <v>4</v>
      </c>
      <c r="C330" s="22">
        <v>1</v>
      </c>
      <c r="D330" s="22">
        <v>2</v>
      </c>
      <c r="E330" s="22"/>
      <c r="F330" s="21" t="s">
        <v>176</v>
      </c>
      <c r="G330" s="20">
        <f>G331+G332+G333+G334+G335</f>
        <v>0</v>
      </c>
      <c r="H330" s="20">
        <f>H331+H332+H333+H334+H335</f>
        <v>16000</v>
      </c>
      <c r="I330" s="20">
        <f t="shared" si="11"/>
        <v>16000</v>
      </c>
      <c r="J330" s="19">
        <f>+I330/I25</f>
        <v>7.6870434449330543E-5</v>
      </c>
    </row>
    <row r="331" spans="1:10">
      <c r="A331" s="17">
        <v>2</v>
      </c>
      <c r="B331" s="9">
        <v>4</v>
      </c>
      <c r="C331" s="9">
        <v>1</v>
      </c>
      <c r="D331" s="9">
        <v>2</v>
      </c>
      <c r="E331" s="24" t="s">
        <v>44</v>
      </c>
      <c r="F331" s="10" t="s">
        <v>175</v>
      </c>
      <c r="G331" s="7">
        <f>'CUENTA T FONDO 100'!GC210</f>
        <v>0</v>
      </c>
      <c r="H331" s="7">
        <f>'CUENTA T VS'!GC498</f>
        <v>3600</v>
      </c>
      <c r="I331" s="7">
        <f t="shared" si="11"/>
        <v>3600</v>
      </c>
      <c r="J331" s="6">
        <f t="shared" ref="J331:J336" si="14">I331/$I$25</f>
        <v>1.7295847751099371E-5</v>
      </c>
    </row>
    <row r="332" spans="1:10">
      <c r="A332" s="17">
        <v>2</v>
      </c>
      <c r="B332" s="9">
        <v>4</v>
      </c>
      <c r="C332" s="9">
        <v>1</v>
      </c>
      <c r="D332" s="9">
        <v>2</v>
      </c>
      <c r="E332" s="24" t="s">
        <v>43</v>
      </c>
      <c r="F332" s="10" t="s">
        <v>174</v>
      </c>
      <c r="G332" s="7">
        <f>'CUENTA T FONDO 100'!GD210</f>
        <v>0</v>
      </c>
      <c r="H332" s="7">
        <f>'CUENTA T VS'!GD498</f>
        <v>12400</v>
      </c>
      <c r="I332" s="7">
        <f t="shared" si="11"/>
        <v>12400</v>
      </c>
      <c r="J332" s="6">
        <f t="shared" si="14"/>
        <v>5.9574586698231165E-5</v>
      </c>
    </row>
    <row r="333" spans="1:10">
      <c r="A333" s="17">
        <v>2</v>
      </c>
      <c r="B333" s="9">
        <v>4</v>
      </c>
      <c r="C333" s="9">
        <v>1</v>
      </c>
      <c r="D333" s="9">
        <v>2</v>
      </c>
      <c r="E333" s="24" t="s">
        <v>104</v>
      </c>
      <c r="F333" s="10" t="s">
        <v>173</v>
      </c>
      <c r="G333" s="7">
        <f>'CUENTA T FONDO 100'!GE210</f>
        <v>0</v>
      </c>
      <c r="H333" s="7">
        <f>'CUENTA T VS'!GE498</f>
        <v>0</v>
      </c>
      <c r="I333" s="7">
        <f t="shared" si="11"/>
        <v>0</v>
      </c>
      <c r="J333" s="6">
        <f t="shared" si="14"/>
        <v>0</v>
      </c>
    </row>
    <row r="334" spans="1:10">
      <c r="A334" s="17">
        <v>2</v>
      </c>
      <c r="B334" s="9">
        <v>4</v>
      </c>
      <c r="C334" s="9">
        <v>1</v>
      </c>
      <c r="D334" s="9">
        <v>2</v>
      </c>
      <c r="E334" s="24" t="s">
        <v>172</v>
      </c>
      <c r="F334" s="10" t="s">
        <v>171</v>
      </c>
      <c r="G334" s="7">
        <f>'CUENTA T FONDO 100'!GF210</f>
        <v>0</v>
      </c>
      <c r="H334" s="7">
        <f>'CUENTA T VS'!GF498</f>
        <v>0</v>
      </c>
      <c r="I334" s="7">
        <f t="shared" si="11"/>
        <v>0</v>
      </c>
      <c r="J334" s="6">
        <f t="shared" si="14"/>
        <v>0</v>
      </c>
    </row>
    <row r="335" spans="1:10">
      <c r="A335" s="17">
        <v>2</v>
      </c>
      <c r="B335" s="9">
        <v>4</v>
      </c>
      <c r="C335" s="9">
        <v>1</v>
      </c>
      <c r="D335" s="9">
        <v>2</v>
      </c>
      <c r="E335" s="24" t="s">
        <v>170</v>
      </c>
      <c r="F335" s="10" t="s">
        <v>169</v>
      </c>
      <c r="G335" s="7">
        <f>'CUENTA T FONDO 100'!GG210</f>
        <v>0</v>
      </c>
      <c r="H335" s="7">
        <f>'CUENTA T VS'!GG498</f>
        <v>0</v>
      </c>
      <c r="I335" s="7">
        <f t="shared" si="11"/>
        <v>0</v>
      </c>
      <c r="J335" s="6">
        <f t="shared" si="14"/>
        <v>0</v>
      </c>
    </row>
    <row r="336" spans="1:10">
      <c r="A336" s="23">
        <v>2</v>
      </c>
      <c r="B336" s="22">
        <v>6</v>
      </c>
      <c r="C336" s="22"/>
      <c r="D336" s="22"/>
      <c r="E336" s="22"/>
      <c r="F336" s="21" t="s">
        <v>168</v>
      </c>
      <c r="G336" s="20">
        <f>G337+G348+G357+G366+G383+G400+G405+G424+G446</f>
        <v>17995005.589999996</v>
      </c>
      <c r="H336" s="20">
        <f>H337+H348+H357+H366+H383+H400+H405+H424+H446</f>
        <v>4350775.54</v>
      </c>
      <c r="I336" s="20">
        <f t="shared" si="11"/>
        <v>22345781.129999995</v>
      </c>
      <c r="J336" s="19">
        <f t="shared" si="14"/>
        <v>0.107358118973297</v>
      </c>
    </row>
    <row r="337" spans="1:10">
      <c r="A337" s="30">
        <v>2</v>
      </c>
      <c r="B337" s="22">
        <v>6</v>
      </c>
      <c r="C337" s="22">
        <v>1</v>
      </c>
      <c r="D337" s="22"/>
      <c r="E337" s="22"/>
      <c r="F337" s="21" t="s">
        <v>167</v>
      </c>
      <c r="G337" s="20">
        <f>+G338+G340+G342+G344+G346</f>
        <v>4484606.51</v>
      </c>
      <c r="H337" s="20">
        <f>+H338+H340+H342+H344+H346</f>
        <v>293123.06</v>
      </c>
      <c r="I337" s="20">
        <f t="shared" si="11"/>
        <v>4777729.5699999994</v>
      </c>
      <c r="J337" s="19"/>
    </row>
    <row r="338" spans="1:10">
      <c r="A338" s="16">
        <v>2</v>
      </c>
      <c r="B338" s="15">
        <v>6</v>
      </c>
      <c r="C338" s="15">
        <v>1</v>
      </c>
      <c r="D338" s="15">
        <v>1</v>
      </c>
      <c r="E338" s="15"/>
      <c r="F338" s="13" t="s">
        <v>408</v>
      </c>
      <c r="G338" s="12">
        <f>SUM(G339)</f>
        <v>1199690.19</v>
      </c>
      <c r="H338" s="12">
        <f>SUM(H339)</f>
        <v>186481.72999999998</v>
      </c>
      <c r="I338" s="12">
        <f t="shared" si="11"/>
        <v>1386171.92</v>
      </c>
      <c r="J338" s="11"/>
    </row>
    <row r="339" spans="1:10">
      <c r="A339" s="10">
        <v>2</v>
      </c>
      <c r="B339" s="9">
        <v>6</v>
      </c>
      <c r="C339" s="9">
        <v>1</v>
      </c>
      <c r="D339" s="9">
        <v>1</v>
      </c>
      <c r="E339" s="24" t="s">
        <v>44</v>
      </c>
      <c r="F339" s="8" t="s">
        <v>408</v>
      </c>
      <c r="G339" s="7">
        <f>'CUENTA T FONDO 100'!GH210</f>
        <v>1199690.19</v>
      </c>
      <c r="H339" s="7">
        <f>'CUENTA T VS'!GH498</f>
        <v>186481.72999999998</v>
      </c>
      <c r="I339" s="7">
        <f t="shared" si="11"/>
        <v>1386171.92</v>
      </c>
      <c r="J339" s="6">
        <f>I339/$I$25</f>
        <v>6.6597273569914154E-3</v>
      </c>
    </row>
    <row r="340" spans="1:10">
      <c r="A340" s="16">
        <v>2</v>
      </c>
      <c r="B340" s="15">
        <v>6</v>
      </c>
      <c r="C340" s="15">
        <v>1</v>
      </c>
      <c r="D340" s="15">
        <v>2</v>
      </c>
      <c r="E340" s="15"/>
      <c r="F340" s="13" t="s">
        <v>166</v>
      </c>
      <c r="G340" s="12">
        <f>SUM(G341)</f>
        <v>0</v>
      </c>
      <c r="H340" s="12">
        <f>SUM(H341)</f>
        <v>46091.27</v>
      </c>
      <c r="I340" s="12">
        <f t="shared" si="11"/>
        <v>46091.27</v>
      </c>
      <c r="J340" s="11"/>
    </row>
    <row r="341" spans="1:10">
      <c r="A341" s="10">
        <v>2</v>
      </c>
      <c r="B341" s="9">
        <v>6</v>
      </c>
      <c r="C341" s="9">
        <v>1</v>
      </c>
      <c r="D341" s="9">
        <v>2</v>
      </c>
      <c r="E341" s="24" t="s">
        <v>44</v>
      </c>
      <c r="F341" s="8" t="s">
        <v>166</v>
      </c>
      <c r="G341" s="7">
        <f>'CUENTA T FONDO 100'!GI210</f>
        <v>0</v>
      </c>
      <c r="H341" s="7">
        <f>'CUENTA T VS'!GI498</f>
        <v>46091.27</v>
      </c>
      <c r="I341" s="7">
        <f t="shared" si="11"/>
        <v>46091.27</v>
      </c>
      <c r="J341" s="6">
        <f>I341/$I$25</f>
        <v>2.2144099682633718E-4</v>
      </c>
    </row>
    <row r="342" spans="1:10">
      <c r="A342" s="16">
        <v>2</v>
      </c>
      <c r="B342" s="15">
        <v>6</v>
      </c>
      <c r="C342" s="15">
        <v>1</v>
      </c>
      <c r="D342" s="15">
        <v>3</v>
      </c>
      <c r="E342" s="15"/>
      <c r="F342" s="13" t="s">
        <v>409</v>
      </c>
      <c r="G342" s="12">
        <f>SUM(G343)</f>
        <v>3223093.4</v>
      </c>
      <c r="H342" s="12">
        <f>SUM(H343)</f>
        <v>0</v>
      </c>
      <c r="I342" s="12">
        <f t="shared" si="11"/>
        <v>3223093.4</v>
      </c>
      <c r="J342" s="11"/>
    </row>
    <row r="343" spans="1:10">
      <c r="A343" s="10">
        <v>2</v>
      </c>
      <c r="B343" s="9">
        <v>6</v>
      </c>
      <c r="C343" s="9">
        <v>1</v>
      </c>
      <c r="D343" s="9">
        <v>3</v>
      </c>
      <c r="E343" s="24" t="s">
        <v>44</v>
      </c>
      <c r="F343" s="8" t="s">
        <v>409</v>
      </c>
      <c r="G343" s="7">
        <f>'CUENTA T FONDO 100'!GJ210</f>
        <v>3223093.4</v>
      </c>
      <c r="H343" s="7">
        <f>'CUENTA T VS'!GJ498</f>
        <v>0</v>
      </c>
      <c r="I343" s="7">
        <f t="shared" si="11"/>
        <v>3223093.4</v>
      </c>
      <c r="J343" s="6">
        <f>I343/$I$25</f>
        <v>1.5485036870548119E-2</v>
      </c>
    </row>
    <row r="344" spans="1:10">
      <c r="A344" s="16">
        <v>2</v>
      </c>
      <c r="B344" s="15">
        <v>6</v>
      </c>
      <c r="C344" s="15">
        <v>1</v>
      </c>
      <c r="D344" s="15">
        <v>4</v>
      </c>
      <c r="E344" s="15"/>
      <c r="F344" s="13" t="s">
        <v>165</v>
      </c>
      <c r="G344" s="12">
        <f>SUM(G345)</f>
        <v>61822.92</v>
      </c>
      <c r="H344" s="12">
        <f>SUM(H345)</f>
        <v>60550.060000000005</v>
      </c>
      <c r="I344" s="12">
        <f t="shared" si="11"/>
        <v>122372.98000000001</v>
      </c>
      <c r="J344" s="11"/>
    </row>
    <row r="345" spans="1:10">
      <c r="A345" s="10">
        <v>2</v>
      </c>
      <c r="B345" s="9">
        <v>6</v>
      </c>
      <c r="C345" s="9">
        <v>1</v>
      </c>
      <c r="D345" s="9">
        <v>4</v>
      </c>
      <c r="E345" s="24" t="s">
        <v>44</v>
      </c>
      <c r="F345" s="8" t="s">
        <v>165</v>
      </c>
      <c r="G345" s="7">
        <f>'CUENTA T FONDO 100'!GK210</f>
        <v>61822.92</v>
      </c>
      <c r="H345" s="7">
        <f>'CUENTA T VS'!GK498</f>
        <v>60550.060000000005</v>
      </c>
      <c r="I345" s="7">
        <f t="shared" ref="I345:I408" si="15">SUM(G345:H345)</f>
        <v>122372.98000000001</v>
      </c>
      <c r="J345" s="6">
        <f>I345/$I$25</f>
        <v>5.8792900859120235E-4</v>
      </c>
    </row>
    <row r="346" spans="1:10" ht="25.5">
      <c r="A346" s="16">
        <v>2</v>
      </c>
      <c r="B346" s="15">
        <v>6</v>
      </c>
      <c r="C346" s="15">
        <v>1</v>
      </c>
      <c r="D346" s="15">
        <v>9</v>
      </c>
      <c r="E346" s="15"/>
      <c r="F346" s="13" t="s">
        <v>164</v>
      </c>
      <c r="G346" s="12">
        <f>SUM(G347)</f>
        <v>0</v>
      </c>
      <c r="H346" s="12">
        <f>SUM(H347)</f>
        <v>0</v>
      </c>
      <c r="I346" s="12">
        <f t="shared" si="15"/>
        <v>0</v>
      </c>
      <c r="J346" s="11"/>
    </row>
    <row r="347" spans="1:10" ht="25.5">
      <c r="A347" s="10">
        <v>2</v>
      </c>
      <c r="B347" s="9">
        <v>6</v>
      </c>
      <c r="C347" s="9">
        <v>1</v>
      </c>
      <c r="D347" s="9">
        <v>9</v>
      </c>
      <c r="E347" s="24" t="s">
        <v>44</v>
      </c>
      <c r="F347" s="8" t="s">
        <v>164</v>
      </c>
      <c r="G347" s="7">
        <f>'CUENTA T FONDO 100'!GL210</f>
        <v>0</v>
      </c>
      <c r="H347" s="7">
        <f>'CUENTA T VS'!GL498</f>
        <v>0</v>
      </c>
      <c r="I347" s="7">
        <f t="shared" si="15"/>
        <v>0</v>
      </c>
      <c r="J347" s="6">
        <f>I347/$I$25</f>
        <v>0</v>
      </c>
    </row>
    <row r="348" spans="1:10">
      <c r="A348" s="32">
        <v>2</v>
      </c>
      <c r="B348" s="32">
        <v>6</v>
      </c>
      <c r="C348" s="32">
        <v>2</v>
      </c>
      <c r="D348" s="32"/>
      <c r="E348" s="32"/>
      <c r="F348" s="31" t="s">
        <v>411</v>
      </c>
      <c r="G348" s="20">
        <f>+G349+G351+G353+G355</f>
        <v>0</v>
      </c>
      <c r="H348" s="20">
        <f>+H349+H351+H353+H355</f>
        <v>0</v>
      </c>
      <c r="I348" s="20">
        <f t="shared" si="15"/>
        <v>0</v>
      </c>
      <c r="J348" s="19"/>
    </row>
    <row r="349" spans="1:10">
      <c r="A349" s="18">
        <v>2</v>
      </c>
      <c r="B349" s="15">
        <v>6</v>
      </c>
      <c r="C349" s="15">
        <v>2</v>
      </c>
      <c r="D349" s="15">
        <v>1</v>
      </c>
      <c r="E349" s="14"/>
      <c r="F349" s="13" t="s">
        <v>163</v>
      </c>
      <c r="G349" s="12">
        <f>SUM(G350)</f>
        <v>0</v>
      </c>
      <c r="H349" s="12">
        <f>SUM(H350)</f>
        <v>0</v>
      </c>
      <c r="I349" s="12">
        <f t="shared" si="15"/>
        <v>0</v>
      </c>
      <c r="J349" s="11"/>
    </row>
    <row r="350" spans="1:10">
      <c r="A350" s="17">
        <v>2</v>
      </c>
      <c r="B350" s="9">
        <v>6</v>
      </c>
      <c r="C350" s="9">
        <v>2</v>
      </c>
      <c r="D350" s="9">
        <v>1</v>
      </c>
      <c r="E350" s="24" t="s">
        <v>44</v>
      </c>
      <c r="F350" s="8" t="s">
        <v>163</v>
      </c>
      <c r="G350" s="7">
        <f>'CUENTA T FONDO 100'!GM210</f>
        <v>0</v>
      </c>
      <c r="H350" s="7">
        <f>'CUENTA T VS'!GM498</f>
        <v>0</v>
      </c>
      <c r="I350" s="7">
        <f t="shared" si="15"/>
        <v>0</v>
      </c>
      <c r="J350" s="6">
        <f>I350/$I$25</f>
        <v>0</v>
      </c>
    </row>
    <row r="351" spans="1:10">
      <c r="A351" s="18">
        <v>2</v>
      </c>
      <c r="B351" s="15">
        <v>6</v>
      </c>
      <c r="C351" s="15">
        <v>2</v>
      </c>
      <c r="D351" s="15">
        <v>2</v>
      </c>
      <c r="E351" s="14"/>
      <c r="F351" s="13" t="s">
        <v>162</v>
      </c>
      <c r="G351" s="12">
        <f>SUM(G352)</f>
        <v>0</v>
      </c>
      <c r="H351" s="12">
        <f>SUM(H352)</f>
        <v>0</v>
      </c>
      <c r="I351" s="12">
        <f t="shared" si="15"/>
        <v>0</v>
      </c>
      <c r="J351" s="11"/>
    </row>
    <row r="352" spans="1:10">
      <c r="A352" s="17">
        <v>2</v>
      </c>
      <c r="B352" s="9">
        <v>6</v>
      </c>
      <c r="C352" s="9">
        <v>2</v>
      </c>
      <c r="D352" s="9">
        <v>2</v>
      </c>
      <c r="E352" s="24" t="s">
        <v>44</v>
      </c>
      <c r="F352" s="8" t="s">
        <v>162</v>
      </c>
      <c r="G352" s="7">
        <f>'CUENTA T FONDO 100'!GN210</f>
        <v>0</v>
      </c>
      <c r="H352" s="7">
        <f>'CUENTA T VS'!GN498</f>
        <v>0</v>
      </c>
      <c r="I352" s="7">
        <f t="shared" si="15"/>
        <v>0</v>
      </c>
      <c r="J352" s="6">
        <f>I352/$I$25</f>
        <v>0</v>
      </c>
    </row>
    <row r="353" spans="1:10">
      <c r="A353" s="18">
        <v>2</v>
      </c>
      <c r="B353" s="15">
        <v>6</v>
      </c>
      <c r="C353" s="15">
        <v>2</v>
      </c>
      <c r="D353" s="15">
        <v>3</v>
      </c>
      <c r="E353" s="14"/>
      <c r="F353" s="13" t="s">
        <v>161</v>
      </c>
      <c r="G353" s="12">
        <f>SUM(G354)</f>
        <v>0</v>
      </c>
      <c r="H353" s="12">
        <f>SUM(H354)</f>
        <v>0</v>
      </c>
      <c r="I353" s="12">
        <f t="shared" si="15"/>
        <v>0</v>
      </c>
      <c r="J353" s="11"/>
    </row>
    <row r="354" spans="1:10">
      <c r="A354" s="17">
        <v>2</v>
      </c>
      <c r="B354" s="9">
        <v>6</v>
      </c>
      <c r="C354" s="9">
        <v>2</v>
      </c>
      <c r="D354" s="9">
        <v>3</v>
      </c>
      <c r="E354" s="24" t="s">
        <v>44</v>
      </c>
      <c r="F354" s="8" t="s">
        <v>161</v>
      </c>
      <c r="G354" s="7">
        <f>'CUENTA T FONDO 100'!GO210</f>
        <v>0</v>
      </c>
      <c r="H354" s="7">
        <f>'CUENTA T VS'!GO498</f>
        <v>0</v>
      </c>
      <c r="I354" s="7">
        <f t="shared" si="15"/>
        <v>0</v>
      </c>
      <c r="J354" s="6">
        <f>I354/$I$25</f>
        <v>0</v>
      </c>
    </row>
    <row r="355" spans="1:10">
      <c r="A355" s="18">
        <v>2</v>
      </c>
      <c r="B355" s="15">
        <v>6</v>
      </c>
      <c r="C355" s="15">
        <v>2</v>
      </c>
      <c r="D355" s="15">
        <v>4</v>
      </c>
      <c r="E355" s="14"/>
      <c r="F355" s="13" t="s">
        <v>410</v>
      </c>
      <c r="G355" s="12">
        <f>SUM(G356)</f>
        <v>0</v>
      </c>
      <c r="H355" s="12">
        <f>SUM(H356)</f>
        <v>0</v>
      </c>
      <c r="I355" s="12">
        <f t="shared" si="15"/>
        <v>0</v>
      </c>
      <c r="J355" s="11"/>
    </row>
    <row r="356" spans="1:10">
      <c r="A356" s="17">
        <v>2</v>
      </c>
      <c r="B356" s="9">
        <v>6</v>
      </c>
      <c r="C356" s="9">
        <v>2</v>
      </c>
      <c r="D356" s="9">
        <v>4</v>
      </c>
      <c r="E356" s="24" t="s">
        <v>44</v>
      </c>
      <c r="F356" s="8" t="s">
        <v>410</v>
      </c>
      <c r="G356" s="7">
        <f>'CUENTA T FONDO 100'!GP210</f>
        <v>0</v>
      </c>
      <c r="H356" s="7">
        <f>'CUENTA T VS'!GP498</f>
        <v>0</v>
      </c>
      <c r="I356" s="7">
        <f t="shared" si="15"/>
        <v>0</v>
      </c>
      <c r="J356" s="6">
        <f>I356/$I$25</f>
        <v>0</v>
      </c>
    </row>
    <row r="357" spans="1:10">
      <c r="A357" s="32">
        <v>2</v>
      </c>
      <c r="B357" s="32">
        <v>6</v>
      </c>
      <c r="C357" s="32">
        <v>3</v>
      </c>
      <c r="D357" s="32"/>
      <c r="E357" s="32"/>
      <c r="F357" s="31" t="s">
        <v>160</v>
      </c>
      <c r="G357" s="20">
        <f>+G358+G360+G362+G364</f>
        <v>13510399.079999998</v>
      </c>
      <c r="H357" s="20">
        <f>+H358+H360+H362+H364</f>
        <v>2963584.16</v>
      </c>
      <c r="I357" s="20">
        <f t="shared" si="15"/>
        <v>16473983.239999998</v>
      </c>
      <c r="J357" s="19"/>
    </row>
    <row r="358" spans="1:10">
      <c r="A358" s="18">
        <v>2</v>
      </c>
      <c r="B358" s="15">
        <v>6</v>
      </c>
      <c r="C358" s="15">
        <v>3</v>
      </c>
      <c r="D358" s="15">
        <v>1</v>
      </c>
      <c r="E358" s="14"/>
      <c r="F358" s="13" t="s">
        <v>159</v>
      </c>
      <c r="G358" s="12">
        <f>SUM(G359)</f>
        <v>11946084.119999999</v>
      </c>
      <c r="H358" s="12">
        <f>SUM(H359)</f>
        <v>2680384.16</v>
      </c>
      <c r="I358" s="12">
        <f t="shared" si="15"/>
        <v>14626468.279999999</v>
      </c>
      <c r="J358" s="11"/>
    </row>
    <row r="359" spans="1:10">
      <c r="A359" s="17">
        <v>2</v>
      </c>
      <c r="B359" s="9">
        <v>6</v>
      </c>
      <c r="C359" s="9">
        <v>3</v>
      </c>
      <c r="D359" s="9">
        <v>1</v>
      </c>
      <c r="E359" s="24" t="s">
        <v>44</v>
      </c>
      <c r="F359" s="8" t="s">
        <v>159</v>
      </c>
      <c r="G359" s="7">
        <f>'CUENTA T FONDO 100'!GQ210</f>
        <v>11946084.119999999</v>
      </c>
      <c r="H359" s="7">
        <f>'CUENTA T VS'!GQ498</f>
        <v>2680384.16</v>
      </c>
      <c r="I359" s="7">
        <f t="shared" si="15"/>
        <v>14626468.279999999</v>
      </c>
      <c r="J359" s="6">
        <f>I359/$I$25</f>
        <v>7.0271435696434528E-2</v>
      </c>
    </row>
    <row r="360" spans="1:10">
      <c r="A360" s="18">
        <v>2</v>
      </c>
      <c r="B360" s="15">
        <v>6</v>
      </c>
      <c r="C360" s="15">
        <v>3</v>
      </c>
      <c r="D360" s="15">
        <v>2</v>
      </c>
      <c r="E360" s="14"/>
      <c r="F360" s="13" t="s">
        <v>158</v>
      </c>
      <c r="G360" s="12">
        <f>SUM(G361)</f>
        <v>1564314.96</v>
      </c>
      <c r="H360" s="12">
        <f>SUM(H361)</f>
        <v>283200</v>
      </c>
      <c r="I360" s="12">
        <f t="shared" si="15"/>
        <v>1847514.96</v>
      </c>
      <c r="J360" s="11"/>
    </row>
    <row r="361" spans="1:10">
      <c r="A361" s="17">
        <v>2</v>
      </c>
      <c r="B361" s="9">
        <v>6</v>
      </c>
      <c r="C361" s="9">
        <v>3</v>
      </c>
      <c r="D361" s="9">
        <v>2</v>
      </c>
      <c r="E361" s="24" t="s">
        <v>44</v>
      </c>
      <c r="F361" s="8" t="s">
        <v>158</v>
      </c>
      <c r="G361" s="7">
        <f>'CUENTA T FONDO 100'!GR210</f>
        <v>1564314.96</v>
      </c>
      <c r="H361" s="7">
        <f>'CUENTA T VS'!GR498</f>
        <v>283200</v>
      </c>
      <c r="I361" s="7">
        <f t="shared" si="15"/>
        <v>1847514.96</v>
      </c>
      <c r="J361" s="6">
        <f>I361/$I$25</f>
        <v>8.8762048516773454E-3</v>
      </c>
    </row>
    <row r="362" spans="1:10">
      <c r="A362" s="18">
        <v>2</v>
      </c>
      <c r="B362" s="15">
        <v>6</v>
      </c>
      <c r="C362" s="15">
        <v>3</v>
      </c>
      <c r="D362" s="15">
        <v>3</v>
      </c>
      <c r="E362" s="14"/>
      <c r="F362" s="13" t="s">
        <v>157</v>
      </c>
      <c r="G362" s="12">
        <f>SUM(G363)</f>
        <v>0</v>
      </c>
      <c r="H362" s="12">
        <f>SUM(H363)</f>
        <v>0</v>
      </c>
      <c r="I362" s="12">
        <f t="shared" si="15"/>
        <v>0</v>
      </c>
      <c r="J362" s="11"/>
    </row>
    <row r="363" spans="1:10">
      <c r="A363" s="17">
        <v>2</v>
      </c>
      <c r="B363" s="9">
        <v>6</v>
      </c>
      <c r="C363" s="9">
        <v>3</v>
      </c>
      <c r="D363" s="9">
        <v>3</v>
      </c>
      <c r="E363" s="24" t="s">
        <v>44</v>
      </c>
      <c r="F363" s="8" t="s">
        <v>157</v>
      </c>
      <c r="G363" s="7">
        <f>'CUENTA T FONDO 100'!GS210</f>
        <v>0</v>
      </c>
      <c r="H363" s="7">
        <f>'CUENTA T VS'!GS498</f>
        <v>0</v>
      </c>
      <c r="I363" s="7">
        <f t="shared" si="15"/>
        <v>0</v>
      </c>
      <c r="J363" s="6">
        <f>I363/$I$25</f>
        <v>0</v>
      </c>
    </row>
    <row r="364" spans="1:10">
      <c r="A364" s="18">
        <v>2</v>
      </c>
      <c r="B364" s="15">
        <v>6</v>
      </c>
      <c r="C364" s="15">
        <v>3</v>
      </c>
      <c r="D364" s="15">
        <v>4</v>
      </c>
      <c r="E364" s="15"/>
      <c r="F364" s="13" t="s">
        <v>412</v>
      </c>
      <c r="G364" s="12">
        <f>+G365</f>
        <v>0</v>
      </c>
      <c r="H364" s="12">
        <f>+H365</f>
        <v>0</v>
      </c>
      <c r="I364" s="12">
        <f t="shared" si="15"/>
        <v>0</v>
      </c>
      <c r="J364" s="11"/>
    </row>
    <row r="365" spans="1:10">
      <c r="A365" s="17">
        <v>2</v>
      </c>
      <c r="B365" s="9">
        <v>6</v>
      </c>
      <c r="C365" s="9">
        <v>3</v>
      </c>
      <c r="D365" s="9">
        <v>4</v>
      </c>
      <c r="E365" s="24" t="s">
        <v>44</v>
      </c>
      <c r="F365" s="8" t="s">
        <v>412</v>
      </c>
      <c r="G365" s="7">
        <f>'CUENTA T FONDO 100'!GT210</f>
        <v>0</v>
      </c>
      <c r="H365" s="7">
        <f>'CUENTA T VS'!GT498</f>
        <v>0</v>
      </c>
      <c r="I365" s="7">
        <f t="shared" si="15"/>
        <v>0</v>
      </c>
      <c r="J365" s="6">
        <f>I365/$I$25</f>
        <v>0</v>
      </c>
    </row>
    <row r="366" spans="1:10">
      <c r="A366" s="30">
        <v>2</v>
      </c>
      <c r="B366" s="22">
        <v>6</v>
      </c>
      <c r="C366" s="22">
        <v>4</v>
      </c>
      <c r="D366" s="22"/>
      <c r="E366" s="29"/>
      <c r="F366" s="21" t="s">
        <v>156</v>
      </c>
      <c r="G366" s="20">
        <f>+G367+G369+G371+G373+G375+G377+G379+G381</f>
        <v>0</v>
      </c>
      <c r="H366" s="20">
        <f>+H367+H369+H371+H373+H375+H377+H379+H381</f>
        <v>0</v>
      </c>
      <c r="I366" s="20">
        <f t="shared" si="15"/>
        <v>0</v>
      </c>
      <c r="J366" s="19"/>
    </row>
    <row r="367" spans="1:10">
      <c r="A367" s="18">
        <v>2</v>
      </c>
      <c r="B367" s="15">
        <v>6</v>
      </c>
      <c r="C367" s="15">
        <v>4</v>
      </c>
      <c r="D367" s="15">
        <v>1</v>
      </c>
      <c r="E367" s="15"/>
      <c r="F367" s="13" t="s">
        <v>155</v>
      </c>
      <c r="G367" s="12">
        <f>SUM(G368)</f>
        <v>0</v>
      </c>
      <c r="H367" s="12">
        <f>SUM(H368)</f>
        <v>0</v>
      </c>
      <c r="I367" s="12">
        <f t="shared" si="15"/>
        <v>0</v>
      </c>
      <c r="J367" s="11"/>
    </row>
    <row r="368" spans="1:10">
      <c r="A368" s="17">
        <v>2</v>
      </c>
      <c r="B368" s="9">
        <v>6</v>
      </c>
      <c r="C368" s="9">
        <v>4</v>
      </c>
      <c r="D368" s="9">
        <v>1</v>
      </c>
      <c r="E368" s="24" t="s">
        <v>44</v>
      </c>
      <c r="F368" s="8" t="s">
        <v>155</v>
      </c>
      <c r="G368" s="7">
        <f>'CUENTA T FONDO 100'!GU210</f>
        <v>0</v>
      </c>
      <c r="H368" s="7">
        <f>'CUENTA T VS'!GU498</f>
        <v>0</v>
      </c>
      <c r="I368" s="7">
        <f t="shared" si="15"/>
        <v>0</v>
      </c>
      <c r="J368" s="6">
        <f>I368/$I$25</f>
        <v>0</v>
      </c>
    </row>
    <row r="369" spans="1:10">
      <c r="A369" s="18">
        <v>2</v>
      </c>
      <c r="B369" s="15">
        <v>6</v>
      </c>
      <c r="C369" s="15">
        <v>4</v>
      </c>
      <c r="D369" s="15">
        <v>2</v>
      </c>
      <c r="E369" s="15"/>
      <c r="F369" s="13" t="s">
        <v>154</v>
      </c>
      <c r="G369" s="12">
        <f>SUM(G370)</f>
        <v>0</v>
      </c>
      <c r="H369" s="12">
        <f>SUM(H370)</f>
        <v>0</v>
      </c>
      <c r="I369" s="12">
        <f t="shared" si="15"/>
        <v>0</v>
      </c>
      <c r="J369" s="11"/>
    </row>
    <row r="370" spans="1:10">
      <c r="A370" s="17">
        <v>2</v>
      </c>
      <c r="B370" s="9">
        <v>6</v>
      </c>
      <c r="C370" s="9">
        <v>4</v>
      </c>
      <c r="D370" s="9">
        <v>2</v>
      </c>
      <c r="E370" s="24" t="s">
        <v>44</v>
      </c>
      <c r="F370" s="8" t="s">
        <v>154</v>
      </c>
      <c r="G370" s="7">
        <f>'CUENTA T FONDO 100'!GV210</f>
        <v>0</v>
      </c>
      <c r="H370" s="7">
        <f>'CUENTA T VS'!GV498</f>
        <v>0</v>
      </c>
      <c r="I370" s="7">
        <f t="shared" si="15"/>
        <v>0</v>
      </c>
      <c r="J370" s="6">
        <f>I370/$I$25</f>
        <v>0</v>
      </c>
    </row>
    <row r="371" spans="1:10">
      <c r="A371" s="18">
        <v>2</v>
      </c>
      <c r="B371" s="15">
        <v>6</v>
      </c>
      <c r="C371" s="15">
        <v>4</v>
      </c>
      <c r="D371" s="15">
        <v>3</v>
      </c>
      <c r="E371" s="15"/>
      <c r="F371" s="13" t="s">
        <v>153</v>
      </c>
      <c r="G371" s="12">
        <f>SUM(G372)</f>
        <v>0</v>
      </c>
      <c r="H371" s="12">
        <f>SUM(H372)</f>
        <v>0</v>
      </c>
      <c r="I371" s="12">
        <f t="shared" si="15"/>
        <v>0</v>
      </c>
      <c r="J371" s="11"/>
    </row>
    <row r="372" spans="1:10">
      <c r="A372" s="17">
        <v>2</v>
      </c>
      <c r="B372" s="9">
        <v>6</v>
      </c>
      <c r="C372" s="9">
        <v>4</v>
      </c>
      <c r="D372" s="9">
        <v>3</v>
      </c>
      <c r="E372" s="24" t="s">
        <v>44</v>
      </c>
      <c r="F372" s="8" t="s">
        <v>153</v>
      </c>
      <c r="G372" s="7">
        <f>'CUENTA T FONDO 100'!GW210</f>
        <v>0</v>
      </c>
      <c r="H372" s="7">
        <f>'CUENTA T VS'!GX498</f>
        <v>0</v>
      </c>
      <c r="I372" s="7">
        <f t="shared" si="15"/>
        <v>0</v>
      </c>
      <c r="J372" s="6">
        <f>I372/$I$25</f>
        <v>0</v>
      </c>
    </row>
    <row r="373" spans="1:10">
      <c r="A373" s="18">
        <v>2</v>
      </c>
      <c r="B373" s="15">
        <v>6</v>
      </c>
      <c r="C373" s="15">
        <v>4</v>
      </c>
      <c r="D373" s="15">
        <v>4</v>
      </c>
      <c r="E373" s="15"/>
      <c r="F373" s="13" t="s">
        <v>152</v>
      </c>
      <c r="G373" s="12">
        <f>SUM(G374)</f>
        <v>0</v>
      </c>
      <c r="H373" s="12">
        <f>SUM(H374)</f>
        <v>0</v>
      </c>
      <c r="I373" s="12">
        <f t="shared" si="15"/>
        <v>0</v>
      </c>
      <c r="J373" s="11"/>
    </row>
    <row r="374" spans="1:10">
      <c r="A374" s="17">
        <v>2</v>
      </c>
      <c r="B374" s="9">
        <v>6</v>
      </c>
      <c r="C374" s="9">
        <v>4</v>
      </c>
      <c r="D374" s="9">
        <v>4</v>
      </c>
      <c r="E374" s="24" t="s">
        <v>44</v>
      </c>
      <c r="F374" s="8" t="s">
        <v>152</v>
      </c>
      <c r="G374" s="7">
        <f>'CUENTA T FONDO 100'!GX210</f>
        <v>0</v>
      </c>
      <c r="H374" s="7">
        <f>'CUENTA T VS'!GX498</f>
        <v>0</v>
      </c>
      <c r="I374" s="7">
        <f t="shared" si="15"/>
        <v>0</v>
      </c>
      <c r="J374" s="6">
        <f>I374/$I$25</f>
        <v>0</v>
      </c>
    </row>
    <row r="375" spans="1:10">
      <c r="A375" s="18">
        <v>2</v>
      </c>
      <c r="B375" s="15">
        <v>6</v>
      </c>
      <c r="C375" s="15">
        <v>4</v>
      </c>
      <c r="D375" s="15">
        <v>5</v>
      </c>
      <c r="E375" s="15"/>
      <c r="F375" s="13" t="s">
        <v>151</v>
      </c>
      <c r="G375" s="12">
        <f>SUM(G376)</f>
        <v>0</v>
      </c>
      <c r="H375" s="12">
        <f>SUM(H376)</f>
        <v>0</v>
      </c>
      <c r="I375" s="12">
        <f t="shared" si="15"/>
        <v>0</v>
      </c>
      <c r="J375" s="11"/>
    </row>
    <row r="376" spans="1:10">
      <c r="A376" s="17">
        <v>2</v>
      </c>
      <c r="B376" s="9">
        <v>6</v>
      </c>
      <c r="C376" s="9">
        <v>4</v>
      </c>
      <c r="D376" s="9">
        <v>5</v>
      </c>
      <c r="E376" s="24" t="s">
        <v>44</v>
      </c>
      <c r="F376" s="8" t="s">
        <v>151</v>
      </c>
      <c r="G376" s="7">
        <f>'CUENTA T FONDO 100'!GY210</f>
        <v>0</v>
      </c>
      <c r="H376" s="7">
        <f>'CUENTA T VS'!GY498</f>
        <v>0</v>
      </c>
      <c r="I376" s="7">
        <f t="shared" si="15"/>
        <v>0</v>
      </c>
      <c r="J376" s="6">
        <f>I376/$I$25</f>
        <v>0</v>
      </c>
    </row>
    <row r="377" spans="1:10">
      <c r="A377" s="18">
        <v>2</v>
      </c>
      <c r="B377" s="15">
        <v>6</v>
      </c>
      <c r="C377" s="15">
        <v>4</v>
      </c>
      <c r="D377" s="15">
        <v>6</v>
      </c>
      <c r="E377" s="15"/>
      <c r="F377" s="13" t="s">
        <v>150</v>
      </c>
      <c r="G377" s="12">
        <f>SUM(G378)</f>
        <v>0</v>
      </c>
      <c r="H377" s="12">
        <f>SUM(H378)</f>
        <v>0</v>
      </c>
      <c r="I377" s="12">
        <f t="shared" si="15"/>
        <v>0</v>
      </c>
      <c r="J377" s="11"/>
    </row>
    <row r="378" spans="1:10">
      <c r="A378" s="17">
        <v>2</v>
      </c>
      <c r="B378" s="9">
        <v>6</v>
      </c>
      <c r="C378" s="9">
        <v>4</v>
      </c>
      <c r="D378" s="9">
        <v>6</v>
      </c>
      <c r="E378" s="24" t="s">
        <v>44</v>
      </c>
      <c r="F378" s="8" t="s">
        <v>150</v>
      </c>
      <c r="G378" s="7">
        <f>'CUENTA T FONDO 100'!GZ210</f>
        <v>0</v>
      </c>
      <c r="H378" s="7">
        <f>'CUENTA T VS'!GZ498</f>
        <v>0</v>
      </c>
      <c r="I378" s="7">
        <f t="shared" si="15"/>
        <v>0</v>
      </c>
      <c r="J378" s="6">
        <f>I378/$I$25</f>
        <v>0</v>
      </c>
    </row>
    <row r="379" spans="1:10">
      <c r="A379" s="18">
        <v>2</v>
      </c>
      <c r="B379" s="15">
        <v>6</v>
      </c>
      <c r="C379" s="15">
        <v>4</v>
      </c>
      <c r="D379" s="15">
        <v>7</v>
      </c>
      <c r="E379" s="15"/>
      <c r="F379" s="13" t="s">
        <v>149</v>
      </c>
      <c r="G379" s="12">
        <f>SUM(G380)</f>
        <v>0</v>
      </c>
      <c r="H379" s="12">
        <f>SUM(H380)</f>
        <v>0</v>
      </c>
      <c r="I379" s="12">
        <f t="shared" si="15"/>
        <v>0</v>
      </c>
      <c r="J379" s="11"/>
    </row>
    <row r="380" spans="1:10">
      <c r="A380" s="17">
        <v>2</v>
      </c>
      <c r="B380" s="9">
        <v>6</v>
      </c>
      <c r="C380" s="9">
        <v>4</v>
      </c>
      <c r="D380" s="9">
        <v>7</v>
      </c>
      <c r="E380" s="24" t="s">
        <v>44</v>
      </c>
      <c r="F380" s="8" t="s">
        <v>149</v>
      </c>
      <c r="G380" s="7">
        <f>'CUENTA T FONDO 100'!HA210</f>
        <v>0</v>
      </c>
      <c r="H380" s="7">
        <f>'CUENTA T VS'!HA498</f>
        <v>0</v>
      </c>
      <c r="I380" s="7">
        <f t="shared" si="15"/>
        <v>0</v>
      </c>
      <c r="J380" s="6">
        <f>I380/$I$25</f>
        <v>0</v>
      </c>
    </row>
    <row r="381" spans="1:10">
      <c r="A381" s="18">
        <v>2</v>
      </c>
      <c r="B381" s="15">
        <v>6</v>
      </c>
      <c r="C381" s="15">
        <v>4</v>
      </c>
      <c r="D381" s="15">
        <v>8</v>
      </c>
      <c r="E381" s="15"/>
      <c r="F381" s="13" t="s">
        <v>148</v>
      </c>
      <c r="G381" s="12">
        <f>SUM(G382)</f>
        <v>0</v>
      </c>
      <c r="H381" s="12">
        <f>SUM(H382)</f>
        <v>0</v>
      </c>
      <c r="I381" s="12">
        <f t="shared" si="15"/>
        <v>0</v>
      </c>
      <c r="J381" s="11"/>
    </row>
    <row r="382" spans="1:10">
      <c r="A382" s="17">
        <v>2</v>
      </c>
      <c r="B382" s="9">
        <v>6</v>
      </c>
      <c r="C382" s="9">
        <v>4</v>
      </c>
      <c r="D382" s="9">
        <v>8</v>
      </c>
      <c r="E382" s="24" t="s">
        <v>44</v>
      </c>
      <c r="F382" s="8" t="s">
        <v>148</v>
      </c>
      <c r="G382" s="7">
        <f>'CUENTA T FONDO 100'!HB210</f>
        <v>0</v>
      </c>
      <c r="H382" s="7">
        <f>'CUENTA T VS'!HB498</f>
        <v>0</v>
      </c>
      <c r="I382" s="7">
        <f t="shared" si="15"/>
        <v>0</v>
      </c>
      <c r="J382" s="6">
        <f>I382/$I$25</f>
        <v>0</v>
      </c>
    </row>
    <row r="383" spans="1:10">
      <c r="A383" s="30">
        <v>2</v>
      </c>
      <c r="B383" s="22">
        <v>6</v>
      </c>
      <c r="C383" s="22">
        <v>5</v>
      </c>
      <c r="D383" s="22"/>
      <c r="E383" s="29"/>
      <c r="F383" s="21" t="s">
        <v>147</v>
      </c>
      <c r="G383" s="20">
        <f>+G384+G386+G388+G390+G392+G394+G396+G398</f>
        <v>0</v>
      </c>
      <c r="H383" s="20">
        <f>+H384+H386+H388+H390+H392+H394+H396+H398</f>
        <v>753008.07000000007</v>
      </c>
      <c r="I383" s="20">
        <f t="shared" si="15"/>
        <v>753008.07000000007</v>
      </c>
      <c r="J383" s="19"/>
    </row>
    <row r="384" spans="1:10">
      <c r="A384" s="16">
        <v>2</v>
      </c>
      <c r="B384" s="15">
        <v>6</v>
      </c>
      <c r="C384" s="15">
        <v>5</v>
      </c>
      <c r="D384" s="15">
        <v>1</v>
      </c>
      <c r="E384" s="15"/>
      <c r="F384" s="13" t="s">
        <v>146</v>
      </c>
      <c r="G384" s="12">
        <f>SUM(G385)</f>
        <v>0</v>
      </c>
      <c r="H384" s="12">
        <f>SUM(H385)</f>
        <v>0</v>
      </c>
      <c r="I384" s="12">
        <f t="shared" si="15"/>
        <v>0</v>
      </c>
      <c r="J384" s="11"/>
    </row>
    <row r="385" spans="1:10">
      <c r="A385" s="10">
        <v>2</v>
      </c>
      <c r="B385" s="9">
        <v>6</v>
      </c>
      <c r="C385" s="9">
        <v>5</v>
      </c>
      <c r="D385" s="9">
        <v>1</v>
      </c>
      <c r="E385" s="24" t="s">
        <v>44</v>
      </c>
      <c r="F385" s="8" t="s">
        <v>146</v>
      </c>
      <c r="G385" s="7">
        <f>'CUENTA T FONDO 100'!HC210</f>
        <v>0</v>
      </c>
      <c r="H385" s="7">
        <f>'CUENTA T VS'!HC498</f>
        <v>0</v>
      </c>
      <c r="I385" s="7">
        <f t="shared" si="15"/>
        <v>0</v>
      </c>
      <c r="J385" s="6">
        <f>I385/$I$25</f>
        <v>0</v>
      </c>
    </row>
    <row r="386" spans="1:10">
      <c r="A386" s="16">
        <v>2</v>
      </c>
      <c r="B386" s="15">
        <v>6</v>
      </c>
      <c r="C386" s="15">
        <v>5</v>
      </c>
      <c r="D386" s="15">
        <v>2</v>
      </c>
      <c r="E386" s="15"/>
      <c r="F386" s="13" t="s">
        <v>145</v>
      </c>
      <c r="G386" s="12">
        <f>SUM(G387)</f>
        <v>0</v>
      </c>
      <c r="H386" s="12">
        <f>SUM(H387)</f>
        <v>711998.01</v>
      </c>
      <c r="I386" s="12">
        <f t="shared" si="15"/>
        <v>711998.01</v>
      </c>
      <c r="J386" s="11"/>
    </row>
    <row r="387" spans="1:10">
      <c r="A387" s="10">
        <v>2</v>
      </c>
      <c r="B387" s="9">
        <v>6</v>
      </c>
      <c r="C387" s="9">
        <v>5</v>
      </c>
      <c r="D387" s="9">
        <v>2</v>
      </c>
      <c r="E387" s="24" t="s">
        <v>44</v>
      </c>
      <c r="F387" s="8" t="s">
        <v>145</v>
      </c>
      <c r="G387" s="7">
        <f>'CUENTA T FONDO 100'!HD210</f>
        <v>0</v>
      </c>
      <c r="H387" s="7">
        <f>'CUENTA T VS'!HD498</f>
        <v>711998.01</v>
      </c>
      <c r="I387" s="7">
        <f t="shared" si="15"/>
        <v>711998.01</v>
      </c>
      <c r="J387" s="6">
        <f>I387/$I$25</f>
        <v>3.4207247722349244E-3</v>
      </c>
    </row>
    <row r="388" spans="1:10">
      <c r="A388" s="16">
        <v>2</v>
      </c>
      <c r="B388" s="15">
        <v>6</v>
      </c>
      <c r="C388" s="15">
        <v>5</v>
      </c>
      <c r="D388" s="15">
        <v>3</v>
      </c>
      <c r="E388" s="15"/>
      <c r="F388" s="13" t="s">
        <v>144</v>
      </c>
      <c r="G388" s="12">
        <f>SUM(G389)</f>
        <v>0</v>
      </c>
      <c r="H388" s="12">
        <f>SUM(H389)</f>
        <v>0</v>
      </c>
      <c r="I388" s="12">
        <f t="shared" si="15"/>
        <v>0</v>
      </c>
      <c r="J388" s="11"/>
    </row>
    <row r="389" spans="1:10">
      <c r="A389" s="10">
        <v>2</v>
      </c>
      <c r="B389" s="9">
        <v>6</v>
      </c>
      <c r="C389" s="9">
        <v>5</v>
      </c>
      <c r="D389" s="9">
        <v>3</v>
      </c>
      <c r="E389" s="24" t="s">
        <v>44</v>
      </c>
      <c r="F389" s="8" t="s">
        <v>144</v>
      </c>
      <c r="G389" s="7">
        <f>'CUENTA T FONDO 100'!HE210</f>
        <v>0</v>
      </c>
      <c r="H389" s="7">
        <f>'CUENTA T VS'!HE498</f>
        <v>0</v>
      </c>
      <c r="I389" s="7">
        <f t="shared" si="15"/>
        <v>0</v>
      </c>
      <c r="J389" s="6">
        <f>I389/$I$25</f>
        <v>0</v>
      </c>
    </row>
    <row r="390" spans="1:10">
      <c r="A390" s="16">
        <v>2</v>
      </c>
      <c r="B390" s="15">
        <v>6</v>
      </c>
      <c r="C390" s="15">
        <v>5</v>
      </c>
      <c r="D390" s="15">
        <v>4</v>
      </c>
      <c r="E390" s="15"/>
      <c r="F390" s="13" t="s">
        <v>413</v>
      </c>
      <c r="G390" s="12">
        <f>SUM(G391)</f>
        <v>0</v>
      </c>
      <c r="H390" s="12">
        <f>SUM(H391)</f>
        <v>0</v>
      </c>
      <c r="I390" s="12">
        <f t="shared" si="15"/>
        <v>0</v>
      </c>
      <c r="J390" s="11"/>
    </row>
    <row r="391" spans="1:10">
      <c r="A391" s="10">
        <v>2</v>
      </c>
      <c r="B391" s="9">
        <v>6</v>
      </c>
      <c r="C391" s="9">
        <v>5</v>
      </c>
      <c r="D391" s="9">
        <v>4</v>
      </c>
      <c r="E391" s="24" t="s">
        <v>44</v>
      </c>
      <c r="F391" s="8" t="s">
        <v>413</v>
      </c>
      <c r="G391" s="7">
        <f>'CUENTA T FONDO 100'!HF210</f>
        <v>0</v>
      </c>
      <c r="H391" s="7">
        <f>'CUENTA T VS'!HF498</f>
        <v>0</v>
      </c>
      <c r="I391" s="7">
        <f t="shared" si="15"/>
        <v>0</v>
      </c>
      <c r="J391" s="6">
        <f>I391/$I$25</f>
        <v>0</v>
      </c>
    </row>
    <row r="392" spans="1:10" ht="25.5">
      <c r="A392" s="16">
        <v>2</v>
      </c>
      <c r="B392" s="15">
        <v>6</v>
      </c>
      <c r="C392" s="15">
        <v>5</v>
      </c>
      <c r="D392" s="15">
        <v>5</v>
      </c>
      <c r="E392" s="15"/>
      <c r="F392" s="13" t="s">
        <v>143</v>
      </c>
      <c r="G392" s="12">
        <f>SUM(G393)</f>
        <v>0</v>
      </c>
      <c r="H392" s="12">
        <f>SUM(H393)</f>
        <v>0</v>
      </c>
      <c r="I392" s="12">
        <f t="shared" si="15"/>
        <v>0</v>
      </c>
      <c r="J392" s="11"/>
    </row>
    <row r="393" spans="1:10" ht="25.5">
      <c r="A393" s="10">
        <v>2</v>
      </c>
      <c r="B393" s="9">
        <v>6</v>
      </c>
      <c r="C393" s="9">
        <v>5</v>
      </c>
      <c r="D393" s="9">
        <v>5</v>
      </c>
      <c r="E393" s="24" t="s">
        <v>44</v>
      </c>
      <c r="F393" s="8" t="s">
        <v>143</v>
      </c>
      <c r="G393" s="7">
        <f>'CUENTA T FONDO 100'!HG210</f>
        <v>0</v>
      </c>
      <c r="H393" s="7">
        <f>'CUENTA T VS'!HG498</f>
        <v>0</v>
      </c>
      <c r="I393" s="7">
        <f t="shared" si="15"/>
        <v>0</v>
      </c>
      <c r="J393" s="6">
        <f>I393/$I$25</f>
        <v>0</v>
      </c>
    </row>
    <row r="394" spans="1:10">
      <c r="A394" s="16">
        <v>2</v>
      </c>
      <c r="B394" s="15">
        <v>6</v>
      </c>
      <c r="C394" s="15">
        <v>5</v>
      </c>
      <c r="D394" s="15">
        <v>6</v>
      </c>
      <c r="E394" s="15"/>
      <c r="F394" s="13" t="s">
        <v>414</v>
      </c>
      <c r="G394" s="12">
        <f>SUM(G395)</f>
        <v>0</v>
      </c>
      <c r="H394" s="12">
        <f>SUM(H395)</f>
        <v>0</v>
      </c>
      <c r="I394" s="12">
        <f t="shared" si="15"/>
        <v>0</v>
      </c>
      <c r="J394" s="11"/>
    </row>
    <row r="395" spans="1:10">
      <c r="A395" s="10">
        <v>2</v>
      </c>
      <c r="B395" s="9">
        <v>6</v>
      </c>
      <c r="C395" s="9">
        <v>5</v>
      </c>
      <c r="D395" s="9">
        <v>6</v>
      </c>
      <c r="E395" s="24" t="s">
        <v>44</v>
      </c>
      <c r="F395" s="8" t="s">
        <v>414</v>
      </c>
      <c r="G395" s="7">
        <f>'CUENTA T FONDO 100'!HH210</f>
        <v>0</v>
      </c>
      <c r="H395" s="7">
        <f>'CUENTA T VS'!HH498</f>
        <v>0</v>
      </c>
      <c r="I395" s="7">
        <f t="shared" si="15"/>
        <v>0</v>
      </c>
      <c r="J395" s="6">
        <f>I395/$I$25</f>
        <v>0</v>
      </c>
    </row>
    <row r="396" spans="1:10">
      <c r="A396" s="16">
        <v>2</v>
      </c>
      <c r="B396" s="15">
        <v>6</v>
      </c>
      <c r="C396" s="15">
        <v>5</v>
      </c>
      <c r="D396" s="15">
        <v>7</v>
      </c>
      <c r="E396" s="15"/>
      <c r="F396" s="13" t="s">
        <v>415</v>
      </c>
      <c r="G396" s="12">
        <f>SUM(G397)</f>
        <v>0</v>
      </c>
      <c r="H396" s="12">
        <f>SUM(H397)</f>
        <v>41010.06</v>
      </c>
      <c r="I396" s="12">
        <f t="shared" si="15"/>
        <v>41010.06</v>
      </c>
      <c r="J396" s="11"/>
    </row>
    <row r="397" spans="1:10">
      <c r="A397" s="10">
        <v>2</v>
      </c>
      <c r="B397" s="9">
        <v>6</v>
      </c>
      <c r="C397" s="9">
        <v>5</v>
      </c>
      <c r="D397" s="9">
        <v>7</v>
      </c>
      <c r="E397" s="24" t="s">
        <v>44</v>
      </c>
      <c r="F397" s="8" t="s">
        <v>415</v>
      </c>
      <c r="G397" s="7">
        <f>'CUENTA T FONDO 100'!HI210</f>
        <v>0</v>
      </c>
      <c r="H397" s="7">
        <f>'CUENTA T VS'!HI498</f>
        <v>41010.06</v>
      </c>
      <c r="I397" s="7">
        <f t="shared" si="15"/>
        <v>41010.06</v>
      </c>
      <c r="J397" s="6">
        <f>I397/$I$25</f>
        <v>1.9702882056206952E-4</v>
      </c>
    </row>
    <row r="398" spans="1:10">
      <c r="A398" s="16">
        <v>2</v>
      </c>
      <c r="B398" s="15">
        <v>6</v>
      </c>
      <c r="C398" s="15">
        <v>5</v>
      </c>
      <c r="D398" s="15">
        <v>8</v>
      </c>
      <c r="E398" s="15"/>
      <c r="F398" s="13" t="s">
        <v>142</v>
      </c>
      <c r="G398" s="12">
        <f>SUM(G399)</f>
        <v>0</v>
      </c>
      <c r="H398" s="12">
        <f>SUM(H399)</f>
        <v>0</v>
      </c>
      <c r="I398" s="12">
        <f t="shared" si="15"/>
        <v>0</v>
      </c>
      <c r="J398" s="11"/>
    </row>
    <row r="399" spans="1:10">
      <c r="A399" s="10">
        <v>2</v>
      </c>
      <c r="B399" s="9">
        <v>6</v>
      </c>
      <c r="C399" s="9">
        <v>5</v>
      </c>
      <c r="D399" s="9">
        <v>8</v>
      </c>
      <c r="E399" s="24" t="s">
        <v>44</v>
      </c>
      <c r="F399" s="8" t="s">
        <v>142</v>
      </c>
      <c r="G399" s="7">
        <f>'CUENTA T FONDO 100'!HJ210</f>
        <v>0</v>
      </c>
      <c r="H399" s="7">
        <f>'CUENTA T VS'!HJ498</f>
        <v>0</v>
      </c>
      <c r="I399" s="7">
        <f t="shared" si="15"/>
        <v>0</v>
      </c>
      <c r="J399" s="6">
        <f>I399/$I$25</f>
        <v>0</v>
      </c>
    </row>
    <row r="400" spans="1:10">
      <c r="A400" s="23">
        <v>2</v>
      </c>
      <c r="B400" s="22">
        <v>6</v>
      </c>
      <c r="C400" s="22">
        <v>6</v>
      </c>
      <c r="D400" s="22"/>
      <c r="E400" s="22"/>
      <c r="F400" s="21" t="s">
        <v>141</v>
      </c>
      <c r="G400" s="20">
        <f>+G401+G403</f>
        <v>0</v>
      </c>
      <c r="H400" s="20">
        <f>+H401+H403</f>
        <v>186179.05</v>
      </c>
      <c r="I400" s="20">
        <f t="shared" si="15"/>
        <v>186179.05</v>
      </c>
      <c r="J400" s="19">
        <f>I400/$I$25</f>
        <v>8.9447902867897705E-4</v>
      </c>
    </row>
    <row r="401" spans="1:10">
      <c r="A401" s="18">
        <v>2</v>
      </c>
      <c r="B401" s="15">
        <v>6</v>
      </c>
      <c r="C401" s="15">
        <v>6</v>
      </c>
      <c r="D401" s="15">
        <v>1</v>
      </c>
      <c r="E401" s="14"/>
      <c r="F401" s="13" t="s">
        <v>140</v>
      </c>
      <c r="G401" s="12">
        <f>+G402</f>
        <v>0</v>
      </c>
      <c r="H401" s="12">
        <f>+H402</f>
        <v>0</v>
      </c>
      <c r="I401" s="12">
        <f t="shared" si="15"/>
        <v>0</v>
      </c>
      <c r="J401" s="11"/>
    </row>
    <row r="402" spans="1:10">
      <c r="A402" s="17">
        <v>2</v>
      </c>
      <c r="B402" s="9">
        <v>6</v>
      </c>
      <c r="C402" s="9">
        <v>6</v>
      </c>
      <c r="D402" s="9">
        <v>1</v>
      </c>
      <c r="E402" s="9" t="s">
        <v>80</v>
      </c>
      <c r="F402" s="8" t="s">
        <v>140</v>
      </c>
      <c r="G402" s="7">
        <f>'CUENTA T FONDO 100'!HK210</f>
        <v>0</v>
      </c>
      <c r="H402" s="7">
        <f>'CUENTA T VS'!HK498</f>
        <v>0</v>
      </c>
      <c r="I402" s="7">
        <f t="shared" si="15"/>
        <v>0</v>
      </c>
      <c r="J402" s="6">
        <f>I402/$I$25</f>
        <v>0</v>
      </c>
    </row>
    <row r="403" spans="1:10">
      <c r="A403" s="18">
        <v>2</v>
      </c>
      <c r="B403" s="15">
        <v>6</v>
      </c>
      <c r="C403" s="15">
        <v>6</v>
      </c>
      <c r="D403" s="15">
        <v>2</v>
      </c>
      <c r="E403" s="14"/>
      <c r="F403" s="13" t="s">
        <v>139</v>
      </c>
      <c r="G403" s="12">
        <f>+G404</f>
        <v>0</v>
      </c>
      <c r="H403" s="12">
        <f>+H404</f>
        <v>186179.05</v>
      </c>
      <c r="I403" s="12">
        <f t="shared" si="15"/>
        <v>186179.05</v>
      </c>
      <c r="J403" s="11"/>
    </row>
    <row r="404" spans="1:10">
      <c r="A404" s="17">
        <v>2</v>
      </c>
      <c r="B404" s="9">
        <v>6</v>
      </c>
      <c r="C404" s="9">
        <v>6</v>
      </c>
      <c r="D404" s="9">
        <v>2</v>
      </c>
      <c r="E404" s="9" t="s">
        <v>80</v>
      </c>
      <c r="F404" s="8" t="s">
        <v>139</v>
      </c>
      <c r="G404" s="7">
        <f>'CUENTA T FONDO 100'!HL210</f>
        <v>0</v>
      </c>
      <c r="H404" s="7">
        <f>'CUENTA T VS'!HL498</f>
        <v>186179.05</v>
      </c>
      <c r="I404" s="7">
        <f t="shared" si="15"/>
        <v>186179.05</v>
      </c>
      <c r="J404" s="6">
        <f>I404/$I$25</f>
        <v>8.9447902867897705E-4</v>
      </c>
    </row>
    <row r="405" spans="1:10">
      <c r="A405" s="30">
        <v>2</v>
      </c>
      <c r="B405" s="22">
        <v>6</v>
      </c>
      <c r="C405" s="22">
        <v>7</v>
      </c>
      <c r="D405" s="22"/>
      <c r="E405" s="29"/>
      <c r="F405" s="21" t="s">
        <v>138</v>
      </c>
      <c r="G405" s="20">
        <f>+G406+G408+G410+G412+G414+G416+G418+G420+G422</f>
        <v>0</v>
      </c>
      <c r="H405" s="20">
        <f>+H406+H408+H410+H412+H414+H416+H418+H420+H422</f>
        <v>0</v>
      </c>
      <c r="I405" s="20">
        <f t="shared" si="15"/>
        <v>0</v>
      </c>
      <c r="J405" s="19"/>
    </row>
    <row r="406" spans="1:10">
      <c r="A406" s="16">
        <v>2</v>
      </c>
      <c r="B406" s="15">
        <v>6</v>
      </c>
      <c r="C406" s="15">
        <v>7</v>
      </c>
      <c r="D406" s="15">
        <v>1</v>
      </c>
      <c r="E406" s="15"/>
      <c r="F406" s="13" t="s">
        <v>137</v>
      </c>
      <c r="G406" s="12">
        <f>SUM(G407)</f>
        <v>0</v>
      </c>
      <c r="H406" s="12">
        <f>SUM(H407)</f>
        <v>0</v>
      </c>
      <c r="I406" s="12">
        <f t="shared" si="15"/>
        <v>0</v>
      </c>
      <c r="J406" s="11"/>
    </row>
    <row r="407" spans="1:10">
      <c r="A407" s="10">
        <v>2</v>
      </c>
      <c r="B407" s="9">
        <v>6</v>
      </c>
      <c r="C407" s="9">
        <v>7</v>
      </c>
      <c r="D407" s="9">
        <v>1</v>
      </c>
      <c r="E407" s="24" t="s">
        <v>44</v>
      </c>
      <c r="F407" s="8" t="s">
        <v>137</v>
      </c>
      <c r="G407" s="7">
        <f>'CUENTA T FONDO 100'!HM210</f>
        <v>0</v>
      </c>
      <c r="H407" s="7">
        <f>'CUENTA T VS'!HM498</f>
        <v>0</v>
      </c>
      <c r="I407" s="7">
        <f t="shared" si="15"/>
        <v>0</v>
      </c>
      <c r="J407" s="6">
        <f>I407/$I$25</f>
        <v>0</v>
      </c>
    </row>
    <row r="408" spans="1:10">
      <c r="A408" s="18">
        <v>2</v>
      </c>
      <c r="B408" s="15">
        <v>6</v>
      </c>
      <c r="C408" s="15">
        <v>7</v>
      </c>
      <c r="D408" s="15">
        <v>2</v>
      </c>
      <c r="E408" s="15"/>
      <c r="F408" s="13" t="s">
        <v>136</v>
      </c>
      <c r="G408" s="12">
        <f>SUM(G409)</f>
        <v>0</v>
      </c>
      <c r="H408" s="12">
        <f>SUM(H409)</f>
        <v>0</v>
      </c>
      <c r="I408" s="12">
        <f t="shared" si="15"/>
        <v>0</v>
      </c>
      <c r="J408" s="11"/>
    </row>
    <row r="409" spans="1:10">
      <c r="A409" s="17">
        <v>2</v>
      </c>
      <c r="B409" s="9">
        <v>6</v>
      </c>
      <c r="C409" s="9">
        <v>7</v>
      </c>
      <c r="D409" s="9">
        <v>2</v>
      </c>
      <c r="E409" s="24" t="s">
        <v>44</v>
      </c>
      <c r="F409" s="8" t="s">
        <v>136</v>
      </c>
      <c r="G409" s="7">
        <f>'CUENTA T FONDO 100'!HN210</f>
        <v>0</v>
      </c>
      <c r="H409" s="7">
        <f>'CUENTA T VS'!HN498</f>
        <v>0</v>
      </c>
      <c r="I409" s="7">
        <f t="shared" ref="I409:I472" si="16">SUM(G409:H409)</f>
        <v>0</v>
      </c>
      <c r="J409" s="6">
        <f>I409/$I$25</f>
        <v>0</v>
      </c>
    </row>
    <row r="410" spans="1:10">
      <c r="A410" s="18">
        <v>2</v>
      </c>
      <c r="B410" s="15">
        <v>6</v>
      </c>
      <c r="C410" s="15">
        <v>7</v>
      </c>
      <c r="D410" s="15">
        <v>3</v>
      </c>
      <c r="E410" s="15"/>
      <c r="F410" s="13" t="s">
        <v>135</v>
      </c>
      <c r="G410" s="12">
        <f>SUM(G411)</f>
        <v>0</v>
      </c>
      <c r="H410" s="12">
        <f>SUM(H411)</f>
        <v>0</v>
      </c>
      <c r="I410" s="12">
        <f t="shared" si="16"/>
        <v>0</v>
      </c>
      <c r="J410" s="11"/>
    </row>
    <row r="411" spans="1:10">
      <c r="A411" s="17">
        <v>2</v>
      </c>
      <c r="B411" s="9">
        <v>6</v>
      </c>
      <c r="C411" s="9">
        <v>7</v>
      </c>
      <c r="D411" s="9">
        <v>3</v>
      </c>
      <c r="E411" s="24" t="s">
        <v>44</v>
      </c>
      <c r="F411" s="8" t="s">
        <v>135</v>
      </c>
      <c r="G411" s="7">
        <f>'CUENTA T FONDO 100'!HO210</f>
        <v>0</v>
      </c>
      <c r="H411" s="7">
        <f>'CUENTA T VS'!HO498</f>
        <v>0</v>
      </c>
      <c r="I411" s="7">
        <f t="shared" si="16"/>
        <v>0</v>
      </c>
      <c r="J411" s="6">
        <f>I411/$I$25</f>
        <v>0</v>
      </c>
    </row>
    <row r="412" spans="1:10">
      <c r="A412" s="18">
        <v>2</v>
      </c>
      <c r="B412" s="15">
        <v>6</v>
      </c>
      <c r="C412" s="15">
        <v>7</v>
      </c>
      <c r="D412" s="15">
        <v>4</v>
      </c>
      <c r="E412" s="15"/>
      <c r="F412" s="13" t="s">
        <v>134</v>
      </c>
      <c r="G412" s="12">
        <f>SUM(G413)</f>
        <v>0</v>
      </c>
      <c r="H412" s="12">
        <f>SUM(H413)</f>
        <v>0</v>
      </c>
      <c r="I412" s="12">
        <f t="shared" si="16"/>
        <v>0</v>
      </c>
      <c r="J412" s="11"/>
    </row>
    <row r="413" spans="1:10">
      <c r="A413" s="17">
        <v>2</v>
      </c>
      <c r="B413" s="9">
        <v>6</v>
      </c>
      <c r="C413" s="9">
        <v>7</v>
      </c>
      <c r="D413" s="9">
        <v>4</v>
      </c>
      <c r="E413" s="24" t="s">
        <v>44</v>
      </c>
      <c r="F413" s="8" t="s">
        <v>134</v>
      </c>
      <c r="G413" s="7">
        <f>'CUENTA T FONDO 100'!HP210</f>
        <v>0</v>
      </c>
      <c r="H413" s="7">
        <f>'CUENTA T VS'!HP498</f>
        <v>0</v>
      </c>
      <c r="I413" s="7">
        <f t="shared" si="16"/>
        <v>0</v>
      </c>
      <c r="J413" s="6">
        <f>I413/$I$25</f>
        <v>0</v>
      </c>
    </row>
    <row r="414" spans="1:10">
      <c r="A414" s="18">
        <v>2</v>
      </c>
      <c r="B414" s="15">
        <v>6</v>
      </c>
      <c r="C414" s="15">
        <v>7</v>
      </c>
      <c r="D414" s="15">
        <v>5</v>
      </c>
      <c r="E414" s="15"/>
      <c r="F414" s="13" t="s">
        <v>133</v>
      </c>
      <c r="G414" s="12">
        <f>SUM(G415)</f>
        <v>0</v>
      </c>
      <c r="H414" s="12">
        <f>SUM(H415)</f>
        <v>0</v>
      </c>
      <c r="I414" s="12">
        <f t="shared" si="16"/>
        <v>0</v>
      </c>
      <c r="J414" s="11"/>
    </row>
    <row r="415" spans="1:10">
      <c r="A415" s="17">
        <v>2</v>
      </c>
      <c r="B415" s="9">
        <v>6</v>
      </c>
      <c r="C415" s="9">
        <v>7</v>
      </c>
      <c r="D415" s="9">
        <v>5</v>
      </c>
      <c r="E415" s="24" t="s">
        <v>44</v>
      </c>
      <c r="F415" s="8" t="s">
        <v>133</v>
      </c>
      <c r="G415" s="7">
        <f>'CUENTA T FONDO 100'!HQ210</f>
        <v>0</v>
      </c>
      <c r="H415" s="7">
        <f>'CUENTA T VS'!HQ498</f>
        <v>0</v>
      </c>
      <c r="I415" s="7">
        <f t="shared" si="16"/>
        <v>0</v>
      </c>
      <c r="J415" s="6">
        <f>I415/$I$25</f>
        <v>0</v>
      </c>
    </row>
    <row r="416" spans="1:10">
      <c r="A416" s="18">
        <v>2</v>
      </c>
      <c r="B416" s="15">
        <v>6</v>
      </c>
      <c r="C416" s="15">
        <v>7</v>
      </c>
      <c r="D416" s="15">
        <v>6</v>
      </c>
      <c r="E416" s="15"/>
      <c r="F416" s="13" t="s">
        <v>132</v>
      </c>
      <c r="G416" s="12">
        <f>SUM(G417)</f>
        <v>0</v>
      </c>
      <c r="H416" s="12">
        <f>SUM(H417)</f>
        <v>0</v>
      </c>
      <c r="I416" s="12">
        <f t="shared" si="16"/>
        <v>0</v>
      </c>
      <c r="J416" s="11"/>
    </row>
    <row r="417" spans="1:10">
      <c r="A417" s="17">
        <v>2</v>
      </c>
      <c r="B417" s="9">
        <v>6</v>
      </c>
      <c r="C417" s="9">
        <v>7</v>
      </c>
      <c r="D417" s="9">
        <v>6</v>
      </c>
      <c r="E417" s="24" t="s">
        <v>44</v>
      </c>
      <c r="F417" s="8" t="s">
        <v>132</v>
      </c>
      <c r="G417" s="7">
        <f>'CUENTA T FONDO 100'!HR210</f>
        <v>0</v>
      </c>
      <c r="H417" s="7">
        <f>'CUENTA T VS'!HR498</f>
        <v>0</v>
      </c>
      <c r="I417" s="7">
        <f t="shared" si="16"/>
        <v>0</v>
      </c>
      <c r="J417" s="6">
        <f>I417/$I$25</f>
        <v>0</v>
      </c>
    </row>
    <row r="418" spans="1:10">
      <c r="A418" s="18">
        <v>2</v>
      </c>
      <c r="B418" s="15">
        <v>6</v>
      </c>
      <c r="C418" s="15">
        <v>7</v>
      </c>
      <c r="D418" s="15">
        <v>7</v>
      </c>
      <c r="E418" s="15"/>
      <c r="F418" s="13" t="s">
        <v>131</v>
      </c>
      <c r="G418" s="12">
        <f>SUM(G419)</f>
        <v>0</v>
      </c>
      <c r="H418" s="12">
        <f>SUM(H419)</f>
        <v>0</v>
      </c>
      <c r="I418" s="12">
        <f t="shared" si="16"/>
        <v>0</v>
      </c>
      <c r="J418" s="11"/>
    </row>
    <row r="419" spans="1:10">
      <c r="A419" s="17">
        <v>2</v>
      </c>
      <c r="B419" s="9">
        <v>6</v>
      </c>
      <c r="C419" s="9">
        <v>7</v>
      </c>
      <c r="D419" s="9">
        <v>7</v>
      </c>
      <c r="E419" s="24" t="s">
        <v>44</v>
      </c>
      <c r="F419" s="8" t="s">
        <v>131</v>
      </c>
      <c r="G419" s="7">
        <f>'CUENTA T FONDO 100'!HS210</f>
        <v>0</v>
      </c>
      <c r="H419" s="7">
        <f>'CUENTA T VS'!HS498</f>
        <v>0</v>
      </c>
      <c r="I419" s="7">
        <f t="shared" si="16"/>
        <v>0</v>
      </c>
      <c r="J419" s="6">
        <f>I419/$I$25</f>
        <v>0</v>
      </c>
    </row>
    <row r="420" spans="1:10">
      <c r="A420" s="18">
        <v>2</v>
      </c>
      <c r="B420" s="15">
        <v>6</v>
      </c>
      <c r="C420" s="15">
        <v>7</v>
      </c>
      <c r="D420" s="15">
        <v>8</v>
      </c>
      <c r="E420" s="15"/>
      <c r="F420" s="13" t="s">
        <v>416</v>
      </c>
      <c r="G420" s="12">
        <f>SUM(G421)</f>
        <v>0</v>
      </c>
      <c r="H420" s="12">
        <f>SUM(H421)</f>
        <v>0</v>
      </c>
      <c r="I420" s="12">
        <f t="shared" si="16"/>
        <v>0</v>
      </c>
      <c r="J420" s="11"/>
    </row>
    <row r="421" spans="1:10">
      <c r="A421" s="17">
        <v>2</v>
      </c>
      <c r="B421" s="9">
        <v>6</v>
      </c>
      <c r="C421" s="9">
        <v>7</v>
      </c>
      <c r="D421" s="9">
        <v>8</v>
      </c>
      <c r="E421" s="24" t="s">
        <v>44</v>
      </c>
      <c r="F421" s="8" t="s">
        <v>416</v>
      </c>
      <c r="G421" s="7">
        <f>'CUENTA T FONDO 100'!HT210</f>
        <v>0</v>
      </c>
      <c r="H421" s="7">
        <f>'CUENTA T VS'!HT498</f>
        <v>0</v>
      </c>
      <c r="I421" s="7">
        <f t="shared" si="16"/>
        <v>0</v>
      </c>
      <c r="J421" s="6">
        <f>I421/$I$25</f>
        <v>0</v>
      </c>
    </row>
    <row r="422" spans="1:10" ht="25.5">
      <c r="A422" s="18">
        <v>2</v>
      </c>
      <c r="B422" s="15">
        <v>6</v>
      </c>
      <c r="C422" s="15">
        <v>7</v>
      </c>
      <c r="D422" s="15">
        <v>9</v>
      </c>
      <c r="E422" s="15"/>
      <c r="F422" s="13" t="s">
        <v>130</v>
      </c>
      <c r="G422" s="12">
        <f>SUM(G423)</f>
        <v>0</v>
      </c>
      <c r="H422" s="12">
        <f>SUM(H423)</f>
        <v>0</v>
      </c>
      <c r="I422" s="12">
        <f t="shared" si="16"/>
        <v>0</v>
      </c>
      <c r="J422" s="11"/>
    </row>
    <row r="423" spans="1:10" ht="25.5">
      <c r="A423" s="17">
        <v>2</v>
      </c>
      <c r="B423" s="9">
        <v>6</v>
      </c>
      <c r="C423" s="9">
        <v>7</v>
      </c>
      <c r="D423" s="9">
        <v>9</v>
      </c>
      <c r="E423" s="24" t="s">
        <v>44</v>
      </c>
      <c r="F423" s="8" t="s">
        <v>130</v>
      </c>
      <c r="G423" s="7">
        <f>'CUENTA T FONDO 100'!HU210</f>
        <v>0</v>
      </c>
      <c r="H423" s="7">
        <f>'CUENTA T VS'!HU498</f>
        <v>0</v>
      </c>
      <c r="I423" s="7">
        <f t="shared" si="16"/>
        <v>0</v>
      </c>
      <c r="J423" s="6">
        <f>I423/$I$25</f>
        <v>0</v>
      </c>
    </row>
    <row r="424" spans="1:10">
      <c r="A424" s="23">
        <v>2</v>
      </c>
      <c r="B424" s="22">
        <v>6</v>
      </c>
      <c r="C424" s="22">
        <v>8</v>
      </c>
      <c r="D424" s="22"/>
      <c r="E424" s="22"/>
      <c r="F424" s="21" t="s">
        <v>129</v>
      </c>
      <c r="G424" s="20">
        <f>G425+G427+G429+G432+G434+G436+G438+G440+G444</f>
        <v>0</v>
      </c>
      <c r="H424" s="20">
        <f>H425+H427+H429+H432+H434+H436+H438+H440+H444</f>
        <v>0</v>
      </c>
      <c r="I424" s="20">
        <f t="shared" si="16"/>
        <v>0</v>
      </c>
      <c r="J424" s="19"/>
    </row>
    <row r="425" spans="1:10">
      <c r="A425" s="18">
        <v>2</v>
      </c>
      <c r="B425" s="15">
        <v>6</v>
      </c>
      <c r="C425" s="15">
        <v>8</v>
      </c>
      <c r="D425" s="15">
        <v>1</v>
      </c>
      <c r="E425" s="15"/>
      <c r="F425" s="13" t="s">
        <v>128</v>
      </c>
      <c r="G425" s="12">
        <f>+G426</f>
        <v>0</v>
      </c>
      <c r="H425" s="12">
        <f>+H426</f>
        <v>0</v>
      </c>
      <c r="I425" s="12">
        <f t="shared" si="16"/>
        <v>0</v>
      </c>
      <c r="J425" s="11"/>
    </row>
    <row r="426" spans="1:10">
      <c r="A426" s="17">
        <v>2</v>
      </c>
      <c r="B426" s="9">
        <v>6</v>
      </c>
      <c r="C426" s="9">
        <v>8</v>
      </c>
      <c r="D426" s="9">
        <v>1</v>
      </c>
      <c r="E426" s="24" t="s">
        <v>44</v>
      </c>
      <c r="F426" s="8" t="s">
        <v>128</v>
      </c>
      <c r="G426" s="7">
        <f>'CUENTA T FONDO 100'!HV210</f>
        <v>0</v>
      </c>
      <c r="H426" s="7">
        <f>'CUENTA T VS'!HV498</f>
        <v>0</v>
      </c>
      <c r="I426" s="7">
        <f t="shared" si="16"/>
        <v>0</v>
      </c>
      <c r="J426" s="6">
        <f>I426/$I$25</f>
        <v>0</v>
      </c>
    </row>
    <row r="427" spans="1:10">
      <c r="A427" s="18">
        <v>2</v>
      </c>
      <c r="B427" s="15">
        <v>6</v>
      </c>
      <c r="C427" s="15">
        <v>8</v>
      </c>
      <c r="D427" s="15">
        <v>2</v>
      </c>
      <c r="E427" s="15"/>
      <c r="F427" s="13" t="s">
        <v>127</v>
      </c>
      <c r="G427" s="12">
        <f>+G428</f>
        <v>0</v>
      </c>
      <c r="H427" s="12">
        <f>+H428</f>
        <v>0</v>
      </c>
      <c r="I427" s="12">
        <f t="shared" si="16"/>
        <v>0</v>
      </c>
      <c r="J427" s="11"/>
    </row>
    <row r="428" spans="1:10">
      <c r="A428" s="17">
        <v>2</v>
      </c>
      <c r="B428" s="9">
        <v>6</v>
      </c>
      <c r="C428" s="9">
        <v>8</v>
      </c>
      <c r="D428" s="9">
        <v>2</v>
      </c>
      <c r="E428" s="24" t="s">
        <v>44</v>
      </c>
      <c r="F428" s="8" t="s">
        <v>127</v>
      </c>
      <c r="G428" s="7">
        <f>'CUENTA T FONDO 100'!HW210</f>
        <v>0</v>
      </c>
      <c r="H428" s="7">
        <f>'CUENTA T VS'!HW498</f>
        <v>0</v>
      </c>
      <c r="I428" s="7">
        <f t="shared" si="16"/>
        <v>0</v>
      </c>
      <c r="J428" s="6">
        <f>I428/$I$25</f>
        <v>0</v>
      </c>
    </row>
    <row r="429" spans="1:10">
      <c r="A429" s="18">
        <v>2</v>
      </c>
      <c r="B429" s="15">
        <v>6</v>
      </c>
      <c r="C429" s="15">
        <v>8</v>
      </c>
      <c r="D429" s="15">
        <v>3</v>
      </c>
      <c r="E429" s="15"/>
      <c r="F429" s="13" t="s">
        <v>126</v>
      </c>
      <c r="G429" s="12">
        <f>SUM(G430:G431)</f>
        <v>0</v>
      </c>
      <c r="H429" s="12">
        <f>SUM(H430:H431)</f>
        <v>0</v>
      </c>
      <c r="I429" s="12">
        <f t="shared" si="16"/>
        <v>0</v>
      </c>
      <c r="J429" s="11"/>
    </row>
    <row r="430" spans="1:10">
      <c r="A430" s="17">
        <v>2</v>
      </c>
      <c r="B430" s="9">
        <v>6</v>
      </c>
      <c r="C430" s="9">
        <v>8</v>
      </c>
      <c r="D430" s="9">
        <v>3</v>
      </c>
      <c r="E430" s="24" t="s">
        <v>44</v>
      </c>
      <c r="F430" s="8" t="s">
        <v>125</v>
      </c>
      <c r="G430" s="7">
        <f>'CUENTA T FONDO 100'!HX210</f>
        <v>0</v>
      </c>
      <c r="H430" s="7">
        <f>'CUENTA T VS'!HX498</f>
        <v>0</v>
      </c>
      <c r="I430" s="7">
        <f t="shared" si="16"/>
        <v>0</v>
      </c>
      <c r="J430" s="6">
        <f>I430/$I$25</f>
        <v>0</v>
      </c>
    </row>
    <row r="431" spans="1:10">
      <c r="A431" s="17">
        <v>2</v>
      </c>
      <c r="B431" s="9">
        <v>6</v>
      </c>
      <c r="C431" s="9">
        <v>8</v>
      </c>
      <c r="D431" s="9">
        <v>3</v>
      </c>
      <c r="E431" s="24" t="s">
        <v>43</v>
      </c>
      <c r="F431" s="8" t="s">
        <v>124</v>
      </c>
      <c r="G431" s="7">
        <f>'CUENTA T FONDO 100'!HY210</f>
        <v>0</v>
      </c>
      <c r="H431" s="7">
        <f>'CUENTA T VS'!HY498</f>
        <v>0</v>
      </c>
      <c r="I431" s="7">
        <f t="shared" si="16"/>
        <v>0</v>
      </c>
      <c r="J431" s="6">
        <f>I431/$I$25</f>
        <v>0</v>
      </c>
    </row>
    <row r="432" spans="1:10">
      <c r="A432" s="18">
        <v>2</v>
      </c>
      <c r="B432" s="15">
        <v>6</v>
      </c>
      <c r="C432" s="15">
        <v>8</v>
      </c>
      <c r="D432" s="15">
        <v>4</v>
      </c>
      <c r="E432" s="15"/>
      <c r="F432" s="13" t="s">
        <v>123</v>
      </c>
      <c r="G432" s="12">
        <f>+G433</f>
        <v>0</v>
      </c>
      <c r="H432" s="12">
        <f>+H433</f>
        <v>0</v>
      </c>
      <c r="I432" s="12">
        <f t="shared" si="16"/>
        <v>0</v>
      </c>
      <c r="J432" s="11"/>
    </row>
    <row r="433" spans="1:10">
      <c r="A433" s="17">
        <v>2</v>
      </c>
      <c r="B433" s="9">
        <v>6</v>
      </c>
      <c r="C433" s="9">
        <v>8</v>
      </c>
      <c r="D433" s="9">
        <v>4</v>
      </c>
      <c r="E433" s="24" t="s">
        <v>44</v>
      </c>
      <c r="F433" s="8" t="s">
        <v>123</v>
      </c>
      <c r="G433" s="7">
        <f>'CUENTA T FONDO 100'!HZ210</f>
        <v>0</v>
      </c>
      <c r="H433" s="7">
        <f>'CUENTA T VS'!HZ498</f>
        <v>0</v>
      </c>
      <c r="I433" s="7">
        <f t="shared" si="16"/>
        <v>0</v>
      </c>
      <c r="J433" s="6">
        <f>I433/$I$25</f>
        <v>0</v>
      </c>
    </row>
    <row r="434" spans="1:10">
      <c r="A434" s="18">
        <v>2</v>
      </c>
      <c r="B434" s="15">
        <v>6</v>
      </c>
      <c r="C434" s="15">
        <v>8</v>
      </c>
      <c r="D434" s="15">
        <v>5</v>
      </c>
      <c r="E434" s="15"/>
      <c r="F434" s="13" t="s">
        <v>122</v>
      </c>
      <c r="G434" s="12">
        <f>+G435</f>
        <v>0</v>
      </c>
      <c r="H434" s="12">
        <f>+H435</f>
        <v>0</v>
      </c>
      <c r="I434" s="12">
        <f t="shared" si="16"/>
        <v>0</v>
      </c>
      <c r="J434" s="11"/>
    </row>
    <row r="435" spans="1:10">
      <c r="A435" s="17">
        <v>2</v>
      </c>
      <c r="B435" s="9">
        <v>6</v>
      </c>
      <c r="C435" s="9">
        <v>8</v>
      </c>
      <c r="D435" s="9">
        <v>5</v>
      </c>
      <c r="E435" s="24" t="s">
        <v>44</v>
      </c>
      <c r="F435" s="8" t="s">
        <v>122</v>
      </c>
      <c r="G435" s="7">
        <f>'CUENTA T FONDO 100'!IA210</f>
        <v>0</v>
      </c>
      <c r="H435" s="7">
        <f>'CUENTA T VS'!IA498</f>
        <v>0</v>
      </c>
      <c r="I435" s="7">
        <f t="shared" si="16"/>
        <v>0</v>
      </c>
      <c r="J435" s="6">
        <f>I435/$I$25</f>
        <v>0</v>
      </c>
    </row>
    <row r="436" spans="1:10">
      <c r="A436" s="18">
        <v>2</v>
      </c>
      <c r="B436" s="15">
        <v>6</v>
      </c>
      <c r="C436" s="15">
        <v>8</v>
      </c>
      <c r="D436" s="15">
        <v>6</v>
      </c>
      <c r="E436" s="15"/>
      <c r="F436" s="13" t="s">
        <v>121</v>
      </c>
      <c r="G436" s="12">
        <f>+G437</f>
        <v>0</v>
      </c>
      <c r="H436" s="12">
        <f>+H437</f>
        <v>0</v>
      </c>
      <c r="I436" s="12">
        <f t="shared" si="16"/>
        <v>0</v>
      </c>
      <c r="J436" s="11"/>
    </row>
    <row r="437" spans="1:10">
      <c r="A437" s="17">
        <v>2</v>
      </c>
      <c r="B437" s="9">
        <v>6</v>
      </c>
      <c r="C437" s="9">
        <v>8</v>
      </c>
      <c r="D437" s="9">
        <v>6</v>
      </c>
      <c r="E437" s="24" t="s">
        <v>44</v>
      </c>
      <c r="F437" s="8" t="s">
        <v>121</v>
      </c>
      <c r="G437" s="7">
        <f>'CUENTA T FONDO 100'!IB210</f>
        <v>0</v>
      </c>
      <c r="H437" s="7">
        <f>'CUENTA T VS'!IB498</f>
        <v>0</v>
      </c>
      <c r="I437" s="7">
        <f t="shared" si="16"/>
        <v>0</v>
      </c>
      <c r="J437" s="6">
        <f>I437/$I$25</f>
        <v>0</v>
      </c>
    </row>
    <row r="438" spans="1:10">
      <c r="A438" s="18">
        <v>2</v>
      </c>
      <c r="B438" s="15">
        <v>6</v>
      </c>
      <c r="C438" s="15">
        <v>8</v>
      </c>
      <c r="D438" s="15">
        <v>7</v>
      </c>
      <c r="E438" s="15"/>
      <c r="F438" s="13" t="s">
        <v>120</v>
      </c>
      <c r="G438" s="12">
        <f>+G439</f>
        <v>0</v>
      </c>
      <c r="H438" s="12">
        <f>+H439</f>
        <v>0</v>
      </c>
      <c r="I438" s="12">
        <f t="shared" si="16"/>
        <v>0</v>
      </c>
      <c r="J438" s="11"/>
    </row>
    <row r="439" spans="1:10">
      <c r="A439" s="17">
        <v>2</v>
      </c>
      <c r="B439" s="9">
        <v>6</v>
      </c>
      <c r="C439" s="9">
        <v>8</v>
      </c>
      <c r="D439" s="9">
        <v>7</v>
      </c>
      <c r="E439" s="24" t="s">
        <v>44</v>
      </c>
      <c r="F439" s="8" t="s">
        <v>120</v>
      </c>
      <c r="G439" s="7">
        <f>'CUENTA T FONDO 100'!IC210</f>
        <v>0</v>
      </c>
      <c r="H439" s="7">
        <f>'CUENTA T VS'!IC498</f>
        <v>0</v>
      </c>
      <c r="I439" s="7">
        <f t="shared" si="16"/>
        <v>0</v>
      </c>
      <c r="J439" s="6">
        <f>I439/$I$25</f>
        <v>0</v>
      </c>
    </row>
    <row r="440" spans="1:10">
      <c r="A440" s="16">
        <v>2</v>
      </c>
      <c r="B440" s="15">
        <v>6</v>
      </c>
      <c r="C440" s="15">
        <v>8</v>
      </c>
      <c r="D440" s="15">
        <v>8</v>
      </c>
      <c r="E440" s="15"/>
      <c r="F440" s="13" t="s">
        <v>419</v>
      </c>
      <c r="G440" s="12">
        <f>SUM(G441:G443)</f>
        <v>0</v>
      </c>
      <c r="H440" s="12">
        <f>SUM(H441:H443)</f>
        <v>0</v>
      </c>
      <c r="I440" s="12">
        <f t="shared" si="16"/>
        <v>0</v>
      </c>
      <c r="J440" s="11"/>
    </row>
    <row r="441" spans="1:10">
      <c r="A441" s="17">
        <v>2</v>
      </c>
      <c r="B441" s="9">
        <v>6</v>
      </c>
      <c r="C441" s="9">
        <v>8</v>
      </c>
      <c r="D441" s="9">
        <v>8</v>
      </c>
      <c r="E441" s="9" t="s">
        <v>119</v>
      </c>
      <c r="F441" s="8" t="s">
        <v>118</v>
      </c>
      <c r="G441" s="7">
        <f>'CUENTA T FONDO 100'!ID210</f>
        <v>0</v>
      </c>
      <c r="H441" s="7">
        <f>'CUENTA T VS'!ID498</f>
        <v>0</v>
      </c>
      <c r="I441" s="7">
        <f t="shared" si="16"/>
        <v>0</v>
      </c>
      <c r="J441" s="6">
        <f>I441/$I$25</f>
        <v>0</v>
      </c>
    </row>
    <row r="442" spans="1:10">
      <c r="A442" s="17">
        <v>2</v>
      </c>
      <c r="B442" s="9">
        <v>6</v>
      </c>
      <c r="C442" s="9">
        <v>8</v>
      </c>
      <c r="D442" s="9">
        <v>8</v>
      </c>
      <c r="E442" s="9" t="s">
        <v>117</v>
      </c>
      <c r="F442" s="8" t="s">
        <v>116</v>
      </c>
      <c r="G442" s="7">
        <f>'CUENTA T FONDO 100'!IE210</f>
        <v>0</v>
      </c>
      <c r="H442" s="7">
        <f>'CUENTA T VS'!IE498</f>
        <v>0</v>
      </c>
      <c r="I442" s="7">
        <f t="shared" si="16"/>
        <v>0</v>
      </c>
      <c r="J442" s="6">
        <f>I442/$I$25</f>
        <v>0</v>
      </c>
    </row>
    <row r="443" spans="1:10">
      <c r="A443" s="17">
        <v>2</v>
      </c>
      <c r="B443" s="9">
        <v>6</v>
      </c>
      <c r="C443" s="9">
        <v>8</v>
      </c>
      <c r="D443" s="9">
        <v>8</v>
      </c>
      <c r="E443" s="9" t="s">
        <v>115</v>
      </c>
      <c r="F443" s="8" t="s">
        <v>114</v>
      </c>
      <c r="G443" s="7">
        <f>'CUENTA T FONDO 100'!IF210</f>
        <v>0</v>
      </c>
      <c r="H443" s="7">
        <f>'CUENTA T VS'!IF498</f>
        <v>0</v>
      </c>
      <c r="I443" s="7">
        <f t="shared" si="16"/>
        <v>0</v>
      </c>
      <c r="J443" s="6">
        <f>I443/$I$25</f>
        <v>0</v>
      </c>
    </row>
    <row r="444" spans="1:10">
      <c r="A444" s="18">
        <v>2</v>
      </c>
      <c r="B444" s="15">
        <v>6</v>
      </c>
      <c r="C444" s="15">
        <v>8</v>
      </c>
      <c r="D444" s="15">
        <v>9</v>
      </c>
      <c r="E444" s="15"/>
      <c r="F444" s="13" t="s">
        <v>113</v>
      </c>
      <c r="G444" s="12">
        <f>+G445</f>
        <v>0</v>
      </c>
      <c r="H444" s="12">
        <f>+H445</f>
        <v>0</v>
      </c>
      <c r="I444" s="12">
        <f t="shared" si="16"/>
        <v>0</v>
      </c>
      <c r="J444" s="11"/>
    </row>
    <row r="445" spans="1:10">
      <c r="A445" s="17">
        <v>2</v>
      </c>
      <c r="B445" s="9">
        <v>6</v>
      </c>
      <c r="C445" s="9">
        <v>8</v>
      </c>
      <c r="D445" s="9">
        <v>9</v>
      </c>
      <c r="E445" s="9" t="s">
        <v>80</v>
      </c>
      <c r="F445" s="8" t="s">
        <v>113</v>
      </c>
      <c r="G445" s="7">
        <f>'CUENTA T FONDO 100'!IG210</f>
        <v>0</v>
      </c>
      <c r="H445" s="7">
        <f>'CUENTA T VS'!IG498</f>
        <v>0</v>
      </c>
      <c r="I445" s="7">
        <f t="shared" si="16"/>
        <v>0</v>
      </c>
      <c r="J445" s="6">
        <f>I445/$I$25</f>
        <v>0</v>
      </c>
    </row>
    <row r="446" spans="1:10">
      <c r="A446" s="30">
        <v>2</v>
      </c>
      <c r="B446" s="22">
        <v>6</v>
      </c>
      <c r="C446" s="22">
        <v>9</v>
      </c>
      <c r="D446" s="22"/>
      <c r="E446" s="29"/>
      <c r="F446" s="21" t="s">
        <v>112</v>
      </c>
      <c r="G446" s="20">
        <f>+G447+G450+G453+G455+G457+G461</f>
        <v>0</v>
      </c>
      <c r="H446" s="20">
        <f>+H447+H450+H453+H455+H457+H461</f>
        <v>154881.20000000001</v>
      </c>
      <c r="I446" s="20">
        <f t="shared" si="16"/>
        <v>154881.20000000001</v>
      </c>
      <c r="J446" s="19"/>
    </row>
    <row r="447" spans="1:10">
      <c r="A447" s="18">
        <v>2</v>
      </c>
      <c r="B447" s="15">
        <v>6</v>
      </c>
      <c r="C447" s="15">
        <v>9</v>
      </c>
      <c r="D447" s="15">
        <v>1</v>
      </c>
      <c r="E447" s="15"/>
      <c r="F447" s="13" t="s">
        <v>111</v>
      </c>
      <c r="G447" s="12">
        <f>+G448+G449</f>
        <v>0</v>
      </c>
      <c r="H447" s="12">
        <f>+H448+H449</f>
        <v>0</v>
      </c>
      <c r="I447" s="12">
        <f t="shared" si="16"/>
        <v>0</v>
      </c>
      <c r="J447" s="12"/>
    </row>
    <row r="448" spans="1:10">
      <c r="A448" s="28">
        <v>2</v>
      </c>
      <c r="B448" s="27">
        <v>6</v>
      </c>
      <c r="C448" s="27">
        <v>9</v>
      </c>
      <c r="D448" s="27">
        <v>1</v>
      </c>
      <c r="E448" s="27" t="s">
        <v>44</v>
      </c>
      <c r="F448" s="26" t="s">
        <v>111</v>
      </c>
      <c r="G448" s="7">
        <f>'CUENTA T FONDO 100'!IH210</f>
        <v>0</v>
      </c>
      <c r="H448" s="25">
        <f>'CUENTA T VS'!IH498</f>
        <v>0</v>
      </c>
      <c r="I448" s="25">
        <f t="shared" si="16"/>
        <v>0</v>
      </c>
      <c r="J448" s="6">
        <f>I448/$I$25</f>
        <v>0</v>
      </c>
    </row>
    <row r="449" spans="1:10">
      <c r="A449" s="28">
        <v>2</v>
      </c>
      <c r="B449" s="27">
        <v>6</v>
      </c>
      <c r="C449" s="27">
        <v>9</v>
      </c>
      <c r="D449" s="27">
        <v>1</v>
      </c>
      <c r="E449" s="27" t="s">
        <v>43</v>
      </c>
      <c r="F449" s="26" t="s">
        <v>417</v>
      </c>
      <c r="G449" s="7">
        <f>'CUENTA T FONDO 100'!II210</f>
        <v>0</v>
      </c>
      <c r="H449" s="25">
        <f>'CUENTA T VS'!II498</f>
        <v>0</v>
      </c>
      <c r="I449" s="25">
        <f t="shared" si="16"/>
        <v>0</v>
      </c>
      <c r="J449" s="6">
        <f>I449/$I$25</f>
        <v>0</v>
      </c>
    </row>
    <row r="450" spans="1:10">
      <c r="A450" s="18">
        <v>2</v>
      </c>
      <c r="B450" s="15">
        <v>6</v>
      </c>
      <c r="C450" s="15">
        <v>9</v>
      </c>
      <c r="D450" s="15">
        <v>2</v>
      </c>
      <c r="E450" s="15"/>
      <c r="F450" s="13" t="s">
        <v>110</v>
      </c>
      <c r="G450" s="12">
        <f>SUM(G451:G452)</f>
        <v>0</v>
      </c>
      <c r="H450" s="12">
        <f>SUM(H451:H452)</f>
        <v>0</v>
      </c>
      <c r="I450" s="12">
        <f t="shared" si="16"/>
        <v>0</v>
      </c>
      <c r="J450" s="11"/>
    </row>
    <row r="451" spans="1:10">
      <c r="A451" s="17">
        <v>2</v>
      </c>
      <c r="B451" s="9">
        <v>6</v>
      </c>
      <c r="C451" s="9">
        <v>9</v>
      </c>
      <c r="D451" s="9">
        <v>2</v>
      </c>
      <c r="E451" s="24" t="s">
        <v>44</v>
      </c>
      <c r="F451" s="8" t="s">
        <v>110</v>
      </c>
      <c r="G451" s="7">
        <f>'CUENTA T FONDO 100'!IJ210</f>
        <v>0</v>
      </c>
      <c r="H451" s="7">
        <f>'CUENTA T VS'!IJ498</f>
        <v>0</v>
      </c>
      <c r="I451" s="7">
        <f t="shared" si="16"/>
        <v>0</v>
      </c>
      <c r="J451" s="6">
        <f>I451/$I$25</f>
        <v>0</v>
      </c>
    </row>
    <row r="452" spans="1:10">
      <c r="A452" s="17">
        <v>2</v>
      </c>
      <c r="B452" s="9">
        <v>6</v>
      </c>
      <c r="C452" s="9">
        <v>9</v>
      </c>
      <c r="D452" s="9">
        <v>2</v>
      </c>
      <c r="E452" s="24" t="s">
        <v>43</v>
      </c>
      <c r="F452" s="8" t="s">
        <v>418</v>
      </c>
      <c r="G452" s="7">
        <f>'CUENTA T FONDO 100'!IK210</f>
        <v>0</v>
      </c>
      <c r="H452" s="7">
        <f>'CUENTA T VS'!IK498</f>
        <v>0</v>
      </c>
      <c r="I452" s="7">
        <f t="shared" si="16"/>
        <v>0</v>
      </c>
      <c r="J452" s="6">
        <f>I452/$I$25</f>
        <v>0</v>
      </c>
    </row>
    <row r="453" spans="1:10">
      <c r="A453" s="18">
        <v>2</v>
      </c>
      <c r="B453" s="15">
        <v>6</v>
      </c>
      <c r="C453" s="15">
        <v>9</v>
      </c>
      <c r="D453" s="15">
        <v>3</v>
      </c>
      <c r="E453" s="15"/>
      <c r="F453" s="13" t="s">
        <v>109</v>
      </c>
      <c r="G453" s="12">
        <f>SUM(G454)</f>
        <v>0</v>
      </c>
      <c r="H453" s="12">
        <f>SUM(H454)</f>
        <v>0</v>
      </c>
      <c r="I453" s="12">
        <f t="shared" si="16"/>
        <v>0</v>
      </c>
      <c r="J453" s="12"/>
    </row>
    <row r="454" spans="1:10">
      <c r="A454" s="17">
        <v>2</v>
      </c>
      <c r="B454" s="9">
        <v>6</v>
      </c>
      <c r="C454" s="9">
        <v>9</v>
      </c>
      <c r="D454" s="9">
        <v>3</v>
      </c>
      <c r="E454" s="24" t="s">
        <v>44</v>
      </c>
      <c r="F454" s="8" t="s">
        <v>109</v>
      </c>
      <c r="G454" s="7">
        <f>'CUENTA T FONDO 100'!IL210</f>
        <v>0</v>
      </c>
      <c r="H454" s="7">
        <f>'CUENTA T VS'!IL498</f>
        <v>0</v>
      </c>
      <c r="I454" s="7">
        <f t="shared" si="16"/>
        <v>0</v>
      </c>
      <c r="J454" s="6">
        <f>I454/$I$25</f>
        <v>0</v>
      </c>
    </row>
    <row r="455" spans="1:10">
      <c r="A455" s="18">
        <v>2</v>
      </c>
      <c r="B455" s="15">
        <v>6</v>
      </c>
      <c r="C455" s="15">
        <v>9</v>
      </c>
      <c r="D455" s="15">
        <v>4</v>
      </c>
      <c r="E455" s="15"/>
      <c r="F455" s="13" t="s">
        <v>108</v>
      </c>
      <c r="G455" s="12">
        <f>SUM(G456)</f>
        <v>0</v>
      </c>
      <c r="H455" s="12">
        <f>SUM(H456)</f>
        <v>0</v>
      </c>
      <c r="I455" s="12">
        <f t="shared" si="16"/>
        <v>0</v>
      </c>
      <c r="J455" s="11"/>
    </row>
    <row r="456" spans="1:10">
      <c r="A456" s="17">
        <v>2</v>
      </c>
      <c r="B456" s="9">
        <v>6</v>
      </c>
      <c r="C456" s="9">
        <v>9</v>
      </c>
      <c r="D456" s="9">
        <v>4</v>
      </c>
      <c r="E456" s="24" t="s">
        <v>44</v>
      </c>
      <c r="F456" s="8" t="s">
        <v>108</v>
      </c>
      <c r="G456" s="7">
        <f>'CUENTA T FONDO 100'!IM210</f>
        <v>0</v>
      </c>
      <c r="H456" s="7">
        <f>'CUENTA T VS'!IM498</f>
        <v>0</v>
      </c>
      <c r="I456" s="7">
        <f t="shared" si="16"/>
        <v>0</v>
      </c>
      <c r="J456" s="6">
        <f>I456/$I$25</f>
        <v>0</v>
      </c>
    </row>
    <row r="457" spans="1:10">
      <c r="A457" s="18">
        <v>2</v>
      </c>
      <c r="B457" s="15">
        <v>6</v>
      </c>
      <c r="C457" s="15">
        <v>9</v>
      </c>
      <c r="D457" s="15">
        <v>5</v>
      </c>
      <c r="E457" s="15"/>
      <c r="F457" s="13" t="s">
        <v>107</v>
      </c>
      <c r="G457" s="12">
        <f>SUM(G458:G460)</f>
        <v>0</v>
      </c>
      <c r="H457" s="12">
        <f>SUM(H458:H460)</f>
        <v>154881.20000000001</v>
      </c>
      <c r="I457" s="12">
        <f t="shared" si="16"/>
        <v>154881.20000000001</v>
      </c>
      <c r="J457" s="11"/>
    </row>
    <row r="458" spans="1:10">
      <c r="A458" s="17">
        <v>2</v>
      </c>
      <c r="B458" s="9">
        <v>6</v>
      </c>
      <c r="C458" s="9">
        <v>9</v>
      </c>
      <c r="D458" s="9">
        <v>5</v>
      </c>
      <c r="E458" s="24" t="s">
        <v>44</v>
      </c>
      <c r="F458" s="8" t="s">
        <v>106</v>
      </c>
      <c r="G458" s="7">
        <f>'CUENTA T FONDO 100'!IN210</f>
        <v>0</v>
      </c>
      <c r="H458" s="7">
        <f>'CUENTA T VS'!IN498</f>
        <v>0</v>
      </c>
      <c r="I458" s="7">
        <f t="shared" si="16"/>
        <v>0</v>
      </c>
      <c r="J458" s="6">
        <f>I458/$I$25</f>
        <v>0</v>
      </c>
    </row>
    <row r="459" spans="1:10">
      <c r="A459" s="17">
        <v>2</v>
      </c>
      <c r="B459" s="9">
        <v>6</v>
      </c>
      <c r="C459" s="9">
        <v>9</v>
      </c>
      <c r="D459" s="9">
        <v>5</v>
      </c>
      <c r="E459" s="24" t="s">
        <v>43</v>
      </c>
      <c r="F459" s="8" t="s">
        <v>105</v>
      </c>
      <c r="G459" s="7">
        <f>'CUENTA T FONDO 100'!IO210</f>
        <v>0</v>
      </c>
      <c r="H459" s="7">
        <f>'CUENTA T VS'!IO498</f>
        <v>154881.20000000001</v>
      </c>
      <c r="I459" s="7">
        <f t="shared" si="16"/>
        <v>154881.20000000001</v>
      </c>
      <c r="J459" s="6">
        <f>I459/$I$25</f>
        <v>7.4411157075210334E-4</v>
      </c>
    </row>
    <row r="460" spans="1:10">
      <c r="A460" s="17">
        <v>2</v>
      </c>
      <c r="B460" s="9">
        <v>6</v>
      </c>
      <c r="C460" s="9">
        <v>9</v>
      </c>
      <c r="D460" s="9">
        <v>5</v>
      </c>
      <c r="E460" s="24" t="s">
        <v>104</v>
      </c>
      <c r="F460" s="8" t="s">
        <v>103</v>
      </c>
      <c r="G460" s="7">
        <f>'CUENTA T FONDO 100'!IP210</f>
        <v>0</v>
      </c>
      <c r="H460" s="7">
        <f>'CUENTA T VS'!IP498</f>
        <v>0</v>
      </c>
      <c r="I460" s="7">
        <f t="shared" si="16"/>
        <v>0</v>
      </c>
      <c r="J460" s="6">
        <f>I460/$I$25</f>
        <v>0</v>
      </c>
    </row>
    <row r="461" spans="1:10">
      <c r="A461" s="18">
        <v>2</v>
      </c>
      <c r="B461" s="15">
        <v>6</v>
      </c>
      <c r="C461" s="15">
        <v>9</v>
      </c>
      <c r="D461" s="15">
        <v>9</v>
      </c>
      <c r="E461" s="15"/>
      <c r="F461" s="13" t="s">
        <v>102</v>
      </c>
      <c r="G461" s="12">
        <f>SUM(G462)</f>
        <v>0</v>
      </c>
      <c r="H461" s="12">
        <f>SUM(H462)</f>
        <v>0</v>
      </c>
      <c r="I461" s="12">
        <f t="shared" si="16"/>
        <v>0</v>
      </c>
      <c r="J461" s="11"/>
    </row>
    <row r="462" spans="1:10">
      <c r="A462" s="17">
        <v>2</v>
      </c>
      <c r="B462" s="9">
        <v>6</v>
      </c>
      <c r="C462" s="9">
        <v>9</v>
      </c>
      <c r="D462" s="9">
        <v>9</v>
      </c>
      <c r="E462" s="24" t="s">
        <v>44</v>
      </c>
      <c r="F462" s="8" t="s">
        <v>102</v>
      </c>
      <c r="G462" s="7">
        <f>'CUENTA T FONDO 100'!IQ210</f>
        <v>0</v>
      </c>
      <c r="H462" s="7">
        <f>'CUENTA T VS'!IQ498</f>
        <v>0</v>
      </c>
      <c r="I462" s="7">
        <f t="shared" si="16"/>
        <v>0</v>
      </c>
      <c r="J462" s="6">
        <f>I462/$I$25</f>
        <v>0</v>
      </c>
    </row>
    <row r="463" spans="1:10">
      <c r="A463" s="23">
        <v>2</v>
      </c>
      <c r="B463" s="22">
        <v>7</v>
      </c>
      <c r="C463" s="22"/>
      <c r="D463" s="22"/>
      <c r="E463" s="22"/>
      <c r="F463" s="21" t="s">
        <v>101</v>
      </c>
      <c r="G463" s="20">
        <f>G464+G473+G492+G497</f>
        <v>0</v>
      </c>
      <c r="H463" s="20">
        <f>H464+H473+H492+H497</f>
        <v>0</v>
      </c>
      <c r="I463" s="20">
        <f t="shared" si="16"/>
        <v>0</v>
      </c>
      <c r="J463" s="19">
        <f>I463/$I$25</f>
        <v>0</v>
      </c>
    </row>
    <row r="464" spans="1:10">
      <c r="A464" s="23">
        <v>2</v>
      </c>
      <c r="B464" s="22">
        <v>7</v>
      </c>
      <c r="C464" s="22">
        <v>1</v>
      </c>
      <c r="D464" s="22"/>
      <c r="E464" s="22"/>
      <c r="F464" s="21" t="s">
        <v>100</v>
      </c>
      <c r="G464" s="20">
        <f>+G465+G467+G469+G471</f>
        <v>0</v>
      </c>
      <c r="H464" s="20">
        <f>+H465+H467+H469+H471</f>
        <v>0</v>
      </c>
      <c r="I464" s="20">
        <f t="shared" si="16"/>
        <v>0</v>
      </c>
      <c r="J464" s="19"/>
    </row>
    <row r="465" spans="1:10">
      <c r="A465" s="18">
        <v>2</v>
      </c>
      <c r="B465" s="15">
        <v>7</v>
      </c>
      <c r="C465" s="15">
        <v>1</v>
      </c>
      <c r="D465" s="15">
        <v>1</v>
      </c>
      <c r="E465" s="14"/>
      <c r="F465" s="13" t="s">
        <v>99</v>
      </c>
      <c r="G465" s="12">
        <f>+G466</f>
        <v>0</v>
      </c>
      <c r="H465" s="12">
        <f>+H466</f>
        <v>0</v>
      </c>
      <c r="I465" s="12">
        <f t="shared" si="16"/>
        <v>0</v>
      </c>
      <c r="J465" s="11"/>
    </row>
    <row r="466" spans="1:10">
      <c r="A466" s="17">
        <v>2</v>
      </c>
      <c r="B466" s="9">
        <v>7</v>
      </c>
      <c r="C466" s="9">
        <v>1</v>
      </c>
      <c r="D466" s="9">
        <v>1</v>
      </c>
      <c r="E466" s="9" t="s">
        <v>80</v>
      </c>
      <c r="F466" s="8" t="s">
        <v>99</v>
      </c>
      <c r="G466" s="7">
        <f>'CUENTA T FONDO 100'!IR210</f>
        <v>0</v>
      </c>
      <c r="H466" s="7">
        <f>'CUENTA T VS'!IR498</f>
        <v>0</v>
      </c>
      <c r="I466" s="7">
        <f t="shared" si="16"/>
        <v>0</v>
      </c>
      <c r="J466" s="6">
        <f>I466/$I$25</f>
        <v>0</v>
      </c>
    </row>
    <row r="467" spans="1:10">
      <c r="A467" s="18">
        <v>2</v>
      </c>
      <c r="B467" s="15">
        <v>7</v>
      </c>
      <c r="C467" s="15">
        <v>1</v>
      </c>
      <c r="D467" s="15">
        <v>2</v>
      </c>
      <c r="E467" s="14"/>
      <c r="F467" s="13" t="s">
        <v>98</v>
      </c>
      <c r="G467" s="12">
        <f>+G468</f>
        <v>0</v>
      </c>
      <c r="H467" s="12">
        <f>+H468</f>
        <v>0</v>
      </c>
      <c r="I467" s="12">
        <f t="shared" si="16"/>
        <v>0</v>
      </c>
      <c r="J467" s="11"/>
    </row>
    <row r="468" spans="1:10">
      <c r="A468" s="17">
        <v>2</v>
      </c>
      <c r="B468" s="9">
        <v>7</v>
      </c>
      <c r="C468" s="9">
        <v>1</v>
      </c>
      <c r="D468" s="9">
        <v>2</v>
      </c>
      <c r="E468" s="9" t="s">
        <v>80</v>
      </c>
      <c r="F468" s="8" t="s">
        <v>98</v>
      </c>
      <c r="G468" s="7">
        <f>'CUENTA T FONDO 100'!IS210</f>
        <v>0</v>
      </c>
      <c r="H468" s="7">
        <f>'CUENTA T VS'!IS498</f>
        <v>0</v>
      </c>
      <c r="I468" s="7">
        <f t="shared" si="16"/>
        <v>0</v>
      </c>
      <c r="J468" s="6">
        <f>I468/$I$25</f>
        <v>0</v>
      </c>
    </row>
    <row r="469" spans="1:10">
      <c r="A469" s="18">
        <v>2</v>
      </c>
      <c r="B469" s="15">
        <v>7</v>
      </c>
      <c r="C469" s="15">
        <v>1</v>
      </c>
      <c r="D469" s="15">
        <v>3</v>
      </c>
      <c r="E469" s="14"/>
      <c r="F469" s="13" t="s">
        <v>97</v>
      </c>
      <c r="G469" s="12">
        <f>+G470</f>
        <v>0</v>
      </c>
      <c r="H469" s="12">
        <f>+H470</f>
        <v>0</v>
      </c>
      <c r="I469" s="12">
        <f t="shared" si="16"/>
        <v>0</v>
      </c>
      <c r="J469" s="11"/>
    </row>
    <row r="470" spans="1:10">
      <c r="A470" s="17">
        <v>2</v>
      </c>
      <c r="B470" s="9">
        <v>7</v>
      </c>
      <c r="C470" s="9">
        <v>1</v>
      </c>
      <c r="D470" s="9">
        <v>3</v>
      </c>
      <c r="E470" s="9" t="s">
        <v>80</v>
      </c>
      <c r="F470" s="8" t="s">
        <v>97</v>
      </c>
      <c r="G470" s="7">
        <f>'CUENTA T FONDO 100'!IT210</f>
        <v>0</v>
      </c>
      <c r="H470" s="7">
        <f>'CUENTA T VS'!IT498</f>
        <v>0</v>
      </c>
      <c r="I470" s="7">
        <f t="shared" si="16"/>
        <v>0</v>
      </c>
      <c r="J470" s="6">
        <f>I470/$I$25</f>
        <v>0</v>
      </c>
    </row>
    <row r="471" spans="1:10">
      <c r="A471" s="18">
        <v>2</v>
      </c>
      <c r="B471" s="15">
        <v>7</v>
      </c>
      <c r="C471" s="15">
        <v>1</v>
      </c>
      <c r="D471" s="15">
        <v>4</v>
      </c>
      <c r="E471" s="14"/>
      <c r="F471" s="13" t="s">
        <v>96</v>
      </c>
      <c r="G471" s="12">
        <f>+G472</f>
        <v>0</v>
      </c>
      <c r="H471" s="12">
        <f>+H472</f>
        <v>0</v>
      </c>
      <c r="I471" s="12">
        <f t="shared" si="16"/>
        <v>0</v>
      </c>
      <c r="J471" s="11"/>
    </row>
    <row r="472" spans="1:10">
      <c r="A472" s="17">
        <v>2</v>
      </c>
      <c r="B472" s="9">
        <v>7</v>
      </c>
      <c r="C472" s="9">
        <v>1</v>
      </c>
      <c r="D472" s="9">
        <v>4</v>
      </c>
      <c r="E472" s="9" t="s">
        <v>80</v>
      </c>
      <c r="F472" s="8" t="s">
        <v>96</v>
      </c>
      <c r="G472" s="7">
        <f>'CUENTA T FONDO 100'!IU210</f>
        <v>0</v>
      </c>
      <c r="H472" s="7">
        <f>'CUENTA T VS'!IU498</f>
        <v>0</v>
      </c>
      <c r="I472" s="7">
        <f t="shared" si="16"/>
        <v>0</v>
      </c>
      <c r="J472" s="6">
        <f>I472/$I$25</f>
        <v>0</v>
      </c>
    </row>
    <row r="473" spans="1:10">
      <c r="A473" s="23">
        <v>2</v>
      </c>
      <c r="B473" s="22">
        <v>7</v>
      </c>
      <c r="C473" s="22">
        <v>2</v>
      </c>
      <c r="D473" s="22"/>
      <c r="E473" s="22"/>
      <c r="F473" s="21" t="s">
        <v>95</v>
      </c>
      <c r="G473" s="20">
        <f>+G474+G476+G478+G480+G482+G484+G486+G488+G490</f>
        <v>0</v>
      </c>
      <c r="H473" s="20">
        <f>+H474+H476+H478+H480+H482+H484+H486+H488+H490</f>
        <v>0</v>
      </c>
      <c r="I473" s="20">
        <f t="shared" ref="I473:I501" si="17">SUM(G473:H473)</f>
        <v>0</v>
      </c>
      <c r="J473" s="19"/>
    </row>
    <row r="474" spans="1:10">
      <c r="A474" s="18">
        <v>2</v>
      </c>
      <c r="B474" s="15">
        <v>7</v>
      </c>
      <c r="C474" s="15">
        <v>2</v>
      </c>
      <c r="D474" s="15">
        <v>1</v>
      </c>
      <c r="E474" s="14"/>
      <c r="F474" s="13" t="s">
        <v>94</v>
      </c>
      <c r="G474" s="12">
        <f>+G475</f>
        <v>0</v>
      </c>
      <c r="H474" s="12">
        <f>+H475</f>
        <v>0</v>
      </c>
      <c r="I474" s="12">
        <f t="shared" si="17"/>
        <v>0</v>
      </c>
      <c r="J474" s="11"/>
    </row>
    <row r="475" spans="1:10">
      <c r="A475" s="17">
        <v>2</v>
      </c>
      <c r="B475" s="9">
        <v>7</v>
      </c>
      <c r="C475" s="9">
        <v>2</v>
      </c>
      <c r="D475" s="9">
        <v>1</v>
      </c>
      <c r="E475" s="9" t="s">
        <v>80</v>
      </c>
      <c r="F475" s="8" t="s">
        <v>94</v>
      </c>
      <c r="G475" s="7">
        <f>'CUENTA T FONDO 100'!IV210</f>
        <v>0</v>
      </c>
      <c r="H475" s="7">
        <f>'CUENTA T VS'!IV498</f>
        <v>0</v>
      </c>
      <c r="I475" s="7">
        <f t="shared" si="17"/>
        <v>0</v>
      </c>
      <c r="J475" s="6">
        <f>I475/$I$25</f>
        <v>0</v>
      </c>
    </row>
    <row r="476" spans="1:10">
      <c r="A476" s="18">
        <v>2</v>
      </c>
      <c r="B476" s="15">
        <v>7</v>
      </c>
      <c r="C476" s="15">
        <v>2</v>
      </c>
      <c r="D476" s="15">
        <v>2</v>
      </c>
      <c r="E476" s="14"/>
      <c r="F476" s="13" t="s">
        <v>93</v>
      </c>
      <c r="G476" s="12">
        <f>+G477</f>
        <v>0</v>
      </c>
      <c r="H476" s="12">
        <f>+H477</f>
        <v>0</v>
      </c>
      <c r="I476" s="12">
        <f t="shared" si="17"/>
        <v>0</v>
      </c>
      <c r="J476" s="11"/>
    </row>
    <row r="477" spans="1:10">
      <c r="A477" s="17">
        <v>2</v>
      </c>
      <c r="B477" s="9">
        <v>7</v>
      </c>
      <c r="C477" s="9">
        <v>2</v>
      </c>
      <c r="D477" s="9">
        <v>2</v>
      </c>
      <c r="E477" s="9" t="s">
        <v>80</v>
      </c>
      <c r="F477" s="8" t="s">
        <v>93</v>
      </c>
      <c r="G477" s="7">
        <f>'CUENTA T FONDO 100'!IW210</f>
        <v>0</v>
      </c>
      <c r="H477" s="7">
        <f>'CUENTA T VS'!IW498</f>
        <v>0</v>
      </c>
      <c r="I477" s="7">
        <f t="shared" si="17"/>
        <v>0</v>
      </c>
      <c r="J477" s="6">
        <f>I477/$I$25</f>
        <v>0</v>
      </c>
    </row>
    <row r="478" spans="1:10">
      <c r="A478" s="18">
        <v>2</v>
      </c>
      <c r="B478" s="15">
        <v>7</v>
      </c>
      <c r="C478" s="15">
        <v>2</v>
      </c>
      <c r="D478" s="15">
        <v>3</v>
      </c>
      <c r="E478" s="14"/>
      <c r="F478" s="13" t="s">
        <v>92</v>
      </c>
      <c r="G478" s="12">
        <f>+G479</f>
        <v>0</v>
      </c>
      <c r="H478" s="12">
        <f>+H479</f>
        <v>0</v>
      </c>
      <c r="I478" s="12">
        <f t="shared" si="17"/>
        <v>0</v>
      </c>
      <c r="J478" s="11"/>
    </row>
    <row r="479" spans="1:10">
      <c r="A479" s="17">
        <v>2</v>
      </c>
      <c r="B479" s="9">
        <v>7</v>
      </c>
      <c r="C479" s="9">
        <v>2</v>
      </c>
      <c r="D479" s="9">
        <v>3</v>
      </c>
      <c r="E479" s="9" t="s">
        <v>80</v>
      </c>
      <c r="F479" s="8" t="s">
        <v>92</v>
      </c>
      <c r="G479" s="7">
        <f>'CUENTA T FONDO 100'!IX210</f>
        <v>0</v>
      </c>
      <c r="H479" s="7">
        <f>'CUENTA T VS'!IX498</f>
        <v>0</v>
      </c>
      <c r="I479" s="7">
        <f t="shared" si="17"/>
        <v>0</v>
      </c>
      <c r="J479" s="6">
        <f>I479/$I$25</f>
        <v>0</v>
      </c>
    </row>
    <row r="480" spans="1:10">
      <c r="A480" s="18">
        <v>2</v>
      </c>
      <c r="B480" s="15">
        <v>7</v>
      </c>
      <c r="C480" s="15">
        <v>2</v>
      </c>
      <c r="D480" s="15">
        <v>4</v>
      </c>
      <c r="E480" s="14"/>
      <c r="F480" s="13" t="s">
        <v>91</v>
      </c>
      <c r="G480" s="12">
        <f>+G481</f>
        <v>0</v>
      </c>
      <c r="H480" s="12">
        <f>+H481</f>
        <v>0</v>
      </c>
      <c r="I480" s="12">
        <f t="shared" si="17"/>
        <v>0</v>
      </c>
      <c r="J480" s="11"/>
    </row>
    <row r="481" spans="1:10">
      <c r="A481" s="17">
        <v>2</v>
      </c>
      <c r="B481" s="9">
        <v>7</v>
      </c>
      <c r="C481" s="9">
        <v>2</v>
      </c>
      <c r="D481" s="9">
        <v>4</v>
      </c>
      <c r="E481" s="9" t="s">
        <v>80</v>
      </c>
      <c r="F481" s="8" t="s">
        <v>91</v>
      </c>
      <c r="G481" s="7">
        <f>'CUENTA T FONDO 100'!IY210</f>
        <v>0</v>
      </c>
      <c r="H481" s="7">
        <f>'CUENTA T VS'!IY498</f>
        <v>0</v>
      </c>
      <c r="I481" s="7">
        <f t="shared" si="17"/>
        <v>0</v>
      </c>
      <c r="J481" s="6">
        <f>I481/$I$25</f>
        <v>0</v>
      </c>
    </row>
    <row r="482" spans="1:10">
      <c r="A482" s="18">
        <v>2</v>
      </c>
      <c r="B482" s="15">
        <v>7</v>
      </c>
      <c r="C482" s="15">
        <v>2</v>
      </c>
      <c r="D482" s="15">
        <v>5</v>
      </c>
      <c r="E482" s="14"/>
      <c r="F482" s="13" t="s">
        <v>90</v>
      </c>
      <c r="G482" s="12">
        <f>+G483</f>
        <v>0</v>
      </c>
      <c r="H482" s="12">
        <f>+H483</f>
        <v>0</v>
      </c>
      <c r="I482" s="12">
        <f t="shared" si="17"/>
        <v>0</v>
      </c>
      <c r="J482" s="11"/>
    </row>
    <row r="483" spans="1:10">
      <c r="A483" s="17">
        <v>2</v>
      </c>
      <c r="B483" s="9">
        <v>7</v>
      </c>
      <c r="C483" s="9">
        <v>2</v>
      </c>
      <c r="D483" s="9">
        <v>5</v>
      </c>
      <c r="E483" s="9" t="s">
        <v>80</v>
      </c>
      <c r="F483" s="8" t="s">
        <v>90</v>
      </c>
      <c r="G483" s="7">
        <f>'CUENTA T FONDO 100'!IZ210</f>
        <v>0</v>
      </c>
      <c r="H483" s="7">
        <f>'CUENTA T VS'!IZ498</f>
        <v>0</v>
      </c>
      <c r="I483" s="7">
        <f t="shared" si="17"/>
        <v>0</v>
      </c>
      <c r="J483" s="6">
        <f>I483/$I$25</f>
        <v>0</v>
      </c>
    </row>
    <row r="484" spans="1:10">
      <c r="A484" s="18">
        <v>2</v>
      </c>
      <c r="B484" s="15">
        <v>7</v>
      </c>
      <c r="C484" s="15">
        <v>2</v>
      </c>
      <c r="D484" s="15">
        <v>6</v>
      </c>
      <c r="E484" s="14"/>
      <c r="F484" s="13" t="s">
        <v>89</v>
      </c>
      <c r="G484" s="12">
        <f>+G485</f>
        <v>0</v>
      </c>
      <c r="H484" s="12">
        <f>+H485</f>
        <v>0</v>
      </c>
      <c r="I484" s="12">
        <f t="shared" si="17"/>
        <v>0</v>
      </c>
      <c r="J484" s="11"/>
    </row>
    <row r="485" spans="1:10">
      <c r="A485" s="17">
        <v>2</v>
      </c>
      <c r="B485" s="9">
        <v>7</v>
      </c>
      <c r="C485" s="9">
        <v>2</v>
      </c>
      <c r="D485" s="9">
        <v>6</v>
      </c>
      <c r="E485" s="9" t="s">
        <v>80</v>
      </c>
      <c r="F485" s="8" t="s">
        <v>89</v>
      </c>
      <c r="G485" s="7">
        <f>'CUENTA T FONDO 100'!JA210</f>
        <v>0</v>
      </c>
      <c r="H485" s="7">
        <f>'CUENTA T VS'!JA498</f>
        <v>0</v>
      </c>
      <c r="I485" s="7">
        <f t="shared" si="17"/>
        <v>0</v>
      </c>
      <c r="J485" s="6">
        <f>I485/$I$25</f>
        <v>0</v>
      </c>
    </row>
    <row r="486" spans="1:10">
      <c r="A486" s="18">
        <v>2</v>
      </c>
      <c r="B486" s="15">
        <v>7</v>
      </c>
      <c r="C486" s="15">
        <v>2</v>
      </c>
      <c r="D486" s="15">
        <v>7</v>
      </c>
      <c r="E486" s="14"/>
      <c r="F486" s="13" t="s">
        <v>88</v>
      </c>
      <c r="G486" s="12">
        <f>+G487</f>
        <v>0</v>
      </c>
      <c r="H486" s="12">
        <f>+H487</f>
        <v>0</v>
      </c>
      <c r="I486" s="12">
        <f t="shared" si="17"/>
        <v>0</v>
      </c>
      <c r="J486" s="11"/>
    </row>
    <row r="487" spans="1:10">
      <c r="A487" s="17">
        <v>2</v>
      </c>
      <c r="B487" s="9">
        <v>7</v>
      </c>
      <c r="C487" s="9">
        <v>2</v>
      </c>
      <c r="D487" s="9">
        <v>7</v>
      </c>
      <c r="E487" s="9" t="s">
        <v>80</v>
      </c>
      <c r="F487" s="8" t="s">
        <v>88</v>
      </c>
      <c r="G487" s="7">
        <f>'CUENTA T FONDO 100'!JB210</f>
        <v>0</v>
      </c>
      <c r="H487" s="7">
        <f>'CUENTA T VS'!JB498</f>
        <v>0</v>
      </c>
      <c r="I487" s="7">
        <f t="shared" si="17"/>
        <v>0</v>
      </c>
      <c r="J487" s="6">
        <f>I487/$I$25</f>
        <v>0</v>
      </c>
    </row>
    <row r="488" spans="1:10">
      <c r="A488" s="18">
        <v>2</v>
      </c>
      <c r="B488" s="15">
        <v>7</v>
      </c>
      <c r="C488" s="15">
        <v>2</v>
      </c>
      <c r="D488" s="15">
        <v>8</v>
      </c>
      <c r="E488" s="14"/>
      <c r="F488" s="13" t="s">
        <v>87</v>
      </c>
      <c r="G488" s="12">
        <f>+G489</f>
        <v>0</v>
      </c>
      <c r="H488" s="12">
        <f>+H489</f>
        <v>0</v>
      </c>
      <c r="I488" s="12">
        <f t="shared" si="17"/>
        <v>0</v>
      </c>
      <c r="J488" s="11"/>
    </row>
    <row r="489" spans="1:10">
      <c r="A489" s="17">
        <v>2</v>
      </c>
      <c r="B489" s="9">
        <v>7</v>
      </c>
      <c r="C489" s="9">
        <v>2</v>
      </c>
      <c r="D489" s="9">
        <v>8</v>
      </c>
      <c r="E489" s="9" t="s">
        <v>80</v>
      </c>
      <c r="F489" s="8" t="s">
        <v>87</v>
      </c>
      <c r="G489" s="7">
        <f>'CUENTA T FONDO 100'!JC210</f>
        <v>0</v>
      </c>
      <c r="H489" s="7">
        <f>'CUENTA T VS'!JC498</f>
        <v>0</v>
      </c>
      <c r="I489" s="7">
        <f t="shared" si="17"/>
        <v>0</v>
      </c>
      <c r="J489" s="6">
        <f>I489/$I$25</f>
        <v>0</v>
      </c>
    </row>
    <row r="490" spans="1:10">
      <c r="A490" s="18">
        <v>2</v>
      </c>
      <c r="B490" s="15">
        <v>7</v>
      </c>
      <c r="C490" s="15">
        <v>2</v>
      </c>
      <c r="D490" s="15">
        <v>9</v>
      </c>
      <c r="E490" s="14"/>
      <c r="F490" s="13" t="s">
        <v>86</v>
      </c>
      <c r="G490" s="12">
        <f>+G491</f>
        <v>0</v>
      </c>
      <c r="H490" s="12">
        <f>+H491</f>
        <v>0</v>
      </c>
      <c r="I490" s="12">
        <f t="shared" si="17"/>
        <v>0</v>
      </c>
      <c r="J490" s="11"/>
    </row>
    <row r="491" spans="1:10">
      <c r="A491" s="17">
        <v>2</v>
      </c>
      <c r="B491" s="9">
        <v>7</v>
      </c>
      <c r="C491" s="9">
        <v>2</v>
      </c>
      <c r="D491" s="9">
        <v>9</v>
      </c>
      <c r="E491" s="9" t="s">
        <v>80</v>
      </c>
      <c r="F491" s="8" t="s">
        <v>86</v>
      </c>
      <c r="G491" s="7">
        <f>'CUENTA T FONDO 100'!JD210</f>
        <v>0</v>
      </c>
      <c r="H491" s="7">
        <f>'CUENTA T VS'!JD498</f>
        <v>0</v>
      </c>
      <c r="I491" s="7">
        <f t="shared" si="17"/>
        <v>0</v>
      </c>
      <c r="J491" s="6">
        <f>I491/$I$25</f>
        <v>0</v>
      </c>
    </row>
    <row r="492" spans="1:10">
      <c r="A492" s="23">
        <v>2</v>
      </c>
      <c r="B492" s="22">
        <v>7</v>
      </c>
      <c r="C492" s="22">
        <v>3</v>
      </c>
      <c r="D492" s="22"/>
      <c r="E492" s="22"/>
      <c r="F492" s="21" t="s">
        <v>85</v>
      </c>
      <c r="G492" s="20">
        <f>+G493+G495</f>
        <v>0</v>
      </c>
      <c r="H492" s="20">
        <f>+H493+H495</f>
        <v>0</v>
      </c>
      <c r="I492" s="20">
        <f t="shared" si="17"/>
        <v>0</v>
      </c>
      <c r="J492" s="19"/>
    </row>
    <row r="493" spans="1:10">
      <c r="A493" s="18">
        <v>2</v>
      </c>
      <c r="B493" s="15">
        <v>7</v>
      </c>
      <c r="C493" s="15">
        <v>3</v>
      </c>
      <c r="D493" s="15">
        <v>1</v>
      </c>
      <c r="E493" s="14"/>
      <c r="F493" s="13" t="s">
        <v>84</v>
      </c>
      <c r="G493" s="12">
        <f>+G494</f>
        <v>0</v>
      </c>
      <c r="H493" s="12">
        <f>+H494</f>
        <v>0</v>
      </c>
      <c r="I493" s="12">
        <f t="shared" si="17"/>
        <v>0</v>
      </c>
      <c r="J493" s="11"/>
    </row>
    <row r="494" spans="1:10">
      <c r="A494" s="17">
        <v>2</v>
      </c>
      <c r="B494" s="9">
        <v>7</v>
      </c>
      <c r="C494" s="9">
        <v>3</v>
      </c>
      <c r="D494" s="9">
        <v>1</v>
      </c>
      <c r="E494" s="9" t="s">
        <v>80</v>
      </c>
      <c r="F494" s="8" t="s">
        <v>84</v>
      </c>
      <c r="G494" s="7">
        <f>'CUENTA T FONDO 100'!JE210</f>
        <v>0</v>
      </c>
      <c r="H494" s="7">
        <f>'CUENTA T VS'!JE498</f>
        <v>0</v>
      </c>
      <c r="I494" s="7">
        <f t="shared" si="17"/>
        <v>0</v>
      </c>
      <c r="J494" s="6">
        <f>I494/$I$25</f>
        <v>0</v>
      </c>
    </row>
    <row r="495" spans="1:10">
      <c r="A495" s="18">
        <v>2</v>
      </c>
      <c r="B495" s="15">
        <v>7</v>
      </c>
      <c r="C495" s="15">
        <v>3</v>
      </c>
      <c r="D495" s="15">
        <v>2</v>
      </c>
      <c r="E495" s="14"/>
      <c r="F495" s="13" t="s">
        <v>83</v>
      </c>
      <c r="G495" s="12">
        <f>+G496</f>
        <v>0</v>
      </c>
      <c r="H495" s="12">
        <f>+H496</f>
        <v>0</v>
      </c>
      <c r="I495" s="12">
        <f t="shared" si="17"/>
        <v>0</v>
      </c>
      <c r="J495" s="11"/>
    </row>
    <row r="496" spans="1:10">
      <c r="A496" s="17">
        <v>2</v>
      </c>
      <c r="B496" s="9">
        <v>7</v>
      </c>
      <c r="C496" s="9">
        <v>3</v>
      </c>
      <c r="D496" s="9">
        <v>2</v>
      </c>
      <c r="E496" s="9" t="s">
        <v>80</v>
      </c>
      <c r="F496" s="8" t="s">
        <v>83</v>
      </c>
      <c r="G496" s="7">
        <f>'CUENTA T FONDO 100'!JF210</f>
        <v>0</v>
      </c>
      <c r="H496" s="7">
        <f>'CUENTA T VS'!JF498</f>
        <v>0</v>
      </c>
      <c r="I496" s="7">
        <f t="shared" si="17"/>
        <v>0</v>
      </c>
      <c r="J496" s="6">
        <f>I496/$I$25</f>
        <v>0</v>
      </c>
    </row>
    <row r="497" spans="1:10" ht="25.5">
      <c r="A497" s="23">
        <v>2</v>
      </c>
      <c r="B497" s="22">
        <v>7</v>
      </c>
      <c r="C497" s="22">
        <v>4</v>
      </c>
      <c r="D497" s="22"/>
      <c r="E497" s="22"/>
      <c r="F497" s="21" t="s">
        <v>82</v>
      </c>
      <c r="G497" s="20">
        <f>+G498+G500</f>
        <v>0</v>
      </c>
      <c r="H497" s="20">
        <f>+H498+H500</f>
        <v>0</v>
      </c>
      <c r="I497" s="20">
        <f t="shared" si="17"/>
        <v>0</v>
      </c>
      <c r="J497" s="19"/>
    </row>
    <row r="498" spans="1:10">
      <c r="A498" s="18">
        <v>2</v>
      </c>
      <c r="B498" s="15">
        <v>7</v>
      </c>
      <c r="C498" s="15">
        <v>4</v>
      </c>
      <c r="D498" s="15">
        <v>1</v>
      </c>
      <c r="E498" s="14"/>
      <c r="F498" s="13" t="s">
        <v>81</v>
      </c>
      <c r="G498" s="12">
        <f>+G499</f>
        <v>0</v>
      </c>
      <c r="H498" s="12">
        <f>+H499</f>
        <v>0</v>
      </c>
      <c r="I498" s="12">
        <f t="shared" si="17"/>
        <v>0</v>
      </c>
      <c r="J498" s="11"/>
    </row>
    <row r="499" spans="1:10">
      <c r="A499" s="17">
        <v>2</v>
      </c>
      <c r="B499" s="9">
        <v>7</v>
      </c>
      <c r="C499" s="9">
        <v>4</v>
      </c>
      <c r="D499" s="9">
        <v>1</v>
      </c>
      <c r="E499" s="9" t="s">
        <v>80</v>
      </c>
      <c r="F499" s="8" t="s">
        <v>81</v>
      </c>
      <c r="G499" s="7">
        <f>'CUENTA T FONDO 100'!JG210</f>
        <v>0</v>
      </c>
      <c r="H499" s="7">
        <f>'CUENTA T VS'!JG498</f>
        <v>0</v>
      </c>
      <c r="I499" s="7">
        <f t="shared" si="17"/>
        <v>0</v>
      </c>
      <c r="J499" s="6">
        <f>I499/$I$25</f>
        <v>0</v>
      </c>
    </row>
    <row r="500" spans="1:10" ht="25.5">
      <c r="A500" s="16">
        <v>2</v>
      </c>
      <c r="B500" s="15">
        <v>7</v>
      </c>
      <c r="C500" s="15">
        <v>4</v>
      </c>
      <c r="D500" s="15">
        <v>2</v>
      </c>
      <c r="E500" s="14"/>
      <c r="F500" s="13" t="s">
        <v>79</v>
      </c>
      <c r="G500" s="12">
        <f>+G501</f>
        <v>0</v>
      </c>
      <c r="H500" s="12">
        <f>+H501</f>
        <v>0</v>
      </c>
      <c r="I500" s="12">
        <f t="shared" si="17"/>
        <v>0</v>
      </c>
      <c r="J500" s="11"/>
    </row>
    <row r="501" spans="1:10" ht="25.5">
      <c r="A501" s="10">
        <v>2</v>
      </c>
      <c r="B501" s="9">
        <v>7</v>
      </c>
      <c r="C501" s="9">
        <v>4</v>
      </c>
      <c r="D501" s="9">
        <v>2</v>
      </c>
      <c r="E501" s="9" t="s">
        <v>80</v>
      </c>
      <c r="F501" s="8" t="s">
        <v>79</v>
      </c>
      <c r="G501" s="7">
        <f>'CUENTA T FONDO 100'!JH210</f>
        <v>0</v>
      </c>
      <c r="H501" s="7">
        <f>'CUENTA T VS'!JH498</f>
        <v>0</v>
      </c>
      <c r="I501" s="7">
        <f t="shared" si="17"/>
        <v>0</v>
      </c>
      <c r="J501" s="6">
        <f>I501/$I$25</f>
        <v>0</v>
      </c>
    </row>
    <row r="502" spans="1:10" ht="15">
      <c r="A502" s="4"/>
      <c r="B502" s="4"/>
      <c r="C502" s="4"/>
      <c r="D502" s="4"/>
      <c r="E502" s="4"/>
      <c r="F502" s="4"/>
      <c r="G502" s="4"/>
      <c r="H502" s="4"/>
      <c r="I502" s="4"/>
      <c r="J502" s="5"/>
    </row>
    <row r="503" spans="1:10" ht="1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5">
      <c r="A511" s="4"/>
      <c r="B511" s="4"/>
      <c r="C511" s="4"/>
      <c r="D511" s="4"/>
      <c r="E511" s="4"/>
      <c r="F511" s="4"/>
      <c r="G511" s="4"/>
      <c r="H511" s="4"/>
      <c r="I511" s="4"/>
      <c r="J511" s="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ZAfGeYA5VbL0gG93akD1xexJu2rI3UXxHwEtGuh6c0glGlh5rE1RHQPZZ54q7AqVc1jO4jlchft9pel46vZT4g==" saltValue="JJI+A7ZZczdDIztssZc9Vg==" spinCount="100000" sqref="I6:J7 A9:J18 A6:H7" name="Rango1"/>
  </protectedRanges>
  <mergeCells count="21">
    <mergeCell ref="L23:P23"/>
    <mergeCell ref="A2:H2"/>
    <mergeCell ref="A3:J3"/>
    <mergeCell ref="A4:J4"/>
    <mergeCell ref="A5:J5"/>
    <mergeCell ref="A6:J6"/>
    <mergeCell ref="A7:J7"/>
    <mergeCell ref="A21:E21"/>
    <mergeCell ref="G21:H21"/>
    <mergeCell ref="A22:E22"/>
    <mergeCell ref="J22:J24"/>
    <mergeCell ref="A23:A24"/>
    <mergeCell ref="B23:B24"/>
    <mergeCell ref="C23:C24"/>
    <mergeCell ref="D23:D24"/>
    <mergeCell ref="E23:E24"/>
    <mergeCell ref="I22:I24"/>
    <mergeCell ref="G23:G24"/>
    <mergeCell ref="H23:H24"/>
    <mergeCell ref="F22:F24"/>
    <mergeCell ref="G22:H22"/>
  </mergeCells>
  <phoneticPr fontId="44" type="noConversion"/>
  <printOptions horizontalCentered="1"/>
  <pageMargins left="0.70866141732283472" right="0.70866141732283472" top="0.15748031496062992" bottom="0" header="0.11811023622047245" footer="0"/>
  <pageSetup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W211"/>
  <sheetViews>
    <sheetView zoomScale="90" zoomScaleNormal="90" workbookViewId="0">
      <pane ySplit="2" topLeftCell="A3" activePane="bottomLeft" state="frozen"/>
      <selection activeCell="IG1" sqref="IG1"/>
      <selection pane="bottomLeft" activeCell="A3" sqref="A3"/>
    </sheetView>
  </sheetViews>
  <sheetFormatPr baseColWidth="10" defaultColWidth="11.42578125" defaultRowHeight="15"/>
  <cols>
    <col min="1" max="1" width="15" bestFit="1" customWidth="1"/>
    <col min="2" max="9" width="7.85546875" bestFit="1" customWidth="1"/>
    <col min="10" max="10" width="13.85546875" bestFit="1" customWidth="1"/>
    <col min="11" max="13" width="7.85546875" bestFit="1" customWidth="1"/>
    <col min="14" max="14" width="14.85546875" bestFit="1" customWidth="1"/>
    <col min="15" max="16" width="7.85546875" bestFit="1" customWidth="1"/>
    <col min="17" max="18" width="12.140625" bestFit="1" customWidth="1"/>
    <col min="19" max="19" width="13.85546875" bestFit="1" customWidth="1"/>
    <col min="20" max="22" width="7.85546875" bestFit="1" customWidth="1"/>
    <col min="23" max="23" width="11.140625" bestFit="1" customWidth="1"/>
    <col min="24" max="25" width="7.85546875" bestFit="1" customWidth="1"/>
    <col min="26" max="26" width="12.140625" bestFit="1" customWidth="1"/>
    <col min="27" max="27" width="7.85546875" bestFit="1" customWidth="1"/>
    <col min="28" max="28" width="13.85546875" bestFit="1" customWidth="1"/>
    <col min="29" max="36" width="7.85546875" bestFit="1" customWidth="1"/>
    <col min="37" max="38" width="13.85546875" bestFit="1" customWidth="1"/>
    <col min="39" max="39" width="12.140625" bestFit="1" customWidth="1"/>
    <col min="40" max="47" width="7.85546875" bestFit="1" customWidth="1"/>
    <col min="48" max="48" width="12.140625" bestFit="1" customWidth="1"/>
    <col min="49" max="50" width="7.85546875" bestFit="1" customWidth="1"/>
    <col min="51" max="51" width="12.140625" bestFit="1" customWidth="1"/>
    <col min="52" max="60" width="7.85546875" bestFit="1" customWidth="1"/>
    <col min="61" max="61" width="12.140625" bestFit="1" customWidth="1"/>
    <col min="62" max="74" width="7.85546875" bestFit="1" customWidth="1"/>
    <col min="75" max="75" width="13.85546875" bestFit="1" customWidth="1"/>
    <col min="76" max="76" width="11.140625" bestFit="1" customWidth="1"/>
    <col min="77" max="85" width="7.85546875" bestFit="1" customWidth="1"/>
    <col min="86" max="86" width="12.140625" bestFit="1" customWidth="1"/>
    <col min="87" max="89" width="7.85546875" bestFit="1" customWidth="1"/>
    <col min="90" max="90" width="13.85546875" bestFit="1" customWidth="1"/>
    <col min="91" max="94" width="7.85546875" bestFit="1" customWidth="1"/>
    <col min="95" max="95" width="12.140625" bestFit="1" customWidth="1"/>
    <col min="96" max="107" width="7.85546875" bestFit="1" customWidth="1"/>
    <col min="108" max="108" width="13.85546875" bestFit="1" customWidth="1"/>
    <col min="109" max="109" width="12.140625" bestFit="1" customWidth="1"/>
    <col min="110" max="113" width="7.85546875" bestFit="1" customWidth="1"/>
    <col min="114" max="115" width="13.85546875" bestFit="1" customWidth="1"/>
    <col min="116" max="121" width="7.85546875" bestFit="1" customWidth="1"/>
    <col min="122" max="122" width="12.140625" bestFit="1" customWidth="1"/>
    <col min="123" max="123" width="13.85546875" bestFit="1" customWidth="1"/>
    <col min="124" max="125" width="11.140625" bestFit="1" customWidth="1"/>
    <col min="126" max="127" width="12.140625" bestFit="1" customWidth="1"/>
    <col min="128" max="130" width="7.85546875" bestFit="1" customWidth="1"/>
    <col min="131" max="131" width="13.85546875" bestFit="1" customWidth="1"/>
    <col min="132" max="135" width="7.85546875" bestFit="1" customWidth="1"/>
    <col min="136" max="136" width="11.140625" bestFit="1" customWidth="1"/>
    <col min="137" max="137" width="12.140625" bestFit="1" customWidth="1"/>
    <col min="138" max="138" width="10" bestFit="1" customWidth="1"/>
    <col min="139" max="142" width="7.85546875" bestFit="1" customWidth="1"/>
    <col min="143" max="143" width="11.140625" bestFit="1" customWidth="1"/>
    <col min="144" max="144" width="7.85546875" bestFit="1" customWidth="1"/>
    <col min="145" max="146" width="11.140625" bestFit="1" customWidth="1"/>
    <col min="147" max="147" width="7.85546875" bestFit="1" customWidth="1"/>
    <col min="148" max="148" width="12.140625" bestFit="1" customWidth="1"/>
    <col min="149" max="157" width="7.85546875" bestFit="1" customWidth="1"/>
    <col min="158" max="158" width="12.140625" bestFit="1" customWidth="1"/>
    <col min="159" max="165" width="7.85546875" bestFit="1" customWidth="1"/>
    <col min="166" max="166" width="17.5703125" bestFit="1" customWidth="1"/>
    <col min="167" max="168" width="7.85546875" bestFit="1" customWidth="1"/>
    <col min="169" max="170" width="12.140625" bestFit="1" customWidth="1"/>
    <col min="171" max="172" width="7.85546875" bestFit="1" customWidth="1"/>
    <col min="173" max="173" width="13.85546875" bestFit="1" customWidth="1"/>
    <col min="174" max="174" width="7.85546875" bestFit="1" customWidth="1"/>
    <col min="175" max="175" width="12.140625" bestFit="1" customWidth="1"/>
    <col min="176" max="176" width="14.85546875" bestFit="1" customWidth="1"/>
    <col min="177" max="177" width="7.85546875" bestFit="1" customWidth="1"/>
    <col min="178" max="178" width="11.140625" bestFit="1" customWidth="1"/>
    <col min="179" max="179" width="12.140625" bestFit="1" customWidth="1"/>
    <col min="180" max="180" width="7.85546875" bestFit="1" customWidth="1"/>
    <col min="181" max="182" width="12.140625" bestFit="1" customWidth="1"/>
    <col min="183" max="184" width="11.140625" bestFit="1" customWidth="1"/>
    <col min="185" max="189" width="7.85546875" bestFit="1" customWidth="1"/>
    <col min="190" max="190" width="12.140625" bestFit="1" customWidth="1"/>
    <col min="191" max="191" width="7.85546875" bestFit="1" customWidth="1"/>
    <col min="192" max="192" width="13.85546875" bestFit="1" customWidth="1"/>
    <col min="193" max="193" width="12.140625" bestFit="1" customWidth="1"/>
    <col min="194" max="194" width="11.140625" bestFit="1" customWidth="1"/>
    <col min="195" max="198" width="7.85546875" bestFit="1" customWidth="1"/>
    <col min="199" max="199" width="13.85546875" bestFit="1" customWidth="1"/>
    <col min="200" max="200" width="12.140625" bestFit="1" customWidth="1"/>
    <col min="201" max="201" width="7.85546875" bestFit="1" customWidth="1"/>
    <col min="202" max="202" width="13.85546875" bestFit="1" customWidth="1"/>
    <col min="203" max="211" width="7.85546875" bestFit="1" customWidth="1"/>
    <col min="212" max="212" width="12.140625" bestFit="1" customWidth="1"/>
    <col min="213" max="213" width="7.85546875" bestFit="1" customWidth="1"/>
    <col min="214" max="216" width="12.140625" bestFit="1" customWidth="1"/>
    <col min="217" max="217" width="11.140625" bestFit="1" customWidth="1"/>
    <col min="218" max="218" width="12.140625" bestFit="1" customWidth="1"/>
    <col min="219" max="219" width="7.85546875" bestFit="1" customWidth="1"/>
    <col min="220" max="220" width="11.140625" bestFit="1" customWidth="1"/>
    <col min="221" max="250" width="7.85546875" bestFit="1" customWidth="1"/>
    <col min="251" max="251" width="9" bestFit="1" customWidth="1"/>
    <col min="252" max="268" width="7.85546875" bestFit="1" customWidth="1"/>
    <col min="269" max="269" width="16.140625" bestFit="1" customWidth="1"/>
    <col min="270" max="270" width="11.7109375" style="139" bestFit="1" customWidth="1"/>
    <col min="271" max="271" width="16" bestFit="1" customWidth="1"/>
    <col min="272" max="272" width="14.42578125" bestFit="1" customWidth="1"/>
    <col min="273" max="273" width="17.85546875" bestFit="1" customWidth="1"/>
    <col min="274" max="274" width="5.5703125" bestFit="1" customWidth="1"/>
    <col min="275" max="275" width="5.42578125" bestFit="1" customWidth="1"/>
    <col min="276" max="276" width="18.5703125" bestFit="1" customWidth="1"/>
    <col min="1141" max="1141" width="11.42578125" style="1"/>
  </cols>
  <sheetData>
    <row r="1" spans="1:276" ht="23.25">
      <c r="A1" s="439" t="s">
        <v>78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  <c r="AK1" s="439"/>
      <c r="AL1" s="439"/>
      <c r="AM1" s="439"/>
      <c r="AN1" s="439"/>
      <c r="AO1" s="439"/>
      <c r="AP1" s="439"/>
      <c r="AQ1" s="439"/>
      <c r="AR1" s="439"/>
      <c r="AS1" s="439"/>
      <c r="AT1" s="439"/>
      <c r="AU1" s="439"/>
      <c r="AV1" s="439"/>
      <c r="AW1" s="439"/>
      <c r="AX1" s="439"/>
      <c r="AY1" s="439"/>
      <c r="AZ1" s="439"/>
      <c r="BA1" s="439"/>
      <c r="BB1" s="439"/>
      <c r="BC1" s="439"/>
      <c r="BD1" s="439"/>
      <c r="BE1" s="439"/>
      <c r="BF1" s="439"/>
      <c r="BG1" s="439"/>
      <c r="BH1" s="439"/>
      <c r="BI1" s="439"/>
      <c r="BJ1" s="439"/>
      <c r="BK1" s="439"/>
      <c r="BL1" s="439"/>
      <c r="BM1" s="439"/>
      <c r="BN1" s="439"/>
      <c r="BO1" s="439"/>
      <c r="BP1" s="439"/>
      <c r="BQ1" s="439"/>
      <c r="BR1" s="439"/>
      <c r="BS1" s="439"/>
      <c r="BT1" s="439"/>
      <c r="BU1" s="439"/>
      <c r="BV1" s="439"/>
      <c r="BW1" s="439"/>
      <c r="BX1" s="439"/>
      <c r="BY1" s="439"/>
      <c r="BZ1" s="439"/>
      <c r="CA1" s="439"/>
      <c r="CB1" s="439"/>
      <c r="CC1" s="439"/>
      <c r="CD1" s="439"/>
      <c r="CE1" s="439"/>
      <c r="CF1" s="439"/>
      <c r="CG1" s="439"/>
      <c r="CH1" s="439"/>
      <c r="CI1" s="439"/>
      <c r="CJ1" s="439"/>
      <c r="CK1" s="439"/>
      <c r="CL1" s="439"/>
      <c r="CM1" s="439"/>
      <c r="CN1" s="439"/>
      <c r="CO1" s="439"/>
      <c r="CP1" s="439"/>
      <c r="CQ1" s="439"/>
      <c r="CR1" s="439"/>
      <c r="CS1" s="439"/>
      <c r="CT1" s="439"/>
      <c r="CU1" s="439"/>
      <c r="CV1" s="439"/>
      <c r="CW1" s="439"/>
      <c r="CX1" s="439"/>
      <c r="CY1" s="439"/>
      <c r="CZ1" s="439"/>
      <c r="DA1" s="439"/>
      <c r="DB1" s="439"/>
      <c r="DC1" s="439"/>
      <c r="DD1" s="439"/>
      <c r="DE1" s="439"/>
      <c r="DF1" s="439"/>
      <c r="DG1" s="439"/>
      <c r="DH1" s="439"/>
      <c r="DI1" s="439"/>
      <c r="DJ1" s="439"/>
      <c r="DK1" s="439"/>
      <c r="DL1" s="439"/>
      <c r="DM1" s="439"/>
      <c r="DN1" s="439"/>
      <c r="DO1" s="439"/>
      <c r="DP1" s="439"/>
      <c r="DQ1" s="439"/>
      <c r="DR1" s="439"/>
      <c r="DS1" s="439"/>
      <c r="DT1" s="439"/>
      <c r="DU1" s="439"/>
      <c r="DV1" s="439"/>
      <c r="DW1" s="439"/>
      <c r="DX1" s="439"/>
      <c r="DY1" s="439"/>
      <c r="DZ1" s="439"/>
      <c r="EA1" s="439"/>
      <c r="EB1" s="439"/>
      <c r="EC1" s="439"/>
      <c r="ED1" s="439"/>
      <c r="EE1" s="439"/>
      <c r="EF1" s="439"/>
      <c r="EG1" s="439"/>
      <c r="EH1" s="439"/>
      <c r="EI1" s="439"/>
      <c r="EJ1" s="439"/>
      <c r="EK1" s="439"/>
      <c r="EL1" s="439"/>
      <c r="EM1" s="439"/>
      <c r="EN1" s="439"/>
      <c r="EO1" s="439"/>
      <c r="EP1" s="439"/>
      <c r="EQ1" s="439"/>
      <c r="ER1" s="439"/>
      <c r="ES1" s="439"/>
      <c r="ET1" s="439"/>
      <c r="EU1" s="439"/>
      <c r="EV1" s="439"/>
      <c r="EW1" s="439"/>
      <c r="EX1" s="439"/>
      <c r="EY1" s="439"/>
      <c r="EZ1" s="439"/>
      <c r="FA1" s="439"/>
      <c r="FB1" s="439"/>
      <c r="FC1" s="439"/>
      <c r="FD1" s="439"/>
      <c r="FE1" s="439"/>
      <c r="FF1" s="439"/>
      <c r="FG1" s="439"/>
      <c r="FH1" s="439"/>
      <c r="FI1" s="439"/>
      <c r="FJ1" s="439"/>
      <c r="FK1" s="439"/>
      <c r="FL1" s="439"/>
      <c r="FM1" s="439"/>
      <c r="FN1" s="439"/>
      <c r="FO1" s="439"/>
      <c r="FP1" s="439"/>
      <c r="FQ1" s="439"/>
      <c r="FR1" s="439"/>
      <c r="FS1" s="439"/>
      <c r="FT1" s="439"/>
      <c r="FU1" s="439"/>
      <c r="FV1" s="439"/>
      <c r="FW1" s="439"/>
      <c r="FX1" s="439"/>
      <c r="FY1" s="439"/>
      <c r="FZ1" s="439"/>
      <c r="GA1" s="439"/>
      <c r="GB1" s="439"/>
      <c r="GC1" s="439"/>
      <c r="GD1" s="439"/>
      <c r="GE1" s="439"/>
      <c r="GF1" s="439"/>
      <c r="GG1" s="439"/>
      <c r="GH1" s="439"/>
      <c r="GI1" s="439"/>
      <c r="GJ1" s="439"/>
      <c r="GK1" s="439"/>
      <c r="GL1" s="439"/>
      <c r="GM1" s="439"/>
      <c r="GN1" s="439"/>
      <c r="GO1" s="439"/>
      <c r="GP1" s="439"/>
      <c r="GQ1" s="439"/>
      <c r="GR1" s="439"/>
      <c r="GS1" s="439"/>
      <c r="GT1" s="439"/>
      <c r="GU1" s="439"/>
      <c r="GV1" s="439"/>
      <c r="GW1" s="439"/>
      <c r="GX1" s="439"/>
      <c r="GY1" s="439"/>
      <c r="GZ1" s="439"/>
      <c r="HA1" s="439"/>
      <c r="HB1" s="439"/>
      <c r="HC1" s="439"/>
      <c r="HD1" s="439"/>
      <c r="HE1" s="439"/>
      <c r="HF1" s="439"/>
      <c r="HG1" s="439"/>
      <c r="HH1" s="439"/>
      <c r="HI1" s="439"/>
      <c r="HJ1" s="439"/>
      <c r="HK1" s="439"/>
      <c r="HL1" s="439"/>
      <c r="HM1" s="439"/>
      <c r="HN1" s="439"/>
      <c r="HO1" s="439"/>
      <c r="HP1" s="439"/>
      <c r="HQ1" s="439"/>
      <c r="HR1" s="439"/>
      <c r="HS1" s="439"/>
      <c r="HT1" s="439"/>
      <c r="HU1" s="439"/>
      <c r="HV1" s="439"/>
      <c r="HW1" s="439"/>
      <c r="HX1" s="439"/>
      <c r="HY1" s="439"/>
      <c r="HZ1" s="439"/>
      <c r="IA1" s="439"/>
      <c r="IB1" s="439"/>
      <c r="IC1" s="439"/>
      <c r="ID1" s="439"/>
      <c r="IE1" s="439"/>
      <c r="IF1" s="439"/>
      <c r="IG1" s="439"/>
      <c r="IH1" s="439"/>
      <c r="II1" s="439"/>
      <c r="IJ1" s="439"/>
      <c r="IK1" s="439"/>
      <c r="IL1" s="439"/>
      <c r="IM1" s="439"/>
      <c r="IN1" s="439"/>
      <c r="IO1" s="439"/>
      <c r="IP1" s="439"/>
      <c r="IQ1" s="439"/>
      <c r="IR1" s="439"/>
      <c r="IS1" s="439"/>
      <c r="IT1" s="439"/>
      <c r="IU1" s="439"/>
      <c r="IV1" s="439"/>
      <c r="IW1" s="439"/>
      <c r="IX1" s="439"/>
      <c r="IY1" s="439"/>
      <c r="IZ1" s="439"/>
      <c r="JA1" s="439"/>
      <c r="JB1" s="439"/>
      <c r="JC1" s="439"/>
      <c r="JD1" s="439"/>
      <c r="JE1" s="439"/>
      <c r="JF1" s="439"/>
      <c r="JG1" s="439"/>
      <c r="JH1" s="439"/>
    </row>
    <row r="2" spans="1:276" ht="18.75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378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>
      <c r="A3" s="122">
        <v>40370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>
        <v>2862.23</v>
      </c>
      <c r="AL3" s="122">
        <v>2866.27</v>
      </c>
      <c r="AM3" s="122">
        <v>484.44</v>
      </c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46582.94</v>
      </c>
      <c r="JJ3" s="379">
        <v>5368</v>
      </c>
      <c r="JK3" s="122"/>
      <c r="JL3" s="125"/>
      <c r="JM3" s="345"/>
      <c r="JN3" s="125"/>
      <c r="JO3" s="125">
        <f>+JM3+JN3</f>
        <v>0</v>
      </c>
      <c r="JP3" s="125"/>
    </row>
    <row r="4" spans="1:276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>
        <v>17997.23</v>
      </c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66" si="0">SUM(A4:JH4)</f>
        <v>17997.23</v>
      </c>
      <c r="JJ4" s="379">
        <v>5370</v>
      </c>
      <c r="JK4" s="122"/>
      <c r="JL4" s="125"/>
      <c r="JM4" s="345"/>
      <c r="JN4" s="125"/>
      <c r="JO4" s="125"/>
      <c r="JP4" s="125"/>
    </row>
    <row r="5" spans="1:276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>
        <v>65000</v>
      </c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65000</v>
      </c>
      <c r="JJ5" s="379">
        <v>5372</v>
      </c>
      <c r="JK5" s="122"/>
      <c r="JL5" s="125"/>
      <c r="JM5" s="345"/>
      <c r="JN5" s="125"/>
      <c r="JO5" s="125"/>
      <c r="JP5" s="125"/>
    </row>
    <row r="6" spans="1:276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>
        <v>357942.95</v>
      </c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357942.95</v>
      </c>
      <c r="JJ6" s="379">
        <v>5384</v>
      </c>
      <c r="JK6" s="122"/>
      <c r="JL6" s="125"/>
      <c r="JM6" s="345"/>
      <c r="JN6" s="125"/>
      <c r="JO6" s="125"/>
      <c r="JP6" s="125"/>
    </row>
    <row r="7" spans="1:276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>
        <v>271695</v>
      </c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271695</v>
      </c>
      <c r="JJ7" s="379">
        <v>5388</v>
      </c>
      <c r="JK7" s="122"/>
      <c r="JL7" s="125"/>
      <c r="JM7" s="345"/>
      <c r="JN7" s="125"/>
      <c r="JO7" s="125"/>
      <c r="JP7" s="125"/>
    </row>
    <row r="8" spans="1:276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>
        <v>209157.5</v>
      </c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209157.5</v>
      </c>
      <c r="JJ8" s="379">
        <v>5402</v>
      </c>
      <c r="JK8" s="122"/>
      <c r="JL8" s="125"/>
      <c r="JM8" s="345"/>
      <c r="JN8" s="125"/>
      <c r="JO8" s="125"/>
      <c r="JP8" s="125"/>
    </row>
    <row r="9" spans="1:276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>
        <v>241664</v>
      </c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241664</v>
      </c>
      <c r="JJ9" s="379">
        <v>5407</v>
      </c>
      <c r="JK9" s="122"/>
      <c r="JL9" s="125"/>
      <c r="JM9" s="345"/>
      <c r="JN9" s="125"/>
      <c r="JO9" s="125"/>
      <c r="JP9" s="125"/>
    </row>
    <row r="10" spans="1:276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>
        <v>354814.96</v>
      </c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354814.96</v>
      </c>
      <c r="JJ10" s="379">
        <v>5411</v>
      </c>
      <c r="JK10" s="122"/>
      <c r="JL10" s="125"/>
      <c r="JM10" s="345"/>
      <c r="JN10" s="125"/>
      <c r="JO10" s="125"/>
      <c r="JP10" s="125"/>
    </row>
    <row r="11" spans="1:276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>
        <v>48750</v>
      </c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48750</v>
      </c>
      <c r="JJ11" s="379">
        <v>5415</v>
      </c>
      <c r="JK11" s="122"/>
      <c r="JL11" s="125"/>
      <c r="JM11" s="345"/>
      <c r="JN11" s="125"/>
      <c r="JO11" s="125"/>
      <c r="JP11" s="125"/>
    </row>
    <row r="12" spans="1:276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>
        <v>59000</v>
      </c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59000</v>
      </c>
      <c r="JJ12" s="379">
        <v>5419</v>
      </c>
      <c r="JK12" s="122"/>
      <c r="JL12" s="125"/>
      <c r="JM12" s="345"/>
      <c r="JN12" s="125"/>
      <c r="JO12" s="125"/>
      <c r="JP12" s="125"/>
    </row>
    <row r="13" spans="1:276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>
        <v>533138</v>
      </c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533138</v>
      </c>
      <c r="JJ13" s="379">
        <v>5423</v>
      </c>
      <c r="JK13" s="122"/>
      <c r="JL13" s="125"/>
      <c r="JM13" s="345"/>
      <c r="JN13" s="125"/>
      <c r="JO13" s="125"/>
      <c r="JP13" s="125"/>
    </row>
    <row r="14" spans="1:276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>
        <v>21564</v>
      </c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21564</v>
      </c>
      <c r="JJ14" s="379">
        <v>5427</v>
      </c>
      <c r="JK14" s="122"/>
      <c r="JL14" s="125"/>
      <c r="JM14" s="345"/>
      <c r="JN14" s="125"/>
      <c r="JO14" s="125"/>
      <c r="JP14" s="125"/>
    </row>
    <row r="15" spans="1:276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>
        <v>80000</v>
      </c>
      <c r="FK15" s="122"/>
      <c r="FL15" s="122"/>
      <c r="FM15" s="122"/>
      <c r="FN15" s="122"/>
      <c r="FO15" s="122"/>
      <c r="FP15" s="122"/>
      <c r="FQ15" s="122"/>
      <c r="FR15" s="122"/>
      <c r="FS15" s="122"/>
      <c r="FT15" s="122">
        <v>32214</v>
      </c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112214</v>
      </c>
      <c r="JJ15" s="379">
        <v>5431</v>
      </c>
      <c r="JK15" s="122"/>
      <c r="JL15" s="125"/>
      <c r="JM15" s="345"/>
      <c r="JN15" s="125"/>
      <c r="JO15" s="125"/>
      <c r="JP15" s="125"/>
    </row>
    <row r="16" spans="1:276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>
        <v>234000</v>
      </c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234000</v>
      </c>
      <c r="JJ16" s="379">
        <v>5435</v>
      </c>
      <c r="JK16" s="122"/>
      <c r="JL16" s="125"/>
      <c r="JM16" s="345"/>
      <c r="JN16" s="125"/>
      <c r="JO16" s="125"/>
      <c r="JP16" s="125"/>
    </row>
    <row r="17" spans="1:276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>
        <v>1289204.28</v>
      </c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1289204.28</v>
      </c>
      <c r="JJ17" s="379">
        <v>5440</v>
      </c>
      <c r="JK17" s="122"/>
      <c r="JL17" s="125"/>
      <c r="JM17" s="345"/>
      <c r="JN17" s="125"/>
      <c r="JO17" s="125"/>
      <c r="JP17" s="125"/>
    </row>
    <row r="18" spans="1:276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>
        <v>211735</v>
      </c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211735</v>
      </c>
      <c r="JJ18" s="379">
        <v>5446</v>
      </c>
      <c r="JK18" s="122"/>
      <c r="JL18" s="125"/>
      <c r="JM18" s="345"/>
      <c r="JN18" s="125"/>
      <c r="JO18" s="125"/>
      <c r="JP18" s="125"/>
    </row>
    <row r="19" spans="1:276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>
        <v>155870.92000000001</v>
      </c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155870.92000000001</v>
      </c>
      <c r="JJ19" s="379">
        <v>5450</v>
      </c>
      <c r="JK19" s="122"/>
      <c r="JL19" s="125"/>
      <c r="JM19" s="345"/>
      <c r="JN19" s="125"/>
      <c r="JO19" s="125"/>
      <c r="JP19" s="125"/>
    </row>
    <row r="20" spans="1:276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>
        <v>178840</v>
      </c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178840</v>
      </c>
      <c r="JJ20" s="379">
        <v>5454</v>
      </c>
      <c r="JK20" s="122"/>
      <c r="JL20" s="125"/>
      <c r="JM20" s="345"/>
      <c r="JN20" s="125"/>
      <c r="JO20" s="125"/>
      <c r="JP20" s="125"/>
    </row>
    <row r="21" spans="1:276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>
        <v>1842000</v>
      </c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1842000</v>
      </c>
      <c r="JJ21" s="379">
        <v>5461</v>
      </c>
      <c r="JK21" s="122"/>
      <c r="JL21" s="125"/>
      <c r="JM21" s="345"/>
      <c r="JN21" s="125"/>
      <c r="JO21" s="125"/>
      <c r="JP21" s="125"/>
    </row>
    <row r="22" spans="1:276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>
        <v>1141950.8999999999</v>
      </c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1141950.8999999999</v>
      </c>
      <c r="JJ22" s="379">
        <v>5475</v>
      </c>
      <c r="JK22" s="122"/>
      <c r="JL22" s="125"/>
      <c r="JM22" s="345"/>
      <c r="JN22" s="125"/>
      <c r="JO22" s="125"/>
      <c r="JP22" s="125"/>
    </row>
    <row r="23" spans="1:276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>
        <v>1548640</v>
      </c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1548640</v>
      </c>
      <c r="JJ23" s="379">
        <v>5479</v>
      </c>
      <c r="JK23" s="122"/>
      <c r="JL23" s="125"/>
      <c r="JM23" s="345"/>
      <c r="JN23" s="125"/>
      <c r="JO23" s="125"/>
      <c r="JP23" s="125"/>
    </row>
    <row r="24" spans="1:276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>
        <v>90825</v>
      </c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>
        <v>15032.02</v>
      </c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105857.02</v>
      </c>
      <c r="JJ24" s="379">
        <v>5480</v>
      </c>
      <c r="JK24" s="122"/>
      <c r="JL24" s="125"/>
      <c r="JM24" s="345"/>
      <c r="JN24" s="125"/>
      <c r="JO24" s="125"/>
      <c r="JP24" s="125"/>
    </row>
    <row r="25" spans="1:276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>
        <v>135700</v>
      </c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135700</v>
      </c>
      <c r="JJ25" s="379">
        <v>5489</v>
      </c>
      <c r="JK25" s="122"/>
      <c r="JL25" s="125"/>
      <c r="JM25" s="345"/>
      <c r="JN25" s="125"/>
      <c r="JO25" s="125"/>
      <c r="JP25" s="125"/>
    </row>
    <row r="26" spans="1:276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>
        <v>1812480</v>
      </c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1812480</v>
      </c>
      <c r="JJ26" s="379">
        <v>5490</v>
      </c>
      <c r="JK26" s="122"/>
      <c r="JL26" s="125"/>
      <c r="JM26" s="345"/>
      <c r="JN26" s="125"/>
      <c r="JO26" s="125"/>
      <c r="JP26" s="125"/>
    </row>
    <row r="27" spans="1:276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>
        <v>830000</v>
      </c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830000</v>
      </c>
      <c r="JJ27" s="379">
        <v>5492</v>
      </c>
      <c r="JK27" s="122"/>
      <c r="JL27" s="125"/>
      <c r="JM27" s="345"/>
      <c r="JN27" s="125"/>
      <c r="JO27" s="125"/>
      <c r="JP27" s="125"/>
    </row>
    <row r="28" spans="1:276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>
        <v>265000</v>
      </c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265000</v>
      </c>
      <c r="JJ28" s="379">
        <v>5503</v>
      </c>
      <c r="JK28" s="122"/>
      <c r="JL28" s="125"/>
      <c r="JM28" s="345"/>
      <c r="JN28" s="125"/>
      <c r="JO28" s="125"/>
      <c r="JP28" s="125"/>
    </row>
    <row r="29" spans="1:276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>
        <v>241664</v>
      </c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241664</v>
      </c>
      <c r="JJ29" s="379">
        <v>5504</v>
      </c>
      <c r="JK29" s="122"/>
      <c r="JL29" s="125"/>
      <c r="JM29" s="345"/>
      <c r="JN29" s="125"/>
      <c r="JO29" s="125"/>
      <c r="JP29" s="125"/>
    </row>
    <row r="30" spans="1:276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>
        <v>239304</v>
      </c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239304</v>
      </c>
      <c r="JJ30" s="379">
        <v>5512</v>
      </c>
      <c r="JK30" s="122"/>
      <c r="JL30" s="125"/>
      <c r="JM30" s="345"/>
      <c r="JN30" s="125"/>
      <c r="JO30" s="125"/>
      <c r="JP30" s="125"/>
    </row>
    <row r="31" spans="1:276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>
        <v>242342.5</v>
      </c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242342.5</v>
      </c>
      <c r="JJ31" s="379">
        <v>5513</v>
      </c>
      <c r="JK31" s="122"/>
      <c r="JL31" s="125"/>
      <c r="JM31" s="345"/>
      <c r="JN31" s="125"/>
      <c r="JO31" s="125"/>
      <c r="JP31" s="125"/>
    </row>
    <row r="32" spans="1:276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>
        <v>270000</v>
      </c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270000</v>
      </c>
      <c r="JJ32" s="379">
        <v>5514</v>
      </c>
      <c r="JK32" s="122"/>
      <c r="JL32" s="125"/>
      <c r="JM32" s="345"/>
      <c r="JN32" s="125"/>
      <c r="JO32" s="125"/>
      <c r="JP32" s="125"/>
    </row>
    <row r="33" spans="1:276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>
        <v>259700</v>
      </c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259700</v>
      </c>
      <c r="JJ33" s="379">
        <v>5520</v>
      </c>
      <c r="JK33" s="122"/>
      <c r="JL33" s="125"/>
      <c r="JM33" s="345"/>
      <c r="JN33" s="125"/>
      <c r="JO33" s="125"/>
      <c r="JP33" s="125"/>
    </row>
    <row r="34" spans="1:276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>
        <v>210266</v>
      </c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210266</v>
      </c>
      <c r="JJ34" s="379">
        <v>5526</v>
      </c>
      <c r="JK34" s="122"/>
      <c r="JL34" s="125"/>
      <c r="JM34" s="345"/>
      <c r="JN34" s="125"/>
      <c r="JO34" s="125"/>
      <c r="JP34" s="125"/>
    </row>
    <row r="35" spans="1:276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>
        <v>271990</v>
      </c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271990</v>
      </c>
      <c r="JJ35" s="379">
        <v>5530</v>
      </c>
      <c r="JK35" s="122"/>
      <c r="JL35" s="125"/>
      <c r="JM35" s="345"/>
      <c r="JN35" s="125"/>
      <c r="JO35" s="125"/>
      <c r="JP35" s="125"/>
    </row>
    <row r="36" spans="1:27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>
        <v>208000</v>
      </c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208000</v>
      </c>
      <c r="JJ36" s="379">
        <v>5534</v>
      </c>
      <c r="JK36" s="122"/>
      <c r="JL36" s="125"/>
      <c r="JM36" s="345"/>
      <c r="JN36" s="125"/>
      <c r="JO36" s="125"/>
      <c r="JP36" s="125"/>
    </row>
    <row r="37" spans="1:276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>
        <v>214099.20000000001</v>
      </c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214099.20000000001</v>
      </c>
      <c r="JJ37" s="379">
        <v>5543</v>
      </c>
      <c r="JK37" s="122"/>
      <c r="JL37" s="125"/>
      <c r="JM37" s="345"/>
      <c r="JN37" s="125"/>
      <c r="JO37" s="125"/>
      <c r="JP37" s="125"/>
    </row>
    <row r="38" spans="1:276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>
        <v>248700</v>
      </c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248700</v>
      </c>
      <c r="JJ38" s="379">
        <v>5548</v>
      </c>
      <c r="JK38" s="122"/>
      <c r="JL38" s="125"/>
      <c r="JM38" s="345"/>
      <c r="JN38" s="125"/>
      <c r="JO38" s="125"/>
      <c r="JP38" s="125"/>
    </row>
    <row r="39" spans="1:276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>
        <v>183810</v>
      </c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183810</v>
      </c>
      <c r="JJ39" s="379">
        <v>5552</v>
      </c>
      <c r="JK39" s="122"/>
      <c r="JL39" s="125"/>
      <c r="JM39" s="345"/>
      <c r="JN39" s="125"/>
      <c r="JO39" s="125"/>
      <c r="JP39" s="125"/>
    </row>
    <row r="40" spans="1:276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>
        <v>199000</v>
      </c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199000</v>
      </c>
      <c r="JJ40" s="379">
        <v>5558</v>
      </c>
      <c r="JK40" s="122"/>
      <c r="JL40" s="125"/>
      <c r="JM40" s="345"/>
      <c r="JN40" s="125"/>
      <c r="JO40" s="125"/>
      <c r="JP40" s="125"/>
    </row>
    <row r="41" spans="1:276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>
        <v>185850</v>
      </c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185850</v>
      </c>
      <c r="JJ41" s="379">
        <v>5560</v>
      </c>
      <c r="JK41" s="122"/>
      <c r="JL41" s="125"/>
      <c r="JM41" s="345"/>
      <c r="JN41" s="125"/>
      <c r="JO41" s="125"/>
      <c r="JP41" s="125"/>
    </row>
    <row r="42" spans="1:276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>
        <v>247800</v>
      </c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247800</v>
      </c>
      <c r="JJ42" s="379">
        <v>5567</v>
      </c>
      <c r="JK42" s="122"/>
      <c r="JL42" s="125"/>
      <c r="JM42" s="345"/>
      <c r="JN42" s="125"/>
      <c r="JO42" s="125"/>
      <c r="JP42" s="125"/>
    </row>
    <row r="43" spans="1:276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>
        <v>212400</v>
      </c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212400</v>
      </c>
      <c r="JJ43" s="379">
        <v>5568</v>
      </c>
      <c r="JK43" s="122"/>
      <c r="JL43" s="125"/>
      <c r="JM43" s="345"/>
      <c r="JN43" s="125"/>
      <c r="JO43" s="125"/>
      <c r="JP43" s="125"/>
    </row>
    <row r="44" spans="1:276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>
        <v>247800</v>
      </c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247800</v>
      </c>
      <c r="JJ44" s="379">
        <v>5570</v>
      </c>
      <c r="JK44" s="122"/>
      <c r="JL44" s="125"/>
      <c r="JM44" s="345"/>
      <c r="JN44" s="125"/>
      <c r="JO44" s="125"/>
      <c r="JP44" s="125"/>
    </row>
    <row r="45" spans="1:276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>
        <v>1825000</v>
      </c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1825000</v>
      </c>
      <c r="JJ45" s="379">
        <v>5577</v>
      </c>
      <c r="JK45" s="122"/>
      <c r="JL45" s="125"/>
      <c r="JM45" s="345"/>
      <c r="JN45" s="125"/>
      <c r="JO45" s="125"/>
      <c r="JP45" s="125"/>
    </row>
    <row r="46" spans="1:27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>
        <v>138340</v>
      </c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138340</v>
      </c>
      <c r="JJ46" s="379">
        <v>5578</v>
      </c>
      <c r="JK46" s="122"/>
      <c r="JL46" s="125"/>
      <c r="JM46" s="345"/>
      <c r="JN46" s="125"/>
      <c r="JO46" s="125"/>
      <c r="JP46" s="125"/>
    </row>
    <row r="47" spans="1:276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>
        <v>472000</v>
      </c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472000</v>
      </c>
      <c r="JJ47" s="379">
        <v>5587</v>
      </c>
      <c r="JK47" s="122"/>
      <c r="JL47" s="125"/>
      <c r="JM47" s="345"/>
      <c r="JN47" s="125"/>
      <c r="JO47" s="125"/>
      <c r="JP47" s="125"/>
    </row>
    <row r="48" spans="1:276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>
        <v>169920</v>
      </c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169920</v>
      </c>
      <c r="JJ48" s="379">
        <v>5589</v>
      </c>
      <c r="JK48" s="122"/>
      <c r="JL48" s="125"/>
      <c r="JM48" s="345"/>
      <c r="JN48" s="125"/>
      <c r="JO48" s="125"/>
      <c r="JP48" s="125"/>
    </row>
    <row r="49" spans="1:276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>
        <v>112536</v>
      </c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>
        <v>116820</v>
      </c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229356</v>
      </c>
      <c r="JJ49" s="379">
        <v>5590</v>
      </c>
      <c r="JK49" s="122"/>
      <c r="JL49" s="125"/>
      <c r="JM49" s="345"/>
      <c r="JN49" s="125"/>
      <c r="JO49" s="125"/>
      <c r="JP49" s="125"/>
    </row>
    <row r="50" spans="1:276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>
        <v>405611.43</v>
      </c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405611.43</v>
      </c>
      <c r="JJ50" s="379">
        <v>5596</v>
      </c>
      <c r="JK50" s="122"/>
      <c r="JL50" s="125"/>
      <c r="JM50" s="345"/>
      <c r="JN50" s="125"/>
      <c r="JO50" s="125"/>
      <c r="JP50" s="125"/>
    </row>
    <row r="51" spans="1:276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>
        <v>225993.60000000001</v>
      </c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225993.60000000001</v>
      </c>
      <c r="JJ51" s="379">
        <v>5601</v>
      </c>
      <c r="JK51" s="122"/>
      <c r="JL51" s="125"/>
      <c r="JM51" s="345"/>
      <c r="JN51" s="125"/>
      <c r="JO51" s="125"/>
      <c r="JP51" s="125"/>
    </row>
    <row r="52" spans="1:276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>
        <v>262243.20000000001</v>
      </c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262243.20000000001</v>
      </c>
      <c r="JJ52" s="379">
        <v>5602</v>
      </c>
      <c r="JK52" s="122"/>
      <c r="JL52" s="125"/>
      <c r="JM52" s="345"/>
      <c r="JN52" s="125"/>
      <c r="JO52" s="125"/>
      <c r="JP52" s="125"/>
    </row>
    <row r="53" spans="1:276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>
        <v>241700</v>
      </c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241700</v>
      </c>
      <c r="JJ53" s="379">
        <v>5608</v>
      </c>
      <c r="JK53" s="122"/>
      <c r="JL53" s="125"/>
      <c r="JM53" s="345"/>
      <c r="JN53" s="125"/>
      <c r="JO53" s="125"/>
      <c r="JP53" s="125"/>
    </row>
    <row r="54" spans="1:276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>
        <v>525496.48</v>
      </c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525496.48</v>
      </c>
      <c r="JJ54" s="379">
        <v>5612</v>
      </c>
      <c r="JK54" s="122"/>
      <c r="JL54" s="125"/>
      <c r="JM54" s="345"/>
      <c r="JN54" s="125"/>
      <c r="JO54" s="125"/>
      <c r="JP54" s="125"/>
    </row>
    <row r="55" spans="1:276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>
        <v>237500</v>
      </c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237500</v>
      </c>
      <c r="JJ55" s="379">
        <v>5615</v>
      </c>
      <c r="JK55" s="122"/>
      <c r="JL55" s="125"/>
      <c r="JM55" s="345"/>
      <c r="JN55" s="125"/>
      <c r="JO55" s="125"/>
      <c r="JP55" s="125"/>
    </row>
    <row r="56" spans="1:27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>
        <v>270000</v>
      </c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270000</v>
      </c>
      <c r="JJ56" s="379">
        <v>5622</v>
      </c>
      <c r="JK56" s="122"/>
      <c r="JL56" s="125"/>
      <c r="JM56" s="345"/>
      <c r="JN56" s="125"/>
      <c r="JO56" s="125"/>
      <c r="JP56" s="125"/>
    </row>
    <row r="57" spans="1:276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>
        <v>215350</v>
      </c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215350</v>
      </c>
      <c r="JJ57" s="379">
        <v>5627</v>
      </c>
      <c r="JK57" s="122"/>
      <c r="JL57" s="125"/>
      <c r="JM57" s="345"/>
      <c r="JN57" s="125"/>
      <c r="JO57" s="125"/>
      <c r="JP57" s="125"/>
    </row>
    <row r="58" spans="1:276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>
        <v>260000</v>
      </c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/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  <c r="GJ58" s="122"/>
      <c r="GK58" s="122"/>
      <c r="GL58" s="122"/>
      <c r="GM58" s="122"/>
      <c r="GN58" s="122"/>
      <c r="GO58" s="122"/>
      <c r="GP58" s="122"/>
      <c r="GQ58" s="122"/>
      <c r="GR58" s="122"/>
      <c r="GS58" s="122"/>
      <c r="GT58" s="122"/>
      <c r="GU58" s="122"/>
      <c r="GV58" s="122"/>
      <c r="GW58" s="122"/>
      <c r="GX58" s="122"/>
      <c r="GY58" s="122"/>
      <c r="GZ58" s="122"/>
      <c r="HA58" s="122"/>
      <c r="HB58" s="122"/>
      <c r="HC58" s="122"/>
      <c r="HD58" s="122"/>
      <c r="HE58" s="122"/>
      <c r="HF58" s="122"/>
      <c r="HG58" s="122"/>
      <c r="HH58" s="122"/>
      <c r="HI58" s="122"/>
      <c r="HJ58" s="122"/>
      <c r="HK58" s="122"/>
      <c r="HL58" s="122"/>
      <c r="HM58" s="122"/>
      <c r="HN58" s="122"/>
      <c r="HO58" s="122"/>
      <c r="HP58" s="122"/>
      <c r="HQ58" s="122"/>
      <c r="HR58" s="122"/>
      <c r="HS58" s="122"/>
      <c r="HT58" s="122"/>
      <c r="HU58" s="122"/>
      <c r="HV58" s="122"/>
      <c r="HW58" s="122"/>
      <c r="HX58" s="122"/>
      <c r="HY58" s="122"/>
      <c r="HZ58" s="122"/>
      <c r="IA58" s="122"/>
      <c r="IB58" s="122"/>
      <c r="IC58" s="122"/>
      <c r="ID58" s="122"/>
      <c r="IE58" s="122"/>
      <c r="IF58" s="122"/>
      <c r="IG58" s="122"/>
      <c r="IH58" s="122"/>
      <c r="II58" s="122"/>
      <c r="IJ58" s="122"/>
      <c r="IK58" s="122"/>
      <c r="IL58" s="122"/>
      <c r="IM58" s="122"/>
      <c r="IN58" s="122"/>
      <c r="IO58" s="122"/>
      <c r="IP58" s="122"/>
      <c r="IQ58" s="122"/>
      <c r="IR58" s="122"/>
      <c r="IS58" s="122"/>
      <c r="IT58" s="122"/>
      <c r="IU58" s="122"/>
      <c r="IV58" s="122"/>
      <c r="IW58" s="122"/>
      <c r="IX58" s="122"/>
      <c r="IY58" s="122"/>
      <c r="IZ58" s="122"/>
      <c r="JA58" s="122"/>
      <c r="JB58" s="122"/>
      <c r="JC58" s="122"/>
      <c r="JD58" s="122"/>
      <c r="JE58" s="122"/>
      <c r="JF58" s="122"/>
      <c r="JG58" s="122"/>
      <c r="JH58" s="122"/>
      <c r="JI58" s="119">
        <f t="shared" si="0"/>
        <v>260000</v>
      </c>
      <c r="JJ58" s="379">
        <v>5628</v>
      </c>
      <c r="JK58" s="122"/>
      <c r="JL58" s="125"/>
      <c r="JM58" s="345"/>
      <c r="JN58" s="125"/>
      <c r="JO58" s="125"/>
      <c r="JP58" s="125"/>
    </row>
    <row r="59" spans="1:276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>
        <v>90000</v>
      </c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/>
      <c r="GC59" s="122"/>
      <c r="GD59" s="122"/>
      <c r="GE59" s="122"/>
      <c r="GF59" s="122"/>
      <c r="GG59" s="122"/>
      <c r="GH59" s="122"/>
      <c r="GI59" s="122"/>
      <c r="GJ59" s="122"/>
      <c r="GK59" s="122"/>
      <c r="GL59" s="122"/>
      <c r="GM59" s="122"/>
      <c r="GN59" s="122"/>
      <c r="GO59" s="122"/>
      <c r="GP59" s="122"/>
      <c r="GQ59" s="122"/>
      <c r="GR59" s="122"/>
      <c r="GS59" s="122"/>
      <c r="GT59" s="122"/>
      <c r="GU59" s="122"/>
      <c r="GV59" s="122"/>
      <c r="GW59" s="122"/>
      <c r="GX59" s="122"/>
      <c r="GY59" s="122"/>
      <c r="GZ59" s="122"/>
      <c r="HA59" s="122"/>
      <c r="HB59" s="122"/>
      <c r="HC59" s="122"/>
      <c r="HD59" s="122"/>
      <c r="HE59" s="122"/>
      <c r="HF59" s="122"/>
      <c r="HG59" s="122"/>
      <c r="HH59" s="122"/>
      <c r="HI59" s="122"/>
      <c r="HJ59" s="122"/>
      <c r="HK59" s="122"/>
      <c r="HL59" s="122"/>
      <c r="HM59" s="122"/>
      <c r="HN59" s="122"/>
      <c r="HO59" s="122"/>
      <c r="HP59" s="122"/>
      <c r="HQ59" s="122"/>
      <c r="HR59" s="122"/>
      <c r="HS59" s="122"/>
      <c r="HT59" s="122"/>
      <c r="HU59" s="122"/>
      <c r="HV59" s="122"/>
      <c r="HW59" s="122"/>
      <c r="HX59" s="122"/>
      <c r="HY59" s="122"/>
      <c r="HZ59" s="122"/>
      <c r="IA59" s="122"/>
      <c r="IB59" s="122"/>
      <c r="IC59" s="122"/>
      <c r="ID59" s="122"/>
      <c r="IE59" s="122"/>
      <c r="IF59" s="122"/>
      <c r="IG59" s="122"/>
      <c r="IH59" s="122"/>
      <c r="II59" s="122"/>
      <c r="IJ59" s="122"/>
      <c r="IK59" s="122"/>
      <c r="IL59" s="122"/>
      <c r="IM59" s="122"/>
      <c r="IN59" s="122"/>
      <c r="IO59" s="122"/>
      <c r="IP59" s="122"/>
      <c r="IQ59" s="122"/>
      <c r="IR59" s="122"/>
      <c r="IS59" s="122"/>
      <c r="IT59" s="122"/>
      <c r="IU59" s="122"/>
      <c r="IV59" s="122"/>
      <c r="IW59" s="122"/>
      <c r="IX59" s="122"/>
      <c r="IY59" s="122"/>
      <c r="IZ59" s="122"/>
      <c r="JA59" s="122"/>
      <c r="JB59" s="122"/>
      <c r="JC59" s="122"/>
      <c r="JD59" s="122"/>
      <c r="JE59" s="122"/>
      <c r="JF59" s="122"/>
      <c r="JG59" s="122"/>
      <c r="JH59" s="122"/>
      <c r="JI59" s="119">
        <f t="shared" si="0"/>
        <v>90000</v>
      </c>
      <c r="JJ59" s="379">
        <v>5630</v>
      </c>
      <c r="JK59" s="122"/>
      <c r="JL59" s="125"/>
      <c r="JM59" s="345"/>
      <c r="JN59" s="125"/>
      <c r="JO59" s="125"/>
      <c r="JP59" s="125"/>
    </row>
    <row r="60" spans="1:276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>
        <v>1882572</v>
      </c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 t="shared" si="0"/>
        <v>1882572</v>
      </c>
      <c r="JJ60" s="379">
        <v>5635</v>
      </c>
      <c r="JK60" s="122"/>
      <c r="JL60" s="125"/>
      <c r="JM60" s="345"/>
      <c r="JN60" s="125"/>
      <c r="JO60" s="125"/>
      <c r="JP60" s="125"/>
    </row>
    <row r="61" spans="1:276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>
        <v>246474.86</v>
      </c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>
        <v>18413.810000000001</v>
      </c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>
        <v>5988.5</v>
      </c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si="0"/>
        <v>270877.17</v>
      </c>
      <c r="JJ61" s="379">
        <v>5638</v>
      </c>
      <c r="JK61" s="122"/>
      <c r="JL61" s="125"/>
      <c r="JM61" s="345"/>
      <c r="JN61" s="125"/>
      <c r="JO61" s="125"/>
      <c r="JP61" s="125"/>
    </row>
    <row r="62" spans="1:276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>
        <v>826167.48</v>
      </c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0"/>
        <v>826167.48</v>
      </c>
      <c r="JJ62" s="379">
        <v>5642</v>
      </c>
      <c r="JK62" s="122"/>
      <c r="JL62" s="125"/>
      <c r="JM62" s="345"/>
      <c r="JN62" s="125"/>
      <c r="JO62" s="125"/>
      <c r="JP62" s="125"/>
    </row>
    <row r="63" spans="1:276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>
        <v>468280</v>
      </c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0"/>
        <v>468280</v>
      </c>
      <c r="JJ63" s="379">
        <v>5652</v>
      </c>
      <c r="JK63" s="122"/>
      <c r="JL63" s="125"/>
      <c r="JM63" s="345"/>
      <c r="JN63" s="125"/>
      <c r="JO63" s="125"/>
      <c r="JP63" s="125"/>
    </row>
    <row r="64" spans="1:276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>
        <v>1847142.5</v>
      </c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0"/>
        <v>1847142.5</v>
      </c>
      <c r="JJ64" s="379">
        <v>5653</v>
      </c>
      <c r="JK64" s="122"/>
      <c r="JL64" s="125"/>
      <c r="JM64" s="345"/>
      <c r="JN64" s="125"/>
      <c r="JO64" s="125"/>
      <c r="JP64" s="125"/>
    </row>
    <row r="65" spans="1:276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>
        <v>25410.36</v>
      </c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>
        <v>8201</v>
      </c>
      <c r="FR65" s="122"/>
      <c r="FS65" s="122"/>
      <c r="FT65" s="122"/>
      <c r="FU65" s="122"/>
      <c r="FV65" s="122"/>
      <c r="FW65" s="122"/>
      <c r="FX65" s="122"/>
      <c r="FY65" s="122"/>
      <c r="FZ65" s="122"/>
      <c r="GA65" s="122">
        <v>10227.200000000001</v>
      </c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0"/>
        <v>43838.559999999998</v>
      </c>
      <c r="JJ65" s="379">
        <v>5654</v>
      </c>
      <c r="JK65" s="122"/>
      <c r="JL65" s="125"/>
      <c r="JM65" s="345"/>
      <c r="JN65" s="125"/>
      <c r="JO65" s="125"/>
      <c r="JP65" s="125"/>
    </row>
    <row r="66" spans="1:27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>
        <v>52215</v>
      </c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0"/>
        <v>52215</v>
      </c>
      <c r="JJ66" s="379">
        <v>5662</v>
      </c>
      <c r="JK66" s="122"/>
      <c r="JL66" s="125"/>
      <c r="JM66" s="345"/>
      <c r="JN66" s="125"/>
      <c r="JO66" s="125"/>
      <c r="JP66" s="125"/>
    </row>
    <row r="67" spans="1:276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>
        <v>688500</v>
      </c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ref="JI67:JI130" si="1">SUM(A67:JH67)</f>
        <v>688500</v>
      </c>
      <c r="JJ67" s="379">
        <v>5664</v>
      </c>
      <c r="JK67" s="122"/>
      <c r="JL67" s="125"/>
      <c r="JM67" s="345"/>
      <c r="JN67" s="125"/>
      <c r="JO67" s="125"/>
      <c r="JP67" s="125"/>
    </row>
    <row r="68" spans="1:276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>
        <v>304793.03999999998</v>
      </c>
      <c r="GI68" s="122"/>
      <c r="GJ68" s="122"/>
      <c r="GK68" s="122"/>
      <c r="GL68" s="122"/>
      <c r="GM68" s="122"/>
      <c r="GN68" s="122"/>
      <c r="GO68" s="122"/>
      <c r="GP68" s="122"/>
      <c r="GQ68" s="122"/>
      <c r="GR68" s="122">
        <v>88500</v>
      </c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si="1"/>
        <v>393293.04</v>
      </c>
      <c r="JJ68" s="379">
        <v>5668</v>
      </c>
      <c r="JK68" s="122"/>
      <c r="JL68" s="125"/>
      <c r="JM68" s="345"/>
      <c r="JN68" s="125"/>
      <c r="JO68" s="125"/>
      <c r="JP68" s="125"/>
    </row>
    <row r="69" spans="1:276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>
        <v>270000</v>
      </c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si="1"/>
        <v>270000</v>
      </c>
      <c r="JJ69" s="379">
        <v>5674</v>
      </c>
      <c r="JK69" s="122"/>
      <c r="JL69" s="125"/>
      <c r="JM69" s="345"/>
      <c r="JN69" s="125"/>
      <c r="JO69" s="125"/>
      <c r="JP69" s="125"/>
    </row>
    <row r="70" spans="1:276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>
        <v>8850</v>
      </c>
      <c r="FK70" s="122"/>
      <c r="FL70" s="122"/>
      <c r="FM70" s="122"/>
      <c r="FN70" s="122"/>
      <c r="FO70" s="122"/>
      <c r="FP70" s="122"/>
      <c r="FQ70" s="122"/>
      <c r="FR70" s="122"/>
      <c r="FS70" s="122"/>
      <c r="FT70" s="122">
        <v>349409.8</v>
      </c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1"/>
        <v>358259.8</v>
      </c>
      <c r="JJ70" s="379">
        <v>5676</v>
      </c>
      <c r="JK70" s="122"/>
      <c r="JL70" s="125"/>
      <c r="JM70" s="345"/>
      <c r="JN70" s="125"/>
      <c r="JO70" s="125"/>
      <c r="JP70" s="125"/>
    </row>
    <row r="71" spans="1:276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>
        <v>169802</v>
      </c>
      <c r="GI71" s="122"/>
      <c r="GJ71" s="122"/>
      <c r="GK71" s="122">
        <v>40946</v>
      </c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 t="shared" si="1"/>
        <v>210748</v>
      </c>
      <c r="JJ71" s="379">
        <v>5684</v>
      </c>
      <c r="JK71" s="122"/>
      <c r="JL71" s="125"/>
      <c r="JM71" s="345"/>
      <c r="JN71" s="125"/>
      <c r="JO71" s="125"/>
      <c r="JP71" s="125"/>
    </row>
    <row r="72" spans="1:276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>
        <v>468467</v>
      </c>
      <c r="FK72" s="122"/>
      <c r="FL72" s="122"/>
      <c r="FM72" s="122"/>
      <c r="FN72" s="122"/>
      <c r="FO72" s="122"/>
      <c r="FP72" s="122"/>
      <c r="FQ72" s="122"/>
      <c r="FR72" s="122"/>
      <c r="FS72" s="122"/>
      <c r="FT72" s="122">
        <v>124336.6</v>
      </c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/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>
        <f t="shared" si="1"/>
        <v>592803.6</v>
      </c>
      <c r="JJ72" s="379">
        <v>5687</v>
      </c>
      <c r="JK72" s="122"/>
      <c r="JL72" s="125"/>
      <c r="JM72" s="345"/>
      <c r="JN72" s="125"/>
      <c r="JO72" s="125"/>
      <c r="JP72" s="125"/>
    </row>
    <row r="73" spans="1:276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>
        <v>1407050</v>
      </c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>
        <f t="shared" si="1"/>
        <v>1407050</v>
      </c>
      <c r="JJ73" s="379">
        <v>5695</v>
      </c>
      <c r="JK73" s="122"/>
      <c r="JL73" s="125"/>
      <c r="JM73" s="345"/>
      <c r="JN73" s="125"/>
      <c r="JO73" s="125"/>
      <c r="JP73" s="125"/>
    </row>
    <row r="74" spans="1:276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>
        <v>260000</v>
      </c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  <c r="GJ74" s="122"/>
      <c r="GK74" s="122"/>
      <c r="GL74" s="122"/>
      <c r="GM74" s="122"/>
      <c r="GN74" s="122"/>
      <c r="GO74" s="122"/>
      <c r="GP74" s="122"/>
      <c r="GQ74" s="122"/>
      <c r="GR74" s="122"/>
      <c r="GS74" s="122"/>
      <c r="GT74" s="122"/>
      <c r="GU74" s="122"/>
      <c r="GV74" s="122"/>
      <c r="GW74" s="122"/>
      <c r="GX74" s="122"/>
      <c r="GY74" s="122"/>
      <c r="GZ74" s="122"/>
      <c r="HA74" s="122"/>
      <c r="HB74" s="122"/>
      <c r="HC74" s="122"/>
      <c r="HD74" s="122"/>
      <c r="HE74" s="122"/>
      <c r="HF74" s="122"/>
      <c r="HG74" s="122"/>
      <c r="HH74" s="122"/>
      <c r="HI74" s="122"/>
      <c r="HJ74" s="122"/>
      <c r="HK74" s="122"/>
      <c r="HL74" s="122"/>
      <c r="HM74" s="122"/>
      <c r="HN74" s="122"/>
      <c r="HO74" s="122"/>
      <c r="HP74" s="122"/>
      <c r="HQ74" s="122"/>
      <c r="HR74" s="122"/>
      <c r="HS74" s="122"/>
      <c r="HT74" s="122"/>
      <c r="HU74" s="122"/>
      <c r="HV74" s="122"/>
      <c r="HW74" s="122"/>
      <c r="HX74" s="122"/>
      <c r="HY74" s="122"/>
      <c r="HZ74" s="122"/>
      <c r="IA74" s="122"/>
      <c r="IB74" s="122"/>
      <c r="IC74" s="122"/>
      <c r="ID74" s="122"/>
      <c r="IE74" s="122"/>
      <c r="IF74" s="122"/>
      <c r="IG74" s="122"/>
      <c r="IH74" s="122"/>
      <c r="II74" s="122"/>
      <c r="IJ74" s="122"/>
      <c r="IK74" s="122"/>
      <c r="IL74" s="122"/>
      <c r="IM74" s="122"/>
      <c r="IN74" s="122"/>
      <c r="IO74" s="122"/>
      <c r="IP74" s="122"/>
      <c r="IQ74" s="122"/>
      <c r="IR74" s="122"/>
      <c r="IS74" s="122"/>
      <c r="IT74" s="122"/>
      <c r="IU74" s="122"/>
      <c r="IV74" s="122"/>
      <c r="IW74" s="122"/>
      <c r="IX74" s="122"/>
      <c r="IY74" s="122"/>
      <c r="IZ74" s="122"/>
      <c r="JA74" s="122"/>
      <c r="JB74" s="122"/>
      <c r="JC74" s="122"/>
      <c r="JD74" s="122"/>
      <c r="JE74" s="122"/>
      <c r="JF74" s="122"/>
      <c r="JG74" s="122"/>
      <c r="JH74" s="122"/>
      <c r="JI74" s="119">
        <f t="shared" si="1"/>
        <v>260000</v>
      </c>
      <c r="JJ74" s="379">
        <v>5699</v>
      </c>
      <c r="JK74" s="122"/>
      <c r="JL74" s="125"/>
      <c r="JM74" s="345"/>
      <c r="JN74" s="125"/>
      <c r="JO74" s="125"/>
      <c r="JP74" s="125"/>
    </row>
    <row r="75" spans="1:276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>
        <v>1982400</v>
      </c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  <c r="GJ75" s="122"/>
      <c r="GK75" s="122"/>
      <c r="GL75" s="122"/>
      <c r="GM75" s="122"/>
      <c r="GN75" s="122"/>
      <c r="GO75" s="122"/>
      <c r="GP75" s="122"/>
      <c r="GQ75" s="122"/>
      <c r="GR75" s="122"/>
      <c r="GS75" s="122"/>
      <c r="GT75" s="122"/>
      <c r="GU75" s="122"/>
      <c r="GV75" s="122"/>
      <c r="GW75" s="122"/>
      <c r="GX75" s="122"/>
      <c r="GY75" s="122"/>
      <c r="GZ75" s="122"/>
      <c r="HA75" s="122"/>
      <c r="HB75" s="122"/>
      <c r="HC75" s="122"/>
      <c r="HD75" s="122"/>
      <c r="HE75" s="122"/>
      <c r="HF75" s="122"/>
      <c r="HG75" s="122"/>
      <c r="HH75" s="122"/>
      <c r="HI75" s="122"/>
      <c r="HJ75" s="122"/>
      <c r="HK75" s="122"/>
      <c r="HL75" s="122"/>
      <c r="HM75" s="122"/>
      <c r="HN75" s="122"/>
      <c r="HO75" s="122"/>
      <c r="HP75" s="122"/>
      <c r="HQ75" s="122"/>
      <c r="HR75" s="122"/>
      <c r="HS75" s="122"/>
      <c r="HT75" s="122"/>
      <c r="HU75" s="122"/>
      <c r="HV75" s="122"/>
      <c r="HW75" s="122"/>
      <c r="HX75" s="122"/>
      <c r="HY75" s="122"/>
      <c r="HZ75" s="122"/>
      <c r="IA75" s="122"/>
      <c r="IB75" s="122"/>
      <c r="IC75" s="122"/>
      <c r="ID75" s="122"/>
      <c r="IE75" s="122"/>
      <c r="IF75" s="122"/>
      <c r="IG75" s="122"/>
      <c r="IH75" s="122"/>
      <c r="II75" s="122"/>
      <c r="IJ75" s="122"/>
      <c r="IK75" s="122"/>
      <c r="IL75" s="122"/>
      <c r="IM75" s="122"/>
      <c r="IN75" s="122"/>
      <c r="IO75" s="122"/>
      <c r="IP75" s="122"/>
      <c r="IQ75" s="122"/>
      <c r="IR75" s="122"/>
      <c r="IS75" s="122"/>
      <c r="IT75" s="122"/>
      <c r="IU75" s="122"/>
      <c r="IV75" s="122"/>
      <c r="IW75" s="122"/>
      <c r="IX75" s="122"/>
      <c r="IY75" s="122"/>
      <c r="IZ75" s="122"/>
      <c r="JA75" s="122"/>
      <c r="JB75" s="122"/>
      <c r="JC75" s="122"/>
      <c r="JD75" s="122"/>
      <c r="JE75" s="122"/>
      <c r="JF75" s="122"/>
      <c r="JG75" s="122"/>
      <c r="JH75" s="122"/>
      <c r="JI75" s="119">
        <f t="shared" si="1"/>
        <v>1982400</v>
      </c>
      <c r="JJ75" s="379">
        <v>5703</v>
      </c>
      <c r="JK75" s="122"/>
      <c r="JL75" s="125"/>
      <c r="JM75" s="345"/>
      <c r="JN75" s="125"/>
      <c r="JO75" s="125"/>
      <c r="JP75" s="125"/>
    </row>
    <row r="76" spans="1:2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>
        <v>272500</v>
      </c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/>
      <c r="FK76" s="122"/>
      <c r="FL76" s="122"/>
      <c r="FM76" s="122"/>
      <c r="FN76" s="122"/>
      <c r="FO76" s="122"/>
      <c r="FP76" s="122"/>
      <c r="FQ76" s="122"/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  <c r="GJ76" s="122"/>
      <c r="GK76" s="122"/>
      <c r="GL76" s="122"/>
      <c r="GM76" s="122"/>
      <c r="GN76" s="122"/>
      <c r="GO76" s="122"/>
      <c r="GP76" s="122"/>
      <c r="GQ76" s="122"/>
      <c r="GR76" s="122"/>
      <c r="GS76" s="122"/>
      <c r="GT76" s="122"/>
      <c r="GU76" s="122"/>
      <c r="GV76" s="122"/>
      <c r="GW76" s="122"/>
      <c r="GX76" s="122"/>
      <c r="GY76" s="122"/>
      <c r="GZ76" s="122"/>
      <c r="HA76" s="122"/>
      <c r="HB76" s="122"/>
      <c r="HC76" s="122"/>
      <c r="HD76" s="122"/>
      <c r="HE76" s="122"/>
      <c r="HF76" s="122"/>
      <c r="HG76" s="122"/>
      <c r="HH76" s="122"/>
      <c r="HI76" s="122"/>
      <c r="HJ76" s="122"/>
      <c r="HK76" s="122"/>
      <c r="HL76" s="122"/>
      <c r="HM76" s="122"/>
      <c r="HN76" s="122"/>
      <c r="HO76" s="122"/>
      <c r="HP76" s="122"/>
      <c r="HQ76" s="122"/>
      <c r="HR76" s="122"/>
      <c r="HS76" s="122"/>
      <c r="HT76" s="122"/>
      <c r="HU76" s="122"/>
      <c r="HV76" s="122"/>
      <c r="HW76" s="122"/>
      <c r="HX76" s="122"/>
      <c r="HY76" s="122"/>
      <c r="HZ76" s="122"/>
      <c r="IA76" s="122"/>
      <c r="IB76" s="122"/>
      <c r="IC76" s="122"/>
      <c r="ID76" s="122"/>
      <c r="IE76" s="122"/>
      <c r="IF76" s="122"/>
      <c r="IG76" s="122"/>
      <c r="IH76" s="122"/>
      <c r="II76" s="122"/>
      <c r="IJ76" s="122"/>
      <c r="IK76" s="122"/>
      <c r="IL76" s="122"/>
      <c r="IM76" s="122"/>
      <c r="IN76" s="122"/>
      <c r="IO76" s="122"/>
      <c r="IP76" s="122"/>
      <c r="IQ76" s="122"/>
      <c r="IR76" s="122"/>
      <c r="IS76" s="122"/>
      <c r="IT76" s="122"/>
      <c r="IU76" s="122"/>
      <c r="IV76" s="122"/>
      <c r="IW76" s="122"/>
      <c r="IX76" s="122"/>
      <c r="IY76" s="122"/>
      <c r="IZ76" s="122"/>
      <c r="JA76" s="122"/>
      <c r="JB76" s="122"/>
      <c r="JC76" s="122"/>
      <c r="JD76" s="122"/>
      <c r="JE76" s="122"/>
      <c r="JF76" s="122"/>
      <c r="JG76" s="122"/>
      <c r="JH76" s="122"/>
      <c r="JI76" s="119">
        <f t="shared" si="1"/>
        <v>272500</v>
      </c>
      <c r="JJ76" s="379">
        <v>5707</v>
      </c>
      <c r="JK76" s="122"/>
      <c r="JL76" s="125"/>
      <c r="JM76" s="345"/>
      <c r="JN76" s="125"/>
      <c r="JO76" s="125"/>
      <c r="JP76" s="125"/>
    </row>
    <row r="77" spans="1:276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/>
      <c r="FK77" s="122"/>
      <c r="FL77" s="122"/>
      <c r="FM77" s="122"/>
      <c r="FN77" s="122"/>
      <c r="FO77" s="122"/>
      <c r="FP77" s="122"/>
      <c r="FQ77" s="122"/>
      <c r="FR77" s="122"/>
      <c r="FS77" s="122"/>
      <c r="FT77" s="122"/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>
        <v>251040.3</v>
      </c>
      <c r="GI77" s="122"/>
      <c r="GJ77" s="122"/>
      <c r="GK77" s="122">
        <v>20876.919999999998</v>
      </c>
      <c r="GL77" s="122"/>
      <c r="GM77" s="122"/>
      <c r="GN77" s="122"/>
      <c r="GO77" s="122"/>
      <c r="GP77" s="122"/>
      <c r="GQ77" s="122"/>
      <c r="GR77" s="122"/>
      <c r="GS77" s="122"/>
      <c r="GT77" s="122"/>
      <c r="GU77" s="122"/>
      <c r="GV77" s="122"/>
      <c r="GW77" s="122"/>
      <c r="GX77" s="122"/>
      <c r="GY77" s="122"/>
      <c r="GZ77" s="122"/>
      <c r="HA77" s="122"/>
      <c r="HB77" s="122"/>
      <c r="HC77" s="122"/>
      <c r="HD77" s="122"/>
      <c r="HE77" s="122"/>
      <c r="HF77" s="122"/>
      <c r="HG77" s="122"/>
      <c r="HH77" s="122"/>
      <c r="HI77" s="122"/>
      <c r="HJ77" s="122"/>
      <c r="HK77" s="122"/>
      <c r="HL77" s="122"/>
      <c r="HM77" s="122"/>
      <c r="HN77" s="122"/>
      <c r="HO77" s="122"/>
      <c r="HP77" s="122"/>
      <c r="HQ77" s="122"/>
      <c r="HR77" s="122"/>
      <c r="HS77" s="122"/>
      <c r="HT77" s="122"/>
      <c r="HU77" s="122"/>
      <c r="HV77" s="122"/>
      <c r="HW77" s="122"/>
      <c r="HX77" s="122"/>
      <c r="HY77" s="122"/>
      <c r="HZ77" s="122"/>
      <c r="IA77" s="122"/>
      <c r="IB77" s="122"/>
      <c r="IC77" s="122"/>
      <c r="ID77" s="122"/>
      <c r="IE77" s="122"/>
      <c r="IF77" s="122"/>
      <c r="IG77" s="122"/>
      <c r="IH77" s="122"/>
      <c r="II77" s="122"/>
      <c r="IJ77" s="122"/>
      <c r="IK77" s="122"/>
      <c r="IL77" s="122"/>
      <c r="IM77" s="122"/>
      <c r="IN77" s="122"/>
      <c r="IO77" s="122"/>
      <c r="IP77" s="122"/>
      <c r="IQ77" s="122"/>
      <c r="IR77" s="122"/>
      <c r="IS77" s="122"/>
      <c r="IT77" s="122"/>
      <c r="IU77" s="122"/>
      <c r="IV77" s="122"/>
      <c r="IW77" s="122"/>
      <c r="IX77" s="122"/>
      <c r="IY77" s="122"/>
      <c r="IZ77" s="122"/>
      <c r="JA77" s="122"/>
      <c r="JB77" s="122"/>
      <c r="JC77" s="122"/>
      <c r="JD77" s="122"/>
      <c r="JE77" s="122"/>
      <c r="JF77" s="122"/>
      <c r="JG77" s="122"/>
      <c r="JH77" s="122"/>
      <c r="JI77" s="119">
        <f t="shared" si="1"/>
        <v>271917.21999999997</v>
      </c>
      <c r="JJ77" s="379">
        <v>5712</v>
      </c>
      <c r="JK77" s="122"/>
      <c r="JL77" s="125"/>
      <c r="JM77" s="345"/>
      <c r="JN77" s="125"/>
      <c r="JO77" s="125"/>
      <c r="JP77" s="125"/>
    </row>
    <row r="78" spans="1:276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  <c r="BU78" s="122"/>
      <c r="BV78" s="122"/>
      <c r="BW78" s="122"/>
      <c r="BX78" s="122"/>
      <c r="BY78" s="122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>
        <v>1239000</v>
      </c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  <c r="GJ78" s="122"/>
      <c r="GK78" s="122"/>
      <c r="GL78" s="122"/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/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/>
      <c r="JG78" s="122"/>
      <c r="JH78" s="122"/>
      <c r="JI78" s="119">
        <f t="shared" si="1"/>
        <v>1239000</v>
      </c>
      <c r="JJ78" s="379">
        <v>5716</v>
      </c>
      <c r="JK78" s="122"/>
      <c r="JL78" s="125"/>
      <c r="JM78" s="345"/>
      <c r="JN78" s="125"/>
      <c r="JO78" s="125"/>
      <c r="JP78" s="125"/>
    </row>
    <row r="79" spans="1:276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  <c r="BS79" s="122"/>
      <c r="BT79" s="122"/>
      <c r="BU79" s="122"/>
      <c r="BV79" s="122"/>
      <c r="BW79" s="122"/>
      <c r="BX79" s="122"/>
      <c r="BY79" s="122"/>
      <c r="BZ79" s="122"/>
      <c r="CA79" s="122"/>
      <c r="CB79" s="122"/>
      <c r="CC79" s="122"/>
      <c r="CD79" s="122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/>
      <c r="EZ79" s="122"/>
      <c r="FA79" s="122"/>
      <c r="FB79" s="122"/>
      <c r="FC79" s="122"/>
      <c r="FD79" s="122"/>
      <c r="FE79" s="122"/>
      <c r="FF79" s="122"/>
      <c r="FG79" s="122"/>
      <c r="FH79" s="122"/>
      <c r="FI79" s="122"/>
      <c r="FJ79" s="122"/>
      <c r="FK79" s="122"/>
      <c r="FL79" s="122"/>
      <c r="FM79" s="122"/>
      <c r="FN79" s="122"/>
      <c r="FO79" s="122"/>
      <c r="FP79" s="122"/>
      <c r="FQ79" s="122">
        <v>81333.62</v>
      </c>
      <c r="FR79" s="122"/>
      <c r="FS79" s="122"/>
      <c r="FT79" s="122"/>
      <c r="FU79" s="122"/>
      <c r="FV79" s="122"/>
      <c r="FW79" s="122"/>
      <c r="FX79" s="122"/>
      <c r="FY79" s="122"/>
      <c r="FZ79" s="122"/>
      <c r="GA79" s="122"/>
      <c r="GB79" s="122"/>
      <c r="GC79" s="122"/>
      <c r="GD79" s="122"/>
      <c r="GE79" s="122"/>
      <c r="GF79" s="122"/>
      <c r="GG79" s="122"/>
      <c r="GH79" s="122"/>
      <c r="GI79" s="122"/>
      <c r="GJ79" s="122"/>
      <c r="GK79" s="122"/>
      <c r="GL79" s="122"/>
      <c r="GM79" s="122"/>
      <c r="GN79" s="122"/>
      <c r="GO79" s="122"/>
      <c r="GP79" s="122"/>
      <c r="GQ79" s="122"/>
      <c r="GR79" s="122"/>
      <c r="GS79" s="122"/>
      <c r="GT79" s="122"/>
      <c r="GU79" s="122"/>
      <c r="GV79" s="122"/>
      <c r="GW79" s="122"/>
      <c r="GX79" s="122"/>
      <c r="GY79" s="122"/>
      <c r="GZ79" s="122"/>
      <c r="HA79" s="122"/>
      <c r="HB79" s="122"/>
      <c r="HC79" s="122"/>
      <c r="HD79" s="122"/>
      <c r="HE79" s="122"/>
      <c r="HF79" s="122"/>
      <c r="HG79" s="122"/>
      <c r="HH79" s="122"/>
      <c r="HI79" s="122"/>
      <c r="HJ79" s="122"/>
      <c r="HK79" s="122"/>
      <c r="HL79" s="122"/>
      <c r="HM79" s="122"/>
      <c r="HN79" s="122"/>
      <c r="HO79" s="122"/>
      <c r="HP79" s="122"/>
      <c r="HQ79" s="122"/>
      <c r="HR79" s="122"/>
      <c r="HS79" s="122"/>
      <c r="HT79" s="122"/>
      <c r="HU79" s="122"/>
      <c r="HV79" s="122"/>
      <c r="HW79" s="122"/>
      <c r="HX79" s="122"/>
      <c r="HY79" s="122"/>
      <c r="HZ79" s="122"/>
      <c r="IA79" s="122"/>
      <c r="IB79" s="122"/>
      <c r="IC79" s="122"/>
      <c r="ID79" s="122"/>
      <c r="IE79" s="122"/>
      <c r="IF79" s="122"/>
      <c r="IG79" s="122"/>
      <c r="IH79" s="122"/>
      <c r="II79" s="122"/>
      <c r="IJ79" s="122"/>
      <c r="IK79" s="122"/>
      <c r="IL79" s="122"/>
      <c r="IM79" s="122"/>
      <c r="IN79" s="122"/>
      <c r="IO79" s="122"/>
      <c r="IP79" s="122"/>
      <c r="IQ79" s="122"/>
      <c r="IR79" s="122"/>
      <c r="IS79" s="122"/>
      <c r="IT79" s="122"/>
      <c r="IU79" s="122"/>
      <c r="IV79" s="122"/>
      <c r="IW79" s="122"/>
      <c r="IX79" s="122"/>
      <c r="IY79" s="122"/>
      <c r="IZ79" s="122"/>
      <c r="JA79" s="122"/>
      <c r="JB79" s="122"/>
      <c r="JC79" s="122"/>
      <c r="JD79" s="122"/>
      <c r="JE79" s="122"/>
      <c r="JF79" s="122"/>
      <c r="JG79" s="122"/>
      <c r="JH79" s="122"/>
      <c r="JI79" s="119">
        <f t="shared" si="1"/>
        <v>81333.62</v>
      </c>
      <c r="JJ79" s="379">
        <v>5720</v>
      </c>
      <c r="JK79" s="122"/>
      <c r="JL79" s="125"/>
      <c r="JM79" s="345"/>
      <c r="JN79" s="125"/>
      <c r="JO79" s="125"/>
      <c r="JP79" s="125"/>
    </row>
    <row r="80" spans="1:276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122"/>
      <c r="BS80" s="122"/>
      <c r="BT80" s="122"/>
      <c r="BU80" s="122"/>
      <c r="BV80" s="122"/>
      <c r="BW80" s="122"/>
      <c r="BX80" s="122"/>
      <c r="BY80" s="122"/>
      <c r="BZ80" s="122"/>
      <c r="CA80" s="122"/>
      <c r="CB80" s="122"/>
      <c r="CC80" s="122"/>
      <c r="CD80" s="122"/>
      <c r="CE80" s="122"/>
      <c r="CF80" s="122"/>
      <c r="CG80" s="122"/>
      <c r="CH80" s="122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  <c r="CZ80" s="122"/>
      <c r="DA80" s="122"/>
      <c r="DB80" s="122"/>
      <c r="DC80" s="122"/>
      <c r="DD80" s="122"/>
      <c r="DE80" s="122"/>
      <c r="DF80" s="122"/>
      <c r="DG80" s="122"/>
      <c r="DH80" s="122"/>
      <c r="DI80" s="122"/>
      <c r="DJ80" s="122"/>
      <c r="DK80" s="122">
        <v>464596</v>
      </c>
      <c r="DL80" s="122"/>
      <c r="DM80" s="122"/>
      <c r="DN80" s="122"/>
      <c r="DO80" s="122"/>
      <c r="DP80" s="122"/>
      <c r="DQ80" s="122"/>
      <c r="DR80" s="122"/>
      <c r="DS80" s="122"/>
      <c r="DT80" s="122"/>
      <c r="DU80" s="122"/>
      <c r="DV80" s="122"/>
      <c r="DW80" s="122"/>
      <c r="DX80" s="122"/>
      <c r="DY80" s="122"/>
      <c r="DZ80" s="122"/>
      <c r="EA80" s="122"/>
      <c r="EB80" s="122"/>
      <c r="EC80" s="122"/>
      <c r="ED80" s="122"/>
      <c r="EE80" s="122"/>
      <c r="EF80" s="122"/>
      <c r="EG80" s="122"/>
      <c r="EH80" s="122"/>
      <c r="EI80" s="122"/>
      <c r="EJ80" s="122"/>
      <c r="EK80" s="122"/>
      <c r="EL80" s="122"/>
      <c r="EM80" s="122"/>
      <c r="EN80" s="122"/>
      <c r="EO80" s="122"/>
      <c r="EP80" s="122"/>
      <c r="EQ80" s="122"/>
      <c r="ER80" s="122"/>
      <c r="ES80" s="122"/>
      <c r="ET80" s="122"/>
      <c r="EU80" s="122"/>
      <c r="EV80" s="122"/>
      <c r="EW80" s="122"/>
      <c r="EX80" s="122"/>
      <c r="EY80" s="122"/>
      <c r="EZ80" s="122"/>
      <c r="FA80" s="122"/>
      <c r="FB80" s="122"/>
      <c r="FC80" s="122"/>
      <c r="FD80" s="122"/>
      <c r="FE80" s="122"/>
      <c r="FF80" s="122"/>
      <c r="FG80" s="122"/>
      <c r="FH80" s="122"/>
      <c r="FI80" s="122"/>
      <c r="FJ80" s="122"/>
      <c r="FK80" s="122"/>
      <c r="FL80" s="122"/>
      <c r="FM80" s="122"/>
      <c r="FN80" s="122"/>
      <c r="FO80" s="122"/>
      <c r="FP80" s="122"/>
      <c r="FQ80" s="122"/>
      <c r="FR80" s="122"/>
      <c r="FS80" s="122"/>
      <c r="FT80" s="122"/>
      <c r="FU80" s="122"/>
      <c r="FV80" s="122"/>
      <c r="FW80" s="122"/>
      <c r="FX80" s="122"/>
      <c r="FY80" s="122"/>
      <c r="FZ80" s="122"/>
      <c r="GA80" s="122"/>
      <c r="GB80" s="122"/>
      <c r="GC80" s="122"/>
      <c r="GD80" s="122"/>
      <c r="GE80" s="122"/>
      <c r="GF80" s="122"/>
      <c r="GG80" s="122"/>
      <c r="GH80" s="122"/>
      <c r="GI80" s="122"/>
      <c r="GJ80" s="122"/>
      <c r="GK80" s="122"/>
      <c r="GL80" s="122"/>
      <c r="GM80" s="122"/>
      <c r="GN80" s="122"/>
      <c r="GO80" s="122"/>
      <c r="GP80" s="122"/>
      <c r="GQ80" s="122"/>
      <c r="GR80" s="122"/>
      <c r="GS80" s="122"/>
      <c r="GT80" s="122"/>
      <c r="GU80" s="122"/>
      <c r="GV80" s="122"/>
      <c r="GW80" s="122"/>
      <c r="GX80" s="122"/>
      <c r="GY80" s="122"/>
      <c r="GZ80" s="122"/>
      <c r="HA80" s="122"/>
      <c r="HB80" s="122"/>
      <c r="HC80" s="122"/>
      <c r="HD80" s="122"/>
      <c r="HE80" s="122"/>
      <c r="HF80" s="122"/>
      <c r="HG80" s="122"/>
      <c r="HH80" s="122"/>
      <c r="HI80" s="122"/>
      <c r="HJ80" s="122"/>
      <c r="HK80" s="122"/>
      <c r="HL80" s="122"/>
      <c r="HM80" s="122"/>
      <c r="HN80" s="122"/>
      <c r="HO80" s="122"/>
      <c r="HP80" s="122"/>
      <c r="HQ80" s="122"/>
      <c r="HR80" s="122"/>
      <c r="HS80" s="122"/>
      <c r="HT80" s="122"/>
      <c r="HU80" s="122"/>
      <c r="HV80" s="122"/>
      <c r="HW80" s="122"/>
      <c r="HX80" s="122"/>
      <c r="HY80" s="122"/>
      <c r="HZ80" s="122"/>
      <c r="IA80" s="122"/>
      <c r="IB80" s="122"/>
      <c r="IC80" s="122"/>
      <c r="ID80" s="122"/>
      <c r="IE80" s="122"/>
      <c r="IF80" s="122"/>
      <c r="IG80" s="122"/>
      <c r="IH80" s="122"/>
      <c r="II80" s="122"/>
      <c r="IJ80" s="122"/>
      <c r="IK80" s="122"/>
      <c r="IL80" s="122"/>
      <c r="IM80" s="122"/>
      <c r="IN80" s="122"/>
      <c r="IO80" s="122"/>
      <c r="IP80" s="122"/>
      <c r="IQ80" s="122"/>
      <c r="IR80" s="122"/>
      <c r="IS80" s="122"/>
      <c r="IT80" s="122"/>
      <c r="IU80" s="122"/>
      <c r="IV80" s="122"/>
      <c r="IW80" s="122"/>
      <c r="IX80" s="122"/>
      <c r="IY80" s="122"/>
      <c r="IZ80" s="122"/>
      <c r="JA80" s="122"/>
      <c r="JB80" s="122"/>
      <c r="JC80" s="122"/>
      <c r="JD80" s="122"/>
      <c r="JE80" s="122"/>
      <c r="JF80" s="122"/>
      <c r="JG80" s="122"/>
      <c r="JH80" s="122"/>
      <c r="JI80" s="119">
        <f t="shared" si="1"/>
        <v>464596</v>
      </c>
      <c r="JJ80" s="379">
        <v>5724</v>
      </c>
      <c r="JK80" s="122"/>
      <c r="JL80" s="125"/>
      <c r="JM80" s="345"/>
      <c r="JN80" s="125"/>
      <c r="JO80" s="125"/>
      <c r="JP80" s="125"/>
    </row>
    <row r="81" spans="1:276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122"/>
      <c r="BS81" s="122"/>
      <c r="BT81" s="122"/>
      <c r="BU81" s="122"/>
      <c r="BV81" s="122"/>
      <c r="BW81" s="122"/>
      <c r="BX81" s="122"/>
      <c r="BY81" s="122"/>
      <c r="BZ81" s="122"/>
      <c r="CA81" s="122"/>
      <c r="CB81" s="122"/>
      <c r="CC81" s="122"/>
      <c r="CD81" s="122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>
        <v>627.16999999999996</v>
      </c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22"/>
      <c r="FD81" s="122"/>
      <c r="FE81" s="122"/>
      <c r="FF81" s="122"/>
      <c r="FG81" s="122"/>
      <c r="FH81" s="122"/>
      <c r="FI81" s="122"/>
      <c r="FJ81" s="122">
        <v>555890.22</v>
      </c>
      <c r="FK81" s="122"/>
      <c r="FL81" s="122"/>
      <c r="FM81" s="122"/>
      <c r="FN81" s="122"/>
      <c r="FO81" s="122"/>
      <c r="FP81" s="122"/>
      <c r="FQ81" s="122"/>
      <c r="FR81" s="122"/>
      <c r="FS81" s="122"/>
      <c r="FT81" s="122"/>
      <c r="FU81" s="122"/>
      <c r="FV81" s="122"/>
      <c r="FW81" s="122"/>
      <c r="FX81" s="122"/>
      <c r="FY81" s="122"/>
      <c r="FZ81" s="122"/>
      <c r="GA81" s="122"/>
      <c r="GB81" s="122"/>
      <c r="GC81" s="122"/>
      <c r="GD81" s="122"/>
      <c r="GE81" s="122"/>
      <c r="GF81" s="122"/>
      <c r="GG81" s="122"/>
      <c r="GH81" s="122"/>
      <c r="GI81" s="122"/>
      <c r="GJ81" s="122"/>
      <c r="GK81" s="122"/>
      <c r="GL81" s="122"/>
      <c r="GM81" s="122"/>
      <c r="GN81" s="122"/>
      <c r="GO81" s="122"/>
      <c r="GP81" s="122"/>
      <c r="GQ81" s="122"/>
      <c r="GR81" s="122"/>
      <c r="GS81" s="122"/>
      <c r="GT81" s="122"/>
      <c r="GU81" s="122"/>
      <c r="GV81" s="122"/>
      <c r="GW81" s="122"/>
      <c r="GX81" s="122"/>
      <c r="GY81" s="122"/>
      <c r="GZ81" s="122"/>
      <c r="HA81" s="122"/>
      <c r="HB81" s="122"/>
      <c r="HC81" s="122"/>
      <c r="HD81" s="122"/>
      <c r="HE81" s="122"/>
      <c r="HF81" s="122"/>
      <c r="HG81" s="122"/>
      <c r="HH81" s="122"/>
      <c r="HI81" s="122"/>
      <c r="HJ81" s="122"/>
      <c r="HK81" s="122"/>
      <c r="HL81" s="122"/>
      <c r="HM81" s="122"/>
      <c r="HN81" s="122"/>
      <c r="HO81" s="122"/>
      <c r="HP81" s="122"/>
      <c r="HQ81" s="122"/>
      <c r="HR81" s="122"/>
      <c r="HS81" s="122"/>
      <c r="HT81" s="122"/>
      <c r="HU81" s="122"/>
      <c r="HV81" s="122"/>
      <c r="HW81" s="122"/>
      <c r="HX81" s="122"/>
      <c r="HY81" s="122"/>
      <c r="HZ81" s="122"/>
      <c r="IA81" s="122"/>
      <c r="IB81" s="122"/>
      <c r="IC81" s="122"/>
      <c r="ID81" s="122"/>
      <c r="IE81" s="122"/>
      <c r="IF81" s="122"/>
      <c r="IG81" s="122"/>
      <c r="IH81" s="122"/>
      <c r="II81" s="122"/>
      <c r="IJ81" s="122"/>
      <c r="IK81" s="122"/>
      <c r="IL81" s="122"/>
      <c r="IM81" s="122"/>
      <c r="IN81" s="122"/>
      <c r="IO81" s="122"/>
      <c r="IP81" s="122"/>
      <c r="IQ81" s="122"/>
      <c r="IR81" s="122"/>
      <c r="IS81" s="122"/>
      <c r="IT81" s="122"/>
      <c r="IU81" s="122"/>
      <c r="IV81" s="122"/>
      <c r="IW81" s="122"/>
      <c r="IX81" s="122"/>
      <c r="IY81" s="122"/>
      <c r="IZ81" s="122"/>
      <c r="JA81" s="122"/>
      <c r="JB81" s="122"/>
      <c r="JC81" s="122"/>
      <c r="JD81" s="122"/>
      <c r="JE81" s="122"/>
      <c r="JF81" s="122"/>
      <c r="JG81" s="122"/>
      <c r="JH81" s="122"/>
      <c r="JI81" s="119">
        <f t="shared" si="1"/>
        <v>556517.39</v>
      </c>
      <c r="JJ81" s="379">
        <v>5728</v>
      </c>
      <c r="JK81" s="122"/>
      <c r="JL81" s="125"/>
      <c r="JM81" s="345"/>
      <c r="JN81" s="125"/>
      <c r="JO81" s="125"/>
      <c r="JP81" s="125"/>
    </row>
    <row r="82" spans="1:276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  <c r="BU82" s="122"/>
      <c r="BV82" s="122"/>
      <c r="BW82" s="122"/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>
        <v>432132</v>
      </c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  <c r="GJ82" s="122"/>
      <c r="GK82" s="122"/>
      <c r="GL82" s="122"/>
      <c r="GM82" s="122"/>
      <c r="GN82" s="122"/>
      <c r="GO82" s="122"/>
      <c r="GP82" s="122"/>
      <c r="GQ82" s="122"/>
      <c r="GR82" s="122"/>
      <c r="GS82" s="122"/>
      <c r="GT82" s="122"/>
      <c r="GU82" s="122"/>
      <c r="GV82" s="122"/>
      <c r="GW82" s="122"/>
      <c r="GX82" s="122"/>
      <c r="GY82" s="122"/>
      <c r="GZ82" s="122"/>
      <c r="HA82" s="122"/>
      <c r="HB82" s="122"/>
      <c r="HC82" s="122"/>
      <c r="HD82" s="122"/>
      <c r="HE82" s="122"/>
      <c r="HF82" s="122"/>
      <c r="HG82" s="122"/>
      <c r="HH82" s="122"/>
      <c r="HI82" s="122"/>
      <c r="HJ82" s="122"/>
      <c r="HK82" s="122"/>
      <c r="HL82" s="122"/>
      <c r="HM82" s="122"/>
      <c r="HN82" s="122"/>
      <c r="HO82" s="122"/>
      <c r="HP82" s="122"/>
      <c r="HQ82" s="122"/>
      <c r="HR82" s="122"/>
      <c r="HS82" s="122"/>
      <c r="HT82" s="122"/>
      <c r="HU82" s="122"/>
      <c r="HV82" s="122"/>
      <c r="HW82" s="122"/>
      <c r="HX82" s="122"/>
      <c r="HY82" s="122"/>
      <c r="HZ82" s="122"/>
      <c r="IA82" s="122"/>
      <c r="IB82" s="122"/>
      <c r="IC82" s="122"/>
      <c r="ID82" s="122"/>
      <c r="IE82" s="122"/>
      <c r="IF82" s="122"/>
      <c r="IG82" s="122"/>
      <c r="IH82" s="122"/>
      <c r="II82" s="122"/>
      <c r="IJ82" s="122"/>
      <c r="IK82" s="122"/>
      <c r="IL82" s="122"/>
      <c r="IM82" s="122"/>
      <c r="IN82" s="122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/>
      <c r="JA82" s="122"/>
      <c r="JB82" s="122"/>
      <c r="JC82" s="122"/>
      <c r="JD82" s="122"/>
      <c r="JE82" s="122"/>
      <c r="JF82" s="122"/>
      <c r="JG82" s="122"/>
      <c r="JH82" s="122"/>
      <c r="JI82" s="119">
        <f t="shared" si="1"/>
        <v>432132</v>
      </c>
      <c r="JJ82" s="379">
        <v>5732</v>
      </c>
      <c r="JK82" s="122"/>
      <c r="JL82" s="125"/>
      <c r="JM82" s="345"/>
      <c r="JN82" s="125"/>
      <c r="JO82" s="125"/>
      <c r="JP82" s="125"/>
    </row>
    <row r="83" spans="1:276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>
        <v>19020.419999999998</v>
      </c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>
        <v>253360.93</v>
      </c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/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  <c r="HL83" s="122"/>
      <c r="HM83" s="122"/>
      <c r="HN83" s="122"/>
      <c r="HO83" s="122"/>
      <c r="HP83" s="122"/>
      <c r="HQ83" s="122"/>
      <c r="HR83" s="122"/>
      <c r="HS83" s="122"/>
      <c r="HT83" s="122"/>
      <c r="HU83" s="122"/>
      <c r="HV83" s="122"/>
      <c r="HW83" s="122"/>
      <c r="HX83" s="122"/>
      <c r="HY83" s="122"/>
      <c r="HZ83" s="122"/>
      <c r="IA83" s="122"/>
      <c r="IB83" s="122"/>
      <c r="IC83" s="122"/>
      <c r="ID83" s="122"/>
      <c r="IE83" s="122"/>
      <c r="IF83" s="122"/>
      <c r="IG83" s="122"/>
      <c r="IH83" s="122"/>
      <c r="II83" s="122"/>
      <c r="IJ83" s="122"/>
      <c r="IK83" s="122"/>
      <c r="IL83" s="122"/>
      <c r="IM83" s="122"/>
      <c r="IN83" s="122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122"/>
      <c r="JB83" s="122"/>
      <c r="JC83" s="122"/>
      <c r="JD83" s="122"/>
      <c r="JE83" s="122"/>
      <c r="JF83" s="122"/>
      <c r="JG83" s="122"/>
      <c r="JH83" s="122"/>
      <c r="JI83" s="119">
        <f t="shared" si="1"/>
        <v>272381.34999999998</v>
      </c>
      <c r="JJ83" s="379">
        <v>5740</v>
      </c>
      <c r="JK83" s="122"/>
      <c r="JL83" s="125"/>
      <c r="JM83" s="345"/>
      <c r="JN83" s="125"/>
      <c r="JO83" s="125"/>
      <c r="JP83" s="125"/>
    </row>
    <row r="84" spans="1:276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22"/>
      <c r="CC84" s="122"/>
      <c r="CD84" s="122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  <c r="GJ84" s="122"/>
      <c r="GK84" s="122"/>
      <c r="GL84" s="122"/>
      <c r="GM84" s="122"/>
      <c r="GN84" s="122"/>
      <c r="GO84" s="122"/>
      <c r="GP84" s="122"/>
      <c r="GQ84" s="122">
        <v>1784515.48</v>
      </c>
      <c r="GR84" s="122"/>
      <c r="GS84" s="122"/>
      <c r="GT84" s="122"/>
      <c r="GU84" s="122"/>
      <c r="GV84" s="122"/>
      <c r="GW84" s="122"/>
      <c r="GX84" s="122"/>
      <c r="GY84" s="122"/>
      <c r="GZ84" s="122"/>
      <c r="HA84" s="122"/>
      <c r="HB84" s="122"/>
      <c r="HC84" s="122"/>
      <c r="HD84" s="122"/>
      <c r="HE84" s="122"/>
      <c r="HF84" s="122"/>
      <c r="HG84" s="122"/>
      <c r="HH84" s="122"/>
      <c r="HI84" s="122"/>
      <c r="HJ84" s="122"/>
      <c r="HK84" s="122"/>
      <c r="HL84" s="122"/>
      <c r="HM84" s="122"/>
      <c r="HN84" s="122"/>
      <c r="HO84" s="122"/>
      <c r="HP84" s="122"/>
      <c r="HQ84" s="122"/>
      <c r="HR84" s="122"/>
      <c r="HS84" s="122"/>
      <c r="HT84" s="122"/>
      <c r="HU84" s="122"/>
      <c r="HV84" s="122"/>
      <c r="HW84" s="122"/>
      <c r="HX84" s="122"/>
      <c r="HY84" s="122"/>
      <c r="HZ84" s="122"/>
      <c r="IA84" s="122"/>
      <c r="IB84" s="122"/>
      <c r="IC84" s="122"/>
      <c r="ID84" s="122"/>
      <c r="IE84" s="122"/>
      <c r="IF84" s="122"/>
      <c r="IG84" s="122"/>
      <c r="IH84" s="122"/>
      <c r="II84" s="122"/>
      <c r="IJ84" s="122"/>
      <c r="IK84" s="122"/>
      <c r="IL84" s="122"/>
      <c r="IM84" s="122"/>
      <c r="IN84" s="122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122"/>
      <c r="JB84" s="122"/>
      <c r="JC84" s="122"/>
      <c r="JD84" s="122"/>
      <c r="JE84" s="122"/>
      <c r="JF84" s="122"/>
      <c r="JG84" s="122"/>
      <c r="JH84" s="122"/>
      <c r="JI84" s="119">
        <f t="shared" si="1"/>
        <v>1784515.48</v>
      </c>
      <c r="JJ84" s="379">
        <v>5744</v>
      </c>
      <c r="JK84" s="122"/>
      <c r="JL84" s="125"/>
      <c r="JM84" s="345"/>
      <c r="JN84" s="125"/>
      <c r="JO84" s="125"/>
      <c r="JP84" s="125"/>
    </row>
    <row r="85" spans="1:276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2"/>
      <c r="BW85" s="122"/>
      <c r="BX85" s="122"/>
      <c r="BY85" s="122"/>
      <c r="BZ85" s="122"/>
      <c r="CA85" s="122"/>
      <c r="CB85" s="122"/>
      <c r="CC85" s="122"/>
      <c r="CD85" s="122"/>
      <c r="CE85" s="122"/>
      <c r="CF85" s="122"/>
      <c r="CG85" s="122"/>
      <c r="CH85" s="122">
        <v>555827</v>
      </c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  <c r="GJ85" s="122"/>
      <c r="GK85" s="122"/>
      <c r="GL85" s="122"/>
      <c r="GM85" s="122"/>
      <c r="GN85" s="122"/>
      <c r="GO85" s="122"/>
      <c r="GP85" s="122"/>
      <c r="GQ85" s="122"/>
      <c r="GR85" s="122"/>
      <c r="GS85" s="122"/>
      <c r="GT85" s="122"/>
      <c r="GU85" s="122"/>
      <c r="GV85" s="122"/>
      <c r="GW85" s="122"/>
      <c r="GX85" s="122"/>
      <c r="GY85" s="122"/>
      <c r="GZ85" s="122"/>
      <c r="HA85" s="122"/>
      <c r="HB85" s="122"/>
      <c r="HC85" s="122"/>
      <c r="HD85" s="122"/>
      <c r="HE85" s="122"/>
      <c r="HF85" s="122"/>
      <c r="HG85" s="122"/>
      <c r="HH85" s="122"/>
      <c r="HI85" s="122"/>
      <c r="HJ85" s="122"/>
      <c r="HK85" s="122"/>
      <c r="HL85" s="122"/>
      <c r="HM85" s="122"/>
      <c r="HN85" s="122"/>
      <c r="HO85" s="122"/>
      <c r="HP85" s="122"/>
      <c r="HQ85" s="122"/>
      <c r="HR85" s="122"/>
      <c r="HS85" s="122"/>
      <c r="HT85" s="122"/>
      <c r="HU85" s="122"/>
      <c r="HV85" s="122"/>
      <c r="HW85" s="122"/>
      <c r="HX85" s="122"/>
      <c r="HY85" s="122"/>
      <c r="HZ85" s="122"/>
      <c r="IA85" s="122"/>
      <c r="IB85" s="122"/>
      <c r="IC85" s="122"/>
      <c r="ID85" s="122"/>
      <c r="IE85" s="122"/>
      <c r="IF85" s="122"/>
      <c r="IG85" s="122"/>
      <c r="IH85" s="122"/>
      <c r="II85" s="122"/>
      <c r="IJ85" s="122"/>
      <c r="IK85" s="122"/>
      <c r="IL85" s="122"/>
      <c r="IM85" s="122"/>
      <c r="IN85" s="122"/>
      <c r="IO85" s="122"/>
      <c r="IP85" s="122"/>
      <c r="IQ85" s="122"/>
      <c r="IR85" s="122"/>
      <c r="IS85" s="122"/>
      <c r="IT85" s="122"/>
      <c r="IU85" s="122"/>
      <c r="IV85" s="122"/>
      <c r="IW85" s="122"/>
      <c r="IX85" s="122"/>
      <c r="IY85" s="122"/>
      <c r="IZ85" s="122"/>
      <c r="JA85" s="122"/>
      <c r="JB85" s="122"/>
      <c r="JC85" s="122"/>
      <c r="JD85" s="122"/>
      <c r="JE85" s="122"/>
      <c r="JF85" s="122"/>
      <c r="JG85" s="122"/>
      <c r="JH85" s="122"/>
      <c r="JI85" s="119">
        <f t="shared" si="1"/>
        <v>555827</v>
      </c>
      <c r="JJ85" s="379">
        <v>5754</v>
      </c>
      <c r="JK85" s="122"/>
      <c r="JL85" s="125"/>
      <c r="JM85" s="345"/>
      <c r="JN85" s="125"/>
      <c r="JO85" s="125"/>
      <c r="JP85" s="125"/>
    </row>
    <row r="86" spans="1:27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/>
      <c r="FT86" s="122">
        <v>812112.5</v>
      </c>
      <c r="FU86" s="122"/>
      <c r="FV86" s="122"/>
      <c r="FW86" s="122"/>
      <c r="FX86" s="122"/>
      <c r="FY86" s="122"/>
      <c r="FZ86" s="122"/>
      <c r="GA86" s="122"/>
      <c r="GB86" s="122"/>
      <c r="GC86" s="122"/>
      <c r="GD86" s="122"/>
      <c r="GE86" s="122"/>
      <c r="GF86" s="122"/>
      <c r="GG86" s="122"/>
      <c r="GH86" s="122"/>
      <c r="GI86" s="122"/>
      <c r="GJ86" s="122"/>
      <c r="GK86" s="122"/>
      <c r="GL86" s="122"/>
      <c r="GM86" s="122"/>
      <c r="GN86" s="122"/>
      <c r="GO86" s="122"/>
      <c r="GP86" s="122"/>
      <c r="GQ86" s="122"/>
      <c r="GR86" s="122"/>
      <c r="GS86" s="122"/>
      <c r="GT86" s="122"/>
      <c r="GU86" s="122"/>
      <c r="GV86" s="122"/>
      <c r="GW86" s="122"/>
      <c r="GX86" s="122"/>
      <c r="GY86" s="122"/>
      <c r="GZ86" s="122"/>
      <c r="HA86" s="122"/>
      <c r="HB86" s="122"/>
      <c r="HC86" s="122"/>
      <c r="HD86" s="122"/>
      <c r="HE86" s="122"/>
      <c r="HF86" s="122"/>
      <c r="HG86" s="122"/>
      <c r="HH86" s="122"/>
      <c r="HI86" s="122"/>
      <c r="HJ86" s="122"/>
      <c r="HK86" s="122"/>
      <c r="HL86" s="122"/>
      <c r="HM86" s="122"/>
      <c r="HN86" s="122"/>
      <c r="HO86" s="122"/>
      <c r="HP86" s="122"/>
      <c r="HQ86" s="122"/>
      <c r="HR86" s="122"/>
      <c r="HS86" s="122"/>
      <c r="HT86" s="122"/>
      <c r="HU86" s="122"/>
      <c r="HV86" s="122"/>
      <c r="HW86" s="122"/>
      <c r="HX86" s="122"/>
      <c r="HY86" s="122"/>
      <c r="HZ86" s="122"/>
      <c r="IA86" s="122"/>
      <c r="IB86" s="122"/>
      <c r="IC86" s="122"/>
      <c r="ID86" s="122"/>
      <c r="IE86" s="122"/>
      <c r="IF86" s="122"/>
      <c r="IG86" s="122"/>
      <c r="IH86" s="122"/>
      <c r="II86" s="122"/>
      <c r="IJ86" s="122"/>
      <c r="IK86" s="122"/>
      <c r="IL86" s="122"/>
      <c r="IM86" s="122"/>
      <c r="IN86" s="122"/>
      <c r="IO86" s="122"/>
      <c r="IP86" s="122"/>
      <c r="IQ86" s="122"/>
      <c r="IR86" s="122"/>
      <c r="IS86" s="122"/>
      <c r="IT86" s="122"/>
      <c r="IU86" s="122"/>
      <c r="IV86" s="122"/>
      <c r="IW86" s="122"/>
      <c r="IX86" s="122"/>
      <c r="IY86" s="122"/>
      <c r="IZ86" s="122"/>
      <c r="JA86" s="122"/>
      <c r="JB86" s="122"/>
      <c r="JC86" s="122"/>
      <c r="JD86" s="122"/>
      <c r="JE86" s="122"/>
      <c r="JF86" s="122"/>
      <c r="JG86" s="122"/>
      <c r="JH86" s="122"/>
      <c r="JI86" s="119">
        <f t="shared" si="1"/>
        <v>812112.5</v>
      </c>
      <c r="JJ86" s="379">
        <v>5756</v>
      </c>
      <c r="JK86" s="122"/>
      <c r="JL86" s="125"/>
      <c r="JM86" s="345"/>
      <c r="JN86" s="125"/>
      <c r="JO86" s="125"/>
      <c r="JP86" s="125"/>
    </row>
    <row r="87" spans="1:276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  <c r="BU87" s="122"/>
      <c r="BV87" s="122"/>
      <c r="BW87" s="122"/>
      <c r="BX87" s="122"/>
      <c r="BY87" s="122"/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>
        <v>808447.5</v>
      </c>
      <c r="FU87" s="122"/>
      <c r="FV87" s="122"/>
      <c r="FW87" s="122"/>
      <c r="FX87" s="122"/>
      <c r="FY87" s="122"/>
      <c r="FZ87" s="122"/>
      <c r="GA87" s="122"/>
      <c r="GB87" s="122"/>
      <c r="GC87" s="122"/>
      <c r="GD87" s="122"/>
      <c r="GE87" s="122"/>
      <c r="GF87" s="122"/>
      <c r="GG87" s="122"/>
      <c r="GH87" s="122"/>
      <c r="GI87" s="122"/>
      <c r="GJ87" s="122"/>
      <c r="GK87" s="122"/>
      <c r="GL87" s="122"/>
      <c r="GM87" s="122"/>
      <c r="GN87" s="122"/>
      <c r="GO87" s="122"/>
      <c r="GP87" s="122"/>
      <c r="GQ87" s="122"/>
      <c r="GR87" s="122"/>
      <c r="GS87" s="122"/>
      <c r="GT87" s="122"/>
      <c r="GU87" s="122"/>
      <c r="GV87" s="122"/>
      <c r="GW87" s="122"/>
      <c r="GX87" s="122"/>
      <c r="GY87" s="122"/>
      <c r="GZ87" s="122"/>
      <c r="HA87" s="122"/>
      <c r="HB87" s="122"/>
      <c r="HC87" s="122"/>
      <c r="HD87" s="122"/>
      <c r="HE87" s="122"/>
      <c r="HF87" s="122"/>
      <c r="HG87" s="122"/>
      <c r="HH87" s="122"/>
      <c r="HI87" s="122"/>
      <c r="HJ87" s="122"/>
      <c r="HK87" s="122"/>
      <c r="HL87" s="122"/>
      <c r="HM87" s="122"/>
      <c r="HN87" s="122"/>
      <c r="HO87" s="122"/>
      <c r="HP87" s="122"/>
      <c r="HQ87" s="122"/>
      <c r="HR87" s="122"/>
      <c r="HS87" s="122"/>
      <c r="HT87" s="122"/>
      <c r="HU87" s="122"/>
      <c r="HV87" s="122"/>
      <c r="HW87" s="122"/>
      <c r="HX87" s="122"/>
      <c r="HY87" s="122"/>
      <c r="HZ87" s="122"/>
      <c r="IA87" s="122"/>
      <c r="IB87" s="122"/>
      <c r="IC87" s="122"/>
      <c r="ID87" s="122"/>
      <c r="IE87" s="122"/>
      <c r="IF87" s="122"/>
      <c r="IG87" s="122"/>
      <c r="IH87" s="122"/>
      <c r="II87" s="122"/>
      <c r="IJ87" s="122"/>
      <c r="IK87" s="122"/>
      <c r="IL87" s="122"/>
      <c r="IM87" s="122"/>
      <c r="IN87" s="122"/>
      <c r="IO87" s="122"/>
      <c r="IP87" s="122"/>
      <c r="IQ87" s="122"/>
      <c r="IR87" s="122"/>
      <c r="IS87" s="122"/>
      <c r="IT87" s="122"/>
      <c r="IU87" s="122"/>
      <c r="IV87" s="122"/>
      <c r="IW87" s="122"/>
      <c r="IX87" s="122"/>
      <c r="IY87" s="122"/>
      <c r="IZ87" s="122"/>
      <c r="JA87" s="122"/>
      <c r="JB87" s="122"/>
      <c r="JC87" s="122"/>
      <c r="JD87" s="122"/>
      <c r="JE87" s="122"/>
      <c r="JF87" s="122"/>
      <c r="JG87" s="122"/>
      <c r="JH87" s="122"/>
      <c r="JI87" s="119">
        <f t="shared" si="1"/>
        <v>808447.5</v>
      </c>
      <c r="JJ87" s="379">
        <v>5760</v>
      </c>
      <c r="JK87" s="122"/>
      <c r="JL87" s="125"/>
      <c r="JM87" s="345"/>
      <c r="JN87" s="125"/>
      <c r="JO87" s="125"/>
      <c r="JP87" s="125"/>
    </row>
    <row r="88" spans="1:276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122"/>
      <c r="BS88" s="122"/>
      <c r="BT88" s="122"/>
      <c r="BU88" s="122"/>
      <c r="BV88" s="122"/>
      <c r="BW88" s="122"/>
      <c r="BX88" s="122"/>
      <c r="BY88" s="122"/>
      <c r="BZ88" s="122"/>
      <c r="CA88" s="122"/>
      <c r="CB88" s="122"/>
      <c r="CC88" s="122"/>
      <c r="CD88" s="122"/>
      <c r="CE88" s="122"/>
      <c r="CF88" s="122"/>
      <c r="CG88" s="122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22"/>
      <c r="FD88" s="122"/>
      <c r="FE88" s="122"/>
      <c r="FF88" s="122"/>
      <c r="FG88" s="122"/>
      <c r="FH88" s="122"/>
      <c r="FI88" s="122"/>
      <c r="FJ88" s="122">
        <v>111525</v>
      </c>
      <c r="FK88" s="122"/>
      <c r="FL88" s="122"/>
      <c r="FM88" s="122"/>
      <c r="FN88" s="122"/>
      <c r="FO88" s="122"/>
      <c r="FP88" s="122"/>
      <c r="FQ88" s="122"/>
      <c r="FR88" s="122"/>
      <c r="FS88" s="122">
        <v>7646.4</v>
      </c>
      <c r="FT88" s="122">
        <v>28500</v>
      </c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  <c r="GJ88" s="122"/>
      <c r="GK88" s="122"/>
      <c r="GL88" s="122"/>
      <c r="GM88" s="122"/>
      <c r="GN88" s="122"/>
      <c r="GO88" s="122"/>
      <c r="GP88" s="122"/>
      <c r="GQ88" s="122"/>
      <c r="GR88" s="122"/>
      <c r="GS88" s="122"/>
      <c r="GT88" s="122"/>
      <c r="GU88" s="122"/>
      <c r="GV88" s="122"/>
      <c r="GW88" s="122"/>
      <c r="GX88" s="122"/>
      <c r="GY88" s="122"/>
      <c r="GZ88" s="122"/>
      <c r="HA88" s="122"/>
      <c r="HB88" s="122"/>
      <c r="HC88" s="122"/>
      <c r="HD88" s="122"/>
      <c r="HE88" s="122"/>
      <c r="HF88" s="122"/>
      <c r="HG88" s="122"/>
      <c r="HH88" s="122"/>
      <c r="HI88" s="122"/>
      <c r="HJ88" s="122"/>
      <c r="HK88" s="122"/>
      <c r="HL88" s="122"/>
      <c r="HM88" s="122"/>
      <c r="HN88" s="122"/>
      <c r="HO88" s="122"/>
      <c r="HP88" s="122"/>
      <c r="HQ88" s="122"/>
      <c r="HR88" s="122"/>
      <c r="HS88" s="122"/>
      <c r="HT88" s="122"/>
      <c r="HU88" s="122"/>
      <c r="HV88" s="122"/>
      <c r="HW88" s="122"/>
      <c r="HX88" s="122"/>
      <c r="HY88" s="122"/>
      <c r="HZ88" s="122"/>
      <c r="IA88" s="122"/>
      <c r="IB88" s="122"/>
      <c r="IC88" s="122"/>
      <c r="ID88" s="122"/>
      <c r="IE88" s="122"/>
      <c r="IF88" s="122"/>
      <c r="IG88" s="122"/>
      <c r="IH88" s="122"/>
      <c r="II88" s="122"/>
      <c r="IJ88" s="122"/>
      <c r="IK88" s="122"/>
      <c r="IL88" s="122"/>
      <c r="IM88" s="122"/>
      <c r="IN88" s="122"/>
      <c r="IO88" s="122"/>
      <c r="IP88" s="122"/>
      <c r="IQ88" s="122"/>
      <c r="IR88" s="122"/>
      <c r="IS88" s="122"/>
      <c r="IT88" s="122"/>
      <c r="IU88" s="122"/>
      <c r="IV88" s="122"/>
      <c r="IW88" s="122"/>
      <c r="IX88" s="122"/>
      <c r="IY88" s="122"/>
      <c r="IZ88" s="122"/>
      <c r="JA88" s="122"/>
      <c r="JB88" s="122"/>
      <c r="JC88" s="122"/>
      <c r="JD88" s="122"/>
      <c r="JE88" s="122"/>
      <c r="JF88" s="122"/>
      <c r="JG88" s="122"/>
      <c r="JH88" s="122"/>
      <c r="JI88" s="119">
        <f t="shared" si="1"/>
        <v>147671.4</v>
      </c>
      <c r="JJ88" s="379">
        <v>5765</v>
      </c>
      <c r="JK88" s="122"/>
      <c r="JL88" s="125"/>
      <c r="JM88" s="345"/>
      <c r="JN88" s="125"/>
      <c r="JO88" s="125"/>
      <c r="JP88" s="125"/>
    </row>
    <row r="89" spans="1:276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>
        <v>900000</v>
      </c>
      <c r="EB89" s="122"/>
      <c r="EC89" s="122"/>
      <c r="ED89" s="122"/>
      <c r="EE89" s="122"/>
      <c r="EF89" s="122"/>
      <c r="EG89" s="122"/>
      <c r="EH89" s="122"/>
      <c r="EI89" s="122"/>
      <c r="EJ89" s="122"/>
      <c r="EK89" s="122"/>
      <c r="EL89" s="122"/>
      <c r="EM89" s="122"/>
      <c r="EN89" s="122"/>
      <c r="EO89" s="122"/>
      <c r="EP89" s="122"/>
      <c r="EQ89" s="122"/>
      <c r="ER89" s="122"/>
      <c r="ES89" s="122"/>
      <c r="ET89" s="122"/>
      <c r="EU89" s="122"/>
      <c r="EV89" s="122"/>
      <c r="EW89" s="122"/>
      <c r="EX89" s="122"/>
      <c r="EY89" s="122"/>
      <c r="EZ89" s="122"/>
      <c r="FA89" s="122"/>
      <c r="FB89" s="122"/>
      <c r="FC89" s="122"/>
      <c r="FD89" s="122"/>
      <c r="FE89" s="122"/>
      <c r="FF89" s="122"/>
      <c r="FG89" s="122"/>
      <c r="FH89" s="122"/>
      <c r="FI89" s="122"/>
      <c r="FJ89" s="122"/>
      <c r="FK89" s="122"/>
      <c r="FL89" s="122"/>
      <c r="FM89" s="122"/>
      <c r="FN89" s="122"/>
      <c r="FO89" s="122"/>
      <c r="FP89" s="122"/>
      <c r="FQ89" s="122"/>
      <c r="FR89" s="122"/>
      <c r="FS89" s="122"/>
      <c r="FT89" s="122"/>
      <c r="FU89" s="122"/>
      <c r="FV89" s="122"/>
      <c r="FW89" s="122"/>
      <c r="FX89" s="122"/>
      <c r="FY89" s="122"/>
      <c r="FZ89" s="122"/>
      <c r="GA89" s="122"/>
      <c r="GB89" s="122"/>
      <c r="GC89" s="122"/>
      <c r="GD89" s="122"/>
      <c r="GE89" s="122"/>
      <c r="GF89" s="122"/>
      <c r="GG89" s="122"/>
      <c r="GH89" s="122"/>
      <c r="GI89" s="122"/>
      <c r="GJ89" s="122"/>
      <c r="GK89" s="122"/>
      <c r="GL89" s="122"/>
      <c r="GM89" s="122"/>
      <c r="GN89" s="122"/>
      <c r="GO89" s="122"/>
      <c r="GP89" s="122"/>
      <c r="GQ89" s="122"/>
      <c r="GR89" s="122"/>
      <c r="GS89" s="122"/>
      <c r="GT89" s="122"/>
      <c r="GU89" s="122"/>
      <c r="GV89" s="122"/>
      <c r="GW89" s="122"/>
      <c r="GX89" s="122"/>
      <c r="GY89" s="122"/>
      <c r="GZ89" s="122"/>
      <c r="HA89" s="122"/>
      <c r="HB89" s="122"/>
      <c r="HC89" s="122"/>
      <c r="HD89" s="122"/>
      <c r="HE89" s="122"/>
      <c r="HF89" s="122"/>
      <c r="HG89" s="122"/>
      <c r="HH89" s="122"/>
      <c r="HI89" s="122"/>
      <c r="HJ89" s="122"/>
      <c r="HK89" s="122"/>
      <c r="HL89" s="122"/>
      <c r="HM89" s="122"/>
      <c r="HN89" s="122"/>
      <c r="HO89" s="122"/>
      <c r="HP89" s="122"/>
      <c r="HQ89" s="122"/>
      <c r="HR89" s="122"/>
      <c r="HS89" s="122"/>
      <c r="HT89" s="122"/>
      <c r="HU89" s="122"/>
      <c r="HV89" s="122"/>
      <c r="HW89" s="122"/>
      <c r="HX89" s="122"/>
      <c r="HY89" s="122"/>
      <c r="HZ89" s="122"/>
      <c r="IA89" s="122"/>
      <c r="IB89" s="122"/>
      <c r="IC89" s="122"/>
      <c r="ID89" s="122"/>
      <c r="IE89" s="122"/>
      <c r="IF89" s="122"/>
      <c r="IG89" s="122"/>
      <c r="IH89" s="122"/>
      <c r="II89" s="122"/>
      <c r="IJ89" s="122"/>
      <c r="IK89" s="122"/>
      <c r="IL89" s="122"/>
      <c r="IM89" s="122"/>
      <c r="IN89" s="122"/>
      <c r="IO89" s="122"/>
      <c r="IP89" s="122"/>
      <c r="IQ89" s="122"/>
      <c r="IR89" s="122"/>
      <c r="IS89" s="122"/>
      <c r="IT89" s="122"/>
      <c r="IU89" s="122"/>
      <c r="IV89" s="122"/>
      <c r="IW89" s="122"/>
      <c r="IX89" s="122"/>
      <c r="IY89" s="122"/>
      <c r="IZ89" s="122"/>
      <c r="JA89" s="122"/>
      <c r="JB89" s="122"/>
      <c r="JC89" s="122"/>
      <c r="JD89" s="122"/>
      <c r="JE89" s="122"/>
      <c r="JF89" s="122"/>
      <c r="JG89" s="122"/>
      <c r="JH89" s="122"/>
      <c r="JI89" s="119">
        <f t="shared" si="1"/>
        <v>900000</v>
      </c>
      <c r="JJ89" s="379">
        <v>5767</v>
      </c>
      <c r="JK89" s="122"/>
      <c r="JL89" s="125"/>
      <c r="JM89" s="345"/>
      <c r="JN89" s="125"/>
      <c r="JO89" s="125"/>
      <c r="JP89" s="125"/>
    </row>
    <row r="90" spans="1:276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  <c r="BS90" s="122"/>
      <c r="BT90" s="122"/>
      <c r="BU90" s="122"/>
      <c r="BV90" s="122"/>
      <c r="BW90" s="122"/>
      <c r="BX90" s="122"/>
      <c r="BY90" s="122"/>
      <c r="BZ90" s="122"/>
      <c r="CA90" s="122"/>
      <c r="CB90" s="122"/>
      <c r="CC90" s="122"/>
      <c r="CD90" s="122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/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/>
      <c r="EY90" s="122"/>
      <c r="EZ90" s="122"/>
      <c r="FA90" s="122"/>
      <c r="FB90" s="122"/>
      <c r="FC90" s="122"/>
      <c r="FD90" s="122"/>
      <c r="FE90" s="122"/>
      <c r="FF90" s="122"/>
      <c r="FG90" s="122"/>
      <c r="FH90" s="122"/>
      <c r="FI90" s="122"/>
      <c r="FJ90" s="122"/>
      <c r="FK90" s="122"/>
      <c r="FL90" s="122"/>
      <c r="FM90" s="122"/>
      <c r="FN90" s="122"/>
      <c r="FO90" s="122"/>
      <c r="FP90" s="122"/>
      <c r="FQ90" s="122"/>
      <c r="FR90" s="122"/>
      <c r="FS90" s="122"/>
      <c r="FT90" s="122">
        <v>271400</v>
      </c>
      <c r="FU90" s="122"/>
      <c r="FV90" s="122"/>
      <c r="FW90" s="122"/>
      <c r="FX90" s="122"/>
      <c r="FY90" s="122"/>
      <c r="FZ90" s="122"/>
      <c r="GA90" s="122"/>
      <c r="GB90" s="122"/>
      <c r="GC90" s="122"/>
      <c r="GD90" s="122"/>
      <c r="GE90" s="122"/>
      <c r="GF90" s="122"/>
      <c r="GG90" s="122"/>
      <c r="GH90" s="122"/>
      <c r="GI90" s="122"/>
      <c r="GJ90" s="122"/>
      <c r="GK90" s="122"/>
      <c r="GL90" s="122"/>
      <c r="GM90" s="122"/>
      <c r="GN90" s="122"/>
      <c r="GO90" s="122"/>
      <c r="GP90" s="122"/>
      <c r="GQ90" s="122"/>
      <c r="GR90" s="122"/>
      <c r="GS90" s="122"/>
      <c r="GT90" s="122"/>
      <c r="GU90" s="122"/>
      <c r="GV90" s="122"/>
      <c r="GW90" s="122"/>
      <c r="GX90" s="122"/>
      <c r="GY90" s="122"/>
      <c r="GZ90" s="122"/>
      <c r="HA90" s="122"/>
      <c r="HB90" s="122"/>
      <c r="HC90" s="122"/>
      <c r="HD90" s="122"/>
      <c r="HE90" s="122"/>
      <c r="HF90" s="122"/>
      <c r="HG90" s="122"/>
      <c r="HH90" s="122"/>
      <c r="HI90" s="122"/>
      <c r="HJ90" s="122"/>
      <c r="HK90" s="122"/>
      <c r="HL90" s="122"/>
      <c r="HM90" s="122"/>
      <c r="HN90" s="122"/>
      <c r="HO90" s="122"/>
      <c r="HP90" s="122"/>
      <c r="HQ90" s="122"/>
      <c r="HR90" s="122"/>
      <c r="HS90" s="122"/>
      <c r="HT90" s="122"/>
      <c r="HU90" s="122"/>
      <c r="HV90" s="122"/>
      <c r="HW90" s="122"/>
      <c r="HX90" s="122"/>
      <c r="HY90" s="122"/>
      <c r="HZ90" s="122"/>
      <c r="IA90" s="122"/>
      <c r="IB90" s="122"/>
      <c r="IC90" s="122"/>
      <c r="ID90" s="122"/>
      <c r="IE90" s="122"/>
      <c r="IF90" s="122"/>
      <c r="IG90" s="122"/>
      <c r="IH90" s="122"/>
      <c r="II90" s="122"/>
      <c r="IJ90" s="122"/>
      <c r="IK90" s="122"/>
      <c r="IL90" s="122"/>
      <c r="IM90" s="122"/>
      <c r="IN90" s="122"/>
      <c r="IO90" s="122"/>
      <c r="IP90" s="122"/>
      <c r="IQ90" s="122"/>
      <c r="IR90" s="122"/>
      <c r="IS90" s="122"/>
      <c r="IT90" s="122"/>
      <c r="IU90" s="122"/>
      <c r="IV90" s="122"/>
      <c r="IW90" s="122"/>
      <c r="IX90" s="122"/>
      <c r="IY90" s="122"/>
      <c r="IZ90" s="122"/>
      <c r="JA90" s="122"/>
      <c r="JB90" s="122"/>
      <c r="JC90" s="122"/>
      <c r="JD90" s="122"/>
      <c r="JE90" s="122"/>
      <c r="JF90" s="122"/>
      <c r="JG90" s="122"/>
      <c r="JH90" s="122"/>
      <c r="JI90" s="119">
        <f t="shared" si="1"/>
        <v>271400</v>
      </c>
      <c r="JJ90" s="379">
        <v>5774</v>
      </c>
      <c r="JK90" s="122"/>
      <c r="JL90" s="125"/>
      <c r="JM90" s="345"/>
      <c r="JN90" s="125"/>
      <c r="JO90" s="125"/>
      <c r="JP90" s="125"/>
    </row>
    <row r="91" spans="1:276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2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>
        <v>1079476.27</v>
      </c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/>
      <c r="JG91" s="122"/>
      <c r="JH91" s="122"/>
      <c r="JI91" s="119">
        <f t="shared" si="1"/>
        <v>1079476.27</v>
      </c>
      <c r="JJ91" s="379">
        <v>5775</v>
      </c>
      <c r="JK91" s="122"/>
      <c r="JL91" s="125"/>
      <c r="JM91" s="345"/>
      <c r="JN91" s="125"/>
      <c r="JO91" s="125"/>
      <c r="JP91" s="125"/>
    </row>
    <row r="92" spans="1:276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  <c r="CD92" s="122"/>
      <c r="CE92" s="122"/>
      <c r="CF92" s="122"/>
      <c r="CG92" s="122"/>
      <c r="CH92" s="122"/>
      <c r="CI92" s="122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>
        <v>270000</v>
      </c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/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  <c r="GJ92" s="122"/>
      <c r="GK92" s="122"/>
      <c r="GL92" s="122"/>
      <c r="GM92" s="122"/>
      <c r="GN92" s="122"/>
      <c r="GO92" s="122"/>
      <c r="GP92" s="122"/>
      <c r="GQ92" s="122"/>
      <c r="GR92" s="122"/>
      <c r="GS92" s="122"/>
      <c r="GT92" s="122"/>
      <c r="GU92" s="122"/>
      <c r="GV92" s="122"/>
      <c r="GW92" s="122"/>
      <c r="GX92" s="122"/>
      <c r="GY92" s="122"/>
      <c r="GZ92" s="122"/>
      <c r="HA92" s="122"/>
      <c r="HB92" s="122"/>
      <c r="HC92" s="122"/>
      <c r="HD92" s="122"/>
      <c r="HE92" s="122"/>
      <c r="HF92" s="122"/>
      <c r="HG92" s="122"/>
      <c r="HH92" s="122"/>
      <c r="HI92" s="122"/>
      <c r="HJ92" s="122"/>
      <c r="HK92" s="122"/>
      <c r="HL92" s="122"/>
      <c r="HM92" s="122"/>
      <c r="HN92" s="122"/>
      <c r="HO92" s="122"/>
      <c r="HP92" s="122"/>
      <c r="HQ92" s="122"/>
      <c r="HR92" s="122"/>
      <c r="HS92" s="122"/>
      <c r="HT92" s="122"/>
      <c r="HU92" s="122"/>
      <c r="HV92" s="122"/>
      <c r="HW92" s="122"/>
      <c r="HX92" s="122"/>
      <c r="HY92" s="122"/>
      <c r="HZ92" s="122"/>
      <c r="IA92" s="122"/>
      <c r="IB92" s="122"/>
      <c r="IC92" s="122"/>
      <c r="ID92" s="122"/>
      <c r="IE92" s="122"/>
      <c r="IF92" s="122"/>
      <c r="IG92" s="122"/>
      <c r="IH92" s="122"/>
      <c r="II92" s="122"/>
      <c r="IJ92" s="122"/>
      <c r="IK92" s="122"/>
      <c r="IL92" s="122"/>
      <c r="IM92" s="122"/>
      <c r="IN92" s="122"/>
      <c r="IO92" s="122"/>
      <c r="IP92" s="122"/>
      <c r="IQ92" s="122"/>
      <c r="IR92" s="122"/>
      <c r="IS92" s="122"/>
      <c r="IT92" s="122"/>
      <c r="IU92" s="122"/>
      <c r="IV92" s="122"/>
      <c r="IW92" s="122"/>
      <c r="IX92" s="122"/>
      <c r="IY92" s="122"/>
      <c r="IZ92" s="122"/>
      <c r="JA92" s="122"/>
      <c r="JB92" s="122"/>
      <c r="JC92" s="122"/>
      <c r="JD92" s="122"/>
      <c r="JE92" s="122"/>
      <c r="JF92" s="122"/>
      <c r="JG92" s="122"/>
      <c r="JH92" s="122"/>
      <c r="JI92" s="119">
        <f t="shared" si="1"/>
        <v>270000</v>
      </c>
      <c r="JJ92" s="379">
        <v>5782</v>
      </c>
      <c r="JK92" s="122"/>
      <c r="JL92" s="125"/>
      <c r="JM92" s="345"/>
      <c r="JN92" s="125"/>
      <c r="JO92" s="125"/>
      <c r="JP92" s="125"/>
    </row>
    <row r="93" spans="1:276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  <c r="BU93" s="122"/>
      <c r="BV93" s="122"/>
      <c r="BW93" s="122"/>
      <c r="BX93" s="122"/>
      <c r="BY93" s="122"/>
      <c r="BZ93" s="122"/>
      <c r="CA93" s="122"/>
      <c r="CB93" s="122"/>
      <c r="CC93" s="122"/>
      <c r="CD93" s="122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/>
      <c r="FH93" s="122"/>
      <c r="FI93" s="122"/>
      <c r="FJ93" s="122"/>
      <c r="FK93" s="122"/>
      <c r="FL93" s="122"/>
      <c r="FM93" s="122"/>
      <c r="FN93" s="122"/>
      <c r="FO93" s="122"/>
      <c r="FP93" s="122"/>
      <c r="FQ93" s="122"/>
      <c r="FR93" s="122"/>
      <c r="FS93" s="122"/>
      <c r="FT93" s="122">
        <v>658424.42000000004</v>
      </c>
      <c r="FU93" s="122"/>
      <c r="FV93" s="122"/>
      <c r="FW93" s="122"/>
      <c r="FX93" s="122"/>
      <c r="FY93" s="122"/>
      <c r="FZ93" s="122"/>
      <c r="GA93" s="122"/>
      <c r="GB93" s="122"/>
      <c r="GC93" s="122"/>
      <c r="GD93" s="122"/>
      <c r="GE93" s="122"/>
      <c r="GF93" s="122"/>
      <c r="GG93" s="122"/>
      <c r="GH93" s="122"/>
      <c r="GI93" s="122"/>
      <c r="GJ93" s="122"/>
      <c r="GK93" s="122"/>
      <c r="GL93" s="122"/>
      <c r="GM93" s="122"/>
      <c r="GN93" s="122"/>
      <c r="GO93" s="122"/>
      <c r="GP93" s="122"/>
      <c r="GQ93" s="122"/>
      <c r="GR93" s="122"/>
      <c r="GS93" s="122"/>
      <c r="GT93" s="122"/>
      <c r="GU93" s="122"/>
      <c r="GV93" s="122"/>
      <c r="GW93" s="122"/>
      <c r="GX93" s="122"/>
      <c r="GY93" s="122"/>
      <c r="GZ93" s="122"/>
      <c r="HA93" s="122"/>
      <c r="HB93" s="122"/>
      <c r="HC93" s="122"/>
      <c r="HD93" s="122"/>
      <c r="HE93" s="122"/>
      <c r="HF93" s="122"/>
      <c r="HG93" s="122"/>
      <c r="HH93" s="122"/>
      <c r="HI93" s="122"/>
      <c r="HJ93" s="122"/>
      <c r="HK93" s="122"/>
      <c r="HL93" s="122"/>
      <c r="HM93" s="122"/>
      <c r="HN93" s="122"/>
      <c r="HO93" s="122"/>
      <c r="HP93" s="122"/>
      <c r="HQ93" s="122"/>
      <c r="HR93" s="122"/>
      <c r="HS93" s="122"/>
      <c r="HT93" s="122"/>
      <c r="HU93" s="122"/>
      <c r="HV93" s="122"/>
      <c r="HW93" s="122"/>
      <c r="HX93" s="122"/>
      <c r="HY93" s="122"/>
      <c r="HZ93" s="122"/>
      <c r="IA93" s="122"/>
      <c r="IB93" s="122"/>
      <c r="IC93" s="122"/>
      <c r="ID93" s="122"/>
      <c r="IE93" s="122"/>
      <c r="IF93" s="122"/>
      <c r="IG93" s="122"/>
      <c r="IH93" s="122"/>
      <c r="II93" s="122"/>
      <c r="IJ93" s="122"/>
      <c r="IK93" s="122"/>
      <c r="IL93" s="122"/>
      <c r="IM93" s="122"/>
      <c r="IN93" s="122"/>
      <c r="IO93" s="122"/>
      <c r="IP93" s="122"/>
      <c r="IQ93" s="122"/>
      <c r="IR93" s="122"/>
      <c r="IS93" s="122"/>
      <c r="IT93" s="122"/>
      <c r="IU93" s="122"/>
      <c r="IV93" s="122"/>
      <c r="IW93" s="122"/>
      <c r="IX93" s="122"/>
      <c r="IY93" s="122"/>
      <c r="IZ93" s="122"/>
      <c r="JA93" s="122"/>
      <c r="JB93" s="122"/>
      <c r="JC93" s="122"/>
      <c r="JD93" s="122"/>
      <c r="JE93" s="122"/>
      <c r="JF93" s="122"/>
      <c r="JG93" s="122"/>
      <c r="JH93" s="122"/>
      <c r="JI93" s="119">
        <f t="shared" si="1"/>
        <v>658424.42000000004</v>
      </c>
      <c r="JJ93" s="379">
        <v>5786</v>
      </c>
      <c r="JK93" s="122"/>
      <c r="JL93" s="125"/>
      <c r="JM93" s="345"/>
      <c r="JN93" s="125"/>
      <c r="JO93" s="125"/>
      <c r="JP93" s="125"/>
    </row>
    <row r="94" spans="1:276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  <c r="BU94" s="122"/>
      <c r="BV94" s="122"/>
      <c r="BW94" s="122"/>
      <c r="BX94" s="122"/>
      <c r="BY94" s="122"/>
      <c r="BZ94" s="122"/>
      <c r="CA94" s="122"/>
      <c r="CB94" s="122"/>
      <c r="CC94" s="122"/>
      <c r="CD94" s="122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>
        <v>250000</v>
      </c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/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/>
      <c r="GD94" s="122"/>
      <c r="GE94" s="122"/>
      <c r="GF94" s="122"/>
      <c r="GG94" s="122"/>
      <c r="GH94" s="122"/>
      <c r="GI94" s="122"/>
      <c r="GJ94" s="122"/>
      <c r="GK94" s="122"/>
      <c r="GL94" s="122"/>
      <c r="GM94" s="122"/>
      <c r="GN94" s="122"/>
      <c r="GO94" s="122"/>
      <c r="GP94" s="122"/>
      <c r="GQ94" s="122"/>
      <c r="GR94" s="122"/>
      <c r="GS94" s="122"/>
      <c r="GT94" s="122"/>
      <c r="GU94" s="122"/>
      <c r="GV94" s="122"/>
      <c r="GW94" s="122"/>
      <c r="GX94" s="122"/>
      <c r="GY94" s="122"/>
      <c r="GZ94" s="122"/>
      <c r="HA94" s="122"/>
      <c r="HB94" s="122"/>
      <c r="HC94" s="122"/>
      <c r="HD94" s="122"/>
      <c r="HE94" s="122"/>
      <c r="HF94" s="122"/>
      <c r="HG94" s="122"/>
      <c r="HH94" s="122"/>
      <c r="HI94" s="122"/>
      <c r="HJ94" s="122"/>
      <c r="HK94" s="122"/>
      <c r="HL94" s="122"/>
      <c r="HM94" s="122"/>
      <c r="HN94" s="122"/>
      <c r="HO94" s="122"/>
      <c r="HP94" s="122"/>
      <c r="HQ94" s="122"/>
      <c r="HR94" s="122"/>
      <c r="HS94" s="122"/>
      <c r="HT94" s="122"/>
      <c r="HU94" s="122"/>
      <c r="HV94" s="122"/>
      <c r="HW94" s="122"/>
      <c r="HX94" s="122"/>
      <c r="HY94" s="122"/>
      <c r="HZ94" s="122"/>
      <c r="IA94" s="122"/>
      <c r="IB94" s="122"/>
      <c r="IC94" s="122"/>
      <c r="ID94" s="122"/>
      <c r="IE94" s="122"/>
      <c r="IF94" s="122"/>
      <c r="IG94" s="122"/>
      <c r="IH94" s="122"/>
      <c r="II94" s="122"/>
      <c r="IJ94" s="122"/>
      <c r="IK94" s="122"/>
      <c r="IL94" s="122"/>
      <c r="IM94" s="122"/>
      <c r="IN94" s="122"/>
      <c r="IO94" s="122"/>
      <c r="IP94" s="122"/>
      <c r="IQ94" s="122"/>
      <c r="IR94" s="122"/>
      <c r="IS94" s="122"/>
      <c r="IT94" s="122"/>
      <c r="IU94" s="122"/>
      <c r="IV94" s="122"/>
      <c r="IW94" s="122"/>
      <c r="IX94" s="122"/>
      <c r="IY94" s="122"/>
      <c r="IZ94" s="122"/>
      <c r="JA94" s="122"/>
      <c r="JB94" s="122"/>
      <c r="JC94" s="122"/>
      <c r="JD94" s="122"/>
      <c r="JE94" s="122"/>
      <c r="JF94" s="122"/>
      <c r="JG94" s="122"/>
      <c r="JH94" s="122"/>
      <c r="JI94" s="119">
        <f t="shared" si="1"/>
        <v>250000</v>
      </c>
      <c r="JJ94" s="379">
        <v>5787</v>
      </c>
      <c r="JK94" s="122"/>
      <c r="JL94" s="125"/>
      <c r="JM94" s="345"/>
      <c r="JN94" s="125"/>
      <c r="JO94" s="125"/>
      <c r="JP94" s="125"/>
    </row>
    <row r="95" spans="1:276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22"/>
      <c r="CA95" s="122"/>
      <c r="CB95" s="122"/>
      <c r="CC95" s="122"/>
      <c r="CD95" s="122"/>
      <c r="CE95" s="122"/>
      <c r="CF95" s="122"/>
      <c r="CG95" s="122"/>
      <c r="CH95" s="122"/>
      <c r="CI95" s="122"/>
      <c r="CJ95" s="122"/>
      <c r="CK95" s="122"/>
      <c r="CL95" s="122"/>
      <c r="CM95" s="122"/>
      <c r="CN95" s="122"/>
      <c r="CO95" s="122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/>
      <c r="EH95" s="122"/>
      <c r="EI95" s="122"/>
      <c r="EJ95" s="122"/>
      <c r="EK95" s="122"/>
      <c r="EL95" s="122"/>
      <c r="EM95" s="122"/>
      <c r="EN95" s="122"/>
      <c r="EO95" s="122"/>
      <c r="EP95" s="122"/>
      <c r="EQ95" s="122"/>
      <c r="ER95" s="122"/>
      <c r="ES95" s="122"/>
      <c r="ET95" s="122"/>
      <c r="EU95" s="122"/>
      <c r="EV95" s="122"/>
      <c r="EW95" s="122"/>
      <c r="EX95" s="122"/>
      <c r="EY95" s="122"/>
      <c r="EZ95" s="122"/>
      <c r="FA95" s="122"/>
      <c r="FB95" s="122"/>
      <c r="FC95" s="122"/>
      <c r="FD95" s="122"/>
      <c r="FE95" s="122"/>
      <c r="FF95" s="122"/>
      <c r="FG95" s="122"/>
      <c r="FH95" s="122"/>
      <c r="FI95" s="122"/>
      <c r="FJ95" s="122"/>
      <c r="FK95" s="122"/>
      <c r="FL95" s="122"/>
      <c r="FM95" s="122"/>
      <c r="FN95" s="122"/>
      <c r="FO95" s="122"/>
      <c r="FP95" s="122"/>
      <c r="FQ95" s="122"/>
      <c r="FR95" s="122"/>
      <c r="FS95" s="122"/>
      <c r="FT95" s="122">
        <v>1239000</v>
      </c>
      <c r="FU95" s="122"/>
      <c r="FV95" s="122"/>
      <c r="FW95" s="122"/>
      <c r="FX95" s="122"/>
      <c r="FY95" s="122"/>
      <c r="FZ95" s="122"/>
      <c r="GA95" s="122"/>
      <c r="GB95" s="122"/>
      <c r="GC95" s="122"/>
      <c r="GD95" s="122"/>
      <c r="GE95" s="122"/>
      <c r="GF95" s="122"/>
      <c r="GG95" s="122"/>
      <c r="GH95" s="122"/>
      <c r="GI95" s="122"/>
      <c r="GJ95" s="122"/>
      <c r="GK95" s="122"/>
      <c r="GL95" s="122"/>
      <c r="GM95" s="122"/>
      <c r="GN95" s="122"/>
      <c r="GO95" s="122"/>
      <c r="GP95" s="122"/>
      <c r="GQ95" s="122"/>
      <c r="GR95" s="122"/>
      <c r="GS95" s="122"/>
      <c r="GT95" s="122"/>
      <c r="GU95" s="122"/>
      <c r="GV95" s="122"/>
      <c r="GW95" s="122"/>
      <c r="GX95" s="122"/>
      <c r="GY95" s="122"/>
      <c r="GZ95" s="122"/>
      <c r="HA95" s="122"/>
      <c r="HB95" s="122"/>
      <c r="HC95" s="122"/>
      <c r="HD95" s="122"/>
      <c r="HE95" s="122"/>
      <c r="HF95" s="122"/>
      <c r="HG95" s="122"/>
      <c r="HH95" s="122"/>
      <c r="HI95" s="122"/>
      <c r="HJ95" s="122"/>
      <c r="HK95" s="122"/>
      <c r="HL95" s="122"/>
      <c r="HM95" s="122"/>
      <c r="HN95" s="122"/>
      <c r="HO95" s="122"/>
      <c r="HP95" s="122"/>
      <c r="HQ95" s="122"/>
      <c r="HR95" s="122"/>
      <c r="HS95" s="122"/>
      <c r="HT95" s="122"/>
      <c r="HU95" s="122"/>
      <c r="HV95" s="122"/>
      <c r="HW95" s="122"/>
      <c r="HX95" s="122"/>
      <c r="HY95" s="122"/>
      <c r="HZ95" s="122"/>
      <c r="IA95" s="122"/>
      <c r="IB95" s="122"/>
      <c r="IC95" s="122"/>
      <c r="ID95" s="122"/>
      <c r="IE95" s="122"/>
      <c r="IF95" s="122"/>
      <c r="IG95" s="122"/>
      <c r="IH95" s="122"/>
      <c r="II95" s="122"/>
      <c r="IJ95" s="122"/>
      <c r="IK95" s="122"/>
      <c r="IL95" s="122"/>
      <c r="IM95" s="122"/>
      <c r="IN95" s="122"/>
      <c r="IO95" s="122"/>
      <c r="IP95" s="122"/>
      <c r="IQ95" s="122"/>
      <c r="IR95" s="122"/>
      <c r="IS95" s="122"/>
      <c r="IT95" s="122"/>
      <c r="IU95" s="122"/>
      <c r="IV95" s="122"/>
      <c r="IW95" s="122"/>
      <c r="IX95" s="122"/>
      <c r="IY95" s="122"/>
      <c r="IZ95" s="122"/>
      <c r="JA95" s="122"/>
      <c r="JB95" s="122"/>
      <c r="JC95" s="122"/>
      <c r="JD95" s="122"/>
      <c r="JE95" s="122"/>
      <c r="JF95" s="122"/>
      <c r="JG95" s="122"/>
      <c r="JH95" s="122"/>
      <c r="JI95" s="119">
        <f t="shared" si="1"/>
        <v>1239000</v>
      </c>
      <c r="JJ95" s="379">
        <v>5792</v>
      </c>
      <c r="JK95" s="122"/>
      <c r="JL95" s="125"/>
      <c r="JM95" s="345"/>
      <c r="JN95" s="125"/>
      <c r="JO95" s="125"/>
      <c r="JP95" s="125"/>
    </row>
    <row r="96" spans="1:27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  <c r="BS96" s="122"/>
      <c r="BT96" s="122"/>
      <c r="BU96" s="122"/>
      <c r="BV96" s="122"/>
      <c r="BW96" s="122"/>
      <c r="BX96" s="122"/>
      <c r="BY96" s="122"/>
      <c r="BZ96" s="122"/>
      <c r="CA96" s="122"/>
      <c r="CB96" s="122"/>
      <c r="CC96" s="122"/>
      <c r="CD96" s="122"/>
      <c r="CE96" s="122"/>
      <c r="CF96" s="122"/>
      <c r="CG96" s="122"/>
      <c r="CH96" s="122"/>
      <c r="CI96" s="122"/>
      <c r="CJ96" s="122"/>
      <c r="CK96" s="122"/>
      <c r="CL96" s="122"/>
      <c r="CM96" s="122"/>
      <c r="CN96" s="122"/>
      <c r="CO96" s="122"/>
      <c r="CP96" s="122"/>
      <c r="CQ96" s="122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  <c r="DN96" s="122"/>
      <c r="DO96" s="122"/>
      <c r="DP96" s="122"/>
      <c r="DQ96" s="122"/>
      <c r="DR96" s="122"/>
      <c r="DS96" s="122">
        <v>292076.64</v>
      </c>
      <c r="DT96" s="122"/>
      <c r="DU96" s="122"/>
      <c r="DV96" s="122"/>
      <c r="DW96" s="122"/>
      <c r="DX96" s="122"/>
      <c r="DY96" s="122"/>
      <c r="DZ96" s="122"/>
      <c r="EA96" s="122"/>
      <c r="EB96" s="122"/>
      <c r="EC96" s="122"/>
      <c r="ED96" s="122"/>
      <c r="EE96" s="122"/>
      <c r="EF96" s="122"/>
      <c r="EG96" s="122"/>
      <c r="EH96" s="122"/>
      <c r="EI96" s="122"/>
      <c r="EJ96" s="122"/>
      <c r="EK96" s="122"/>
      <c r="EL96" s="122"/>
      <c r="EM96" s="122"/>
      <c r="EN96" s="122"/>
      <c r="EO96" s="122"/>
      <c r="EP96" s="122"/>
      <c r="EQ96" s="122"/>
      <c r="ER96" s="122"/>
      <c r="ES96" s="122"/>
      <c r="ET96" s="122"/>
      <c r="EU96" s="122"/>
      <c r="EV96" s="122"/>
      <c r="EW96" s="122"/>
      <c r="EX96" s="122"/>
      <c r="EY96" s="122"/>
      <c r="EZ96" s="122"/>
      <c r="FA96" s="122"/>
      <c r="FB96" s="122"/>
      <c r="FC96" s="122"/>
      <c r="FD96" s="122"/>
      <c r="FE96" s="122"/>
      <c r="FF96" s="122"/>
      <c r="FG96" s="122"/>
      <c r="FH96" s="122"/>
      <c r="FI96" s="122"/>
      <c r="FJ96" s="122"/>
      <c r="FK96" s="122"/>
      <c r="FL96" s="122"/>
      <c r="FM96" s="122"/>
      <c r="FN96" s="122"/>
      <c r="FO96" s="122"/>
      <c r="FP96" s="122"/>
      <c r="FQ96" s="122">
        <v>250894.51</v>
      </c>
      <c r="FR96" s="122"/>
      <c r="FS96" s="122"/>
      <c r="FT96" s="122"/>
      <c r="FU96" s="122"/>
      <c r="FV96" s="122"/>
      <c r="FW96" s="122"/>
      <c r="FX96" s="122"/>
      <c r="FY96" s="122"/>
      <c r="FZ96" s="122"/>
      <c r="GA96" s="122"/>
      <c r="GB96" s="122"/>
      <c r="GC96" s="122"/>
      <c r="GD96" s="122"/>
      <c r="GE96" s="122"/>
      <c r="GF96" s="122"/>
      <c r="GG96" s="122"/>
      <c r="GH96" s="122"/>
      <c r="GI96" s="122"/>
      <c r="GJ96" s="122"/>
      <c r="GK96" s="122"/>
      <c r="GL96" s="122"/>
      <c r="GM96" s="122"/>
      <c r="GN96" s="122"/>
      <c r="GO96" s="122"/>
      <c r="GP96" s="122"/>
      <c r="GQ96" s="122"/>
      <c r="GR96" s="122"/>
      <c r="GS96" s="122"/>
      <c r="GT96" s="122"/>
      <c r="GU96" s="122"/>
      <c r="GV96" s="122"/>
      <c r="GW96" s="122"/>
      <c r="GX96" s="122"/>
      <c r="GY96" s="122"/>
      <c r="GZ96" s="122"/>
      <c r="HA96" s="122"/>
      <c r="HB96" s="122"/>
      <c r="HC96" s="122"/>
      <c r="HD96" s="122"/>
      <c r="HE96" s="122"/>
      <c r="HF96" s="122"/>
      <c r="HG96" s="122"/>
      <c r="HH96" s="122"/>
      <c r="HI96" s="122"/>
      <c r="HJ96" s="122"/>
      <c r="HK96" s="122"/>
      <c r="HL96" s="122"/>
      <c r="HM96" s="122"/>
      <c r="HN96" s="122"/>
      <c r="HO96" s="122"/>
      <c r="HP96" s="122"/>
      <c r="HQ96" s="122"/>
      <c r="HR96" s="122"/>
      <c r="HS96" s="122"/>
      <c r="HT96" s="122"/>
      <c r="HU96" s="122"/>
      <c r="HV96" s="122"/>
      <c r="HW96" s="122"/>
      <c r="HX96" s="122"/>
      <c r="HY96" s="122"/>
      <c r="HZ96" s="122"/>
      <c r="IA96" s="122"/>
      <c r="IB96" s="122"/>
      <c r="IC96" s="122"/>
      <c r="ID96" s="122"/>
      <c r="IE96" s="122"/>
      <c r="IF96" s="122"/>
      <c r="IG96" s="122"/>
      <c r="IH96" s="122"/>
      <c r="II96" s="122"/>
      <c r="IJ96" s="122"/>
      <c r="IK96" s="122"/>
      <c r="IL96" s="122"/>
      <c r="IM96" s="122"/>
      <c r="IN96" s="122"/>
      <c r="IO96" s="122"/>
      <c r="IP96" s="122"/>
      <c r="IQ96" s="122"/>
      <c r="IR96" s="122"/>
      <c r="IS96" s="122"/>
      <c r="IT96" s="122"/>
      <c r="IU96" s="122"/>
      <c r="IV96" s="122"/>
      <c r="IW96" s="122"/>
      <c r="IX96" s="122"/>
      <c r="IY96" s="122"/>
      <c r="IZ96" s="122"/>
      <c r="JA96" s="122"/>
      <c r="JB96" s="122"/>
      <c r="JC96" s="122"/>
      <c r="JD96" s="122"/>
      <c r="JE96" s="122"/>
      <c r="JF96" s="122"/>
      <c r="JG96" s="122"/>
      <c r="JH96" s="122"/>
      <c r="JI96" s="119">
        <f t="shared" si="1"/>
        <v>542971.15</v>
      </c>
      <c r="JJ96" s="379">
        <v>5800</v>
      </c>
      <c r="JK96" s="122"/>
      <c r="JL96" s="125"/>
      <c r="JM96" s="345"/>
      <c r="JN96" s="125"/>
      <c r="JO96" s="125"/>
      <c r="JP96" s="125"/>
    </row>
    <row r="97" spans="1:276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  <c r="BS97" s="122"/>
      <c r="BT97" s="122"/>
      <c r="BU97" s="122"/>
      <c r="BV97" s="122"/>
      <c r="BW97" s="122"/>
      <c r="BX97" s="122"/>
      <c r="BY97" s="122"/>
      <c r="BZ97" s="122"/>
      <c r="CA97" s="122"/>
      <c r="CB97" s="122"/>
      <c r="CC97" s="122"/>
      <c r="CD97" s="122"/>
      <c r="CE97" s="122"/>
      <c r="CF97" s="122"/>
      <c r="CG97" s="122"/>
      <c r="CH97" s="122"/>
      <c r="CI97" s="122"/>
      <c r="CJ97" s="122"/>
      <c r="CK97" s="122"/>
      <c r="CL97" s="122"/>
      <c r="CM97" s="122"/>
      <c r="CN97" s="122"/>
      <c r="CO97" s="122"/>
      <c r="CP97" s="122"/>
      <c r="CQ97" s="122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  <c r="DN97" s="122"/>
      <c r="DO97" s="122"/>
      <c r="DP97" s="122"/>
      <c r="DQ97" s="122"/>
      <c r="DR97" s="122"/>
      <c r="DS97" s="122"/>
      <c r="DT97" s="122"/>
      <c r="DU97" s="122"/>
      <c r="DV97" s="122"/>
      <c r="DW97" s="122"/>
      <c r="DX97" s="122"/>
      <c r="DY97" s="122"/>
      <c r="DZ97" s="122"/>
      <c r="EA97" s="122"/>
      <c r="EB97" s="122"/>
      <c r="EC97" s="122"/>
      <c r="ED97" s="122"/>
      <c r="EE97" s="122"/>
      <c r="EF97" s="122"/>
      <c r="EG97" s="122"/>
      <c r="EH97" s="122"/>
      <c r="EI97" s="122"/>
      <c r="EJ97" s="122"/>
      <c r="EK97" s="122"/>
      <c r="EL97" s="122"/>
      <c r="EM97" s="122"/>
      <c r="EN97" s="122"/>
      <c r="EO97" s="122"/>
      <c r="EP97" s="122"/>
      <c r="EQ97" s="122"/>
      <c r="ER97" s="122"/>
      <c r="ES97" s="122"/>
      <c r="ET97" s="122"/>
      <c r="EU97" s="122"/>
      <c r="EV97" s="122"/>
      <c r="EW97" s="122"/>
      <c r="EX97" s="122"/>
      <c r="EY97" s="122"/>
      <c r="EZ97" s="122"/>
      <c r="FA97" s="122"/>
      <c r="FB97" s="122"/>
      <c r="FC97" s="122"/>
      <c r="FD97" s="122"/>
      <c r="FE97" s="122"/>
      <c r="FF97" s="122"/>
      <c r="FG97" s="122"/>
      <c r="FH97" s="122"/>
      <c r="FI97" s="122"/>
      <c r="FJ97" s="122"/>
      <c r="FK97" s="122"/>
      <c r="FL97" s="122"/>
      <c r="FM97" s="122"/>
      <c r="FN97" s="122"/>
      <c r="FO97" s="122"/>
      <c r="FP97" s="122"/>
      <c r="FQ97" s="122"/>
      <c r="FR97" s="122"/>
      <c r="FS97" s="122"/>
      <c r="FT97" s="122">
        <v>1140470</v>
      </c>
      <c r="FU97" s="122"/>
      <c r="FV97" s="122"/>
      <c r="FW97" s="122"/>
      <c r="FX97" s="122"/>
      <c r="FY97" s="122"/>
      <c r="FZ97" s="122"/>
      <c r="GA97" s="122"/>
      <c r="GB97" s="122"/>
      <c r="GC97" s="122"/>
      <c r="GD97" s="122"/>
      <c r="GE97" s="122"/>
      <c r="GF97" s="122"/>
      <c r="GG97" s="122"/>
      <c r="GH97" s="122"/>
      <c r="GI97" s="122"/>
      <c r="GJ97" s="122"/>
      <c r="GK97" s="122"/>
      <c r="GL97" s="122"/>
      <c r="GM97" s="122"/>
      <c r="GN97" s="122"/>
      <c r="GO97" s="122"/>
      <c r="GP97" s="122"/>
      <c r="GQ97" s="122"/>
      <c r="GR97" s="122"/>
      <c r="GS97" s="122"/>
      <c r="GT97" s="122"/>
      <c r="GU97" s="122"/>
      <c r="GV97" s="122"/>
      <c r="GW97" s="122"/>
      <c r="GX97" s="122"/>
      <c r="GY97" s="122"/>
      <c r="GZ97" s="122"/>
      <c r="HA97" s="122"/>
      <c r="HB97" s="122"/>
      <c r="HC97" s="122"/>
      <c r="HD97" s="122"/>
      <c r="HE97" s="122"/>
      <c r="HF97" s="122"/>
      <c r="HG97" s="122"/>
      <c r="HH97" s="122"/>
      <c r="HI97" s="122"/>
      <c r="HJ97" s="122"/>
      <c r="HK97" s="122"/>
      <c r="HL97" s="122"/>
      <c r="HM97" s="122"/>
      <c r="HN97" s="122"/>
      <c r="HO97" s="122"/>
      <c r="HP97" s="122"/>
      <c r="HQ97" s="122"/>
      <c r="HR97" s="122"/>
      <c r="HS97" s="122"/>
      <c r="HT97" s="122"/>
      <c r="HU97" s="122"/>
      <c r="HV97" s="122"/>
      <c r="HW97" s="122"/>
      <c r="HX97" s="122"/>
      <c r="HY97" s="122"/>
      <c r="HZ97" s="122"/>
      <c r="IA97" s="122"/>
      <c r="IB97" s="122"/>
      <c r="IC97" s="122"/>
      <c r="ID97" s="122"/>
      <c r="IE97" s="122"/>
      <c r="IF97" s="122"/>
      <c r="IG97" s="122"/>
      <c r="IH97" s="122"/>
      <c r="II97" s="122"/>
      <c r="IJ97" s="122"/>
      <c r="IK97" s="122"/>
      <c r="IL97" s="122"/>
      <c r="IM97" s="122"/>
      <c r="IN97" s="122"/>
      <c r="IO97" s="122"/>
      <c r="IP97" s="122"/>
      <c r="IQ97" s="122"/>
      <c r="IR97" s="122"/>
      <c r="IS97" s="122"/>
      <c r="IT97" s="122"/>
      <c r="IU97" s="122"/>
      <c r="IV97" s="122"/>
      <c r="IW97" s="122"/>
      <c r="IX97" s="122"/>
      <c r="IY97" s="122"/>
      <c r="IZ97" s="122"/>
      <c r="JA97" s="122"/>
      <c r="JB97" s="122"/>
      <c r="JC97" s="122"/>
      <c r="JD97" s="122"/>
      <c r="JE97" s="122"/>
      <c r="JF97" s="122"/>
      <c r="JG97" s="122"/>
      <c r="JH97" s="122"/>
      <c r="JI97" s="119">
        <f t="shared" si="1"/>
        <v>1140470</v>
      </c>
      <c r="JJ97" s="379">
        <v>5801</v>
      </c>
      <c r="JK97" s="122"/>
      <c r="JL97" s="125"/>
      <c r="JM97" s="345"/>
      <c r="JN97" s="125"/>
      <c r="JO97" s="125"/>
      <c r="JP97" s="125"/>
    </row>
    <row r="98" spans="1:276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22"/>
      <c r="CA98" s="122"/>
      <c r="CB98" s="122"/>
      <c r="CC98" s="122"/>
      <c r="CD98" s="122"/>
      <c r="CE98" s="122"/>
      <c r="CF98" s="122"/>
      <c r="CG98" s="122"/>
      <c r="CH98" s="122"/>
      <c r="CI98" s="122"/>
      <c r="CJ98" s="122"/>
      <c r="CK98" s="122"/>
      <c r="CL98" s="122"/>
      <c r="CM98" s="122"/>
      <c r="CN98" s="122"/>
      <c r="CO98" s="122"/>
      <c r="CP98" s="122"/>
      <c r="CQ98" s="122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>
        <v>240000</v>
      </c>
      <c r="EB98" s="122"/>
      <c r="EC98" s="122"/>
      <c r="ED98" s="122"/>
      <c r="EE98" s="122"/>
      <c r="EF98" s="122"/>
      <c r="EG98" s="122"/>
      <c r="EH98" s="122"/>
      <c r="EI98" s="122"/>
      <c r="EJ98" s="122"/>
      <c r="EK98" s="122"/>
      <c r="EL98" s="122"/>
      <c r="EM98" s="122"/>
      <c r="EN98" s="122"/>
      <c r="EO98" s="122"/>
      <c r="EP98" s="122"/>
      <c r="EQ98" s="122"/>
      <c r="ER98" s="122"/>
      <c r="ES98" s="122"/>
      <c r="ET98" s="122"/>
      <c r="EU98" s="122"/>
      <c r="EV98" s="122"/>
      <c r="EW98" s="122"/>
      <c r="EX98" s="122"/>
      <c r="EY98" s="122"/>
      <c r="EZ98" s="122"/>
      <c r="FA98" s="122"/>
      <c r="FB98" s="122"/>
      <c r="FC98" s="122"/>
      <c r="FD98" s="122"/>
      <c r="FE98" s="122"/>
      <c r="FF98" s="122"/>
      <c r="FG98" s="122"/>
      <c r="FH98" s="122"/>
      <c r="FI98" s="122"/>
      <c r="FJ98" s="122"/>
      <c r="FK98" s="122"/>
      <c r="FL98" s="122"/>
      <c r="FM98" s="122"/>
      <c r="FN98" s="122"/>
      <c r="FO98" s="122"/>
      <c r="FP98" s="122"/>
      <c r="FQ98" s="122"/>
      <c r="FR98" s="122"/>
      <c r="FS98" s="122"/>
      <c r="FT98" s="122"/>
      <c r="FU98" s="122"/>
      <c r="FV98" s="122"/>
      <c r="FW98" s="122"/>
      <c r="FX98" s="122"/>
      <c r="FY98" s="122"/>
      <c r="FZ98" s="122"/>
      <c r="GA98" s="122"/>
      <c r="GB98" s="122"/>
      <c r="GC98" s="122"/>
      <c r="GD98" s="122"/>
      <c r="GE98" s="122"/>
      <c r="GF98" s="122"/>
      <c r="GG98" s="122"/>
      <c r="GH98" s="122"/>
      <c r="GI98" s="122"/>
      <c r="GJ98" s="122"/>
      <c r="GK98" s="122"/>
      <c r="GL98" s="122"/>
      <c r="GM98" s="122"/>
      <c r="GN98" s="122"/>
      <c r="GO98" s="122"/>
      <c r="GP98" s="122"/>
      <c r="GQ98" s="122"/>
      <c r="GR98" s="122"/>
      <c r="GS98" s="122"/>
      <c r="GT98" s="122"/>
      <c r="GU98" s="122"/>
      <c r="GV98" s="122"/>
      <c r="GW98" s="122"/>
      <c r="GX98" s="122"/>
      <c r="GY98" s="122"/>
      <c r="GZ98" s="122"/>
      <c r="HA98" s="122"/>
      <c r="HB98" s="122"/>
      <c r="HC98" s="122"/>
      <c r="HD98" s="122"/>
      <c r="HE98" s="122"/>
      <c r="HF98" s="122"/>
      <c r="HG98" s="122"/>
      <c r="HH98" s="122"/>
      <c r="HI98" s="122"/>
      <c r="HJ98" s="122"/>
      <c r="HK98" s="122"/>
      <c r="HL98" s="122"/>
      <c r="HM98" s="122"/>
      <c r="HN98" s="122"/>
      <c r="HO98" s="122"/>
      <c r="HP98" s="122"/>
      <c r="HQ98" s="122"/>
      <c r="HR98" s="122"/>
      <c r="HS98" s="122"/>
      <c r="HT98" s="122"/>
      <c r="HU98" s="122"/>
      <c r="HV98" s="122"/>
      <c r="HW98" s="122"/>
      <c r="HX98" s="122"/>
      <c r="HY98" s="122"/>
      <c r="HZ98" s="122"/>
      <c r="IA98" s="122"/>
      <c r="IB98" s="122"/>
      <c r="IC98" s="122"/>
      <c r="ID98" s="122"/>
      <c r="IE98" s="122"/>
      <c r="IF98" s="122"/>
      <c r="IG98" s="122"/>
      <c r="IH98" s="122"/>
      <c r="II98" s="122"/>
      <c r="IJ98" s="122"/>
      <c r="IK98" s="122"/>
      <c r="IL98" s="122"/>
      <c r="IM98" s="122"/>
      <c r="IN98" s="122"/>
      <c r="IO98" s="122"/>
      <c r="IP98" s="122"/>
      <c r="IQ98" s="122"/>
      <c r="IR98" s="122"/>
      <c r="IS98" s="122"/>
      <c r="IT98" s="122"/>
      <c r="IU98" s="122"/>
      <c r="IV98" s="122"/>
      <c r="IW98" s="122"/>
      <c r="IX98" s="122"/>
      <c r="IY98" s="122"/>
      <c r="IZ98" s="122"/>
      <c r="JA98" s="122"/>
      <c r="JB98" s="122"/>
      <c r="JC98" s="122"/>
      <c r="JD98" s="122"/>
      <c r="JE98" s="122"/>
      <c r="JF98" s="122"/>
      <c r="JG98" s="122"/>
      <c r="JH98" s="122"/>
      <c r="JI98" s="119">
        <f t="shared" si="1"/>
        <v>240000</v>
      </c>
      <c r="JJ98" s="379">
        <v>5803</v>
      </c>
      <c r="JK98" s="122"/>
      <c r="JL98" s="125"/>
      <c r="JM98" s="345"/>
      <c r="JN98" s="125"/>
      <c r="JO98" s="125"/>
      <c r="JP98" s="125"/>
    </row>
    <row r="99" spans="1:276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>
        <v>300172.65000000002</v>
      </c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  <c r="BQ99" s="122"/>
      <c r="BR99" s="122"/>
      <c r="BS99" s="122"/>
      <c r="BT99" s="122"/>
      <c r="BU99" s="122"/>
      <c r="BV99" s="122"/>
      <c r="BW99" s="122"/>
      <c r="BX99" s="122"/>
      <c r="BY99" s="122"/>
      <c r="BZ99" s="122"/>
      <c r="CA99" s="122"/>
      <c r="CB99" s="122"/>
      <c r="CC99" s="122"/>
      <c r="CD99" s="122"/>
      <c r="CE99" s="122"/>
      <c r="CF99" s="122"/>
      <c r="CG99" s="122"/>
      <c r="CH99" s="122"/>
      <c r="CI99" s="122"/>
      <c r="CJ99" s="122"/>
      <c r="CK99" s="122"/>
      <c r="CL99" s="122"/>
      <c r="CM99" s="122"/>
      <c r="CN99" s="122"/>
      <c r="CO99" s="122"/>
      <c r="CP99" s="122"/>
      <c r="CQ99" s="122"/>
      <c r="CR99" s="122"/>
      <c r="CS99" s="122"/>
      <c r="CT99" s="122"/>
      <c r="CU99" s="122"/>
      <c r="CV99" s="122"/>
      <c r="CW99" s="122"/>
      <c r="CX99" s="122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  <c r="EE99" s="122"/>
      <c r="EF99" s="122"/>
      <c r="EG99" s="122"/>
      <c r="EH99" s="122"/>
      <c r="EI99" s="122"/>
      <c r="EJ99" s="122"/>
      <c r="EK99" s="122"/>
      <c r="EL99" s="122"/>
      <c r="EM99" s="122"/>
      <c r="EN99" s="122"/>
      <c r="EO99" s="122"/>
      <c r="EP99" s="122"/>
      <c r="EQ99" s="122"/>
      <c r="ER99" s="122"/>
      <c r="ES99" s="122"/>
      <c r="ET99" s="122"/>
      <c r="EU99" s="122"/>
      <c r="EV99" s="122"/>
      <c r="EW99" s="122"/>
      <c r="EX99" s="122"/>
      <c r="EY99" s="122"/>
      <c r="EZ99" s="122"/>
      <c r="FA99" s="122"/>
      <c r="FB99" s="122"/>
      <c r="FC99" s="122"/>
      <c r="FD99" s="122"/>
      <c r="FE99" s="122"/>
      <c r="FF99" s="122"/>
      <c r="FG99" s="122"/>
      <c r="FH99" s="122"/>
      <c r="FI99" s="122"/>
      <c r="FJ99" s="122"/>
      <c r="FK99" s="122"/>
      <c r="FL99" s="122"/>
      <c r="FM99" s="122"/>
      <c r="FN99" s="122"/>
      <c r="FO99" s="122"/>
      <c r="FP99" s="122"/>
      <c r="FQ99" s="122"/>
      <c r="FR99" s="122"/>
      <c r="FS99" s="122"/>
      <c r="FT99" s="122"/>
      <c r="FU99" s="122"/>
      <c r="FV99" s="122"/>
      <c r="FW99" s="122"/>
      <c r="FX99" s="122"/>
      <c r="FY99" s="122"/>
      <c r="FZ99" s="122"/>
      <c r="GA99" s="122"/>
      <c r="GB99" s="122"/>
      <c r="GC99" s="122"/>
      <c r="GD99" s="122"/>
      <c r="GE99" s="122"/>
      <c r="GF99" s="122"/>
      <c r="GG99" s="122"/>
      <c r="GH99" s="122"/>
      <c r="GI99" s="122"/>
      <c r="GJ99" s="122"/>
      <c r="GK99" s="122"/>
      <c r="GL99" s="122"/>
      <c r="GM99" s="122"/>
      <c r="GN99" s="122"/>
      <c r="GO99" s="122"/>
      <c r="GP99" s="122"/>
      <c r="GQ99" s="122"/>
      <c r="GR99" s="122"/>
      <c r="GS99" s="122"/>
      <c r="GT99" s="122"/>
      <c r="GU99" s="122"/>
      <c r="GV99" s="122"/>
      <c r="GW99" s="122"/>
      <c r="GX99" s="122"/>
      <c r="GY99" s="122"/>
      <c r="GZ99" s="122"/>
      <c r="HA99" s="122"/>
      <c r="HB99" s="122"/>
      <c r="HC99" s="122"/>
      <c r="HD99" s="122"/>
      <c r="HE99" s="122"/>
      <c r="HF99" s="122"/>
      <c r="HG99" s="122"/>
      <c r="HH99" s="122"/>
      <c r="HI99" s="122"/>
      <c r="HJ99" s="122"/>
      <c r="HK99" s="122"/>
      <c r="HL99" s="122"/>
      <c r="HM99" s="122"/>
      <c r="HN99" s="122"/>
      <c r="HO99" s="122"/>
      <c r="HP99" s="122"/>
      <c r="HQ99" s="122"/>
      <c r="HR99" s="122"/>
      <c r="HS99" s="122"/>
      <c r="HT99" s="122"/>
      <c r="HU99" s="122"/>
      <c r="HV99" s="122"/>
      <c r="HW99" s="122"/>
      <c r="HX99" s="122"/>
      <c r="HY99" s="122"/>
      <c r="HZ99" s="122"/>
      <c r="IA99" s="122"/>
      <c r="IB99" s="122"/>
      <c r="IC99" s="122"/>
      <c r="ID99" s="122"/>
      <c r="IE99" s="122"/>
      <c r="IF99" s="122"/>
      <c r="IG99" s="122"/>
      <c r="IH99" s="122"/>
      <c r="II99" s="122"/>
      <c r="IJ99" s="122"/>
      <c r="IK99" s="122"/>
      <c r="IL99" s="122"/>
      <c r="IM99" s="122"/>
      <c r="IN99" s="122"/>
      <c r="IO99" s="122"/>
      <c r="IP99" s="122"/>
      <c r="IQ99" s="122"/>
      <c r="IR99" s="122"/>
      <c r="IS99" s="122"/>
      <c r="IT99" s="122"/>
      <c r="IU99" s="122"/>
      <c r="IV99" s="122"/>
      <c r="IW99" s="122"/>
      <c r="IX99" s="122"/>
      <c r="IY99" s="122"/>
      <c r="IZ99" s="122"/>
      <c r="JA99" s="122"/>
      <c r="JB99" s="122"/>
      <c r="JC99" s="122"/>
      <c r="JD99" s="122"/>
      <c r="JE99" s="122"/>
      <c r="JF99" s="122"/>
      <c r="JG99" s="122"/>
      <c r="JH99" s="122"/>
      <c r="JI99" s="119">
        <f t="shared" si="1"/>
        <v>300172.65000000002</v>
      </c>
      <c r="JJ99" s="379">
        <v>5810</v>
      </c>
      <c r="JK99" s="122"/>
      <c r="JL99" s="125"/>
      <c r="JM99" s="345"/>
      <c r="JN99" s="125"/>
      <c r="JO99" s="125"/>
      <c r="JP99" s="125"/>
    </row>
    <row r="100" spans="1:276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  <c r="BQ100" s="122"/>
      <c r="BR100" s="122"/>
      <c r="BS100" s="122"/>
      <c r="BT100" s="122"/>
      <c r="BU100" s="122"/>
      <c r="BV100" s="122"/>
      <c r="BW100" s="122"/>
      <c r="BX100" s="122"/>
      <c r="BY100" s="122"/>
      <c r="BZ100" s="122"/>
      <c r="CA100" s="122"/>
      <c r="CB100" s="122"/>
      <c r="CC100" s="122"/>
      <c r="CD100" s="122"/>
      <c r="CE100" s="122"/>
      <c r="CF100" s="122"/>
      <c r="CG100" s="122"/>
      <c r="CH100" s="122"/>
      <c r="CI100" s="122"/>
      <c r="CJ100" s="122"/>
      <c r="CK100" s="122"/>
      <c r="CL100" s="122"/>
      <c r="CM100" s="122"/>
      <c r="CN100" s="122"/>
      <c r="CO100" s="122"/>
      <c r="CP100" s="122"/>
      <c r="CQ100" s="122"/>
      <c r="CR100" s="122"/>
      <c r="CS100" s="122"/>
      <c r="CT100" s="122"/>
      <c r="CU100" s="122"/>
      <c r="CV100" s="122"/>
      <c r="CW100" s="122"/>
      <c r="CX100" s="122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  <c r="EE100" s="122"/>
      <c r="EF100" s="122"/>
      <c r="EG100" s="122"/>
      <c r="EH100" s="122"/>
      <c r="EI100" s="122"/>
      <c r="EJ100" s="122"/>
      <c r="EK100" s="122"/>
      <c r="EL100" s="122"/>
      <c r="EM100" s="122"/>
      <c r="EN100" s="122"/>
      <c r="EO100" s="122"/>
      <c r="EP100" s="122"/>
      <c r="EQ100" s="122"/>
      <c r="ER100" s="122"/>
      <c r="ES100" s="122"/>
      <c r="ET100" s="122"/>
      <c r="EU100" s="122"/>
      <c r="EV100" s="122"/>
      <c r="EW100" s="122"/>
      <c r="EX100" s="122"/>
      <c r="EY100" s="122"/>
      <c r="EZ100" s="122"/>
      <c r="FA100" s="122"/>
      <c r="FB100" s="122"/>
      <c r="FC100" s="122"/>
      <c r="FD100" s="122"/>
      <c r="FE100" s="122"/>
      <c r="FF100" s="122"/>
      <c r="FG100" s="122"/>
      <c r="FH100" s="122"/>
      <c r="FI100" s="122"/>
      <c r="FJ100" s="122"/>
      <c r="FK100" s="122"/>
      <c r="FL100" s="122"/>
      <c r="FM100" s="122"/>
      <c r="FN100" s="122"/>
      <c r="FO100" s="122"/>
      <c r="FP100" s="122"/>
      <c r="FQ100" s="122"/>
      <c r="FR100" s="122"/>
      <c r="FS100" s="122"/>
      <c r="FT100" s="122"/>
      <c r="FU100" s="122"/>
      <c r="FV100" s="122"/>
      <c r="FW100" s="122"/>
      <c r="FX100" s="122"/>
      <c r="FY100" s="122"/>
      <c r="FZ100" s="122"/>
      <c r="GA100" s="122"/>
      <c r="GB100" s="122"/>
      <c r="GC100" s="122"/>
      <c r="GD100" s="122"/>
      <c r="GE100" s="122"/>
      <c r="GF100" s="122"/>
      <c r="GG100" s="122"/>
      <c r="GH100" s="122">
        <v>265028</v>
      </c>
      <c r="GI100" s="122"/>
      <c r="GJ100" s="122"/>
      <c r="GK100" s="122"/>
      <c r="GL100" s="122"/>
      <c r="GM100" s="122"/>
      <c r="GN100" s="122"/>
      <c r="GO100" s="122"/>
      <c r="GP100" s="122"/>
      <c r="GQ100" s="122"/>
      <c r="GR100" s="122"/>
      <c r="GS100" s="122"/>
      <c r="GT100" s="122"/>
      <c r="GU100" s="122"/>
      <c r="GV100" s="122"/>
      <c r="GW100" s="122"/>
      <c r="GX100" s="122"/>
      <c r="GY100" s="122"/>
      <c r="GZ100" s="122"/>
      <c r="HA100" s="122"/>
      <c r="HB100" s="122"/>
      <c r="HC100" s="122"/>
      <c r="HD100" s="122"/>
      <c r="HE100" s="122"/>
      <c r="HF100" s="122"/>
      <c r="HG100" s="122"/>
      <c r="HH100" s="122"/>
      <c r="HI100" s="122"/>
      <c r="HJ100" s="122"/>
      <c r="HK100" s="122"/>
      <c r="HL100" s="122"/>
      <c r="HM100" s="122"/>
      <c r="HN100" s="122"/>
      <c r="HO100" s="122"/>
      <c r="HP100" s="122"/>
      <c r="HQ100" s="122"/>
      <c r="HR100" s="122"/>
      <c r="HS100" s="122"/>
      <c r="HT100" s="122"/>
      <c r="HU100" s="122"/>
      <c r="HV100" s="122"/>
      <c r="HW100" s="122"/>
      <c r="HX100" s="122"/>
      <c r="HY100" s="122"/>
      <c r="HZ100" s="122"/>
      <c r="IA100" s="122"/>
      <c r="IB100" s="122"/>
      <c r="IC100" s="122"/>
      <c r="ID100" s="122"/>
      <c r="IE100" s="122"/>
      <c r="IF100" s="122"/>
      <c r="IG100" s="122"/>
      <c r="IH100" s="122"/>
      <c r="II100" s="122"/>
      <c r="IJ100" s="122"/>
      <c r="IK100" s="122"/>
      <c r="IL100" s="122"/>
      <c r="IM100" s="122"/>
      <c r="IN100" s="122"/>
      <c r="IO100" s="122"/>
      <c r="IP100" s="122"/>
      <c r="IQ100" s="122"/>
      <c r="IR100" s="122"/>
      <c r="IS100" s="122"/>
      <c r="IT100" s="122"/>
      <c r="IU100" s="122"/>
      <c r="IV100" s="122"/>
      <c r="IW100" s="122"/>
      <c r="IX100" s="122"/>
      <c r="IY100" s="122"/>
      <c r="IZ100" s="122"/>
      <c r="JA100" s="122"/>
      <c r="JB100" s="122"/>
      <c r="JC100" s="122"/>
      <c r="JD100" s="122"/>
      <c r="JE100" s="122"/>
      <c r="JF100" s="122"/>
      <c r="JG100" s="122"/>
      <c r="JH100" s="122"/>
      <c r="JI100" s="119">
        <f t="shared" si="1"/>
        <v>265028</v>
      </c>
      <c r="JJ100" s="379">
        <v>5813</v>
      </c>
      <c r="JK100" s="122"/>
      <c r="JL100" s="125"/>
      <c r="JM100" s="345"/>
      <c r="JN100" s="125"/>
      <c r="JO100" s="125"/>
      <c r="JP100" s="125"/>
    </row>
    <row r="101" spans="1:276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/>
      <c r="FK101" s="122"/>
      <c r="FL101" s="122"/>
      <c r="FM101" s="122"/>
      <c r="FN101" s="122"/>
      <c r="FO101" s="122"/>
      <c r="FP101" s="122"/>
      <c r="FQ101" s="122"/>
      <c r="FR101" s="122"/>
      <c r="FS101" s="122">
        <v>212400</v>
      </c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  <c r="GJ101" s="122"/>
      <c r="GK101" s="122"/>
      <c r="GL101" s="122"/>
      <c r="GM101" s="122"/>
      <c r="GN101" s="122"/>
      <c r="GO101" s="122"/>
      <c r="GP101" s="122"/>
      <c r="GQ101" s="122"/>
      <c r="GR101" s="122"/>
      <c r="GS101" s="122"/>
      <c r="GT101" s="122"/>
      <c r="GU101" s="122"/>
      <c r="GV101" s="122"/>
      <c r="GW101" s="122"/>
      <c r="GX101" s="122"/>
      <c r="GY101" s="122"/>
      <c r="GZ101" s="122"/>
      <c r="HA101" s="122"/>
      <c r="HB101" s="122"/>
      <c r="HC101" s="122"/>
      <c r="HD101" s="122"/>
      <c r="HE101" s="122"/>
      <c r="HF101" s="122"/>
      <c r="HG101" s="122"/>
      <c r="HH101" s="122"/>
      <c r="HI101" s="122"/>
      <c r="HJ101" s="122"/>
      <c r="HK101" s="122"/>
      <c r="HL101" s="122"/>
      <c r="HM101" s="122"/>
      <c r="HN101" s="122"/>
      <c r="HO101" s="122"/>
      <c r="HP101" s="122"/>
      <c r="HQ101" s="122"/>
      <c r="HR101" s="122"/>
      <c r="HS101" s="122"/>
      <c r="HT101" s="122"/>
      <c r="HU101" s="122"/>
      <c r="HV101" s="122"/>
      <c r="HW101" s="122"/>
      <c r="HX101" s="122"/>
      <c r="HY101" s="122"/>
      <c r="HZ101" s="122"/>
      <c r="IA101" s="122"/>
      <c r="IB101" s="122"/>
      <c r="IC101" s="122"/>
      <c r="ID101" s="122"/>
      <c r="IE101" s="122"/>
      <c r="IF101" s="122"/>
      <c r="IG101" s="122"/>
      <c r="IH101" s="122"/>
      <c r="II101" s="122"/>
      <c r="IJ101" s="122"/>
      <c r="IK101" s="122"/>
      <c r="IL101" s="122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122"/>
      <c r="JB101" s="122"/>
      <c r="JC101" s="122"/>
      <c r="JD101" s="122"/>
      <c r="JE101" s="122"/>
      <c r="JF101" s="122"/>
      <c r="JG101" s="122"/>
      <c r="JH101" s="122"/>
      <c r="JI101" s="119">
        <f t="shared" si="1"/>
        <v>212400</v>
      </c>
      <c r="JJ101" s="379">
        <v>5818</v>
      </c>
      <c r="JK101" s="122"/>
      <c r="JL101" s="125"/>
      <c r="JM101" s="345"/>
      <c r="JN101" s="125"/>
      <c r="JO101" s="125"/>
      <c r="JP101" s="125"/>
    </row>
    <row r="102" spans="1:276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22"/>
      <c r="CA102" s="122"/>
      <c r="CB102" s="122"/>
      <c r="CC102" s="122"/>
      <c r="CD102" s="122"/>
      <c r="CE102" s="122"/>
      <c r="CF102" s="122"/>
      <c r="CG102" s="122"/>
      <c r="CH102" s="122"/>
      <c r="CI102" s="122"/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>
        <v>255284.8</v>
      </c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  <c r="GJ102" s="122"/>
      <c r="GK102" s="122"/>
      <c r="GL102" s="122"/>
      <c r="GM102" s="122"/>
      <c r="GN102" s="122"/>
      <c r="GO102" s="122"/>
      <c r="GP102" s="122"/>
      <c r="GQ102" s="122"/>
      <c r="GR102" s="122"/>
      <c r="GS102" s="122"/>
      <c r="GT102" s="122"/>
      <c r="GU102" s="122"/>
      <c r="GV102" s="122"/>
      <c r="GW102" s="122"/>
      <c r="GX102" s="122"/>
      <c r="GY102" s="122"/>
      <c r="GZ102" s="122"/>
      <c r="HA102" s="122"/>
      <c r="HB102" s="122"/>
      <c r="HC102" s="122"/>
      <c r="HD102" s="122"/>
      <c r="HE102" s="122"/>
      <c r="HF102" s="122"/>
      <c r="HG102" s="122"/>
      <c r="HH102" s="122"/>
      <c r="HI102" s="122"/>
      <c r="HJ102" s="122"/>
      <c r="HK102" s="122"/>
      <c r="HL102" s="122"/>
      <c r="HM102" s="122"/>
      <c r="HN102" s="122"/>
      <c r="HO102" s="122"/>
      <c r="HP102" s="122"/>
      <c r="HQ102" s="122"/>
      <c r="HR102" s="122"/>
      <c r="HS102" s="122"/>
      <c r="HT102" s="122"/>
      <c r="HU102" s="122"/>
      <c r="HV102" s="122"/>
      <c r="HW102" s="122"/>
      <c r="HX102" s="122"/>
      <c r="HY102" s="122"/>
      <c r="HZ102" s="122"/>
      <c r="IA102" s="122"/>
      <c r="IB102" s="122"/>
      <c r="IC102" s="122"/>
      <c r="ID102" s="122"/>
      <c r="IE102" s="122"/>
      <c r="IF102" s="122"/>
      <c r="IG102" s="122"/>
      <c r="IH102" s="122"/>
      <c r="II102" s="122"/>
      <c r="IJ102" s="122"/>
      <c r="IK102" s="122"/>
      <c r="IL102" s="122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122"/>
      <c r="JB102" s="122"/>
      <c r="JC102" s="122"/>
      <c r="JD102" s="122"/>
      <c r="JE102" s="122"/>
      <c r="JF102" s="122"/>
      <c r="JG102" s="122"/>
      <c r="JH102" s="122"/>
      <c r="JI102" s="119">
        <f t="shared" si="1"/>
        <v>255284.8</v>
      </c>
      <c r="JJ102" s="379">
        <v>5820</v>
      </c>
      <c r="JK102" s="122"/>
      <c r="JL102" s="125"/>
      <c r="JM102" s="345"/>
      <c r="JN102" s="125"/>
      <c r="JO102" s="125"/>
      <c r="JP102" s="125"/>
    </row>
    <row r="103" spans="1:276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22"/>
      <c r="CA103" s="122"/>
      <c r="CB103" s="122"/>
      <c r="CC103" s="122"/>
      <c r="CD103" s="122"/>
      <c r="CE103" s="122"/>
      <c r="CF103" s="122"/>
      <c r="CG103" s="122"/>
      <c r="CH103" s="122"/>
      <c r="CI103" s="122"/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>
        <v>187623.54</v>
      </c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  <c r="GJ103" s="122"/>
      <c r="GK103" s="122"/>
      <c r="GL103" s="122"/>
      <c r="GM103" s="122"/>
      <c r="GN103" s="122"/>
      <c r="GO103" s="122"/>
      <c r="GP103" s="122"/>
      <c r="GQ103" s="122"/>
      <c r="GR103" s="122"/>
      <c r="GS103" s="122"/>
      <c r="GT103" s="122"/>
      <c r="GU103" s="122"/>
      <c r="GV103" s="122"/>
      <c r="GW103" s="122"/>
      <c r="GX103" s="122"/>
      <c r="GY103" s="122"/>
      <c r="GZ103" s="122"/>
      <c r="HA103" s="122"/>
      <c r="HB103" s="122"/>
      <c r="HC103" s="122"/>
      <c r="HD103" s="122"/>
      <c r="HE103" s="122"/>
      <c r="HF103" s="122"/>
      <c r="HG103" s="122"/>
      <c r="HH103" s="122"/>
      <c r="HI103" s="122"/>
      <c r="HJ103" s="122"/>
      <c r="HK103" s="122"/>
      <c r="HL103" s="122"/>
      <c r="HM103" s="122"/>
      <c r="HN103" s="122"/>
      <c r="HO103" s="122"/>
      <c r="HP103" s="122"/>
      <c r="HQ103" s="122"/>
      <c r="HR103" s="122"/>
      <c r="HS103" s="122"/>
      <c r="HT103" s="122"/>
      <c r="HU103" s="122"/>
      <c r="HV103" s="122"/>
      <c r="HW103" s="122"/>
      <c r="HX103" s="122"/>
      <c r="HY103" s="122"/>
      <c r="HZ103" s="122"/>
      <c r="IA103" s="122"/>
      <c r="IB103" s="122"/>
      <c r="IC103" s="122"/>
      <c r="ID103" s="122"/>
      <c r="IE103" s="122"/>
      <c r="IF103" s="122"/>
      <c r="IG103" s="122"/>
      <c r="IH103" s="122"/>
      <c r="II103" s="122"/>
      <c r="IJ103" s="122"/>
      <c r="IK103" s="122"/>
      <c r="IL103" s="122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122"/>
      <c r="JB103" s="122"/>
      <c r="JC103" s="122"/>
      <c r="JD103" s="122"/>
      <c r="JE103" s="122"/>
      <c r="JF103" s="122"/>
      <c r="JG103" s="122"/>
      <c r="JH103" s="122"/>
      <c r="JI103" s="119">
        <f t="shared" si="1"/>
        <v>187623.54</v>
      </c>
      <c r="JJ103" s="379">
        <v>5824</v>
      </c>
      <c r="JK103" s="122"/>
      <c r="JL103" s="125"/>
      <c r="JM103" s="345"/>
      <c r="JN103" s="125"/>
      <c r="JO103" s="125"/>
      <c r="JP103" s="125"/>
    </row>
    <row r="104" spans="1:276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22"/>
      <c r="CC104" s="122"/>
      <c r="CD104" s="122"/>
      <c r="CE104" s="122"/>
      <c r="CF104" s="122"/>
      <c r="CG104" s="122"/>
      <c r="CH104" s="122"/>
      <c r="CI104" s="122"/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/>
      <c r="FJ104" s="122"/>
      <c r="FK104" s="122"/>
      <c r="FL104" s="122"/>
      <c r="FM104" s="122"/>
      <c r="FN104" s="122"/>
      <c r="FO104" s="122"/>
      <c r="FP104" s="122"/>
      <c r="FQ104" s="122"/>
      <c r="FR104" s="122"/>
      <c r="FS104" s="122"/>
      <c r="FT104" s="122">
        <v>73546.12</v>
      </c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  <c r="GJ104" s="122"/>
      <c r="GK104" s="122"/>
      <c r="GL104" s="122"/>
      <c r="GM104" s="122"/>
      <c r="GN104" s="122"/>
      <c r="GO104" s="122"/>
      <c r="GP104" s="122"/>
      <c r="GQ104" s="122"/>
      <c r="GR104" s="122"/>
      <c r="GS104" s="122"/>
      <c r="GT104" s="122"/>
      <c r="GU104" s="122"/>
      <c r="GV104" s="122"/>
      <c r="GW104" s="122"/>
      <c r="GX104" s="122"/>
      <c r="GY104" s="122"/>
      <c r="GZ104" s="122"/>
      <c r="HA104" s="122"/>
      <c r="HB104" s="122"/>
      <c r="HC104" s="122"/>
      <c r="HD104" s="122"/>
      <c r="HE104" s="122"/>
      <c r="HF104" s="122"/>
      <c r="HG104" s="122"/>
      <c r="HH104" s="122"/>
      <c r="HI104" s="122"/>
      <c r="HJ104" s="122"/>
      <c r="HK104" s="122"/>
      <c r="HL104" s="122"/>
      <c r="HM104" s="122"/>
      <c r="HN104" s="122"/>
      <c r="HO104" s="122"/>
      <c r="HP104" s="122"/>
      <c r="HQ104" s="122"/>
      <c r="HR104" s="122"/>
      <c r="HS104" s="122"/>
      <c r="HT104" s="122"/>
      <c r="HU104" s="122"/>
      <c r="HV104" s="122"/>
      <c r="HW104" s="122"/>
      <c r="HX104" s="122"/>
      <c r="HY104" s="122"/>
      <c r="HZ104" s="122"/>
      <c r="IA104" s="122"/>
      <c r="IB104" s="122"/>
      <c r="IC104" s="122"/>
      <c r="ID104" s="122"/>
      <c r="IE104" s="122"/>
      <c r="IF104" s="122"/>
      <c r="IG104" s="122"/>
      <c r="IH104" s="122"/>
      <c r="II104" s="122"/>
      <c r="IJ104" s="122"/>
      <c r="IK104" s="122"/>
      <c r="IL104" s="122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122"/>
      <c r="JB104" s="122"/>
      <c r="JC104" s="122"/>
      <c r="JD104" s="122"/>
      <c r="JE104" s="122"/>
      <c r="JF104" s="122"/>
      <c r="JG104" s="122"/>
      <c r="JH104" s="122"/>
      <c r="JI104" s="119">
        <f t="shared" si="1"/>
        <v>73546.12</v>
      </c>
      <c r="JJ104" s="379">
        <v>5831</v>
      </c>
      <c r="JK104" s="122"/>
      <c r="JL104" s="125"/>
      <c r="JM104" s="345"/>
      <c r="JN104" s="125"/>
      <c r="JO104" s="125"/>
      <c r="JP104" s="125"/>
    </row>
    <row r="105" spans="1:276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22"/>
      <c r="CA105" s="122"/>
      <c r="CB105" s="122"/>
      <c r="CC105" s="122"/>
      <c r="CD105" s="122"/>
      <c r="CE105" s="122"/>
      <c r="CF105" s="122"/>
      <c r="CG105" s="122"/>
      <c r="CH105" s="122"/>
      <c r="CI105" s="122"/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/>
      <c r="FC105" s="122"/>
      <c r="FD105" s="122"/>
      <c r="FE105" s="122"/>
      <c r="FF105" s="122"/>
      <c r="FG105" s="122"/>
      <c r="FH105" s="122"/>
      <c r="FI105" s="122"/>
      <c r="FJ105" s="122"/>
      <c r="FK105" s="122"/>
      <c r="FL105" s="122"/>
      <c r="FM105" s="122"/>
      <c r="FN105" s="122"/>
      <c r="FO105" s="122"/>
      <c r="FP105" s="122"/>
      <c r="FQ105" s="122"/>
      <c r="FR105" s="122"/>
      <c r="FS105" s="122"/>
      <c r="FT105" s="122">
        <v>271375</v>
      </c>
      <c r="FU105" s="122"/>
      <c r="FV105" s="122"/>
      <c r="FW105" s="122"/>
      <c r="FX105" s="122"/>
      <c r="FY105" s="122"/>
      <c r="FZ105" s="122"/>
      <c r="GA105" s="122"/>
      <c r="GB105" s="122"/>
      <c r="GC105" s="122"/>
      <c r="GD105" s="122"/>
      <c r="GE105" s="122"/>
      <c r="GF105" s="122"/>
      <c r="GG105" s="122"/>
      <c r="GH105" s="122"/>
      <c r="GI105" s="122"/>
      <c r="GJ105" s="122"/>
      <c r="GK105" s="122"/>
      <c r="GL105" s="122"/>
      <c r="GM105" s="122"/>
      <c r="GN105" s="122"/>
      <c r="GO105" s="122"/>
      <c r="GP105" s="122"/>
      <c r="GQ105" s="122"/>
      <c r="GR105" s="122"/>
      <c r="GS105" s="122"/>
      <c r="GT105" s="122"/>
      <c r="GU105" s="122"/>
      <c r="GV105" s="122"/>
      <c r="GW105" s="122"/>
      <c r="GX105" s="122"/>
      <c r="GY105" s="122"/>
      <c r="GZ105" s="122"/>
      <c r="HA105" s="122"/>
      <c r="HB105" s="122"/>
      <c r="HC105" s="122"/>
      <c r="HD105" s="122"/>
      <c r="HE105" s="122"/>
      <c r="HF105" s="122"/>
      <c r="HG105" s="122"/>
      <c r="HH105" s="122"/>
      <c r="HI105" s="122"/>
      <c r="HJ105" s="122"/>
      <c r="HK105" s="122"/>
      <c r="HL105" s="122"/>
      <c r="HM105" s="122"/>
      <c r="HN105" s="122"/>
      <c r="HO105" s="122"/>
      <c r="HP105" s="122"/>
      <c r="HQ105" s="122"/>
      <c r="HR105" s="122"/>
      <c r="HS105" s="122"/>
      <c r="HT105" s="122"/>
      <c r="HU105" s="122"/>
      <c r="HV105" s="122"/>
      <c r="HW105" s="122"/>
      <c r="HX105" s="122"/>
      <c r="HY105" s="122"/>
      <c r="HZ105" s="122"/>
      <c r="IA105" s="122"/>
      <c r="IB105" s="122"/>
      <c r="IC105" s="122"/>
      <c r="ID105" s="122"/>
      <c r="IE105" s="122"/>
      <c r="IF105" s="122"/>
      <c r="IG105" s="122"/>
      <c r="IH105" s="122"/>
      <c r="II105" s="122"/>
      <c r="IJ105" s="122"/>
      <c r="IK105" s="122"/>
      <c r="IL105" s="122"/>
      <c r="IM105" s="122"/>
      <c r="IN105" s="122"/>
      <c r="IO105" s="122"/>
      <c r="IP105" s="122"/>
      <c r="IQ105" s="122"/>
      <c r="IR105" s="122"/>
      <c r="IS105" s="122"/>
      <c r="IT105" s="122"/>
      <c r="IU105" s="122"/>
      <c r="IV105" s="122"/>
      <c r="IW105" s="122"/>
      <c r="IX105" s="122"/>
      <c r="IY105" s="122"/>
      <c r="IZ105" s="122"/>
      <c r="JA105" s="122"/>
      <c r="JB105" s="122"/>
      <c r="JC105" s="122"/>
      <c r="JD105" s="122"/>
      <c r="JE105" s="122"/>
      <c r="JF105" s="122"/>
      <c r="JG105" s="122"/>
      <c r="JH105" s="122"/>
      <c r="JI105" s="119">
        <f t="shared" si="1"/>
        <v>271375</v>
      </c>
      <c r="JJ105" s="379">
        <v>5832</v>
      </c>
      <c r="JK105" s="122"/>
      <c r="JL105" s="125"/>
      <c r="JM105" s="345"/>
      <c r="JN105" s="125"/>
      <c r="JO105" s="125"/>
      <c r="JP105" s="125"/>
    </row>
    <row r="106" spans="1:27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  <c r="BS106" s="122"/>
      <c r="BT106" s="122"/>
      <c r="BU106" s="122"/>
      <c r="BV106" s="122"/>
      <c r="BW106" s="122"/>
      <c r="BX106" s="122"/>
      <c r="BY106" s="122"/>
      <c r="BZ106" s="122"/>
      <c r="CA106" s="122"/>
      <c r="CB106" s="122"/>
      <c r="CC106" s="122"/>
      <c r="CD106" s="122"/>
      <c r="CE106" s="122"/>
      <c r="CF106" s="122"/>
      <c r="CG106" s="122"/>
      <c r="CH106" s="122"/>
      <c r="CI106" s="122"/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22"/>
      <c r="FD106" s="122"/>
      <c r="FE106" s="122"/>
      <c r="FF106" s="122"/>
      <c r="FG106" s="122"/>
      <c r="FH106" s="122"/>
      <c r="FI106" s="122"/>
      <c r="FJ106" s="122">
        <v>193848</v>
      </c>
      <c r="FK106" s="122"/>
      <c r="FL106" s="122"/>
      <c r="FM106" s="122"/>
      <c r="FN106" s="122"/>
      <c r="FO106" s="122"/>
      <c r="FP106" s="122"/>
      <c r="FQ106" s="122"/>
      <c r="FR106" s="122"/>
      <c r="FS106" s="122"/>
      <c r="FT106" s="122"/>
      <c r="FU106" s="122"/>
      <c r="FV106" s="122"/>
      <c r="FW106" s="122"/>
      <c r="FX106" s="122"/>
      <c r="FY106" s="122"/>
      <c r="FZ106" s="122"/>
      <c r="GA106" s="122"/>
      <c r="GB106" s="122"/>
      <c r="GC106" s="122"/>
      <c r="GD106" s="122"/>
      <c r="GE106" s="122"/>
      <c r="GF106" s="122"/>
      <c r="GG106" s="122"/>
      <c r="GH106" s="122"/>
      <c r="GI106" s="122"/>
      <c r="GJ106" s="122"/>
      <c r="GK106" s="122"/>
      <c r="GL106" s="122"/>
      <c r="GM106" s="122"/>
      <c r="GN106" s="122"/>
      <c r="GO106" s="122"/>
      <c r="GP106" s="122"/>
      <c r="GQ106" s="122"/>
      <c r="GR106" s="122"/>
      <c r="GS106" s="122"/>
      <c r="GT106" s="122"/>
      <c r="GU106" s="122"/>
      <c r="GV106" s="122"/>
      <c r="GW106" s="122"/>
      <c r="GX106" s="122"/>
      <c r="GY106" s="122"/>
      <c r="GZ106" s="122"/>
      <c r="HA106" s="122"/>
      <c r="HB106" s="122"/>
      <c r="HC106" s="122"/>
      <c r="HD106" s="122"/>
      <c r="HE106" s="122"/>
      <c r="HF106" s="122"/>
      <c r="HG106" s="122"/>
      <c r="HH106" s="122"/>
      <c r="HI106" s="122"/>
      <c r="HJ106" s="122"/>
      <c r="HK106" s="122"/>
      <c r="HL106" s="122"/>
      <c r="HM106" s="122"/>
      <c r="HN106" s="122"/>
      <c r="HO106" s="122"/>
      <c r="HP106" s="122"/>
      <c r="HQ106" s="122"/>
      <c r="HR106" s="122"/>
      <c r="HS106" s="122"/>
      <c r="HT106" s="122"/>
      <c r="HU106" s="122"/>
      <c r="HV106" s="122"/>
      <c r="HW106" s="122"/>
      <c r="HX106" s="122"/>
      <c r="HY106" s="122"/>
      <c r="HZ106" s="122"/>
      <c r="IA106" s="122"/>
      <c r="IB106" s="122"/>
      <c r="IC106" s="122"/>
      <c r="ID106" s="122"/>
      <c r="IE106" s="122"/>
      <c r="IF106" s="122"/>
      <c r="IG106" s="122"/>
      <c r="IH106" s="122"/>
      <c r="II106" s="122"/>
      <c r="IJ106" s="122"/>
      <c r="IK106" s="122"/>
      <c r="IL106" s="122"/>
      <c r="IM106" s="122"/>
      <c r="IN106" s="122"/>
      <c r="IO106" s="122"/>
      <c r="IP106" s="122"/>
      <c r="IQ106" s="122"/>
      <c r="IR106" s="122"/>
      <c r="IS106" s="122"/>
      <c r="IT106" s="122"/>
      <c r="IU106" s="122"/>
      <c r="IV106" s="122"/>
      <c r="IW106" s="122"/>
      <c r="IX106" s="122"/>
      <c r="IY106" s="122"/>
      <c r="IZ106" s="122"/>
      <c r="JA106" s="122"/>
      <c r="JB106" s="122"/>
      <c r="JC106" s="122"/>
      <c r="JD106" s="122"/>
      <c r="JE106" s="122"/>
      <c r="JF106" s="122"/>
      <c r="JG106" s="122"/>
      <c r="JH106" s="122"/>
      <c r="JI106" s="119">
        <f t="shared" si="1"/>
        <v>193848</v>
      </c>
      <c r="JJ106" s="379">
        <v>5839</v>
      </c>
      <c r="JK106" s="122"/>
      <c r="JL106" s="125"/>
      <c r="JM106" s="345"/>
      <c r="JN106" s="125"/>
      <c r="JO106" s="125"/>
      <c r="JP106" s="125"/>
    </row>
    <row r="107" spans="1:276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  <c r="BS107" s="122"/>
      <c r="BT107" s="122"/>
      <c r="BU107" s="122"/>
      <c r="BV107" s="122"/>
      <c r="BW107" s="122"/>
      <c r="BX107" s="122"/>
      <c r="BY107" s="122"/>
      <c r="BZ107" s="122"/>
      <c r="CA107" s="122"/>
      <c r="CB107" s="122"/>
      <c r="CC107" s="122"/>
      <c r="CD107" s="122"/>
      <c r="CE107" s="122"/>
      <c r="CF107" s="122"/>
      <c r="CG107" s="122"/>
      <c r="CH107" s="122"/>
      <c r="CI107" s="122"/>
      <c r="CJ107" s="122"/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/>
      <c r="EM107" s="122"/>
      <c r="EN107" s="122"/>
      <c r="EO107" s="122"/>
      <c r="EP107" s="122"/>
      <c r="EQ107" s="122"/>
      <c r="ER107" s="122"/>
      <c r="ES107" s="122"/>
      <c r="ET107" s="122"/>
      <c r="EU107" s="122"/>
      <c r="EV107" s="122"/>
      <c r="EW107" s="122"/>
      <c r="EX107" s="122"/>
      <c r="EY107" s="122"/>
      <c r="EZ107" s="122"/>
      <c r="FA107" s="122"/>
      <c r="FB107" s="122"/>
      <c r="FC107" s="122"/>
      <c r="FD107" s="122"/>
      <c r="FE107" s="122"/>
      <c r="FF107" s="122"/>
      <c r="FG107" s="122"/>
      <c r="FH107" s="122"/>
      <c r="FI107" s="122"/>
      <c r="FJ107" s="122"/>
      <c r="FK107" s="122"/>
      <c r="FL107" s="122"/>
      <c r="FM107" s="122"/>
      <c r="FN107" s="122"/>
      <c r="FO107" s="122"/>
      <c r="FP107" s="122"/>
      <c r="FQ107" s="122"/>
      <c r="FR107" s="122"/>
      <c r="FS107" s="122"/>
      <c r="FT107" s="122">
        <v>582912</v>
      </c>
      <c r="FU107" s="122"/>
      <c r="FV107" s="122"/>
      <c r="FW107" s="122"/>
      <c r="FX107" s="122"/>
      <c r="FY107" s="122"/>
      <c r="FZ107" s="122"/>
      <c r="GA107" s="122"/>
      <c r="GB107" s="122"/>
      <c r="GC107" s="122"/>
      <c r="GD107" s="122"/>
      <c r="GE107" s="122"/>
      <c r="GF107" s="122"/>
      <c r="GG107" s="122"/>
      <c r="GH107" s="122"/>
      <c r="GI107" s="122"/>
      <c r="GJ107" s="122"/>
      <c r="GK107" s="122"/>
      <c r="GL107" s="122"/>
      <c r="GM107" s="122"/>
      <c r="GN107" s="122"/>
      <c r="GO107" s="122"/>
      <c r="GP107" s="122"/>
      <c r="GQ107" s="122"/>
      <c r="GR107" s="122"/>
      <c r="GS107" s="122"/>
      <c r="GT107" s="122"/>
      <c r="GU107" s="122"/>
      <c r="GV107" s="122"/>
      <c r="GW107" s="122"/>
      <c r="GX107" s="122"/>
      <c r="GY107" s="122"/>
      <c r="GZ107" s="122"/>
      <c r="HA107" s="122"/>
      <c r="HB107" s="122"/>
      <c r="HC107" s="122"/>
      <c r="HD107" s="122"/>
      <c r="HE107" s="122"/>
      <c r="HF107" s="122"/>
      <c r="HG107" s="122"/>
      <c r="HH107" s="122"/>
      <c r="HI107" s="122"/>
      <c r="HJ107" s="122"/>
      <c r="HK107" s="122"/>
      <c r="HL107" s="122"/>
      <c r="HM107" s="122"/>
      <c r="HN107" s="122"/>
      <c r="HO107" s="122"/>
      <c r="HP107" s="122"/>
      <c r="HQ107" s="122"/>
      <c r="HR107" s="122"/>
      <c r="HS107" s="122"/>
      <c r="HT107" s="122"/>
      <c r="HU107" s="122"/>
      <c r="HV107" s="122"/>
      <c r="HW107" s="122"/>
      <c r="HX107" s="122"/>
      <c r="HY107" s="122"/>
      <c r="HZ107" s="122"/>
      <c r="IA107" s="122"/>
      <c r="IB107" s="122"/>
      <c r="IC107" s="122"/>
      <c r="ID107" s="122"/>
      <c r="IE107" s="122"/>
      <c r="IF107" s="122"/>
      <c r="IG107" s="122"/>
      <c r="IH107" s="122"/>
      <c r="II107" s="122"/>
      <c r="IJ107" s="122"/>
      <c r="IK107" s="122"/>
      <c r="IL107" s="122"/>
      <c r="IM107" s="122"/>
      <c r="IN107" s="122"/>
      <c r="IO107" s="122"/>
      <c r="IP107" s="122"/>
      <c r="IQ107" s="122"/>
      <c r="IR107" s="122"/>
      <c r="IS107" s="122"/>
      <c r="IT107" s="122"/>
      <c r="IU107" s="122"/>
      <c r="IV107" s="122"/>
      <c r="IW107" s="122"/>
      <c r="IX107" s="122"/>
      <c r="IY107" s="122"/>
      <c r="IZ107" s="122"/>
      <c r="JA107" s="122"/>
      <c r="JB107" s="122"/>
      <c r="JC107" s="122"/>
      <c r="JD107" s="122"/>
      <c r="JE107" s="122"/>
      <c r="JF107" s="122"/>
      <c r="JG107" s="122"/>
      <c r="JH107" s="122"/>
      <c r="JI107" s="119">
        <f t="shared" si="1"/>
        <v>582912</v>
      </c>
      <c r="JJ107" s="379">
        <v>5847</v>
      </c>
      <c r="JK107" s="122"/>
      <c r="JL107" s="125"/>
      <c r="JM107" s="345"/>
      <c r="JN107" s="125"/>
      <c r="JO107" s="125"/>
      <c r="JP107" s="125"/>
    </row>
    <row r="108" spans="1:276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22"/>
      <c r="CA108" s="122"/>
      <c r="CB108" s="122"/>
      <c r="CC108" s="122"/>
      <c r="CD108" s="122"/>
      <c r="CE108" s="122"/>
      <c r="CF108" s="122"/>
      <c r="CG108" s="122"/>
      <c r="CH108" s="122"/>
      <c r="CI108" s="122"/>
      <c r="CJ108" s="122"/>
      <c r="CK108" s="122"/>
      <c r="CL108" s="122"/>
      <c r="CM108" s="122"/>
      <c r="CN108" s="122"/>
      <c r="CO108" s="122"/>
      <c r="CP108" s="122"/>
      <c r="CQ108" s="122"/>
      <c r="CR108" s="122"/>
      <c r="CS108" s="122"/>
      <c r="CT108" s="122"/>
      <c r="CU108" s="122"/>
      <c r="CV108" s="122"/>
      <c r="CW108" s="122"/>
      <c r="CX108" s="122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  <c r="EE108" s="122"/>
      <c r="EF108" s="122"/>
      <c r="EG108" s="122"/>
      <c r="EH108" s="122"/>
      <c r="EI108" s="122"/>
      <c r="EJ108" s="122"/>
      <c r="EK108" s="122"/>
      <c r="EL108" s="122"/>
      <c r="EM108" s="122"/>
      <c r="EN108" s="122"/>
      <c r="EO108" s="122"/>
      <c r="EP108" s="122"/>
      <c r="EQ108" s="122"/>
      <c r="ER108" s="122"/>
      <c r="ES108" s="122"/>
      <c r="ET108" s="122"/>
      <c r="EU108" s="122"/>
      <c r="EV108" s="122"/>
      <c r="EW108" s="122"/>
      <c r="EX108" s="122"/>
      <c r="EY108" s="122"/>
      <c r="EZ108" s="122"/>
      <c r="FA108" s="122"/>
      <c r="FB108" s="122"/>
      <c r="FC108" s="122"/>
      <c r="FD108" s="122"/>
      <c r="FE108" s="122"/>
      <c r="FF108" s="122"/>
      <c r="FG108" s="122"/>
      <c r="FH108" s="122"/>
      <c r="FI108" s="122"/>
      <c r="FJ108" s="122"/>
      <c r="FK108" s="122"/>
      <c r="FL108" s="122"/>
      <c r="FM108" s="122"/>
      <c r="FN108" s="122"/>
      <c r="FO108" s="122"/>
      <c r="FP108" s="122"/>
      <c r="FQ108" s="122"/>
      <c r="FR108" s="122"/>
      <c r="FS108" s="122"/>
      <c r="FT108" s="122">
        <v>62681.599999999999</v>
      </c>
      <c r="FU108" s="122"/>
      <c r="FV108" s="122"/>
      <c r="FW108" s="122"/>
      <c r="FX108" s="122"/>
      <c r="FY108" s="122"/>
      <c r="FZ108" s="122"/>
      <c r="GA108" s="122"/>
      <c r="GB108" s="122"/>
      <c r="GC108" s="122"/>
      <c r="GD108" s="122"/>
      <c r="GE108" s="122"/>
      <c r="GF108" s="122"/>
      <c r="GG108" s="122"/>
      <c r="GH108" s="122"/>
      <c r="GI108" s="122"/>
      <c r="GJ108" s="122"/>
      <c r="GK108" s="122"/>
      <c r="GL108" s="122"/>
      <c r="GM108" s="122"/>
      <c r="GN108" s="122"/>
      <c r="GO108" s="122"/>
      <c r="GP108" s="122"/>
      <c r="GQ108" s="122"/>
      <c r="GR108" s="122"/>
      <c r="GS108" s="122"/>
      <c r="GT108" s="122"/>
      <c r="GU108" s="122"/>
      <c r="GV108" s="122"/>
      <c r="GW108" s="122"/>
      <c r="GX108" s="122"/>
      <c r="GY108" s="122"/>
      <c r="GZ108" s="122"/>
      <c r="HA108" s="122"/>
      <c r="HB108" s="122"/>
      <c r="HC108" s="122"/>
      <c r="HD108" s="122"/>
      <c r="HE108" s="122"/>
      <c r="HF108" s="122"/>
      <c r="HG108" s="122"/>
      <c r="HH108" s="122"/>
      <c r="HI108" s="122"/>
      <c r="HJ108" s="122"/>
      <c r="HK108" s="122"/>
      <c r="HL108" s="122"/>
      <c r="HM108" s="122"/>
      <c r="HN108" s="122"/>
      <c r="HO108" s="122"/>
      <c r="HP108" s="122"/>
      <c r="HQ108" s="122"/>
      <c r="HR108" s="122"/>
      <c r="HS108" s="122"/>
      <c r="HT108" s="122"/>
      <c r="HU108" s="122"/>
      <c r="HV108" s="122"/>
      <c r="HW108" s="122"/>
      <c r="HX108" s="122"/>
      <c r="HY108" s="122"/>
      <c r="HZ108" s="122"/>
      <c r="IA108" s="122"/>
      <c r="IB108" s="122"/>
      <c r="IC108" s="122"/>
      <c r="ID108" s="122"/>
      <c r="IE108" s="122"/>
      <c r="IF108" s="122"/>
      <c r="IG108" s="122"/>
      <c r="IH108" s="122"/>
      <c r="II108" s="122"/>
      <c r="IJ108" s="122"/>
      <c r="IK108" s="122"/>
      <c r="IL108" s="122"/>
      <c r="IM108" s="122"/>
      <c r="IN108" s="122"/>
      <c r="IO108" s="122"/>
      <c r="IP108" s="122"/>
      <c r="IQ108" s="122"/>
      <c r="IR108" s="122"/>
      <c r="IS108" s="122"/>
      <c r="IT108" s="122"/>
      <c r="IU108" s="122"/>
      <c r="IV108" s="122"/>
      <c r="IW108" s="122"/>
      <c r="IX108" s="122"/>
      <c r="IY108" s="122"/>
      <c r="IZ108" s="122"/>
      <c r="JA108" s="122"/>
      <c r="JB108" s="122"/>
      <c r="JC108" s="122"/>
      <c r="JD108" s="122"/>
      <c r="JE108" s="122"/>
      <c r="JF108" s="122"/>
      <c r="JG108" s="122"/>
      <c r="JH108" s="122"/>
      <c r="JI108" s="119">
        <f t="shared" si="1"/>
        <v>62681.599999999999</v>
      </c>
      <c r="JJ108" s="379">
        <v>5852</v>
      </c>
      <c r="JK108" s="122"/>
      <c r="JL108" s="125"/>
      <c r="JM108" s="345"/>
      <c r="JN108" s="125"/>
      <c r="JO108" s="125"/>
      <c r="JP108" s="125"/>
    </row>
    <row r="109" spans="1:276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22"/>
      <c r="CJ109" s="122"/>
      <c r="CK109" s="122"/>
      <c r="CL109" s="122"/>
      <c r="CM109" s="122"/>
      <c r="CN109" s="122"/>
      <c r="CO109" s="122"/>
      <c r="CP109" s="122"/>
      <c r="CQ109" s="122"/>
      <c r="CR109" s="122"/>
      <c r="CS109" s="122"/>
      <c r="CT109" s="122"/>
      <c r="CU109" s="122"/>
      <c r="CV109" s="122"/>
      <c r="CW109" s="122"/>
      <c r="CX109" s="122"/>
      <c r="CY109" s="122"/>
      <c r="CZ109" s="122"/>
      <c r="DA109" s="122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>
        <v>237500</v>
      </c>
      <c r="EB109" s="122"/>
      <c r="EC109" s="122"/>
      <c r="ED109" s="122"/>
      <c r="EE109" s="122"/>
      <c r="EF109" s="122"/>
      <c r="EG109" s="122"/>
      <c r="EH109" s="122"/>
      <c r="EI109" s="122"/>
      <c r="EJ109" s="122"/>
      <c r="EK109" s="122"/>
      <c r="EL109" s="122"/>
      <c r="EM109" s="122"/>
      <c r="EN109" s="122"/>
      <c r="EO109" s="122"/>
      <c r="EP109" s="122"/>
      <c r="EQ109" s="122"/>
      <c r="ER109" s="122"/>
      <c r="ES109" s="122"/>
      <c r="ET109" s="122"/>
      <c r="EU109" s="122"/>
      <c r="EV109" s="122"/>
      <c r="EW109" s="122"/>
      <c r="EX109" s="122"/>
      <c r="EY109" s="122"/>
      <c r="EZ109" s="122"/>
      <c r="FA109" s="122"/>
      <c r="FB109" s="122"/>
      <c r="FC109" s="122"/>
      <c r="FD109" s="122"/>
      <c r="FE109" s="122"/>
      <c r="FF109" s="122"/>
      <c r="FG109" s="122"/>
      <c r="FH109" s="122"/>
      <c r="FI109" s="122"/>
      <c r="FJ109" s="122"/>
      <c r="FK109" s="122"/>
      <c r="FL109" s="122"/>
      <c r="FM109" s="122"/>
      <c r="FN109" s="122"/>
      <c r="FO109" s="122"/>
      <c r="FP109" s="122"/>
      <c r="FQ109" s="122"/>
      <c r="FR109" s="122"/>
      <c r="FS109" s="122"/>
      <c r="FT109" s="122"/>
      <c r="FU109" s="122"/>
      <c r="FV109" s="122"/>
      <c r="FW109" s="122"/>
      <c r="FX109" s="122"/>
      <c r="FY109" s="122"/>
      <c r="FZ109" s="122"/>
      <c r="GA109" s="122"/>
      <c r="GB109" s="122"/>
      <c r="GC109" s="122"/>
      <c r="GD109" s="122"/>
      <c r="GE109" s="122"/>
      <c r="GF109" s="122"/>
      <c r="GG109" s="122"/>
      <c r="GH109" s="122"/>
      <c r="GI109" s="122"/>
      <c r="GJ109" s="122"/>
      <c r="GK109" s="122"/>
      <c r="GL109" s="122"/>
      <c r="GM109" s="122"/>
      <c r="GN109" s="122"/>
      <c r="GO109" s="122"/>
      <c r="GP109" s="122"/>
      <c r="GQ109" s="122"/>
      <c r="GR109" s="122"/>
      <c r="GS109" s="122"/>
      <c r="GT109" s="122"/>
      <c r="GU109" s="122"/>
      <c r="GV109" s="122"/>
      <c r="GW109" s="122"/>
      <c r="GX109" s="122"/>
      <c r="GY109" s="122"/>
      <c r="GZ109" s="122"/>
      <c r="HA109" s="122"/>
      <c r="HB109" s="122"/>
      <c r="HC109" s="122"/>
      <c r="HD109" s="122"/>
      <c r="HE109" s="122"/>
      <c r="HF109" s="122"/>
      <c r="HG109" s="122"/>
      <c r="HH109" s="122"/>
      <c r="HI109" s="122"/>
      <c r="HJ109" s="122"/>
      <c r="HK109" s="122"/>
      <c r="HL109" s="122"/>
      <c r="HM109" s="122"/>
      <c r="HN109" s="122"/>
      <c r="HO109" s="122"/>
      <c r="HP109" s="122"/>
      <c r="HQ109" s="122"/>
      <c r="HR109" s="122"/>
      <c r="HS109" s="122"/>
      <c r="HT109" s="122"/>
      <c r="HU109" s="122"/>
      <c r="HV109" s="122"/>
      <c r="HW109" s="122"/>
      <c r="HX109" s="122"/>
      <c r="HY109" s="122"/>
      <c r="HZ109" s="122"/>
      <c r="IA109" s="122"/>
      <c r="IB109" s="122"/>
      <c r="IC109" s="122"/>
      <c r="ID109" s="122"/>
      <c r="IE109" s="122"/>
      <c r="IF109" s="122"/>
      <c r="IG109" s="122"/>
      <c r="IH109" s="122"/>
      <c r="II109" s="122"/>
      <c r="IJ109" s="122"/>
      <c r="IK109" s="122"/>
      <c r="IL109" s="122"/>
      <c r="IM109" s="122"/>
      <c r="IN109" s="122"/>
      <c r="IO109" s="122"/>
      <c r="IP109" s="122"/>
      <c r="IQ109" s="122"/>
      <c r="IR109" s="122"/>
      <c r="IS109" s="122"/>
      <c r="IT109" s="122"/>
      <c r="IU109" s="122"/>
      <c r="IV109" s="122"/>
      <c r="IW109" s="122"/>
      <c r="IX109" s="122"/>
      <c r="IY109" s="122"/>
      <c r="IZ109" s="122"/>
      <c r="JA109" s="122"/>
      <c r="JB109" s="122"/>
      <c r="JC109" s="122"/>
      <c r="JD109" s="122"/>
      <c r="JE109" s="122"/>
      <c r="JF109" s="122"/>
      <c r="JG109" s="122"/>
      <c r="JH109" s="122"/>
      <c r="JI109" s="119">
        <f t="shared" si="1"/>
        <v>237500</v>
      </c>
      <c r="JJ109" s="379">
        <v>5856</v>
      </c>
      <c r="JK109" s="122"/>
      <c r="JL109" s="125"/>
      <c r="JM109" s="345"/>
      <c r="JN109" s="125"/>
      <c r="JO109" s="125"/>
      <c r="JP109" s="125"/>
    </row>
    <row r="110" spans="1:276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22"/>
      <c r="CJ110" s="122"/>
      <c r="CK110" s="122"/>
      <c r="CL110" s="122"/>
      <c r="CM110" s="122"/>
      <c r="CN110" s="122"/>
      <c r="CO110" s="122"/>
      <c r="CP110" s="122"/>
      <c r="CQ110" s="122"/>
      <c r="CR110" s="122"/>
      <c r="CS110" s="122"/>
      <c r="CT110" s="122"/>
      <c r="CU110" s="122"/>
      <c r="CV110" s="122"/>
      <c r="CW110" s="122"/>
      <c r="CX110" s="122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  <c r="EE110" s="122"/>
      <c r="EF110" s="122"/>
      <c r="EG110" s="122"/>
      <c r="EH110" s="122"/>
      <c r="EI110" s="122"/>
      <c r="EJ110" s="122"/>
      <c r="EK110" s="122"/>
      <c r="EL110" s="122"/>
      <c r="EM110" s="122"/>
      <c r="EN110" s="122"/>
      <c r="EO110" s="122"/>
      <c r="EP110" s="122"/>
      <c r="EQ110" s="122"/>
      <c r="ER110" s="122"/>
      <c r="ES110" s="122"/>
      <c r="ET110" s="122"/>
      <c r="EU110" s="122"/>
      <c r="EV110" s="122"/>
      <c r="EW110" s="122"/>
      <c r="EX110" s="122"/>
      <c r="EY110" s="122"/>
      <c r="EZ110" s="122"/>
      <c r="FA110" s="122"/>
      <c r="FB110" s="122"/>
      <c r="FC110" s="122"/>
      <c r="FD110" s="122"/>
      <c r="FE110" s="122"/>
      <c r="FF110" s="122"/>
      <c r="FG110" s="122"/>
      <c r="FH110" s="122"/>
      <c r="FI110" s="122"/>
      <c r="FJ110" s="122"/>
      <c r="FK110" s="122"/>
      <c r="FL110" s="122"/>
      <c r="FM110" s="122"/>
      <c r="FN110" s="122"/>
      <c r="FO110" s="122"/>
      <c r="FP110" s="122"/>
      <c r="FQ110" s="122"/>
      <c r="FR110" s="122"/>
      <c r="FS110" s="122"/>
      <c r="FT110" s="122">
        <v>247800</v>
      </c>
      <c r="FU110" s="122"/>
      <c r="FV110" s="122"/>
      <c r="FW110" s="122"/>
      <c r="FX110" s="122"/>
      <c r="FY110" s="122"/>
      <c r="FZ110" s="122"/>
      <c r="GA110" s="122"/>
      <c r="GB110" s="122"/>
      <c r="GC110" s="122"/>
      <c r="GD110" s="122"/>
      <c r="GE110" s="122"/>
      <c r="GF110" s="122"/>
      <c r="GG110" s="122"/>
      <c r="GH110" s="122"/>
      <c r="GI110" s="122"/>
      <c r="GJ110" s="122"/>
      <c r="GK110" s="122"/>
      <c r="GL110" s="122"/>
      <c r="GM110" s="122"/>
      <c r="GN110" s="122"/>
      <c r="GO110" s="122"/>
      <c r="GP110" s="122"/>
      <c r="GQ110" s="122"/>
      <c r="GR110" s="122"/>
      <c r="GS110" s="122"/>
      <c r="GT110" s="122"/>
      <c r="GU110" s="122"/>
      <c r="GV110" s="122"/>
      <c r="GW110" s="122"/>
      <c r="GX110" s="122"/>
      <c r="GY110" s="122"/>
      <c r="GZ110" s="122"/>
      <c r="HA110" s="122"/>
      <c r="HB110" s="122"/>
      <c r="HC110" s="122"/>
      <c r="HD110" s="122"/>
      <c r="HE110" s="122"/>
      <c r="HF110" s="122"/>
      <c r="HG110" s="122"/>
      <c r="HH110" s="122"/>
      <c r="HI110" s="122"/>
      <c r="HJ110" s="122"/>
      <c r="HK110" s="122"/>
      <c r="HL110" s="122"/>
      <c r="HM110" s="122"/>
      <c r="HN110" s="122"/>
      <c r="HO110" s="122"/>
      <c r="HP110" s="122"/>
      <c r="HQ110" s="122"/>
      <c r="HR110" s="122"/>
      <c r="HS110" s="122"/>
      <c r="HT110" s="122"/>
      <c r="HU110" s="122"/>
      <c r="HV110" s="122"/>
      <c r="HW110" s="122"/>
      <c r="HX110" s="122"/>
      <c r="HY110" s="122"/>
      <c r="HZ110" s="122"/>
      <c r="IA110" s="122"/>
      <c r="IB110" s="122"/>
      <c r="IC110" s="122"/>
      <c r="ID110" s="122"/>
      <c r="IE110" s="122"/>
      <c r="IF110" s="122"/>
      <c r="IG110" s="122"/>
      <c r="IH110" s="122"/>
      <c r="II110" s="122"/>
      <c r="IJ110" s="122"/>
      <c r="IK110" s="122"/>
      <c r="IL110" s="122"/>
      <c r="IM110" s="122"/>
      <c r="IN110" s="122"/>
      <c r="IO110" s="122"/>
      <c r="IP110" s="122"/>
      <c r="IQ110" s="122"/>
      <c r="IR110" s="122"/>
      <c r="IS110" s="122"/>
      <c r="IT110" s="122"/>
      <c r="IU110" s="122"/>
      <c r="IV110" s="122"/>
      <c r="IW110" s="122"/>
      <c r="IX110" s="122"/>
      <c r="IY110" s="122"/>
      <c r="IZ110" s="122"/>
      <c r="JA110" s="122"/>
      <c r="JB110" s="122"/>
      <c r="JC110" s="122"/>
      <c r="JD110" s="122"/>
      <c r="JE110" s="122"/>
      <c r="JF110" s="122"/>
      <c r="JG110" s="122"/>
      <c r="JH110" s="122"/>
      <c r="JI110" s="119">
        <f t="shared" si="1"/>
        <v>247800</v>
      </c>
      <c r="JJ110" s="379">
        <v>5860</v>
      </c>
      <c r="JK110" s="122"/>
      <c r="JL110" s="125"/>
      <c r="JM110" s="345"/>
      <c r="JN110" s="125"/>
      <c r="JO110" s="125"/>
      <c r="JP110" s="125"/>
    </row>
    <row r="111" spans="1:276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  <c r="FF111" s="122"/>
      <c r="FG111" s="122"/>
      <c r="FH111" s="122"/>
      <c r="FI111" s="122"/>
      <c r="FJ111" s="122"/>
      <c r="FK111" s="122"/>
      <c r="FL111" s="122"/>
      <c r="FM111" s="122"/>
      <c r="FN111" s="122"/>
      <c r="FO111" s="122"/>
      <c r="FP111" s="122"/>
      <c r="FQ111" s="122"/>
      <c r="FR111" s="122"/>
      <c r="FS111" s="122"/>
      <c r="FT111" s="122">
        <v>100684.68</v>
      </c>
      <c r="FU111" s="122"/>
      <c r="FV111" s="122"/>
      <c r="FW111" s="122"/>
      <c r="FX111" s="122"/>
      <c r="FY111" s="122"/>
      <c r="FZ111" s="122"/>
      <c r="GA111" s="122"/>
      <c r="GB111" s="122"/>
      <c r="GC111" s="122"/>
      <c r="GD111" s="122"/>
      <c r="GE111" s="122"/>
      <c r="GF111" s="122"/>
      <c r="GG111" s="122"/>
      <c r="GH111" s="122"/>
      <c r="GI111" s="122"/>
      <c r="GJ111" s="122"/>
      <c r="GK111" s="122"/>
      <c r="GL111" s="122"/>
      <c r="GM111" s="122"/>
      <c r="GN111" s="122"/>
      <c r="GO111" s="122"/>
      <c r="GP111" s="122"/>
      <c r="GQ111" s="122"/>
      <c r="GR111" s="122"/>
      <c r="GS111" s="122"/>
      <c r="GT111" s="122"/>
      <c r="GU111" s="122"/>
      <c r="GV111" s="122"/>
      <c r="GW111" s="122"/>
      <c r="GX111" s="122"/>
      <c r="GY111" s="122"/>
      <c r="GZ111" s="122"/>
      <c r="HA111" s="122"/>
      <c r="HB111" s="122"/>
      <c r="HC111" s="122"/>
      <c r="HD111" s="122"/>
      <c r="HE111" s="122"/>
      <c r="HF111" s="122"/>
      <c r="HG111" s="122"/>
      <c r="HH111" s="122"/>
      <c r="HI111" s="122"/>
      <c r="HJ111" s="122"/>
      <c r="HK111" s="122"/>
      <c r="HL111" s="122"/>
      <c r="HM111" s="122"/>
      <c r="HN111" s="122"/>
      <c r="HO111" s="122"/>
      <c r="HP111" s="122"/>
      <c r="HQ111" s="122"/>
      <c r="HR111" s="122"/>
      <c r="HS111" s="122"/>
      <c r="HT111" s="122"/>
      <c r="HU111" s="122"/>
      <c r="HV111" s="122"/>
      <c r="HW111" s="122"/>
      <c r="HX111" s="122"/>
      <c r="HY111" s="122"/>
      <c r="HZ111" s="122"/>
      <c r="IA111" s="122"/>
      <c r="IB111" s="122"/>
      <c r="IC111" s="122"/>
      <c r="ID111" s="122"/>
      <c r="IE111" s="122"/>
      <c r="IF111" s="122"/>
      <c r="IG111" s="122"/>
      <c r="IH111" s="122"/>
      <c r="II111" s="122"/>
      <c r="IJ111" s="122"/>
      <c r="IK111" s="122"/>
      <c r="IL111" s="122"/>
      <c r="IM111" s="122"/>
      <c r="IN111" s="122"/>
      <c r="IO111" s="122"/>
      <c r="IP111" s="122"/>
      <c r="IQ111" s="122"/>
      <c r="IR111" s="122"/>
      <c r="IS111" s="122"/>
      <c r="IT111" s="122"/>
      <c r="IU111" s="122"/>
      <c r="IV111" s="122"/>
      <c r="IW111" s="122"/>
      <c r="IX111" s="122"/>
      <c r="IY111" s="122"/>
      <c r="IZ111" s="122"/>
      <c r="JA111" s="122"/>
      <c r="JB111" s="122"/>
      <c r="JC111" s="122"/>
      <c r="JD111" s="122"/>
      <c r="JE111" s="122"/>
      <c r="JF111" s="122"/>
      <c r="JG111" s="122"/>
      <c r="JH111" s="122"/>
      <c r="JI111" s="119">
        <f t="shared" si="1"/>
        <v>100684.68</v>
      </c>
      <c r="JJ111" s="379">
        <v>5864</v>
      </c>
      <c r="JK111" s="122"/>
      <c r="JL111" s="125"/>
      <c r="JM111" s="345"/>
      <c r="JN111" s="125"/>
      <c r="JO111" s="125"/>
      <c r="JP111" s="125"/>
    </row>
    <row r="112" spans="1:276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  <c r="BU112" s="122"/>
      <c r="BV112" s="122"/>
      <c r="BW112" s="122"/>
      <c r="BX112" s="122"/>
      <c r="BY112" s="122"/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22"/>
      <c r="CK112" s="122"/>
      <c r="CL112" s="122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22"/>
      <c r="FD112" s="122"/>
      <c r="FE112" s="122"/>
      <c r="FF112" s="122"/>
      <c r="FG112" s="122"/>
      <c r="FH112" s="122"/>
      <c r="FI112" s="122"/>
      <c r="FJ112" s="122"/>
      <c r="FK112" s="122"/>
      <c r="FL112" s="122"/>
      <c r="FM112" s="122"/>
      <c r="FN112" s="122"/>
      <c r="FO112" s="122"/>
      <c r="FP112" s="122"/>
      <c r="FQ112" s="122"/>
      <c r="FR112" s="122"/>
      <c r="FS112" s="122"/>
      <c r="FT112" s="122">
        <v>934560</v>
      </c>
      <c r="FU112" s="122"/>
      <c r="FV112" s="122"/>
      <c r="FW112" s="122"/>
      <c r="FX112" s="122"/>
      <c r="FY112" s="122"/>
      <c r="FZ112" s="122"/>
      <c r="GA112" s="122"/>
      <c r="GB112" s="122"/>
      <c r="GC112" s="122"/>
      <c r="GD112" s="122"/>
      <c r="GE112" s="122"/>
      <c r="GF112" s="122"/>
      <c r="GG112" s="122"/>
      <c r="GH112" s="122"/>
      <c r="GI112" s="122"/>
      <c r="GJ112" s="122"/>
      <c r="GK112" s="122"/>
      <c r="GL112" s="122"/>
      <c r="GM112" s="122"/>
      <c r="GN112" s="122"/>
      <c r="GO112" s="122"/>
      <c r="GP112" s="122"/>
      <c r="GQ112" s="122"/>
      <c r="GR112" s="122"/>
      <c r="GS112" s="122"/>
      <c r="GT112" s="122"/>
      <c r="GU112" s="122"/>
      <c r="GV112" s="122"/>
      <c r="GW112" s="122"/>
      <c r="GX112" s="122"/>
      <c r="GY112" s="122"/>
      <c r="GZ112" s="122"/>
      <c r="HA112" s="122"/>
      <c r="HB112" s="122"/>
      <c r="HC112" s="122"/>
      <c r="HD112" s="122"/>
      <c r="HE112" s="122"/>
      <c r="HF112" s="122"/>
      <c r="HG112" s="122"/>
      <c r="HH112" s="122"/>
      <c r="HI112" s="122"/>
      <c r="HJ112" s="122"/>
      <c r="HK112" s="122"/>
      <c r="HL112" s="122"/>
      <c r="HM112" s="122"/>
      <c r="HN112" s="122"/>
      <c r="HO112" s="122"/>
      <c r="HP112" s="122"/>
      <c r="HQ112" s="122"/>
      <c r="HR112" s="122"/>
      <c r="HS112" s="122"/>
      <c r="HT112" s="122"/>
      <c r="HU112" s="122"/>
      <c r="HV112" s="122"/>
      <c r="HW112" s="122"/>
      <c r="HX112" s="122"/>
      <c r="HY112" s="122"/>
      <c r="HZ112" s="122"/>
      <c r="IA112" s="122"/>
      <c r="IB112" s="122"/>
      <c r="IC112" s="122"/>
      <c r="ID112" s="122"/>
      <c r="IE112" s="122"/>
      <c r="IF112" s="122"/>
      <c r="IG112" s="122"/>
      <c r="IH112" s="122"/>
      <c r="II112" s="122"/>
      <c r="IJ112" s="122"/>
      <c r="IK112" s="122"/>
      <c r="IL112" s="122"/>
      <c r="IM112" s="122"/>
      <c r="IN112" s="122"/>
      <c r="IO112" s="122"/>
      <c r="IP112" s="122"/>
      <c r="IQ112" s="122"/>
      <c r="IR112" s="122"/>
      <c r="IS112" s="122"/>
      <c r="IT112" s="122"/>
      <c r="IU112" s="122"/>
      <c r="IV112" s="122"/>
      <c r="IW112" s="122"/>
      <c r="IX112" s="122"/>
      <c r="IY112" s="122"/>
      <c r="IZ112" s="122"/>
      <c r="JA112" s="122"/>
      <c r="JB112" s="122"/>
      <c r="JC112" s="122"/>
      <c r="JD112" s="122"/>
      <c r="JE112" s="122"/>
      <c r="JF112" s="122"/>
      <c r="JG112" s="122"/>
      <c r="JH112" s="122"/>
      <c r="JI112" s="119">
        <f t="shared" si="1"/>
        <v>934560</v>
      </c>
      <c r="JJ112" s="379">
        <v>5870</v>
      </c>
      <c r="JK112" s="122"/>
      <c r="JL112" s="125"/>
      <c r="JM112" s="345"/>
      <c r="JN112" s="125"/>
      <c r="JO112" s="125"/>
      <c r="JP112" s="125"/>
    </row>
    <row r="113" spans="1:276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22"/>
      <c r="BS113" s="122"/>
      <c r="BT113" s="122"/>
      <c r="BU113" s="122"/>
      <c r="BV113" s="122"/>
      <c r="BW113" s="122"/>
      <c r="BX113" s="122"/>
      <c r="BY113" s="122"/>
      <c r="BZ113" s="122"/>
      <c r="CA113" s="122"/>
      <c r="CB113" s="122"/>
      <c r="CC113" s="122"/>
      <c r="CD113" s="122"/>
      <c r="CE113" s="122"/>
      <c r="CF113" s="122"/>
      <c r="CG113" s="122"/>
      <c r="CH113" s="122"/>
      <c r="CI113" s="122"/>
      <c r="CJ113" s="122"/>
      <c r="CK113" s="122"/>
      <c r="CL113" s="122"/>
      <c r="CM113" s="122"/>
      <c r="CN113" s="122"/>
      <c r="CO113" s="122"/>
      <c r="CP113" s="122"/>
      <c r="CQ113" s="122"/>
      <c r="CR113" s="122"/>
      <c r="CS113" s="122"/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>
        <v>151425</v>
      </c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  <c r="EO113" s="122"/>
      <c r="EP113" s="122"/>
      <c r="EQ113" s="122"/>
      <c r="ER113" s="122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R113" s="122"/>
      <c r="FS113" s="122"/>
      <c r="FT113" s="122">
        <v>195812.96</v>
      </c>
      <c r="FU113" s="122"/>
      <c r="FV113" s="122"/>
      <c r="FW113" s="122"/>
      <c r="FX113" s="122"/>
      <c r="FY113" s="122"/>
      <c r="FZ113" s="122"/>
      <c r="GA113" s="122"/>
      <c r="GB113" s="122"/>
      <c r="GC113" s="122"/>
      <c r="GD113" s="122"/>
      <c r="GE113" s="122"/>
      <c r="GF113" s="122"/>
      <c r="GG113" s="122"/>
      <c r="GH113" s="122"/>
      <c r="GI113" s="122"/>
      <c r="GJ113" s="122"/>
      <c r="GK113" s="122"/>
      <c r="GL113" s="122"/>
      <c r="GM113" s="122"/>
      <c r="GN113" s="122"/>
      <c r="GO113" s="122"/>
      <c r="GP113" s="122"/>
      <c r="GQ113" s="122"/>
      <c r="GR113" s="122"/>
      <c r="GS113" s="122"/>
      <c r="GT113" s="122"/>
      <c r="GU113" s="122"/>
      <c r="GV113" s="122"/>
      <c r="GW113" s="122"/>
      <c r="GX113" s="122"/>
      <c r="GY113" s="122"/>
      <c r="GZ113" s="122"/>
      <c r="HA113" s="122"/>
      <c r="HB113" s="122"/>
      <c r="HC113" s="122"/>
      <c r="HD113" s="122"/>
      <c r="HE113" s="122"/>
      <c r="HF113" s="122"/>
      <c r="HG113" s="122"/>
      <c r="HH113" s="122"/>
      <c r="HI113" s="122"/>
      <c r="HJ113" s="122"/>
      <c r="HK113" s="122"/>
      <c r="HL113" s="122"/>
      <c r="HM113" s="122"/>
      <c r="HN113" s="122"/>
      <c r="HO113" s="122"/>
      <c r="HP113" s="122"/>
      <c r="HQ113" s="122"/>
      <c r="HR113" s="122"/>
      <c r="HS113" s="122"/>
      <c r="HT113" s="122"/>
      <c r="HU113" s="122"/>
      <c r="HV113" s="122"/>
      <c r="HW113" s="122"/>
      <c r="HX113" s="122"/>
      <c r="HY113" s="122"/>
      <c r="HZ113" s="122"/>
      <c r="IA113" s="122"/>
      <c r="IB113" s="122"/>
      <c r="IC113" s="122"/>
      <c r="ID113" s="122"/>
      <c r="IE113" s="122"/>
      <c r="IF113" s="122"/>
      <c r="IG113" s="122"/>
      <c r="IH113" s="122"/>
      <c r="II113" s="122"/>
      <c r="IJ113" s="122"/>
      <c r="IK113" s="122"/>
      <c r="IL113" s="122"/>
      <c r="IM113" s="122"/>
      <c r="IN113" s="122"/>
      <c r="IO113" s="122"/>
      <c r="IP113" s="122"/>
      <c r="IQ113" s="122"/>
      <c r="IR113" s="122"/>
      <c r="IS113" s="122"/>
      <c r="IT113" s="122"/>
      <c r="IU113" s="122"/>
      <c r="IV113" s="122"/>
      <c r="IW113" s="122"/>
      <c r="IX113" s="122"/>
      <c r="IY113" s="122"/>
      <c r="IZ113" s="122"/>
      <c r="JA113" s="122"/>
      <c r="JB113" s="122"/>
      <c r="JC113" s="122"/>
      <c r="JD113" s="122"/>
      <c r="JE113" s="122"/>
      <c r="JF113" s="122"/>
      <c r="JG113" s="122"/>
      <c r="JH113" s="122"/>
      <c r="JI113" s="119">
        <f t="shared" si="1"/>
        <v>347237.95999999996</v>
      </c>
      <c r="JJ113" s="379">
        <v>5872</v>
      </c>
      <c r="JK113" s="122"/>
      <c r="JL113" s="125"/>
      <c r="JM113" s="345"/>
      <c r="JN113" s="125"/>
      <c r="JO113" s="125"/>
      <c r="JP113" s="125"/>
    </row>
    <row r="114" spans="1:276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/>
      <c r="BS114" s="122"/>
      <c r="BT114" s="122"/>
      <c r="BU114" s="122"/>
      <c r="BV114" s="122"/>
      <c r="BW114" s="122"/>
      <c r="BX114" s="122"/>
      <c r="BY114" s="122"/>
      <c r="BZ114" s="122"/>
      <c r="CA114" s="122"/>
      <c r="CB114" s="122"/>
      <c r="CC114" s="122"/>
      <c r="CD114" s="122"/>
      <c r="CE114" s="122"/>
      <c r="CF114" s="122"/>
      <c r="CG114" s="122"/>
      <c r="CH114" s="122"/>
      <c r="CI114" s="122"/>
      <c r="CJ114" s="122"/>
      <c r="CK114" s="122"/>
      <c r="CL114" s="122"/>
      <c r="CM114" s="122"/>
      <c r="CN114" s="122"/>
      <c r="CO114" s="122"/>
      <c r="CP114" s="122"/>
      <c r="CQ114" s="122"/>
      <c r="CR114" s="122"/>
      <c r="CS114" s="122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  <c r="EO114" s="122"/>
      <c r="EP114" s="122"/>
      <c r="EQ114" s="122"/>
      <c r="ER114" s="122"/>
      <c r="ES114" s="122"/>
      <c r="ET114" s="122"/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/>
      <c r="FH114" s="122"/>
      <c r="FI114" s="122"/>
      <c r="FJ114" s="122"/>
      <c r="FK114" s="122"/>
      <c r="FL114" s="122"/>
      <c r="FM114" s="122"/>
      <c r="FN114" s="122"/>
      <c r="FO114" s="122"/>
      <c r="FP114" s="122"/>
      <c r="FQ114" s="122"/>
      <c r="FR114" s="122"/>
      <c r="FS114" s="122"/>
      <c r="FT114" s="122">
        <v>1246953.2</v>
      </c>
      <c r="FU114" s="122"/>
      <c r="FV114" s="122"/>
      <c r="FW114" s="122"/>
      <c r="FX114" s="122"/>
      <c r="FY114" s="122"/>
      <c r="FZ114" s="122"/>
      <c r="GA114" s="122"/>
      <c r="GB114" s="122"/>
      <c r="GC114" s="122"/>
      <c r="GD114" s="122"/>
      <c r="GE114" s="122"/>
      <c r="GF114" s="122"/>
      <c r="GG114" s="122"/>
      <c r="GH114" s="122"/>
      <c r="GI114" s="122"/>
      <c r="GJ114" s="122"/>
      <c r="GK114" s="122"/>
      <c r="GL114" s="122"/>
      <c r="GM114" s="122"/>
      <c r="GN114" s="122"/>
      <c r="GO114" s="122"/>
      <c r="GP114" s="122"/>
      <c r="GQ114" s="122"/>
      <c r="GR114" s="122"/>
      <c r="GS114" s="122"/>
      <c r="GT114" s="122"/>
      <c r="GU114" s="122"/>
      <c r="GV114" s="122"/>
      <c r="GW114" s="122"/>
      <c r="GX114" s="122"/>
      <c r="GY114" s="122"/>
      <c r="GZ114" s="122"/>
      <c r="HA114" s="122"/>
      <c r="HB114" s="122"/>
      <c r="HC114" s="122"/>
      <c r="HD114" s="122"/>
      <c r="HE114" s="122"/>
      <c r="HF114" s="122"/>
      <c r="HG114" s="122"/>
      <c r="HH114" s="122"/>
      <c r="HI114" s="122"/>
      <c r="HJ114" s="122"/>
      <c r="HK114" s="122"/>
      <c r="HL114" s="122"/>
      <c r="HM114" s="122"/>
      <c r="HN114" s="122"/>
      <c r="HO114" s="122"/>
      <c r="HP114" s="122"/>
      <c r="HQ114" s="122"/>
      <c r="HR114" s="122"/>
      <c r="HS114" s="122"/>
      <c r="HT114" s="122"/>
      <c r="HU114" s="122"/>
      <c r="HV114" s="122"/>
      <c r="HW114" s="122"/>
      <c r="HX114" s="122"/>
      <c r="HY114" s="122"/>
      <c r="HZ114" s="122"/>
      <c r="IA114" s="122"/>
      <c r="IB114" s="122"/>
      <c r="IC114" s="122"/>
      <c r="ID114" s="122"/>
      <c r="IE114" s="122"/>
      <c r="IF114" s="122"/>
      <c r="IG114" s="122"/>
      <c r="IH114" s="122"/>
      <c r="II114" s="122"/>
      <c r="IJ114" s="122"/>
      <c r="IK114" s="122"/>
      <c r="IL114" s="122"/>
      <c r="IM114" s="122"/>
      <c r="IN114" s="122"/>
      <c r="IO114" s="122"/>
      <c r="IP114" s="122"/>
      <c r="IQ114" s="122"/>
      <c r="IR114" s="122"/>
      <c r="IS114" s="122"/>
      <c r="IT114" s="122"/>
      <c r="IU114" s="122"/>
      <c r="IV114" s="122"/>
      <c r="IW114" s="122"/>
      <c r="IX114" s="122"/>
      <c r="IY114" s="122"/>
      <c r="IZ114" s="122"/>
      <c r="JA114" s="122"/>
      <c r="JB114" s="122"/>
      <c r="JC114" s="122"/>
      <c r="JD114" s="122"/>
      <c r="JE114" s="122"/>
      <c r="JF114" s="122"/>
      <c r="JG114" s="122"/>
      <c r="JH114" s="122"/>
      <c r="JI114" s="119">
        <f t="shared" si="1"/>
        <v>1246953.2</v>
      </c>
      <c r="JJ114" s="379">
        <v>5881</v>
      </c>
      <c r="JK114" s="122"/>
      <c r="JL114" s="125"/>
      <c r="JM114" s="345"/>
      <c r="JN114" s="125"/>
      <c r="JO114" s="125"/>
      <c r="JP114" s="125"/>
    </row>
    <row r="115" spans="1:276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>
        <v>1567052.21</v>
      </c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122"/>
      <c r="CR115" s="122"/>
      <c r="CS115" s="122"/>
      <c r="CT115" s="122"/>
      <c r="CU115" s="122"/>
      <c r="CV115" s="122"/>
      <c r="CW115" s="122"/>
      <c r="CX115" s="122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Q115" s="122"/>
      <c r="ER115" s="122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22"/>
      <c r="FD115" s="122"/>
      <c r="FE115" s="122"/>
      <c r="FF115" s="122"/>
      <c r="FG115" s="122"/>
      <c r="FH115" s="122"/>
      <c r="FI115" s="122"/>
      <c r="FJ115" s="122"/>
      <c r="FK115" s="122"/>
      <c r="FL115" s="122"/>
      <c r="FM115" s="122"/>
      <c r="FN115" s="122"/>
      <c r="FO115" s="122"/>
      <c r="FP115" s="122"/>
      <c r="FQ115" s="122"/>
      <c r="FR115" s="122"/>
      <c r="FS115" s="122"/>
      <c r="FT115" s="122"/>
      <c r="FU115" s="122"/>
      <c r="FV115" s="122"/>
      <c r="FW115" s="122"/>
      <c r="FX115" s="122"/>
      <c r="FY115" s="122"/>
      <c r="FZ115" s="122"/>
      <c r="GA115" s="122"/>
      <c r="GB115" s="122"/>
      <c r="GC115" s="122"/>
      <c r="GD115" s="122"/>
      <c r="GE115" s="122"/>
      <c r="GF115" s="122"/>
      <c r="GG115" s="122"/>
      <c r="GH115" s="122"/>
      <c r="GI115" s="122"/>
      <c r="GJ115" s="122"/>
      <c r="GK115" s="122"/>
      <c r="GL115" s="122"/>
      <c r="GM115" s="122"/>
      <c r="GN115" s="122"/>
      <c r="GO115" s="122"/>
      <c r="GP115" s="122"/>
      <c r="GQ115" s="122"/>
      <c r="GR115" s="122"/>
      <c r="GS115" s="122"/>
      <c r="GT115" s="122"/>
      <c r="GU115" s="122"/>
      <c r="GV115" s="122"/>
      <c r="GW115" s="122"/>
      <c r="GX115" s="122"/>
      <c r="GY115" s="122"/>
      <c r="GZ115" s="122"/>
      <c r="HA115" s="122"/>
      <c r="HB115" s="122"/>
      <c r="HC115" s="122"/>
      <c r="HD115" s="122"/>
      <c r="HE115" s="122"/>
      <c r="HF115" s="122"/>
      <c r="HG115" s="122"/>
      <c r="HH115" s="122"/>
      <c r="HI115" s="122"/>
      <c r="HJ115" s="122"/>
      <c r="HK115" s="122"/>
      <c r="HL115" s="122"/>
      <c r="HM115" s="122"/>
      <c r="HN115" s="122"/>
      <c r="HO115" s="122"/>
      <c r="HP115" s="122"/>
      <c r="HQ115" s="122"/>
      <c r="HR115" s="122"/>
      <c r="HS115" s="122"/>
      <c r="HT115" s="122"/>
      <c r="HU115" s="122"/>
      <c r="HV115" s="122"/>
      <c r="HW115" s="122"/>
      <c r="HX115" s="122"/>
      <c r="HY115" s="122"/>
      <c r="HZ115" s="122"/>
      <c r="IA115" s="122"/>
      <c r="IB115" s="122"/>
      <c r="IC115" s="122"/>
      <c r="ID115" s="122"/>
      <c r="IE115" s="122"/>
      <c r="IF115" s="122"/>
      <c r="IG115" s="122"/>
      <c r="IH115" s="122"/>
      <c r="II115" s="122"/>
      <c r="IJ115" s="122"/>
      <c r="IK115" s="122"/>
      <c r="IL115" s="122"/>
      <c r="IM115" s="122"/>
      <c r="IN115" s="122"/>
      <c r="IO115" s="122"/>
      <c r="IP115" s="122"/>
      <c r="IQ115" s="122"/>
      <c r="IR115" s="122"/>
      <c r="IS115" s="122"/>
      <c r="IT115" s="122"/>
      <c r="IU115" s="122"/>
      <c r="IV115" s="122"/>
      <c r="IW115" s="122"/>
      <c r="IX115" s="122"/>
      <c r="IY115" s="122"/>
      <c r="IZ115" s="122"/>
      <c r="JA115" s="122"/>
      <c r="JB115" s="122"/>
      <c r="JC115" s="122"/>
      <c r="JD115" s="122"/>
      <c r="JE115" s="122"/>
      <c r="JF115" s="122"/>
      <c r="JG115" s="122"/>
      <c r="JH115" s="122"/>
      <c r="JI115" s="119">
        <f t="shared" si="1"/>
        <v>1567052.21</v>
      </c>
      <c r="JJ115" s="379">
        <v>5883</v>
      </c>
      <c r="JK115" s="122"/>
      <c r="JL115" s="125"/>
      <c r="JM115" s="345"/>
      <c r="JN115" s="125"/>
      <c r="JO115" s="125"/>
      <c r="JP115" s="125"/>
    </row>
    <row r="116" spans="1:27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>
        <v>1449403.85</v>
      </c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22"/>
      <c r="CJ116" s="122"/>
      <c r="CK116" s="122"/>
      <c r="CL116" s="122"/>
      <c r="CM116" s="122"/>
      <c r="CN116" s="122"/>
      <c r="CO116" s="122"/>
      <c r="CP116" s="122"/>
      <c r="CQ116" s="122"/>
      <c r="CR116" s="122"/>
      <c r="CS116" s="122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  <c r="EE116" s="122"/>
      <c r="EF116" s="122"/>
      <c r="EG116" s="122"/>
      <c r="EH116" s="122"/>
      <c r="EI116" s="122"/>
      <c r="EJ116" s="122"/>
      <c r="EK116" s="122"/>
      <c r="EL116" s="122"/>
      <c r="EM116" s="122"/>
      <c r="EN116" s="122"/>
      <c r="EO116" s="122"/>
      <c r="EP116" s="122"/>
      <c r="EQ116" s="122"/>
      <c r="ER116" s="122"/>
      <c r="ES116" s="122"/>
      <c r="ET116" s="122"/>
      <c r="EU116" s="122"/>
      <c r="EV116" s="122"/>
      <c r="EW116" s="122"/>
      <c r="EX116" s="122"/>
      <c r="EY116" s="122"/>
      <c r="EZ116" s="122"/>
      <c r="FA116" s="122"/>
      <c r="FB116" s="122"/>
      <c r="FC116" s="122"/>
      <c r="FD116" s="122"/>
      <c r="FE116" s="122"/>
      <c r="FF116" s="122"/>
      <c r="FG116" s="122"/>
      <c r="FH116" s="122"/>
      <c r="FI116" s="122"/>
      <c r="FJ116" s="122"/>
      <c r="FK116" s="122"/>
      <c r="FL116" s="122"/>
      <c r="FM116" s="122"/>
      <c r="FN116" s="122"/>
      <c r="FO116" s="122"/>
      <c r="FP116" s="122"/>
      <c r="FQ116" s="122"/>
      <c r="FR116" s="122"/>
      <c r="FS116" s="122"/>
      <c r="FT116" s="122"/>
      <c r="FU116" s="122"/>
      <c r="FV116" s="122"/>
      <c r="FW116" s="122"/>
      <c r="FX116" s="122"/>
      <c r="FY116" s="122"/>
      <c r="FZ116" s="122"/>
      <c r="GA116" s="122"/>
      <c r="GB116" s="122"/>
      <c r="GC116" s="122"/>
      <c r="GD116" s="122"/>
      <c r="GE116" s="122"/>
      <c r="GF116" s="122"/>
      <c r="GG116" s="122"/>
      <c r="GH116" s="122"/>
      <c r="GI116" s="122"/>
      <c r="GJ116" s="122"/>
      <c r="GK116" s="122"/>
      <c r="GL116" s="122"/>
      <c r="GM116" s="122"/>
      <c r="GN116" s="122"/>
      <c r="GO116" s="122"/>
      <c r="GP116" s="122"/>
      <c r="GQ116" s="122"/>
      <c r="GR116" s="122"/>
      <c r="GS116" s="122"/>
      <c r="GT116" s="122"/>
      <c r="GU116" s="122"/>
      <c r="GV116" s="122"/>
      <c r="GW116" s="122"/>
      <c r="GX116" s="122"/>
      <c r="GY116" s="122"/>
      <c r="GZ116" s="122"/>
      <c r="HA116" s="122"/>
      <c r="HB116" s="122"/>
      <c r="HC116" s="122"/>
      <c r="HD116" s="122"/>
      <c r="HE116" s="122"/>
      <c r="HF116" s="122"/>
      <c r="HG116" s="122"/>
      <c r="HH116" s="122"/>
      <c r="HI116" s="122"/>
      <c r="HJ116" s="122"/>
      <c r="HK116" s="122"/>
      <c r="HL116" s="122"/>
      <c r="HM116" s="122"/>
      <c r="HN116" s="122"/>
      <c r="HO116" s="122"/>
      <c r="HP116" s="122"/>
      <c r="HQ116" s="122"/>
      <c r="HR116" s="122"/>
      <c r="HS116" s="122"/>
      <c r="HT116" s="122"/>
      <c r="HU116" s="122"/>
      <c r="HV116" s="122"/>
      <c r="HW116" s="122"/>
      <c r="HX116" s="122"/>
      <c r="HY116" s="122"/>
      <c r="HZ116" s="122"/>
      <c r="IA116" s="122"/>
      <c r="IB116" s="122"/>
      <c r="IC116" s="122"/>
      <c r="ID116" s="122"/>
      <c r="IE116" s="122"/>
      <c r="IF116" s="122"/>
      <c r="IG116" s="122"/>
      <c r="IH116" s="122"/>
      <c r="II116" s="122"/>
      <c r="IJ116" s="122"/>
      <c r="IK116" s="122"/>
      <c r="IL116" s="122"/>
      <c r="IM116" s="122"/>
      <c r="IN116" s="122"/>
      <c r="IO116" s="122"/>
      <c r="IP116" s="122"/>
      <c r="IQ116" s="122"/>
      <c r="IR116" s="122"/>
      <c r="IS116" s="122"/>
      <c r="IT116" s="122"/>
      <c r="IU116" s="122"/>
      <c r="IV116" s="122"/>
      <c r="IW116" s="122"/>
      <c r="IX116" s="122"/>
      <c r="IY116" s="122"/>
      <c r="IZ116" s="122"/>
      <c r="JA116" s="122"/>
      <c r="JB116" s="122"/>
      <c r="JC116" s="122"/>
      <c r="JD116" s="122"/>
      <c r="JE116" s="122"/>
      <c r="JF116" s="122"/>
      <c r="JG116" s="122"/>
      <c r="JH116" s="122"/>
      <c r="JI116" s="119">
        <f t="shared" si="1"/>
        <v>1449403.85</v>
      </c>
      <c r="JJ116" s="379">
        <v>5884</v>
      </c>
      <c r="JK116" s="122"/>
      <c r="JL116" s="125"/>
      <c r="JM116" s="345"/>
      <c r="JN116" s="125"/>
      <c r="JO116" s="125"/>
      <c r="JP116" s="125"/>
    </row>
    <row r="117" spans="1:276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  <c r="BU117" s="122"/>
      <c r="BV117" s="122"/>
      <c r="BW117" s="122">
        <v>1860624.85</v>
      </c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2"/>
      <c r="CJ117" s="122"/>
      <c r="CK117" s="122"/>
      <c r="CL117" s="122"/>
      <c r="CM117" s="122"/>
      <c r="CN117" s="122"/>
      <c r="CO117" s="122"/>
      <c r="CP117" s="122"/>
      <c r="CQ117" s="122"/>
      <c r="CR117" s="122"/>
      <c r="CS117" s="122"/>
      <c r="CT117" s="122"/>
      <c r="CU117" s="122"/>
      <c r="CV117" s="122"/>
      <c r="CW117" s="122"/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/>
      <c r="ED117" s="122"/>
      <c r="EE117" s="122"/>
      <c r="EF117" s="122"/>
      <c r="EG117" s="122"/>
      <c r="EH117" s="122"/>
      <c r="EI117" s="122"/>
      <c r="EJ117" s="122"/>
      <c r="EK117" s="122"/>
      <c r="EL117" s="122"/>
      <c r="EM117" s="122"/>
      <c r="EN117" s="122"/>
      <c r="EO117" s="122"/>
      <c r="EP117" s="122"/>
      <c r="EQ117" s="122"/>
      <c r="ER117" s="122"/>
      <c r="ES117" s="122"/>
      <c r="ET117" s="122"/>
      <c r="EU117" s="122"/>
      <c r="EV117" s="122"/>
      <c r="EW117" s="122"/>
      <c r="EX117" s="122"/>
      <c r="EY117" s="122"/>
      <c r="EZ117" s="122"/>
      <c r="FA117" s="122"/>
      <c r="FB117" s="122"/>
      <c r="FC117" s="122"/>
      <c r="FD117" s="122"/>
      <c r="FE117" s="122"/>
      <c r="FF117" s="122"/>
      <c r="FG117" s="122"/>
      <c r="FH117" s="122"/>
      <c r="FI117" s="122"/>
      <c r="FJ117" s="122"/>
      <c r="FK117" s="122"/>
      <c r="FL117" s="122"/>
      <c r="FM117" s="122"/>
      <c r="FN117" s="122"/>
      <c r="FO117" s="122"/>
      <c r="FP117" s="122"/>
      <c r="FQ117" s="122"/>
      <c r="FR117" s="122"/>
      <c r="FS117" s="122"/>
      <c r="FT117" s="122"/>
      <c r="FU117" s="122"/>
      <c r="FV117" s="122"/>
      <c r="FW117" s="122"/>
      <c r="FX117" s="122"/>
      <c r="FY117" s="122"/>
      <c r="FZ117" s="122"/>
      <c r="GA117" s="122"/>
      <c r="GB117" s="122"/>
      <c r="GC117" s="122"/>
      <c r="GD117" s="122"/>
      <c r="GE117" s="122"/>
      <c r="GF117" s="122"/>
      <c r="GG117" s="122"/>
      <c r="GH117" s="122"/>
      <c r="GI117" s="122"/>
      <c r="GJ117" s="122"/>
      <c r="GK117" s="122"/>
      <c r="GL117" s="122"/>
      <c r="GM117" s="122"/>
      <c r="GN117" s="122"/>
      <c r="GO117" s="122"/>
      <c r="GP117" s="122"/>
      <c r="GQ117" s="122"/>
      <c r="GR117" s="122"/>
      <c r="GS117" s="122"/>
      <c r="GT117" s="122"/>
      <c r="GU117" s="122"/>
      <c r="GV117" s="122"/>
      <c r="GW117" s="122"/>
      <c r="GX117" s="122"/>
      <c r="GY117" s="122"/>
      <c r="GZ117" s="122"/>
      <c r="HA117" s="122"/>
      <c r="HB117" s="122"/>
      <c r="HC117" s="122"/>
      <c r="HD117" s="122"/>
      <c r="HE117" s="122"/>
      <c r="HF117" s="122"/>
      <c r="HG117" s="122"/>
      <c r="HH117" s="122"/>
      <c r="HI117" s="122"/>
      <c r="HJ117" s="122"/>
      <c r="HK117" s="122"/>
      <c r="HL117" s="122"/>
      <c r="HM117" s="122"/>
      <c r="HN117" s="122"/>
      <c r="HO117" s="122"/>
      <c r="HP117" s="122"/>
      <c r="HQ117" s="122"/>
      <c r="HR117" s="122"/>
      <c r="HS117" s="122"/>
      <c r="HT117" s="122"/>
      <c r="HU117" s="122"/>
      <c r="HV117" s="122"/>
      <c r="HW117" s="122"/>
      <c r="HX117" s="122"/>
      <c r="HY117" s="122"/>
      <c r="HZ117" s="122"/>
      <c r="IA117" s="122"/>
      <c r="IB117" s="122"/>
      <c r="IC117" s="122"/>
      <c r="ID117" s="122"/>
      <c r="IE117" s="122"/>
      <c r="IF117" s="122"/>
      <c r="IG117" s="122"/>
      <c r="IH117" s="122"/>
      <c r="II117" s="122"/>
      <c r="IJ117" s="122"/>
      <c r="IK117" s="122"/>
      <c r="IL117" s="122"/>
      <c r="IM117" s="122"/>
      <c r="IN117" s="122"/>
      <c r="IO117" s="122"/>
      <c r="IP117" s="122"/>
      <c r="IQ117" s="122"/>
      <c r="IR117" s="122"/>
      <c r="IS117" s="122"/>
      <c r="IT117" s="122"/>
      <c r="IU117" s="122"/>
      <c r="IV117" s="122"/>
      <c r="IW117" s="122"/>
      <c r="IX117" s="122"/>
      <c r="IY117" s="122"/>
      <c r="IZ117" s="122"/>
      <c r="JA117" s="122"/>
      <c r="JB117" s="122"/>
      <c r="JC117" s="122"/>
      <c r="JD117" s="122"/>
      <c r="JE117" s="122"/>
      <c r="JF117" s="122"/>
      <c r="JG117" s="122"/>
      <c r="JH117" s="122"/>
      <c r="JI117" s="119">
        <f t="shared" si="1"/>
        <v>1860624.85</v>
      </c>
      <c r="JJ117" s="379">
        <v>5892</v>
      </c>
      <c r="JK117" s="122"/>
      <c r="JL117" s="125"/>
      <c r="JM117" s="345"/>
      <c r="JN117" s="125"/>
      <c r="JO117" s="125"/>
      <c r="JP117" s="125"/>
    </row>
    <row r="118" spans="1:276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22"/>
      <c r="BW118" s="122">
        <v>1248786.45</v>
      </c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22"/>
      <c r="CI118" s="122"/>
      <c r="CJ118" s="122"/>
      <c r="CK118" s="122"/>
      <c r="CL118" s="122"/>
      <c r="CM118" s="122"/>
      <c r="CN118" s="122"/>
      <c r="CO118" s="122"/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  <c r="EE118" s="122"/>
      <c r="EF118" s="122"/>
      <c r="EG118" s="122"/>
      <c r="EH118" s="122"/>
      <c r="EI118" s="122"/>
      <c r="EJ118" s="122"/>
      <c r="EK118" s="122"/>
      <c r="EL118" s="122"/>
      <c r="EM118" s="122"/>
      <c r="EN118" s="122"/>
      <c r="EO118" s="122"/>
      <c r="EP118" s="122"/>
      <c r="EQ118" s="122"/>
      <c r="ER118" s="122"/>
      <c r="ES118" s="122"/>
      <c r="ET118" s="122"/>
      <c r="EU118" s="122"/>
      <c r="EV118" s="122"/>
      <c r="EW118" s="122"/>
      <c r="EX118" s="122"/>
      <c r="EY118" s="122"/>
      <c r="EZ118" s="122"/>
      <c r="FA118" s="122"/>
      <c r="FB118" s="122"/>
      <c r="FC118" s="122"/>
      <c r="FD118" s="122"/>
      <c r="FE118" s="122"/>
      <c r="FF118" s="122"/>
      <c r="FG118" s="122"/>
      <c r="FH118" s="122"/>
      <c r="FI118" s="122"/>
      <c r="FJ118" s="122"/>
      <c r="FK118" s="122"/>
      <c r="FL118" s="122"/>
      <c r="FM118" s="122"/>
      <c r="FN118" s="122"/>
      <c r="FO118" s="122"/>
      <c r="FP118" s="122"/>
      <c r="FQ118" s="122"/>
      <c r="FR118" s="122"/>
      <c r="FS118" s="122"/>
      <c r="FT118" s="122"/>
      <c r="FU118" s="122"/>
      <c r="FV118" s="122"/>
      <c r="FW118" s="122"/>
      <c r="FX118" s="122"/>
      <c r="FY118" s="122"/>
      <c r="FZ118" s="122"/>
      <c r="GA118" s="122"/>
      <c r="GB118" s="122"/>
      <c r="GC118" s="122"/>
      <c r="GD118" s="122"/>
      <c r="GE118" s="122"/>
      <c r="GF118" s="122"/>
      <c r="GG118" s="122"/>
      <c r="GH118" s="122"/>
      <c r="GI118" s="122"/>
      <c r="GJ118" s="122"/>
      <c r="GK118" s="122"/>
      <c r="GL118" s="122"/>
      <c r="GM118" s="122"/>
      <c r="GN118" s="122"/>
      <c r="GO118" s="122"/>
      <c r="GP118" s="122"/>
      <c r="GQ118" s="122"/>
      <c r="GR118" s="122"/>
      <c r="GS118" s="122"/>
      <c r="GT118" s="122"/>
      <c r="GU118" s="122"/>
      <c r="GV118" s="122"/>
      <c r="GW118" s="122"/>
      <c r="GX118" s="122"/>
      <c r="GY118" s="122"/>
      <c r="GZ118" s="122"/>
      <c r="HA118" s="122"/>
      <c r="HB118" s="122"/>
      <c r="HC118" s="122"/>
      <c r="HD118" s="122"/>
      <c r="HE118" s="122"/>
      <c r="HF118" s="122"/>
      <c r="HG118" s="122"/>
      <c r="HH118" s="122"/>
      <c r="HI118" s="122"/>
      <c r="HJ118" s="122"/>
      <c r="HK118" s="122"/>
      <c r="HL118" s="122"/>
      <c r="HM118" s="122"/>
      <c r="HN118" s="122"/>
      <c r="HO118" s="122"/>
      <c r="HP118" s="122"/>
      <c r="HQ118" s="122"/>
      <c r="HR118" s="122"/>
      <c r="HS118" s="122"/>
      <c r="HT118" s="122"/>
      <c r="HU118" s="122"/>
      <c r="HV118" s="122"/>
      <c r="HW118" s="122"/>
      <c r="HX118" s="122"/>
      <c r="HY118" s="122"/>
      <c r="HZ118" s="122"/>
      <c r="IA118" s="122"/>
      <c r="IB118" s="122"/>
      <c r="IC118" s="122"/>
      <c r="ID118" s="122"/>
      <c r="IE118" s="122"/>
      <c r="IF118" s="122"/>
      <c r="IG118" s="122"/>
      <c r="IH118" s="122"/>
      <c r="II118" s="122"/>
      <c r="IJ118" s="122"/>
      <c r="IK118" s="122"/>
      <c r="IL118" s="122"/>
      <c r="IM118" s="122"/>
      <c r="IN118" s="122"/>
      <c r="IO118" s="122"/>
      <c r="IP118" s="122"/>
      <c r="IQ118" s="122"/>
      <c r="IR118" s="122"/>
      <c r="IS118" s="122"/>
      <c r="IT118" s="122"/>
      <c r="IU118" s="122"/>
      <c r="IV118" s="122"/>
      <c r="IW118" s="122"/>
      <c r="IX118" s="122"/>
      <c r="IY118" s="122"/>
      <c r="IZ118" s="122"/>
      <c r="JA118" s="122"/>
      <c r="JB118" s="122"/>
      <c r="JC118" s="122"/>
      <c r="JD118" s="122"/>
      <c r="JE118" s="122"/>
      <c r="JF118" s="122"/>
      <c r="JG118" s="122"/>
      <c r="JH118" s="122"/>
      <c r="JI118" s="119">
        <f t="shared" si="1"/>
        <v>1248786.45</v>
      </c>
      <c r="JJ118" s="379">
        <v>5900</v>
      </c>
      <c r="JK118" s="122"/>
      <c r="JL118" s="125"/>
      <c r="JM118" s="345"/>
      <c r="JN118" s="125"/>
      <c r="JO118" s="125"/>
      <c r="JP118" s="125"/>
    </row>
    <row r="119" spans="1:276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  <c r="BS119" s="122"/>
      <c r="BT119" s="122"/>
      <c r="BU119" s="122"/>
      <c r="BV119" s="122"/>
      <c r="BW119" s="122"/>
      <c r="BX119" s="122"/>
      <c r="BY119" s="122"/>
      <c r="BZ119" s="122"/>
      <c r="CA119" s="122"/>
      <c r="CB119" s="122"/>
      <c r="CC119" s="122"/>
      <c r="CD119" s="122"/>
      <c r="CE119" s="122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122"/>
      <c r="CP119" s="122"/>
      <c r="CQ119" s="122"/>
      <c r="CR119" s="122"/>
      <c r="CS119" s="122"/>
      <c r="CT119" s="122"/>
      <c r="CU119" s="122"/>
      <c r="CV119" s="122"/>
      <c r="CW119" s="122"/>
      <c r="CX119" s="122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2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>
        <v>900000</v>
      </c>
      <c r="EB119" s="122"/>
      <c r="EC119" s="122"/>
      <c r="ED119" s="122"/>
      <c r="EE119" s="122"/>
      <c r="EF119" s="122"/>
      <c r="EG119" s="122"/>
      <c r="EH119" s="122"/>
      <c r="EI119" s="122"/>
      <c r="EJ119" s="122"/>
      <c r="EK119" s="122"/>
      <c r="EL119" s="122"/>
      <c r="EM119" s="122"/>
      <c r="EN119" s="122"/>
      <c r="EO119" s="122"/>
      <c r="EP119" s="122"/>
      <c r="EQ119" s="122"/>
      <c r="ER119" s="122"/>
      <c r="ES119" s="122"/>
      <c r="ET119" s="122"/>
      <c r="EU119" s="122"/>
      <c r="EV119" s="122"/>
      <c r="EW119" s="122"/>
      <c r="EX119" s="122"/>
      <c r="EY119" s="122"/>
      <c r="EZ119" s="122"/>
      <c r="FA119" s="122"/>
      <c r="FB119" s="122"/>
      <c r="FC119" s="122"/>
      <c r="FD119" s="122"/>
      <c r="FE119" s="122"/>
      <c r="FF119" s="122"/>
      <c r="FG119" s="122"/>
      <c r="FH119" s="122"/>
      <c r="FI119" s="122"/>
      <c r="FJ119" s="122"/>
      <c r="FK119" s="122"/>
      <c r="FL119" s="122"/>
      <c r="FM119" s="122"/>
      <c r="FN119" s="122"/>
      <c r="FO119" s="122"/>
      <c r="FP119" s="122"/>
      <c r="FQ119" s="122"/>
      <c r="FR119" s="122"/>
      <c r="FS119" s="122"/>
      <c r="FT119" s="122"/>
      <c r="FU119" s="122"/>
      <c r="FV119" s="122"/>
      <c r="FW119" s="122"/>
      <c r="FX119" s="122"/>
      <c r="FY119" s="122"/>
      <c r="FZ119" s="122"/>
      <c r="GA119" s="122"/>
      <c r="GB119" s="122"/>
      <c r="GC119" s="122"/>
      <c r="GD119" s="122"/>
      <c r="GE119" s="122"/>
      <c r="GF119" s="122"/>
      <c r="GG119" s="122"/>
      <c r="GH119" s="122"/>
      <c r="GI119" s="122"/>
      <c r="GJ119" s="122"/>
      <c r="GK119" s="122"/>
      <c r="GL119" s="122"/>
      <c r="GM119" s="122"/>
      <c r="GN119" s="122"/>
      <c r="GO119" s="122"/>
      <c r="GP119" s="122"/>
      <c r="GQ119" s="122"/>
      <c r="GR119" s="122"/>
      <c r="GS119" s="122"/>
      <c r="GT119" s="122"/>
      <c r="GU119" s="122"/>
      <c r="GV119" s="122"/>
      <c r="GW119" s="122"/>
      <c r="GX119" s="122"/>
      <c r="GY119" s="122"/>
      <c r="GZ119" s="122"/>
      <c r="HA119" s="122"/>
      <c r="HB119" s="122"/>
      <c r="HC119" s="122"/>
      <c r="HD119" s="122"/>
      <c r="HE119" s="122"/>
      <c r="HF119" s="122"/>
      <c r="HG119" s="122"/>
      <c r="HH119" s="122"/>
      <c r="HI119" s="122"/>
      <c r="HJ119" s="122"/>
      <c r="HK119" s="122"/>
      <c r="HL119" s="122"/>
      <c r="HM119" s="122"/>
      <c r="HN119" s="122"/>
      <c r="HO119" s="122"/>
      <c r="HP119" s="122"/>
      <c r="HQ119" s="122"/>
      <c r="HR119" s="122"/>
      <c r="HS119" s="122"/>
      <c r="HT119" s="122"/>
      <c r="HU119" s="122"/>
      <c r="HV119" s="122"/>
      <c r="HW119" s="122"/>
      <c r="HX119" s="122"/>
      <c r="HY119" s="122"/>
      <c r="HZ119" s="122"/>
      <c r="IA119" s="122"/>
      <c r="IB119" s="122"/>
      <c r="IC119" s="122"/>
      <c r="ID119" s="122"/>
      <c r="IE119" s="122"/>
      <c r="IF119" s="122"/>
      <c r="IG119" s="122"/>
      <c r="IH119" s="122"/>
      <c r="II119" s="122"/>
      <c r="IJ119" s="122"/>
      <c r="IK119" s="122"/>
      <c r="IL119" s="122"/>
      <c r="IM119" s="122"/>
      <c r="IN119" s="122"/>
      <c r="IO119" s="122"/>
      <c r="IP119" s="122"/>
      <c r="IQ119" s="122"/>
      <c r="IR119" s="122"/>
      <c r="IS119" s="122"/>
      <c r="IT119" s="122"/>
      <c r="IU119" s="122"/>
      <c r="IV119" s="122"/>
      <c r="IW119" s="122"/>
      <c r="IX119" s="122"/>
      <c r="IY119" s="122"/>
      <c r="IZ119" s="122"/>
      <c r="JA119" s="122"/>
      <c r="JB119" s="122"/>
      <c r="JC119" s="122"/>
      <c r="JD119" s="122"/>
      <c r="JE119" s="122"/>
      <c r="JF119" s="122"/>
      <c r="JG119" s="122"/>
      <c r="JH119" s="122"/>
      <c r="JI119" s="119">
        <f t="shared" si="1"/>
        <v>900000</v>
      </c>
      <c r="JJ119" s="379">
        <v>5904</v>
      </c>
      <c r="JK119" s="122"/>
      <c r="JL119" s="125"/>
      <c r="JM119" s="345"/>
      <c r="JN119" s="125"/>
      <c r="JO119" s="125"/>
      <c r="JP119" s="125"/>
    </row>
    <row r="120" spans="1:276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>
        <v>75000</v>
      </c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22"/>
      <c r="BS120" s="122"/>
      <c r="BT120" s="122"/>
      <c r="BU120" s="122"/>
      <c r="BV120" s="122"/>
      <c r="BW120" s="122"/>
      <c r="BX120" s="122"/>
      <c r="BY120" s="122"/>
      <c r="BZ120" s="122"/>
      <c r="CA120" s="122"/>
      <c r="CB120" s="122"/>
      <c r="CC120" s="122"/>
      <c r="CD120" s="122"/>
      <c r="CE120" s="122"/>
      <c r="CF120" s="122"/>
      <c r="CG120" s="122"/>
      <c r="CH120" s="122"/>
      <c r="CI120" s="122"/>
      <c r="CJ120" s="122"/>
      <c r="CK120" s="122"/>
      <c r="CL120" s="122"/>
      <c r="CM120" s="122"/>
      <c r="CN120" s="122"/>
      <c r="CO120" s="122"/>
      <c r="CP120" s="122"/>
      <c r="CQ120" s="122"/>
      <c r="CR120" s="122"/>
      <c r="CS120" s="122"/>
      <c r="CT120" s="122"/>
      <c r="CU120" s="122"/>
      <c r="CV120" s="122"/>
      <c r="CW120" s="122"/>
      <c r="CX120" s="122"/>
      <c r="CY120" s="122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  <c r="EE120" s="122"/>
      <c r="EF120" s="122"/>
      <c r="EG120" s="122"/>
      <c r="EH120" s="122"/>
      <c r="EI120" s="122"/>
      <c r="EJ120" s="122"/>
      <c r="EK120" s="122"/>
      <c r="EL120" s="122"/>
      <c r="EM120" s="122"/>
      <c r="EN120" s="122"/>
      <c r="EO120" s="122"/>
      <c r="EP120" s="122"/>
      <c r="EQ120" s="122"/>
      <c r="ER120" s="122"/>
      <c r="ES120" s="122"/>
      <c r="ET120" s="122"/>
      <c r="EU120" s="122"/>
      <c r="EV120" s="122"/>
      <c r="EW120" s="122"/>
      <c r="EX120" s="122"/>
      <c r="EY120" s="122"/>
      <c r="EZ120" s="122"/>
      <c r="FA120" s="122"/>
      <c r="FB120" s="122"/>
      <c r="FC120" s="122"/>
      <c r="FD120" s="122"/>
      <c r="FE120" s="122"/>
      <c r="FF120" s="122"/>
      <c r="FG120" s="122"/>
      <c r="FH120" s="122"/>
      <c r="FI120" s="122"/>
      <c r="FJ120" s="122"/>
      <c r="FK120" s="122"/>
      <c r="FL120" s="122"/>
      <c r="FM120" s="122"/>
      <c r="FN120" s="122"/>
      <c r="FO120" s="122"/>
      <c r="FP120" s="122"/>
      <c r="FQ120" s="122"/>
      <c r="FR120" s="122"/>
      <c r="FS120" s="122"/>
      <c r="FT120" s="122"/>
      <c r="FU120" s="122"/>
      <c r="FV120" s="122"/>
      <c r="FW120" s="122"/>
      <c r="FX120" s="122"/>
      <c r="FY120" s="122"/>
      <c r="FZ120" s="122"/>
      <c r="GA120" s="122"/>
      <c r="GB120" s="122"/>
      <c r="GC120" s="122"/>
      <c r="GD120" s="122"/>
      <c r="GE120" s="122"/>
      <c r="GF120" s="122"/>
      <c r="GG120" s="122"/>
      <c r="GH120" s="122"/>
      <c r="GI120" s="122"/>
      <c r="GJ120" s="122"/>
      <c r="GK120" s="122"/>
      <c r="GL120" s="122"/>
      <c r="GM120" s="122"/>
      <c r="GN120" s="122"/>
      <c r="GO120" s="122"/>
      <c r="GP120" s="122"/>
      <c r="GQ120" s="122"/>
      <c r="GR120" s="122"/>
      <c r="GS120" s="122"/>
      <c r="GT120" s="122"/>
      <c r="GU120" s="122"/>
      <c r="GV120" s="122"/>
      <c r="GW120" s="122"/>
      <c r="GX120" s="122"/>
      <c r="GY120" s="122"/>
      <c r="GZ120" s="122"/>
      <c r="HA120" s="122"/>
      <c r="HB120" s="122"/>
      <c r="HC120" s="122"/>
      <c r="HD120" s="122"/>
      <c r="HE120" s="122"/>
      <c r="HF120" s="122"/>
      <c r="HG120" s="122"/>
      <c r="HH120" s="122"/>
      <c r="HI120" s="122"/>
      <c r="HJ120" s="122"/>
      <c r="HK120" s="122"/>
      <c r="HL120" s="122"/>
      <c r="HM120" s="122"/>
      <c r="HN120" s="122"/>
      <c r="HO120" s="122"/>
      <c r="HP120" s="122"/>
      <c r="HQ120" s="122"/>
      <c r="HR120" s="122"/>
      <c r="HS120" s="122"/>
      <c r="HT120" s="122"/>
      <c r="HU120" s="122"/>
      <c r="HV120" s="122"/>
      <c r="HW120" s="122"/>
      <c r="HX120" s="122"/>
      <c r="HY120" s="122"/>
      <c r="HZ120" s="122"/>
      <c r="IA120" s="122"/>
      <c r="IB120" s="122"/>
      <c r="IC120" s="122"/>
      <c r="ID120" s="122"/>
      <c r="IE120" s="122"/>
      <c r="IF120" s="122"/>
      <c r="IG120" s="122"/>
      <c r="IH120" s="122"/>
      <c r="II120" s="122"/>
      <c r="IJ120" s="122"/>
      <c r="IK120" s="122"/>
      <c r="IL120" s="122"/>
      <c r="IM120" s="122"/>
      <c r="IN120" s="122"/>
      <c r="IO120" s="122"/>
      <c r="IP120" s="122"/>
      <c r="IQ120" s="122"/>
      <c r="IR120" s="122"/>
      <c r="IS120" s="122"/>
      <c r="IT120" s="122"/>
      <c r="IU120" s="122"/>
      <c r="IV120" s="122"/>
      <c r="IW120" s="122"/>
      <c r="IX120" s="122"/>
      <c r="IY120" s="122"/>
      <c r="IZ120" s="122"/>
      <c r="JA120" s="122"/>
      <c r="JB120" s="122"/>
      <c r="JC120" s="122"/>
      <c r="JD120" s="122"/>
      <c r="JE120" s="122"/>
      <c r="JF120" s="122"/>
      <c r="JG120" s="122"/>
      <c r="JH120" s="122"/>
      <c r="JI120" s="119">
        <f t="shared" si="1"/>
        <v>75000</v>
      </c>
      <c r="JJ120" s="379">
        <v>5906</v>
      </c>
      <c r="JK120" s="122"/>
      <c r="JL120" s="125"/>
      <c r="JM120" s="345"/>
      <c r="JN120" s="125"/>
      <c r="JO120" s="125"/>
      <c r="JP120" s="125"/>
    </row>
    <row r="121" spans="1:276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>
        <v>1342531.03</v>
      </c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>
        <v>95319.7</v>
      </c>
      <c r="AL121" s="122">
        <v>95185.45</v>
      </c>
      <c r="AM121" s="122">
        <v>15830.76</v>
      </c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2"/>
      <c r="BT121" s="122"/>
      <c r="BU121" s="122"/>
      <c r="BV121" s="122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22"/>
      <c r="CP121" s="122"/>
      <c r="CQ121" s="122"/>
      <c r="CR121" s="122"/>
      <c r="CS121" s="122"/>
      <c r="CT121" s="122"/>
      <c r="CU121" s="122"/>
      <c r="CV121" s="122"/>
      <c r="CW121" s="122"/>
      <c r="CX121" s="12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  <c r="EK121" s="122"/>
      <c r="EL121" s="122"/>
      <c r="EM121" s="122"/>
      <c r="EN121" s="122"/>
      <c r="EO121" s="122"/>
      <c r="EP121" s="122"/>
      <c r="EQ121" s="122"/>
      <c r="ER121" s="122"/>
      <c r="ES121" s="122"/>
      <c r="ET121" s="122"/>
      <c r="EU121" s="122"/>
      <c r="EV121" s="122"/>
      <c r="EW121" s="122"/>
      <c r="EX121" s="122"/>
      <c r="EY121" s="122"/>
      <c r="EZ121" s="122"/>
      <c r="FA121" s="122"/>
      <c r="FB121" s="122"/>
      <c r="FC121" s="122"/>
      <c r="FD121" s="122"/>
      <c r="FE121" s="122"/>
      <c r="FF121" s="122"/>
      <c r="FG121" s="122"/>
      <c r="FH121" s="122"/>
      <c r="FI121" s="122"/>
      <c r="FJ121" s="122"/>
      <c r="FK121" s="122"/>
      <c r="FL121" s="122"/>
      <c r="FM121" s="122"/>
      <c r="FN121" s="122"/>
      <c r="FO121" s="122"/>
      <c r="FP121" s="122"/>
      <c r="FQ121" s="122"/>
      <c r="FR121" s="122"/>
      <c r="FS121" s="122"/>
      <c r="FT121" s="122"/>
      <c r="FU121" s="122"/>
      <c r="FV121" s="122"/>
      <c r="FW121" s="122"/>
      <c r="FX121" s="122"/>
      <c r="FY121" s="122"/>
      <c r="FZ121" s="122"/>
      <c r="GA121" s="122"/>
      <c r="GB121" s="122"/>
      <c r="GC121" s="122"/>
      <c r="GD121" s="122"/>
      <c r="GE121" s="122"/>
      <c r="GF121" s="122"/>
      <c r="GG121" s="122"/>
      <c r="GH121" s="122"/>
      <c r="GI121" s="122"/>
      <c r="GJ121" s="122"/>
      <c r="GK121" s="122"/>
      <c r="GL121" s="122"/>
      <c r="GM121" s="122"/>
      <c r="GN121" s="122"/>
      <c r="GO121" s="122"/>
      <c r="GP121" s="122"/>
      <c r="GQ121" s="122"/>
      <c r="GR121" s="122"/>
      <c r="GS121" s="122"/>
      <c r="GT121" s="122"/>
      <c r="GU121" s="122"/>
      <c r="GV121" s="122"/>
      <c r="GW121" s="122"/>
      <c r="GX121" s="122"/>
      <c r="GY121" s="122"/>
      <c r="GZ121" s="122"/>
      <c r="HA121" s="122"/>
      <c r="HB121" s="122"/>
      <c r="HC121" s="122"/>
      <c r="HD121" s="122"/>
      <c r="HE121" s="122"/>
      <c r="HF121" s="122"/>
      <c r="HG121" s="122"/>
      <c r="HH121" s="122"/>
      <c r="HI121" s="122"/>
      <c r="HJ121" s="122"/>
      <c r="HK121" s="122"/>
      <c r="HL121" s="122"/>
      <c r="HM121" s="122"/>
      <c r="HN121" s="122"/>
      <c r="HO121" s="122"/>
      <c r="HP121" s="122"/>
      <c r="HQ121" s="122"/>
      <c r="HR121" s="122"/>
      <c r="HS121" s="122"/>
      <c r="HT121" s="122"/>
      <c r="HU121" s="122"/>
      <c r="HV121" s="122"/>
      <c r="HW121" s="122"/>
      <c r="HX121" s="122"/>
      <c r="HY121" s="122"/>
      <c r="HZ121" s="122"/>
      <c r="IA121" s="122"/>
      <c r="IB121" s="122"/>
      <c r="IC121" s="122"/>
      <c r="ID121" s="122"/>
      <c r="IE121" s="122"/>
      <c r="IF121" s="122"/>
      <c r="IG121" s="122"/>
      <c r="IH121" s="122"/>
      <c r="II121" s="122"/>
      <c r="IJ121" s="122"/>
      <c r="IK121" s="122"/>
      <c r="IL121" s="122"/>
      <c r="IM121" s="122"/>
      <c r="IN121" s="122"/>
      <c r="IO121" s="122"/>
      <c r="IP121" s="122"/>
      <c r="IQ121" s="122"/>
      <c r="IR121" s="122"/>
      <c r="IS121" s="122"/>
      <c r="IT121" s="122"/>
      <c r="IU121" s="122"/>
      <c r="IV121" s="122"/>
      <c r="IW121" s="122"/>
      <c r="IX121" s="122"/>
      <c r="IY121" s="122"/>
      <c r="IZ121" s="122"/>
      <c r="JA121" s="122"/>
      <c r="JB121" s="122"/>
      <c r="JC121" s="122"/>
      <c r="JD121" s="122"/>
      <c r="JE121" s="122"/>
      <c r="JF121" s="122"/>
      <c r="JG121" s="122"/>
      <c r="JH121" s="122"/>
      <c r="JI121" s="119">
        <f t="shared" si="1"/>
        <v>1548866.94</v>
      </c>
      <c r="JJ121" s="379">
        <v>5908</v>
      </c>
      <c r="JK121" s="122"/>
      <c r="JL121" s="125"/>
      <c r="JM121" s="345"/>
      <c r="JN121" s="125"/>
      <c r="JO121" s="125"/>
      <c r="JP121" s="125"/>
    </row>
    <row r="122" spans="1:276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2"/>
      <c r="BT122" s="122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22"/>
      <c r="CJ122" s="122"/>
      <c r="CK122" s="122"/>
      <c r="CL122" s="122"/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/>
      <c r="EO122" s="122"/>
      <c r="EP122" s="122"/>
      <c r="EQ122" s="122"/>
      <c r="ER122" s="122"/>
      <c r="ES122" s="122"/>
      <c r="ET122" s="122"/>
      <c r="EU122" s="122"/>
      <c r="EV122" s="122"/>
      <c r="EW122" s="122"/>
      <c r="EX122" s="122"/>
      <c r="EY122" s="122"/>
      <c r="EZ122" s="122"/>
      <c r="FA122" s="122"/>
      <c r="FB122" s="122"/>
      <c r="FC122" s="122"/>
      <c r="FD122" s="122"/>
      <c r="FE122" s="122"/>
      <c r="FF122" s="122"/>
      <c r="FG122" s="122"/>
      <c r="FH122" s="122"/>
      <c r="FI122" s="122"/>
      <c r="FJ122" s="122"/>
      <c r="FK122" s="122"/>
      <c r="FL122" s="122"/>
      <c r="FM122" s="122"/>
      <c r="FN122" s="122"/>
      <c r="FO122" s="122"/>
      <c r="FP122" s="122"/>
      <c r="FQ122" s="122"/>
      <c r="FR122" s="122"/>
      <c r="FS122" s="122"/>
      <c r="FT122" s="122">
        <v>262243.20000000001</v>
      </c>
      <c r="FU122" s="122"/>
      <c r="FV122" s="122"/>
      <c r="FW122" s="122"/>
      <c r="FX122" s="122"/>
      <c r="FY122" s="122"/>
      <c r="FZ122" s="122"/>
      <c r="GA122" s="122"/>
      <c r="GB122" s="122"/>
      <c r="GC122" s="122"/>
      <c r="GD122" s="122"/>
      <c r="GE122" s="122"/>
      <c r="GF122" s="122"/>
      <c r="GG122" s="122"/>
      <c r="GH122" s="122"/>
      <c r="GI122" s="122"/>
      <c r="GJ122" s="122"/>
      <c r="GK122" s="122"/>
      <c r="GL122" s="122"/>
      <c r="GM122" s="122"/>
      <c r="GN122" s="122"/>
      <c r="GO122" s="122"/>
      <c r="GP122" s="122"/>
      <c r="GQ122" s="122"/>
      <c r="GR122" s="122"/>
      <c r="GS122" s="122"/>
      <c r="GT122" s="122"/>
      <c r="GU122" s="122"/>
      <c r="GV122" s="122"/>
      <c r="GW122" s="122"/>
      <c r="GX122" s="122"/>
      <c r="GY122" s="122"/>
      <c r="GZ122" s="122"/>
      <c r="HA122" s="122"/>
      <c r="HB122" s="122"/>
      <c r="HC122" s="122"/>
      <c r="HD122" s="122"/>
      <c r="HE122" s="122"/>
      <c r="HF122" s="122"/>
      <c r="HG122" s="122"/>
      <c r="HH122" s="122"/>
      <c r="HI122" s="122"/>
      <c r="HJ122" s="122"/>
      <c r="HK122" s="122"/>
      <c r="HL122" s="122"/>
      <c r="HM122" s="122"/>
      <c r="HN122" s="122"/>
      <c r="HO122" s="122"/>
      <c r="HP122" s="122"/>
      <c r="HQ122" s="122"/>
      <c r="HR122" s="122"/>
      <c r="HS122" s="122"/>
      <c r="HT122" s="122"/>
      <c r="HU122" s="122"/>
      <c r="HV122" s="122"/>
      <c r="HW122" s="122"/>
      <c r="HX122" s="122"/>
      <c r="HY122" s="122"/>
      <c r="HZ122" s="122"/>
      <c r="IA122" s="122"/>
      <c r="IB122" s="122"/>
      <c r="IC122" s="122"/>
      <c r="ID122" s="122"/>
      <c r="IE122" s="122"/>
      <c r="IF122" s="122"/>
      <c r="IG122" s="122"/>
      <c r="IH122" s="122"/>
      <c r="II122" s="122"/>
      <c r="IJ122" s="122"/>
      <c r="IK122" s="122"/>
      <c r="IL122" s="122"/>
      <c r="IM122" s="122"/>
      <c r="IN122" s="122"/>
      <c r="IO122" s="122"/>
      <c r="IP122" s="122"/>
      <c r="IQ122" s="122"/>
      <c r="IR122" s="122"/>
      <c r="IS122" s="122"/>
      <c r="IT122" s="122"/>
      <c r="IU122" s="122"/>
      <c r="IV122" s="122"/>
      <c r="IW122" s="122"/>
      <c r="IX122" s="122"/>
      <c r="IY122" s="122"/>
      <c r="IZ122" s="122"/>
      <c r="JA122" s="122"/>
      <c r="JB122" s="122"/>
      <c r="JC122" s="122"/>
      <c r="JD122" s="122"/>
      <c r="JE122" s="122"/>
      <c r="JF122" s="122"/>
      <c r="JG122" s="122"/>
      <c r="JH122" s="122"/>
      <c r="JI122" s="119">
        <f t="shared" si="1"/>
        <v>262243.20000000001</v>
      </c>
      <c r="JJ122" s="379">
        <v>5912</v>
      </c>
      <c r="JK122" s="122"/>
      <c r="JL122" s="125"/>
      <c r="JM122" s="345"/>
      <c r="JN122" s="125"/>
      <c r="JO122" s="125"/>
      <c r="JP122" s="125"/>
    </row>
    <row r="123" spans="1:276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  <c r="BS123" s="122"/>
      <c r="BT123" s="122"/>
      <c r="BU123" s="122"/>
      <c r="BV123" s="122"/>
      <c r="BW123" s="122"/>
      <c r="BX123" s="122"/>
      <c r="BY123" s="122"/>
      <c r="BZ123" s="122"/>
      <c r="CA123" s="122"/>
      <c r="CB123" s="122"/>
      <c r="CC123" s="122"/>
      <c r="CD123" s="122"/>
      <c r="CE123" s="122"/>
      <c r="CF123" s="122"/>
      <c r="CG123" s="122"/>
      <c r="CH123" s="122"/>
      <c r="CI123" s="122"/>
      <c r="CJ123" s="122"/>
      <c r="CK123" s="122"/>
      <c r="CL123" s="122"/>
      <c r="CM123" s="122"/>
      <c r="CN123" s="122"/>
      <c r="CO123" s="122"/>
      <c r="CP123" s="122"/>
      <c r="CQ123" s="122"/>
      <c r="CR123" s="122"/>
      <c r="CS123" s="122"/>
      <c r="CT123" s="122"/>
      <c r="CU123" s="122"/>
      <c r="CV123" s="122"/>
      <c r="CW123" s="122"/>
      <c r="CX123" s="12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>
        <v>250000</v>
      </c>
      <c r="EB123" s="122"/>
      <c r="EC123" s="122"/>
      <c r="ED123" s="122"/>
      <c r="EE123" s="122"/>
      <c r="EF123" s="122"/>
      <c r="EG123" s="122"/>
      <c r="EH123" s="122"/>
      <c r="EI123" s="122"/>
      <c r="EJ123" s="122"/>
      <c r="EK123" s="122"/>
      <c r="EL123" s="122"/>
      <c r="EM123" s="122"/>
      <c r="EN123" s="122"/>
      <c r="EO123" s="122"/>
      <c r="EP123" s="122"/>
      <c r="EQ123" s="122"/>
      <c r="ER123" s="122"/>
      <c r="ES123" s="122"/>
      <c r="ET123" s="122"/>
      <c r="EU123" s="122"/>
      <c r="EV123" s="122"/>
      <c r="EW123" s="122"/>
      <c r="EX123" s="122"/>
      <c r="EY123" s="122"/>
      <c r="EZ123" s="122"/>
      <c r="FA123" s="122"/>
      <c r="FB123" s="122"/>
      <c r="FC123" s="122"/>
      <c r="FD123" s="122"/>
      <c r="FE123" s="122"/>
      <c r="FF123" s="122"/>
      <c r="FG123" s="122"/>
      <c r="FH123" s="122"/>
      <c r="FI123" s="122"/>
      <c r="FJ123" s="122"/>
      <c r="FK123" s="122"/>
      <c r="FL123" s="122"/>
      <c r="FM123" s="122"/>
      <c r="FN123" s="122"/>
      <c r="FO123" s="122"/>
      <c r="FP123" s="122"/>
      <c r="FQ123" s="122"/>
      <c r="FR123" s="122"/>
      <c r="FS123" s="122"/>
      <c r="FT123" s="122"/>
      <c r="FU123" s="122"/>
      <c r="FV123" s="122"/>
      <c r="FW123" s="122"/>
      <c r="FX123" s="122"/>
      <c r="FY123" s="122"/>
      <c r="FZ123" s="122"/>
      <c r="GA123" s="122"/>
      <c r="GB123" s="122"/>
      <c r="GC123" s="122"/>
      <c r="GD123" s="122"/>
      <c r="GE123" s="122"/>
      <c r="GF123" s="122"/>
      <c r="GG123" s="122"/>
      <c r="GH123" s="122"/>
      <c r="GI123" s="122"/>
      <c r="GJ123" s="122"/>
      <c r="GK123" s="122"/>
      <c r="GL123" s="122"/>
      <c r="GM123" s="122"/>
      <c r="GN123" s="122"/>
      <c r="GO123" s="122"/>
      <c r="GP123" s="122"/>
      <c r="GQ123" s="122"/>
      <c r="GR123" s="122"/>
      <c r="GS123" s="122"/>
      <c r="GT123" s="122"/>
      <c r="GU123" s="122"/>
      <c r="GV123" s="122"/>
      <c r="GW123" s="122"/>
      <c r="GX123" s="122"/>
      <c r="GY123" s="122"/>
      <c r="GZ123" s="122"/>
      <c r="HA123" s="122"/>
      <c r="HB123" s="122"/>
      <c r="HC123" s="122"/>
      <c r="HD123" s="122"/>
      <c r="HE123" s="122"/>
      <c r="HF123" s="122"/>
      <c r="HG123" s="122"/>
      <c r="HH123" s="122"/>
      <c r="HI123" s="122"/>
      <c r="HJ123" s="122"/>
      <c r="HK123" s="122"/>
      <c r="HL123" s="122"/>
      <c r="HM123" s="122"/>
      <c r="HN123" s="122"/>
      <c r="HO123" s="122"/>
      <c r="HP123" s="122"/>
      <c r="HQ123" s="122"/>
      <c r="HR123" s="122"/>
      <c r="HS123" s="122"/>
      <c r="HT123" s="122"/>
      <c r="HU123" s="122"/>
      <c r="HV123" s="122"/>
      <c r="HW123" s="122"/>
      <c r="HX123" s="122"/>
      <c r="HY123" s="122"/>
      <c r="HZ123" s="122"/>
      <c r="IA123" s="122"/>
      <c r="IB123" s="122"/>
      <c r="IC123" s="122"/>
      <c r="ID123" s="122"/>
      <c r="IE123" s="122"/>
      <c r="IF123" s="122"/>
      <c r="IG123" s="122"/>
      <c r="IH123" s="122"/>
      <c r="II123" s="122"/>
      <c r="IJ123" s="122"/>
      <c r="IK123" s="122"/>
      <c r="IL123" s="122"/>
      <c r="IM123" s="122"/>
      <c r="IN123" s="122"/>
      <c r="IO123" s="122"/>
      <c r="IP123" s="122"/>
      <c r="IQ123" s="122"/>
      <c r="IR123" s="122"/>
      <c r="IS123" s="122"/>
      <c r="IT123" s="122"/>
      <c r="IU123" s="122"/>
      <c r="IV123" s="122"/>
      <c r="IW123" s="122"/>
      <c r="IX123" s="122"/>
      <c r="IY123" s="122"/>
      <c r="IZ123" s="122"/>
      <c r="JA123" s="122"/>
      <c r="JB123" s="122"/>
      <c r="JC123" s="122"/>
      <c r="JD123" s="122"/>
      <c r="JE123" s="122"/>
      <c r="JF123" s="122"/>
      <c r="JG123" s="122"/>
      <c r="JH123" s="122"/>
      <c r="JI123" s="119">
        <f t="shared" si="1"/>
        <v>250000</v>
      </c>
      <c r="JJ123" s="379">
        <v>5916</v>
      </c>
      <c r="JK123" s="122"/>
      <c r="JL123" s="125"/>
      <c r="JM123" s="345"/>
      <c r="JN123" s="125"/>
      <c r="JO123" s="125"/>
      <c r="JP123" s="125"/>
    </row>
    <row r="124" spans="1:276">
      <c r="A124" s="122">
        <v>59133635.049999997</v>
      </c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>
        <v>2652914.66</v>
      </c>
      <c r="T124" s="122"/>
      <c r="U124" s="122"/>
      <c r="V124" s="122"/>
      <c r="W124" s="122"/>
      <c r="X124" s="122"/>
      <c r="Y124" s="122"/>
      <c r="Z124" s="122">
        <v>301200</v>
      </c>
      <c r="AA124" s="122"/>
      <c r="AB124" s="122">
        <f>118009.29+168584.7</f>
        <v>286593.99</v>
      </c>
      <c r="AC124" s="122"/>
      <c r="AD124" s="122"/>
      <c r="AE124" s="122"/>
      <c r="AF124" s="122"/>
      <c r="AG124" s="122"/>
      <c r="AH124" s="122"/>
      <c r="AI124" s="122"/>
      <c r="AJ124" s="122"/>
      <c r="AK124" s="122">
        <v>4192575.52</v>
      </c>
      <c r="AL124" s="122">
        <v>4198489.8</v>
      </c>
      <c r="AM124" s="122">
        <v>708522.93</v>
      </c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  <c r="BS124" s="122"/>
      <c r="BT124" s="122"/>
      <c r="BU124" s="122"/>
      <c r="BV124" s="122"/>
      <c r="BW124" s="122"/>
      <c r="BX124" s="122"/>
      <c r="BY124" s="122"/>
      <c r="BZ124" s="122"/>
      <c r="CA124" s="122"/>
      <c r="CB124" s="122"/>
      <c r="CC124" s="122"/>
      <c r="CD124" s="122"/>
      <c r="CE124" s="122"/>
      <c r="CF124" s="122"/>
      <c r="CG124" s="122"/>
      <c r="CH124" s="122"/>
      <c r="CI124" s="122"/>
      <c r="CJ124" s="122"/>
      <c r="CK124" s="122"/>
      <c r="CL124" s="122"/>
      <c r="CM124" s="122"/>
      <c r="CN124" s="122"/>
      <c r="CO124" s="122"/>
      <c r="CP124" s="122"/>
      <c r="CQ124" s="122"/>
      <c r="CR124" s="122"/>
      <c r="CS124" s="122"/>
      <c r="CT124" s="122"/>
      <c r="CU124" s="122"/>
      <c r="CV124" s="122"/>
      <c r="CW124" s="122"/>
      <c r="CX124" s="12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  <c r="EE124" s="122"/>
      <c r="EF124" s="122"/>
      <c r="EG124" s="122"/>
      <c r="EH124" s="122"/>
      <c r="EI124" s="122"/>
      <c r="EJ124" s="122"/>
      <c r="EK124" s="122"/>
      <c r="EL124" s="122"/>
      <c r="EM124" s="122"/>
      <c r="EN124" s="122"/>
      <c r="EO124" s="122"/>
      <c r="EP124" s="122"/>
      <c r="EQ124" s="122"/>
      <c r="ER124" s="122"/>
      <c r="ES124" s="122"/>
      <c r="ET124" s="122"/>
      <c r="EU124" s="122"/>
      <c r="EV124" s="122"/>
      <c r="EW124" s="122"/>
      <c r="EX124" s="122"/>
      <c r="EY124" s="122"/>
      <c r="EZ124" s="122"/>
      <c r="FA124" s="122"/>
      <c r="FB124" s="122"/>
      <c r="FC124" s="122"/>
      <c r="FD124" s="122"/>
      <c r="FE124" s="122"/>
      <c r="FF124" s="122"/>
      <c r="FG124" s="122"/>
      <c r="FH124" s="122"/>
      <c r="FI124" s="122"/>
      <c r="FJ124" s="122"/>
      <c r="FK124" s="122"/>
      <c r="FL124" s="122"/>
      <c r="FM124" s="122"/>
      <c r="FN124" s="122"/>
      <c r="FO124" s="122"/>
      <c r="FP124" s="122"/>
      <c r="FQ124" s="122"/>
      <c r="FR124" s="122"/>
      <c r="FS124" s="122"/>
      <c r="FT124" s="122"/>
      <c r="FU124" s="122"/>
      <c r="FV124" s="122"/>
      <c r="FW124" s="122"/>
      <c r="FX124" s="122"/>
      <c r="FY124" s="122"/>
      <c r="FZ124" s="122"/>
      <c r="GA124" s="122"/>
      <c r="GB124" s="122"/>
      <c r="GC124" s="122"/>
      <c r="GD124" s="122"/>
      <c r="GE124" s="122"/>
      <c r="GF124" s="122"/>
      <c r="GG124" s="122"/>
      <c r="GH124" s="122"/>
      <c r="GI124" s="122"/>
      <c r="GJ124" s="122"/>
      <c r="GK124" s="122"/>
      <c r="GL124" s="122"/>
      <c r="GM124" s="122"/>
      <c r="GN124" s="122"/>
      <c r="GO124" s="122"/>
      <c r="GP124" s="122"/>
      <c r="GQ124" s="122"/>
      <c r="GR124" s="122"/>
      <c r="GS124" s="122"/>
      <c r="GT124" s="122"/>
      <c r="GU124" s="122"/>
      <c r="GV124" s="122"/>
      <c r="GW124" s="122"/>
      <c r="GX124" s="122"/>
      <c r="GY124" s="122"/>
      <c r="GZ124" s="122"/>
      <c r="HA124" s="122"/>
      <c r="HB124" s="122"/>
      <c r="HC124" s="122"/>
      <c r="HD124" s="122"/>
      <c r="HE124" s="122"/>
      <c r="HF124" s="122"/>
      <c r="HG124" s="122"/>
      <c r="HH124" s="122"/>
      <c r="HI124" s="122"/>
      <c r="HJ124" s="122"/>
      <c r="HK124" s="122"/>
      <c r="HL124" s="122"/>
      <c r="HM124" s="122"/>
      <c r="HN124" s="122"/>
      <c r="HO124" s="122"/>
      <c r="HP124" s="122"/>
      <c r="HQ124" s="122"/>
      <c r="HR124" s="122"/>
      <c r="HS124" s="122"/>
      <c r="HT124" s="122"/>
      <c r="HU124" s="122"/>
      <c r="HV124" s="122"/>
      <c r="HW124" s="122"/>
      <c r="HX124" s="122"/>
      <c r="HY124" s="122"/>
      <c r="HZ124" s="122"/>
      <c r="IA124" s="122"/>
      <c r="IB124" s="122"/>
      <c r="IC124" s="122"/>
      <c r="ID124" s="122"/>
      <c r="IE124" s="122"/>
      <c r="IF124" s="122"/>
      <c r="IG124" s="122"/>
      <c r="IH124" s="122"/>
      <c r="II124" s="122"/>
      <c r="IJ124" s="122"/>
      <c r="IK124" s="122"/>
      <c r="IL124" s="122"/>
      <c r="IM124" s="122"/>
      <c r="IN124" s="122"/>
      <c r="IO124" s="122"/>
      <c r="IP124" s="122"/>
      <c r="IQ124" s="122"/>
      <c r="IR124" s="122"/>
      <c r="IS124" s="122"/>
      <c r="IT124" s="122"/>
      <c r="IU124" s="122"/>
      <c r="IV124" s="122"/>
      <c r="IW124" s="122"/>
      <c r="IX124" s="122"/>
      <c r="IY124" s="122"/>
      <c r="IZ124" s="122"/>
      <c r="JA124" s="122"/>
      <c r="JB124" s="122"/>
      <c r="JC124" s="122"/>
      <c r="JD124" s="122"/>
      <c r="JE124" s="122"/>
      <c r="JF124" s="122"/>
      <c r="JG124" s="122"/>
      <c r="JH124" s="122"/>
      <c r="JI124" s="119">
        <f t="shared" si="1"/>
        <v>71473931.950000003</v>
      </c>
      <c r="JJ124" s="379">
        <v>5918</v>
      </c>
      <c r="JK124" s="122"/>
      <c r="JL124" s="125"/>
      <c r="JM124" s="345"/>
      <c r="JN124" s="125"/>
      <c r="JO124" s="125"/>
      <c r="JP124" s="125"/>
    </row>
    <row r="125" spans="1:276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22"/>
      <c r="BS125" s="122"/>
      <c r="BT125" s="122"/>
      <c r="BU125" s="122"/>
      <c r="BV125" s="122"/>
      <c r="BW125" s="122"/>
      <c r="BX125" s="122"/>
      <c r="BY125" s="122"/>
      <c r="BZ125" s="122"/>
      <c r="CA125" s="122"/>
      <c r="CB125" s="122"/>
      <c r="CC125" s="122"/>
      <c r="CD125" s="122"/>
      <c r="CE125" s="122"/>
      <c r="CF125" s="122"/>
      <c r="CG125" s="122"/>
      <c r="CH125" s="122"/>
      <c r="CI125" s="122"/>
      <c r="CJ125" s="122"/>
      <c r="CK125" s="122"/>
      <c r="CL125" s="122"/>
      <c r="CM125" s="122"/>
      <c r="CN125" s="122"/>
      <c r="CO125" s="122"/>
      <c r="CP125" s="122"/>
      <c r="CQ125" s="122"/>
      <c r="CR125" s="122"/>
      <c r="CS125" s="122"/>
      <c r="CT125" s="122"/>
      <c r="CU125" s="122"/>
      <c r="CV125" s="122"/>
      <c r="CW125" s="122"/>
      <c r="CX125" s="122"/>
      <c r="CY125" s="122"/>
      <c r="CZ125" s="122"/>
      <c r="DA125" s="122"/>
      <c r="DB125" s="122"/>
      <c r="DC125" s="122"/>
      <c r="DD125" s="122"/>
      <c r="DE125" s="122"/>
      <c r="DF125" s="122"/>
      <c r="DG125" s="122"/>
      <c r="DH125" s="122"/>
      <c r="DI125" s="122"/>
      <c r="DJ125" s="122"/>
      <c r="DK125" s="122">
        <v>701858.4</v>
      </c>
      <c r="DL125" s="122"/>
      <c r="DM125" s="122"/>
      <c r="DN125" s="122"/>
      <c r="DO125" s="122"/>
      <c r="DP125" s="122"/>
      <c r="DQ125" s="122"/>
      <c r="DR125" s="122"/>
      <c r="DS125" s="122"/>
      <c r="DT125" s="122"/>
      <c r="DU125" s="122"/>
      <c r="DV125" s="122">
        <v>24780</v>
      </c>
      <c r="DW125" s="122"/>
      <c r="DX125" s="122"/>
      <c r="DY125" s="122"/>
      <c r="DZ125" s="122"/>
      <c r="EA125" s="122"/>
      <c r="EB125" s="122"/>
      <c r="EC125" s="122"/>
      <c r="ED125" s="122"/>
      <c r="EE125" s="122"/>
      <c r="EF125" s="122"/>
      <c r="EG125" s="122"/>
      <c r="EH125" s="122"/>
      <c r="EI125" s="122"/>
      <c r="EJ125" s="122"/>
      <c r="EK125" s="122"/>
      <c r="EL125" s="122"/>
      <c r="EM125" s="122"/>
      <c r="EN125" s="122"/>
      <c r="EO125" s="122"/>
      <c r="EP125" s="122"/>
      <c r="EQ125" s="122"/>
      <c r="ER125" s="122"/>
      <c r="ES125" s="122"/>
      <c r="ET125" s="122"/>
      <c r="EU125" s="122"/>
      <c r="EV125" s="122"/>
      <c r="EW125" s="122"/>
      <c r="EX125" s="122"/>
      <c r="EY125" s="122"/>
      <c r="EZ125" s="122"/>
      <c r="FA125" s="122"/>
      <c r="FB125" s="122"/>
      <c r="FC125" s="122"/>
      <c r="FD125" s="122"/>
      <c r="FE125" s="122"/>
      <c r="FF125" s="122"/>
      <c r="FG125" s="122"/>
      <c r="FH125" s="122"/>
      <c r="FI125" s="122"/>
      <c r="FJ125" s="122"/>
      <c r="FK125" s="122"/>
      <c r="FL125" s="122"/>
      <c r="FM125" s="122"/>
      <c r="FN125" s="122"/>
      <c r="FO125" s="122"/>
      <c r="FP125" s="122"/>
      <c r="FQ125" s="122"/>
      <c r="FR125" s="122"/>
      <c r="FS125" s="122"/>
      <c r="FT125" s="122"/>
      <c r="FU125" s="122"/>
      <c r="FV125" s="122"/>
      <c r="FW125" s="122"/>
      <c r="FX125" s="122"/>
      <c r="FY125" s="122"/>
      <c r="FZ125" s="122"/>
      <c r="GA125" s="122">
        <v>6844</v>
      </c>
      <c r="GB125" s="122"/>
      <c r="GC125" s="122"/>
      <c r="GD125" s="122"/>
      <c r="GE125" s="122"/>
      <c r="GF125" s="122"/>
      <c r="GG125" s="122"/>
      <c r="GH125" s="122"/>
      <c r="GI125" s="122"/>
      <c r="GJ125" s="122"/>
      <c r="GK125" s="122"/>
      <c r="GL125" s="122"/>
      <c r="GM125" s="122"/>
      <c r="GN125" s="122"/>
      <c r="GO125" s="122"/>
      <c r="GP125" s="122"/>
      <c r="GQ125" s="122"/>
      <c r="GR125" s="122"/>
      <c r="GS125" s="122"/>
      <c r="GT125" s="122"/>
      <c r="GU125" s="122"/>
      <c r="GV125" s="122"/>
      <c r="GW125" s="122"/>
      <c r="GX125" s="122"/>
      <c r="GY125" s="122"/>
      <c r="GZ125" s="122"/>
      <c r="HA125" s="122"/>
      <c r="HB125" s="122"/>
      <c r="HC125" s="122"/>
      <c r="HD125" s="122"/>
      <c r="HE125" s="122"/>
      <c r="HF125" s="122"/>
      <c r="HG125" s="122"/>
      <c r="HH125" s="122"/>
      <c r="HI125" s="122"/>
      <c r="HJ125" s="122"/>
      <c r="HK125" s="122"/>
      <c r="HL125" s="122"/>
      <c r="HM125" s="122"/>
      <c r="HN125" s="122"/>
      <c r="HO125" s="122"/>
      <c r="HP125" s="122"/>
      <c r="HQ125" s="122"/>
      <c r="HR125" s="122"/>
      <c r="HS125" s="122"/>
      <c r="HT125" s="122"/>
      <c r="HU125" s="122"/>
      <c r="HV125" s="122"/>
      <c r="HW125" s="122"/>
      <c r="HX125" s="122"/>
      <c r="HY125" s="122"/>
      <c r="HZ125" s="122"/>
      <c r="IA125" s="122"/>
      <c r="IB125" s="122"/>
      <c r="IC125" s="122"/>
      <c r="ID125" s="122"/>
      <c r="IE125" s="122"/>
      <c r="IF125" s="122"/>
      <c r="IG125" s="122"/>
      <c r="IH125" s="122"/>
      <c r="II125" s="122"/>
      <c r="IJ125" s="122"/>
      <c r="IK125" s="122"/>
      <c r="IL125" s="122"/>
      <c r="IM125" s="122"/>
      <c r="IN125" s="122"/>
      <c r="IO125" s="122"/>
      <c r="IP125" s="122"/>
      <c r="IQ125" s="122"/>
      <c r="IR125" s="122"/>
      <c r="IS125" s="122"/>
      <c r="IT125" s="122"/>
      <c r="IU125" s="122"/>
      <c r="IV125" s="122"/>
      <c r="IW125" s="122"/>
      <c r="IX125" s="122"/>
      <c r="IY125" s="122"/>
      <c r="IZ125" s="122"/>
      <c r="JA125" s="122"/>
      <c r="JB125" s="122"/>
      <c r="JC125" s="122"/>
      <c r="JD125" s="122"/>
      <c r="JE125" s="122"/>
      <c r="JF125" s="122"/>
      <c r="JG125" s="122"/>
      <c r="JH125" s="122"/>
      <c r="JI125" s="119">
        <f t="shared" si="1"/>
        <v>733482.4</v>
      </c>
      <c r="JJ125" s="379">
        <v>5922</v>
      </c>
      <c r="JK125" s="122"/>
      <c r="JL125" s="125"/>
      <c r="JM125" s="345"/>
      <c r="JN125" s="125"/>
      <c r="JO125" s="125"/>
      <c r="JP125" s="125"/>
    </row>
    <row r="126" spans="1:27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122"/>
      <c r="AX126" s="122"/>
      <c r="AY126" s="122"/>
      <c r="AZ126" s="122"/>
      <c r="BA126" s="122"/>
      <c r="BB126" s="122"/>
      <c r="BC126" s="122"/>
      <c r="BD126" s="122"/>
      <c r="BE126" s="122"/>
      <c r="BF126" s="122"/>
      <c r="BG126" s="122"/>
      <c r="BH126" s="122"/>
      <c r="BI126" s="122"/>
      <c r="BJ126" s="122"/>
      <c r="BK126" s="122"/>
      <c r="BL126" s="122"/>
      <c r="BM126" s="122"/>
      <c r="BN126" s="122"/>
      <c r="BO126" s="122"/>
      <c r="BP126" s="122"/>
      <c r="BQ126" s="122"/>
      <c r="BR126" s="122"/>
      <c r="BS126" s="122"/>
      <c r="BT126" s="122"/>
      <c r="BU126" s="122"/>
      <c r="BV126" s="122"/>
      <c r="BW126" s="122"/>
      <c r="BX126" s="122"/>
      <c r="BY126" s="122"/>
      <c r="BZ126" s="122"/>
      <c r="CA126" s="122"/>
      <c r="CB126" s="122"/>
      <c r="CC126" s="122"/>
      <c r="CD126" s="122"/>
      <c r="CE126" s="122"/>
      <c r="CF126" s="122"/>
      <c r="CG126" s="122"/>
      <c r="CH126" s="122"/>
      <c r="CI126" s="122"/>
      <c r="CJ126" s="122"/>
      <c r="CK126" s="122"/>
      <c r="CL126" s="122"/>
      <c r="CM126" s="122"/>
      <c r="CN126" s="122"/>
      <c r="CO126" s="122"/>
      <c r="CP126" s="122"/>
      <c r="CQ126" s="122"/>
      <c r="CR126" s="122"/>
      <c r="CS126" s="122"/>
      <c r="CT126" s="122"/>
      <c r="CU126" s="122"/>
      <c r="CV126" s="122"/>
      <c r="CW126" s="122"/>
      <c r="CX126" s="122"/>
      <c r="CY126" s="122"/>
      <c r="CZ126" s="122"/>
      <c r="DA126" s="122"/>
      <c r="DB126" s="122"/>
      <c r="DC126" s="122"/>
      <c r="DD126" s="122"/>
      <c r="DE126" s="122"/>
      <c r="DF126" s="122"/>
      <c r="DG126" s="122"/>
      <c r="DH126" s="122"/>
      <c r="DI126" s="122"/>
      <c r="DJ126" s="122"/>
      <c r="DK126" s="122"/>
      <c r="DL126" s="122"/>
      <c r="DM126" s="122"/>
      <c r="DN126" s="122"/>
      <c r="DO126" s="122"/>
      <c r="DP126" s="122"/>
      <c r="DQ126" s="122"/>
      <c r="DR126" s="122"/>
      <c r="DS126" s="122"/>
      <c r="DT126" s="122"/>
      <c r="DU126" s="122"/>
      <c r="DV126" s="122"/>
      <c r="DW126" s="122"/>
      <c r="DX126" s="122"/>
      <c r="DY126" s="122"/>
      <c r="DZ126" s="122"/>
      <c r="EA126" s="122"/>
      <c r="EB126" s="122"/>
      <c r="EC126" s="122"/>
      <c r="ED126" s="122"/>
      <c r="EE126" s="122"/>
      <c r="EF126" s="122"/>
      <c r="EG126" s="122"/>
      <c r="EH126" s="122"/>
      <c r="EI126" s="122"/>
      <c r="EJ126" s="122"/>
      <c r="EK126" s="122"/>
      <c r="EL126" s="122"/>
      <c r="EM126" s="122"/>
      <c r="EN126" s="122"/>
      <c r="EO126" s="122"/>
      <c r="EP126" s="122"/>
      <c r="EQ126" s="122"/>
      <c r="ER126" s="122"/>
      <c r="ES126" s="122"/>
      <c r="ET126" s="122"/>
      <c r="EU126" s="122"/>
      <c r="EV126" s="122"/>
      <c r="EW126" s="122"/>
      <c r="EX126" s="122"/>
      <c r="EY126" s="122"/>
      <c r="EZ126" s="122"/>
      <c r="FA126" s="122"/>
      <c r="FB126" s="122"/>
      <c r="FC126" s="122"/>
      <c r="FD126" s="122"/>
      <c r="FE126" s="122"/>
      <c r="FF126" s="122"/>
      <c r="FG126" s="122"/>
      <c r="FH126" s="122"/>
      <c r="FI126" s="122"/>
      <c r="FJ126" s="122"/>
      <c r="FK126" s="122"/>
      <c r="FL126" s="122"/>
      <c r="FM126" s="122"/>
      <c r="FN126" s="122"/>
      <c r="FO126" s="122"/>
      <c r="FP126" s="122"/>
      <c r="FQ126" s="122"/>
      <c r="FR126" s="122"/>
      <c r="FS126" s="122"/>
      <c r="FT126" s="122"/>
      <c r="FU126" s="122"/>
      <c r="FV126" s="122"/>
      <c r="FW126" s="122"/>
      <c r="FX126" s="122"/>
      <c r="FY126" s="122"/>
      <c r="FZ126" s="122"/>
      <c r="GA126" s="122"/>
      <c r="GB126" s="122"/>
      <c r="GC126" s="122"/>
      <c r="GD126" s="122"/>
      <c r="GE126" s="122"/>
      <c r="GF126" s="122"/>
      <c r="GG126" s="122"/>
      <c r="GH126" s="122"/>
      <c r="GI126" s="122"/>
      <c r="GJ126" s="122"/>
      <c r="GK126" s="122"/>
      <c r="GL126" s="122"/>
      <c r="GM126" s="122"/>
      <c r="GN126" s="122"/>
      <c r="GO126" s="122"/>
      <c r="GP126" s="122"/>
      <c r="GQ126" s="122">
        <v>1791000</v>
      </c>
      <c r="GR126" s="122"/>
      <c r="GS126" s="122"/>
      <c r="GT126" s="122"/>
      <c r="GU126" s="122"/>
      <c r="GV126" s="122"/>
      <c r="GW126" s="122"/>
      <c r="GX126" s="122"/>
      <c r="GY126" s="122"/>
      <c r="GZ126" s="122"/>
      <c r="HA126" s="122"/>
      <c r="HB126" s="122"/>
      <c r="HC126" s="122"/>
      <c r="HD126" s="122"/>
      <c r="HE126" s="122"/>
      <c r="HF126" s="122"/>
      <c r="HG126" s="122"/>
      <c r="HH126" s="122"/>
      <c r="HI126" s="122"/>
      <c r="HJ126" s="122"/>
      <c r="HK126" s="122"/>
      <c r="HL126" s="122"/>
      <c r="HM126" s="122"/>
      <c r="HN126" s="122"/>
      <c r="HO126" s="122"/>
      <c r="HP126" s="122"/>
      <c r="HQ126" s="122"/>
      <c r="HR126" s="122"/>
      <c r="HS126" s="122"/>
      <c r="HT126" s="122"/>
      <c r="HU126" s="122"/>
      <c r="HV126" s="122"/>
      <c r="HW126" s="122"/>
      <c r="HX126" s="122"/>
      <c r="HY126" s="122"/>
      <c r="HZ126" s="122"/>
      <c r="IA126" s="122"/>
      <c r="IB126" s="122"/>
      <c r="IC126" s="122"/>
      <c r="ID126" s="122"/>
      <c r="IE126" s="122"/>
      <c r="IF126" s="122"/>
      <c r="IG126" s="122"/>
      <c r="IH126" s="122"/>
      <c r="II126" s="122"/>
      <c r="IJ126" s="122"/>
      <c r="IK126" s="122"/>
      <c r="IL126" s="122"/>
      <c r="IM126" s="122"/>
      <c r="IN126" s="122"/>
      <c r="IO126" s="122"/>
      <c r="IP126" s="122"/>
      <c r="IQ126" s="122"/>
      <c r="IR126" s="122"/>
      <c r="IS126" s="122"/>
      <c r="IT126" s="122"/>
      <c r="IU126" s="122"/>
      <c r="IV126" s="122"/>
      <c r="IW126" s="122"/>
      <c r="IX126" s="122"/>
      <c r="IY126" s="122"/>
      <c r="IZ126" s="122"/>
      <c r="JA126" s="122"/>
      <c r="JB126" s="122"/>
      <c r="JC126" s="122"/>
      <c r="JD126" s="122"/>
      <c r="JE126" s="122"/>
      <c r="JF126" s="122"/>
      <c r="JG126" s="122"/>
      <c r="JH126" s="122"/>
      <c r="JI126" s="119">
        <f t="shared" si="1"/>
        <v>1791000</v>
      </c>
      <c r="JJ126" s="379">
        <v>5926</v>
      </c>
      <c r="JK126" s="122"/>
      <c r="JL126" s="125"/>
      <c r="JM126" s="345"/>
      <c r="JN126" s="125"/>
      <c r="JO126" s="125"/>
      <c r="JP126" s="125"/>
    </row>
    <row r="127" spans="1:276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/>
      <c r="AT127" s="122"/>
      <c r="AU127" s="122"/>
      <c r="AV127" s="122"/>
      <c r="AW127" s="122"/>
      <c r="AX127" s="122"/>
      <c r="AY127" s="122"/>
      <c r="AZ127" s="122"/>
      <c r="BA127" s="122"/>
      <c r="BB127" s="122"/>
      <c r="BC127" s="122"/>
      <c r="BD127" s="122"/>
      <c r="BE127" s="122"/>
      <c r="BF127" s="122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  <c r="BQ127" s="122"/>
      <c r="BR127" s="122"/>
      <c r="BS127" s="122"/>
      <c r="BT127" s="122"/>
      <c r="BU127" s="122"/>
      <c r="BV127" s="122"/>
      <c r="BW127" s="122"/>
      <c r="BX127" s="122"/>
      <c r="BY127" s="122"/>
      <c r="BZ127" s="122"/>
      <c r="CA127" s="122"/>
      <c r="CB127" s="122"/>
      <c r="CC127" s="122"/>
      <c r="CD127" s="122"/>
      <c r="CE127" s="122"/>
      <c r="CF127" s="122"/>
      <c r="CG127" s="122"/>
      <c r="CH127" s="122"/>
      <c r="CI127" s="122"/>
      <c r="CJ127" s="122"/>
      <c r="CK127" s="122"/>
      <c r="CL127" s="122"/>
      <c r="CM127" s="122"/>
      <c r="CN127" s="122"/>
      <c r="CO127" s="122"/>
      <c r="CP127" s="122"/>
      <c r="CQ127" s="122"/>
      <c r="CR127" s="122"/>
      <c r="CS127" s="122"/>
      <c r="CT127" s="122"/>
      <c r="CU127" s="122"/>
      <c r="CV127" s="122"/>
      <c r="CW127" s="122"/>
      <c r="CX127" s="122"/>
      <c r="CY127" s="122"/>
      <c r="CZ127" s="122"/>
      <c r="DA127" s="122"/>
      <c r="DB127" s="122"/>
      <c r="DC127" s="122"/>
      <c r="DD127" s="122"/>
      <c r="DE127" s="122"/>
      <c r="DF127" s="122"/>
      <c r="DG127" s="122"/>
      <c r="DH127" s="122"/>
      <c r="DI127" s="122"/>
      <c r="DJ127" s="122"/>
      <c r="DK127" s="122"/>
      <c r="DL127" s="122"/>
      <c r="DM127" s="122"/>
      <c r="DN127" s="122"/>
      <c r="DO127" s="122"/>
      <c r="DP127" s="122"/>
      <c r="DQ127" s="122"/>
      <c r="DR127" s="122"/>
      <c r="DS127" s="122"/>
      <c r="DT127" s="122"/>
      <c r="DU127" s="122"/>
      <c r="DV127" s="122"/>
      <c r="DW127" s="122"/>
      <c r="DX127" s="122"/>
      <c r="DY127" s="122"/>
      <c r="DZ127" s="122"/>
      <c r="EA127" s="122"/>
      <c r="EB127" s="122"/>
      <c r="EC127" s="122"/>
      <c r="ED127" s="122"/>
      <c r="EE127" s="122"/>
      <c r="EF127" s="122"/>
      <c r="EG127" s="122"/>
      <c r="EH127" s="122"/>
      <c r="EI127" s="122"/>
      <c r="EJ127" s="122"/>
      <c r="EK127" s="122"/>
      <c r="EL127" s="122"/>
      <c r="EM127" s="122"/>
      <c r="EN127" s="122"/>
      <c r="EO127" s="122"/>
      <c r="EP127" s="122"/>
      <c r="EQ127" s="122"/>
      <c r="ER127" s="122"/>
      <c r="ES127" s="122"/>
      <c r="ET127" s="122"/>
      <c r="EU127" s="122"/>
      <c r="EV127" s="122"/>
      <c r="EW127" s="122"/>
      <c r="EX127" s="122"/>
      <c r="EY127" s="122"/>
      <c r="EZ127" s="122"/>
      <c r="FA127" s="122"/>
      <c r="FB127" s="122"/>
      <c r="FC127" s="122"/>
      <c r="FD127" s="122"/>
      <c r="FE127" s="122"/>
      <c r="FF127" s="122"/>
      <c r="FG127" s="122"/>
      <c r="FH127" s="122"/>
      <c r="FI127" s="122"/>
      <c r="FJ127" s="122"/>
      <c r="FK127" s="122"/>
      <c r="FL127" s="122"/>
      <c r="FM127" s="122"/>
      <c r="FN127" s="122"/>
      <c r="FO127" s="122"/>
      <c r="FP127" s="122"/>
      <c r="FQ127" s="122"/>
      <c r="FR127" s="122"/>
      <c r="FS127" s="122"/>
      <c r="FT127" s="122"/>
      <c r="FU127" s="122"/>
      <c r="FV127" s="122"/>
      <c r="FW127" s="122"/>
      <c r="FX127" s="122"/>
      <c r="FY127" s="122"/>
      <c r="FZ127" s="122"/>
      <c r="GA127" s="122"/>
      <c r="GB127" s="122"/>
      <c r="GC127" s="122"/>
      <c r="GD127" s="122"/>
      <c r="GE127" s="122"/>
      <c r="GF127" s="122"/>
      <c r="GG127" s="122"/>
      <c r="GH127" s="122"/>
      <c r="GI127" s="122"/>
      <c r="GJ127" s="122"/>
      <c r="GK127" s="122"/>
      <c r="GL127" s="122"/>
      <c r="GM127" s="122"/>
      <c r="GN127" s="122"/>
      <c r="GO127" s="122"/>
      <c r="GP127" s="122"/>
      <c r="GQ127" s="122">
        <v>1791000</v>
      </c>
      <c r="GR127" s="122"/>
      <c r="GS127" s="122"/>
      <c r="GT127" s="122"/>
      <c r="GU127" s="122"/>
      <c r="GV127" s="122"/>
      <c r="GW127" s="122"/>
      <c r="GX127" s="122"/>
      <c r="GY127" s="122"/>
      <c r="GZ127" s="122"/>
      <c r="HA127" s="122"/>
      <c r="HB127" s="122"/>
      <c r="HC127" s="122"/>
      <c r="HD127" s="122"/>
      <c r="HE127" s="122"/>
      <c r="HF127" s="122"/>
      <c r="HG127" s="122"/>
      <c r="HH127" s="122"/>
      <c r="HI127" s="122"/>
      <c r="HJ127" s="122"/>
      <c r="HK127" s="122"/>
      <c r="HL127" s="122"/>
      <c r="HM127" s="122"/>
      <c r="HN127" s="122"/>
      <c r="HO127" s="122"/>
      <c r="HP127" s="122"/>
      <c r="HQ127" s="122"/>
      <c r="HR127" s="122"/>
      <c r="HS127" s="122"/>
      <c r="HT127" s="122"/>
      <c r="HU127" s="122"/>
      <c r="HV127" s="122"/>
      <c r="HW127" s="122"/>
      <c r="HX127" s="122"/>
      <c r="HY127" s="122"/>
      <c r="HZ127" s="122"/>
      <c r="IA127" s="122"/>
      <c r="IB127" s="122"/>
      <c r="IC127" s="122"/>
      <c r="ID127" s="122"/>
      <c r="IE127" s="122"/>
      <c r="IF127" s="122"/>
      <c r="IG127" s="122"/>
      <c r="IH127" s="122"/>
      <c r="II127" s="122"/>
      <c r="IJ127" s="122"/>
      <c r="IK127" s="122"/>
      <c r="IL127" s="122"/>
      <c r="IM127" s="122"/>
      <c r="IN127" s="122"/>
      <c r="IO127" s="122"/>
      <c r="IP127" s="122"/>
      <c r="IQ127" s="122"/>
      <c r="IR127" s="122"/>
      <c r="IS127" s="122"/>
      <c r="IT127" s="122"/>
      <c r="IU127" s="122"/>
      <c r="IV127" s="122"/>
      <c r="IW127" s="122"/>
      <c r="IX127" s="122"/>
      <c r="IY127" s="122"/>
      <c r="IZ127" s="122"/>
      <c r="JA127" s="122"/>
      <c r="JB127" s="122"/>
      <c r="JC127" s="122"/>
      <c r="JD127" s="122"/>
      <c r="JE127" s="122"/>
      <c r="JF127" s="122"/>
      <c r="JG127" s="122"/>
      <c r="JH127" s="122"/>
      <c r="JI127" s="119">
        <f t="shared" si="1"/>
        <v>1791000</v>
      </c>
      <c r="JJ127" s="379">
        <v>5930</v>
      </c>
      <c r="JK127" s="122"/>
      <c r="JL127" s="125"/>
      <c r="JM127" s="345"/>
      <c r="JN127" s="125"/>
      <c r="JO127" s="125"/>
      <c r="JP127" s="125"/>
    </row>
    <row r="128" spans="1:276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122"/>
      <c r="BS128" s="122"/>
      <c r="BT128" s="122"/>
      <c r="BU128" s="122"/>
      <c r="BV128" s="122"/>
      <c r="BW128" s="122"/>
      <c r="BX128" s="122"/>
      <c r="BY128" s="122"/>
      <c r="BZ128" s="122"/>
      <c r="CA128" s="122"/>
      <c r="CB128" s="122"/>
      <c r="CC128" s="122"/>
      <c r="CD128" s="122"/>
      <c r="CE128" s="122"/>
      <c r="CF128" s="122"/>
      <c r="CG128" s="122"/>
      <c r="CH128" s="122"/>
      <c r="CI128" s="122"/>
      <c r="CJ128" s="122"/>
      <c r="CK128" s="122"/>
      <c r="CL128" s="122"/>
      <c r="CM128" s="122"/>
      <c r="CN128" s="122"/>
      <c r="CO128" s="122"/>
      <c r="CP128" s="122"/>
      <c r="CQ128" s="122"/>
      <c r="CR128" s="122"/>
      <c r="CS128" s="122"/>
      <c r="CT128" s="122"/>
      <c r="CU128" s="122"/>
      <c r="CV128" s="122"/>
      <c r="CW128" s="122"/>
      <c r="CX128" s="122"/>
      <c r="CY128" s="122"/>
      <c r="CZ128" s="122"/>
      <c r="DA128" s="122"/>
      <c r="DB128" s="122"/>
      <c r="DC128" s="122"/>
      <c r="DD128" s="122"/>
      <c r="DE128" s="122"/>
      <c r="DF128" s="122"/>
      <c r="DG128" s="122"/>
      <c r="DH128" s="122"/>
      <c r="DI128" s="122"/>
      <c r="DJ128" s="122"/>
      <c r="DK128" s="122"/>
      <c r="DL128" s="122"/>
      <c r="DM128" s="122"/>
      <c r="DN128" s="122"/>
      <c r="DO128" s="122"/>
      <c r="DP128" s="122"/>
      <c r="DQ128" s="122"/>
      <c r="DR128" s="122"/>
      <c r="DS128" s="122"/>
      <c r="DT128" s="122"/>
      <c r="DU128" s="122"/>
      <c r="DV128" s="122"/>
      <c r="DW128" s="122"/>
      <c r="DX128" s="122"/>
      <c r="DY128" s="122"/>
      <c r="DZ128" s="122"/>
      <c r="EA128" s="122"/>
      <c r="EB128" s="122"/>
      <c r="EC128" s="122"/>
      <c r="ED128" s="122"/>
      <c r="EE128" s="122"/>
      <c r="EF128" s="122"/>
      <c r="EG128" s="122"/>
      <c r="EH128" s="122"/>
      <c r="EI128" s="122"/>
      <c r="EJ128" s="122"/>
      <c r="EK128" s="122"/>
      <c r="EL128" s="122"/>
      <c r="EM128" s="122"/>
      <c r="EN128" s="122"/>
      <c r="EO128" s="122"/>
      <c r="EP128" s="122"/>
      <c r="EQ128" s="122"/>
      <c r="ER128" s="122"/>
      <c r="ES128" s="122"/>
      <c r="ET128" s="122"/>
      <c r="EU128" s="122"/>
      <c r="EV128" s="122"/>
      <c r="EW128" s="122"/>
      <c r="EX128" s="122"/>
      <c r="EY128" s="122"/>
      <c r="EZ128" s="122"/>
      <c r="FA128" s="122"/>
      <c r="FB128" s="122"/>
      <c r="FC128" s="122"/>
      <c r="FD128" s="122"/>
      <c r="FE128" s="122"/>
      <c r="FF128" s="122"/>
      <c r="FG128" s="122"/>
      <c r="FH128" s="122"/>
      <c r="FI128" s="122"/>
      <c r="FJ128" s="122"/>
      <c r="FK128" s="122"/>
      <c r="FL128" s="122"/>
      <c r="FM128" s="122"/>
      <c r="FN128" s="122"/>
      <c r="FO128" s="122"/>
      <c r="FP128" s="122"/>
      <c r="FQ128" s="122"/>
      <c r="FR128" s="122"/>
      <c r="FS128" s="122"/>
      <c r="FT128" s="122"/>
      <c r="FU128" s="122"/>
      <c r="FV128" s="122"/>
      <c r="FW128" s="122"/>
      <c r="FX128" s="122"/>
      <c r="FY128" s="122"/>
      <c r="FZ128" s="122"/>
      <c r="GA128" s="122"/>
      <c r="GB128" s="122"/>
      <c r="GC128" s="122"/>
      <c r="GD128" s="122"/>
      <c r="GE128" s="122"/>
      <c r="GF128" s="122"/>
      <c r="GG128" s="122"/>
      <c r="GH128" s="122"/>
      <c r="GI128" s="122"/>
      <c r="GJ128" s="122"/>
      <c r="GK128" s="122"/>
      <c r="GL128" s="122"/>
      <c r="GM128" s="122"/>
      <c r="GN128" s="122"/>
      <c r="GO128" s="122"/>
      <c r="GP128" s="122"/>
      <c r="GQ128" s="122"/>
      <c r="GR128" s="122">
        <v>708000</v>
      </c>
      <c r="GS128" s="122"/>
      <c r="GT128" s="122"/>
      <c r="GU128" s="122"/>
      <c r="GV128" s="122"/>
      <c r="GW128" s="122"/>
      <c r="GX128" s="122"/>
      <c r="GY128" s="122"/>
      <c r="GZ128" s="122"/>
      <c r="HA128" s="122"/>
      <c r="HB128" s="122"/>
      <c r="HC128" s="122"/>
      <c r="HD128" s="122"/>
      <c r="HE128" s="122"/>
      <c r="HF128" s="122"/>
      <c r="HG128" s="122"/>
      <c r="HH128" s="122"/>
      <c r="HI128" s="122"/>
      <c r="HJ128" s="122"/>
      <c r="HK128" s="122"/>
      <c r="HL128" s="122"/>
      <c r="HM128" s="122"/>
      <c r="HN128" s="122"/>
      <c r="HO128" s="122"/>
      <c r="HP128" s="122"/>
      <c r="HQ128" s="122"/>
      <c r="HR128" s="122"/>
      <c r="HS128" s="122"/>
      <c r="HT128" s="122"/>
      <c r="HU128" s="122"/>
      <c r="HV128" s="122"/>
      <c r="HW128" s="122"/>
      <c r="HX128" s="122"/>
      <c r="HY128" s="122"/>
      <c r="HZ128" s="122"/>
      <c r="IA128" s="122"/>
      <c r="IB128" s="122"/>
      <c r="IC128" s="122"/>
      <c r="ID128" s="122"/>
      <c r="IE128" s="122"/>
      <c r="IF128" s="122"/>
      <c r="IG128" s="122"/>
      <c r="IH128" s="122"/>
      <c r="II128" s="122"/>
      <c r="IJ128" s="122"/>
      <c r="IK128" s="122"/>
      <c r="IL128" s="122"/>
      <c r="IM128" s="122"/>
      <c r="IN128" s="122"/>
      <c r="IO128" s="122"/>
      <c r="IP128" s="122"/>
      <c r="IQ128" s="122"/>
      <c r="IR128" s="122"/>
      <c r="IS128" s="122"/>
      <c r="IT128" s="122"/>
      <c r="IU128" s="122"/>
      <c r="IV128" s="122"/>
      <c r="IW128" s="122"/>
      <c r="IX128" s="122"/>
      <c r="IY128" s="122"/>
      <c r="IZ128" s="122"/>
      <c r="JA128" s="122"/>
      <c r="JB128" s="122"/>
      <c r="JC128" s="122"/>
      <c r="JD128" s="122"/>
      <c r="JE128" s="122"/>
      <c r="JF128" s="122"/>
      <c r="JG128" s="122"/>
      <c r="JH128" s="122"/>
      <c r="JI128" s="119">
        <f t="shared" si="1"/>
        <v>708000</v>
      </c>
      <c r="JJ128" s="379">
        <v>5934</v>
      </c>
      <c r="JK128" s="122"/>
      <c r="JL128" s="125"/>
      <c r="JM128" s="345"/>
      <c r="JN128" s="125"/>
      <c r="JO128" s="125"/>
      <c r="JP128" s="125"/>
    </row>
    <row r="129" spans="1:276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122"/>
      <c r="BS129" s="122"/>
      <c r="BT129" s="122"/>
      <c r="BU129" s="122"/>
      <c r="BV129" s="122"/>
      <c r="BW129" s="122"/>
      <c r="BX129" s="122"/>
      <c r="BY129" s="122"/>
      <c r="BZ129" s="122"/>
      <c r="CA129" s="122"/>
      <c r="CB129" s="122"/>
      <c r="CC129" s="122"/>
      <c r="CD129" s="122"/>
      <c r="CE129" s="122"/>
      <c r="CF129" s="122"/>
      <c r="CG129" s="122"/>
      <c r="CH129" s="122"/>
      <c r="CI129" s="122"/>
      <c r="CJ129" s="122"/>
      <c r="CK129" s="122"/>
      <c r="CL129" s="122"/>
      <c r="CM129" s="122"/>
      <c r="CN129" s="122"/>
      <c r="CO129" s="122"/>
      <c r="CP129" s="122"/>
      <c r="CQ129" s="122"/>
      <c r="CR129" s="122"/>
      <c r="CS129" s="122"/>
      <c r="CT129" s="122"/>
      <c r="CU129" s="122"/>
      <c r="CV129" s="122"/>
      <c r="CW129" s="122"/>
      <c r="CX129" s="122"/>
      <c r="CY129" s="122"/>
      <c r="CZ129" s="122"/>
      <c r="DA129" s="122"/>
      <c r="DB129" s="122"/>
      <c r="DC129" s="122"/>
      <c r="DD129" s="122"/>
      <c r="DE129" s="122"/>
      <c r="DF129" s="122"/>
      <c r="DG129" s="122"/>
      <c r="DH129" s="122"/>
      <c r="DI129" s="122"/>
      <c r="DJ129" s="122"/>
      <c r="DK129" s="122"/>
      <c r="DL129" s="122"/>
      <c r="DM129" s="122"/>
      <c r="DN129" s="122"/>
      <c r="DO129" s="122"/>
      <c r="DP129" s="122"/>
      <c r="DQ129" s="122"/>
      <c r="DR129" s="122"/>
      <c r="DS129" s="122"/>
      <c r="DT129" s="122"/>
      <c r="DU129" s="122"/>
      <c r="DV129" s="122"/>
      <c r="DW129" s="122"/>
      <c r="DX129" s="122"/>
      <c r="DY129" s="122"/>
      <c r="DZ129" s="122"/>
      <c r="EA129" s="122"/>
      <c r="EB129" s="122"/>
      <c r="EC129" s="122"/>
      <c r="ED129" s="122"/>
      <c r="EE129" s="122"/>
      <c r="EF129" s="122"/>
      <c r="EG129" s="122"/>
      <c r="EH129" s="122"/>
      <c r="EI129" s="122"/>
      <c r="EJ129" s="122"/>
      <c r="EK129" s="122"/>
      <c r="EL129" s="122"/>
      <c r="EM129" s="122"/>
      <c r="EN129" s="122"/>
      <c r="EO129" s="122"/>
      <c r="EP129" s="122"/>
      <c r="EQ129" s="122"/>
      <c r="ER129" s="122"/>
      <c r="ES129" s="122"/>
      <c r="ET129" s="122"/>
      <c r="EU129" s="122"/>
      <c r="EV129" s="122"/>
      <c r="EW129" s="122"/>
      <c r="EX129" s="122"/>
      <c r="EY129" s="122"/>
      <c r="EZ129" s="122"/>
      <c r="FA129" s="122"/>
      <c r="FB129" s="122"/>
      <c r="FC129" s="122"/>
      <c r="FD129" s="122"/>
      <c r="FE129" s="122"/>
      <c r="FF129" s="122"/>
      <c r="FG129" s="122"/>
      <c r="FH129" s="122"/>
      <c r="FI129" s="122"/>
      <c r="FJ129" s="122"/>
      <c r="FK129" s="122"/>
      <c r="FL129" s="122"/>
      <c r="FM129" s="122"/>
      <c r="FN129" s="122"/>
      <c r="FO129" s="122"/>
      <c r="FP129" s="122"/>
      <c r="FQ129" s="122"/>
      <c r="FR129" s="122"/>
      <c r="FS129" s="122"/>
      <c r="FT129" s="122"/>
      <c r="FU129" s="122"/>
      <c r="FV129" s="122"/>
      <c r="FW129" s="122"/>
      <c r="FX129" s="122"/>
      <c r="FY129" s="122"/>
      <c r="FZ129" s="122"/>
      <c r="GA129" s="122"/>
      <c r="GB129" s="122"/>
      <c r="GC129" s="122"/>
      <c r="GD129" s="122"/>
      <c r="GE129" s="122"/>
      <c r="GF129" s="122"/>
      <c r="GG129" s="122"/>
      <c r="GH129" s="122"/>
      <c r="GI129" s="122"/>
      <c r="GJ129" s="122"/>
      <c r="GK129" s="122"/>
      <c r="GL129" s="122"/>
      <c r="GM129" s="122"/>
      <c r="GN129" s="122"/>
      <c r="GO129" s="122"/>
      <c r="GP129" s="122"/>
      <c r="GQ129" s="122"/>
      <c r="GR129" s="122">
        <v>413000</v>
      </c>
      <c r="GS129" s="122"/>
      <c r="GT129" s="122"/>
      <c r="GU129" s="122"/>
      <c r="GV129" s="122"/>
      <c r="GW129" s="122"/>
      <c r="GX129" s="122"/>
      <c r="GY129" s="122"/>
      <c r="GZ129" s="122"/>
      <c r="HA129" s="122"/>
      <c r="HB129" s="122"/>
      <c r="HC129" s="122"/>
      <c r="HD129" s="122"/>
      <c r="HE129" s="122"/>
      <c r="HF129" s="122"/>
      <c r="HG129" s="122"/>
      <c r="HH129" s="122"/>
      <c r="HI129" s="122"/>
      <c r="HJ129" s="122"/>
      <c r="HK129" s="122"/>
      <c r="HL129" s="122"/>
      <c r="HM129" s="122"/>
      <c r="HN129" s="122"/>
      <c r="HO129" s="122"/>
      <c r="HP129" s="122"/>
      <c r="HQ129" s="122"/>
      <c r="HR129" s="122"/>
      <c r="HS129" s="122"/>
      <c r="HT129" s="122"/>
      <c r="HU129" s="122"/>
      <c r="HV129" s="122"/>
      <c r="HW129" s="122"/>
      <c r="HX129" s="122"/>
      <c r="HY129" s="122"/>
      <c r="HZ129" s="122"/>
      <c r="IA129" s="122"/>
      <c r="IB129" s="122"/>
      <c r="IC129" s="122"/>
      <c r="ID129" s="122"/>
      <c r="IE129" s="122"/>
      <c r="IF129" s="122"/>
      <c r="IG129" s="122"/>
      <c r="IH129" s="122"/>
      <c r="II129" s="122"/>
      <c r="IJ129" s="122"/>
      <c r="IK129" s="122"/>
      <c r="IL129" s="122"/>
      <c r="IM129" s="122"/>
      <c r="IN129" s="122"/>
      <c r="IO129" s="122"/>
      <c r="IP129" s="122"/>
      <c r="IQ129" s="122"/>
      <c r="IR129" s="122"/>
      <c r="IS129" s="122"/>
      <c r="IT129" s="122"/>
      <c r="IU129" s="122"/>
      <c r="IV129" s="122"/>
      <c r="IW129" s="122"/>
      <c r="IX129" s="122"/>
      <c r="IY129" s="122"/>
      <c r="IZ129" s="122"/>
      <c r="JA129" s="122"/>
      <c r="JB129" s="122"/>
      <c r="JC129" s="122"/>
      <c r="JD129" s="122"/>
      <c r="JE129" s="122"/>
      <c r="JF129" s="122"/>
      <c r="JG129" s="122"/>
      <c r="JH129" s="122"/>
      <c r="JI129" s="119">
        <f t="shared" si="1"/>
        <v>413000</v>
      </c>
      <c r="JJ129" s="379">
        <v>5938</v>
      </c>
      <c r="JK129" s="122"/>
      <c r="JL129" s="125"/>
      <c r="JM129" s="345"/>
      <c r="JN129" s="125"/>
      <c r="JO129" s="125"/>
      <c r="JP129" s="125"/>
    </row>
    <row r="130" spans="1:276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22"/>
      <c r="BS130" s="122"/>
      <c r="BT130" s="122"/>
      <c r="BU130" s="122"/>
      <c r="BV130" s="122"/>
      <c r="BW130" s="122"/>
      <c r="BX130" s="122"/>
      <c r="BY130" s="122"/>
      <c r="BZ130" s="122"/>
      <c r="CA130" s="122"/>
      <c r="CB130" s="122"/>
      <c r="CC130" s="122"/>
      <c r="CD130" s="122"/>
      <c r="CE130" s="122"/>
      <c r="CF130" s="122"/>
      <c r="CG130" s="122"/>
      <c r="CH130" s="122"/>
      <c r="CI130" s="122"/>
      <c r="CJ130" s="122"/>
      <c r="CK130" s="122"/>
      <c r="CL130" s="122"/>
      <c r="CM130" s="122"/>
      <c r="CN130" s="122"/>
      <c r="CO130" s="122"/>
      <c r="CP130" s="122"/>
      <c r="CQ130" s="122"/>
      <c r="CR130" s="122"/>
      <c r="CS130" s="122"/>
      <c r="CT130" s="122"/>
      <c r="CU130" s="122"/>
      <c r="CV130" s="122"/>
      <c r="CW130" s="122"/>
      <c r="CX130" s="122"/>
      <c r="CY130" s="122"/>
      <c r="CZ130" s="122"/>
      <c r="DA130" s="122"/>
      <c r="DB130" s="122"/>
      <c r="DC130" s="122"/>
      <c r="DD130" s="122"/>
      <c r="DE130" s="122"/>
      <c r="DF130" s="122"/>
      <c r="DG130" s="122"/>
      <c r="DH130" s="122"/>
      <c r="DI130" s="122"/>
      <c r="DJ130" s="122"/>
      <c r="DK130" s="122"/>
      <c r="DL130" s="122"/>
      <c r="DM130" s="122"/>
      <c r="DN130" s="122"/>
      <c r="DO130" s="122"/>
      <c r="DP130" s="122"/>
      <c r="DQ130" s="122"/>
      <c r="DR130" s="122"/>
      <c r="DS130" s="122"/>
      <c r="DT130" s="122"/>
      <c r="DU130" s="122"/>
      <c r="DV130" s="122"/>
      <c r="DW130" s="122"/>
      <c r="DX130" s="122"/>
      <c r="DY130" s="122"/>
      <c r="DZ130" s="122"/>
      <c r="EA130" s="122"/>
      <c r="EB130" s="122"/>
      <c r="EC130" s="122"/>
      <c r="ED130" s="122"/>
      <c r="EE130" s="122"/>
      <c r="EF130" s="122"/>
      <c r="EG130" s="122"/>
      <c r="EH130" s="122"/>
      <c r="EI130" s="122"/>
      <c r="EJ130" s="122"/>
      <c r="EK130" s="122"/>
      <c r="EL130" s="122"/>
      <c r="EM130" s="122"/>
      <c r="EN130" s="122"/>
      <c r="EO130" s="122"/>
      <c r="EP130" s="122"/>
      <c r="EQ130" s="122"/>
      <c r="ER130" s="122"/>
      <c r="ES130" s="122"/>
      <c r="ET130" s="122"/>
      <c r="EU130" s="122"/>
      <c r="EV130" s="122"/>
      <c r="EW130" s="122"/>
      <c r="EX130" s="122"/>
      <c r="EY130" s="122"/>
      <c r="EZ130" s="122"/>
      <c r="FA130" s="122"/>
      <c r="FB130" s="122"/>
      <c r="FC130" s="122"/>
      <c r="FD130" s="122"/>
      <c r="FE130" s="122"/>
      <c r="FF130" s="122"/>
      <c r="FG130" s="122"/>
      <c r="FH130" s="122"/>
      <c r="FI130" s="122"/>
      <c r="FJ130" s="122"/>
      <c r="FK130" s="122"/>
      <c r="FL130" s="122"/>
      <c r="FM130" s="122"/>
      <c r="FN130" s="122"/>
      <c r="FO130" s="122"/>
      <c r="FP130" s="122"/>
      <c r="FQ130" s="122"/>
      <c r="FR130" s="122"/>
      <c r="FS130" s="122"/>
      <c r="FT130" s="122">
        <v>1215695</v>
      </c>
      <c r="FU130" s="122"/>
      <c r="FV130" s="122"/>
      <c r="FW130" s="122"/>
      <c r="FX130" s="122"/>
      <c r="FY130" s="122"/>
      <c r="FZ130" s="122"/>
      <c r="GA130" s="122"/>
      <c r="GB130" s="122"/>
      <c r="GC130" s="122"/>
      <c r="GD130" s="122"/>
      <c r="GE130" s="122"/>
      <c r="GF130" s="122"/>
      <c r="GG130" s="122"/>
      <c r="GH130" s="122"/>
      <c r="GI130" s="122"/>
      <c r="GJ130" s="122"/>
      <c r="GK130" s="122"/>
      <c r="GL130" s="122"/>
      <c r="GM130" s="122"/>
      <c r="GN130" s="122"/>
      <c r="GO130" s="122"/>
      <c r="GP130" s="122"/>
      <c r="GQ130" s="122"/>
      <c r="GR130" s="122"/>
      <c r="GS130" s="122"/>
      <c r="GT130" s="122"/>
      <c r="GU130" s="122"/>
      <c r="GV130" s="122"/>
      <c r="GW130" s="122"/>
      <c r="GX130" s="122"/>
      <c r="GY130" s="122"/>
      <c r="GZ130" s="122"/>
      <c r="HA130" s="122"/>
      <c r="HB130" s="122"/>
      <c r="HC130" s="122"/>
      <c r="HD130" s="122"/>
      <c r="HE130" s="122"/>
      <c r="HF130" s="122"/>
      <c r="HG130" s="122"/>
      <c r="HH130" s="122"/>
      <c r="HI130" s="122"/>
      <c r="HJ130" s="122"/>
      <c r="HK130" s="122"/>
      <c r="HL130" s="122"/>
      <c r="HM130" s="122"/>
      <c r="HN130" s="122"/>
      <c r="HO130" s="122"/>
      <c r="HP130" s="122"/>
      <c r="HQ130" s="122"/>
      <c r="HR130" s="122"/>
      <c r="HS130" s="122"/>
      <c r="HT130" s="122"/>
      <c r="HU130" s="122"/>
      <c r="HV130" s="122"/>
      <c r="HW130" s="122"/>
      <c r="HX130" s="122"/>
      <c r="HY130" s="122"/>
      <c r="HZ130" s="122"/>
      <c r="IA130" s="122"/>
      <c r="IB130" s="122"/>
      <c r="IC130" s="122"/>
      <c r="ID130" s="122"/>
      <c r="IE130" s="122"/>
      <c r="IF130" s="122"/>
      <c r="IG130" s="122"/>
      <c r="IH130" s="122"/>
      <c r="II130" s="122"/>
      <c r="IJ130" s="122"/>
      <c r="IK130" s="122"/>
      <c r="IL130" s="122"/>
      <c r="IM130" s="122"/>
      <c r="IN130" s="122"/>
      <c r="IO130" s="122"/>
      <c r="IP130" s="122"/>
      <c r="IQ130" s="122"/>
      <c r="IR130" s="122"/>
      <c r="IS130" s="122"/>
      <c r="IT130" s="122"/>
      <c r="IU130" s="122"/>
      <c r="IV130" s="122"/>
      <c r="IW130" s="122"/>
      <c r="IX130" s="122"/>
      <c r="IY130" s="122"/>
      <c r="IZ130" s="122"/>
      <c r="JA130" s="122"/>
      <c r="JB130" s="122"/>
      <c r="JC130" s="122"/>
      <c r="JD130" s="122"/>
      <c r="JE130" s="122"/>
      <c r="JF130" s="122"/>
      <c r="JG130" s="122"/>
      <c r="JH130" s="122"/>
      <c r="JI130" s="119">
        <f t="shared" si="1"/>
        <v>1215695</v>
      </c>
      <c r="JJ130" s="379">
        <v>5942</v>
      </c>
      <c r="JK130" s="122"/>
      <c r="JL130" s="125"/>
      <c r="JM130" s="345"/>
      <c r="JN130" s="125"/>
      <c r="JO130" s="125"/>
      <c r="JP130" s="125"/>
    </row>
    <row r="131" spans="1:276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/>
      <c r="AT131" s="122"/>
      <c r="AU131" s="122"/>
      <c r="AV131" s="122"/>
      <c r="AW131" s="122"/>
      <c r="AX131" s="122"/>
      <c r="AY131" s="122"/>
      <c r="AZ131" s="122"/>
      <c r="BA131" s="122"/>
      <c r="BB131" s="122"/>
      <c r="BC131" s="122"/>
      <c r="BD131" s="122"/>
      <c r="BE131" s="122"/>
      <c r="BF131" s="122"/>
      <c r="BG131" s="122"/>
      <c r="BH131" s="122"/>
      <c r="BI131" s="122"/>
      <c r="BJ131" s="122"/>
      <c r="BK131" s="122"/>
      <c r="BL131" s="122"/>
      <c r="BM131" s="122"/>
      <c r="BN131" s="122"/>
      <c r="BO131" s="122"/>
      <c r="BP131" s="122"/>
      <c r="BQ131" s="122"/>
      <c r="BR131" s="122"/>
      <c r="BS131" s="122"/>
      <c r="BT131" s="122"/>
      <c r="BU131" s="122"/>
      <c r="BV131" s="122"/>
      <c r="BW131" s="122"/>
      <c r="BX131" s="122"/>
      <c r="BY131" s="122"/>
      <c r="BZ131" s="122"/>
      <c r="CA131" s="122"/>
      <c r="CB131" s="122"/>
      <c r="CC131" s="122"/>
      <c r="CD131" s="122"/>
      <c r="CE131" s="122"/>
      <c r="CF131" s="122"/>
      <c r="CG131" s="122"/>
      <c r="CH131" s="122"/>
      <c r="CI131" s="122"/>
      <c r="CJ131" s="122"/>
      <c r="CK131" s="122"/>
      <c r="CL131" s="122"/>
      <c r="CM131" s="122"/>
      <c r="CN131" s="122"/>
      <c r="CO131" s="122"/>
      <c r="CP131" s="122"/>
      <c r="CQ131" s="122"/>
      <c r="CR131" s="122"/>
      <c r="CS131" s="122"/>
      <c r="CT131" s="122"/>
      <c r="CU131" s="122"/>
      <c r="CV131" s="122"/>
      <c r="CW131" s="122"/>
      <c r="CX131" s="122"/>
      <c r="CY131" s="122"/>
      <c r="CZ131" s="122"/>
      <c r="DA131" s="122"/>
      <c r="DB131" s="122"/>
      <c r="DC131" s="122"/>
      <c r="DD131" s="122"/>
      <c r="DE131" s="122"/>
      <c r="DF131" s="122"/>
      <c r="DG131" s="122"/>
      <c r="DH131" s="122"/>
      <c r="DI131" s="122"/>
      <c r="DJ131" s="122"/>
      <c r="DK131" s="122"/>
      <c r="DL131" s="122"/>
      <c r="DM131" s="122"/>
      <c r="DN131" s="122"/>
      <c r="DO131" s="122"/>
      <c r="DP131" s="122"/>
      <c r="DQ131" s="122"/>
      <c r="DR131" s="122"/>
      <c r="DS131" s="122"/>
      <c r="DT131" s="122"/>
      <c r="DU131" s="122"/>
      <c r="DV131" s="122"/>
      <c r="DW131" s="122"/>
      <c r="DX131" s="122"/>
      <c r="DY131" s="122"/>
      <c r="DZ131" s="122"/>
      <c r="EA131" s="122"/>
      <c r="EB131" s="122"/>
      <c r="EC131" s="122"/>
      <c r="ED131" s="122"/>
      <c r="EE131" s="122"/>
      <c r="EF131" s="122"/>
      <c r="EG131" s="122"/>
      <c r="EH131" s="122"/>
      <c r="EI131" s="122"/>
      <c r="EJ131" s="122"/>
      <c r="EK131" s="122"/>
      <c r="EL131" s="122"/>
      <c r="EM131" s="122"/>
      <c r="EN131" s="122"/>
      <c r="EO131" s="122"/>
      <c r="EP131" s="122"/>
      <c r="EQ131" s="122"/>
      <c r="ER131" s="122"/>
      <c r="ES131" s="122"/>
      <c r="ET131" s="122"/>
      <c r="EU131" s="122"/>
      <c r="EV131" s="122"/>
      <c r="EW131" s="122"/>
      <c r="EX131" s="122"/>
      <c r="EY131" s="122"/>
      <c r="EZ131" s="122"/>
      <c r="FA131" s="122"/>
      <c r="FB131" s="122"/>
      <c r="FC131" s="122"/>
      <c r="FD131" s="122"/>
      <c r="FE131" s="122"/>
      <c r="FF131" s="122"/>
      <c r="FG131" s="122"/>
      <c r="FH131" s="122"/>
      <c r="FI131" s="122"/>
      <c r="FJ131" s="122"/>
      <c r="FK131" s="122"/>
      <c r="FL131" s="122"/>
      <c r="FM131" s="122"/>
      <c r="FN131" s="122"/>
      <c r="FO131" s="122"/>
      <c r="FP131" s="122"/>
      <c r="FQ131" s="122"/>
      <c r="FR131" s="122"/>
      <c r="FS131" s="122"/>
      <c r="FT131" s="122">
        <v>257150</v>
      </c>
      <c r="FU131" s="122"/>
      <c r="FV131" s="122"/>
      <c r="FW131" s="122"/>
      <c r="FX131" s="122"/>
      <c r="FY131" s="122"/>
      <c r="FZ131" s="122"/>
      <c r="GA131" s="122"/>
      <c r="GB131" s="122"/>
      <c r="GC131" s="122"/>
      <c r="GD131" s="122"/>
      <c r="GE131" s="122"/>
      <c r="GF131" s="122"/>
      <c r="GG131" s="122"/>
      <c r="GH131" s="122"/>
      <c r="GI131" s="122"/>
      <c r="GJ131" s="122"/>
      <c r="GK131" s="122"/>
      <c r="GL131" s="122"/>
      <c r="GM131" s="122"/>
      <c r="GN131" s="122"/>
      <c r="GO131" s="122"/>
      <c r="GP131" s="122"/>
      <c r="GQ131" s="122"/>
      <c r="GR131" s="122"/>
      <c r="GS131" s="122"/>
      <c r="GT131" s="122"/>
      <c r="GU131" s="122"/>
      <c r="GV131" s="122"/>
      <c r="GW131" s="122"/>
      <c r="GX131" s="122"/>
      <c r="GY131" s="122"/>
      <c r="GZ131" s="122"/>
      <c r="HA131" s="122"/>
      <c r="HB131" s="122"/>
      <c r="HC131" s="122"/>
      <c r="HD131" s="122"/>
      <c r="HE131" s="122"/>
      <c r="HF131" s="122"/>
      <c r="HG131" s="122"/>
      <c r="HH131" s="122"/>
      <c r="HI131" s="122"/>
      <c r="HJ131" s="122"/>
      <c r="HK131" s="122"/>
      <c r="HL131" s="122"/>
      <c r="HM131" s="122"/>
      <c r="HN131" s="122"/>
      <c r="HO131" s="122"/>
      <c r="HP131" s="122"/>
      <c r="HQ131" s="122"/>
      <c r="HR131" s="122"/>
      <c r="HS131" s="122"/>
      <c r="HT131" s="122"/>
      <c r="HU131" s="122"/>
      <c r="HV131" s="122"/>
      <c r="HW131" s="122"/>
      <c r="HX131" s="122"/>
      <c r="HY131" s="122"/>
      <c r="HZ131" s="122"/>
      <c r="IA131" s="122"/>
      <c r="IB131" s="122"/>
      <c r="IC131" s="122"/>
      <c r="ID131" s="122"/>
      <c r="IE131" s="122"/>
      <c r="IF131" s="122"/>
      <c r="IG131" s="122"/>
      <c r="IH131" s="122"/>
      <c r="II131" s="122"/>
      <c r="IJ131" s="122"/>
      <c r="IK131" s="122"/>
      <c r="IL131" s="122"/>
      <c r="IM131" s="122"/>
      <c r="IN131" s="122"/>
      <c r="IO131" s="122"/>
      <c r="IP131" s="122"/>
      <c r="IQ131" s="122"/>
      <c r="IR131" s="122"/>
      <c r="IS131" s="122"/>
      <c r="IT131" s="122"/>
      <c r="IU131" s="122"/>
      <c r="IV131" s="122"/>
      <c r="IW131" s="122"/>
      <c r="IX131" s="122"/>
      <c r="IY131" s="122"/>
      <c r="IZ131" s="122"/>
      <c r="JA131" s="122"/>
      <c r="JB131" s="122"/>
      <c r="JC131" s="122"/>
      <c r="JD131" s="122"/>
      <c r="JE131" s="122"/>
      <c r="JF131" s="122"/>
      <c r="JG131" s="122"/>
      <c r="JH131" s="122"/>
      <c r="JI131" s="119">
        <f t="shared" ref="JI131:JI192" si="2">SUM(A131:JH131)</f>
        <v>257150</v>
      </c>
      <c r="JJ131" s="379">
        <v>5943</v>
      </c>
      <c r="JK131" s="122"/>
      <c r="JL131" s="125"/>
      <c r="JM131" s="345"/>
      <c r="JN131" s="125"/>
      <c r="JO131" s="125"/>
      <c r="JP131" s="125"/>
    </row>
    <row r="132" spans="1:276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22"/>
      <c r="BQ132" s="122"/>
      <c r="BR132" s="122"/>
      <c r="BS132" s="122"/>
      <c r="BT132" s="122"/>
      <c r="BU132" s="122"/>
      <c r="BV132" s="122"/>
      <c r="BW132" s="122"/>
      <c r="BX132" s="122"/>
      <c r="BY132" s="122"/>
      <c r="BZ132" s="122"/>
      <c r="CA132" s="122"/>
      <c r="CB132" s="122"/>
      <c r="CC132" s="122"/>
      <c r="CD132" s="122"/>
      <c r="CE132" s="122"/>
      <c r="CF132" s="122"/>
      <c r="CG132" s="122"/>
      <c r="CH132" s="122"/>
      <c r="CI132" s="122"/>
      <c r="CJ132" s="122"/>
      <c r="CK132" s="122"/>
      <c r="CL132" s="122"/>
      <c r="CM132" s="122"/>
      <c r="CN132" s="122"/>
      <c r="CO132" s="122"/>
      <c r="CP132" s="122"/>
      <c r="CQ132" s="122"/>
      <c r="CR132" s="122"/>
      <c r="CS132" s="122"/>
      <c r="CT132" s="122"/>
      <c r="CU132" s="122"/>
      <c r="CV132" s="122"/>
      <c r="CW132" s="122"/>
      <c r="CX132" s="122"/>
      <c r="CY132" s="122"/>
      <c r="CZ132" s="122"/>
      <c r="DA132" s="122"/>
      <c r="DB132" s="122"/>
      <c r="DC132" s="122"/>
      <c r="DD132" s="122"/>
      <c r="DE132" s="122"/>
      <c r="DF132" s="122"/>
      <c r="DG132" s="122"/>
      <c r="DH132" s="122"/>
      <c r="DI132" s="122"/>
      <c r="DJ132" s="122"/>
      <c r="DK132" s="122"/>
      <c r="DL132" s="122"/>
      <c r="DM132" s="122"/>
      <c r="DN132" s="122"/>
      <c r="DO132" s="122"/>
      <c r="DP132" s="122"/>
      <c r="DQ132" s="122"/>
      <c r="DR132" s="122"/>
      <c r="DS132" s="122"/>
      <c r="DT132" s="122"/>
      <c r="DU132" s="122"/>
      <c r="DV132" s="122"/>
      <c r="DW132" s="122"/>
      <c r="DX132" s="122"/>
      <c r="DY132" s="122"/>
      <c r="DZ132" s="122"/>
      <c r="EA132" s="122"/>
      <c r="EB132" s="122"/>
      <c r="EC132" s="122"/>
      <c r="ED132" s="122"/>
      <c r="EE132" s="122"/>
      <c r="EF132" s="122"/>
      <c r="EG132" s="122"/>
      <c r="EH132" s="122"/>
      <c r="EI132" s="122"/>
      <c r="EJ132" s="122"/>
      <c r="EK132" s="122"/>
      <c r="EL132" s="122"/>
      <c r="EM132" s="122"/>
      <c r="EN132" s="122"/>
      <c r="EO132" s="122"/>
      <c r="EP132" s="122"/>
      <c r="EQ132" s="122"/>
      <c r="ER132" s="122"/>
      <c r="ES132" s="122"/>
      <c r="ET132" s="122"/>
      <c r="EU132" s="122"/>
      <c r="EV132" s="122"/>
      <c r="EW132" s="122"/>
      <c r="EX132" s="122"/>
      <c r="EY132" s="122"/>
      <c r="EZ132" s="122"/>
      <c r="FA132" s="122"/>
      <c r="FB132" s="122"/>
      <c r="FC132" s="122"/>
      <c r="FD132" s="122"/>
      <c r="FE132" s="122"/>
      <c r="FF132" s="122"/>
      <c r="FG132" s="122"/>
      <c r="FH132" s="122"/>
      <c r="FI132" s="122"/>
      <c r="FJ132" s="122"/>
      <c r="FK132" s="122"/>
      <c r="FL132" s="122"/>
      <c r="FM132" s="122"/>
      <c r="FN132" s="122"/>
      <c r="FO132" s="122"/>
      <c r="FP132" s="122"/>
      <c r="FQ132" s="122"/>
      <c r="FR132" s="122"/>
      <c r="FS132" s="122"/>
      <c r="FT132" s="122">
        <v>525496.48</v>
      </c>
      <c r="FU132" s="122"/>
      <c r="FV132" s="122"/>
      <c r="FW132" s="122"/>
      <c r="FX132" s="122"/>
      <c r="FY132" s="122"/>
      <c r="FZ132" s="122"/>
      <c r="GA132" s="122"/>
      <c r="GB132" s="122"/>
      <c r="GC132" s="122"/>
      <c r="GD132" s="122"/>
      <c r="GE132" s="122"/>
      <c r="GF132" s="122"/>
      <c r="GG132" s="122"/>
      <c r="GH132" s="122"/>
      <c r="GI132" s="122"/>
      <c r="GJ132" s="122"/>
      <c r="GK132" s="122"/>
      <c r="GL132" s="122"/>
      <c r="GM132" s="122"/>
      <c r="GN132" s="122"/>
      <c r="GO132" s="122"/>
      <c r="GP132" s="122"/>
      <c r="GQ132" s="122"/>
      <c r="GR132" s="122"/>
      <c r="GS132" s="122"/>
      <c r="GT132" s="122"/>
      <c r="GU132" s="122"/>
      <c r="GV132" s="122"/>
      <c r="GW132" s="122"/>
      <c r="GX132" s="122"/>
      <c r="GY132" s="122"/>
      <c r="GZ132" s="122"/>
      <c r="HA132" s="122"/>
      <c r="HB132" s="122"/>
      <c r="HC132" s="122"/>
      <c r="HD132" s="122"/>
      <c r="HE132" s="122"/>
      <c r="HF132" s="122"/>
      <c r="HG132" s="122"/>
      <c r="HH132" s="122"/>
      <c r="HI132" s="122"/>
      <c r="HJ132" s="122"/>
      <c r="HK132" s="122"/>
      <c r="HL132" s="122"/>
      <c r="HM132" s="122"/>
      <c r="HN132" s="122"/>
      <c r="HO132" s="122"/>
      <c r="HP132" s="122"/>
      <c r="HQ132" s="122"/>
      <c r="HR132" s="122"/>
      <c r="HS132" s="122"/>
      <c r="HT132" s="122"/>
      <c r="HU132" s="122"/>
      <c r="HV132" s="122"/>
      <c r="HW132" s="122"/>
      <c r="HX132" s="122"/>
      <c r="HY132" s="122"/>
      <c r="HZ132" s="122"/>
      <c r="IA132" s="122"/>
      <c r="IB132" s="122"/>
      <c r="IC132" s="122"/>
      <c r="ID132" s="122"/>
      <c r="IE132" s="122"/>
      <c r="IF132" s="122"/>
      <c r="IG132" s="122"/>
      <c r="IH132" s="122"/>
      <c r="II132" s="122"/>
      <c r="IJ132" s="122"/>
      <c r="IK132" s="122"/>
      <c r="IL132" s="122"/>
      <c r="IM132" s="122"/>
      <c r="IN132" s="122"/>
      <c r="IO132" s="122"/>
      <c r="IP132" s="122"/>
      <c r="IQ132" s="122"/>
      <c r="IR132" s="122"/>
      <c r="IS132" s="122"/>
      <c r="IT132" s="122"/>
      <c r="IU132" s="122"/>
      <c r="IV132" s="122"/>
      <c r="IW132" s="122"/>
      <c r="IX132" s="122"/>
      <c r="IY132" s="122"/>
      <c r="IZ132" s="122"/>
      <c r="JA132" s="122"/>
      <c r="JB132" s="122"/>
      <c r="JC132" s="122"/>
      <c r="JD132" s="122"/>
      <c r="JE132" s="122"/>
      <c r="JF132" s="122"/>
      <c r="JG132" s="122"/>
      <c r="JH132" s="122"/>
      <c r="JI132" s="119">
        <f t="shared" si="2"/>
        <v>525496.48</v>
      </c>
      <c r="JJ132" s="379">
        <v>5947</v>
      </c>
      <c r="JK132" s="122"/>
      <c r="JL132" s="125"/>
      <c r="JM132" s="345"/>
      <c r="JN132" s="125"/>
      <c r="JO132" s="125"/>
      <c r="JP132" s="125"/>
    </row>
    <row r="133" spans="1:276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122"/>
      <c r="BR133" s="122"/>
      <c r="BS133" s="122"/>
      <c r="BT133" s="122"/>
      <c r="BU133" s="122"/>
      <c r="BV133" s="122"/>
      <c r="BW133" s="122"/>
      <c r="BX133" s="122"/>
      <c r="BY133" s="122"/>
      <c r="BZ133" s="122"/>
      <c r="CA133" s="122"/>
      <c r="CB133" s="122"/>
      <c r="CC133" s="122"/>
      <c r="CD133" s="122"/>
      <c r="CE133" s="122"/>
      <c r="CF133" s="122"/>
      <c r="CG133" s="122"/>
      <c r="CH133" s="122"/>
      <c r="CI133" s="122"/>
      <c r="CJ133" s="122"/>
      <c r="CK133" s="122"/>
      <c r="CL133" s="122"/>
      <c r="CM133" s="122"/>
      <c r="CN133" s="122"/>
      <c r="CO133" s="122"/>
      <c r="CP133" s="122"/>
      <c r="CQ133" s="122"/>
      <c r="CR133" s="122"/>
      <c r="CS133" s="122"/>
      <c r="CT133" s="122"/>
      <c r="CU133" s="122"/>
      <c r="CV133" s="122"/>
      <c r="CW133" s="122"/>
      <c r="CX133" s="122"/>
      <c r="CY133" s="122"/>
      <c r="CZ133" s="122"/>
      <c r="DA133" s="122"/>
      <c r="DB133" s="122"/>
      <c r="DC133" s="122"/>
      <c r="DD133" s="122"/>
      <c r="DE133" s="122"/>
      <c r="DF133" s="122"/>
      <c r="DG133" s="122"/>
      <c r="DH133" s="122"/>
      <c r="DI133" s="122"/>
      <c r="DJ133" s="122"/>
      <c r="DK133" s="122"/>
      <c r="DL133" s="122"/>
      <c r="DM133" s="122"/>
      <c r="DN133" s="122"/>
      <c r="DO133" s="122"/>
      <c r="DP133" s="122"/>
      <c r="DQ133" s="122"/>
      <c r="DR133" s="122"/>
      <c r="DS133" s="122"/>
      <c r="DT133" s="122"/>
      <c r="DU133" s="122"/>
      <c r="DV133" s="122"/>
      <c r="DW133" s="122"/>
      <c r="DX133" s="122"/>
      <c r="DY133" s="122"/>
      <c r="DZ133" s="122"/>
      <c r="EA133" s="122"/>
      <c r="EB133" s="122"/>
      <c r="EC133" s="122"/>
      <c r="ED133" s="122"/>
      <c r="EE133" s="122"/>
      <c r="EF133" s="122"/>
      <c r="EG133" s="122"/>
      <c r="EH133" s="122"/>
      <c r="EI133" s="122"/>
      <c r="EJ133" s="122"/>
      <c r="EK133" s="122"/>
      <c r="EL133" s="122"/>
      <c r="EM133" s="122"/>
      <c r="EN133" s="122"/>
      <c r="EO133" s="122"/>
      <c r="EP133" s="122"/>
      <c r="EQ133" s="122"/>
      <c r="ER133" s="122"/>
      <c r="ES133" s="122"/>
      <c r="ET133" s="122"/>
      <c r="EU133" s="122"/>
      <c r="EV133" s="122"/>
      <c r="EW133" s="122"/>
      <c r="EX133" s="122"/>
      <c r="EY133" s="122"/>
      <c r="EZ133" s="122"/>
      <c r="FA133" s="122"/>
      <c r="FB133" s="122"/>
      <c r="FC133" s="122"/>
      <c r="FD133" s="122"/>
      <c r="FE133" s="122"/>
      <c r="FF133" s="122"/>
      <c r="FG133" s="122"/>
      <c r="FH133" s="122"/>
      <c r="FI133" s="122"/>
      <c r="FJ133" s="122"/>
      <c r="FK133" s="122"/>
      <c r="FL133" s="122"/>
      <c r="FM133" s="122"/>
      <c r="FN133" s="122"/>
      <c r="FO133" s="122"/>
      <c r="FP133" s="122"/>
      <c r="FQ133" s="122"/>
      <c r="FR133" s="122"/>
      <c r="FS133" s="122"/>
      <c r="FT133" s="122">
        <v>118000</v>
      </c>
      <c r="FU133" s="122"/>
      <c r="FV133" s="122"/>
      <c r="FW133" s="122"/>
      <c r="FX133" s="122"/>
      <c r="FY133" s="122"/>
      <c r="FZ133" s="122"/>
      <c r="GA133" s="122"/>
      <c r="GB133" s="122"/>
      <c r="GC133" s="122"/>
      <c r="GD133" s="122"/>
      <c r="GE133" s="122"/>
      <c r="GF133" s="122"/>
      <c r="GG133" s="122"/>
      <c r="GH133" s="122"/>
      <c r="GI133" s="122"/>
      <c r="GJ133" s="122"/>
      <c r="GK133" s="122"/>
      <c r="GL133" s="122"/>
      <c r="GM133" s="122"/>
      <c r="GN133" s="122"/>
      <c r="GO133" s="122"/>
      <c r="GP133" s="122"/>
      <c r="GQ133" s="122"/>
      <c r="GR133" s="122"/>
      <c r="GS133" s="122"/>
      <c r="GT133" s="122"/>
      <c r="GU133" s="122"/>
      <c r="GV133" s="122"/>
      <c r="GW133" s="122"/>
      <c r="GX133" s="122"/>
      <c r="GY133" s="122"/>
      <c r="GZ133" s="122"/>
      <c r="HA133" s="122"/>
      <c r="HB133" s="122"/>
      <c r="HC133" s="122"/>
      <c r="HD133" s="122"/>
      <c r="HE133" s="122"/>
      <c r="HF133" s="122"/>
      <c r="HG133" s="122"/>
      <c r="HH133" s="122"/>
      <c r="HI133" s="122"/>
      <c r="HJ133" s="122"/>
      <c r="HK133" s="122"/>
      <c r="HL133" s="122"/>
      <c r="HM133" s="122"/>
      <c r="HN133" s="122"/>
      <c r="HO133" s="122"/>
      <c r="HP133" s="122"/>
      <c r="HQ133" s="122"/>
      <c r="HR133" s="122"/>
      <c r="HS133" s="122"/>
      <c r="HT133" s="122"/>
      <c r="HU133" s="122"/>
      <c r="HV133" s="122"/>
      <c r="HW133" s="122"/>
      <c r="HX133" s="122"/>
      <c r="HY133" s="122"/>
      <c r="HZ133" s="122"/>
      <c r="IA133" s="122"/>
      <c r="IB133" s="122"/>
      <c r="IC133" s="122"/>
      <c r="ID133" s="122"/>
      <c r="IE133" s="122"/>
      <c r="IF133" s="122"/>
      <c r="IG133" s="122"/>
      <c r="IH133" s="122"/>
      <c r="II133" s="122"/>
      <c r="IJ133" s="122"/>
      <c r="IK133" s="122"/>
      <c r="IL133" s="122"/>
      <c r="IM133" s="122"/>
      <c r="IN133" s="122"/>
      <c r="IO133" s="122"/>
      <c r="IP133" s="122"/>
      <c r="IQ133" s="122"/>
      <c r="IR133" s="122"/>
      <c r="IS133" s="122"/>
      <c r="IT133" s="122"/>
      <c r="IU133" s="122"/>
      <c r="IV133" s="122"/>
      <c r="IW133" s="122"/>
      <c r="IX133" s="122"/>
      <c r="IY133" s="122"/>
      <c r="IZ133" s="122"/>
      <c r="JA133" s="122"/>
      <c r="JB133" s="122"/>
      <c r="JC133" s="122"/>
      <c r="JD133" s="122"/>
      <c r="JE133" s="122"/>
      <c r="JF133" s="122"/>
      <c r="JG133" s="122"/>
      <c r="JH133" s="122"/>
      <c r="JI133" s="119">
        <f t="shared" si="2"/>
        <v>118000</v>
      </c>
      <c r="JJ133" s="379">
        <v>5951</v>
      </c>
      <c r="JK133" s="122"/>
      <c r="JL133" s="125"/>
      <c r="JM133" s="345"/>
      <c r="JN133" s="125"/>
      <c r="JO133" s="125"/>
      <c r="JP133" s="125"/>
    </row>
    <row r="134" spans="1:276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122"/>
      <c r="BG134" s="122"/>
      <c r="BH134" s="122"/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122"/>
      <c r="BS134" s="122"/>
      <c r="BT134" s="122"/>
      <c r="BU134" s="122"/>
      <c r="BV134" s="122"/>
      <c r="BW134" s="122"/>
      <c r="BX134" s="122"/>
      <c r="BY134" s="122"/>
      <c r="BZ134" s="122"/>
      <c r="CA134" s="122"/>
      <c r="CB134" s="122"/>
      <c r="CC134" s="122"/>
      <c r="CD134" s="122"/>
      <c r="CE134" s="122"/>
      <c r="CF134" s="122"/>
      <c r="CG134" s="122"/>
      <c r="CH134" s="122"/>
      <c r="CI134" s="122"/>
      <c r="CJ134" s="122"/>
      <c r="CK134" s="122"/>
      <c r="CL134" s="122"/>
      <c r="CM134" s="122"/>
      <c r="CN134" s="122"/>
      <c r="CO134" s="122"/>
      <c r="CP134" s="122"/>
      <c r="CQ134" s="122"/>
      <c r="CR134" s="122"/>
      <c r="CS134" s="122"/>
      <c r="CT134" s="122"/>
      <c r="CU134" s="122"/>
      <c r="CV134" s="122"/>
      <c r="CW134" s="122"/>
      <c r="CX134" s="122"/>
      <c r="CY134" s="122"/>
      <c r="CZ134" s="122"/>
      <c r="DA134" s="122"/>
      <c r="DB134" s="122"/>
      <c r="DC134" s="122"/>
      <c r="DD134" s="122"/>
      <c r="DE134" s="122"/>
      <c r="DF134" s="122"/>
      <c r="DG134" s="122"/>
      <c r="DH134" s="122"/>
      <c r="DI134" s="122"/>
      <c r="DJ134" s="122"/>
      <c r="DK134" s="122"/>
      <c r="DL134" s="122"/>
      <c r="DM134" s="122"/>
      <c r="DN134" s="122"/>
      <c r="DO134" s="122"/>
      <c r="DP134" s="122"/>
      <c r="DQ134" s="122"/>
      <c r="DR134" s="122"/>
      <c r="DS134" s="122"/>
      <c r="DT134" s="122"/>
      <c r="DU134" s="122"/>
      <c r="DV134" s="122"/>
      <c r="DW134" s="122"/>
      <c r="DX134" s="122"/>
      <c r="DY134" s="122"/>
      <c r="DZ134" s="122"/>
      <c r="EA134" s="122">
        <v>1725000</v>
      </c>
      <c r="EB134" s="122"/>
      <c r="EC134" s="122"/>
      <c r="ED134" s="122"/>
      <c r="EE134" s="122"/>
      <c r="EF134" s="122"/>
      <c r="EG134" s="122"/>
      <c r="EH134" s="122"/>
      <c r="EI134" s="122"/>
      <c r="EJ134" s="122"/>
      <c r="EK134" s="122"/>
      <c r="EL134" s="122"/>
      <c r="EM134" s="122"/>
      <c r="EN134" s="122"/>
      <c r="EO134" s="122"/>
      <c r="EP134" s="122"/>
      <c r="EQ134" s="122"/>
      <c r="ER134" s="122"/>
      <c r="ES134" s="122"/>
      <c r="ET134" s="122"/>
      <c r="EU134" s="122"/>
      <c r="EV134" s="122"/>
      <c r="EW134" s="122"/>
      <c r="EX134" s="122"/>
      <c r="EY134" s="122"/>
      <c r="EZ134" s="122"/>
      <c r="FA134" s="122"/>
      <c r="FB134" s="122"/>
      <c r="FC134" s="122"/>
      <c r="FD134" s="122"/>
      <c r="FE134" s="122"/>
      <c r="FF134" s="122"/>
      <c r="FG134" s="122"/>
      <c r="FH134" s="122"/>
      <c r="FI134" s="122"/>
      <c r="FJ134" s="122"/>
      <c r="FK134" s="122"/>
      <c r="FL134" s="122"/>
      <c r="FM134" s="122"/>
      <c r="FN134" s="122"/>
      <c r="FO134" s="122"/>
      <c r="FP134" s="122"/>
      <c r="FQ134" s="122"/>
      <c r="FR134" s="122"/>
      <c r="FS134" s="122"/>
      <c r="FT134" s="122"/>
      <c r="FU134" s="122"/>
      <c r="FV134" s="122"/>
      <c r="FW134" s="122"/>
      <c r="FX134" s="122"/>
      <c r="FY134" s="122"/>
      <c r="FZ134" s="122"/>
      <c r="GA134" s="122"/>
      <c r="GB134" s="122"/>
      <c r="GC134" s="122"/>
      <c r="GD134" s="122"/>
      <c r="GE134" s="122"/>
      <c r="GF134" s="122"/>
      <c r="GG134" s="122"/>
      <c r="GH134" s="122"/>
      <c r="GI134" s="122"/>
      <c r="GJ134" s="122"/>
      <c r="GK134" s="122"/>
      <c r="GL134" s="122"/>
      <c r="GM134" s="122"/>
      <c r="GN134" s="122"/>
      <c r="GO134" s="122"/>
      <c r="GP134" s="122"/>
      <c r="GQ134" s="122"/>
      <c r="GR134" s="122"/>
      <c r="GS134" s="122"/>
      <c r="GT134" s="122"/>
      <c r="GU134" s="122"/>
      <c r="GV134" s="122"/>
      <c r="GW134" s="122"/>
      <c r="GX134" s="122"/>
      <c r="GY134" s="122"/>
      <c r="GZ134" s="122"/>
      <c r="HA134" s="122"/>
      <c r="HB134" s="122"/>
      <c r="HC134" s="122"/>
      <c r="HD134" s="122"/>
      <c r="HE134" s="122"/>
      <c r="HF134" s="122"/>
      <c r="HG134" s="122"/>
      <c r="HH134" s="122"/>
      <c r="HI134" s="122"/>
      <c r="HJ134" s="122"/>
      <c r="HK134" s="122"/>
      <c r="HL134" s="122"/>
      <c r="HM134" s="122"/>
      <c r="HN134" s="122"/>
      <c r="HO134" s="122"/>
      <c r="HP134" s="122"/>
      <c r="HQ134" s="122"/>
      <c r="HR134" s="122"/>
      <c r="HS134" s="122"/>
      <c r="HT134" s="122"/>
      <c r="HU134" s="122"/>
      <c r="HV134" s="122"/>
      <c r="HW134" s="122"/>
      <c r="HX134" s="122"/>
      <c r="HY134" s="122"/>
      <c r="HZ134" s="122"/>
      <c r="IA134" s="122"/>
      <c r="IB134" s="122"/>
      <c r="IC134" s="122"/>
      <c r="ID134" s="122"/>
      <c r="IE134" s="122"/>
      <c r="IF134" s="122"/>
      <c r="IG134" s="122"/>
      <c r="IH134" s="122"/>
      <c r="II134" s="122"/>
      <c r="IJ134" s="122"/>
      <c r="IK134" s="122"/>
      <c r="IL134" s="122"/>
      <c r="IM134" s="122"/>
      <c r="IN134" s="122"/>
      <c r="IO134" s="122"/>
      <c r="IP134" s="122"/>
      <c r="IQ134" s="122"/>
      <c r="IR134" s="122"/>
      <c r="IS134" s="122"/>
      <c r="IT134" s="122"/>
      <c r="IU134" s="122"/>
      <c r="IV134" s="122"/>
      <c r="IW134" s="122"/>
      <c r="IX134" s="122"/>
      <c r="IY134" s="122"/>
      <c r="IZ134" s="122"/>
      <c r="JA134" s="122"/>
      <c r="JB134" s="122"/>
      <c r="JC134" s="122"/>
      <c r="JD134" s="122"/>
      <c r="JE134" s="122"/>
      <c r="JF134" s="122"/>
      <c r="JG134" s="122"/>
      <c r="JH134" s="122"/>
      <c r="JI134" s="119">
        <f t="shared" si="2"/>
        <v>1725000</v>
      </c>
      <c r="JJ134" s="379">
        <v>5956</v>
      </c>
      <c r="JK134" s="122"/>
      <c r="JL134" s="125"/>
      <c r="JM134" s="345"/>
      <c r="JN134" s="125"/>
      <c r="JO134" s="125"/>
      <c r="JP134" s="125"/>
    </row>
    <row r="135" spans="1:276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  <c r="BQ135" s="122"/>
      <c r="BR135" s="122"/>
      <c r="BS135" s="122"/>
      <c r="BT135" s="122"/>
      <c r="BU135" s="122"/>
      <c r="BV135" s="122"/>
      <c r="BW135" s="122"/>
      <c r="BX135" s="122"/>
      <c r="BY135" s="122"/>
      <c r="BZ135" s="122"/>
      <c r="CA135" s="122"/>
      <c r="CB135" s="122"/>
      <c r="CC135" s="122"/>
      <c r="CD135" s="122"/>
      <c r="CE135" s="122"/>
      <c r="CF135" s="122"/>
      <c r="CG135" s="122"/>
      <c r="CH135" s="122"/>
      <c r="CI135" s="122"/>
      <c r="CJ135" s="122"/>
      <c r="CK135" s="122"/>
      <c r="CL135" s="122"/>
      <c r="CM135" s="122"/>
      <c r="CN135" s="122"/>
      <c r="CO135" s="122"/>
      <c r="CP135" s="122"/>
      <c r="CQ135" s="122"/>
      <c r="CR135" s="122"/>
      <c r="CS135" s="122"/>
      <c r="CT135" s="122"/>
      <c r="CU135" s="122"/>
      <c r="CV135" s="122"/>
      <c r="CW135" s="122"/>
      <c r="CX135" s="122"/>
      <c r="CY135" s="122"/>
      <c r="CZ135" s="122"/>
      <c r="DA135" s="122"/>
      <c r="DB135" s="122"/>
      <c r="DC135" s="122"/>
      <c r="DD135" s="122"/>
      <c r="DE135" s="122"/>
      <c r="DF135" s="122"/>
      <c r="DG135" s="122"/>
      <c r="DH135" s="122"/>
      <c r="DI135" s="122"/>
      <c r="DJ135" s="122"/>
      <c r="DK135" s="122"/>
      <c r="DL135" s="122"/>
      <c r="DM135" s="122"/>
      <c r="DN135" s="122"/>
      <c r="DO135" s="122"/>
      <c r="DP135" s="122"/>
      <c r="DQ135" s="122"/>
      <c r="DR135" s="122"/>
      <c r="DS135" s="122"/>
      <c r="DT135" s="122"/>
      <c r="DU135" s="122"/>
      <c r="DV135" s="122"/>
      <c r="DW135" s="122"/>
      <c r="DX135" s="122"/>
      <c r="DY135" s="122"/>
      <c r="DZ135" s="122"/>
      <c r="EA135" s="122"/>
      <c r="EB135" s="122"/>
      <c r="EC135" s="122"/>
      <c r="ED135" s="122"/>
      <c r="EE135" s="122"/>
      <c r="EF135" s="122"/>
      <c r="EG135" s="122"/>
      <c r="EH135" s="122"/>
      <c r="EI135" s="122"/>
      <c r="EJ135" s="122"/>
      <c r="EK135" s="122"/>
      <c r="EL135" s="122"/>
      <c r="EM135" s="122"/>
      <c r="EN135" s="122"/>
      <c r="EO135" s="122"/>
      <c r="EP135" s="122"/>
      <c r="EQ135" s="122"/>
      <c r="ER135" s="122"/>
      <c r="ES135" s="122"/>
      <c r="ET135" s="122"/>
      <c r="EU135" s="122"/>
      <c r="EV135" s="122"/>
      <c r="EW135" s="122"/>
      <c r="EX135" s="122"/>
      <c r="EY135" s="122"/>
      <c r="EZ135" s="122"/>
      <c r="FA135" s="122"/>
      <c r="FB135" s="122"/>
      <c r="FC135" s="122"/>
      <c r="FD135" s="122"/>
      <c r="FE135" s="122"/>
      <c r="FF135" s="122"/>
      <c r="FG135" s="122"/>
      <c r="FH135" s="122"/>
      <c r="FI135" s="122"/>
      <c r="FJ135" s="122"/>
      <c r="FK135" s="122"/>
      <c r="FL135" s="122"/>
      <c r="FM135" s="122"/>
      <c r="FN135" s="122"/>
      <c r="FO135" s="122"/>
      <c r="FP135" s="122"/>
      <c r="FQ135" s="122"/>
      <c r="FR135" s="122"/>
      <c r="FS135" s="122"/>
      <c r="FT135" s="122">
        <v>1792420</v>
      </c>
      <c r="FU135" s="122"/>
      <c r="FV135" s="122"/>
      <c r="FW135" s="122"/>
      <c r="FX135" s="122"/>
      <c r="FY135" s="122"/>
      <c r="FZ135" s="122"/>
      <c r="GA135" s="122"/>
      <c r="GB135" s="122"/>
      <c r="GC135" s="122"/>
      <c r="GD135" s="122"/>
      <c r="GE135" s="122"/>
      <c r="GF135" s="122"/>
      <c r="GG135" s="122"/>
      <c r="GH135" s="122"/>
      <c r="GI135" s="122"/>
      <c r="GJ135" s="122"/>
      <c r="GK135" s="122"/>
      <c r="GL135" s="122"/>
      <c r="GM135" s="122"/>
      <c r="GN135" s="122"/>
      <c r="GO135" s="122"/>
      <c r="GP135" s="122"/>
      <c r="GQ135" s="122"/>
      <c r="GR135" s="122"/>
      <c r="GS135" s="122"/>
      <c r="GT135" s="122"/>
      <c r="GU135" s="122"/>
      <c r="GV135" s="122"/>
      <c r="GW135" s="122"/>
      <c r="GX135" s="122"/>
      <c r="GY135" s="122"/>
      <c r="GZ135" s="122"/>
      <c r="HA135" s="122"/>
      <c r="HB135" s="122"/>
      <c r="HC135" s="122"/>
      <c r="HD135" s="122"/>
      <c r="HE135" s="122"/>
      <c r="HF135" s="122"/>
      <c r="HG135" s="122"/>
      <c r="HH135" s="122"/>
      <c r="HI135" s="122"/>
      <c r="HJ135" s="122"/>
      <c r="HK135" s="122"/>
      <c r="HL135" s="122"/>
      <c r="HM135" s="122"/>
      <c r="HN135" s="122"/>
      <c r="HO135" s="122"/>
      <c r="HP135" s="122"/>
      <c r="HQ135" s="122"/>
      <c r="HR135" s="122"/>
      <c r="HS135" s="122"/>
      <c r="HT135" s="122"/>
      <c r="HU135" s="122"/>
      <c r="HV135" s="122"/>
      <c r="HW135" s="122"/>
      <c r="HX135" s="122"/>
      <c r="HY135" s="122"/>
      <c r="HZ135" s="122"/>
      <c r="IA135" s="122"/>
      <c r="IB135" s="122"/>
      <c r="IC135" s="122"/>
      <c r="ID135" s="122"/>
      <c r="IE135" s="122"/>
      <c r="IF135" s="122"/>
      <c r="IG135" s="122"/>
      <c r="IH135" s="122"/>
      <c r="II135" s="122"/>
      <c r="IJ135" s="122"/>
      <c r="IK135" s="122"/>
      <c r="IL135" s="122"/>
      <c r="IM135" s="122"/>
      <c r="IN135" s="122"/>
      <c r="IO135" s="122"/>
      <c r="IP135" s="122"/>
      <c r="IQ135" s="122"/>
      <c r="IR135" s="122"/>
      <c r="IS135" s="122"/>
      <c r="IT135" s="122"/>
      <c r="IU135" s="122"/>
      <c r="IV135" s="122"/>
      <c r="IW135" s="122"/>
      <c r="IX135" s="122"/>
      <c r="IY135" s="122"/>
      <c r="IZ135" s="122"/>
      <c r="JA135" s="122"/>
      <c r="JB135" s="122"/>
      <c r="JC135" s="122"/>
      <c r="JD135" s="122"/>
      <c r="JE135" s="122"/>
      <c r="JF135" s="122"/>
      <c r="JG135" s="122"/>
      <c r="JH135" s="122"/>
      <c r="JI135" s="119">
        <f t="shared" si="2"/>
        <v>1792420</v>
      </c>
      <c r="JJ135" s="379">
        <v>5961</v>
      </c>
      <c r="JK135" s="122"/>
      <c r="JL135" s="125"/>
      <c r="JM135" s="345"/>
      <c r="JN135" s="125"/>
      <c r="JO135" s="125"/>
      <c r="JP135" s="125"/>
    </row>
    <row r="136" spans="1:27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  <c r="AS136" s="122"/>
      <c r="AT136" s="122"/>
      <c r="AU136" s="122"/>
      <c r="AV136" s="122"/>
      <c r="AW136" s="122"/>
      <c r="AX136" s="122"/>
      <c r="AY136" s="122"/>
      <c r="AZ136" s="122"/>
      <c r="BA136" s="122"/>
      <c r="BB136" s="122"/>
      <c r="BC136" s="122"/>
      <c r="BD136" s="122"/>
      <c r="BE136" s="122"/>
      <c r="BF136" s="122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122"/>
      <c r="BS136" s="122"/>
      <c r="BT136" s="122"/>
      <c r="BU136" s="122"/>
      <c r="BV136" s="122"/>
      <c r="BW136" s="122"/>
      <c r="BX136" s="122"/>
      <c r="BY136" s="122"/>
      <c r="BZ136" s="122"/>
      <c r="CA136" s="122"/>
      <c r="CB136" s="122"/>
      <c r="CC136" s="122"/>
      <c r="CD136" s="122"/>
      <c r="CE136" s="122"/>
      <c r="CF136" s="122"/>
      <c r="CG136" s="122"/>
      <c r="CH136" s="122"/>
      <c r="CI136" s="122"/>
      <c r="CJ136" s="122"/>
      <c r="CK136" s="122"/>
      <c r="CL136" s="122"/>
      <c r="CM136" s="122"/>
      <c r="CN136" s="122"/>
      <c r="CO136" s="122"/>
      <c r="CP136" s="122"/>
      <c r="CQ136" s="122"/>
      <c r="CR136" s="122"/>
      <c r="CS136" s="122"/>
      <c r="CT136" s="122"/>
      <c r="CU136" s="122"/>
      <c r="CV136" s="122"/>
      <c r="CW136" s="122"/>
      <c r="CX136" s="122"/>
      <c r="CY136" s="122"/>
      <c r="CZ136" s="122"/>
      <c r="DA136" s="122"/>
      <c r="DB136" s="122"/>
      <c r="DC136" s="122"/>
      <c r="DD136" s="122"/>
      <c r="DE136" s="122"/>
      <c r="DF136" s="122"/>
      <c r="DG136" s="122"/>
      <c r="DH136" s="122"/>
      <c r="DI136" s="122"/>
      <c r="DJ136" s="122"/>
      <c r="DK136" s="122"/>
      <c r="DL136" s="122"/>
      <c r="DM136" s="122"/>
      <c r="DN136" s="122"/>
      <c r="DO136" s="122"/>
      <c r="DP136" s="122"/>
      <c r="DQ136" s="122"/>
      <c r="DR136" s="122"/>
      <c r="DS136" s="122"/>
      <c r="DT136" s="122"/>
      <c r="DU136" s="122"/>
      <c r="DV136" s="122"/>
      <c r="DW136" s="122"/>
      <c r="DX136" s="122"/>
      <c r="DY136" s="122"/>
      <c r="DZ136" s="122"/>
      <c r="EA136" s="122"/>
      <c r="EB136" s="122"/>
      <c r="EC136" s="122"/>
      <c r="ED136" s="122"/>
      <c r="EE136" s="122"/>
      <c r="EF136" s="122"/>
      <c r="EG136" s="122"/>
      <c r="EH136" s="122"/>
      <c r="EI136" s="122"/>
      <c r="EJ136" s="122"/>
      <c r="EK136" s="122"/>
      <c r="EL136" s="122"/>
      <c r="EM136" s="122"/>
      <c r="EN136" s="122"/>
      <c r="EO136" s="122"/>
      <c r="EP136" s="122"/>
      <c r="EQ136" s="122"/>
      <c r="ER136" s="122"/>
      <c r="ES136" s="122"/>
      <c r="ET136" s="122"/>
      <c r="EU136" s="122"/>
      <c r="EV136" s="122"/>
      <c r="EW136" s="122"/>
      <c r="EX136" s="122"/>
      <c r="EY136" s="122"/>
      <c r="EZ136" s="122"/>
      <c r="FA136" s="122"/>
      <c r="FB136" s="122"/>
      <c r="FC136" s="122"/>
      <c r="FD136" s="122"/>
      <c r="FE136" s="122"/>
      <c r="FF136" s="122"/>
      <c r="FG136" s="122"/>
      <c r="FH136" s="122"/>
      <c r="FI136" s="122"/>
      <c r="FJ136" s="122"/>
      <c r="FK136" s="122"/>
      <c r="FL136" s="122"/>
      <c r="FM136" s="122"/>
      <c r="FN136" s="122"/>
      <c r="FO136" s="122"/>
      <c r="FP136" s="122"/>
      <c r="FQ136" s="122"/>
      <c r="FR136" s="122"/>
      <c r="FS136" s="122"/>
      <c r="FT136" s="122">
        <v>531000</v>
      </c>
      <c r="FU136" s="122"/>
      <c r="FV136" s="122"/>
      <c r="FW136" s="122"/>
      <c r="FX136" s="122"/>
      <c r="FY136" s="122"/>
      <c r="FZ136" s="122"/>
      <c r="GA136" s="122"/>
      <c r="GB136" s="122"/>
      <c r="GC136" s="122"/>
      <c r="GD136" s="122"/>
      <c r="GE136" s="122"/>
      <c r="GF136" s="122"/>
      <c r="GG136" s="122"/>
      <c r="GH136" s="122"/>
      <c r="GI136" s="122"/>
      <c r="GJ136" s="122"/>
      <c r="GK136" s="122"/>
      <c r="GL136" s="122"/>
      <c r="GM136" s="122"/>
      <c r="GN136" s="122"/>
      <c r="GO136" s="122"/>
      <c r="GP136" s="122"/>
      <c r="GQ136" s="122"/>
      <c r="GR136" s="122"/>
      <c r="GS136" s="122"/>
      <c r="GT136" s="122"/>
      <c r="GU136" s="122"/>
      <c r="GV136" s="122"/>
      <c r="GW136" s="122"/>
      <c r="GX136" s="122"/>
      <c r="GY136" s="122"/>
      <c r="GZ136" s="122"/>
      <c r="HA136" s="122"/>
      <c r="HB136" s="122"/>
      <c r="HC136" s="122"/>
      <c r="HD136" s="122"/>
      <c r="HE136" s="122"/>
      <c r="HF136" s="122"/>
      <c r="HG136" s="122"/>
      <c r="HH136" s="122"/>
      <c r="HI136" s="122"/>
      <c r="HJ136" s="122"/>
      <c r="HK136" s="122"/>
      <c r="HL136" s="122"/>
      <c r="HM136" s="122"/>
      <c r="HN136" s="122"/>
      <c r="HO136" s="122"/>
      <c r="HP136" s="122"/>
      <c r="HQ136" s="122"/>
      <c r="HR136" s="122"/>
      <c r="HS136" s="122"/>
      <c r="HT136" s="122"/>
      <c r="HU136" s="122"/>
      <c r="HV136" s="122"/>
      <c r="HW136" s="122"/>
      <c r="HX136" s="122"/>
      <c r="HY136" s="122"/>
      <c r="HZ136" s="122"/>
      <c r="IA136" s="122"/>
      <c r="IB136" s="122"/>
      <c r="IC136" s="122"/>
      <c r="ID136" s="122"/>
      <c r="IE136" s="122"/>
      <c r="IF136" s="122"/>
      <c r="IG136" s="122"/>
      <c r="IH136" s="122"/>
      <c r="II136" s="122"/>
      <c r="IJ136" s="122"/>
      <c r="IK136" s="122"/>
      <c r="IL136" s="122"/>
      <c r="IM136" s="122"/>
      <c r="IN136" s="122"/>
      <c r="IO136" s="122"/>
      <c r="IP136" s="122"/>
      <c r="IQ136" s="122"/>
      <c r="IR136" s="122"/>
      <c r="IS136" s="122"/>
      <c r="IT136" s="122"/>
      <c r="IU136" s="122"/>
      <c r="IV136" s="122"/>
      <c r="IW136" s="122"/>
      <c r="IX136" s="122"/>
      <c r="IY136" s="122"/>
      <c r="IZ136" s="122"/>
      <c r="JA136" s="122"/>
      <c r="JB136" s="122"/>
      <c r="JC136" s="122"/>
      <c r="JD136" s="122"/>
      <c r="JE136" s="122"/>
      <c r="JF136" s="122"/>
      <c r="JG136" s="122"/>
      <c r="JH136" s="122"/>
      <c r="JI136" s="119">
        <f t="shared" si="2"/>
        <v>531000</v>
      </c>
      <c r="JJ136" s="379">
        <v>5968</v>
      </c>
      <c r="JK136" s="122"/>
      <c r="JL136" s="125"/>
      <c r="JM136" s="345"/>
      <c r="JN136" s="125"/>
      <c r="JO136" s="125"/>
      <c r="JP136" s="125"/>
    </row>
    <row r="137" spans="1:276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  <c r="BQ137" s="122"/>
      <c r="BR137" s="122"/>
      <c r="BS137" s="122"/>
      <c r="BT137" s="122"/>
      <c r="BU137" s="122"/>
      <c r="BV137" s="122"/>
      <c r="BW137" s="122"/>
      <c r="BX137" s="122"/>
      <c r="BY137" s="122"/>
      <c r="BZ137" s="122"/>
      <c r="CA137" s="122"/>
      <c r="CB137" s="122"/>
      <c r="CC137" s="122"/>
      <c r="CD137" s="122"/>
      <c r="CE137" s="122"/>
      <c r="CF137" s="122"/>
      <c r="CG137" s="122"/>
      <c r="CH137" s="122"/>
      <c r="CI137" s="122"/>
      <c r="CJ137" s="122"/>
      <c r="CK137" s="122"/>
      <c r="CL137" s="122"/>
      <c r="CM137" s="122"/>
      <c r="CN137" s="122"/>
      <c r="CO137" s="122"/>
      <c r="CP137" s="122"/>
      <c r="CQ137" s="122"/>
      <c r="CR137" s="122"/>
      <c r="CS137" s="122"/>
      <c r="CT137" s="122"/>
      <c r="CU137" s="122"/>
      <c r="CV137" s="122"/>
      <c r="CW137" s="122"/>
      <c r="CX137" s="122"/>
      <c r="CY137" s="122"/>
      <c r="CZ137" s="122"/>
      <c r="DA137" s="122"/>
      <c r="DB137" s="122"/>
      <c r="DC137" s="122"/>
      <c r="DD137" s="122"/>
      <c r="DE137" s="122"/>
      <c r="DF137" s="122"/>
      <c r="DG137" s="122"/>
      <c r="DH137" s="122"/>
      <c r="DI137" s="122"/>
      <c r="DJ137" s="122"/>
      <c r="DK137" s="122"/>
      <c r="DL137" s="122"/>
      <c r="DM137" s="122"/>
      <c r="DN137" s="122"/>
      <c r="DO137" s="122"/>
      <c r="DP137" s="122"/>
      <c r="DQ137" s="122"/>
      <c r="DR137" s="122"/>
      <c r="DS137" s="122"/>
      <c r="DT137" s="122"/>
      <c r="DU137" s="122"/>
      <c r="DV137" s="122"/>
      <c r="DW137" s="122"/>
      <c r="DX137" s="122"/>
      <c r="DY137" s="122"/>
      <c r="DZ137" s="122"/>
      <c r="EA137" s="122">
        <v>199000</v>
      </c>
      <c r="EB137" s="122"/>
      <c r="EC137" s="122"/>
      <c r="ED137" s="122"/>
      <c r="EE137" s="122"/>
      <c r="EF137" s="122"/>
      <c r="EG137" s="122"/>
      <c r="EH137" s="122"/>
      <c r="EI137" s="122"/>
      <c r="EJ137" s="122"/>
      <c r="EK137" s="122"/>
      <c r="EL137" s="122"/>
      <c r="EM137" s="122"/>
      <c r="EN137" s="122"/>
      <c r="EO137" s="122"/>
      <c r="EP137" s="122"/>
      <c r="EQ137" s="122"/>
      <c r="ER137" s="122"/>
      <c r="ES137" s="122"/>
      <c r="ET137" s="122"/>
      <c r="EU137" s="122"/>
      <c r="EV137" s="122"/>
      <c r="EW137" s="122"/>
      <c r="EX137" s="122"/>
      <c r="EY137" s="122"/>
      <c r="EZ137" s="122"/>
      <c r="FA137" s="122"/>
      <c r="FB137" s="122"/>
      <c r="FC137" s="122"/>
      <c r="FD137" s="122"/>
      <c r="FE137" s="122"/>
      <c r="FF137" s="122"/>
      <c r="FG137" s="122"/>
      <c r="FH137" s="122"/>
      <c r="FI137" s="122"/>
      <c r="FJ137" s="122"/>
      <c r="FK137" s="122"/>
      <c r="FL137" s="122"/>
      <c r="FM137" s="122"/>
      <c r="FN137" s="122"/>
      <c r="FO137" s="122"/>
      <c r="FP137" s="122"/>
      <c r="FQ137" s="122"/>
      <c r="FR137" s="122"/>
      <c r="FS137" s="122"/>
      <c r="FT137" s="122"/>
      <c r="FU137" s="122"/>
      <c r="FV137" s="122"/>
      <c r="FW137" s="122"/>
      <c r="FX137" s="122"/>
      <c r="FY137" s="122"/>
      <c r="FZ137" s="122"/>
      <c r="GA137" s="122"/>
      <c r="GB137" s="122"/>
      <c r="GC137" s="122"/>
      <c r="GD137" s="122"/>
      <c r="GE137" s="122"/>
      <c r="GF137" s="122"/>
      <c r="GG137" s="122"/>
      <c r="GH137" s="122"/>
      <c r="GI137" s="122"/>
      <c r="GJ137" s="122"/>
      <c r="GK137" s="122"/>
      <c r="GL137" s="122"/>
      <c r="GM137" s="122"/>
      <c r="GN137" s="122"/>
      <c r="GO137" s="122"/>
      <c r="GP137" s="122"/>
      <c r="GQ137" s="122"/>
      <c r="GR137" s="122"/>
      <c r="GS137" s="122"/>
      <c r="GT137" s="122"/>
      <c r="GU137" s="122"/>
      <c r="GV137" s="122"/>
      <c r="GW137" s="122"/>
      <c r="GX137" s="122"/>
      <c r="GY137" s="122"/>
      <c r="GZ137" s="122"/>
      <c r="HA137" s="122"/>
      <c r="HB137" s="122"/>
      <c r="HC137" s="122"/>
      <c r="HD137" s="122"/>
      <c r="HE137" s="122"/>
      <c r="HF137" s="122"/>
      <c r="HG137" s="122"/>
      <c r="HH137" s="122"/>
      <c r="HI137" s="122"/>
      <c r="HJ137" s="122"/>
      <c r="HK137" s="122"/>
      <c r="HL137" s="122"/>
      <c r="HM137" s="122"/>
      <c r="HN137" s="122"/>
      <c r="HO137" s="122"/>
      <c r="HP137" s="122"/>
      <c r="HQ137" s="122"/>
      <c r="HR137" s="122"/>
      <c r="HS137" s="122"/>
      <c r="HT137" s="122"/>
      <c r="HU137" s="122"/>
      <c r="HV137" s="122"/>
      <c r="HW137" s="122"/>
      <c r="HX137" s="122"/>
      <c r="HY137" s="122"/>
      <c r="HZ137" s="122"/>
      <c r="IA137" s="122"/>
      <c r="IB137" s="122"/>
      <c r="IC137" s="122"/>
      <c r="ID137" s="122"/>
      <c r="IE137" s="122"/>
      <c r="IF137" s="122"/>
      <c r="IG137" s="122"/>
      <c r="IH137" s="122"/>
      <c r="II137" s="122"/>
      <c r="IJ137" s="122"/>
      <c r="IK137" s="122"/>
      <c r="IL137" s="122"/>
      <c r="IM137" s="122"/>
      <c r="IN137" s="122"/>
      <c r="IO137" s="122"/>
      <c r="IP137" s="122"/>
      <c r="IQ137" s="122"/>
      <c r="IR137" s="122"/>
      <c r="IS137" s="122"/>
      <c r="IT137" s="122"/>
      <c r="IU137" s="122"/>
      <c r="IV137" s="122"/>
      <c r="IW137" s="122"/>
      <c r="IX137" s="122"/>
      <c r="IY137" s="122"/>
      <c r="IZ137" s="122"/>
      <c r="JA137" s="122"/>
      <c r="JB137" s="122"/>
      <c r="JC137" s="122"/>
      <c r="JD137" s="122"/>
      <c r="JE137" s="122"/>
      <c r="JF137" s="122"/>
      <c r="JG137" s="122"/>
      <c r="JH137" s="122"/>
      <c r="JI137" s="119">
        <f t="shared" si="2"/>
        <v>199000</v>
      </c>
      <c r="JJ137" s="379">
        <v>5975</v>
      </c>
      <c r="JK137" s="122"/>
      <c r="JL137" s="125"/>
      <c r="JM137" s="345"/>
      <c r="JN137" s="125"/>
      <c r="JO137" s="125"/>
      <c r="JP137" s="125"/>
    </row>
    <row r="138" spans="1:276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22"/>
      <c r="AY138" s="122"/>
      <c r="AZ138" s="122"/>
      <c r="BA138" s="122"/>
      <c r="BB138" s="122"/>
      <c r="BC138" s="122"/>
      <c r="BD138" s="122"/>
      <c r="BE138" s="122"/>
      <c r="BF138" s="122"/>
      <c r="BG138" s="122"/>
      <c r="BH138" s="122"/>
      <c r="BI138" s="122"/>
      <c r="BJ138" s="122"/>
      <c r="BK138" s="122"/>
      <c r="BL138" s="122"/>
      <c r="BM138" s="122"/>
      <c r="BN138" s="122"/>
      <c r="BO138" s="122"/>
      <c r="BP138" s="122"/>
      <c r="BQ138" s="122"/>
      <c r="BR138" s="122"/>
      <c r="BS138" s="122"/>
      <c r="BT138" s="122"/>
      <c r="BU138" s="122"/>
      <c r="BV138" s="122"/>
      <c r="BW138" s="122"/>
      <c r="BX138" s="122"/>
      <c r="BY138" s="122"/>
      <c r="BZ138" s="122"/>
      <c r="CA138" s="122"/>
      <c r="CB138" s="122"/>
      <c r="CC138" s="122"/>
      <c r="CD138" s="122"/>
      <c r="CE138" s="122"/>
      <c r="CF138" s="122"/>
      <c r="CG138" s="122"/>
      <c r="CH138" s="122"/>
      <c r="CI138" s="122"/>
      <c r="CJ138" s="122"/>
      <c r="CK138" s="122"/>
      <c r="CL138" s="122"/>
      <c r="CM138" s="122"/>
      <c r="CN138" s="122"/>
      <c r="CO138" s="122"/>
      <c r="CP138" s="122"/>
      <c r="CQ138" s="122"/>
      <c r="CR138" s="122"/>
      <c r="CS138" s="122"/>
      <c r="CT138" s="122"/>
      <c r="CU138" s="122"/>
      <c r="CV138" s="122"/>
      <c r="CW138" s="122"/>
      <c r="CX138" s="122"/>
      <c r="CY138" s="122"/>
      <c r="CZ138" s="122"/>
      <c r="DA138" s="122"/>
      <c r="DB138" s="122"/>
      <c r="DC138" s="122"/>
      <c r="DD138" s="122"/>
      <c r="DE138" s="122"/>
      <c r="DF138" s="122"/>
      <c r="DG138" s="122"/>
      <c r="DH138" s="122"/>
      <c r="DI138" s="122"/>
      <c r="DJ138" s="122"/>
      <c r="DK138" s="122"/>
      <c r="DL138" s="122"/>
      <c r="DM138" s="122"/>
      <c r="DN138" s="122"/>
      <c r="DO138" s="122"/>
      <c r="DP138" s="122"/>
      <c r="DQ138" s="122"/>
      <c r="DR138" s="122"/>
      <c r="DS138" s="122"/>
      <c r="DT138" s="122"/>
      <c r="DU138" s="122"/>
      <c r="DV138" s="122"/>
      <c r="DW138" s="122"/>
      <c r="DX138" s="122"/>
      <c r="DY138" s="122"/>
      <c r="DZ138" s="122"/>
      <c r="EA138" s="122">
        <v>167160</v>
      </c>
      <c r="EB138" s="122"/>
      <c r="EC138" s="122"/>
      <c r="ED138" s="122"/>
      <c r="EE138" s="122"/>
      <c r="EF138" s="122"/>
      <c r="EG138" s="122"/>
      <c r="EH138" s="122"/>
      <c r="EI138" s="122"/>
      <c r="EJ138" s="122"/>
      <c r="EK138" s="122"/>
      <c r="EL138" s="122"/>
      <c r="EM138" s="122"/>
      <c r="EN138" s="122"/>
      <c r="EO138" s="122"/>
      <c r="EP138" s="122"/>
      <c r="EQ138" s="122"/>
      <c r="ER138" s="122"/>
      <c r="ES138" s="122"/>
      <c r="ET138" s="122"/>
      <c r="EU138" s="122"/>
      <c r="EV138" s="122"/>
      <c r="EW138" s="122"/>
      <c r="EX138" s="122"/>
      <c r="EY138" s="122"/>
      <c r="EZ138" s="122"/>
      <c r="FA138" s="122"/>
      <c r="FB138" s="122"/>
      <c r="FC138" s="122"/>
      <c r="FD138" s="122"/>
      <c r="FE138" s="122"/>
      <c r="FF138" s="122"/>
      <c r="FG138" s="122"/>
      <c r="FH138" s="122"/>
      <c r="FI138" s="122"/>
      <c r="FJ138" s="122"/>
      <c r="FK138" s="122"/>
      <c r="FL138" s="122"/>
      <c r="FM138" s="122"/>
      <c r="FN138" s="122"/>
      <c r="FO138" s="122"/>
      <c r="FP138" s="122"/>
      <c r="FQ138" s="122"/>
      <c r="FR138" s="122"/>
      <c r="FS138" s="122"/>
      <c r="FT138" s="122"/>
      <c r="FU138" s="122"/>
      <c r="FV138" s="122"/>
      <c r="FW138" s="122"/>
      <c r="FX138" s="122"/>
      <c r="FY138" s="122"/>
      <c r="FZ138" s="122"/>
      <c r="GA138" s="122"/>
      <c r="GB138" s="122"/>
      <c r="GC138" s="122"/>
      <c r="GD138" s="122"/>
      <c r="GE138" s="122"/>
      <c r="GF138" s="122"/>
      <c r="GG138" s="122"/>
      <c r="GH138" s="122"/>
      <c r="GI138" s="122"/>
      <c r="GJ138" s="122"/>
      <c r="GK138" s="122"/>
      <c r="GL138" s="122"/>
      <c r="GM138" s="122"/>
      <c r="GN138" s="122"/>
      <c r="GO138" s="122"/>
      <c r="GP138" s="122"/>
      <c r="GQ138" s="122"/>
      <c r="GR138" s="122"/>
      <c r="GS138" s="122"/>
      <c r="GT138" s="122"/>
      <c r="GU138" s="122"/>
      <c r="GV138" s="122"/>
      <c r="GW138" s="122"/>
      <c r="GX138" s="122"/>
      <c r="GY138" s="122"/>
      <c r="GZ138" s="122"/>
      <c r="HA138" s="122"/>
      <c r="HB138" s="122"/>
      <c r="HC138" s="122"/>
      <c r="HD138" s="122"/>
      <c r="HE138" s="122"/>
      <c r="HF138" s="122"/>
      <c r="HG138" s="122"/>
      <c r="HH138" s="122"/>
      <c r="HI138" s="122"/>
      <c r="HJ138" s="122"/>
      <c r="HK138" s="122"/>
      <c r="HL138" s="122"/>
      <c r="HM138" s="122"/>
      <c r="HN138" s="122"/>
      <c r="HO138" s="122"/>
      <c r="HP138" s="122"/>
      <c r="HQ138" s="122"/>
      <c r="HR138" s="122"/>
      <c r="HS138" s="122"/>
      <c r="HT138" s="122"/>
      <c r="HU138" s="122"/>
      <c r="HV138" s="122"/>
      <c r="HW138" s="122"/>
      <c r="HX138" s="122"/>
      <c r="HY138" s="122"/>
      <c r="HZ138" s="122"/>
      <c r="IA138" s="122"/>
      <c r="IB138" s="122"/>
      <c r="IC138" s="122"/>
      <c r="ID138" s="122"/>
      <c r="IE138" s="122"/>
      <c r="IF138" s="122"/>
      <c r="IG138" s="122"/>
      <c r="IH138" s="122"/>
      <c r="II138" s="122"/>
      <c r="IJ138" s="122"/>
      <c r="IK138" s="122"/>
      <c r="IL138" s="122"/>
      <c r="IM138" s="122"/>
      <c r="IN138" s="122"/>
      <c r="IO138" s="122"/>
      <c r="IP138" s="122"/>
      <c r="IQ138" s="122"/>
      <c r="IR138" s="122"/>
      <c r="IS138" s="122"/>
      <c r="IT138" s="122"/>
      <c r="IU138" s="122"/>
      <c r="IV138" s="122"/>
      <c r="IW138" s="122"/>
      <c r="IX138" s="122"/>
      <c r="IY138" s="122"/>
      <c r="IZ138" s="122"/>
      <c r="JA138" s="122"/>
      <c r="JB138" s="122"/>
      <c r="JC138" s="122"/>
      <c r="JD138" s="122"/>
      <c r="JE138" s="122"/>
      <c r="JF138" s="122"/>
      <c r="JG138" s="122"/>
      <c r="JH138" s="122"/>
      <c r="JI138" s="119">
        <f t="shared" si="2"/>
        <v>167160</v>
      </c>
      <c r="JJ138" s="379">
        <v>5978</v>
      </c>
      <c r="JK138" s="122"/>
      <c r="JL138" s="125"/>
      <c r="JM138" s="345"/>
      <c r="JN138" s="125"/>
      <c r="JO138" s="125"/>
      <c r="JP138" s="125"/>
    </row>
    <row r="139" spans="1:276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  <c r="BQ139" s="122"/>
      <c r="BR139" s="122"/>
      <c r="BS139" s="122"/>
      <c r="BT139" s="122"/>
      <c r="BU139" s="122"/>
      <c r="BV139" s="122"/>
      <c r="BW139" s="122"/>
      <c r="BX139" s="122"/>
      <c r="BY139" s="122"/>
      <c r="BZ139" s="122"/>
      <c r="CA139" s="122"/>
      <c r="CB139" s="122"/>
      <c r="CC139" s="122"/>
      <c r="CD139" s="122"/>
      <c r="CE139" s="122"/>
      <c r="CF139" s="122"/>
      <c r="CG139" s="122"/>
      <c r="CH139" s="122"/>
      <c r="CI139" s="122"/>
      <c r="CJ139" s="122"/>
      <c r="CK139" s="122"/>
      <c r="CL139" s="122"/>
      <c r="CM139" s="122"/>
      <c r="CN139" s="122"/>
      <c r="CO139" s="122"/>
      <c r="CP139" s="122"/>
      <c r="CQ139" s="122"/>
      <c r="CR139" s="122"/>
      <c r="CS139" s="122"/>
      <c r="CT139" s="122"/>
      <c r="CU139" s="122"/>
      <c r="CV139" s="122"/>
      <c r="CW139" s="122"/>
      <c r="CX139" s="122"/>
      <c r="CY139" s="122"/>
      <c r="CZ139" s="122"/>
      <c r="DA139" s="122"/>
      <c r="DB139" s="122"/>
      <c r="DC139" s="122"/>
      <c r="DD139" s="122"/>
      <c r="DE139" s="122"/>
      <c r="DF139" s="122"/>
      <c r="DG139" s="122"/>
      <c r="DH139" s="122"/>
      <c r="DI139" s="122"/>
      <c r="DJ139" s="122"/>
      <c r="DK139" s="122"/>
      <c r="DL139" s="122"/>
      <c r="DM139" s="122"/>
      <c r="DN139" s="122"/>
      <c r="DO139" s="122"/>
      <c r="DP139" s="122"/>
      <c r="DQ139" s="122"/>
      <c r="DR139" s="122"/>
      <c r="DS139" s="122"/>
      <c r="DT139" s="122"/>
      <c r="DU139" s="122"/>
      <c r="DV139" s="122"/>
      <c r="DW139" s="122"/>
      <c r="DX139" s="122"/>
      <c r="DY139" s="122"/>
      <c r="DZ139" s="122"/>
      <c r="EA139" s="122"/>
      <c r="EB139" s="122"/>
      <c r="EC139" s="122"/>
      <c r="ED139" s="122"/>
      <c r="EE139" s="122"/>
      <c r="EF139" s="122"/>
      <c r="EG139" s="122"/>
      <c r="EH139" s="122"/>
      <c r="EI139" s="122"/>
      <c r="EJ139" s="122"/>
      <c r="EK139" s="122"/>
      <c r="EL139" s="122"/>
      <c r="EM139" s="122"/>
      <c r="EN139" s="122"/>
      <c r="EO139" s="122"/>
      <c r="EP139" s="122"/>
      <c r="EQ139" s="122"/>
      <c r="ER139" s="122"/>
      <c r="ES139" s="122"/>
      <c r="ET139" s="122"/>
      <c r="EU139" s="122"/>
      <c r="EV139" s="122"/>
      <c r="EW139" s="122"/>
      <c r="EX139" s="122"/>
      <c r="EY139" s="122"/>
      <c r="EZ139" s="122"/>
      <c r="FA139" s="122"/>
      <c r="FB139" s="122"/>
      <c r="FC139" s="122"/>
      <c r="FD139" s="122"/>
      <c r="FE139" s="122"/>
      <c r="FF139" s="122"/>
      <c r="FG139" s="122"/>
      <c r="FH139" s="122"/>
      <c r="FI139" s="122"/>
      <c r="FJ139" s="122"/>
      <c r="FK139" s="122"/>
      <c r="FL139" s="122"/>
      <c r="FM139" s="122"/>
      <c r="FN139" s="122"/>
      <c r="FO139" s="122"/>
      <c r="FP139" s="122"/>
      <c r="FQ139" s="122"/>
      <c r="FR139" s="122"/>
      <c r="FS139" s="122"/>
      <c r="FT139" s="122">
        <v>1982400</v>
      </c>
      <c r="FU139" s="122"/>
      <c r="FV139" s="122"/>
      <c r="FW139" s="122"/>
      <c r="FX139" s="122"/>
      <c r="FY139" s="122"/>
      <c r="FZ139" s="122"/>
      <c r="GA139" s="122"/>
      <c r="GB139" s="122"/>
      <c r="GC139" s="122"/>
      <c r="GD139" s="122"/>
      <c r="GE139" s="122"/>
      <c r="GF139" s="122"/>
      <c r="GG139" s="122"/>
      <c r="GH139" s="122"/>
      <c r="GI139" s="122"/>
      <c r="GJ139" s="122"/>
      <c r="GK139" s="122"/>
      <c r="GL139" s="122"/>
      <c r="GM139" s="122"/>
      <c r="GN139" s="122"/>
      <c r="GO139" s="122"/>
      <c r="GP139" s="122"/>
      <c r="GQ139" s="122"/>
      <c r="GR139" s="122"/>
      <c r="GS139" s="122"/>
      <c r="GT139" s="122"/>
      <c r="GU139" s="122"/>
      <c r="GV139" s="122"/>
      <c r="GW139" s="122"/>
      <c r="GX139" s="122"/>
      <c r="GY139" s="122"/>
      <c r="GZ139" s="122"/>
      <c r="HA139" s="122"/>
      <c r="HB139" s="122"/>
      <c r="HC139" s="122"/>
      <c r="HD139" s="122"/>
      <c r="HE139" s="122"/>
      <c r="HF139" s="122"/>
      <c r="HG139" s="122"/>
      <c r="HH139" s="122"/>
      <c r="HI139" s="122"/>
      <c r="HJ139" s="122"/>
      <c r="HK139" s="122"/>
      <c r="HL139" s="122"/>
      <c r="HM139" s="122"/>
      <c r="HN139" s="122"/>
      <c r="HO139" s="122"/>
      <c r="HP139" s="122"/>
      <c r="HQ139" s="122"/>
      <c r="HR139" s="122"/>
      <c r="HS139" s="122"/>
      <c r="HT139" s="122"/>
      <c r="HU139" s="122"/>
      <c r="HV139" s="122"/>
      <c r="HW139" s="122"/>
      <c r="HX139" s="122"/>
      <c r="HY139" s="122"/>
      <c r="HZ139" s="122"/>
      <c r="IA139" s="122"/>
      <c r="IB139" s="122"/>
      <c r="IC139" s="122"/>
      <c r="ID139" s="122"/>
      <c r="IE139" s="122"/>
      <c r="IF139" s="122"/>
      <c r="IG139" s="122"/>
      <c r="IH139" s="122"/>
      <c r="II139" s="122"/>
      <c r="IJ139" s="122"/>
      <c r="IK139" s="122"/>
      <c r="IL139" s="122"/>
      <c r="IM139" s="122"/>
      <c r="IN139" s="122"/>
      <c r="IO139" s="122"/>
      <c r="IP139" s="122"/>
      <c r="IQ139" s="122"/>
      <c r="IR139" s="122"/>
      <c r="IS139" s="122"/>
      <c r="IT139" s="122"/>
      <c r="IU139" s="122"/>
      <c r="IV139" s="122"/>
      <c r="IW139" s="122"/>
      <c r="IX139" s="122"/>
      <c r="IY139" s="122"/>
      <c r="IZ139" s="122"/>
      <c r="JA139" s="122"/>
      <c r="JB139" s="122"/>
      <c r="JC139" s="122"/>
      <c r="JD139" s="122"/>
      <c r="JE139" s="122"/>
      <c r="JF139" s="122"/>
      <c r="JG139" s="122"/>
      <c r="JH139" s="122"/>
      <c r="JI139" s="119">
        <f t="shared" si="2"/>
        <v>1982400</v>
      </c>
      <c r="JJ139" s="379">
        <v>5982</v>
      </c>
      <c r="JK139" s="122"/>
      <c r="JL139" s="125"/>
      <c r="JM139" s="345"/>
      <c r="JN139" s="125"/>
      <c r="JO139" s="125"/>
      <c r="JP139" s="125"/>
    </row>
    <row r="140" spans="1:276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>
        <v>275000</v>
      </c>
      <c r="BJ140" s="122"/>
      <c r="BK140" s="122"/>
      <c r="BL140" s="122"/>
      <c r="BM140" s="122"/>
      <c r="BN140" s="122"/>
      <c r="BO140" s="122"/>
      <c r="BP140" s="122"/>
      <c r="BQ140" s="122"/>
      <c r="BR140" s="122"/>
      <c r="BS140" s="122"/>
      <c r="BT140" s="122"/>
      <c r="BU140" s="122"/>
      <c r="BV140" s="122"/>
      <c r="BW140" s="122"/>
      <c r="BX140" s="122"/>
      <c r="BY140" s="122"/>
      <c r="BZ140" s="122"/>
      <c r="CA140" s="122"/>
      <c r="CB140" s="122"/>
      <c r="CC140" s="122"/>
      <c r="CD140" s="122"/>
      <c r="CE140" s="122"/>
      <c r="CF140" s="122"/>
      <c r="CG140" s="122"/>
      <c r="CH140" s="122"/>
      <c r="CI140" s="122"/>
      <c r="CJ140" s="122"/>
      <c r="CK140" s="122"/>
      <c r="CL140" s="122"/>
      <c r="CM140" s="122"/>
      <c r="CN140" s="122"/>
      <c r="CO140" s="122"/>
      <c r="CP140" s="122"/>
      <c r="CQ140" s="122"/>
      <c r="CR140" s="122"/>
      <c r="CS140" s="122"/>
      <c r="CT140" s="122"/>
      <c r="CU140" s="122"/>
      <c r="CV140" s="122"/>
      <c r="CW140" s="122"/>
      <c r="CX140" s="122"/>
      <c r="CY140" s="122"/>
      <c r="CZ140" s="122"/>
      <c r="DA140" s="122"/>
      <c r="DB140" s="122"/>
      <c r="DC140" s="122"/>
      <c r="DD140" s="122"/>
      <c r="DE140" s="122"/>
      <c r="DF140" s="122"/>
      <c r="DG140" s="122"/>
      <c r="DH140" s="122"/>
      <c r="DI140" s="122"/>
      <c r="DJ140" s="122"/>
      <c r="DK140" s="122"/>
      <c r="DL140" s="122"/>
      <c r="DM140" s="122"/>
      <c r="DN140" s="122"/>
      <c r="DO140" s="122"/>
      <c r="DP140" s="122"/>
      <c r="DQ140" s="122"/>
      <c r="DR140" s="122"/>
      <c r="DS140" s="122"/>
      <c r="DT140" s="122"/>
      <c r="DU140" s="122"/>
      <c r="DV140" s="122"/>
      <c r="DW140" s="122"/>
      <c r="DX140" s="122"/>
      <c r="DY140" s="122"/>
      <c r="DZ140" s="122"/>
      <c r="EA140" s="122"/>
      <c r="EB140" s="122"/>
      <c r="EC140" s="122"/>
      <c r="ED140" s="122"/>
      <c r="EE140" s="122"/>
      <c r="EF140" s="122"/>
      <c r="EG140" s="122"/>
      <c r="EH140" s="122"/>
      <c r="EI140" s="122"/>
      <c r="EJ140" s="122"/>
      <c r="EK140" s="122"/>
      <c r="EL140" s="122"/>
      <c r="EM140" s="122"/>
      <c r="EN140" s="122"/>
      <c r="EO140" s="122"/>
      <c r="EP140" s="122"/>
      <c r="EQ140" s="122"/>
      <c r="ER140" s="122"/>
      <c r="ES140" s="122"/>
      <c r="ET140" s="122"/>
      <c r="EU140" s="122"/>
      <c r="EV140" s="122"/>
      <c r="EW140" s="122"/>
      <c r="EX140" s="122"/>
      <c r="EY140" s="122"/>
      <c r="EZ140" s="122"/>
      <c r="FA140" s="122"/>
      <c r="FB140" s="122"/>
      <c r="FC140" s="122"/>
      <c r="FD140" s="122"/>
      <c r="FE140" s="122"/>
      <c r="FF140" s="122"/>
      <c r="FG140" s="122"/>
      <c r="FH140" s="122"/>
      <c r="FI140" s="122"/>
      <c r="FJ140" s="122"/>
      <c r="FK140" s="122"/>
      <c r="FL140" s="122"/>
      <c r="FM140" s="122"/>
      <c r="FN140" s="122"/>
      <c r="FO140" s="122"/>
      <c r="FP140" s="122"/>
      <c r="FQ140" s="122"/>
      <c r="FR140" s="122"/>
      <c r="FS140" s="122"/>
      <c r="FT140" s="122"/>
      <c r="FU140" s="122"/>
      <c r="FV140" s="122"/>
      <c r="FW140" s="122"/>
      <c r="FX140" s="122"/>
      <c r="FY140" s="122"/>
      <c r="FZ140" s="122"/>
      <c r="GA140" s="122"/>
      <c r="GB140" s="122"/>
      <c r="GC140" s="122"/>
      <c r="GD140" s="122"/>
      <c r="GE140" s="122"/>
      <c r="GF140" s="122"/>
      <c r="GG140" s="122"/>
      <c r="GH140" s="122"/>
      <c r="GI140" s="122"/>
      <c r="GJ140" s="122"/>
      <c r="GK140" s="122"/>
      <c r="GL140" s="122"/>
      <c r="GM140" s="122"/>
      <c r="GN140" s="122"/>
      <c r="GO140" s="122"/>
      <c r="GP140" s="122"/>
      <c r="GQ140" s="122"/>
      <c r="GR140" s="122"/>
      <c r="GS140" s="122"/>
      <c r="GT140" s="122"/>
      <c r="GU140" s="122"/>
      <c r="GV140" s="122"/>
      <c r="GW140" s="122"/>
      <c r="GX140" s="122"/>
      <c r="GY140" s="122"/>
      <c r="GZ140" s="122"/>
      <c r="HA140" s="122"/>
      <c r="HB140" s="122"/>
      <c r="HC140" s="122"/>
      <c r="HD140" s="122"/>
      <c r="HE140" s="122"/>
      <c r="HF140" s="122"/>
      <c r="HG140" s="122"/>
      <c r="HH140" s="122"/>
      <c r="HI140" s="122"/>
      <c r="HJ140" s="122"/>
      <c r="HK140" s="122"/>
      <c r="HL140" s="122"/>
      <c r="HM140" s="122"/>
      <c r="HN140" s="122"/>
      <c r="HO140" s="122"/>
      <c r="HP140" s="122"/>
      <c r="HQ140" s="122"/>
      <c r="HR140" s="122"/>
      <c r="HS140" s="122"/>
      <c r="HT140" s="122"/>
      <c r="HU140" s="122"/>
      <c r="HV140" s="122"/>
      <c r="HW140" s="122"/>
      <c r="HX140" s="122"/>
      <c r="HY140" s="122"/>
      <c r="HZ140" s="122"/>
      <c r="IA140" s="122"/>
      <c r="IB140" s="122"/>
      <c r="IC140" s="122"/>
      <c r="ID140" s="122"/>
      <c r="IE140" s="122"/>
      <c r="IF140" s="122"/>
      <c r="IG140" s="122"/>
      <c r="IH140" s="122"/>
      <c r="II140" s="122"/>
      <c r="IJ140" s="122"/>
      <c r="IK140" s="122"/>
      <c r="IL140" s="122"/>
      <c r="IM140" s="122"/>
      <c r="IN140" s="122"/>
      <c r="IO140" s="122"/>
      <c r="IP140" s="122"/>
      <c r="IQ140" s="122"/>
      <c r="IR140" s="122"/>
      <c r="IS140" s="122"/>
      <c r="IT140" s="122"/>
      <c r="IU140" s="122"/>
      <c r="IV140" s="122"/>
      <c r="IW140" s="122"/>
      <c r="IX140" s="122"/>
      <c r="IY140" s="122"/>
      <c r="IZ140" s="122"/>
      <c r="JA140" s="122"/>
      <c r="JB140" s="122"/>
      <c r="JC140" s="122"/>
      <c r="JD140" s="122"/>
      <c r="JE140" s="122"/>
      <c r="JF140" s="122"/>
      <c r="JG140" s="122"/>
      <c r="JH140" s="122"/>
      <c r="JI140" s="119">
        <f t="shared" si="2"/>
        <v>275000</v>
      </c>
      <c r="JJ140" s="379">
        <v>5986</v>
      </c>
      <c r="JK140" s="122"/>
      <c r="JL140" s="125"/>
      <c r="JM140" s="345"/>
      <c r="JN140" s="125"/>
      <c r="JO140" s="125"/>
      <c r="JP140" s="125"/>
    </row>
    <row r="141" spans="1:276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  <c r="BQ141" s="122"/>
      <c r="BR141" s="122"/>
      <c r="BS141" s="122"/>
      <c r="BT141" s="122"/>
      <c r="BU141" s="122"/>
      <c r="BV141" s="122"/>
      <c r="BW141" s="122"/>
      <c r="BX141" s="122"/>
      <c r="BY141" s="122"/>
      <c r="BZ141" s="122"/>
      <c r="CA141" s="122"/>
      <c r="CB141" s="122"/>
      <c r="CC141" s="122"/>
      <c r="CD141" s="122"/>
      <c r="CE141" s="122"/>
      <c r="CF141" s="122"/>
      <c r="CG141" s="122"/>
      <c r="CH141" s="122"/>
      <c r="CI141" s="122"/>
      <c r="CJ141" s="122"/>
      <c r="CK141" s="122"/>
      <c r="CL141" s="122"/>
      <c r="CM141" s="122"/>
      <c r="CN141" s="122"/>
      <c r="CO141" s="122"/>
      <c r="CP141" s="122"/>
      <c r="CQ141" s="122"/>
      <c r="CR141" s="122"/>
      <c r="CS141" s="122"/>
      <c r="CT141" s="122"/>
      <c r="CU141" s="122"/>
      <c r="CV141" s="122"/>
      <c r="CW141" s="122"/>
      <c r="CX141" s="122"/>
      <c r="CY141" s="122"/>
      <c r="CZ141" s="122"/>
      <c r="DA141" s="122"/>
      <c r="DB141" s="122"/>
      <c r="DC141" s="122"/>
      <c r="DD141" s="122"/>
      <c r="DE141" s="122"/>
      <c r="DF141" s="122"/>
      <c r="DG141" s="122"/>
      <c r="DH141" s="122"/>
      <c r="DI141" s="122"/>
      <c r="DJ141" s="122"/>
      <c r="DK141" s="122"/>
      <c r="DL141" s="122"/>
      <c r="DM141" s="122"/>
      <c r="DN141" s="122"/>
      <c r="DO141" s="122"/>
      <c r="DP141" s="122"/>
      <c r="DQ141" s="122"/>
      <c r="DR141" s="122"/>
      <c r="DS141" s="122"/>
      <c r="DT141" s="122"/>
      <c r="DU141" s="122"/>
      <c r="DV141" s="122"/>
      <c r="DW141" s="122"/>
      <c r="DX141" s="122"/>
      <c r="DY141" s="122"/>
      <c r="DZ141" s="122"/>
      <c r="EA141" s="122"/>
      <c r="EB141" s="122"/>
      <c r="EC141" s="122"/>
      <c r="ED141" s="122"/>
      <c r="EE141" s="122"/>
      <c r="EF141" s="122"/>
      <c r="EG141" s="122"/>
      <c r="EH141" s="122"/>
      <c r="EI141" s="122"/>
      <c r="EJ141" s="122"/>
      <c r="EK141" s="122"/>
      <c r="EL141" s="122"/>
      <c r="EM141" s="122"/>
      <c r="EN141" s="122"/>
      <c r="EO141" s="122"/>
      <c r="EP141" s="122"/>
      <c r="EQ141" s="122"/>
      <c r="ER141" s="122"/>
      <c r="ES141" s="122"/>
      <c r="ET141" s="122"/>
      <c r="EU141" s="122"/>
      <c r="EV141" s="122"/>
      <c r="EW141" s="122"/>
      <c r="EX141" s="122"/>
      <c r="EY141" s="122"/>
      <c r="EZ141" s="122"/>
      <c r="FA141" s="122"/>
      <c r="FB141" s="122"/>
      <c r="FC141" s="122"/>
      <c r="FD141" s="122"/>
      <c r="FE141" s="122"/>
      <c r="FF141" s="122"/>
      <c r="FG141" s="122"/>
      <c r="FH141" s="122"/>
      <c r="FI141" s="122"/>
      <c r="FJ141" s="122"/>
      <c r="FK141" s="122"/>
      <c r="FL141" s="122"/>
      <c r="FM141" s="122"/>
      <c r="FN141" s="122"/>
      <c r="FO141" s="122"/>
      <c r="FP141" s="122"/>
      <c r="FQ141" s="122"/>
      <c r="FR141" s="122"/>
      <c r="FS141" s="122"/>
      <c r="FT141" s="122">
        <v>82372.08</v>
      </c>
      <c r="FU141" s="122"/>
      <c r="FV141" s="122"/>
      <c r="FW141" s="122"/>
      <c r="FX141" s="122"/>
      <c r="FY141" s="122"/>
      <c r="FZ141" s="122"/>
      <c r="GA141" s="122"/>
      <c r="GB141" s="122"/>
      <c r="GC141" s="122"/>
      <c r="GD141" s="122"/>
      <c r="GE141" s="122"/>
      <c r="GF141" s="122"/>
      <c r="GG141" s="122"/>
      <c r="GH141" s="122"/>
      <c r="GI141" s="122"/>
      <c r="GJ141" s="122"/>
      <c r="GK141" s="122"/>
      <c r="GL141" s="122"/>
      <c r="GM141" s="122"/>
      <c r="GN141" s="122"/>
      <c r="GO141" s="122"/>
      <c r="GP141" s="122"/>
      <c r="GQ141" s="122"/>
      <c r="GR141" s="122"/>
      <c r="GS141" s="122"/>
      <c r="GT141" s="122"/>
      <c r="GU141" s="122"/>
      <c r="GV141" s="122"/>
      <c r="GW141" s="122"/>
      <c r="GX141" s="122"/>
      <c r="GY141" s="122"/>
      <c r="GZ141" s="122"/>
      <c r="HA141" s="122"/>
      <c r="HB141" s="122"/>
      <c r="HC141" s="122"/>
      <c r="HD141" s="122"/>
      <c r="HE141" s="122"/>
      <c r="HF141" s="122"/>
      <c r="HG141" s="122"/>
      <c r="HH141" s="122"/>
      <c r="HI141" s="122"/>
      <c r="HJ141" s="122"/>
      <c r="HK141" s="122"/>
      <c r="HL141" s="122"/>
      <c r="HM141" s="122"/>
      <c r="HN141" s="122"/>
      <c r="HO141" s="122"/>
      <c r="HP141" s="122"/>
      <c r="HQ141" s="122"/>
      <c r="HR141" s="122"/>
      <c r="HS141" s="122"/>
      <c r="HT141" s="122"/>
      <c r="HU141" s="122"/>
      <c r="HV141" s="122"/>
      <c r="HW141" s="122"/>
      <c r="HX141" s="122"/>
      <c r="HY141" s="122"/>
      <c r="HZ141" s="122"/>
      <c r="IA141" s="122"/>
      <c r="IB141" s="122"/>
      <c r="IC141" s="122"/>
      <c r="ID141" s="122"/>
      <c r="IE141" s="122"/>
      <c r="IF141" s="122"/>
      <c r="IG141" s="122"/>
      <c r="IH141" s="122"/>
      <c r="II141" s="122"/>
      <c r="IJ141" s="122"/>
      <c r="IK141" s="122"/>
      <c r="IL141" s="122"/>
      <c r="IM141" s="122"/>
      <c r="IN141" s="122"/>
      <c r="IO141" s="122"/>
      <c r="IP141" s="122"/>
      <c r="IQ141" s="122"/>
      <c r="IR141" s="122"/>
      <c r="IS141" s="122"/>
      <c r="IT141" s="122"/>
      <c r="IU141" s="122"/>
      <c r="IV141" s="122"/>
      <c r="IW141" s="122"/>
      <c r="IX141" s="122"/>
      <c r="IY141" s="122"/>
      <c r="IZ141" s="122"/>
      <c r="JA141" s="122"/>
      <c r="JB141" s="122"/>
      <c r="JC141" s="122"/>
      <c r="JD141" s="122"/>
      <c r="JE141" s="122"/>
      <c r="JF141" s="122"/>
      <c r="JG141" s="122"/>
      <c r="JH141" s="122"/>
      <c r="JI141" s="119">
        <f t="shared" si="2"/>
        <v>82372.08</v>
      </c>
      <c r="JJ141" s="379">
        <v>5990</v>
      </c>
      <c r="JK141" s="122"/>
      <c r="JL141" s="125"/>
      <c r="JM141" s="345"/>
      <c r="JN141" s="125"/>
      <c r="JO141" s="125"/>
      <c r="JP141" s="125"/>
    </row>
    <row r="142" spans="1:276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  <c r="BP142" s="122"/>
      <c r="BQ142" s="122"/>
      <c r="BR142" s="122"/>
      <c r="BS142" s="122"/>
      <c r="BT142" s="122"/>
      <c r="BU142" s="122"/>
      <c r="BV142" s="122"/>
      <c r="BW142" s="122"/>
      <c r="BX142" s="122"/>
      <c r="BY142" s="122"/>
      <c r="BZ142" s="122"/>
      <c r="CA142" s="122"/>
      <c r="CB142" s="122"/>
      <c r="CC142" s="122"/>
      <c r="CD142" s="122"/>
      <c r="CE142" s="122"/>
      <c r="CF142" s="122"/>
      <c r="CG142" s="122"/>
      <c r="CH142" s="122"/>
      <c r="CI142" s="122"/>
      <c r="CJ142" s="122"/>
      <c r="CK142" s="122"/>
      <c r="CL142" s="122"/>
      <c r="CM142" s="122"/>
      <c r="CN142" s="122"/>
      <c r="CO142" s="122"/>
      <c r="CP142" s="122"/>
      <c r="CQ142" s="122"/>
      <c r="CR142" s="122"/>
      <c r="CS142" s="122"/>
      <c r="CT142" s="122"/>
      <c r="CU142" s="122"/>
      <c r="CV142" s="122"/>
      <c r="CW142" s="122"/>
      <c r="CX142" s="122"/>
      <c r="CY142" s="122"/>
      <c r="CZ142" s="122"/>
      <c r="DA142" s="122"/>
      <c r="DB142" s="122"/>
      <c r="DC142" s="122"/>
      <c r="DD142" s="122"/>
      <c r="DE142" s="122"/>
      <c r="DF142" s="122"/>
      <c r="DG142" s="122"/>
      <c r="DH142" s="122"/>
      <c r="DI142" s="122"/>
      <c r="DJ142" s="122"/>
      <c r="DK142" s="122">
        <v>783808</v>
      </c>
      <c r="DL142" s="122"/>
      <c r="DM142" s="122"/>
      <c r="DN142" s="122"/>
      <c r="DO142" s="122"/>
      <c r="DP142" s="122"/>
      <c r="DQ142" s="122"/>
      <c r="DR142" s="122"/>
      <c r="DS142" s="122"/>
      <c r="DT142" s="122"/>
      <c r="DU142" s="122"/>
      <c r="DV142" s="122"/>
      <c r="DW142" s="122"/>
      <c r="DX142" s="122"/>
      <c r="DY142" s="122"/>
      <c r="DZ142" s="122"/>
      <c r="EA142" s="122"/>
      <c r="EB142" s="122"/>
      <c r="EC142" s="122"/>
      <c r="ED142" s="122"/>
      <c r="EE142" s="122"/>
      <c r="EF142" s="122"/>
      <c r="EG142" s="122">
        <v>21240</v>
      </c>
      <c r="EH142" s="122"/>
      <c r="EI142" s="122"/>
      <c r="EJ142" s="122"/>
      <c r="EK142" s="122"/>
      <c r="EL142" s="122"/>
      <c r="EM142" s="122"/>
      <c r="EN142" s="122"/>
      <c r="EO142" s="122"/>
      <c r="EP142" s="122"/>
      <c r="EQ142" s="122"/>
      <c r="ER142" s="122"/>
      <c r="ES142" s="122"/>
      <c r="ET142" s="122"/>
      <c r="EU142" s="122"/>
      <c r="EV142" s="122"/>
      <c r="EW142" s="122"/>
      <c r="EX142" s="122"/>
      <c r="EY142" s="122"/>
      <c r="EZ142" s="122"/>
      <c r="FA142" s="122"/>
      <c r="FB142" s="122"/>
      <c r="FC142" s="122"/>
      <c r="FD142" s="122"/>
      <c r="FE142" s="122"/>
      <c r="FF142" s="122"/>
      <c r="FG142" s="122"/>
      <c r="FH142" s="122"/>
      <c r="FI142" s="122"/>
      <c r="FJ142" s="122"/>
      <c r="FK142" s="122"/>
      <c r="FL142" s="122"/>
      <c r="FM142" s="122"/>
      <c r="FN142" s="122"/>
      <c r="FO142" s="122"/>
      <c r="FP142" s="122"/>
      <c r="FQ142" s="122"/>
      <c r="FR142" s="122"/>
      <c r="FS142" s="122"/>
      <c r="FT142" s="122"/>
      <c r="FU142" s="122"/>
      <c r="FV142" s="122"/>
      <c r="FW142" s="122"/>
      <c r="FX142" s="122"/>
      <c r="FY142" s="122"/>
      <c r="FZ142" s="122"/>
      <c r="GA142" s="122"/>
      <c r="GB142" s="122"/>
      <c r="GC142" s="122"/>
      <c r="GD142" s="122"/>
      <c r="GE142" s="122"/>
      <c r="GF142" s="122"/>
      <c r="GG142" s="122"/>
      <c r="GH142" s="122"/>
      <c r="GI142" s="122"/>
      <c r="GJ142" s="122"/>
      <c r="GK142" s="122"/>
      <c r="GL142" s="122"/>
      <c r="GM142" s="122"/>
      <c r="GN142" s="122"/>
      <c r="GO142" s="122"/>
      <c r="GP142" s="122"/>
      <c r="GQ142" s="122"/>
      <c r="GR142" s="122"/>
      <c r="GS142" s="122"/>
      <c r="GT142" s="122"/>
      <c r="GU142" s="122"/>
      <c r="GV142" s="122"/>
      <c r="GW142" s="122"/>
      <c r="GX142" s="122"/>
      <c r="GY142" s="122"/>
      <c r="GZ142" s="122"/>
      <c r="HA142" s="122"/>
      <c r="HB142" s="122"/>
      <c r="HC142" s="122"/>
      <c r="HD142" s="122"/>
      <c r="HE142" s="122"/>
      <c r="HF142" s="122"/>
      <c r="HG142" s="122"/>
      <c r="HH142" s="122"/>
      <c r="HI142" s="122"/>
      <c r="HJ142" s="122"/>
      <c r="HK142" s="122"/>
      <c r="HL142" s="122"/>
      <c r="HM142" s="122"/>
      <c r="HN142" s="122"/>
      <c r="HO142" s="122"/>
      <c r="HP142" s="122"/>
      <c r="HQ142" s="122"/>
      <c r="HR142" s="122"/>
      <c r="HS142" s="122"/>
      <c r="HT142" s="122"/>
      <c r="HU142" s="122"/>
      <c r="HV142" s="122"/>
      <c r="HW142" s="122"/>
      <c r="HX142" s="122"/>
      <c r="HY142" s="122"/>
      <c r="HZ142" s="122"/>
      <c r="IA142" s="122"/>
      <c r="IB142" s="122"/>
      <c r="IC142" s="122"/>
      <c r="ID142" s="122"/>
      <c r="IE142" s="122"/>
      <c r="IF142" s="122"/>
      <c r="IG142" s="122"/>
      <c r="IH142" s="122"/>
      <c r="II142" s="122"/>
      <c r="IJ142" s="122"/>
      <c r="IK142" s="122"/>
      <c r="IL142" s="122"/>
      <c r="IM142" s="122"/>
      <c r="IN142" s="122"/>
      <c r="IO142" s="122"/>
      <c r="IP142" s="122"/>
      <c r="IQ142" s="122"/>
      <c r="IR142" s="122"/>
      <c r="IS142" s="122"/>
      <c r="IT142" s="122"/>
      <c r="IU142" s="122"/>
      <c r="IV142" s="122"/>
      <c r="IW142" s="122"/>
      <c r="IX142" s="122"/>
      <c r="IY142" s="122"/>
      <c r="IZ142" s="122"/>
      <c r="JA142" s="122"/>
      <c r="JB142" s="122"/>
      <c r="JC142" s="122"/>
      <c r="JD142" s="122"/>
      <c r="JE142" s="122"/>
      <c r="JF142" s="122"/>
      <c r="JG142" s="122"/>
      <c r="JH142" s="122"/>
      <c r="JI142" s="119">
        <f t="shared" si="2"/>
        <v>805048</v>
      </c>
      <c r="JJ142" s="379">
        <v>5994</v>
      </c>
      <c r="JK142" s="122"/>
      <c r="JL142" s="125"/>
      <c r="JM142" s="345"/>
      <c r="JN142" s="125"/>
      <c r="JO142" s="125"/>
      <c r="JP142" s="125"/>
    </row>
    <row r="143" spans="1:276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  <c r="BQ143" s="122"/>
      <c r="BR143" s="122"/>
      <c r="BS143" s="122"/>
      <c r="BT143" s="122"/>
      <c r="BU143" s="122"/>
      <c r="BV143" s="122"/>
      <c r="BW143" s="122"/>
      <c r="BX143" s="122"/>
      <c r="BY143" s="122"/>
      <c r="BZ143" s="122"/>
      <c r="CA143" s="122"/>
      <c r="CB143" s="122"/>
      <c r="CC143" s="122"/>
      <c r="CD143" s="122"/>
      <c r="CE143" s="122"/>
      <c r="CF143" s="122"/>
      <c r="CG143" s="122"/>
      <c r="CH143" s="122"/>
      <c r="CI143" s="122"/>
      <c r="CJ143" s="122"/>
      <c r="CK143" s="122"/>
      <c r="CL143" s="122"/>
      <c r="CM143" s="122"/>
      <c r="CN143" s="122"/>
      <c r="CO143" s="122"/>
      <c r="CP143" s="122"/>
      <c r="CQ143" s="122"/>
      <c r="CR143" s="122"/>
      <c r="CS143" s="122"/>
      <c r="CT143" s="122"/>
      <c r="CU143" s="122"/>
      <c r="CV143" s="122"/>
      <c r="CW143" s="122"/>
      <c r="CX143" s="122"/>
      <c r="CY143" s="122"/>
      <c r="CZ143" s="122"/>
      <c r="DA143" s="122"/>
      <c r="DB143" s="122"/>
      <c r="DC143" s="122"/>
      <c r="DD143" s="122"/>
      <c r="DE143" s="122"/>
      <c r="DF143" s="122"/>
      <c r="DG143" s="122"/>
      <c r="DH143" s="122"/>
      <c r="DI143" s="122"/>
      <c r="DJ143" s="122"/>
      <c r="DK143" s="122"/>
      <c r="DL143" s="122"/>
      <c r="DM143" s="122"/>
      <c r="DN143" s="122"/>
      <c r="DO143" s="122"/>
      <c r="DP143" s="122"/>
      <c r="DQ143" s="122"/>
      <c r="DR143" s="122"/>
      <c r="DS143" s="122"/>
      <c r="DT143" s="122"/>
      <c r="DU143" s="122"/>
      <c r="DV143" s="122"/>
      <c r="DW143" s="122"/>
      <c r="DX143" s="122"/>
      <c r="DY143" s="122"/>
      <c r="DZ143" s="122"/>
      <c r="EA143" s="122">
        <v>1775000</v>
      </c>
      <c r="EB143" s="122"/>
      <c r="EC143" s="122"/>
      <c r="ED143" s="122"/>
      <c r="EE143" s="122"/>
      <c r="EF143" s="122"/>
      <c r="EG143" s="122"/>
      <c r="EH143" s="122"/>
      <c r="EI143" s="122"/>
      <c r="EJ143" s="122"/>
      <c r="EK143" s="122"/>
      <c r="EL143" s="122"/>
      <c r="EM143" s="122"/>
      <c r="EN143" s="122"/>
      <c r="EO143" s="122"/>
      <c r="EP143" s="122"/>
      <c r="EQ143" s="122"/>
      <c r="ER143" s="122"/>
      <c r="ES143" s="122"/>
      <c r="ET143" s="122"/>
      <c r="EU143" s="122"/>
      <c r="EV143" s="122"/>
      <c r="EW143" s="122"/>
      <c r="EX143" s="122"/>
      <c r="EY143" s="122"/>
      <c r="EZ143" s="122"/>
      <c r="FA143" s="122"/>
      <c r="FB143" s="122"/>
      <c r="FC143" s="122"/>
      <c r="FD143" s="122"/>
      <c r="FE143" s="122"/>
      <c r="FF143" s="122"/>
      <c r="FG143" s="122"/>
      <c r="FH143" s="122"/>
      <c r="FI143" s="122"/>
      <c r="FJ143" s="122"/>
      <c r="FK143" s="122"/>
      <c r="FL143" s="122"/>
      <c r="FM143" s="122"/>
      <c r="FN143" s="122"/>
      <c r="FO143" s="122"/>
      <c r="FP143" s="122"/>
      <c r="FQ143" s="122"/>
      <c r="FR143" s="122"/>
      <c r="FS143" s="122"/>
      <c r="FT143" s="122"/>
      <c r="FU143" s="122"/>
      <c r="FV143" s="122"/>
      <c r="FW143" s="122"/>
      <c r="FX143" s="122"/>
      <c r="FY143" s="122"/>
      <c r="FZ143" s="122"/>
      <c r="GA143" s="122"/>
      <c r="GB143" s="122"/>
      <c r="GC143" s="122"/>
      <c r="GD143" s="122"/>
      <c r="GE143" s="122"/>
      <c r="GF143" s="122"/>
      <c r="GG143" s="122"/>
      <c r="GH143" s="122"/>
      <c r="GI143" s="122"/>
      <c r="GJ143" s="122"/>
      <c r="GK143" s="122"/>
      <c r="GL143" s="122"/>
      <c r="GM143" s="122"/>
      <c r="GN143" s="122"/>
      <c r="GO143" s="122"/>
      <c r="GP143" s="122"/>
      <c r="GQ143" s="122"/>
      <c r="GR143" s="122"/>
      <c r="GS143" s="122"/>
      <c r="GT143" s="122"/>
      <c r="GU143" s="122"/>
      <c r="GV143" s="122"/>
      <c r="GW143" s="122"/>
      <c r="GX143" s="122"/>
      <c r="GY143" s="122"/>
      <c r="GZ143" s="122"/>
      <c r="HA143" s="122"/>
      <c r="HB143" s="122"/>
      <c r="HC143" s="122"/>
      <c r="HD143" s="122"/>
      <c r="HE143" s="122"/>
      <c r="HF143" s="122"/>
      <c r="HG143" s="122"/>
      <c r="HH143" s="122"/>
      <c r="HI143" s="122"/>
      <c r="HJ143" s="122"/>
      <c r="HK143" s="122"/>
      <c r="HL143" s="122"/>
      <c r="HM143" s="122"/>
      <c r="HN143" s="122"/>
      <c r="HO143" s="122"/>
      <c r="HP143" s="122"/>
      <c r="HQ143" s="122"/>
      <c r="HR143" s="122"/>
      <c r="HS143" s="122"/>
      <c r="HT143" s="122"/>
      <c r="HU143" s="122"/>
      <c r="HV143" s="122"/>
      <c r="HW143" s="122"/>
      <c r="HX143" s="122"/>
      <c r="HY143" s="122"/>
      <c r="HZ143" s="122"/>
      <c r="IA143" s="122"/>
      <c r="IB143" s="122"/>
      <c r="IC143" s="122"/>
      <c r="ID143" s="122"/>
      <c r="IE143" s="122"/>
      <c r="IF143" s="122"/>
      <c r="IG143" s="122"/>
      <c r="IH143" s="122"/>
      <c r="II143" s="122"/>
      <c r="IJ143" s="122"/>
      <c r="IK143" s="122"/>
      <c r="IL143" s="122"/>
      <c r="IM143" s="122"/>
      <c r="IN143" s="122"/>
      <c r="IO143" s="122"/>
      <c r="IP143" s="122"/>
      <c r="IQ143" s="122"/>
      <c r="IR143" s="122"/>
      <c r="IS143" s="122"/>
      <c r="IT143" s="122"/>
      <c r="IU143" s="122"/>
      <c r="IV143" s="122"/>
      <c r="IW143" s="122"/>
      <c r="IX143" s="122"/>
      <c r="IY143" s="122"/>
      <c r="IZ143" s="122"/>
      <c r="JA143" s="122"/>
      <c r="JB143" s="122"/>
      <c r="JC143" s="122"/>
      <c r="JD143" s="122"/>
      <c r="JE143" s="122"/>
      <c r="JF143" s="122"/>
      <c r="JG143" s="122"/>
      <c r="JH143" s="122"/>
      <c r="JI143" s="119">
        <f t="shared" si="2"/>
        <v>1775000</v>
      </c>
      <c r="JJ143" s="379">
        <v>5998</v>
      </c>
      <c r="JK143" s="122"/>
      <c r="JL143" s="125"/>
      <c r="JM143" s="345"/>
      <c r="JN143" s="125"/>
      <c r="JO143" s="125"/>
      <c r="JP143" s="125"/>
    </row>
    <row r="144" spans="1:276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122"/>
      <c r="BS144" s="122"/>
      <c r="BT144" s="122"/>
      <c r="BU144" s="122"/>
      <c r="BV144" s="122"/>
      <c r="BW144" s="122"/>
      <c r="BX144" s="122"/>
      <c r="BY144" s="122"/>
      <c r="BZ144" s="122"/>
      <c r="CA144" s="122"/>
      <c r="CB144" s="122"/>
      <c r="CC144" s="122"/>
      <c r="CD144" s="122"/>
      <c r="CE144" s="122"/>
      <c r="CF144" s="122"/>
      <c r="CG144" s="122"/>
      <c r="CH144" s="122"/>
      <c r="CI144" s="122"/>
      <c r="CJ144" s="122"/>
      <c r="CK144" s="122"/>
      <c r="CL144" s="122"/>
      <c r="CM144" s="122"/>
      <c r="CN144" s="122"/>
      <c r="CO144" s="122"/>
      <c r="CP144" s="122"/>
      <c r="CQ144" s="122"/>
      <c r="CR144" s="122"/>
      <c r="CS144" s="122"/>
      <c r="CT144" s="122"/>
      <c r="CU144" s="122"/>
      <c r="CV144" s="122"/>
      <c r="CW144" s="122"/>
      <c r="CX144" s="122"/>
      <c r="CY144" s="122"/>
      <c r="CZ144" s="122"/>
      <c r="DA144" s="122"/>
      <c r="DB144" s="122"/>
      <c r="DC144" s="122"/>
      <c r="DD144" s="122"/>
      <c r="DE144" s="122"/>
      <c r="DF144" s="122"/>
      <c r="DG144" s="122"/>
      <c r="DH144" s="122"/>
      <c r="DI144" s="122"/>
      <c r="DJ144" s="122"/>
      <c r="DK144" s="122"/>
      <c r="DL144" s="122"/>
      <c r="DM144" s="122"/>
      <c r="DN144" s="122"/>
      <c r="DO144" s="122"/>
      <c r="DP144" s="122"/>
      <c r="DQ144" s="122"/>
      <c r="DR144" s="122"/>
      <c r="DS144" s="122"/>
      <c r="DT144" s="122"/>
      <c r="DU144" s="122"/>
      <c r="DV144" s="122">
        <v>30397.040000000001</v>
      </c>
      <c r="DW144" s="122"/>
      <c r="DX144" s="122"/>
      <c r="DY144" s="122"/>
      <c r="DZ144" s="122"/>
      <c r="EA144" s="122"/>
      <c r="EB144" s="122"/>
      <c r="EC144" s="122"/>
      <c r="ED144" s="122"/>
      <c r="EE144" s="122"/>
      <c r="EF144" s="122"/>
      <c r="EG144" s="122"/>
      <c r="EH144" s="122"/>
      <c r="EI144" s="122"/>
      <c r="EJ144" s="122"/>
      <c r="EK144" s="122"/>
      <c r="EL144" s="122"/>
      <c r="EM144" s="122"/>
      <c r="EN144" s="122"/>
      <c r="EO144" s="122"/>
      <c r="EP144" s="122"/>
      <c r="EQ144" s="122"/>
      <c r="ER144" s="122"/>
      <c r="ES144" s="122"/>
      <c r="ET144" s="122"/>
      <c r="EU144" s="122"/>
      <c r="EV144" s="122"/>
      <c r="EW144" s="122"/>
      <c r="EX144" s="122"/>
      <c r="EY144" s="122"/>
      <c r="EZ144" s="122"/>
      <c r="FA144" s="122"/>
      <c r="FB144" s="122"/>
      <c r="FC144" s="122"/>
      <c r="FD144" s="122"/>
      <c r="FE144" s="122"/>
      <c r="FF144" s="122"/>
      <c r="FG144" s="122"/>
      <c r="FH144" s="122"/>
      <c r="FI144" s="122"/>
      <c r="FJ144" s="122"/>
      <c r="FK144" s="122"/>
      <c r="FL144" s="122"/>
      <c r="FM144" s="122"/>
      <c r="FN144" s="122"/>
      <c r="FO144" s="122"/>
      <c r="FP144" s="122"/>
      <c r="FQ144" s="122"/>
      <c r="FR144" s="122"/>
      <c r="FS144" s="122"/>
      <c r="FT144" s="122"/>
      <c r="FU144" s="122"/>
      <c r="FV144" s="122"/>
      <c r="FW144" s="122"/>
      <c r="FX144" s="122"/>
      <c r="FY144" s="122"/>
      <c r="FZ144" s="122"/>
      <c r="GA144" s="122"/>
      <c r="GB144" s="122"/>
      <c r="GC144" s="122"/>
      <c r="GD144" s="122"/>
      <c r="GE144" s="122"/>
      <c r="GF144" s="122"/>
      <c r="GG144" s="122"/>
      <c r="GH144" s="122">
        <v>145336.59</v>
      </c>
      <c r="GI144" s="122"/>
      <c r="GJ144" s="122"/>
      <c r="GK144" s="122"/>
      <c r="GL144" s="122"/>
      <c r="GM144" s="122"/>
      <c r="GN144" s="122"/>
      <c r="GO144" s="122"/>
      <c r="GP144" s="122"/>
      <c r="GQ144" s="122"/>
      <c r="GR144" s="122"/>
      <c r="GS144" s="122"/>
      <c r="GT144" s="122"/>
      <c r="GU144" s="122"/>
      <c r="GV144" s="122"/>
      <c r="GW144" s="122"/>
      <c r="GX144" s="122"/>
      <c r="GY144" s="122"/>
      <c r="GZ144" s="122"/>
      <c r="HA144" s="122"/>
      <c r="HB144" s="122"/>
      <c r="HC144" s="122"/>
      <c r="HD144" s="122"/>
      <c r="HE144" s="122"/>
      <c r="HF144" s="122"/>
      <c r="HG144" s="122"/>
      <c r="HH144" s="122"/>
      <c r="HI144" s="122"/>
      <c r="HJ144" s="122"/>
      <c r="HK144" s="122"/>
      <c r="HL144" s="122"/>
      <c r="HM144" s="122"/>
      <c r="HN144" s="122"/>
      <c r="HO144" s="122"/>
      <c r="HP144" s="122"/>
      <c r="HQ144" s="122"/>
      <c r="HR144" s="122"/>
      <c r="HS144" s="122"/>
      <c r="HT144" s="122"/>
      <c r="HU144" s="122"/>
      <c r="HV144" s="122"/>
      <c r="HW144" s="122"/>
      <c r="HX144" s="122"/>
      <c r="HY144" s="122"/>
      <c r="HZ144" s="122"/>
      <c r="IA144" s="122"/>
      <c r="IB144" s="122"/>
      <c r="IC144" s="122"/>
      <c r="ID144" s="122"/>
      <c r="IE144" s="122"/>
      <c r="IF144" s="122"/>
      <c r="IG144" s="122"/>
      <c r="IH144" s="122"/>
      <c r="II144" s="122"/>
      <c r="IJ144" s="122"/>
      <c r="IK144" s="122"/>
      <c r="IL144" s="122"/>
      <c r="IM144" s="122"/>
      <c r="IN144" s="122"/>
      <c r="IO144" s="122"/>
      <c r="IP144" s="122"/>
      <c r="IQ144" s="122"/>
      <c r="IR144" s="122"/>
      <c r="IS144" s="122"/>
      <c r="IT144" s="122"/>
      <c r="IU144" s="122"/>
      <c r="IV144" s="122"/>
      <c r="IW144" s="122"/>
      <c r="IX144" s="122"/>
      <c r="IY144" s="122"/>
      <c r="IZ144" s="122"/>
      <c r="JA144" s="122"/>
      <c r="JB144" s="122"/>
      <c r="JC144" s="122"/>
      <c r="JD144" s="122"/>
      <c r="JE144" s="122"/>
      <c r="JF144" s="122"/>
      <c r="JG144" s="122"/>
      <c r="JH144" s="122"/>
      <c r="JI144" s="119">
        <f t="shared" si="2"/>
        <v>175733.63</v>
      </c>
      <c r="JJ144" s="379">
        <v>6003</v>
      </c>
      <c r="JK144" s="122"/>
      <c r="JL144" s="125"/>
      <c r="JM144" s="345"/>
      <c r="JN144" s="125"/>
      <c r="JO144" s="125"/>
      <c r="JP144" s="125"/>
    </row>
    <row r="145" spans="1:276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  <c r="BP145" s="122"/>
      <c r="BQ145" s="122"/>
      <c r="BR145" s="122"/>
      <c r="BS145" s="122"/>
      <c r="BT145" s="122"/>
      <c r="BU145" s="122"/>
      <c r="BV145" s="122"/>
      <c r="BW145" s="122"/>
      <c r="BX145" s="122"/>
      <c r="BY145" s="122"/>
      <c r="BZ145" s="122"/>
      <c r="CA145" s="122"/>
      <c r="CB145" s="122"/>
      <c r="CC145" s="122"/>
      <c r="CD145" s="122"/>
      <c r="CE145" s="122"/>
      <c r="CF145" s="122"/>
      <c r="CG145" s="122"/>
      <c r="CH145" s="122"/>
      <c r="CI145" s="122"/>
      <c r="CJ145" s="122"/>
      <c r="CK145" s="122"/>
      <c r="CL145" s="122"/>
      <c r="CM145" s="122"/>
      <c r="CN145" s="122"/>
      <c r="CO145" s="122"/>
      <c r="CP145" s="122"/>
      <c r="CQ145" s="122"/>
      <c r="CR145" s="122"/>
      <c r="CS145" s="122"/>
      <c r="CT145" s="122"/>
      <c r="CU145" s="122"/>
      <c r="CV145" s="122"/>
      <c r="CW145" s="122"/>
      <c r="CX145" s="122"/>
      <c r="CY145" s="122"/>
      <c r="CZ145" s="122"/>
      <c r="DA145" s="122"/>
      <c r="DB145" s="122"/>
      <c r="DC145" s="122"/>
      <c r="DD145" s="122"/>
      <c r="DE145" s="122"/>
      <c r="DF145" s="122"/>
      <c r="DG145" s="122"/>
      <c r="DH145" s="122"/>
      <c r="DI145" s="122"/>
      <c r="DJ145" s="122"/>
      <c r="DK145" s="122"/>
      <c r="DL145" s="122"/>
      <c r="DM145" s="122"/>
      <c r="DN145" s="122"/>
      <c r="DO145" s="122"/>
      <c r="DP145" s="122"/>
      <c r="DQ145" s="122"/>
      <c r="DR145" s="122"/>
      <c r="DS145" s="122"/>
      <c r="DT145" s="122"/>
      <c r="DU145" s="122"/>
      <c r="DV145" s="122"/>
      <c r="DW145" s="122"/>
      <c r="DX145" s="122"/>
      <c r="DY145" s="122"/>
      <c r="DZ145" s="122"/>
      <c r="EA145" s="122"/>
      <c r="EB145" s="122"/>
      <c r="EC145" s="122"/>
      <c r="ED145" s="122"/>
      <c r="EE145" s="122"/>
      <c r="EF145" s="122"/>
      <c r="EG145" s="122"/>
      <c r="EH145" s="122"/>
      <c r="EI145" s="122"/>
      <c r="EJ145" s="122"/>
      <c r="EK145" s="122"/>
      <c r="EL145" s="122"/>
      <c r="EM145" s="122"/>
      <c r="EN145" s="122"/>
      <c r="EO145" s="122"/>
      <c r="EP145" s="122"/>
      <c r="EQ145" s="122"/>
      <c r="ER145" s="122"/>
      <c r="ES145" s="122"/>
      <c r="ET145" s="122"/>
      <c r="EU145" s="122"/>
      <c r="EV145" s="122"/>
      <c r="EW145" s="122"/>
      <c r="EX145" s="122"/>
      <c r="EY145" s="122"/>
      <c r="EZ145" s="122"/>
      <c r="FA145" s="122"/>
      <c r="FB145" s="122"/>
      <c r="FC145" s="122"/>
      <c r="FD145" s="122"/>
      <c r="FE145" s="122"/>
      <c r="FF145" s="122"/>
      <c r="FG145" s="122"/>
      <c r="FH145" s="122"/>
      <c r="FI145" s="122"/>
      <c r="FJ145" s="122"/>
      <c r="FK145" s="122"/>
      <c r="FL145" s="122"/>
      <c r="FM145" s="122"/>
      <c r="FN145" s="122"/>
      <c r="FO145" s="122"/>
      <c r="FP145" s="122"/>
      <c r="FQ145" s="122"/>
      <c r="FR145" s="122"/>
      <c r="FS145" s="122"/>
      <c r="FT145" s="122"/>
      <c r="FU145" s="122"/>
      <c r="FV145" s="122">
        <v>31152</v>
      </c>
      <c r="FW145" s="122"/>
      <c r="FX145" s="122"/>
      <c r="FY145" s="122"/>
      <c r="FZ145" s="122"/>
      <c r="GA145" s="122"/>
      <c r="GB145" s="122"/>
      <c r="GC145" s="122"/>
      <c r="GD145" s="122"/>
      <c r="GE145" s="122"/>
      <c r="GF145" s="122"/>
      <c r="GG145" s="122"/>
      <c r="GH145" s="122"/>
      <c r="GI145" s="122"/>
      <c r="GJ145" s="122"/>
      <c r="GK145" s="122"/>
      <c r="GL145" s="122"/>
      <c r="GM145" s="122"/>
      <c r="GN145" s="122"/>
      <c r="GO145" s="122"/>
      <c r="GP145" s="122"/>
      <c r="GQ145" s="122"/>
      <c r="GR145" s="122"/>
      <c r="GS145" s="122"/>
      <c r="GT145" s="122"/>
      <c r="GU145" s="122"/>
      <c r="GV145" s="122"/>
      <c r="GW145" s="122"/>
      <c r="GX145" s="122"/>
      <c r="GY145" s="122"/>
      <c r="GZ145" s="122"/>
      <c r="HA145" s="122"/>
      <c r="HB145" s="122"/>
      <c r="HC145" s="122"/>
      <c r="HD145" s="122"/>
      <c r="HE145" s="122"/>
      <c r="HF145" s="122"/>
      <c r="HG145" s="122"/>
      <c r="HH145" s="122"/>
      <c r="HI145" s="122"/>
      <c r="HJ145" s="122"/>
      <c r="HK145" s="122"/>
      <c r="HL145" s="122"/>
      <c r="HM145" s="122"/>
      <c r="HN145" s="122"/>
      <c r="HO145" s="122"/>
      <c r="HP145" s="122"/>
      <c r="HQ145" s="122"/>
      <c r="HR145" s="122"/>
      <c r="HS145" s="122"/>
      <c r="HT145" s="122"/>
      <c r="HU145" s="122"/>
      <c r="HV145" s="122"/>
      <c r="HW145" s="122"/>
      <c r="HX145" s="122"/>
      <c r="HY145" s="122"/>
      <c r="HZ145" s="122"/>
      <c r="IA145" s="122"/>
      <c r="IB145" s="122"/>
      <c r="IC145" s="122"/>
      <c r="ID145" s="122"/>
      <c r="IE145" s="122"/>
      <c r="IF145" s="122"/>
      <c r="IG145" s="122"/>
      <c r="IH145" s="122"/>
      <c r="II145" s="122"/>
      <c r="IJ145" s="122"/>
      <c r="IK145" s="122"/>
      <c r="IL145" s="122"/>
      <c r="IM145" s="122"/>
      <c r="IN145" s="122"/>
      <c r="IO145" s="122"/>
      <c r="IP145" s="122"/>
      <c r="IQ145" s="122"/>
      <c r="IR145" s="122"/>
      <c r="IS145" s="122"/>
      <c r="IT145" s="122"/>
      <c r="IU145" s="122"/>
      <c r="IV145" s="122"/>
      <c r="IW145" s="122"/>
      <c r="IX145" s="122"/>
      <c r="IY145" s="122"/>
      <c r="IZ145" s="122"/>
      <c r="JA145" s="122"/>
      <c r="JB145" s="122"/>
      <c r="JC145" s="122"/>
      <c r="JD145" s="122"/>
      <c r="JE145" s="122"/>
      <c r="JF145" s="122"/>
      <c r="JG145" s="122"/>
      <c r="JH145" s="122"/>
      <c r="JI145" s="119">
        <f t="shared" si="2"/>
        <v>31152</v>
      </c>
      <c r="JJ145" s="379">
        <v>6007</v>
      </c>
      <c r="JK145" s="122"/>
      <c r="JL145" s="125"/>
      <c r="JM145" s="345"/>
      <c r="JN145" s="125"/>
      <c r="JO145" s="125"/>
      <c r="JP145" s="125"/>
    </row>
    <row r="146" spans="1:27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  <c r="BP146" s="122"/>
      <c r="BQ146" s="122"/>
      <c r="BR146" s="122"/>
      <c r="BS146" s="122"/>
      <c r="BT146" s="122"/>
      <c r="BU146" s="122"/>
      <c r="BV146" s="122"/>
      <c r="BW146" s="122"/>
      <c r="BX146" s="122"/>
      <c r="BY146" s="122"/>
      <c r="BZ146" s="122"/>
      <c r="CA146" s="122"/>
      <c r="CB146" s="122"/>
      <c r="CC146" s="122"/>
      <c r="CD146" s="122"/>
      <c r="CE146" s="122"/>
      <c r="CF146" s="122"/>
      <c r="CG146" s="122"/>
      <c r="CH146" s="122"/>
      <c r="CI146" s="122"/>
      <c r="CJ146" s="122"/>
      <c r="CK146" s="122"/>
      <c r="CL146" s="122"/>
      <c r="CM146" s="122"/>
      <c r="CN146" s="122"/>
      <c r="CO146" s="122"/>
      <c r="CP146" s="122"/>
      <c r="CQ146" s="122"/>
      <c r="CR146" s="122"/>
      <c r="CS146" s="122"/>
      <c r="CT146" s="122"/>
      <c r="CU146" s="122"/>
      <c r="CV146" s="122"/>
      <c r="CW146" s="122"/>
      <c r="CX146" s="122"/>
      <c r="CY146" s="122"/>
      <c r="CZ146" s="122"/>
      <c r="DA146" s="122"/>
      <c r="DB146" s="122"/>
      <c r="DC146" s="122"/>
      <c r="DD146" s="122"/>
      <c r="DE146" s="122"/>
      <c r="DF146" s="122"/>
      <c r="DG146" s="122"/>
      <c r="DH146" s="122"/>
      <c r="DI146" s="122"/>
      <c r="DJ146" s="122"/>
      <c r="DK146" s="122"/>
      <c r="DL146" s="122"/>
      <c r="DM146" s="122"/>
      <c r="DN146" s="122"/>
      <c r="DO146" s="122"/>
      <c r="DP146" s="122"/>
      <c r="DQ146" s="122"/>
      <c r="DR146" s="122"/>
      <c r="DS146" s="122"/>
      <c r="DT146" s="122"/>
      <c r="DU146" s="122"/>
      <c r="DV146" s="122"/>
      <c r="DW146" s="122"/>
      <c r="DX146" s="122"/>
      <c r="DY146" s="122"/>
      <c r="DZ146" s="122"/>
      <c r="EA146" s="122"/>
      <c r="EB146" s="122"/>
      <c r="EC146" s="122"/>
      <c r="ED146" s="122"/>
      <c r="EE146" s="122"/>
      <c r="EF146" s="122"/>
      <c r="EG146" s="122"/>
      <c r="EH146" s="122"/>
      <c r="EI146" s="122"/>
      <c r="EJ146" s="122"/>
      <c r="EK146" s="122"/>
      <c r="EL146" s="122"/>
      <c r="EM146" s="122"/>
      <c r="EN146" s="122"/>
      <c r="EO146" s="122"/>
      <c r="EP146" s="122"/>
      <c r="EQ146" s="122"/>
      <c r="ER146" s="122"/>
      <c r="ES146" s="122"/>
      <c r="ET146" s="122"/>
      <c r="EU146" s="122"/>
      <c r="EV146" s="122"/>
      <c r="EW146" s="122"/>
      <c r="EX146" s="122"/>
      <c r="EY146" s="122"/>
      <c r="EZ146" s="122"/>
      <c r="FA146" s="122"/>
      <c r="FB146" s="122"/>
      <c r="FC146" s="122"/>
      <c r="FD146" s="122"/>
      <c r="FE146" s="122"/>
      <c r="FF146" s="122"/>
      <c r="FG146" s="122"/>
      <c r="FH146" s="122"/>
      <c r="FI146" s="122"/>
      <c r="FJ146" s="122">
        <v>271875</v>
      </c>
      <c r="FK146" s="122"/>
      <c r="FL146" s="122"/>
      <c r="FM146" s="122"/>
      <c r="FN146" s="122"/>
      <c r="FO146" s="122"/>
      <c r="FP146" s="122"/>
      <c r="FQ146" s="122"/>
      <c r="FR146" s="122"/>
      <c r="FS146" s="122"/>
      <c r="FT146" s="122"/>
      <c r="FU146" s="122"/>
      <c r="FV146" s="122"/>
      <c r="FW146" s="122"/>
      <c r="FX146" s="122"/>
      <c r="FY146" s="122"/>
      <c r="FZ146" s="122"/>
      <c r="GA146" s="122"/>
      <c r="GB146" s="122"/>
      <c r="GC146" s="122"/>
      <c r="GD146" s="122"/>
      <c r="GE146" s="122"/>
      <c r="GF146" s="122"/>
      <c r="GG146" s="122"/>
      <c r="GH146" s="122"/>
      <c r="GI146" s="122"/>
      <c r="GJ146" s="122"/>
      <c r="GK146" s="122"/>
      <c r="GL146" s="122"/>
      <c r="GM146" s="122"/>
      <c r="GN146" s="122"/>
      <c r="GO146" s="122"/>
      <c r="GP146" s="122"/>
      <c r="GQ146" s="122"/>
      <c r="GR146" s="122"/>
      <c r="GS146" s="122"/>
      <c r="GT146" s="122"/>
      <c r="GU146" s="122"/>
      <c r="GV146" s="122"/>
      <c r="GW146" s="122"/>
      <c r="GX146" s="122"/>
      <c r="GY146" s="122"/>
      <c r="GZ146" s="122"/>
      <c r="HA146" s="122"/>
      <c r="HB146" s="122"/>
      <c r="HC146" s="122"/>
      <c r="HD146" s="122"/>
      <c r="HE146" s="122"/>
      <c r="HF146" s="122"/>
      <c r="HG146" s="122"/>
      <c r="HH146" s="122"/>
      <c r="HI146" s="122"/>
      <c r="HJ146" s="122"/>
      <c r="HK146" s="122"/>
      <c r="HL146" s="122"/>
      <c r="HM146" s="122"/>
      <c r="HN146" s="122"/>
      <c r="HO146" s="122"/>
      <c r="HP146" s="122"/>
      <c r="HQ146" s="122"/>
      <c r="HR146" s="122"/>
      <c r="HS146" s="122"/>
      <c r="HT146" s="122"/>
      <c r="HU146" s="122"/>
      <c r="HV146" s="122"/>
      <c r="HW146" s="122"/>
      <c r="HX146" s="122"/>
      <c r="HY146" s="122"/>
      <c r="HZ146" s="122"/>
      <c r="IA146" s="122"/>
      <c r="IB146" s="122"/>
      <c r="IC146" s="122"/>
      <c r="ID146" s="122"/>
      <c r="IE146" s="122"/>
      <c r="IF146" s="122"/>
      <c r="IG146" s="122"/>
      <c r="IH146" s="122"/>
      <c r="II146" s="122"/>
      <c r="IJ146" s="122"/>
      <c r="IK146" s="122"/>
      <c r="IL146" s="122"/>
      <c r="IM146" s="122"/>
      <c r="IN146" s="122"/>
      <c r="IO146" s="122"/>
      <c r="IP146" s="122"/>
      <c r="IQ146" s="122"/>
      <c r="IR146" s="122"/>
      <c r="IS146" s="122"/>
      <c r="IT146" s="122"/>
      <c r="IU146" s="122"/>
      <c r="IV146" s="122"/>
      <c r="IW146" s="122"/>
      <c r="IX146" s="122"/>
      <c r="IY146" s="122"/>
      <c r="IZ146" s="122"/>
      <c r="JA146" s="122"/>
      <c r="JB146" s="122"/>
      <c r="JC146" s="122"/>
      <c r="JD146" s="122"/>
      <c r="JE146" s="122"/>
      <c r="JF146" s="122"/>
      <c r="JG146" s="122"/>
      <c r="JH146" s="122"/>
      <c r="JI146" s="119">
        <f t="shared" si="2"/>
        <v>271875</v>
      </c>
      <c r="JJ146" s="379">
        <v>6011</v>
      </c>
      <c r="JK146" s="122"/>
      <c r="JL146" s="125"/>
      <c r="JM146" s="345"/>
      <c r="JN146" s="125"/>
      <c r="JO146" s="125"/>
      <c r="JP146" s="125"/>
    </row>
    <row r="147" spans="1:276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>
        <v>493888</v>
      </c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  <c r="BP147" s="122"/>
      <c r="BQ147" s="122"/>
      <c r="BR147" s="122"/>
      <c r="BS147" s="122"/>
      <c r="BT147" s="122"/>
      <c r="BU147" s="122"/>
      <c r="BV147" s="122"/>
      <c r="BW147" s="122"/>
      <c r="BX147" s="122"/>
      <c r="BY147" s="122"/>
      <c r="BZ147" s="122"/>
      <c r="CA147" s="122"/>
      <c r="CB147" s="122"/>
      <c r="CC147" s="122"/>
      <c r="CD147" s="122"/>
      <c r="CE147" s="122"/>
      <c r="CF147" s="122"/>
      <c r="CG147" s="122"/>
      <c r="CH147" s="122"/>
      <c r="CI147" s="122"/>
      <c r="CJ147" s="122"/>
      <c r="CK147" s="122"/>
      <c r="CL147" s="122"/>
      <c r="CM147" s="122"/>
      <c r="CN147" s="122"/>
      <c r="CO147" s="122"/>
      <c r="CP147" s="122"/>
      <c r="CQ147" s="122"/>
      <c r="CR147" s="122"/>
      <c r="CS147" s="122"/>
      <c r="CT147" s="122"/>
      <c r="CU147" s="122"/>
      <c r="CV147" s="122"/>
      <c r="CW147" s="122"/>
      <c r="CX147" s="122"/>
      <c r="CY147" s="122"/>
      <c r="CZ147" s="122"/>
      <c r="DA147" s="122"/>
      <c r="DB147" s="122"/>
      <c r="DC147" s="122"/>
      <c r="DD147" s="122"/>
      <c r="DE147" s="122"/>
      <c r="DF147" s="122"/>
      <c r="DG147" s="122"/>
      <c r="DH147" s="122"/>
      <c r="DI147" s="122"/>
      <c r="DJ147" s="122"/>
      <c r="DK147" s="122"/>
      <c r="DL147" s="122"/>
      <c r="DM147" s="122"/>
      <c r="DN147" s="122"/>
      <c r="DO147" s="122"/>
      <c r="DP147" s="122"/>
      <c r="DQ147" s="122"/>
      <c r="DR147" s="122"/>
      <c r="DS147" s="122"/>
      <c r="DT147" s="122"/>
      <c r="DU147" s="122"/>
      <c r="DV147" s="122"/>
      <c r="DW147" s="122"/>
      <c r="DX147" s="122"/>
      <c r="DY147" s="122"/>
      <c r="DZ147" s="122"/>
      <c r="EA147" s="122"/>
      <c r="EB147" s="122"/>
      <c r="EC147" s="122"/>
      <c r="ED147" s="122"/>
      <c r="EE147" s="122"/>
      <c r="EF147" s="122"/>
      <c r="EG147" s="122"/>
      <c r="EH147" s="122"/>
      <c r="EI147" s="122"/>
      <c r="EJ147" s="122"/>
      <c r="EK147" s="122"/>
      <c r="EL147" s="122"/>
      <c r="EM147" s="122"/>
      <c r="EN147" s="122"/>
      <c r="EO147" s="122"/>
      <c r="EP147" s="122"/>
      <c r="EQ147" s="122"/>
      <c r="ER147" s="122"/>
      <c r="ES147" s="122"/>
      <c r="ET147" s="122"/>
      <c r="EU147" s="122"/>
      <c r="EV147" s="122"/>
      <c r="EW147" s="122"/>
      <c r="EX147" s="122"/>
      <c r="EY147" s="122"/>
      <c r="EZ147" s="122"/>
      <c r="FA147" s="122"/>
      <c r="FB147" s="122"/>
      <c r="FC147" s="122"/>
      <c r="FD147" s="122"/>
      <c r="FE147" s="122"/>
      <c r="FF147" s="122"/>
      <c r="FG147" s="122"/>
      <c r="FH147" s="122"/>
      <c r="FI147" s="122"/>
      <c r="FJ147" s="122"/>
      <c r="FK147" s="122"/>
      <c r="FL147" s="122"/>
      <c r="FM147" s="122"/>
      <c r="FN147" s="122"/>
      <c r="FO147" s="122"/>
      <c r="FP147" s="122"/>
      <c r="FQ147" s="122"/>
      <c r="FR147" s="122"/>
      <c r="FS147" s="122"/>
      <c r="FT147" s="122"/>
      <c r="FU147" s="122"/>
      <c r="FV147" s="122"/>
      <c r="FW147" s="122"/>
      <c r="FX147" s="122"/>
      <c r="FY147" s="122"/>
      <c r="FZ147" s="122"/>
      <c r="GA147" s="122"/>
      <c r="GB147" s="122"/>
      <c r="GC147" s="122"/>
      <c r="GD147" s="122"/>
      <c r="GE147" s="122"/>
      <c r="GF147" s="122"/>
      <c r="GG147" s="122"/>
      <c r="GH147" s="122"/>
      <c r="GI147" s="122"/>
      <c r="GJ147" s="122"/>
      <c r="GK147" s="122"/>
      <c r="GL147" s="122"/>
      <c r="GM147" s="122"/>
      <c r="GN147" s="122"/>
      <c r="GO147" s="122"/>
      <c r="GP147" s="122"/>
      <c r="GQ147" s="122"/>
      <c r="GR147" s="122"/>
      <c r="GS147" s="122"/>
      <c r="GT147" s="122"/>
      <c r="GU147" s="122"/>
      <c r="GV147" s="122"/>
      <c r="GW147" s="122"/>
      <c r="GX147" s="122"/>
      <c r="GY147" s="122"/>
      <c r="GZ147" s="122"/>
      <c r="HA147" s="122"/>
      <c r="HB147" s="122"/>
      <c r="HC147" s="122"/>
      <c r="HD147" s="122"/>
      <c r="HE147" s="122"/>
      <c r="HF147" s="122"/>
      <c r="HG147" s="122"/>
      <c r="HH147" s="122"/>
      <c r="HI147" s="122"/>
      <c r="HJ147" s="122"/>
      <c r="HK147" s="122"/>
      <c r="HL147" s="122"/>
      <c r="HM147" s="122"/>
      <c r="HN147" s="122"/>
      <c r="HO147" s="122"/>
      <c r="HP147" s="122"/>
      <c r="HQ147" s="122"/>
      <c r="HR147" s="122"/>
      <c r="HS147" s="122"/>
      <c r="HT147" s="122"/>
      <c r="HU147" s="122"/>
      <c r="HV147" s="122"/>
      <c r="HW147" s="122"/>
      <c r="HX147" s="122"/>
      <c r="HY147" s="122"/>
      <c r="HZ147" s="122"/>
      <c r="IA147" s="122"/>
      <c r="IB147" s="122"/>
      <c r="IC147" s="122"/>
      <c r="ID147" s="122"/>
      <c r="IE147" s="122"/>
      <c r="IF147" s="122"/>
      <c r="IG147" s="122"/>
      <c r="IH147" s="122"/>
      <c r="II147" s="122"/>
      <c r="IJ147" s="122"/>
      <c r="IK147" s="122"/>
      <c r="IL147" s="122"/>
      <c r="IM147" s="122"/>
      <c r="IN147" s="122"/>
      <c r="IO147" s="122"/>
      <c r="IP147" s="122"/>
      <c r="IQ147" s="122"/>
      <c r="IR147" s="122"/>
      <c r="IS147" s="122"/>
      <c r="IT147" s="122"/>
      <c r="IU147" s="122"/>
      <c r="IV147" s="122"/>
      <c r="IW147" s="122"/>
      <c r="IX147" s="122"/>
      <c r="IY147" s="122"/>
      <c r="IZ147" s="122"/>
      <c r="JA147" s="122"/>
      <c r="JB147" s="122"/>
      <c r="JC147" s="122"/>
      <c r="JD147" s="122"/>
      <c r="JE147" s="122"/>
      <c r="JF147" s="122"/>
      <c r="JG147" s="122"/>
      <c r="JH147" s="122"/>
      <c r="JI147" s="119">
        <f t="shared" si="2"/>
        <v>493888</v>
      </c>
      <c r="JJ147" s="379">
        <v>6063</v>
      </c>
      <c r="JK147" s="122"/>
      <c r="JL147" s="125"/>
      <c r="JM147" s="345"/>
      <c r="JN147" s="125"/>
      <c r="JO147" s="125"/>
      <c r="JP147" s="125"/>
    </row>
    <row r="148" spans="1:276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  <c r="BP148" s="122"/>
      <c r="BQ148" s="122"/>
      <c r="BR148" s="122"/>
      <c r="BS148" s="122"/>
      <c r="BT148" s="122"/>
      <c r="BU148" s="122"/>
      <c r="BV148" s="122"/>
      <c r="BW148" s="122"/>
      <c r="BX148" s="122"/>
      <c r="BY148" s="122"/>
      <c r="BZ148" s="122"/>
      <c r="CA148" s="122"/>
      <c r="CB148" s="122"/>
      <c r="CC148" s="122"/>
      <c r="CD148" s="122"/>
      <c r="CE148" s="122"/>
      <c r="CF148" s="122"/>
      <c r="CG148" s="122"/>
      <c r="CH148" s="122"/>
      <c r="CI148" s="122"/>
      <c r="CJ148" s="122"/>
      <c r="CK148" s="122"/>
      <c r="CL148" s="122"/>
      <c r="CM148" s="122"/>
      <c r="CN148" s="122"/>
      <c r="CO148" s="122"/>
      <c r="CP148" s="122"/>
      <c r="CQ148" s="122"/>
      <c r="CR148" s="122"/>
      <c r="CS148" s="122"/>
      <c r="CT148" s="122"/>
      <c r="CU148" s="122"/>
      <c r="CV148" s="122"/>
      <c r="CW148" s="122"/>
      <c r="CX148" s="122"/>
      <c r="CY148" s="122"/>
      <c r="CZ148" s="122"/>
      <c r="DA148" s="122"/>
      <c r="DB148" s="122"/>
      <c r="DC148" s="122"/>
      <c r="DD148" s="122"/>
      <c r="DE148" s="122"/>
      <c r="DF148" s="122"/>
      <c r="DG148" s="122"/>
      <c r="DH148" s="122"/>
      <c r="DI148" s="122"/>
      <c r="DJ148" s="122"/>
      <c r="DK148" s="122"/>
      <c r="DL148" s="122"/>
      <c r="DM148" s="122"/>
      <c r="DN148" s="122"/>
      <c r="DO148" s="122"/>
      <c r="DP148" s="122"/>
      <c r="DQ148" s="122"/>
      <c r="DR148" s="122"/>
      <c r="DS148" s="122"/>
      <c r="DT148" s="122"/>
      <c r="DU148" s="122"/>
      <c r="DV148" s="122"/>
      <c r="DW148" s="122"/>
      <c r="DX148" s="122"/>
      <c r="DY148" s="122"/>
      <c r="DZ148" s="122"/>
      <c r="EA148" s="122"/>
      <c r="EB148" s="122"/>
      <c r="EC148" s="122"/>
      <c r="ED148" s="122"/>
      <c r="EE148" s="122"/>
      <c r="EF148" s="122"/>
      <c r="EG148" s="122"/>
      <c r="EH148" s="122"/>
      <c r="EI148" s="122"/>
      <c r="EJ148" s="122"/>
      <c r="EK148" s="122"/>
      <c r="EL148" s="122"/>
      <c r="EM148" s="122"/>
      <c r="EN148" s="122"/>
      <c r="EO148" s="122"/>
      <c r="EP148" s="122"/>
      <c r="EQ148" s="122"/>
      <c r="ER148" s="122"/>
      <c r="ES148" s="122"/>
      <c r="ET148" s="122"/>
      <c r="EU148" s="122"/>
      <c r="EV148" s="122"/>
      <c r="EW148" s="122"/>
      <c r="EX148" s="122"/>
      <c r="EY148" s="122"/>
      <c r="EZ148" s="122"/>
      <c r="FA148" s="122"/>
      <c r="FB148" s="122"/>
      <c r="FC148" s="122"/>
      <c r="FD148" s="122"/>
      <c r="FE148" s="122"/>
      <c r="FF148" s="122"/>
      <c r="FG148" s="122"/>
      <c r="FH148" s="122"/>
      <c r="FI148" s="122"/>
      <c r="FJ148" s="122">
        <v>1087680.32</v>
      </c>
      <c r="FK148" s="122"/>
      <c r="FL148" s="122"/>
      <c r="FM148" s="122"/>
      <c r="FN148" s="122"/>
      <c r="FO148" s="122"/>
      <c r="FP148" s="122"/>
      <c r="FQ148" s="122"/>
      <c r="FR148" s="122"/>
      <c r="FS148" s="122"/>
      <c r="FT148" s="122"/>
      <c r="FU148" s="122"/>
      <c r="FV148" s="122"/>
      <c r="FW148" s="122"/>
      <c r="FX148" s="122"/>
      <c r="FY148" s="122"/>
      <c r="FZ148" s="122"/>
      <c r="GA148" s="122"/>
      <c r="GB148" s="122"/>
      <c r="GC148" s="122"/>
      <c r="GD148" s="122"/>
      <c r="GE148" s="122"/>
      <c r="GF148" s="122"/>
      <c r="GG148" s="122"/>
      <c r="GH148" s="122"/>
      <c r="GI148" s="122"/>
      <c r="GJ148" s="122"/>
      <c r="GK148" s="122"/>
      <c r="GL148" s="122"/>
      <c r="GM148" s="122"/>
      <c r="GN148" s="122"/>
      <c r="GO148" s="122"/>
      <c r="GP148" s="122"/>
      <c r="GQ148" s="122"/>
      <c r="GR148" s="122"/>
      <c r="GS148" s="122"/>
      <c r="GT148" s="122"/>
      <c r="GU148" s="122"/>
      <c r="GV148" s="122"/>
      <c r="GW148" s="122"/>
      <c r="GX148" s="122"/>
      <c r="GY148" s="122"/>
      <c r="GZ148" s="122"/>
      <c r="HA148" s="122"/>
      <c r="HB148" s="122"/>
      <c r="HC148" s="122"/>
      <c r="HD148" s="122"/>
      <c r="HE148" s="122"/>
      <c r="HF148" s="122"/>
      <c r="HG148" s="122"/>
      <c r="HH148" s="122"/>
      <c r="HI148" s="122"/>
      <c r="HJ148" s="122"/>
      <c r="HK148" s="122"/>
      <c r="HL148" s="122"/>
      <c r="HM148" s="122"/>
      <c r="HN148" s="122"/>
      <c r="HO148" s="122"/>
      <c r="HP148" s="122"/>
      <c r="HQ148" s="122"/>
      <c r="HR148" s="122"/>
      <c r="HS148" s="122"/>
      <c r="HT148" s="122"/>
      <c r="HU148" s="122"/>
      <c r="HV148" s="122"/>
      <c r="HW148" s="122"/>
      <c r="HX148" s="122"/>
      <c r="HY148" s="122"/>
      <c r="HZ148" s="122"/>
      <c r="IA148" s="122"/>
      <c r="IB148" s="122"/>
      <c r="IC148" s="122"/>
      <c r="ID148" s="122"/>
      <c r="IE148" s="122"/>
      <c r="IF148" s="122"/>
      <c r="IG148" s="122"/>
      <c r="IH148" s="122"/>
      <c r="II148" s="122"/>
      <c r="IJ148" s="122"/>
      <c r="IK148" s="122"/>
      <c r="IL148" s="122"/>
      <c r="IM148" s="122"/>
      <c r="IN148" s="122"/>
      <c r="IO148" s="122"/>
      <c r="IP148" s="122"/>
      <c r="IQ148" s="122"/>
      <c r="IR148" s="122"/>
      <c r="IS148" s="122"/>
      <c r="IT148" s="122"/>
      <c r="IU148" s="122"/>
      <c r="IV148" s="122"/>
      <c r="IW148" s="122"/>
      <c r="IX148" s="122"/>
      <c r="IY148" s="122"/>
      <c r="IZ148" s="122"/>
      <c r="JA148" s="122"/>
      <c r="JB148" s="122"/>
      <c r="JC148" s="122"/>
      <c r="JD148" s="122"/>
      <c r="JE148" s="122"/>
      <c r="JF148" s="122"/>
      <c r="JG148" s="122"/>
      <c r="JH148" s="122"/>
      <c r="JI148" s="119">
        <f t="shared" si="2"/>
        <v>1087680.32</v>
      </c>
      <c r="JJ148" s="379">
        <v>6094</v>
      </c>
      <c r="JK148" s="122"/>
      <c r="JL148" s="125"/>
      <c r="JM148" s="345"/>
      <c r="JN148" s="125"/>
      <c r="JO148" s="125"/>
      <c r="JP148" s="125"/>
    </row>
    <row r="149" spans="1:276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  <c r="BP149" s="122"/>
      <c r="BQ149" s="122"/>
      <c r="BR149" s="122"/>
      <c r="BS149" s="122"/>
      <c r="BT149" s="122"/>
      <c r="BU149" s="122"/>
      <c r="BV149" s="122"/>
      <c r="BW149" s="122"/>
      <c r="BX149" s="122"/>
      <c r="BY149" s="122"/>
      <c r="BZ149" s="122"/>
      <c r="CA149" s="122"/>
      <c r="CB149" s="122"/>
      <c r="CC149" s="122"/>
      <c r="CD149" s="122"/>
      <c r="CE149" s="122"/>
      <c r="CF149" s="122"/>
      <c r="CG149" s="122"/>
      <c r="CH149" s="122"/>
      <c r="CI149" s="122"/>
      <c r="CJ149" s="122"/>
      <c r="CK149" s="122"/>
      <c r="CL149" s="122"/>
      <c r="CM149" s="122"/>
      <c r="CN149" s="122"/>
      <c r="CO149" s="122"/>
      <c r="CP149" s="122"/>
      <c r="CQ149" s="122"/>
      <c r="CR149" s="122"/>
      <c r="CS149" s="122"/>
      <c r="CT149" s="122"/>
      <c r="CU149" s="122"/>
      <c r="CV149" s="122"/>
      <c r="CW149" s="122"/>
      <c r="CX149" s="122"/>
      <c r="CY149" s="122"/>
      <c r="CZ149" s="122"/>
      <c r="DA149" s="122"/>
      <c r="DB149" s="122"/>
      <c r="DC149" s="122"/>
      <c r="DD149" s="122"/>
      <c r="DE149" s="122"/>
      <c r="DF149" s="122"/>
      <c r="DG149" s="122"/>
      <c r="DH149" s="122"/>
      <c r="DI149" s="122"/>
      <c r="DJ149" s="122"/>
      <c r="DK149" s="122"/>
      <c r="DL149" s="122"/>
      <c r="DM149" s="122"/>
      <c r="DN149" s="122"/>
      <c r="DO149" s="122"/>
      <c r="DP149" s="122"/>
      <c r="DQ149" s="122"/>
      <c r="DR149" s="122"/>
      <c r="DS149" s="122"/>
      <c r="DT149" s="122"/>
      <c r="DU149" s="122"/>
      <c r="DV149" s="122"/>
      <c r="DW149" s="122"/>
      <c r="DX149" s="122"/>
      <c r="DY149" s="122"/>
      <c r="DZ149" s="122"/>
      <c r="EA149" s="122"/>
      <c r="EB149" s="122"/>
      <c r="EC149" s="122"/>
      <c r="ED149" s="122"/>
      <c r="EE149" s="122"/>
      <c r="EF149" s="122"/>
      <c r="EG149" s="122"/>
      <c r="EH149" s="122"/>
      <c r="EI149" s="122"/>
      <c r="EJ149" s="122"/>
      <c r="EK149" s="122"/>
      <c r="EL149" s="122"/>
      <c r="EM149" s="122"/>
      <c r="EN149" s="122"/>
      <c r="EO149" s="122"/>
      <c r="EP149" s="122"/>
      <c r="EQ149" s="122"/>
      <c r="ER149" s="122"/>
      <c r="ES149" s="122"/>
      <c r="ET149" s="122"/>
      <c r="EU149" s="122"/>
      <c r="EV149" s="122"/>
      <c r="EW149" s="122"/>
      <c r="EX149" s="122"/>
      <c r="EY149" s="122"/>
      <c r="EZ149" s="122"/>
      <c r="FA149" s="122"/>
      <c r="FB149" s="122"/>
      <c r="FC149" s="122"/>
      <c r="FD149" s="122"/>
      <c r="FE149" s="122"/>
      <c r="FF149" s="122"/>
      <c r="FG149" s="122"/>
      <c r="FH149" s="122"/>
      <c r="FI149" s="122"/>
      <c r="FJ149" s="122">
        <v>459950.69</v>
      </c>
      <c r="FK149" s="122"/>
      <c r="FL149" s="122"/>
      <c r="FM149" s="122"/>
      <c r="FN149" s="122"/>
      <c r="FO149" s="122"/>
      <c r="FP149" s="122"/>
      <c r="FQ149" s="122"/>
      <c r="FR149" s="122"/>
      <c r="FS149" s="122"/>
      <c r="FT149" s="122"/>
      <c r="FU149" s="122"/>
      <c r="FV149" s="122"/>
      <c r="FW149" s="122"/>
      <c r="FX149" s="122"/>
      <c r="FY149" s="122"/>
      <c r="FZ149" s="122"/>
      <c r="GA149" s="122"/>
      <c r="GB149" s="122"/>
      <c r="GC149" s="122"/>
      <c r="GD149" s="122"/>
      <c r="GE149" s="122"/>
      <c r="GF149" s="122"/>
      <c r="GG149" s="122"/>
      <c r="GH149" s="122"/>
      <c r="GI149" s="122"/>
      <c r="GJ149" s="122"/>
      <c r="GK149" s="122"/>
      <c r="GL149" s="122"/>
      <c r="GM149" s="122"/>
      <c r="GN149" s="122"/>
      <c r="GO149" s="122"/>
      <c r="GP149" s="122"/>
      <c r="GQ149" s="122"/>
      <c r="GR149" s="122"/>
      <c r="GS149" s="122"/>
      <c r="GT149" s="122"/>
      <c r="GU149" s="122"/>
      <c r="GV149" s="122"/>
      <c r="GW149" s="122"/>
      <c r="GX149" s="122"/>
      <c r="GY149" s="122"/>
      <c r="GZ149" s="122"/>
      <c r="HA149" s="122"/>
      <c r="HB149" s="122"/>
      <c r="HC149" s="122"/>
      <c r="HD149" s="122"/>
      <c r="HE149" s="122"/>
      <c r="HF149" s="122"/>
      <c r="HG149" s="122"/>
      <c r="HH149" s="122"/>
      <c r="HI149" s="122"/>
      <c r="HJ149" s="122"/>
      <c r="HK149" s="122"/>
      <c r="HL149" s="122"/>
      <c r="HM149" s="122"/>
      <c r="HN149" s="122"/>
      <c r="HO149" s="122"/>
      <c r="HP149" s="122"/>
      <c r="HQ149" s="122"/>
      <c r="HR149" s="122"/>
      <c r="HS149" s="122"/>
      <c r="HT149" s="122"/>
      <c r="HU149" s="122"/>
      <c r="HV149" s="122"/>
      <c r="HW149" s="122"/>
      <c r="HX149" s="122"/>
      <c r="HY149" s="122"/>
      <c r="HZ149" s="122"/>
      <c r="IA149" s="122"/>
      <c r="IB149" s="122"/>
      <c r="IC149" s="122"/>
      <c r="ID149" s="122"/>
      <c r="IE149" s="122"/>
      <c r="IF149" s="122"/>
      <c r="IG149" s="122"/>
      <c r="IH149" s="122"/>
      <c r="II149" s="122"/>
      <c r="IJ149" s="122"/>
      <c r="IK149" s="122"/>
      <c r="IL149" s="122"/>
      <c r="IM149" s="122"/>
      <c r="IN149" s="122"/>
      <c r="IO149" s="122"/>
      <c r="IP149" s="122"/>
      <c r="IQ149" s="122"/>
      <c r="IR149" s="122"/>
      <c r="IS149" s="122"/>
      <c r="IT149" s="122"/>
      <c r="IU149" s="122"/>
      <c r="IV149" s="122"/>
      <c r="IW149" s="122"/>
      <c r="IX149" s="122"/>
      <c r="IY149" s="122"/>
      <c r="IZ149" s="122"/>
      <c r="JA149" s="122"/>
      <c r="JB149" s="122"/>
      <c r="JC149" s="122"/>
      <c r="JD149" s="122"/>
      <c r="JE149" s="122"/>
      <c r="JF149" s="122"/>
      <c r="JG149" s="122"/>
      <c r="JH149" s="122"/>
      <c r="JI149" s="119">
        <f t="shared" si="2"/>
        <v>459950.69</v>
      </c>
      <c r="JJ149" s="379">
        <v>6098</v>
      </c>
      <c r="JK149" s="122"/>
      <c r="JL149" s="125"/>
      <c r="JM149" s="345"/>
      <c r="JN149" s="125"/>
      <c r="JO149" s="125"/>
      <c r="JP149" s="125"/>
    </row>
    <row r="150" spans="1:276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  <c r="BP150" s="122"/>
      <c r="BQ150" s="122"/>
      <c r="BR150" s="122"/>
      <c r="BS150" s="122"/>
      <c r="BT150" s="122"/>
      <c r="BU150" s="122"/>
      <c r="BV150" s="122"/>
      <c r="BW150" s="122"/>
      <c r="BX150" s="122"/>
      <c r="BY150" s="122"/>
      <c r="BZ150" s="122"/>
      <c r="CA150" s="122"/>
      <c r="CB150" s="122"/>
      <c r="CC150" s="122"/>
      <c r="CD150" s="122"/>
      <c r="CE150" s="122"/>
      <c r="CF150" s="122"/>
      <c r="CG150" s="122"/>
      <c r="CH150" s="122"/>
      <c r="CI150" s="122"/>
      <c r="CJ150" s="122"/>
      <c r="CK150" s="122"/>
      <c r="CL150" s="122"/>
      <c r="CM150" s="122"/>
      <c r="CN150" s="122"/>
      <c r="CO150" s="122"/>
      <c r="CP150" s="122"/>
      <c r="CQ150" s="122"/>
      <c r="CR150" s="122"/>
      <c r="CS150" s="122"/>
      <c r="CT150" s="122"/>
      <c r="CU150" s="122"/>
      <c r="CV150" s="122"/>
      <c r="CW150" s="122"/>
      <c r="CX150" s="122"/>
      <c r="CY150" s="122"/>
      <c r="CZ150" s="122"/>
      <c r="DA150" s="122"/>
      <c r="DB150" s="122"/>
      <c r="DC150" s="122"/>
      <c r="DD150" s="122"/>
      <c r="DE150" s="122"/>
      <c r="DF150" s="122"/>
      <c r="DG150" s="122"/>
      <c r="DH150" s="122"/>
      <c r="DI150" s="122"/>
      <c r="DJ150" s="122"/>
      <c r="DK150" s="122"/>
      <c r="DL150" s="122"/>
      <c r="DM150" s="122"/>
      <c r="DN150" s="122"/>
      <c r="DO150" s="122"/>
      <c r="DP150" s="122"/>
      <c r="DQ150" s="122"/>
      <c r="DR150" s="122"/>
      <c r="DS150" s="122"/>
      <c r="DT150" s="122"/>
      <c r="DU150" s="122"/>
      <c r="DV150" s="122"/>
      <c r="DW150" s="122"/>
      <c r="DX150" s="122"/>
      <c r="DY150" s="122"/>
      <c r="DZ150" s="122"/>
      <c r="EA150" s="122"/>
      <c r="EB150" s="122"/>
      <c r="EC150" s="122"/>
      <c r="ED150" s="122"/>
      <c r="EE150" s="122"/>
      <c r="EF150" s="122"/>
      <c r="EG150" s="122"/>
      <c r="EH150" s="122"/>
      <c r="EI150" s="122"/>
      <c r="EJ150" s="122"/>
      <c r="EK150" s="122"/>
      <c r="EL150" s="122"/>
      <c r="EM150" s="122"/>
      <c r="EN150" s="122"/>
      <c r="EO150" s="122"/>
      <c r="EP150" s="122"/>
      <c r="EQ150" s="122"/>
      <c r="ER150" s="122"/>
      <c r="ES150" s="122"/>
      <c r="ET150" s="122"/>
      <c r="EU150" s="122"/>
      <c r="EV150" s="122"/>
      <c r="EW150" s="122"/>
      <c r="EX150" s="122"/>
      <c r="EY150" s="122"/>
      <c r="EZ150" s="122"/>
      <c r="FA150" s="122"/>
      <c r="FB150" s="122"/>
      <c r="FC150" s="122"/>
      <c r="FD150" s="122"/>
      <c r="FE150" s="122"/>
      <c r="FF150" s="122"/>
      <c r="FG150" s="122"/>
      <c r="FH150" s="122"/>
      <c r="FI150" s="122"/>
      <c r="FJ150" s="122">
        <v>108675</v>
      </c>
      <c r="FK150" s="122"/>
      <c r="FL150" s="122"/>
      <c r="FM150" s="122"/>
      <c r="FN150" s="122"/>
      <c r="FO150" s="122"/>
      <c r="FP150" s="122"/>
      <c r="FQ150" s="122"/>
      <c r="FR150" s="122"/>
      <c r="FS150" s="122"/>
      <c r="FT150" s="122"/>
      <c r="FU150" s="122"/>
      <c r="FV150" s="122"/>
      <c r="FW150" s="122"/>
      <c r="FX150" s="122"/>
      <c r="FY150" s="122"/>
      <c r="FZ150" s="122"/>
      <c r="GA150" s="122"/>
      <c r="GB150" s="122"/>
      <c r="GC150" s="122"/>
      <c r="GD150" s="122"/>
      <c r="GE150" s="122"/>
      <c r="GF150" s="122"/>
      <c r="GG150" s="122"/>
      <c r="GH150" s="122"/>
      <c r="GI150" s="122"/>
      <c r="GJ150" s="122"/>
      <c r="GK150" s="122"/>
      <c r="GL150" s="122"/>
      <c r="GM150" s="122"/>
      <c r="GN150" s="122"/>
      <c r="GO150" s="122"/>
      <c r="GP150" s="122"/>
      <c r="GQ150" s="122"/>
      <c r="GR150" s="122"/>
      <c r="GS150" s="122"/>
      <c r="GT150" s="122"/>
      <c r="GU150" s="122"/>
      <c r="GV150" s="122"/>
      <c r="GW150" s="122"/>
      <c r="GX150" s="122"/>
      <c r="GY150" s="122"/>
      <c r="GZ150" s="122"/>
      <c r="HA150" s="122"/>
      <c r="HB150" s="122"/>
      <c r="HC150" s="122"/>
      <c r="HD150" s="122"/>
      <c r="HE150" s="122"/>
      <c r="HF150" s="122"/>
      <c r="HG150" s="122"/>
      <c r="HH150" s="122"/>
      <c r="HI150" s="122"/>
      <c r="HJ150" s="122"/>
      <c r="HK150" s="122"/>
      <c r="HL150" s="122"/>
      <c r="HM150" s="122"/>
      <c r="HN150" s="122"/>
      <c r="HO150" s="122"/>
      <c r="HP150" s="122"/>
      <c r="HQ150" s="122"/>
      <c r="HR150" s="122"/>
      <c r="HS150" s="122"/>
      <c r="HT150" s="122"/>
      <c r="HU150" s="122"/>
      <c r="HV150" s="122"/>
      <c r="HW150" s="122"/>
      <c r="HX150" s="122"/>
      <c r="HY150" s="122"/>
      <c r="HZ150" s="122"/>
      <c r="IA150" s="122"/>
      <c r="IB150" s="122"/>
      <c r="IC150" s="122"/>
      <c r="ID150" s="122"/>
      <c r="IE150" s="122"/>
      <c r="IF150" s="122"/>
      <c r="IG150" s="122"/>
      <c r="IH150" s="122"/>
      <c r="II150" s="122"/>
      <c r="IJ150" s="122"/>
      <c r="IK150" s="122"/>
      <c r="IL150" s="122"/>
      <c r="IM150" s="122"/>
      <c r="IN150" s="122"/>
      <c r="IO150" s="122"/>
      <c r="IP150" s="122"/>
      <c r="IQ150" s="122"/>
      <c r="IR150" s="122"/>
      <c r="IS150" s="122"/>
      <c r="IT150" s="122"/>
      <c r="IU150" s="122"/>
      <c r="IV150" s="122"/>
      <c r="IW150" s="122"/>
      <c r="IX150" s="122"/>
      <c r="IY150" s="122"/>
      <c r="IZ150" s="122"/>
      <c r="JA150" s="122"/>
      <c r="JB150" s="122"/>
      <c r="JC150" s="122"/>
      <c r="JD150" s="122"/>
      <c r="JE150" s="122"/>
      <c r="JF150" s="122"/>
      <c r="JG150" s="122"/>
      <c r="JH150" s="122"/>
      <c r="JI150" s="119">
        <f t="shared" si="2"/>
        <v>108675</v>
      </c>
      <c r="JJ150" s="379">
        <v>6102</v>
      </c>
      <c r="JK150" s="122"/>
      <c r="JL150" s="125"/>
      <c r="JM150" s="345"/>
      <c r="JN150" s="125"/>
      <c r="JO150" s="125"/>
      <c r="JP150" s="125"/>
    </row>
    <row r="151" spans="1:276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  <c r="BP151" s="122"/>
      <c r="BQ151" s="122"/>
      <c r="BR151" s="122"/>
      <c r="BS151" s="122"/>
      <c r="BT151" s="122"/>
      <c r="BU151" s="122"/>
      <c r="BV151" s="122"/>
      <c r="BW151" s="122"/>
      <c r="BX151" s="122"/>
      <c r="BY151" s="122"/>
      <c r="BZ151" s="122"/>
      <c r="CA151" s="122"/>
      <c r="CB151" s="122"/>
      <c r="CC151" s="122"/>
      <c r="CD151" s="122"/>
      <c r="CE151" s="122"/>
      <c r="CF151" s="122"/>
      <c r="CG151" s="122"/>
      <c r="CH151" s="122"/>
      <c r="CI151" s="122"/>
      <c r="CJ151" s="122"/>
      <c r="CK151" s="122"/>
      <c r="CL151" s="122"/>
      <c r="CM151" s="122"/>
      <c r="CN151" s="122"/>
      <c r="CO151" s="122"/>
      <c r="CP151" s="122"/>
      <c r="CQ151" s="122"/>
      <c r="CR151" s="122"/>
      <c r="CS151" s="122"/>
      <c r="CT151" s="122"/>
      <c r="CU151" s="122"/>
      <c r="CV151" s="122"/>
      <c r="CW151" s="122"/>
      <c r="CX151" s="122"/>
      <c r="CY151" s="122"/>
      <c r="CZ151" s="122"/>
      <c r="DA151" s="122"/>
      <c r="DB151" s="122"/>
      <c r="DC151" s="122"/>
      <c r="DD151" s="122"/>
      <c r="DE151" s="122"/>
      <c r="DF151" s="122"/>
      <c r="DG151" s="122"/>
      <c r="DH151" s="122"/>
      <c r="DI151" s="122"/>
      <c r="DJ151" s="122"/>
      <c r="DK151" s="122"/>
      <c r="DL151" s="122"/>
      <c r="DM151" s="122"/>
      <c r="DN151" s="122"/>
      <c r="DO151" s="122"/>
      <c r="DP151" s="122"/>
      <c r="DQ151" s="122"/>
      <c r="DR151" s="122"/>
      <c r="DS151" s="122"/>
      <c r="DT151" s="122"/>
      <c r="DU151" s="122"/>
      <c r="DV151" s="122"/>
      <c r="DW151" s="122"/>
      <c r="DX151" s="122"/>
      <c r="DY151" s="122"/>
      <c r="DZ151" s="122"/>
      <c r="EA151" s="122"/>
      <c r="EB151" s="122"/>
      <c r="EC151" s="122"/>
      <c r="ED151" s="122"/>
      <c r="EE151" s="122"/>
      <c r="EF151" s="122"/>
      <c r="EG151" s="122"/>
      <c r="EH151" s="122"/>
      <c r="EI151" s="122"/>
      <c r="EJ151" s="122"/>
      <c r="EK151" s="122"/>
      <c r="EL151" s="122"/>
      <c r="EM151" s="122"/>
      <c r="EN151" s="122"/>
      <c r="EO151" s="122"/>
      <c r="EP151" s="122"/>
      <c r="EQ151" s="122"/>
      <c r="ER151" s="122"/>
      <c r="ES151" s="122"/>
      <c r="ET151" s="122"/>
      <c r="EU151" s="122"/>
      <c r="EV151" s="122"/>
      <c r="EW151" s="122"/>
      <c r="EX151" s="122"/>
      <c r="EY151" s="122"/>
      <c r="EZ151" s="122"/>
      <c r="FA151" s="122"/>
      <c r="FB151" s="122"/>
      <c r="FC151" s="122"/>
      <c r="FD151" s="122"/>
      <c r="FE151" s="122"/>
      <c r="FF151" s="122"/>
      <c r="FG151" s="122"/>
      <c r="FH151" s="122"/>
      <c r="FI151" s="122"/>
      <c r="FJ151" s="122">
        <v>27900</v>
      </c>
      <c r="FK151" s="122"/>
      <c r="FL151" s="122"/>
      <c r="FM151" s="122"/>
      <c r="FN151" s="122"/>
      <c r="FO151" s="122"/>
      <c r="FP151" s="122"/>
      <c r="FQ151" s="122"/>
      <c r="FR151" s="122"/>
      <c r="FS151" s="122"/>
      <c r="FT151" s="122"/>
      <c r="FU151" s="122"/>
      <c r="FV151" s="122"/>
      <c r="FW151" s="122"/>
      <c r="FX151" s="122"/>
      <c r="FY151" s="122"/>
      <c r="FZ151" s="122"/>
      <c r="GA151" s="122"/>
      <c r="GB151" s="122"/>
      <c r="GC151" s="122"/>
      <c r="GD151" s="122"/>
      <c r="GE151" s="122"/>
      <c r="GF151" s="122"/>
      <c r="GG151" s="122"/>
      <c r="GH151" s="122"/>
      <c r="GI151" s="122"/>
      <c r="GJ151" s="122"/>
      <c r="GK151" s="122"/>
      <c r="GL151" s="122"/>
      <c r="GM151" s="122"/>
      <c r="GN151" s="122"/>
      <c r="GO151" s="122"/>
      <c r="GP151" s="122"/>
      <c r="GQ151" s="122"/>
      <c r="GR151" s="122"/>
      <c r="GS151" s="122"/>
      <c r="GT151" s="122"/>
      <c r="GU151" s="122"/>
      <c r="GV151" s="122"/>
      <c r="GW151" s="122"/>
      <c r="GX151" s="122"/>
      <c r="GY151" s="122"/>
      <c r="GZ151" s="122"/>
      <c r="HA151" s="122"/>
      <c r="HB151" s="122"/>
      <c r="HC151" s="122"/>
      <c r="HD151" s="122"/>
      <c r="HE151" s="122"/>
      <c r="HF151" s="122"/>
      <c r="HG151" s="122"/>
      <c r="HH151" s="122"/>
      <c r="HI151" s="122"/>
      <c r="HJ151" s="122"/>
      <c r="HK151" s="122"/>
      <c r="HL151" s="122"/>
      <c r="HM151" s="122"/>
      <c r="HN151" s="122"/>
      <c r="HO151" s="122"/>
      <c r="HP151" s="122"/>
      <c r="HQ151" s="122"/>
      <c r="HR151" s="122"/>
      <c r="HS151" s="122"/>
      <c r="HT151" s="122"/>
      <c r="HU151" s="122"/>
      <c r="HV151" s="122"/>
      <c r="HW151" s="122"/>
      <c r="HX151" s="122"/>
      <c r="HY151" s="122"/>
      <c r="HZ151" s="122"/>
      <c r="IA151" s="122"/>
      <c r="IB151" s="122"/>
      <c r="IC151" s="122"/>
      <c r="ID151" s="122"/>
      <c r="IE151" s="122"/>
      <c r="IF151" s="122"/>
      <c r="IG151" s="122"/>
      <c r="IH151" s="122"/>
      <c r="II151" s="122"/>
      <c r="IJ151" s="122"/>
      <c r="IK151" s="122"/>
      <c r="IL151" s="122"/>
      <c r="IM151" s="122"/>
      <c r="IN151" s="122"/>
      <c r="IO151" s="122"/>
      <c r="IP151" s="122"/>
      <c r="IQ151" s="122"/>
      <c r="IR151" s="122"/>
      <c r="IS151" s="122"/>
      <c r="IT151" s="122"/>
      <c r="IU151" s="122"/>
      <c r="IV151" s="122"/>
      <c r="IW151" s="122"/>
      <c r="IX151" s="122"/>
      <c r="IY151" s="122"/>
      <c r="IZ151" s="122"/>
      <c r="JA151" s="122"/>
      <c r="JB151" s="122"/>
      <c r="JC151" s="122"/>
      <c r="JD151" s="122"/>
      <c r="JE151" s="122"/>
      <c r="JF151" s="122"/>
      <c r="JG151" s="122"/>
      <c r="JH151" s="122"/>
      <c r="JI151" s="119">
        <f t="shared" si="2"/>
        <v>27900</v>
      </c>
      <c r="JJ151" s="379">
        <v>6106</v>
      </c>
      <c r="JK151" s="122"/>
      <c r="JL151" s="125"/>
      <c r="JM151" s="345"/>
      <c r="JN151" s="125"/>
      <c r="JO151" s="125"/>
      <c r="JP151" s="125"/>
    </row>
    <row r="152" spans="1:276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  <c r="BP152" s="122"/>
      <c r="BQ152" s="122"/>
      <c r="BR152" s="122"/>
      <c r="BS152" s="122"/>
      <c r="BT152" s="122"/>
      <c r="BU152" s="122"/>
      <c r="BV152" s="122"/>
      <c r="BW152" s="122"/>
      <c r="BX152" s="122"/>
      <c r="BY152" s="122"/>
      <c r="BZ152" s="122"/>
      <c r="CA152" s="122"/>
      <c r="CB152" s="122"/>
      <c r="CC152" s="122"/>
      <c r="CD152" s="122"/>
      <c r="CE152" s="122"/>
      <c r="CF152" s="122"/>
      <c r="CG152" s="122"/>
      <c r="CH152" s="122"/>
      <c r="CI152" s="122"/>
      <c r="CJ152" s="122"/>
      <c r="CK152" s="122"/>
      <c r="CL152" s="122"/>
      <c r="CM152" s="122"/>
      <c r="CN152" s="122"/>
      <c r="CO152" s="122"/>
      <c r="CP152" s="122"/>
      <c r="CQ152" s="122"/>
      <c r="CR152" s="122"/>
      <c r="CS152" s="122"/>
      <c r="CT152" s="122"/>
      <c r="CU152" s="122"/>
      <c r="CV152" s="122"/>
      <c r="CW152" s="122"/>
      <c r="CX152" s="122"/>
      <c r="CY152" s="122"/>
      <c r="CZ152" s="122"/>
      <c r="DA152" s="122"/>
      <c r="DB152" s="122"/>
      <c r="DC152" s="122"/>
      <c r="DD152" s="122"/>
      <c r="DE152" s="122"/>
      <c r="DF152" s="122"/>
      <c r="DG152" s="122"/>
      <c r="DH152" s="122"/>
      <c r="DI152" s="122"/>
      <c r="DJ152" s="122"/>
      <c r="DK152" s="122"/>
      <c r="DL152" s="122"/>
      <c r="DM152" s="122"/>
      <c r="DN152" s="122"/>
      <c r="DO152" s="122"/>
      <c r="DP152" s="122"/>
      <c r="DQ152" s="122"/>
      <c r="DR152" s="122"/>
      <c r="DS152" s="122"/>
      <c r="DT152" s="122"/>
      <c r="DU152" s="122"/>
      <c r="DV152" s="122"/>
      <c r="DW152" s="122"/>
      <c r="DX152" s="122"/>
      <c r="DY152" s="122"/>
      <c r="DZ152" s="122"/>
      <c r="EA152" s="122"/>
      <c r="EB152" s="122"/>
      <c r="EC152" s="122"/>
      <c r="ED152" s="122"/>
      <c r="EE152" s="122"/>
      <c r="EF152" s="122"/>
      <c r="EG152" s="122"/>
      <c r="EH152" s="122"/>
      <c r="EI152" s="122"/>
      <c r="EJ152" s="122"/>
      <c r="EK152" s="122"/>
      <c r="EL152" s="122"/>
      <c r="EM152" s="122"/>
      <c r="EN152" s="122"/>
      <c r="EO152" s="122"/>
      <c r="EP152" s="122"/>
      <c r="EQ152" s="122"/>
      <c r="ER152" s="122"/>
      <c r="ES152" s="122"/>
      <c r="ET152" s="122"/>
      <c r="EU152" s="122"/>
      <c r="EV152" s="122"/>
      <c r="EW152" s="122"/>
      <c r="EX152" s="122"/>
      <c r="EY152" s="122"/>
      <c r="EZ152" s="122"/>
      <c r="FA152" s="122"/>
      <c r="FB152" s="122"/>
      <c r="FC152" s="122"/>
      <c r="FD152" s="122"/>
      <c r="FE152" s="122"/>
      <c r="FF152" s="122"/>
      <c r="FG152" s="122"/>
      <c r="FH152" s="122"/>
      <c r="FI152" s="122"/>
      <c r="FJ152" s="122">
        <v>390060.46</v>
      </c>
      <c r="FK152" s="122"/>
      <c r="FL152" s="122"/>
      <c r="FM152" s="122"/>
      <c r="FN152" s="122"/>
      <c r="FO152" s="122"/>
      <c r="FP152" s="122"/>
      <c r="FQ152" s="122"/>
      <c r="FR152" s="122"/>
      <c r="FS152" s="122"/>
      <c r="FT152" s="122"/>
      <c r="FU152" s="122"/>
      <c r="FV152" s="122"/>
      <c r="FW152" s="122"/>
      <c r="FX152" s="122"/>
      <c r="FY152" s="122"/>
      <c r="FZ152" s="122"/>
      <c r="GA152" s="122"/>
      <c r="GB152" s="122"/>
      <c r="GC152" s="122"/>
      <c r="GD152" s="122"/>
      <c r="GE152" s="122"/>
      <c r="GF152" s="122"/>
      <c r="GG152" s="122"/>
      <c r="GH152" s="122"/>
      <c r="GI152" s="122"/>
      <c r="GJ152" s="122"/>
      <c r="GK152" s="122"/>
      <c r="GL152" s="122"/>
      <c r="GM152" s="122"/>
      <c r="GN152" s="122"/>
      <c r="GO152" s="122"/>
      <c r="GP152" s="122"/>
      <c r="GQ152" s="122"/>
      <c r="GR152" s="122"/>
      <c r="GS152" s="122"/>
      <c r="GT152" s="122"/>
      <c r="GU152" s="122"/>
      <c r="GV152" s="122"/>
      <c r="GW152" s="122"/>
      <c r="GX152" s="122"/>
      <c r="GY152" s="122"/>
      <c r="GZ152" s="122"/>
      <c r="HA152" s="122"/>
      <c r="HB152" s="122"/>
      <c r="HC152" s="122"/>
      <c r="HD152" s="122"/>
      <c r="HE152" s="122"/>
      <c r="HF152" s="122"/>
      <c r="HG152" s="122"/>
      <c r="HH152" s="122"/>
      <c r="HI152" s="122"/>
      <c r="HJ152" s="122"/>
      <c r="HK152" s="122"/>
      <c r="HL152" s="122"/>
      <c r="HM152" s="122"/>
      <c r="HN152" s="122"/>
      <c r="HO152" s="122"/>
      <c r="HP152" s="122"/>
      <c r="HQ152" s="122"/>
      <c r="HR152" s="122"/>
      <c r="HS152" s="122"/>
      <c r="HT152" s="122"/>
      <c r="HU152" s="122"/>
      <c r="HV152" s="122"/>
      <c r="HW152" s="122"/>
      <c r="HX152" s="122"/>
      <c r="HY152" s="122"/>
      <c r="HZ152" s="122"/>
      <c r="IA152" s="122"/>
      <c r="IB152" s="122"/>
      <c r="IC152" s="122"/>
      <c r="ID152" s="122"/>
      <c r="IE152" s="122"/>
      <c r="IF152" s="122"/>
      <c r="IG152" s="122"/>
      <c r="IH152" s="122"/>
      <c r="II152" s="122"/>
      <c r="IJ152" s="122"/>
      <c r="IK152" s="122"/>
      <c r="IL152" s="122"/>
      <c r="IM152" s="122"/>
      <c r="IN152" s="122"/>
      <c r="IO152" s="122"/>
      <c r="IP152" s="122"/>
      <c r="IQ152" s="122"/>
      <c r="IR152" s="122"/>
      <c r="IS152" s="122"/>
      <c r="IT152" s="122"/>
      <c r="IU152" s="122"/>
      <c r="IV152" s="122"/>
      <c r="IW152" s="122"/>
      <c r="IX152" s="122"/>
      <c r="IY152" s="122"/>
      <c r="IZ152" s="122"/>
      <c r="JA152" s="122"/>
      <c r="JB152" s="122"/>
      <c r="JC152" s="122"/>
      <c r="JD152" s="122"/>
      <c r="JE152" s="122"/>
      <c r="JF152" s="122"/>
      <c r="JG152" s="122"/>
      <c r="JH152" s="122"/>
      <c r="JI152" s="119">
        <f t="shared" si="2"/>
        <v>390060.46</v>
      </c>
      <c r="JJ152" s="379">
        <v>6110</v>
      </c>
      <c r="JK152" s="122"/>
      <c r="JL152" s="125"/>
      <c r="JM152" s="345"/>
      <c r="JN152" s="125"/>
      <c r="JO152" s="125"/>
      <c r="JP152" s="125"/>
    </row>
    <row r="153" spans="1:276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  <c r="BP153" s="122"/>
      <c r="BQ153" s="122"/>
      <c r="BR153" s="122"/>
      <c r="BS153" s="122"/>
      <c r="BT153" s="122"/>
      <c r="BU153" s="122"/>
      <c r="BV153" s="122"/>
      <c r="BW153" s="122"/>
      <c r="BX153" s="122"/>
      <c r="BY153" s="122"/>
      <c r="BZ153" s="122"/>
      <c r="CA153" s="122"/>
      <c r="CB153" s="122"/>
      <c r="CC153" s="122"/>
      <c r="CD153" s="122"/>
      <c r="CE153" s="122"/>
      <c r="CF153" s="122"/>
      <c r="CG153" s="122"/>
      <c r="CH153" s="122"/>
      <c r="CI153" s="122"/>
      <c r="CJ153" s="122"/>
      <c r="CK153" s="122"/>
      <c r="CL153" s="122"/>
      <c r="CM153" s="122"/>
      <c r="CN153" s="122"/>
      <c r="CO153" s="122"/>
      <c r="CP153" s="122"/>
      <c r="CQ153" s="122"/>
      <c r="CR153" s="122"/>
      <c r="CS153" s="122"/>
      <c r="CT153" s="122"/>
      <c r="CU153" s="122"/>
      <c r="CV153" s="122"/>
      <c r="CW153" s="122"/>
      <c r="CX153" s="122"/>
      <c r="CY153" s="122"/>
      <c r="CZ153" s="122"/>
      <c r="DA153" s="122"/>
      <c r="DB153" s="122"/>
      <c r="DC153" s="122"/>
      <c r="DD153" s="122"/>
      <c r="DE153" s="122"/>
      <c r="DF153" s="122"/>
      <c r="DG153" s="122"/>
      <c r="DH153" s="122"/>
      <c r="DI153" s="122"/>
      <c r="DJ153" s="122"/>
      <c r="DK153" s="122"/>
      <c r="DL153" s="122"/>
      <c r="DM153" s="122"/>
      <c r="DN153" s="122"/>
      <c r="DO153" s="122"/>
      <c r="DP153" s="122"/>
      <c r="DQ153" s="122"/>
      <c r="DR153" s="122"/>
      <c r="DS153" s="122"/>
      <c r="DT153" s="122"/>
      <c r="DU153" s="122"/>
      <c r="DV153" s="122"/>
      <c r="DW153" s="122"/>
      <c r="DX153" s="122"/>
      <c r="DY153" s="122"/>
      <c r="DZ153" s="122"/>
      <c r="EA153" s="122"/>
      <c r="EB153" s="122"/>
      <c r="EC153" s="122"/>
      <c r="ED153" s="122"/>
      <c r="EE153" s="122"/>
      <c r="EF153" s="122"/>
      <c r="EG153" s="122"/>
      <c r="EH153" s="122"/>
      <c r="EI153" s="122"/>
      <c r="EJ153" s="122"/>
      <c r="EK153" s="122"/>
      <c r="EL153" s="122"/>
      <c r="EM153" s="122"/>
      <c r="EN153" s="122"/>
      <c r="EO153" s="122"/>
      <c r="EP153" s="122"/>
      <c r="EQ153" s="122"/>
      <c r="ER153" s="122"/>
      <c r="ES153" s="122"/>
      <c r="ET153" s="122"/>
      <c r="EU153" s="122"/>
      <c r="EV153" s="122"/>
      <c r="EW153" s="122"/>
      <c r="EX153" s="122"/>
      <c r="EY153" s="122"/>
      <c r="EZ153" s="122"/>
      <c r="FA153" s="122"/>
      <c r="FB153" s="122"/>
      <c r="FC153" s="122"/>
      <c r="FD153" s="122"/>
      <c r="FE153" s="122"/>
      <c r="FF153" s="122"/>
      <c r="FG153" s="122"/>
      <c r="FH153" s="122"/>
      <c r="FI153" s="122"/>
      <c r="FJ153" s="122">
        <v>323028.5</v>
      </c>
      <c r="FK153" s="122"/>
      <c r="FL153" s="122"/>
      <c r="FM153" s="122"/>
      <c r="FN153" s="122"/>
      <c r="FO153" s="122"/>
      <c r="FP153" s="122"/>
      <c r="FQ153" s="122"/>
      <c r="FR153" s="122"/>
      <c r="FS153" s="122"/>
      <c r="FT153" s="122"/>
      <c r="FU153" s="122"/>
      <c r="FV153" s="122"/>
      <c r="FW153" s="122"/>
      <c r="FX153" s="122"/>
      <c r="FY153" s="122"/>
      <c r="FZ153" s="122"/>
      <c r="GA153" s="122"/>
      <c r="GB153" s="122"/>
      <c r="GC153" s="122"/>
      <c r="GD153" s="122"/>
      <c r="GE153" s="122"/>
      <c r="GF153" s="122"/>
      <c r="GG153" s="122"/>
      <c r="GH153" s="122"/>
      <c r="GI153" s="122"/>
      <c r="GJ153" s="122"/>
      <c r="GK153" s="122"/>
      <c r="GL153" s="122"/>
      <c r="GM153" s="122"/>
      <c r="GN153" s="122"/>
      <c r="GO153" s="122"/>
      <c r="GP153" s="122"/>
      <c r="GQ153" s="122"/>
      <c r="GR153" s="122"/>
      <c r="GS153" s="122"/>
      <c r="GT153" s="122"/>
      <c r="GU153" s="122"/>
      <c r="GV153" s="122"/>
      <c r="GW153" s="122"/>
      <c r="GX153" s="122"/>
      <c r="GY153" s="122"/>
      <c r="GZ153" s="122"/>
      <c r="HA153" s="122"/>
      <c r="HB153" s="122"/>
      <c r="HC153" s="122"/>
      <c r="HD153" s="122"/>
      <c r="HE153" s="122"/>
      <c r="HF153" s="122"/>
      <c r="HG153" s="122"/>
      <c r="HH153" s="122"/>
      <c r="HI153" s="122"/>
      <c r="HJ153" s="122"/>
      <c r="HK153" s="122"/>
      <c r="HL153" s="122"/>
      <c r="HM153" s="122"/>
      <c r="HN153" s="122"/>
      <c r="HO153" s="122"/>
      <c r="HP153" s="122"/>
      <c r="HQ153" s="122"/>
      <c r="HR153" s="122"/>
      <c r="HS153" s="122"/>
      <c r="HT153" s="122"/>
      <c r="HU153" s="122"/>
      <c r="HV153" s="122"/>
      <c r="HW153" s="122"/>
      <c r="HX153" s="122"/>
      <c r="HY153" s="122"/>
      <c r="HZ153" s="122"/>
      <c r="IA153" s="122"/>
      <c r="IB153" s="122"/>
      <c r="IC153" s="122"/>
      <c r="ID153" s="122"/>
      <c r="IE153" s="122"/>
      <c r="IF153" s="122"/>
      <c r="IG153" s="122"/>
      <c r="IH153" s="122"/>
      <c r="II153" s="122"/>
      <c r="IJ153" s="122"/>
      <c r="IK153" s="122"/>
      <c r="IL153" s="122"/>
      <c r="IM153" s="122"/>
      <c r="IN153" s="122"/>
      <c r="IO153" s="122"/>
      <c r="IP153" s="122"/>
      <c r="IQ153" s="122"/>
      <c r="IR153" s="122"/>
      <c r="IS153" s="122"/>
      <c r="IT153" s="122"/>
      <c r="IU153" s="122"/>
      <c r="IV153" s="122"/>
      <c r="IW153" s="122"/>
      <c r="IX153" s="122"/>
      <c r="IY153" s="122"/>
      <c r="IZ153" s="122"/>
      <c r="JA153" s="122"/>
      <c r="JB153" s="122"/>
      <c r="JC153" s="122"/>
      <c r="JD153" s="122"/>
      <c r="JE153" s="122"/>
      <c r="JF153" s="122"/>
      <c r="JG153" s="122"/>
      <c r="JH153" s="122"/>
      <c r="JI153" s="119">
        <f t="shared" si="2"/>
        <v>323028.5</v>
      </c>
      <c r="JJ153" s="379">
        <v>6114</v>
      </c>
      <c r="JK153" s="122"/>
      <c r="JL153" s="125"/>
      <c r="JM153" s="345"/>
      <c r="JN153" s="125"/>
      <c r="JO153" s="125"/>
      <c r="JP153" s="125"/>
    </row>
    <row r="154" spans="1:276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  <c r="BP154" s="122"/>
      <c r="BQ154" s="122"/>
      <c r="BR154" s="122"/>
      <c r="BS154" s="122"/>
      <c r="BT154" s="122"/>
      <c r="BU154" s="122"/>
      <c r="BV154" s="122"/>
      <c r="BW154" s="122"/>
      <c r="BX154" s="122"/>
      <c r="BY154" s="122"/>
      <c r="BZ154" s="122"/>
      <c r="CA154" s="122"/>
      <c r="CB154" s="122"/>
      <c r="CC154" s="122"/>
      <c r="CD154" s="122"/>
      <c r="CE154" s="122"/>
      <c r="CF154" s="122"/>
      <c r="CG154" s="122"/>
      <c r="CH154" s="122"/>
      <c r="CI154" s="122"/>
      <c r="CJ154" s="122"/>
      <c r="CK154" s="122"/>
      <c r="CL154" s="122"/>
      <c r="CM154" s="122"/>
      <c r="CN154" s="122"/>
      <c r="CO154" s="122"/>
      <c r="CP154" s="122"/>
      <c r="CQ154" s="122"/>
      <c r="CR154" s="122"/>
      <c r="CS154" s="122"/>
      <c r="CT154" s="122"/>
      <c r="CU154" s="122"/>
      <c r="CV154" s="122"/>
      <c r="CW154" s="122"/>
      <c r="CX154" s="122"/>
      <c r="CY154" s="122"/>
      <c r="CZ154" s="122"/>
      <c r="DA154" s="122"/>
      <c r="DB154" s="122"/>
      <c r="DC154" s="122"/>
      <c r="DD154" s="122"/>
      <c r="DE154" s="122"/>
      <c r="DF154" s="122"/>
      <c r="DG154" s="122"/>
      <c r="DH154" s="122"/>
      <c r="DI154" s="122"/>
      <c r="DJ154" s="122"/>
      <c r="DK154" s="122"/>
      <c r="DL154" s="122"/>
      <c r="DM154" s="122"/>
      <c r="DN154" s="122"/>
      <c r="DO154" s="122"/>
      <c r="DP154" s="122"/>
      <c r="DQ154" s="122"/>
      <c r="DR154" s="122"/>
      <c r="DS154" s="122"/>
      <c r="DT154" s="122"/>
      <c r="DU154" s="122"/>
      <c r="DV154" s="122"/>
      <c r="DW154" s="122"/>
      <c r="DX154" s="122"/>
      <c r="DY154" s="122"/>
      <c r="DZ154" s="122"/>
      <c r="EA154" s="122"/>
      <c r="EB154" s="122"/>
      <c r="EC154" s="122"/>
      <c r="ED154" s="122"/>
      <c r="EE154" s="122"/>
      <c r="EF154" s="122"/>
      <c r="EG154" s="122"/>
      <c r="EH154" s="122"/>
      <c r="EI154" s="122"/>
      <c r="EJ154" s="122"/>
      <c r="EK154" s="122"/>
      <c r="EL154" s="122"/>
      <c r="EM154" s="122"/>
      <c r="EN154" s="122"/>
      <c r="EO154" s="122"/>
      <c r="EP154" s="122"/>
      <c r="EQ154" s="122"/>
      <c r="ER154" s="122"/>
      <c r="ES154" s="122"/>
      <c r="ET154" s="122"/>
      <c r="EU154" s="122"/>
      <c r="EV154" s="122"/>
      <c r="EW154" s="122"/>
      <c r="EX154" s="122"/>
      <c r="EY154" s="122"/>
      <c r="EZ154" s="122"/>
      <c r="FA154" s="122"/>
      <c r="FB154" s="122"/>
      <c r="FC154" s="122"/>
      <c r="FD154" s="122"/>
      <c r="FE154" s="122"/>
      <c r="FF154" s="122"/>
      <c r="FG154" s="122"/>
      <c r="FH154" s="122"/>
      <c r="FI154" s="122"/>
      <c r="FJ154" s="122">
        <v>100755</v>
      </c>
      <c r="FK154" s="122"/>
      <c r="FL154" s="122"/>
      <c r="FM154" s="122"/>
      <c r="FN154" s="122"/>
      <c r="FO154" s="122"/>
      <c r="FP154" s="122"/>
      <c r="FQ154" s="122"/>
      <c r="FR154" s="122"/>
      <c r="FS154" s="122"/>
      <c r="FT154" s="122"/>
      <c r="FU154" s="122"/>
      <c r="FV154" s="122"/>
      <c r="FW154" s="122"/>
      <c r="FX154" s="122"/>
      <c r="FY154" s="122"/>
      <c r="FZ154" s="122"/>
      <c r="GA154" s="122"/>
      <c r="GB154" s="122"/>
      <c r="GC154" s="122"/>
      <c r="GD154" s="122"/>
      <c r="GE154" s="122"/>
      <c r="GF154" s="122"/>
      <c r="GG154" s="122"/>
      <c r="GH154" s="122"/>
      <c r="GI154" s="122"/>
      <c r="GJ154" s="122"/>
      <c r="GK154" s="122"/>
      <c r="GL154" s="122"/>
      <c r="GM154" s="122"/>
      <c r="GN154" s="122"/>
      <c r="GO154" s="122"/>
      <c r="GP154" s="122"/>
      <c r="GQ154" s="122"/>
      <c r="GR154" s="122"/>
      <c r="GS154" s="122"/>
      <c r="GT154" s="122"/>
      <c r="GU154" s="122"/>
      <c r="GV154" s="122"/>
      <c r="GW154" s="122"/>
      <c r="GX154" s="122"/>
      <c r="GY154" s="122"/>
      <c r="GZ154" s="122"/>
      <c r="HA154" s="122"/>
      <c r="HB154" s="122"/>
      <c r="HC154" s="122"/>
      <c r="HD154" s="122"/>
      <c r="HE154" s="122"/>
      <c r="HF154" s="122"/>
      <c r="HG154" s="122"/>
      <c r="HH154" s="122"/>
      <c r="HI154" s="122"/>
      <c r="HJ154" s="122"/>
      <c r="HK154" s="122"/>
      <c r="HL154" s="122"/>
      <c r="HM154" s="122"/>
      <c r="HN154" s="122"/>
      <c r="HO154" s="122"/>
      <c r="HP154" s="122"/>
      <c r="HQ154" s="122"/>
      <c r="HR154" s="122"/>
      <c r="HS154" s="122"/>
      <c r="HT154" s="122"/>
      <c r="HU154" s="122"/>
      <c r="HV154" s="122"/>
      <c r="HW154" s="122"/>
      <c r="HX154" s="122"/>
      <c r="HY154" s="122"/>
      <c r="HZ154" s="122"/>
      <c r="IA154" s="122"/>
      <c r="IB154" s="122"/>
      <c r="IC154" s="122"/>
      <c r="ID154" s="122"/>
      <c r="IE154" s="122"/>
      <c r="IF154" s="122"/>
      <c r="IG154" s="122"/>
      <c r="IH154" s="122"/>
      <c r="II154" s="122"/>
      <c r="IJ154" s="122"/>
      <c r="IK154" s="122"/>
      <c r="IL154" s="122"/>
      <c r="IM154" s="122"/>
      <c r="IN154" s="122"/>
      <c r="IO154" s="122"/>
      <c r="IP154" s="122"/>
      <c r="IQ154" s="122"/>
      <c r="IR154" s="122"/>
      <c r="IS154" s="122"/>
      <c r="IT154" s="122"/>
      <c r="IU154" s="122"/>
      <c r="IV154" s="122"/>
      <c r="IW154" s="122"/>
      <c r="IX154" s="122"/>
      <c r="IY154" s="122"/>
      <c r="IZ154" s="122"/>
      <c r="JA154" s="122"/>
      <c r="JB154" s="122"/>
      <c r="JC154" s="122"/>
      <c r="JD154" s="122"/>
      <c r="JE154" s="122"/>
      <c r="JF154" s="122"/>
      <c r="JG154" s="122"/>
      <c r="JH154" s="122"/>
      <c r="JI154" s="119">
        <f t="shared" si="2"/>
        <v>100755</v>
      </c>
      <c r="JJ154" s="379">
        <v>6118</v>
      </c>
      <c r="JK154" s="122"/>
      <c r="JL154" s="125"/>
      <c r="JM154" s="345"/>
      <c r="JN154" s="125"/>
      <c r="JO154" s="125"/>
      <c r="JP154" s="125"/>
    </row>
    <row r="155" spans="1:276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  <c r="AU155" s="122"/>
      <c r="AV155" s="122"/>
      <c r="AW155" s="122"/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  <c r="BJ155" s="122"/>
      <c r="BK155" s="122"/>
      <c r="BL155" s="122"/>
      <c r="BM155" s="122"/>
      <c r="BN155" s="122"/>
      <c r="BO155" s="122"/>
      <c r="BP155" s="122"/>
      <c r="BQ155" s="122"/>
      <c r="BR155" s="122"/>
      <c r="BS155" s="122"/>
      <c r="BT155" s="122"/>
      <c r="BU155" s="122"/>
      <c r="BV155" s="122"/>
      <c r="BW155" s="122"/>
      <c r="BX155" s="122"/>
      <c r="BY155" s="122"/>
      <c r="BZ155" s="122"/>
      <c r="CA155" s="122"/>
      <c r="CB155" s="122"/>
      <c r="CC155" s="122"/>
      <c r="CD155" s="122"/>
      <c r="CE155" s="122"/>
      <c r="CF155" s="122"/>
      <c r="CG155" s="122"/>
      <c r="CH155" s="122"/>
      <c r="CI155" s="122"/>
      <c r="CJ155" s="122"/>
      <c r="CK155" s="122"/>
      <c r="CL155" s="122"/>
      <c r="CM155" s="122"/>
      <c r="CN155" s="122"/>
      <c r="CO155" s="122"/>
      <c r="CP155" s="122"/>
      <c r="CQ155" s="122"/>
      <c r="CR155" s="122"/>
      <c r="CS155" s="122"/>
      <c r="CT155" s="122"/>
      <c r="CU155" s="122"/>
      <c r="CV155" s="122"/>
      <c r="CW155" s="122"/>
      <c r="CX155" s="122"/>
      <c r="CY155" s="122"/>
      <c r="CZ155" s="122"/>
      <c r="DA155" s="122"/>
      <c r="DB155" s="122"/>
      <c r="DC155" s="122"/>
      <c r="DD155" s="122"/>
      <c r="DE155" s="122"/>
      <c r="DF155" s="122"/>
      <c r="DG155" s="122"/>
      <c r="DH155" s="122"/>
      <c r="DI155" s="122"/>
      <c r="DJ155" s="122"/>
      <c r="DK155" s="122"/>
      <c r="DL155" s="122"/>
      <c r="DM155" s="122"/>
      <c r="DN155" s="122"/>
      <c r="DO155" s="122"/>
      <c r="DP155" s="122"/>
      <c r="DQ155" s="122"/>
      <c r="DR155" s="122"/>
      <c r="DS155" s="122"/>
      <c r="DT155" s="122"/>
      <c r="DU155" s="122"/>
      <c r="DV155" s="122"/>
      <c r="DW155" s="122"/>
      <c r="DX155" s="122"/>
      <c r="DY155" s="122"/>
      <c r="DZ155" s="122"/>
      <c r="EA155" s="122">
        <v>185220</v>
      </c>
      <c r="EB155" s="122"/>
      <c r="EC155" s="122"/>
      <c r="ED155" s="122"/>
      <c r="EE155" s="122"/>
      <c r="EF155" s="122"/>
      <c r="EG155" s="122"/>
      <c r="EH155" s="122"/>
      <c r="EI155" s="122"/>
      <c r="EJ155" s="122"/>
      <c r="EK155" s="122"/>
      <c r="EL155" s="122"/>
      <c r="EM155" s="122"/>
      <c r="EN155" s="122"/>
      <c r="EO155" s="122"/>
      <c r="EP155" s="122"/>
      <c r="EQ155" s="122"/>
      <c r="ER155" s="122"/>
      <c r="ES155" s="122"/>
      <c r="ET155" s="122"/>
      <c r="EU155" s="122"/>
      <c r="EV155" s="122"/>
      <c r="EW155" s="122"/>
      <c r="EX155" s="122"/>
      <c r="EY155" s="122"/>
      <c r="EZ155" s="122"/>
      <c r="FA155" s="122"/>
      <c r="FB155" s="122"/>
      <c r="FC155" s="122"/>
      <c r="FD155" s="122"/>
      <c r="FE155" s="122"/>
      <c r="FF155" s="122"/>
      <c r="FG155" s="122"/>
      <c r="FH155" s="122"/>
      <c r="FI155" s="122"/>
      <c r="FJ155" s="122"/>
      <c r="FK155" s="122"/>
      <c r="FL155" s="122"/>
      <c r="FM155" s="122"/>
      <c r="FN155" s="122"/>
      <c r="FO155" s="122"/>
      <c r="FP155" s="122"/>
      <c r="FQ155" s="122"/>
      <c r="FR155" s="122"/>
      <c r="FS155" s="122"/>
      <c r="FT155" s="122"/>
      <c r="FU155" s="122"/>
      <c r="FV155" s="122"/>
      <c r="FW155" s="122"/>
      <c r="FX155" s="122"/>
      <c r="FY155" s="122"/>
      <c r="FZ155" s="122"/>
      <c r="GA155" s="122"/>
      <c r="GB155" s="122"/>
      <c r="GC155" s="122"/>
      <c r="GD155" s="122"/>
      <c r="GE155" s="122"/>
      <c r="GF155" s="122"/>
      <c r="GG155" s="122"/>
      <c r="GH155" s="122"/>
      <c r="GI155" s="122"/>
      <c r="GJ155" s="122"/>
      <c r="GK155" s="122"/>
      <c r="GL155" s="122"/>
      <c r="GM155" s="122"/>
      <c r="GN155" s="122"/>
      <c r="GO155" s="122"/>
      <c r="GP155" s="122"/>
      <c r="GQ155" s="122"/>
      <c r="GR155" s="122"/>
      <c r="GS155" s="122"/>
      <c r="GT155" s="122"/>
      <c r="GU155" s="122"/>
      <c r="GV155" s="122"/>
      <c r="GW155" s="122"/>
      <c r="GX155" s="122"/>
      <c r="GY155" s="122"/>
      <c r="GZ155" s="122"/>
      <c r="HA155" s="122"/>
      <c r="HB155" s="122"/>
      <c r="HC155" s="122"/>
      <c r="HD155" s="122"/>
      <c r="HE155" s="122"/>
      <c r="HF155" s="122"/>
      <c r="HG155" s="122"/>
      <c r="HH155" s="122"/>
      <c r="HI155" s="122"/>
      <c r="HJ155" s="122"/>
      <c r="HK155" s="122"/>
      <c r="HL155" s="122"/>
      <c r="HM155" s="122"/>
      <c r="HN155" s="122"/>
      <c r="HO155" s="122"/>
      <c r="HP155" s="122"/>
      <c r="HQ155" s="122"/>
      <c r="HR155" s="122"/>
      <c r="HS155" s="122"/>
      <c r="HT155" s="122"/>
      <c r="HU155" s="122"/>
      <c r="HV155" s="122"/>
      <c r="HW155" s="122"/>
      <c r="HX155" s="122"/>
      <c r="HY155" s="122"/>
      <c r="HZ155" s="122"/>
      <c r="IA155" s="122"/>
      <c r="IB155" s="122"/>
      <c r="IC155" s="122"/>
      <c r="ID155" s="122"/>
      <c r="IE155" s="122"/>
      <c r="IF155" s="122"/>
      <c r="IG155" s="122"/>
      <c r="IH155" s="122"/>
      <c r="II155" s="122"/>
      <c r="IJ155" s="122"/>
      <c r="IK155" s="122"/>
      <c r="IL155" s="122"/>
      <c r="IM155" s="122"/>
      <c r="IN155" s="122"/>
      <c r="IO155" s="122"/>
      <c r="IP155" s="122"/>
      <c r="IQ155" s="122"/>
      <c r="IR155" s="122"/>
      <c r="IS155" s="122"/>
      <c r="IT155" s="122"/>
      <c r="IU155" s="122"/>
      <c r="IV155" s="122"/>
      <c r="IW155" s="122"/>
      <c r="IX155" s="122"/>
      <c r="IY155" s="122"/>
      <c r="IZ155" s="122"/>
      <c r="JA155" s="122"/>
      <c r="JB155" s="122"/>
      <c r="JC155" s="122"/>
      <c r="JD155" s="122"/>
      <c r="JE155" s="122"/>
      <c r="JF155" s="122"/>
      <c r="JG155" s="122"/>
      <c r="JH155" s="122"/>
      <c r="JI155" s="119">
        <f t="shared" si="2"/>
        <v>185220</v>
      </c>
      <c r="JJ155" s="379">
        <v>6123</v>
      </c>
      <c r="JK155" s="122"/>
      <c r="JL155" s="125"/>
      <c r="JM155" s="345"/>
      <c r="JN155" s="125"/>
      <c r="JO155" s="125"/>
      <c r="JP155" s="125"/>
    </row>
    <row r="156" spans="1:27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>
        <v>323909.78999999998</v>
      </c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  <c r="AS156" s="122"/>
      <c r="AT156" s="122"/>
      <c r="AU156" s="122"/>
      <c r="AV156" s="122"/>
      <c r="AW156" s="122"/>
      <c r="AX156" s="122"/>
      <c r="AY156" s="122"/>
      <c r="AZ156" s="122"/>
      <c r="BA156" s="122"/>
      <c r="BB156" s="122"/>
      <c r="BC156" s="122"/>
      <c r="BD156" s="122"/>
      <c r="BE156" s="122"/>
      <c r="BF156" s="122"/>
      <c r="BG156" s="122"/>
      <c r="BH156" s="122"/>
      <c r="BI156" s="122"/>
      <c r="BJ156" s="122"/>
      <c r="BK156" s="122"/>
      <c r="BL156" s="122"/>
      <c r="BM156" s="122"/>
      <c r="BN156" s="122"/>
      <c r="BO156" s="122"/>
      <c r="BP156" s="122"/>
      <c r="BQ156" s="122"/>
      <c r="BR156" s="122"/>
      <c r="BS156" s="122"/>
      <c r="BT156" s="122"/>
      <c r="BU156" s="122"/>
      <c r="BV156" s="122"/>
      <c r="BW156" s="122"/>
      <c r="BX156" s="122"/>
      <c r="BY156" s="122"/>
      <c r="BZ156" s="122"/>
      <c r="CA156" s="122"/>
      <c r="CB156" s="122"/>
      <c r="CC156" s="122"/>
      <c r="CD156" s="122"/>
      <c r="CE156" s="122"/>
      <c r="CF156" s="122"/>
      <c r="CG156" s="122"/>
      <c r="CH156" s="122"/>
      <c r="CI156" s="122"/>
      <c r="CJ156" s="122"/>
      <c r="CK156" s="122"/>
      <c r="CL156" s="122"/>
      <c r="CM156" s="122"/>
      <c r="CN156" s="122"/>
      <c r="CO156" s="122"/>
      <c r="CP156" s="122"/>
      <c r="CQ156" s="122"/>
      <c r="CR156" s="122"/>
      <c r="CS156" s="122"/>
      <c r="CT156" s="122"/>
      <c r="CU156" s="122"/>
      <c r="CV156" s="122"/>
      <c r="CW156" s="122"/>
      <c r="CX156" s="122"/>
      <c r="CY156" s="122"/>
      <c r="CZ156" s="122"/>
      <c r="DA156" s="122"/>
      <c r="DB156" s="122"/>
      <c r="DC156" s="122"/>
      <c r="DD156" s="122"/>
      <c r="DE156" s="122"/>
      <c r="DF156" s="122"/>
      <c r="DG156" s="122"/>
      <c r="DH156" s="122"/>
      <c r="DI156" s="122"/>
      <c r="DJ156" s="122"/>
      <c r="DK156" s="122"/>
      <c r="DL156" s="122"/>
      <c r="DM156" s="122"/>
      <c r="DN156" s="122"/>
      <c r="DO156" s="122"/>
      <c r="DP156" s="122"/>
      <c r="DQ156" s="122"/>
      <c r="DR156" s="122"/>
      <c r="DS156" s="122"/>
      <c r="DT156" s="122"/>
      <c r="DU156" s="122"/>
      <c r="DV156" s="122"/>
      <c r="DW156" s="122"/>
      <c r="DX156" s="122"/>
      <c r="DY156" s="122"/>
      <c r="DZ156" s="122"/>
      <c r="EA156" s="122"/>
      <c r="EB156" s="122"/>
      <c r="EC156" s="122"/>
      <c r="ED156" s="122"/>
      <c r="EE156" s="122"/>
      <c r="EF156" s="122"/>
      <c r="EG156" s="122"/>
      <c r="EH156" s="122"/>
      <c r="EI156" s="122"/>
      <c r="EJ156" s="122"/>
      <c r="EK156" s="122"/>
      <c r="EL156" s="122"/>
      <c r="EM156" s="122"/>
      <c r="EN156" s="122"/>
      <c r="EO156" s="122"/>
      <c r="EP156" s="122"/>
      <c r="EQ156" s="122"/>
      <c r="ER156" s="122"/>
      <c r="ES156" s="122"/>
      <c r="ET156" s="122"/>
      <c r="EU156" s="122"/>
      <c r="EV156" s="122"/>
      <c r="EW156" s="122"/>
      <c r="EX156" s="122"/>
      <c r="EY156" s="122"/>
      <c r="EZ156" s="122"/>
      <c r="FA156" s="122"/>
      <c r="FB156" s="122"/>
      <c r="FC156" s="122"/>
      <c r="FD156" s="122"/>
      <c r="FE156" s="122"/>
      <c r="FF156" s="122"/>
      <c r="FG156" s="122"/>
      <c r="FH156" s="122"/>
      <c r="FI156" s="122"/>
      <c r="FJ156" s="122"/>
      <c r="FK156" s="122"/>
      <c r="FL156" s="122"/>
      <c r="FM156" s="122"/>
      <c r="FN156" s="122"/>
      <c r="FO156" s="122"/>
      <c r="FP156" s="122"/>
      <c r="FQ156" s="122"/>
      <c r="FR156" s="122"/>
      <c r="FS156" s="122"/>
      <c r="FT156" s="122"/>
      <c r="FU156" s="122"/>
      <c r="FV156" s="122"/>
      <c r="FW156" s="122"/>
      <c r="FX156" s="122"/>
      <c r="FY156" s="122"/>
      <c r="FZ156" s="122"/>
      <c r="GA156" s="122"/>
      <c r="GB156" s="122"/>
      <c r="GC156" s="122"/>
      <c r="GD156" s="122"/>
      <c r="GE156" s="122"/>
      <c r="GF156" s="122"/>
      <c r="GG156" s="122"/>
      <c r="GH156" s="122"/>
      <c r="GI156" s="122"/>
      <c r="GJ156" s="122"/>
      <c r="GK156" s="122"/>
      <c r="GL156" s="122"/>
      <c r="GM156" s="122"/>
      <c r="GN156" s="122"/>
      <c r="GO156" s="122"/>
      <c r="GP156" s="122"/>
      <c r="GQ156" s="122"/>
      <c r="GR156" s="122"/>
      <c r="GS156" s="122"/>
      <c r="GT156" s="122"/>
      <c r="GU156" s="122"/>
      <c r="GV156" s="122"/>
      <c r="GW156" s="122"/>
      <c r="GX156" s="122"/>
      <c r="GY156" s="122"/>
      <c r="GZ156" s="122"/>
      <c r="HA156" s="122"/>
      <c r="HB156" s="122"/>
      <c r="HC156" s="122"/>
      <c r="HD156" s="122"/>
      <c r="HE156" s="122"/>
      <c r="HF156" s="122"/>
      <c r="HG156" s="122"/>
      <c r="HH156" s="122"/>
      <c r="HI156" s="122"/>
      <c r="HJ156" s="122"/>
      <c r="HK156" s="122"/>
      <c r="HL156" s="122"/>
      <c r="HM156" s="122"/>
      <c r="HN156" s="122"/>
      <c r="HO156" s="122"/>
      <c r="HP156" s="122"/>
      <c r="HQ156" s="122"/>
      <c r="HR156" s="122"/>
      <c r="HS156" s="122"/>
      <c r="HT156" s="122"/>
      <c r="HU156" s="122"/>
      <c r="HV156" s="122"/>
      <c r="HW156" s="122"/>
      <c r="HX156" s="122"/>
      <c r="HY156" s="122"/>
      <c r="HZ156" s="122"/>
      <c r="IA156" s="122"/>
      <c r="IB156" s="122"/>
      <c r="IC156" s="122"/>
      <c r="ID156" s="122"/>
      <c r="IE156" s="122"/>
      <c r="IF156" s="122"/>
      <c r="IG156" s="122"/>
      <c r="IH156" s="122"/>
      <c r="II156" s="122"/>
      <c r="IJ156" s="122"/>
      <c r="IK156" s="122"/>
      <c r="IL156" s="122"/>
      <c r="IM156" s="122"/>
      <c r="IN156" s="122"/>
      <c r="IO156" s="122"/>
      <c r="IP156" s="122"/>
      <c r="IQ156" s="122"/>
      <c r="IR156" s="122"/>
      <c r="IS156" s="122"/>
      <c r="IT156" s="122"/>
      <c r="IU156" s="122"/>
      <c r="IV156" s="122"/>
      <c r="IW156" s="122"/>
      <c r="IX156" s="122"/>
      <c r="IY156" s="122"/>
      <c r="IZ156" s="122"/>
      <c r="JA156" s="122"/>
      <c r="JB156" s="122"/>
      <c r="JC156" s="122"/>
      <c r="JD156" s="122"/>
      <c r="JE156" s="122"/>
      <c r="JF156" s="122"/>
      <c r="JG156" s="122"/>
      <c r="JH156" s="122"/>
      <c r="JI156" s="119">
        <f t="shared" si="2"/>
        <v>323909.78999999998</v>
      </c>
      <c r="JJ156" s="379">
        <v>6127</v>
      </c>
      <c r="JK156" s="122"/>
      <c r="JL156" s="125"/>
      <c r="JM156" s="345"/>
      <c r="JN156" s="125"/>
      <c r="JO156" s="125"/>
      <c r="JP156" s="125"/>
    </row>
    <row r="157" spans="1:276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  <c r="AS157" s="122"/>
      <c r="AT157" s="122"/>
      <c r="AU157" s="122"/>
      <c r="AV157" s="122"/>
      <c r="AW157" s="122"/>
      <c r="AX157" s="122"/>
      <c r="AY157" s="122"/>
      <c r="AZ157" s="122"/>
      <c r="BA157" s="122"/>
      <c r="BB157" s="122"/>
      <c r="BC157" s="122"/>
      <c r="BD157" s="122"/>
      <c r="BE157" s="122"/>
      <c r="BF157" s="122"/>
      <c r="BG157" s="122"/>
      <c r="BH157" s="122"/>
      <c r="BI157" s="122"/>
      <c r="BJ157" s="122"/>
      <c r="BK157" s="122"/>
      <c r="BL157" s="122"/>
      <c r="BM157" s="122"/>
      <c r="BN157" s="122"/>
      <c r="BO157" s="122"/>
      <c r="BP157" s="122"/>
      <c r="BQ157" s="122"/>
      <c r="BR157" s="122"/>
      <c r="BS157" s="122"/>
      <c r="BT157" s="122"/>
      <c r="BU157" s="122"/>
      <c r="BV157" s="122"/>
      <c r="BW157" s="122"/>
      <c r="BX157" s="122"/>
      <c r="BY157" s="122"/>
      <c r="BZ157" s="122"/>
      <c r="CA157" s="122"/>
      <c r="CB157" s="122"/>
      <c r="CC157" s="122"/>
      <c r="CD157" s="122"/>
      <c r="CE157" s="122"/>
      <c r="CF157" s="122"/>
      <c r="CG157" s="122"/>
      <c r="CH157" s="122"/>
      <c r="CI157" s="122"/>
      <c r="CJ157" s="122"/>
      <c r="CK157" s="122"/>
      <c r="CL157" s="122">
        <v>1328349.6000000001</v>
      </c>
      <c r="CM157" s="122"/>
      <c r="CN157" s="122"/>
      <c r="CO157" s="122"/>
      <c r="CP157" s="122"/>
      <c r="CQ157" s="122"/>
      <c r="CR157" s="122"/>
      <c r="CS157" s="122"/>
      <c r="CT157" s="122"/>
      <c r="CU157" s="122"/>
      <c r="CV157" s="122"/>
      <c r="CW157" s="122"/>
      <c r="CX157" s="122"/>
      <c r="CY157" s="122"/>
      <c r="CZ157" s="122"/>
      <c r="DA157" s="122"/>
      <c r="DB157" s="122"/>
      <c r="DC157" s="122"/>
      <c r="DD157" s="122"/>
      <c r="DE157" s="122"/>
      <c r="DF157" s="122"/>
      <c r="DG157" s="122"/>
      <c r="DH157" s="122"/>
      <c r="DI157" s="122"/>
      <c r="DJ157" s="122"/>
      <c r="DK157" s="122"/>
      <c r="DL157" s="122"/>
      <c r="DM157" s="122"/>
      <c r="DN157" s="122"/>
      <c r="DO157" s="122"/>
      <c r="DP157" s="122"/>
      <c r="DQ157" s="122"/>
      <c r="DR157" s="122"/>
      <c r="DS157" s="122"/>
      <c r="DT157" s="122"/>
      <c r="DU157" s="122"/>
      <c r="DV157" s="122"/>
      <c r="DW157" s="122"/>
      <c r="DX157" s="122"/>
      <c r="DY157" s="122"/>
      <c r="DZ157" s="122"/>
      <c r="EA157" s="122"/>
      <c r="EB157" s="122"/>
      <c r="EC157" s="122"/>
      <c r="ED157" s="122"/>
      <c r="EE157" s="122"/>
      <c r="EF157" s="122"/>
      <c r="EG157" s="122"/>
      <c r="EH157" s="122"/>
      <c r="EI157" s="122"/>
      <c r="EJ157" s="122"/>
      <c r="EK157" s="122"/>
      <c r="EL157" s="122"/>
      <c r="EM157" s="122"/>
      <c r="EN157" s="122"/>
      <c r="EO157" s="122"/>
      <c r="EP157" s="122"/>
      <c r="EQ157" s="122"/>
      <c r="ER157" s="122"/>
      <c r="ES157" s="122"/>
      <c r="ET157" s="122"/>
      <c r="EU157" s="122"/>
      <c r="EV157" s="122"/>
      <c r="EW157" s="122"/>
      <c r="EX157" s="122"/>
      <c r="EY157" s="122"/>
      <c r="EZ157" s="122"/>
      <c r="FA157" s="122"/>
      <c r="FB157" s="122"/>
      <c r="FC157" s="122"/>
      <c r="FD157" s="122"/>
      <c r="FE157" s="122"/>
      <c r="FF157" s="122"/>
      <c r="FG157" s="122"/>
      <c r="FH157" s="122"/>
      <c r="FI157" s="122"/>
      <c r="FJ157" s="122"/>
      <c r="FK157" s="122"/>
      <c r="FL157" s="122"/>
      <c r="FM157" s="122"/>
      <c r="FN157" s="122"/>
      <c r="FO157" s="122"/>
      <c r="FP157" s="122"/>
      <c r="FQ157" s="122"/>
      <c r="FR157" s="122"/>
      <c r="FS157" s="122"/>
      <c r="FT157" s="122"/>
      <c r="FU157" s="122"/>
      <c r="FV157" s="122"/>
      <c r="FW157" s="122"/>
      <c r="FX157" s="122"/>
      <c r="FY157" s="122"/>
      <c r="FZ157" s="122"/>
      <c r="GA157" s="122"/>
      <c r="GB157" s="122"/>
      <c r="GC157" s="122"/>
      <c r="GD157" s="122"/>
      <c r="GE157" s="122"/>
      <c r="GF157" s="122"/>
      <c r="GG157" s="122"/>
      <c r="GH157" s="122"/>
      <c r="GI157" s="122"/>
      <c r="GJ157" s="122"/>
      <c r="GK157" s="122"/>
      <c r="GL157" s="122"/>
      <c r="GM157" s="122"/>
      <c r="GN157" s="122"/>
      <c r="GO157" s="122"/>
      <c r="GP157" s="122"/>
      <c r="GQ157" s="122"/>
      <c r="GR157" s="122"/>
      <c r="GS157" s="122"/>
      <c r="GT157" s="122"/>
      <c r="GU157" s="122"/>
      <c r="GV157" s="122"/>
      <c r="GW157" s="122"/>
      <c r="GX157" s="122"/>
      <c r="GY157" s="122"/>
      <c r="GZ157" s="122"/>
      <c r="HA157" s="122"/>
      <c r="HB157" s="122"/>
      <c r="HC157" s="122"/>
      <c r="HD157" s="122"/>
      <c r="HE157" s="122"/>
      <c r="HF157" s="122"/>
      <c r="HG157" s="122"/>
      <c r="HH157" s="122"/>
      <c r="HI157" s="122"/>
      <c r="HJ157" s="122"/>
      <c r="HK157" s="122"/>
      <c r="HL157" s="122"/>
      <c r="HM157" s="122"/>
      <c r="HN157" s="122"/>
      <c r="HO157" s="122"/>
      <c r="HP157" s="122"/>
      <c r="HQ157" s="122"/>
      <c r="HR157" s="122"/>
      <c r="HS157" s="122"/>
      <c r="HT157" s="122"/>
      <c r="HU157" s="122"/>
      <c r="HV157" s="122"/>
      <c r="HW157" s="122"/>
      <c r="HX157" s="122"/>
      <c r="HY157" s="122"/>
      <c r="HZ157" s="122"/>
      <c r="IA157" s="122"/>
      <c r="IB157" s="122"/>
      <c r="IC157" s="122"/>
      <c r="ID157" s="122"/>
      <c r="IE157" s="122"/>
      <c r="IF157" s="122"/>
      <c r="IG157" s="122"/>
      <c r="IH157" s="122"/>
      <c r="II157" s="122"/>
      <c r="IJ157" s="122"/>
      <c r="IK157" s="122"/>
      <c r="IL157" s="122"/>
      <c r="IM157" s="122"/>
      <c r="IN157" s="122"/>
      <c r="IO157" s="122"/>
      <c r="IP157" s="122"/>
      <c r="IQ157" s="122"/>
      <c r="IR157" s="122"/>
      <c r="IS157" s="122"/>
      <c r="IT157" s="122"/>
      <c r="IU157" s="122"/>
      <c r="IV157" s="122"/>
      <c r="IW157" s="122"/>
      <c r="IX157" s="122"/>
      <c r="IY157" s="122"/>
      <c r="IZ157" s="122"/>
      <c r="JA157" s="122"/>
      <c r="JB157" s="122"/>
      <c r="JC157" s="122"/>
      <c r="JD157" s="122"/>
      <c r="JE157" s="122"/>
      <c r="JF157" s="122"/>
      <c r="JG157" s="122"/>
      <c r="JH157" s="122"/>
      <c r="JI157" s="119">
        <f t="shared" si="2"/>
        <v>1328349.6000000001</v>
      </c>
      <c r="JJ157" s="379">
        <v>6130</v>
      </c>
      <c r="JK157" s="122"/>
      <c r="JL157" s="125"/>
      <c r="JM157" s="345"/>
      <c r="JN157" s="125"/>
      <c r="JO157" s="125"/>
      <c r="JP157" s="125"/>
    </row>
    <row r="158" spans="1:276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  <c r="AS158" s="122"/>
      <c r="AT158" s="122"/>
      <c r="AU158" s="122"/>
      <c r="AV158" s="122"/>
      <c r="AW158" s="122"/>
      <c r="AX158" s="122"/>
      <c r="AY158" s="122"/>
      <c r="AZ158" s="122"/>
      <c r="BA158" s="122"/>
      <c r="BB158" s="122"/>
      <c r="BC158" s="122"/>
      <c r="BD158" s="122"/>
      <c r="BE158" s="122"/>
      <c r="BF158" s="122"/>
      <c r="BG158" s="122"/>
      <c r="BH158" s="122"/>
      <c r="BI158" s="122"/>
      <c r="BJ158" s="122"/>
      <c r="BK158" s="122"/>
      <c r="BL158" s="122"/>
      <c r="BM158" s="122"/>
      <c r="BN158" s="122"/>
      <c r="BO158" s="122"/>
      <c r="BP158" s="122"/>
      <c r="BQ158" s="122"/>
      <c r="BR158" s="122"/>
      <c r="BS158" s="122"/>
      <c r="BT158" s="122"/>
      <c r="BU158" s="122"/>
      <c r="BV158" s="122"/>
      <c r="BW158" s="122"/>
      <c r="BX158" s="122"/>
      <c r="BY158" s="122"/>
      <c r="BZ158" s="122"/>
      <c r="CA158" s="122"/>
      <c r="CB158" s="122"/>
      <c r="CC158" s="122"/>
      <c r="CD158" s="122"/>
      <c r="CE158" s="122"/>
      <c r="CF158" s="122"/>
      <c r="CG158" s="122"/>
      <c r="CH158" s="122"/>
      <c r="CI158" s="122"/>
      <c r="CJ158" s="122"/>
      <c r="CK158" s="122"/>
      <c r="CL158" s="122"/>
      <c r="CM158" s="122"/>
      <c r="CN158" s="122"/>
      <c r="CO158" s="122"/>
      <c r="CP158" s="122"/>
      <c r="CQ158" s="122"/>
      <c r="CR158" s="122"/>
      <c r="CS158" s="122"/>
      <c r="CT158" s="122"/>
      <c r="CU158" s="122"/>
      <c r="CV158" s="122"/>
      <c r="CW158" s="122"/>
      <c r="CX158" s="122"/>
      <c r="CY158" s="122"/>
      <c r="CZ158" s="122"/>
      <c r="DA158" s="122"/>
      <c r="DB158" s="122"/>
      <c r="DC158" s="122"/>
      <c r="DD158" s="122"/>
      <c r="DE158" s="122"/>
      <c r="DF158" s="122"/>
      <c r="DG158" s="122"/>
      <c r="DH158" s="122"/>
      <c r="DI158" s="122"/>
      <c r="DJ158" s="122"/>
      <c r="DK158" s="122"/>
      <c r="DL158" s="122"/>
      <c r="DM158" s="122"/>
      <c r="DN158" s="122"/>
      <c r="DO158" s="122"/>
      <c r="DP158" s="122"/>
      <c r="DQ158" s="122"/>
      <c r="DR158" s="122"/>
      <c r="DS158" s="122"/>
      <c r="DT158" s="122"/>
      <c r="DU158" s="122"/>
      <c r="DV158" s="122"/>
      <c r="DW158" s="122"/>
      <c r="DX158" s="122"/>
      <c r="DY158" s="122"/>
      <c r="DZ158" s="122"/>
      <c r="EA158" s="122">
        <v>545820</v>
      </c>
      <c r="EB158" s="122"/>
      <c r="EC158" s="122"/>
      <c r="ED158" s="122"/>
      <c r="EE158" s="122"/>
      <c r="EF158" s="122"/>
      <c r="EG158" s="122"/>
      <c r="EH158" s="122"/>
      <c r="EI158" s="122"/>
      <c r="EJ158" s="122"/>
      <c r="EK158" s="122"/>
      <c r="EL158" s="122"/>
      <c r="EM158" s="122"/>
      <c r="EN158" s="122"/>
      <c r="EO158" s="122"/>
      <c r="EP158" s="122"/>
      <c r="EQ158" s="122"/>
      <c r="ER158" s="122"/>
      <c r="ES158" s="122"/>
      <c r="ET158" s="122"/>
      <c r="EU158" s="122"/>
      <c r="EV158" s="122"/>
      <c r="EW158" s="122"/>
      <c r="EX158" s="122"/>
      <c r="EY158" s="122"/>
      <c r="EZ158" s="122"/>
      <c r="FA158" s="122"/>
      <c r="FB158" s="122"/>
      <c r="FC158" s="122"/>
      <c r="FD158" s="122"/>
      <c r="FE158" s="122"/>
      <c r="FF158" s="122"/>
      <c r="FG158" s="122"/>
      <c r="FH158" s="122"/>
      <c r="FI158" s="122"/>
      <c r="FJ158" s="122"/>
      <c r="FK158" s="122"/>
      <c r="FL158" s="122"/>
      <c r="FM158" s="122"/>
      <c r="FN158" s="122"/>
      <c r="FO158" s="122"/>
      <c r="FP158" s="122"/>
      <c r="FQ158" s="122"/>
      <c r="FR158" s="122"/>
      <c r="FS158" s="122"/>
      <c r="FT158" s="122"/>
      <c r="FU158" s="122"/>
      <c r="FV158" s="122"/>
      <c r="FW158" s="122"/>
      <c r="FX158" s="122"/>
      <c r="FY158" s="122"/>
      <c r="FZ158" s="122"/>
      <c r="GA158" s="122"/>
      <c r="GB158" s="122"/>
      <c r="GC158" s="122"/>
      <c r="GD158" s="122"/>
      <c r="GE158" s="122"/>
      <c r="GF158" s="122"/>
      <c r="GG158" s="122"/>
      <c r="GH158" s="122"/>
      <c r="GI158" s="122"/>
      <c r="GJ158" s="122"/>
      <c r="GK158" s="122"/>
      <c r="GL158" s="122"/>
      <c r="GM158" s="122"/>
      <c r="GN158" s="122"/>
      <c r="GO158" s="122"/>
      <c r="GP158" s="122"/>
      <c r="GQ158" s="122"/>
      <c r="GR158" s="122"/>
      <c r="GS158" s="122"/>
      <c r="GT158" s="122"/>
      <c r="GU158" s="122"/>
      <c r="GV158" s="122"/>
      <c r="GW158" s="122"/>
      <c r="GX158" s="122"/>
      <c r="GY158" s="122"/>
      <c r="GZ158" s="122"/>
      <c r="HA158" s="122"/>
      <c r="HB158" s="122"/>
      <c r="HC158" s="122"/>
      <c r="HD158" s="122"/>
      <c r="HE158" s="122"/>
      <c r="HF158" s="122"/>
      <c r="HG158" s="122"/>
      <c r="HH158" s="122"/>
      <c r="HI158" s="122"/>
      <c r="HJ158" s="122"/>
      <c r="HK158" s="122"/>
      <c r="HL158" s="122"/>
      <c r="HM158" s="122"/>
      <c r="HN158" s="122"/>
      <c r="HO158" s="122"/>
      <c r="HP158" s="122"/>
      <c r="HQ158" s="122"/>
      <c r="HR158" s="122"/>
      <c r="HS158" s="122"/>
      <c r="HT158" s="122"/>
      <c r="HU158" s="122"/>
      <c r="HV158" s="122"/>
      <c r="HW158" s="122"/>
      <c r="HX158" s="122"/>
      <c r="HY158" s="122"/>
      <c r="HZ158" s="122"/>
      <c r="IA158" s="122"/>
      <c r="IB158" s="122"/>
      <c r="IC158" s="122"/>
      <c r="ID158" s="122"/>
      <c r="IE158" s="122"/>
      <c r="IF158" s="122"/>
      <c r="IG158" s="122"/>
      <c r="IH158" s="122"/>
      <c r="II158" s="122"/>
      <c r="IJ158" s="122"/>
      <c r="IK158" s="122"/>
      <c r="IL158" s="122"/>
      <c r="IM158" s="122"/>
      <c r="IN158" s="122"/>
      <c r="IO158" s="122"/>
      <c r="IP158" s="122"/>
      <c r="IQ158" s="122"/>
      <c r="IR158" s="122"/>
      <c r="IS158" s="122"/>
      <c r="IT158" s="122"/>
      <c r="IU158" s="122"/>
      <c r="IV158" s="122"/>
      <c r="IW158" s="122"/>
      <c r="IX158" s="122"/>
      <c r="IY158" s="122"/>
      <c r="IZ158" s="122"/>
      <c r="JA158" s="122"/>
      <c r="JB158" s="122"/>
      <c r="JC158" s="122"/>
      <c r="JD158" s="122"/>
      <c r="JE158" s="122"/>
      <c r="JF158" s="122"/>
      <c r="JG158" s="122"/>
      <c r="JH158" s="122"/>
      <c r="JI158" s="119">
        <f t="shared" si="2"/>
        <v>545820</v>
      </c>
      <c r="JJ158" s="379">
        <v>6134</v>
      </c>
      <c r="JK158" s="122"/>
      <c r="JL158" s="125"/>
      <c r="JM158" s="345"/>
      <c r="JN158" s="125"/>
      <c r="JO158" s="125"/>
      <c r="JP158" s="125"/>
    </row>
    <row r="159" spans="1:276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  <c r="AS159" s="122"/>
      <c r="AT159" s="122"/>
      <c r="AU159" s="122"/>
      <c r="AV159" s="122"/>
      <c r="AW159" s="122"/>
      <c r="AX159" s="122"/>
      <c r="AY159" s="122"/>
      <c r="AZ159" s="122"/>
      <c r="BA159" s="122"/>
      <c r="BB159" s="122"/>
      <c r="BC159" s="122"/>
      <c r="BD159" s="122"/>
      <c r="BE159" s="122"/>
      <c r="BF159" s="122"/>
      <c r="BG159" s="122"/>
      <c r="BH159" s="122"/>
      <c r="BI159" s="122"/>
      <c r="BJ159" s="122"/>
      <c r="BK159" s="122"/>
      <c r="BL159" s="122"/>
      <c r="BM159" s="122"/>
      <c r="BN159" s="122"/>
      <c r="BO159" s="122"/>
      <c r="BP159" s="122"/>
      <c r="BQ159" s="122"/>
      <c r="BR159" s="122"/>
      <c r="BS159" s="122"/>
      <c r="BT159" s="122"/>
      <c r="BU159" s="122"/>
      <c r="BV159" s="122"/>
      <c r="BW159" s="122"/>
      <c r="BX159" s="122"/>
      <c r="BY159" s="122"/>
      <c r="BZ159" s="122"/>
      <c r="CA159" s="122"/>
      <c r="CB159" s="122"/>
      <c r="CC159" s="122"/>
      <c r="CD159" s="122"/>
      <c r="CE159" s="122"/>
      <c r="CF159" s="122"/>
      <c r="CG159" s="122"/>
      <c r="CH159" s="122"/>
      <c r="CI159" s="122"/>
      <c r="CJ159" s="122"/>
      <c r="CK159" s="122"/>
      <c r="CL159" s="122"/>
      <c r="CM159" s="122"/>
      <c r="CN159" s="122"/>
      <c r="CO159" s="122"/>
      <c r="CP159" s="122"/>
      <c r="CQ159" s="122"/>
      <c r="CR159" s="122"/>
      <c r="CS159" s="122"/>
      <c r="CT159" s="122"/>
      <c r="CU159" s="122"/>
      <c r="CV159" s="122"/>
      <c r="CW159" s="122"/>
      <c r="CX159" s="122"/>
      <c r="CY159" s="122"/>
      <c r="CZ159" s="122"/>
      <c r="DA159" s="122"/>
      <c r="DB159" s="122"/>
      <c r="DC159" s="122"/>
      <c r="DD159" s="122"/>
      <c r="DE159" s="122"/>
      <c r="DF159" s="122"/>
      <c r="DG159" s="122"/>
      <c r="DH159" s="122"/>
      <c r="DI159" s="122"/>
      <c r="DJ159" s="122"/>
      <c r="DK159" s="122"/>
      <c r="DL159" s="122"/>
      <c r="DM159" s="122"/>
      <c r="DN159" s="122"/>
      <c r="DO159" s="122"/>
      <c r="DP159" s="122"/>
      <c r="DQ159" s="122"/>
      <c r="DR159" s="122"/>
      <c r="DS159" s="122"/>
      <c r="DT159" s="122"/>
      <c r="DU159" s="122"/>
      <c r="DV159" s="122"/>
      <c r="DW159" s="122"/>
      <c r="DX159" s="122"/>
      <c r="DY159" s="122"/>
      <c r="DZ159" s="122"/>
      <c r="EA159" s="122"/>
      <c r="EB159" s="122"/>
      <c r="EC159" s="122"/>
      <c r="ED159" s="122"/>
      <c r="EE159" s="122"/>
      <c r="EF159" s="122"/>
      <c r="EG159" s="122"/>
      <c r="EH159" s="122"/>
      <c r="EI159" s="122"/>
      <c r="EJ159" s="122"/>
      <c r="EK159" s="122"/>
      <c r="EL159" s="122"/>
      <c r="EM159" s="122"/>
      <c r="EN159" s="122"/>
      <c r="EO159" s="122"/>
      <c r="EP159" s="122"/>
      <c r="EQ159" s="122"/>
      <c r="ER159" s="122"/>
      <c r="ES159" s="122"/>
      <c r="ET159" s="122"/>
      <c r="EU159" s="122"/>
      <c r="EV159" s="122"/>
      <c r="EW159" s="122"/>
      <c r="EX159" s="122"/>
      <c r="EY159" s="122"/>
      <c r="EZ159" s="122"/>
      <c r="FA159" s="122"/>
      <c r="FB159" s="122"/>
      <c r="FC159" s="122"/>
      <c r="FD159" s="122"/>
      <c r="FE159" s="122"/>
      <c r="FF159" s="122"/>
      <c r="FG159" s="122"/>
      <c r="FH159" s="122"/>
      <c r="FI159" s="122"/>
      <c r="FJ159" s="122">
        <v>767086.12</v>
      </c>
      <c r="FK159" s="122"/>
      <c r="FL159" s="122"/>
      <c r="FM159" s="122"/>
      <c r="FN159" s="122"/>
      <c r="FO159" s="122"/>
      <c r="FP159" s="122"/>
      <c r="FQ159" s="122"/>
      <c r="FR159" s="122"/>
      <c r="FS159" s="122"/>
      <c r="FT159" s="122"/>
      <c r="FU159" s="122"/>
      <c r="FV159" s="122"/>
      <c r="FW159" s="122"/>
      <c r="FX159" s="122"/>
      <c r="FY159" s="122"/>
      <c r="FZ159" s="122"/>
      <c r="GA159" s="122"/>
      <c r="GB159" s="122"/>
      <c r="GC159" s="122"/>
      <c r="GD159" s="122"/>
      <c r="GE159" s="122"/>
      <c r="GF159" s="122"/>
      <c r="GG159" s="122"/>
      <c r="GH159" s="122"/>
      <c r="GI159" s="122"/>
      <c r="GJ159" s="122"/>
      <c r="GK159" s="122"/>
      <c r="GL159" s="122"/>
      <c r="GM159" s="122"/>
      <c r="GN159" s="122"/>
      <c r="GO159" s="122"/>
      <c r="GP159" s="122"/>
      <c r="GQ159" s="122"/>
      <c r="GR159" s="122"/>
      <c r="GS159" s="122"/>
      <c r="GT159" s="122"/>
      <c r="GU159" s="122"/>
      <c r="GV159" s="122"/>
      <c r="GW159" s="122"/>
      <c r="GX159" s="122"/>
      <c r="GY159" s="122"/>
      <c r="GZ159" s="122"/>
      <c r="HA159" s="122"/>
      <c r="HB159" s="122"/>
      <c r="HC159" s="122"/>
      <c r="HD159" s="122"/>
      <c r="HE159" s="122"/>
      <c r="HF159" s="122"/>
      <c r="HG159" s="122"/>
      <c r="HH159" s="122"/>
      <c r="HI159" s="122"/>
      <c r="HJ159" s="122"/>
      <c r="HK159" s="122"/>
      <c r="HL159" s="122"/>
      <c r="HM159" s="122"/>
      <c r="HN159" s="122"/>
      <c r="HO159" s="122"/>
      <c r="HP159" s="122"/>
      <c r="HQ159" s="122"/>
      <c r="HR159" s="122"/>
      <c r="HS159" s="122"/>
      <c r="HT159" s="122"/>
      <c r="HU159" s="122"/>
      <c r="HV159" s="122"/>
      <c r="HW159" s="122"/>
      <c r="HX159" s="122"/>
      <c r="HY159" s="122"/>
      <c r="HZ159" s="122"/>
      <c r="IA159" s="122"/>
      <c r="IB159" s="122"/>
      <c r="IC159" s="122"/>
      <c r="ID159" s="122"/>
      <c r="IE159" s="122"/>
      <c r="IF159" s="122"/>
      <c r="IG159" s="122"/>
      <c r="IH159" s="122"/>
      <c r="II159" s="122"/>
      <c r="IJ159" s="122"/>
      <c r="IK159" s="122"/>
      <c r="IL159" s="122"/>
      <c r="IM159" s="122"/>
      <c r="IN159" s="122"/>
      <c r="IO159" s="122"/>
      <c r="IP159" s="122"/>
      <c r="IQ159" s="122"/>
      <c r="IR159" s="122"/>
      <c r="IS159" s="122"/>
      <c r="IT159" s="122"/>
      <c r="IU159" s="122"/>
      <c r="IV159" s="122"/>
      <c r="IW159" s="122"/>
      <c r="IX159" s="122"/>
      <c r="IY159" s="122"/>
      <c r="IZ159" s="122"/>
      <c r="JA159" s="122"/>
      <c r="JB159" s="122"/>
      <c r="JC159" s="122"/>
      <c r="JD159" s="122"/>
      <c r="JE159" s="122"/>
      <c r="JF159" s="122"/>
      <c r="JG159" s="122"/>
      <c r="JH159" s="122"/>
      <c r="JI159" s="119">
        <f t="shared" si="2"/>
        <v>767086.12</v>
      </c>
      <c r="JJ159" s="379">
        <v>6138</v>
      </c>
      <c r="JK159" s="122"/>
      <c r="JL159" s="125"/>
      <c r="JM159" s="345"/>
      <c r="JN159" s="125"/>
      <c r="JO159" s="125"/>
      <c r="JP159" s="125"/>
    </row>
    <row r="160" spans="1:276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  <c r="AS160" s="122"/>
      <c r="AT160" s="122"/>
      <c r="AU160" s="122"/>
      <c r="AV160" s="122"/>
      <c r="AW160" s="122"/>
      <c r="AX160" s="122"/>
      <c r="AY160" s="122"/>
      <c r="AZ160" s="122"/>
      <c r="BA160" s="122"/>
      <c r="BB160" s="122"/>
      <c r="BC160" s="122"/>
      <c r="BD160" s="122"/>
      <c r="BE160" s="122"/>
      <c r="BF160" s="122"/>
      <c r="BG160" s="122"/>
      <c r="BH160" s="122"/>
      <c r="BI160" s="122"/>
      <c r="BJ160" s="122"/>
      <c r="BK160" s="122"/>
      <c r="BL160" s="122"/>
      <c r="BM160" s="122"/>
      <c r="BN160" s="122"/>
      <c r="BO160" s="122"/>
      <c r="BP160" s="122"/>
      <c r="BQ160" s="122"/>
      <c r="BR160" s="122"/>
      <c r="BS160" s="122"/>
      <c r="BT160" s="122"/>
      <c r="BU160" s="122"/>
      <c r="BV160" s="122"/>
      <c r="BW160" s="122"/>
      <c r="BX160" s="122"/>
      <c r="BY160" s="122"/>
      <c r="BZ160" s="122"/>
      <c r="CA160" s="122"/>
      <c r="CB160" s="122"/>
      <c r="CC160" s="122"/>
      <c r="CD160" s="122"/>
      <c r="CE160" s="122"/>
      <c r="CF160" s="122"/>
      <c r="CG160" s="122"/>
      <c r="CH160" s="122"/>
      <c r="CI160" s="122"/>
      <c r="CJ160" s="122"/>
      <c r="CK160" s="122"/>
      <c r="CL160" s="122"/>
      <c r="CM160" s="122"/>
      <c r="CN160" s="122"/>
      <c r="CO160" s="122"/>
      <c r="CP160" s="122"/>
      <c r="CQ160" s="122"/>
      <c r="CR160" s="122"/>
      <c r="CS160" s="122"/>
      <c r="CT160" s="122"/>
      <c r="CU160" s="122"/>
      <c r="CV160" s="122"/>
      <c r="CW160" s="122"/>
      <c r="CX160" s="122"/>
      <c r="CY160" s="122"/>
      <c r="CZ160" s="122"/>
      <c r="DA160" s="122"/>
      <c r="DB160" s="122"/>
      <c r="DC160" s="122"/>
      <c r="DD160" s="122"/>
      <c r="DE160" s="122"/>
      <c r="DF160" s="122"/>
      <c r="DG160" s="122"/>
      <c r="DH160" s="122"/>
      <c r="DI160" s="122"/>
      <c r="DJ160" s="122"/>
      <c r="DK160" s="122"/>
      <c r="DL160" s="122"/>
      <c r="DM160" s="122"/>
      <c r="DN160" s="122"/>
      <c r="DO160" s="122"/>
      <c r="DP160" s="122"/>
      <c r="DQ160" s="122"/>
      <c r="DR160" s="122"/>
      <c r="DS160" s="122"/>
      <c r="DT160" s="122"/>
      <c r="DU160" s="122"/>
      <c r="DV160" s="122"/>
      <c r="DW160" s="122"/>
      <c r="DX160" s="122"/>
      <c r="DY160" s="122"/>
      <c r="DZ160" s="122"/>
      <c r="EA160" s="122"/>
      <c r="EB160" s="122"/>
      <c r="EC160" s="122"/>
      <c r="ED160" s="122"/>
      <c r="EE160" s="122"/>
      <c r="EF160" s="122"/>
      <c r="EG160" s="122"/>
      <c r="EH160" s="122"/>
      <c r="EI160" s="122"/>
      <c r="EJ160" s="122"/>
      <c r="EK160" s="122"/>
      <c r="EL160" s="122"/>
      <c r="EM160" s="122"/>
      <c r="EN160" s="122"/>
      <c r="EO160" s="122"/>
      <c r="EP160" s="122"/>
      <c r="EQ160" s="122"/>
      <c r="ER160" s="122"/>
      <c r="ES160" s="122"/>
      <c r="ET160" s="122"/>
      <c r="EU160" s="122"/>
      <c r="EV160" s="122"/>
      <c r="EW160" s="122"/>
      <c r="EX160" s="122"/>
      <c r="EY160" s="122"/>
      <c r="EZ160" s="122"/>
      <c r="FA160" s="122"/>
      <c r="FB160" s="122"/>
      <c r="FC160" s="122"/>
      <c r="FD160" s="122"/>
      <c r="FE160" s="122"/>
      <c r="FF160" s="122"/>
      <c r="FG160" s="122"/>
      <c r="FH160" s="122"/>
      <c r="FI160" s="122"/>
      <c r="FJ160" s="122"/>
      <c r="FK160" s="122"/>
      <c r="FL160" s="122"/>
      <c r="FM160" s="122"/>
      <c r="FN160" s="122"/>
      <c r="FO160" s="122"/>
      <c r="FP160" s="122"/>
      <c r="FQ160" s="122">
        <v>799922.08</v>
      </c>
      <c r="FR160" s="122"/>
      <c r="FS160" s="122"/>
      <c r="FT160" s="122"/>
      <c r="FU160" s="122"/>
      <c r="FV160" s="122"/>
      <c r="FW160" s="122"/>
      <c r="FX160" s="122"/>
      <c r="FY160" s="122"/>
      <c r="FZ160" s="122"/>
      <c r="GA160" s="122"/>
      <c r="GB160" s="122"/>
      <c r="GC160" s="122"/>
      <c r="GD160" s="122"/>
      <c r="GE160" s="122"/>
      <c r="GF160" s="122"/>
      <c r="GG160" s="122"/>
      <c r="GH160" s="122"/>
      <c r="GI160" s="122"/>
      <c r="GJ160" s="122"/>
      <c r="GK160" s="122"/>
      <c r="GL160" s="122"/>
      <c r="GM160" s="122"/>
      <c r="GN160" s="122"/>
      <c r="GO160" s="122"/>
      <c r="GP160" s="122"/>
      <c r="GQ160" s="122"/>
      <c r="GR160" s="122"/>
      <c r="GS160" s="122"/>
      <c r="GT160" s="122"/>
      <c r="GU160" s="122"/>
      <c r="GV160" s="122"/>
      <c r="GW160" s="122"/>
      <c r="GX160" s="122"/>
      <c r="GY160" s="122"/>
      <c r="GZ160" s="122"/>
      <c r="HA160" s="122"/>
      <c r="HB160" s="122"/>
      <c r="HC160" s="122"/>
      <c r="HD160" s="122"/>
      <c r="HE160" s="122"/>
      <c r="HF160" s="122"/>
      <c r="HG160" s="122"/>
      <c r="HH160" s="122"/>
      <c r="HI160" s="122"/>
      <c r="HJ160" s="122"/>
      <c r="HK160" s="122"/>
      <c r="HL160" s="122"/>
      <c r="HM160" s="122"/>
      <c r="HN160" s="122"/>
      <c r="HO160" s="122"/>
      <c r="HP160" s="122"/>
      <c r="HQ160" s="122"/>
      <c r="HR160" s="122"/>
      <c r="HS160" s="122"/>
      <c r="HT160" s="122"/>
      <c r="HU160" s="122"/>
      <c r="HV160" s="122"/>
      <c r="HW160" s="122"/>
      <c r="HX160" s="122"/>
      <c r="HY160" s="122"/>
      <c r="HZ160" s="122"/>
      <c r="IA160" s="122"/>
      <c r="IB160" s="122"/>
      <c r="IC160" s="122"/>
      <c r="ID160" s="122"/>
      <c r="IE160" s="122"/>
      <c r="IF160" s="122"/>
      <c r="IG160" s="122"/>
      <c r="IH160" s="122"/>
      <c r="II160" s="122"/>
      <c r="IJ160" s="122"/>
      <c r="IK160" s="122"/>
      <c r="IL160" s="122"/>
      <c r="IM160" s="122"/>
      <c r="IN160" s="122"/>
      <c r="IO160" s="122"/>
      <c r="IP160" s="122"/>
      <c r="IQ160" s="122"/>
      <c r="IR160" s="122"/>
      <c r="IS160" s="122"/>
      <c r="IT160" s="122"/>
      <c r="IU160" s="122"/>
      <c r="IV160" s="122"/>
      <c r="IW160" s="122"/>
      <c r="IX160" s="122"/>
      <c r="IY160" s="122"/>
      <c r="IZ160" s="122"/>
      <c r="JA160" s="122"/>
      <c r="JB160" s="122"/>
      <c r="JC160" s="122"/>
      <c r="JD160" s="122"/>
      <c r="JE160" s="122"/>
      <c r="JF160" s="122"/>
      <c r="JG160" s="122"/>
      <c r="JH160" s="122"/>
      <c r="JI160" s="119">
        <f t="shared" si="2"/>
        <v>799922.08</v>
      </c>
      <c r="JJ160" s="379">
        <v>6143</v>
      </c>
      <c r="JK160" s="122"/>
      <c r="JL160" s="125"/>
      <c r="JM160" s="345"/>
      <c r="JN160" s="125"/>
      <c r="JO160" s="125"/>
      <c r="JP160" s="125"/>
    </row>
    <row r="161" spans="1:276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  <c r="AS161" s="122"/>
      <c r="AT161" s="122"/>
      <c r="AU161" s="122"/>
      <c r="AV161" s="122"/>
      <c r="AW161" s="122"/>
      <c r="AX161" s="122"/>
      <c r="AY161" s="122"/>
      <c r="AZ161" s="122"/>
      <c r="BA161" s="122"/>
      <c r="BB161" s="122"/>
      <c r="BC161" s="122"/>
      <c r="BD161" s="122"/>
      <c r="BE161" s="122"/>
      <c r="BF161" s="122"/>
      <c r="BG161" s="122"/>
      <c r="BH161" s="122"/>
      <c r="BI161" s="122"/>
      <c r="BJ161" s="122"/>
      <c r="BK161" s="122"/>
      <c r="BL161" s="122"/>
      <c r="BM161" s="122"/>
      <c r="BN161" s="122"/>
      <c r="BO161" s="122"/>
      <c r="BP161" s="122"/>
      <c r="BQ161" s="122"/>
      <c r="BR161" s="122"/>
      <c r="BS161" s="122"/>
      <c r="BT161" s="122"/>
      <c r="BU161" s="122"/>
      <c r="BV161" s="122"/>
      <c r="BW161" s="122"/>
      <c r="BX161" s="122"/>
      <c r="BY161" s="122"/>
      <c r="BZ161" s="122"/>
      <c r="CA161" s="122"/>
      <c r="CB161" s="122"/>
      <c r="CC161" s="122"/>
      <c r="CD161" s="122"/>
      <c r="CE161" s="122"/>
      <c r="CF161" s="122"/>
      <c r="CG161" s="122"/>
      <c r="CH161" s="122"/>
      <c r="CI161" s="122"/>
      <c r="CJ161" s="122"/>
      <c r="CK161" s="122"/>
      <c r="CL161" s="122"/>
      <c r="CM161" s="122"/>
      <c r="CN161" s="122"/>
      <c r="CO161" s="122"/>
      <c r="CP161" s="122"/>
      <c r="CQ161" s="122"/>
      <c r="CR161" s="122"/>
      <c r="CS161" s="122"/>
      <c r="CT161" s="122"/>
      <c r="CU161" s="122"/>
      <c r="CV161" s="122"/>
      <c r="CW161" s="122"/>
      <c r="CX161" s="122"/>
      <c r="CY161" s="122"/>
      <c r="CZ161" s="122"/>
      <c r="DA161" s="122"/>
      <c r="DB161" s="122"/>
      <c r="DC161" s="122"/>
      <c r="DD161" s="122"/>
      <c r="DE161" s="122"/>
      <c r="DF161" s="122"/>
      <c r="DG161" s="122"/>
      <c r="DH161" s="122"/>
      <c r="DI161" s="122"/>
      <c r="DJ161" s="122"/>
      <c r="DK161" s="122"/>
      <c r="DL161" s="122"/>
      <c r="DM161" s="122"/>
      <c r="DN161" s="122"/>
      <c r="DO161" s="122"/>
      <c r="DP161" s="122"/>
      <c r="DQ161" s="122"/>
      <c r="DR161" s="122"/>
      <c r="DS161" s="122"/>
      <c r="DT161" s="122"/>
      <c r="DU161" s="122"/>
      <c r="DV161" s="122"/>
      <c r="DW161" s="122"/>
      <c r="DX161" s="122"/>
      <c r="DY161" s="122"/>
      <c r="DZ161" s="122"/>
      <c r="EA161" s="122"/>
      <c r="EB161" s="122"/>
      <c r="EC161" s="122"/>
      <c r="ED161" s="122"/>
      <c r="EE161" s="122"/>
      <c r="EF161" s="122"/>
      <c r="EG161" s="122"/>
      <c r="EH161" s="122"/>
      <c r="EI161" s="122"/>
      <c r="EJ161" s="122"/>
      <c r="EK161" s="122"/>
      <c r="EL161" s="122"/>
      <c r="EM161" s="122"/>
      <c r="EN161" s="122"/>
      <c r="EO161" s="122"/>
      <c r="EP161" s="122"/>
      <c r="EQ161" s="122"/>
      <c r="ER161" s="122"/>
      <c r="ES161" s="122"/>
      <c r="ET161" s="122"/>
      <c r="EU161" s="122"/>
      <c r="EV161" s="122"/>
      <c r="EW161" s="122"/>
      <c r="EX161" s="122"/>
      <c r="EY161" s="122"/>
      <c r="EZ161" s="122"/>
      <c r="FA161" s="122"/>
      <c r="FB161" s="122"/>
      <c r="FC161" s="122"/>
      <c r="FD161" s="122"/>
      <c r="FE161" s="122"/>
      <c r="FF161" s="122"/>
      <c r="FG161" s="122"/>
      <c r="FH161" s="122"/>
      <c r="FI161" s="122"/>
      <c r="FJ161" s="122">
        <v>48526</v>
      </c>
      <c r="FK161" s="122"/>
      <c r="FL161" s="122"/>
      <c r="FM161" s="122"/>
      <c r="FN161" s="122"/>
      <c r="FO161" s="122"/>
      <c r="FP161" s="122"/>
      <c r="FQ161" s="122"/>
      <c r="FR161" s="122"/>
      <c r="FS161" s="122"/>
      <c r="FT161" s="122"/>
      <c r="FU161" s="122"/>
      <c r="FV161" s="122"/>
      <c r="FW161" s="122"/>
      <c r="FX161" s="122"/>
      <c r="FY161" s="122"/>
      <c r="FZ161" s="122"/>
      <c r="GA161" s="122"/>
      <c r="GB161" s="122"/>
      <c r="GC161" s="122"/>
      <c r="GD161" s="122"/>
      <c r="GE161" s="122"/>
      <c r="GF161" s="122"/>
      <c r="GG161" s="122"/>
      <c r="GH161" s="122"/>
      <c r="GI161" s="122"/>
      <c r="GJ161" s="122"/>
      <c r="GK161" s="122"/>
      <c r="GL161" s="122"/>
      <c r="GM161" s="122"/>
      <c r="GN161" s="122"/>
      <c r="GO161" s="122"/>
      <c r="GP161" s="122"/>
      <c r="GQ161" s="122"/>
      <c r="GR161" s="122"/>
      <c r="GS161" s="122"/>
      <c r="GT161" s="122"/>
      <c r="GU161" s="122"/>
      <c r="GV161" s="122"/>
      <c r="GW161" s="122"/>
      <c r="GX161" s="122"/>
      <c r="GY161" s="122"/>
      <c r="GZ161" s="122"/>
      <c r="HA161" s="122"/>
      <c r="HB161" s="122"/>
      <c r="HC161" s="122"/>
      <c r="HD161" s="122"/>
      <c r="HE161" s="122"/>
      <c r="HF161" s="122"/>
      <c r="HG161" s="122"/>
      <c r="HH161" s="122"/>
      <c r="HI161" s="122"/>
      <c r="HJ161" s="122"/>
      <c r="HK161" s="122"/>
      <c r="HL161" s="122"/>
      <c r="HM161" s="122"/>
      <c r="HN161" s="122"/>
      <c r="HO161" s="122"/>
      <c r="HP161" s="122"/>
      <c r="HQ161" s="122"/>
      <c r="HR161" s="122"/>
      <c r="HS161" s="122"/>
      <c r="HT161" s="122"/>
      <c r="HU161" s="122"/>
      <c r="HV161" s="122"/>
      <c r="HW161" s="122"/>
      <c r="HX161" s="122"/>
      <c r="HY161" s="122"/>
      <c r="HZ161" s="122"/>
      <c r="IA161" s="122"/>
      <c r="IB161" s="122"/>
      <c r="IC161" s="122"/>
      <c r="ID161" s="122"/>
      <c r="IE161" s="122"/>
      <c r="IF161" s="122"/>
      <c r="IG161" s="122"/>
      <c r="IH161" s="122"/>
      <c r="II161" s="122"/>
      <c r="IJ161" s="122"/>
      <c r="IK161" s="122"/>
      <c r="IL161" s="122"/>
      <c r="IM161" s="122"/>
      <c r="IN161" s="122"/>
      <c r="IO161" s="122"/>
      <c r="IP161" s="122"/>
      <c r="IQ161" s="122"/>
      <c r="IR161" s="122"/>
      <c r="IS161" s="122"/>
      <c r="IT161" s="122"/>
      <c r="IU161" s="122"/>
      <c r="IV161" s="122"/>
      <c r="IW161" s="122"/>
      <c r="IX161" s="122"/>
      <c r="IY161" s="122"/>
      <c r="IZ161" s="122"/>
      <c r="JA161" s="122"/>
      <c r="JB161" s="122"/>
      <c r="JC161" s="122"/>
      <c r="JD161" s="122"/>
      <c r="JE161" s="122"/>
      <c r="JF161" s="122"/>
      <c r="JG161" s="122"/>
      <c r="JH161" s="122"/>
      <c r="JI161" s="119">
        <f t="shared" si="2"/>
        <v>48526</v>
      </c>
      <c r="JJ161" s="379">
        <v>6147</v>
      </c>
      <c r="JK161" s="122"/>
      <c r="JL161" s="125"/>
      <c r="JM161" s="345"/>
      <c r="JN161" s="125"/>
      <c r="JO161" s="125"/>
      <c r="JP161" s="125"/>
    </row>
    <row r="162" spans="1:276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  <c r="AT162" s="122"/>
      <c r="AU162" s="122"/>
      <c r="AV162" s="122"/>
      <c r="AW162" s="122"/>
      <c r="AX162" s="122"/>
      <c r="AY162" s="122"/>
      <c r="AZ162" s="122"/>
      <c r="BA162" s="122"/>
      <c r="BB162" s="122"/>
      <c r="BC162" s="122"/>
      <c r="BD162" s="122"/>
      <c r="BE162" s="122"/>
      <c r="BF162" s="122"/>
      <c r="BG162" s="122"/>
      <c r="BH162" s="122"/>
      <c r="BI162" s="122"/>
      <c r="BJ162" s="122"/>
      <c r="BK162" s="122"/>
      <c r="BL162" s="122"/>
      <c r="BM162" s="122"/>
      <c r="BN162" s="122"/>
      <c r="BO162" s="122"/>
      <c r="BP162" s="122"/>
      <c r="BQ162" s="122"/>
      <c r="BR162" s="122"/>
      <c r="BS162" s="122"/>
      <c r="BT162" s="122"/>
      <c r="BU162" s="122"/>
      <c r="BV162" s="122"/>
      <c r="BW162" s="122"/>
      <c r="BX162" s="122"/>
      <c r="BY162" s="122"/>
      <c r="BZ162" s="122"/>
      <c r="CA162" s="122"/>
      <c r="CB162" s="122"/>
      <c r="CC162" s="122"/>
      <c r="CD162" s="122"/>
      <c r="CE162" s="122"/>
      <c r="CF162" s="122"/>
      <c r="CG162" s="122"/>
      <c r="CH162" s="122"/>
      <c r="CI162" s="122"/>
      <c r="CJ162" s="122"/>
      <c r="CK162" s="122"/>
      <c r="CL162" s="122"/>
      <c r="CM162" s="122"/>
      <c r="CN162" s="122"/>
      <c r="CO162" s="122"/>
      <c r="CP162" s="122"/>
      <c r="CQ162" s="122"/>
      <c r="CR162" s="122"/>
      <c r="CS162" s="122"/>
      <c r="CT162" s="122"/>
      <c r="CU162" s="122"/>
      <c r="CV162" s="122"/>
      <c r="CW162" s="122"/>
      <c r="CX162" s="122"/>
      <c r="CY162" s="122"/>
      <c r="CZ162" s="122"/>
      <c r="DA162" s="122"/>
      <c r="DB162" s="122"/>
      <c r="DC162" s="122"/>
      <c r="DD162" s="122"/>
      <c r="DE162" s="122"/>
      <c r="DF162" s="122"/>
      <c r="DG162" s="122"/>
      <c r="DH162" s="122"/>
      <c r="DI162" s="122"/>
      <c r="DJ162" s="122"/>
      <c r="DK162" s="122"/>
      <c r="DL162" s="122"/>
      <c r="DM162" s="122"/>
      <c r="DN162" s="122"/>
      <c r="DO162" s="122"/>
      <c r="DP162" s="122"/>
      <c r="DQ162" s="122"/>
      <c r="DR162" s="122"/>
      <c r="DS162" s="122"/>
      <c r="DT162" s="122"/>
      <c r="DU162" s="122"/>
      <c r="DV162" s="122"/>
      <c r="DW162" s="122"/>
      <c r="DX162" s="122"/>
      <c r="DY162" s="122"/>
      <c r="DZ162" s="122"/>
      <c r="EA162" s="122">
        <v>109297.5</v>
      </c>
      <c r="EB162" s="122"/>
      <c r="EC162" s="122"/>
      <c r="ED162" s="122"/>
      <c r="EE162" s="122"/>
      <c r="EF162" s="122"/>
      <c r="EG162" s="122"/>
      <c r="EH162" s="122"/>
      <c r="EI162" s="122"/>
      <c r="EJ162" s="122"/>
      <c r="EK162" s="122"/>
      <c r="EL162" s="122"/>
      <c r="EM162" s="122"/>
      <c r="EN162" s="122"/>
      <c r="EO162" s="122"/>
      <c r="EP162" s="122"/>
      <c r="EQ162" s="122"/>
      <c r="ER162" s="122"/>
      <c r="ES162" s="122"/>
      <c r="ET162" s="122"/>
      <c r="EU162" s="122"/>
      <c r="EV162" s="122"/>
      <c r="EW162" s="122"/>
      <c r="EX162" s="122"/>
      <c r="EY162" s="122"/>
      <c r="EZ162" s="122"/>
      <c r="FA162" s="122"/>
      <c r="FB162" s="122"/>
      <c r="FC162" s="122"/>
      <c r="FD162" s="122"/>
      <c r="FE162" s="122"/>
      <c r="FF162" s="122"/>
      <c r="FG162" s="122"/>
      <c r="FH162" s="122"/>
      <c r="FI162" s="122"/>
      <c r="FJ162" s="122"/>
      <c r="FK162" s="122"/>
      <c r="FL162" s="122"/>
      <c r="FM162" s="122"/>
      <c r="FN162" s="122"/>
      <c r="FO162" s="122"/>
      <c r="FP162" s="122"/>
      <c r="FQ162" s="122"/>
      <c r="FR162" s="122"/>
      <c r="FS162" s="122"/>
      <c r="FT162" s="122"/>
      <c r="FU162" s="122"/>
      <c r="FV162" s="122"/>
      <c r="FW162" s="122"/>
      <c r="FX162" s="122"/>
      <c r="FY162" s="122"/>
      <c r="FZ162" s="122"/>
      <c r="GA162" s="122"/>
      <c r="GB162" s="122"/>
      <c r="GC162" s="122"/>
      <c r="GD162" s="122"/>
      <c r="GE162" s="122"/>
      <c r="GF162" s="122"/>
      <c r="GG162" s="122"/>
      <c r="GH162" s="122"/>
      <c r="GI162" s="122"/>
      <c r="GJ162" s="122"/>
      <c r="GK162" s="122"/>
      <c r="GL162" s="122"/>
      <c r="GM162" s="122"/>
      <c r="GN162" s="122"/>
      <c r="GO162" s="122"/>
      <c r="GP162" s="122"/>
      <c r="GQ162" s="122"/>
      <c r="GR162" s="122"/>
      <c r="GS162" s="122"/>
      <c r="GT162" s="122"/>
      <c r="GU162" s="122"/>
      <c r="GV162" s="122"/>
      <c r="GW162" s="122"/>
      <c r="GX162" s="122"/>
      <c r="GY162" s="122"/>
      <c r="GZ162" s="122"/>
      <c r="HA162" s="122"/>
      <c r="HB162" s="122"/>
      <c r="HC162" s="122"/>
      <c r="HD162" s="122"/>
      <c r="HE162" s="122"/>
      <c r="HF162" s="122"/>
      <c r="HG162" s="122"/>
      <c r="HH162" s="122"/>
      <c r="HI162" s="122"/>
      <c r="HJ162" s="122"/>
      <c r="HK162" s="122"/>
      <c r="HL162" s="122"/>
      <c r="HM162" s="122"/>
      <c r="HN162" s="122"/>
      <c r="HO162" s="122"/>
      <c r="HP162" s="122"/>
      <c r="HQ162" s="122"/>
      <c r="HR162" s="122"/>
      <c r="HS162" s="122"/>
      <c r="HT162" s="122"/>
      <c r="HU162" s="122"/>
      <c r="HV162" s="122"/>
      <c r="HW162" s="122"/>
      <c r="HX162" s="122"/>
      <c r="HY162" s="122"/>
      <c r="HZ162" s="122"/>
      <c r="IA162" s="122"/>
      <c r="IB162" s="122"/>
      <c r="IC162" s="122"/>
      <c r="ID162" s="122"/>
      <c r="IE162" s="122"/>
      <c r="IF162" s="122"/>
      <c r="IG162" s="122"/>
      <c r="IH162" s="122"/>
      <c r="II162" s="122"/>
      <c r="IJ162" s="122"/>
      <c r="IK162" s="122"/>
      <c r="IL162" s="122"/>
      <c r="IM162" s="122"/>
      <c r="IN162" s="122"/>
      <c r="IO162" s="122"/>
      <c r="IP162" s="122"/>
      <c r="IQ162" s="122"/>
      <c r="IR162" s="122"/>
      <c r="IS162" s="122"/>
      <c r="IT162" s="122"/>
      <c r="IU162" s="122"/>
      <c r="IV162" s="122"/>
      <c r="IW162" s="122"/>
      <c r="IX162" s="122"/>
      <c r="IY162" s="122"/>
      <c r="IZ162" s="122"/>
      <c r="JA162" s="122"/>
      <c r="JB162" s="122"/>
      <c r="JC162" s="122"/>
      <c r="JD162" s="122"/>
      <c r="JE162" s="122"/>
      <c r="JF162" s="122"/>
      <c r="JG162" s="122"/>
      <c r="JH162" s="122"/>
      <c r="JI162" s="119">
        <f t="shared" si="2"/>
        <v>109297.5</v>
      </c>
      <c r="JJ162" s="379">
        <v>6151</v>
      </c>
      <c r="JK162" s="122"/>
      <c r="JL162" s="125"/>
      <c r="JM162" s="345"/>
      <c r="JN162" s="125"/>
      <c r="JO162" s="125"/>
      <c r="JP162" s="125"/>
    </row>
    <row r="163" spans="1:276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  <c r="AT163" s="122"/>
      <c r="AU163" s="122"/>
      <c r="AV163" s="122"/>
      <c r="AW163" s="122"/>
      <c r="AX163" s="122"/>
      <c r="AY163" s="122"/>
      <c r="AZ163" s="122"/>
      <c r="BA163" s="122"/>
      <c r="BB163" s="122"/>
      <c r="BC163" s="122"/>
      <c r="BD163" s="122"/>
      <c r="BE163" s="122"/>
      <c r="BF163" s="122"/>
      <c r="BG163" s="122"/>
      <c r="BH163" s="122"/>
      <c r="BI163" s="122"/>
      <c r="BJ163" s="122"/>
      <c r="BK163" s="122"/>
      <c r="BL163" s="122"/>
      <c r="BM163" s="122"/>
      <c r="BN163" s="122"/>
      <c r="BO163" s="122"/>
      <c r="BP163" s="122"/>
      <c r="BQ163" s="122"/>
      <c r="BR163" s="122"/>
      <c r="BS163" s="122"/>
      <c r="BT163" s="122"/>
      <c r="BU163" s="122"/>
      <c r="BV163" s="122"/>
      <c r="BW163" s="122"/>
      <c r="BX163" s="122"/>
      <c r="BY163" s="122"/>
      <c r="BZ163" s="122"/>
      <c r="CA163" s="122"/>
      <c r="CB163" s="122"/>
      <c r="CC163" s="122"/>
      <c r="CD163" s="122"/>
      <c r="CE163" s="122"/>
      <c r="CF163" s="122"/>
      <c r="CG163" s="122"/>
      <c r="CH163" s="122"/>
      <c r="CI163" s="122"/>
      <c r="CJ163" s="122"/>
      <c r="CK163" s="122"/>
      <c r="CL163" s="122"/>
      <c r="CM163" s="122"/>
      <c r="CN163" s="122"/>
      <c r="CO163" s="122"/>
      <c r="CP163" s="122"/>
      <c r="CQ163" s="122"/>
      <c r="CR163" s="122"/>
      <c r="CS163" s="122"/>
      <c r="CT163" s="122"/>
      <c r="CU163" s="122"/>
      <c r="CV163" s="122"/>
      <c r="CW163" s="122"/>
      <c r="CX163" s="122"/>
      <c r="CY163" s="122"/>
      <c r="CZ163" s="122"/>
      <c r="DA163" s="122"/>
      <c r="DB163" s="122"/>
      <c r="DC163" s="122"/>
      <c r="DD163" s="122"/>
      <c r="DE163" s="122"/>
      <c r="DF163" s="122"/>
      <c r="DG163" s="122"/>
      <c r="DH163" s="122"/>
      <c r="DI163" s="122"/>
      <c r="DJ163" s="122"/>
      <c r="DK163" s="122"/>
      <c r="DL163" s="122"/>
      <c r="DM163" s="122"/>
      <c r="DN163" s="122"/>
      <c r="DO163" s="122"/>
      <c r="DP163" s="122"/>
      <c r="DQ163" s="122"/>
      <c r="DR163" s="122"/>
      <c r="DS163" s="122"/>
      <c r="DT163" s="122"/>
      <c r="DU163" s="122"/>
      <c r="DV163" s="122"/>
      <c r="DW163" s="122"/>
      <c r="DX163" s="122"/>
      <c r="DY163" s="122"/>
      <c r="DZ163" s="122"/>
      <c r="EA163" s="122">
        <v>270000</v>
      </c>
      <c r="EB163" s="122"/>
      <c r="EC163" s="122"/>
      <c r="ED163" s="122"/>
      <c r="EE163" s="122"/>
      <c r="EF163" s="122"/>
      <c r="EG163" s="122"/>
      <c r="EH163" s="122"/>
      <c r="EI163" s="122"/>
      <c r="EJ163" s="122"/>
      <c r="EK163" s="122"/>
      <c r="EL163" s="122"/>
      <c r="EM163" s="122"/>
      <c r="EN163" s="122"/>
      <c r="EO163" s="122"/>
      <c r="EP163" s="122"/>
      <c r="EQ163" s="122"/>
      <c r="ER163" s="122"/>
      <c r="ES163" s="122"/>
      <c r="ET163" s="122"/>
      <c r="EU163" s="122"/>
      <c r="EV163" s="122"/>
      <c r="EW163" s="122"/>
      <c r="EX163" s="122"/>
      <c r="EY163" s="122"/>
      <c r="EZ163" s="122"/>
      <c r="FA163" s="122"/>
      <c r="FB163" s="122"/>
      <c r="FC163" s="122"/>
      <c r="FD163" s="122"/>
      <c r="FE163" s="122"/>
      <c r="FF163" s="122"/>
      <c r="FG163" s="122"/>
      <c r="FH163" s="122"/>
      <c r="FI163" s="122"/>
      <c r="FJ163" s="122"/>
      <c r="FK163" s="122"/>
      <c r="FL163" s="122"/>
      <c r="FM163" s="122"/>
      <c r="FN163" s="122"/>
      <c r="FO163" s="122"/>
      <c r="FP163" s="122"/>
      <c r="FQ163" s="122"/>
      <c r="FR163" s="122"/>
      <c r="FS163" s="122"/>
      <c r="FT163" s="122"/>
      <c r="FU163" s="122"/>
      <c r="FV163" s="122"/>
      <c r="FW163" s="122"/>
      <c r="FX163" s="122"/>
      <c r="FY163" s="122"/>
      <c r="FZ163" s="122"/>
      <c r="GA163" s="122"/>
      <c r="GB163" s="122"/>
      <c r="GC163" s="122"/>
      <c r="GD163" s="122"/>
      <c r="GE163" s="122"/>
      <c r="GF163" s="122"/>
      <c r="GG163" s="122"/>
      <c r="GH163" s="122"/>
      <c r="GI163" s="122"/>
      <c r="GJ163" s="122"/>
      <c r="GK163" s="122"/>
      <c r="GL163" s="122"/>
      <c r="GM163" s="122"/>
      <c r="GN163" s="122"/>
      <c r="GO163" s="122"/>
      <c r="GP163" s="122"/>
      <c r="GQ163" s="122"/>
      <c r="GR163" s="122"/>
      <c r="GS163" s="122"/>
      <c r="GT163" s="122"/>
      <c r="GU163" s="122"/>
      <c r="GV163" s="122"/>
      <c r="GW163" s="122"/>
      <c r="GX163" s="122"/>
      <c r="GY163" s="122"/>
      <c r="GZ163" s="122"/>
      <c r="HA163" s="122"/>
      <c r="HB163" s="122"/>
      <c r="HC163" s="122"/>
      <c r="HD163" s="122"/>
      <c r="HE163" s="122"/>
      <c r="HF163" s="122"/>
      <c r="HG163" s="122"/>
      <c r="HH163" s="122"/>
      <c r="HI163" s="122"/>
      <c r="HJ163" s="122"/>
      <c r="HK163" s="122"/>
      <c r="HL163" s="122"/>
      <c r="HM163" s="122"/>
      <c r="HN163" s="122"/>
      <c r="HO163" s="122"/>
      <c r="HP163" s="122"/>
      <c r="HQ163" s="122"/>
      <c r="HR163" s="122"/>
      <c r="HS163" s="122"/>
      <c r="HT163" s="122"/>
      <c r="HU163" s="122"/>
      <c r="HV163" s="122"/>
      <c r="HW163" s="122"/>
      <c r="HX163" s="122"/>
      <c r="HY163" s="122"/>
      <c r="HZ163" s="122"/>
      <c r="IA163" s="122"/>
      <c r="IB163" s="122"/>
      <c r="IC163" s="122"/>
      <c r="ID163" s="122"/>
      <c r="IE163" s="122"/>
      <c r="IF163" s="122"/>
      <c r="IG163" s="122"/>
      <c r="IH163" s="122"/>
      <c r="II163" s="122"/>
      <c r="IJ163" s="122"/>
      <c r="IK163" s="122"/>
      <c r="IL163" s="122"/>
      <c r="IM163" s="122"/>
      <c r="IN163" s="122"/>
      <c r="IO163" s="122"/>
      <c r="IP163" s="122"/>
      <c r="IQ163" s="122"/>
      <c r="IR163" s="122"/>
      <c r="IS163" s="122"/>
      <c r="IT163" s="122"/>
      <c r="IU163" s="122"/>
      <c r="IV163" s="122"/>
      <c r="IW163" s="122"/>
      <c r="IX163" s="122"/>
      <c r="IY163" s="122"/>
      <c r="IZ163" s="122"/>
      <c r="JA163" s="122"/>
      <c r="JB163" s="122"/>
      <c r="JC163" s="122"/>
      <c r="JD163" s="122"/>
      <c r="JE163" s="122"/>
      <c r="JF163" s="122"/>
      <c r="JG163" s="122"/>
      <c r="JH163" s="122"/>
      <c r="JI163" s="119">
        <f t="shared" si="2"/>
        <v>270000</v>
      </c>
      <c r="JJ163" s="379">
        <v>6156</v>
      </c>
      <c r="JK163" s="122"/>
      <c r="JL163" s="125"/>
      <c r="JM163" s="345"/>
      <c r="JN163" s="125"/>
      <c r="JO163" s="125"/>
      <c r="JP163" s="125"/>
    </row>
    <row r="164" spans="1:276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  <c r="AU164" s="122"/>
      <c r="AV164" s="122"/>
      <c r="AW164" s="122"/>
      <c r="AX164" s="122"/>
      <c r="AY164" s="122"/>
      <c r="AZ164" s="122"/>
      <c r="BA164" s="122"/>
      <c r="BB164" s="122"/>
      <c r="BC164" s="122"/>
      <c r="BD164" s="122"/>
      <c r="BE164" s="122"/>
      <c r="BF164" s="122"/>
      <c r="BG164" s="122"/>
      <c r="BH164" s="122"/>
      <c r="BI164" s="122"/>
      <c r="BJ164" s="122"/>
      <c r="BK164" s="122"/>
      <c r="BL164" s="122"/>
      <c r="BM164" s="122"/>
      <c r="BN164" s="122"/>
      <c r="BO164" s="122"/>
      <c r="BP164" s="122"/>
      <c r="BQ164" s="122"/>
      <c r="BR164" s="122"/>
      <c r="BS164" s="122"/>
      <c r="BT164" s="122"/>
      <c r="BU164" s="122"/>
      <c r="BV164" s="122"/>
      <c r="BW164" s="122"/>
      <c r="BX164" s="122"/>
      <c r="BY164" s="122"/>
      <c r="BZ164" s="122"/>
      <c r="CA164" s="122"/>
      <c r="CB164" s="122"/>
      <c r="CC164" s="122"/>
      <c r="CD164" s="122"/>
      <c r="CE164" s="122"/>
      <c r="CF164" s="122"/>
      <c r="CG164" s="122"/>
      <c r="CH164" s="122"/>
      <c r="CI164" s="122"/>
      <c r="CJ164" s="122"/>
      <c r="CK164" s="122"/>
      <c r="CL164" s="122"/>
      <c r="CM164" s="122"/>
      <c r="CN164" s="122"/>
      <c r="CO164" s="122"/>
      <c r="CP164" s="122"/>
      <c r="CQ164" s="122"/>
      <c r="CR164" s="122"/>
      <c r="CS164" s="122"/>
      <c r="CT164" s="122"/>
      <c r="CU164" s="122"/>
      <c r="CV164" s="122"/>
      <c r="CW164" s="122"/>
      <c r="CX164" s="122"/>
      <c r="CY164" s="122"/>
      <c r="CZ164" s="122"/>
      <c r="DA164" s="122"/>
      <c r="DB164" s="122"/>
      <c r="DC164" s="122"/>
      <c r="DD164" s="122"/>
      <c r="DE164" s="122"/>
      <c r="DF164" s="122"/>
      <c r="DG164" s="122"/>
      <c r="DH164" s="122"/>
      <c r="DI164" s="122"/>
      <c r="DJ164" s="122"/>
      <c r="DK164" s="122"/>
      <c r="DL164" s="122"/>
      <c r="DM164" s="122"/>
      <c r="DN164" s="122"/>
      <c r="DO164" s="122"/>
      <c r="DP164" s="122"/>
      <c r="DQ164" s="122"/>
      <c r="DR164" s="122"/>
      <c r="DS164" s="122"/>
      <c r="DT164" s="122"/>
      <c r="DU164" s="122"/>
      <c r="DV164" s="122"/>
      <c r="DW164" s="122"/>
      <c r="DX164" s="122"/>
      <c r="DY164" s="122"/>
      <c r="DZ164" s="122"/>
      <c r="EA164" s="122"/>
      <c r="EB164" s="122"/>
      <c r="EC164" s="122"/>
      <c r="ED164" s="122"/>
      <c r="EE164" s="122"/>
      <c r="EF164" s="122"/>
      <c r="EG164" s="122"/>
      <c r="EH164" s="122"/>
      <c r="EI164" s="122"/>
      <c r="EJ164" s="122"/>
      <c r="EK164" s="122"/>
      <c r="EL164" s="122"/>
      <c r="EM164" s="122"/>
      <c r="EN164" s="122"/>
      <c r="EO164" s="122"/>
      <c r="EP164" s="122"/>
      <c r="EQ164" s="122"/>
      <c r="ER164" s="122"/>
      <c r="ES164" s="122"/>
      <c r="ET164" s="122"/>
      <c r="EU164" s="122"/>
      <c r="EV164" s="122"/>
      <c r="EW164" s="122"/>
      <c r="EX164" s="122"/>
      <c r="EY164" s="122"/>
      <c r="EZ164" s="122"/>
      <c r="FA164" s="122"/>
      <c r="FB164" s="122"/>
      <c r="FC164" s="122"/>
      <c r="FD164" s="122"/>
      <c r="FE164" s="122"/>
      <c r="FF164" s="122"/>
      <c r="FG164" s="122"/>
      <c r="FH164" s="122"/>
      <c r="FI164" s="122"/>
      <c r="FJ164" s="122"/>
      <c r="FK164" s="122"/>
      <c r="FL164" s="122"/>
      <c r="FM164" s="122"/>
      <c r="FN164" s="122"/>
      <c r="FO164" s="122"/>
      <c r="FP164" s="122"/>
      <c r="FQ164" s="122"/>
      <c r="FR164" s="122"/>
      <c r="FS164" s="122"/>
      <c r="FT164" s="122">
        <v>236000</v>
      </c>
      <c r="FU164" s="122"/>
      <c r="FV164" s="122"/>
      <c r="FW164" s="122"/>
      <c r="FX164" s="122"/>
      <c r="FY164" s="122"/>
      <c r="FZ164" s="122"/>
      <c r="GA164" s="122"/>
      <c r="GB164" s="122"/>
      <c r="GC164" s="122"/>
      <c r="GD164" s="122"/>
      <c r="GE164" s="122"/>
      <c r="GF164" s="122"/>
      <c r="GG164" s="122"/>
      <c r="GH164" s="122"/>
      <c r="GI164" s="122"/>
      <c r="GJ164" s="122"/>
      <c r="GK164" s="122"/>
      <c r="GL164" s="122"/>
      <c r="GM164" s="122"/>
      <c r="GN164" s="122"/>
      <c r="GO164" s="122"/>
      <c r="GP164" s="122"/>
      <c r="GQ164" s="122"/>
      <c r="GR164" s="122"/>
      <c r="GS164" s="122"/>
      <c r="GT164" s="122"/>
      <c r="GU164" s="122"/>
      <c r="GV164" s="122"/>
      <c r="GW164" s="122"/>
      <c r="GX164" s="122"/>
      <c r="GY164" s="122"/>
      <c r="GZ164" s="122"/>
      <c r="HA164" s="122"/>
      <c r="HB164" s="122"/>
      <c r="HC164" s="122"/>
      <c r="HD164" s="122"/>
      <c r="HE164" s="122"/>
      <c r="HF164" s="122"/>
      <c r="HG164" s="122"/>
      <c r="HH164" s="122"/>
      <c r="HI164" s="122"/>
      <c r="HJ164" s="122"/>
      <c r="HK164" s="122"/>
      <c r="HL164" s="122"/>
      <c r="HM164" s="122"/>
      <c r="HN164" s="122"/>
      <c r="HO164" s="122"/>
      <c r="HP164" s="122"/>
      <c r="HQ164" s="122"/>
      <c r="HR164" s="122"/>
      <c r="HS164" s="122"/>
      <c r="HT164" s="122"/>
      <c r="HU164" s="122"/>
      <c r="HV164" s="122"/>
      <c r="HW164" s="122"/>
      <c r="HX164" s="122"/>
      <c r="HY164" s="122"/>
      <c r="HZ164" s="122"/>
      <c r="IA164" s="122"/>
      <c r="IB164" s="122"/>
      <c r="IC164" s="122"/>
      <c r="ID164" s="122"/>
      <c r="IE164" s="122"/>
      <c r="IF164" s="122"/>
      <c r="IG164" s="122"/>
      <c r="IH164" s="122"/>
      <c r="II164" s="122"/>
      <c r="IJ164" s="122"/>
      <c r="IK164" s="122"/>
      <c r="IL164" s="122"/>
      <c r="IM164" s="122"/>
      <c r="IN164" s="122"/>
      <c r="IO164" s="122"/>
      <c r="IP164" s="122"/>
      <c r="IQ164" s="122"/>
      <c r="IR164" s="122"/>
      <c r="IS164" s="122"/>
      <c r="IT164" s="122"/>
      <c r="IU164" s="122"/>
      <c r="IV164" s="122"/>
      <c r="IW164" s="122"/>
      <c r="IX164" s="122"/>
      <c r="IY164" s="122"/>
      <c r="IZ164" s="122"/>
      <c r="JA164" s="122"/>
      <c r="JB164" s="122"/>
      <c r="JC164" s="122"/>
      <c r="JD164" s="122"/>
      <c r="JE164" s="122"/>
      <c r="JF164" s="122"/>
      <c r="JG164" s="122"/>
      <c r="JH164" s="122"/>
      <c r="JI164" s="119">
        <f t="shared" si="2"/>
        <v>236000</v>
      </c>
      <c r="JJ164" s="379">
        <v>6160</v>
      </c>
      <c r="JK164" s="122"/>
      <c r="JL164" s="125"/>
      <c r="JM164" s="345"/>
      <c r="JN164" s="125"/>
      <c r="JO164" s="125"/>
      <c r="JP164" s="125"/>
    </row>
    <row r="165" spans="1:276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>
        <v>7672544</v>
      </c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  <c r="AS165" s="122"/>
      <c r="AT165" s="122"/>
      <c r="AU165" s="122"/>
      <c r="AV165" s="122"/>
      <c r="AW165" s="122"/>
      <c r="AX165" s="122"/>
      <c r="AY165" s="122"/>
      <c r="AZ165" s="122"/>
      <c r="BA165" s="122"/>
      <c r="BB165" s="122"/>
      <c r="BC165" s="122"/>
      <c r="BD165" s="122"/>
      <c r="BE165" s="122"/>
      <c r="BF165" s="122"/>
      <c r="BG165" s="122"/>
      <c r="BH165" s="122"/>
      <c r="BI165" s="122"/>
      <c r="BJ165" s="122"/>
      <c r="BK165" s="122"/>
      <c r="BL165" s="122"/>
      <c r="BM165" s="122"/>
      <c r="BN165" s="122"/>
      <c r="BO165" s="122"/>
      <c r="BP165" s="122"/>
      <c r="BQ165" s="122"/>
      <c r="BR165" s="122"/>
      <c r="BS165" s="122"/>
      <c r="BT165" s="122"/>
      <c r="BU165" s="122"/>
      <c r="BV165" s="122"/>
      <c r="BW165" s="122"/>
      <c r="BX165" s="122"/>
      <c r="BY165" s="122"/>
      <c r="BZ165" s="122"/>
      <c r="CA165" s="122"/>
      <c r="CB165" s="122"/>
      <c r="CC165" s="122"/>
      <c r="CD165" s="122"/>
      <c r="CE165" s="122"/>
      <c r="CF165" s="122"/>
      <c r="CG165" s="122"/>
      <c r="CH165" s="122"/>
      <c r="CI165" s="122"/>
      <c r="CJ165" s="122"/>
      <c r="CK165" s="122"/>
      <c r="CL165" s="122"/>
      <c r="CM165" s="122"/>
      <c r="CN165" s="122"/>
      <c r="CO165" s="122"/>
      <c r="CP165" s="122"/>
      <c r="CQ165" s="122"/>
      <c r="CR165" s="122"/>
      <c r="CS165" s="122"/>
      <c r="CT165" s="122"/>
      <c r="CU165" s="122"/>
      <c r="CV165" s="122"/>
      <c r="CW165" s="122"/>
      <c r="CX165" s="122"/>
      <c r="CY165" s="122"/>
      <c r="CZ165" s="122"/>
      <c r="DA165" s="122"/>
      <c r="DB165" s="122"/>
      <c r="DC165" s="122"/>
      <c r="DD165" s="122"/>
      <c r="DE165" s="122"/>
      <c r="DF165" s="122"/>
      <c r="DG165" s="122"/>
      <c r="DH165" s="122"/>
      <c r="DI165" s="122"/>
      <c r="DJ165" s="122"/>
      <c r="DK165" s="122"/>
      <c r="DL165" s="122"/>
      <c r="DM165" s="122"/>
      <c r="DN165" s="122"/>
      <c r="DO165" s="122"/>
      <c r="DP165" s="122"/>
      <c r="DQ165" s="122"/>
      <c r="DR165" s="122"/>
      <c r="DS165" s="122"/>
      <c r="DT165" s="122"/>
      <c r="DU165" s="122"/>
      <c r="DV165" s="122"/>
      <c r="DW165" s="122"/>
      <c r="DX165" s="122"/>
      <c r="DY165" s="122"/>
      <c r="DZ165" s="122"/>
      <c r="EA165" s="122"/>
      <c r="EB165" s="122"/>
      <c r="EC165" s="122"/>
      <c r="ED165" s="122"/>
      <c r="EE165" s="122"/>
      <c r="EF165" s="122"/>
      <c r="EG165" s="122"/>
      <c r="EH165" s="122"/>
      <c r="EI165" s="122"/>
      <c r="EJ165" s="122"/>
      <c r="EK165" s="122"/>
      <c r="EL165" s="122"/>
      <c r="EM165" s="122"/>
      <c r="EN165" s="122"/>
      <c r="EO165" s="122"/>
      <c r="EP165" s="122"/>
      <c r="EQ165" s="122"/>
      <c r="ER165" s="122"/>
      <c r="ES165" s="122"/>
      <c r="ET165" s="122"/>
      <c r="EU165" s="122"/>
      <c r="EV165" s="122"/>
      <c r="EW165" s="122"/>
      <c r="EX165" s="122"/>
      <c r="EY165" s="122"/>
      <c r="EZ165" s="122"/>
      <c r="FA165" s="122"/>
      <c r="FB165" s="122"/>
      <c r="FC165" s="122"/>
      <c r="FD165" s="122"/>
      <c r="FE165" s="122"/>
      <c r="FF165" s="122"/>
      <c r="FG165" s="122"/>
      <c r="FH165" s="122"/>
      <c r="FI165" s="122"/>
      <c r="FJ165" s="122"/>
      <c r="FK165" s="122"/>
      <c r="FL165" s="122"/>
      <c r="FM165" s="122"/>
      <c r="FN165" s="122"/>
      <c r="FO165" s="122"/>
      <c r="FP165" s="122"/>
      <c r="FQ165" s="122"/>
      <c r="FR165" s="122"/>
      <c r="FS165" s="122"/>
      <c r="FT165" s="122"/>
      <c r="FU165" s="122"/>
      <c r="FV165" s="122"/>
      <c r="FW165" s="122"/>
      <c r="FX165" s="122"/>
      <c r="FY165" s="122"/>
      <c r="FZ165" s="122"/>
      <c r="GA165" s="122"/>
      <c r="GB165" s="122"/>
      <c r="GC165" s="122"/>
      <c r="GD165" s="122"/>
      <c r="GE165" s="122"/>
      <c r="GF165" s="122"/>
      <c r="GG165" s="122"/>
      <c r="GH165" s="122"/>
      <c r="GI165" s="122"/>
      <c r="GJ165" s="122"/>
      <c r="GK165" s="122"/>
      <c r="GL165" s="122"/>
      <c r="GM165" s="122"/>
      <c r="GN165" s="122"/>
      <c r="GO165" s="122"/>
      <c r="GP165" s="122"/>
      <c r="GQ165" s="122"/>
      <c r="GR165" s="122"/>
      <c r="GS165" s="122"/>
      <c r="GT165" s="122"/>
      <c r="GU165" s="122"/>
      <c r="GV165" s="122"/>
      <c r="GW165" s="122"/>
      <c r="GX165" s="122"/>
      <c r="GY165" s="122"/>
      <c r="GZ165" s="122"/>
      <c r="HA165" s="122"/>
      <c r="HB165" s="122"/>
      <c r="HC165" s="122"/>
      <c r="HD165" s="122"/>
      <c r="HE165" s="122"/>
      <c r="HF165" s="122"/>
      <c r="HG165" s="122"/>
      <c r="HH165" s="122"/>
      <c r="HI165" s="122"/>
      <c r="HJ165" s="122"/>
      <c r="HK165" s="122"/>
      <c r="HL165" s="122"/>
      <c r="HM165" s="122"/>
      <c r="HN165" s="122"/>
      <c r="HO165" s="122"/>
      <c r="HP165" s="122"/>
      <c r="HQ165" s="122"/>
      <c r="HR165" s="122"/>
      <c r="HS165" s="122"/>
      <c r="HT165" s="122"/>
      <c r="HU165" s="122"/>
      <c r="HV165" s="122"/>
      <c r="HW165" s="122"/>
      <c r="HX165" s="122"/>
      <c r="HY165" s="122"/>
      <c r="HZ165" s="122"/>
      <c r="IA165" s="122"/>
      <c r="IB165" s="122"/>
      <c r="IC165" s="122"/>
      <c r="ID165" s="122"/>
      <c r="IE165" s="122"/>
      <c r="IF165" s="122"/>
      <c r="IG165" s="122"/>
      <c r="IH165" s="122"/>
      <c r="II165" s="122"/>
      <c r="IJ165" s="122"/>
      <c r="IK165" s="122"/>
      <c r="IL165" s="122"/>
      <c r="IM165" s="122"/>
      <c r="IN165" s="122"/>
      <c r="IO165" s="122"/>
      <c r="IP165" s="122"/>
      <c r="IQ165" s="122"/>
      <c r="IR165" s="122"/>
      <c r="IS165" s="122"/>
      <c r="IT165" s="122"/>
      <c r="IU165" s="122"/>
      <c r="IV165" s="122"/>
      <c r="IW165" s="122"/>
      <c r="IX165" s="122"/>
      <c r="IY165" s="122"/>
      <c r="IZ165" s="122"/>
      <c r="JA165" s="122"/>
      <c r="JB165" s="122"/>
      <c r="JC165" s="122"/>
      <c r="JD165" s="122"/>
      <c r="JE165" s="122"/>
      <c r="JF165" s="122"/>
      <c r="JG165" s="122"/>
      <c r="JH165" s="122"/>
      <c r="JI165" s="119">
        <f t="shared" si="2"/>
        <v>7672544</v>
      </c>
      <c r="JJ165" s="379">
        <v>6177</v>
      </c>
      <c r="JK165" s="122"/>
      <c r="JL165" s="125"/>
      <c r="JM165" s="345"/>
      <c r="JN165" s="125"/>
      <c r="JO165" s="125"/>
      <c r="JP165" s="125"/>
    </row>
    <row r="166" spans="1:27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  <c r="AS166" s="122"/>
      <c r="AT166" s="122"/>
      <c r="AU166" s="122"/>
      <c r="AV166" s="122"/>
      <c r="AW166" s="122"/>
      <c r="AX166" s="122"/>
      <c r="AY166" s="122"/>
      <c r="AZ166" s="122"/>
      <c r="BA166" s="122"/>
      <c r="BB166" s="122"/>
      <c r="BC166" s="122"/>
      <c r="BD166" s="122"/>
      <c r="BE166" s="122"/>
      <c r="BF166" s="122"/>
      <c r="BG166" s="122"/>
      <c r="BH166" s="122"/>
      <c r="BI166" s="122"/>
      <c r="BJ166" s="122"/>
      <c r="BK166" s="122"/>
      <c r="BL166" s="122"/>
      <c r="BM166" s="122"/>
      <c r="BN166" s="122"/>
      <c r="BO166" s="122"/>
      <c r="BP166" s="122"/>
      <c r="BQ166" s="122"/>
      <c r="BR166" s="122"/>
      <c r="BS166" s="122"/>
      <c r="BT166" s="122"/>
      <c r="BU166" s="122"/>
      <c r="BV166" s="122"/>
      <c r="BW166" s="122">
        <v>939988</v>
      </c>
      <c r="BX166" s="122"/>
      <c r="BY166" s="122"/>
      <c r="BZ166" s="122"/>
      <c r="CA166" s="122"/>
      <c r="CB166" s="122"/>
      <c r="CC166" s="122"/>
      <c r="CD166" s="122"/>
      <c r="CE166" s="122"/>
      <c r="CF166" s="122"/>
      <c r="CG166" s="122"/>
      <c r="CH166" s="122"/>
      <c r="CI166" s="122"/>
      <c r="CJ166" s="122"/>
      <c r="CK166" s="122"/>
      <c r="CL166" s="122"/>
      <c r="CM166" s="122"/>
      <c r="CN166" s="122"/>
      <c r="CO166" s="122"/>
      <c r="CP166" s="122"/>
      <c r="CQ166" s="122"/>
      <c r="CR166" s="122"/>
      <c r="CS166" s="122"/>
      <c r="CT166" s="122"/>
      <c r="CU166" s="122"/>
      <c r="CV166" s="122"/>
      <c r="CW166" s="122"/>
      <c r="CX166" s="122"/>
      <c r="CY166" s="122"/>
      <c r="CZ166" s="122"/>
      <c r="DA166" s="122"/>
      <c r="DB166" s="122"/>
      <c r="DC166" s="122"/>
      <c r="DD166" s="122"/>
      <c r="DE166" s="122"/>
      <c r="DF166" s="122"/>
      <c r="DG166" s="122"/>
      <c r="DH166" s="122"/>
      <c r="DI166" s="122"/>
      <c r="DJ166" s="122"/>
      <c r="DK166" s="122"/>
      <c r="DL166" s="122"/>
      <c r="DM166" s="122"/>
      <c r="DN166" s="122"/>
      <c r="DO166" s="122"/>
      <c r="DP166" s="122"/>
      <c r="DQ166" s="122"/>
      <c r="DR166" s="122"/>
      <c r="DS166" s="122"/>
      <c r="DT166" s="122"/>
      <c r="DU166" s="122"/>
      <c r="DV166" s="122"/>
      <c r="DW166" s="122"/>
      <c r="DX166" s="122"/>
      <c r="DY166" s="122"/>
      <c r="DZ166" s="122"/>
      <c r="EA166" s="122"/>
      <c r="EB166" s="122"/>
      <c r="EC166" s="122"/>
      <c r="ED166" s="122"/>
      <c r="EE166" s="122"/>
      <c r="EF166" s="122"/>
      <c r="EG166" s="122"/>
      <c r="EH166" s="122"/>
      <c r="EI166" s="122"/>
      <c r="EJ166" s="122"/>
      <c r="EK166" s="122"/>
      <c r="EL166" s="122"/>
      <c r="EM166" s="122"/>
      <c r="EN166" s="122"/>
      <c r="EO166" s="122"/>
      <c r="EP166" s="122"/>
      <c r="EQ166" s="122"/>
      <c r="ER166" s="122"/>
      <c r="ES166" s="122"/>
      <c r="ET166" s="122"/>
      <c r="EU166" s="122"/>
      <c r="EV166" s="122"/>
      <c r="EW166" s="122"/>
      <c r="EX166" s="122"/>
      <c r="EY166" s="122"/>
      <c r="EZ166" s="122"/>
      <c r="FA166" s="122"/>
      <c r="FB166" s="122"/>
      <c r="FC166" s="122"/>
      <c r="FD166" s="122"/>
      <c r="FE166" s="122"/>
      <c r="FF166" s="122"/>
      <c r="FG166" s="122"/>
      <c r="FH166" s="122"/>
      <c r="FI166" s="122"/>
      <c r="FJ166" s="122"/>
      <c r="FK166" s="122"/>
      <c r="FL166" s="122"/>
      <c r="FM166" s="122"/>
      <c r="FN166" s="122"/>
      <c r="FO166" s="122"/>
      <c r="FP166" s="122"/>
      <c r="FQ166" s="122"/>
      <c r="FR166" s="122"/>
      <c r="FS166" s="122"/>
      <c r="FT166" s="122"/>
      <c r="FU166" s="122"/>
      <c r="FV166" s="122"/>
      <c r="FW166" s="122"/>
      <c r="FX166" s="122"/>
      <c r="FY166" s="122"/>
      <c r="FZ166" s="122"/>
      <c r="GA166" s="122"/>
      <c r="GB166" s="122"/>
      <c r="GC166" s="122"/>
      <c r="GD166" s="122"/>
      <c r="GE166" s="122"/>
      <c r="GF166" s="122"/>
      <c r="GG166" s="122"/>
      <c r="GH166" s="122"/>
      <c r="GI166" s="122"/>
      <c r="GJ166" s="122"/>
      <c r="GK166" s="122"/>
      <c r="GL166" s="122"/>
      <c r="GM166" s="122"/>
      <c r="GN166" s="122"/>
      <c r="GO166" s="122"/>
      <c r="GP166" s="122"/>
      <c r="GQ166" s="122"/>
      <c r="GR166" s="122"/>
      <c r="GS166" s="122"/>
      <c r="GT166" s="122"/>
      <c r="GU166" s="122"/>
      <c r="GV166" s="122"/>
      <c r="GW166" s="122"/>
      <c r="GX166" s="122"/>
      <c r="GY166" s="122"/>
      <c r="GZ166" s="122"/>
      <c r="HA166" s="122"/>
      <c r="HB166" s="122"/>
      <c r="HC166" s="122"/>
      <c r="HD166" s="122"/>
      <c r="HE166" s="122"/>
      <c r="HF166" s="122"/>
      <c r="HG166" s="122"/>
      <c r="HH166" s="122"/>
      <c r="HI166" s="122"/>
      <c r="HJ166" s="122"/>
      <c r="HK166" s="122"/>
      <c r="HL166" s="122"/>
      <c r="HM166" s="122"/>
      <c r="HN166" s="122"/>
      <c r="HO166" s="122"/>
      <c r="HP166" s="122"/>
      <c r="HQ166" s="122"/>
      <c r="HR166" s="122"/>
      <c r="HS166" s="122"/>
      <c r="HT166" s="122"/>
      <c r="HU166" s="122"/>
      <c r="HV166" s="122"/>
      <c r="HW166" s="122"/>
      <c r="HX166" s="122"/>
      <c r="HY166" s="122"/>
      <c r="HZ166" s="122"/>
      <c r="IA166" s="122"/>
      <c r="IB166" s="122"/>
      <c r="IC166" s="122"/>
      <c r="ID166" s="122"/>
      <c r="IE166" s="122"/>
      <c r="IF166" s="122"/>
      <c r="IG166" s="122"/>
      <c r="IH166" s="122"/>
      <c r="II166" s="122"/>
      <c r="IJ166" s="122"/>
      <c r="IK166" s="122"/>
      <c r="IL166" s="122"/>
      <c r="IM166" s="122"/>
      <c r="IN166" s="122"/>
      <c r="IO166" s="122"/>
      <c r="IP166" s="122"/>
      <c r="IQ166" s="122"/>
      <c r="IR166" s="122"/>
      <c r="IS166" s="122"/>
      <c r="IT166" s="122"/>
      <c r="IU166" s="122"/>
      <c r="IV166" s="122"/>
      <c r="IW166" s="122"/>
      <c r="IX166" s="122"/>
      <c r="IY166" s="122"/>
      <c r="IZ166" s="122"/>
      <c r="JA166" s="122"/>
      <c r="JB166" s="122"/>
      <c r="JC166" s="122"/>
      <c r="JD166" s="122"/>
      <c r="JE166" s="122"/>
      <c r="JF166" s="122"/>
      <c r="JG166" s="122"/>
      <c r="JH166" s="122"/>
      <c r="JI166" s="119">
        <f t="shared" si="2"/>
        <v>939988</v>
      </c>
      <c r="JJ166" s="379">
        <v>6181</v>
      </c>
      <c r="JK166" s="122"/>
      <c r="JL166" s="125"/>
      <c r="JM166" s="345"/>
      <c r="JN166" s="125"/>
      <c r="JO166" s="125"/>
      <c r="JP166" s="125"/>
    </row>
    <row r="167" spans="1:276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  <c r="AU167" s="122"/>
      <c r="AV167" s="122"/>
      <c r="AW167" s="122"/>
      <c r="AX167" s="122"/>
      <c r="AY167" s="122"/>
      <c r="AZ167" s="122"/>
      <c r="BA167" s="122"/>
      <c r="BB167" s="122"/>
      <c r="BC167" s="122"/>
      <c r="BD167" s="122"/>
      <c r="BE167" s="122"/>
      <c r="BF167" s="122"/>
      <c r="BG167" s="122"/>
      <c r="BH167" s="122"/>
      <c r="BI167" s="122"/>
      <c r="BJ167" s="122"/>
      <c r="BK167" s="122"/>
      <c r="BL167" s="122"/>
      <c r="BM167" s="122"/>
      <c r="BN167" s="122"/>
      <c r="BO167" s="122"/>
      <c r="BP167" s="122"/>
      <c r="BQ167" s="122"/>
      <c r="BR167" s="122"/>
      <c r="BS167" s="122"/>
      <c r="BT167" s="122"/>
      <c r="BU167" s="122"/>
      <c r="BV167" s="122"/>
      <c r="BW167" s="122"/>
      <c r="BX167" s="122"/>
      <c r="BY167" s="122"/>
      <c r="BZ167" s="122"/>
      <c r="CA167" s="122"/>
      <c r="CB167" s="122"/>
      <c r="CC167" s="122"/>
      <c r="CD167" s="122"/>
      <c r="CE167" s="122"/>
      <c r="CF167" s="122"/>
      <c r="CG167" s="122"/>
      <c r="CH167" s="122"/>
      <c r="CI167" s="122"/>
      <c r="CJ167" s="122"/>
      <c r="CK167" s="122"/>
      <c r="CL167" s="122"/>
      <c r="CM167" s="122"/>
      <c r="CN167" s="122"/>
      <c r="CO167" s="122"/>
      <c r="CP167" s="122"/>
      <c r="CQ167" s="122"/>
      <c r="CR167" s="122"/>
      <c r="CS167" s="122"/>
      <c r="CT167" s="122"/>
      <c r="CU167" s="122"/>
      <c r="CV167" s="122"/>
      <c r="CW167" s="122"/>
      <c r="CX167" s="122"/>
      <c r="CY167" s="122"/>
      <c r="CZ167" s="122"/>
      <c r="DA167" s="122"/>
      <c r="DB167" s="122"/>
      <c r="DC167" s="122"/>
      <c r="DD167" s="122"/>
      <c r="DE167" s="122"/>
      <c r="DF167" s="122"/>
      <c r="DG167" s="122"/>
      <c r="DH167" s="122"/>
      <c r="DI167" s="122"/>
      <c r="DJ167" s="122"/>
      <c r="DK167" s="122"/>
      <c r="DL167" s="122"/>
      <c r="DM167" s="122"/>
      <c r="DN167" s="122"/>
      <c r="DO167" s="122"/>
      <c r="DP167" s="122"/>
      <c r="DQ167" s="122"/>
      <c r="DR167" s="122"/>
      <c r="DS167" s="122"/>
      <c r="DT167" s="122"/>
      <c r="DU167" s="122"/>
      <c r="DV167" s="122"/>
      <c r="DW167" s="122"/>
      <c r="DX167" s="122"/>
      <c r="DY167" s="122"/>
      <c r="DZ167" s="122"/>
      <c r="EA167" s="122"/>
      <c r="EB167" s="122"/>
      <c r="EC167" s="122"/>
      <c r="ED167" s="122"/>
      <c r="EE167" s="122"/>
      <c r="EF167" s="122"/>
      <c r="EG167" s="122"/>
      <c r="EH167" s="122"/>
      <c r="EI167" s="122"/>
      <c r="EJ167" s="122"/>
      <c r="EK167" s="122"/>
      <c r="EL167" s="122"/>
      <c r="EM167" s="122"/>
      <c r="EN167" s="122"/>
      <c r="EO167" s="122"/>
      <c r="EP167" s="122"/>
      <c r="EQ167" s="122"/>
      <c r="ER167" s="122"/>
      <c r="ES167" s="122"/>
      <c r="ET167" s="122"/>
      <c r="EU167" s="122"/>
      <c r="EV167" s="122"/>
      <c r="EW167" s="122"/>
      <c r="EX167" s="122"/>
      <c r="EY167" s="122"/>
      <c r="EZ167" s="122"/>
      <c r="FA167" s="122"/>
      <c r="FB167" s="122"/>
      <c r="FC167" s="122"/>
      <c r="FD167" s="122"/>
      <c r="FE167" s="122"/>
      <c r="FF167" s="122"/>
      <c r="FG167" s="122"/>
      <c r="FH167" s="122"/>
      <c r="FI167" s="122"/>
      <c r="FJ167" s="122"/>
      <c r="FK167" s="122"/>
      <c r="FL167" s="122"/>
      <c r="FM167" s="122"/>
      <c r="FN167" s="122"/>
      <c r="FO167" s="122"/>
      <c r="FP167" s="122"/>
      <c r="FQ167" s="122"/>
      <c r="FR167" s="122"/>
      <c r="FS167" s="122"/>
      <c r="FT167" s="122">
        <v>271046</v>
      </c>
      <c r="FU167" s="122"/>
      <c r="FV167" s="122"/>
      <c r="FW167" s="122"/>
      <c r="FX167" s="122"/>
      <c r="FY167" s="122"/>
      <c r="FZ167" s="122"/>
      <c r="GA167" s="122"/>
      <c r="GB167" s="122"/>
      <c r="GC167" s="122"/>
      <c r="GD167" s="122"/>
      <c r="GE167" s="122"/>
      <c r="GF167" s="122"/>
      <c r="GG167" s="122"/>
      <c r="GH167" s="122"/>
      <c r="GI167" s="122"/>
      <c r="GJ167" s="122"/>
      <c r="GK167" s="122"/>
      <c r="GL167" s="122"/>
      <c r="GM167" s="122"/>
      <c r="GN167" s="122"/>
      <c r="GO167" s="122"/>
      <c r="GP167" s="122"/>
      <c r="GQ167" s="122"/>
      <c r="GR167" s="122"/>
      <c r="GS167" s="122"/>
      <c r="GT167" s="122"/>
      <c r="GU167" s="122"/>
      <c r="GV167" s="122"/>
      <c r="GW167" s="122"/>
      <c r="GX167" s="122"/>
      <c r="GY167" s="122"/>
      <c r="GZ167" s="122"/>
      <c r="HA167" s="122"/>
      <c r="HB167" s="122"/>
      <c r="HC167" s="122"/>
      <c r="HD167" s="122"/>
      <c r="HE167" s="122"/>
      <c r="HF167" s="122"/>
      <c r="HG167" s="122"/>
      <c r="HH167" s="122"/>
      <c r="HI167" s="122"/>
      <c r="HJ167" s="122"/>
      <c r="HK167" s="122"/>
      <c r="HL167" s="122"/>
      <c r="HM167" s="122"/>
      <c r="HN167" s="122"/>
      <c r="HO167" s="122"/>
      <c r="HP167" s="122"/>
      <c r="HQ167" s="122"/>
      <c r="HR167" s="122"/>
      <c r="HS167" s="122"/>
      <c r="HT167" s="122"/>
      <c r="HU167" s="122"/>
      <c r="HV167" s="122"/>
      <c r="HW167" s="122"/>
      <c r="HX167" s="122"/>
      <c r="HY167" s="122"/>
      <c r="HZ167" s="122"/>
      <c r="IA167" s="122"/>
      <c r="IB167" s="122"/>
      <c r="IC167" s="122"/>
      <c r="ID167" s="122"/>
      <c r="IE167" s="122"/>
      <c r="IF167" s="122"/>
      <c r="IG167" s="122"/>
      <c r="IH167" s="122"/>
      <c r="II167" s="122"/>
      <c r="IJ167" s="122"/>
      <c r="IK167" s="122"/>
      <c r="IL167" s="122"/>
      <c r="IM167" s="122"/>
      <c r="IN167" s="122"/>
      <c r="IO167" s="122"/>
      <c r="IP167" s="122"/>
      <c r="IQ167" s="122"/>
      <c r="IR167" s="122"/>
      <c r="IS167" s="122"/>
      <c r="IT167" s="122"/>
      <c r="IU167" s="122"/>
      <c r="IV167" s="122"/>
      <c r="IW167" s="122"/>
      <c r="IX167" s="122"/>
      <c r="IY167" s="122"/>
      <c r="IZ167" s="122"/>
      <c r="JA167" s="122"/>
      <c r="JB167" s="122"/>
      <c r="JC167" s="122"/>
      <c r="JD167" s="122"/>
      <c r="JE167" s="122"/>
      <c r="JF167" s="122"/>
      <c r="JG167" s="122"/>
      <c r="JH167" s="122"/>
      <c r="JI167" s="119">
        <f t="shared" si="2"/>
        <v>271046</v>
      </c>
      <c r="JJ167" s="379">
        <v>6185</v>
      </c>
      <c r="JK167" s="122"/>
      <c r="JL167" s="125"/>
      <c r="JM167" s="345"/>
      <c r="JN167" s="125"/>
      <c r="JO167" s="125"/>
      <c r="JP167" s="125"/>
    </row>
    <row r="168" spans="1:276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  <c r="AS168" s="122"/>
      <c r="AT168" s="122"/>
      <c r="AU168" s="122"/>
      <c r="AV168" s="122"/>
      <c r="AW168" s="122"/>
      <c r="AX168" s="122"/>
      <c r="AY168" s="122"/>
      <c r="AZ168" s="122"/>
      <c r="BA168" s="122"/>
      <c r="BB168" s="122"/>
      <c r="BC168" s="122"/>
      <c r="BD168" s="122"/>
      <c r="BE168" s="122"/>
      <c r="BF168" s="122"/>
      <c r="BG168" s="122"/>
      <c r="BH168" s="122"/>
      <c r="BI168" s="122"/>
      <c r="BJ168" s="122"/>
      <c r="BK168" s="122"/>
      <c r="BL168" s="122"/>
      <c r="BM168" s="122"/>
      <c r="BN168" s="122"/>
      <c r="BO168" s="122"/>
      <c r="BP168" s="122"/>
      <c r="BQ168" s="122"/>
      <c r="BR168" s="122"/>
      <c r="BS168" s="122"/>
      <c r="BT168" s="122"/>
      <c r="BU168" s="122"/>
      <c r="BV168" s="122"/>
      <c r="BW168" s="122"/>
      <c r="BX168" s="122"/>
      <c r="BY168" s="122"/>
      <c r="BZ168" s="122"/>
      <c r="CA168" s="122"/>
      <c r="CB168" s="122"/>
      <c r="CC168" s="122"/>
      <c r="CD168" s="122"/>
      <c r="CE168" s="122"/>
      <c r="CF168" s="122"/>
      <c r="CG168" s="122"/>
      <c r="CH168" s="122"/>
      <c r="CI168" s="122"/>
      <c r="CJ168" s="122"/>
      <c r="CK168" s="122"/>
      <c r="CL168" s="122"/>
      <c r="CM168" s="122"/>
      <c r="CN168" s="122"/>
      <c r="CO168" s="122"/>
      <c r="CP168" s="122"/>
      <c r="CQ168" s="122"/>
      <c r="CR168" s="122"/>
      <c r="CS168" s="122"/>
      <c r="CT168" s="122"/>
      <c r="CU168" s="122"/>
      <c r="CV168" s="122"/>
      <c r="CW168" s="122"/>
      <c r="CX168" s="122"/>
      <c r="CY168" s="122"/>
      <c r="CZ168" s="122"/>
      <c r="DA168" s="122"/>
      <c r="DB168" s="122"/>
      <c r="DC168" s="122"/>
      <c r="DD168" s="122"/>
      <c r="DE168" s="122"/>
      <c r="DF168" s="122"/>
      <c r="DG168" s="122"/>
      <c r="DH168" s="122"/>
      <c r="DI168" s="122"/>
      <c r="DJ168" s="122"/>
      <c r="DK168" s="122"/>
      <c r="DL168" s="122"/>
      <c r="DM168" s="122"/>
      <c r="DN168" s="122"/>
      <c r="DO168" s="122"/>
      <c r="DP168" s="122"/>
      <c r="DQ168" s="122"/>
      <c r="DR168" s="122"/>
      <c r="DS168" s="122"/>
      <c r="DT168" s="122"/>
      <c r="DU168" s="122"/>
      <c r="DV168" s="122"/>
      <c r="DW168" s="122"/>
      <c r="DX168" s="122"/>
      <c r="DY168" s="122"/>
      <c r="DZ168" s="122"/>
      <c r="EA168" s="122"/>
      <c r="EB168" s="122"/>
      <c r="EC168" s="122"/>
      <c r="ED168" s="122"/>
      <c r="EE168" s="122"/>
      <c r="EF168" s="122"/>
      <c r="EG168" s="122"/>
      <c r="EH168" s="122"/>
      <c r="EI168" s="122"/>
      <c r="EJ168" s="122"/>
      <c r="EK168" s="122"/>
      <c r="EL168" s="122"/>
      <c r="EM168" s="122"/>
      <c r="EN168" s="122"/>
      <c r="EO168" s="122"/>
      <c r="EP168" s="122"/>
      <c r="EQ168" s="122"/>
      <c r="ER168" s="122"/>
      <c r="ES168" s="122"/>
      <c r="ET168" s="122"/>
      <c r="EU168" s="122"/>
      <c r="EV168" s="122"/>
      <c r="EW168" s="122"/>
      <c r="EX168" s="122"/>
      <c r="EY168" s="122"/>
      <c r="EZ168" s="122"/>
      <c r="FA168" s="122"/>
      <c r="FB168" s="122"/>
      <c r="FC168" s="122"/>
      <c r="FD168" s="122"/>
      <c r="FE168" s="122"/>
      <c r="FF168" s="122"/>
      <c r="FG168" s="122"/>
      <c r="FH168" s="122"/>
      <c r="FI168" s="122"/>
      <c r="FJ168" s="122"/>
      <c r="FK168" s="122"/>
      <c r="FL168" s="122"/>
      <c r="FM168" s="122"/>
      <c r="FN168" s="122"/>
      <c r="FO168" s="122"/>
      <c r="FP168" s="122"/>
      <c r="FQ168" s="122"/>
      <c r="FR168" s="122"/>
      <c r="FS168" s="122"/>
      <c r="FT168" s="122">
        <v>389400</v>
      </c>
      <c r="FU168" s="122"/>
      <c r="FV168" s="122"/>
      <c r="FW168" s="122"/>
      <c r="FX168" s="122"/>
      <c r="FY168" s="122"/>
      <c r="FZ168" s="122"/>
      <c r="GA168" s="122"/>
      <c r="GB168" s="122"/>
      <c r="GC168" s="122"/>
      <c r="GD168" s="122"/>
      <c r="GE168" s="122"/>
      <c r="GF168" s="122"/>
      <c r="GG168" s="122"/>
      <c r="GH168" s="122"/>
      <c r="GI168" s="122"/>
      <c r="GJ168" s="122"/>
      <c r="GK168" s="122"/>
      <c r="GL168" s="122"/>
      <c r="GM168" s="122"/>
      <c r="GN168" s="122"/>
      <c r="GO168" s="122"/>
      <c r="GP168" s="122"/>
      <c r="GQ168" s="122"/>
      <c r="GR168" s="122"/>
      <c r="GS168" s="122"/>
      <c r="GT168" s="122"/>
      <c r="GU168" s="122"/>
      <c r="GV168" s="122"/>
      <c r="GW168" s="122"/>
      <c r="GX168" s="122"/>
      <c r="GY168" s="122"/>
      <c r="GZ168" s="122"/>
      <c r="HA168" s="122"/>
      <c r="HB168" s="122"/>
      <c r="HC168" s="122"/>
      <c r="HD168" s="122"/>
      <c r="HE168" s="122"/>
      <c r="HF168" s="122"/>
      <c r="HG168" s="122"/>
      <c r="HH168" s="122"/>
      <c r="HI168" s="122"/>
      <c r="HJ168" s="122"/>
      <c r="HK168" s="122"/>
      <c r="HL168" s="122"/>
      <c r="HM168" s="122"/>
      <c r="HN168" s="122"/>
      <c r="HO168" s="122"/>
      <c r="HP168" s="122"/>
      <c r="HQ168" s="122"/>
      <c r="HR168" s="122"/>
      <c r="HS168" s="122"/>
      <c r="HT168" s="122"/>
      <c r="HU168" s="122"/>
      <c r="HV168" s="122"/>
      <c r="HW168" s="122"/>
      <c r="HX168" s="122"/>
      <c r="HY168" s="122"/>
      <c r="HZ168" s="122"/>
      <c r="IA168" s="122"/>
      <c r="IB168" s="122"/>
      <c r="IC168" s="122"/>
      <c r="ID168" s="122"/>
      <c r="IE168" s="122"/>
      <c r="IF168" s="122"/>
      <c r="IG168" s="122"/>
      <c r="IH168" s="122"/>
      <c r="II168" s="122"/>
      <c r="IJ168" s="122"/>
      <c r="IK168" s="122"/>
      <c r="IL168" s="122"/>
      <c r="IM168" s="122"/>
      <c r="IN168" s="122"/>
      <c r="IO168" s="122"/>
      <c r="IP168" s="122"/>
      <c r="IQ168" s="122"/>
      <c r="IR168" s="122"/>
      <c r="IS168" s="122"/>
      <c r="IT168" s="122"/>
      <c r="IU168" s="122"/>
      <c r="IV168" s="122"/>
      <c r="IW168" s="122"/>
      <c r="IX168" s="122"/>
      <c r="IY168" s="122"/>
      <c r="IZ168" s="122"/>
      <c r="JA168" s="122"/>
      <c r="JB168" s="122"/>
      <c r="JC168" s="122"/>
      <c r="JD168" s="122"/>
      <c r="JE168" s="122"/>
      <c r="JF168" s="122"/>
      <c r="JG168" s="122"/>
      <c r="JH168" s="122"/>
      <c r="JI168" s="119">
        <f t="shared" si="2"/>
        <v>389400</v>
      </c>
      <c r="JJ168" s="379">
        <v>6189</v>
      </c>
      <c r="JK168" s="122"/>
      <c r="JL168" s="125"/>
      <c r="JM168" s="345"/>
      <c r="JN168" s="125"/>
      <c r="JO168" s="125"/>
      <c r="JP168" s="125"/>
    </row>
    <row r="169" spans="1:276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  <c r="BJ169" s="122"/>
      <c r="BK169" s="122"/>
      <c r="BL169" s="122"/>
      <c r="BM169" s="122"/>
      <c r="BN169" s="122"/>
      <c r="BO169" s="122"/>
      <c r="BP169" s="122"/>
      <c r="BQ169" s="122"/>
      <c r="BR169" s="122"/>
      <c r="BS169" s="122"/>
      <c r="BT169" s="122"/>
      <c r="BU169" s="122"/>
      <c r="BV169" s="122"/>
      <c r="BW169" s="122"/>
      <c r="BX169" s="122"/>
      <c r="BY169" s="122"/>
      <c r="BZ169" s="122"/>
      <c r="CA169" s="122"/>
      <c r="CB169" s="122"/>
      <c r="CC169" s="122"/>
      <c r="CD169" s="122"/>
      <c r="CE169" s="122"/>
      <c r="CF169" s="122"/>
      <c r="CG169" s="122"/>
      <c r="CH169" s="122"/>
      <c r="CI169" s="122"/>
      <c r="CJ169" s="122"/>
      <c r="CK169" s="122"/>
      <c r="CL169" s="122"/>
      <c r="CM169" s="122"/>
      <c r="CN169" s="122"/>
      <c r="CO169" s="122"/>
      <c r="CP169" s="122"/>
      <c r="CQ169" s="122"/>
      <c r="CR169" s="122"/>
      <c r="CS169" s="122"/>
      <c r="CT169" s="122"/>
      <c r="CU169" s="122"/>
      <c r="CV169" s="122"/>
      <c r="CW169" s="122"/>
      <c r="CX169" s="122"/>
      <c r="CY169" s="122"/>
      <c r="CZ169" s="122"/>
      <c r="DA169" s="122"/>
      <c r="DB169" s="122"/>
      <c r="DC169" s="122"/>
      <c r="DD169" s="122"/>
      <c r="DE169" s="122"/>
      <c r="DF169" s="122"/>
      <c r="DG169" s="122"/>
      <c r="DH169" s="122"/>
      <c r="DI169" s="122"/>
      <c r="DJ169" s="122"/>
      <c r="DK169" s="122"/>
      <c r="DL169" s="122"/>
      <c r="DM169" s="122"/>
      <c r="DN169" s="122"/>
      <c r="DO169" s="122"/>
      <c r="DP169" s="122"/>
      <c r="DQ169" s="122"/>
      <c r="DR169" s="122"/>
      <c r="DS169" s="122"/>
      <c r="DT169" s="122"/>
      <c r="DU169" s="122"/>
      <c r="DV169" s="122"/>
      <c r="DW169" s="122"/>
      <c r="DX169" s="122"/>
      <c r="DY169" s="122"/>
      <c r="DZ169" s="122"/>
      <c r="EA169" s="122">
        <v>225000</v>
      </c>
      <c r="EB169" s="122"/>
      <c r="EC169" s="122"/>
      <c r="ED169" s="122"/>
      <c r="EE169" s="122"/>
      <c r="EF169" s="122"/>
      <c r="EG169" s="122"/>
      <c r="EH169" s="122"/>
      <c r="EI169" s="122"/>
      <c r="EJ169" s="122"/>
      <c r="EK169" s="122"/>
      <c r="EL169" s="122"/>
      <c r="EM169" s="122"/>
      <c r="EN169" s="122"/>
      <c r="EO169" s="122"/>
      <c r="EP169" s="122"/>
      <c r="EQ169" s="122"/>
      <c r="ER169" s="122"/>
      <c r="ES169" s="122"/>
      <c r="ET169" s="122"/>
      <c r="EU169" s="122"/>
      <c r="EV169" s="122"/>
      <c r="EW169" s="122"/>
      <c r="EX169" s="122"/>
      <c r="EY169" s="122"/>
      <c r="EZ169" s="122"/>
      <c r="FA169" s="122"/>
      <c r="FB169" s="122"/>
      <c r="FC169" s="122"/>
      <c r="FD169" s="122"/>
      <c r="FE169" s="122"/>
      <c r="FF169" s="122"/>
      <c r="FG169" s="122"/>
      <c r="FH169" s="122"/>
      <c r="FI169" s="122"/>
      <c r="FJ169" s="122"/>
      <c r="FK169" s="122"/>
      <c r="FL169" s="122"/>
      <c r="FM169" s="122"/>
      <c r="FN169" s="122"/>
      <c r="FO169" s="122"/>
      <c r="FP169" s="122"/>
      <c r="FQ169" s="122"/>
      <c r="FR169" s="122"/>
      <c r="FS169" s="122"/>
      <c r="FT169" s="122"/>
      <c r="FU169" s="122"/>
      <c r="FV169" s="122"/>
      <c r="FW169" s="122"/>
      <c r="FX169" s="122"/>
      <c r="FY169" s="122"/>
      <c r="FZ169" s="122"/>
      <c r="GA169" s="122"/>
      <c r="GB169" s="122"/>
      <c r="GC169" s="122"/>
      <c r="GD169" s="122"/>
      <c r="GE169" s="122"/>
      <c r="GF169" s="122"/>
      <c r="GG169" s="122"/>
      <c r="GH169" s="122"/>
      <c r="GI169" s="122"/>
      <c r="GJ169" s="122"/>
      <c r="GK169" s="122"/>
      <c r="GL169" s="122"/>
      <c r="GM169" s="122"/>
      <c r="GN169" s="122"/>
      <c r="GO169" s="122"/>
      <c r="GP169" s="122"/>
      <c r="GQ169" s="122"/>
      <c r="GR169" s="122"/>
      <c r="GS169" s="122"/>
      <c r="GT169" s="122"/>
      <c r="GU169" s="122"/>
      <c r="GV169" s="122"/>
      <c r="GW169" s="122"/>
      <c r="GX169" s="122"/>
      <c r="GY169" s="122"/>
      <c r="GZ169" s="122"/>
      <c r="HA169" s="122"/>
      <c r="HB169" s="122"/>
      <c r="HC169" s="122"/>
      <c r="HD169" s="122"/>
      <c r="HE169" s="122"/>
      <c r="HF169" s="122"/>
      <c r="HG169" s="122"/>
      <c r="HH169" s="122"/>
      <c r="HI169" s="122"/>
      <c r="HJ169" s="122"/>
      <c r="HK169" s="122"/>
      <c r="HL169" s="122"/>
      <c r="HM169" s="122"/>
      <c r="HN169" s="122"/>
      <c r="HO169" s="122"/>
      <c r="HP169" s="122"/>
      <c r="HQ169" s="122"/>
      <c r="HR169" s="122"/>
      <c r="HS169" s="122"/>
      <c r="HT169" s="122"/>
      <c r="HU169" s="122"/>
      <c r="HV169" s="122"/>
      <c r="HW169" s="122"/>
      <c r="HX169" s="122"/>
      <c r="HY169" s="122"/>
      <c r="HZ169" s="122"/>
      <c r="IA169" s="122"/>
      <c r="IB169" s="122"/>
      <c r="IC169" s="122"/>
      <c r="ID169" s="122"/>
      <c r="IE169" s="122"/>
      <c r="IF169" s="122"/>
      <c r="IG169" s="122"/>
      <c r="IH169" s="122"/>
      <c r="II169" s="122"/>
      <c r="IJ169" s="122"/>
      <c r="IK169" s="122"/>
      <c r="IL169" s="122"/>
      <c r="IM169" s="122"/>
      <c r="IN169" s="122"/>
      <c r="IO169" s="122"/>
      <c r="IP169" s="122"/>
      <c r="IQ169" s="122"/>
      <c r="IR169" s="122"/>
      <c r="IS169" s="122"/>
      <c r="IT169" s="122"/>
      <c r="IU169" s="122"/>
      <c r="IV169" s="122"/>
      <c r="IW169" s="122"/>
      <c r="IX169" s="122"/>
      <c r="IY169" s="122"/>
      <c r="IZ169" s="122"/>
      <c r="JA169" s="122"/>
      <c r="JB169" s="122"/>
      <c r="JC169" s="122"/>
      <c r="JD169" s="122"/>
      <c r="JE169" s="122"/>
      <c r="JF169" s="122"/>
      <c r="JG169" s="122"/>
      <c r="JH169" s="122"/>
      <c r="JI169" s="119">
        <f t="shared" si="2"/>
        <v>225000</v>
      </c>
      <c r="JJ169" s="379">
        <v>6193</v>
      </c>
      <c r="JK169" s="122"/>
      <c r="JL169" s="125"/>
      <c r="JM169" s="345"/>
      <c r="JN169" s="125"/>
      <c r="JO169" s="125"/>
      <c r="JP169" s="125"/>
    </row>
    <row r="170" spans="1:276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  <c r="AS170" s="122"/>
      <c r="AT170" s="122"/>
      <c r="AU170" s="122"/>
      <c r="AV170" s="122"/>
      <c r="AW170" s="122"/>
      <c r="AX170" s="122"/>
      <c r="AY170" s="122"/>
      <c r="AZ170" s="122"/>
      <c r="BA170" s="122"/>
      <c r="BB170" s="122"/>
      <c r="BC170" s="122"/>
      <c r="BD170" s="122"/>
      <c r="BE170" s="122"/>
      <c r="BF170" s="122"/>
      <c r="BG170" s="122"/>
      <c r="BH170" s="122"/>
      <c r="BI170" s="122"/>
      <c r="BJ170" s="122"/>
      <c r="BK170" s="122"/>
      <c r="BL170" s="122"/>
      <c r="BM170" s="122"/>
      <c r="BN170" s="122"/>
      <c r="BO170" s="122"/>
      <c r="BP170" s="122"/>
      <c r="BQ170" s="122"/>
      <c r="BR170" s="122"/>
      <c r="BS170" s="122"/>
      <c r="BT170" s="122"/>
      <c r="BU170" s="122"/>
      <c r="BV170" s="122"/>
      <c r="BW170" s="122"/>
      <c r="BX170" s="122"/>
      <c r="BY170" s="122"/>
      <c r="BZ170" s="122"/>
      <c r="CA170" s="122"/>
      <c r="CB170" s="122"/>
      <c r="CC170" s="122"/>
      <c r="CD170" s="122"/>
      <c r="CE170" s="122"/>
      <c r="CF170" s="122"/>
      <c r="CG170" s="122"/>
      <c r="CH170" s="122"/>
      <c r="CI170" s="122"/>
      <c r="CJ170" s="122"/>
      <c r="CK170" s="122"/>
      <c r="CL170" s="122"/>
      <c r="CM170" s="122"/>
      <c r="CN170" s="122"/>
      <c r="CO170" s="122"/>
      <c r="CP170" s="122"/>
      <c r="CQ170" s="122"/>
      <c r="CR170" s="122"/>
      <c r="CS170" s="122"/>
      <c r="CT170" s="122"/>
      <c r="CU170" s="122"/>
      <c r="CV170" s="122"/>
      <c r="CW170" s="122"/>
      <c r="CX170" s="122"/>
      <c r="CY170" s="122"/>
      <c r="CZ170" s="122"/>
      <c r="DA170" s="122"/>
      <c r="DB170" s="122"/>
      <c r="DC170" s="122"/>
      <c r="DD170" s="122"/>
      <c r="DE170" s="122"/>
      <c r="DF170" s="122"/>
      <c r="DG170" s="122"/>
      <c r="DH170" s="122"/>
      <c r="DI170" s="122"/>
      <c r="DJ170" s="122"/>
      <c r="DK170" s="122"/>
      <c r="DL170" s="122"/>
      <c r="DM170" s="122"/>
      <c r="DN170" s="122"/>
      <c r="DO170" s="122"/>
      <c r="DP170" s="122"/>
      <c r="DQ170" s="122"/>
      <c r="DR170" s="122"/>
      <c r="DS170" s="122"/>
      <c r="DT170" s="122"/>
      <c r="DU170" s="122"/>
      <c r="DV170" s="122"/>
      <c r="DW170" s="122"/>
      <c r="DX170" s="122"/>
      <c r="DY170" s="122"/>
      <c r="DZ170" s="122"/>
      <c r="EA170" s="122">
        <v>230070</v>
      </c>
      <c r="EB170" s="122"/>
      <c r="EC170" s="122"/>
      <c r="ED170" s="122"/>
      <c r="EE170" s="122"/>
      <c r="EF170" s="122"/>
      <c r="EG170" s="122"/>
      <c r="EH170" s="122"/>
      <c r="EI170" s="122"/>
      <c r="EJ170" s="122"/>
      <c r="EK170" s="122"/>
      <c r="EL170" s="122"/>
      <c r="EM170" s="122"/>
      <c r="EN170" s="122"/>
      <c r="EO170" s="122"/>
      <c r="EP170" s="122"/>
      <c r="EQ170" s="122"/>
      <c r="ER170" s="122"/>
      <c r="ES170" s="122"/>
      <c r="ET170" s="122"/>
      <c r="EU170" s="122"/>
      <c r="EV170" s="122"/>
      <c r="EW170" s="122"/>
      <c r="EX170" s="122"/>
      <c r="EY170" s="122"/>
      <c r="EZ170" s="122"/>
      <c r="FA170" s="122"/>
      <c r="FB170" s="122"/>
      <c r="FC170" s="122"/>
      <c r="FD170" s="122"/>
      <c r="FE170" s="122"/>
      <c r="FF170" s="122"/>
      <c r="FG170" s="122"/>
      <c r="FH170" s="122"/>
      <c r="FI170" s="122"/>
      <c r="FJ170" s="122"/>
      <c r="FK170" s="122"/>
      <c r="FL170" s="122"/>
      <c r="FM170" s="122"/>
      <c r="FN170" s="122"/>
      <c r="FO170" s="122"/>
      <c r="FP170" s="122"/>
      <c r="FQ170" s="122"/>
      <c r="FR170" s="122"/>
      <c r="FS170" s="122"/>
      <c r="FT170" s="122"/>
      <c r="FU170" s="122"/>
      <c r="FV170" s="122"/>
      <c r="FW170" s="122"/>
      <c r="FX170" s="122"/>
      <c r="FY170" s="122"/>
      <c r="FZ170" s="122"/>
      <c r="GA170" s="122"/>
      <c r="GB170" s="122"/>
      <c r="GC170" s="122"/>
      <c r="GD170" s="122"/>
      <c r="GE170" s="122"/>
      <c r="GF170" s="122"/>
      <c r="GG170" s="122"/>
      <c r="GH170" s="122"/>
      <c r="GI170" s="122"/>
      <c r="GJ170" s="122"/>
      <c r="GK170" s="122"/>
      <c r="GL170" s="122"/>
      <c r="GM170" s="122"/>
      <c r="GN170" s="122"/>
      <c r="GO170" s="122"/>
      <c r="GP170" s="122"/>
      <c r="GQ170" s="122"/>
      <c r="GR170" s="122"/>
      <c r="GS170" s="122"/>
      <c r="GT170" s="122"/>
      <c r="GU170" s="122"/>
      <c r="GV170" s="122"/>
      <c r="GW170" s="122"/>
      <c r="GX170" s="122"/>
      <c r="GY170" s="122"/>
      <c r="GZ170" s="122"/>
      <c r="HA170" s="122"/>
      <c r="HB170" s="122"/>
      <c r="HC170" s="122"/>
      <c r="HD170" s="122"/>
      <c r="HE170" s="122"/>
      <c r="HF170" s="122"/>
      <c r="HG170" s="122"/>
      <c r="HH170" s="122"/>
      <c r="HI170" s="122"/>
      <c r="HJ170" s="122"/>
      <c r="HK170" s="122"/>
      <c r="HL170" s="122"/>
      <c r="HM170" s="122"/>
      <c r="HN170" s="122"/>
      <c r="HO170" s="122"/>
      <c r="HP170" s="122"/>
      <c r="HQ170" s="122"/>
      <c r="HR170" s="122"/>
      <c r="HS170" s="122"/>
      <c r="HT170" s="122"/>
      <c r="HU170" s="122"/>
      <c r="HV170" s="122"/>
      <c r="HW170" s="122"/>
      <c r="HX170" s="122"/>
      <c r="HY170" s="122"/>
      <c r="HZ170" s="122"/>
      <c r="IA170" s="122"/>
      <c r="IB170" s="122"/>
      <c r="IC170" s="122"/>
      <c r="ID170" s="122"/>
      <c r="IE170" s="122"/>
      <c r="IF170" s="122"/>
      <c r="IG170" s="122"/>
      <c r="IH170" s="122"/>
      <c r="II170" s="122"/>
      <c r="IJ170" s="122"/>
      <c r="IK170" s="122"/>
      <c r="IL170" s="122"/>
      <c r="IM170" s="122"/>
      <c r="IN170" s="122"/>
      <c r="IO170" s="122"/>
      <c r="IP170" s="122"/>
      <c r="IQ170" s="122"/>
      <c r="IR170" s="122"/>
      <c r="IS170" s="122"/>
      <c r="IT170" s="122"/>
      <c r="IU170" s="122"/>
      <c r="IV170" s="122"/>
      <c r="IW170" s="122"/>
      <c r="IX170" s="122"/>
      <c r="IY170" s="122"/>
      <c r="IZ170" s="122"/>
      <c r="JA170" s="122"/>
      <c r="JB170" s="122"/>
      <c r="JC170" s="122"/>
      <c r="JD170" s="122"/>
      <c r="JE170" s="122"/>
      <c r="JF170" s="122"/>
      <c r="JG170" s="122"/>
      <c r="JH170" s="122"/>
      <c r="JI170" s="119">
        <f t="shared" si="2"/>
        <v>230070</v>
      </c>
      <c r="JJ170" s="379">
        <v>6197</v>
      </c>
      <c r="JK170" s="122"/>
      <c r="JL170" s="125"/>
      <c r="JM170" s="345"/>
      <c r="JN170" s="125"/>
      <c r="JO170" s="125"/>
      <c r="JP170" s="125"/>
    </row>
    <row r="171" spans="1:276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  <c r="AT171" s="122"/>
      <c r="AU171" s="122"/>
      <c r="AV171" s="122"/>
      <c r="AW171" s="122"/>
      <c r="AX171" s="122"/>
      <c r="AY171" s="122"/>
      <c r="AZ171" s="122"/>
      <c r="BA171" s="122"/>
      <c r="BB171" s="122"/>
      <c r="BC171" s="122"/>
      <c r="BD171" s="122"/>
      <c r="BE171" s="122"/>
      <c r="BF171" s="122"/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122"/>
      <c r="BS171" s="122"/>
      <c r="BT171" s="122"/>
      <c r="BU171" s="122"/>
      <c r="BV171" s="122"/>
      <c r="BW171" s="122"/>
      <c r="BX171" s="122"/>
      <c r="BY171" s="122"/>
      <c r="BZ171" s="122"/>
      <c r="CA171" s="122"/>
      <c r="CB171" s="122"/>
      <c r="CC171" s="122"/>
      <c r="CD171" s="122"/>
      <c r="CE171" s="122"/>
      <c r="CF171" s="122"/>
      <c r="CG171" s="122"/>
      <c r="CH171" s="122"/>
      <c r="CI171" s="122"/>
      <c r="CJ171" s="122"/>
      <c r="CK171" s="122"/>
      <c r="CL171" s="122"/>
      <c r="CM171" s="122"/>
      <c r="CN171" s="122"/>
      <c r="CO171" s="122"/>
      <c r="CP171" s="122"/>
      <c r="CQ171" s="122"/>
      <c r="CR171" s="122"/>
      <c r="CS171" s="122"/>
      <c r="CT171" s="122"/>
      <c r="CU171" s="122"/>
      <c r="CV171" s="122"/>
      <c r="CW171" s="122"/>
      <c r="CX171" s="122"/>
      <c r="CY171" s="122"/>
      <c r="CZ171" s="122"/>
      <c r="DA171" s="122"/>
      <c r="DB171" s="122"/>
      <c r="DC171" s="122"/>
      <c r="DD171" s="122"/>
      <c r="DE171" s="122"/>
      <c r="DF171" s="122"/>
      <c r="DG171" s="122"/>
      <c r="DH171" s="122"/>
      <c r="DI171" s="122"/>
      <c r="DJ171" s="122"/>
      <c r="DK171" s="122"/>
      <c r="DL171" s="122"/>
      <c r="DM171" s="122"/>
      <c r="DN171" s="122"/>
      <c r="DO171" s="122"/>
      <c r="DP171" s="122"/>
      <c r="DQ171" s="122"/>
      <c r="DR171" s="122"/>
      <c r="DS171" s="122"/>
      <c r="DT171" s="122"/>
      <c r="DU171" s="122"/>
      <c r="DV171" s="122"/>
      <c r="DW171" s="122"/>
      <c r="DX171" s="122"/>
      <c r="DY171" s="122"/>
      <c r="DZ171" s="122"/>
      <c r="EA171" s="122">
        <v>190000</v>
      </c>
      <c r="EB171" s="122"/>
      <c r="EC171" s="122"/>
      <c r="ED171" s="122"/>
      <c r="EE171" s="122"/>
      <c r="EF171" s="122"/>
      <c r="EG171" s="122"/>
      <c r="EH171" s="122"/>
      <c r="EI171" s="122"/>
      <c r="EJ171" s="122"/>
      <c r="EK171" s="122"/>
      <c r="EL171" s="122"/>
      <c r="EM171" s="122"/>
      <c r="EN171" s="122"/>
      <c r="EO171" s="122"/>
      <c r="EP171" s="122"/>
      <c r="EQ171" s="122"/>
      <c r="ER171" s="122"/>
      <c r="ES171" s="122"/>
      <c r="ET171" s="122"/>
      <c r="EU171" s="122"/>
      <c r="EV171" s="122"/>
      <c r="EW171" s="122"/>
      <c r="EX171" s="122"/>
      <c r="EY171" s="122"/>
      <c r="EZ171" s="122"/>
      <c r="FA171" s="122"/>
      <c r="FB171" s="122"/>
      <c r="FC171" s="122"/>
      <c r="FD171" s="122"/>
      <c r="FE171" s="122"/>
      <c r="FF171" s="122"/>
      <c r="FG171" s="122"/>
      <c r="FH171" s="122"/>
      <c r="FI171" s="122"/>
      <c r="FJ171" s="122"/>
      <c r="FK171" s="122"/>
      <c r="FL171" s="122"/>
      <c r="FM171" s="122"/>
      <c r="FN171" s="122"/>
      <c r="FO171" s="122"/>
      <c r="FP171" s="122"/>
      <c r="FQ171" s="122"/>
      <c r="FR171" s="122"/>
      <c r="FS171" s="122"/>
      <c r="FT171" s="122"/>
      <c r="FU171" s="122"/>
      <c r="FV171" s="122"/>
      <c r="FW171" s="122"/>
      <c r="FX171" s="122"/>
      <c r="FY171" s="122"/>
      <c r="FZ171" s="122"/>
      <c r="GA171" s="122"/>
      <c r="GB171" s="122"/>
      <c r="GC171" s="122"/>
      <c r="GD171" s="122"/>
      <c r="GE171" s="122"/>
      <c r="GF171" s="122"/>
      <c r="GG171" s="122"/>
      <c r="GH171" s="122"/>
      <c r="GI171" s="122"/>
      <c r="GJ171" s="122"/>
      <c r="GK171" s="122"/>
      <c r="GL171" s="122"/>
      <c r="GM171" s="122"/>
      <c r="GN171" s="122"/>
      <c r="GO171" s="122"/>
      <c r="GP171" s="122"/>
      <c r="GQ171" s="122"/>
      <c r="GR171" s="122"/>
      <c r="GS171" s="122"/>
      <c r="GT171" s="122"/>
      <c r="GU171" s="122"/>
      <c r="GV171" s="122"/>
      <c r="GW171" s="122"/>
      <c r="GX171" s="122"/>
      <c r="GY171" s="122"/>
      <c r="GZ171" s="122"/>
      <c r="HA171" s="122"/>
      <c r="HB171" s="122"/>
      <c r="HC171" s="122"/>
      <c r="HD171" s="122"/>
      <c r="HE171" s="122"/>
      <c r="HF171" s="122"/>
      <c r="HG171" s="122"/>
      <c r="HH171" s="122"/>
      <c r="HI171" s="122"/>
      <c r="HJ171" s="122"/>
      <c r="HK171" s="122"/>
      <c r="HL171" s="122"/>
      <c r="HM171" s="122"/>
      <c r="HN171" s="122"/>
      <c r="HO171" s="122"/>
      <c r="HP171" s="122"/>
      <c r="HQ171" s="122"/>
      <c r="HR171" s="122"/>
      <c r="HS171" s="122"/>
      <c r="HT171" s="122"/>
      <c r="HU171" s="122"/>
      <c r="HV171" s="122"/>
      <c r="HW171" s="122"/>
      <c r="HX171" s="122"/>
      <c r="HY171" s="122"/>
      <c r="HZ171" s="122"/>
      <c r="IA171" s="122"/>
      <c r="IB171" s="122"/>
      <c r="IC171" s="122"/>
      <c r="ID171" s="122"/>
      <c r="IE171" s="122"/>
      <c r="IF171" s="122"/>
      <c r="IG171" s="122"/>
      <c r="IH171" s="122"/>
      <c r="II171" s="122"/>
      <c r="IJ171" s="122"/>
      <c r="IK171" s="122"/>
      <c r="IL171" s="122"/>
      <c r="IM171" s="122"/>
      <c r="IN171" s="122"/>
      <c r="IO171" s="122"/>
      <c r="IP171" s="122"/>
      <c r="IQ171" s="122"/>
      <c r="IR171" s="122"/>
      <c r="IS171" s="122"/>
      <c r="IT171" s="122"/>
      <c r="IU171" s="122"/>
      <c r="IV171" s="122"/>
      <c r="IW171" s="122"/>
      <c r="IX171" s="122"/>
      <c r="IY171" s="122"/>
      <c r="IZ171" s="122"/>
      <c r="JA171" s="122"/>
      <c r="JB171" s="122"/>
      <c r="JC171" s="122"/>
      <c r="JD171" s="122"/>
      <c r="JE171" s="122"/>
      <c r="JF171" s="122"/>
      <c r="JG171" s="122"/>
      <c r="JH171" s="122"/>
      <c r="JI171" s="119">
        <f t="shared" si="2"/>
        <v>190000</v>
      </c>
      <c r="JJ171" s="379">
        <v>6201</v>
      </c>
      <c r="JK171" s="122"/>
      <c r="JL171" s="125"/>
      <c r="JM171" s="345"/>
      <c r="JN171" s="125"/>
      <c r="JO171" s="125"/>
      <c r="JP171" s="125"/>
    </row>
    <row r="172" spans="1:276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  <c r="AS172" s="122"/>
      <c r="AT172" s="122"/>
      <c r="AU172" s="122"/>
      <c r="AV172" s="122"/>
      <c r="AW172" s="122"/>
      <c r="AX172" s="122"/>
      <c r="AY172" s="122"/>
      <c r="AZ172" s="122"/>
      <c r="BA172" s="122"/>
      <c r="BB172" s="122"/>
      <c r="BC172" s="122"/>
      <c r="BD172" s="122"/>
      <c r="BE172" s="122"/>
      <c r="BF172" s="122"/>
      <c r="BG172" s="122"/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122"/>
      <c r="BS172" s="122"/>
      <c r="BT172" s="122"/>
      <c r="BU172" s="122"/>
      <c r="BV172" s="122"/>
      <c r="BW172" s="122"/>
      <c r="BX172" s="122"/>
      <c r="BY172" s="122"/>
      <c r="BZ172" s="122"/>
      <c r="CA172" s="122"/>
      <c r="CB172" s="122"/>
      <c r="CC172" s="122"/>
      <c r="CD172" s="122"/>
      <c r="CE172" s="122"/>
      <c r="CF172" s="122"/>
      <c r="CG172" s="122"/>
      <c r="CH172" s="122"/>
      <c r="CI172" s="122"/>
      <c r="CJ172" s="122"/>
      <c r="CK172" s="122"/>
      <c r="CL172" s="122"/>
      <c r="CM172" s="122"/>
      <c r="CN172" s="122"/>
      <c r="CO172" s="122"/>
      <c r="CP172" s="122"/>
      <c r="CQ172" s="122"/>
      <c r="CR172" s="122"/>
      <c r="CS172" s="122"/>
      <c r="CT172" s="122"/>
      <c r="CU172" s="122"/>
      <c r="CV172" s="122"/>
      <c r="CW172" s="122"/>
      <c r="CX172" s="122"/>
      <c r="CY172" s="122"/>
      <c r="CZ172" s="122"/>
      <c r="DA172" s="122"/>
      <c r="DB172" s="122"/>
      <c r="DC172" s="122"/>
      <c r="DD172" s="122"/>
      <c r="DE172" s="122"/>
      <c r="DF172" s="122"/>
      <c r="DG172" s="122"/>
      <c r="DH172" s="122"/>
      <c r="DI172" s="122"/>
      <c r="DJ172" s="122"/>
      <c r="DK172" s="122"/>
      <c r="DL172" s="122"/>
      <c r="DM172" s="122"/>
      <c r="DN172" s="122"/>
      <c r="DO172" s="122"/>
      <c r="DP172" s="122"/>
      <c r="DQ172" s="122"/>
      <c r="DR172" s="122"/>
      <c r="DS172" s="122"/>
      <c r="DT172" s="122"/>
      <c r="DU172" s="122"/>
      <c r="DV172" s="122"/>
      <c r="DW172" s="122"/>
      <c r="DX172" s="122"/>
      <c r="DY172" s="122"/>
      <c r="DZ172" s="122"/>
      <c r="EA172" s="122">
        <v>195000</v>
      </c>
      <c r="EB172" s="122"/>
      <c r="EC172" s="122"/>
      <c r="ED172" s="122"/>
      <c r="EE172" s="122"/>
      <c r="EF172" s="122"/>
      <c r="EG172" s="122"/>
      <c r="EH172" s="122"/>
      <c r="EI172" s="122"/>
      <c r="EJ172" s="122"/>
      <c r="EK172" s="122"/>
      <c r="EL172" s="122"/>
      <c r="EM172" s="122"/>
      <c r="EN172" s="122"/>
      <c r="EO172" s="122"/>
      <c r="EP172" s="122"/>
      <c r="EQ172" s="122"/>
      <c r="ER172" s="122"/>
      <c r="ES172" s="122"/>
      <c r="ET172" s="122"/>
      <c r="EU172" s="122"/>
      <c r="EV172" s="122"/>
      <c r="EW172" s="122"/>
      <c r="EX172" s="122"/>
      <c r="EY172" s="122"/>
      <c r="EZ172" s="122"/>
      <c r="FA172" s="122"/>
      <c r="FB172" s="122"/>
      <c r="FC172" s="122"/>
      <c r="FD172" s="122"/>
      <c r="FE172" s="122"/>
      <c r="FF172" s="122"/>
      <c r="FG172" s="122"/>
      <c r="FH172" s="122"/>
      <c r="FI172" s="122"/>
      <c r="FJ172" s="122"/>
      <c r="FK172" s="122"/>
      <c r="FL172" s="122"/>
      <c r="FM172" s="122"/>
      <c r="FN172" s="122"/>
      <c r="FO172" s="122"/>
      <c r="FP172" s="122"/>
      <c r="FQ172" s="122"/>
      <c r="FR172" s="122"/>
      <c r="FS172" s="122"/>
      <c r="FT172" s="122"/>
      <c r="FU172" s="122"/>
      <c r="FV172" s="122"/>
      <c r="FW172" s="122"/>
      <c r="FX172" s="122"/>
      <c r="FY172" s="122"/>
      <c r="FZ172" s="122"/>
      <c r="GA172" s="122"/>
      <c r="GB172" s="122"/>
      <c r="GC172" s="122"/>
      <c r="GD172" s="122"/>
      <c r="GE172" s="122"/>
      <c r="GF172" s="122"/>
      <c r="GG172" s="122"/>
      <c r="GH172" s="122"/>
      <c r="GI172" s="122"/>
      <c r="GJ172" s="122"/>
      <c r="GK172" s="122"/>
      <c r="GL172" s="122"/>
      <c r="GM172" s="122"/>
      <c r="GN172" s="122"/>
      <c r="GO172" s="122"/>
      <c r="GP172" s="122"/>
      <c r="GQ172" s="122"/>
      <c r="GR172" s="122"/>
      <c r="GS172" s="122"/>
      <c r="GT172" s="122"/>
      <c r="GU172" s="122"/>
      <c r="GV172" s="122"/>
      <c r="GW172" s="122"/>
      <c r="GX172" s="122"/>
      <c r="GY172" s="122"/>
      <c r="GZ172" s="122"/>
      <c r="HA172" s="122"/>
      <c r="HB172" s="122"/>
      <c r="HC172" s="122"/>
      <c r="HD172" s="122"/>
      <c r="HE172" s="122"/>
      <c r="HF172" s="122"/>
      <c r="HG172" s="122"/>
      <c r="HH172" s="122"/>
      <c r="HI172" s="122"/>
      <c r="HJ172" s="122"/>
      <c r="HK172" s="122"/>
      <c r="HL172" s="122"/>
      <c r="HM172" s="122"/>
      <c r="HN172" s="122"/>
      <c r="HO172" s="122"/>
      <c r="HP172" s="122"/>
      <c r="HQ172" s="122"/>
      <c r="HR172" s="122"/>
      <c r="HS172" s="122"/>
      <c r="HT172" s="122"/>
      <c r="HU172" s="122"/>
      <c r="HV172" s="122"/>
      <c r="HW172" s="122"/>
      <c r="HX172" s="122"/>
      <c r="HY172" s="122"/>
      <c r="HZ172" s="122"/>
      <c r="IA172" s="122"/>
      <c r="IB172" s="122"/>
      <c r="IC172" s="122"/>
      <c r="ID172" s="122"/>
      <c r="IE172" s="122"/>
      <c r="IF172" s="122"/>
      <c r="IG172" s="122"/>
      <c r="IH172" s="122"/>
      <c r="II172" s="122"/>
      <c r="IJ172" s="122"/>
      <c r="IK172" s="122"/>
      <c r="IL172" s="122"/>
      <c r="IM172" s="122"/>
      <c r="IN172" s="122"/>
      <c r="IO172" s="122"/>
      <c r="IP172" s="122"/>
      <c r="IQ172" s="122"/>
      <c r="IR172" s="122"/>
      <c r="IS172" s="122"/>
      <c r="IT172" s="122"/>
      <c r="IU172" s="122"/>
      <c r="IV172" s="122"/>
      <c r="IW172" s="122"/>
      <c r="IX172" s="122"/>
      <c r="IY172" s="122"/>
      <c r="IZ172" s="122"/>
      <c r="JA172" s="122"/>
      <c r="JB172" s="122"/>
      <c r="JC172" s="122"/>
      <c r="JD172" s="122"/>
      <c r="JE172" s="122"/>
      <c r="JF172" s="122"/>
      <c r="JG172" s="122"/>
      <c r="JH172" s="122"/>
      <c r="JI172" s="119">
        <f t="shared" si="2"/>
        <v>195000</v>
      </c>
      <c r="JJ172" s="379">
        <v>6214</v>
      </c>
      <c r="JK172" s="122"/>
      <c r="JL172" s="125"/>
      <c r="JM172" s="345"/>
      <c r="JN172" s="125"/>
      <c r="JO172" s="125"/>
      <c r="JP172" s="125"/>
    </row>
    <row r="173" spans="1:276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  <c r="AR173" s="122"/>
      <c r="AS173" s="122"/>
      <c r="AT173" s="122"/>
      <c r="AU173" s="122"/>
      <c r="AV173" s="122"/>
      <c r="AW173" s="122"/>
      <c r="AX173" s="122"/>
      <c r="AY173" s="122"/>
      <c r="AZ173" s="122"/>
      <c r="BA173" s="122"/>
      <c r="BB173" s="122"/>
      <c r="BC173" s="122"/>
      <c r="BD173" s="122"/>
      <c r="BE173" s="122"/>
      <c r="BF173" s="122"/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122"/>
      <c r="BS173" s="122"/>
      <c r="BT173" s="122"/>
      <c r="BU173" s="122"/>
      <c r="BV173" s="122"/>
      <c r="BW173" s="122"/>
      <c r="BX173" s="122"/>
      <c r="BY173" s="122"/>
      <c r="BZ173" s="122"/>
      <c r="CA173" s="122"/>
      <c r="CB173" s="122"/>
      <c r="CC173" s="122"/>
      <c r="CD173" s="122"/>
      <c r="CE173" s="122"/>
      <c r="CF173" s="122"/>
      <c r="CG173" s="122"/>
      <c r="CH173" s="122"/>
      <c r="CI173" s="122"/>
      <c r="CJ173" s="122"/>
      <c r="CK173" s="122"/>
      <c r="CL173" s="122"/>
      <c r="CM173" s="122"/>
      <c r="CN173" s="122"/>
      <c r="CO173" s="122"/>
      <c r="CP173" s="122"/>
      <c r="CQ173" s="122"/>
      <c r="CR173" s="122"/>
      <c r="CS173" s="122"/>
      <c r="CT173" s="122"/>
      <c r="CU173" s="122"/>
      <c r="CV173" s="122"/>
      <c r="CW173" s="122"/>
      <c r="CX173" s="122"/>
      <c r="CY173" s="122"/>
      <c r="CZ173" s="122"/>
      <c r="DA173" s="122"/>
      <c r="DB173" s="122"/>
      <c r="DC173" s="122"/>
      <c r="DD173" s="122"/>
      <c r="DE173" s="122"/>
      <c r="DF173" s="122"/>
      <c r="DG173" s="122"/>
      <c r="DH173" s="122"/>
      <c r="DI173" s="122"/>
      <c r="DJ173" s="122"/>
      <c r="DK173" s="122"/>
      <c r="DL173" s="122"/>
      <c r="DM173" s="122"/>
      <c r="DN173" s="122"/>
      <c r="DO173" s="122"/>
      <c r="DP173" s="122"/>
      <c r="DQ173" s="122"/>
      <c r="DR173" s="122"/>
      <c r="DS173" s="122"/>
      <c r="DT173" s="122"/>
      <c r="DU173" s="122"/>
      <c r="DV173" s="122"/>
      <c r="DW173" s="122"/>
      <c r="DX173" s="122"/>
      <c r="DY173" s="122"/>
      <c r="DZ173" s="122"/>
      <c r="EA173" s="122">
        <v>225000</v>
      </c>
      <c r="EB173" s="122"/>
      <c r="EC173" s="122"/>
      <c r="ED173" s="122"/>
      <c r="EE173" s="122"/>
      <c r="EF173" s="122"/>
      <c r="EG173" s="122"/>
      <c r="EH173" s="122"/>
      <c r="EI173" s="122"/>
      <c r="EJ173" s="122"/>
      <c r="EK173" s="122"/>
      <c r="EL173" s="122"/>
      <c r="EM173" s="122"/>
      <c r="EN173" s="122"/>
      <c r="EO173" s="122"/>
      <c r="EP173" s="122"/>
      <c r="EQ173" s="122"/>
      <c r="ER173" s="122"/>
      <c r="ES173" s="122"/>
      <c r="ET173" s="122"/>
      <c r="EU173" s="122"/>
      <c r="EV173" s="122"/>
      <c r="EW173" s="122"/>
      <c r="EX173" s="122"/>
      <c r="EY173" s="122"/>
      <c r="EZ173" s="122"/>
      <c r="FA173" s="122"/>
      <c r="FB173" s="122"/>
      <c r="FC173" s="122"/>
      <c r="FD173" s="122"/>
      <c r="FE173" s="122"/>
      <c r="FF173" s="122"/>
      <c r="FG173" s="122"/>
      <c r="FH173" s="122"/>
      <c r="FI173" s="122"/>
      <c r="FJ173" s="122"/>
      <c r="FK173" s="122"/>
      <c r="FL173" s="122"/>
      <c r="FM173" s="122"/>
      <c r="FN173" s="122"/>
      <c r="FO173" s="122"/>
      <c r="FP173" s="122"/>
      <c r="FQ173" s="122"/>
      <c r="FR173" s="122"/>
      <c r="FS173" s="122"/>
      <c r="FT173" s="122"/>
      <c r="FU173" s="122"/>
      <c r="FV173" s="122"/>
      <c r="FW173" s="122"/>
      <c r="FX173" s="122"/>
      <c r="FY173" s="122"/>
      <c r="FZ173" s="122"/>
      <c r="GA173" s="122"/>
      <c r="GB173" s="122"/>
      <c r="GC173" s="122"/>
      <c r="GD173" s="122"/>
      <c r="GE173" s="122"/>
      <c r="GF173" s="122"/>
      <c r="GG173" s="122"/>
      <c r="GH173" s="122"/>
      <c r="GI173" s="122"/>
      <c r="GJ173" s="122"/>
      <c r="GK173" s="122"/>
      <c r="GL173" s="122"/>
      <c r="GM173" s="122"/>
      <c r="GN173" s="122"/>
      <c r="GO173" s="122"/>
      <c r="GP173" s="122"/>
      <c r="GQ173" s="122"/>
      <c r="GR173" s="122"/>
      <c r="GS173" s="122"/>
      <c r="GT173" s="122"/>
      <c r="GU173" s="122"/>
      <c r="GV173" s="122"/>
      <c r="GW173" s="122"/>
      <c r="GX173" s="122"/>
      <c r="GY173" s="122"/>
      <c r="GZ173" s="122"/>
      <c r="HA173" s="122"/>
      <c r="HB173" s="122"/>
      <c r="HC173" s="122"/>
      <c r="HD173" s="122"/>
      <c r="HE173" s="122"/>
      <c r="HF173" s="122"/>
      <c r="HG173" s="122"/>
      <c r="HH173" s="122"/>
      <c r="HI173" s="122"/>
      <c r="HJ173" s="122"/>
      <c r="HK173" s="122"/>
      <c r="HL173" s="122"/>
      <c r="HM173" s="122"/>
      <c r="HN173" s="122"/>
      <c r="HO173" s="122"/>
      <c r="HP173" s="122"/>
      <c r="HQ173" s="122"/>
      <c r="HR173" s="122"/>
      <c r="HS173" s="122"/>
      <c r="HT173" s="122"/>
      <c r="HU173" s="122"/>
      <c r="HV173" s="122"/>
      <c r="HW173" s="122"/>
      <c r="HX173" s="122"/>
      <c r="HY173" s="122"/>
      <c r="HZ173" s="122"/>
      <c r="IA173" s="122"/>
      <c r="IB173" s="122"/>
      <c r="IC173" s="122"/>
      <c r="ID173" s="122"/>
      <c r="IE173" s="122"/>
      <c r="IF173" s="122"/>
      <c r="IG173" s="122"/>
      <c r="IH173" s="122"/>
      <c r="II173" s="122"/>
      <c r="IJ173" s="122"/>
      <c r="IK173" s="122"/>
      <c r="IL173" s="122"/>
      <c r="IM173" s="122"/>
      <c r="IN173" s="122"/>
      <c r="IO173" s="122"/>
      <c r="IP173" s="122"/>
      <c r="IQ173" s="122"/>
      <c r="IR173" s="122"/>
      <c r="IS173" s="122"/>
      <c r="IT173" s="122"/>
      <c r="IU173" s="122"/>
      <c r="IV173" s="122"/>
      <c r="IW173" s="122"/>
      <c r="IX173" s="122"/>
      <c r="IY173" s="122"/>
      <c r="IZ173" s="122"/>
      <c r="JA173" s="122"/>
      <c r="JB173" s="122"/>
      <c r="JC173" s="122"/>
      <c r="JD173" s="122"/>
      <c r="JE173" s="122"/>
      <c r="JF173" s="122"/>
      <c r="JG173" s="122"/>
      <c r="JH173" s="122"/>
      <c r="JI173" s="119">
        <f t="shared" si="2"/>
        <v>225000</v>
      </c>
      <c r="JJ173" s="379">
        <v>6218</v>
      </c>
      <c r="JK173" s="122"/>
      <c r="JL173" s="125"/>
      <c r="JM173" s="345"/>
      <c r="JN173" s="125"/>
      <c r="JO173" s="125"/>
      <c r="JP173" s="125"/>
    </row>
    <row r="174" spans="1:276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122"/>
      <c r="AQ174" s="122"/>
      <c r="AR174" s="122"/>
      <c r="AS174" s="122"/>
      <c r="AT174" s="122"/>
      <c r="AU174" s="122"/>
      <c r="AV174" s="122"/>
      <c r="AW174" s="122"/>
      <c r="AX174" s="122"/>
      <c r="AY174" s="122"/>
      <c r="AZ174" s="122"/>
      <c r="BA174" s="122"/>
      <c r="BB174" s="122"/>
      <c r="BC174" s="122"/>
      <c r="BD174" s="122"/>
      <c r="BE174" s="122"/>
      <c r="BF174" s="122"/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122"/>
      <c r="BS174" s="122"/>
      <c r="BT174" s="122"/>
      <c r="BU174" s="122"/>
      <c r="BV174" s="122"/>
      <c r="BW174" s="122"/>
      <c r="BX174" s="122"/>
      <c r="BY174" s="122"/>
      <c r="BZ174" s="122"/>
      <c r="CA174" s="122"/>
      <c r="CB174" s="122"/>
      <c r="CC174" s="122"/>
      <c r="CD174" s="122"/>
      <c r="CE174" s="122"/>
      <c r="CF174" s="122"/>
      <c r="CG174" s="122"/>
      <c r="CH174" s="122"/>
      <c r="CI174" s="122"/>
      <c r="CJ174" s="122"/>
      <c r="CK174" s="122"/>
      <c r="CL174" s="122"/>
      <c r="CM174" s="122"/>
      <c r="CN174" s="122"/>
      <c r="CO174" s="122"/>
      <c r="CP174" s="122"/>
      <c r="CQ174" s="122"/>
      <c r="CR174" s="122"/>
      <c r="CS174" s="122"/>
      <c r="CT174" s="122"/>
      <c r="CU174" s="122"/>
      <c r="CV174" s="122"/>
      <c r="CW174" s="122"/>
      <c r="CX174" s="122"/>
      <c r="CY174" s="122"/>
      <c r="CZ174" s="122"/>
      <c r="DA174" s="122"/>
      <c r="DB174" s="122"/>
      <c r="DC174" s="122"/>
      <c r="DD174" s="122"/>
      <c r="DE174" s="122"/>
      <c r="DF174" s="122"/>
      <c r="DG174" s="122"/>
      <c r="DH174" s="122"/>
      <c r="DI174" s="122"/>
      <c r="DJ174" s="122"/>
      <c r="DK174" s="122"/>
      <c r="DL174" s="122"/>
      <c r="DM174" s="122"/>
      <c r="DN174" s="122"/>
      <c r="DO174" s="122"/>
      <c r="DP174" s="122"/>
      <c r="DQ174" s="122"/>
      <c r="DR174" s="122"/>
      <c r="DS174" s="122"/>
      <c r="DT174" s="122"/>
      <c r="DU174" s="122"/>
      <c r="DV174" s="122"/>
      <c r="DW174" s="122"/>
      <c r="DX174" s="122"/>
      <c r="DY174" s="122"/>
      <c r="DZ174" s="122"/>
      <c r="EA174" s="122"/>
      <c r="EB174" s="122"/>
      <c r="EC174" s="122"/>
      <c r="ED174" s="122"/>
      <c r="EE174" s="122"/>
      <c r="EF174" s="122"/>
      <c r="EG174" s="122"/>
      <c r="EH174" s="122"/>
      <c r="EI174" s="122"/>
      <c r="EJ174" s="122"/>
      <c r="EK174" s="122"/>
      <c r="EL174" s="122"/>
      <c r="EM174" s="122"/>
      <c r="EN174" s="122"/>
      <c r="EO174" s="122"/>
      <c r="EP174" s="122"/>
      <c r="EQ174" s="122"/>
      <c r="ER174" s="122"/>
      <c r="ES174" s="122"/>
      <c r="ET174" s="122"/>
      <c r="EU174" s="122"/>
      <c r="EV174" s="122"/>
      <c r="EW174" s="122"/>
      <c r="EX174" s="122"/>
      <c r="EY174" s="122"/>
      <c r="EZ174" s="122"/>
      <c r="FA174" s="122"/>
      <c r="FB174" s="122"/>
      <c r="FC174" s="122"/>
      <c r="FD174" s="122"/>
      <c r="FE174" s="122"/>
      <c r="FF174" s="122"/>
      <c r="FG174" s="122"/>
      <c r="FH174" s="122"/>
      <c r="FI174" s="122"/>
      <c r="FJ174" s="122"/>
      <c r="FK174" s="122"/>
      <c r="FL174" s="122"/>
      <c r="FM174" s="122"/>
      <c r="FN174" s="122"/>
      <c r="FO174" s="122"/>
      <c r="FP174" s="122"/>
      <c r="FQ174" s="122"/>
      <c r="FR174" s="122"/>
      <c r="FS174" s="122"/>
      <c r="FT174" s="122">
        <v>123900</v>
      </c>
      <c r="FU174" s="122"/>
      <c r="FV174" s="122"/>
      <c r="FW174" s="122"/>
      <c r="FX174" s="122"/>
      <c r="FY174" s="122"/>
      <c r="FZ174" s="122"/>
      <c r="GA174" s="122"/>
      <c r="GB174" s="122"/>
      <c r="GC174" s="122"/>
      <c r="GD174" s="122"/>
      <c r="GE174" s="122"/>
      <c r="GF174" s="122"/>
      <c r="GG174" s="122"/>
      <c r="GH174" s="122"/>
      <c r="GI174" s="122"/>
      <c r="GJ174" s="122"/>
      <c r="GK174" s="122"/>
      <c r="GL174" s="122"/>
      <c r="GM174" s="122"/>
      <c r="GN174" s="122"/>
      <c r="GO174" s="122"/>
      <c r="GP174" s="122"/>
      <c r="GQ174" s="122"/>
      <c r="GR174" s="122"/>
      <c r="GS174" s="122"/>
      <c r="GT174" s="122"/>
      <c r="GU174" s="122"/>
      <c r="GV174" s="122"/>
      <c r="GW174" s="122"/>
      <c r="GX174" s="122"/>
      <c r="GY174" s="122"/>
      <c r="GZ174" s="122"/>
      <c r="HA174" s="122"/>
      <c r="HB174" s="122"/>
      <c r="HC174" s="122"/>
      <c r="HD174" s="122"/>
      <c r="HE174" s="122"/>
      <c r="HF174" s="122"/>
      <c r="HG174" s="122"/>
      <c r="HH174" s="122"/>
      <c r="HI174" s="122"/>
      <c r="HJ174" s="122"/>
      <c r="HK174" s="122"/>
      <c r="HL174" s="122"/>
      <c r="HM174" s="122"/>
      <c r="HN174" s="122"/>
      <c r="HO174" s="122"/>
      <c r="HP174" s="122"/>
      <c r="HQ174" s="122"/>
      <c r="HR174" s="122"/>
      <c r="HS174" s="122"/>
      <c r="HT174" s="122"/>
      <c r="HU174" s="122"/>
      <c r="HV174" s="122"/>
      <c r="HW174" s="122"/>
      <c r="HX174" s="122"/>
      <c r="HY174" s="122"/>
      <c r="HZ174" s="122"/>
      <c r="IA174" s="122"/>
      <c r="IB174" s="122"/>
      <c r="IC174" s="122"/>
      <c r="ID174" s="122"/>
      <c r="IE174" s="122"/>
      <c r="IF174" s="122"/>
      <c r="IG174" s="122"/>
      <c r="IH174" s="122"/>
      <c r="II174" s="122"/>
      <c r="IJ174" s="122"/>
      <c r="IK174" s="122"/>
      <c r="IL174" s="122"/>
      <c r="IM174" s="122"/>
      <c r="IN174" s="122"/>
      <c r="IO174" s="122"/>
      <c r="IP174" s="122"/>
      <c r="IQ174" s="122"/>
      <c r="IR174" s="122"/>
      <c r="IS174" s="122"/>
      <c r="IT174" s="122"/>
      <c r="IU174" s="122"/>
      <c r="IV174" s="122"/>
      <c r="IW174" s="122"/>
      <c r="IX174" s="122"/>
      <c r="IY174" s="122"/>
      <c r="IZ174" s="122"/>
      <c r="JA174" s="122"/>
      <c r="JB174" s="122"/>
      <c r="JC174" s="122"/>
      <c r="JD174" s="122"/>
      <c r="JE174" s="122"/>
      <c r="JF174" s="122"/>
      <c r="JG174" s="122"/>
      <c r="JH174" s="122"/>
      <c r="JI174" s="119">
        <f t="shared" si="2"/>
        <v>123900</v>
      </c>
      <c r="JJ174" s="379">
        <v>6223</v>
      </c>
      <c r="JK174" s="122"/>
      <c r="JL174" s="125"/>
      <c r="JM174" s="345"/>
      <c r="JN174" s="125"/>
      <c r="JO174" s="125"/>
      <c r="JP174" s="125"/>
    </row>
    <row r="175" spans="1:276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2"/>
      <c r="AU175" s="122"/>
      <c r="AV175" s="122"/>
      <c r="AW175" s="122"/>
      <c r="AX175" s="122"/>
      <c r="AY175" s="122"/>
      <c r="AZ175" s="122"/>
      <c r="BA175" s="122"/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122"/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2"/>
      <c r="CI175" s="122"/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2"/>
      <c r="CZ175" s="122"/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2"/>
      <c r="DQ175" s="122"/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2"/>
      <c r="EH175" s="122"/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2"/>
      <c r="EY175" s="122"/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2"/>
      <c r="FP175" s="122"/>
      <c r="FQ175" s="122"/>
      <c r="FR175" s="122"/>
      <c r="FS175" s="122"/>
      <c r="FT175" s="122">
        <v>743400</v>
      </c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2"/>
      <c r="GG175" s="122"/>
      <c r="GH175" s="122"/>
      <c r="GI175" s="122"/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2"/>
      <c r="GX175" s="122"/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2"/>
      <c r="HO175" s="122"/>
      <c r="HP175" s="122"/>
      <c r="HQ175" s="122"/>
      <c r="HR175" s="122"/>
      <c r="HS175" s="122"/>
      <c r="HT175" s="122"/>
      <c r="HU175" s="122"/>
      <c r="HV175" s="122"/>
      <c r="HW175" s="122"/>
      <c r="HX175" s="122"/>
      <c r="HY175" s="122"/>
      <c r="HZ175" s="122"/>
      <c r="IA175" s="122"/>
      <c r="IB175" s="122"/>
      <c r="IC175" s="122"/>
      <c r="ID175" s="122"/>
      <c r="IE175" s="122"/>
      <c r="IF175" s="122"/>
      <c r="IG175" s="122"/>
      <c r="IH175" s="122"/>
      <c r="II175" s="122"/>
      <c r="IJ175" s="122"/>
      <c r="IK175" s="122"/>
      <c r="IL175" s="122"/>
      <c r="IM175" s="122"/>
      <c r="IN175" s="122"/>
      <c r="IO175" s="122"/>
      <c r="IP175" s="122"/>
      <c r="IQ175" s="122"/>
      <c r="IR175" s="122"/>
      <c r="IS175" s="122"/>
      <c r="IT175" s="122"/>
      <c r="IU175" s="122"/>
      <c r="IV175" s="122"/>
      <c r="IW175" s="122"/>
      <c r="IX175" s="122"/>
      <c r="IY175" s="122"/>
      <c r="IZ175" s="122"/>
      <c r="JA175" s="122"/>
      <c r="JB175" s="122"/>
      <c r="JC175" s="122"/>
      <c r="JD175" s="122"/>
      <c r="JE175" s="122"/>
      <c r="JF175" s="122"/>
      <c r="JG175" s="122"/>
      <c r="JH175" s="122"/>
      <c r="JI175" s="119">
        <f t="shared" si="2"/>
        <v>743400</v>
      </c>
      <c r="JJ175" s="379">
        <v>6227</v>
      </c>
      <c r="JK175" s="122"/>
      <c r="JL175" s="125"/>
      <c r="JM175" s="345"/>
      <c r="JN175" s="125"/>
      <c r="JO175" s="125"/>
      <c r="JP175" s="125"/>
    </row>
    <row r="176" spans="1:2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2"/>
      <c r="AU176" s="122"/>
      <c r="AV176" s="122"/>
      <c r="AW176" s="122"/>
      <c r="AX176" s="122"/>
      <c r="AY176" s="122"/>
      <c r="AZ176" s="122"/>
      <c r="BA176" s="122"/>
      <c r="BB176" s="122"/>
      <c r="BC176" s="122"/>
      <c r="BD176" s="122"/>
      <c r="BE176" s="122"/>
      <c r="BF176" s="122"/>
      <c r="BG176" s="122"/>
      <c r="BH176" s="122"/>
      <c r="BI176" s="122"/>
      <c r="BJ176" s="122"/>
      <c r="BK176" s="122"/>
      <c r="BL176" s="122"/>
      <c r="BM176" s="122"/>
      <c r="BN176" s="122"/>
      <c r="BO176" s="122"/>
      <c r="BP176" s="122"/>
      <c r="BQ176" s="122"/>
      <c r="BR176" s="122"/>
      <c r="BS176" s="122"/>
      <c r="BT176" s="122"/>
      <c r="BU176" s="122"/>
      <c r="BV176" s="122"/>
      <c r="BW176" s="122"/>
      <c r="BX176" s="122"/>
      <c r="BY176" s="122"/>
      <c r="BZ176" s="122"/>
      <c r="CA176" s="122"/>
      <c r="CB176" s="122"/>
      <c r="CC176" s="122"/>
      <c r="CD176" s="122"/>
      <c r="CE176" s="122"/>
      <c r="CF176" s="122"/>
      <c r="CG176" s="122"/>
      <c r="CH176" s="122"/>
      <c r="CI176" s="122"/>
      <c r="CJ176" s="122"/>
      <c r="CK176" s="122"/>
      <c r="CL176" s="122"/>
      <c r="CM176" s="122"/>
      <c r="CN176" s="122"/>
      <c r="CO176" s="122"/>
      <c r="CP176" s="122"/>
      <c r="CQ176" s="122"/>
      <c r="CR176" s="122"/>
      <c r="CS176" s="122"/>
      <c r="CT176" s="122"/>
      <c r="CU176" s="122"/>
      <c r="CV176" s="122"/>
      <c r="CW176" s="122"/>
      <c r="CX176" s="122"/>
      <c r="CY176" s="122"/>
      <c r="CZ176" s="122"/>
      <c r="DA176" s="122"/>
      <c r="DB176" s="122"/>
      <c r="DC176" s="122"/>
      <c r="DD176" s="122"/>
      <c r="DE176" s="122"/>
      <c r="DF176" s="122"/>
      <c r="DG176" s="122"/>
      <c r="DH176" s="122"/>
      <c r="DI176" s="122"/>
      <c r="DJ176" s="122"/>
      <c r="DK176" s="122"/>
      <c r="DL176" s="122"/>
      <c r="DM176" s="122"/>
      <c r="DN176" s="122"/>
      <c r="DO176" s="122"/>
      <c r="DP176" s="122"/>
      <c r="DQ176" s="122"/>
      <c r="DR176" s="122"/>
      <c r="DS176" s="122"/>
      <c r="DT176" s="122"/>
      <c r="DU176" s="122"/>
      <c r="DV176" s="122"/>
      <c r="DW176" s="122"/>
      <c r="DX176" s="122"/>
      <c r="DY176" s="122"/>
      <c r="DZ176" s="122"/>
      <c r="EA176" s="122"/>
      <c r="EB176" s="122"/>
      <c r="EC176" s="122"/>
      <c r="ED176" s="122"/>
      <c r="EE176" s="122"/>
      <c r="EF176" s="122"/>
      <c r="EG176" s="122"/>
      <c r="EH176" s="122"/>
      <c r="EI176" s="122"/>
      <c r="EJ176" s="122"/>
      <c r="EK176" s="122"/>
      <c r="EL176" s="122"/>
      <c r="EM176" s="122"/>
      <c r="EN176" s="122"/>
      <c r="EO176" s="122"/>
      <c r="EP176" s="122"/>
      <c r="EQ176" s="122"/>
      <c r="ER176" s="122"/>
      <c r="ES176" s="122"/>
      <c r="ET176" s="122"/>
      <c r="EU176" s="122"/>
      <c r="EV176" s="122"/>
      <c r="EW176" s="122"/>
      <c r="EX176" s="122"/>
      <c r="EY176" s="122"/>
      <c r="EZ176" s="122"/>
      <c r="FA176" s="122"/>
      <c r="FB176" s="122"/>
      <c r="FC176" s="122"/>
      <c r="FD176" s="122"/>
      <c r="FE176" s="122"/>
      <c r="FF176" s="122"/>
      <c r="FG176" s="122"/>
      <c r="FH176" s="122"/>
      <c r="FI176" s="122"/>
      <c r="FJ176" s="122"/>
      <c r="FK176" s="122"/>
      <c r="FL176" s="122"/>
      <c r="FM176" s="122"/>
      <c r="FN176" s="122"/>
      <c r="FO176" s="122"/>
      <c r="FP176" s="122"/>
      <c r="FQ176" s="122"/>
      <c r="FR176" s="122"/>
      <c r="FS176" s="122"/>
      <c r="FT176" s="122"/>
      <c r="FU176" s="122"/>
      <c r="FV176" s="122"/>
      <c r="FW176" s="122"/>
      <c r="FX176" s="122"/>
      <c r="FY176" s="122"/>
      <c r="FZ176" s="122"/>
      <c r="GA176" s="122"/>
      <c r="GB176" s="122"/>
      <c r="GC176" s="122"/>
      <c r="GD176" s="122"/>
      <c r="GE176" s="122"/>
      <c r="GF176" s="122"/>
      <c r="GG176" s="122"/>
      <c r="GH176" s="122"/>
      <c r="GI176" s="122"/>
      <c r="GJ176" s="122"/>
      <c r="GK176" s="122"/>
      <c r="GL176" s="122"/>
      <c r="GM176" s="122"/>
      <c r="GN176" s="122"/>
      <c r="GO176" s="122"/>
      <c r="GP176" s="122"/>
      <c r="GQ176" s="122">
        <v>1575000</v>
      </c>
      <c r="GR176" s="122"/>
      <c r="GS176" s="122"/>
      <c r="GT176" s="122"/>
      <c r="GU176" s="122"/>
      <c r="GV176" s="122"/>
      <c r="GW176" s="122"/>
      <c r="GX176" s="122"/>
      <c r="GY176" s="122"/>
      <c r="GZ176" s="122"/>
      <c r="HA176" s="122"/>
      <c r="HB176" s="122"/>
      <c r="HC176" s="122"/>
      <c r="HD176" s="122"/>
      <c r="HE176" s="122"/>
      <c r="HF176" s="122"/>
      <c r="HG176" s="122"/>
      <c r="HH176" s="122"/>
      <c r="HI176" s="122"/>
      <c r="HJ176" s="122"/>
      <c r="HK176" s="122"/>
      <c r="HL176" s="122"/>
      <c r="HM176" s="122"/>
      <c r="HN176" s="122"/>
      <c r="HO176" s="122"/>
      <c r="HP176" s="122"/>
      <c r="HQ176" s="122"/>
      <c r="HR176" s="122"/>
      <c r="HS176" s="122"/>
      <c r="HT176" s="122"/>
      <c r="HU176" s="122"/>
      <c r="HV176" s="122"/>
      <c r="HW176" s="122"/>
      <c r="HX176" s="122"/>
      <c r="HY176" s="122"/>
      <c r="HZ176" s="122"/>
      <c r="IA176" s="122"/>
      <c r="IB176" s="122"/>
      <c r="IC176" s="122"/>
      <c r="ID176" s="122"/>
      <c r="IE176" s="122"/>
      <c r="IF176" s="122"/>
      <c r="IG176" s="122"/>
      <c r="IH176" s="122"/>
      <c r="II176" s="122"/>
      <c r="IJ176" s="122"/>
      <c r="IK176" s="122"/>
      <c r="IL176" s="122"/>
      <c r="IM176" s="122"/>
      <c r="IN176" s="122"/>
      <c r="IO176" s="122"/>
      <c r="IP176" s="122"/>
      <c r="IQ176" s="122"/>
      <c r="IR176" s="122"/>
      <c r="IS176" s="122"/>
      <c r="IT176" s="122"/>
      <c r="IU176" s="122"/>
      <c r="IV176" s="122"/>
      <c r="IW176" s="122"/>
      <c r="IX176" s="122"/>
      <c r="IY176" s="122"/>
      <c r="IZ176" s="122"/>
      <c r="JA176" s="122"/>
      <c r="JB176" s="122"/>
      <c r="JC176" s="122"/>
      <c r="JD176" s="122"/>
      <c r="JE176" s="122"/>
      <c r="JF176" s="122"/>
      <c r="JG176" s="122"/>
      <c r="JH176" s="122"/>
      <c r="JI176" s="119">
        <f t="shared" si="2"/>
        <v>1575000</v>
      </c>
      <c r="JJ176" s="379">
        <v>6232</v>
      </c>
      <c r="JK176" s="122"/>
      <c r="JL176" s="125"/>
      <c r="JM176" s="345"/>
      <c r="JN176" s="125"/>
      <c r="JO176" s="125"/>
      <c r="JP176" s="125"/>
    </row>
    <row r="177" spans="1:276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s="122"/>
      <c r="AV177" s="122"/>
      <c r="AW177" s="122"/>
      <c r="AX177" s="122"/>
      <c r="AY177" s="122"/>
      <c r="AZ177" s="122"/>
      <c r="BA177" s="122"/>
      <c r="BB177" s="122"/>
      <c r="BC177" s="122"/>
      <c r="BD177" s="122"/>
      <c r="BE177" s="122"/>
      <c r="BF177" s="122"/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122"/>
      <c r="BS177" s="122"/>
      <c r="BT177" s="122"/>
      <c r="BU177" s="122"/>
      <c r="BV177" s="122"/>
      <c r="BW177" s="122"/>
      <c r="BX177" s="122"/>
      <c r="BY177" s="122"/>
      <c r="BZ177" s="122"/>
      <c r="CA177" s="122"/>
      <c r="CB177" s="122"/>
      <c r="CC177" s="122"/>
      <c r="CD177" s="122"/>
      <c r="CE177" s="122"/>
      <c r="CF177" s="122"/>
      <c r="CG177" s="122"/>
      <c r="CH177" s="122"/>
      <c r="CI177" s="122"/>
      <c r="CJ177" s="122"/>
      <c r="CK177" s="122"/>
      <c r="CL177" s="122"/>
      <c r="CM177" s="122"/>
      <c r="CN177" s="122"/>
      <c r="CO177" s="122"/>
      <c r="CP177" s="122"/>
      <c r="CQ177" s="122"/>
      <c r="CR177" s="122"/>
      <c r="CS177" s="122"/>
      <c r="CT177" s="122"/>
      <c r="CU177" s="122"/>
      <c r="CV177" s="122"/>
      <c r="CW177" s="122"/>
      <c r="CX177" s="122"/>
      <c r="CY177" s="122"/>
      <c r="CZ177" s="122"/>
      <c r="DA177" s="122"/>
      <c r="DB177" s="122"/>
      <c r="DC177" s="122"/>
      <c r="DD177" s="122"/>
      <c r="DE177" s="122"/>
      <c r="DF177" s="122"/>
      <c r="DG177" s="122"/>
      <c r="DH177" s="122"/>
      <c r="DI177" s="122"/>
      <c r="DJ177" s="122"/>
      <c r="DK177" s="122"/>
      <c r="DL177" s="122"/>
      <c r="DM177" s="122"/>
      <c r="DN177" s="122"/>
      <c r="DO177" s="122"/>
      <c r="DP177" s="122"/>
      <c r="DQ177" s="122"/>
      <c r="DR177" s="122"/>
      <c r="DS177" s="122"/>
      <c r="DT177" s="122"/>
      <c r="DU177" s="122"/>
      <c r="DV177" s="122"/>
      <c r="DW177" s="122"/>
      <c r="DX177" s="122"/>
      <c r="DY177" s="122"/>
      <c r="DZ177" s="122"/>
      <c r="EA177" s="122"/>
      <c r="EB177" s="122"/>
      <c r="EC177" s="122"/>
      <c r="ED177" s="122"/>
      <c r="EE177" s="122"/>
      <c r="EF177" s="122"/>
      <c r="EG177" s="122"/>
      <c r="EH177" s="122"/>
      <c r="EI177" s="122"/>
      <c r="EJ177" s="122"/>
      <c r="EK177" s="122"/>
      <c r="EL177" s="122"/>
      <c r="EM177" s="122"/>
      <c r="EN177" s="122"/>
      <c r="EO177" s="122"/>
      <c r="EP177" s="122"/>
      <c r="EQ177" s="122"/>
      <c r="ER177" s="122"/>
      <c r="ES177" s="122"/>
      <c r="ET177" s="122"/>
      <c r="EU177" s="122"/>
      <c r="EV177" s="122"/>
      <c r="EW177" s="122"/>
      <c r="EX177" s="122"/>
      <c r="EY177" s="122"/>
      <c r="EZ177" s="122"/>
      <c r="FA177" s="122"/>
      <c r="FB177" s="122"/>
      <c r="FC177" s="122"/>
      <c r="FD177" s="122"/>
      <c r="FE177" s="122"/>
      <c r="FF177" s="122"/>
      <c r="FG177" s="122"/>
      <c r="FH177" s="122"/>
      <c r="FI177" s="122"/>
      <c r="FJ177" s="122"/>
      <c r="FK177" s="122"/>
      <c r="FL177" s="122"/>
      <c r="FM177" s="122"/>
      <c r="FN177" s="122"/>
      <c r="FO177" s="122"/>
      <c r="FP177" s="122"/>
      <c r="FQ177" s="122"/>
      <c r="FR177" s="122"/>
      <c r="FS177" s="122"/>
      <c r="FT177" s="122"/>
      <c r="FU177" s="122"/>
      <c r="FV177" s="122"/>
      <c r="FW177" s="122"/>
      <c r="FX177" s="122"/>
      <c r="FY177" s="122"/>
      <c r="FZ177" s="122"/>
      <c r="GA177" s="122"/>
      <c r="GB177" s="122"/>
      <c r="GC177" s="122"/>
      <c r="GD177" s="122"/>
      <c r="GE177" s="122"/>
      <c r="GF177" s="122"/>
      <c r="GG177" s="122"/>
      <c r="GH177" s="122"/>
      <c r="GI177" s="122"/>
      <c r="GJ177" s="122"/>
      <c r="GK177" s="122"/>
      <c r="GL177" s="122"/>
      <c r="GM177" s="122"/>
      <c r="GN177" s="122"/>
      <c r="GO177" s="122"/>
      <c r="GP177" s="122"/>
      <c r="GQ177" s="122">
        <v>1575000</v>
      </c>
      <c r="GR177" s="122"/>
      <c r="GS177" s="122"/>
      <c r="GT177" s="122"/>
      <c r="GU177" s="122"/>
      <c r="GV177" s="122"/>
      <c r="GW177" s="122"/>
      <c r="GX177" s="122"/>
      <c r="GY177" s="122"/>
      <c r="GZ177" s="122"/>
      <c r="HA177" s="122"/>
      <c r="HB177" s="122"/>
      <c r="HC177" s="122"/>
      <c r="HD177" s="122"/>
      <c r="HE177" s="122"/>
      <c r="HF177" s="122"/>
      <c r="HG177" s="122"/>
      <c r="HH177" s="122"/>
      <c r="HI177" s="122"/>
      <c r="HJ177" s="122"/>
      <c r="HK177" s="122"/>
      <c r="HL177" s="122"/>
      <c r="HM177" s="122"/>
      <c r="HN177" s="122"/>
      <c r="HO177" s="122"/>
      <c r="HP177" s="122"/>
      <c r="HQ177" s="122"/>
      <c r="HR177" s="122"/>
      <c r="HS177" s="122"/>
      <c r="HT177" s="122"/>
      <c r="HU177" s="122"/>
      <c r="HV177" s="122"/>
      <c r="HW177" s="122"/>
      <c r="HX177" s="122"/>
      <c r="HY177" s="122"/>
      <c r="HZ177" s="122"/>
      <c r="IA177" s="122"/>
      <c r="IB177" s="122"/>
      <c r="IC177" s="122"/>
      <c r="ID177" s="122"/>
      <c r="IE177" s="122"/>
      <c r="IF177" s="122"/>
      <c r="IG177" s="122"/>
      <c r="IH177" s="122"/>
      <c r="II177" s="122"/>
      <c r="IJ177" s="122"/>
      <c r="IK177" s="122"/>
      <c r="IL177" s="122"/>
      <c r="IM177" s="122"/>
      <c r="IN177" s="122"/>
      <c r="IO177" s="122"/>
      <c r="IP177" s="122"/>
      <c r="IQ177" s="122"/>
      <c r="IR177" s="122"/>
      <c r="IS177" s="122"/>
      <c r="IT177" s="122"/>
      <c r="IU177" s="122"/>
      <c r="IV177" s="122"/>
      <c r="IW177" s="122"/>
      <c r="IX177" s="122"/>
      <c r="IY177" s="122"/>
      <c r="IZ177" s="122"/>
      <c r="JA177" s="122"/>
      <c r="JB177" s="122"/>
      <c r="JC177" s="122"/>
      <c r="JD177" s="122"/>
      <c r="JE177" s="122"/>
      <c r="JF177" s="122"/>
      <c r="JG177" s="122"/>
      <c r="JH177" s="122"/>
      <c r="JI177" s="119">
        <f t="shared" si="2"/>
        <v>1575000</v>
      </c>
      <c r="JJ177" s="379">
        <v>6236</v>
      </c>
      <c r="JK177" s="122"/>
      <c r="JL177" s="125"/>
      <c r="JM177" s="345"/>
      <c r="JN177" s="125"/>
      <c r="JO177" s="125"/>
      <c r="JP177" s="125"/>
    </row>
    <row r="178" spans="1:276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22"/>
      <c r="AS178" s="122"/>
      <c r="AT178" s="122"/>
      <c r="AU178" s="122"/>
      <c r="AV178" s="122"/>
      <c r="AW178" s="122"/>
      <c r="AX178" s="122"/>
      <c r="AY178" s="122"/>
      <c r="AZ178" s="122"/>
      <c r="BA178" s="122"/>
      <c r="BB178" s="122"/>
      <c r="BC178" s="122"/>
      <c r="BD178" s="122"/>
      <c r="BE178" s="122"/>
      <c r="BF178" s="122"/>
      <c r="BG178" s="122"/>
      <c r="BH178" s="122"/>
      <c r="BI178" s="122"/>
      <c r="BJ178" s="122"/>
      <c r="BK178" s="122"/>
      <c r="BL178" s="122"/>
      <c r="BM178" s="122"/>
      <c r="BN178" s="122"/>
      <c r="BO178" s="122"/>
      <c r="BP178" s="122"/>
      <c r="BQ178" s="122"/>
      <c r="BR178" s="122"/>
      <c r="BS178" s="122"/>
      <c r="BT178" s="122"/>
      <c r="BU178" s="122"/>
      <c r="BV178" s="122"/>
      <c r="BW178" s="122">
        <v>1566377.06</v>
      </c>
      <c r="BX178" s="122"/>
      <c r="BY178" s="122"/>
      <c r="BZ178" s="122"/>
      <c r="CA178" s="122"/>
      <c r="CB178" s="122"/>
      <c r="CC178" s="122"/>
      <c r="CD178" s="122"/>
      <c r="CE178" s="122"/>
      <c r="CF178" s="122"/>
      <c r="CG178" s="122"/>
      <c r="CH178" s="122"/>
      <c r="CI178" s="122"/>
      <c r="CJ178" s="122"/>
      <c r="CK178" s="122"/>
      <c r="CL178" s="122"/>
      <c r="CM178" s="122"/>
      <c r="CN178" s="122"/>
      <c r="CO178" s="122"/>
      <c r="CP178" s="122"/>
      <c r="CQ178" s="122"/>
      <c r="CR178" s="122"/>
      <c r="CS178" s="122"/>
      <c r="CT178" s="122"/>
      <c r="CU178" s="122"/>
      <c r="CV178" s="122"/>
      <c r="CW178" s="122"/>
      <c r="CX178" s="122"/>
      <c r="CY178" s="122"/>
      <c r="CZ178" s="122"/>
      <c r="DA178" s="122"/>
      <c r="DB178" s="122"/>
      <c r="DC178" s="122"/>
      <c r="DD178" s="122"/>
      <c r="DE178" s="122"/>
      <c r="DF178" s="122"/>
      <c r="DG178" s="122"/>
      <c r="DH178" s="122"/>
      <c r="DI178" s="122"/>
      <c r="DJ178" s="122"/>
      <c r="DK178" s="122"/>
      <c r="DL178" s="122"/>
      <c r="DM178" s="122"/>
      <c r="DN178" s="122"/>
      <c r="DO178" s="122"/>
      <c r="DP178" s="122"/>
      <c r="DQ178" s="122"/>
      <c r="DR178" s="122"/>
      <c r="DS178" s="122"/>
      <c r="DT178" s="122"/>
      <c r="DU178" s="122"/>
      <c r="DV178" s="122"/>
      <c r="DW178" s="122"/>
      <c r="DX178" s="122"/>
      <c r="DY178" s="122"/>
      <c r="DZ178" s="122"/>
      <c r="EA178" s="122"/>
      <c r="EB178" s="122"/>
      <c r="EC178" s="122"/>
      <c r="ED178" s="122"/>
      <c r="EE178" s="122"/>
      <c r="EF178" s="122"/>
      <c r="EG178" s="122"/>
      <c r="EH178" s="122"/>
      <c r="EI178" s="122"/>
      <c r="EJ178" s="122"/>
      <c r="EK178" s="122"/>
      <c r="EL178" s="122"/>
      <c r="EM178" s="122"/>
      <c r="EN178" s="122"/>
      <c r="EO178" s="122"/>
      <c r="EP178" s="122"/>
      <c r="EQ178" s="122"/>
      <c r="ER178" s="122"/>
      <c r="ES178" s="122"/>
      <c r="ET178" s="122"/>
      <c r="EU178" s="122"/>
      <c r="EV178" s="122"/>
      <c r="EW178" s="122"/>
      <c r="EX178" s="122"/>
      <c r="EY178" s="122"/>
      <c r="EZ178" s="122"/>
      <c r="FA178" s="122"/>
      <c r="FB178" s="122"/>
      <c r="FC178" s="122"/>
      <c r="FD178" s="122"/>
      <c r="FE178" s="122"/>
      <c r="FF178" s="122"/>
      <c r="FG178" s="122"/>
      <c r="FH178" s="122"/>
      <c r="FI178" s="122"/>
      <c r="FJ178" s="122"/>
      <c r="FK178" s="122"/>
      <c r="FL178" s="122"/>
      <c r="FM178" s="122"/>
      <c r="FN178" s="122"/>
      <c r="FO178" s="122"/>
      <c r="FP178" s="122"/>
      <c r="FQ178" s="122"/>
      <c r="FR178" s="122"/>
      <c r="FS178" s="122"/>
      <c r="FT178" s="122"/>
      <c r="FU178" s="122"/>
      <c r="FV178" s="122"/>
      <c r="FW178" s="122"/>
      <c r="FX178" s="122"/>
      <c r="FY178" s="122"/>
      <c r="FZ178" s="122"/>
      <c r="GA178" s="122"/>
      <c r="GB178" s="122"/>
      <c r="GC178" s="122"/>
      <c r="GD178" s="122"/>
      <c r="GE178" s="122"/>
      <c r="GF178" s="122"/>
      <c r="GG178" s="122"/>
      <c r="GH178" s="122"/>
      <c r="GI178" s="122"/>
      <c r="GJ178" s="122"/>
      <c r="GK178" s="122"/>
      <c r="GL178" s="122"/>
      <c r="GM178" s="122"/>
      <c r="GN178" s="122"/>
      <c r="GO178" s="122"/>
      <c r="GP178" s="122"/>
      <c r="GQ178" s="122"/>
      <c r="GR178" s="122"/>
      <c r="GS178" s="122"/>
      <c r="GT178" s="122"/>
      <c r="GU178" s="122"/>
      <c r="GV178" s="122"/>
      <c r="GW178" s="122"/>
      <c r="GX178" s="122"/>
      <c r="GY178" s="122"/>
      <c r="GZ178" s="122"/>
      <c r="HA178" s="122"/>
      <c r="HB178" s="122"/>
      <c r="HC178" s="122"/>
      <c r="HD178" s="122"/>
      <c r="HE178" s="122"/>
      <c r="HF178" s="122"/>
      <c r="HG178" s="122"/>
      <c r="HH178" s="122"/>
      <c r="HI178" s="122"/>
      <c r="HJ178" s="122"/>
      <c r="HK178" s="122"/>
      <c r="HL178" s="122"/>
      <c r="HM178" s="122"/>
      <c r="HN178" s="122"/>
      <c r="HO178" s="122"/>
      <c r="HP178" s="122"/>
      <c r="HQ178" s="122"/>
      <c r="HR178" s="122"/>
      <c r="HS178" s="122"/>
      <c r="HT178" s="122"/>
      <c r="HU178" s="122"/>
      <c r="HV178" s="122"/>
      <c r="HW178" s="122"/>
      <c r="HX178" s="122"/>
      <c r="HY178" s="122"/>
      <c r="HZ178" s="122"/>
      <c r="IA178" s="122"/>
      <c r="IB178" s="122"/>
      <c r="IC178" s="122"/>
      <c r="ID178" s="122"/>
      <c r="IE178" s="122"/>
      <c r="IF178" s="122"/>
      <c r="IG178" s="122"/>
      <c r="IH178" s="122"/>
      <c r="II178" s="122"/>
      <c r="IJ178" s="122"/>
      <c r="IK178" s="122"/>
      <c r="IL178" s="122"/>
      <c r="IM178" s="122"/>
      <c r="IN178" s="122"/>
      <c r="IO178" s="122"/>
      <c r="IP178" s="122"/>
      <c r="IQ178" s="122"/>
      <c r="IR178" s="122"/>
      <c r="IS178" s="122"/>
      <c r="IT178" s="122"/>
      <c r="IU178" s="122"/>
      <c r="IV178" s="122"/>
      <c r="IW178" s="122"/>
      <c r="IX178" s="122"/>
      <c r="IY178" s="122"/>
      <c r="IZ178" s="122"/>
      <c r="JA178" s="122"/>
      <c r="JB178" s="122"/>
      <c r="JC178" s="122"/>
      <c r="JD178" s="122"/>
      <c r="JE178" s="122"/>
      <c r="JF178" s="122"/>
      <c r="JG178" s="122"/>
      <c r="JH178" s="122"/>
      <c r="JI178" s="119">
        <f t="shared" si="2"/>
        <v>1566377.06</v>
      </c>
      <c r="JJ178" s="379">
        <v>6247</v>
      </c>
      <c r="JK178" s="122"/>
      <c r="JL178" s="125"/>
      <c r="JM178" s="345"/>
      <c r="JN178" s="125"/>
      <c r="JO178" s="125"/>
      <c r="JP178" s="125"/>
    </row>
    <row r="179" spans="1:276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s="122"/>
      <c r="AV179" s="122"/>
      <c r="AW179" s="122"/>
      <c r="AX179" s="122"/>
      <c r="AY179" s="122"/>
      <c r="AZ179" s="122"/>
      <c r="BA179" s="122"/>
      <c r="BB179" s="122"/>
      <c r="BC179" s="122"/>
      <c r="BD179" s="122"/>
      <c r="BE179" s="122"/>
      <c r="BF179" s="122"/>
      <c r="BG179" s="122"/>
      <c r="BH179" s="122"/>
      <c r="BI179" s="122"/>
      <c r="BJ179" s="122"/>
      <c r="BK179" s="122"/>
      <c r="BL179" s="122"/>
      <c r="BM179" s="122"/>
      <c r="BN179" s="122"/>
      <c r="BO179" s="122"/>
      <c r="BP179" s="122"/>
      <c r="BQ179" s="122"/>
      <c r="BR179" s="122"/>
      <c r="BS179" s="122"/>
      <c r="BT179" s="122"/>
      <c r="BU179" s="122"/>
      <c r="BV179" s="122"/>
      <c r="BW179" s="122"/>
      <c r="BX179" s="122"/>
      <c r="BY179" s="122"/>
      <c r="BZ179" s="122"/>
      <c r="CA179" s="122"/>
      <c r="CB179" s="122"/>
      <c r="CC179" s="122"/>
      <c r="CD179" s="122"/>
      <c r="CE179" s="122"/>
      <c r="CF179" s="122"/>
      <c r="CG179" s="122"/>
      <c r="CH179" s="122"/>
      <c r="CI179" s="122"/>
      <c r="CJ179" s="122"/>
      <c r="CK179" s="122"/>
      <c r="CL179" s="122"/>
      <c r="CM179" s="122"/>
      <c r="CN179" s="122"/>
      <c r="CO179" s="122"/>
      <c r="CP179" s="122"/>
      <c r="CQ179" s="122"/>
      <c r="CR179" s="122"/>
      <c r="CS179" s="122"/>
      <c r="CT179" s="122"/>
      <c r="CU179" s="122"/>
      <c r="CV179" s="122"/>
      <c r="CW179" s="122"/>
      <c r="CX179" s="122"/>
      <c r="CY179" s="122"/>
      <c r="CZ179" s="122"/>
      <c r="DA179" s="122"/>
      <c r="DB179" s="122"/>
      <c r="DC179" s="122"/>
      <c r="DD179" s="122"/>
      <c r="DE179" s="122"/>
      <c r="DF179" s="122"/>
      <c r="DG179" s="122"/>
      <c r="DH179" s="122"/>
      <c r="DI179" s="122"/>
      <c r="DJ179" s="122"/>
      <c r="DK179" s="122"/>
      <c r="DL179" s="122"/>
      <c r="DM179" s="122"/>
      <c r="DN179" s="122"/>
      <c r="DO179" s="122"/>
      <c r="DP179" s="122"/>
      <c r="DQ179" s="122"/>
      <c r="DR179" s="122"/>
      <c r="DS179" s="122"/>
      <c r="DT179" s="122"/>
      <c r="DU179" s="122"/>
      <c r="DV179" s="122"/>
      <c r="DW179" s="122"/>
      <c r="DX179" s="122"/>
      <c r="DY179" s="122"/>
      <c r="DZ179" s="122"/>
      <c r="EA179" s="122"/>
      <c r="EB179" s="122"/>
      <c r="EC179" s="122"/>
      <c r="ED179" s="122"/>
      <c r="EE179" s="122"/>
      <c r="EF179" s="122"/>
      <c r="EG179" s="122"/>
      <c r="EH179" s="122"/>
      <c r="EI179" s="122"/>
      <c r="EJ179" s="122"/>
      <c r="EK179" s="122"/>
      <c r="EL179" s="122"/>
      <c r="EM179" s="122"/>
      <c r="EN179" s="122"/>
      <c r="EO179" s="122"/>
      <c r="EP179" s="122"/>
      <c r="EQ179" s="122"/>
      <c r="ER179" s="122"/>
      <c r="ES179" s="122"/>
      <c r="ET179" s="122"/>
      <c r="EU179" s="122"/>
      <c r="EV179" s="122"/>
      <c r="EW179" s="122"/>
      <c r="EX179" s="122"/>
      <c r="EY179" s="122"/>
      <c r="EZ179" s="122"/>
      <c r="FA179" s="122"/>
      <c r="FB179" s="122"/>
      <c r="FC179" s="122"/>
      <c r="FD179" s="122"/>
      <c r="FE179" s="122"/>
      <c r="FF179" s="122"/>
      <c r="FG179" s="122"/>
      <c r="FH179" s="122"/>
      <c r="FI179" s="122"/>
      <c r="FJ179" s="122">
        <v>3953634.83</v>
      </c>
      <c r="FK179" s="122"/>
      <c r="FL179" s="122"/>
      <c r="FM179" s="122"/>
      <c r="FN179" s="122"/>
      <c r="FO179" s="122"/>
      <c r="FP179" s="122"/>
      <c r="FQ179" s="122"/>
      <c r="FR179" s="122"/>
      <c r="FS179" s="122"/>
      <c r="FT179" s="122"/>
      <c r="FU179" s="122"/>
      <c r="FV179" s="122"/>
      <c r="FW179" s="122"/>
      <c r="FX179" s="122"/>
      <c r="FY179" s="122"/>
      <c r="FZ179" s="122"/>
      <c r="GA179" s="122"/>
      <c r="GB179" s="122"/>
      <c r="GC179" s="122"/>
      <c r="GD179" s="122"/>
      <c r="GE179" s="122"/>
      <c r="GF179" s="122"/>
      <c r="GG179" s="122"/>
      <c r="GH179" s="122"/>
      <c r="GI179" s="122"/>
      <c r="GJ179" s="122"/>
      <c r="GK179" s="122"/>
      <c r="GL179" s="122"/>
      <c r="GM179" s="122"/>
      <c r="GN179" s="122"/>
      <c r="GO179" s="122"/>
      <c r="GP179" s="122"/>
      <c r="GQ179" s="122"/>
      <c r="GR179" s="122"/>
      <c r="GS179" s="122"/>
      <c r="GT179" s="122"/>
      <c r="GU179" s="122"/>
      <c r="GV179" s="122"/>
      <c r="GW179" s="122"/>
      <c r="GX179" s="122"/>
      <c r="GY179" s="122"/>
      <c r="GZ179" s="122"/>
      <c r="HA179" s="122"/>
      <c r="HB179" s="122"/>
      <c r="HC179" s="122"/>
      <c r="HD179" s="122"/>
      <c r="HE179" s="122"/>
      <c r="HF179" s="122"/>
      <c r="HG179" s="122"/>
      <c r="HH179" s="122"/>
      <c r="HI179" s="122"/>
      <c r="HJ179" s="122"/>
      <c r="HK179" s="122"/>
      <c r="HL179" s="122"/>
      <c r="HM179" s="122"/>
      <c r="HN179" s="122"/>
      <c r="HO179" s="122"/>
      <c r="HP179" s="122"/>
      <c r="HQ179" s="122"/>
      <c r="HR179" s="122"/>
      <c r="HS179" s="122"/>
      <c r="HT179" s="122"/>
      <c r="HU179" s="122"/>
      <c r="HV179" s="122"/>
      <c r="HW179" s="122"/>
      <c r="HX179" s="122"/>
      <c r="HY179" s="122"/>
      <c r="HZ179" s="122"/>
      <c r="IA179" s="122"/>
      <c r="IB179" s="122"/>
      <c r="IC179" s="122"/>
      <c r="ID179" s="122"/>
      <c r="IE179" s="122"/>
      <c r="IF179" s="122"/>
      <c r="IG179" s="122"/>
      <c r="IH179" s="122"/>
      <c r="II179" s="122"/>
      <c r="IJ179" s="122"/>
      <c r="IK179" s="122"/>
      <c r="IL179" s="122"/>
      <c r="IM179" s="122"/>
      <c r="IN179" s="122"/>
      <c r="IO179" s="122"/>
      <c r="IP179" s="122"/>
      <c r="IQ179" s="122"/>
      <c r="IR179" s="122"/>
      <c r="IS179" s="122"/>
      <c r="IT179" s="122"/>
      <c r="IU179" s="122"/>
      <c r="IV179" s="122"/>
      <c r="IW179" s="122"/>
      <c r="IX179" s="122"/>
      <c r="IY179" s="122"/>
      <c r="IZ179" s="122"/>
      <c r="JA179" s="122"/>
      <c r="JB179" s="122"/>
      <c r="JC179" s="122"/>
      <c r="JD179" s="122"/>
      <c r="JE179" s="122"/>
      <c r="JF179" s="122"/>
      <c r="JG179" s="122"/>
      <c r="JH179" s="122"/>
      <c r="JI179" s="119">
        <f t="shared" si="2"/>
        <v>3953634.83</v>
      </c>
      <c r="JJ179" s="379">
        <v>6251</v>
      </c>
      <c r="JK179" s="122"/>
      <c r="JL179" s="125"/>
      <c r="JM179" s="345"/>
      <c r="JN179" s="125"/>
      <c r="JO179" s="125"/>
      <c r="JP179" s="125"/>
    </row>
    <row r="180" spans="1:276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  <c r="AU180" s="122"/>
      <c r="AV180" s="122"/>
      <c r="AW180" s="122"/>
      <c r="AX180" s="122"/>
      <c r="AY180" s="122"/>
      <c r="AZ180" s="122"/>
      <c r="BA180" s="122"/>
      <c r="BB180" s="122"/>
      <c r="BC180" s="122"/>
      <c r="BD180" s="122"/>
      <c r="BE180" s="122"/>
      <c r="BF180" s="122"/>
      <c r="BG180" s="122"/>
      <c r="BH180" s="122"/>
      <c r="BI180" s="122"/>
      <c r="BJ180" s="122"/>
      <c r="BK180" s="122"/>
      <c r="BL180" s="122"/>
      <c r="BM180" s="122"/>
      <c r="BN180" s="122"/>
      <c r="BO180" s="122"/>
      <c r="BP180" s="122"/>
      <c r="BQ180" s="122"/>
      <c r="BR180" s="122"/>
      <c r="BS180" s="122"/>
      <c r="BT180" s="122"/>
      <c r="BU180" s="122"/>
      <c r="BV180" s="122"/>
      <c r="BW180" s="122"/>
      <c r="BX180" s="122"/>
      <c r="BY180" s="122"/>
      <c r="BZ180" s="122"/>
      <c r="CA180" s="122"/>
      <c r="CB180" s="122"/>
      <c r="CC180" s="122"/>
      <c r="CD180" s="122"/>
      <c r="CE180" s="122"/>
      <c r="CF180" s="122"/>
      <c r="CG180" s="122"/>
      <c r="CH180" s="122"/>
      <c r="CI180" s="122"/>
      <c r="CJ180" s="122"/>
      <c r="CK180" s="122"/>
      <c r="CL180" s="122"/>
      <c r="CM180" s="122"/>
      <c r="CN180" s="122"/>
      <c r="CO180" s="122"/>
      <c r="CP180" s="122"/>
      <c r="CQ180" s="122"/>
      <c r="CR180" s="122"/>
      <c r="CS180" s="122"/>
      <c r="CT180" s="122"/>
      <c r="CU180" s="122"/>
      <c r="CV180" s="122"/>
      <c r="CW180" s="122"/>
      <c r="CX180" s="122"/>
      <c r="CY180" s="122"/>
      <c r="CZ180" s="122"/>
      <c r="DA180" s="122"/>
      <c r="DB180" s="122"/>
      <c r="DC180" s="122"/>
      <c r="DD180" s="122"/>
      <c r="DE180" s="122"/>
      <c r="DF180" s="122"/>
      <c r="DG180" s="122"/>
      <c r="DH180" s="122"/>
      <c r="DI180" s="122"/>
      <c r="DJ180" s="122"/>
      <c r="DK180" s="122"/>
      <c r="DL180" s="122"/>
      <c r="DM180" s="122"/>
      <c r="DN180" s="122"/>
      <c r="DO180" s="122"/>
      <c r="DP180" s="122"/>
      <c r="DQ180" s="122"/>
      <c r="DR180" s="122"/>
      <c r="DS180" s="122"/>
      <c r="DT180" s="122"/>
      <c r="DU180" s="122"/>
      <c r="DV180" s="122"/>
      <c r="DW180" s="122"/>
      <c r="DX180" s="122"/>
      <c r="DY180" s="122"/>
      <c r="DZ180" s="122"/>
      <c r="EA180" s="122"/>
      <c r="EB180" s="122"/>
      <c r="EC180" s="122"/>
      <c r="ED180" s="122"/>
      <c r="EE180" s="122"/>
      <c r="EF180" s="122"/>
      <c r="EG180" s="122"/>
      <c r="EH180" s="122"/>
      <c r="EI180" s="122"/>
      <c r="EJ180" s="122"/>
      <c r="EK180" s="122"/>
      <c r="EL180" s="122"/>
      <c r="EM180" s="122"/>
      <c r="EN180" s="122"/>
      <c r="EO180" s="122"/>
      <c r="EP180" s="122"/>
      <c r="EQ180" s="122"/>
      <c r="ER180" s="122"/>
      <c r="ES180" s="122"/>
      <c r="ET180" s="122"/>
      <c r="EU180" s="122"/>
      <c r="EV180" s="122"/>
      <c r="EW180" s="122"/>
      <c r="EX180" s="122"/>
      <c r="EY180" s="122"/>
      <c r="EZ180" s="122"/>
      <c r="FA180" s="122"/>
      <c r="FB180" s="122"/>
      <c r="FC180" s="122"/>
      <c r="FD180" s="122"/>
      <c r="FE180" s="122"/>
      <c r="FF180" s="122"/>
      <c r="FG180" s="122"/>
      <c r="FH180" s="122"/>
      <c r="FI180" s="122"/>
      <c r="FJ180" s="122">
        <v>841206.53</v>
      </c>
      <c r="FK180" s="122"/>
      <c r="FL180" s="122"/>
      <c r="FM180" s="122"/>
      <c r="FN180" s="122"/>
      <c r="FO180" s="122"/>
      <c r="FP180" s="122"/>
      <c r="FQ180" s="122"/>
      <c r="FR180" s="122"/>
      <c r="FS180" s="122"/>
      <c r="FT180" s="122"/>
      <c r="FU180" s="122"/>
      <c r="FV180" s="122"/>
      <c r="FW180" s="122"/>
      <c r="FX180" s="122"/>
      <c r="FY180" s="122"/>
      <c r="FZ180" s="122"/>
      <c r="GA180" s="122"/>
      <c r="GB180" s="122"/>
      <c r="GC180" s="122"/>
      <c r="GD180" s="122"/>
      <c r="GE180" s="122"/>
      <c r="GF180" s="122"/>
      <c r="GG180" s="122"/>
      <c r="GH180" s="122"/>
      <c r="GI180" s="122"/>
      <c r="GJ180" s="122"/>
      <c r="GK180" s="122"/>
      <c r="GL180" s="122"/>
      <c r="GM180" s="122"/>
      <c r="GN180" s="122"/>
      <c r="GO180" s="122"/>
      <c r="GP180" s="122"/>
      <c r="GQ180" s="122"/>
      <c r="GR180" s="122"/>
      <c r="GS180" s="122"/>
      <c r="GT180" s="122"/>
      <c r="GU180" s="122"/>
      <c r="GV180" s="122"/>
      <c r="GW180" s="122"/>
      <c r="GX180" s="122"/>
      <c r="GY180" s="122"/>
      <c r="GZ180" s="122"/>
      <c r="HA180" s="122"/>
      <c r="HB180" s="122"/>
      <c r="HC180" s="122"/>
      <c r="HD180" s="122"/>
      <c r="HE180" s="122"/>
      <c r="HF180" s="122"/>
      <c r="HG180" s="122"/>
      <c r="HH180" s="122"/>
      <c r="HI180" s="122"/>
      <c r="HJ180" s="122"/>
      <c r="HK180" s="122"/>
      <c r="HL180" s="122"/>
      <c r="HM180" s="122"/>
      <c r="HN180" s="122"/>
      <c r="HO180" s="122"/>
      <c r="HP180" s="122"/>
      <c r="HQ180" s="122"/>
      <c r="HR180" s="122"/>
      <c r="HS180" s="122"/>
      <c r="HT180" s="122"/>
      <c r="HU180" s="122"/>
      <c r="HV180" s="122"/>
      <c r="HW180" s="122"/>
      <c r="HX180" s="122"/>
      <c r="HY180" s="122"/>
      <c r="HZ180" s="122"/>
      <c r="IA180" s="122"/>
      <c r="IB180" s="122"/>
      <c r="IC180" s="122"/>
      <c r="ID180" s="122"/>
      <c r="IE180" s="122"/>
      <c r="IF180" s="122"/>
      <c r="IG180" s="122"/>
      <c r="IH180" s="122"/>
      <c r="II180" s="122"/>
      <c r="IJ180" s="122"/>
      <c r="IK180" s="122"/>
      <c r="IL180" s="122"/>
      <c r="IM180" s="122"/>
      <c r="IN180" s="122"/>
      <c r="IO180" s="122"/>
      <c r="IP180" s="122"/>
      <c r="IQ180" s="122"/>
      <c r="IR180" s="122"/>
      <c r="IS180" s="122"/>
      <c r="IT180" s="122"/>
      <c r="IU180" s="122"/>
      <c r="IV180" s="122"/>
      <c r="IW180" s="122"/>
      <c r="IX180" s="122"/>
      <c r="IY180" s="122"/>
      <c r="IZ180" s="122"/>
      <c r="JA180" s="122"/>
      <c r="JB180" s="122"/>
      <c r="JC180" s="122"/>
      <c r="JD180" s="122"/>
      <c r="JE180" s="122"/>
      <c r="JF180" s="122"/>
      <c r="JG180" s="122"/>
      <c r="JH180" s="122"/>
      <c r="JI180" s="119">
        <f t="shared" si="2"/>
        <v>841206.53</v>
      </c>
      <c r="JJ180" s="379">
        <v>6255</v>
      </c>
      <c r="JK180" s="122"/>
      <c r="JL180" s="125"/>
      <c r="JM180" s="345"/>
      <c r="JN180" s="125"/>
      <c r="JO180" s="125"/>
      <c r="JP180" s="125"/>
    </row>
    <row r="181" spans="1:276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  <c r="AS181" s="122"/>
      <c r="AT181" s="122"/>
      <c r="AU181" s="122"/>
      <c r="AV181" s="122"/>
      <c r="AW181" s="122"/>
      <c r="AX181" s="122"/>
      <c r="AY181" s="122"/>
      <c r="AZ181" s="122"/>
      <c r="BA181" s="122"/>
      <c r="BB181" s="122"/>
      <c r="BC181" s="122"/>
      <c r="BD181" s="122"/>
      <c r="BE181" s="122"/>
      <c r="BF181" s="122"/>
      <c r="BG181" s="122"/>
      <c r="BH181" s="122"/>
      <c r="BI181" s="122"/>
      <c r="BJ181" s="122"/>
      <c r="BK181" s="122"/>
      <c r="BL181" s="122"/>
      <c r="BM181" s="122"/>
      <c r="BN181" s="122"/>
      <c r="BO181" s="122"/>
      <c r="BP181" s="122"/>
      <c r="BQ181" s="122"/>
      <c r="BR181" s="122"/>
      <c r="BS181" s="122"/>
      <c r="BT181" s="122"/>
      <c r="BU181" s="122"/>
      <c r="BV181" s="122"/>
      <c r="BW181" s="122">
        <v>1519632.77</v>
      </c>
      <c r="BX181" s="122"/>
      <c r="BY181" s="122"/>
      <c r="BZ181" s="122"/>
      <c r="CA181" s="122"/>
      <c r="CB181" s="122"/>
      <c r="CC181" s="122"/>
      <c r="CD181" s="122"/>
      <c r="CE181" s="122"/>
      <c r="CF181" s="122"/>
      <c r="CG181" s="122"/>
      <c r="CH181" s="122"/>
      <c r="CI181" s="122"/>
      <c r="CJ181" s="122"/>
      <c r="CK181" s="122"/>
      <c r="CL181" s="122"/>
      <c r="CM181" s="122"/>
      <c r="CN181" s="122"/>
      <c r="CO181" s="122"/>
      <c r="CP181" s="122"/>
      <c r="CQ181" s="122"/>
      <c r="CR181" s="122"/>
      <c r="CS181" s="122"/>
      <c r="CT181" s="122"/>
      <c r="CU181" s="122"/>
      <c r="CV181" s="122"/>
      <c r="CW181" s="122"/>
      <c r="CX181" s="122"/>
      <c r="CY181" s="122"/>
      <c r="CZ181" s="122"/>
      <c r="DA181" s="122"/>
      <c r="DB181" s="122"/>
      <c r="DC181" s="122"/>
      <c r="DD181" s="122"/>
      <c r="DE181" s="122"/>
      <c r="DF181" s="122"/>
      <c r="DG181" s="122"/>
      <c r="DH181" s="122"/>
      <c r="DI181" s="122"/>
      <c r="DJ181" s="122"/>
      <c r="DK181" s="122"/>
      <c r="DL181" s="122"/>
      <c r="DM181" s="122"/>
      <c r="DN181" s="122"/>
      <c r="DO181" s="122"/>
      <c r="DP181" s="122"/>
      <c r="DQ181" s="122"/>
      <c r="DR181" s="122"/>
      <c r="DS181" s="122"/>
      <c r="DT181" s="122"/>
      <c r="DU181" s="122"/>
      <c r="DV181" s="122"/>
      <c r="DW181" s="122"/>
      <c r="DX181" s="122"/>
      <c r="DY181" s="122"/>
      <c r="DZ181" s="122"/>
      <c r="EA181" s="122"/>
      <c r="EB181" s="122"/>
      <c r="EC181" s="122"/>
      <c r="ED181" s="122"/>
      <c r="EE181" s="122"/>
      <c r="EF181" s="122"/>
      <c r="EG181" s="122"/>
      <c r="EH181" s="122"/>
      <c r="EI181" s="122"/>
      <c r="EJ181" s="122"/>
      <c r="EK181" s="122"/>
      <c r="EL181" s="122"/>
      <c r="EM181" s="122"/>
      <c r="EN181" s="122"/>
      <c r="EO181" s="122"/>
      <c r="EP181" s="122"/>
      <c r="EQ181" s="122"/>
      <c r="ER181" s="122"/>
      <c r="ES181" s="122"/>
      <c r="ET181" s="122"/>
      <c r="EU181" s="122"/>
      <c r="EV181" s="122"/>
      <c r="EW181" s="122"/>
      <c r="EX181" s="122"/>
      <c r="EY181" s="122"/>
      <c r="EZ181" s="122"/>
      <c r="FA181" s="122"/>
      <c r="FB181" s="122"/>
      <c r="FC181" s="122"/>
      <c r="FD181" s="122"/>
      <c r="FE181" s="122"/>
      <c r="FF181" s="122"/>
      <c r="FG181" s="122"/>
      <c r="FH181" s="122"/>
      <c r="FI181" s="122"/>
      <c r="FJ181" s="122"/>
      <c r="FK181" s="122"/>
      <c r="FL181" s="122"/>
      <c r="FM181" s="122"/>
      <c r="FN181" s="122"/>
      <c r="FO181" s="122"/>
      <c r="FP181" s="122"/>
      <c r="FQ181" s="122"/>
      <c r="FR181" s="122"/>
      <c r="FS181" s="122"/>
      <c r="FT181" s="122"/>
      <c r="FU181" s="122"/>
      <c r="FV181" s="122"/>
      <c r="FW181" s="122"/>
      <c r="FX181" s="122"/>
      <c r="FY181" s="122"/>
      <c r="FZ181" s="122"/>
      <c r="GA181" s="122"/>
      <c r="GB181" s="122"/>
      <c r="GC181" s="122"/>
      <c r="GD181" s="122"/>
      <c r="GE181" s="122"/>
      <c r="GF181" s="122"/>
      <c r="GG181" s="122"/>
      <c r="GH181" s="122"/>
      <c r="GI181" s="122"/>
      <c r="GJ181" s="122"/>
      <c r="GK181" s="122"/>
      <c r="GL181" s="122"/>
      <c r="GM181" s="122"/>
      <c r="GN181" s="122"/>
      <c r="GO181" s="122"/>
      <c r="GP181" s="122"/>
      <c r="GQ181" s="122"/>
      <c r="GR181" s="122"/>
      <c r="GS181" s="122"/>
      <c r="GT181" s="122"/>
      <c r="GU181" s="122"/>
      <c r="GV181" s="122"/>
      <c r="GW181" s="122"/>
      <c r="GX181" s="122"/>
      <c r="GY181" s="122"/>
      <c r="GZ181" s="122"/>
      <c r="HA181" s="122"/>
      <c r="HB181" s="122"/>
      <c r="HC181" s="122"/>
      <c r="HD181" s="122"/>
      <c r="HE181" s="122"/>
      <c r="HF181" s="122"/>
      <c r="HG181" s="122"/>
      <c r="HH181" s="122"/>
      <c r="HI181" s="122"/>
      <c r="HJ181" s="122"/>
      <c r="HK181" s="122"/>
      <c r="HL181" s="122"/>
      <c r="HM181" s="122"/>
      <c r="HN181" s="122"/>
      <c r="HO181" s="122"/>
      <c r="HP181" s="122"/>
      <c r="HQ181" s="122"/>
      <c r="HR181" s="122"/>
      <c r="HS181" s="122"/>
      <c r="HT181" s="122"/>
      <c r="HU181" s="122"/>
      <c r="HV181" s="122"/>
      <c r="HW181" s="122"/>
      <c r="HX181" s="122"/>
      <c r="HY181" s="122"/>
      <c r="HZ181" s="122"/>
      <c r="IA181" s="122"/>
      <c r="IB181" s="122"/>
      <c r="IC181" s="122"/>
      <c r="ID181" s="122"/>
      <c r="IE181" s="122"/>
      <c r="IF181" s="122"/>
      <c r="IG181" s="122"/>
      <c r="IH181" s="122"/>
      <c r="II181" s="122"/>
      <c r="IJ181" s="122"/>
      <c r="IK181" s="122"/>
      <c r="IL181" s="122"/>
      <c r="IM181" s="122"/>
      <c r="IN181" s="122"/>
      <c r="IO181" s="122"/>
      <c r="IP181" s="122"/>
      <c r="IQ181" s="122"/>
      <c r="IR181" s="122"/>
      <c r="IS181" s="122"/>
      <c r="IT181" s="122"/>
      <c r="IU181" s="122"/>
      <c r="IV181" s="122"/>
      <c r="IW181" s="122"/>
      <c r="IX181" s="122"/>
      <c r="IY181" s="122"/>
      <c r="IZ181" s="122"/>
      <c r="JA181" s="122"/>
      <c r="JB181" s="122"/>
      <c r="JC181" s="122"/>
      <c r="JD181" s="122"/>
      <c r="JE181" s="122"/>
      <c r="JF181" s="122"/>
      <c r="JG181" s="122"/>
      <c r="JH181" s="122"/>
      <c r="JI181" s="119">
        <f t="shared" si="2"/>
        <v>1519632.77</v>
      </c>
      <c r="JJ181" s="379">
        <v>6259</v>
      </c>
      <c r="JK181" s="122"/>
      <c r="JL181" s="125"/>
      <c r="JM181" s="345"/>
      <c r="JN181" s="125"/>
      <c r="JO181" s="125"/>
      <c r="JP181" s="125"/>
    </row>
    <row r="182" spans="1:276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  <c r="AT182" s="122"/>
      <c r="AU182" s="122"/>
      <c r="AV182" s="122"/>
      <c r="AW182" s="122"/>
      <c r="AX182" s="122"/>
      <c r="AY182" s="122"/>
      <c r="AZ182" s="122"/>
      <c r="BA182" s="122"/>
      <c r="BB182" s="122"/>
      <c r="BC182" s="122"/>
      <c r="BD182" s="122"/>
      <c r="BE182" s="122"/>
      <c r="BF182" s="122"/>
      <c r="BG182" s="122"/>
      <c r="BH182" s="122"/>
      <c r="BI182" s="122"/>
      <c r="BJ182" s="122"/>
      <c r="BK182" s="122"/>
      <c r="BL182" s="122"/>
      <c r="BM182" s="122"/>
      <c r="BN182" s="122"/>
      <c r="BO182" s="122"/>
      <c r="BP182" s="122"/>
      <c r="BQ182" s="122"/>
      <c r="BR182" s="122"/>
      <c r="BS182" s="122"/>
      <c r="BT182" s="122"/>
      <c r="BU182" s="122"/>
      <c r="BV182" s="122"/>
      <c r="BW182" s="122"/>
      <c r="BX182" s="122"/>
      <c r="BY182" s="122"/>
      <c r="BZ182" s="122"/>
      <c r="CA182" s="122"/>
      <c r="CB182" s="122"/>
      <c r="CC182" s="122"/>
      <c r="CD182" s="122"/>
      <c r="CE182" s="122"/>
      <c r="CF182" s="122"/>
      <c r="CG182" s="122"/>
      <c r="CH182" s="122"/>
      <c r="CI182" s="122"/>
      <c r="CJ182" s="122"/>
      <c r="CK182" s="122"/>
      <c r="CL182" s="122"/>
      <c r="CM182" s="122"/>
      <c r="CN182" s="122"/>
      <c r="CO182" s="122"/>
      <c r="CP182" s="122"/>
      <c r="CQ182" s="122"/>
      <c r="CR182" s="122"/>
      <c r="CS182" s="122"/>
      <c r="CT182" s="122"/>
      <c r="CU182" s="122"/>
      <c r="CV182" s="122"/>
      <c r="CW182" s="122"/>
      <c r="CX182" s="122"/>
      <c r="CY182" s="122"/>
      <c r="CZ182" s="122"/>
      <c r="DA182" s="122"/>
      <c r="DB182" s="122"/>
      <c r="DC182" s="122"/>
      <c r="DD182" s="122"/>
      <c r="DE182" s="122"/>
      <c r="DF182" s="122"/>
      <c r="DG182" s="122"/>
      <c r="DH182" s="122"/>
      <c r="DI182" s="122"/>
      <c r="DJ182" s="122"/>
      <c r="DK182" s="122"/>
      <c r="DL182" s="122"/>
      <c r="DM182" s="122"/>
      <c r="DN182" s="122"/>
      <c r="DO182" s="122"/>
      <c r="DP182" s="122"/>
      <c r="DQ182" s="122"/>
      <c r="DR182" s="122"/>
      <c r="DS182" s="122"/>
      <c r="DT182" s="122"/>
      <c r="DU182" s="122"/>
      <c r="DV182" s="122"/>
      <c r="DW182" s="122"/>
      <c r="DX182" s="122"/>
      <c r="DY182" s="122"/>
      <c r="DZ182" s="122"/>
      <c r="EA182" s="122"/>
      <c r="EB182" s="122"/>
      <c r="EC182" s="122"/>
      <c r="ED182" s="122"/>
      <c r="EE182" s="122"/>
      <c r="EF182" s="122"/>
      <c r="EG182" s="122"/>
      <c r="EH182" s="122"/>
      <c r="EI182" s="122"/>
      <c r="EJ182" s="122"/>
      <c r="EK182" s="122"/>
      <c r="EL182" s="122"/>
      <c r="EM182" s="122"/>
      <c r="EN182" s="122"/>
      <c r="EO182" s="122"/>
      <c r="EP182" s="122"/>
      <c r="EQ182" s="122"/>
      <c r="ER182" s="122"/>
      <c r="ES182" s="122"/>
      <c r="ET182" s="122"/>
      <c r="EU182" s="122"/>
      <c r="EV182" s="122"/>
      <c r="EW182" s="122"/>
      <c r="EX182" s="122"/>
      <c r="EY182" s="122"/>
      <c r="EZ182" s="122"/>
      <c r="FA182" s="122"/>
      <c r="FB182" s="122"/>
      <c r="FC182" s="122"/>
      <c r="FD182" s="122"/>
      <c r="FE182" s="122"/>
      <c r="FF182" s="122"/>
      <c r="FG182" s="122"/>
      <c r="FH182" s="122"/>
      <c r="FI182" s="122"/>
      <c r="FJ182" s="122"/>
      <c r="FK182" s="122"/>
      <c r="FL182" s="122"/>
      <c r="FM182" s="122"/>
      <c r="FN182" s="122"/>
      <c r="FO182" s="122"/>
      <c r="FP182" s="122"/>
      <c r="FQ182" s="122"/>
      <c r="FR182" s="122"/>
      <c r="FS182" s="122"/>
      <c r="FT182" s="122">
        <v>1239000</v>
      </c>
      <c r="FU182" s="122"/>
      <c r="FV182" s="122"/>
      <c r="FW182" s="122"/>
      <c r="FX182" s="122"/>
      <c r="FY182" s="122"/>
      <c r="FZ182" s="122"/>
      <c r="GA182" s="122"/>
      <c r="GB182" s="122"/>
      <c r="GC182" s="122"/>
      <c r="GD182" s="122"/>
      <c r="GE182" s="122"/>
      <c r="GF182" s="122"/>
      <c r="GG182" s="122"/>
      <c r="GH182" s="122"/>
      <c r="GI182" s="122"/>
      <c r="GJ182" s="122"/>
      <c r="GK182" s="122"/>
      <c r="GL182" s="122"/>
      <c r="GM182" s="122"/>
      <c r="GN182" s="122"/>
      <c r="GO182" s="122"/>
      <c r="GP182" s="122"/>
      <c r="GQ182" s="122"/>
      <c r="GR182" s="122"/>
      <c r="GS182" s="122"/>
      <c r="GT182" s="122"/>
      <c r="GU182" s="122"/>
      <c r="GV182" s="122"/>
      <c r="GW182" s="122"/>
      <c r="GX182" s="122"/>
      <c r="GY182" s="122"/>
      <c r="GZ182" s="122"/>
      <c r="HA182" s="122"/>
      <c r="HB182" s="122"/>
      <c r="HC182" s="122"/>
      <c r="HD182" s="122"/>
      <c r="HE182" s="122"/>
      <c r="HF182" s="122"/>
      <c r="HG182" s="122"/>
      <c r="HH182" s="122"/>
      <c r="HI182" s="122"/>
      <c r="HJ182" s="122"/>
      <c r="HK182" s="122"/>
      <c r="HL182" s="122"/>
      <c r="HM182" s="122"/>
      <c r="HN182" s="122"/>
      <c r="HO182" s="122"/>
      <c r="HP182" s="122"/>
      <c r="HQ182" s="122"/>
      <c r="HR182" s="122"/>
      <c r="HS182" s="122"/>
      <c r="HT182" s="122"/>
      <c r="HU182" s="122"/>
      <c r="HV182" s="122"/>
      <c r="HW182" s="122"/>
      <c r="HX182" s="122"/>
      <c r="HY182" s="122"/>
      <c r="HZ182" s="122"/>
      <c r="IA182" s="122"/>
      <c r="IB182" s="122"/>
      <c r="IC182" s="122"/>
      <c r="ID182" s="122"/>
      <c r="IE182" s="122"/>
      <c r="IF182" s="122"/>
      <c r="IG182" s="122"/>
      <c r="IH182" s="122"/>
      <c r="II182" s="122"/>
      <c r="IJ182" s="122"/>
      <c r="IK182" s="122"/>
      <c r="IL182" s="122"/>
      <c r="IM182" s="122"/>
      <c r="IN182" s="122"/>
      <c r="IO182" s="122"/>
      <c r="IP182" s="122"/>
      <c r="IQ182" s="122"/>
      <c r="IR182" s="122"/>
      <c r="IS182" s="122"/>
      <c r="IT182" s="122"/>
      <c r="IU182" s="122"/>
      <c r="IV182" s="122"/>
      <c r="IW182" s="122"/>
      <c r="IX182" s="122"/>
      <c r="IY182" s="122"/>
      <c r="IZ182" s="122"/>
      <c r="JA182" s="122"/>
      <c r="JB182" s="122"/>
      <c r="JC182" s="122"/>
      <c r="JD182" s="122"/>
      <c r="JE182" s="122"/>
      <c r="JF182" s="122"/>
      <c r="JG182" s="122"/>
      <c r="JH182" s="122"/>
      <c r="JI182" s="119">
        <f t="shared" si="2"/>
        <v>1239000</v>
      </c>
      <c r="JJ182" s="379">
        <v>6267</v>
      </c>
      <c r="JK182" s="122"/>
      <c r="JL182" s="125"/>
      <c r="JM182" s="345"/>
      <c r="JN182" s="125"/>
      <c r="JO182" s="125"/>
      <c r="JP182" s="125"/>
    </row>
    <row r="183" spans="1:276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  <c r="AR183" s="122"/>
      <c r="AS183" s="122"/>
      <c r="AT183" s="122"/>
      <c r="AU183" s="122"/>
      <c r="AV183" s="122"/>
      <c r="AW183" s="122"/>
      <c r="AX183" s="122"/>
      <c r="AY183" s="122"/>
      <c r="AZ183" s="122"/>
      <c r="BA183" s="122"/>
      <c r="BB183" s="122"/>
      <c r="BC183" s="122"/>
      <c r="BD183" s="122"/>
      <c r="BE183" s="122"/>
      <c r="BF183" s="122"/>
      <c r="BG183" s="122"/>
      <c r="BH183" s="122"/>
      <c r="BI183" s="122"/>
      <c r="BJ183" s="122"/>
      <c r="BK183" s="122"/>
      <c r="BL183" s="122"/>
      <c r="BM183" s="122"/>
      <c r="BN183" s="122"/>
      <c r="BO183" s="122"/>
      <c r="BP183" s="122"/>
      <c r="BQ183" s="122"/>
      <c r="BR183" s="122"/>
      <c r="BS183" s="122"/>
      <c r="BT183" s="122"/>
      <c r="BU183" s="122"/>
      <c r="BV183" s="122"/>
      <c r="BW183" s="122"/>
      <c r="BX183" s="122"/>
      <c r="BY183" s="122"/>
      <c r="BZ183" s="122"/>
      <c r="CA183" s="122"/>
      <c r="CB183" s="122"/>
      <c r="CC183" s="122"/>
      <c r="CD183" s="122"/>
      <c r="CE183" s="122"/>
      <c r="CF183" s="122"/>
      <c r="CG183" s="122"/>
      <c r="CH183" s="122"/>
      <c r="CI183" s="122"/>
      <c r="CJ183" s="122"/>
      <c r="CK183" s="122"/>
      <c r="CL183" s="122"/>
      <c r="CM183" s="122"/>
      <c r="CN183" s="122"/>
      <c r="CO183" s="122"/>
      <c r="CP183" s="122"/>
      <c r="CQ183" s="122"/>
      <c r="CR183" s="122"/>
      <c r="CS183" s="122"/>
      <c r="CT183" s="122"/>
      <c r="CU183" s="122"/>
      <c r="CV183" s="122"/>
      <c r="CW183" s="122"/>
      <c r="CX183" s="122"/>
      <c r="CY183" s="122"/>
      <c r="CZ183" s="122"/>
      <c r="DA183" s="122"/>
      <c r="DB183" s="122"/>
      <c r="DC183" s="122"/>
      <c r="DD183" s="122"/>
      <c r="DE183" s="122"/>
      <c r="DF183" s="122"/>
      <c r="DG183" s="122"/>
      <c r="DH183" s="122"/>
      <c r="DI183" s="122"/>
      <c r="DJ183" s="122"/>
      <c r="DK183" s="122"/>
      <c r="DL183" s="122"/>
      <c r="DM183" s="122"/>
      <c r="DN183" s="122"/>
      <c r="DO183" s="122"/>
      <c r="DP183" s="122"/>
      <c r="DQ183" s="122"/>
      <c r="DR183" s="122"/>
      <c r="DS183" s="122"/>
      <c r="DT183" s="122"/>
      <c r="DU183" s="122"/>
      <c r="DV183" s="122"/>
      <c r="DW183" s="122"/>
      <c r="DX183" s="122"/>
      <c r="DY183" s="122"/>
      <c r="DZ183" s="122"/>
      <c r="EA183" s="122"/>
      <c r="EB183" s="122"/>
      <c r="EC183" s="122"/>
      <c r="ED183" s="122"/>
      <c r="EE183" s="122"/>
      <c r="EF183" s="122"/>
      <c r="EG183" s="122"/>
      <c r="EH183" s="122"/>
      <c r="EI183" s="122"/>
      <c r="EJ183" s="122"/>
      <c r="EK183" s="122"/>
      <c r="EL183" s="122"/>
      <c r="EM183" s="122"/>
      <c r="EN183" s="122"/>
      <c r="EO183" s="122"/>
      <c r="EP183" s="122"/>
      <c r="EQ183" s="122"/>
      <c r="ER183" s="122"/>
      <c r="ES183" s="122"/>
      <c r="ET183" s="122"/>
      <c r="EU183" s="122"/>
      <c r="EV183" s="122"/>
      <c r="EW183" s="122"/>
      <c r="EX183" s="122"/>
      <c r="EY183" s="122"/>
      <c r="EZ183" s="122"/>
      <c r="FA183" s="122"/>
      <c r="FB183" s="122"/>
      <c r="FC183" s="122"/>
      <c r="FD183" s="122"/>
      <c r="FE183" s="122"/>
      <c r="FF183" s="122"/>
      <c r="FG183" s="122"/>
      <c r="FH183" s="122"/>
      <c r="FI183" s="122"/>
      <c r="FJ183" s="122">
        <v>230750.68</v>
      </c>
      <c r="FK183" s="122"/>
      <c r="FL183" s="122"/>
      <c r="FM183" s="122"/>
      <c r="FN183" s="122"/>
      <c r="FO183" s="122"/>
      <c r="FP183" s="122"/>
      <c r="FQ183" s="122"/>
      <c r="FR183" s="122"/>
      <c r="FS183" s="122"/>
      <c r="FT183" s="122"/>
      <c r="FU183" s="122"/>
      <c r="FV183" s="122"/>
      <c r="FW183" s="122"/>
      <c r="FX183" s="122"/>
      <c r="FY183" s="122"/>
      <c r="FZ183" s="122"/>
      <c r="GA183" s="122"/>
      <c r="GB183" s="122"/>
      <c r="GC183" s="122"/>
      <c r="GD183" s="122"/>
      <c r="GE183" s="122"/>
      <c r="GF183" s="122"/>
      <c r="GG183" s="122"/>
      <c r="GH183" s="122"/>
      <c r="GI183" s="122"/>
      <c r="GJ183" s="122"/>
      <c r="GK183" s="122"/>
      <c r="GL183" s="122"/>
      <c r="GM183" s="122"/>
      <c r="GN183" s="122"/>
      <c r="GO183" s="122"/>
      <c r="GP183" s="122"/>
      <c r="GQ183" s="122"/>
      <c r="GR183" s="122"/>
      <c r="GS183" s="122"/>
      <c r="GT183" s="122"/>
      <c r="GU183" s="122"/>
      <c r="GV183" s="122"/>
      <c r="GW183" s="122"/>
      <c r="GX183" s="122"/>
      <c r="GY183" s="122"/>
      <c r="GZ183" s="122"/>
      <c r="HA183" s="122"/>
      <c r="HB183" s="122"/>
      <c r="HC183" s="122"/>
      <c r="HD183" s="122"/>
      <c r="HE183" s="122"/>
      <c r="HF183" s="122"/>
      <c r="HG183" s="122"/>
      <c r="HH183" s="122"/>
      <c r="HI183" s="122"/>
      <c r="HJ183" s="122"/>
      <c r="HK183" s="122"/>
      <c r="HL183" s="122"/>
      <c r="HM183" s="122"/>
      <c r="HN183" s="122"/>
      <c r="HO183" s="122"/>
      <c r="HP183" s="122"/>
      <c r="HQ183" s="122"/>
      <c r="HR183" s="122"/>
      <c r="HS183" s="122"/>
      <c r="HT183" s="122"/>
      <c r="HU183" s="122"/>
      <c r="HV183" s="122"/>
      <c r="HW183" s="122"/>
      <c r="HX183" s="122"/>
      <c r="HY183" s="122"/>
      <c r="HZ183" s="122"/>
      <c r="IA183" s="122"/>
      <c r="IB183" s="122"/>
      <c r="IC183" s="122"/>
      <c r="ID183" s="122"/>
      <c r="IE183" s="122"/>
      <c r="IF183" s="122"/>
      <c r="IG183" s="122"/>
      <c r="IH183" s="122"/>
      <c r="II183" s="122"/>
      <c r="IJ183" s="122"/>
      <c r="IK183" s="122"/>
      <c r="IL183" s="122"/>
      <c r="IM183" s="122"/>
      <c r="IN183" s="122"/>
      <c r="IO183" s="122"/>
      <c r="IP183" s="122"/>
      <c r="IQ183" s="122"/>
      <c r="IR183" s="122"/>
      <c r="IS183" s="122"/>
      <c r="IT183" s="122"/>
      <c r="IU183" s="122"/>
      <c r="IV183" s="122"/>
      <c r="IW183" s="122"/>
      <c r="IX183" s="122"/>
      <c r="IY183" s="122"/>
      <c r="IZ183" s="122"/>
      <c r="JA183" s="122"/>
      <c r="JB183" s="122"/>
      <c r="JC183" s="122"/>
      <c r="JD183" s="122"/>
      <c r="JE183" s="122"/>
      <c r="JF183" s="122"/>
      <c r="JG183" s="122"/>
      <c r="JH183" s="122"/>
      <c r="JI183" s="119">
        <f t="shared" si="2"/>
        <v>230750.68</v>
      </c>
      <c r="JJ183" s="379">
        <v>6271</v>
      </c>
      <c r="JK183" s="122"/>
      <c r="JL183" s="125"/>
      <c r="JM183" s="345"/>
      <c r="JN183" s="125"/>
      <c r="JO183" s="125"/>
      <c r="JP183" s="125"/>
    </row>
    <row r="184" spans="1:276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122"/>
      <c r="AR184" s="122"/>
      <c r="AS184" s="122"/>
      <c r="AT184" s="122"/>
      <c r="AU184" s="122"/>
      <c r="AV184" s="122"/>
      <c r="AW184" s="122"/>
      <c r="AX184" s="122"/>
      <c r="AY184" s="122"/>
      <c r="AZ184" s="122"/>
      <c r="BA184" s="122"/>
      <c r="BB184" s="122"/>
      <c r="BC184" s="122"/>
      <c r="BD184" s="122"/>
      <c r="BE184" s="122"/>
      <c r="BF184" s="122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122"/>
      <c r="BS184" s="122"/>
      <c r="BT184" s="122"/>
      <c r="BU184" s="122"/>
      <c r="BV184" s="122"/>
      <c r="BW184" s="122"/>
      <c r="BX184" s="122"/>
      <c r="BY184" s="122"/>
      <c r="BZ184" s="122"/>
      <c r="CA184" s="122"/>
      <c r="CB184" s="122"/>
      <c r="CC184" s="122"/>
      <c r="CD184" s="122"/>
      <c r="CE184" s="122"/>
      <c r="CF184" s="122"/>
      <c r="CG184" s="122"/>
      <c r="CH184" s="122"/>
      <c r="CI184" s="122"/>
      <c r="CJ184" s="122"/>
      <c r="CK184" s="122"/>
      <c r="CL184" s="122"/>
      <c r="CM184" s="122"/>
      <c r="CN184" s="122"/>
      <c r="CO184" s="122"/>
      <c r="CP184" s="122"/>
      <c r="CQ184" s="122"/>
      <c r="CR184" s="122"/>
      <c r="CS184" s="122"/>
      <c r="CT184" s="122"/>
      <c r="CU184" s="122"/>
      <c r="CV184" s="122"/>
      <c r="CW184" s="122"/>
      <c r="CX184" s="122"/>
      <c r="CY184" s="122"/>
      <c r="CZ184" s="122"/>
      <c r="DA184" s="122"/>
      <c r="DB184" s="122"/>
      <c r="DC184" s="122"/>
      <c r="DD184" s="122"/>
      <c r="DE184" s="122"/>
      <c r="DF184" s="122"/>
      <c r="DG184" s="122"/>
      <c r="DH184" s="122"/>
      <c r="DI184" s="122"/>
      <c r="DJ184" s="122"/>
      <c r="DK184" s="122"/>
      <c r="DL184" s="122"/>
      <c r="DM184" s="122"/>
      <c r="DN184" s="122"/>
      <c r="DO184" s="122"/>
      <c r="DP184" s="122"/>
      <c r="DQ184" s="122"/>
      <c r="DR184" s="122"/>
      <c r="DS184" s="122"/>
      <c r="DT184" s="122"/>
      <c r="DU184" s="122"/>
      <c r="DV184" s="122"/>
      <c r="DW184" s="122"/>
      <c r="DX184" s="122"/>
      <c r="DY184" s="122"/>
      <c r="DZ184" s="122"/>
      <c r="EA184" s="122">
        <v>263600</v>
      </c>
      <c r="EB184" s="122"/>
      <c r="EC184" s="122"/>
      <c r="ED184" s="122"/>
      <c r="EE184" s="122"/>
      <c r="EF184" s="122"/>
      <c r="EG184" s="122"/>
      <c r="EH184" s="122"/>
      <c r="EI184" s="122"/>
      <c r="EJ184" s="122"/>
      <c r="EK184" s="122"/>
      <c r="EL184" s="122"/>
      <c r="EM184" s="122"/>
      <c r="EN184" s="122"/>
      <c r="EO184" s="122"/>
      <c r="EP184" s="122"/>
      <c r="EQ184" s="122"/>
      <c r="ER184" s="122"/>
      <c r="ES184" s="122"/>
      <c r="ET184" s="122"/>
      <c r="EU184" s="122"/>
      <c r="EV184" s="122"/>
      <c r="EW184" s="122"/>
      <c r="EX184" s="122"/>
      <c r="EY184" s="122"/>
      <c r="EZ184" s="122"/>
      <c r="FA184" s="122"/>
      <c r="FB184" s="122"/>
      <c r="FC184" s="122"/>
      <c r="FD184" s="122"/>
      <c r="FE184" s="122"/>
      <c r="FF184" s="122"/>
      <c r="FG184" s="122"/>
      <c r="FH184" s="122"/>
      <c r="FI184" s="122"/>
      <c r="FJ184" s="122"/>
      <c r="FK184" s="122"/>
      <c r="FL184" s="122"/>
      <c r="FM184" s="122"/>
      <c r="FN184" s="122"/>
      <c r="FO184" s="122"/>
      <c r="FP184" s="122"/>
      <c r="FQ184" s="122"/>
      <c r="FR184" s="122"/>
      <c r="FS184" s="122"/>
      <c r="FT184" s="122"/>
      <c r="FU184" s="122"/>
      <c r="FV184" s="122"/>
      <c r="FW184" s="122"/>
      <c r="FX184" s="122"/>
      <c r="FY184" s="122"/>
      <c r="FZ184" s="122"/>
      <c r="GA184" s="122"/>
      <c r="GB184" s="122"/>
      <c r="GC184" s="122"/>
      <c r="GD184" s="122"/>
      <c r="GE184" s="122"/>
      <c r="GF184" s="122"/>
      <c r="GG184" s="122"/>
      <c r="GH184" s="122"/>
      <c r="GI184" s="122"/>
      <c r="GJ184" s="122"/>
      <c r="GK184" s="122"/>
      <c r="GL184" s="122"/>
      <c r="GM184" s="122"/>
      <c r="GN184" s="122"/>
      <c r="GO184" s="122"/>
      <c r="GP184" s="122"/>
      <c r="GQ184" s="122"/>
      <c r="GR184" s="122"/>
      <c r="GS184" s="122"/>
      <c r="GT184" s="122"/>
      <c r="GU184" s="122"/>
      <c r="GV184" s="122"/>
      <c r="GW184" s="122"/>
      <c r="GX184" s="122"/>
      <c r="GY184" s="122"/>
      <c r="GZ184" s="122"/>
      <c r="HA184" s="122"/>
      <c r="HB184" s="122"/>
      <c r="HC184" s="122"/>
      <c r="HD184" s="122"/>
      <c r="HE184" s="122"/>
      <c r="HF184" s="122"/>
      <c r="HG184" s="122"/>
      <c r="HH184" s="122"/>
      <c r="HI184" s="122"/>
      <c r="HJ184" s="122"/>
      <c r="HK184" s="122"/>
      <c r="HL184" s="122"/>
      <c r="HM184" s="122"/>
      <c r="HN184" s="122"/>
      <c r="HO184" s="122"/>
      <c r="HP184" s="122"/>
      <c r="HQ184" s="122"/>
      <c r="HR184" s="122"/>
      <c r="HS184" s="122"/>
      <c r="HT184" s="122"/>
      <c r="HU184" s="122"/>
      <c r="HV184" s="122"/>
      <c r="HW184" s="122"/>
      <c r="HX184" s="122"/>
      <c r="HY184" s="122"/>
      <c r="HZ184" s="122"/>
      <c r="IA184" s="122"/>
      <c r="IB184" s="122"/>
      <c r="IC184" s="122"/>
      <c r="ID184" s="122"/>
      <c r="IE184" s="122"/>
      <c r="IF184" s="122"/>
      <c r="IG184" s="122"/>
      <c r="IH184" s="122"/>
      <c r="II184" s="122"/>
      <c r="IJ184" s="122"/>
      <c r="IK184" s="122"/>
      <c r="IL184" s="122"/>
      <c r="IM184" s="122"/>
      <c r="IN184" s="122"/>
      <c r="IO184" s="122"/>
      <c r="IP184" s="122"/>
      <c r="IQ184" s="122"/>
      <c r="IR184" s="122"/>
      <c r="IS184" s="122"/>
      <c r="IT184" s="122"/>
      <c r="IU184" s="122"/>
      <c r="IV184" s="122"/>
      <c r="IW184" s="122"/>
      <c r="IX184" s="122"/>
      <c r="IY184" s="122"/>
      <c r="IZ184" s="122"/>
      <c r="JA184" s="122"/>
      <c r="JB184" s="122"/>
      <c r="JC184" s="122"/>
      <c r="JD184" s="122"/>
      <c r="JE184" s="122"/>
      <c r="JF184" s="122"/>
      <c r="JG184" s="122"/>
      <c r="JH184" s="122"/>
      <c r="JI184" s="119">
        <f t="shared" si="2"/>
        <v>263600</v>
      </c>
      <c r="JJ184" s="379">
        <v>6275</v>
      </c>
      <c r="JK184" s="122"/>
      <c r="JL184" s="125"/>
      <c r="JM184" s="345"/>
      <c r="JN184" s="125"/>
      <c r="JO184" s="125"/>
      <c r="JP184" s="125"/>
    </row>
    <row r="185" spans="1:276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  <c r="AS185" s="122"/>
      <c r="AT185" s="122"/>
      <c r="AU185" s="122"/>
      <c r="AV185" s="122"/>
      <c r="AW185" s="122"/>
      <c r="AX185" s="122"/>
      <c r="AY185" s="122"/>
      <c r="AZ185" s="122"/>
      <c r="BA185" s="122"/>
      <c r="BB185" s="122"/>
      <c r="BC185" s="122"/>
      <c r="BD185" s="122"/>
      <c r="BE185" s="122"/>
      <c r="BF185" s="122"/>
      <c r="BG185" s="122"/>
      <c r="BH185" s="122"/>
      <c r="BI185" s="122"/>
      <c r="BJ185" s="122"/>
      <c r="BK185" s="122"/>
      <c r="BL185" s="122"/>
      <c r="BM185" s="122"/>
      <c r="BN185" s="122"/>
      <c r="BO185" s="122"/>
      <c r="BP185" s="122"/>
      <c r="BQ185" s="122"/>
      <c r="BR185" s="122"/>
      <c r="BS185" s="122"/>
      <c r="BT185" s="122"/>
      <c r="BU185" s="122"/>
      <c r="BV185" s="122"/>
      <c r="BW185" s="122"/>
      <c r="BX185" s="122"/>
      <c r="BY185" s="122"/>
      <c r="BZ185" s="122"/>
      <c r="CA185" s="122"/>
      <c r="CB185" s="122"/>
      <c r="CC185" s="122"/>
      <c r="CD185" s="122"/>
      <c r="CE185" s="122"/>
      <c r="CF185" s="122"/>
      <c r="CG185" s="122"/>
      <c r="CH185" s="122"/>
      <c r="CI185" s="122"/>
      <c r="CJ185" s="122"/>
      <c r="CK185" s="122"/>
      <c r="CL185" s="122"/>
      <c r="CM185" s="122"/>
      <c r="CN185" s="122"/>
      <c r="CO185" s="122"/>
      <c r="CP185" s="122"/>
      <c r="CQ185" s="122"/>
      <c r="CR185" s="122"/>
      <c r="CS185" s="122"/>
      <c r="CT185" s="122"/>
      <c r="CU185" s="122"/>
      <c r="CV185" s="122"/>
      <c r="CW185" s="122"/>
      <c r="CX185" s="122"/>
      <c r="CY185" s="122"/>
      <c r="CZ185" s="122"/>
      <c r="DA185" s="122"/>
      <c r="DB185" s="122"/>
      <c r="DC185" s="122"/>
      <c r="DD185" s="122"/>
      <c r="DE185" s="122"/>
      <c r="DF185" s="122"/>
      <c r="DG185" s="122"/>
      <c r="DH185" s="122"/>
      <c r="DI185" s="122"/>
      <c r="DJ185" s="122"/>
      <c r="DK185" s="122"/>
      <c r="DL185" s="122"/>
      <c r="DM185" s="122"/>
      <c r="DN185" s="122"/>
      <c r="DO185" s="122"/>
      <c r="DP185" s="122"/>
      <c r="DQ185" s="122"/>
      <c r="DR185" s="122"/>
      <c r="DS185" s="122"/>
      <c r="DT185" s="122"/>
      <c r="DU185" s="122"/>
      <c r="DV185" s="122"/>
      <c r="DW185" s="122"/>
      <c r="DX185" s="122"/>
      <c r="DY185" s="122"/>
      <c r="DZ185" s="122"/>
      <c r="EA185" s="122"/>
      <c r="EB185" s="122"/>
      <c r="EC185" s="122"/>
      <c r="ED185" s="122"/>
      <c r="EE185" s="122"/>
      <c r="EF185" s="122"/>
      <c r="EG185" s="122"/>
      <c r="EH185" s="122"/>
      <c r="EI185" s="122"/>
      <c r="EJ185" s="122"/>
      <c r="EK185" s="122"/>
      <c r="EL185" s="122"/>
      <c r="EM185" s="122"/>
      <c r="EN185" s="122"/>
      <c r="EO185" s="122"/>
      <c r="EP185" s="122"/>
      <c r="EQ185" s="122"/>
      <c r="ER185" s="122"/>
      <c r="ES185" s="122"/>
      <c r="ET185" s="122"/>
      <c r="EU185" s="122"/>
      <c r="EV185" s="122"/>
      <c r="EW185" s="122"/>
      <c r="EX185" s="122"/>
      <c r="EY185" s="122"/>
      <c r="EZ185" s="122"/>
      <c r="FA185" s="122"/>
      <c r="FB185" s="122"/>
      <c r="FC185" s="122"/>
      <c r="FD185" s="122"/>
      <c r="FE185" s="122"/>
      <c r="FF185" s="122"/>
      <c r="FG185" s="122"/>
      <c r="FH185" s="122"/>
      <c r="FI185" s="122"/>
      <c r="FJ185" s="122">
        <v>414584.2</v>
      </c>
      <c r="FK185" s="122"/>
      <c r="FL185" s="122"/>
      <c r="FM185" s="122"/>
      <c r="FN185" s="122"/>
      <c r="FO185" s="122"/>
      <c r="FP185" s="122"/>
      <c r="FQ185" s="122"/>
      <c r="FR185" s="122"/>
      <c r="FS185" s="122"/>
      <c r="FT185" s="122"/>
      <c r="FU185" s="122"/>
      <c r="FV185" s="122"/>
      <c r="FW185" s="122"/>
      <c r="FX185" s="122"/>
      <c r="FY185" s="122"/>
      <c r="FZ185" s="122"/>
      <c r="GA185" s="122"/>
      <c r="GB185" s="122"/>
      <c r="GC185" s="122"/>
      <c r="GD185" s="122"/>
      <c r="GE185" s="122"/>
      <c r="GF185" s="122"/>
      <c r="GG185" s="122"/>
      <c r="GH185" s="122"/>
      <c r="GI185" s="122"/>
      <c r="GJ185" s="122"/>
      <c r="GK185" s="122"/>
      <c r="GL185" s="122"/>
      <c r="GM185" s="122"/>
      <c r="GN185" s="122"/>
      <c r="GO185" s="122"/>
      <c r="GP185" s="122"/>
      <c r="GQ185" s="122"/>
      <c r="GR185" s="122"/>
      <c r="GS185" s="122"/>
      <c r="GT185" s="122"/>
      <c r="GU185" s="122"/>
      <c r="GV185" s="122"/>
      <c r="GW185" s="122"/>
      <c r="GX185" s="122"/>
      <c r="GY185" s="122"/>
      <c r="GZ185" s="122"/>
      <c r="HA185" s="122"/>
      <c r="HB185" s="122"/>
      <c r="HC185" s="122"/>
      <c r="HD185" s="122"/>
      <c r="HE185" s="122"/>
      <c r="HF185" s="122"/>
      <c r="HG185" s="122"/>
      <c r="HH185" s="122"/>
      <c r="HI185" s="122"/>
      <c r="HJ185" s="122"/>
      <c r="HK185" s="122"/>
      <c r="HL185" s="122"/>
      <c r="HM185" s="122"/>
      <c r="HN185" s="122"/>
      <c r="HO185" s="122"/>
      <c r="HP185" s="122"/>
      <c r="HQ185" s="122"/>
      <c r="HR185" s="122"/>
      <c r="HS185" s="122"/>
      <c r="HT185" s="122"/>
      <c r="HU185" s="122"/>
      <c r="HV185" s="122"/>
      <c r="HW185" s="122"/>
      <c r="HX185" s="122"/>
      <c r="HY185" s="122"/>
      <c r="HZ185" s="122"/>
      <c r="IA185" s="122"/>
      <c r="IB185" s="122"/>
      <c r="IC185" s="122"/>
      <c r="ID185" s="122"/>
      <c r="IE185" s="122"/>
      <c r="IF185" s="122"/>
      <c r="IG185" s="122"/>
      <c r="IH185" s="122"/>
      <c r="II185" s="122"/>
      <c r="IJ185" s="122"/>
      <c r="IK185" s="122"/>
      <c r="IL185" s="122"/>
      <c r="IM185" s="122"/>
      <c r="IN185" s="122"/>
      <c r="IO185" s="122"/>
      <c r="IP185" s="122"/>
      <c r="IQ185" s="122"/>
      <c r="IR185" s="122"/>
      <c r="IS185" s="122"/>
      <c r="IT185" s="122"/>
      <c r="IU185" s="122"/>
      <c r="IV185" s="122"/>
      <c r="IW185" s="122"/>
      <c r="IX185" s="122"/>
      <c r="IY185" s="122"/>
      <c r="IZ185" s="122"/>
      <c r="JA185" s="122"/>
      <c r="JB185" s="122"/>
      <c r="JC185" s="122"/>
      <c r="JD185" s="122"/>
      <c r="JE185" s="122"/>
      <c r="JF185" s="122"/>
      <c r="JG185" s="122"/>
      <c r="JH185" s="122"/>
      <c r="JI185" s="119">
        <f t="shared" si="2"/>
        <v>414584.2</v>
      </c>
      <c r="JJ185" s="379">
        <v>6280</v>
      </c>
      <c r="JK185" s="122"/>
      <c r="JL185" s="125"/>
      <c r="JM185" s="345"/>
      <c r="JN185" s="125"/>
      <c r="JO185" s="125"/>
      <c r="JP185" s="125"/>
    </row>
    <row r="186" spans="1:27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  <c r="AS186" s="122"/>
      <c r="AT186" s="122"/>
      <c r="AU186" s="122"/>
      <c r="AV186" s="122"/>
      <c r="AW186" s="122"/>
      <c r="AX186" s="122"/>
      <c r="AY186" s="122"/>
      <c r="AZ186" s="122"/>
      <c r="BA186" s="122"/>
      <c r="BB186" s="122"/>
      <c r="BC186" s="122"/>
      <c r="BD186" s="122"/>
      <c r="BE186" s="122"/>
      <c r="BF186" s="122"/>
      <c r="BG186" s="122"/>
      <c r="BH186" s="122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122"/>
      <c r="BS186" s="122"/>
      <c r="BT186" s="122"/>
      <c r="BU186" s="122"/>
      <c r="BV186" s="122"/>
      <c r="BW186" s="122"/>
      <c r="BX186" s="122"/>
      <c r="BY186" s="122"/>
      <c r="BZ186" s="122"/>
      <c r="CA186" s="122"/>
      <c r="CB186" s="122"/>
      <c r="CC186" s="122"/>
      <c r="CD186" s="122"/>
      <c r="CE186" s="122"/>
      <c r="CF186" s="122"/>
      <c r="CG186" s="122"/>
      <c r="CH186" s="122"/>
      <c r="CI186" s="122"/>
      <c r="CJ186" s="122"/>
      <c r="CK186" s="122"/>
      <c r="CL186" s="122"/>
      <c r="CM186" s="122"/>
      <c r="CN186" s="122"/>
      <c r="CO186" s="122"/>
      <c r="CP186" s="122"/>
      <c r="CQ186" s="122"/>
      <c r="CR186" s="122"/>
      <c r="CS186" s="122"/>
      <c r="CT186" s="122"/>
      <c r="CU186" s="122"/>
      <c r="CV186" s="122"/>
      <c r="CW186" s="122"/>
      <c r="CX186" s="122"/>
      <c r="CY186" s="122"/>
      <c r="CZ186" s="122"/>
      <c r="DA186" s="122"/>
      <c r="DB186" s="122"/>
      <c r="DC186" s="122"/>
      <c r="DD186" s="122"/>
      <c r="DE186" s="122"/>
      <c r="DF186" s="122"/>
      <c r="DG186" s="122"/>
      <c r="DH186" s="122"/>
      <c r="DI186" s="122"/>
      <c r="DJ186" s="122"/>
      <c r="DK186" s="122"/>
      <c r="DL186" s="122"/>
      <c r="DM186" s="122"/>
      <c r="DN186" s="122"/>
      <c r="DO186" s="122"/>
      <c r="DP186" s="122"/>
      <c r="DQ186" s="122"/>
      <c r="DR186" s="122"/>
      <c r="DS186" s="122"/>
      <c r="DT186" s="122"/>
      <c r="DU186" s="122"/>
      <c r="DV186" s="122"/>
      <c r="DW186" s="122"/>
      <c r="DX186" s="122"/>
      <c r="DY186" s="122"/>
      <c r="DZ186" s="122"/>
      <c r="EA186" s="122"/>
      <c r="EB186" s="122"/>
      <c r="EC186" s="122"/>
      <c r="ED186" s="122"/>
      <c r="EE186" s="122"/>
      <c r="EF186" s="122"/>
      <c r="EG186" s="122"/>
      <c r="EH186" s="122"/>
      <c r="EI186" s="122"/>
      <c r="EJ186" s="122"/>
      <c r="EK186" s="122"/>
      <c r="EL186" s="122"/>
      <c r="EM186" s="122"/>
      <c r="EN186" s="122"/>
      <c r="EO186" s="122"/>
      <c r="EP186" s="122"/>
      <c r="EQ186" s="122"/>
      <c r="ER186" s="122"/>
      <c r="ES186" s="122"/>
      <c r="ET186" s="122"/>
      <c r="EU186" s="122"/>
      <c r="EV186" s="122"/>
      <c r="EW186" s="122"/>
      <c r="EX186" s="122"/>
      <c r="EY186" s="122"/>
      <c r="EZ186" s="122"/>
      <c r="FA186" s="122"/>
      <c r="FB186" s="122"/>
      <c r="FC186" s="122"/>
      <c r="FD186" s="122"/>
      <c r="FE186" s="122"/>
      <c r="FF186" s="122"/>
      <c r="FG186" s="122"/>
      <c r="FH186" s="122"/>
      <c r="FI186" s="122"/>
      <c r="FJ186" s="122">
        <v>292248</v>
      </c>
      <c r="FK186" s="122"/>
      <c r="FL186" s="122"/>
      <c r="FM186" s="122"/>
      <c r="FN186" s="122"/>
      <c r="FO186" s="122"/>
      <c r="FP186" s="122"/>
      <c r="FQ186" s="122"/>
      <c r="FR186" s="122"/>
      <c r="FS186" s="122"/>
      <c r="FT186" s="122"/>
      <c r="FU186" s="122"/>
      <c r="FV186" s="122"/>
      <c r="FW186" s="122"/>
      <c r="FX186" s="122"/>
      <c r="FY186" s="122"/>
      <c r="FZ186" s="122"/>
      <c r="GA186" s="122"/>
      <c r="GB186" s="122"/>
      <c r="GC186" s="122"/>
      <c r="GD186" s="122"/>
      <c r="GE186" s="122"/>
      <c r="GF186" s="122"/>
      <c r="GG186" s="122"/>
      <c r="GH186" s="122"/>
      <c r="GI186" s="122"/>
      <c r="GJ186" s="122"/>
      <c r="GK186" s="122"/>
      <c r="GL186" s="122"/>
      <c r="GM186" s="122"/>
      <c r="GN186" s="122"/>
      <c r="GO186" s="122"/>
      <c r="GP186" s="122"/>
      <c r="GQ186" s="122"/>
      <c r="GR186" s="122"/>
      <c r="GS186" s="122"/>
      <c r="GT186" s="122"/>
      <c r="GU186" s="122"/>
      <c r="GV186" s="122"/>
      <c r="GW186" s="122"/>
      <c r="GX186" s="122"/>
      <c r="GY186" s="122"/>
      <c r="GZ186" s="122"/>
      <c r="HA186" s="122"/>
      <c r="HB186" s="122"/>
      <c r="HC186" s="122"/>
      <c r="HD186" s="122"/>
      <c r="HE186" s="122"/>
      <c r="HF186" s="122"/>
      <c r="HG186" s="122"/>
      <c r="HH186" s="122"/>
      <c r="HI186" s="122"/>
      <c r="HJ186" s="122"/>
      <c r="HK186" s="122"/>
      <c r="HL186" s="122"/>
      <c r="HM186" s="122"/>
      <c r="HN186" s="122"/>
      <c r="HO186" s="122"/>
      <c r="HP186" s="122"/>
      <c r="HQ186" s="122"/>
      <c r="HR186" s="122"/>
      <c r="HS186" s="122"/>
      <c r="HT186" s="122"/>
      <c r="HU186" s="122"/>
      <c r="HV186" s="122"/>
      <c r="HW186" s="122"/>
      <c r="HX186" s="122"/>
      <c r="HY186" s="122"/>
      <c r="HZ186" s="122"/>
      <c r="IA186" s="122"/>
      <c r="IB186" s="122"/>
      <c r="IC186" s="122"/>
      <c r="ID186" s="122"/>
      <c r="IE186" s="122"/>
      <c r="IF186" s="122"/>
      <c r="IG186" s="122"/>
      <c r="IH186" s="122"/>
      <c r="II186" s="122"/>
      <c r="IJ186" s="122"/>
      <c r="IK186" s="122"/>
      <c r="IL186" s="122"/>
      <c r="IM186" s="122"/>
      <c r="IN186" s="122"/>
      <c r="IO186" s="122"/>
      <c r="IP186" s="122"/>
      <c r="IQ186" s="122"/>
      <c r="IR186" s="122"/>
      <c r="IS186" s="122"/>
      <c r="IT186" s="122"/>
      <c r="IU186" s="122"/>
      <c r="IV186" s="122"/>
      <c r="IW186" s="122"/>
      <c r="IX186" s="122"/>
      <c r="IY186" s="122"/>
      <c r="IZ186" s="122"/>
      <c r="JA186" s="122"/>
      <c r="JB186" s="122"/>
      <c r="JC186" s="122"/>
      <c r="JD186" s="122"/>
      <c r="JE186" s="122"/>
      <c r="JF186" s="122"/>
      <c r="JG186" s="122"/>
      <c r="JH186" s="122"/>
      <c r="JI186" s="119">
        <f t="shared" si="2"/>
        <v>292248</v>
      </c>
      <c r="JJ186" s="379">
        <v>6285</v>
      </c>
      <c r="JK186" s="122"/>
      <c r="JL186" s="125"/>
      <c r="JM186" s="345"/>
      <c r="JN186" s="125"/>
      <c r="JO186" s="125"/>
      <c r="JP186" s="125"/>
    </row>
    <row r="187" spans="1:276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2"/>
      <c r="AU187" s="122"/>
      <c r="AV187" s="122"/>
      <c r="AW187" s="122"/>
      <c r="AX187" s="122"/>
      <c r="AY187" s="122"/>
      <c r="AZ187" s="122"/>
      <c r="BA187" s="122"/>
      <c r="BB187" s="122"/>
      <c r="BC187" s="122"/>
      <c r="BD187" s="122"/>
      <c r="BE187" s="122"/>
      <c r="BF187" s="122"/>
      <c r="BG187" s="122"/>
      <c r="BH187" s="122"/>
      <c r="BI187" s="122"/>
      <c r="BJ187" s="122"/>
      <c r="BK187" s="122"/>
      <c r="BL187" s="122"/>
      <c r="BM187" s="122"/>
      <c r="BN187" s="122"/>
      <c r="BO187" s="122"/>
      <c r="BP187" s="122"/>
      <c r="BQ187" s="122"/>
      <c r="BR187" s="122"/>
      <c r="BS187" s="122"/>
      <c r="BT187" s="122"/>
      <c r="BU187" s="122"/>
      <c r="BV187" s="122"/>
      <c r="BW187" s="122"/>
      <c r="BX187" s="122"/>
      <c r="BY187" s="122"/>
      <c r="BZ187" s="122"/>
      <c r="CA187" s="122"/>
      <c r="CB187" s="122"/>
      <c r="CC187" s="122"/>
      <c r="CD187" s="122"/>
      <c r="CE187" s="122"/>
      <c r="CF187" s="122"/>
      <c r="CG187" s="122"/>
      <c r="CH187" s="122"/>
      <c r="CI187" s="122"/>
      <c r="CJ187" s="122"/>
      <c r="CK187" s="122"/>
      <c r="CL187" s="122"/>
      <c r="CM187" s="122"/>
      <c r="CN187" s="122"/>
      <c r="CO187" s="122"/>
      <c r="CP187" s="122"/>
      <c r="CQ187" s="122"/>
      <c r="CR187" s="122"/>
      <c r="CS187" s="122"/>
      <c r="CT187" s="122"/>
      <c r="CU187" s="122"/>
      <c r="CV187" s="122"/>
      <c r="CW187" s="122"/>
      <c r="CX187" s="122"/>
      <c r="CY187" s="122"/>
      <c r="CZ187" s="122"/>
      <c r="DA187" s="122"/>
      <c r="DB187" s="122"/>
      <c r="DC187" s="122"/>
      <c r="DD187" s="122"/>
      <c r="DE187" s="122"/>
      <c r="DF187" s="122"/>
      <c r="DG187" s="122"/>
      <c r="DH187" s="122"/>
      <c r="DI187" s="122"/>
      <c r="DJ187" s="122"/>
      <c r="DK187" s="122"/>
      <c r="DL187" s="122"/>
      <c r="DM187" s="122"/>
      <c r="DN187" s="122"/>
      <c r="DO187" s="122"/>
      <c r="DP187" s="122"/>
      <c r="DQ187" s="122"/>
      <c r="DR187" s="122"/>
      <c r="DS187" s="122"/>
      <c r="DT187" s="122"/>
      <c r="DU187" s="122"/>
      <c r="DV187" s="122"/>
      <c r="DW187" s="122"/>
      <c r="DX187" s="122"/>
      <c r="DY187" s="122"/>
      <c r="DZ187" s="122"/>
      <c r="EA187" s="122"/>
      <c r="EB187" s="122"/>
      <c r="EC187" s="122"/>
      <c r="ED187" s="122"/>
      <c r="EE187" s="122"/>
      <c r="EF187" s="122"/>
      <c r="EG187" s="122"/>
      <c r="EH187" s="122"/>
      <c r="EI187" s="122"/>
      <c r="EJ187" s="122"/>
      <c r="EK187" s="122"/>
      <c r="EL187" s="122"/>
      <c r="EM187" s="122"/>
      <c r="EN187" s="122"/>
      <c r="EO187" s="122"/>
      <c r="EP187" s="122"/>
      <c r="EQ187" s="122"/>
      <c r="ER187" s="122"/>
      <c r="ES187" s="122"/>
      <c r="ET187" s="122"/>
      <c r="EU187" s="122"/>
      <c r="EV187" s="122"/>
      <c r="EW187" s="122"/>
      <c r="EX187" s="122"/>
      <c r="EY187" s="122"/>
      <c r="EZ187" s="122"/>
      <c r="FA187" s="122"/>
      <c r="FB187" s="122"/>
      <c r="FC187" s="122"/>
      <c r="FD187" s="122"/>
      <c r="FE187" s="122"/>
      <c r="FF187" s="122"/>
      <c r="FG187" s="122"/>
      <c r="FH187" s="122"/>
      <c r="FI187" s="122"/>
      <c r="FJ187" s="122"/>
      <c r="FK187" s="122"/>
      <c r="FL187" s="122"/>
      <c r="FM187" s="122"/>
      <c r="FN187" s="122"/>
      <c r="FO187" s="122"/>
      <c r="FP187" s="122"/>
      <c r="FQ187" s="122"/>
      <c r="FR187" s="122"/>
      <c r="FS187" s="122"/>
      <c r="FT187" s="122"/>
      <c r="FU187" s="122"/>
      <c r="FV187" s="122"/>
      <c r="FW187" s="122"/>
      <c r="FX187" s="122"/>
      <c r="FY187" s="122"/>
      <c r="FZ187" s="122"/>
      <c r="GA187" s="122"/>
      <c r="GB187" s="122"/>
      <c r="GC187" s="122"/>
      <c r="GD187" s="122"/>
      <c r="GE187" s="122"/>
      <c r="GF187" s="122"/>
      <c r="GG187" s="122"/>
      <c r="GH187" s="122">
        <v>63690.26</v>
      </c>
      <c r="GI187" s="122"/>
      <c r="GJ187" s="122"/>
      <c r="GK187" s="122"/>
      <c r="GL187" s="122"/>
      <c r="GM187" s="122"/>
      <c r="GN187" s="122"/>
      <c r="GO187" s="122"/>
      <c r="GP187" s="122"/>
      <c r="GQ187" s="122">
        <v>43629.440000000002</v>
      </c>
      <c r="GR187" s="122"/>
      <c r="GS187" s="122"/>
      <c r="GT187" s="122"/>
      <c r="GU187" s="122"/>
      <c r="GV187" s="122"/>
      <c r="GW187" s="122"/>
      <c r="GX187" s="122"/>
      <c r="GY187" s="122"/>
      <c r="GZ187" s="122"/>
      <c r="HA187" s="122"/>
      <c r="HB187" s="122"/>
      <c r="HC187" s="122"/>
      <c r="HD187" s="122"/>
      <c r="HE187" s="122"/>
      <c r="HF187" s="122"/>
      <c r="HG187" s="122"/>
      <c r="HH187" s="122"/>
      <c r="HI187" s="122"/>
      <c r="HJ187" s="122"/>
      <c r="HK187" s="122"/>
      <c r="HL187" s="122"/>
      <c r="HM187" s="122"/>
      <c r="HN187" s="122"/>
      <c r="HO187" s="122"/>
      <c r="HP187" s="122"/>
      <c r="HQ187" s="122"/>
      <c r="HR187" s="122"/>
      <c r="HS187" s="122"/>
      <c r="HT187" s="122"/>
      <c r="HU187" s="122"/>
      <c r="HV187" s="122"/>
      <c r="HW187" s="122"/>
      <c r="HX187" s="122"/>
      <c r="HY187" s="122"/>
      <c r="HZ187" s="122"/>
      <c r="IA187" s="122"/>
      <c r="IB187" s="122"/>
      <c r="IC187" s="122"/>
      <c r="ID187" s="122"/>
      <c r="IE187" s="122"/>
      <c r="IF187" s="122"/>
      <c r="IG187" s="122"/>
      <c r="IH187" s="122"/>
      <c r="II187" s="122"/>
      <c r="IJ187" s="122"/>
      <c r="IK187" s="122"/>
      <c r="IL187" s="122"/>
      <c r="IM187" s="122"/>
      <c r="IN187" s="122"/>
      <c r="IO187" s="122"/>
      <c r="IP187" s="122"/>
      <c r="IQ187" s="122"/>
      <c r="IR187" s="122"/>
      <c r="IS187" s="122"/>
      <c r="IT187" s="122"/>
      <c r="IU187" s="122"/>
      <c r="IV187" s="122"/>
      <c r="IW187" s="122"/>
      <c r="IX187" s="122"/>
      <c r="IY187" s="122"/>
      <c r="IZ187" s="122"/>
      <c r="JA187" s="122"/>
      <c r="JB187" s="122"/>
      <c r="JC187" s="122"/>
      <c r="JD187" s="122"/>
      <c r="JE187" s="122"/>
      <c r="JF187" s="122"/>
      <c r="JG187" s="122"/>
      <c r="JH187" s="122"/>
      <c r="JI187" s="119">
        <f t="shared" si="2"/>
        <v>107319.70000000001</v>
      </c>
      <c r="JJ187" s="379">
        <v>6287</v>
      </c>
      <c r="JK187" s="122"/>
      <c r="JL187" s="125"/>
      <c r="JM187" s="345"/>
      <c r="JN187" s="125"/>
      <c r="JO187" s="125"/>
      <c r="JP187" s="125"/>
    </row>
    <row r="188" spans="1:276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  <c r="AT188" s="122"/>
      <c r="AU188" s="122"/>
      <c r="AV188" s="122"/>
      <c r="AW188" s="122"/>
      <c r="AX188" s="122"/>
      <c r="AY188" s="122"/>
      <c r="AZ188" s="122"/>
      <c r="BA188" s="122"/>
      <c r="BB188" s="122"/>
      <c r="BC188" s="122"/>
      <c r="BD188" s="122"/>
      <c r="BE188" s="122"/>
      <c r="BF188" s="122"/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122"/>
      <c r="BS188" s="122"/>
      <c r="BT188" s="122"/>
      <c r="BU188" s="122"/>
      <c r="BV188" s="122"/>
      <c r="BW188" s="122"/>
      <c r="BX188" s="122"/>
      <c r="BY188" s="122"/>
      <c r="BZ188" s="122"/>
      <c r="CA188" s="122"/>
      <c r="CB188" s="122"/>
      <c r="CC188" s="122"/>
      <c r="CD188" s="122"/>
      <c r="CE188" s="122"/>
      <c r="CF188" s="122"/>
      <c r="CG188" s="122"/>
      <c r="CH188" s="122"/>
      <c r="CI188" s="122"/>
      <c r="CJ188" s="122"/>
      <c r="CK188" s="122"/>
      <c r="CL188" s="122"/>
      <c r="CM188" s="122"/>
      <c r="CN188" s="122"/>
      <c r="CO188" s="122"/>
      <c r="CP188" s="122"/>
      <c r="CQ188" s="122"/>
      <c r="CR188" s="122"/>
      <c r="CS188" s="122"/>
      <c r="CT188" s="122"/>
      <c r="CU188" s="122"/>
      <c r="CV188" s="122"/>
      <c r="CW188" s="122"/>
      <c r="CX188" s="122"/>
      <c r="CY188" s="122"/>
      <c r="CZ188" s="122"/>
      <c r="DA188" s="122"/>
      <c r="DB188" s="122"/>
      <c r="DC188" s="122"/>
      <c r="DD188" s="122"/>
      <c r="DE188" s="122"/>
      <c r="DF188" s="122"/>
      <c r="DG188" s="122"/>
      <c r="DH188" s="122"/>
      <c r="DI188" s="122"/>
      <c r="DJ188" s="122"/>
      <c r="DK188" s="122"/>
      <c r="DL188" s="122"/>
      <c r="DM188" s="122"/>
      <c r="DN188" s="122"/>
      <c r="DO188" s="122"/>
      <c r="DP188" s="122"/>
      <c r="DQ188" s="122"/>
      <c r="DR188" s="122"/>
      <c r="DS188" s="122"/>
      <c r="DT188" s="122"/>
      <c r="DU188" s="122"/>
      <c r="DV188" s="122"/>
      <c r="DW188" s="122"/>
      <c r="DX188" s="122"/>
      <c r="DY188" s="122"/>
      <c r="DZ188" s="122"/>
      <c r="EA188" s="122"/>
      <c r="EB188" s="122"/>
      <c r="EC188" s="122"/>
      <c r="ED188" s="122"/>
      <c r="EE188" s="122"/>
      <c r="EF188" s="122"/>
      <c r="EG188" s="122"/>
      <c r="EH188" s="122"/>
      <c r="EI188" s="122"/>
      <c r="EJ188" s="122"/>
      <c r="EK188" s="122"/>
      <c r="EL188" s="122"/>
      <c r="EM188" s="122"/>
      <c r="EN188" s="122"/>
      <c r="EO188" s="122"/>
      <c r="EP188" s="122"/>
      <c r="EQ188" s="122"/>
      <c r="ER188" s="122"/>
      <c r="ES188" s="122"/>
      <c r="ET188" s="122"/>
      <c r="EU188" s="122"/>
      <c r="EV188" s="122"/>
      <c r="EW188" s="122"/>
      <c r="EX188" s="122"/>
      <c r="EY188" s="122"/>
      <c r="EZ188" s="122"/>
      <c r="FA188" s="122"/>
      <c r="FB188" s="122"/>
      <c r="FC188" s="122"/>
      <c r="FD188" s="122"/>
      <c r="FE188" s="122"/>
      <c r="FF188" s="122"/>
      <c r="FG188" s="122"/>
      <c r="FH188" s="122"/>
      <c r="FI188" s="122"/>
      <c r="FJ188" s="122"/>
      <c r="FK188" s="122"/>
      <c r="FL188" s="122"/>
      <c r="FM188" s="122"/>
      <c r="FN188" s="122"/>
      <c r="FO188" s="122"/>
      <c r="FP188" s="122"/>
      <c r="FQ188" s="122"/>
      <c r="FR188" s="122"/>
      <c r="FS188" s="122"/>
      <c r="FT188" s="122"/>
      <c r="FU188" s="122"/>
      <c r="FV188" s="122"/>
      <c r="FW188" s="122"/>
      <c r="FX188" s="122"/>
      <c r="FY188" s="122"/>
      <c r="FZ188" s="122"/>
      <c r="GA188" s="122"/>
      <c r="GB188" s="122"/>
      <c r="GC188" s="122"/>
      <c r="GD188" s="122"/>
      <c r="GE188" s="122"/>
      <c r="GF188" s="122"/>
      <c r="GG188" s="122"/>
      <c r="GH188" s="122"/>
      <c r="GI188" s="122"/>
      <c r="GJ188" s="122"/>
      <c r="GK188" s="122"/>
      <c r="GL188" s="122"/>
      <c r="GM188" s="122"/>
      <c r="GN188" s="122"/>
      <c r="GO188" s="122"/>
      <c r="GP188" s="122"/>
      <c r="GQ188" s="122">
        <v>58292</v>
      </c>
      <c r="GR188" s="122"/>
      <c r="GS188" s="122"/>
      <c r="GT188" s="122"/>
      <c r="GU188" s="122"/>
      <c r="GV188" s="122"/>
      <c r="GW188" s="122"/>
      <c r="GX188" s="122"/>
      <c r="GY188" s="122"/>
      <c r="GZ188" s="122"/>
      <c r="HA188" s="122"/>
      <c r="HB188" s="122"/>
      <c r="HC188" s="122"/>
      <c r="HD188" s="122"/>
      <c r="HE188" s="122"/>
      <c r="HF188" s="122"/>
      <c r="HG188" s="122"/>
      <c r="HH188" s="122"/>
      <c r="HI188" s="122"/>
      <c r="HJ188" s="122"/>
      <c r="HK188" s="122"/>
      <c r="HL188" s="122"/>
      <c r="HM188" s="122"/>
      <c r="HN188" s="122"/>
      <c r="HO188" s="122"/>
      <c r="HP188" s="122"/>
      <c r="HQ188" s="122"/>
      <c r="HR188" s="122"/>
      <c r="HS188" s="122"/>
      <c r="HT188" s="122"/>
      <c r="HU188" s="122"/>
      <c r="HV188" s="122"/>
      <c r="HW188" s="122"/>
      <c r="HX188" s="122"/>
      <c r="HY188" s="122"/>
      <c r="HZ188" s="122"/>
      <c r="IA188" s="122"/>
      <c r="IB188" s="122"/>
      <c r="IC188" s="122"/>
      <c r="ID188" s="122"/>
      <c r="IE188" s="122"/>
      <c r="IF188" s="122"/>
      <c r="IG188" s="122"/>
      <c r="IH188" s="122"/>
      <c r="II188" s="122"/>
      <c r="IJ188" s="122"/>
      <c r="IK188" s="122"/>
      <c r="IL188" s="122"/>
      <c r="IM188" s="122"/>
      <c r="IN188" s="122"/>
      <c r="IO188" s="122"/>
      <c r="IP188" s="122"/>
      <c r="IQ188" s="122"/>
      <c r="IR188" s="122"/>
      <c r="IS188" s="122"/>
      <c r="IT188" s="122"/>
      <c r="IU188" s="122"/>
      <c r="IV188" s="122"/>
      <c r="IW188" s="122"/>
      <c r="IX188" s="122"/>
      <c r="IY188" s="122"/>
      <c r="IZ188" s="122"/>
      <c r="JA188" s="122"/>
      <c r="JB188" s="122"/>
      <c r="JC188" s="122"/>
      <c r="JD188" s="122"/>
      <c r="JE188" s="122"/>
      <c r="JF188" s="122"/>
      <c r="JG188" s="122"/>
      <c r="JH188" s="122"/>
      <c r="JI188" s="119">
        <f t="shared" si="2"/>
        <v>58292</v>
      </c>
      <c r="JJ188" s="379">
        <v>6291</v>
      </c>
      <c r="JK188" s="122"/>
      <c r="JL188" s="125"/>
      <c r="JM188" s="345"/>
      <c r="JN188" s="125"/>
      <c r="JO188" s="125"/>
      <c r="JP188" s="125"/>
    </row>
    <row r="189" spans="1:276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  <c r="AT189" s="122"/>
      <c r="AU189" s="122"/>
      <c r="AV189" s="122"/>
      <c r="AW189" s="122"/>
      <c r="AX189" s="122"/>
      <c r="AY189" s="122"/>
      <c r="AZ189" s="122"/>
      <c r="BA189" s="122"/>
      <c r="BB189" s="122"/>
      <c r="BC189" s="122"/>
      <c r="BD189" s="122"/>
      <c r="BE189" s="122"/>
      <c r="BF189" s="122"/>
      <c r="BG189" s="122"/>
      <c r="BH189" s="122"/>
      <c r="BI189" s="122"/>
      <c r="BJ189" s="122"/>
      <c r="BK189" s="122"/>
      <c r="BL189" s="122"/>
      <c r="BM189" s="122"/>
      <c r="BN189" s="122"/>
      <c r="BO189" s="122"/>
      <c r="BP189" s="122"/>
      <c r="BQ189" s="122"/>
      <c r="BR189" s="122"/>
      <c r="BS189" s="122"/>
      <c r="BT189" s="122"/>
      <c r="BU189" s="122"/>
      <c r="BV189" s="122"/>
      <c r="BW189" s="122"/>
      <c r="BX189" s="122"/>
      <c r="BY189" s="122"/>
      <c r="BZ189" s="122"/>
      <c r="CA189" s="122"/>
      <c r="CB189" s="122"/>
      <c r="CC189" s="122"/>
      <c r="CD189" s="122"/>
      <c r="CE189" s="122"/>
      <c r="CF189" s="122"/>
      <c r="CG189" s="122"/>
      <c r="CH189" s="122"/>
      <c r="CI189" s="122"/>
      <c r="CJ189" s="122"/>
      <c r="CK189" s="122"/>
      <c r="CL189" s="122"/>
      <c r="CM189" s="122"/>
      <c r="CN189" s="122"/>
      <c r="CO189" s="122"/>
      <c r="CP189" s="122"/>
      <c r="CQ189" s="122"/>
      <c r="CR189" s="122"/>
      <c r="CS189" s="122"/>
      <c r="CT189" s="122"/>
      <c r="CU189" s="122"/>
      <c r="CV189" s="122"/>
      <c r="CW189" s="122"/>
      <c r="CX189" s="122"/>
      <c r="CY189" s="122"/>
      <c r="CZ189" s="122"/>
      <c r="DA189" s="122"/>
      <c r="DB189" s="122"/>
      <c r="DC189" s="122"/>
      <c r="DD189" s="122"/>
      <c r="DE189" s="122"/>
      <c r="DF189" s="122"/>
      <c r="DG189" s="122"/>
      <c r="DH189" s="122"/>
      <c r="DI189" s="122"/>
      <c r="DJ189" s="122"/>
      <c r="DK189" s="122"/>
      <c r="DL189" s="122"/>
      <c r="DM189" s="122"/>
      <c r="DN189" s="122"/>
      <c r="DO189" s="122"/>
      <c r="DP189" s="122"/>
      <c r="DQ189" s="122"/>
      <c r="DR189" s="122"/>
      <c r="DS189" s="122"/>
      <c r="DT189" s="122"/>
      <c r="DU189" s="122"/>
      <c r="DV189" s="122"/>
      <c r="DW189" s="122"/>
      <c r="DX189" s="122"/>
      <c r="DY189" s="122"/>
      <c r="DZ189" s="122"/>
      <c r="EA189" s="122">
        <v>1552500</v>
      </c>
      <c r="EB189" s="122"/>
      <c r="EC189" s="122"/>
      <c r="ED189" s="122"/>
      <c r="EE189" s="122"/>
      <c r="EF189" s="122"/>
      <c r="EG189" s="122"/>
      <c r="EH189" s="122"/>
      <c r="EI189" s="122"/>
      <c r="EJ189" s="122"/>
      <c r="EK189" s="122"/>
      <c r="EL189" s="122"/>
      <c r="EM189" s="122"/>
      <c r="EN189" s="122"/>
      <c r="EO189" s="122"/>
      <c r="EP189" s="122"/>
      <c r="EQ189" s="122"/>
      <c r="ER189" s="122"/>
      <c r="ES189" s="122"/>
      <c r="ET189" s="122"/>
      <c r="EU189" s="122"/>
      <c r="EV189" s="122"/>
      <c r="EW189" s="122"/>
      <c r="EX189" s="122"/>
      <c r="EY189" s="122"/>
      <c r="EZ189" s="122"/>
      <c r="FA189" s="122"/>
      <c r="FB189" s="122"/>
      <c r="FC189" s="122"/>
      <c r="FD189" s="122"/>
      <c r="FE189" s="122"/>
      <c r="FF189" s="122"/>
      <c r="FG189" s="122"/>
      <c r="FH189" s="122"/>
      <c r="FI189" s="122"/>
      <c r="FJ189" s="122"/>
      <c r="FK189" s="122"/>
      <c r="FL189" s="122"/>
      <c r="FM189" s="122"/>
      <c r="FN189" s="122"/>
      <c r="FO189" s="122"/>
      <c r="FP189" s="122"/>
      <c r="FQ189" s="122"/>
      <c r="FR189" s="122"/>
      <c r="FS189" s="122"/>
      <c r="FT189" s="122"/>
      <c r="FU189" s="122"/>
      <c r="FV189" s="122"/>
      <c r="FW189" s="122"/>
      <c r="FX189" s="122"/>
      <c r="FY189" s="122"/>
      <c r="FZ189" s="122"/>
      <c r="GA189" s="122"/>
      <c r="GB189" s="122"/>
      <c r="GC189" s="122"/>
      <c r="GD189" s="122"/>
      <c r="GE189" s="122"/>
      <c r="GF189" s="122"/>
      <c r="GG189" s="122"/>
      <c r="GH189" s="122"/>
      <c r="GI189" s="122"/>
      <c r="GJ189" s="122"/>
      <c r="GK189" s="122"/>
      <c r="GL189" s="122"/>
      <c r="GM189" s="122"/>
      <c r="GN189" s="122"/>
      <c r="GO189" s="122"/>
      <c r="GP189" s="122"/>
      <c r="GQ189" s="122"/>
      <c r="GR189" s="122"/>
      <c r="GS189" s="122"/>
      <c r="GT189" s="122"/>
      <c r="GU189" s="122"/>
      <c r="GV189" s="122"/>
      <c r="GW189" s="122"/>
      <c r="GX189" s="122"/>
      <c r="GY189" s="122"/>
      <c r="GZ189" s="122"/>
      <c r="HA189" s="122"/>
      <c r="HB189" s="122"/>
      <c r="HC189" s="122"/>
      <c r="HD189" s="122"/>
      <c r="HE189" s="122"/>
      <c r="HF189" s="122"/>
      <c r="HG189" s="122"/>
      <c r="HH189" s="122"/>
      <c r="HI189" s="122"/>
      <c r="HJ189" s="122"/>
      <c r="HK189" s="122"/>
      <c r="HL189" s="122"/>
      <c r="HM189" s="122"/>
      <c r="HN189" s="122"/>
      <c r="HO189" s="122"/>
      <c r="HP189" s="122"/>
      <c r="HQ189" s="122"/>
      <c r="HR189" s="122"/>
      <c r="HS189" s="122"/>
      <c r="HT189" s="122"/>
      <c r="HU189" s="122"/>
      <c r="HV189" s="122"/>
      <c r="HW189" s="122"/>
      <c r="HX189" s="122"/>
      <c r="HY189" s="122"/>
      <c r="HZ189" s="122"/>
      <c r="IA189" s="122"/>
      <c r="IB189" s="122"/>
      <c r="IC189" s="122"/>
      <c r="ID189" s="122"/>
      <c r="IE189" s="122"/>
      <c r="IF189" s="122"/>
      <c r="IG189" s="122"/>
      <c r="IH189" s="122"/>
      <c r="II189" s="122"/>
      <c r="IJ189" s="122"/>
      <c r="IK189" s="122"/>
      <c r="IL189" s="122"/>
      <c r="IM189" s="122"/>
      <c r="IN189" s="122"/>
      <c r="IO189" s="122"/>
      <c r="IP189" s="122"/>
      <c r="IQ189" s="122"/>
      <c r="IR189" s="122"/>
      <c r="IS189" s="122"/>
      <c r="IT189" s="122"/>
      <c r="IU189" s="122"/>
      <c r="IV189" s="122"/>
      <c r="IW189" s="122"/>
      <c r="IX189" s="122"/>
      <c r="IY189" s="122"/>
      <c r="IZ189" s="122"/>
      <c r="JA189" s="122"/>
      <c r="JB189" s="122"/>
      <c r="JC189" s="122"/>
      <c r="JD189" s="122"/>
      <c r="JE189" s="122"/>
      <c r="JF189" s="122"/>
      <c r="JG189" s="122"/>
      <c r="JH189" s="122"/>
      <c r="JI189" s="119">
        <f t="shared" si="2"/>
        <v>1552500</v>
      </c>
      <c r="JJ189" s="379">
        <v>6299</v>
      </c>
      <c r="JK189" s="122"/>
      <c r="JL189" s="125"/>
      <c r="JM189" s="345"/>
      <c r="JN189" s="125"/>
      <c r="JO189" s="125"/>
      <c r="JP189" s="125"/>
    </row>
    <row r="190" spans="1:276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  <c r="AS190" s="122"/>
      <c r="AT190" s="122"/>
      <c r="AU190" s="122"/>
      <c r="AV190" s="122"/>
      <c r="AW190" s="122"/>
      <c r="AX190" s="122"/>
      <c r="AY190" s="122"/>
      <c r="AZ190" s="122"/>
      <c r="BA190" s="122"/>
      <c r="BB190" s="122"/>
      <c r="BC190" s="122"/>
      <c r="BD190" s="122"/>
      <c r="BE190" s="122"/>
      <c r="BF190" s="122"/>
      <c r="BG190" s="122"/>
      <c r="BH190" s="122"/>
      <c r="BI190" s="122"/>
      <c r="BJ190" s="122"/>
      <c r="BK190" s="122"/>
      <c r="BL190" s="122"/>
      <c r="BM190" s="122"/>
      <c r="BN190" s="122"/>
      <c r="BO190" s="122"/>
      <c r="BP190" s="122"/>
      <c r="BQ190" s="122"/>
      <c r="BR190" s="122"/>
      <c r="BS190" s="122"/>
      <c r="BT190" s="122"/>
      <c r="BU190" s="122"/>
      <c r="BV190" s="122"/>
      <c r="BW190" s="122"/>
      <c r="BX190" s="122"/>
      <c r="BY190" s="122"/>
      <c r="BZ190" s="122"/>
      <c r="CA190" s="122"/>
      <c r="CB190" s="122"/>
      <c r="CC190" s="122"/>
      <c r="CD190" s="122"/>
      <c r="CE190" s="122"/>
      <c r="CF190" s="122"/>
      <c r="CG190" s="122"/>
      <c r="CH190" s="122"/>
      <c r="CI190" s="122"/>
      <c r="CJ190" s="122"/>
      <c r="CK190" s="122"/>
      <c r="CL190" s="122"/>
      <c r="CM190" s="122"/>
      <c r="CN190" s="122"/>
      <c r="CO190" s="122"/>
      <c r="CP190" s="122"/>
      <c r="CQ190" s="122"/>
      <c r="CR190" s="122"/>
      <c r="CS190" s="122"/>
      <c r="CT190" s="122"/>
      <c r="CU190" s="122"/>
      <c r="CV190" s="122"/>
      <c r="CW190" s="122"/>
      <c r="CX190" s="122"/>
      <c r="CY190" s="122"/>
      <c r="CZ190" s="122"/>
      <c r="DA190" s="122"/>
      <c r="DB190" s="122"/>
      <c r="DC190" s="122"/>
      <c r="DD190" s="122"/>
      <c r="DE190" s="122"/>
      <c r="DF190" s="122"/>
      <c r="DG190" s="122"/>
      <c r="DH190" s="122"/>
      <c r="DI190" s="122"/>
      <c r="DJ190" s="122"/>
      <c r="DK190" s="122"/>
      <c r="DL190" s="122"/>
      <c r="DM190" s="122"/>
      <c r="DN190" s="122"/>
      <c r="DO190" s="122"/>
      <c r="DP190" s="122"/>
      <c r="DQ190" s="122"/>
      <c r="DR190" s="122"/>
      <c r="DS190" s="122"/>
      <c r="DT190" s="122"/>
      <c r="DU190" s="122"/>
      <c r="DV190" s="122"/>
      <c r="DW190" s="122"/>
      <c r="DX190" s="122"/>
      <c r="DY190" s="122"/>
      <c r="DZ190" s="122"/>
      <c r="EA190" s="122"/>
      <c r="EB190" s="122"/>
      <c r="EC190" s="122"/>
      <c r="ED190" s="122"/>
      <c r="EE190" s="122"/>
      <c r="EF190" s="122"/>
      <c r="EG190" s="122"/>
      <c r="EH190" s="122"/>
      <c r="EI190" s="122"/>
      <c r="EJ190" s="122"/>
      <c r="EK190" s="122"/>
      <c r="EL190" s="122"/>
      <c r="EM190" s="122"/>
      <c r="EN190" s="122"/>
      <c r="EO190" s="122"/>
      <c r="EP190" s="122"/>
      <c r="EQ190" s="122"/>
      <c r="ER190" s="122"/>
      <c r="ES190" s="122"/>
      <c r="ET190" s="122"/>
      <c r="EU190" s="122"/>
      <c r="EV190" s="122"/>
      <c r="EW190" s="122"/>
      <c r="EX190" s="122"/>
      <c r="EY190" s="122"/>
      <c r="EZ190" s="122"/>
      <c r="FA190" s="122"/>
      <c r="FB190" s="122"/>
      <c r="FC190" s="122"/>
      <c r="FD190" s="122"/>
      <c r="FE190" s="122"/>
      <c r="FF190" s="122"/>
      <c r="FG190" s="122"/>
      <c r="FH190" s="122"/>
      <c r="FI190" s="122"/>
      <c r="FJ190" s="122">
        <v>8645</v>
      </c>
      <c r="FK190" s="122"/>
      <c r="FL190" s="122"/>
      <c r="FM190" s="122"/>
      <c r="FN190" s="122"/>
      <c r="FO190" s="122"/>
      <c r="FP190" s="122"/>
      <c r="FQ190" s="122"/>
      <c r="FR190" s="122"/>
      <c r="FS190" s="122"/>
      <c r="FT190" s="122"/>
      <c r="FU190" s="122"/>
      <c r="FV190" s="122"/>
      <c r="FW190" s="122"/>
      <c r="FX190" s="122"/>
      <c r="FY190" s="122"/>
      <c r="FZ190" s="122"/>
      <c r="GA190" s="122"/>
      <c r="GB190" s="122"/>
      <c r="GC190" s="122"/>
      <c r="GD190" s="122"/>
      <c r="GE190" s="122"/>
      <c r="GF190" s="122"/>
      <c r="GG190" s="122"/>
      <c r="GH190" s="122"/>
      <c r="GI190" s="122"/>
      <c r="GJ190" s="122"/>
      <c r="GK190" s="122"/>
      <c r="GL190" s="122"/>
      <c r="GM190" s="122"/>
      <c r="GN190" s="122"/>
      <c r="GO190" s="122"/>
      <c r="GP190" s="122"/>
      <c r="GQ190" s="122"/>
      <c r="GR190" s="122"/>
      <c r="GS190" s="122"/>
      <c r="GT190" s="122"/>
      <c r="GU190" s="122"/>
      <c r="GV190" s="122"/>
      <c r="GW190" s="122"/>
      <c r="GX190" s="122"/>
      <c r="GY190" s="122"/>
      <c r="GZ190" s="122"/>
      <c r="HA190" s="122"/>
      <c r="HB190" s="122"/>
      <c r="HC190" s="122"/>
      <c r="HD190" s="122"/>
      <c r="HE190" s="122"/>
      <c r="HF190" s="122"/>
      <c r="HG190" s="122"/>
      <c r="HH190" s="122"/>
      <c r="HI190" s="122"/>
      <c r="HJ190" s="122"/>
      <c r="HK190" s="122"/>
      <c r="HL190" s="122"/>
      <c r="HM190" s="122"/>
      <c r="HN190" s="122"/>
      <c r="HO190" s="122"/>
      <c r="HP190" s="122"/>
      <c r="HQ190" s="122"/>
      <c r="HR190" s="122"/>
      <c r="HS190" s="122"/>
      <c r="HT190" s="122"/>
      <c r="HU190" s="122"/>
      <c r="HV190" s="122"/>
      <c r="HW190" s="122"/>
      <c r="HX190" s="122"/>
      <c r="HY190" s="122"/>
      <c r="HZ190" s="122"/>
      <c r="IA190" s="122"/>
      <c r="IB190" s="122"/>
      <c r="IC190" s="122"/>
      <c r="ID190" s="122"/>
      <c r="IE190" s="122"/>
      <c r="IF190" s="122"/>
      <c r="IG190" s="122"/>
      <c r="IH190" s="122"/>
      <c r="II190" s="122"/>
      <c r="IJ190" s="122"/>
      <c r="IK190" s="122"/>
      <c r="IL190" s="122"/>
      <c r="IM190" s="122"/>
      <c r="IN190" s="122"/>
      <c r="IO190" s="122"/>
      <c r="IP190" s="122"/>
      <c r="IQ190" s="122"/>
      <c r="IR190" s="122"/>
      <c r="IS190" s="122"/>
      <c r="IT190" s="122"/>
      <c r="IU190" s="122"/>
      <c r="IV190" s="122"/>
      <c r="IW190" s="122"/>
      <c r="IX190" s="122"/>
      <c r="IY190" s="122"/>
      <c r="IZ190" s="122"/>
      <c r="JA190" s="122"/>
      <c r="JB190" s="122"/>
      <c r="JC190" s="122"/>
      <c r="JD190" s="122"/>
      <c r="JE190" s="122"/>
      <c r="JF190" s="122"/>
      <c r="JG190" s="122"/>
      <c r="JH190" s="122"/>
      <c r="JI190" s="119">
        <f t="shared" si="2"/>
        <v>8645</v>
      </c>
      <c r="JJ190" s="379">
        <v>6303</v>
      </c>
      <c r="JK190" s="122"/>
      <c r="JL190" s="125"/>
      <c r="JM190" s="345"/>
      <c r="JN190" s="125"/>
      <c r="JO190" s="125"/>
      <c r="JP190" s="125"/>
    </row>
    <row r="191" spans="1:276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  <c r="AS191" s="122"/>
      <c r="AT191" s="122"/>
      <c r="AU191" s="122"/>
      <c r="AV191" s="122"/>
      <c r="AW191" s="122"/>
      <c r="AX191" s="122"/>
      <c r="AY191" s="122"/>
      <c r="AZ191" s="122"/>
      <c r="BA191" s="122"/>
      <c r="BB191" s="122"/>
      <c r="BC191" s="122"/>
      <c r="BD191" s="122"/>
      <c r="BE191" s="122"/>
      <c r="BF191" s="122"/>
      <c r="BG191" s="122"/>
      <c r="BH191" s="122"/>
      <c r="BI191" s="122"/>
      <c r="BJ191" s="122"/>
      <c r="BK191" s="122"/>
      <c r="BL191" s="122"/>
      <c r="BM191" s="122"/>
      <c r="BN191" s="122"/>
      <c r="BO191" s="122"/>
      <c r="BP191" s="122"/>
      <c r="BQ191" s="122"/>
      <c r="BR191" s="122"/>
      <c r="BS191" s="122"/>
      <c r="BT191" s="122"/>
      <c r="BU191" s="122"/>
      <c r="BV191" s="122"/>
      <c r="BW191" s="122"/>
      <c r="BX191" s="122"/>
      <c r="BY191" s="122"/>
      <c r="BZ191" s="122"/>
      <c r="CA191" s="122"/>
      <c r="CB191" s="122"/>
      <c r="CC191" s="122"/>
      <c r="CD191" s="122"/>
      <c r="CE191" s="122"/>
      <c r="CF191" s="122"/>
      <c r="CG191" s="122"/>
      <c r="CH191" s="122"/>
      <c r="CI191" s="122"/>
      <c r="CJ191" s="122"/>
      <c r="CK191" s="122"/>
      <c r="CL191" s="122"/>
      <c r="CM191" s="122"/>
      <c r="CN191" s="122"/>
      <c r="CO191" s="122"/>
      <c r="CP191" s="122"/>
      <c r="CQ191" s="122"/>
      <c r="CR191" s="122"/>
      <c r="CS191" s="122"/>
      <c r="CT191" s="122"/>
      <c r="CU191" s="122"/>
      <c r="CV191" s="122"/>
      <c r="CW191" s="122"/>
      <c r="CX191" s="122"/>
      <c r="CY191" s="122"/>
      <c r="CZ191" s="122"/>
      <c r="DA191" s="122"/>
      <c r="DB191" s="122"/>
      <c r="DC191" s="122"/>
      <c r="DD191" s="122"/>
      <c r="DE191" s="122"/>
      <c r="DF191" s="122"/>
      <c r="DG191" s="122"/>
      <c r="DH191" s="122"/>
      <c r="DI191" s="122"/>
      <c r="DJ191" s="122"/>
      <c r="DK191" s="122"/>
      <c r="DL191" s="122"/>
      <c r="DM191" s="122"/>
      <c r="DN191" s="122"/>
      <c r="DO191" s="122"/>
      <c r="DP191" s="122"/>
      <c r="DQ191" s="122"/>
      <c r="DR191" s="122"/>
      <c r="DS191" s="122"/>
      <c r="DT191" s="122"/>
      <c r="DU191" s="122"/>
      <c r="DV191" s="122"/>
      <c r="DW191" s="122"/>
      <c r="DX191" s="122"/>
      <c r="DY191" s="122"/>
      <c r="DZ191" s="122"/>
      <c r="EA191" s="122"/>
      <c r="EB191" s="122"/>
      <c r="EC191" s="122"/>
      <c r="ED191" s="122"/>
      <c r="EE191" s="122"/>
      <c r="EF191" s="122"/>
      <c r="EG191" s="122"/>
      <c r="EH191" s="122"/>
      <c r="EI191" s="122"/>
      <c r="EJ191" s="122"/>
      <c r="EK191" s="122"/>
      <c r="EL191" s="122"/>
      <c r="EM191" s="122"/>
      <c r="EN191" s="122"/>
      <c r="EO191" s="122"/>
      <c r="EP191" s="122"/>
      <c r="EQ191" s="122"/>
      <c r="ER191" s="122"/>
      <c r="ES191" s="122"/>
      <c r="ET191" s="122"/>
      <c r="EU191" s="122"/>
      <c r="EV191" s="122"/>
      <c r="EW191" s="122"/>
      <c r="EX191" s="122"/>
      <c r="EY191" s="122"/>
      <c r="EZ191" s="122"/>
      <c r="FA191" s="122"/>
      <c r="FB191" s="122"/>
      <c r="FC191" s="122"/>
      <c r="FD191" s="122"/>
      <c r="FE191" s="122"/>
      <c r="FF191" s="122"/>
      <c r="FG191" s="122"/>
      <c r="FH191" s="122"/>
      <c r="FI191" s="122"/>
      <c r="FJ191" s="122">
        <v>178475</v>
      </c>
      <c r="FK191" s="122"/>
      <c r="FL191" s="122"/>
      <c r="FM191" s="122"/>
      <c r="FN191" s="122"/>
      <c r="FO191" s="122"/>
      <c r="FP191" s="122"/>
      <c r="FQ191" s="122"/>
      <c r="FR191" s="122"/>
      <c r="FS191" s="122"/>
      <c r="FT191" s="122"/>
      <c r="FU191" s="122"/>
      <c r="FV191" s="122"/>
      <c r="FW191" s="122"/>
      <c r="FX191" s="122"/>
      <c r="FY191" s="122"/>
      <c r="FZ191" s="122"/>
      <c r="GA191" s="122"/>
      <c r="GB191" s="122"/>
      <c r="GC191" s="122"/>
      <c r="GD191" s="122"/>
      <c r="GE191" s="122"/>
      <c r="GF191" s="122"/>
      <c r="GG191" s="122"/>
      <c r="GH191" s="122"/>
      <c r="GI191" s="122"/>
      <c r="GJ191" s="122"/>
      <c r="GK191" s="122"/>
      <c r="GL191" s="122"/>
      <c r="GM191" s="122"/>
      <c r="GN191" s="122"/>
      <c r="GO191" s="122"/>
      <c r="GP191" s="122"/>
      <c r="GQ191" s="122"/>
      <c r="GR191" s="122"/>
      <c r="GS191" s="122"/>
      <c r="GT191" s="122"/>
      <c r="GU191" s="122"/>
      <c r="GV191" s="122"/>
      <c r="GW191" s="122"/>
      <c r="GX191" s="122"/>
      <c r="GY191" s="122"/>
      <c r="GZ191" s="122"/>
      <c r="HA191" s="122"/>
      <c r="HB191" s="122"/>
      <c r="HC191" s="122"/>
      <c r="HD191" s="122"/>
      <c r="HE191" s="122"/>
      <c r="HF191" s="122"/>
      <c r="HG191" s="122"/>
      <c r="HH191" s="122"/>
      <c r="HI191" s="122"/>
      <c r="HJ191" s="122"/>
      <c r="HK191" s="122"/>
      <c r="HL191" s="122"/>
      <c r="HM191" s="122"/>
      <c r="HN191" s="122"/>
      <c r="HO191" s="122"/>
      <c r="HP191" s="122"/>
      <c r="HQ191" s="122"/>
      <c r="HR191" s="122"/>
      <c r="HS191" s="122"/>
      <c r="HT191" s="122"/>
      <c r="HU191" s="122"/>
      <c r="HV191" s="122"/>
      <c r="HW191" s="122"/>
      <c r="HX191" s="122"/>
      <c r="HY191" s="122"/>
      <c r="HZ191" s="122"/>
      <c r="IA191" s="122"/>
      <c r="IB191" s="122"/>
      <c r="IC191" s="122"/>
      <c r="ID191" s="122"/>
      <c r="IE191" s="122"/>
      <c r="IF191" s="122"/>
      <c r="IG191" s="122"/>
      <c r="IH191" s="122"/>
      <c r="II191" s="122"/>
      <c r="IJ191" s="122"/>
      <c r="IK191" s="122"/>
      <c r="IL191" s="122"/>
      <c r="IM191" s="122"/>
      <c r="IN191" s="122"/>
      <c r="IO191" s="122"/>
      <c r="IP191" s="122"/>
      <c r="IQ191" s="122"/>
      <c r="IR191" s="122"/>
      <c r="IS191" s="122"/>
      <c r="IT191" s="122"/>
      <c r="IU191" s="122"/>
      <c r="IV191" s="122"/>
      <c r="IW191" s="122"/>
      <c r="IX191" s="122"/>
      <c r="IY191" s="122"/>
      <c r="IZ191" s="122"/>
      <c r="JA191" s="122"/>
      <c r="JB191" s="122"/>
      <c r="JC191" s="122"/>
      <c r="JD191" s="122"/>
      <c r="JE191" s="122"/>
      <c r="JF191" s="122"/>
      <c r="JG191" s="122"/>
      <c r="JH191" s="122"/>
      <c r="JI191" s="119">
        <f t="shared" si="2"/>
        <v>178475</v>
      </c>
      <c r="JJ191" s="379">
        <v>6307</v>
      </c>
      <c r="JK191" s="122"/>
      <c r="JL191" s="125"/>
      <c r="JM191" s="345"/>
      <c r="JN191" s="125"/>
      <c r="JO191" s="125"/>
      <c r="JP191" s="125"/>
    </row>
    <row r="192" spans="1:276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  <c r="AS192" s="122"/>
      <c r="AT192" s="122"/>
      <c r="AU192" s="122"/>
      <c r="AV192" s="122"/>
      <c r="AW192" s="122"/>
      <c r="AX192" s="122"/>
      <c r="AY192" s="122"/>
      <c r="AZ192" s="122"/>
      <c r="BA192" s="122"/>
      <c r="BB192" s="122"/>
      <c r="BC192" s="122"/>
      <c r="BD192" s="122"/>
      <c r="BE192" s="122"/>
      <c r="BF192" s="122"/>
      <c r="BG192" s="122"/>
      <c r="BH192" s="122"/>
      <c r="BI192" s="122"/>
      <c r="BJ192" s="122"/>
      <c r="BK192" s="122"/>
      <c r="BL192" s="122"/>
      <c r="BM192" s="122"/>
      <c r="BN192" s="122"/>
      <c r="BO192" s="122"/>
      <c r="BP192" s="122"/>
      <c r="BQ192" s="122"/>
      <c r="BR192" s="122"/>
      <c r="BS192" s="122"/>
      <c r="BT192" s="122"/>
      <c r="BU192" s="122"/>
      <c r="BV192" s="122"/>
      <c r="BW192" s="122"/>
      <c r="BX192" s="122"/>
      <c r="BY192" s="122"/>
      <c r="BZ192" s="122"/>
      <c r="CA192" s="122"/>
      <c r="CB192" s="122"/>
      <c r="CC192" s="122"/>
      <c r="CD192" s="122"/>
      <c r="CE192" s="122"/>
      <c r="CF192" s="122"/>
      <c r="CG192" s="122"/>
      <c r="CH192" s="122"/>
      <c r="CI192" s="122"/>
      <c r="CJ192" s="122"/>
      <c r="CK192" s="122"/>
      <c r="CL192" s="122"/>
      <c r="CM192" s="122"/>
      <c r="CN192" s="122"/>
      <c r="CO192" s="122"/>
      <c r="CP192" s="122"/>
      <c r="CQ192" s="122"/>
      <c r="CR192" s="122"/>
      <c r="CS192" s="122"/>
      <c r="CT192" s="122"/>
      <c r="CU192" s="122"/>
      <c r="CV192" s="122"/>
      <c r="CW192" s="122"/>
      <c r="CX192" s="122"/>
      <c r="CY192" s="122"/>
      <c r="CZ192" s="122"/>
      <c r="DA192" s="122"/>
      <c r="DB192" s="122"/>
      <c r="DC192" s="122"/>
      <c r="DD192" s="122"/>
      <c r="DE192" s="122"/>
      <c r="DF192" s="122"/>
      <c r="DG192" s="122"/>
      <c r="DH192" s="122"/>
      <c r="DI192" s="122"/>
      <c r="DJ192" s="122"/>
      <c r="DK192" s="122"/>
      <c r="DL192" s="122"/>
      <c r="DM192" s="122"/>
      <c r="DN192" s="122"/>
      <c r="DO192" s="122"/>
      <c r="DP192" s="122"/>
      <c r="DQ192" s="122"/>
      <c r="DR192" s="122"/>
      <c r="DS192" s="122"/>
      <c r="DT192" s="122"/>
      <c r="DU192" s="122"/>
      <c r="DV192" s="122"/>
      <c r="DW192" s="122"/>
      <c r="DX192" s="122"/>
      <c r="DY192" s="122"/>
      <c r="DZ192" s="122"/>
      <c r="EA192" s="122"/>
      <c r="EB192" s="122"/>
      <c r="EC192" s="122"/>
      <c r="ED192" s="122"/>
      <c r="EE192" s="122"/>
      <c r="EF192" s="122"/>
      <c r="EG192" s="122"/>
      <c r="EH192" s="122"/>
      <c r="EI192" s="122"/>
      <c r="EJ192" s="122"/>
      <c r="EK192" s="122"/>
      <c r="EL192" s="122"/>
      <c r="EM192" s="122"/>
      <c r="EN192" s="122"/>
      <c r="EO192" s="122"/>
      <c r="EP192" s="122"/>
      <c r="EQ192" s="122"/>
      <c r="ER192" s="122"/>
      <c r="ES192" s="122"/>
      <c r="ET192" s="122"/>
      <c r="EU192" s="122"/>
      <c r="EV192" s="122"/>
      <c r="EW192" s="122"/>
      <c r="EX192" s="122"/>
      <c r="EY192" s="122"/>
      <c r="EZ192" s="122"/>
      <c r="FA192" s="122"/>
      <c r="FB192" s="122"/>
      <c r="FC192" s="122"/>
      <c r="FD192" s="122"/>
      <c r="FE192" s="122"/>
      <c r="FF192" s="122"/>
      <c r="FG192" s="122"/>
      <c r="FH192" s="122"/>
      <c r="FI192" s="122"/>
      <c r="FJ192" s="122">
        <v>142839</v>
      </c>
      <c r="FK192" s="122"/>
      <c r="FL192" s="122"/>
      <c r="FM192" s="122"/>
      <c r="FN192" s="122"/>
      <c r="FO192" s="122"/>
      <c r="FP192" s="122"/>
      <c r="FQ192" s="122"/>
      <c r="FR192" s="122"/>
      <c r="FS192" s="122"/>
      <c r="FT192" s="122"/>
      <c r="FU192" s="122"/>
      <c r="FV192" s="122"/>
      <c r="FW192" s="122"/>
      <c r="FX192" s="122"/>
      <c r="FY192" s="122"/>
      <c r="FZ192" s="122"/>
      <c r="GA192" s="122"/>
      <c r="GB192" s="122"/>
      <c r="GC192" s="122"/>
      <c r="GD192" s="122"/>
      <c r="GE192" s="122"/>
      <c r="GF192" s="122"/>
      <c r="GG192" s="122"/>
      <c r="GH192" s="122"/>
      <c r="GI192" s="122"/>
      <c r="GJ192" s="122"/>
      <c r="GK192" s="122"/>
      <c r="GL192" s="122"/>
      <c r="GM192" s="122"/>
      <c r="GN192" s="122"/>
      <c r="GO192" s="122"/>
      <c r="GP192" s="122"/>
      <c r="GQ192" s="122"/>
      <c r="GR192" s="122"/>
      <c r="GS192" s="122"/>
      <c r="GT192" s="122"/>
      <c r="GU192" s="122"/>
      <c r="GV192" s="122"/>
      <c r="GW192" s="122"/>
      <c r="GX192" s="122"/>
      <c r="GY192" s="122"/>
      <c r="GZ192" s="122"/>
      <c r="HA192" s="122"/>
      <c r="HB192" s="122"/>
      <c r="HC192" s="122"/>
      <c r="HD192" s="122"/>
      <c r="HE192" s="122"/>
      <c r="HF192" s="122"/>
      <c r="HG192" s="122"/>
      <c r="HH192" s="122"/>
      <c r="HI192" s="122"/>
      <c r="HJ192" s="122"/>
      <c r="HK192" s="122"/>
      <c r="HL192" s="122"/>
      <c r="HM192" s="122"/>
      <c r="HN192" s="122"/>
      <c r="HO192" s="122"/>
      <c r="HP192" s="122"/>
      <c r="HQ192" s="122"/>
      <c r="HR192" s="122"/>
      <c r="HS192" s="122"/>
      <c r="HT192" s="122"/>
      <c r="HU192" s="122"/>
      <c r="HV192" s="122"/>
      <c r="HW192" s="122"/>
      <c r="HX192" s="122"/>
      <c r="HY192" s="122"/>
      <c r="HZ192" s="122"/>
      <c r="IA192" s="122"/>
      <c r="IB192" s="122"/>
      <c r="IC192" s="122"/>
      <c r="ID192" s="122"/>
      <c r="IE192" s="122"/>
      <c r="IF192" s="122"/>
      <c r="IG192" s="122"/>
      <c r="IH192" s="122"/>
      <c r="II192" s="122"/>
      <c r="IJ192" s="122"/>
      <c r="IK192" s="122"/>
      <c r="IL192" s="122"/>
      <c r="IM192" s="122"/>
      <c r="IN192" s="122"/>
      <c r="IO192" s="122"/>
      <c r="IP192" s="122"/>
      <c r="IQ192" s="122"/>
      <c r="IR192" s="122"/>
      <c r="IS192" s="122"/>
      <c r="IT192" s="122"/>
      <c r="IU192" s="122"/>
      <c r="IV192" s="122"/>
      <c r="IW192" s="122"/>
      <c r="IX192" s="122"/>
      <c r="IY192" s="122"/>
      <c r="IZ192" s="122"/>
      <c r="JA192" s="122"/>
      <c r="JB192" s="122"/>
      <c r="JC192" s="122"/>
      <c r="JD192" s="122"/>
      <c r="JE192" s="122"/>
      <c r="JF192" s="122"/>
      <c r="JG192" s="122"/>
      <c r="JH192" s="122"/>
      <c r="JI192" s="119">
        <f t="shared" si="2"/>
        <v>142839</v>
      </c>
      <c r="JJ192" s="379">
        <v>6311</v>
      </c>
      <c r="JK192" s="122"/>
      <c r="JL192" s="125"/>
      <c r="JM192" s="345"/>
      <c r="JN192" s="125"/>
      <c r="JO192" s="125"/>
      <c r="JP192" s="125"/>
    </row>
    <row r="193" spans="1:276">
      <c r="A193" s="119">
        <f t="shared" ref="A193" si="3">SUM(A3:A192)</f>
        <v>59174005.049999997</v>
      </c>
      <c r="B193" s="119">
        <f t="shared" ref="B193" si="4">SUM(B3:B192)</f>
        <v>0</v>
      </c>
      <c r="C193" s="119">
        <f t="shared" ref="C193" si="5">SUM(C3:C192)</f>
        <v>0</v>
      </c>
      <c r="D193" s="119">
        <f t="shared" ref="D193" si="6">SUM(D3:D192)</f>
        <v>0</v>
      </c>
      <c r="E193" s="119">
        <f t="shared" ref="E193" si="7">SUM(E3:E192)</f>
        <v>0</v>
      </c>
      <c r="F193" s="119">
        <f t="shared" ref="F193" si="8">SUM(F3:F192)</f>
        <v>0</v>
      </c>
      <c r="G193" s="119">
        <f t="shared" ref="G193" si="9">SUM(G3:G192)</f>
        <v>0</v>
      </c>
      <c r="H193" s="119">
        <f t="shared" ref="H193" si="10">SUM(H3:H192)</f>
        <v>0</v>
      </c>
      <c r="I193" s="119">
        <f t="shared" ref="I193" si="11">SUM(I3:I192)</f>
        <v>0</v>
      </c>
      <c r="J193" s="119">
        <f t="shared" ref="J193" si="12">SUM(J3:J192)</f>
        <v>1342531.03</v>
      </c>
      <c r="K193" s="119">
        <f t="shared" ref="K193" si="13">SUM(K3:K192)</f>
        <v>0</v>
      </c>
      <c r="L193" s="119">
        <f t="shared" ref="L193" si="14">SUM(L3:L192)</f>
        <v>0</v>
      </c>
      <c r="M193" s="119">
        <f t="shared" ref="M193" si="15">SUM(M3:M192)</f>
        <v>0</v>
      </c>
      <c r="N193" s="119">
        <f t="shared" ref="N193" si="16">SUM(N3:N192)</f>
        <v>0</v>
      </c>
      <c r="O193" s="119">
        <f t="shared" ref="O193" si="17">SUM(O3:O192)</f>
        <v>0</v>
      </c>
      <c r="P193" s="119">
        <f t="shared" ref="P193" si="18">SUM(P3:P192)</f>
        <v>0</v>
      </c>
      <c r="Q193" s="119">
        <f t="shared" ref="Q193" si="19">SUM(Q3:Q192)</f>
        <v>558888</v>
      </c>
      <c r="R193" s="119">
        <f t="shared" ref="R193" si="20">SUM(R3:R192)</f>
        <v>341907.01999999996</v>
      </c>
      <c r="S193" s="119">
        <f t="shared" ref="S193" si="21">SUM(S3:S192)</f>
        <v>2652914.66</v>
      </c>
      <c r="T193" s="119">
        <f t="shared" ref="T193" si="22">SUM(T3:T192)</f>
        <v>0</v>
      </c>
      <c r="U193" s="119">
        <f t="shared" ref="U193" si="23">SUM(U3:U192)</f>
        <v>0</v>
      </c>
      <c r="V193" s="119">
        <f t="shared" ref="V193" si="24">SUM(V3:V192)</f>
        <v>0</v>
      </c>
      <c r="W193" s="119">
        <f t="shared" ref="W193" si="25">SUM(W3:W192)</f>
        <v>75000</v>
      </c>
      <c r="X193" s="119">
        <f t="shared" ref="X193" si="26">SUM(X3:X192)</f>
        <v>0</v>
      </c>
      <c r="Y193" s="119">
        <f t="shared" ref="Y193" si="27">SUM(Y3:Y192)</f>
        <v>0</v>
      </c>
      <c r="Z193" s="119">
        <f t="shared" ref="Z193" si="28">SUM(Z3:Z192)</f>
        <v>301200</v>
      </c>
      <c r="AA193" s="119">
        <f t="shared" ref="AA193" si="29">SUM(AA3:AA192)</f>
        <v>0</v>
      </c>
      <c r="AB193" s="119">
        <f t="shared" ref="AB193" si="30">SUM(AB3:AB192)</f>
        <v>7959137.9900000002</v>
      </c>
      <c r="AC193" s="119">
        <f t="shared" ref="AC193" si="31">SUM(AC3:AC192)</f>
        <v>0</v>
      </c>
      <c r="AD193" s="119">
        <f t="shared" ref="AD193" si="32">SUM(AD3:AD192)</f>
        <v>0</v>
      </c>
      <c r="AE193" s="119">
        <f t="shared" ref="AE193" si="33">SUM(AE3:AE192)</f>
        <v>0</v>
      </c>
      <c r="AF193" s="119">
        <f t="shared" ref="AF193" si="34">SUM(AF3:AF192)</f>
        <v>0</v>
      </c>
      <c r="AG193" s="119">
        <f t="shared" ref="AG193" si="35">SUM(AG3:AG192)</f>
        <v>0</v>
      </c>
      <c r="AH193" s="119">
        <f t="shared" ref="AH193" si="36">SUM(AH3:AH192)</f>
        <v>0</v>
      </c>
      <c r="AI193" s="119">
        <f t="shared" ref="AI193" si="37">SUM(AI3:AI192)</f>
        <v>0</v>
      </c>
      <c r="AJ193" s="119">
        <f t="shared" ref="AJ193" si="38">SUM(AJ3:AJ192)</f>
        <v>0</v>
      </c>
      <c r="AK193" s="119">
        <f t="shared" ref="AK193" si="39">SUM(AK3:AK192)</f>
        <v>4290757.45</v>
      </c>
      <c r="AL193" s="119">
        <f t="shared" ref="AL193" si="40">SUM(AL3:AL192)</f>
        <v>4296541.5199999996</v>
      </c>
      <c r="AM193" s="119">
        <f t="shared" ref="AM193" si="41">SUM(AM3:AM192)</f>
        <v>724838.13</v>
      </c>
      <c r="AN193" s="119">
        <f t="shared" ref="AN193" si="42">SUM(AN3:AN192)</f>
        <v>0</v>
      </c>
      <c r="AO193" s="119">
        <f t="shared" ref="AO193" si="43">SUM(AO3:AO192)</f>
        <v>0</v>
      </c>
      <c r="AP193" s="119">
        <f t="shared" ref="AP193" si="44">SUM(AP3:AP192)</f>
        <v>0</v>
      </c>
      <c r="AQ193" s="119">
        <f t="shared" ref="AQ193" si="45">SUM(AQ3:AQ192)</f>
        <v>0</v>
      </c>
      <c r="AR193" s="119">
        <f t="shared" ref="AR193" si="46">SUM(AR3:AR192)</f>
        <v>0</v>
      </c>
      <c r="AS193" s="119">
        <f t="shared" ref="AS193" si="47">SUM(AS3:AS192)</f>
        <v>0</v>
      </c>
      <c r="AT193" s="119">
        <f t="shared" ref="AT193" si="48">SUM(AT3:AT192)</f>
        <v>0</v>
      </c>
      <c r="AU193" s="119">
        <f t="shared" ref="AU193" si="49">SUM(AU3:AU192)</f>
        <v>0</v>
      </c>
      <c r="AV193" s="119">
        <f t="shared" ref="AV193" si="50">SUM(AV3:AV192)</f>
        <v>211735</v>
      </c>
      <c r="AW193" s="119">
        <f t="shared" ref="AW193" si="51">SUM(AW3:AW192)</f>
        <v>0</v>
      </c>
      <c r="AX193" s="119">
        <f t="shared" ref="AX193" si="52">SUM(AX3:AX192)</f>
        <v>0</v>
      </c>
      <c r="AY193" s="119">
        <f t="shared" ref="AY193" si="53">SUM(AY3:AY192)</f>
        <v>300172.65000000002</v>
      </c>
      <c r="AZ193" s="119">
        <f t="shared" ref="AZ193" si="54">SUM(AZ3:AZ192)</f>
        <v>0</v>
      </c>
      <c r="BA193" s="119">
        <f t="shared" ref="BA193" si="55">SUM(BA3:BA192)</f>
        <v>0</v>
      </c>
      <c r="BB193" s="119">
        <f t="shared" ref="BB193" si="56">SUM(BB3:BB192)</f>
        <v>0</v>
      </c>
      <c r="BC193" s="119">
        <f t="shared" ref="BC193" si="57">SUM(BC3:BC192)</f>
        <v>0</v>
      </c>
      <c r="BD193" s="119">
        <f t="shared" ref="BD193" si="58">SUM(BD3:BD192)</f>
        <v>0</v>
      </c>
      <c r="BE193" s="119">
        <f t="shared" ref="BE193" si="59">SUM(BE3:BE192)</f>
        <v>0</v>
      </c>
      <c r="BF193" s="119">
        <f t="shared" ref="BF193" si="60">SUM(BF3:BF192)</f>
        <v>0</v>
      </c>
      <c r="BG193" s="119">
        <f t="shared" ref="BG193" si="61">SUM(BG3:BG192)</f>
        <v>0</v>
      </c>
      <c r="BH193" s="119">
        <f t="shared" ref="BH193" si="62">SUM(BH3:BH192)</f>
        <v>0</v>
      </c>
      <c r="BI193" s="119">
        <f t="shared" ref="BI193" si="63">SUM(BI3:BI192)</f>
        <v>632942.94999999995</v>
      </c>
      <c r="BJ193" s="119">
        <f t="shared" ref="BJ193" si="64">SUM(BJ3:BJ192)</f>
        <v>0</v>
      </c>
      <c r="BK193" s="119">
        <f t="shared" ref="BK193" si="65">SUM(BK3:BK192)</f>
        <v>0</v>
      </c>
      <c r="BL193" s="119">
        <f t="shared" ref="BL193" si="66">SUM(BL3:BL192)</f>
        <v>0</v>
      </c>
      <c r="BM193" s="119">
        <f t="shared" ref="BM193" si="67">SUM(BM3:BM192)</f>
        <v>0</v>
      </c>
      <c r="BN193" s="119">
        <f t="shared" ref="BN193" si="68">SUM(BN3:BN192)</f>
        <v>0</v>
      </c>
      <c r="BO193" s="119">
        <f t="shared" ref="BO193" si="69">SUM(BO3:BO192)</f>
        <v>0</v>
      </c>
      <c r="BP193" s="119">
        <f t="shared" ref="BP193" si="70">SUM(BP3:BP192)</f>
        <v>0</v>
      </c>
      <c r="BQ193" s="119">
        <f t="shared" ref="BQ193" si="71">SUM(BQ3:BQ192)</f>
        <v>0</v>
      </c>
      <c r="BR193" s="119">
        <f t="shared" ref="BR193" si="72">SUM(BR3:BR192)</f>
        <v>0</v>
      </c>
      <c r="BS193" s="119">
        <f t="shared" ref="BS193" si="73">SUM(BS3:BS192)</f>
        <v>0</v>
      </c>
      <c r="BT193" s="119">
        <f t="shared" ref="BT193" si="74">SUM(BT3:BT192)</f>
        <v>0</v>
      </c>
      <c r="BU193" s="119">
        <f t="shared" ref="BU193" si="75">SUM(BU3:BU192)</f>
        <v>0</v>
      </c>
      <c r="BV193" s="119">
        <f t="shared" ref="BV193" si="76">SUM(BV3:BV192)</f>
        <v>0</v>
      </c>
      <c r="BW193" s="119">
        <f t="shared" ref="BW193" si="77">SUM(BW3:BW192)</f>
        <v>10151865.189999999</v>
      </c>
      <c r="BX193" s="119">
        <f t="shared" ref="BX193" si="78">SUM(BX3:BX192)</f>
        <v>0</v>
      </c>
      <c r="BY193" s="119">
        <f t="shared" ref="BY193" si="79">SUM(BY3:BY192)</f>
        <v>0</v>
      </c>
      <c r="BZ193" s="119">
        <f t="shared" ref="BZ193" si="80">SUM(BZ3:BZ192)</f>
        <v>0</v>
      </c>
      <c r="CA193" s="119">
        <f t="shared" ref="CA193" si="81">SUM(CA3:CA192)</f>
        <v>0</v>
      </c>
      <c r="CB193" s="119">
        <f t="shared" ref="CB193" si="82">SUM(CB3:CB192)</f>
        <v>0</v>
      </c>
      <c r="CC193" s="119">
        <f t="shared" ref="CC193" si="83">SUM(CC3:CC192)</f>
        <v>0</v>
      </c>
      <c r="CD193" s="119">
        <f t="shared" ref="CD193" si="84">SUM(CD3:CD192)</f>
        <v>0</v>
      </c>
      <c r="CE193" s="119">
        <f t="shared" ref="CE193" si="85">SUM(CE3:CE192)</f>
        <v>0</v>
      </c>
      <c r="CF193" s="119">
        <f t="shared" ref="CF193" si="86">SUM(CF3:CF192)</f>
        <v>0</v>
      </c>
      <c r="CG193" s="119">
        <f t="shared" ref="CG193" si="87">SUM(CG3:CG192)</f>
        <v>0</v>
      </c>
      <c r="CH193" s="119">
        <f t="shared" ref="CH193" si="88">SUM(CH3:CH192)</f>
        <v>992191</v>
      </c>
      <c r="CI193" s="119">
        <f t="shared" ref="CI193" si="89">SUM(CI3:CI192)</f>
        <v>0</v>
      </c>
      <c r="CJ193" s="119">
        <f t="shared" ref="CJ193" si="90">SUM(CJ3:CJ192)</f>
        <v>0</v>
      </c>
      <c r="CK193" s="119">
        <f t="shared" ref="CK193" si="91">SUM(CK3:CK192)</f>
        <v>0</v>
      </c>
      <c r="CL193" s="119">
        <f t="shared" ref="CL193" si="92">SUM(CL3:CL192)</f>
        <v>1328349.6000000001</v>
      </c>
      <c r="CM193" s="119">
        <f t="shared" ref="CM193" si="93">SUM(CM3:CM192)</f>
        <v>0</v>
      </c>
      <c r="CN193" s="119">
        <f t="shared" ref="CN193" si="94">SUM(CN3:CN192)</f>
        <v>0</v>
      </c>
      <c r="CO193" s="119">
        <f t="shared" ref="CO193" si="95">SUM(CO3:CO192)</f>
        <v>0</v>
      </c>
      <c r="CP193" s="119">
        <f t="shared" ref="CP193" si="96">SUM(CP3:CP192)</f>
        <v>0</v>
      </c>
      <c r="CQ193" s="119">
        <f t="shared" ref="CQ193" si="97">SUM(CQ3:CQ192)</f>
        <v>0</v>
      </c>
      <c r="CR193" s="119">
        <f t="shared" ref="CR193" si="98">SUM(CR3:CR192)</f>
        <v>0</v>
      </c>
      <c r="CS193" s="119">
        <f t="shared" ref="CS193" si="99">SUM(CS3:CS192)</f>
        <v>0</v>
      </c>
      <c r="CT193" s="119">
        <f t="shared" ref="CT193" si="100">SUM(CT3:CT192)</f>
        <v>0</v>
      </c>
      <c r="CU193" s="119">
        <f t="shared" ref="CU193" si="101">SUM(CU3:CU192)</f>
        <v>0</v>
      </c>
      <c r="CV193" s="119">
        <f t="shared" ref="CV193" si="102">SUM(CV3:CV192)</f>
        <v>0</v>
      </c>
      <c r="CW193" s="119">
        <f t="shared" ref="CW193" si="103">SUM(CW3:CW192)</f>
        <v>0</v>
      </c>
      <c r="CX193" s="119">
        <f t="shared" ref="CX193" si="104">SUM(CX3:CX192)</f>
        <v>0</v>
      </c>
      <c r="CY193" s="119">
        <f t="shared" ref="CY193" si="105">SUM(CY3:CY192)</f>
        <v>0</v>
      </c>
      <c r="CZ193" s="119">
        <f t="shared" ref="CZ193" si="106">SUM(CZ3:CZ192)</f>
        <v>0</v>
      </c>
      <c r="DA193" s="119">
        <f t="shared" ref="DA193" si="107">SUM(DA3:DA192)</f>
        <v>0</v>
      </c>
      <c r="DB193" s="119">
        <f t="shared" ref="DB193" si="108">SUM(DB3:DB192)</f>
        <v>0</v>
      </c>
      <c r="DC193" s="119">
        <f t="shared" ref="DC193" si="109">SUM(DC3:DC192)</f>
        <v>0</v>
      </c>
      <c r="DD193" s="119">
        <f t="shared" ref="DD193" si="110">SUM(DD3:DD192)</f>
        <v>0</v>
      </c>
      <c r="DE193" s="119">
        <f t="shared" ref="DE193" si="111">SUM(DE3:DE192)</f>
        <v>0</v>
      </c>
      <c r="DF193" s="119">
        <f t="shared" ref="DF193" si="112">SUM(DF3:DF192)</f>
        <v>0</v>
      </c>
      <c r="DG193" s="119">
        <f t="shared" ref="DG193" si="113">SUM(DG3:DG192)</f>
        <v>0</v>
      </c>
      <c r="DH193" s="119">
        <f t="shared" ref="DH193" si="114">SUM(DH3:DH192)</f>
        <v>0</v>
      </c>
      <c r="DI193" s="119">
        <f t="shared" ref="DI193" si="115">SUM(DI3:DI192)</f>
        <v>0</v>
      </c>
      <c r="DJ193" s="119">
        <f t="shared" ref="DJ193" si="116">SUM(DJ3:DJ192)</f>
        <v>0</v>
      </c>
      <c r="DK193" s="119">
        <f t="shared" ref="DK193" si="117">SUM(DK3:DK192)</f>
        <v>5340259.88</v>
      </c>
      <c r="DL193" s="119">
        <f t="shared" ref="DL193" si="118">SUM(DL3:DL192)</f>
        <v>0</v>
      </c>
      <c r="DM193" s="119">
        <f t="shared" ref="DM193" si="119">SUM(DM3:DM192)</f>
        <v>0</v>
      </c>
      <c r="DN193" s="119">
        <f t="shared" ref="DN193" si="120">SUM(DN3:DN192)</f>
        <v>0</v>
      </c>
      <c r="DO193" s="119">
        <f t="shared" ref="DO193" si="121">SUM(DO3:DO192)</f>
        <v>0</v>
      </c>
      <c r="DP193" s="119">
        <f t="shared" ref="DP193" si="122">SUM(DP3:DP192)</f>
        <v>0</v>
      </c>
      <c r="DQ193" s="119">
        <f t="shared" ref="DQ193" si="123">SUM(DQ3:DQ192)</f>
        <v>0</v>
      </c>
      <c r="DR193" s="119">
        <f t="shared" ref="DR193" si="124">SUM(DR3:DR192)</f>
        <v>0</v>
      </c>
      <c r="DS193" s="119">
        <f t="shared" ref="DS193" si="125">SUM(DS3:DS192)</f>
        <v>317487</v>
      </c>
      <c r="DT193" s="119">
        <f t="shared" ref="DT193" si="126">SUM(DT3:DT192)</f>
        <v>0</v>
      </c>
      <c r="DU193" s="119">
        <f t="shared" ref="DU193" si="127">SUM(DU3:DU192)</f>
        <v>0</v>
      </c>
      <c r="DV193" s="119">
        <f t="shared" ref="DV193" si="128">SUM(DV3:DV192)</f>
        <v>55804.21</v>
      </c>
      <c r="DW193" s="119">
        <f t="shared" ref="DW193" si="129">SUM(DW3:DW192)</f>
        <v>271695</v>
      </c>
      <c r="DX193" s="119">
        <f t="shared" ref="DX193" si="130">SUM(DX3:DX192)</f>
        <v>0</v>
      </c>
      <c r="DY193" s="119">
        <f t="shared" ref="DY193" si="131">SUM(DY3:DY192)</f>
        <v>0</v>
      </c>
      <c r="DZ193" s="119">
        <f t="shared" ref="DZ193" si="132">SUM(DZ3:DZ192)</f>
        <v>0</v>
      </c>
      <c r="EA193" s="119">
        <f t="shared" ref="EA193" si="133">SUM(EA3:EA192)</f>
        <v>19624399.5</v>
      </c>
      <c r="EB193" s="119">
        <f t="shared" ref="EB193" si="134">SUM(EB3:EB192)</f>
        <v>0</v>
      </c>
      <c r="EC193" s="119">
        <f t="shared" ref="EC193" si="135">SUM(EC3:EC192)</f>
        <v>0</v>
      </c>
      <c r="ED193" s="119">
        <f t="shared" ref="ED193" si="136">SUM(ED3:ED192)</f>
        <v>0</v>
      </c>
      <c r="EE193" s="119">
        <f t="shared" ref="EE193" si="137">SUM(EE3:EE192)</f>
        <v>0</v>
      </c>
      <c r="EF193" s="119">
        <f t="shared" ref="EF193" si="138">SUM(EF3:EF192)</f>
        <v>0</v>
      </c>
      <c r="EG193" s="119">
        <f t="shared" ref="EG193" si="139">SUM(EG3:EG192)</f>
        <v>267714.86</v>
      </c>
      <c r="EH193" s="119">
        <f t="shared" ref="EH193" si="140">SUM(EH3:EH192)</f>
        <v>0</v>
      </c>
      <c r="EI193" s="119">
        <f t="shared" ref="EI193" si="141">SUM(EI3:EI192)</f>
        <v>0</v>
      </c>
      <c r="EJ193" s="119">
        <f t="shared" ref="EJ193" si="142">SUM(EJ3:EJ192)</f>
        <v>0</v>
      </c>
      <c r="EK193" s="119">
        <f t="shared" ref="EK193" si="143">SUM(EK3:EK192)</f>
        <v>0</v>
      </c>
      <c r="EL193" s="119">
        <f t="shared" ref="EL193" si="144">SUM(EL3:EL192)</f>
        <v>0</v>
      </c>
      <c r="EM193" s="119">
        <f t="shared" ref="EM193" si="145">SUM(EM3:EM192)</f>
        <v>0</v>
      </c>
      <c r="EN193" s="119">
        <f t="shared" ref="EN193" si="146">SUM(EN3:EN192)</f>
        <v>0</v>
      </c>
      <c r="EO193" s="119">
        <f t="shared" ref="EO193" si="147">SUM(EO3:EO192)</f>
        <v>0</v>
      </c>
      <c r="EP193" s="119">
        <f t="shared" ref="EP193" si="148">SUM(EP3:EP192)</f>
        <v>19020.419999999998</v>
      </c>
      <c r="EQ193" s="119">
        <f t="shared" ref="EQ193" si="149">SUM(EQ3:EQ192)</f>
        <v>0</v>
      </c>
      <c r="ER193" s="119">
        <f t="shared" ref="ER193" si="150">SUM(ER3:ER192)</f>
        <v>18413.810000000001</v>
      </c>
      <c r="ES193" s="119">
        <f t="shared" ref="ES193" si="151">SUM(ES3:ES192)</f>
        <v>0</v>
      </c>
      <c r="ET193" s="119">
        <f t="shared" ref="ET193" si="152">SUM(ET3:ET192)</f>
        <v>0</v>
      </c>
      <c r="EU193" s="119">
        <f t="shared" ref="EU193" si="153">SUM(EU3:EU192)</f>
        <v>0</v>
      </c>
      <c r="EV193" s="119">
        <f t="shared" ref="EV193" si="154">SUM(EV3:EV192)</f>
        <v>0</v>
      </c>
      <c r="EW193" s="119">
        <f t="shared" ref="EW193" si="155">SUM(EW3:EW192)</f>
        <v>0</v>
      </c>
      <c r="EX193" s="119">
        <f t="shared" ref="EX193" si="156">SUM(EX3:EX192)</f>
        <v>0</v>
      </c>
      <c r="EY193" s="119">
        <f t="shared" ref="EY193" si="157">SUM(EY3:EY192)</f>
        <v>0</v>
      </c>
      <c r="EZ193" s="119">
        <f t="shared" ref="EZ193" si="158">SUM(EZ3:EZ192)</f>
        <v>0</v>
      </c>
      <c r="FA193" s="119">
        <f t="shared" ref="FA193" si="159">SUM(FA3:FA192)</f>
        <v>0</v>
      </c>
      <c r="FB193" s="119">
        <f t="shared" ref="FB193" si="160">SUM(FB3:FB192)</f>
        <v>0</v>
      </c>
      <c r="FC193" s="119">
        <f t="shared" ref="FC193" si="161">SUM(FC3:FC192)</f>
        <v>0</v>
      </c>
      <c r="FD193" s="119">
        <f t="shared" ref="FD193" si="162">SUM(FD3:FD192)</f>
        <v>0</v>
      </c>
      <c r="FE193" s="119">
        <f t="shared" ref="FE193" si="163">SUM(FE3:FE192)</f>
        <v>0</v>
      </c>
      <c r="FF193" s="119">
        <f t="shared" ref="FF193" si="164">SUM(FF3:FF192)</f>
        <v>0</v>
      </c>
      <c r="FG193" s="119">
        <f t="shared" ref="FG193" si="165">SUM(FG3:FG192)</f>
        <v>0</v>
      </c>
      <c r="FH193" s="119">
        <f t="shared" ref="FH193" si="166">SUM(FH3:FH192)</f>
        <v>0</v>
      </c>
      <c r="FI193" s="119">
        <f t="shared" ref="FI193" si="167">SUM(FI3:FI192)</f>
        <v>0</v>
      </c>
      <c r="FJ193" s="119">
        <f t="shared" ref="FJ193" si="168">SUM(FJ3:FJ192)</f>
        <v>12262492.049999999</v>
      </c>
      <c r="FK193" s="119">
        <f t="shared" ref="FK193" si="169">SUM(FK3:FK192)</f>
        <v>0</v>
      </c>
      <c r="FL193" s="119">
        <f t="shared" ref="FL193" si="170">SUM(FL3:FL192)</f>
        <v>0</v>
      </c>
      <c r="FM193" s="119">
        <f t="shared" ref="FM193" si="171">SUM(FM3:FM192)</f>
        <v>259349.43</v>
      </c>
      <c r="FN193" s="119">
        <f t="shared" ref="FN193" si="172">SUM(FN3:FN192)</f>
        <v>0</v>
      </c>
      <c r="FO193" s="119">
        <f t="shared" ref="FO193" si="173">SUM(FO3:FO192)</f>
        <v>0</v>
      </c>
      <c r="FP193" s="119">
        <f t="shared" ref="FP193" si="174">SUM(FP3:FP192)</f>
        <v>0</v>
      </c>
      <c r="FQ193" s="119">
        <f t="shared" ref="FQ193" si="175">SUM(FQ3:FQ192)</f>
        <v>1140351.21</v>
      </c>
      <c r="FR193" s="119">
        <f t="shared" ref="FR193" si="176">SUM(FR3:FR192)</f>
        <v>0</v>
      </c>
      <c r="FS193" s="119">
        <f t="shared" ref="FS193" si="177">SUM(FS3:FS192)</f>
        <v>220046.4</v>
      </c>
      <c r="FT193" s="119">
        <f t="shared" ref="FT193" si="178">SUM(FT3:FT192)</f>
        <v>31811444.18</v>
      </c>
      <c r="FU193" s="119">
        <f t="shared" ref="FU193" si="179">SUM(FU3:FU192)</f>
        <v>0</v>
      </c>
      <c r="FV193" s="119">
        <f t="shared" ref="FV193" si="180">SUM(FV3:FV192)</f>
        <v>31152</v>
      </c>
      <c r="FW193" s="119">
        <f t="shared" ref="FW193" si="181">SUM(FW3:FW192)</f>
        <v>0</v>
      </c>
      <c r="FX193" s="119">
        <f t="shared" ref="FX193" si="182">SUM(FX3:FX192)</f>
        <v>0</v>
      </c>
      <c r="FY193" s="119">
        <f t="shared" ref="FY193" si="183">SUM(FY3:FY192)</f>
        <v>0</v>
      </c>
      <c r="FZ193" s="119">
        <f t="shared" ref="FZ193" si="184">SUM(FZ3:FZ192)</f>
        <v>52215</v>
      </c>
      <c r="GA193" s="119">
        <f t="shared" ref="GA193" si="185">SUM(GA3:GA192)</f>
        <v>17071.2</v>
      </c>
      <c r="GB193" s="119">
        <f t="shared" ref="GB193" si="186">SUM(GB3:GB192)</f>
        <v>0</v>
      </c>
      <c r="GC193" s="119">
        <f t="shared" ref="GC193" si="187">SUM(GC3:GC192)</f>
        <v>0</v>
      </c>
      <c r="GD193" s="119">
        <f t="shared" ref="GD193" si="188">SUM(GD3:GD192)</f>
        <v>0</v>
      </c>
      <c r="GE193" s="119">
        <f t="shared" ref="GE193" si="189">SUM(GE3:GE192)</f>
        <v>0</v>
      </c>
      <c r="GF193" s="119">
        <f t="shared" ref="GF193" si="190">SUM(GF3:GF192)</f>
        <v>0</v>
      </c>
      <c r="GG193" s="119">
        <f t="shared" ref="GG193" si="191">SUM(GG3:GG192)</f>
        <v>0</v>
      </c>
      <c r="GH193" s="119">
        <f t="shared" ref="GH193" si="192">SUM(GH3:GH192)</f>
        <v>1199690.19</v>
      </c>
      <c r="GI193" s="119">
        <f t="shared" ref="GI193" si="193">SUM(GI3:GI192)</f>
        <v>0</v>
      </c>
      <c r="GJ193" s="119">
        <f t="shared" ref="GJ193" si="194">SUM(GJ3:GJ192)</f>
        <v>3223093.4</v>
      </c>
      <c r="GK193" s="119">
        <f t="shared" ref="GK193" si="195">SUM(GK3:GK192)</f>
        <v>61822.92</v>
      </c>
      <c r="GL193" s="119">
        <f t="shared" ref="GL193" si="196">SUM(GL3:GL192)</f>
        <v>0</v>
      </c>
      <c r="GM193" s="119">
        <f t="shared" ref="GM193" si="197">SUM(GM3:GM192)</f>
        <v>0</v>
      </c>
      <c r="GN193" s="119">
        <f t="shared" ref="GN193" si="198">SUM(GN3:GN192)</f>
        <v>0</v>
      </c>
      <c r="GO193" s="119">
        <f t="shared" ref="GO193" si="199">SUM(GO3:GO192)</f>
        <v>0</v>
      </c>
      <c r="GP193" s="119">
        <f t="shared" ref="GP193" si="200">SUM(GP3:GP192)</f>
        <v>0</v>
      </c>
      <c r="GQ193" s="119">
        <f t="shared" ref="GQ193" si="201">SUM(GQ3:GQ192)</f>
        <v>11946084.119999999</v>
      </c>
      <c r="GR193" s="119">
        <f t="shared" ref="GR193" si="202">SUM(GR3:GR192)</f>
        <v>1564314.96</v>
      </c>
      <c r="GS193" s="119">
        <f t="shared" ref="GS193" si="203">SUM(GS3:GS192)</f>
        <v>0</v>
      </c>
      <c r="GT193" s="119">
        <f t="shared" ref="GT193" si="204">SUM(GT3:GT192)</f>
        <v>0</v>
      </c>
      <c r="GU193" s="119">
        <f t="shared" ref="GU193" si="205">SUM(GU3:GU192)</f>
        <v>0</v>
      </c>
      <c r="GV193" s="119">
        <f t="shared" ref="GV193" si="206">SUM(GV3:GV192)</f>
        <v>0</v>
      </c>
      <c r="GW193" s="119">
        <f t="shared" ref="GW193" si="207">SUM(GW3:GW192)</f>
        <v>0</v>
      </c>
      <c r="GX193" s="119">
        <f t="shared" ref="GX193" si="208">SUM(GX3:GX192)</f>
        <v>0</v>
      </c>
      <c r="GY193" s="119">
        <f t="shared" ref="GY193" si="209">SUM(GY3:GY192)</f>
        <v>0</v>
      </c>
      <c r="GZ193" s="119">
        <f t="shared" ref="GZ193" si="210">SUM(GZ3:GZ192)</f>
        <v>0</v>
      </c>
      <c r="HA193" s="119">
        <f t="shared" ref="HA193" si="211">SUM(HA3:HA192)</f>
        <v>0</v>
      </c>
      <c r="HB193" s="119">
        <f t="shared" ref="HB193" si="212">SUM(HB3:HB192)</f>
        <v>0</v>
      </c>
      <c r="HC193" s="119">
        <f t="shared" ref="HC193" si="213">SUM(HC3:HC192)</f>
        <v>0</v>
      </c>
      <c r="HD193" s="119">
        <f t="shared" ref="HD193" si="214">SUM(HD3:HD192)</f>
        <v>0</v>
      </c>
      <c r="HE193" s="119">
        <f t="shared" ref="HE193" si="215">SUM(HE3:HE192)</f>
        <v>0</v>
      </c>
      <c r="HF193" s="119">
        <f t="shared" ref="HF193" si="216">SUM(HF3:HF192)</f>
        <v>0</v>
      </c>
      <c r="HG193" s="119">
        <f t="shared" ref="HG193" si="217">SUM(HG3:HG192)</f>
        <v>0</v>
      </c>
      <c r="HH193" s="119">
        <f t="shared" ref="HH193" si="218">SUM(HH3:HH192)</f>
        <v>0</v>
      </c>
      <c r="HI193" s="119">
        <f t="shared" ref="HI193" si="219">SUM(HI3:HI192)</f>
        <v>0</v>
      </c>
      <c r="HJ193" s="119">
        <f t="shared" ref="HJ193" si="220">SUM(HJ3:HJ192)</f>
        <v>0</v>
      </c>
      <c r="HK193" s="119">
        <f t="shared" ref="HK193" si="221">SUM(HK3:HK192)</f>
        <v>0</v>
      </c>
      <c r="HL193" s="119">
        <f t="shared" ref="HL193" si="222">SUM(HL3:HL192)</f>
        <v>0</v>
      </c>
      <c r="HM193" s="119">
        <f t="shared" ref="HM193" si="223">SUM(HM3:HM192)</f>
        <v>0</v>
      </c>
      <c r="HN193" s="119">
        <f t="shared" ref="HN193" si="224">SUM(HN3:HN192)</f>
        <v>0</v>
      </c>
      <c r="HO193" s="119">
        <f t="shared" ref="HO193" si="225">SUM(HO3:HO192)</f>
        <v>0</v>
      </c>
      <c r="HP193" s="119">
        <f t="shared" ref="HP193" si="226">SUM(HP3:HP192)</f>
        <v>0</v>
      </c>
      <c r="HQ193" s="119">
        <f t="shared" ref="HQ193" si="227">SUM(HQ3:HQ192)</f>
        <v>0</v>
      </c>
      <c r="HR193" s="119">
        <f t="shared" ref="HR193" si="228">SUM(HR3:HR192)</f>
        <v>0</v>
      </c>
      <c r="HS193" s="119">
        <f t="shared" ref="HS193" si="229">SUM(HS3:HS192)</f>
        <v>0</v>
      </c>
      <c r="HT193" s="119">
        <f t="shared" ref="HT193" si="230">SUM(HT3:HT192)</f>
        <v>0</v>
      </c>
      <c r="HU193" s="119">
        <f t="shared" ref="HU193" si="231">SUM(HU3:HU192)</f>
        <v>0</v>
      </c>
      <c r="HV193" s="119">
        <f t="shared" ref="HV193" si="232">SUM(HV3:HV192)</f>
        <v>0</v>
      </c>
      <c r="HW193" s="119">
        <f t="shared" ref="HW193" si="233">SUM(HW3:HW192)</f>
        <v>0</v>
      </c>
      <c r="HX193" s="119">
        <f t="shared" ref="HX193" si="234">SUM(HX3:HX192)</f>
        <v>0</v>
      </c>
      <c r="HY193" s="119">
        <f t="shared" ref="HY193" si="235">SUM(HY3:HY192)</f>
        <v>0</v>
      </c>
      <c r="HZ193" s="119">
        <f t="shared" ref="HZ193" si="236">SUM(HZ3:HZ192)</f>
        <v>0</v>
      </c>
      <c r="IA193" s="119">
        <f t="shared" ref="IA193" si="237">SUM(IA3:IA192)</f>
        <v>0</v>
      </c>
      <c r="IB193" s="119">
        <f t="shared" ref="IB193" si="238">SUM(IB3:IB192)</f>
        <v>0</v>
      </c>
      <c r="IC193" s="119">
        <f t="shared" ref="IC193" si="239">SUM(IC3:IC192)</f>
        <v>0</v>
      </c>
      <c r="ID193" s="119">
        <f t="shared" ref="ID193" si="240">SUM(ID3:ID192)</f>
        <v>0</v>
      </c>
      <c r="IE193" s="119">
        <f t="shared" ref="IE193" si="241">SUM(IE3:IE192)</f>
        <v>0</v>
      </c>
      <c r="IF193" s="119">
        <f t="shared" ref="IF193" si="242">SUM(IF3:IF192)</f>
        <v>0</v>
      </c>
      <c r="IG193" s="119">
        <f t="shared" ref="IG193" si="243">SUM(IG3:IG192)</f>
        <v>0</v>
      </c>
      <c r="IH193" s="119">
        <f t="shared" ref="IH193" si="244">SUM(IH3:IH192)</f>
        <v>0</v>
      </c>
      <c r="II193" s="119">
        <f t="shared" ref="II193" si="245">SUM(II3:II192)</f>
        <v>0</v>
      </c>
      <c r="IJ193" s="119">
        <f t="shared" ref="IJ193" si="246">SUM(IJ3:IJ192)</f>
        <v>0</v>
      </c>
      <c r="IK193" s="119">
        <f t="shared" ref="IK193" si="247">SUM(IK3:IK192)</f>
        <v>0</v>
      </c>
      <c r="IL193" s="119">
        <f t="shared" ref="IL193" si="248">SUM(IL3:IL192)</f>
        <v>0</v>
      </c>
      <c r="IM193" s="119">
        <f t="shared" ref="IM193" si="249">SUM(IM3:IM192)</f>
        <v>0</v>
      </c>
      <c r="IN193" s="119">
        <f t="shared" ref="IN193" si="250">SUM(IN3:IN192)</f>
        <v>0</v>
      </c>
      <c r="IO193" s="119">
        <f t="shared" ref="IO193" si="251">SUM(IO3:IO192)</f>
        <v>0</v>
      </c>
      <c r="IP193" s="119">
        <f t="shared" ref="IP193" si="252">SUM(IP3:IP192)</f>
        <v>0</v>
      </c>
      <c r="IQ193" s="119">
        <f t="shared" ref="IQ193" si="253">SUM(IQ3:IQ192)</f>
        <v>0</v>
      </c>
      <c r="IR193" s="119">
        <f t="shared" ref="IR193" si="254">SUM(IR3:IR192)</f>
        <v>0</v>
      </c>
      <c r="IS193" s="119">
        <f t="shared" ref="IS193" si="255">SUM(IS3:IS192)</f>
        <v>0</v>
      </c>
      <c r="IT193" s="119">
        <f t="shared" ref="IT193" si="256">SUM(IT3:IT192)</f>
        <v>0</v>
      </c>
      <c r="IU193" s="119">
        <f t="shared" ref="IU193" si="257">SUM(IU3:IU192)</f>
        <v>0</v>
      </c>
      <c r="IV193" s="119">
        <f t="shared" ref="IV193" si="258">SUM(IV3:IV192)</f>
        <v>0</v>
      </c>
      <c r="IW193" s="119">
        <f t="shared" ref="IW193" si="259">SUM(IW3:IW192)</f>
        <v>0</v>
      </c>
      <c r="IX193" s="119">
        <f t="shared" ref="IX193" si="260">SUM(IX3:IX192)</f>
        <v>0</v>
      </c>
      <c r="IY193" s="119">
        <f t="shared" ref="IY193" si="261">SUM(IY3:IY192)</f>
        <v>0</v>
      </c>
      <c r="IZ193" s="119">
        <f t="shared" ref="IZ193" si="262">SUM(IZ3:IZ192)</f>
        <v>0</v>
      </c>
      <c r="JA193" s="119">
        <f t="shared" ref="JA193" si="263">SUM(JA3:JA192)</f>
        <v>0</v>
      </c>
      <c r="JB193" s="119">
        <f t="shared" ref="JB193" si="264">SUM(JB3:JB192)</f>
        <v>0</v>
      </c>
      <c r="JC193" s="119">
        <f t="shared" ref="JC193" si="265">SUM(JC3:JC192)</f>
        <v>0</v>
      </c>
      <c r="JD193" s="119">
        <f t="shared" ref="JD193" si="266">SUM(JD3:JD192)</f>
        <v>0</v>
      </c>
      <c r="JE193" s="119">
        <f t="shared" ref="JE193" si="267">SUM(JE3:JE192)</f>
        <v>0</v>
      </c>
      <c r="JF193" s="119">
        <f t="shared" ref="JF193" si="268">SUM(JF3:JF192)</f>
        <v>0</v>
      </c>
      <c r="JG193" s="119">
        <f t="shared" ref="JG193" si="269">SUM(JG3:JG192)</f>
        <v>0</v>
      </c>
      <c r="JH193" s="119">
        <f t="shared" ref="JH193:JI193" si="270">SUM(JH3:JH192)</f>
        <v>0</v>
      </c>
      <c r="JI193" s="119">
        <f t="shared" si="270"/>
        <v>185038898.98000002</v>
      </c>
      <c r="JK193" s="122"/>
      <c r="JL193" s="125"/>
      <c r="JM193" s="345"/>
      <c r="JN193" s="122">
        <f>SUM(JN3:JN56)</f>
        <v>0</v>
      </c>
      <c r="JO193" s="122">
        <f>SUM(JO3:JO56)</f>
        <v>0</v>
      </c>
      <c r="JP193" s="122">
        <f>SUM(JP3:JP56)</f>
        <v>0</v>
      </c>
    </row>
    <row r="194" spans="1:276" ht="18.75">
      <c r="A194" s="118">
        <v>211101</v>
      </c>
      <c r="B194" s="118">
        <v>211102</v>
      </c>
      <c r="C194" s="118">
        <v>211103</v>
      </c>
      <c r="D194" s="118">
        <v>211104</v>
      </c>
      <c r="E194" s="118">
        <v>211105</v>
      </c>
      <c r="F194" s="118">
        <v>211106</v>
      </c>
      <c r="G194" s="118">
        <v>211203</v>
      </c>
      <c r="H194" s="118">
        <v>211205</v>
      </c>
      <c r="I194" s="118">
        <v>211206</v>
      </c>
      <c r="J194" s="118">
        <v>211208</v>
      </c>
      <c r="K194" s="118">
        <v>211209</v>
      </c>
      <c r="L194" s="118">
        <v>211211</v>
      </c>
      <c r="M194" s="118">
        <v>211301</v>
      </c>
      <c r="N194" s="118">
        <v>211401</v>
      </c>
      <c r="O194" s="118">
        <v>211501</v>
      </c>
      <c r="P194" s="118">
        <v>211502</v>
      </c>
      <c r="Q194" s="118">
        <v>211503</v>
      </c>
      <c r="R194" s="118">
        <v>211504</v>
      </c>
      <c r="S194" s="118">
        <v>212101</v>
      </c>
      <c r="T194" s="118">
        <v>212201</v>
      </c>
      <c r="U194" s="118">
        <v>212203</v>
      </c>
      <c r="V194" s="118">
        <v>212204</v>
      </c>
      <c r="W194" s="118">
        <v>212205</v>
      </c>
      <c r="X194" s="118">
        <v>212206</v>
      </c>
      <c r="Y194" s="118">
        <v>212207</v>
      </c>
      <c r="Z194" s="118">
        <v>212208</v>
      </c>
      <c r="AA194" s="118">
        <v>212209</v>
      </c>
      <c r="AB194" s="118">
        <v>212210</v>
      </c>
      <c r="AC194" s="118">
        <v>213101</v>
      </c>
      <c r="AD194" s="118">
        <v>213102</v>
      </c>
      <c r="AE194" s="118">
        <v>213201</v>
      </c>
      <c r="AF194" s="118">
        <v>213202</v>
      </c>
      <c r="AG194" s="118">
        <v>214101</v>
      </c>
      <c r="AH194" s="118">
        <v>214201</v>
      </c>
      <c r="AI194" s="118">
        <v>214202</v>
      </c>
      <c r="AJ194" s="118">
        <v>214203</v>
      </c>
      <c r="AK194" s="118">
        <v>215101</v>
      </c>
      <c r="AL194" s="118">
        <v>215201</v>
      </c>
      <c r="AM194" s="118">
        <v>215301</v>
      </c>
      <c r="AN194" s="118">
        <v>215401</v>
      </c>
      <c r="AO194" s="118">
        <v>221101</v>
      </c>
      <c r="AP194" s="118">
        <v>221201</v>
      </c>
      <c r="AQ194" s="118">
        <v>221301</v>
      </c>
      <c r="AR194" s="118">
        <v>221401</v>
      </c>
      <c r="AS194" s="118">
        <v>221501</v>
      </c>
      <c r="AT194" s="118">
        <v>221601</v>
      </c>
      <c r="AU194" s="118">
        <v>221602</v>
      </c>
      <c r="AV194" s="118">
        <v>221701</v>
      </c>
      <c r="AW194" s="118">
        <v>221801</v>
      </c>
      <c r="AX194" s="118">
        <v>222101</v>
      </c>
      <c r="AY194" s="118">
        <v>222201</v>
      </c>
      <c r="AZ194" s="118">
        <v>223101</v>
      </c>
      <c r="BA194" s="118">
        <v>223201</v>
      </c>
      <c r="BB194" s="118">
        <v>224101</v>
      </c>
      <c r="BC194" s="118">
        <v>224201</v>
      </c>
      <c r="BD194" s="118">
        <v>224301</v>
      </c>
      <c r="BE194" s="118">
        <v>224401</v>
      </c>
      <c r="BF194" s="118">
        <v>225101</v>
      </c>
      <c r="BG194" s="118">
        <v>225201</v>
      </c>
      <c r="BH194" s="118">
        <v>225301</v>
      </c>
      <c r="BI194" s="118">
        <v>225302</v>
      </c>
      <c r="BJ194" s="118">
        <v>225303</v>
      </c>
      <c r="BK194" s="118">
        <v>225304</v>
      </c>
      <c r="BL194" s="118">
        <v>225305</v>
      </c>
      <c r="BM194" s="118">
        <v>225401</v>
      </c>
      <c r="BN194" s="118">
        <v>225501</v>
      </c>
      <c r="BO194" s="118">
        <v>225601</v>
      </c>
      <c r="BP194" s="118">
        <v>225701</v>
      </c>
      <c r="BQ194" s="118">
        <v>225801</v>
      </c>
      <c r="BR194" s="118">
        <v>225901</v>
      </c>
      <c r="BS194" s="118">
        <v>226101</v>
      </c>
      <c r="BT194" s="118">
        <v>226201</v>
      </c>
      <c r="BU194" s="118">
        <v>226301</v>
      </c>
      <c r="BV194" s="118">
        <v>226401</v>
      </c>
      <c r="BW194" s="118">
        <v>227101</v>
      </c>
      <c r="BX194" s="118">
        <v>227102</v>
      </c>
      <c r="BY194" s="118">
        <v>227103</v>
      </c>
      <c r="BZ194" s="118">
        <v>227104</v>
      </c>
      <c r="CA194" s="118">
        <v>227105</v>
      </c>
      <c r="CB194" s="118">
        <v>227106</v>
      </c>
      <c r="CC194" s="118">
        <v>227107</v>
      </c>
      <c r="CD194" s="118">
        <v>227199</v>
      </c>
      <c r="CE194" s="118">
        <v>227201</v>
      </c>
      <c r="CF194" s="118">
        <v>227202</v>
      </c>
      <c r="CG194" s="118">
        <v>227203</v>
      </c>
      <c r="CH194" s="118">
        <v>227204</v>
      </c>
      <c r="CI194" s="118">
        <v>227205</v>
      </c>
      <c r="CJ194" s="118">
        <v>227206</v>
      </c>
      <c r="CK194" s="118">
        <v>227207</v>
      </c>
      <c r="CL194" s="118">
        <v>227208</v>
      </c>
      <c r="CM194" s="118">
        <v>227299</v>
      </c>
      <c r="CN194" s="118">
        <v>227301</v>
      </c>
      <c r="CO194" s="118">
        <v>228101</v>
      </c>
      <c r="CP194" s="118">
        <v>228201</v>
      </c>
      <c r="CQ194" s="118">
        <v>228301</v>
      </c>
      <c r="CR194" s="118">
        <v>228401</v>
      </c>
      <c r="CS194" s="118">
        <v>228501</v>
      </c>
      <c r="CT194" s="118">
        <v>228502</v>
      </c>
      <c r="CU194" s="118">
        <v>228503</v>
      </c>
      <c r="CV194" s="118">
        <v>228601</v>
      </c>
      <c r="CW194" s="118">
        <v>228602</v>
      </c>
      <c r="CX194" s="118">
        <v>228603</v>
      </c>
      <c r="CY194" s="118">
        <v>228604</v>
      </c>
      <c r="CZ194" s="118">
        <v>228701</v>
      </c>
      <c r="DA194" s="118">
        <v>228702</v>
      </c>
      <c r="DB194" s="118">
        <v>228703</v>
      </c>
      <c r="DC194" s="118">
        <v>228704</v>
      </c>
      <c r="DD194" s="118">
        <v>228705</v>
      </c>
      <c r="DE194" s="118">
        <v>228706</v>
      </c>
      <c r="DF194" s="118">
        <v>228801</v>
      </c>
      <c r="DG194" s="118">
        <v>228802</v>
      </c>
      <c r="DH194" s="118">
        <v>228803</v>
      </c>
      <c r="DI194" s="118">
        <v>229201</v>
      </c>
      <c r="DJ194" s="118">
        <v>229203</v>
      </c>
      <c r="DK194" s="118">
        <v>231101</v>
      </c>
      <c r="DL194" s="118">
        <v>231102</v>
      </c>
      <c r="DM194" s="118">
        <v>231201</v>
      </c>
      <c r="DN194" s="118">
        <v>231301</v>
      </c>
      <c r="DO194" s="118">
        <v>231302</v>
      </c>
      <c r="DP194" s="118">
        <v>231303</v>
      </c>
      <c r="DQ194" s="118">
        <v>231401</v>
      </c>
      <c r="DR194" s="118">
        <v>232101</v>
      </c>
      <c r="DS194" s="118">
        <v>232201</v>
      </c>
      <c r="DT194" s="118">
        <v>232301</v>
      </c>
      <c r="DU194" s="118">
        <v>233101</v>
      </c>
      <c r="DV194" s="118">
        <v>233201</v>
      </c>
      <c r="DW194" s="118">
        <v>233301</v>
      </c>
      <c r="DX194" s="118">
        <v>233401</v>
      </c>
      <c r="DY194" s="118">
        <v>233501</v>
      </c>
      <c r="DZ194" s="118">
        <v>233601</v>
      </c>
      <c r="EA194" s="118">
        <v>234101</v>
      </c>
      <c r="EB194" s="118">
        <v>234201</v>
      </c>
      <c r="EC194" s="118">
        <v>235101</v>
      </c>
      <c r="ED194" s="118">
        <v>235201</v>
      </c>
      <c r="EE194" s="118">
        <v>235301</v>
      </c>
      <c r="EF194" s="118">
        <v>235401</v>
      </c>
      <c r="EG194" s="118">
        <v>235501</v>
      </c>
      <c r="EH194" s="118">
        <v>236101</v>
      </c>
      <c r="EI194" s="118">
        <v>236102</v>
      </c>
      <c r="EJ194" s="118">
        <v>236103</v>
      </c>
      <c r="EK194" s="118">
        <v>236104</v>
      </c>
      <c r="EL194" s="118">
        <v>236105</v>
      </c>
      <c r="EM194" s="118">
        <v>236201</v>
      </c>
      <c r="EN194" s="118">
        <v>236202</v>
      </c>
      <c r="EO194" s="118">
        <v>236203</v>
      </c>
      <c r="EP194" s="118">
        <v>236304</v>
      </c>
      <c r="EQ194" s="118">
        <v>236305</v>
      </c>
      <c r="ER194" s="118">
        <v>236306</v>
      </c>
      <c r="ES194" s="118">
        <v>236401</v>
      </c>
      <c r="ET194" s="118">
        <v>236402</v>
      </c>
      <c r="EU194" s="118">
        <v>236403</v>
      </c>
      <c r="EV194" s="118">
        <v>236404</v>
      </c>
      <c r="EW194" s="118">
        <v>236405</v>
      </c>
      <c r="EX194" s="118">
        <v>236406</v>
      </c>
      <c r="EY194" s="118">
        <v>236407</v>
      </c>
      <c r="EZ194" s="118">
        <v>236901</v>
      </c>
      <c r="FA194" s="118">
        <v>237101</v>
      </c>
      <c r="FB194" s="118">
        <v>237102</v>
      </c>
      <c r="FC194" s="118">
        <v>237103</v>
      </c>
      <c r="FD194" s="118">
        <v>237104</v>
      </c>
      <c r="FE194" s="118">
        <v>237105</v>
      </c>
      <c r="FF194" s="118">
        <v>237106</v>
      </c>
      <c r="FG194" s="118">
        <v>237107</v>
      </c>
      <c r="FH194" s="118">
        <v>237201</v>
      </c>
      <c r="FI194" s="118">
        <v>237202</v>
      </c>
      <c r="FJ194" s="118">
        <v>237203</v>
      </c>
      <c r="FK194" s="118">
        <v>237204</v>
      </c>
      <c r="FL194" s="118">
        <v>237205</v>
      </c>
      <c r="FM194" s="118">
        <v>237206</v>
      </c>
      <c r="FN194" s="118">
        <v>237299</v>
      </c>
      <c r="FO194" s="118">
        <v>238101</v>
      </c>
      <c r="FP194" s="118">
        <v>238201</v>
      </c>
      <c r="FQ194" s="118">
        <v>239101</v>
      </c>
      <c r="FR194" s="118">
        <v>239102</v>
      </c>
      <c r="FS194" s="118">
        <v>239201</v>
      </c>
      <c r="FT194" s="118">
        <v>239301</v>
      </c>
      <c r="FU194" s="118">
        <v>239401</v>
      </c>
      <c r="FV194" s="118">
        <v>239501</v>
      </c>
      <c r="FW194" s="118">
        <v>239601</v>
      </c>
      <c r="FX194" s="118">
        <v>239701</v>
      </c>
      <c r="FY194" s="118">
        <v>239801</v>
      </c>
      <c r="FZ194" s="118">
        <v>239802</v>
      </c>
      <c r="GA194" s="118">
        <v>239901</v>
      </c>
      <c r="GB194" s="118">
        <v>239904</v>
      </c>
      <c r="GC194" s="118">
        <v>241201</v>
      </c>
      <c r="GD194" s="118">
        <v>241202</v>
      </c>
      <c r="GE194" s="118">
        <v>241203</v>
      </c>
      <c r="GF194" s="118">
        <v>241204</v>
      </c>
      <c r="GG194" s="118">
        <v>241205</v>
      </c>
      <c r="GH194" s="118">
        <v>261101</v>
      </c>
      <c r="GI194" s="118">
        <v>261201</v>
      </c>
      <c r="GJ194" s="118">
        <v>261301</v>
      </c>
      <c r="GK194" s="118">
        <v>261401</v>
      </c>
      <c r="GL194" s="118">
        <v>261901</v>
      </c>
      <c r="GM194" s="118">
        <v>262101</v>
      </c>
      <c r="GN194" s="118">
        <v>262201</v>
      </c>
      <c r="GO194" s="118">
        <v>262301</v>
      </c>
      <c r="GP194" s="118">
        <v>262401</v>
      </c>
      <c r="GQ194" s="118">
        <v>263101</v>
      </c>
      <c r="GR194" s="118">
        <v>263201</v>
      </c>
      <c r="GS194" s="118">
        <v>263301</v>
      </c>
      <c r="GT194" s="118">
        <v>263401</v>
      </c>
      <c r="GU194" s="118">
        <v>264101</v>
      </c>
      <c r="GV194" s="118">
        <v>264201</v>
      </c>
      <c r="GW194" s="118">
        <v>264301</v>
      </c>
      <c r="GX194" s="118">
        <v>264401</v>
      </c>
      <c r="GY194" s="118">
        <v>264501</v>
      </c>
      <c r="GZ194" s="118">
        <v>264601</v>
      </c>
      <c r="HA194" s="118">
        <v>264701</v>
      </c>
      <c r="HB194" s="118">
        <v>264801</v>
      </c>
      <c r="HC194" s="118">
        <v>265101</v>
      </c>
      <c r="HD194" s="118">
        <v>265201</v>
      </c>
      <c r="HE194" s="118">
        <v>265301</v>
      </c>
      <c r="HF194" s="118">
        <v>265401</v>
      </c>
      <c r="HG194" s="118">
        <v>265501</v>
      </c>
      <c r="HH194" s="118">
        <v>265601</v>
      </c>
      <c r="HI194" s="118">
        <v>265701</v>
      </c>
      <c r="HJ194" s="118">
        <v>265801</v>
      </c>
      <c r="HK194" s="118">
        <v>266101</v>
      </c>
      <c r="HL194" s="118">
        <v>266201</v>
      </c>
      <c r="HM194" s="118">
        <v>267101</v>
      </c>
      <c r="HN194" s="118">
        <v>267201</v>
      </c>
      <c r="HO194" s="118">
        <v>267301</v>
      </c>
      <c r="HP194" s="118">
        <v>267401</v>
      </c>
      <c r="HQ194" s="118">
        <v>267501</v>
      </c>
      <c r="HR194" s="118">
        <v>267601</v>
      </c>
      <c r="HS194" s="118">
        <v>267701</v>
      </c>
      <c r="HT194" s="118">
        <v>267801</v>
      </c>
      <c r="HU194" s="118">
        <v>267901</v>
      </c>
      <c r="HV194" s="118">
        <v>268101</v>
      </c>
      <c r="HW194" s="118">
        <v>268201</v>
      </c>
      <c r="HX194" s="118">
        <v>268301</v>
      </c>
      <c r="HY194" s="118">
        <v>268302</v>
      </c>
      <c r="HZ194" s="118">
        <v>268401</v>
      </c>
      <c r="IA194" s="118">
        <v>268501</v>
      </c>
      <c r="IB194" s="118">
        <v>268601</v>
      </c>
      <c r="IC194" s="118">
        <v>268701</v>
      </c>
      <c r="ID194" s="118">
        <v>268802</v>
      </c>
      <c r="IE194" s="118">
        <v>268803</v>
      </c>
      <c r="IF194" s="118">
        <v>268804</v>
      </c>
      <c r="IG194" s="118">
        <v>268901</v>
      </c>
      <c r="IH194" s="118">
        <v>269101</v>
      </c>
      <c r="II194" s="118">
        <v>269102</v>
      </c>
      <c r="IJ194" s="118">
        <v>269201</v>
      </c>
      <c r="IK194" s="118">
        <v>269202</v>
      </c>
      <c r="IL194" s="118">
        <v>269301</v>
      </c>
      <c r="IM194" s="118">
        <v>269401</v>
      </c>
      <c r="IN194" s="118">
        <v>269501</v>
      </c>
      <c r="IO194" s="118">
        <v>269502</v>
      </c>
      <c r="IP194" s="118">
        <v>269503</v>
      </c>
      <c r="IQ194" s="118">
        <v>2269901</v>
      </c>
      <c r="IR194" s="118">
        <v>271101</v>
      </c>
      <c r="IS194" s="118">
        <v>271201</v>
      </c>
      <c r="IT194" s="118">
        <v>271301</v>
      </c>
      <c r="IU194" s="118">
        <v>271401</v>
      </c>
      <c r="IV194" s="118">
        <v>272101</v>
      </c>
      <c r="IW194" s="118">
        <v>272201</v>
      </c>
      <c r="IX194" s="118">
        <v>272301</v>
      </c>
      <c r="IY194" s="118">
        <v>272401</v>
      </c>
      <c r="IZ194" s="118">
        <v>272501</v>
      </c>
      <c r="JA194" s="118">
        <v>272601</v>
      </c>
      <c r="JB194" s="118">
        <v>272701</v>
      </c>
      <c r="JC194" s="118">
        <v>272801</v>
      </c>
      <c r="JD194" s="118">
        <v>272901</v>
      </c>
      <c r="JE194" s="118">
        <v>273101</v>
      </c>
      <c r="JF194" s="118">
        <v>273201</v>
      </c>
      <c r="JG194" s="118">
        <v>274101</v>
      </c>
      <c r="JH194" s="118">
        <v>274201</v>
      </c>
      <c r="JI194" s="120" t="s">
        <v>0</v>
      </c>
      <c r="JJ194" s="379"/>
      <c r="JK194" s="122">
        <f>SUM(JK3:JK57)</f>
        <v>0</v>
      </c>
      <c r="JL194" s="122">
        <f>SUM(JL3:JL57)</f>
        <v>0</v>
      </c>
      <c r="JM194" s="122">
        <f>SUM(JM3:JM57)</f>
        <v>0</v>
      </c>
      <c r="JN194" s="1"/>
      <c r="JO194" s="1"/>
      <c r="JP194" s="1"/>
    </row>
    <row r="195" spans="1:276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  <c r="AR195" s="122"/>
      <c r="AS195" s="122"/>
      <c r="AT195" s="122"/>
      <c r="AU195" s="122"/>
      <c r="AV195" s="122"/>
      <c r="AW195" s="122"/>
      <c r="AX195" s="122"/>
      <c r="AY195" s="122"/>
      <c r="AZ195" s="122"/>
      <c r="BA195" s="122"/>
      <c r="BB195" s="122"/>
      <c r="BC195" s="122"/>
      <c r="BD195" s="122"/>
      <c r="BE195" s="122"/>
      <c r="BF195" s="122"/>
      <c r="BG195" s="122"/>
      <c r="BH195" s="122"/>
      <c r="BI195" s="122"/>
      <c r="BJ195" s="122"/>
      <c r="BK195" s="122"/>
      <c r="BL195" s="122"/>
      <c r="BM195" s="122"/>
      <c r="BN195" s="122"/>
      <c r="BO195" s="122"/>
      <c r="BP195" s="122"/>
      <c r="BQ195" s="122"/>
      <c r="BR195" s="122"/>
      <c r="BS195" s="122"/>
      <c r="BT195" s="122"/>
      <c r="BU195" s="122"/>
      <c r="BV195" s="122"/>
      <c r="BW195" s="122"/>
      <c r="BX195" s="122"/>
      <c r="BY195" s="122"/>
      <c r="BZ195" s="122"/>
      <c r="CA195" s="122"/>
      <c r="CB195" s="122"/>
      <c r="CC195" s="122"/>
      <c r="CD195" s="122"/>
      <c r="CE195" s="122"/>
      <c r="CF195" s="122"/>
      <c r="CG195" s="122"/>
      <c r="CH195" s="122"/>
      <c r="CI195" s="122"/>
      <c r="CJ195" s="122"/>
      <c r="CK195" s="122"/>
      <c r="CL195" s="122"/>
      <c r="CM195" s="122"/>
      <c r="CN195" s="122"/>
      <c r="CO195" s="122"/>
      <c r="CP195" s="122"/>
      <c r="CQ195" s="122"/>
      <c r="CR195" s="122"/>
      <c r="CS195" s="122"/>
      <c r="CT195" s="122"/>
      <c r="CU195" s="122"/>
      <c r="CV195" s="122"/>
      <c r="CW195" s="122"/>
      <c r="CX195" s="122"/>
      <c r="CY195" s="122"/>
      <c r="CZ195" s="122"/>
      <c r="DA195" s="122"/>
      <c r="DB195" s="122"/>
      <c r="DC195" s="122"/>
      <c r="DD195" s="122"/>
      <c r="DE195" s="122"/>
      <c r="DF195" s="122"/>
      <c r="DG195" s="122"/>
      <c r="DH195" s="122"/>
      <c r="DI195" s="122"/>
      <c r="DJ195" s="122"/>
      <c r="DK195" s="122"/>
      <c r="DL195" s="122"/>
      <c r="DM195" s="122"/>
      <c r="DN195" s="122"/>
      <c r="DO195" s="122"/>
      <c r="DP195" s="122"/>
      <c r="DQ195" s="122"/>
      <c r="DR195" s="122"/>
      <c r="DS195" s="122"/>
      <c r="DT195" s="122"/>
      <c r="DU195" s="122"/>
      <c r="DV195" s="122"/>
      <c r="DW195" s="122"/>
      <c r="DX195" s="122"/>
      <c r="DY195" s="122"/>
      <c r="DZ195" s="122"/>
      <c r="EA195" s="122"/>
      <c r="EB195" s="122"/>
      <c r="EC195" s="122"/>
      <c r="ED195" s="122"/>
      <c r="EE195" s="122"/>
      <c r="EF195" s="122"/>
      <c r="EG195" s="122"/>
      <c r="EH195" s="122"/>
      <c r="EI195" s="122"/>
      <c r="EJ195" s="122"/>
      <c r="EK195" s="122"/>
      <c r="EL195" s="122"/>
      <c r="EM195" s="122"/>
      <c r="EN195" s="122"/>
      <c r="EO195" s="122"/>
      <c r="EP195" s="122"/>
      <c r="EQ195" s="122"/>
      <c r="ER195" s="122"/>
      <c r="ES195" s="122"/>
      <c r="ET195" s="122"/>
      <c r="EU195" s="122"/>
      <c r="EV195" s="122"/>
      <c r="EW195" s="122"/>
      <c r="EX195" s="122"/>
      <c r="EY195" s="122"/>
      <c r="EZ195" s="122"/>
      <c r="FA195" s="122"/>
      <c r="FB195" s="122"/>
      <c r="FC195" s="122"/>
      <c r="FD195" s="122"/>
      <c r="FE195" s="122"/>
      <c r="FF195" s="122"/>
      <c r="FG195" s="122"/>
      <c r="FH195" s="122"/>
      <c r="FI195" s="122"/>
      <c r="FJ195" s="122"/>
      <c r="FK195" s="122"/>
      <c r="FL195" s="122"/>
      <c r="FM195" s="122"/>
      <c r="FN195" s="122"/>
      <c r="FO195" s="122"/>
      <c r="FP195" s="122"/>
      <c r="FQ195" s="122"/>
      <c r="FR195" s="122"/>
      <c r="FS195" s="122"/>
      <c r="FT195" s="122"/>
      <c r="FU195" s="122"/>
      <c r="FV195" s="122"/>
      <c r="FW195" s="122"/>
      <c r="FX195" s="122"/>
      <c r="FY195" s="122"/>
      <c r="FZ195" s="122"/>
      <c r="GA195" s="122"/>
      <c r="GB195" s="122"/>
      <c r="GC195" s="122"/>
      <c r="GD195" s="122"/>
      <c r="GE195" s="122"/>
      <c r="GF195" s="122"/>
      <c r="GG195" s="122"/>
      <c r="GH195" s="122"/>
      <c r="GI195" s="122"/>
      <c r="GJ195" s="122"/>
      <c r="GK195" s="122"/>
      <c r="GL195" s="122"/>
      <c r="GM195" s="122"/>
      <c r="GN195" s="122"/>
      <c r="GO195" s="122"/>
      <c r="GP195" s="122"/>
      <c r="GQ195" s="122"/>
      <c r="GR195" s="122"/>
      <c r="GS195" s="122"/>
      <c r="GT195" s="122"/>
      <c r="GU195" s="122"/>
      <c r="GV195" s="122"/>
      <c r="GW195" s="122"/>
      <c r="GX195" s="122"/>
      <c r="GY195" s="122"/>
      <c r="GZ195" s="122"/>
      <c r="HA195" s="122"/>
      <c r="HB195" s="122"/>
      <c r="HC195" s="122"/>
      <c r="HD195" s="122"/>
      <c r="HE195" s="122"/>
      <c r="HF195" s="122"/>
      <c r="HG195" s="122"/>
      <c r="HH195" s="122"/>
      <c r="HI195" s="122"/>
      <c r="HJ195" s="122"/>
      <c r="HK195" s="122"/>
      <c r="HL195" s="122"/>
      <c r="HM195" s="122"/>
      <c r="HN195" s="122"/>
      <c r="HO195" s="122"/>
      <c r="HP195" s="122"/>
      <c r="HQ195" s="122"/>
      <c r="HR195" s="122"/>
      <c r="HS195" s="122"/>
      <c r="HT195" s="122"/>
      <c r="HU195" s="122"/>
      <c r="HV195" s="122"/>
      <c r="HW195" s="122"/>
      <c r="HX195" s="122"/>
      <c r="HY195" s="122"/>
      <c r="HZ195" s="122"/>
      <c r="IA195" s="122"/>
      <c r="IB195" s="122"/>
      <c r="IC195" s="122"/>
      <c r="ID195" s="122"/>
      <c r="IE195" s="122"/>
      <c r="IF195" s="122"/>
      <c r="IG195" s="122"/>
      <c r="IH195" s="122"/>
      <c r="II195" s="122"/>
      <c r="IJ195" s="122"/>
      <c r="IK195" s="122"/>
      <c r="IL195" s="122"/>
      <c r="IM195" s="122"/>
      <c r="IN195" s="122"/>
      <c r="IO195" s="122"/>
      <c r="IP195" s="122"/>
      <c r="IQ195" s="122"/>
      <c r="IR195" s="122"/>
      <c r="IS195" s="122"/>
      <c r="IT195" s="122"/>
      <c r="IU195" s="122"/>
      <c r="IV195" s="122"/>
      <c r="IW195" s="122"/>
      <c r="IX195" s="122"/>
      <c r="IY195" s="122"/>
      <c r="IZ195" s="122"/>
      <c r="JA195" s="122"/>
      <c r="JB195" s="122"/>
      <c r="JC195" s="122"/>
      <c r="JD195" s="122"/>
      <c r="JE195" s="122"/>
      <c r="JF195" s="122"/>
      <c r="JG195" s="122"/>
      <c r="JH195" s="122"/>
      <c r="JI195" s="119">
        <f>SUM(A195:JH195)</f>
        <v>0</v>
      </c>
      <c r="JJ195" s="379"/>
      <c r="JK195" s="2"/>
      <c r="JL195" s="1"/>
      <c r="JM195" s="1"/>
      <c r="JN195" s="1"/>
      <c r="JO195" s="1"/>
      <c r="JP195" s="1"/>
    </row>
    <row r="196" spans="1:27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/>
      <c r="AS196" s="122"/>
      <c r="AT196" s="122"/>
      <c r="AU196" s="122"/>
      <c r="AV196" s="122"/>
      <c r="AW196" s="122"/>
      <c r="AX196" s="122"/>
      <c r="AY196" s="122"/>
      <c r="AZ196" s="122"/>
      <c r="BA196" s="122"/>
      <c r="BB196" s="122"/>
      <c r="BC196" s="122"/>
      <c r="BD196" s="122"/>
      <c r="BE196" s="122"/>
      <c r="BF196" s="122"/>
      <c r="BG196" s="122"/>
      <c r="BH196" s="122"/>
      <c r="BI196" s="122"/>
      <c r="BJ196" s="122"/>
      <c r="BK196" s="122"/>
      <c r="BL196" s="122"/>
      <c r="BM196" s="122"/>
      <c r="BN196" s="122"/>
      <c r="BO196" s="122"/>
      <c r="BP196" s="122"/>
      <c r="BQ196" s="122"/>
      <c r="BR196" s="122"/>
      <c r="BS196" s="122"/>
      <c r="BT196" s="122"/>
      <c r="BU196" s="122"/>
      <c r="BV196" s="122"/>
      <c r="BW196" s="122"/>
      <c r="BX196" s="122"/>
      <c r="BY196" s="122"/>
      <c r="BZ196" s="122"/>
      <c r="CA196" s="122"/>
      <c r="CB196" s="122"/>
      <c r="CC196" s="122"/>
      <c r="CD196" s="122"/>
      <c r="CE196" s="122"/>
      <c r="CF196" s="122"/>
      <c r="CG196" s="122"/>
      <c r="CH196" s="122"/>
      <c r="CI196" s="122"/>
      <c r="CJ196" s="122"/>
      <c r="CK196" s="122"/>
      <c r="CL196" s="122"/>
      <c r="CM196" s="122"/>
      <c r="CN196" s="122"/>
      <c r="CO196" s="122"/>
      <c r="CP196" s="122"/>
      <c r="CQ196" s="122"/>
      <c r="CR196" s="122"/>
      <c r="CS196" s="122"/>
      <c r="CT196" s="122"/>
      <c r="CU196" s="122"/>
      <c r="CV196" s="122"/>
      <c r="CW196" s="122"/>
      <c r="CX196" s="122"/>
      <c r="CY196" s="122"/>
      <c r="CZ196" s="122"/>
      <c r="DA196" s="122"/>
      <c r="DB196" s="122"/>
      <c r="DC196" s="122"/>
      <c r="DD196" s="122"/>
      <c r="DE196" s="122"/>
      <c r="DF196" s="122"/>
      <c r="DG196" s="122"/>
      <c r="DH196" s="122"/>
      <c r="DI196" s="122"/>
      <c r="DJ196" s="122"/>
      <c r="DK196" s="122"/>
      <c r="DL196" s="122"/>
      <c r="DM196" s="122"/>
      <c r="DN196" s="122"/>
      <c r="DO196" s="122"/>
      <c r="DP196" s="122"/>
      <c r="DQ196" s="122"/>
      <c r="DR196" s="122"/>
      <c r="DS196" s="122"/>
      <c r="DT196" s="122"/>
      <c r="DU196" s="122"/>
      <c r="DV196" s="122"/>
      <c r="DW196" s="122"/>
      <c r="DX196" s="122"/>
      <c r="DY196" s="122"/>
      <c r="DZ196" s="122"/>
      <c r="EA196" s="122"/>
      <c r="EB196" s="122"/>
      <c r="EC196" s="122"/>
      <c r="ED196" s="122"/>
      <c r="EE196" s="122"/>
      <c r="EF196" s="122"/>
      <c r="EG196" s="122"/>
      <c r="EH196" s="122"/>
      <c r="EI196" s="122"/>
      <c r="EJ196" s="122"/>
      <c r="EK196" s="122"/>
      <c r="EL196" s="122"/>
      <c r="EM196" s="122"/>
      <c r="EN196" s="122"/>
      <c r="EO196" s="122"/>
      <c r="EP196" s="122"/>
      <c r="EQ196" s="122"/>
      <c r="ER196" s="122"/>
      <c r="ES196" s="122"/>
      <c r="ET196" s="122"/>
      <c r="EU196" s="122"/>
      <c r="EV196" s="122"/>
      <c r="EW196" s="122"/>
      <c r="EX196" s="122"/>
      <c r="EY196" s="122"/>
      <c r="EZ196" s="122"/>
      <c r="FA196" s="122"/>
      <c r="FB196" s="122"/>
      <c r="FC196" s="122"/>
      <c r="FD196" s="122"/>
      <c r="FE196" s="122"/>
      <c r="FF196" s="122"/>
      <c r="FG196" s="122"/>
      <c r="FH196" s="122"/>
      <c r="FI196" s="122"/>
      <c r="FJ196" s="122"/>
      <c r="FK196" s="122"/>
      <c r="FL196" s="122"/>
      <c r="FM196" s="122"/>
      <c r="FN196" s="122"/>
      <c r="FO196" s="122"/>
      <c r="FP196" s="122"/>
      <c r="FQ196" s="122"/>
      <c r="FR196" s="122"/>
      <c r="FS196" s="122"/>
      <c r="FT196" s="122"/>
      <c r="FU196" s="122"/>
      <c r="FV196" s="122"/>
      <c r="FW196" s="122"/>
      <c r="FX196" s="122"/>
      <c r="FY196" s="122"/>
      <c r="FZ196" s="122"/>
      <c r="GA196" s="122"/>
      <c r="GB196" s="122"/>
      <c r="GC196" s="122"/>
      <c r="GD196" s="122"/>
      <c r="GE196" s="122"/>
      <c r="GF196" s="122"/>
      <c r="GG196" s="122"/>
      <c r="GH196" s="122"/>
      <c r="GI196" s="122"/>
      <c r="GJ196" s="122"/>
      <c r="GK196" s="122"/>
      <c r="GL196" s="122"/>
      <c r="GM196" s="122"/>
      <c r="GN196" s="122"/>
      <c r="GO196" s="122"/>
      <c r="GP196" s="122"/>
      <c r="GQ196" s="122"/>
      <c r="GR196" s="122"/>
      <c r="GS196" s="122"/>
      <c r="GT196" s="122"/>
      <c r="GU196" s="122"/>
      <c r="GV196" s="122"/>
      <c r="GW196" s="122"/>
      <c r="GX196" s="122"/>
      <c r="GY196" s="122"/>
      <c r="GZ196" s="122"/>
      <c r="HA196" s="122"/>
      <c r="HB196" s="122"/>
      <c r="HC196" s="122"/>
      <c r="HD196" s="122"/>
      <c r="HE196" s="122"/>
      <c r="HF196" s="122"/>
      <c r="HG196" s="122"/>
      <c r="HH196" s="122"/>
      <c r="HI196" s="122"/>
      <c r="HJ196" s="122"/>
      <c r="HK196" s="122"/>
      <c r="HL196" s="122"/>
      <c r="HM196" s="122"/>
      <c r="HN196" s="122"/>
      <c r="HO196" s="122"/>
      <c r="HP196" s="122"/>
      <c r="HQ196" s="122"/>
      <c r="HR196" s="122"/>
      <c r="HS196" s="122"/>
      <c r="HT196" s="122"/>
      <c r="HU196" s="122"/>
      <c r="HV196" s="122"/>
      <c r="HW196" s="122"/>
      <c r="HX196" s="122"/>
      <c r="HY196" s="122"/>
      <c r="HZ196" s="122"/>
      <c r="IA196" s="122"/>
      <c r="IB196" s="122"/>
      <c r="IC196" s="122"/>
      <c r="ID196" s="122"/>
      <c r="IE196" s="122"/>
      <c r="IF196" s="122"/>
      <c r="IG196" s="122"/>
      <c r="IH196" s="122"/>
      <c r="II196" s="122"/>
      <c r="IJ196" s="122"/>
      <c r="IK196" s="122"/>
      <c r="IL196" s="122"/>
      <c r="IM196" s="122"/>
      <c r="IN196" s="122"/>
      <c r="IO196" s="122"/>
      <c r="IP196" s="122"/>
      <c r="IQ196" s="122"/>
      <c r="IR196" s="122"/>
      <c r="IS196" s="122"/>
      <c r="IT196" s="122"/>
      <c r="IU196" s="122"/>
      <c r="IV196" s="122"/>
      <c r="IW196" s="122"/>
      <c r="IX196" s="122"/>
      <c r="IY196" s="122"/>
      <c r="IZ196" s="122"/>
      <c r="JA196" s="122"/>
      <c r="JB196" s="122"/>
      <c r="JC196" s="122"/>
      <c r="JD196" s="122"/>
      <c r="JE196" s="122"/>
      <c r="JF196" s="122"/>
      <c r="JG196" s="122"/>
      <c r="JH196" s="122"/>
      <c r="JI196" s="119">
        <f t="shared" ref="JI196:JI208" si="271">SUM(A196:JH196)</f>
        <v>0</v>
      </c>
      <c r="JJ196" s="379"/>
      <c r="JK196" s="2"/>
      <c r="JL196" s="1"/>
      <c r="JM196" s="1"/>
      <c r="JN196" s="1"/>
      <c r="JO196" s="1"/>
      <c r="JP196" s="1"/>
    </row>
    <row r="197" spans="1:276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s="122"/>
      <c r="AV197" s="122"/>
      <c r="AW197" s="122"/>
      <c r="AX197" s="122"/>
      <c r="AY197" s="122"/>
      <c r="AZ197" s="122"/>
      <c r="BA197" s="122"/>
      <c r="BB197" s="122"/>
      <c r="BC197" s="122"/>
      <c r="BD197" s="122"/>
      <c r="BE197" s="122"/>
      <c r="BF197" s="122"/>
      <c r="BG197" s="122"/>
      <c r="BH197" s="122"/>
      <c r="BI197" s="122"/>
      <c r="BJ197" s="122"/>
      <c r="BK197" s="122"/>
      <c r="BL197" s="122"/>
      <c r="BM197" s="122"/>
      <c r="BN197" s="122"/>
      <c r="BO197" s="122"/>
      <c r="BP197" s="122"/>
      <c r="BQ197" s="122"/>
      <c r="BR197" s="122"/>
      <c r="BS197" s="122"/>
      <c r="BT197" s="122"/>
      <c r="BU197" s="122"/>
      <c r="BV197" s="122"/>
      <c r="BW197" s="122"/>
      <c r="BX197" s="122"/>
      <c r="BY197" s="122"/>
      <c r="BZ197" s="122"/>
      <c r="CA197" s="122"/>
      <c r="CB197" s="122"/>
      <c r="CC197" s="122"/>
      <c r="CD197" s="122"/>
      <c r="CE197" s="122"/>
      <c r="CF197" s="122"/>
      <c r="CG197" s="122"/>
      <c r="CH197" s="122"/>
      <c r="CI197" s="122"/>
      <c r="CJ197" s="122"/>
      <c r="CK197" s="122"/>
      <c r="CL197" s="122"/>
      <c r="CM197" s="122"/>
      <c r="CN197" s="122"/>
      <c r="CO197" s="122"/>
      <c r="CP197" s="122"/>
      <c r="CQ197" s="122"/>
      <c r="CR197" s="122"/>
      <c r="CS197" s="122"/>
      <c r="CT197" s="122"/>
      <c r="CU197" s="122"/>
      <c r="CV197" s="122"/>
      <c r="CW197" s="122"/>
      <c r="CX197" s="122"/>
      <c r="CY197" s="122"/>
      <c r="CZ197" s="122"/>
      <c r="DA197" s="122"/>
      <c r="DB197" s="122"/>
      <c r="DC197" s="122"/>
      <c r="DD197" s="122"/>
      <c r="DE197" s="122"/>
      <c r="DF197" s="122"/>
      <c r="DG197" s="122"/>
      <c r="DH197" s="122"/>
      <c r="DI197" s="122"/>
      <c r="DJ197" s="122"/>
      <c r="DK197" s="122"/>
      <c r="DL197" s="122"/>
      <c r="DM197" s="122"/>
      <c r="DN197" s="122"/>
      <c r="DO197" s="122"/>
      <c r="DP197" s="122"/>
      <c r="DQ197" s="122"/>
      <c r="DR197" s="122"/>
      <c r="DS197" s="122"/>
      <c r="DT197" s="122"/>
      <c r="DU197" s="122"/>
      <c r="DV197" s="122"/>
      <c r="DW197" s="122"/>
      <c r="DX197" s="122"/>
      <c r="DY197" s="122"/>
      <c r="DZ197" s="122"/>
      <c r="EA197" s="122"/>
      <c r="EB197" s="122"/>
      <c r="EC197" s="122"/>
      <c r="ED197" s="122"/>
      <c r="EE197" s="122"/>
      <c r="EF197" s="122"/>
      <c r="EG197" s="122"/>
      <c r="EH197" s="122"/>
      <c r="EI197" s="122"/>
      <c r="EJ197" s="122"/>
      <c r="EK197" s="122"/>
      <c r="EL197" s="122"/>
      <c r="EM197" s="122"/>
      <c r="EN197" s="122"/>
      <c r="EO197" s="122"/>
      <c r="EP197" s="122"/>
      <c r="EQ197" s="122"/>
      <c r="ER197" s="122"/>
      <c r="ES197" s="122"/>
      <c r="ET197" s="122"/>
      <c r="EU197" s="122"/>
      <c r="EV197" s="122"/>
      <c r="EW197" s="122"/>
      <c r="EX197" s="122"/>
      <c r="EY197" s="122"/>
      <c r="EZ197" s="122"/>
      <c r="FA197" s="122"/>
      <c r="FB197" s="122"/>
      <c r="FC197" s="122"/>
      <c r="FD197" s="122"/>
      <c r="FE197" s="122"/>
      <c r="FF197" s="122"/>
      <c r="FG197" s="122"/>
      <c r="FH197" s="122"/>
      <c r="FI197" s="122"/>
      <c r="FJ197" s="122"/>
      <c r="FK197" s="122"/>
      <c r="FL197" s="122"/>
      <c r="FM197" s="122"/>
      <c r="FN197" s="122"/>
      <c r="FO197" s="122"/>
      <c r="FP197" s="122"/>
      <c r="FQ197" s="122"/>
      <c r="FR197" s="122"/>
      <c r="FS197" s="122"/>
      <c r="FT197" s="122"/>
      <c r="FU197" s="122"/>
      <c r="FV197" s="122"/>
      <c r="FW197" s="122"/>
      <c r="FX197" s="122"/>
      <c r="FY197" s="122"/>
      <c r="FZ197" s="122"/>
      <c r="GA197" s="122"/>
      <c r="GB197" s="122"/>
      <c r="GC197" s="122"/>
      <c r="GD197" s="122"/>
      <c r="GE197" s="122"/>
      <c r="GF197" s="122"/>
      <c r="GG197" s="122"/>
      <c r="GH197" s="122"/>
      <c r="GI197" s="122"/>
      <c r="GJ197" s="122"/>
      <c r="GK197" s="122"/>
      <c r="GL197" s="122"/>
      <c r="GM197" s="122"/>
      <c r="GN197" s="122"/>
      <c r="GO197" s="122"/>
      <c r="GP197" s="122"/>
      <c r="GQ197" s="122"/>
      <c r="GR197" s="122"/>
      <c r="GS197" s="122"/>
      <c r="GT197" s="122"/>
      <c r="GU197" s="122"/>
      <c r="GV197" s="122"/>
      <c r="GW197" s="122"/>
      <c r="GX197" s="122"/>
      <c r="GY197" s="122"/>
      <c r="GZ197" s="122"/>
      <c r="HA197" s="122"/>
      <c r="HB197" s="122"/>
      <c r="HC197" s="122"/>
      <c r="HD197" s="122"/>
      <c r="HE197" s="122"/>
      <c r="HF197" s="122"/>
      <c r="HG197" s="122"/>
      <c r="HH197" s="122"/>
      <c r="HI197" s="122"/>
      <c r="HJ197" s="122"/>
      <c r="HK197" s="122"/>
      <c r="HL197" s="122"/>
      <c r="HM197" s="122"/>
      <c r="HN197" s="122"/>
      <c r="HO197" s="122"/>
      <c r="HP197" s="122"/>
      <c r="HQ197" s="122"/>
      <c r="HR197" s="122"/>
      <c r="HS197" s="122"/>
      <c r="HT197" s="122"/>
      <c r="HU197" s="122"/>
      <c r="HV197" s="122"/>
      <c r="HW197" s="122"/>
      <c r="HX197" s="122"/>
      <c r="HY197" s="122"/>
      <c r="HZ197" s="122"/>
      <c r="IA197" s="122"/>
      <c r="IB197" s="122"/>
      <c r="IC197" s="122"/>
      <c r="ID197" s="122"/>
      <c r="IE197" s="122"/>
      <c r="IF197" s="122"/>
      <c r="IG197" s="122"/>
      <c r="IH197" s="122"/>
      <c r="II197" s="122"/>
      <c r="IJ197" s="122"/>
      <c r="IK197" s="122"/>
      <c r="IL197" s="122"/>
      <c r="IM197" s="122"/>
      <c r="IN197" s="122"/>
      <c r="IO197" s="122"/>
      <c r="IP197" s="122"/>
      <c r="IQ197" s="122"/>
      <c r="IR197" s="122"/>
      <c r="IS197" s="122"/>
      <c r="IT197" s="122"/>
      <c r="IU197" s="122"/>
      <c r="IV197" s="122"/>
      <c r="IW197" s="122"/>
      <c r="IX197" s="122"/>
      <c r="IY197" s="122"/>
      <c r="IZ197" s="122"/>
      <c r="JA197" s="122"/>
      <c r="JB197" s="122"/>
      <c r="JC197" s="122"/>
      <c r="JD197" s="122"/>
      <c r="JE197" s="122"/>
      <c r="JF197" s="122"/>
      <c r="JG197" s="122"/>
      <c r="JH197" s="122"/>
      <c r="JI197" s="119">
        <f t="shared" si="271"/>
        <v>0</v>
      </c>
      <c r="JJ197" s="379"/>
      <c r="JK197" s="2"/>
      <c r="JL197" s="1"/>
      <c r="JM197" s="1"/>
      <c r="JN197" s="1"/>
      <c r="JO197" s="1"/>
      <c r="JP197" s="1"/>
    </row>
    <row r="198" spans="1:276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  <c r="AT198" s="122"/>
      <c r="AU198" s="122"/>
      <c r="AV198" s="122"/>
      <c r="AW198" s="122"/>
      <c r="AX198" s="122"/>
      <c r="AY198" s="122"/>
      <c r="AZ198" s="122"/>
      <c r="BA198" s="122"/>
      <c r="BB198" s="122"/>
      <c r="BC198" s="122"/>
      <c r="BD198" s="122"/>
      <c r="BE198" s="122"/>
      <c r="BF198" s="122"/>
      <c r="BG198" s="122"/>
      <c r="BH198" s="122"/>
      <c r="BI198" s="122"/>
      <c r="BJ198" s="122"/>
      <c r="BK198" s="122"/>
      <c r="BL198" s="122"/>
      <c r="BM198" s="122"/>
      <c r="BN198" s="122"/>
      <c r="BO198" s="122"/>
      <c r="BP198" s="122"/>
      <c r="BQ198" s="122"/>
      <c r="BR198" s="122"/>
      <c r="BS198" s="122"/>
      <c r="BT198" s="122"/>
      <c r="BU198" s="122"/>
      <c r="BV198" s="122"/>
      <c r="BW198" s="122"/>
      <c r="BX198" s="122"/>
      <c r="BY198" s="122"/>
      <c r="BZ198" s="122"/>
      <c r="CA198" s="122"/>
      <c r="CB198" s="122"/>
      <c r="CC198" s="122"/>
      <c r="CD198" s="122"/>
      <c r="CE198" s="122"/>
      <c r="CF198" s="122"/>
      <c r="CG198" s="122"/>
      <c r="CH198" s="122"/>
      <c r="CI198" s="122"/>
      <c r="CJ198" s="122"/>
      <c r="CK198" s="122"/>
      <c r="CL198" s="122"/>
      <c r="CM198" s="122"/>
      <c r="CN198" s="122"/>
      <c r="CO198" s="122"/>
      <c r="CP198" s="122"/>
      <c r="CQ198" s="122"/>
      <c r="CR198" s="122"/>
      <c r="CS198" s="122"/>
      <c r="CT198" s="122"/>
      <c r="CU198" s="122"/>
      <c r="CV198" s="122"/>
      <c r="CW198" s="122"/>
      <c r="CX198" s="122"/>
      <c r="CY198" s="122"/>
      <c r="CZ198" s="122"/>
      <c r="DA198" s="122"/>
      <c r="DB198" s="122"/>
      <c r="DC198" s="122"/>
      <c r="DD198" s="122"/>
      <c r="DE198" s="122"/>
      <c r="DF198" s="122"/>
      <c r="DG198" s="122"/>
      <c r="DH198" s="122"/>
      <c r="DI198" s="122"/>
      <c r="DJ198" s="122"/>
      <c r="DK198" s="122"/>
      <c r="DL198" s="122"/>
      <c r="DM198" s="122"/>
      <c r="DN198" s="122"/>
      <c r="DO198" s="122"/>
      <c r="DP198" s="122"/>
      <c r="DQ198" s="122"/>
      <c r="DR198" s="122"/>
      <c r="DS198" s="122"/>
      <c r="DT198" s="122"/>
      <c r="DU198" s="122"/>
      <c r="DV198" s="122"/>
      <c r="DW198" s="122"/>
      <c r="DX198" s="122"/>
      <c r="DY198" s="122"/>
      <c r="DZ198" s="122"/>
      <c r="EA198" s="122"/>
      <c r="EB198" s="122"/>
      <c r="EC198" s="122"/>
      <c r="ED198" s="122"/>
      <c r="EE198" s="122"/>
      <c r="EF198" s="122"/>
      <c r="EG198" s="122"/>
      <c r="EH198" s="122"/>
      <c r="EI198" s="122"/>
      <c r="EJ198" s="122"/>
      <c r="EK198" s="122"/>
      <c r="EL198" s="122"/>
      <c r="EM198" s="122"/>
      <c r="EN198" s="122"/>
      <c r="EO198" s="122"/>
      <c r="EP198" s="122"/>
      <c r="EQ198" s="122"/>
      <c r="ER198" s="122"/>
      <c r="ES198" s="122"/>
      <c r="ET198" s="122"/>
      <c r="EU198" s="122"/>
      <c r="EV198" s="122"/>
      <c r="EW198" s="122"/>
      <c r="EX198" s="122"/>
      <c r="EY198" s="122"/>
      <c r="EZ198" s="122"/>
      <c r="FA198" s="122"/>
      <c r="FB198" s="122"/>
      <c r="FC198" s="122"/>
      <c r="FD198" s="122"/>
      <c r="FE198" s="122"/>
      <c r="FF198" s="122"/>
      <c r="FG198" s="122"/>
      <c r="FH198" s="122"/>
      <c r="FI198" s="122"/>
      <c r="FJ198" s="122"/>
      <c r="FK198" s="122"/>
      <c r="FL198" s="122"/>
      <c r="FM198" s="122"/>
      <c r="FN198" s="122"/>
      <c r="FO198" s="122"/>
      <c r="FP198" s="122"/>
      <c r="FQ198" s="122"/>
      <c r="FR198" s="122"/>
      <c r="FS198" s="122"/>
      <c r="FT198" s="122"/>
      <c r="FU198" s="122"/>
      <c r="FV198" s="122"/>
      <c r="FW198" s="122"/>
      <c r="FX198" s="122"/>
      <c r="FY198" s="122"/>
      <c r="FZ198" s="122"/>
      <c r="GA198" s="122"/>
      <c r="GB198" s="122"/>
      <c r="GC198" s="122"/>
      <c r="GD198" s="122"/>
      <c r="GE198" s="122"/>
      <c r="GF198" s="122"/>
      <c r="GG198" s="122"/>
      <c r="GH198" s="122"/>
      <c r="GI198" s="122"/>
      <c r="GJ198" s="122"/>
      <c r="GK198" s="122"/>
      <c r="GL198" s="122"/>
      <c r="GM198" s="122"/>
      <c r="GN198" s="122"/>
      <c r="GO198" s="122"/>
      <c r="GP198" s="122"/>
      <c r="GQ198" s="122"/>
      <c r="GR198" s="122"/>
      <c r="GS198" s="122"/>
      <c r="GT198" s="122"/>
      <c r="GU198" s="122"/>
      <c r="GV198" s="122"/>
      <c r="GW198" s="122"/>
      <c r="GX198" s="122"/>
      <c r="GY198" s="122"/>
      <c r="GZ198" s="122"/>
      <c r="HA198" s="122"/>
      <c r="HB198" s="122"/>
      <c r="HC198" s="122"/>
      <c r="HD198" s="122"/>
      <c r="HE198" s="122"/>
      <c r="HF198" s="122"/>
      <c r="HG198" s="122"/>
      <c r="HH198" s="122"/>
      <c r="HI198" s="122"/>
      <c r="HJ198" s="122"/>
      <c r="HK198" s="122"/>
      <c r="HL198" s="122"/>
      <c r="HM198" s="122"/>
      <c r="HN198" s="122"/>
      <c r="HO198" s="122"/>
      <c r="HP198" s="122"/>
      <c r="HQ198" s="122"/>
      <c r="HR198" s="122"/>
      <c r="HS198" s="122"/>
      <c r="HT198" s="122"/>
      <c r="HU198" s="122"/>
      <c r="HV198" s="122"/>
      <c r="HW198" s="122"/>
      <c r="HX198" s="122"/>
      <c r="HY198" s="122"/>
      <c r="HZ198" s="122"/>
      <c r="IA198" s="122"/>
      <c r="IB198" s="122"/>
      <c r="IC198" s="122"/>
      <c r="ID198" s="122"/>
      <c r="IE198" s="122"/>
      <c r="IF198" s="122"/>
      <c r="IG198" s="122"/>
      <c r="IH198" s="122"/>
      <c r="II198" s="122"/>
      <c r="IJ198" s="122"/>
      <c r="IK198" s="122"/>
      <c r="IL198" s="122"/>
      <c r="IM198" s="122"/>
      <c r="IN198" s="122"/>
      <c r="IO198" s="122"/>
      <c r="IP198" s="122"/>
      <c r="IQ198" s="122"/>
      <c r="IR198" s="122"/>
      <c r="IS198" s="122"/>
      <c r="IT198" s="122"/>
      <c r="IU198" s="122"/>
      <c r="IV198" s="122"/>
      <c r="IW198" s="122"/>
      <c r="IX198" s="122"/>
      <c r="IY198" s="122"/>
      <c r="IZ198" s="122"/>
      <c r="JA198" s="122"/>
      <c r="JB198" s="122"/>
      <c r="JC198" s="122"/>
      <c r="JD198" s="122"/>
      <c r="JE198" s="122"/>
      <c r="JF198" s="122"/>
      <c r="JG198" s="122"/>
      <c r="JH198" s="122"/>
      <c r="JI198" s="119">
        <f t="shared" si="271"/>
        <v>0</v>
      </c>
      <c r="JJ198" s="379"/>
      <c r="JK198" s="2"/>
      <c r="JL198" s="1"/>
      <c r="JM198" s="1"/>
      <c r="JN198" s="1"/>
      <c r="JO198" s="1"/>
      <c r="JP198" s="1"/>
    </row>
    <row r="199" spans="1:276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  <c r="AT199" s="122"/>
      <c r="AU199" s="122"/>
      <c r="AV199" s="122"/>
      <c r="AW199" s="122"/>
      <c r="AX199" s="122"/>
      <c r="AY199" s="122"/>
      <c r="AZ199" s="122"/>
      <c r="BA199" s="122"/>
      <c r="BB199" s="122"/>
      <c r="BC199" s="122"/>
      <c r="BD199" s="122"/>
      <c r="BE199" s="122"/>
      <c r="BF199" s="122"/>
      <c r="BG199" s="122"/>
      <c r="BH199" s="122"/>
      <c r="BI199" s="122"/>
      <c r="BJ199" s="122"/>
      <c r="BK199" s="122"/>
      <c r="BL199" s="122"/>
      <c r="BM199" s="122"/>
      <c r="BN199" s="122"/>
      <c r="BO199" s="122"/>
      <c r="BP199" s="122"/>
      <c r="BQ199" s="122"/>
      <c r="BR199" s="122"/>
      <c r="BS199" s="122"/>
      <c r="BT199" s="122"/>
      <c r="BU199" s="122"/>
      <c r="BV199" s="122"/>
      <c r="BW199" s="122"/>
      <c r="BX199" s="122"/>
      <c r="BY199" s="122"/>
      <c r="BZ199" s="122"/>
      <c r="CA199" s="122"/>
      <c r="CB199" s="122"/>
      <c r="CC199" s="122"/>
      <c r="CD199" s="122"/>
      <c r="CE199" s="122"/>
      <c r="CF199" s="122"/>
      <c r="CG199" s="122"/>
      <c r="CH199" s="122"/>
      <c r="CI199" s="122"/>
      <c r="CJ199" s="122"/>
      <c r="CK199" s="122"/>
      <c r="CL199" s="122"/>
      <c r="CM199" s="122"/>
      <c r="CN199" s="122"/>
      <c r="CO199" s="122"/>
      <c r="CP199" s="122"/>
      <c r="CQ199" s="122"/>
      <c r="CR199" s="122"/>
      <c r="CS199" s="122"/>
      <c r="CT199" s="122"/>
      <c r="CU199" s="122"/>
      <c r="CV199" s="122"/>
      <c r="CW199" s="122"/>
      <c r="CX199" s="122"/>
      <c r="CY199" s="122"/>
      <c r="CZ199" s="122"/>
      <c r="DA199" s="122"/>
      <c r="DB199" s="122"/>
      <c r="DC199" s="122"/>
      <c r="DD199" s="122"/>
      <c r="DE199" s="122"/>
      <c r="DF199" s="122"/>
      <c r="DG199" s="122"/>
      <c r="DH199" s="122"/>
      <c r="DI199" s="122"/>
      <c r="DJ199" s="122"/>
      <c r="DK199" s="122"/>
      <c r="DL199" s="122"/>
      <c r="DM199" s="122"/>
      <c r="DN199" s="122"/>
      <c r="DO199" s="122"/>
      <c r="DP199" s="122"/>
      <c r="DQ199" s="122"/>
      <c r="DR199" s="122"/>
      <c r="DS199" s="122"/>
      <c r="DT199" s="122"/>
      <c r="DU199" s="122"/>
      <c r="DV199" s="122"/>
      <c r="DW199" s="122"/>
      <c r="DX199" s="122"/>
      <c r="DY199" s="122"/>
      <c r="DZ199" s="122"/>
      <c r="EA199" s="122"/>
      <c r="EB199" s="122"/>
      <c r="EC199" s="122"/>
      <c r="ED199" s="122"/>
      <c r="EE199" s="122"/>
      <c r="EF199" s="122"/>
      <c r="EG199" s="122"/>
      <c r="EH199" s="122"/>
      <c r="EI199" s="122"/>
      <c r="EJ199" s="122"/>
      <c r="EK199" s="122"/>
      <c r="EL199" s="122"/>
      <c r="EM199" s="122"/>
      <c r="EN199" s="122"/>
      <c r="EO199" s="122"/>
      <c r="EP199" s="122"/>
      <c r="EQ199" s="122"/>
      <c r="ER199" s="122"/>
      <c r="ES199" s="122"/>
      <c r="ET199" s="122"/>
      <c r="EU199" s="122"/>
      <c r="EV199" s="122"/>
      <c r="EW199" s="122"/>
      <c r="EX199" s="122"/>
      <c r="EY199" s="122"/>
      <c r="EZ199" s="122"/>
      <c r="FA199" s="122"/>
      <c r="FB199" s="122"/>
      <c r="FC199" s="122"/>
      <c r="FD199" s="122"/>
      <c r="FE199" s="122"/>
      <c r="FF199" s="122"/>
      <c r="FG199" s="122"/>
      <c r="FH199" s="122"/>
      <c r="FI199" s="122"/>
      <c r="FJ199" s="122"/>
      <c r="FK199" s="122"/>
      <c r="FL199" s="122"/>
      <c r="FM199" s="122"/>
      <c r="FN199" s="122"/>
      <c r="FO199" s="122"/>
      <c r="FP199" s="122"/>
      <c r="FQ199" s="122"/>
      <c r="FR199" s="122"/>
      <c r="FS199" s="122"/>
      <c r="FT199" s="122"/>
      <c r="FU199" s="122"/>
      <c r="FV199" s="122"/>
      <c r="FW199" s="122"/>
      <c r="FX199" s="122"/>
      <c r="FY199" s="122"/>
      <c r="FZ199" s="122"/>
      <c r="GA199" s="122"/>
      <c r="GB199" s="122"/>
      <c r="GC199" s="122"/>
      <c r="GD199" s="122"/>
      <c r="GE199" s="122"/>
      <c r="GF199" s="122"/>
      <c r="GG199" s="122"/>
      <c r="GH199" s="122"/>
      <c r="GI199" s="122"/>
      <c r="GJ199" s="122"/>
      <c r="GK199" s="122"/>
      <c r="GL199" s="122"/>
      <c r="GM199" s="122"/>
      <c r="GN199" s="122"/>
      <c r="GO199" s="122"/>
      <c r="GP199" s="122"/>
      <c r="GQ199" s="122"/>
      <c r="GR199" s="122"/>
      <c r="GS199" s="122"/>
      <c r="GT199" s="122"/>
      <c r="GU199" s="122"/>
      <c r="GV199" s="122"/>
      <c r="GW199" s="122"/>
      <c r="GX199" s="122"/>
      <c r="GY199" s="122"/>
      <c r="GZ199" s="122"/>
      <c r="HA199" s="122"/>
      <c r="HB199" s="122"/>
      <c r="HC199" s="122"/>
      <c r="HD199" s="122"/>
      <c r="HE199" s="122"/>
      <c r="HF199" s="122"/>
      <c r="HG199" s="122"/>
      <c r="HH199" s="122"/>
      <c r="HI199" s="122"/>
      <c r="HJ199" s="122"/>
      <c r="HK199" s="122"/>
      <c r="HL199" s="122"/>
      <c r="HM199" s="122"/>
      <c r="HN199" s="122"/>
      <c r="HO199" s="122"/>
      <c r="HP199" s="122"/>
      <c r="HQ199" s="122"/>
      <c r="HR199" s="122"/>
      <c r="HS199" s="122"/>
      <c r="HT199" s="122"/>
      <c r="HU199" s="122"/>
      <c r="HV199" s="122"/>
      <c r="HW199" s="122"/>
      <c r="HX199" s="122"/>
      <c r="HY199" s="122"/>
      <c r="HZ199" s="122"/>
      <c r="IA199" s="122"/>
      <c r="IB199" s="122"/>
      <c r="IC199" s="122"/>
      <c r="ID199" s="122"/>
      <c r="IE199" s="122"/>
      <c r="IF199" s="122"/>
      <c r="IG199" s="122"/>
      <c r="IH199" s="122"/>
      <c r="II199" s="122"/>
      <c r="IJ199" s="122"/>
      <c r="IK199" s="122"/>
      <c r="IL199" s="122"/>
      <c r="IM199" s="122"/>
      <c r="IN199" s="122"/>
      <c r="IO199" s="122"/>
      <c r="IP199" s="122"/>
      <c r="IQ199" s="122"/>
      <c r="IR199" s="122"/>
      <c r="IS199" s="122"/>
      <c r="IT199" s="122"/>
      <c r="IU199" s="122"/>
      <c r="IV199" s="122"/>
      <c r="IW199" s="122"/>
      <c r="IX199" s="122"/>
      <c r="IY199" s="122"/>
      <c r="IZ199" s="122"/>
      <c r="JA199" s="122"/>
      <c r="JB199" s="122"/>
      <c r="JC199" s="122"/>
      <c r="JD199" s="122"/>
      <c r="JE199" s="122"/>
      <c r="JF199" s="122"/>
      <c r="JG199" s="122"/>
      <c r="JH199" s="122"/>
      <c r="JI199" s="119">
        <f t="shared" si="271"/>
        <v>0</v>
      </c>
      <c r="JJ199" s="379"/>
      <c r="JK199" s="2"/>
      <c r="JL199" s="1"/>
      <c r="JM199" s="1"/>
      <c r="JN199" s="1"/>
      <c r="JO199" s="1"/>
      <c r="JP199" s="1"/>
    </row>
    <row r="200" spans="1:276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  <c r="AS200" s="122"/>
      <c r="AT200" s="122"/>
      <c r="AU200" s="122"/>
      <c r="AV200" s="122"/>
      <c r="AW200" s="122"/>
      <c r="AX200" s="122"/>
      <c r="AY200" s="122"/>
      <c r="AZ200" s="122"/>
      <c r="BA200" s="122"/>
      <c r="BB200" s="122"/>
      <c r="BC200" s="122"/>
      <c r="BD200" s="122"/>
      <c r="BE200" s="122"/>
      <c r="BF200" s="122"/>
      <c r="BG200" s="122"/>
      <c r="BH200" s="122"/>
      <c r="BI200" s="122"/>
      <c r="BJ200" s="122"/>
      <c r="BK200" s="122"/>
      <c r="BL200" s="122"/>
      <c r="BM200" s="122"/>
      <c r="BN200" s="122"/>
      <c r="BO200" s="122"/>
      <c r="BP200" s="122"/>
      <c r="BQ200" s="122"/>
      <c r="BR200" s="122"/>
      <c r="BS200" s="122"/>
      <c r="BT200" s="122"/>
      <c r="BU200" s="122"/>
      <c r="BV200" s="122"/>
      <c r="BW200" s="122"/>
      <c r="BX200" s="122"/>
      <c r="BY200" s="122"/>
      <c r="BZ200" s="122"/>
      <c r="CA200" s="122"/>
      <c r="CB200" s="122"/>
      <c r="CC200" s="122"/>
      <c r="CD200" s="122"/>
      <c r="CE200" s="122"/>
      <c r="CF200" s="122"/>
      <c r="CG200" s="122"/>
      <c r="CH200" s="122"/>
      <c r="CI200" s="122"/>
      <c r="CJ200" s="122"/>
      <c r="CK200" s="122"/>
      <c r="CL200" s="122"/>
      <c r="CM200" s="122"/>
      <c r="CN200" s="122"/>
      <c r="CO200" s="122"/>
      <c r="CP200" s="122"/>
      <c r="CQ200" s="122"/>
      <c r="CR200" s="122"/>
      <c r="CS200" s="122"/>
      <c r="CT200" s="122"/>
      <c r="CU200" s="122"/>
      <c r="CV200" s="122"/>
      <c r="CW200" s="122"/>
      <c r="CX200" s="122"/>
      <c r="CY200" s="122"/>
      <c r="CZ200" s="122"/>
      <c r="DA200" s="122"/>
      <c r="DB200" s="122"/>
      <c r="DC200" s="122"/>
      <c r="DD200" s="122"/>
      <c r="DE200" s="122"/>
      <c r="DF200" s="122"/>
      <c r="DG200" s="122"/>
      <c r="DH200" s="122"/>
      <c r="DI200" s="122"/>
      <c r="DJ200" s="122"/>
      <c r="DK200" s="122"/>
      <c r="DL200" s="122"/>
      <c r="DM200" s="122"/>
      <c r="DN200" s="122"/>
      <c r="DO200" s="122"/>
      <c r="DP200" s="122"/>
      <c r="DQ200" s="122"/>
      <c r="DR200" s="122"/>
      <c r="DS200" s="122"/>
      <c r="DT200" s="122"/>
      <c r="DU200" s="122"/>
      <c r="DV200" s="122"/>
      <c r="DW200" s="122"/>
      <c r="DX200" s="122"/>
      <c r="DY200" s="122"/>
      <c r="DZ200" s="122"/>
      <c r="EA200" s="122"/>
      <c r="EB200" s="122"/>
      <c r="EC200" s="122"/>
      <c r="ED200" s="122"/>
      <c r="EE200" s="122"/>
      <c r="EF200" s="122"/>
      <c r="EG200" s="122"/>
      <c r="EH200" s="122"/>
      <c r="EI200" s="122"/>
      <c r="EJ200" s="122"/>
      <c r="EK200" s="122"/>
      <c r="EL200" s="122"/>
      <c r="EM200" s="122"/>
      <c r="EN200" s="122"/>
      <c r="EO200" s="122"/>
      <c r="EP200" s="122"/>
      <c r="EQ200" s="122"/>
      <c r="ER200" s="122"/>
      <c r="ES200" s="122"/>
      <c r="ET200" s="122"/>
      <c r="EU200" s="122"/>
      <c r="EV200" s="122"/>
      <c r="EW200" s="122"/>
      <c r="EX200" s="122"/>
      <c r="EY200" s="122"/>
      <c r="EZ200" s="122"/>
      <c r="FA200" s="122"/>
      <c r="FB200" s="122"/>
      <c r="FC200" s="122"/>
      <c r="FD200" s="122"/>
      <c r="FE200" s="122"/>
      <c r="FF200" s="122"/>
      <c r="FG200" s="122"/>
      <c r="FH200" s="122"/>
      <c r="FI200" s="122"/>
      <c r="FJ200" s="122"/>
      <c r="FK200" s="122"/>
      <c r="FL200" s="122"/>
      <c r="FM200" s="122"/>
      <c r="FN200" s="122"/>
      <c r="FO200" s="122"/>
      <c r="FP200" s="122"/>
      <c r="FQ200" s="122"/>
      <c r="FR200" s="122"/>
      <c r="FS200" s="122"/>
      <c r="FT200" s="122"/>
      <c r="FU200" s="122"/>
      <c r="FV200" s="122"/>
      <c r="FW200" s="122"/>
      <c r="FX200" s="122"/>
      <c r="FY200" s="122"/>
      <c r="FZ200" s="122"/>
      <c r="GA200" s="122"/>
      <c r="GB200" s="122"/>
      <c r="GC200" s="122"/>
      <c r="GD200" s="122"/>
      <c r="GE200" s="122"/>
      <c r="GF200" s="122"/>
      <c r="GG200" s="122"/>
      <c r="GH200" s="122"/>
      <c r="GI200" s="122"/>
      <c r="GJ200" s="122"/>
      <c r="GK200" s="122"/>
      <c r="GL200" s="122"/>
      <c r="GM200" s="122"/>
      <c r="GN200" s="122"/>
      <c r="GO200" s="122"/>
      <c r="GP200" s="122"/>
      <c r="GQ200" s="122"/>
      <c r="GR200" s="122"/>
      <c r="GS200" s="122"/>
      <c r="GT200" s="122"/>
      <c r="GU200" s="122"/>
      <c r="GV200" s="122"/>
      <c r="GW200" s="122"/>
      <c r="GX200" s="122"/>
      <c r="GY200" s="122"/>
      <c r="GZ200" s="122"/>
      <c r="HA200" s="122"/>
      <c r="HB200" s="122"/>
      <c r="HC200" s="122"/>
      <c r="HD200" s="122"/>
      <c r="HE200" s="122"/>
      <c r="HF200" s="122"/>
      <c r="HG200" s="122"/>
      <c r="HH200" s="122"/>
      <c r="HI200" s="122"/>
      <c r="HJ200" s="122"/>
      <c r="HK200" s="122"/>
      <c r="HL200" s="122"/>
      <c r="HM200" s="122"/>
      <c r="HN200" s="122"/>
      <c r="HO200" s="122"/>
      <c r="HP200" s="122"/>
      <c r="HQ200" s="122"/>
      <c r="HR200" s="122"/>
      <c r="HS200" s="122"/>
      <c r="HT200" s="122"/>
      <c r="HU200" s="122"/>
      <c r="HV200" s="122"/>
      <c r="HW200" s="122"/>
      <c r="HX200" s="122"/>
      <c r="HY200" s="122"/>
      <c r="HZ200" s="122"/>
      <c r="IA200" s="122"/>
      <c r="IB200" s="122"/>
      <c r="IC200" s="122"/>
      <c r="ID200" s="122"/>
      <c r="IE200" s="122"/>
      <c r="IF200" s="122"/>
      <c r="IG200" s="122"/>
      <c r="IH200" s="122"/>
      <c r="II200" s="122"/>
      <c r="IJ200" s="122"/>
      <c r="IK200" s="122"/>
      <c r="IL200" s="122"/>
      <c r="IM200" s="122"/>
      <c r="IN200" s="122"/>
      <c r="IO200" s="122"/>
      <c r="IP200" s="122"/>
      <c r="IQ200" s="122"/>
      <c r="IR200" s="122"/>
      <c r="IS200" s="122"/>
      <c r="IT200" s="122"/>
      <c r="IU200" s="122"/>
      <c r="IV200" s="122"/>
      <c r="IW200" s="122"/>
      <c r="IX200" s="122"/>
      <c r="IY200" s="122"/>
      <c r="IZ200" s="122"/>
      <c r="JA200" s="122"/>
      <c r="JB200" s="122"/>
      <c r="JC200" s="122"/>
      <c r="JD200" s="122"/>
      <c r="JE200" s="122"/>
      <c r="JF200" s="122"/>
      <c r="JG200" s="122"/>
      <c r="JH200" s="122"/>
      <c r="JI200" s="119">
        <f t="shared" si="271"/>
        <v>0</v>
      </c>
      <c r="JJ200" s="379"/>
      <c r="JK200" s="2"/>
      <c r="JL200" s="1"/>
      <c r="JM200" s="1"/>
      <c r="JN200" s="1"/>
      <c r="JO200" s="1"/>
      <c r="JP200" s="1"/>
    </row>
    <row r="201" spans="1:276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  <c r="AR201" s="122"/>
      <c r="AS201" s="122"/>
      <c r="AT201" s="122"/>
      <c r="AU201" s="122"/>
      <c r="AV201" s="122"/>
      <c r="AW201" s="122"/>
      <c r="AX201" s="122"/>
      <c r="AY201" s="122"/>
      <c r="AZ201" s="122"/>
      <c r="BA201" s="122"/>
      <c r="BB201" s="122"/>
      <c r="BC201" s="122"/>
      <c r="BD201" s="122"/>
      <c r="BE201" s="122"/>
      <c r="BF201" s="122"/>
      <c r="BG201" s="122"/>
      <c r="BH201" s="122"/>
      <c r="BI201" s="122"/>
      <c r="BJ201" s="122"/>
      <c r="BK201" s="122"/>
      <c r="BL201" s="122"/>
      <c r="BM201" s="122"/>
      <c r="BN201" s="122"/>
      <c r="BO201" s="122"/>
      <c r="BP201" s="122"/>
      <c r="BQ201" s="122"/>
      <c r="BR201" s="122"/>
      <c r="BS201" s="122"/>
      <c r="BT201" s="122"/>
      <c r="BU201" s="122"/>
      <c r="BV201" s="122"/>
      <c r="BW201" s="122"/>
      <c r="BX201" s="122"/>
      <c r="BY201" s="122"/>
      <c r="BZ201" s="122"/>
      <c r="CA201" s="122"/>
      <c r="CB201" s="122"/>
      <c r="CC201" s="122"/>
      <c r="CD201" s="122"/>
      <c r="CE201" s="122"/>
      <c r="CF201" s="122"/>
      <c r="CG201" s="122"/>
      <c r="CH201" s="122"/>
      <c r="CI201" s="122"/>
      <c r="CJ201" s="122"/>
      <c r="CK201" s="122"/>
      <c r="CL201" s="122"/>
      <c r="CM201" s="122"/>
      <c r="CN201" s="122"/>
      <c r="CO201" s="122"/>
      <c r="CP201" s="122"/>
      <c r="CQ201" s="122"/>
      <c r="CR201" s="122"/>
      <c r="CS201" s="122"/>
      <c r="CT201" s="122"/>
      <c r="CU201" s="122"/>
      <c r="CV201" s="122"/>
      <c r="CW201" s="122"/>
      <c r="CX201" s="122"/>
      <c r="CY201" s="122"/>
      <c r="CZ201" s="122"/>
      <c r="DA201" s="122"/>
      <c r="DB201" s="122"/>
      <c r="DC201" s="122"/>
      <c r="DD201" s="122"/>
      <c r="DE201" s="122"/>
      <c r="DF201" s="122"/>
      <c r="DG201" s="122"/>
      <c r="DH201" s="122"/>
      <c r="DI201" s="122"/>
      <c r="DJ201" s="122"/>
      <c r="DK201" s="122"/>
      <c r="DL201" s="122"/>
      <c r="DM201" s="122"/>
      <c r="DN201" s="122"/>
      <c r="DO201" s="122"/>
      <c r="DP201" s="122"/>
      <c r="DQ201" s="122"/>
      <c r="DR201" s="122"/>
      <c r="DS201" s="122"/>
      <c r="DT201" s="122"/>
      <c r="DU201" s="122"/>
      <c r="DV201" s="122"/>
      <c r="DW201" s="122"/>
      <c r="DX201" s="122"/>
      <c r="DY201" s="122"/>
      <c r="DZ201" s="122"/>
      <c r="EA201" s="122"/>
      <c r="EB201" s="122"/>
      <c r="EC201" s="122"/>
      <c r="ED201" s="122"/>
      <c r="EE201" s="122"/>
      <c r="EF201" s="122"/>
      <c r="EG201" s="122"/>
      <c r="EH201" s="122"/>
      <c r="EI201" s="122"/>
      <c r="EJ201" s="122"/>
      <c r="EK201" s="122"/>
      <c r="EL201" s="122"/>
      <c r="EM201" s="122"/>
      <c r="EN201" s="122"/>
      <c r="EO201" s="122"/>
      <c r="EP201" s="122"/>
      <c r="EQ201" s="122"/>
      <c r="ER201" s="122"/>
      <c r="ES201" s="122"/>
      <c r="ET201" s="122"/>
      <c r="EU201" s="122"/>
      <c r="EV201" s="122"/>
      <c r="EW201" s="122"/>
      <c r="EX201" s="122"/>
      <c r="EY201" s="122"/>
      <c r="EZ201" s="122"/>
      <c r="FA201" s="122"/>
      <c r="FB201" s="122"/>
      <c r="FC201" s="122"/>
      <c r="FD201" s="122"/>
      <c r="FE201" s="122"/>
      <c r="FF201" s="122"/>
      <c r="FG201" s="122"/>
      <c r="FH201" s="122"/>
      <c r="FI201" s="122"/>
      <c r="FJ201" s="122"/>
      <c r="FK201" s="122"/>
      <c r="FL201" s="122"/>
      <c r="FM201" s="122"/>
      <c r="FN201" s="122"/>
      <c r="FO201" s="122"/>
      <c r="FP201" s="122"/>
      <c r="FQ201" s="122"/>
      <c r="FR201" s="122"/>
      <c r="FS201" s="122"/>
      <c r="FT201" s="122"/>
      <c r="FU201" s="122"/>
      <c r="FV201" s="122"/>
      <c r="FW201" s="122"/>
      <c r="FX201" s="122"/>
      <c r="FY201" s="122"/>
      <c r="FZ201" s="122"/>
      <c r="GA201" s="122"/>
      <c r="GB201" s="122"/>
      <c r="GC201" s="122"/>
      <c r="GD201" s="122"/>
      <c r="GE201" s="122"/>
      <c r="GF201" s="122"/>
      <c r="GG201" s="122"/>
      <c r="GH201" s="122"/>
      <c r="GI201" s="122"/>
      <c r="GJ201" s="122"/>
      <c r="GK201" s="122"/>
      <c r="GL201" s="122"/>
      <c r="GM201" s="122"/>
      <c r="GN201" s="122"/>
      <c r="GO201" s="122"/>
      <c r="GP201" s="122"/>
      <c r="GQ201" s="122"/>
      <c r="GR201" s="122"/>
      <c r="GS201" s="122"/>
      <c r="GT201" s="122"/>
      <c r="GU201" s="122"/>
      <c r="GV201" s="122"/>
      <c r="GW201" s="122"/>
      <c r="GX201" s="122"/>
      <c r="GY201" s="122"/>
      <c r="GZ201" s="122"/>
      <c r="HA201" s="122"/>
      <c r="HB201" s="122"/>
      <c r="HC201" s="122"/>
      <c r="HD201" s="122"/>
      <c r="HE201" s="122"/>
      <c r="HF201" s="122"/>
      <c r="HG201" s="122"/>
      <c r="HH201" s="122"/>
      <c r="HI201" s="122"/>
      <c r="HJ201" s="122"/>
      <c r="HK201" s="122"/>
      <c r="HL201" s="122"/>
      <c r="HM201" s="122"/>
      <c r="HN201" s="122"/>
      <c r="HO201" s="122"/>
      <c r="HP201" s="122"/>
      <c r="HQ201" s="122"/>
      <c r="HR201" s="122"/>
      <c r="HS201" s="122"/>
      <c r="HT201" s="122"/>
      <c r="HU201" s="122"/>
      <c r="HV201" s="122"/>
      <c r="HW201" s="122"/>
      <c r="HX201" s="122"/>
      <c r="HY201" s="122"/>
      <c r="HZ201" s="122"/>
      <c r="IA201" s="122"/>
      <c r="IB201" s="122"/>
      <c r="IC201" s="122"/>
      <c r="ID201" s="122"/>
      <c r="IE201" s="122"/>
      <c r="IF201" s="122"/>
      <c r="IG201" s="122"/>
      <c r="IH201" s="122"/>
      <c r="II201" s="122"/>
      <c r="IJ201" s="122"/>
      <c r="IK201" s="122"/>
      <c r="IL201" s="122"/>
      <c r="IM201" s="122"/>
      <c r="IN201" s="122"/>
      <c r="IO201" s="122"/>
      <c r="IP201" s="122"/>
      <c r="IQ201" s="122"/>
      <c r="IR201" s="122"/>
      <c r="IS201" s="122"/>
      <c r="IT201" s="122"/>
      <c r="IU201" s="122"/>
      <c r="IV201" s="122"/>
      <c r="IW201" s="122"/>
      <c r="IX201" s="122"/>
      <c r="IY201" s="122"/>
      <c r="IZ201" s="122"/>
      <c r="JA201" s="122"/>
      <c r="JB201" s="122"/>
      <c r="JC201" s="122"/>
      <c r="JD201" s="122"/>
      <c r="JE201" s="122"/>
      <c r="JF201" s="122"/>
      <c r="JG201" s="122"/>
      <c r="JH201" s="122"/>
      <c r="JI201" s="119">
        <f t="shared" si="271"/>
        <v>0</v>
      </c>
      <c r="JJ201" s="379"/>
      <c r="JK201" s="2"/>
      <c r="JL201" s="1"/>
      <c r="JM201" s="1"/>
      <c r="JN201" s="1"/>
      <c r="JO201" s="1"/>
      <c r="JP201" s="1"/>
    </row>
    <row r="202" spans="1:276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  <c r="AS202" s="122"/>
      <c r="AT202" s="122"/>
      <c r="AU202" s="122"/>
      <c r="AV202" s="122"/>
      <c r="AW202" s="122"/>
      <c r="AX202" s="122"/>
      <c r="AY202" s="122"/>
      <c r="AZ202" s="122"/>
      <c r="BA202" s="122"/>
      <c r="BB202" s="122"/>
      <c r="BC202" s="122"/>
      <c r="BD202" s="122"/>
      <c r="BE202" s="122"/>
      <c r="BF202" s="122"/>
      <c r="BG202" s="122"/>
      <c r="BH202" s="122"/>
      <c r="BI202" s="122"/>
      <c r="BJ202" s="122"/>
      <c r="BK202" s="122"/>
      <c r="BL202" s="122"/>
      <c r="BM202" s="122"/>
      <c r="BN202" s="122"/>
      <c r="BO202" s="122"/>
      <c r="BP202" s="122"/>
      <c r="BQ202" s="122"/>
      <c r="BR202" s="122"/>
      <c r="BS202" s="122"/>
      <c r="BT202" s="122"/>
      <c r="BU202" s="122"/>
      <c r="BV202" s="122"/>
      <c r="BW202" s="122"/>
      <c r="BX202" s="122"/>
      <c r="BY202" s="122"/>
      <c r="BZ202" s="122"/>
      <c r="CA202" s="122"/>
      <c r="CB202" s="122"/>
      <c r="CC202" s="122"/>
      <c r="CD202" s="122"/>
      <c r="CE202" s="122"/>
      <c r="CF202" s="122"/>
      <c r="CG202" s="122"/>
      <c r="CH202" s="122"/>
      <c r="CI202" s="122"/>
      <c r="CJ202" s="122"/>
      <c r="CK202" s="122"/>
      <c r="CL202" s="122"/>
      <c r="CM202" s="122"/>
      <c r="CN202" s="122"/>
      <c r="CO202" s="122"/>
      <c r="CP202" s="122"/>
      <c r="CQ202" s="122"/>
      <c r="CR202" s="122"/>
      <c r="CS202" s="122"/>
      <c r="CT202" s="122"/>
      <c r="CU202" s="122"/>
      <c r="CV202" s="122"/>
      <c r="CW202" s="122"/>
      <c r="CX202" s="122"/>
      <c r="CY202" s="122"/>
      <c r="CZ202" s="122"/>
      <c r="DA202" s="122"/>
      <c r="DB202" s="122"/>
      <c r="DC202" s="122"/>
      <c r="DD202" s="122"/>
      <c r="DE202" s="122"/>
      <c r="DF202" s="122"/>
      <c r="DG202" s="122"/>
      <c r="DH202" s="122"/>
      <c r="DI202" s="122"/>
      <c r="DJ202" s="122"/>
      <c r="DK202" s="122"/>
      <c r="DL202" s="122"/>
      <c r="DM202" s="122"/>
      <c r="DN202" s="122"/>
      <c r="DO202" s="122"/>
      <c r="DP202" s="122"/>
      <c r="DQ202" s="122"/>
      <c r="DR202" s="122"/>
      <c r="DS202" s="122"/>
      <c r="DT202" s="122"/>
      <c r="DU202" s="122"/>
      <c r="DV202" s="122"/>
      <c r="DW202" s="122"/>
      <c r="DX202" s="122"/>
      <c r="DY202" s="122"/>
      <c r="DZ202" s="122"/>
      <c r="EA202" s="122"/>
      <c r="EB202" s="122"/>
      <c r="EC202" s="122"/>
      <c r="ED202" s="122"/>
      <c r="EE202" s="122"/>
      <c r="EF202" s="122"/>
      <c r="EG202" s="122"/>
      <c r="EH202" s="122"/>
      <c r="EI202" s="122"/>
      <c r="EJ202" s="122"/>
      <c r="EK202" s="122"/>
      <c r="EL202" s="122"/>
      <c r="EM202" s="122"/>
      <c r="EN202" s="122"/>
      <c r="EO202" s="122"/>
      <c r="EP202" s="122"/>
      <c r="EQ202" s="122"/>
      <c r="ER202" s="122"/>
      <c r="ES202" s="122"/>
      <c r="ET202" s="122"/>
      <c r="EU202" s="122"/>
      <c r="EV202" s="122"/>
      <c r="EW202" s="122"/>
      <c r="EX202" s="122"/>
      <c r="EY202" s="122"/>
      <c r="EZ202" s="122"/>
      <c r="FA202" s="122"/>
      <c r="FB202" s="122"/>
      <c r="FC202" s="122"/>
      <c r="FD202" s="122"/>
      <c r="FE202" s="122"/>
      <c r="FF202" s="122"/>
      <c r="FG202" s="122"/>
      <c r="FH202" s="122"/>
      <c r="FI202" s="122"/>
      <c r="FJ202" s="122"/>
      <c r="FK202" s="122"/>
      <c r="FL202" s="122"/>
      <c r="FM202" s="122"/>
      <c r="FN202" s="122"/>
      <c r="FO202" s="122"/>
      <c r="FP202" s="122"/>
      <c r="FQ202" s="122"/>
      <c r="FR202" s="122"/>
      <c r="FS202" s="122"/>
      <c r="FT202" s="122"/>
      <c r="FU202" s="122"/>
      <c r="FV202" s="122"/>
      <c r="FW202" s="122"/>
      <c r="FX202" s="122"/>
      <c r="FY202" s="122"/>
      <c r="FZ202" s="122"/>
      <c r="GA202" s="122"/>
      <c r="GB202" s="122"/>
      <c r="GC202" s="122"/>
      <c r="GD202" s="122"/>
      <c r="GE202" s="122"/>
      <c r="GF202" s="122"/>
      <c r="GG202" s="122"/>
      <c r="GH202" s="122"/>
      <c r="GI202" s="122"/>
      <c r="GJ202" s="122"/>
      <c r="GK202" s="122"/>
      <c r="GL202" s="122"/>
      <c r="GM202" s="122"/>
      <c r="GN202" s="122"/>
      <c r="GO202" s="122"/>
      <c r="GP202" s="122"/>
      <c r="GQ202" s="122"/>
      <c r="GR202" s="122"/>
      <c r="GS202" s="122"/>
      <c r="GT202" s="122"/>
      <c r="GU202" s="122"/>
      <c r="GV202" s="122"/>
      <c r="GW202" s="122"/>
      <c r="GX202" s="122"/>
      <c r="GY202" s="122"/>
      <c r="GZ202" s="122"/>
      <c r="HA202" s="122"/>
      <c r="HB202" s="122"/>
      <c r="HC202" s="122"/>
      <c r="HD202" s="122"/>
      <c r="HE202" s="122"/>
      <c r="HF202" s="122"/>
      <c r="HG202" s="122"/>
      <c r="HH202" s="122"/>
      <c r="HI202" s="122"/>
      <c r="HJ202" s="122"/>
      <c r="HK202" s="122"/>
      <c r="HL202" s="122"/>
      <c r="HM202" s="122"/>
      <c r="HN202" s="122"/>
      <c r="HO202" s="122"/>
      <c r="HP202" s="122"/>
      <c r="HQ202" s="122"/>
      <c r="HR202" s="122"/>
      <c r="HS202" s="122"/>
      <c r="HT202" s="122"/>
      <c r="HU202" s="122"/>
      <c r="HV202" s="122"/>
      <c r="HW202" s="122"/>
      <c r="HX202" s="122"/>
      <c r="HY202" s="122"/>
      <c r="HZ202" s="122"/>
      <c r="IA202" s="122"/>
      <c r="IB202" s="122"/>
      <c r="IC202" s="122"/>
      <c r="ID202" s="122"/>
      <c r="IE202" s="122"/>
      <c r="IF202" s="122"/>
      <c r="IG202" s="122"/>
      <c r="IH202" s="122"/>
      <c r="II202" s="122"/>
      <c r="IJ202" s="122"/>
      <c r="IK202" s="122"/>
      <c r="IL202" s="122"/>
      <c r="IM202" s="122"/>
      <c r="IN202" s="122"/>
      <c r="IO202" s="122"/>
      <c r="IP202" s="122"/>
      <c r="IQ202" s="122"/>
      <c r="IR202" s="122"/>
      <c r="IS202" s="122"/>
      <c r="IT202" s="122"/>
      <c r="IU202" s="122"/>
      <c r="IV202" s="122"/>
      <c r="IW202" s="122"/>
      <c r="IX202" s="122"/>
      <c r="IY202" s="122"/>
      <c r="IZ202" s="122"/>
      <c r="JA202" s="122"/>
      <c r="JB202" s="122"/>
      <c r="JC202" s="122"/>
      <c r="JD202" s="122"/>
      <c r="JE202" s="122"/>
      <c r="JF202" s="122"/>
      <c r="JG202" s="122"/>
      <c r="JH202" s="122"/>
      <c r="JI202" s="119">
        <f t="shared" si="271"/>
        <v>0</v>
      </c>
      <c r="JJ202" s="379"/>
      <c r="JK202" s="2"/>
      <c r="JL202" s="1"/>
      <c r="JM202" s="1"/>
      <c r="JN202" s="1"/>
      <c r="JO202" s="1"/>
      <c r="JP202" s="1"/>
    </row>
    <row r="203" spans="1:276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  <c r="AR203" s="122"/>
      <c r="AS203" s="122"/>
      <c r="AT203" s="122"/>
      <c r="AU203" s="122"/>
      <c r="AV203" s="122"/>
      <c r="AW203" s="122"/>
      <c r="AX203" s="122"/>
      <c r="AY203" s="122"/>
      <c r="AZ203" s="122"/>
      <c r="BA203" s="122"/>
      <c r="BB203" s="122"/>
      <c r="BC203" s="122"/>
      <c r="BD203" s="122"/>
      <c r="BE203" s="122"/>
      <c r="BF203" s="122"/>
      <c r="BG203" s="122"/>
      <c r="BH203" s="122"/>
      <c r="BI203" s="122"/>
      <c r="BJ203" s="122"/>
      <c r="BK203" s="122"/>
      <c r="BL203" s="122"/>
      <c r="BM203" s="122"/>
      <c r="BN203" s="122"/>
      <c r="BO203" s="122"/>
      <c r="BP203" s="122"/>
      <c r="BQ203" s="122"/>
      <c r="BR203" s="122"/>
      <c r="BS203" s="122"/>
      <c r="BT203" s="122"/>
      <c r="BU203" s="122"/>
      <c r="BV203" s="122"/>
      <c r="BW203" s="122"/>
      <c r="BX203" s="122"/>
      <c r="BY203" s="122"/>
      <c r="BZ203" s="122"/>
      <c r="CA203" s="122"/>
      <c r="CB203" s="122"/>
      <c r="CC203" s="122"/>
      <c r="CD203" s="122"/>
      <c r="CE203" s="122"/>
      <c r="CF203" s="122"/>
      <c r="CG203" s="122"/>
      <c r="CH203" s="122"/>
      <c r="CI203" s="122"/>
      <c r="CJ203" s="122"/>
      <c r="CK203" s="122"/>
      <c r="CL203" s="122"/>
      <c r="CM203" s="122"/>
      <c r="CN203" s="122"/>
      <c r="CO203" s="122"/>
      <c r="CP203" s="122"/>
      <c r="CQ203" s="122"/>
      <c r="CR203" s="122"/>
      <c r="CS203" s="122"/>
      <c r="CT203" s="122"/>
      <c r="CU203" s="122"/>
      <c r="CV203" s="122"/>
      <c r="CW203" s="122"/>
      <c r="CX203" s="122"/>
      <c r="CY203" s="122"/>
      <c r="CZ203" s="122"/>
      <c r="DA203" s="122"/>
      <c r="DB203" s="122"/>
      <c r="DC203" s="122"/>
      <c r="DD203" s="122"/>
      <c r="DE203" s="122"/>
      <c r="DF203" s="122"/>
      <c r="DG203" s="122"/>
      <c r="DH203" s="122"/>
      <c r="DI203" s="122"/>
      <c r="DJ203" s="122"/>
      <c r="DK203" s="122"/>
      <c r="DL203" s="122"/>
      <c r="DM203" s="122"/>
      <c r="DN203" s="122"/>
      <c r="DO203" s="122"/>
      <c r="DP203" s="122"/>
      <c r="DQ203" s="122"/>
      <c r="DR203" s="122"/>
      <c r="DS203" s="122"/>
      <c r="DT203" s="122"/>
      <c r="DU203" s="122"/>
      <c r="DV203" s="122"/>
      <c r="DW203" s="122"/>
      <c r="DX203" s="122"/>
      <c r="DY203" s="122"/>
      <c r="DZ203" s="122"/>
      <c r="EA203" s="122"/>
      <c r="EB203" s="122"/>
      <c r="EC203" s="122"/>
      <c r="ED203" s="122"/>
      <c r="EE203" s="122"/>
      <c r="EF203" s="122"/>
      <c r="EG203" s="122"/>
      <c r="EH203" s="122"/>
      <c r="EI203" s="122"/>
      <c r="EJ203" s="122"/>
      <c r="EK203" s="122"/>
      <c r="EL203" s="122"/>
      <c r="EM203" s="122"/>
      <c r="EN203" s="122"/>
      <c r="EO203" s="122"/>
      <c r="EP203" s="122"/>
      <c r="EQ203" s="122"/>
      <c r="ER203" s="122"/>
      <c r="ES203" s="122"/>
      <c r="ET203" s="122"/>
      <c r="EU203" s="122"/>
      <c r="EV203" s="122"/>
      <c r="EW203" s="122"/>
      <c r="EX203" s="122"/>
      <c r="EY203" s="122"/>
      <c r="EZ203" s="122"/>
      <c r="FA203" s="122"/>
      <c r="FB203" s="122"/>
      <c r="FC203" s="122"/>
      <c r="FD203" s="122"/>
      <c r="FE203" s="122"/>
      <c r="FF203" s="122"/>
      <c r="FG203" s="122"/>
      <c r="FH203" s="122"/>
      <c r="FI203" s="122"/>
      <c r="FJ203" s="122"/>
      <c r="FK203" s="122"/>
      <c r="FL203" s="122"/>
      <c r="FM203" s="122"/>
      <c r="FN203" s="122"/>
      <c r="FO203" s="122"/>
      <c r="FP203" s="122"/>
      <c r="FQ203" s="122"/>
      <c r="FR203" s="122"/>
      <c r="FS203" s="122"/>
      <c r="FT203" s="122"/>
      <c r="FU203" s="122"/>
      <c r="FV203" s="122"/>
      <c r="FW203" s="122"/>
      <c r="FX203" s="122"/>
      <c r="FY203" s="122"/>
      <c r="FZ203" s="122"/>
      <c r="GA203" s="122"/>
      <c r="GB203" s="122"/>
      <c r="GC203" s="122"/>
      <c r="GD203" s="122"/>
      <c r="GE203" s="122"/>
      <c r="GF203" s="122"/>
      <c r="GG203" s="122"/>
      <c r="GH203" s="122"/>
      <c r="GI203" s="122"/>
      <c r="GJ203" s="122"/>
      <c r="GK203" s="122"/>
      <c r="GL203" s="122"/>
      <c r="GM203" s="122"/>
      <c r="GN203" s="122"/>
      <c r="GO203" s="122"/>
      <c r="GP203" s="122"/>
      <c r="GQ203" s="122"/>
      <c r="GR203" s="122"/>
      <c r="GS203" s="122"/>
      <c r="GT203" s="122"/>
      <c r="GU203" s="122"/>
      <c r="GV203" s="122"/>
      <c r="GW203" s="122"/>
      <c r="GX203" s="122"/>
      <c r="GY203" s="122"/>
      <c r="GZ203" s="122"/>
      <c r="HA203" s="122"/>
      <c r="HB203" s="122"/>
      <c r="HC203" s="122"/>
      <c r="HD203" s="122"/>
      <c r="HE203" s="122"/>
      <c r="HF203" s="122"/>
      <c r="HG203" s="122"/>
      <c r="HH203" s="122"/>
      <c r="HI203" s="122"/>
      <c r="HJ203" s="122"/>
      <c r="HK203" s="122"/>
      <c r="HL203" s="122"/>
      <c r="HM203" s="122"/>
      <c r="HN203" s="122"/>
      <c r="HO203" s="122"/>
      <c r="HP203" s="122"/>
      <c r="HQ203" s="122"/>
      <c r="HR203" s="122"/>
      <c r="HS203" s="122"/>
      <c r="HT203" s="122"/>
      <c r="HU203" s="122"/>
      <c r="HV203" s="122"/>
      <c r="HW203" s="122"/>
      <c r="HX203" s="122"/>
      <c r="HY203" s="122"/>
      <c r="HZ203" s="122"/>
      <c r="IA203" s="122"/>
      <c r="IB203" s="122"/>
      <c r="IC203" s="122"/>
      <c r="ID203" s="122"/>
      <c r="IE203" s="122"/>
      <c r="IF203" s="122"/>
      <c r="IG203" s="122"/>
      <c r="IH203" s="122"/>
      <c r="II203" s="122"/>
      <c r="IJ203" s="122"/>
      <c r="IK203" s="122"/>
      <c r="IL203" s="122"/>
      <c r="IM203" s="122"/>
      <c r="IN203" s="122"/>
      <c r="IO203" s="122"/>
      <c r="IP203" s="122"/>
      <c r="IQ203" s="122"/>
      <c r="IR203" s="122"/>
      <c r="IS203" s="122"/>
      <c r="IT203" s="122"/>
      <c r="IU203" s="122"/>
      <c r="IV203" s="122"/>
      <c r="IW203" s="122"/>
      <c r="IX203" s="122"/>
      <c r="IY203" s="122"/>
      <c r="IZ203" s="122"/>
      <c r="JA203" s="122"/>
      <c r="JB203" s="122"/>
      <c r="JC203" s="122"/>
      <c r="JD203" s="122"/>
      <c r="JE203" s="122"/>
      <c r="JF203" s="122"/>
      <c r="JG203" s="122"/>
      <c r="JH203" s="122"/>
      <c r="JI203" s="119">
        <f t="shared" si="271"/>
        <v>0</v>
      </c>
      <c r="JJ203" s="379"/>
      <c r="JK203" s="2"/>
      <c r="JL203" s="1"/>
      <c r="JM203" s="1"/>
      <c r="JN203" s="1"/>
      <c r="JO203" s="1"/>
      <c r="JP203" s="1"/>
    </row>
    <row r="204" spans="1:276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  <c r="AS204" s="122"/>
      <c r="AT204" s="122"/>
      <c r="AU204" s="122"/>
      <c r="AV204" s="122"/>
      <c r="AW204" s="122"/>
      <c r="AX204" s="122"/>
      <c r="AY204" s="122"/>
      <c r="AZ204" s="122"/>
      <c r="BA204" s="122"/>
      <c r="BB204" s="122"/>
      <c r="BC204" s="122"/>
      <c r="BD204" s="122"/>
      <c r="BE204" s="122"/>
      <c r="BF204" s="122"/>
      <c r="BG204" s="122"/>
      <c r="BH204" s="122"/>
      <c r="BI204" s="122"/>
      <c r="BJ204" s="122"/>
      <c r="BK204" s="122"/>
      <c r="BL204" s="122"/>
      <c r="BM204" s="122"/>
      <c r="BN204" s="122"/>
      <c r="BO204" s="122"/>
      <c r="BP204" s="122"/>
      <c r="BQ204" s="122"/>
      <c r="BR204" s="122"/>
      <c r="BS204" s="122"/>
      <c r="BT204" s="122"/>
      <c r="BU204" s="122"/>
      <c r="BV204" s="122"/>
      <c r="BW204" s="122"/>
      <c r="BX204" s="122"/>
      <c r="BY204" s="122"/>
      <c r="BZ204" s="122"/>
      <c r="CA204" s="122"/>
      <c r="CB204" s="122"/>
      <c r="CC204" s="122"/>
      <c r="CD204" s="122"/>
      <c r="CE204" s="122"/>
      <c r="CF204" s="122"/>
      <c r="CG204" s="122"/>
      <c r="CH204" s="122"/>
      <c r="CI204" s="122"/>
      <c r="CJ204" s="122"/>
      <c r="CK204" s="122"/>
      <c r="CL204" s="122"/>
      <c r="CM204" s="122"/>
      <c r="CN204" s="122"/>
      <c r="CO204" s="122"/>
      <c r="CP204" s="122"/>
      <c r="CQ204" s="122"/>
      <c r="CR204" s="122"/>
      <c r="CS204" s="122"/>
      <c r="CT204" s="122"/>
      <c r="CU204" s="122"/>
      <c r="CV204" s="122"/>
      <c r="CW204" s="122"/>
      <c r="CX204" s="122"/>
      <c r="CY204" s="122"/>
      <c r="CZ204" s="122"/>
      <c r="DA204" s="122"/>
      <c r="DB204" s="122"/>
      <c r="DC204" s="122"/>
      <c r="DD204" s="122"/>
      <c r="DE204" s="122"/>
      <c r="DF204" s="122"/>
      <c r="DG204" s="122"/>
      <c r="DH204" s="122"/>
      <c r="DI204" s="122"/>
      <c r="DJ204" s="122"/>
      <c r="DK204" s="122"/>
      <c r="DL204" s="122"/>
      <c r="DM204" s="122"/>
      <c r="DN204" s="122"/>
      <c r="DO204" s="122"/>
      <c r="DP204" s="122"/>
      <c r="DQ204" s="122"/>
      <c r="DR204" s="122"/>
      <c r="DS204" s="122"/>
      <c r="DT204" s="122"/>
      <c r="DU204" s="122"/>
      <c r="DV204" s="122"/>
      <c r="DW204" s="122"/>
      <c r="DX204" s="122"/>
      <c r="DY204" s="122"/>
      <c r="DZ204" s="122"/>
      <c r="EA204" s="122"/>
      <c r="EB204" s="122"/>
      <c r="EC204" s="122"/>
      <c r="ED204" s="122"/>
      <c r="EE204" s="122"/>
      <c r="EF204" s="122"/>
      <c r="EG204" s="122"/>
      <c r="EH204" s="122"/>
      <c r="EI204" s="122"/>
      <c r="EJ204" s="122"/>
      <c r="EK204" s="122"/>
      <c r="EL204" s="122"/>
      <c r="EM204" s="122"/>
      <c r="EN204" s="122"/>
      <c r="EO204" s="122"/>
      <c r="EP204" s="122"/>
      <c r="EQ204" s="122"/>
      <c r="ER204" s="122"/>
      <c r="ES204" s="122"/>
      <c r="ET204" s="122"/>
      <c r="EU204" s="122"/>
      <c r="EV204" s="122"/>
      <c r="EW204" s="122"/>
      <c r="EX204" s="122"/>
      <c r="EY204" s="122"/>
      <c r="EZ204" s="122"/>
      <c r="FA204" s="122"/>
      <c r="FB204" s="122"/>
      <c r="FC204" s="122"/>
      <c r="FD204" s="122"/>
      <c r="FE204" s="122"/>
      <c r="FF204" s="122"/>
      <c r="FG204" s="122"/>
      <c r="FH204" s="122"/>
      <c r="FI204" s="122"/>
      <c r="FJ204" s="122"/>
      <c r="FK204" s="122"/>
      <c r="FL204" s="122"/>
      <c r="FM204" s="122"/>
      <c r="FN204" s="122"/>
      <c r="FO204" s="122"/>
      <c r="FP204" s="122"/>
      <c r="FQ204" s="122"/>
      <c r="FR204" s="122"/>
      <c r="FS204" s="122"/>
      <c r="FT204" s="122"/>
      <c r="FU204" s="122"/>
      <c r="FV204" s="122"/>
      <c r="FW204" s="122"/>
      <c r="FX204" s="122"/>
      <c r="FY204" s="122"/>
      <c r="FZ204" s="122"/>
      <c r="GA204" s="122"/>
      <c r="GB204" s="122"/>
      <c r="GC204" s="122"/>
      <c r="GD204" s="122"/>
      <c r="GE204" s="122"/>
      <c r="GF204" s="122"/>
      <c r="GG204" s="122"/>
      <c r="GH204" s="122"/>
      <c r="GI204" s="122"/>
      <c r="GJ204" s="122"/>
      <c r="GK204" s="122"/>
      <c r="GL204" s="122"/>
      <c r="GM204" s="122"/>
      <c r="GN204" s="122"/>
      <c r="GO204" s="122"/>
      <c r="GP204" s="122"/>
      <c r="GQ204" s="122"/>
      <c r="GR204" s="122"/>
      <c r="GS204" s="122"/>
      <c r="GT204" s="122"/>
      <c r="GU204" s="122"/>
      <c r="GV204" s="122"/>
      <c r="GW204" s="122"/>
      <c r="GX204" s="122"/>
      <c r="GY204" s="122"/>
      <c r="GZ204" s="122"/>
      <c r="HA204" s="122"/>
      <c r="HB204" s="122"/>
      <c r="HC204" s="122"/>
      <c r="HD204" s="122"/>
      <c r="HE204" s="122"/>
      <c r="HF204" s="122"/>
      <c r="HG204" s="122"/>
      <c r="HH204" s="122"/>
      <c r="HI204" s="122"/>
      <c r="HJ204" s="122"/>
      <c r="HK204" s="122"/>
      <c r="HL204" s="122"/>
      <c r="HM204" s="122"/>
      <c r="HN204" s="122"/>
      <c r="HO204" s="122"/>
      <c r="HP204" s="122"/>
      <c r="HQ204" s="122"/>
      <c r="HR204" s="122"/>
      <c r="HS204" s="122"/>
      <c r="HT204" s="122"/>
      <c r="HU204" s="122"/>
      <c r="HV204" s="122"/>
      <c r="HW204" s="122"/>
      <c r="HX204" s="122"/>
      <c r="HY204" s="122"/>
      <c r="HZ204" s="122"/>
      <c r="IA204" s="122"/>
      <c r="IB204" s="122"/>
      <c r="IC204" s="122"/>
      <c r="ID204" s="122"/>
      <c r="IE204" s="122"/>
      <c r="IF204" s="122"/>
      <c r="IG204" s="122"/>
      <c r="IH204" s="122"/>
      <c r="II204" s="122"/>
      <c r="IJ204" s="122"/>
      <c r="IK204" s="122"/>
      <c r="IL204" s="122"/>
      <c r="IM204" s="122"/>
      <c r="IN204" s="122"/>
      <c r="IO204" s="122"/>
      <c r="IP204" s="122"/>
      <c r="IQ204" s="122"/>
      <c r="IR204" s="122"/>
      <c r="IS204" s="122"/>
      <c r="IT204" s="122"/>
      <c r="IU204" s="122"/>
      <c r="IV204" s="122"/>
      <c r="IW204" s="122"/>
      <c r="IX204" s="122"/>
      <c r="IY204" s="122"/>
      <c r="IZ204" s="122"/>
      <c r="JA204" s="122"/>
      <c r="JB204" s="122"/>
      <c r="JC204" s="122"/>
      <c r="JD204" s="122"/>
      <c r="JE204" s="122"/>
      <c r="JF204" s="122"/>
      <c r="JG204" s="122"/>
      <c r="JH204" s="122"/>
      <c r="JI204" s="119">
        <f t="shared" si="271"/>
        <v>0</v>
      </c>
      <c r="JJ204" s="379"/>
      <c r="JK204" s="2"/>
      <c r="JL204" s="1"/>
      <c r="JM204" s="1"/>
      <c r="JN204" s="1"/>
      <c r="JO204" s="1"/>
      <c r="JP204" s="1"/>
    </row>
    <row r="205" spans="1:276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  <c r="AS205" s="122"/>
      <c r="AT205" s="122"/>
      <c r="AU205" s="122"/>
      <c r="AV205" s="122"/>
      <c r="AW205" s="122"/>
      <c r="AX205" s="122"/>
      <c r="AY205" s="122"/>
      <c r="AZ205" s="122"/>
      <c r="BA205" s="122"/>
      <c r="BB205" s="122"/>
      <c r="BC205" s="122"/>
      <c r="BD205" s="122"/>
      <c r="BE205" s="122"/>
      <c r="BF205" s="122"/>
      <c r="BG205" s="122"/>
      <c r="BH205" s="122"/>
      <c r="BI205" s="122"/>
      <c r="BJ205" s="122"/>
      <c r="BK205" s="122"/>
      <c r="BL205" s="122"/>
      <c r="BM205" s="122"/>
      <c r="BN205" s="122"/>
      <c r="BO205" s="122"/>
      <c r="BP205" s="122"/>
      <c r="BQ205" s="122"/>
      <c r="BR205" s="122"/>
      <c r="BS205" s="122"/>
      <c r="BT205" s="122"/>
      <c r="BU205" s="122"/>
      <c r="BV205" s="122"/>
      <c r="BW205" s="122"/>
      <c r="BX205" s="122"/>
      <c r="BY205" s="122"/>
      <c r="BZ205" s="122"/>
      <c r="CA205" s="122"/>
      <c r="CB205" s="122"/>
      <c r="CC205" s="122"/>
      <c r="CD205" s="122"/>
      <c r="CE205" s="122"/>
      <c r="CF205" s="122"/>
      <c r="CG205" s="122"/>
      <c r="CH205" s="122"/>
      <c r="CI205" s="122"/>
      <c r="CJ205" s="122"/>
      <c r="CK205" s="122"/>
      <c r="CL205" s="122"/>
      <c r="CM205" s="122"/>
      <c r="CN205" s="122"/>
      <c r="CO205" s="122"/>
      <c r="CP205" s="122"/>
      <c r="CQ205" s="122"/>
      <c r="CR205" s="122"/>
      <c r="CS205" s="122"/>
      <c r="CT205" s="122"/>
      <c r="CU205" s="122"/>
      <c r="CV205" s="122"/>
      <c r="CW205" s="122"/>
      <c r="CX205" s="122"/>
      <c r="CY205" s="122"/>
      <c r="CZ205" s="122"/>
      <c r="DA205" s="122"/>
      <c r="DB205" s="122"/>
      <c r="DC205" s="122"/>
      <c r="DD205" s="122"/>
      <c r="DE205" s="122"/>
      <c r="DF205" s="122"/>
      <c r="DG205" s="122"/>
      <c r="DH205" s="122"/>
      <c r="DI205" s="122"/>
      <c r="DJ205" s="122"/>
      <c r="DK205" s="122"/>
      <c r="DL205" s="122"/>
      <c r="DM205" s="122"/>
      <c r="DN205" s="122"/>
      <c r="DO205" s="122"/>
      <c r="DP205" s="122"/>
      <c r="DQ205" s="122"/>
      <c r="DR205" s="122"/>
      <c r="DS205" s="122"/>
      <c r="DT205" s="122"/>
      <c r="DU205" s="122"/>
      <c r="DV205" s="122"/>
      <c r="DW205" s="122"/>
      <c r="DX205" s="122"/>
      <c r="DY205" s="122"/>
      <c r="DZ205" s="122"/>
      <c r="EA205" s="122"/>
      <c r="EB205" s="122"/>
      <c r="EC205" s="122"/>
      <c r="ED205" s="122"/>
      <c r="EE205" s="122"/>
      <c r="EF205" s="122"/>
      <c r="EG205" s="122"/>
      <c r="EH205" s="122"/>
      <c r="EI205" s="122"/>
      <c r="EJ205" s="122"/>
      <c r="EK205" s="122"/>
      <c r="EL205" s="122"/>
      <c r="EM205" s="122"/>
      <c r="EN205" s="122"/>
      <c r="EO205" s="122"/>
      <c r="EP205" s="122"/>
      <c r="EQ205" s="122"/>
      <c r="ER205" s="122"/>
      <c r="ES205" s="122"/>
      <c r="ET205" s="122"/>
      <c r="EU205" s="122"/>
      <c r="EV205" s="122"/>
      <c r="EW205" s="122"/>
      <c r="EX205" s="122"/>
      <c r="EY205" s="122"/>
      <c r="EZ205" s="122"/>
      <c r="FA205" s="122"/>
      <c r="FB205" s="122"/>
      <c r="FC205" s="122"/>
      <c r="FD205" s="122"/>
      <c r="FE205" s="122"/>
      <c r="FF205" s="122"/>
      <c r="FG205" s="122"/>
      <c r="FH205" s="122"/>
      <c r="FI205" s="122"/>
      <c r="FJ205" s="122"/>
      <c r="FK205" s="122"/>
      <c r="FL205" s="122"/>
      <c r="FM205" s="122"/>
      <c r="FN205" s="122"/>
      <c r="FO205" s="122"/>
      <c r="FP205" s="122"/>
      <c r="FQ205" s="122"/>
      <c r="FR205" s="122"/>
      <c r="FS205" s="122"/>
      <c r="FT205" s="122"/>
      <c r="FU205" s="122"/>
      <c r="FV205" s="122"/>
      <c r="FW205" s="122"/>
      <c r="FX205" s="122"/>
      <c r="FY205" s="122"/>
      <c r="FZ205" s="122"/>
      <c r="GA205" s="122"/>
      <c r="GB205" s="122"/>
      <c r="GC205" s="122"/>
      <c r="GD205" s="122"/>
      <c r="GE205" s="122"/>
      <c r="GF205" s="122"/>
      <c r="GG205" s="122"/>
      <c r="GH205" s="122"/>
      <c r="GI205" s="122"/>
      <c r="GJ205" s="122"/>
      <c r="GK205" s="122"/>
      <c r="GL205" s="122"/>
      <c r="GM205" s="122"/>
      <c r="GN205" s="122"/>
      <c r="GO205" s="122"/>
      <c r="GP205" s="122"/>
      <c r="GQ205" s="122"/>
      <c r="GR205" s="122"/>
      <c r="GS205" s="122"/>
      <c r="GT205" s="122"/>
      <c r="GU205" s="122"/>
      <c r="GV205" s="122"/>
      <c r="GW205" s="122"/>
      <c r="GX205" s="122"/>
      <c r="GY205" s="122"/>
      <c r="GZ205" s="122"/>
      <c r="HA205" s="122"/>
      <c r="HB205" s="122"/>
      <c r="HC205" s="122"/>
      <c r="HD205" s="122"/>
      <c r="HE205" s="122"/>
      <c r="HF205" s="122"/>
      <c r="HG205" s="122"/>
      <c r="HH205" s="122"/>
      <c r="HI205" s="122"/>
      <c r="HJ205" s="122"/>
      <c r="HK205" s="122"/>
      <c r="HL205" s="122"/>
      <c r="HM205" s="122"/>
      <c r="HN205" s="122"/>
      <c r="HO205" s="122"/>
      <c r="HP205" s="122"/>
      <c r="HQ205" s="122"/>
      <c r="HR205" s="122"/>
      <c r="HS205" s="122"/>
      <c r="HT205" s="122"/>
      <c r="HU205" s="122"/>
      <c r="HV205" s="122"/>
      <c r="HW205" s="122"/>
      <c r="HX205" s="122"/>
      <c r="HY205" s="122"/>
      <c r="HZ205" s="122"/>
      <c r="IA205" s="122"/>
      <c r="IB205" s="122"/>
      <c r="IC205" s="122"/>
      <c r="ID205" s="122"/>
      <c r="IE205" s="122"/>
      <c r="IF205" s="122"/>
      <c r="IG205" s="122"/>
      <c r="IH205" s="122"/>
      <c r="II205" s="122"/>
      <c r="IJ205" s="122"/>
      <c r="IK205" s="122"/>
      <c r="IL205" s="122"/>
      <c r="IM205" s="122"/>
      <c r="IN205" s="122"/>
      <c r="IO205" s="122"/>
      <c r="IP205" s="122"/>
      <c r="IQ205" s="122"/>
      <c r="IR205" s="122"/>
      <c r="IS205" s="122"/>
      <c r="IT205" s="122"/>
      <c r="IU205" s="122"/>
      <c r="IV205" s="122"/>
      <c r="IW205" s="122"/>
      <c r="IX205" s="122"/>
      <c r="IY205" s="122"/>
      <c r="IZ205" s="122"/>
      <c r="JA205" s="122"/>
      <c r="JB205" s="122"/>
      <c r="JC205" s="122"/>
      <c r="JD205" s="122"/>
      <c r="JE205" s="122"/>
      <c r="JF205" s="122"/>
      <c r="JG205" s="122"/>
      <c r="JH205" s="122"/>
      <c r="JI205" s="119">
        <f t="shared" si="271"/>
        <v>0</v>
      </c>
      <c r="JJ205" s="379"/>
      <c r="JK205" s="2"/>
      <c r="JL205" s="1"/>
      <c r="JM205" s="1"/>
      <c r="JN205" s="1"/>
      <c r="JO205" s="1"/>
      <c r="JP205" s="1"/>
    </row>
    <row r="206" spans="1:27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  <c r="AT206" s="122"/>
      <c r="AU206" s="122"/>
      <c r="AV206" s="122"/>
      <c r="AW206" s="122"/>
      <c r="AX206" s="122"/>
      <c r="AY206" s="122"/>
      <c r="AZ206" s="122"/>
      <c r="BA206" s="122"/>
      <c r="BB206" s="122"/>
      <c r="BC206" s="122"/>
      <c r="BD206" s="122"/>
      <c r="BE206" s="122"/>
      <c r="BF206" s="122"/>
      <c r="BG206" s="122"/>
      <c r="BH206" s="122"/>
      <c r="BI206" s="122"/>
      <c r="BJ206" s="122"/>
      <c r="BK206" s="122"/>
      <c r="BL206" s="122"/>
      <c r="BM206" s="122"/>
      <c r="BN206" s="122"/>
      <c r="BO206" s="122"/>
      <c r="BP206" s="122"/>
      <c r="BQ206" s="122"/>
      <c r="BR206" s="122"/>
      <c r="BS206" s="122"/>
      <c r="BT206" s="122"/>
      <c r="BU206" s="122"/>
      <c r="BV206" s="122"/>
      <c r="BW206" s="122"/>
      <c r="BX206" s="122"/>
      <c r="BY206" s="122"/>
      <c r="BZ206" s="122"/>
      <c r="CA206" s="122"/>
      <c r="CB206" s="122"/>
      <c r="CC206" s="122"/>
      <c r="CD206" s="122"/>
      <c r="CE206" s="122"/>
      <c r="CF206" s="122"/>
      <c r="CG206" s="122"/>
      <c r="CH206" s="122"/>
      <c r="CI206" s="122"/>
      <c r="CJ206" s="122"/>
      <c r="CK206" s="122"/>
      <c r="CL206" s="122"/>
      <c r="CM206" s="122"/>
      <c r="CN206" s="122"/>
      <c r="CO206" s="122"/>
      <c r="CP206" s="122"/>
      <c r="CQ206" s="122"/>
      <c r="CR206" s="122"/>
      <c r="CS206" s="122"/>
      <c r="CT206" s="122"/>
      <c r="CU206" s="122"/>
      <c r="CV206" s="122"/>
      <c r="CW206" s="122"/>
      <c r="CX206" s="122"/>
      <c r="CY206" s="122"/>
      <c r="CZ206" s="122"/>
      <c r="DA206" s="122"/>
      <c r="DB206" s="122"/>
      <c r="DC206" s="122"/>
      <c r="DD206" s="122"/>
      <c r="DE206" s="122"/>
      <c r="DF206" s="122"/>
      <c r="DG206" s="122"/>
      <c r="DH206" s="122"/>
      <c r="DI206" s="122"/>
      <c r="DJ206" s="122"/>
      <c r="DK206" s="122"/>
      <c r="DL206" s="122"/>
      <c r="DM206" s="122"/>
      <c r="DN206" s="122"/>
      <c r="DO206" s="122"/>
      <c r="DP206" s="122"/>
      <c r="DQ206" s="122"/>
      <c r="DR206" s="122"/>
      <c r="DS206" s="122"/>
      <c r="DT206" s="122"/>
      <c r="DU206" s="122"/>
      <c r="DV206" s="122"/>
      <c r="DW206" s="122"/>
      <c r="DX206" s="122"/>
      <c r="DY206" s="122"/>
      <c r="DZ206" s="122"/>
      <c r="EA206" s="122"/>
      <c r="EB206" s="122"/>
      <c r="EC206" s="122"/>
      <c r="ED206" s="122"/>
      <c r="EE206" s="122"/>
      <c r="EF206" s="122"/>
      <c r="EG206" s="122"/>
      <c r="EH206" s="122"/>
      <c r="EI206" s="122"/>
      <c r="EJ206" s="122"/>
      <c r="EK206" s="122"/>
      <c r="EL206" s="122"/>
      <c r="EM206" s="122"/>
      <c r="EN206" s="122"/>
      <c r="EO206" s="122"/>
      <c r="EP206" s="122"/>
      <c r="EQ206" s="122"/>
      <c r="ER206" s="122"/>
      <c r="ES206" s="122"/>
      <c r="ET206" s="122"/>
      <c r="EU206" s="122"/>
      <c r="EV206" s="122"/>
      <c r="EW206" s="122"/>
      <c r="EX206" s="122"/>
      <c r="EY206" s="122"/>
      <c r="EZ206" s="122"/>
      <c r="FA206" s="122"/>
      <c r="FB206" s="122"/>
      <c r="FC206" s="122"/>
      <c r="FD206" s="122"/>
      <c r="FE206" s="122"/>
      <c r="FF206" s="122"/>
      <c r="FG206" s="122"/>
      <c r="FH206" s="122"/>
      <c r="FI206" s="122"/>
      <c r="FJ206" s="122"/>
      <c r="FK206" s="122"/>
      <c r="FL206" s="122"/>
      <c r="FM206" s="122"/>
      <c r="FN206" s="122"/>
      <c r="FO206" s="122"/>
      <c r="FP206" s="122"/>
      <c r="FQ206" s="122"/>
      <c r="FR206" s="122"/>
      <c r="FS206" s="122"/>
      <c r="FT206" s="122"/>
      <c r="FU206" s="122"/>
      <c r="FV206" s="122"/>
      <c r="FW206" s="122"/>
      <c r="FX206" s="122"/>
      <c r="FY206" s="122"/>
      <c r="FZ206" s="122"/>
      <c r="GA206" s="122"/>
      <c r="GB206" s="122"/>
      <c r="GC206" s="122"/>
      <c r="GD206" s="122"/>
      <c r="GE206" s="122"/>
      <c r="GF206" s="122"/>
      <c r="GG206" s="122"/>
      <c r="GH206" s="122"/>
      <c r="GI206" s="122"/>
      <c r="GJ206" s="122"/>
      <c r="GK206" s="122"/>
      <c r="GL206" s="122"/>
      <c r="GM206" s="122"/>
      <c r="GN206" s="122"/>
      <c r="GO206" s="122"/>
      <c r="GP206" s="122"/>
      <c r="GQ206" s="122"/>
      <c r="GR206" s="122"/>
      <c r="GS206" s="122"/>
      <c r="GT206" s="122"/>
      <c r="GU206" s="122"/>
      <c r="GV206" s="122"/>
      <c r="GW206" s="122"/>
      <c r="GX206" s="122"/>
      <c r="GY206" s="122"/>
      <c r="GZ206" s="122"/>
      <c r="HA206" s="122"/>
      <c r="HB206" s="122"/>
      <c r="HC206" s="122"/>
      <c r="HD206" s="122"/>
      <c r="HE206" s="122"/>
      <c r="HF206" s="122"/>
      <c r="HG206" s="122"/>
      <c r="HH206" s="122"/>
      <c r="HI206" s="122"/>
      <c r="HJ206" s="122"/>
      <c r="HK206" s="122"/>
      <c r="HL206" s="122"/>
      <c r="HM206" s="122"/>
      <c r="HN206" s="122"/>
      <c r="HO206" s="122"/>
      <c r="HP206" s="122"/>
      <c r="HQ206" s="122"/>
      <c r="HR206" s="122"/>
      <c r="HS206" s="122"/>
      <c r="HT206" s="122"/>
      <c r="HU206" s="122"/>
      <c r="HV206" s="122"/>
      <c r="HW206" s="122"/>
      <c r="HX206" s="122"/>
      <c r="HY206" s="122"/>
      <c r="HZ206" s="122"/>
      <c r="IA206" s="122"/>
      <c r="IB206" s="122"/>
      <c r="IC206" s="122"/>
      <c r="ID206" s="122"/>
      <c r="IE206" s="122"/>
      <c r="IF206" s="122"/>
      <c r="IG206" s="122"/>
      <c r="IH206" s="122"/>
      <c r="II206" s="122"/>
      <c r="IJ206" s="122"/>
      <c r="IK206" s="122"/>
      <c r="IL206" s="122"/>
      <c r="IM206" s="122"/>
      <c r="IN206" s="122"/>
      <c r="IO206" s="122"/>
      <c r="IP206" s="122"/>
      <c r="IQ206" s="122"/>
      <c r="IR206" s="122"/>
      <c r="IS206" s="122"/>
      <c r="IT206" s="122"/>
      <c r="IU206" s="122"/>
      <c r="IV206" s="122"/>
      <c r="IW206" s="122"/>
      <c r="IX206" s="122"/>
      <c r="IY206" s="122"/>
      <c r="IZ206" s="122"/>
      <c r="JA206" s="122"/>
      <c r="JB206" s="122"/>
      <c r="JC206" s="122"/>
      <c r="JD206" s="122"/>
      <c r="JE206" s="122"/>
      <c r="JF206" s="122"/>
      <c r="JG206" s="122"/>
      <c r="JH206" s="122"/>
      <c r="JI206" s="119">
        <f t="shared" si="271"/>
        <v>0</v>
      </c>
      <c r="JJ206" s="379"/>
      <c r="JK206" s="2"/>
      <c r="JL206" s="1"/>
      <c r="JM206" s="1"/>
      <c r="JN206" s="1"/>
      <c r="JO206" s="1"/>
      <c r="JP206" s="1"/>
    </row>
    <row r="207" spans="1:276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22"/>
      <c r="BZ207" s="122"/>
      <c r="CA207" s="122"/>
      <c r="CB207" s="122"/>
      <c r="CC207" s="122"/>
      <c r="CD207" s="122"/>
      <c r="CE207" s="122"/>
      <c r="CF207" s="122"/>
      <c r="CG207" s="122"/>
      <c r="CH207" s="122"/>
      <c r="CI207" s="122"/>
      <c r="CJ207" s="122"/>
      <c r="CK207" s="122"/>
      <c r="CL207" s="122"/>
      <c r="CM207" s="122"/>
      <c r="CN207" s="122"/>
      <c r="CO207" s="122"/>
      <c r="CP207" s="122"/>
      <c r="CQ207" s="122"/>
      <c r="CR207" s="122"/>
      <c r="CS207" s="122"/>
      <c r="CT207" s="122"/>
      <c r="CU207" s="122"/>
      <c r="CV207" s="122"/>
      <c r="CW207" s="122"/>
      <c r="CX207" s="122"/>
      <c r="CY207" s="122"/>
      <c r="CZ207" s="122"/>
      <c r="DA207" s="122"/>
      <c r="DB207" s="122"/>
      <c r="DC207" s="122"/>
      <c r="DD207" s="122"/>
      <c r="DE207" s="122"/>
      <c r="DF207" s="122"/>
      <c r="DG207" s="122"/>
      <c r="DH207" s="122"/>
      <c r="DI207" s="122"/>
      <c r="DJ207" s="122"/>
      <c r="DK207" s="122"/>
      <c r="DL207" s="122"/>
      <c r="DM207" s="122"/>
      <c r="DN207" s="122"/>
      <c r="DO207" s="122"/>
      <c r="DP207" s="122"/>
      <c r="DQ207" s="122"/>
      <c r="DR207" s="122"/>
      <c r="DS207" s="122"/>
      <c r="DT207" s="122"/>
      <c r="DU207" s="122"/>
      <c r="DV207" s="122"/>
      <c r="DW207" s="122"/>
      <c r="DX207" s="122"/>
      <c r="DY207" s="122"/>
      <c r="DZ207" s="122"/>
      <c r="EA207" s="122"/>
      <c r="EB207" s="122"/>
      <c r="EC207" s="122"/>
      <c r="ED207" s="122"/>
      <c r="EE207" s="122"/>
      <c r="EF207" s="122"/>
      <c r="EG207" s="122"/>
      <c r="EH207" s="122"/>
      <c r="EI207" s="122"/>
      <c r="EJ207" s="122"/>
      <c r="EK207" s="122"/>
      <c r="EL207" s="122"/>
      <c r="EM207" s="122"/>
      <c r="EN207" s="122"/>
      <c r="EO207" s="122"/>
      <c r="EP207" s="122"/>
      <c r="EQ207" s="122"/>
      <c r="ER207" s="122"/>
      <c r="ES207" s="122"/>
      <c r="ET207" s="122"/>
      <c r="EU207" s="122"/>
      <c r="EV207" s="122"/>
      <c r="EW207" s="122"/>
      <c r="EX207" s="122"/>
      <c r="EY207" s="122"/>
      <c r="EZ207" s="122"/>
      <c r="FA207" s="122"/>
      <c r="FB207" s="122"/>
      <c r="FC207" s="122"/>
      <c r="FD207" s="122"/>
      <c r="FE207" s="122"/>
      <c r="FF207" s="122"/>
      <c r="FG207" s="122"/>
      <c r="FH207" s="122"/>
      <c r="FI207" s="122"/>
      <c r="FJ207" s="122"/>
      <c r="FK207" s="122"/>
      <c r="FL207" s="122"/>
      <c r="FM207" s="122"/>
      <c r="FN207" s="122"/>
      <c r="FO207" s="122"/>
      <c r="FP207" s="122"/>
      <c r="FQ207" s="122"/>
      <c r="FR207" s="122"/>
      <c r="FS207" s="122"/>
      <c r="FT207" s="122"/>
      <c r="FU207" s="122"/>
      <c r="FV207" s="122"/>
      <c r="FW207" s="122"/>
      <c r="FX207" s="122"/>
      <c r="FY207" s="122"/>
      <c r="FZ207" s="122"/>
      <c r="GA207" s="122"/>
      <c r="GB207" s="122"/>
      <c r="GC207" s="122"/>
      <c r="GD207" s="122"/>
      <c r="GE207" s="122"/>
      <c r="GF207" s="122"/>
      <c r="GG207" s="122"/>
      <c r="GH207" s="122"/>
      <c r="GI207" s="122"/>
      <c r="GJ207" s="122"/>
      <c r="GK207" s="122"/>
      <c r="GL207" s="122"/>
      <c r="GM207" s="122"/>
      <c r="GN207" s="122"/>
      <c r="GO207" s="122"/>
      <c r="GP207" s="122"/>
      <c r="GQ207" s="122"/>
      <c r="GR207" s="122"/>
      <c r="GS207" s="122"/>
      <c r="GT207" s="122"/>
      <c r="GU207" s="122"/>
      <c r="GV207" s="122"/>
      <c r="GW207" s="122"/>
      <c r="GX207" s="122"/>
      <c r="GY207" s="122"/>
      <c r="GZ207" s="122"/>
      <c r="HA207" s="122"/>
      <c r="HB207" s="122"/>
      <c r="HC207" s="122"/>
      <c r="HD207" s="122"/>
      <c r="HE207" s="122"/>
      <c r="HF207" s="122"/>
      <c r="HG207" s="122"/>
      <c r="HH207" s="122"/>
      <c r="HI207" s="122"/>
      <c r="HJ207" s="122"/>
      <c r="HK207" s="122"/>
      <c r="HL207" s="122"/>
      <c r="HM207" s="122"/>
      <c r="HN207" s="122"/>
      <c r="HO207" s="122"/>
      <c r="HP207" s="122"/>
      <c r="HQ207" s="122"/>
      <c r="HR207" s="122"/>
      <c r="HS207" s="122"/>
      <c r="HT207" s="122"/>
      <c r="HU207" s="122"/>
      <c r="HV207" s="122"/>
      <c r="HW207" s="122"/>
      <c r="HX207" s="122"/>
      <c r="HY207" s="122"/>
      <c r="HZ207" s="122"/>
      <c r="IA207" s="122"/>
      <c r="IB207" s="122"/>
      <c r="IC207" s="122"/>
      <c r="ID207" s="122"/>
      <c r="IE207" s="122"/>
      <c r="IF207" s="122"/>
      <c r="IG207" s="122"/>
      <c r="IH207" s="122"/>
      <c r="II207" s="122"/>
      <c r="IJ207" s="122"/>
      <c r="IK207" s="122"/>
      <c r="IL207" s="122"/>
      <c r="IM207" s="122"/>
      <c r="IN207" s="122"/>
      <c r="IO207" s="122"/>
      <c r="IP207" s="122"/>
      <c r="IQ207" s="122"/>
      <c r="IR207" s="122"/>
      <c r="IS207" s="122"/>
      <c r="IT207" s="122"/>
      <c r="IU207" s="122"/>
      <c r="IV207" s="122"/>
      <c r="IW207" s="122"/>
      <c r="IX207" s="122"/>
      <c r="IY207" s="122"/>
      <c r="IZ207" s="122"/>
      <c r="JA207" s="122"/>
      <c r="JB207" s="122"/>
      <c r="JC207" s="122"/>
      <c r="JD207" s="122"/>
      <c r="JE207" s="122"/>
      <c r="JF207" s="122"/>
      <c r="JG207" s="122"/>
      <c r="JH207" s="122"/>
      <c r="JI207" s="119">
        <f t="shared" si="271"/>
        <v>0</v>
      </c>
      <c r="JJ207" s="379"/>
      <c r="JK207" s="2"/>
      <c r="JL207" s="1"/>
      <c r="JM207" s="1"/>
      <c r="JN207" s="1"/>
      <c r="JO207" s="1"/>
      <c r="JP207" s="1"/>
    </row>
    <row r="208" spans="1:276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  <c r="AS208" s="122"/>
      <c r="AT208" s="122"/>
      <c r="AU208" s="122"/>
      <c r="AV208" s="122"/>
      <c r="AW208" s="122"/>
      <c r="AX208" s="122"/>
      <c r="AY208" s="122"/>
      <c r="AZ208" s="122"/>
      <c r="BA208" s="122"/>
      <c r="BB208" s="122"/>
      <c r="BC208" s="122"/>
      <c r="BD208" s="122"/>
      <c r="BE208" s="122"/>
      <c r="BF208" s="122"/>
      <c r="BG208" s="122"/>
      <c r="BH208" s="122"/>
      <c r="BI208" s="122"/>
      <c r="BJ208" s="122"/>
      <c r="BK208" s="122"/>
      <c r="BL208" s="122"/>
      <c r="BM208" s="122"/>
      <c r="BN208" s="122"/>
      <c r="BO208" s="122"/>
      <c r="BP208" s="122"/>
      <c r="BQ208" s="122"/>
      <c r="BR208" s="122"/>
      <c r="BS208" s="122"/>
      <c r="BT208" s="122"/>
      <c r="BU208" s="122"/>
      <c r="BV208" s="122"/>
      <c r="BW208" s="122"/>
      <c r="BX208" s="122"/>
      <c r="BY208" s="122"/>
      <c r="BZ208" s="122"/>
      <c r="CA208" s="122"/>
      <c r="CB208" s="122"/>
      <c r="CC208" s="122"/>
      <c r="CD208" s="122"/>
      <c r="CE208" s="122"/>
      <c r="CF208" s="122"/>
      <c r="CG208" s="122"/>
      <c r="CH208" s="122"/>
      <c r="CI208" s="122"/>
      <c r="CJ208" s="122"/>
      <c r="CK208" s="122"/>
      <c r="CL208" s="122"/>
      <c r="CM208" s="122"/>
      <c r="CN208" s="122"/>
      <c r="CO208" s="122"/>
      <c r="CP208" s="122"/>
      <c r="CQ208" s="122"/>
      <c r="CR208" s="122"/>
      <c r="CS208" s="122"/>
      <c r="CT208" s="122"/>
      <c r="CU208" s="122"/>
      <c r="CV208" s="122"/>
      <c r="CW208" s="122"/>
      <c r="CX208" s="122"/>
      <c r="CY208" s="122"/>
      <c r="CZ208" s="122"/>
      <c r="DA208" s="122"/>
      <c r="DB208" s="122"/>
      <c r="DC208" s="122"/>
      <c r="DD208" s="122"/>
      <c r="DE208" s="122"/>
      <c r="DF208" s="122"/>
      <c r="DG208" s="122"/>
      <c r="DH208" s="122"/>
      <c r="DI208" s="122"/>
      <c r="DJ208" s="122"/>
      <c r="DK208" s="122"/>
      <c r="DL208" s="122"/>
      <c r="DM208" s="122"/>
      <c r="DN208" s="122"/>
      <c r="DO208" s="122"/>
      <c r="DP208" s="122"/>
      <c r="DQ208" s="122"/>
      <c r="DR208" s="122"/>
      <c r="DS208" s="122"/>
      <c r="DT208" s="122"/>
      <c r="DU208" s="122"/>
      <c r="DV208" s="122"/>
      <c r="DW208" s="122"/>
      <c r="DX208" s="122"/>
      <c r="DY208" s="122"/>
      <c r="DZ208" s="122"/>
      <c r="EA208" s="122"/>
      <c r="EB208" s="122"/>
      <c r="EC208" s="122"/>
      <c r="ED208" s="122"/>
      <c r="EE208" s="122"/>
      <c r="EF208" s="122"/>
      <c r="EG208" s="122"/>
      <c r="EH208" s="122"/>
      <c r="EI208" s="122"/>
      <c r="EJ208" s="122"/>
      <c r="EK208" s="122"/>
      <c r="EL208" s="122"/>
      <c r="EM208" s="122"/>
      <c r="EN208" s="122"/>
      <c r="EO208" s="122"/>
      <c r="EP208" s="122"/>
      <c r="EQ208" s="122"/>
      <c r="ER208" s="122"/>
      <c r="ES208" s="122"/>
      <c r="ET208" s="122"/>
      <c r="EU208" s="122"/>
      <c r="EV208" s="122"/>
      <c r="EW208" s="122"/>
      <c r="EX208" s="122"/>
      <c r="EY208" s="122"/>
      <c r="EZ208" s="122"/>
      <c r="FA208" s="122"/>
      <c r="FB208" s="122"/>
      <c r="FC208" s="122"/>
      <c r="FD208" s="122"/>
      <c r="FE208" s="122"/>
      <c r="FF208" s="122"/>
      <c r="FG208" s="122"/>
      <c r="FH208" s="122"/>
      <c r="FI208" s="122"/>
      <c r="FJ208" s="122"/>
      <c r="FK208" s="122"/>
      <c r="FL208" s="122"/>
      <c r="FM208" s="122"/>
      <c r="FN208" s="122"/>
      <c r="FO208" s="122"/>
      <c r="FP208" s="122"/>
      <c r="FQ208" s="122"/>
      <c r="FR208" s="122"/>
      <c r="FS208" s="122"/>
      <c r="FT208" s="122"/>
      <c r="FU208" s="122"/>
      <c r="FV208" s="122"/>
      <c r="FW208" s="122"/>
      <c r="FX208" s="122"/>
      <c r="FY208" s="122"/>
      <c r="FZ208" s="122"/>
      <c r="GA208" s="122"/>
      <c r="GB208" s="122"/>
      <c r="GC208" s="122"/>
      <c r="GD208" s="122"/>
      <c r="GE208" s="122"/>
      <c r="GF208" s="122"/>
      <c r="GG208" s="122"/>
      <c r="GH208" s="122"/>
      <c r="GI208" s="122"/>
      <c r="GJ208" s="122"/>
      <c r="GK208" s="122"/>
      <c r="GL208" s="122"/>
      <c r="GM208" s="122"/>
      <c r="GN208" s="122"/>
      <c r="GO208" s="122"/>
      <c r="GP208" s="122"/>
      <c r="GQ208" s="122"/>
      <c r="GR208" s="122"/>
      <c r="GS208" s="122"/>
      <c r="GT208" s="122"/>
      <c r="GU208" s="122"/>
      <c r="GV208" s="122"/>
      <c r="GW208" s="122"/>
      <c r="GX208" s="122"/>
      <c r="GY208" s="122"/>
      <c r="GZ208" s="122"/>
      <c r="HA208" s="122"/>
      <c r="HB208" s="122"/>
      <c r="HC208" s="122"/>
      <c r="HD208" s="122"/>
      <c r="HE208" s="122"/>
      <c r="HF208" s="122"/>
      <c r="HG208" s="122"/>
      <c r="HH208" s="122"/>
      <c r="HI208" s="122"/>
      <c r="HJ208" s="122"/>
      <c r="HK208" s="122"/>
      <c r="HL208" s="122"/>
      <c r="HM208" s="122"/>
      <c r="HN208" s="122"/>
      <c r="HO208" s="122"/>
      <c r="HP208" s="122"/>
      <c r="HQ208" s="122"/>
      <c r="HR208" s="122"/>
      <c r="HS208" s="122"/>
      <c r="HT208" s="122"/>
      <c r="HU208" s="122"/>
      <c r="HV208" s="122"/>
      <c r="HW208" s="122"/>
      <c r="HX208" s="122"/>
      <c r="HY208" s="122"/>
      <c r="HZ208" s="122"/>
      <c r="IA208" s="122"/>
      <c r="IB208" s="122"/>
      <c r="IC208" s="122"/>
      <c r="ID208" s="122"/>
      <c r="IE208" s="122"/>
      <c r="IF208" s="122"/>
      <c r="IG208" s="122"/>
      <c r="IH208" s="122"/>
      <c r="II208" s="122"/>
      <c r="IJ208" s="122"/>
      <c r="IK208" s="122"/>
      <c r="IL208" s="122"/>
      <c r="IM208" s="122"/>
      <c r="IN208" s="122"/>
      <c r="IO208" s="122"/>
      <c r="IP208" s="122"/>
      <c r="IQ208" s="122"/>
      <c r="IR208" s="122"/>
      <c r="IS208" s="122"/>
      <c r="IT208" s="122"/>
      <c r="IU208" s="122"/>
      <c r="IV208" s="122"/>
      <c r="IW208" s="122"/>
      <c r="IX208" s="122"/>
      <c r="IY208" s="122"/>
      <c r="IZ208" s="122"/>
      <c r="JA208" s="122"/>
      <c r="JB208" s="122"/>
      <c r="JC208" s="122"/>
      <c r="JD208" s="122"/>
      <c r="JE208" s="122"/>
      <c r="JF208" s="122"/>
      <c r="JG208" s="122"/>
      <c r="JH208" s="122"/>
      <c r="JI208" s="119">
        <f t="shared" si="271"/>
        <v>0</v>
      </c>
      <c r="JJ208" s="379"/>
      <c r="JK208" s="2"/>
      <c r="JL208" s="1"/>
      <c r="JM208" s="1"/>
      <c r="JN208" s="1"/>
      <c r="JO208" s="1"/>
      <c r="JP208" s="1"/>
    </row>
    <row r="209" spans="1:276">
      <c r="A209" s="119">
        <f>SUM(A195:A208)</f>
        <v>0</v>
      </c>
      <c r="B209" s="119">
        <f t="shared" ref="B209:BM209" si="272">SUM(B195:B208)</f>
        <v>0</v>
      </c>
      <c r="C209" s="119">
        <f t="shared" si="272"/>
        <v>0</v>
      </c>
      <c r="D209" s="119">
        <f t="shared" si="272"/>
        <v>0</v>
      </c>
      <c r="E209" s="119">
        <f t="shared" si="272"/>
        <v>0</v>
      </c>
      <c r="F209" s="119">
        <f t="shared" si="272"/>
        <v>0</v>
      </c>
      <c r="G209" s="119">
        <f t="shared" si="272"/>
        <v>0</v>
      </c>
      <c r="H209" s="119">
        <f t="shared" si="272"/>
        <v>0</v>
      </c>
      <c r="I209" s="119">
        <f t="shared" si="272"/>
        <v>0</v>
      </c>
      <c r="J209" s="119">
        <f t="shared" si="272"/>
        <v>0</v>
      </c>
      <c r="K209" s="119">
        <f t="shared" si="272"/>
        <v>0</v>
      </c>
      <c r="L209" s="119">
        <f t="shared" si="272"/>
        <v>0</v>
      </c>
      <c r="M209" s="119">
        <f t="shared" si="272"/>
        <v>0</v>
      </c>
      <c r="N209" s="119">
        <f t="shared" si="272"/>
        <v>0</v>
      </c>
      <c r="O209" s="119">
        <f t="shared" si="272"/>
        <v>0</v>
      </c>
      <c r="P209" s="119">
        <f t="shared" si="272"/>
        <v>0</v>
      </c>
      <c r="Q209" s="119">
        <f t="shared" si="272"/>
        <v>0</v>
      </c>
      <c r="R209" s="119">
        <f t="shared" si="272"/>
        <v>0</v>
      </c>
      <c r="S209" s="119">
        <f t="shared" si="272"/>
        <v>0</v>
      </c>
      <c r="T209" s="119">
        <f t="shared" si="272"/>
        <v>0</v>
      </c>
      <c r="U209" s="119">
        <f t="shared" si="272"/>
        <v>0</v>
      </c>
      <c r="V209" s="119">
        <f t="shared" si="272"/>
        <v>0</v>
      </c>
      <c r="W209" s="119">
        <f t="shared" si="272"/>
        <v>0</v>
      </c>
      <c r="X209" s="119">
        <f t="shared" si="272"/>
        <v>0</v>
      </c>
      <c r="Y209" s="119">
        <f t="shared" si="272"/>
        <v>0</v>
      </c>
      <c r="Z209" s="119">
        <f t="shared" si="272"/>
        <v>0</v>
      </c>
      <c r="AA209" s="119">
        <f t="shared" si="272"/>
        <v>0</v>
      </c>
      <c r="AB209" s="119">
        <f t="shared" si="272"/>
        <v>0</v>
      </c>
      <c r="AC209" s="119">
        <f t="shared" si="272"/>
        <v>0</v>
      </c>
      <c r="AD209" s="119">
        <f t="shared" si="272"/>
        <v>0</v>
      </c>
      <c r="AE209" s="119">
        <f t="shared" si="272"/>
        <v>0</v>
      </c>
      <c r="AF209" s="119">
        <f t="shared" si="272"/>
        <v>0</v>
      </c>
      <c r="AG209" s="119">
        <f t="shared" si="272"/>
        <v>0</v>
      </c>
      <c r="AH209" s="119">
        <f t="shared" si="272"/>
        <v>0</v>
      </c>
      <c r="AI209" s="119">
        <f t="shared" si="272"/>
        <v>0</v>
      </c>
      <c r="AJ209" s="119">
        <f t="shared" si="272"/>
        <v>0</v>
      </c>
      <c r="AK209" s="119">
        <f t="shared" si="272"/>
        <v>0</v>
      </c>
      <c r="AL209" s="119">
        <f t="shared" si="272"/>
        <v>0</v>
      </c>
      <c r="AM209" s="119">
        <f t="shared" si="272"/>
        <v>0</v>
      </c>
      <c r="AN209" s="119">
        <f t="shared" si="272"/>
        <v>0</v>
      </c>
      <c r="AO209" s="119">
        <f t="shared" si="272"/>
        <v>0</v>
      </c>
      <c r="AP209" s="119">
        <f t="shared" si="272"/>
        <v>0</v>
      </c>
      <c r="AQ209" s="119">
        <f t="shared" si="272"/>
        <v>0</v>
      </c>
      <c r="AR209" s="119">
        <f t="shared" si="272"/>
        <v>0</v>
      </c>
      <c r="AS209" s="119">
        <f t="shared" si="272"/>
        <v>0</v>
      </c>
      <c r="AT209" s="119">
        <f t="shared" si="272"/>
        <v>0</v>
      </c>
      <c r="AU209" s="119">
        <f t="shared" si="272"/>
        <v>0</v>
      </c>
      <c r="AV209" s="119">
        <f t="shared" si="272"/>
        <v>0</v>
      </c>
      <c r="AW209" s="119">
        <f t="shared" si="272"/>
        <v>0</v>
      </c>
      <c r="AX209" s="119">
        <f t="shared" si="272"/>
        <v>0</v>
      </c>
      <c r="AY209" s="119">
        <f t="shared" si="272"/>
        <v>0</v>
      </c>
      <c r="AZ209" s="119">
        <f t="shared" si="272"/>
        <v>0</v>
      </c>
      <c r="BA209" s="119">
        <f t="shared" si="272"/>
        <v>0</v>
      </c>
      <c r="BB209" s="119">
        <f t="shared" si="272"/>
        <v>0</v>
      </c>
      <c r="BC209" s="119">
        <f t="shared" si="272"/>
        <v>0</v>
      </c>
      <c r="BD209" s="119">
        <f t="shared" si="272"/>
        <v>0</v>
      </c>
      <c r="BE209" s="119">
        <f t="shared" si="272"/>
        <v>0</v>
      </c>
      <c r="BF209" s="119">
        <f t="shared" si="272"/>
        <v>0</v>
      </c>
      <c r="BG209" s="119">
        <f t="shared" si="272"/>
        <v>0</v>
      </c>
      <c r="BH209" s="119">
        <f t="shared" si="272"/>
        <v>0</v>
      </c>
      <c r="BI209" s="119">
        <f t="shared" si="272"/>
        <v>0</v>
      </c>
      <c r="BJ209" s="119">
        <f t="shared" si="272"/>
        <v>0</v>
      </c>
      <c r="BK209" s="119">
        <f t="shared" si="272"/>
        <v>0</v>
      </c>
      <c r="BL209" s="119">
        <f t="shared" si="272"/>
        <v>0</v>
      </c>
      <c r="BM209" s="119">
        <f t="shared" si="272"/>
        <v>0</v>
      </c>
      <c r="BN209" s="119">
        <f t="shared" ref="BN209:DY209" si="273">SUM(BN195:BN208)</f>
        <v>0</v>
      </c>
      <c r="BO209" s="119">
        <f t="shared" si="273"/>
        <v>0</v>
      </c>
      <c r="BP209" s="119">
        <f t="shared" si="273"/>
        <v>0</v>
      </c>
      <c r="BQ209" s="119">
        <f t="shared" si="273"/>
        <v>0</v>
      </c>
      <c r="BR209" s="119">
        <f t="shared" si="273"/>
        <v>0</v>
      </c>
      <c r="BS209" s="119">
        <f t="shared" si="273"/>
        <v>0</v>
      </c>
      <c r="BT209" s="119">
        <f t="shared" si="273"/>
        <v>0</v>
      </c>
      <c r="BU209" s="119">
        <f t="shared" si="273"/>
        <v>0</v>
      </c>
      <c r="BV209" s="119">
        <f t="shared" si="273"/>
        <v>0</v>
      </c>
      <c r="BW209" s="119">
        <f t="shared" si="273"/>
        <v>0</v>
      </c>
      <c r="BX209" s="119">
        <f t="shared" si="273"/>
        <v>0</v>
      </c>
      <c r="BY209" s="119">
        <f t="shared" si="273"/>
        <v>0</v>
      </c>
      <c r="BZ209" s="119">
        <f t="shared" si="273"/>
        <v>0</v>
      </c>
      <c r="CA209" s="119">
        <f t="shared" si="273"/>
        <v>0</v>
      </c>
      <c r="CB209" s="119">
        <f t="shared" si="273"/>
        <v>0</v>
      </c>
      <c r="CC209" s="119">
        <f t="shared" si="273"/>
        <v>0</v>
      </c>
      <c r="CD209" s="119">
        <f t="shared" si="273"/>
        <v>0</v>
      </c>
      <c r="CE209" s="119">
        <f t="shared" si="273"/>
        <v>0</v>
      </c>
      <c r="CF209" s="119">
        <f t="shared" si="273"/>
        <v>0</v>
      </c>
      <c r="CG209" s="119">
        <f t="shared" si="273"/>
        <v>0</v>
      </c>
      <c r="CH209" s="119">
        <f t="shared" si="273"/>
        <v>0</v>
      </c>
      <c r="CI209" s="119">
        <f t="shared" si="273"/>
        <v>0</v>
      </c>
      <c r="CJ209" s="119">
        <f t="shared" si="273"/>
        <v>0</v>
      </c>
      <c r="CK209" s="119">
        <f t="shared" si="273"/>
        <v>0</v>
      </c>
      <c r="CL209" s="119">
        <f t="shared" si="273"/>
        <v>0</v>
      </c>
      <c r="CM209" s="119">
        <f t="shared" si="273"/>
        <v>0</v>
      </c>
      <c r="CN209" s="119">
        <f t="shared" si="273"/>
        <v>0</v>
      </c>
      <c r="CO209" s="119">
        <f t="shared" si="273"/>
        <v>0</v>
      </c>
      <c r="CP209" s="119">
        <f t="shared" si="273"/>
        <v>0</v>
      </c>
      <c r="CQ209" s="119">
        <f t="shared" si="273"/>
        <v>0</v>
      </c>
      <c r="CR209" s="119">
        <f t="shared" si="273"/>
        <v>0</v>
      </c>
      <c r="CS209" s="119">
        <f t="shared" si="273"/>
        <v>0</v>
      </c>
      <c r="CT209" s="119">
        <f t="shared" si="273"/>
        <v>0</v>
      </c>
      <c r="CU209" s="119">
        <f t="shared" si="273"/>
        <v>0</v>
      </c>
      <c r="CV209" s="119">
        <f t="shared" si="273"/>
        <v>0</v>
      </c>
      <c r="CW209" s="119">
        <f t="shared" si="273"/>
        <v>0</v>
      </c>
      <c r="CX209" s="119">
        <f t="shared" si="273"/>
        <v>0</v>
      </c>
      <c r="CY209" s="119">
        <f t="shared" si="273"/>
        <v>0</v>
      </c>
      <c r="CZ209" s="119">
        <f t="shared" si="273"/>
        <v>0</v>
      </c>
      <c r="DA209" s="119">
        <f t="shared" si="273"/>
        <v>0</v>
      </c>
      <c r="DB209" s="119">
        <f t="shared" si="273"/>
        <v>0</v>
      </c>
      <c r="DC209" s="119">
        <f t="shared" si="273"/>
        <v>0</v>
      </c>
      <c r="DD209" s="119">
        <f t="shared" si="273"/>
        <v>0</v>
      </c>
      <c r="DE209" s="119">
        <f t="shared" si="273"/>
        <v>0</v>
      </c>
      <c r="DF209" s="119">
        <f t="shared" si="273"/>
        <v>0</v>
      </c>
      <c r="DG209" s="119">
        <f t="shared" si="273"/>
        <v>0</v>
      </c>
      <c r="DH209" s="119">
        <f t="shared" si="273"/>
        <v>0</v>
      </c>
      <c r="DI209" s="119">
        <f t="shared" si="273"/>
        <v>0</v>
      </c>
      <c r="DJ209" s="119">
        <f t="shared" si="273"/>
        <v>0</v>
      </c>
      <c r="DK209" s="119">
        <f t="shared" si="273"/>
        <v>0</v>
      </c>
      <c r="DL209" s="119">
        <f t="shared" si="273"/>
        <v>0</v>
      </c>
      <c r="DM209" s="119">
        <f t="shared" si="273"/>
        <v>0</v>
      </c>
      <c r="DN209" s="119">
        <f t="shared" si="273"/>
        <v>0</v>
      </c>
      <c r="DO209" s="119">
        <f t="shared" si="273"/>
        <v>0</v>
      </c>
      <c r="DP209" s="119">
        <f t="shared" si="273"/>
        <v>0</v>
      </c>
      <c r="DQ209" s="119">
        <f t="shared" si="273"/>
        <v>0</v>
      </c>
      <c r="DR209" s="119">
        <f t="shared" si="273"/>
        <v>0</v>
      </c>
      <c r="DS209" s="119">
        <f t="shared" si="273"/>
        <v>0</v>
      </c>
      <c r="DT209" s="119">
        <f t="shared" si="273"/>
        <v>0</v>
      </c>
      <c r="DU209" s="119">
        <f t="shared" si="273"/>
        <v>0</v>
      </c>
      <c r="DV209" s="119">
        <f t="shared" si="273"/>
        <v>0</v>
      </c>
      <c r="DW209" s="119">
        <f t="shared" si="273"/>
        <v>0</v>
      </c>
      <c r="DX209" s="119">
        <f t="shared" si="273"/>
        <v>0</v>
      </c>
      <c r="DY209" s="119">
        <f t="shared" si="273"/>
        <v>0</v>
      </c>
      <c r="DZ209" s="119">
        <f t="shared" ref="DZ209:GK209" si="274">SUM(DZ195:DZ208)</f>
        <v>0</v>
      </c>
      <c r="EA209" s="119">
        <f t="shared" si="274"/>
        <v>0</v>
      </c>
      <c r="EB209" s="119">
        <f t="shared" si="274"/>
        <v>0</v>
      </c>
      <c r="EC209" s="119">
        <f t="shared" si="274"/>
        <v>0</v>
      </c>
      <c r="ED209" s="119">
        <f t="shared" si="274"/>
        <v>0</v>
      </c>
      <c r="EE209" s="119">
        <f t="shared" si="274"/>
        <v>0</v>
      </c>
      <c r="EF209" s="119">
        <f t="shared" si="274"/>
        <v>0</v>
      </c>
      <c r="EG209" s="119">
        <f t="shared" si="274"/>
        <v>0</v>
      </c>
      <c r="EH209" s="119">
        <f t="shared" si="274"/>
        <v>0</v>
      </c>
      <c r="EI209" s="119">
        <f t="shared" si="274"/>
        <v>0</v>
      </c>
      <c r="EJ209" s="119">
        <f t="shared" si="274"/>
        <v>0</v>
      </c>
      <c r="EK209" s="119">
        <f t="shared" si="274"/>
        <v>0</v>
      </c>
      <c r="EL209" s="119">
        <f t="shared" si="274"/>
        <v>0</v>
      </c>
      <c r="EM209" s="119">
        <f t="shared" si="274"/>
        <v>0</v>
      </c>
      <c r="EN209" s="119">
        <f t="shared" si="274"/>
        <v>0</v>
      </c>
      <c r="EO209" s="119">
        <f t="shared" si="274"/>
        <v>0</v>
      </c>
      <c r="EP209" s="119">
        <f t="shared" si="274"/>
        <v>0</v>
      </c>
      <c r="EQ209" s="119">
        <f t="shared" si="274"/>
        <v>0</v>
      </c>
      <c r="ER209" s="119">
        <f t="shared" si="274"/>
        <v>0</v>
      </c>
      <c r="ES209" s="119">
        <f t="shared" si="274"/>
        <v>0</v>
      </c>
      <c r="ET209" s="119">
        <f t="shared" si="274"/>
        <v>0</v>
      </c>
      <c r="EU209" s="119">
        <f t="shared" si="274"/>
        <v>0</v>
      </c>
      <c r="EV209" s="119">
        <f t="shared" si="274"/>
        <v>0</v>
      </c>
      <c r="EW209" s="119">
        <f t="shared" si="274"/>
        <v>0</v>
      </c>
      <c r="EX209" s="119">
        <f t="shared" si="274"/>
        <v>0</v>
      </c>
      <c r="EY209" s="119">
        <f t="shared" si="274"/>
        <v>0</v>
      </c>
      <c r="EZ209" s="119">
        <f t="shared" si="274"/>
        <v>0</v>
      </c>
      <c r="FA209" s="119">
        <f t="shared" si="274"/>
        <v>0</v>
      </c>
      <c r="FB209" s="119">
        <f t="shared" si="274"/>
        <v>0</v>
      </c>
      <c r="FC209" s="119">
        <f t="shared" si="274"/>
        <v>0</v>
      </c>
      <c r="FD209" s="119">
        <f t="shared" si="274"/>
        <v>0</v>
      </c>
      <c r="FE209" s="119">
        <f t="shared" si="274"/>
        <v>0</v>
      </c>
      <c r="FF209" s="119">
        <f t="shared" si="274"/>
        <v>0</v>
      </c>
      <c r="FG209" s="119">
        <f t="shared" si="274"/>
        <v>0</v>
      </c>
      <c r="FH209" s="119">
        <f t="shared" si="274"/>
        <v>0</v>
      </c>
      <c r="FI209" s="119">
        <f t="shared" si="274"/>
        <v>0</v>
      </c>
      <c r="FJ209" s="119">
        <f t="shared" si="274"/>
        <v>0</v>
      </c>
      <c r="FK209" s="119">
        <f t="shared" si="274"/>
        <v>0</v>
      </c>
      <c r="FL209" s="119">
        <f t="shared" si="274"/>
        <v>0</v>
      </c>
      <c r="FM209" s="119">
        <f t="shared" si="274"/>
        <v>0</v>
      </c>
      <c r="FN209" s="119">
        <f t="shared" si="274"/>
        <v>0</v>
      </c>
      <c r="FO209" s="119">
        <f t="shared" si="274"/>
        <v>0</v>
      </c>
      <c r="FP209" s="119">
        <f t="shared" si="274"/>
        <v>0</v>
      </c>
      <c r="FQ209" s="119">
        <f t="shared" si="274"/>
        <v>0</v>
      </c>
      <c r="FR209" s="119">
        <f t="shared" si="274"/>
        <v>0</v>
      </c>
      <c r="FS209" s="119">
        <f t="shared" si="274"/>
        <v>0</v>
      </c>
      <c r="FT209" s="119">
        <f t="shared" si="274"/>
        <v>0</v>
      </c>
      <c r="FU209" s="119">
        <f t="shared" si="274"/>
        <v>0</v>
      </c>
      <c r="FV209" s="119">
        <f t="shared" si="274"/>
        <v>0</v>
      </c>
      <c r="FW209" s="119">
        <f t="shared" si="274"/>
        <v>0</v>
      </c>
      <c r="FX209" s="119">
        <f t="shared" si="274"/>
        <v>0</v>
      </c>
      <c r="FY209" s="119">
        <f t="shared" si="274"/>
        <v>0</v>
      </c>
      <c r="FZ209" s="119">
        <f t="shared" si="274"/>
        <v>0</v>
      </c>
      <c r="GA209" s="119">
        <f t="shared" si="274"/>
        <v>0</v>
      </c>
      <c r="GB209" s="119">
        <f t="shared" si="274"/>
        <v>0</v>
      </c>
      <c r="GC209" s="119">
        <f t="shared" si="274"/>
        <v>0</v>
      </c>
      <c r="GD209" s="119">
        <f t="shared" si="274"/>
        <v>0</v>
      </c>
      <c r="GE209" s="119">
        <f t="shared" si="274"/>
        <v>0</v>
      </c>
      <c r="GF209" s="119">
        <f t="shared" si="274"/>
        <v>0</v>
      </c>
      <c r="GG209" s="119">
        <f t="shared" si="274"/>
        <v>0</v>
      </c>
      <c r="GH209" s="119">
        <f t="shared" si="274"/>
        <v>0</v>
      </c>
      <c r="GI209" s="119">
        <f t="shared" si="274"/>
        <v>0</v>
      </c>
      <c r="GJ209" s="119">
        <f t="shared" si="274"/>
        <v>0</v>
      </c>
      <c r="GK209" s="119">
        <f t="shared" si="274"/>
        <v>0</v>
      </c>
      <c r="GL209" s="119">
        <f t="shared" ref="GL209:IW209" si="275">SUM(GL195:GL208)</f>
        <v>0</v>
      </c>
      <c r="GM209" s="119">
        <f t="shared" si="275"/>
        <v>0</v>
      </c>
      <c r="GN209" s="119">
        <f t="shared" si="275"/>
        <v>0</v>
      </c>
      <c r="GO209" s="119">
        <f t="shared" si="275"/>
        <v>0</v>
      </c>
      <c r="GP209" s="119">
        <f t="shared" si="275"/>
        <v>0</v>
      </c>
      <c r="GQ209" s="119">
        <f t="shared" si="275"/>
        <v>0</v>
      </c>
      <c r="GR209" s="119">
        <f t="shared" si="275"/>
        <v>0</v>
      </c>
      <c r="GS209" s="119">
        <f t="shared" si="275"/>
        <v>0</v>
      </c>
      <c r="GT209" s="119">
        <f t="shared" si="275"/>
        <v>0</v>
      </c>
      <c r="GU209" s="119">
        <f t="shared" si="275"/>
        <v>0</v>
      </c>
      <c r="GV209" s="119">
        <f t="shared" si="275"/>
        <v>0</v>
      </c>
      <c r="GW209" s="119">
        <f t="shared" si="275"/>
        <v>0</v>
      </c>
      <c r="GX209" s="119">
        <f t="shared" si="275"/>
        <v>0</v>
      </c>
      <c r="GY209" s="119">
        <f t="shared" si="275"/>
        <v>0</v>
      </c>
      <c r="GZ209" s="119">
        <f t="shared" si="275"/>
        <v>0</v>
      </c>
      <c r="HA209" s="119">
        <f t="shared" si="275"/>
        <v>0</v>
      </c>
      <c r="HB209" s="119">
        <f t="shared" si="275"/>
        <v>0</v>
      </c>
      <c r="HC209" s="119">
        <f t="shared" si="275"/>
        <v>0</v>
      </c>
      <c r="HD209" s="119">
        <f t="shared" si="275"/>
        <v>0</v>
      </c>
      <c r="HE209" s="119">
        <f t="shared" si="275"/>
        <v>0</v>
      </c>
      <c r="HF209" s="119">
        <f t="shared" si="275"/>
        <v>0</v>
      </c>
      <c r="HG209" s="119">
        <f t="shared" si="275"/>
        <v>0</v>
      </c>
      <c r="HH209" s="119">
        <f t="shared" si="275"/>
        <v>0</v>
      </c>
      <c r="HI209" s="119">
        <f t="shared" si="275"/>
        <v>0</v>
      </c>
      <c r="HJ209" s="119">
        <f t="shared" si="275"/>
        <v>0</v>
      </c>
      <c r="HK209" s="119">
        <f t="shared" si="275"/>
        <v>0</v>
      </c>
      <c r="HL209" s="119">
        <f t="shared" si="275"/>
        <v>0</v>
      </c>
      <c r="HM209" s="119">
        <f t="shared" si="275"/>
        <v>0</v>
      </c>
      <c r="HN209" s="119">
        <f t="shared" si="275"/>
        <v>0</v>
      </c>
      <c r="HO209" s="119">
        <f t="shared" si="275"/>
        <v>0</v>
      </c>
      <c r="HP209" s="119">
        <f t="shared" si="275"/>
        <v>0</v>
      </c>
      <c r="HQ209" s="119">
        <f t="shared" si="275"/>
        <v>0</v>
      </c>
      <c r="HR209" s="119">
        <f t="shared" si="275"/>
        <v>0</v>
      </c>
      <c r="HS209" s="119">
        <f t="shared" si="275"/>
        <v>0</v>
      </c>
      <c r="HT209" s="119">
        <f t="shared" si="275"/>
        <v>0</v>
      </c>
      <c r="HU209" s="119">
        <f t="shared" si="275"/>
        <v>0</v>
      </c>
      <c r="HV209" s="119">
        <f t="shared" si="275"/>
        <v>0</v>
      </c>
      <c r="HW209" s="119">
        <f t="shared" si="275"/>
        <v>0</v>
      </c>
      <c r="HX209" s="119">
        <f t="shared" si="275"/>
        <v>0</v>
      </c>
      <c r="HY209" s="119">
        <f t="shared" si="275"/>
        <v>0</v>
      </c>
      <c r="HZ209" s="119">
        <f t="shared" si="275"/>
        <v>0</v>
      </c>
      <c r="IA209" s="119">
        <f t="shared" si="275"/>
        <v>0</v>
      </c>
      <c r="IB209" s="119">
        <f t="shared" si="275"/>
        <v>0</v>
      </c>
      <c r="IC209" s="119">
        <f t="shared" si="275"/>
        <v>0</v>
      </c>
      <c r="ID209" s="119">
        <f t="shared" si="275"/>
        <v>0</v>
      </c>
      <c r="IE209" s="119">
        <f t="shared" si="275"/>
        <v>0</v>
      </c>
      <c r="IF209" s="119">
        <f t="shared" si="275"/>
        <v>0</v>
      </c>
      <c r="IG209" s="119">
        <f t="shared" si="275"/>
        <v>0</v>
      </c>
      <c r="IH209" s="119">
        <f t="shared" si="275"/>
        <v>0</v>
      </c>
      <c r="II209" s="119">
        <f t="shared" si="275"/>
        <v>0</v>
      </c>
      <c r="IJ209" s="119">
        <f t="shared" si="275"/>
        <v>0</v>
      </c>
      <c r="IK209" s="119">
        <f t="shared" si="275"/>
        <v>0</v>
      </c>
      <c r="IL209" s="119">
        <f t="shared" si="275"/>
        <v>0</v>
      </c>
      <c r="IM209" s="119">
        <f t="shared" si="275"/>
        <v>0</v>
      </c>
      <c r="IN209" s="119">
        <f t="shared" si="275"/>
        <v>0</v>
      </c>
      <c r="IO209" s="119">
        <f t="shared" si="275"/>
        <v>0</v>
      </c>
      <c r="IP209" s="119">
        <f t="shared" si="275"/>
        <v>0</v>
      </c>
      <c r="IQ209" s="119">
        <f t="shared" si="275"/>
        <v>0</v>
      </c>
      <c r="IR209" s="119">
        <f t="shared" si="275"/>
        <v>0</v>
      </c>
      <c r="IS209" s="119">
        <f t="shared" si="275"/>
        <v>0</v>
      </c>
      <c r="IT209" s="119">
        <f t="shared" si="275"/>
        <v>0</v>
      </c>
      <c r="IU209" s="119">
        <f t="shared" si="275"/>
        <v>0</v>
      </c>
      <c r="IV209" s="119">
        <f t="shared" si="275"/>
        <v>0</v>
      </c>
      <c r="IW209" s="119">
        <f t="shared" si="275"/>
        <v>0</v>
      </c>
      <c r="IX209" s="119">
        <f t="shared" ref="IX209:JH209" si="276">SUM(IX195:IX208)</f>
        <v>0</v>
      </c>
      <c r="IY209" s="119">
        <f t="shared" si="276"/>
        <v>0</v>
      </c>
      <c r="IZ209" s="119">
        <f t="shared" si="276"/>
        <v>0</v>
      </c>
      <c r="JA209" s="119">
        <f t="shared" si="276"/>
        <v>0</v>
      </c>
      <c r="JB209" s="119">
        <f t="shared" si="276"/>
        <v>0</v>
      </c>
      <c r="JC209" s="119">
        <f t="shared" si="276"/>
        <v>0</v>
      </c>
      <c r="JD209" s="119">
        <f t="shared" si="276"/>
        <v>0</v>
      </c>
      <c r="JE209" s="119">
        <f t="shared" si="276"/>
        <v>0</v>
      </c>
      <c r="JF209" s="119">
        <f t="shared" si="276"/>
        <v>0</v>
      </c>
      <c r="JG209" s="119">
        <f t="shared" si="276"/>
        <v>0</v>
      </c>
      <c r="JH209" s="119">
        <f t="shared" si="276"/>
        <v>0</v>
      </c>
      <c r="JI209" s="119">
        <f>SUM(JI195:JI208)</f>
        <v>0</v>
      </c>
      <c r="JJ209" s="379"/>
      <c r="JK209" s="2"/>
      <c r="JL209" s="1"/>
      <c r="JM209" s="1"/>
      <c r="JN209" s="1"/>
      <c r="JO209" s="1"/>
      <c r="JP209" s="1"/>
    </row>
    <row r="210" spans="1:276">
      <c r="A210" s="119">
        <f>A193+A209</f>
        <v>59174005.049999997</v>
      </c>
      <c r="B210" s="119">
        <f t="shared" ref="B210:BM210" si="277">B193+B209</f>
        <v>0</v>
      </c>
      <c r="C210" s="119">
        <f t="shared" si="277"/>
        <v>0</v>
      </c>
      <c r="D210" s="119">
        <f t="shared" si="277"/>
        <v>0</v>
      </c>
      <c r="E210" s="119">
        <f t="shared" si="277"/>
        <v>0</v>
      </c>
      <c r="F210" s="119">
        <f t="shared" si="277"/>
        <v>0</v>
      </c>
      <c r="G210" s="119">
        <f t="shared" si="277"/>
        <v>0</v>
      </c>
      <c r="H210" s="119">
        <f t="shared" si="277"/>
        <v>0</v>
      </c>
      <c r="I210" s="119">
        <f t="shared" si="277"/>
        <v>0</v>
      </c>
      <c r="J210" s="119">
        <f t="shared" si="277"/>
        <v>1342531.03</v>
      </c>
      <c r="K210" s="119">
        <f t="shared" si="277"/>
        <v>0</v>
      </c>
      <c r="L210" s="119">
        <f t="shared" si="277"/>
        <v>0</v>
      </c>
      <c r="M210" s="119">
        <f t="shared" si="277"/>
        <v>0</v>
      </c>
      <c r="N210" s="119">
        <f t="shared" si="277"/>
        <v>0</v>
      </c>
      <c r="O210" s="119">
        <f t="shared" si="277"/>
        <v>0</v>
      </c>
      <c r="P210" s="119">
        <f t="shared" si="277"/>
        <v>0</v>
      </c>
      <c r="Q210" s="119">
        <f t="shared" si="277"/>
        <v>558888</v>
      </c>
      <c r="R210" s="119">
        <f t="shared" si="277"/>
        <v>341907.01999999996</v>
      </c>
      <c r="S210" s="119">
        <f t="shared" si="277"/>
        <v>2652914.66</v>
      </c>
      <c r="T210" s="119">
        <f t="shared" si="277"/>
        <v>0</v>
      </c>
      <c r="U210" s="119">
        <f t="shared" si="277"/>
        <v>0</v>
      </c>
      <c r="V210" s="119">
        <f t="shared" si="277"/>
        <v>0</v>
      </c>
      <c r="W210" s="119">
        <f t="shared" si="277"/>
        <v>75000</v>
      </c>
      <c r="X210" s="119">
        <f t="shared" si="277"/>
        <v>0</v>
      </c>
      <c r="Y210" s="119">
        <f t="shared" si="277"/>
        <v>0</v>
      </c>
      <c r="Z210" s="119">
        <f t="shared" si="277"/>
        <v>301200</v>
      </c>
      <c r="AA210" s="119">
        <f t="shared" si="277"/>
        <v>0</v>
      </c>
      <c r="AB210" s="119">
        <f t="shared" si="277"/>
        <v>7959137.9900000002</v>
      </c>
      <c r="AC210" s="119">
        <f t="shared" si="277"/>
        <v>0</v>
      </c>
      <c r="AD210" s="119">
        <f t="shared" si="277"/>
        <v>0</v>
      </c>
      <c r="AE210" s="119">
        <f t="shared" si="277"/>
        <v>0</v>
      </c>
      <c r="AF210" s="119">
        <f t="shared" si="277"/>
        <v>0</v>
      </c>
      <c r="AG210" s="119">
        <f t="shared" si="277"/>
        <v>0</v>
      </c>
      <c r="AH210" s="119">
        <f t="shared" si="277"/>
        <v>0</v>
      </c>
      <c r="AI210" s="119">
        <f t="shared" si="277"/>
        <v>0</v>
      </c>
      <c r="AJ210" s="119">
        <f t="shared" si="277"/>
        <v>0</v>
      </c>
      <c r="AK210" s="119">
        <f t="shared" si="277"/>
        <v>4290757.45</v>
      </c>
      <c r="AL210" s="119">
        <f t="shared" si="277"/>
        <v>4296541.5199999996</v>
      </c>
      <c r="AM210" s="119">
        <f t="shared" si="277"/>
        <v>724838.13</v>
      </c>
      <c r="AN210" s="119">
        <f t="shared" si="277"/>
        <v>0</v>
      </c>
      <c r="AO210" s="119">
        <f t="shared" si="277"/>
        <v>0</v>
      </c>
      <c r="AP210" s="119">
        <f t="shared" si="277"/>
        <v>0</v>
      </c>
      <c r="AQ210" s="119">
        <f t="shared" si="277"/>
        <v>0</v>
      </c>
      <c r="AR210" s="119">
        <f t="shared" si="277"/>
        <v>0</v>
      </c>
      <c r="AS210" s="119">
        <f t="shared" si="277"/>
        <v>0</v>
      </c>
      <c r="AT210" s="119">
        <f t="shared" si="277"/>
        <v>0</v>
      </c>
      <c r="AU210" s="119">
        <f t="shared" si="277"/>
        <v>0</v>
      </c>
      <c r="AV210" s="119">
        <f t="shared" si="277"/>
        <v>211735</v>
      </c>
      <c r="AW210" s="119">
        <f t="shared" si="277"/>
        <v>0</v>
      </c>
      <c r="AX210" s="119">
        <f t="shared" si="277"/>
        <v>0</v>
      </c>
      <c r="AY210" s="119">
        <f t="shared" si="277"/>
        <v>300172.65000000002</v>
      </c>
      <c r="AZ210" s="119">
        <f t="shared" si="277"/>
        <v>0</v>
      </c>
      <c r="BA210" s="119">
        <f t="shared" si="277"/>
        <v>0</v>
      </c>
      <c r="BB210" s="119">
        <f t="shared" si="277"/>
        <v>0</v>
      </c>
      <c r="BC210" s="119">
        <f t="shared" si="277"/>
        <v>0</v>
      </c>
      <c r="BD210" s="119">
        <f t="shared" si="277"/>
        <v>0</v>
      </c>
      <c r="BE210" s="119">
        <f t="shared" si="277"/>
        <v>0</v>
      </c>
      <c r="BF210" s="119">
        <f t="shared" si="277"/>
        <v>0</v>
      </c>
      <c r="BG210" s="119">
        <f t="shared" si="277"/>
        <v>0</v>
      </c>
      <c r="BH210" s="119">
        <f t="shared" si="277"/>
        <v>0</v>
      </c>
      <c r="BI210" s="119">
        <f t="shared" si="277"/>
        <v>632942.94999999995</v>
      </c>
      <c r="BJ210" s="119">
        <f t="shared" si="277"/>
        <v>0</v>
      </c>
      <c r="BK210" s="119">
        <f t="shared" si="277"/>
        <v>0</v>
      </c>
      <c r="BL210" s="119">
        <f t="shared" si="277"/>
        <v>0</v>
      </c>
      <c r="BM210" s="119">
        <f t="shared" si="277"/>
        <v>0</v>
      </c>
      <c r="BN210" s="119">
        <f t="shared" ref="BN210:DY210" si="278">BN193+BN209</f>
        <v>0</v>
      </c>
      <c r="BO210" s="119">
        <f t="shared" si="278"/>
        <v>0</v>
      </c>
      <c r="BP210" s="119">
        <f t="shared" si="278"/>
        <v>0</v>
      </c>
      <c r="BQ210" s="119">
        <f t="shared" si="278"/>
        <v>0</v>
      </c>
      <c r="BR210" s="119">
        <f t="shared" si="278"/>
        <v>0</v>
      </c>
      <c r="BS210" s="119">
        <f t="shared" si="278"/>
        <v>0</v>
      </c>
      <c r="BT210" s="119">
        <f t="shared" si="278"/>
        <v>0</v>
      </c>
      <c r="BU210" s="119">
        <f t="shared" si="278"/>
        <v>0</v>
      </c>
      <c r="BV210" s="119">
        <f t="shared" si="278"/>
        <v>0</v>
      </c>
      <c r="BW210" s="119">
        <f t="shared" si="278"/>
        <v>10151865.189999999</v>
      </c>
      <c r="BX210" s="119">
        <f t="shared" si="278"/>
        <v>0</v>
      </c>
      <c r="BY210" s="119">
        <f t="shared" si="278"/>
        <v>0</v>
      </c>
      <c r="BZ210" s="119">
        <f t="shared" si="278"/>
        <v>0</v>
      </c>
      <c r="CA210" s="119">
        <f t="shared" si="278"/>
        <v>0</v>
      </c>
      <c r="CB210" s="119">
        <f t="shared" si="278"/>
        <v>0</v>
      </c>
      <c r="CC210" s="119">
        <f t="shared" si="278"/>
        <v>0</v>
      </c>
      <c r="CD210" s="119">
        <f t="shared" si="278"/>
        <v>0</v>
      </c>
      <c r="CE210" s="119">
        <f t="shared" si="278"/>
        <v>0</v>
      </c>
      <c r="CF210" s="119">
        <f t="shared" si="278"/>
        <v>0</v>
      </c>
      <c r="CG210" s="119">
        <f t="shared" si="278"/>
        <v>0</v>
      </c>
      <c r="CH210" s="119">
        <f t="shared" si="278"/>
        <v>992191</v>
      </c>
      <c r="CI210" s="119">
        <f t="shared" si="278"/>
        <v>0</v>
      </c>
      <c r="CJ210" s="119">
        <f t="shared" si="278"/>
        <v>0</v>
      </c>
      <c r="CK210" s="119">
        <f t="shared" si="278"/>
        <v>0</v>
      </c>
      <c r="CL210" s="119">
        <f t="shared" si="278"/>
        <v>1328349.6000000001</v>
      </c>
      <c r="CM210" s="119">
        <f t="shared" si="278"/>
        <v>0</v>
      </c>
      <c r="CN210" s="119">
        <f t="shared" si="278"/>
        <v>0</v>
      </c>
      <c r="CO210" s="119">
        <f t="shared" si="278"/>
        <v>0</v>
      </c>
      <c r="CP210" s="119">
        <f t="shared" si="278"/>
        <v>0</v>
      </c>
      <c r="CQ210" s="119">
        <f t="shared" si="278"/>
        <v>0</v>
      </c>
      <c r="CR210" s="119">
        <f t="shared" si="278"/>
        <v>0</v>
      </c>
      <c r="CS210" s="119">
        <f t="shared" si="278"/>
        <v>0</v>
      </c>
      <c r="CT210" s="119">
        <f t="shared" si="278"/>
        <v>0</v>
      </c>
      <c r="CU210" s="119">
        <f t="shared" si="278"/>
        <v>0</v>
      </c>
      <c r="CV210" s="119">
        <f t="shared" si="278"/>
        <v>0</v>
      </c>
      <c r="CW210" s="119">
        <f t="shared" si="278"/>
        <v>0</v>
      </c>
      <c r="CX210" s="119">
        <f t="shared" si="278"/>
        <v>0</v>
      </c>
      <c r="CY210" s="119">
        <f t="shared" si="278"/>
        <v>0</v>
      </c>
      <c r="CZ210" s="119">
        <f t="shared" si="278"/>
        <v>0</v>
      </c>
      <c r="DA210" s="119">
        <f t="shared" si="278"/>
        <v>0</v>
      </c>
      <c r="DB210" s="119">
        <f t="shared" si="278"/>
        <v>0</v>
      </c>
      <c r="DC210" s="119">
        <f t="shared" si="278"/>
        <v>0</v>
      </c>
      <c r="DD210" s="119">
        <f t="shared" si="278"/>
        <v>0</v>
      </c>
      <c r="DE210" s="119">
        <f t="shared" si="278"/>
        <v>0</v>
      </c>
      <c r="DF210" s="119">
        <f t="shared" si="278"/>
        <v>0</v>
      </c>
      <c r="DG210" s="119">
        <f t="shared" si="278"/>
        <v>0</v>
      </c>
      <c r="DH210" s="119">
        <f t="shared" si="278"/>
        <v>0</v>
      </c>
      <c r="DI210" s="119">
        <f t="shared" si="278"/>
        <v>0</v>
      </c>
      <c r="DJ210" s="119">
        <f t="shared" si="278"/>
        <v>0</v>
      </c>
      <c r="DK210" s="119">
        <f t="shared" si="278"/>
        <v>5340259.88</v>
      </c>
      <c r="DL210" s="119">
        <f t="shared" si="278"/>
        <v>0</v>
      </c>
      <c r="DM210" s="119">
        <f t="shared" si="278"/>
        <v>0</v>
      </c>
      <c r="DN210" s="119">
        <f t="shared" si="278"/>
        <v>0</v>
      </c>
      <c r="DO210" s="119">
        <f t="shared" si="278"/>
        <v>0</v>
      </c>
      <c r="DP210" s="119">
        <f t="shared" si="278"/>
        <v>0</v>
      </c>
      <c r="DQ210" s="119">
        <f t="shared" si="278"/>
        <v>0</v>
      </c>
      <c r="DR210" s="119">
        <f t="shared" si="278"/>
        <v>0</v>
      </c>
      <c r="DS210" s="119">
        <f t="shared" si="278"/>
        <v>317487</v>
      </c>
      <c r="DT210" s="119">
        <f t="shared" si="278"/>
        <v>0</v>
      </c>
      <c r="DU210" s="119">
        <f t="shared" si="278"/>
        <v>0</v>
      </c>
      <c r="DV210" s="119">
        <f t="shared" si="278"/>
        <v>55804.21</v>
      </c>
      <c r="DW210" s="119">
        <f t="shared" si="278"/>
        <v>271695</v>
      </c>
      <c r="DX210" s="119">
        <f t="shared" si="278"/>
        <v>0</v>
      </c>
      <c r="DY210" s="119">
        <f t="shared" si="278"/>
        <v>0</v>
      </c>
      <c r="DZ210" s="119">
        <f t="shared" ref="DZ210:GK210" si="279">DZ193+DZ209</f>
        <v>0</v>
      </c>
      <c r="EA210" s="119">
        <f t="shared" si="279"/>
        <v>19624399.5</v>
      </c>
      <c r="EB210" s="119">
        <f t="shared" si="279"/>
        <v>0</v>
      </c>
      <c r="EC210" s="119">
        <f t="shared" si="279"/>
        <v>0</v>
      </c>
      <c r="ED210" s="119">
        <f t="shared" si="279"/>
        <v>0</v>
      </c>
      <c r="EE210" s="119">
        <f t="shared" si="279"/>
        <v>0</v>
      </c>
      <c r="EF210" s="119">
        <f t="shared" si="279"/>
        <v>0</v>
      </c>
      <c r="EG210" s="119">
        <f t="shared" si="279"/>
        <v>267714.86</v>
      </c>
      <c r="EH210" s="119">
        <f t="shared" si="279"/>
        <v>0</v>
      </c>
      <c r="EI210" s="119">
        <f t="shared" si="279"/>
        <v>0</v>
      </c>
      <c r="EJ210" s="119">
        <f t="shared" si="279"/>
        <v>0</v>
      </c>
      <c r="EK210" s="119">
        <f t="shared" si="279"/>
        <v>0</v>
      </c>
      <c r="EL210" s="119">
        <f t="shared" si="279"/>
        <v>0</v>
      </c>
      <c r="EM210" s="119">
        <f t="shared" si="279"/>
        <v>0</v>
      </c>
      <c r="EN210" s="119">
        <f t="shared" si="279"/>
        <v>0</v>
      </c>
      <c r="EO210" s="119">
        <f t="shared" si="279"/>
        <v>0</v>
      </c>
      <c r="EP210" s="119">
        <f t="shared" si="279"/>
        <v>19020.419999999998</v>
      </c>
      <c r="EQ210" s="119">
        <f t="shared" si="279"/>
        <v>0</v>
      </c>
      <c r="ER210" s="119">
        <f t="shared" si="279"/>
        <v>18413.810000000001</v>
      </c>
      <c r="ES210" s="119">
        <f t="shared" si="279"/>
        <v>0</v>
      </c>
      <c r="ET210" s="119">
        <f t="shared" si="279"/>
        <v>0</v>
      </c>
      <c r="EU210" s="119">
        <f t="shared" si="279"/>
        <v>0</v>
      </c>
      <c r="EV210" s="119">
        <f t="shared" si="279"/>
        <v>0</v>
      </c>
      <c r="EW210" s="119">
        <f t="shared" si="279"/>
        <v>0</v>
      </c>
      <c r="EX210" s="119">
        <f t="shared" si="279"/>
        <v>0</v>
      </c>
      <c r="EY210" s="119">
        <f t="shared" si="279"/>
        <v>0</v>
      </c>
      <c r="EZ210" s="119">
        <f t="shared" si="279"/>
        <v>0</v>
      </c>
      <c r="FA210" s="119">
        <f t="shared" si="279"/>
        <v>0</v>
      </c>
      <c r="FB210" s="119">
        <f t="shared" si="279"/>
        <v>0</v>
      </c>
      <c r="FC210" s="119">
        <f t="shared" si="279"/>
        <v>0</v>
      </c>
      <c r="FD210" s="119">
        <f t="shared" si="279"/>
        <v>0</v>
      </c>
      <c r="FE210" s="119">
        <f t="shared" si="279"/>
        <v>0</v>
      </c>
      <c r="FF210" s="119">
        <f t="shared" si="279"/>
        <v>0</v>
      </c>
      <c r="FG210" s="119">
        <f t="shared" si="279"/>
        <v>0</v>
      </c>
      <c r="FH210" s="119">
        <f t="shared" si="279"/>
        <v>0</v>
      </c>
      <c r="FI210" s="119">
        <f t="shared" si="279"/>
        <v>0</v>
      </c>
      <c r="FJ210" s="119">
        <f t="shared" si="279"/>
        <v>12262492.049999999</v>
      </c>
      <c r="FK210" s="119">
        <f t="shared" si="279"/>
        <v>0</v>
      </c>
      <c r="FL210" s="119">
        <f t="shared" si="279"/>
        <v>0</v>
      </c>
      <c r="FM210" s="119">
        <f t="shared" si="279"/>
        <v>259349.43</v>
      </c>
      <c r="FN210" s="119">
        <f t="shared" si="279"/>
        <v>0</v>
      </c>
      <c r="FO210" s="119">
        <f t="shared" si="279"/>
        <v>0</v>
      </c>
      <c r="FP210" s="119">
        <f t="shared" si="279"/>
        <v>0</v>
      </c>
      <c r="FQ210" s="119">
        <f t="shared" si="279"/>
        <v>1140351.21</v>
      </c>
      <c r="FR210" s="119">
        <f t="shared" si="279"/>
        <v>0</v>
      </c>
      <c r="FS210" s="119">
        <f t="shared" si="279"/>
        <v>220046.4</v>
      </c>
      <c r="FT210" s="119">
        <f t="shared" si="279"/>
        <v>31811444.18</v>
      </c>
      <c r="FU210" s="119">
        <f t="shared" si="279"/>
        <v>0</v>
      </c>
      <c r="FV210" s="119">
        <f t="shared" si="279"/>
        <v>31152</v>
      </c>
      <c r="FW210" s="119">
        <f t="shared" si="279"/>
        <v>0</v>
      </c>
      <c r="FX210" s="119">
        <f t="shared" si="279"/>
        <v>0</v>
      </c>
      <c r="FY210" s="119">
        <f t="shared" si="279"/>
        <v>0</v>
      </c>
      <c r="FZ210" s="119">
        <f t="shared" si="279"/>
        <v>52215</v>
      </c>
      <c r="GA210" s="119">
        <f t="shared" si="279"/>
        <v>17071.2</v>
      </c>
      <c r="GB210" s="119">
        <f t="shared" si="279"/>
        <v>0</v>
      </c>
      <c r="GC210" s="119">
        <f t="shared" si="279"/>
        <v>0</v>
      </c>
      <c r="GD210" s="119">
        <f t="shared" si="279"/>
        <v>0</v>
      </c>
      <c r="GE210" s="119">
        <f t="shared" si="279"/>
        <v>0</v>
      </c>
      <c r="GF210" s="119">
        <f t="shared" si="279"/>
        <v>0</v>
      </c>
      <c r="GG210" s="119">
        <f t="shared" si="279"/>
        <v>0</v>
      </c>
      <c r="GH210" s="119">
        <f t="shared" si="279"/>
        <v>1199690.19</v>
      </c>
      <c r="GI210" s="119">
        <f t="shared" si="279"/>
        <v>0</v>
      </c>
      <c r="GJ210" s="119">
        <f t="shared" si="279"/>
        <v>3223093.4</v>
      </c>
      <c r="GK210" s="119">
        <f t="shared" si="279"/>
        <v>61822.92</v>
      </c>
      <c r="GL210" s="119">
        <f t="shared" ref="GL210:IW210" si="280">GL193+GL209</f>
        <v>0</v>
      </c>
      <c r="GM210" s="119">
        <f t="shared" si="280"/>
        <v>0</v>
      </c>
      <c r="GN210" s="119">
        <f t="shared" si="280"/>
        <v>0</v>
      </c>
      <c r="GO210" s="119">
        <f t="shared" si="280"/>
        <v>0</v>
      </c>
      <c r="GP210" s="119">
        <f t="shared" si="280"/>
        <v>0</v>
      </c>
      <c r="GQ210" s="119">
        <f t="shared" si="280"/>
        <v>11946084.119999999</v>
      </c>
      <c r="GR210" s="119">
        <f t="shared" si="280"/>
        <v>1564314.96</v>
      </c>
      <c r="GS210" s="119">
        <f t="shared" si="280"/>
        <v>0</v>
      </c>
      <c r="GT210" s="119">
        <f t="shared" si="280"/>
        <v>0</v>
      </c>
      <c r="GU210" s="119">
        <f t="shared" si="280"/>
        <v>0</v>
      </c>
      <c r="GV210" s="119">
        <f t="shared" si="280"/>
        <v>0</v>
      </c>
      <c r="GW210" s="119">
        <f t="shared" si="280"/>
        <v>0</v>
      </c>
      <c r="GX210" s="119">
        <f t="shared" si="280"/>
        <v>0</v>
      </c>
      <c r="GY210" s="119">
        <f t="shared" si="280"/>
        <v>0</v>
      </c>
      <c r="GZ210" s="119">
        <f t="shared" si="280"/>
        <v>0</v>
      </c>
      <c r="HA210" s="119">
        <f t="shared" si="280"/>
        <v>0</v>
      </c>
      <c r="HB210" s="119">
        <f t="shared" si="280"/>
        <v>0</v>
      </c>
      <c r="HC210" s="119">
        <f t="shared" si="280"/>
        <v>0</v>
      </c>
      <c r="HD210" s="119">
        <f t="shared" si="280"/>
        <v>0</v>
      </c>
      <c r="HE210" s="119">
        <f t="shared" si="280"/>
        <v>0</v>
      </c>
      <c r="HF210" s="119">
        <f t="shared" si="280"/>
        <v>0</v>
      </c>
      <c r="HG210" s="119">
        <f t="shared" si="280"/>
        <v>0</v>
      </c>
      <c r="HH210" s="119">
        <f t="shared" si="280"/>
        <v>0</v>
      </c>
      <c r="HI210" s="119">
        <f t="shared" si="280"/>
        <v>0</v>
      </c>
      <c r="HJ210" s="119">
        <f t="shared" si="280"/>
        <v>0</v>
      </c>
      <c r="HK210" s="119">
        <f t="shared" si="280"/>
        <v>0</v>
      </c>
      <c r="HL210" s="119">
        <f t="shared" si="280"/>
        <v>0</v>
      </c>
      <c r="HM210" s="119">
        <f t="shared" si="280"/>
        <v>0</v>
      </c>
      <c r="HN210" s="119">
        <f t="shared" si="280"/>
        <v>0</v>
      </c>
      <c r="HO210" s="119">
        <f t="shared" si="280"/>
        <v>0</v>
      </c>
      <c r="HP210" s="119">
        <f t="shared" si="280"/>
        <v>0</v>
      </c>
      <c r="HQ210" s="119">
        <f t="shared" si="280"/>
        <v>0</v>
      </c>
      <c r="HR210" s="119">
        <f t="shared" si="280"/>
        <v>0</v>
      </c>
      <c r="HS210" s="119">
        <f t="shared" si="280"/>
        <v>0</v>
      </c>
      <c r="HT210" s="119">
        <f t="shared" si="280"/>
        <v>0</v>
      </c>
      <c r="HU210" s="119">
        <f t="shared" si="280"/>
        <v>0</v>
      </c>
      <c r="HV210" s="119">
        <f t="shared" si="280"/>
        <v>0</v>
      </c>
      <c r="HW210" s="119">
        <f t="shared" si="280"/>
        <v>0</v>
      </c>
      <c r="HX210" s="119">
        <f t="shared" si="280"/>
        <v>0</v>
      </c>
      <c r="HY210" s="119">
        <f t="shared" si="280"/>
        <v>0</v>
      </c>
      <c r="HZ210" s="119">
        <f t="shared" si="280"/>
        <v>0</v>
      </c>
      <c r="IA210" s="119">
        <f t="shared" si="280"/>
        <v>0</v>
      </c>
      <c r="IB210" s="119">
        <f t="shared" si="280"/>
        <v>0</v>
      </c>
      <c r="IC210" s="119">
        <f t="shared" si="280"/>
        <v>0</v>
      </c>
      <c r="ID210" s="119">
        <f t="shared" si="280"/>
        <v>0</v>
      </c>
      <c r="IE210" s="119">
        <f t="shared" si="280"/>
        <v>0</v>
      </c>
      <c r="IF210" s="119">
        <f t="shared" si="280"/>
        <v>0</v>
      </c>
      <c r="IG210" s="119">
        <f t="shared" si="280"/>
        <v>0</v>
      </c>
      <c r="IH210" s="119">
        <f t="shared" si="280"/>
        <v>0</v>
      </c>
      <c r="II210" s="119">
        <f t="shared" si="280"/>
        <v>0</v>
      </c>
      <c r="IJ210" s="119">
        <f t="shared" si="280"/>
        <v>0</v>
      </c>
      <c r="IK210" s="119">
        <f t="shared" si="280"/>
        <v>0</v>
      </c>
      <c r="IL210" s="119">
        <f t="shared" si="280"/>
        <v>0</v>
      </c>
      <c r="IM210" s="119">
        <f t="shared" si="280"/>
        <v>0</v>
      </c>
      <c r="IN210" s="119">
        <f t="shared" si="280"/>
        <v>0</v>
      </c>
      <c r="IO210" s="119">
        <f t="shared" si="280"/>
        <v>0</v>
      </c>
      <c r="IP210" s="119">
        <f t="shared" si="280"/>
        <v>0</v>
      </c>
      <c r="IQ210" s="119">
        <f t="shared" si="280"/>
        <v>0</v>
      </c>
      <c r="IR210" s="119">
        <f t="shared" si="280"/>
        <v>0</v>
      </c>
      <c r="IS210" s="119">
        <f t="shared" si="280"/>
        <v>0</v>
      </c>
      <c r="IT210" s="119">
        <f t="shared" si="280"/>
        <v>0</v>
      </c>
      <c r="IU210" s="119">
        <f t="shared" si="280"/>
        <v>0</v>
      </c>
      <c r="IV210" s="119">
        <f t="shared" si="280"/>
        <v>0</v>
      </c>
      <c r="IW210" s="119">
        <f t="shared" si="280"/>
        <v>0</v>
      </c>
      <c r="IX210" s="119">
        <f t="shared" ref="IX210:JI210" si="281">IX193+IX209</f>
        <v>0</v>
      </c>
      <c r="IY210" s="119">
        <f t="shared" si="281"/>
        <v>0</v>
      </c>
      <c r="IZ210" s="119">
        <f t="shared" si="281"/>
        <v>0</v>
      </c>
      <c r="JA210" s="119">
        <f t="shared" si="281"/>
        <v>0</v>
      </c>
      <c r="JB210" s="119">
        <f t="shared" si="281"/>
        <v>0</v>
      </c>
      <c r="JC210" s="119">
        <f t="shared" si="281"/>
        <v>0</v>
      </c>
      <c r="JD210" s="119">
        <f t="shared" si="281"/>
        <v>0</v>
      </c>
      <c r="JE210" s="119">
        <f t="shared" si="281"/>
        <v>0</v>
      </c>
      <c r="JF210" s="119">
        <f t="shared" si="281"/>
        <v>0</v>
      </c>
      <c r="JG210" s="119">
        <f t="shared" si="281"/>
        <v>0</v>
      </c>
      <c r="JH210" s="119">
        <f t="shared" si="281"/>
        <v>0</v>
      </c>
      <c r="JI210" s="119">
        <f t="shared" si="281"/>
        <v>185038898.98000002</v>
      </c>
      <c r="JJ210" s="379"/>
      <c r="JK210" s="2"/>
      <c r="JL210" s="1"/>
      <c r="JM210" s="1"/>
      <c r="JN210" s="1"/>
      <c r="JO210" s="1"/>
      <c r="JP210" s="1"/>
    </row>
    <row r="211" spans="1:276">
      <c r="JK211" s="2"/>
      <c r="JL211" s="1"/>
      <c r="JM211" s="1"/>
    </row>
  </sheetData>
  <mergeCells count="1">
    <mergeCell ref="A1:JH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W684"/>
  <sheetViews>
    <sheetView zoomScale="90" zoomScaleNormal="90" workbookViewId="0">
      <pane ySplit="2" topLeftCell="A3" activePane="bottomLeft" state="frozen"/>
      <selection activeCell="IS1" sqref="IS1"/>
      <selection pane="bottomLeft" activeCell="JR207" sqref="JR207"/>
    </sheetView>
  </sheetViews>
  <sheetFormatPr baseColWidth="10" defaultColWidth="11.42578125" defaultRowHeight="15"/>
  <cols>
    <col min="1" max="23" width="7.85546875" bestFit="1" customWidth="1"/>
    <col min="24" max="24" width="13.85546875" bestFit="1" customWidth="1"/>
    <col min="25" max="25" width="7.85546875" bestFit="1" customWidth="1"/>
    <col min="26" max="26" width="13.85546875" bestFit="1" customWidth="1"/>
    <col min="27" max="42" width="7.85546875" bestFit="1" customWidth="1"/>
    <col min="43" max="43" width="12.140625" bestFit="1" customWidth="1"/>
    <col min="44" max="48" width="7.85546875" bestFit="1" customWidth="1"/>
    <col min="49" max="49" width="13.85546875" bestFit="1" customWidth="1"/>
    <col min="50" max="51" width="12.140625" bestFit="1" customWidth="1"/>
    <col min="52" max="53" width="7.85546875" bestFit="1" customWidth="1"/>
    <col min="54" max="55" width="11.140625" bestFit="1" customWidth="1"/>
    <col min="56" max="60" width="7.85546875" bestFit="1" customWidth="1"/>
    <col min="61" max="61" width="12.140625" bestFit="1" customWidth="1"/>
    <col min="62" max="68" width="7.85546875" bestFit="1" customWidth="1"/>
    <col min="69" max="69" width="11.140625" bestFit="1" customWidth="1"/>
    <col min="70" max="72" width="7.85546875" bestFit="1" customWidth="1"/>
    <col min="73" max="73" width="10" bestFit="1" customWidth="1"/>
    <col min="74" max="74" width="7.85546875" bestFit="1" customWidth="1"/>
    <col min="75" max="75" width="13.85546875" bestFit="1" customWidth="1"/>
    <col min="76" max="79" width="7.85546875" bestFit="1" customWidth="1"/>
    <col min="80" max="80" width="10" bestFit="1" customWidth="1"/>
    <col min="81" max="85" width="7.85546875" bestFit="1" customWidth="1"/>
    <col min="86" max="86" width="12.140625" bestFit="1" customWidth="1"/>
    <col min="87" max="87" width="7.85546875" bestFit="1" customWidth="1"/>
    <col min="88" max="88" width="12.140625" bestFit="1" customWidth="1"/>
    <col min="89" max="89" width="7.85546875" bestFit="1" customWidth="1"/>
    <col min="90" max="90" width="12.140625" bestFit="1" customWidth="1"/>
    <col min="91" max="93" width="7.85546875" bestFit="1" customWidth="1"/>
    <col min="94" max="95" width="11.140625" bestFit="1" customWidth="1"/>
    <col min="96" max="96" width="7.85546875" bestFit="1" customWidth="1"/>
    <col min="97" max="97" width="12.140625" bestFit="1" customWidth="1"/>
    <col min="98" max="98" width="7.85546875" bestFit="1" customWidth="1"/>
    <col min="99" max="99" width="12.140625" bestFit="1" customWidth="1"/>
    <col min="100" max="100" width="11.140625" bestFit="1" customWidth="1"/>
    <col min="101" max="104" width="7.85546875" bestFit="1" customWidth="1"/>
    <col min="105" max="105" width="11.140625" bestFit="1" customWidth="1"/>
    <col min="106" max="107" width="7.85546875" bestFit="1" customWidth="1"/>
    <col min="108" max="109" width="12.140625" bestFit="1" customWidth="1"/>
    <col min="110" max="110" width="11.140625" bestFit="1" customWidth="1"/>
    <col min="111" max="112" width="7.85546875" bestFit="1" customWidth="1"/>
    <col min="113" max="113" width="11.140625" bestFit="1" customWidth="1"/>
    <col min="114" max="115" width="13.85546875" bestFit="1" customWidth="1"/>
    <col min="116" max="122" width="7.85546875" bestFit="1" customWidth="1"/>
    <col min="123" max="123" width="12.140625" bestFit="1" customWidth="1"/>
    <col min="124" max="125" width="7.85546875" bestFit="1" customWidth="1"/>
    <col min="126" max="126" width="11.140625" bestFit="1" customWidth="1"/>
    <col min="127" max="127" width="12.140625" bestFit="1" customWidth="1"/>
    <col min="128" max="130" width="7.85546875" bestFit="1" customWidth="1"/>
    <col min="131" max="131" width="14.85546875" bestFit="1" customWidth="1"/>
    <col min="132" max="134" width="7.85546875" bestFit="1" customWidth="1"/>
    <col min="135" max="136" width="12.140625" bestFit="1" customWidth="1"/>
    <col min="137" max="137" width="11.140625" bestFit="1" customWidth="1"/>
    <col min="138" max="142" width="7.85546875" bestFit="1" customWidth="1"/>
    <col min="143" max="143" width="10" bestFit="1" customWidth="1"/>
    <col min="144" max="144" width="7.85546875" bestFit="1" customWidth="1"/>
    <col min="145" max="145" width="10" bestFit="1" customWidth="1"/>
    <col min="146" max="146" width="11.140625" bestFit="1" customWidth="1"/>
    <col min="147" max="147" width="7.85546875" bestFit="1" customWidth="1"/>
    <col min="148" max="148" width="11.140625" bestFit="1" customWidth="1"/>
    <col min="149" max="155" width="7.85546875" bestFit="1" customWidth="1"/>
    <col min="156" max="156" width="10" bestFit="1" customWidth="1"/>
    <col min="157" max="157" width="12.140625" bestFit="1" customWidth="1"/>
    <col min="158" max="158" width="13.85546875" bestFit="1" customWidth="1"/>
    <col min="159" max="159" width="7.85546875" bestFit="1" customWidth="1"/>
    <col min="160" max="160" width="11.140625" bestFit="1" customWidth="1"/>
    <col min="161" max="165" width="7.85546875" bestFit="1" customWidth="1"/>
    <col min="166" max="166" width="12.140625" bestFit="1" customWidth="1"/>
    <col min="167" max="169" width="7.85546875" bestFit="1" customWidth="1"/>
    <col min="170" max="170" width="13.85546875" bestFit="1" customWidth="1"/>
    <col min="171" max="172" width="7.85546875" bestFit="1" customWidth="1"/>
    <col min="173" max="173" width="12.140625" bestFit="1" customWidth="1"/>
    <col min="174" max="174" width="7.85546875" bestFit="1" customWidth="1"/>
    <col min="175" max="175" width="11.140625" bestFit="1" customWidth="1"/>
    <col min="176" max="176" width="13.85546875" bestFit="1" customWidth="1"/>
    <col min="177" max="177" width="11.140625" bestFit="1" customWidth="1"/>
    <col min="178" max="179" width="12.140625" bestFit="1" customWidth="1"/>
    <col min="180" max="180" width="7.85546875" bestFit="1" customWidth="1"/>
    <col min="181" max="181" width="13.85546875" bestFit="1" customWidth="1"/>
    <col min="182" max="182" width="12.140625" bestFit="1" customWidth="1"/>
    <col min="183" max="183" width="11.140625" bestFit="1" customWidth="1"/>
    <col min="184" max="184" width="12.140625" bestFit="1" customWidth="1"/>
    <col min="185" max="185" width="11.140625" bestFit="1" customWidth="1"/>
    <col min="186" max="186" width="12.140625" bestFit="1" customWidth="1"/>
    <col min="187" max="189" width="7.85546875" bestFit="1" customWidth="1"/>
    <col min="190" max="190" width="12.140625" bestFit="1" customWidth="1"/>
    <col min="191" max="191" width="11.140625" bestFit="1" customWidth="1"/>
    <col min="192" max="192" width="13.85546875" bestFit="1" customWidth="1"/>
    <col min="193" max="193" width="11.140625" bestFit="1" customWidth="1"/>
    <col min="194" max="194" width="12.140625" bestFit="1" customWidth="1"/>
    <col min="195" max="198" width="7.85546875" bestFit="1" customWidth="1"/>
    <col min="199" max="200" width="13.85546875" bestFit="1" customWidth="1"/>
    <col min="201" max="211" width="7.85546875" bestFit="1" customWidth="1"/>
    <col min="212" max="212" width="12.140625" bestFit="1" customWidth="1"/>
    <col min="213" max="213" width="7.85546875" bestFit="1" customWidth="1"/>
    <col min="214" max="214" width="12.140625" bestFit="1" customWidth="1"/>
    <col min="215" max="215" width="7.85546875" bestFit="1" customWidth="1"/>
    <col min="216" max="216" width="12.140625" bestFit="1" customWidth="1"/>
    <col min="217" max="217" width="11.140625" bestFit="1" customWidth="1"/>
    <col min="218" max="219" width="7.85546875" bestFit="1" customWidth="1"/>
    <col min="220" max="220" width="12.140625" bestFit="1" customWidth="1"/>
    <col min="221" max="248" width="7.85546875" bestFit="1" customWidth="1"/>
    <col min="249" max="249" width="12.140625" bestFit="1" customWidth="1"/>
    <col min="250" max="250" width="7.85546875" bestFit="1" customWidth="1"/>
    <col min="251" max="251" width="9" bestFit="1" customWidth="1"/>
    <col min="252" max="268" width="7.85546875" bestFit="1" customWidth="1"/>
    <col min="269" max="269" width="14.85546875" bestFit="1" customWidth="1"/>
    <col min="270" max="270" width="11.7109375" bestFit="1" customWidth="1"/>
    <col min="271" max="271" width="14.85546875" bestFit="1" customWidth="1"/>
    <col min="272" max="272" width="14.42578125" style="183" bestFit="1" customWidth="1"/>
    <col min="273" max="273" width="17.85546875" bestFit="1" customWidth="1"/>
    <col min="274" max="274" width="5.5703125" bestFit="1" customWidth="1"/>
    <col min="275" max="275" width="5.42578125" bestFit="1" customWidth="1"/>
    <col min="276" max="276" width="18.5703125" bestFit="1" customWidth="1"/>
    <col min="1141" max="1141" width="11.42578125" style="1"/>
  </cols>
  <sheetData>
    <row r="1" spans="1:276" ht="23.25">
      <c r="A1" s="439" t="s">
        <v>78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  <c r="AK1" s="439"/>
      <c r="AL1" s="439"/>
      <c r="AM1" s="439"/>
      <c r="AN1" s="439"/>
      <c r="AO1" s="439"/>
      <c r="AP1" s="439"/>
      <c r="AQ1" s="439"/>
      <c r="AR1" s="439"/>
      <c r="AS1" s="439"/>
      <c r="AT1" s="439"/>
      <c r="AU1" s="439"/>
      <c r="AV1" s="439"/>
      <c r="AW1" s="439"/>
      <c r="AX1" s="439"/>
      <c r="AY1" s="439"/>
      <c r="AZ1" s="439"/>
      <c r="BA1" s="439"/>
      <c r="BB1" s="439"/>
      <c r="BC1" s="439"/>
      <c r="BD1" s="439"/>
      <c r="BE1" s="439"/>
      <c r="BF1" s="439"/>
      <c r="BG1" s="439"/>
      <c r="BH1" s="439"/>
      <c r="BI1" s="439"/>
      <c r="BJ1" s="439"/>
      <c r="BK1" s="439"/>
      <c r="BL1" s="439"/>
      <c r="BM1" s="439"/>
      <c r="BN1" s="439"/>
      <c r="BO1" s="439"/>
      <c r="BP1" s="439"/>
      <c r="BQ1" s="439"/>
      <c r="BR1" s="439"/>
      <c r="BS1" s="439"/>
      <c r="BT1" s="439"/>
      <c r="BU1" s="439"/>
      <c r="BV1" s="439"/>
      <c r="BW1" s="439"/>
      <c r="BX1" s="439"/>
      <c r="BY1" s="439"/>
      <c r="BZ1" s="439"/>
      <c r="CA1" s="439"/>
      <c r="CB1" s="439"/>
      <c r="CC1" s="439"/>
      <c r="CD1" s="439"/>
      <c r="CE1" s="439"/>
      <c r="CF1" s="439"/>
      <c r="CG1" s="439"/>
      <c r="CH1" s="439"/>
      <c r="CI1" s="439"/>
      <c r="CJ1" s="439"/>
      <c r="CK1" s="439"/>
      <c r="CL1" s="439"/>
      <c r="CM1" s="439"/>
      <c r="CN1" s="439"/>
      <c r="CO1" s="439"/>
      <c r="CP1" s="439"/>
      <c r="CQ1" s="439"/>
      <c r="CR1" s="439"/>
      <c r="CS1" s="439"/>
      <c r="CT1" s="439"/>
      <c r="CU1" s="439"/>
      <c r="CV1" s="439"/>
      <c r="CW1" s="439"/>
      <c r="CX1" s="439"/>
      <c r="CY1" s="439"/>
      <c r="CZ1" s="439"/>
      <c r="DA1" s="439"/>
      <c r="DB1" s="439"/>
      <c r="DC1" s="439"/>
      <c r="DD1" s="439"/>
      <c r="DE1" s="439"/>
      <c r="DF1" s="439"/>
      <c r="DG1" s="439"/>
      <c r="DH1" s="439"/>
      <c r="DI1" s="439"/>
      <c r="DJ1" s="439"/>
      <c r="DK1" s="439"/>
      <c r="DL1" s="439"/>
      <c r="DM1" s="439"/>
      <c r="DN1" s="439"/>
      <c r="DO1" s="439"/>
      <c r="DP1" s="439"/>
      <c r="DQ1" s="439"/>
      <c r="DR1" s="439"/>
      <c r="DS1" s="439"/>
      <c r="DT1" s="439"/>
      <c r="DU1" s="439"/>
      <c r="DV1" s="439"/>
      <c r="DW1" s="439"/>
      <c r="DX1" s="439"/>
      <c r="DY1" s="439"/>
      <c r="DZ1" s="439"/>
      <c r="EA1" s="439"/>
      <c r="EB1" s="439"/>
      <c r="EC1" s="439"/>
      <c r="ED1" s="439"/>
      <c r="EE1" s="439"/>
      <c r="EF1" s="439"/>
      <c r="EG1" s="439"/>
      <c r="EH1" s="439"/>
      <c r="EI1" s="439"/>
      <c r="EJ1" s="439"/>
      <c r="EK1" s="439"/>
      <c r="EL1" s="439"/>
      <c r="EM1" s="439"/>
      <c r="EN1" s="439"/>
      <c r="EO1" s="439"/>
      <c r="EP1" s="439"/>
      <c r="EQ1" s="439"/>
      <c r="ER1" s="439"/>
      <c r="ES1" s="439"/>
      <c r="ET1" s="439"/>
      <c r="EU1" s="439"/>
      <c r="EV1" s="439"/>
      <c r="EW1" s="439"/>
      <c r="EX1" s="439"/>
      <c r="EY1" s="439"/>
      <c r="EZ1" s="439"/>
      <c r="FA1" s="439"/>
      <c r="FB1" s="439"/>
      <c r="FC1" s="439"/>
      <c r="FD1" s="439"/>
      <c r="FE1" s="439"/>
      <c r="FF1" s="439"/>
      <c r="FG1" s="439"/>
      <c r="FH1" s="439"/>
      <c r="FI1" s="439"/>
      <c r="FJ1" s="439"/>
      <c r="FK1" s="439"/>
      <c r="FL1" s="439"/>
      <c r="FM1" s="439"/>
      <c r="FN1" s="439"/>
      <c r="FO1" s="439"/>
      <c r="FP1" s="439"/>
      <c r="FQ1" s="439"/>
      <c r="FR1" s="439"/>
      <c r="FS1" s="439"/>
      <c r="FT1" s="439"/>
      <c r="FU1" s="439"/>
      <c r="FV1" s="439"/>
      <c r="FW1" s="439"/>
      <c r="FX1" s="439"/>
      <c r="FY1" s="439"/>
      <c r="FZ1" s="439"/>
      <c r="GA1" s="439"/>
      <c r="GB1" s="439"/>
      <c r="GC1" s="439"/>
      <c r="GD1" s="439"/>
      <c r="GE1" s="439"/>
      <c r="GF1" s="439"/>
      <c r="GG1" s="439"/>
      <c r="GH1" s="439"/>
      <c r="GI1" s="439"/>
      <c r="GJ1" s="439"/>
      <c r="GK1" s="439"/>
      <c r="GL1" s="439"/>
      <c r="GM1" s="439"/>
      <c r="GN1" s="439"/>
      <c r="GO1" s="439"/>
      <c r="GP1" s="439"/>
      <c r="GQ1" s="439"/>
      <c r="GR1" s="439"/>
      <c r="GS1" s="439"/>
      <c r="GT1" s="439"/>
      <c r="GU1" s="439"/>
      <c r="GV1" s="439"/>
      <c r="GW1" s="439"/>
      <c r="GX1" s="439"/>
      <c r="GY1" s="439"/>
      <c r="GZ1" s="439"/>
      <c r="HA1" s="439"/>
      <c r="HB1" s="439"/>
      <c r="HC1" s="439"/>
      <c r="HD1" s="439"/>
      <c r="HE1" s="439"/>
      <c r="HF1" s="439"/>
      <c r="HG1" s="439"/>
      <c r="HH1" s="439"/>
      <c r="HI1" s="439"/>
      <c r="HJ1" s="439"/>
      <c r="HK1" s="439"/>
      <c r="HL1" s="439"/>
      <c r="HM1" s="439"/>
      <c r="HN1" s="439"/>
      <c r="HO1" s="439"/>
      <c r="HP1" s="439"/>
      <c r="HQ1" s="439"/>
      <c r="HR1" s="439"/>
      <c r="HS1" s="439"/>
      <c r="HT1" s="439"/>
      <c r="HU1" s="439"/>
      <c r="HV1" s="439"/>
      <c r="HW1" s="439"/>
      <c r="HX1" s="439"/>
      <c r="HY1" s="439"/>
      <c r="HZ1" s="439"/>
      <c r="IA1" s="439"/>
      <c r="IB1" s="439"/>
      <c r="IC1" s="439"/>
      <c r="ID1" s="439"/>
      <c r="IE1" s="439"/>
      <c r="IF1" s="439"/>
      <c r="IG1" s="439"/>
      <c r="IH1" s="439"/>
      <c r="II1" s="439"/>
      <c r="IJ1" s="439"/>
      <c r="IK1" s="439"/>
      <c r="IL1" s="439"/>
      <c r="IM1" s="439"/>
      <c r="IN1" s="439"/>
      <c r="IO1" s="439"/>
      <c r="IP1" s="439"/>
      <c r="IQ1" s="439"/>
      <c r="IR1" s="439"/>
      <c r="IS1" s="439"/>
      <c r="IT1" s="439"/>
      <c r="IU1" s="439"/>
      <c r="IV1" s="439"/>
      <c r="IW1" s="439"/>
      <c r="IX1" s="439"/>
      <c r="IY1" s="439"/>
      <c r="IZ1" s="439"/>
      <c r="JA1" s="439"/>
      <c r="JB1" s="439"/>
      <c r="JC1" s="439"/>
      <c r="JD1" s="439"/>
      <c r="JE1" s="439"/>
      <c r="JF1" s="439"/>
      <c r="JG1" s="439"/>
      <c r="JH1" s="439"/>
    </row>
    <row r="2" spans="1:276" ht="18.75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381" t="s">
        <v>373</v>
      </c>
      <c r="JM2" s="124" t="s">
        <v>377</v>
      </c>
      <c r="JN2" s="124">
        <v>2024</v>
      </c>
      <c r="JO2" s="124" t="s">
        <v>348</v>
      </c>
      <c r="JP2" s="124" t="s">
        <v>378</v>
      </c>
    </row>
    <row r="3" spans="1:276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>
        <v>90300</v>
      </c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 t="shared" ref="JI3:JI68" si="0">SUM(A3:JH3)</f>
        <v>90300</v>
      </c>
      <c r="JJ3" s="2">
        <v>409</v>
      </c>
      <c r="JK3" s="122">
        <v>85785</v>
      </c>
      <c r="JL3" s="125">
        <f>+JI3-JK3</f>
        <v>4515</v>
      </c>
      <c r="JM3" s="125"/>
      <c r="JN3" s="125"/>
      <c r="JO3" s="125"/>
      <c r="JP3" s="125"/>
    </row>
    <row r="4" spans="1:276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>
        <v>213516.07</v>
      </c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si="0"/>
        <v>213516.07</v>
      </c>
      <c r="JJ4" s="2">
        <v>410</v>
      </c>
      <c r="JK4" s="122">
        <v>213516.07</v>
      </c>
      <c r="JL4" s="125">
        <f t="shared" ref="JL4:JL479" si="1">+JI4-JK4</f>
        <v>0</v>
      </c>
      <c r="JM4" s="125"/>
      <c r="JN4" s="125"/>
      <c r="JO4" s="125"/>
      <c r="JP4" s="125"/>
    </row>
    <row r="5" spans="1:276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>
        <v>720000</v>
      </c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720000</v>
      </c>
      <c r="JJ5" s="2">
        <v>411</v>
      </c>
      <c r="JK5" s="122">
        <v>684000</v>
      </c>
      <c r="JL5" s="125">
        <f t="shared" si="1"/>
        <v>36000</v>
      </c>
      <c r="JM5" s="125"/>
      <c r="JN5" s="125"/>
      <c r="JO5" s="125"/>
      <c r="JP5" s="125"/>
    </row>
    <row r="6" spans="1:276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>
        <v>24010</v>
      </c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24010</v>
      </c>
      <c r="JJ6" s="2">
        <v>412</v>
      </c>
      <c r="JK6" s="122">
        <v>24010</v>
      </c>
      <c r="JL6" s="125">
        <f t="shared" si="1"/>
        <v>0</v>
      </c>
      <c r="JM6" s="125"/>
      <c r="JN6" s="125"/>
      <c r="JO6" s="125"/>
      <c r="JP6" s="125"/>
    </row>
    <row r="7" spans="1:276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>
        <v>25000</v>
      </c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25000</v>
      </c>
      <c r="JJ7" s="2">
        <v>413</v>
      </c>
      <c r="JK7" s="122">
        <v>25000</v>
      </c>
      <c r="JL7" s="125">
        <f t="shared" si="1"/>
        <v>0</v>
      </c>
      <c r="JM7" s="125"/>
      <c r="JN7" s="125"/>
      <c r="JO7" s="125"/>
      <c r="JP7" s="125"/>
    </row>
    <row r="8" spans="1:276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>
        <v>1027154.6</v>
      </c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1027154.6</v>
      </c>
      <c r="JJ8" s="2">
        <v>414</v>
      </c>
      <c r="JK8" s="122">
        <v>983631.1</v>
      </c>
      <c r="JL8" s="125">
        <f t="shared" si="1"/>
        <v>43523.5</v>
      </c>
      <c r="JM8" s="125"/>
      <c r="JN8" s="125"/>
      <c r="JO8" s="125"/>
      <c r="JP8" s="125"/>
    </row>
    <row r="9" spans="1:276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>
        <v>9000</v>
      </c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9000</v>
      </c>
      <c r="JJ9" s="2">
        <v>415</v>
      </c>
      <c r="JK9" s="122">
        <v>8550</v>
      </c>
      <c r="JL9" s="125">
        <f t="shared" si="1"/>
        <v>450</v>
      </c>
      <c r="JM9" s="125"/>
      <c r="JN9" s="125"/>
      <c r="JO9" s="125"/>
      <c r="JP9" s="125"/>
    </row>
    <row r="10" spans="1:276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>
        <v>229864</v>
      </c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229864</v>
      </c>
      <c r="JJ10" s="2">
        <v>416</v>
      </c>
      <c r="JK10" s="122">
        <v>220124</v>
      </c>
      <c r="JL10" s="125">
        <f t="shared" si="1"/>
        <v>9740</v>
      </c>
      <c r="JM10" s="125"/>
      <c r="JN10" s="125"/>
      <c r="JO10" s="125"/>
      <c r="JP10" s="125"/>
    </row>
    <row r="11" spans="1:276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>
        <v>86730</v>
      </c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86730</v>
      </c>
      <c r="JJ11" s="2">
        <v>417</v>
      </c>
      <c r="JK11" s="122">
        <v>83055</v>
      </c>
      <c r="JL11" s="125">
        <f t="shared" si="1"/>
        <v>3675</v>
      </c>
      <c r="JM11" s="125"/>
      <c r="JN11" s="125"/>
      <c r="JO11" s="125"/>
      <c r="JP11" s="125"/>
    </row>
    <row r="12" spans="1:276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>
        <v>64500</v>
      </c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64500</v>
      </c>
      <c r="JJ12" s="2">
        <v>418</v>
      </c>
      <c r="JK12" s="122">
        <v>64500</v>
      </c>
      <c r="JL12" s="125">
        <f t="shared" si="1"/>
        <v>0</v>
      </c>
      <c r="JM12" s="125"/>
      <c r="JN12" s="125"/>
      <c r="JO12" s="125"/>
      <c r="JP12" s="125"/>
    </row>
    <row r="13" spans="1:276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>
        <v>623449.22</v>
      </c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623449.22</v>
      </c>
      <c r="JJ13" s="2">
        <v>419</v>
      </c>
      <c r="JK13" s="122">
        <v>597031.88</v>
      </c>
      <c r="JL13" s="125">
        <f t="shared" si="1"/>
        <v>26417.339999999967</v>
      </c>
      <c r="JM13" s="125"/>
      <c r="JN13" s="125"/>
      <c r="JO13" s="125"/>
      <c r="JP13" s="125"/>
    </row>
    <row r="14" spans="1:276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>
        <v>202960</v>
      </c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202960</v>
      </c>
      <c r="JJ14" s="2">
        <v>420</v>
      </c>
      <c r="JK14" s="122">
        <v>163400</v>
      </c>
      <c r="JL14" s="125">
        <f t="shared" si="1"/>
        <v>39560</v>
      </c>
      <c r="JM14" s="125"/>
      <c r="JN14" s="125"/>
      <c r="JO14" s="125"/>
      <c r="JP14" s="125"/>
    </row>
    <row r="15" spans="1:276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>
        <v>4800</v>
      </c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4800</v>
      </c>
      <c r="JJ15" s="2">
        <v>421</v>
      </c>
      <c r="JK15" s="122">
        <v>4560</v>
      </c>
      <c r="JL15" s="125">
        <f t="shared" si="1"/>
        <v>240</v>
      </c>
      <c r="JM15" s="125"/>
      <c r="JN15" s="125"/>
      <c r="JO15" s="125"/>
      <c r="JP15" s="125"/>
    </row>
    <row r="16" spans="1:276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>
        <v>172000</v>
      </c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172000</v>
      </c>
      <c r="JJ16" s="2">
        <v>422</v>
      </c>
      <c r="JK16" s="122">
        <v>170573.26</v>
      </c>
      <c r="JL16" s="125">
        <f t="shared" si="1"/>
        <v>1426.7399999999907</v>
      </c>
      <c r="JM16" s="125"/>
      <c r="JN16" s="125"/>
      <c r="JO16" s="125"/>
      <c r="JP16" s="125"/>
    </row>
    <row r="17" spans="1:276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>
        <v>14000</v>
      </c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14000</v>
      </c>
      <c r="JJ17" s="2">
        <v>423</v>
      </c>
      <c r="JK17" s="122">
        <v>14000</v>
      </c>
      <c r="JL17" s="125">
        <f t="shared" si="1"/>
        <v>0</v>
      </c>
      <c r="JM17" s="125"/>
      <c r="JN17" s="125"/>
      <c r="JO17" s="125"/>
      <c r="JP17" s="125"/>
    </row>
    <row r="18" spans="1:276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>
        <v>22140</v>
      </c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22140</v>
      </c>
      <c r="JJ18" s="2">
        <v>424</v>
      </c>
      <c r="JK18" s="122">
        <v>22140</v>
      </c>
      <c r="JL18" s="125">
        <f t="shared" si="1"/>
        <v>0</v>
      </c>
      <c r="JM18" s="125"/>
      <c r="JN18" s="125"/>
      <c r="JO18" s="125"/>
      <c r="JP18" s="125"/>
    </row>
    <row r="19" spans="1:276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>
        <v>247800</v>
      </c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247800</v>
      </c>
      <c r="JJ19" s="2">
        <v>425</v>
      </c>
      <c r="JK19" s="122">
        <v>237300</v>
      </c>
      <c r="JL19" s="125">
        <f t="shared" si="1"/>
        <v>10500</v>
      </c>
      <c r="JM19" s="125"/>
      <c r="JN19" s="125"/>
      <c r="JO19" s="125"/>
      <c r="JP19" s="125"/>
    </row>
    <row r="20" spans="1:276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>
        <v>16188</v>
      </c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16188</v>
      </c>
      <c r="JJ20" s="2">
        <v>426</v>
      </c>
      <c r="JK20" s="122">
        <v>16188</v>
      </c>
      <c r="JL20" s="125">
        <f t="shared" si="1"/>
        <v>0</v>
      </c>
      <c r="JM20" s="125"/>
      <c r="JN20" s="125"/>
      <c r="JO20" s="125"/>
      <c r="JP20" s="125"/>
    </row>
    <row r="21" spans="1:276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>
        <v>264674</v>
      </c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264674</v>
      </c>
      <c r="JJ21" s="2">
        <v>427</v>
      </c>
      <c r="JK21" s="122">
        <v>253459</v>
      </c>
      <c r="JL21" s="125">
        <f t="shared" si="1"/>
        <v>11215</v>
      </c>
      <c r="JM21" s="125"/>
      <c r="JN21" s="125"/>
      <c r="JO21" s="125"/>
      <c r="JP21" s="125"/>
    </row>
    <row r="22" spans="1:276" ht="15.7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>
        <v>17700</v>
      </c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37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17700</v>
      </c>
      <c r="JJ22" s="2">
        <v>428</v>
      </c>
      <c r="JK22" s="122">
        <v>16950</v>
      </c>
      <c r="JL22" s="125">
        <f t="shared" si="1"/>
        <v>750</v>
      </c>
      <c r="JM22" s="125"/>
      <c r="JN22" s="125"/>
      <c r="JO22" s="125"/>
      <c r="JP22" s="125"/>
    </row>
    <row r="23" spans="1:276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>
        <v>30680</v>
      </c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30680</v>
      </c>
      <c r="JJ23" s="2">
        <v>429</v>
      </c>
      <c r="JK23" s="122">
        <v>29380</v>
      </c>
      <c r="JL23" s="125">
        <f t="shared" si="1"/>
        <v>1300</v>
      </c>
      <c r="JM23" s="125"/>
      <c r="JN23" s="125"/>
      <c r="JO23" s="125"/>
      <c r="JP23" s="125"/>
    </row>
    <row r="24" spans="1:276" ht="15.7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>
        <v>139476</v>
      </c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37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139476</v>
      </c>
      <c r="JJ24" s="2">
        <v>430</v>
      </c>
      <c r="JK24" s="122">
        <v>133566</v>
      </c>
      <c r="JL24" s="125">
        <f t="shared" si="1"/>
        <v>5910</v>
      </c>
      <c r="JM24" s="125"/>
      <c r="JN24" s="125"/>
      <c r="JO24" s="125"/>
      <c r="JP24" s="125"/>
    </row>
    <row r="25" spans="1:276" ht="15.7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>
        <v>128620</v>
      </c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37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128620</v>
      </c>
      <c r="JJ25" s="2">
        <v>431</v>
      </c>
      <c r="JK25" s="122">
        <v>123170</v>
      </c>
      <c r="JL25" s="125">
        <f t="shared" si="1"/>
        <v>5450</v>
      </c>
      <c r="JM25" s="125"/>
      <c r="JN25" s="125"/>
      <c r="JO25" s="125"/>
      <c r="JP25" s="125"/>
    </row>
    <row r="26" spans="1:276" ht="15.7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37"/>
      <c r="AX26" s="122"/>
      <c r="AY26" s="122">
        <v>15576</v>
      </c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15576</v>
      </c>
      <c r="JJ26" s="2">
        <v>432</v>
      </c>
      <c r="JK26" s="122">
        <v>14916</v>
      </c>
      <c r="JL26" s="125">
        <f t="shared" si="1"/>
        <v>660</v>
      </c>
      <c r="JM26" s="125"/>
      <c r="JN26" s="125"/>
      <c r="JO26" s="125"/>
      <c r="JP26" s="125"/>
    </row>
    <row r="27" spans="1:276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 t="s">
        <v>712</v>
      </c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>
        <v>1062128</v>
      </c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1062128</v>
      </c>
      <c r="JJ27" s="2">
        <v>433</v>
      </c>
      <c r="JK27" s="122">
        <v>1009021.6</v>
      </c>
      <c r="JL27" s="125">
        <f t="shared" si="1"/>
        <v>53106.400000000023</v>
      </c>
      <c r="JM27" s="125"/>
      <c r="JN27" s="125"/>
      <c r="JO27" s="125"/>
      <c r="JP27" s="125"/>
    </row>
    <row r="28" spans="1:276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>
        <v>324488.2</v>
      </c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324488.2</v>
      </c>
      <c r="JJ28" s="2">
        <v>434</v>
      </c>
      <c r="JK28" s="122">
        <v>310738.7</v>
      </c>
      <c r="JL28" s="125">
        <f t="shared" si="1"/>
        <v>13749.5</v>
      </c>
      <c r="JM28" s="125"/>
      <c r="JN28" s="125"/>
      <c r="JO28" s="125"/>
      <c r="JP28" s="125"/>
    </row>
    <row r="29" spans="1:276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>
        <v>201070.87</v>
      </c>
      <c r="GA29" s="122"/>
      <c r="GB29" s="122">
        <v>46079</v>
      </c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247149.87</v>
      </c>
      <c r="JJ29" s="2">
        <v>435</v>
      </c>
      <c r="JK29" s="122">
        <v>236677.42</v>
      </c>
      <c r="JL29" s="125">
        <f t="shared" si="1"/>
        <v>10472.449999999983</v>
      </c>
      <c r="JM29" s="125"/>
      <c r="JN29" s="125"/>
      <c r="JO29" s="125"/>
      <c r="JP29" s="125"/>
    </row>
    <row r="30" spans="1:276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>
        <v>2584.19</v>
      </c>
      <c r="EH30" s="122"/>
      <c r="EI30" s="122"/>
      <c r="EJ30" s="122"/>
      <c r="EK30" s="122"/>
      <c r="EL30" s="122"/>
      <c r="EM30" s="122"/>
      <c r="EN30" s="122"/>
      <c r="EO30" s="122"/>
      <c r="EP30" s="122">
        <v>78291.990000000005</v>
      </c>
      <c r="EQ30" s="122"/>
      <c r="ER30" s="122">
        <v>8702.5</v>
      </c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>
        <v>48852</v>
      </c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>
        <v>12732.17</v>
      </c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151162.85</v>
      </c>
      <c r="JJ30" s="2">
        <v>436</v>
      </c>
      <c r="JK30" s="122">
        <v>143604.71</v>
      </c>
      <c r="JL30" s="125">
        <f t="shared" si="1"/>
        <v>7558.140000000014</v>
      </c>
      <c r="JM30" s="125"/>
      <c r="JN30" s="125"/>
      <c r="JO30" s="125"/>
      <c r="JP30" s="125"/>
    </row>
    <row r="31" spans="1:276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>
        <v>82305</v>
      </c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82305</v>
      </c>
      <c r="JJ31" s="2">
        <v>437</v>
      </c>
      <c r="JK31" s="122">
        <v>78817.5</v>
      </c>
      <c r="JL31" s="125">
        <f t="shared" si="1"/>
        <v>3487.5</v>
      </c>
      <c r="JM31" s="125"/>
      <c r="JN31" s="125"/>
      <c r="JO31" s="125"/>
      <c r="JP31" s="125"/>
    </row>
    <row r="32" spans="1:276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>
        <v>97114</v>
      </c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97114</v>
      </c>
      <c r="JJ32" s="2">
        <v>438</v>
      </c>
      <c r="JK32" s="122">
        <v>92999</v>
      </c>
      <c r="JL32" s="125">
        <f t="shared" si="1"/>
        <v>4115</v>
      </c>
      <c r="JM32" s="125"/>
      <c r="JN32" s="125"/>
      <c r="JO32" s="125"/>
      <c r="JP32" s="125"/>
    </row>
    <row r="33" spans="1:276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>
        <v>8386.02</v>
      </c>
      <c r="EH33" s="122"/>
      <c r="EI33" s="122"/>
      <c r="EJ33" s="122"/>
      <c r="EK33" s="122"/>
      <c r="EL33" s="122"/>
      <c r="EM33" s="122"/>
      <c r="EN33" s="122"/>
      <c r="EO33" s="122">
        <v>8500</v>
      </c>
      <c r="EP33" s="122"/>
      <c r="EQ33" s="122"/>
      <c r="ER33" s="122">
        <v>76124.070000000007</v>
      </c>
      <c r="ES33" s="122"/>
      <c r="ET33" s="122"/>
      <c r="EU33" s="122"/>
      <c r="EV33" s="122"/>
      <c r="EW33" s="122"/>
      <c r="EX33" s="122"/>
      <c r="EY33" s="122"/>
      <c r="EZ33" s="122">
        <v>3749.92</v>
      </c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>
        <v>108305.64</v>
      </c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>
        <v>44550.05</v>
      </c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249615.7</v>
      </c>
      <c r="JJ33" s="2">
        <v>439</v>
      </c>
      <c r="JK33" s="122">
        <v>239038.76</v>
      </c>
      <c r="JL33" s="125">
        <f t="shared" si="1"/>
        <v>10576.940000000002</v>
      </c>
      <c r="JM33" s="125"/>
      <c r="JN33" s="125"/>
      <c r="JO33" s="125"/>
      <c r="JP33" s="125"/>
    </row>
    <row r="34" spans="1:276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>
        <v>88675</v>
      </c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88675</v>
      </c>
      <c r="JJ34" s="2">
        <v>440</v>
      </c>
      <c r="JK34" s="122">
        <v>84241.25</v>
      </c>
      <c r="JL34" s="125">
        <f t="shared" si="1"/>
        <v>4433.75</v>
      </c>
      <c r="JM34" s="125"/>
      <c r="JN34" s="125"/>
      <c r="JO34" s="125"/>
      <c r="JP34" s="125"/>
    </row>
    <row r="35" spans="1:276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>
        <v>160480</v>
      </c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>
        <v>14750</v>
      </c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175230</v>
      </c>
      <c r="JJ35" s="2">
        <v>441</v>
      </c>
      <c r="JK35" s="122">
        <v>167805</v>
      </c>
      <c r="JL35" s="125">
        <f t="shared" si="1"/>
        <v>7425</v>
      </c>
      <c r="JM35" s="125"/>
      <c r="JN35" s="125"/>
      <c r="JO35" s="125"/>
      <c r="JP35" s="125"/>
    </row>
    <row r="36" spans="1:27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>
        <v>258420</v>
      </c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258420</v>
      </c>
      <c r="JJ36" s="2">
        <v>442</v>
      </c>
      <c r="JK36" s="122">
        <v>247470</v>
      </c>
      <c r="JL36" s="125">
        <f t="shared" si="1"/>
        <v>10950</v>
      </c>
      <c r="JM36" s="125"/>
      <c r="JN36" s="125"/>
      <c r="JO36" s="125"/>
      <c r="JP36" s="125"/>
    </row>
    <row r="37" spans="1:276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v>0</v>
      </c>
      <c r="JJ37" s="2">
        <v>443</v>
      </c>
      <c r="JK37" s="122"/>
      <c r="JL37" s="125"/>
      <c r="JM37" s="125"/>
      <c r="JN37" s="125"/>
      <c r="JO37" s="125"/>
      <c r="JP37" s="125"/>
    </row>
    <row r="38" spans="1:276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>
        <v>97833.57</v>
      </c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>
        <v>27553.35</v>
      </c>
      <c r="FT38" s="122"/>
      <c r="FU38" s="122">
        <v>50870.39</v>
      </c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>
        <v>76151.73</v>
      </c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252409.03999999998</v>
      </c>
      <c r="JJ38" s="2">
        <v>444</v>
      </c>
      <c r="JK38" s="122">
        <v>241713.74</v>
      </c>
      <c r="JL38" s="125">
        <f t="shared" si="1"/>
        <v>10695.299999999988</v>
      </c>
      <c r="JM38" s="125"/>
      <c r="JN38" s="125"/>
      <c r="JO38" s="125"/>
      <c r="JP38" s="125"/>
    </row>
    <row r="39" spans="1:276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>
        <v>271990</v>
      </c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271990</v>
      </c>
      <c r="JJ39" s="2">
        <v>445</v>
      </c>
      <c r="JK39" s="122">
        <v>260465</v>
      </c>
      <c r="JL39" s="125">
        <f t="shared" si="1"/>
        <v>11525</v>
      </c>
      <c r="JM39" s="125"/>
      <c r="JN39" s="125"/>
      <c r="JO39" s="125"/>
      <c r="JP39" s="125"/>
    </row>
    <row r="40" spans="1:276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>
        <v>9246.01</v>
      </c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>
        <v>46091.27</v>
      </c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>
        <v>6277.9</v>
      </c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>
        <v>154881.20000000001</v>
      </c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216496.38</v>
      </c>
      <c r="JJ40" s="2">
        <v>446</v>
      </c>
      <c r="JK40" s="122">
        <v>207322.8</v>
      </c>
      <c r="JL40" s="125">
        <f t="shared" si="1"/>
        <v>9173.5800000000163</v>
      </c>
      <c r="JM40" s="125"/>
      <c r="JN40" s="125"/>
      <c r="JO40" s="125"/>
      <c r="JP40" s="125"/>
    </row>
    <row r="41" spans="1:276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>
        <v>197673.60000000001</v>
      </c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197673.60000000001</v>
      </c>
      <c r="JJ41" s="2">
        <v>447</v>
      </c>
      <c r="JK41" s="122">
        <v>189297.6</v>
      </c>
      <c r="JL41" s="125">
        <f t="shared" si="1"/>
        <v>8376</v>
      </c>
      <c r="JM41" s="125"/>
      <c r="JN41" s="125"/>
      <c r="JO41" s="125"/>
      <c r="JP41" s="125"/>
    </row>
    <row r="42" spans="1:276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>
        <v>1124000</v>
      </c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1124000</v>
      </c>
      <c r="JJ42" s="2">
        <v>448</v>
      </c>
      <c r="JK42" s="122">
        <v>1115974.6399999999</v>
      </c>
      <c r="JL42" s="125">
        <f t="shared" si="1"/>
        <v>8025.3600000001024</v>
      </c>
      <c r="JM42" s="125"/>
      <c r="JN42" s="125"/>
      <c r="JO42" s="125"/>
      <c r="JP42" s="125"/>
    </row>
    <row r="43" spans="1:276" ht="15.7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>
        <v>68558</v>
      </c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37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>
        <v>66315.600000000006</v>
      </c>
      <c r="FT43" s="122"/>
      <c r="FU43" s="122"/>
      <c r="FV43" s="122"/>
      <c r="FW43" s="122"/>
      <c r="FX43" s="122"/>
      <c r="FY43" s="122"/>
      <c r="FZ43" s="122"/>
      <c r="GA43" s="122"/>
      <c r="GB43" s="122">
        <v>3398.4</v>
      </c>
      <c r="GC43" s="122"/>
      <c r="GD43" s="122"/>
      <c r="GE43" s="122"/>
      <c r="GF43" s="122"/>
      <c r="GG43" s="122"/>
      <c r="GH43" s="122">
        <v>13216</v>
      </c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151488</v>
      </c>
      <c r="JJ43" s="2">
        <v>449</v>
      </c>
      <c r="JK43" s="122">
        <v>144783</v>
      </c>
      <c r="JL43" s="125">
        <f t="shared" si="1"/>
        <v>6705</v>
      </c>
      <c r="JM43" s="125"/>
      <c r="JN43" s="125"/>
      <c r="JO43" s="125"/>
      <c r="JP43" s="125"/>
    </row>
    <row r="44" spans="1:276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>
        <v>16000.01</v>
      </c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>
        <v>103000.01</v>
      </c>
      <c r="HE44" s="122"/>
      <c r="HF44" s="122"/>
      <c r="HG44" s="122"/>
      <c r="HH44" s="122"/>
      <c r="HI44" s="122">
        <v>21999.99</v>
      </c>
      <c r="HJ44" s="122"/>
      <c r="HK44" s="122"/>
      <c r="HL44" s="122">
        <v>49500.02</v>
      </c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190500.02999999997</v>
      </c>
      <c r="JJ44" s="2">
        <v>450</v>
      </c>
      <c r="JK44" s="122">
        <v>182427.99</v>
      </c>
      <c r="JL44" s="125">
        <f t="shared" si="1"/>
        <v>8072.039999999979</v>
      </c>
      <c r="JM44" s="125"/>
      <c r="JN44" s="125"/>
      <c r="JO44" s="125"/>
      <c r="JP44" s="125"/>
    </row>
    <row r="45" spans="1:276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>
        <v>20580</v>
      </c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20580</v>
      </c>
      <c r="JJ45" s="2">
        <v>451</v>
      </c>
      <c r="JK45" s="122">
        <v>20580</v>
      </c>
      <c r="JL45" s="125">
        <f t="shared" si="1"/>
        <v>0</v>
      </c>
      <c r="JM45" s="125"/>
      <c r="JN45" s="125"/>
      <c r="JO45" s="125"/>
      <c r="JP45" s="125"/>
    </row>
    <row r="46" spans="1:27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>
        <v>40000</v>
      </c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40000</v>
      </c>
      <c r="JJ46" s="2">
        <v>452</v>
      </c>
      <c r="JK46" s="122">
        <v>38000</v>
      </c>
      <c r="JL46" s="125">
        <f t="shared" si="1"/>
        <v>2000</v>
      </c>
      <c r="JM46" s="125"/>
      <c r="JN46" s="125"/>
      <c r="JO46" s="125"/>
      <c r="JP46" s="125"/>
    </row>
    <row r="47" spans="1:276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>
        <v>2400</v>
      </c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2400</v>
      </c>
      <c r="JJ47" s="2">
        <v>453</v>
      </c>
      <c r="JK47" s="122">
        <v>2280</v>
      </c>
      <c r="JL47" s="125">
        <f t="shared" si="1"/>
        <v>120</v>
      </c>
      <c r="JM47" s="125"/>
      <c r="JN47" s="125"/>
      <c r="JO47" s="125"/>
      <c r="JP47" s="125"/>
    </row>
    <row r="48" spans="1:276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>
        <v>363841.2</v>
      </c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363841.2</v>
      </c>
      <c r="JJ48" s="2">
        <v>454</v>
      </c>
      <c r="JK48" s="122">
        <v>308340</v>
      </c>
      <c r="JL48" s="125">
        <f t="shared" si="1"/>
        <v>55501.200000000012</v>
      </c>
      <c r="JM48" s="125"/>
      <c r="JN48" s="125"/>
      <c r="JO48" s="125"/>
      <c r="JP48" s="125"/>
    </row>
    <row r="49" spans="1:276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>
        <v>1387459.34</v>
      </c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1387459.34</v>
      </c>
      <c r="JJ49" s="2">
        <v>455</v>
      </c>
      <c r="JK49" s="122">
        <v>1387459.34</v>
      </c>
      <c r="JL49" s="125">
        <f t="shared" si="1"/>
        <v>0</v>
      </c>
      <c r="JM49" s="125"/>
      <c r="JN49" s="125"/>
      <c r="JO49" s="125"/>
      <c r="JP49" s="125"/>
    </row>
    <row r="50" spans="1:276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>
        <v>20060</v>
      </c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20060</v>
      </c>
      <c r="JJ50" s="2">
        <v>456</v>
      </c>
      <c r="JK50" s="122">
        <v>20060</v>
      </c>
      <c r="JL50" s="125">
        <f t="shared" si="1"/>
        <v>0</v>
      </c>
      <c r="JM50" s="125"/>
      <c r="JN50" s="125"/>
      <c r="JO50" s="125"/>
      <c r="JP50" s="125"/>
    </row>
    <row r="51" spans="1:276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>
        <v>10850</v>
      </c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10850</v>
      </c>
      <c r="JJ51" s="2">
        <v>457</v>
      </c>
      <c r="JK51" s="122">
        <v>10850</v>
      </c>
      <c r="JL51" s="125">
        <f t="shared" si="1"/>
        <v>0</v>
      </c>
      <c r="JM51" s="125"/>
      <c r="JN51" s="125"/>
      <c r="JO51" s="125"/>
      <c r="JP51" s="125"/>
    </row>
    <row r="52" spans="1:276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>
        <v>489700</v>
      </c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489700</v>
      </c>
      <c r="JJ52" s="2">
        <v>458</v>
      </c>
      <c r="JK52" s="122">
        <v>468950</v>
      </c>
      <c r="JL52" s="125">
        <f t="shared" si="1"/>
        <v>20750</v>
      </c>
      <c r="JM52" s="125"/>
      <c r="JN52" s="125"/>
      <c r="JO52" s="125"/>
      <c r="JP52" s="125"/>
    </row>
    <row r="53" spans="1:276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>
        <v>150379.20000000001</v>
      </c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150379.20000000001</v>
      </c>
      <c r="JJ53" s="2">
        <v>459</v>
      </c>
      <c r="JK53" s="122">
        <v>144007.20000000001</v>
      </c>
      <c r="JL53" s="125">
        <f t="shared" si="1"/>
        <v>6372</v>
      </c>
      <c r="JM53" s="125"/>
      <c r="JN53" s="125"/>
      <c r="JO53" s="125"/>
      <c r="JP53" s="125"/>
    </row>
    <row r="54" spans="1:276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>
        <v>20000</v>
      </c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20000</v>
      </c>
      <c r="JJ54" s="2">
        <v>460</v>
      </c>
      <c r="JK54" s="122">
        <v>20000</v>
      </c>
      <c r="JL54" s="125">
        <f t="shared" si="1"/>
        <v>0</v>
      </c>
      <c r="JM54" s="125"/>
      <c r="JN54" s="125"/>
      <c r="JO54" s="125"/>
      <c r="JP54" s="125"/>
    </row>
    <row r="55" spans="1:276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>
        <v>7684.16</v>
      </c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7684.16</v>
      </c>
      <c r="JJ55" s="2">
        <v>461</v>
      </c>
      <c r="JK55" s="122">
        <v>7358.56</v>
      </c>
      <c r="JL55" s="125">
        <f t="shared" si="1"/>
        <v>325.59999999999945</v>
      </c>
      <c r="JM55" s="125"/>
      <c r="JN55" s="125"/>
      <c r="JO55" s="125"/>
      <c r="JP55" s="125"/>
    </row>
    <row r="56" spans="1:27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>
        <v>16520</v>
      </c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16520</v>
      </c>
      <c r="JJ56" s="2">
        <v>462</v>
      </c>
      <c r="JK56" s="122">
        <v>15820</v>
      </c>
      <c r="JL56" s="125">
        <f t="shared" si="1"/>
        <v>700</v>
      </c>
      <c r="JM56" s="125"/>
      <c r="JN56" s="125"/>
      <c r="JO56" s="125"/>
      <c r="JP56" s="125"/>
    </row>
    <row r="57" spans="1:276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>
        <v>119298</v>
      </c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119298</v>
      </c>
      <c r="JJ57" s="2">
        <v>463</v>
      </c>
      <c r="JK57" s="122">
        <v>119298</v>
      </c>
      <c r="JL57" s="125">
        <f t="shared" si="1"/>
        <v>0</v>
      </c>
      <c r="JM57" s="125"/>
      <c r="JN57" s="125"/>
      <c r="JO57" s="125"/>
      <c r="JP57" s="125"/>
    </row>
    <row r="58" spans="1:276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>
        <v>14000</v>
      </c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/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  <c r="GJ58" s="122"/>
      <c r="GK58" s="122"/>
      <c r="GL58" s="122"/>
      <c r="GM58" s="122"/>
      <c r="GN58" s="122"/>
      <c r="GO58" s="122"/>
      <c r="GP58" s="122"/>
      <c r="GQ58" s="122"/>
      <c r="GR58" s="122"/>
      <c r="GS58" s="122"/>
      <c r="GT58" s="122"/>
      <c r="GU58" s="122"/>
      <c r="GV58" s="122"/>
      <c r="GW58" s="122"/>
      <c r="GX58" s="122"/>
      <c r="GY58" s="122"/>
      <c r="GZ58" s="122"/>
      <c r="HA58" s="122"/>
      <c r="HB58" s="122"/>
      <c r="HC58" s="122"/>
      <c r="HD58" s="122"/>
      <c r="HE58" s="122"/>
      <c r="HF58" s="122"/>
      <c r="HG58" s="122"/>
      <c r="HH58" s="122"/>
      <c r="HI58" s="122"/>
      <c r="HJ58" s="122"/>
      <c r="HK58" s="122"/>
      <c r="HL58" s="122"/>
      <c r="HM58" s="122"/>
      <c r="HN58" s="122"/>
      <c r="HO58" s="122"/>
      <c r="HP58" s="122"/>
      <c r="HQ58" s="122"/>
      <c r="HR58" s="122"/>
      <c r="HS58" s="122"/>
      <c r="HT58" s="122"/>
      <c r="HU58" s="122"/>
      <c r="HV58" s="122"/>
      <c r="HW58" s="122"/>
      <c r="HX58" s="122"/>
      <c r="HY58" s="122"/>
      <c r="HZ58" s="122"/>
      <c r="IA58" s="122"/>
      <c r="IB58" s="122"/>
      <c r="IC58" s="122"/>
      <c r="ID58" s="122"/>
      <c r="IE58" s="122"/>
      <c r="IF58" s="122"/>
      <c r="IG58" s="122"/>
      <c r="IH58" s="122"/>
      <c r="II58" s="122"/>
      <c r="IJ58" s="122"/>
      <c r="IK58" s="122"/>
      <c r="IL58" s="122"/>
      <c r="IM58" s="122"/>
      <c r="IN58" s="122"/>
      <c r="IO58" s="122"/>
      <c r="IP58" s="122"/>
      <c r="IQ58" s="122"/>
      <c r="IR58" s="122"/>
      <c r="IS58" s="122"/>
      <c r="IT58" s="122"/>
      <c r="IU58" s="122"/>
      <c r="IV58" s="122"/>
      <c r="IW58" s="122"/>
      <c r="IX58" s="122"/>
      <c r="IY58" s="122"/>
      <c r="IZ58" s="122"/>
      <c r="JA58" s="122"/>
      <c r="JB58" s="122"/>
      <c r="JC58" s="122"/>
      <c r="JD58" s="122"/>
      <c r="JE58" s="122"/>
      <c r="JF58" s="122"/>
      <c r="JG58" s="122"/>
      <c r="JH58" s="122"/>
      <c r="JI58" s="119">
        <f t="shared" si="0"/>
        <v>14000</v>
      </c>
      <c r="JJ58" s="2">
        <v>464</v>
      </c>
      <c r="JK58" s="122">
        <v>14000</v>
      </c>
      <c r="JL58" s="125">
        <f t="shared" si="1"/>
        <v>0</v>
      </c>
      <c r="JM58" s="125"/>
      <c r="JN58" s="125"/>
      <c r="JO58" s="125"/>
      <c r="JP58" s="125"/>
    </row>
    <row r="59" spans="1:276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/>
      <c r="GC59" s="122"/>
      <c r="GD59" s="122"/>
      <c r="GE59" s="122"/>
      <c r="GF59" s="122"/>
      <c r="GG59" s="122"/>
      <c r="GH59" s="122"/>
      <c r="GI59" s="122"/>
      <c r="GJ59" s="122"/>
      <c r="GK59" s="122"/>
      <c r="GL59" s="122"/>
      <c r="GM59" s="122"/>
      <c r="GN59" s="122"/>
      <c r="GO59" s="122"/>
      <c r="GP59" s="122"/>
      <c r="GQ59" s="122"/>
      <c r="GR59" s="122"/>
      <c r="GS59" s="122"/>
      <c r="GT59" s="122"/>
      <c r="GU59" s="122"/>
      <c r="GV59" s="122"/>
      <c r="GW59" s="122"/>
      <c r="GX59" s="122"/>
      <c r="GY59" s="122"/>
      <c r="GZ59" s="122"/>
      <c r="HA59" s="122"/>
      <c r="HB59" s="122"/>
      <c r="HC59" s="122"/>
      <c r="HD59" s="122"/>
      <c r="HE59" s="122"/>
      <c r="HF59" s="122"/>
      <c r="HG59" s="122"/>
      <c r="HH59" s="122"/>
      <c r="HI59" s="122"/>
      <c r="HJ59" s="122"/>
      <c r="HK59" s="122"/>
      <c r="HL59" s="122">
        <v>121929.03</v>
      </c>
      <c r="HM59" s="122"/>
      <c r="HN59" s="122"/>
      <c r="HO59" s="122"/>
      <c r="HP59" s="122"/>
      <c r="HQ59" s="122"/>
      <c r="HR59" s="122"/>
      <c r="HS59" s="122"/>
      <c r="HT59" s="122"/>
      <c r="HU59" s="122"/>
      <c r="HV59" s="122"/>
      <c r="HW59" s="122"/>
      <c r="HX59" s="122"/>
      <c r="HY59" s="122"/>
      <c r="HZ59" s="122"/>
      <c r="IA59" s="122"/>
      <c r="IB59" s="122"/>
      <c r="IC59" s="122"/>
      <c r="ID59" s="122"/>
      <c r="IE59" s="122"/>
      <c r="IF59" s="122"/>
      <c r="IG59" s="122"/>
      <c r="IH59" s="122"/>
      <c r="II59" s="122"/>
      <c r="IJ59" s="122"/>
      <c r="IK59" s="122"/>
      <c r="IL59" s="122"/>
      <c r="IM59" s="122"/>
      <c r="IN59" s="122"/>
      <c r="IO59" s="122"/>
      <c r="IP59" s="122"/>
      <c r="IQ59" s="122"/>
      <c r="IR59" s="122"/>
      <c r="IS59" s="122"/>
      <c r="IT59" s="122"/>
      <c r="IU59" s="122"/>
      <c r="IV59" s="122"/>
      <c r="IW59" s="122"/>
      <c r="IX59" s="122"/>
      <c r="IY59" s="122"/>
      <c r="IZ59" s="122"/>
      <c r="JA59" s="122"/>
      <c r="JB59" s="122"/>
      <c r="JC59" s="122"/>
      <c r="JD59" s="122"/>
      <c r="JE59" s="122"/>
      <c r="JF59" s="122"/>
      <c r="JG59" s="122"/>
      <c r="JH59" s="122"/>
      <c r="JI59" s="119">
        <f t="shared" si="0"/>
        <v>121929.03</v>
      </c>
      <c r="JJ59" s="2">
        <v>465</v>
      </c>
      <c r="JK59" s="122">
        <v>116762.55</v>
      </c>
      <c r="JL59" s="125">
        <f t="shared" si="1"/>
        <v>5166.4799999999959</v>
      </c>
      <c r="JM59" s="125"/>
      <c r="JN59" s="125"/>
      <c r="JO59" s="125"/>
      <c r="JP59" s="125"/>
    </row>
    <row r="60" spans="1:276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>
        <v>1734600</v>
      </c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 t="shared" si="0"/>
        <v>1734600</v>
      </c>
      <c r="JJ60" s="2">
        <v>466</v>
      </c>
      <c r="JK60" s="122">
        <v>1661100</v>
      </c>
      <c r="JL60" s="125">
        <f t="shared" si="1"/>
        <v>73500</v>
      </c>
      <c r="JM60" s="125"/>
      <c r="JN60" s="125"/>
      <c r="JO60" s="125"/>
      <c r="JP60" s="125"/>
    </row>
    <row r="61" spans="1:276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>
        <v>513300</v>
      </c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si="0"/>
        <v>513300</v>
      </c>
      <c r="JJ61" s="2">
        <v>467</v>
      </c>
      <c r="JK61" s="122">
        <v>491550</v>
      </c>
      <c r="JL61" s="125">
        <f t="shared" si="1"/>
        <v>21750</v>
      </c>
      <c r="JM61" s="125"/>
      <c r="JN61" s="125"/>
      <c r="JO61" s="125"/>
      <c r="JP61" s="125"/>
    </row>
    <row r="62" spans="1:276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>
        <v>8000</v>
      </c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0"/>
        <v>8000</v>
      </c>
      <c r="JJ62" s="2">
        <v>468</v>
      </c>
      <c r="JK62" s="122">
        <v>7600</v>
      </c>
      <c r="JL62" s="125">
        <f t="shared" si="1"/>
        <v>400</v>
      </c>
      <c r="JM62" s="125"/>
      <c r="JN62" s="125"/>
      <c r="JO62" s="125"/>
      <c r="JP62" s="125"/>
    </row>
    <row r="63" spans="1:276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>
        <v>48000</v>
      </c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>
        <v>28000</v>
      </c>
      <c r="FO63" s="122"/>
      <c r="FP63" s="122"/>
      <c r="FQ63" s="122"/>
      <c r="FR63" s="122"/>
      <c r="FS63" s="122"/>
      <c r="FT63" s="122">
        <v>287802</v>
      </c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>
        <v>283200</v>
      </c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0"/>
        <v>647002</v>
      </c>
      <c r="JJ63" s="2">
        <v>469</v>
      </c>
      <c r="JK63" s="122">
        <v>619007</v>
      </c>
      <c r="JL63" s="125">
        <f t="shared" si="1"/>
        <v>27995</v>
      </c>
      <c r="JM63" s="125"/>
      <c r="JN63" s="125"/>
      <c r="JO63" s="125"/>
      <c r="JP63" s="125"/>
    </row>
    <row r="64" spans="1:276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>
        <v>80000</v>
      </c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0"/>
        <v>80000</v>
      </c>
      <c r="JJ64" s="2">
        <v>470</v>
      </c>
      <c r="JK64" s="122">
        <v>76000</v>
      </c>
      <c r="JL64" s="125">
        <f t="shared" si="1"/>
        <v>4000</v>
      </c>
      <c r="JM64" s="125"/>
      <c r="JN64" s="125"/>
      <c r="JO64" s="125"/>
      <c r="JP64" s="125"/>
    </row>
    <row r="65" spans="1:276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>
        <v>720000</v>
      </c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0"/>
        <v>720000</v>
      </c>
      <c r="JJ65" s="2">
        <v>471</v>
      </c>
      <c r="JK65" s="122">
        <v>684000</v>
      </c>
      <c r="JL65" s="125">
        <f t="shared" si="1"/>
        <v>36000</v>
      </c>
      <c r="JM65" s="125"/>
      <c r="JN65" s="125"/>
      <c r="JO65" s="125"/>
      <c r="JP65" s="125"/>
    </row>
    <row r="66" spans="1:27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>
        <v>43500</v>
      </c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0"/>
        <v>43500</v>
      </c>
      <c r="JJ66" s="2">
        <v>472</v>
      </c>
      <c r="JK66" s="122">
        <v>43500</v>
      </c>
      <c r="JL66" s="125">
        <f t="shared" si="1"/>
        <v>0</v>
      </c>
      <c r="JM66" s="125"/>
      <c r="JN66" s="125"/>
      <c r="JO66" s="125"/>
      <c r="JP66" s="125"/>
    </row>
    <row r="67" spans="1:276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>
        <v>15000</v>
      </c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si="0"/>
        <v>15000</v>
      </c>
      <c r="JJ67" s="2">
        <v>473</v>
      </c>
      <c r="JK67" s="122">
        <v>15000</v>
      </c>
      <c r="JL67" s="125">
        <f t="shared" si="1"/>
        <v>0</v>
      </c>
      <c r="JM67" s="125"/>
      <c r="JN67" s="125"/>
      <c r="JO67" s="125"/>
      <c r="JP67" s="125"/>
    </row>
    <row r="68" spans="1:276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>
        <v>65000</v>
      </c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/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si="0"/>
        <v>65000</v>
      </c>
      <c r="JJ68" s="2">
        <v>474</v>
      </c>
      <c r="JK68" s="122">
        <v>61750</v>
      </c>
      <c r="JL68" s="125">
        <f t="shared" si="1"/>
        <v>3250</v>
      </c>
      <c r="JM68" s="125"/>
      <c r="JN68" s="125"/>
      <c r="JO68" s="125"/>
      <c r="JP68" s="125"/>
    </row>
    <row r="69" spans="1:276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>
        <v>47436</v>
      </c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ref="JI69:JI101" si="2">SUM(A69:JH69)</f>
        <v>47436</v>
      </c>
      <c r="JJ69" s="2">
        <v>475</v>
      </c>
      <c r="JK69" s="122">
        <v>45426</v>
      </c>
      <c r="JL69" s="125">
        <f t="shared" si="1"/>
        <v>2010</v>
      </c>
      <c r="JM69" s="125"/>
      <c r="JN69" s="125"/>
      <c r="JO69" s="125"/>
      <c r="JP69" s="125"/>
    </row>
    <row r="70" spans="1:276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>
        <v>16605</v>
      </c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2"/>
        <v>16605</v>
      </c>
      <c r="JJ70" s="2">
        <v>476</v>
      </c>
      <c r="JK70" s="122">
        <v>16605</v>
      </c>
      <c r="JL70" s="125">
        <f t="shared" si="1"/>
        <v>0</v>
      </c>
      <c r="JM70" s="125"/>
      <c r="JN70" s="125"/>
      <c r="JO70" s="125"/>
      <c r="JP70" s="125"/>
    </row>
    <row r="71" spans="1:276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359">
        <v>1888000</v>
      </c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 t="shared" si="2"/>
        <v>1888000</v>
      </c>
      <c r="JJ71" s="2">
        <v>477</v>
      </c>
      <c r="JK71" s="122">
        <v>1808000</v>
      </c>
      <c r="JL71" s="125">
        <f t="shared" si="1"/>
        <v>80000</v>
      </c>
      <c r="JM71" s="125"/>
      <c r="JN71" s="125"/>
      <c r="JO71" s="125"/>
      <c r="JP71" s="125"/>
    </row>
    <row r="72" spans="1:276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>
        <v>32000</v>
      </c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/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>
        <f t="shared" si="2"/>
        <v>32000</v>
      </c>
      <c r="JJ72" s="2">
        <v>478</v>
      </c>
      <c r="JK72" s="122">
        <v>32000</v>
      </c>
      <c r="JL72" s="125">
        <f t="shared" si="1"/>
        <v>0</v>
      </c>
      <c r="JM72" s="125"/>
      <c r="JN72" s="125"/>
      <c r="JO72" s="125"/>
      <c r="JP72" s="125"/>
    </row>
    <row r="73" spans="1:276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>
        <v>9600</v>
      </c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>
        <f t="shared" si="2"/>
        <v>9600</v>
      </c>
      <c r="JJ73" s="2">
        <v>479</v>
      </c>
      <c r="JK73" s="122">
        <v>9120</v>
      </c>
      <c r="JL73" s="125">
        <f t="shared" si="1"/>
        <v>480</v>
      </c>
      <c r="JM73" s="125"/>
      <c r="JN73" s="125"/>
      <c r="JO73" s="125"/>
      <c r="JP73" s="125"/>
    </row>
    <row r="74" spans="1:276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>
        <v>258561.6</v>
      </c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  <c r="GJ74" s="122"/>
      <c r="GK74" s="122"/>
      <c r="GL74" s="122"/>
      <c r="GM74" s="122"/>
      <c r="GN74" s="122"/>
      <c r="GO74" s="122"/>
      <c r="GP74" s="122"/>
      <c r="GQ74" s="122"/>
      <c r="GR74" s="122"/>
      <c r="GS74" s="122"/>
      <c r="GT74" s="122"/>
      <c r="GU74" s="122"/>
      <c r="GV74" s="122"/>
      <c r="GW74" s="122"/>
      <c r="GX74" s="122"/>
      <c r="GY74" s="122"/>
      <c r="GZ74" s="122"/>
      <c r="HA74" s="122"/>
      <c r="HB74" s="122"/>
      <c r="HC74" s="122"/>
      <c r="HD74" s="122"/>
      <c r="HE74" s="122"/>
      <c r="HF74" s="122"/>
      <c r="HG74" s="122"/>
      <c r="HH74" s="122"/>
      <c r="HI74" s="122"/>
      <c r="HJ74" s="122"/>
      <c r="HK74" s="122"/>
      <c r="HL74" s="122"/>
      <c r="HM74" s="122"/>
      <c r="HN74" s="122"/>
      <c r="HO74" s="122"/>
      <c r="HP74" s="122"/>
      <c r="HQ74" s="122"/>
      <c r="HR74" s="122"/>
      <c r="HS74" s="122"/>
      <c r="HT74" s="122"/>
      <c r="HU74" s="122"/>
      <c r="HV74" s="122"/>
      <c r="HW74" s="122"/>
      <c r="HX74" s="122"/>
      <c r="HY74" s="122"/>
      <c r="HZ74" s="122"/>
      <c r="IA74" s="122"/>
      <c r="IB74" s="122"/>
      <c r="IC74" s="122"/>
      <c r="ID74" s="122"/>
      <c r="IE74" s="122"/>
      <c r="IF74" s="122"/>
      <c r="IG74" s="122"/>
      <c r="IH74" s="122"/>
      <c r="II74" s="122"/>
      <c r="IJ74" s="122"/>
      <c r="IK74" s="122"/>
      <c r="IL74" s="122"/>
      <c r="IM74" s="122"/>
      <c r="IN74" s="122"/>
      <c r="IO74" s="122"/>
      <c r="IP74" s="122"/>
      <c r="IQ74" s="122"/>
      <c r="IR74" s="122"/>
      <c r="IS74" s="122"/>
      <c r="IT74" s="122"/>
      <c r="IU74" s="122"/>
      <c r="IV74" s="122"/>
      <c r="IW74" s="122"/>
      <c r="IX74" s="122"/>
      <c r="IY74" s="122"/>
      <c r="IZ74" s="122"/>
      <c r="JA74" s="122"/>
      <c r="JB74" s="122"/>
      <c r="JC74" s="122"/>
      <c r="JD74" s="122"/>
      <c r="JE74" s="122"/>
      <c r="JF74" s="122"/>
      <c r="JG74" s="122"/>
      <c r="JH74" s="122"/>
      <c r="JI74" s="119">
        <f t="shared" si="2"/>
        <v>258561.6</v>
      </c>
      <c r="JJ74" s="2">
        <v>480</v>
      </c>
      <c r="JK74" s="122">
        <v>258561.6</v>
      </c>
      <c r="JL74" s="125">
        <f t="shared" si="1"/>
        <v>0</v>
      </c>
      <c r="JM74" s="125"/>
      <c r="JN74" s="125"/>
      <c r="JO74" s="125"/>
      <c r="JP74" s="125"/>
    </row>
    <row r="75" spans="1:276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>
        <v>241200</v>
      </c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  <c r="GJ75" s="122"/>
      <c r="GK75" s="122"/>
      <c r="GL75" s="122"/>
      <c r="GM75" s="122"/>
      <c r="GN75" s="122"/>
      <c r="GO75" s="122"/>
      <c r="GP75" s="122"/>
      <c r="GQ75" s="122"/>
      <c r="GR75" s="122"/>
      <c r="GS75" s="122"/>
      <c r="GT75" s="122"/>
      <c r="GU75" s="122"/>
      <c r="GV75" s="122"/>
      <c r="GW75" s="122"/>
      <c r="GX75" s="122"/>
      <c r="GY75" s="122"/>
      <c r="GZ75" s="122"/>
      <c r="HA75" s="122"/>
      <c r="HB75" s="122"/>
      <c r="HC75" s="122"/>
      <c r="HD75" s="122"/>
      <c r="HE75" s="122"/>
      <c r="HF75" s="122"/>
      <c r="HG75" s="122"/>
      <c r="HH75" s="122"/>
      <c r="HI75" s="122"/>
      <c r="HJ75" s="122"/>
      <c r="HK75" s="122"/>
      <c r="HL75" s="122"/>
      <c r="HM75" s="122"/>
      <c r="HN75" s="122"/>
      <c r="HO75" s="122"/>
      <c r="HP75" s="122"/>
      <c r="HQ75" s="122"/>
      <c r="HR75" s="122"/>
      <c r="HS75" s="122"/>
      <c r="HT75" s="122"/>
      <c r="HU75" s="122"/>
      <c r="HV75" s="122"/>
      <c r="HW75" s="122"/>
      <c r="HX75" s="122"/>
      <c r="HY75" s="122"/>
      <c r="HZ75" s="122"/>
      <c r="IA75" s="122"/>
      <c r="IB75" s="122"/>
      <c r="IC75" s="122"/>
      <c r="ID75" s="122"/>
      <c r="IE75" s="122"/>
      <c r="IF75" s="122"/>
      <c r="IG75" s="122"/>
      <c r="IH75" s="122"/>
      <c r="II75" s="122"/>
      <c r="IJ75" s="122"/>
      <c r="IK75" s="122"/>
      <c r="IL75" s="122"/>
      <c r="IM75" s="122"/>
      <c r="IN75" s="122"/>
      <c r="IO75" s="122"/>
      <c r="IP75" s="122"/>
      <c r="IQ75" s="122"/>
      <c r="IR75" s="122"/>
      <c r="IS75" s="122"/>
      <c r="IT75" s="122"/>
      <c r="IU75" s="122"/>
      <c r="IV75" s="122"/>
      <c r="IW75" s="122"/>
      <c r="IX75" s="122"/>
      <c r="IY75" s="122"/>
      <c r="IZ75" s="122"/>
      <c r="JA75" s="122"/>
      <c r="JB75" s="122"/>
      <c r="JC75" s="122"/>
      <c r="JD75" s="122"/>
      <c r="JE75" s="122"/>
      <c r="JF75" s="122"/>
      <c r="JG75" s="122"/>
      <c r="JH75" s="122"/>
      <c r="JI75" s="119">
        <f t="shared" si="2"/>
        <v>241200</v>
      </c>
      <c r="JJ75" s="2">
        <v>481</v>
      </c>
      <c r="JK75" s="122">
        <v>241200</v>
      </c>
      <c r="JL75" s="125">
        <f t="shared" si="1"/>
        <v>0</v>
      </c>
      <c r="JM75" s="125"/>
      <c r="JN75" s="125"/>
      <c r="JO75" s="125"/>
      <c r="JP75" s="125"/>
    </row>
    <row r="76" spans="1:2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/>
      <c r="FK76" s="122"/>
      <c r="FL76" s="122"/>
      <c r="FM76" s="122"/>
      <c r="FN76" s="122"/>
      <c r="FO76" s="122"/>
      <c r="FP76" s="122"/>
      <c r="FQ76" s="122"/>
      <c r="FR76" s="122"/>
      <c r="FS76" s="122"/>
      <c r="FT76" s="122">
        <v>36400</v>
      </c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  <c r="GJ76" s="122"/>
      <c r="GK76" s="122"/>
      <c r="GL76" s="122"/>
      <c r="GM76" s="122"/>
      <c r="GN76" s="122"/>
      <c r="GO76" s="122"/>
      <c r="GP76" s="122"/>
      <c r="GQ76" s="122"/>
      <c r="GR76" s="122"/>
      <c r="GS76" s="122"/>
      <c r="GT76" s="122"/>
      <c r="GU76" s="122"/>
      <c r="GV76" s="122"/>
      <c r="GW76" s="122"/>
      <c r="GX76" s="122"/>
      <c r="GY76" s="122"/>
      <c r="GZ76" s="122"/>
      <c r="HA76" s="122"/>
      <c r="HB76" s="122"/>
      <c r="HC76" s="122"/>
      <c r="HD76" s="122"/>
      <c r="HE76" s="122"/>
      <c r="HF76" s="122"/>
      <c r="HG76" s="122"/>
      <c r="HH76" s="122"/>
      <c r="HI76" s="122"/>
      <c r="HJ76" s="122"/>
      <c r="HK76" s="122"/>
      <c r="HL76" s="122"/>
      <c r="HM76" s="122"/>
      <c r="HN76" s="122"/>
      <c r="HO76" s="122"/>
      <c r="HP76" s="122"/>
      <c r="HQ76" s="122"/>
      <c r="HR76" s="122"/>
      <c r="HS76" s="122"/>
      <c r="HT76" s="122"/>
      <c r="HU76" s="122"/>
      <c r="HV76" s="122"/>
      <c r="HW76" s="122"/>
      <c r="HX76" s="122"/>
      <c r="HY76" s="122"/>
      <c r="HZ76" s="122"/>
      <c r="IA76" s="122"/>
      <c r="IB76" s="122"/>
      <c r="IC76" s="122"/>
      <c r="ID76" s="122"/>
      <c r="IE76" s="122"/>
      <c r="IF76" s="122"/>
      <c r="IG76" s="122"/>
      <c r="IH76" s="122"/>
      <c r="II76" s="122"/>
      <c r="IJ76" s="122"/>
      <c r="IK76" s="122"/>
      <c r="IL76" s="122"/>
      <c r="IM76" s="122"/>
      <c r="IN76" s="122"/>
      <c r="IO76" s="122"/>
      <c r="IP76" s="122"/>
      <c r="IQ76" s="122"/>
      <c r="IR76" s="122"/>
      <c r="IS76" s="122"/>
      <c r="IT76" s="122"/>
      <c r="IU76" s="122"/>
      <c r="IV76" s="122"/>
      <c r="IW76" s="122"/>
      <c r="IX76" s="122"/>
      <c r="IY76" s="122"/>
      <c r="IZ76" s="122"/>
      <c r="JA76" s="122"/>
      <c r="JB76" s="122"/>
      <c r="JC76" s="122"/>
      <c r="JD76" s="122"/>
      <c r="JE76" s="122"/>
      <c r="JF76" s="122"/>
      <c r="JG76" s="122"/>
      <c r="JH76" s="122"/>
      <c r="JI76" s="119">
        <f t="shared" si="2"/>
        <v>36400</v>
      </c>
      <c r="JJ76" s="2">
        <v>482</v>
      </c>
      <c r="JK76" s="122">
        <v>34580</v>
      </c>
      <c r="JL76" s="125">
        <f t="shared" si="1"/>
        <v>1820</v>
      </c>
      <c r="JM76" s="125"/>
      <c r="JN76" s="125"/>
      <c r="JO76" s="125"/>
      <c r="JP76" s="125"/>
    </row>
    <row r="77" spans="1:276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/>
      <c r="FK77" s="122"/>
      <c r="FL77" s="122"/>
      <c r="FM77" s="122"/>
      <c r="FN77" s="122"/>
      <c r="FO77" s="122"/>
      <c r="FP77" s="122"/>
      <c r="FQ77" s="122"/>
      <c r="FR77" s="122"/>
      <c r="FS77" s="122"/>
      <c r="FT77" s="122">
        <v>92470.7</v>
      </c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/>
      <c r="GI77" s="122"/>
      <c r="GJ77" s="122"/>
      <c r="GK77" s="122"/>
      <c r="GL77" s="122"/>
      <c r="GM77" s="122"/>
      <c r="GN77" s="122"/>
      <c r="GO77" s="122"/>
      <c r="GP77" s="122"/>
      <c r="GQ77" s="122"/>
      <c r="GR77" s="122"/>
      <c r="GS77" s="122"/>
      <c r="GT77" s="122"/>
      <c r="GU77" s="122"/>
      <c r="GV77" s="122"/>
      <c r="GW77" s="122"/>
      <c r="GX77" s="122"/>
      <c r="GY77" s="122"/>
      <c r="GZ77" s="122"/>
      <c r="HA77" s="122"/>
      <c r="HB77" s="122"/>
      <c r="HC77" s="122"/>
      <c r="HD77" s="122"/>
      <c r="HE77" s="122"/>
      <c r="HF77" s="122"/>
      <c r="HG77" s="122"/>
      <c r="HH77" s="122"/>
      <c r="HI77" s="122"/>
      <c r="HJ77" s="122"/>
      <c r="HK77" s="122"/>
      <c r="HL77" s="122"/>
      <c r="HM77" s="122"/>
      <c r="HN77" s="122"/>
      <c r="HO77" s="122"/>
      <c r="HP77" s="122"/>
      <c r="HQ77" s="122"/>
      <c r="HR77" s="122"/>
      <c r="HS77" s="122"/>
      <c r="HT77" s="122"/>
      <c r="HU77" s="122"/>
      <c r="HV77" s="122"/>
      <c r="HW77" s="122"/>
      <c r="HX77" s="122"/>
      <c r="HY77" s="122"/>
      <c r="HZ77" s="122"/>
      <c r="IA77" s="122"/>
      <c r="IB77" s="122"/>
      <c r="IC77" s="122"/>
      <c r="ID77" s="122"/>
      <c r="IE77" s="122"/>
      <c r="IF77" s="122"/>
      <c r="IG77" s="122"/>
      <c r="IH77" s="122"/>
      <c r="II77" s="122"/>
      <c r="IJ77" s="122"/>
      <c r="IK77" s="122"/>
      <c r="IL77" s="122"/>
      <c r="IM77" s="122"/>
      <c r="IN77" s="122"/>
      <c r="IO77" s="122"/>
      <c r="IP77" s="122"/>
      <c r="IQ77" s="122"/>
      <c r="IR77" s="122"/>
      <c r="IS77" s="122"/>
      <c r="IT77" s="122"/>
      <c r="IU77" s="122"/>
      <c r="IV77" s="122"/>
      <c r="IW77" s="122"/>
      <c r="IX77" s="122"/>
      <c r="IY77" s="122"/>
      <c r="IZ77" s="122"/>
      <c r="JA77" s="122"/>
      <c r="JB77" s="122"/>
      <c r="JC77" s="122"/>
      <c r="JD77" s="122"/>
      <c r="JE77" s="122"/>
      <c r="JF77" s="122"/>
      <c r="JG77" s="122"/>
      <c r="JH77" s="122"/>
      <c r="JI77" s="119">
        <f t="shared" si="2"/>
        <v>92470.7</v>
      </c>
      <c r="JJ77" s="2">
        <v>483</v>
      </c>
      <c r="JK77" s="122">
        <v>88552.5</v>
      </c>
      <c r="JL77" s="125">
        <f t="shared" si="1"/>
        <v>3918.1999999999971</v>
      </c>
      <c r="JM77" s="125"/>
      <c r="JN77" s="125"/>
      <c r="JO77" s="125"/>
      <c r="JP77" s="125"/>
    </row>
    <row r="78" spans="1:276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  <c r="BU78" s="122"/>
      <c r="BV78" s="122"/>
      <c r="BW78" s="122"/>
      <c r="BX78" s="122"/>
      <c r="BY78" s="122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>
        <v>165200</v>
      </c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/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  <c r="GJ78" s="122"/>
      <c r="GK78" s="122"/>
      <c r="GL78" s="122"/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/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/>
      <c r="JG78" s="122"/>
      <c r="JH78" s="122"/>
      <c r="JI78" s="119">
        <f t="shared" si="2"/>
        <v>165200</v>
      </c>
      <c r="JJ78" s="2">
        <v>484</v>
      </c>
      <c r="JK78" s="122">
        <v>158200</v>
      </c>
      <c r="JL78" s="125">
        <f t="shared" si="1"/>
        <v>7000</v>
      </c>
      <c r="JM78" s="125"/>
      <c r="JN78" s="125"/>
      <c r="JO78" s="125"/>
      <c r="JP78" s="125"/>
    </row>
    <row r="79" spans="1:276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  <c r="BS79" s="122"/>
      <c r="BT79" s="122"/>
      <c r="BU79" s="122"/>
      <c r="BV79" s="122"/>
      <c r="BW79" s="122"/>
      <c r="BX79" s="122"/>
      <c r="BY79" s="122"/>
      <c r="BZ79" s="122"/>
      <c r="CA79" s="122"/>
      <c r="CB79" s="122"/>
      <c r="CC79" s="122"/>
      <c r="CD79" s="122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/>
      <c r="EZ79" s="122"/>
      <c r="FA79" s="122"/>
      <c r="FB79" s="122"/>
      <c r="FC79" s="122"/>
      <c r="FD79" s="122"/>
      <c r="FE79" s="122"/>
      <c r="FF79" s="122"/>
      <c r="FG79" s="122"/>
      <c r="FH79" s="122"/>
      <c r="FI79" s="122"/>
      <c r="FJ79" s="122"/>
      <c r="FK79" s="122"/>
      <c r="FL79" s="122"/>
      <c r="FM79" s="122"/>
      <c r="FN79" s="122"/>
      <c r="FO79" s="122"/>
      <c r="FP79" s="122"/>
      <c r="FQ79" s="122"/>
      <c r="FR79" s="122"/>
      <c r="FS79" s="122"/>
      <c r="FT79" s="122">
        <v>600000</v>
      </c>
      <c r="FU79" s="122"/>
      <c r="FV79" s="122"/>
      <c r="FW79" s="122"/>
      <c r="FX79" s="122"/>
      <c r="FY79" s="122"/>
      <c r="FZ79" s="122"/>
      <c r="GA79" s="122"/>
      <c r="GB79" s="122"/>
      <c r="GC79" s="122"/>
      <c r="GD79" s="122"/>
      <c r="GE79" s="122"/>
      <c r="GF79" s="122"/>
      <c r="GG79" s="122"/>
      <c r="GH79" s="122"/>
      <c r="GI79" s="122"/>
      <c r="GJ79" s="122"/>
      <c r="GK79" s="122"/>
      <c r="GL79" s="122"/>
      <c r="GM79" s="122"/>
      <c r="GN79" s="122"/>
      <c r="GO79" s="122"/>
      <c r="GP79" s="122"/>
      <c r="GQ79" s="122"/>
      <c r="GR79" s="122"/>
      <c r="GS79" s="122"/>
      <c r="GT79" s="122"/>
      <c r="GU79" s="122"/>
      <c r="GV79" s="122"/>
      <c r="GW79" s="122"/>
      <c r="GX79" s="122"/>
      <c r="GY79" s="122"/>
      <c r="GZ79" s="122"/>
      <c r="HA79" s="122"/>
      <c r="HB79" s="122"/>
      <c r="HC79" s="122"/>
      <c r="HD79" s="122"/>
      <c r="HE79" s="122"/>
      <c r="HF79" s="122"/>
      <c r="HG79" s="122"/>
      <c r="HH79" s="122"/>
      <c r="HI79" s="122"/>
      <c r="HJ79" s="122"/>
      <c r="HK79" s="122"/>
      <c r="HL79" s="122"/>
      <c r="HM79" s="122"/>
      <c r="HN79" s="122"/>
      <c r="HO79" s="122"/>
      <c r="HP79" s="122"/>
      <c r="HQ79" s="122"/>
      <c r="HR79" s="122"/>
      <c r="HS79" s="122"/>
      <c r="HT79" s="122"/>
      <c r="HU79" s="122"/>
      <c r="HV79" s="122"/>
      <c r="HW79" s="122"/>
      <c r="HX79" s="122"/>
      <c r="HY79" s="122"/>
      <c r="HZ79" s="122"/>
      <c r="IA79" s="122"/>
      <c r="IB79" s="122"/>
      <c r="IC79" s="122"/>
      <c r="ID79" s="122"/>
      <c r="IE79" s="122"/>
      <c r="IF79" s="122"/>
      <c r="IG79" s="122"/>
      <c r="IH79" s="122"/>
      <c r="II79" s="122"/>
      <c r="IJ79" s="122"/>
      <c r="IK79" s="122"/>
      <c r="IL79" s="122"/>
      <c r="IM79" s="122"/>
      <c r="IN79" s="122"/>
      <c r="IO79" s="122"/>
      <c r="IP79" s="122"/>
      <c r="IQ79" s="122"/>
      <c r="IR79" s="122"/>
      <c r="IS79" s="122"/>
      <c r="IT79" s="122"/>
      <c r="IU79" s="122"/>
      <c r="IV79" s="122"/>
      <c r="IW79" s="122"/>
      <c r="IX79" s="122"/>
      <c r="IY79" s="122"/>
      <c r="IZ79" s="122"/>
      <c r="JA79" s="122"/>
      <c r="JB79" s="122"/>
      <c r="JC79" s="122"/>
      <c r="JD79" s="122"/>
      <c r="JE79" s="122"/>
      <c r="JF79" s="122"/>
      <c r="JG79" s="122"/>
      <c r="JH79" s="122"/>
      <c r="JI79" s="119">
        <f t="shared" si="2"/>
        <v>600000</v>
      </c>
      <c r="JJ79" s="2">
        <v>485</v>
      </c>
      <c r="JK79" s="122">
        <v>570000</v>
      </c>
      <c r="JL79" s="125">
        <f t="shared" si="1"/>
        <v>30000</v>
      </c>
      <c r="JM79" s="125"/>
      <c r="JN79" s="125"/>
      <c r="JO79" s="125"/>
      <c r="JP79" s="125"/>
    </row>
    <row r="80" spans="1:276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122"/>
      <c r="BS80" s="122"/>
      <c r="BT80" s="122"/>
      <c r="BU80" s="122"/>
      <c r="BV80" s="122"/>
      <c r="BW80" s="122"/>
      <c r="BX80" s="122"/>
      <c r="BY80" s="122"/>
      <c r="BZ80" s="122"/>
      <c r="CA80" s="122"/>
      <c r="CB80" s="122"/>
      <c r="CC80" s="122"/>
      <c r="CD80" s="122"/>
      <c r="CE80" s="122"/>
      <c r="CF80" s="122"/>
      <c r="CG80" s="122"/>
      <c r="CH80" s="122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  <c r="CZ80" s="122"/>
      <c r="DA80" s="122"/>
      <c r="DB80" s="122"/>
      <c r="DC80" s="122"/>
      <c r="DD80" s="122"/>
      <c r="DE80" s="122"/>
      <c r="DF80" s="122"/>
      <c r="DG80" s="122"/>
      <c r="DH80" s="122"/>
      <c r="DI80" s="122"/>
      <c r="DJ80" s="122"/>
      <c r="DK80" s="122"/>
      <c r="DL80" s="122"/>
      <c r="DM80" s="122"/>
      <c r="DN80" s="122"/>
      <c r="DO80" s="122"/>
      <c r="DP80" s="122"/>
      <c r="DQ80" s="122"/>
      <c r="DR80" s="122"/>
      <c r="DS80" s="122"/>
      <c r="DT80" s="122"/>
      <c r="DU80" s="122"/>
      <c r="DV80" s="122"/>
      <c r="DW80" s="122"/>
      <c r="DX80" s="122"/>
      <c r="DY80" s="122"/>
      <c r="DZ80" s="122"/>
      <c r="EA80" s="122">
        <v>170021.76000000001</v>
      </c>
      <c r="EB80" s="122"/>
      <c r="EC80" s="122"/>
      <c r="ED80" s="122"/>
      <c r="EE80" s="122"/>
      <c r="EF80" s="122"/>
      <c r="EG80" s="122"/>
      <c r="EH80" s="122"/>
      <c r="EI80" s="122"/>
      <c r="EJ80" s="122"/>
      <c r="EK80" s="122"/>
      <c r="EL80" s="122"/>
      <c r="EM80" s="122"/>
      <c r="EN80" s="122"/>
      <c r="EO80" s="122"/>
      <c r="EP80" s="122"/>
      <c r="EQ80" s="122"/>
      <c r="ER80" s="122"/>
      <c r="ES80" s="122"/>
      <c r="ET80" s="122"/>
      <c r="EU80" s="122"/>
      <c r="EV80" s="122"/>
      <c r="EW80" s="122"/>
      <c r="EX80" s="122"/>
      <c r="EY80" s="122"/>
      <c r="EZ80" s="122"/>
      <c r="FA80" s="122"/>
      <c r="FB80" s="122"/>
      <c r="FC80" s="122"/>
      <c r="FD80" s="122"/>
      <c r="FE80" s="122"/>
      <c r="FF80" s="122"/>
      <c r="FG80" s="122"/>
      <c r="FH80" s="122"/>
      <c r="FI80" s="122"/>
      <c r="FJ80" s="122"/>
      <c r="FK80" s="122"/>
      <c r="FL80" s="122"/>
      <c r="FM80" s="122"/>
      <c r="FN80" s="122"/>
      <c r="FO80" s="122"/>
      <c r="FP80" s="122"/>
      <c r="FQ80" s="122"/>
      <c r="FR80" s="122"/>
      <c r="FS80" s="122"/>
      <c r="FT80" s="122">
        <v>2654.24</v>
      </c>
      <c r="FU80" s="122"/>
      <c r="FV80" s="122"/>
      <c r="FW80" s="122"/>
      <c r="FX80" s="122"/>
      <c r="FY80" s="122"/>
      <c r="FZ80" s="122"/>
      <c r="GA80" s="122"/>
      <c r="GB80" s="122"/>
      <c r="GC80" s="122"/>
      <c r="GD80" s="122"/>
      <c r="GE80" s="122"/>
      <c r="GF80" s="122"/>
      <c r="GG80" s="122"/>
      <c r="GH80" s="122"/>
      <c r="GI80" s="122"/>
      <c r="GJ80" s="122"/>
      <c r="GK80" s="122"/>
      <c r="GL80" s="122"/>
      <c r="GM80" s="122"/>
      <c r="GN80" s="122"/>
      <c r="GO80" s="122"/>
      <c r="GP80" s="122"/>
      <c r="GQ80" s="122"/>
      <c r="GR80" s="122"/>
      <c r="GS80" s="122"/>
      <c r="GT80" s="122"/>
      <c r="GU80" s="122"/>
      <c r="GV80" s="122"/>
      <c r="GW80" s="122"/>
      <c r="GX80" s="122"/>
      <c r="GY80" s="122"/>
      <c r="GZ80" s="122"/>
      <c r="HA80" s="122"/>
      <c r="HB80" s="122"/>
      <c r="HC80" s="122"/>
      <c r="HD80" s="122"/>
      <c r="HE80" s="122"/>
      <c r="HF80" s="122"/>
      <c r="HG80" s="122"/>
      <c r="HH80" s="122"/>
      <c r="HI80" s="122"/>
      <c r="HJ80" s="122"/>
      <c r="HK80" s="122"/>
      <c r="HL80" s="122"/>
      <c r="HM80" s="122"/>
      <c r="HN80" s="122"/>
      <c r="HO80" s="122"/>
      <c r="HP80" s="122"/>
      <c r="HQ80" s="122"/>
      <c r="HR80" s="122"/>
      <c r="HS80" s="122"/>
      <c r="HT80" s="122"/>
      <c r="HU80" s="122"/>
      <c r="HV80" s="122"/>
      <c r="HW80" s="122"/>
      <c r="HX80" s="122"/>
      <c r="HY80" s="122"/>
      <c r="HZ80" s="122"/>
      <c r="IA80" s="122"/>
      <c r="IB80" s="122"/>
      <c r="IC80" s="122"/>
      <c r="ID80" s="122"/>
      <c r="IE80" s="122"/>
      <c r="IF80" s="122"/>
      <c r="IG80" s="122"/>
      <c r="IH80" s="122"/>
      <c r="II80" s="122"/>
      <c r="IJ80" s="122"/>
      <c r="IK80" s="122"/>
      <c r="IL80" s="122"/>
      <c r="IM80" s="122"/>
      <c r="IN80" s="122"/>
      <c r="IO80" s="122"/>
      <c r="IP80" s="122"/>
      <c r="IQ80" s="122"/>
      <c r="IR80" s="122"/>
      <c r="IS80" s="122"/>
      <c r="IT80" s="122"/>
      <c r="IU80" s="122"/>
      <c r="IV80" s="122"/>
      <c r="IW80" s="122"/>
      <c r="IX80" s="122"/>
      <c r="IY80" s="122"/>
      <c r="IZ80" s="122"/>
      <c r="JA80" s="122"/>
      <c r="JB80" s="122"/>
      <c r="JC80" s="122"/>
      <c r="JD80" s="122"/>
      <c r="JE80" s="122"/>
      <c r="JF80" s="122"/>
      <c r="JG80" s="122"/>
      <c r="JH80" s="122"/>
      <c r="JI80" s="119">
        <f t="shared" si="2"/>
        <v>172676</v>
      </c>
      <c r="JJ80" s="2">
        <v>486</v>
      </c>
      <c r="JK80" s="122">
        <v>150771.46</v>
      </c>
      <c r="JL80" s="125">
        <f t="shared" si="1"/>
        <v>21904.540000000008</v>
      </c>
      <c r="JM80" s="125"/>
      <c r="JN80" s="125"/>
      <c r="JO80" s="125"/>
      <c r="JP80" s="125"/>
    </row>
    <row r="81" spans="1:276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122"/>
      <c r="BS81" s="122"/>
      <c r="BT81" s="122"/>
      <c r="BU81" s="122"/>
      <c r="BV81" s="122"/>
      <c r="BW81" s="122"/>
      <c r="BX81" s="122"/>
      <c r="BY81" s="122"/>
      <c r="BZ81" s="122"/>
      <c r="CA81" s="122"/>
      <c r="CB81" s="122"/>
      <c r="CC81" s="122"/>
      <c r="CD81" s="122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  <c r="DW81" s="122"/>
      <c r="DX81" s="122"/>
      <c r="DY81" s="122"/>
      <c r="DZ81" s="122"/>
      <c r="EA81" s="122">
        <v>65539.89</v>
      </c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22"/>
      <c r="FD81" s="122"/>
      <c r="FE81" s="122"/>
      <c r="FF81" s="122"/>
      <c r="FG81" s="122"/>
      <c r="FH81" s="122"/>
      <c r="FI81" s="122"/>
      <c r="FJ81" s="122"/>
      <c r="FK81" s="122"/>
      <c r="FL81" s="122"/>
      <c r="FM81" s="122"/>
      <c r="FN81" s="122"/>
      <c r="FO81" s="122"/>
      <c r="FP81" s="122"/>
      <c r="FQ81" s="122"/>
      <c r="FR81" s="122"/>
      <c r="FS81" s="122"/>
      <c r="FT81" s="122">
        <v>18200</v>
      </c>
      <c r="FU81" s="122"/>
      <c r="FV81" s="122"/>
      <c r="FW81" s="122"/>
      <c r="FX81" s="122"/>
      <c r="FY81" s="122"/>
      <c r="FZ81" s="122"/>
      <c r="GA81" s="122"/>
      <c r="GB81" s="122"/>
      <c r="GC81" s="122"/>
      <c r="GD81" s="122"/>
      <c r="GE81" s="122"/>
      <c r="GF81" s="122"/>
      <c r="GG81" s="122"/>
      <c r="GH81" s="122"/>
      <c r="GI81" s="122"/>
      <c r="GJ81" s="122"/>
      <c r="GK81" s="122"/>
      <c r="GL81" s="122"/>
      <c r="GM81" s="122"/>
      <c r="GN81" s="122"/>
      <c r="GO81" s="122"/>
      <c r="GP81" s="122"/>
      <c r="GQ81" s="122"/>
      <c r="GR81" s="122"/>
      <c r="GS81" s="122"/>
      <c r="GT81" s="122"/>
      <c r="GU81" s="122"/>
      <c r="GV81" s="122"/>
      <c r="GW81" s="122"/>
      <c r="GX81" s="122"/>
      <c r="GY81" s="122"/>
      <c r="GZ81" s="122"/>
      <c r="HA81" s="122"/>
      <c r="HB81" s="122"/>
      <c r="HC81" s="122"/>
      <c r="HD81" s="122"/>
      <c r="HE81" s="122"/>
      <c r="HF81" s="122"/>
      <c r="HG81" s="122"/>
      <c r="HH81" s="122"/>
      <c r="HI81" s="122"/>
      <c r="HJ81" s="122"/>
      <c r="HK81" s="122"/>
      <c r="HL81" s="122"/>
      <c r="HM81" s="122"/>
      <c r="HN81" s="122"/>
      <c r="HO81" s="122"/>
      <c r="HP81" s="122"/>
      <c r="HQ81" s="122"/>
      <c r="HR81" s="122"/>
      <c r="HS81" s="122"/>
      <c r="HT81" s="122"/>
      <c r="HU81" s="122"/>
      <c r="HV81" s="122"/>
      <c r="HW81" s="122"/>
      <c r="HX81" s="122"/>
      <c r="HY81" s="122"/>
      <c r="HZ81" s="122"/>
      <c r="IA81" s="122"/>
      <c r="IB81" s="122"/>
      <c r="IC81" s="122"/>
      <c r="ID81" s="122"/>
      <c r="IE81" s="122"/>
      <c r="IF81" s="122"/>
      <c r="IG81" s="122"/>
      <c r="IH81" s="122"/>
      <c r="II81" s="122"/>
      <c r="IJ81" s="122"/>
      <c r="IK81" s="122"/>
      <c r="IL81" s="122"/>
      <c r="IM81" s="122"/>
      <c r="IN81" s="122"/>
      <c r="IO81" s="122"/>
      <c r="IP81" s="122"/>
      <c r="IQ81" s="122"/>
      <c r="IR81" s="122"/>
      <c r="IS81" s="122"/>
      <c r="IT81" s="122"/>
      <c r="IU81" s="122"/>
      <c r="IV81" s="122"/>
      <c r="IW81" s="122"/>
      <c r="IX81" s="122"/>
      <c r="IY81" s="122"/>
      <c r="IZ81" s="122"/>
      <c r="JA81" s="122"/>
      <c r="JB81" s="122"/>
      <c r="JC81" s="122"/>
      <c r="JD81" s="122"/>
      <c r="JE81" s="122"/>
      <c r="JF81" s="122"/>
      <c r="JG81" s="122"/>
      <c r="JH81" s="122"/>
      <c r="JI81" s="119">
        <f t="shared" si="2"/>
        <v>83739.89</v>
      </c>
      <c r="JJ81" s="2">
        <v>487</v>
      </c>
      <c r="JK81" s="122">
        <v>74567.5</v>
      </c>
      <c r="JL81" s="125">
        <f t="shared" si="1"/>
        <v>9172.39</v>
      </c>
      <c r="JM81" s="125"/>
      <c r="JN81" s="125"/>
      <c r="JO81" s="125"/>
      <c r="JP81" s="125"/>
    </row>
    <row r="82" spans="1:276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  <c r="BU82" s="122"/>
      <c r="BV82" s="122"/>
      <c r="BW82" s="122">
        <v>1860406.55</v>
      </c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  <c r="GJ82" s="122"/>
      <c r="GK82" s="122"/>
      <c r="GL82" s="122"/>
      <c r="GM82" s="122"/>
      <c r="GN82" s="122"/>
      <c r="GO82" s="122"/>
      <c r="GP82" s="122"/>
      <c r="GQ82" s="122"/>
      <c r="GR82" s="122"/>
      <c r="GS82" s="122"/>
      <c r="GT82" s="122"/>
      <c r="GU82" s="122"/>
      <c r="GV82" s="122"/>
      <c r="GW82" s="122"/>
      <c r="GX82" s="122"/>
      <c r="GY82" s="122"/>
      <c r="GZ82" s="122"/>
      <c r="HA82" s="122"/>
      <c r="HB82" s="122"/>
      <c r="HC82" s="122"/>
      <c r="HD82" s="122"/>
      <c r="HE82" s="122"/>
      <c r="HF82" s="122"/>
      <c r="HG82" s="122"/>
      <c r="HH82" s="122"/>
      <c r="HI82" s="122"/>
      <c r="HJ82" s="122"/>
      <c r="HK82" s="122"/>
      <c r="HL82" s="122"/>
      <c r="HM82" s="122"/>
      <c r="HN82" s="122"/>
      <c r="HO82" s="122"/>
      <c r="HP82" s="122"/>
      <c r="HQ82" s="122"/>
      <c r="HR82" s="122"/>
      <c r="HS82" s="122"/>
      <c r="HT82" s="122"/>
      <c r="HU82" s="122"/>
      <c r="HV82" s="122"/>
      <c r="HW82" s="122"/>
      <c r="HX82" s="122"/>
      <c r="HY82" s="122"/>
      <c r="HZ82" s="122"/>
      <c r="IA82" s="122"/>
      <c r="IB82" s="122"/>
      <c r="IC82" s="122"/>
      <c r="ID82" s="122"/>
      <c r="IE82" s="122"/>
      <c r="IF82" s="122"/>
      <c r="IG82" s="122"/>
      <c r="IH82" s="122"/>
      <c r="II82" s="122"/>
      <c r="IJ82" s="122"/>
      <c r="IK82" s="122"/>
      <c r="IL82" s="122"/>
      <c r="IM82" s="122"/>
      <c r="IN82" s="122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/>
      <c r="JA82" s="122"/>
      <c r="JB82" s="122"/>
      <c r="JC82" s="122"/>
      <c r="JD82" s="122"/>
      <c r="JE82" s="122"/>
      <c r="JF82" s="122"/>
      <c r="JG82" s="122"/>
      <c r="JH82" s="122"/>
      <c r="JI82" s="119">
        <f t="shared" si="2"/>
        <v>1860406.55</v>
      </c>
      <c r="JJ82" s="2">
        <v>488</v>
      </c>
      <c r="JK82" s="122">
        <v>1781575.76</v>
      </c>
      <c r="JL82" s="125">
        <f t="shared" si="1"/>
        <v>78830.790000000037</v>
      </c>
      <c r="JM82" s="125"/>
      <c r="JN82" s="125"/>
      <c r="JO82" s="125"/>
      <c r="JP82" s="125"/>
    </row>
    <row r="83" spans="1:276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>
        <v>236000</v>
      </c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/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  <c r="HL83" s="122"/>
      <c r="HM83" s="122"/>
      <c r="HN83" s="122"/>
      <c r="HO83" s="122"/>
      <c r="HP83" s="122"/>
      <c r="HQ83" s="122"/>
      <c r="HR83" s="122"/>
      <c r="HS83" s="122"/>
      <c r="HT83" s="122"/>
      <c r="HU83" s="122"/>
      <c r="HV83" s="122"/>
      <c r="HW83" s="122"/>
      <c r="HX83" s="122"/>
      <c r="HY83" s="122"/>
      <c r="HZ83" s="122"/>
      <c r="IA83" s="122"/>
      <c r="IB83" s="122"/>
      <c r="IC83" s="122"/>
      <c r="ID83" s="122"/>
      <c r="IE83" s="122"/>
      <c r="IF83" s="122"/>
      <c r="IG83" s="122"/>
      <c r="IH83" s="122"/>
      <c r="II83" s="122"/>
      <c r="IJ83" s="122"/>
      <c r="IK83" s="122"/>
      <c r="IL83" s="122"/>
      <c r="IM83" s="122"/>
      <c r="IN83" s="122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122"/>
      <c r="JB83" s="122"/>
      <c r="JC83" s="122"/>
      <c r="JD83" s="122"/>
      <c r="JE83" s="122"/>
      <c r="JF83" s="122"/>
      <c r="JG83" s="122"/>
      <c r="JH83" s="122"/>
      <c r="JI83" s="119">
        <f t="shared" si="2"/>
        <v>236000</v>
      </c>
      <c r="JJ83" s="2">
        <v>489</v>
      </c>
      <c r="JK83" s="122">
        <v>226000</v>
      </c>
      <c r="JL83" s="125">
        <f t="shared" si="1"/>
        <v>10000</v>
      </c>
      <c r="JM83" s="125"/>
      <c r="JN83" s="125"/>
      <c r="JO83" s="125"/>
      <c r="JP83" s="125"/>
    </row>
    <row r="84" spans="1:276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>
        <v>4500</v>
      </c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22"/>
      <c r="CC84" s="122"/>
      <c r="CD84" s="122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>
        <v>131436</v>
      </c>
      <c r="GC84" s="122"/>
      <c r="GD84" s="122"/>
      <c r="GE84" s="122"/>
      <c r="GF84" s="122"/>
      <c r="GG84" s="122"/>
      <c r="GH84" s="122"/>
      <c r="GI84" s="122"/>
      <c r="GJ84" s="122"/>
      <c r="GK84" s="122"/>
      <c r="GL84" s="122"/>
      <c r="GM84" s="122"/>
      <c r="GN84" s="122"/>
      <c r="GO84" s="122"/>
      <c r="GP84" s="122"/>
      <c r="GQ84" s="122"/>
      <c r="GR84" s="122"/>
      <c r="GS84" s="122"/>
      <c r="GT84" s="122"/>
      <c r="GU84" s="122"/>
      <c r="GV84" s="122"/>
      <c r="GW84" s="122"/>
      <c r="GX84" s="122"/>
      <c r="GY84" s="122"/>
      <c r="GZ84" s="122"/>
      <c r="HA84" s="122"/>
      <c r="HB84" s="122"/>
      <c r="HC84" s="122"/>
      <c r="HD84" s="122"/>
      <c r="HE84" s="122"/>
      <c r="HF84" s="122"/>
      <c r="HG84" s="122"/>
      <c r="HH84" s="122"/>
      <c r="HI84" s="122"/>
      <c r="HJ84" s="122"/>
      <c r="HK84" s="122"/>
      <c r="HL84" s="122"/>
      <c r="HM84" s="122"/>
      <c r="HN84" s="122"/>
      <c r="HO84" s="122"/>
      <c r="HP84" s="122"/>
      <c r="HQ84" s="122"/>
      <c r="HR84" s="122"/>
      <c r="HS84" s="122"/>
      <c r="HT84" s="122"/>
      <c r="HU84" s="122"/>
      <c r="HV84" s="122"/>
      <c r="HW84" s="122"/>
      <c r="HX84" s="122"/>
      <c r="HY84" s="122"/>
      <c r="HZ84" s="122"/>
      <c r="IA84" s="122"/>
      <c r="IB84" s="122"/>
      <c r="IC84" s="122"/>
      <c r="ID84" s="122"/>
      <c r="IE84" s="122"/>
      <c r="IF84" s="122"/>
      <c r="IG84" s="122"/>
      <c r="IH84" s="122"/>
      <c r="II84" s="122"/>
      <c r="IJ84" s="122"/>
      <c r="IK84" s="122"/>
      <c r="IL84" s="122"/>
      <c r="IM84" s="122"/>
      <c r="IN84" s="122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122"/>
      <c r="JB84" s="122"/>
      <c r="JC84" s="122"/>
      <c r="JD84" s="122"/>
      <c r="JE84" s="122"/>
      <c r="JF84" s="122"/>
      <c r="JG84" s="122"/>
      <c r="JH84" s="122"/>
      <c r="JI84" s="119">
        <f t="shared" si="2"/>
        <v>135936</v>
      </c>
      <c r="JJ84" s="2">
        <v>490</v>
      </c>
      <c r="JK84" s="122"/>
      <c r="JL84" s="125"/>
      <c r="JM84" s="125"/>
      <c r="JN84" s="125"/>
      <c r="JO84" s="125"/>
      <c r="JP84" s="125"/>
    </row>
    <row r="85" spans="1:276" ht="15.7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2"/>
      <c r="BW85" s="122"/>
      <c r="BX85" s="122"/>
      <c r="BY85" s="122"/>
      <c r="BZ85" s="122"/>
      <c r="CA85" s="122"/>
      <c r="CB85" s="122"/>
      <c r="CC85" s="122"/>
      <c r="CD85" s="122"/>
      <c r="CE85" s="122"/>
      <c r="CF85" s="122"/>
      <c r="CG85" s="122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  <c r="GJ85" s="122"/>
      <c r="GK85" s="122"/>
      <c r="GL85" s="122"/>
      <c r="GM85" s="122"/>
      <c r="GN85" s="122"/>
      <c r="GO85" s="122"/>
      <c r="GP85" s="122"/>
      <c r="GQ85" s="137">
        <v>784700</v>
      </c>
      <c r="GR85" s="122"/>
      <c r="GS85" s="122"/>
      <c r="GT85" s="122"/>
      <c r="GU85" s="122"/>
      <c r="GV85" s="122"/>
      <c r="GW85" s="122"/>
      <c r="GX85" s="122"/>
      <c r="GY85" s="122"/>
      <c r="GZ85" s="122"/>
      <c r="HA85" s="122"/>
      <c r="HB85" s="122"/>
      <c r="HC85" s="122"/>
      <c r="HD85" s="122"/>
      <c r="HE85" s="122"/>
      <c r="HF85" s="122"/>
      <c r="HG85" s="122"/>
      <c r="HH85" s="122"/>
      <c r="HI85" s="122"/>
      <c r="HJ85" s="122"/>
      <c r="HK85" s="122"/>
      <c r="HL85" s="122"/>
      <c r="HM85" s="122"/>
      <c r="HN85" s="122"/>
      <c r="HO85" s="122"/>
      <c r="HP85" s="122"/>
      <c r="HQ85" s="122"/>
      <c r="HR85" s="122"/>
      <c r="HS85" s="122"/>
      <c r="HT85" s="122"/>
      <c r="HU85" s="122"/>
      <c r="HV85" s="122"/>
      <c r="HW85" s="122"/>
      <c r="HX85" s="122"/>
      <c r="HY85" s="122"/>
      <c r="HZ85" s="122"/>
      <c r="IA85" s="122"/>
      <c r="IB85" s="122"/>
      <c r="IC85" s="122"/>
      <c r="ID85" s="122"/>
      <c r="IE85" s="122"/>
      <c r="IF85" s="122"/>
      <c r="IG85" s="122"/>
      <c r="IH85" s="122"/>
      <c r="II85" s="122"/>
      <c r="IJ85" s="122"/>
      <c r="IK85" s="122"/>
      <c r="IL85" s="122"/>
      <c r="IM85" s="122"/>
      <c r="IN85" s="122"/>
      <c r="IO85" s="122"/>
      <c r="IP85" s="122"/>
      <c r="IQ85" s="122"/>
      <c r="IR85" s="122"/>
      <c r="IS85" s="122"/>
      <c r="IT85" s="122"/>
      <c r="IU85" s="122"/>
      <c r="IV85" s="122"/>
      <c r="IW85" s="122"/>
      <c r="IX85" s="122"/>
      <c r="IY85" s="122"/>
      <c r="IZ85" s="122"/>
      <c r="JA85" s="122"/>
      <c r="JB85" s="122"/>
      <c r="JC85" s="122"/>
      <c r="JD85" s="122"/>
      <c r="JE85" s="122"/>
      <c r="JF85" s="122"/>
      <c r="JG85" s="122"/>
      <c r="JH85" s="122"/>
      <c r="JI85" s="119">
        <f t="shared" si="2"/>
        <v>784700</v>
      </c>
      <c r="JJ85" s="2">
        <v>491</v>
      </c>
      <c r="JK85" s="122"/>
      <c r="JL85" s="125"/>
      <c r="JM85" s="125"/>
      <c r="JN85" s="125"/>
      <c r="JO85" s="125"/>
      <c r="JP85" s="125"/>
    </row>
    <row r="86" spans="1:27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/>
      <c r="FT86" s="122"/>
      <c r="FU86" s="122"/>
      <c r="FV86" s="122"/>
      <c r="FW86" s="122"/>
      <c r="FX86" s="122"/>
      <c r="FY86" s="122"/>
      <c r="FZ86" s="122"/>
      <c r="GA86" s="122"/>
      <c r="GB86" s="122"/>
      <c r="GC86" s="122"/>
      <c r="GD86" s="122">
        <v>12400</v>
      </c>
      <c r="GE86" s="122"/>
      <c r="GF86" s="122"/>
      <c r="GG86" s="122"/>
      <c r="GH86" s="122"/>
      <c r="GI86" s="122"/>
      <c r="GJ86" s="122"/>
      <c r="GK86" s="122"/>
      <c r="GL86" s="122"/>
      <c r="GM86" s="122"/>
      <c r="GN86" s="122"/>
      <c r="GO86" s="122"/>
      <c r="GP86" s="122"/>
      <c r="GQ86" s="122"/>
      <c r="GR86" s="122"/>
      <c r="GS86" s="122"/>
      <c r="GT86" s="122"/>
      <c r="GU86" s="122"/>
      <c r="GV86" s="122"/>
      <c r="GW86" s="122"/>
      <c r="GX86" s="122"/>
      <c r="GY86" s="122"/>
      <c r="GZ86" s="122"/>
      <c r="HA86" s="122"/>
      <c r="HB86" s="122"/>
      <c r="HC86" s="122"/>
      <c r="HD86" s="122"/>
      <c r="HE86" s="122"/>
      <c r="HF86" s="122"/>
      <c r="HG86" s="122"/>
      <c r="HH86" s="122"/>
      <c r="HI86" s="122"/>
      <c r="HJ86" s="122"/>
      <c r="HK86" s="122"/>
      <c r="HL86" s="122"/>
      <c r="HM86" s="122"/>
      <c r="HN86" s="122"/>
      <c r="HO86" s="122"/>
      <c r="HP86" s="122"/>
      <c r="HQ86" s="122"/>
      <c r="HR86" s="122"/>
      <c r="HS86" s="122"/>
      <c r="HT86" s="122"/>
      <c r="HU86" s="122"/>
      <c r="HV86" s="122"/>
      <c r="HW86" s="122"/>
      <c r="HX86" s="122"/>
      <c r="HY86" s="122"/>
      <c r="HZ86" s="122"/>
      <c r="IA86" s="122"/>
      <c r="IB86" s="122"/>
      <c r="IC86" s="122"/>
      <c r="ID86" s="122"/>
      <c r="IE86" s="122"/>
      <c r="IF86" s="122"/>
      <c r="IG86" s="122"/>
      <c r="IH86" s="122"/>
      <c r="II86" s="122"/>
      <c r="IJ86" s="122"/>
      <c r="IK86" s="122"/>
      <c r="IL86" s="122"/>
      <c r="IM86" s="122"/>
      <c r="IN86" s="122"/>
      <c r="IO86" s="122"/>
      <c r="IP86" s="122"/>
      <c r="IQ86" s="122"/>
      <c r="IR86" s="122"/>
      <c r="IS86" s="122"/>
      <c r="IT86" s="122"/>
      <c r="IU86" s="122"/>
      <c r="IV86" s="122"/>
      <c r="IW86" s="122"/>
      <c r="IX86" s="122"/>
      <c r="IY86" s="122"/>
      <c r="IZ86" s="122"/>
      <c r="JA86" s="122"/>
      <c r="JB86" s="122"/>
      <c r="JC86" s="122"/>
      <c r="JD86" s="122"/>
      <c r="JE86" s="122"/>
      <c r="JF86" s="122"/>
      <c r="JG86" s="122"/>
      <c r="JH86" s="122"/>
      <c r="JI86" s="119">
        <f t="shared" si="2"/>
        <v>12400</v>
      </c>
      <c r="JJ86" s="2">
        <v>37324</v>
      </c>
      <c r="JK86" s="122">
        <v>12400</v>
      </c>
      <c r="JL86" s="125">
        <f t="shared" si="1"/>
        <v>0</v>
      </c>
      <c r="JM86" s="125"/>
      <c r="JN86" s="125"/>
      <c r="JO86" s="125"/>
      <c r="JP86" s="125"/>
    </row>
    <row r="87" spans="1:276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  <c r="BU87" s="122"/>
      <c r="BV87" s="122"/>
      <c r="BW87" s="122"/>
      <c r="BX87" s="122"/>
      <c r="BY87" s="122"/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/>
      <c r="FZ87" s="122"/>
      <c r="GA87" s="122"/>
      <c r="GB87" s="122"/>
      <c r="GC87" s="122"/>
      <c r="GD87" s="122">
        <v>0</v>
      </c>
      <c r="GE87" s="122"/>
      <c r="GF87" s="122"/>
      <c r="GG87" s="122"/>
      <c r="GH87" s="122"/>
      <c r="GI87" s="122"/>
      <c r="GJ87" s="122"/>
      <c r="GK87" s="122"/>
      <c r="GL87" s="122"/>
      <c r="GM87" s="122"/>
      <c r="GN87" s="122"/>
      <c r="GO87" s="122"/>
      <c r="GP87" s="122"/>
      <c r="GQ87" s="122"/>
      <c r="GR87" s="122"/>
      <c r="GS87" s="122"/>
      <c r="GT87" s="122"/>
      <c r="GU87" s="122"/>
      <c r="GV87" s="122"/>
      <c r="GW87" s="122"/>
      <c r="GX87" s="122"/>
      <c r="GY87" s="122"/>
      <c r="GZ87" s="122"/>
      <c r="HA87" s="122"/>
      <c r="HB87" s="122"/>
      <c r="HC87" s="122"/>
      <c r="HD87" s="122"/>
      <c r="HE87" s="122"/>
      <c r="HF87" s="122"/>
      <c r="HG87" s="122"/>
      <c r="HH87" s="122"/>
      <c r="HI87" s="122"/>
      <c r="HJ87" s="122"/>
      <c r="HK87" s="122"/>
      <c r="HL87" s="122"/>
      <c r="HM87" s="122"/>
      <c r="HN87" s="122"/>
      <c r="HO87" s="122"/>
      <c r="HP87" s="122"/>
      <c r="HQ87" s="122"/>
      <c r="HR87" s="122"/>
      <c r="HS87" s="122"/>
      <c r="HT87" s="122"/>
      <c r="HU87" s="122"/>
      <c r="HV87" s="122"/>
      <c r="HW87" s="122"/>
      <c r="HX87" s="122"/>
      <c r="HY87" s="122"/>
      <c r="HZ87" s="122"/>
      <c r="IA87" s="122"/>
      <c r="IB87" s="122"/>
      <c r="IC87" s="122"/>
      <c r="ID87" s="122"/>
      <c r="IE87" s="122"/>
      <c r="IF87" s="122"/>
      <c r="IG87" s="122"/>
      <c r="IH87" s="122"/>
      <c r="II87" s="122"/>
      <c r="IJ87" s="122"/>
      <c r="IK87" s="122"/>
      <c r="IL87" s="122"/>
      <c r="IM87" s="122"/>
      <c r="IN87" s="122"/>
      <c r="IO87" s="122"/>
      <c r="IP87" s="122"/>
      <c r="IQ87" s="122"/>
      <c r="IR87" s="122"/>
      <c r="IS87" s="122"/>
      <c r="IT87" s="122"/>
      <c r="IU87" s="122"/>
      <c r="IV87" s="122"/>
      <c r="IW87" s="122"/>
      <c r="IX87" s="122"/>
      <c r="IY87" s="122"/>
      <c r="IZ87" s="122"/>
      <c r="JA87" s="122"/>
      <c r="JB87" s="122"/>
      <c r="JC87" s="122"/>
      <c r="JD87" s="122"/>
      <c r="JE87" s="122"/>
      <c r="JF87" s="122"/>
      <c r="JG87" s="122"/>
      <c r="JH87" s="122"/>
      <c r="JI87" s="119" t="s">
        <v>723</v>
      </c>
      <c r="JJ87" s="2">
        <v>37325</v>
      </c>
      <c r="JK87" s="122">
        <v>0</v>
      </c>
      <c r="JL87" s="125">
        <v>0</v>
      </c>
      <c r="JM87" s="125"/>
      <c r="JN87" s="125"/>
      <c r="JO87" s="125"/>
      <c r="JP87" s="125"/>
    </row>
    <row r="88" spans="1:276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122"/>
      <c r="BS88" s="122"/>
      <c r="BT88" s="122"/>
      <c r="BU88" s="122"/>
      <c r="BV88" s="122"/>
      <c r="BW88" s="122"/>
      <c r="BX88" s="122"/>
      <c r="BY88" s="122"/>
      <c r="BZ88" s="122"/>
      <c r="CA88" s="122"/>
      <c r="CB88" s="122"/>
      <c r="CC88" s="122"/>
      <c r="CD88" s="122"/>
      <c r="CE88" s="122"/>
      <c r="CF88" s="122"/>
      <c r="CG88" s="122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22"/>
      <c r="FD88" s="122"/>
      <c r="FE88" s="122"/>
      <c r="FF88" s="122"/>
      <c r="FG88" s="122"/>
      <c r="FH88" s="122"/>
      <c r="FI88" s="122"/>
      <c r="FJ88" s="122"/>
      <c r="FK88" s="122"/>
      <c r="FL88" s="122"/>
      <c r="FM88" s="122"/>
      <c r="FN88" s="122"/>
      <c r="FO88" s="122"/>
      <c r="FP88" s="122"/>
      <c r="FQ88" s="122"/>
      <c r="FR88" s="122"/>
      <c r="FS88" s="122"/>
      <c r="FT88" s="122"/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  <c r="GJ88" s="122"/>
      <c r="GK88" s="122"/>
      <c r="GL88" s="122"/>
      <c r="GM88" s="122"/>
      <c r="GN88" s="122"/>
      <c r="GO88" s="122"/>
      <c r="GP88" s="122"/>
      <c r="GQ88" s="122"/>
      <c r="GR88" s="122"/>
      <c r="GS88" s="122"/>
      <c r="GT88" s="122"/>
      <c r="GU88" s="122"/>
      <c r="GV88" s="122"/>
      <c r="GW88" s="122"/>
      <c r="GX88" s="122"/>
      <c r="GY88" s="122"/>
      <c r="GZ88" s="122"/>
      <c r="HA88" s="122"/>
      <c r="HB88" s="122"/>
      <c r="HC88" s="122"/>
      <c r="HD88" s="122"/>
      <c r="HE88" s="122"/>
      <c r="HF88" s="122"/>
      <c r="HG88" s="122"/>
      <c r="HH88" s="122"/>
      <c r="HI88" s="122"/>
      <c r="HJ88" s="122"/>
      <c r="HK88" s="122"/>
      <c r="HL88" s="122"/>
      <c r="HM88" s="122"/>
      <c r="HN88" s="122"/>
      <c r="HO88" s="122"/>
      <c r="HP88" s="122"/>
      <c r="HQ88" s="122"/>
      <c r="HR88" s="122"/>
      <c r="HS88" s="122"/>
      <c r="HT88" s="122"/>
      <c r="HU88" s="122"/>
      <c r="HV88" s="122"/>
      <c r="HW88" s="122"/>
      <c r="HX88" s="122"/>
      <c r="HY88" s="122"/>
      <c r="HZ88" s="122"/>
      <c r="IA88" s="122"/>
      <c r="IB88" s="122"/>
      <c r="IC88" s="122"/>
      <c r="ID88" s="122"/>
      <c r="IE88" s="122"/>
      <c r="IF88" s="122"/>
      <c r="IG88" s="122"/>
      <c r="IH88" s="122"/>
      <c r="II88" s="122"/>
      <c r="IJ88" s="122"/>
      <c r="IK88" s="122"/>
      <c r="IL88" s="122"/>
      <c r="IM88" s="122"/>
      <c r="IN88" s="122"/>
      <c r="IO88" s="122"/>
      <c r="IP88" s="122"/>
      <c r="IQ88" s="122"/>
      <c r="IR88" s="122"/>
      <c r="IS88" s="122"/>
      <c r="IT88" s="122"/>
      <c r="IU88" s="122"/>
      <c r="IV88" s="122"/>
      <c r="IW88" s="122"/>
      <c r="IX88" s="122"/>
      <c r="IY88" s="122"/>
      <c r="IZ88" s="122"/>
      <c r="JA88" s="122"/>
      <c r="JB88" s="122"/>
      <c r="JC88" s="122"/>
      <c r="JD88" s="122"/>
      <c r="JE88" s="122"/>
      <c r="JF88" s="122"/>
      <c r="JG88" s="122"/>
      <c r="JH88" s="122"/>
      <c r="JI88" s="119" t="s">
        <v>723</v>
      </c>
      <c r="JJ88" s="2">
        <v>37326</v>
      </c>
      <c r="JK88" s="122">
        <v>0</v>
      </c>
      <c r="JL88" s="125">
        <v>0</v>
      </c>
      <c r="JM88" s="125"/>
      <c r="JN88" s="125"/>
      <c r="JO88" s="125"/>
      <c r="JP88" s="125"/>
    </row>
    <row r="89" spans="1:276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/>
      <c r="EB89" s="122"/>
      <c r="EC89" s="122"/>
      <c r="ED89" s="122"/>
      <c r="EE89" s="122"/>
      <c r="EF89" s="122"/>
      <c r="EG89" s="122"/>
      <c r="EH89" s="122"/>
      <c r="EI89" s="122"/>
      <c r="EJ89" s="122"/>
      <c r="EK89" s="122"/>
      <c r="EL89" s="122"/>
      <c r="EM89" s="122"/>
      <c r="EN89" s="122"/>
      <c r="EO89" s="122"/>
      <c r="EP89" s="122"/>
      <c r="EQ89" s="122"/>
      <c r="ER89" s="122"/>
      <c r="ES89" s="122"/>
      <c r="ET89" s="122"/>
      <c r="EU89" s="122"/>
      <c r="EV89" s="122"/>
      <c r="EW89" s="122"/>
      <c r="EX89" s="122"/>
      <c r="EY89" s="122"/>
      <c r="EZ89" s="122"/>
      <c r="FA89" s="122"/>
      <c r="FB89" s="122"/>
      <c r="FC89" s="122"/>
      <c r="FD89" s="122"/>
      <c r="FE89" s="122"/>
      <c r="FF89" s="122"/>
      <c r="FG89" s="122"/>
      <c r="FH89" s="122"/>
      <c r="FI89" s="122"/>
      <c r="FJ89" s="122"/>
      <c r="FK89" s="122"/>
      <c r="FL89" s="122"/>
      <c r="FM89" s="122"/>
      <c r="FN89" s="122"/>
      <c r="FO89" s="122"/>
      <c r="FP89" s="122"/>
      <c r="FQ89" s="122"/>
      <c r="FR89" s="122"/>
      <c r="FS89" s="122"/>
      <c r="FT89" s="122"/>
      <c r="FU89" s="122"/>
      <c r="FV89" s="122"/>
      <c r="FW89" s="122"/>
      <c r="FX89" s="122"/>
      <c r="FY89" s="122"/>
      <c r="FZ89" s="122"/>
      <c r="GA89" s="122">
        <v>55896.480000000003</v>
      </c>
      <c r="GB89" s="122"/>
      <c r="GC89" s="122"/>
      <c r="GD89" s="122"/>
      <c r="GE89" s="122"/>
      <c r="GF89" s="122"/>
      <c r="GG89" s="122"/>
      <c r="GH89" s="122"/>
      <c r="GI89" s="122"/>
      <c r="GJ89" s="122"/>
      <c r="GK89" s="122"/>
      <c r="GL89" s="122"/>
      <c r="GM89" s="122"/>
      <c r="GN89" s="122"/>
      <c r="GO89" s="122"/>
      <c r="GP89" s="122"/>
      <c r="GQ89" s="122"/>
      <c r="GR89" s="122"/>
      <c r="GS89" s="122"/>
      <c r="GT89" s="122"/>
      <c r="GU89" s="122"/>
      <c r="GV89" s="122"/>
      <c r="GW89" s="122"/>
      <c r="GX89" s="122"/>
      <c r="GY89" s="122"/>
      <c r="GZ89" s="122"/>
      <c r="HA89" s="122"/>
      <c r="HB89" s="122"/>
      <c r="HC89" s="122"/>
      <c r="HD89" s="122"/>
      <c r="HE89" s="122"/>
      <c r="HF89" s="122"/>
      <c r="HG89" s="122"/>
      <c r="HH89" s="122"/>
      <c r="HI89" s="122"/>
      <c r="HJ89" s="122"/>
      <c r="HK89" s="122"/>
      <c r="HL89" s="122"/>
      <c r="HM89" s="122"/>
      <c r="HN89" s="122"/>
      <c r="HO89" s="122"/>
      <c r="HP89" s="122"/>
      <c r="HQ89" s="122"/>
      <c r="HR89" s="122"/>
      <c r="HS89" s="122"/>
      <c r="HT89" s="122"/>
      <c r="HU89" s="122"/>
      <c r="HV89" s="122"/>
      <c r="HW89" s="122"/>
      <c r="HX89" s="122"/>
      <c r="HY89" s="122"/>
      <c r="HZ89" s="122"/>
      <c r="IA89" s="122"/>
      <c r="IB89" s="122"/>
      <c r="IC89" s="122"/>
      <c r="ID89" s="122"/>
      <c r="IE89" s="122"/>
      <c r="IF89" s="122"/>
      <c r="IG89" s="122"/>
      <c r="IH89" s="122"/>
      <c r="II89" s="122"/>
      <c r="IJ89" s="122"/>
      <c r="IK89" s="122"/>
      <c r="IL89" s="122"/>
      <c r="IM89" s="122"/>
      <c r="IN89" s="122"/>
      <c r="IO89" s="122"/>
      <c r="IP89" s="122"/>
      <c r="IQ89" s="122"/>
      <c r="IR89" s="122"/>
      <c r="IS89" s="122"/>
      <c r="IT89" s="122"/>
      <c r="IU89" s="122"/>
      <c r="IV89" s="122"/>
      <c r="IW89" s="122"/>
      <c r="IX89" s="122"/>
      <c r="IY89" s="122"/>
      <c r="IZ89" s="122"/>
      <c r="JA89" s="122"/>
      <c r="JB89" s="122"/>
      <c r="JC89" s="122"/>
      <c r="JD89" s="122"/>
      <c r="JE89" s="122"/>
      <c r="JF89" s="122"/>
      <c r="JG89" s="122"/>
      <c r="JH89" s="122"/>
      <c r="JI89" s="119">
        <f t="shared" si="2"/>
        <v>55896.480000000003</v>
      </c>
      <c r="JJ89" s="2">
        <v>37327</v>
      </c>
      <c r="JK89" s="122">
        <v>55896.480000000003</v>
      </c>
      <c r="JL89" s="125">
        <f t="shared" si="1"/>
        <v>0</v>
      </c>
      <c r="JM89" s="125"/>
      <c r="JN89" s="125"/>
      <c r="JO89" s="125"/>
      <c r="JP89" s="125"/>
    </row>
    <row r="90" spans="1:276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  <c r="BS90" s="122"/>
      <c r="BT90" s="122"/>
      <c r="BU90" s="122"/>
      <c r="BV90" s="122"/>
      <c r="BW90" s="122">
        <v>9632.66</v>
      </c>
      <c r="BX90" s="122"/>
      <c r="BY90" s="122"/>
      <c r="BZ90" s="122"/>
      <c r="CA90" s="122"/>
      <c r="CB90" s="122"/>
      <c r="CC90" s="122"/>
      <c r="CD90" s="122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/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/>
      <c r="EY90" s="122"/>
      <c r="EZ90" s="122"/>
      <c r="FA90" s="122"/>
      <c r="FB90" s="122"/>
      <c r="FC90" s="122"/>
      <c r="FD90" s="122"/>
      <c r="FE90" s="122"/>
      <c r="FF90" s="122"/>
      <c r="FG90" s="122"/>
      <c r="FH90" s="122"/>
      <c r="FI90" s="122"/>
      <c r="FJ90" s="122"/>
      <c r="FK90" s="122"/>
      <c r="FL90" s="122"/>
      <c r="FM90" s="122"/>
      <c r="FN90" s="122"/>
      <c r="FO90" s="122"/>
      <c r="FP90" s="122"/>
      <c r="FQ90" s="122"/>
      <c r="FR90" s="122"/>
      <c r="FS90" s="122"/>
      <c r="FT90" s="122"/>
      <c r="FU90" s="122"/>
      <c r="FV90" s="122"/>
      <c r="FW90" s="122"/>
      <c r="FX90" s="122"/>
      <c r="FY90" s="122"/>
      <c r="FZ90" s="122"/>
      <c r="GA90" s="122"/>
      <c r="GB90" s="122"/>
      <c r="GC90" s="122"/>
      <c r="GD90" s="122"/>
      <c r="GE90" s="122"/>
      <c r="GF90" s="122"/>
      <c r="GG90" s="122"/>
      <c r="GH90" s="122"/>
      <c r="GI90" s="122"/>
      <c r="GJ90" s="122"/>
      <c r="GK90" s="122"/>
      <c r="GL90" s="122"/>
      <c r="GM90" s="122"/>
      <c r="GN90" s="122"/>
      <c r="GO90" s="122"/>
      <c r="GP90" s="122"/>
      <c r="GQ90" s="122"/>
      <c r="GR90" s="122"/>
      <c r="GS90" s="122"/>
      <c r="GT90" s="122"/>
      <c r="GU90" s="122"/>
      <c r="GV90" s="122"/>
      <c r="GW90" s="122"/>
      <c r="GX90" s="122"/>
      <c r="GY90" s="122"/>
      <c r="GZ90" s="122"/>
      <c r="HA90" s="122"/>
      <c r="HB90" s="122"/>
      <c r="HC90" s="122"/>
      <c r="HD90" s="122"/>
      <c r="HE90" s="122"/>
      <c r="HF90" s="122"/>
      <c r="HG90" s="122"/>
      <c r="HH90" s="122"/>
      <c r="HI90" s="122"/>
      <c r="HJ90" s="122"/>
      <c r="HK90" s="122"/>
      <c r="HL90" s="122"/>
      <c r="HM90" s="122"/>
      <c r="HN90" s="122"/>
      <c r="HO90" s="122"/>
      <c r="HP90" s="122"/>
      <c r="HQ90" s="122"/>
      <c r="HR90" s="122"/>
      <c r="HS90" s="122"/>
      <c r="HT90" s="122"/>
      <c r="HU90" s="122"/>
      <c r="HV90" s="122"/>
      <c r="HW90" s="122"/>
      <c r="HX90" s="122"/>
      <c r="HY90" s="122"/>
      <c r="HZ90" s="122"/>
      <c r="IA90" s="122"/>
      <c r="IB90" s="122"/>
      <c r="IC90" s="122"/>
      <c r="ID90" s="122"/>
      <c r="IE90" s="122"/>
      <c r="IF90" s="122"/>
      <c r="IG90" s="122"/>
      <c r="IH90" s="122"/>
      <c r="II90" s="122"/>
      <c r="IJ90" s="122"/>
      <c r="IK90" s="122"/>
      <c r="IL90" s="122"/>
      <c r="IM90" s="122"/>
      <c r="IN90" s="122"/>
      <c r="IO90" s="122"/>
      <c r="IP90" s="122"/>
      <c r="IQ90" s="122"/>
      <c r="IR90" s="122"/>
      <c r="IS90" s="122"/>
      <c r="IT90" s="122"/>
      <c r="IU90" s="122"/>
      <c r="IV90" s="122"/>
      <c r="IW90" s="122"/>
      <c r="IX90" s="122"/>
      <c r="IY90" s="122"/>
      <c r="IZ90" s="122"/>
      <c r="JA90" s="122"/>
      <c r="JB90" s="122"/>
      <c r="JC90" s="122"/>
      <c r="JD90" s="122"/>
      <c r="JE90" s="122"/>
      <c r="JF90" s="122"/>
      <c r="JG90" s="122"/>
      <c r="JH90" s="122"/>
      <c r="JI90" s="119">
        <f t="shared" si="2"/>
        <v>9632.66</v>
      </c>
      <c r="JJ90" s="2">
        <v>37328</v>
      </c>
      <c r="JK90" s="122">
        <v>8000</v>
      </c>
      <c r="JL90" s="125">
        <f t="shared" si="1"/>
        <v>1632.6599999999999</v>
      </c>
      <c r="JM90" s="125"/>
      <c r="JN90" s="125"/>
      <c r="JO90" s="125"/>
      <c r="JP90" s="125"/>
    </row>
    <row r="91" spans="1:276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2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/>
      <c r="JG91" s="122"/>
      <c r="JH91" s="122"/>
      <c r="JI91" s="119" t="s">
        <v>723</v>
      </c>
      <c r="JJ91" s="2">
        <v>37329</v>
      </c>
      <c r="JK91" s="122">
        <v>0</v>
      </c>
      <c r="JL91" s="125">
        <v>0</v>
      </c>
      <c r="JM91" s="125"/>
      <c r="JN91" s="125"/>
      <c r="JO91" s="125"/>
      <c r="JP91" s="125"/>
    </row>
    <row r="92" spans="1:276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  <c r="CD92" s="122"/>
      <c r="CE92" s="122"/>
      <c r="CF92" s="122"/>
      <c r="CG92" s="122"/>
      <c r="CH92" s="122"/>
      <c r="CI92" s="122"/>
      <c r="CJ92" s="122">
        <v>22877.56</v>
      </c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/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  <c r="GJ92" s="122"/>
      <c r="GK92" s="122"/>
      <c r="GL92" s="122"/>
      <c r="GM92" s="122"/>
      <c r="GN92" s="122"/>
      <c r="GO92" s="122"/>
      <c r="GP92" s="122"/>
      <c r="GQ92" s="122"/>
      <c r="GR92" s="122"/>
      <c r="GS92" s="122"/>
      <c r="GT92" s="122"/>
      <c r="GU92" s="122"/>
      <c r="GV92" s="122"/>
      <c r="GW92" s="122"/>
      <c r="GX92" s="122"/>
      <c r="GY92" s="122"/>
      <c r="GZ92" s="122"/>
      <c r="HA92" s="122"/>
      <c r="HB92" s="122"/>
      <c r="HC92" s="122"/>
      <c r="HD92" s="122"/>
      <c r="HE92" s="122"/>
      <c r="HF92" s="122"/>
      <c r="HG92" s="122"/>
      <c r="HH92" s="122"/>
      <c r="HI92" s="122"/>
      <c r="HJ92" s="122"/>
      <c r="HK92" s="122"/>
      <c r="HL92" s="122"/>
      <c r="HM92" s="122"/>
      <c r="HN92" s="122"/>
      <c r="HO92" s="122"/>
      <c r="HP92" s="122"/>
      <c r="HQ92" s="122"/>
      <c r="HR92" s="122"/>
      <c r="HS92" s="122"/>
      <c r="HT92" s="122"/>
      <c r="HU92" s="122"/>
      <c r="HV92" s="122"/>
      <c r="HW92" s="122"/>
      <c r="HX92" s="122"/>
      <c r="HY92" s="122"/>
      <c r="HZ92" s="122"/>
      <c r="IA92" s="122"/>
      <c r="IB92" s="122"/>
      <c r="IC92" s="122"/>
      <c r="ID92" s="122"/>
      <c r="IE92" s="122"/>
      <c r="IF92" s="122"/>
      <c r="IG92" s="122"/>
      <c r="IH92" s="122"/>
      <c r="II92" s="122"/>
      <c r="IJ92" s="122"/>
      <c r="IK92" s="122"/>
      <c r="IL92" s="122"/>
      <c r="IM92" s="122"/>
      <c r="IN92" s="122"/>
      <c r="IO92" s="122"/>
      <c r="IP92" s="122"/>
      <c r="IQ92" s="122"/>
      <c r="IR92" s="122"/>
      <c r="IS92" s="122"/>
      <c r="IT92" s="122"/>
      <c r="IU92" s="122"/>
      <c r="IV92" s="122"/>
      <c r="IW92" s="122"/>
      <c r="IX92" s="122"/>
      <c r="IY92" s="122"/>
      <c r="IZ92" s="122"/>
      <c r="JA92" s="122"/>
      <c r="JB92" s="122"/>
      <c r="JC92" s="122"/>
      <c r="JD92" s="122"/>
      <c r="JE92" s="122"/>
      <c r="JF92" s="122"/>
      <c r="JG92" s="122"/>
      <c r="JH92" s="122"/>
      <c r="JI92" s="119">
        <f t="shared" si="2"/>
        <v>22877.56</v>
      </c>
      <c r="JJ92" s="2">
        <v>37330</v>
      </c>
      <c r="JK92" s="122">
        <v>19000</v>
      </c>
      <c r="JL92" s="125">
        <f t="shared" si="1"/>
        <v>3877.5600000000013</v>
      </c>
      <c r="JM92" s="125"/>
      <c r="JN92" s="125"/>
      <c r="JO92" s="125"/>
      <c r="JP92" s="125"/>
    </row>
    <row r="93" spans="1:276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  <c r="BU93" s="122"/>
      <c r="BV93" s="122"/>
      <c r="BW93" s="122"/>
      <c r="BX93" s="122"/>
      <c r="BY93" s="122"/>
      <c r="BZ93" s="122"/>
      <c r="CA93" s="122"/>
      <c r="CB93" s="122"/>
      <c r="CC93" s="122"/>
      <c r="CD93" s="122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>
        <v>19626.54</v>
      </c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/>
      <c r="FH93" s="122"/>
      <c r="FI93" s="122"/>
      <c r="FJ93" s="122"/>
      <c r="FK93" s="122"/>
      <c r="FL93" s="122"/>
      <c r="FM93" s="122"/>
      <c r="FN93" s="122"/>
      <c r="FO93" s="122"/>
      <c r="FP93" s="122"/>
      <c r="FQ93" s="122"/>
      <c r="FR93" s="122"/>
      <c r="FS93" s="122"/>
      <c r="FT93" s="122"/>
      <c r="FU93" s="122"/>
      <c r="FV93" s="122"/>
      <c r="FW93" s="122"/>
      <c r="FX93" s="122"/>
      <c r="FY93" s="122"/>
      <c r="FZ93" s="122"/>
      <c r="GA93" s="122"/>
      <c r="GB93" s="122"/>
      <c r="GC93" s="122"/>
      <c r="GD93" s="122"/>
      <c r="GE93" s="122"/>
      <c r="GF93" s="122"/>
      <c r="GG93" s="122"/>
      <c r="GH93" s="122"/>
      <c r="GI93" s="122"/>
      <c r="GJ93" s="122"/>
      <c r="GK93" s="122"/>
      <c r="GL93" s="122"/>
      <c r="GM93" s="122"/>
      <c r="GN93" s="122"/>
      <c r="GO93" s="122"/>
      <c r="GP93" s="122"/>
      <c r="GQ93" s="122"/>
      <c r="GR93" s="122"/>
      <c r="GS93" s="122"/>
      <c r="GT93" s="122"/>
      <c r="GU93" s="122"/>
      <c r="GV93" s="122"/>
      <c r="GW93" s="122"/>
      <c r="GX93" s="122"/>
      <c r="GY93" s="122"/>
      <c r="GZ93" s="122"/>
      <c r="HA93" s="122"/>
      <c r="HB93" s="122"/>
      <c r="HC93" s="122"/>
      <c r="HD93" s="122"/>
      <c r="HE93" s="122"/>
      <c r="HF93" s="122"/>
      <c r="HG93" s="122"/>
      <c r="HH93" s="122"/>
      <c r="HI93" s="122"/>
      <c r="HJ93" s="122"/>
      <c r="HK93" s="122"/>
      <c r="HL93" s="122"/>
      <c r="HM93" s="122"/>
      <c r="HN93" s="122"/>
      <c r="HO93" s="122"/>
      <c r="HP93" s="122"/>
      <c r="HQ93" s="122"/>
      <c r="HR93" s="122"/>
      <c r="HS93" s="122"/>
      <c r="HT93" s="122"/>
      <c r="HU93" s="122"/>
      <c r="HV93" s="122"/>
      <c r="HW93" s="122"/>
      <c r="HX93" s="122"/>
      <c r="HY93" s="122"/>
      <c r="HZ93" s="122"/>
      <c r="IA93" s="122"/>
      <c r="IB93" s="122"/>
      <c r="IC93" s="122"/>
      <c r="ID93" s="122"/>
      <c r="IE93" s="122"/>
      <c r="IF93" s="122"/>
      <c r="IG93" s="122"/>
      <c r="IH93" s="122"/>
      <c r="II93" s="122"/>
      <c r="IJ93" s="122"/>
      <c r="IK93" s="122"/>
      <c r="IL93" s="122"/>
      <c r="IM93" s="122"/>
      <c r="IN93" s="122"/>
      <c r="IO93" s="122"/>
      <c r="IP93" s="122"/>
      <c r="IQ93" s="122"/>
      <c r="IR93" s="122"/>
      <c r="IS93" s="122"/>
      <c r="IT93" s="122"/>
      <c r="IU93" s="122"/>
      <c r="IV93" s="122"/>
      <c r="IW93" s="122"/>
      <c r="IX93" s="122"/>
      <c r="IY93" s="122"/>
      <c r="IZ93" s="122"/>
      <c r="JA93" s="122"/>
      <c r="JB93" s="122"/>
      <c r="JC93" s="122"/>
      <c r="JD93" s="122"/>
      <c r="JE93" s="122"/>
      <c r="JF93" s="122"/>
      <c r="JG93" s="122"/>
      <c r="JH93" s="122"/>
      <c r="JI93" s="119">
        <f t="shared" si="2"/>
        <v>19626.54</v>
      </c>
      <c r="JJ93" s="2">
        <v>37331</v>
      </c>
      <c r="JK93" s="122">
        <v>16300.01</v>
      </c>
      <c r="JL93" s="125">
        <f t="shared" si="1"/>
        <v>3326.5300000000007</v>
      </c>
      <c r="JM93" s="125"/>
      <c r="JN93" s="125"/>
      <c r="JO93" s="125"/>
      <c r="JP93" s="125"/>
    </row>
    <row r="94" spans="1:276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  <c r="BU94" s="122"/>
      <c r="BV94" s="122"/>
      <c r="BW94" s="122">
        <v>18061.22</v>
      </c>
      <c r="BX94" s="122"/>
      <c r="BY94" s="122"/>
      <c r="BZ94" s="122"/>
      <c r="CA94" s="122"/>
      <c r="CB94" s="122"/>
      <c r="CC94" s="122"/>
      <c r="CD94" s="122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/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/>
      <c r="GD94" s="122"/>
      <c r="GE94" s="122"/>
      <c r="GF94" s="122"/>
      <c r="GG94" s="122"/>
      <c r="GH94" s="122"/>
      <c r="GI94" s="122"/>
      <c r="GJ94" s="122"/>
      <c r="GK94" s="122"/>
      <c r="GL94" s="122"/>
      <c r="GM94" s="122"/>
      <c r="GN94" s="122"/>
      <c r="GO94" s="122"/>
      <c r="GP94" s="122"/>
      <c r="GQ94" s="122"/>
      <c r="GR94" s="122"/>
      <c r="GS94" s="122"/>
      <c r="GT94" s="122"/>
      <c r="GU94" s="122"/>
      <c r="GV94" s="122"/>
      <c r="GW94" s="122"/>
      <c r="GX94" s="122"/>
      <c r="GY94" s="122"/>
      <c r="GZ94" s="122"/>
      <c r="HA94" s="122"/>
      <c r="HB94" s="122"/>
      <c r="HC94" s="122"/>
      <c r="HD94" s="122"/>
      <c r="HE94" s="122"/>
      <c r="HF94" s="122"/>
      <c r="HG94" s="122"/>
      <c r="HH94" s="122"/>
      <c r="HI94" s="122"/>
      <c r="HJ94" s="122"/>
      <c r="HK94" s="122"/>
      <c r="HL94" s="122"/>
      <c r="HM94" s="122"/>
      <c r="HN94" s="122"/>
      <c r="HO94" s="122"/>
      <c r="HP94" s="122"/>
      <c r="HQ94" s="122"/>
      <c r="HR94" s="122"/>
      <c r="HS94" s="122"/>
      <c r="HT94" s="122"/>
      <c r="HU94" s="122"/>
      <c r="HV94" s="122"/>
      <c r="HW94" s="122"/>
      <c r="HX94" s="122"/>
      <c r="HY94" s="122"/>
      <c r="HZ94" s="122"/>
      <c r="IA94" s="122"/>
      <c r="IB94" s="122"/>
      <c r="IC94" s="122"/>
      <c r="ID94" s="122"/>
      <c r="IE94" s="122"/>
      <c r="IF94" s="122"/>
      <c r="IG94" s="122"/>
      <c r="IH94" s="122"/>
      <c r="II94" s="122"/>
      <c r="IJ94" s="122"/>
      <c r="IK94" s="122"/>
      <c r="IL94" s="122"/>
      <c r="IM94" s="122"/>
      <c r="IN94" s="122"/>
      <c r="IO94" s="122"/>
      <c r="IP94" s="122"/>
      <c r="IQ94" s="122"/>
      <c r="IR94" s="122"/>
      <c r="IS94" s="122"/>
      <c r="IT94" s="122"/>
      <c r="IU94" s="122"/>
      <c r="IV94" s="122"/>
      <c r="IW94" s="122"/>
      <c r="IX94" s="122"/>
      <c r="IY94" s="122"/>
      <c r="IZ94" s="122"/>
      <c r="JA94" s="122"/>
      <c r="JB94" s="122"/>
      <c r="JC94" s="122"/>
      <c r="JD94" s="122"/>
      <c r="JE94" s="122"/>
      <c r="JF94" s="122"/>
      <c r="JG94" s="122"/>
      <c r="JH94" s="122"/>
      <c r="JI94" s="119">
        <f t="shared" si="2"/>
        <v>18061.22</v>
      </c>
      <c r="JJ94" s="2">
        <v>37332</v>
      </c>
      <c r="JK94" s="122">
        <v>15000</v>
      </c>
      <c r="JL94" s="125">
        <f t="shared" si="1"/>
        <v>3061.2200000000012</v>
      </c>
      <c r="JM94" s="125"/>
      <c r="JN94" s="125"/>
      <c r="JO94" s="125"/>
      <c r="JP94" s="125"/>
    </row>
    <row r="95" spans="1:276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22"/>
      <c r="CA95" s="122"/>
      <c r="CB95" s="122"/>
      <c r="CC95" s="122"/>
      <c r="CD95" s="122"/>
      <c r="CE95" s="122"/>
      <c r="CF95" s="122"/>
      <c r="CG95" s="122"/>
      <c r="CH95" s="122"/>
      <c r="CI95" s="122"/>
      <c r="CJ95" s="122"/>
      <c r="CK95" s="122"/>
      <c r="CL95" s="122"/>
      <c r="CM95" s="122"/>
      <c r="CN95" s="122"/>
      <c r="CO95" s="122"/>
      <c r="CP95" s="122"/>
      <c r="CQ95" s="122"/>
      <c r="CR95" s="122"/>
      <c r="CS95" s="122"/>
      <c r="CT95" s="122"/>
      <c r="CU95" s="122">
        <v>21673.47</v>
      </c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/>
      <c r="EH95" s="122"/>
      <c r="EI95" s="122"/>
      <c r="EJ95" s="122"/>
      <c r="EK95" s="122"/>
      <c r="EL95" s="122"/>
      <c r="EM95" s="122"/>
      <c r="EN95" s="122"/>
      <c r="EO95" s="122"/>
      <c r="EP95" s="122"/>
      <c r="EQ95" s="122"/>
      <c r="ER95" s="122"/>
      <c r="ES95" s="122"/>
      <c r="ET95" s="122"/>
      <c r="EU95" s="122"/>
      <c r="EV95" s="122"/>
      <c r="EW95" s="122"/>
      <c r="EX95" s="122"/>
      <c r="EY95" s="122"/>
      <c r="EZ95" s="122"/>
      <c r="FA95" s="122"/>
      <c r="FB95" s="122"/>
      <c r="FC95" s="122"/>
      <c r="FD95" s="122"/>
      <c r="FE95" s="122"/>
      <c r="FF95" s="122"/>
      <c r="FG95" s="122"/>
      <c r="FH95" s="122"/>
      <c r="FI95" s="122"/>
      <c r="FJ95" s="122"/>
      <c r="FK95" s="122"/>
      <c r="FL95" s="122"/>
      <c r="FM95" s="122"/>
      <c r="FN95" s="122"/>
      <c r="FO95" s="122"/>
      <c r="FP95" s="122"/>
      <c r="FQ95" s="122"/>
      <c r="FR95" s="122"/>
      <c r="FS95" s="122"/>
      <c r="FT95" s="122"/>
      <c r="FU95" s="122"/>
      <c r="FV95" s="122"/>
      <c r="FW95" s="122"/>
      <c r="FX95" s="122"/>
      <c r="FY95" s="122"/>
      <c r="FZ95" s="122"/>
      <c r="GA95" s="122"/>
      <c r="GB95" s="122"/>
      <c r="GC95" s="122"/>
      <c r="GD95" s="122"/>
      <c r="GE95" s="122"/>
      <c r="GF95" s="122"/>
      <c r="GG95" s="122"/>
      <c r="GH95" s="122"/>
      <c r="GI95" s="122"/>
      <c r="GJ95" s="122"/>
      <c r="GK95" s="122"/>
      <c r="GL95" s="122"/>
      <c r="GM95" s="122"/>
      <c r="GN95" s="122"/>
      <c r="GO95" s="122"/>
      <c r="GP95" s="122"/>
      <c r="GQ95" s="122"/>
      <c r="GR95" s="122"/>
      <c r="GS95" s="122"/>
      <c r="GT95" s="122"/>
      <c r="GU95" s="122"/>
      <c r="GV95" s="122"/>
      <c r="GW95" s="122"/>
      <c r="GX95" s="122"/>
      <c r="GY95" s="122"/>
      <c r="GZ95" s="122"/>
      <c r="HA95" s="122"/>
      <c r="HB95" s="122"/>
      <c r="HC95" s="122"/>
      <c r="HD95" s="122"/>
      <c r="HE95" s="122"/>
      <c r="HF95" s="122"/>
      <c r="HG95" s="122"/>
      <c r="HH95" s="122"/>
      <c r="HI95" s="122"/>
      <c r="HJ95" s="122"/>
      <c r="HK95" s="122"/>
      <c r="HL95" s="122"/>
      <c r="HM95" s="122"/>
      <c r="HN95" s="122"/>
      <c r="HO95" s="122"/>
      <c r="HP95" s="122"/>
      <c r="HQ95" s="122"/>
      <c r="HR95" s="122"/>
      <c r="HS95" s="122"/>
      <c r="HT95" s="122"/>
      <c r="HU95" s="122"/>
      <c r="HV95" s="122"/>
      <c r="HW95" s="122"/>
      <c r="HX95" s="122"/>
      <c r="HY95" s="122"/>
      <c r="HZ95" s="122"/>
      <c r="IA95" s="122"/>
      <c r="IB95" s="122"/>
      <c r="IC95" s="122"/>
      <c r="ID95" s="122"/>
      <c r="IE95" s="122"/>
      <c r="IF95" s="122"/>
      <c r="IG95" s="122"/>
      <c r="IH95" s="122"/>
      <c r="II95" s="122"/>
      <c r="IJ95" s="122"/>
      <c r="IK95" s="122"/>
      <c r="IL95" s="122"/>
      <c r="IM95" s="122"/>
      <c r="IN95" s="122"/>
      <c r="IO95" s="122"/>
      <c r="IP95" s="122"/>
      <c r="IQ95" s="122"/>
      <c r="IR95" s="122"/>
      <c r="IS95" s="122"/>
      <c r="IT95" s="122"/>
      <c r="IU95" s="122"/>
      <c r="IV95" s="122"/>
      <c r="IW95" s="122"/>
      <c r="IX95" s="122"/>
      <c r="IY95" s="122"/>
      <c r="IZ95" s="122"/>
      <c r="JA95" s="122"/>
      <c r="JB95" s="122"/>
      <c r="JC95" s="122"/>
      <c r="JD95" s="122"/>
      <c r="JE95" s="122"/>
      <c r="JF95" s="122"/>
      <c r="JG95" s="122"/>
      <c r="JH95" s="122"/>
      <c r="JI95" s="119">
        <f t="shared" si="2"/>
        <v>21673.47</v>
      </c>
      <c r="JJ95" s="2">
        <v>37333</v>
      </c>
      <c r="JK95" s="122">
        <v>18000</v>
      </c>
      <c r="JL95" s="125">
        <f t="shared" si="1"/>
        <v>3673.4700000000012</v>
      </c>
      <c r="JM95" s="125"/>
      <c r="JN95" s="125"/>
      <c r="JO95" s="125"/>
      <c r="JP95" s="125"/>
    </row>
    <row r="96" spans="1:27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>
        <v>20000</v>
      </c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  <c r="BS96" s="122"/>
      <c r="BT96" s="122"/>
      <c r="BU96" s="122"/>
      <c r="BV96" s="122"/>
      <c r="BW96" s="122"/>
      <c r="BX96" s="122"/>
      <c r="BY96" s="122"/>
      <c r="BZ96" s="122"/>
      <c r="CA96" s="122"/>
      <c r="CB96" s="122"/>
      <c r="CC96" s="122"/>
      <c r="CD96" s="122"/>
      <c r="CE96" s="122"/>
      <c r="CF96" s="122"/>
      <c r="CG96" s="122"/>
      <c r="CH96" s="122"/>
      <c r="CI96" s="122"/>
      <c r="CJ96" s="122"/>
      <c r="CK96" s="122"/>
      <c r="CL96" s="122"/>
      <c r="CM96" s="122"/>
      <c r="CN96" s="122"/>
      <c r="CO96" s="122"/>
      <c r="CP96" s="122"/>
      <c r="CQ96" s="122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  <c r="DN96" s="122"/>
      <c r="DO96" s="122"/>
      <c r="DP96" s="122"/>
      <c r="DQ96" s="122"/>
      <c r="DR96" s="122"/>
      <c r="DS96" s="122"/>
      <c r="DT96" s="122"/>
      <c r="DU96" s="122"/>
      <c r="DV96" s="122"/>
      <c r="DW96" s="122"/>
      <c r="DX96" s="122"/>
      <c r="DY96" s="122"/>
      <c r="DZ96" s="122"/>
      <c r="EA96" s="122"/>
      <c r="EB96" s="122"/>
      <c r="EC96" s="122"/>
      <c r="ED96" s="122"/>
      <c r="EE96" s="122"/>
      <c r="EF96" s="122"/>
      <c r="EG96" s="122"/>
      <c r="EH96" s="122"/>
      <c r="EI96" s="122"/>
      <c r="EJ96" s="122"/>
      <c r="EK96" s="122"/>
      <c r="EL96" s="122"/>
      <c r="EM96" s="122"/>
      <c r="EN96" s="122"/>
      <c r="EO96" s="122"/>
      <c r="EP96" s="122"/>
      <c r="EQ96" s="122"/>
      <c r="ER96" s="122"/>
      <c r="ES96" s="122"/>
      <c r="ET96" s="122"/>
      <c r="EU96" s="122"/>
      <c r="EV96" s="122"/>
      <c r="EW96" s="122"/>
      <c r="EX96" s="122"/>
      <c r="EY96" s="122"/>
      <c r="EZ96" s="122"/>
      <c r="FA96" s="122"/>
      <c r="FB96" s="122"/>
      <c r="FC96" s="122"/>
      <c r="FD96" s="122"/>
      <c r="FE96" s="122"/>
      <c r="FF96" s="122"/>
      <c r="FG96" s="122"/>
      <c r="FH96" s="122"/>
      <c r="FI96" s="122"/>
      <c r="FJ96" s="122"/>
      <c r="FK96" s="122"/>
      <c r="FL96" s="122"/>
      <c r="FM96" s="122"/>
      <c r="FN96" s="122"/>
      <c r="FO96" s="122"/>
      <c r="FP96" s="122"/>
      <c r="FQ96" s="122"/>
      <c r="FR96" s="122"/>
      <c r="FS96" s="122"/>
      <c r="FT96" s="122"/>
      <c r="FU96" s="122"/>
      <c r="FV96" s="122"/>
      <c r="FW96" s="122"/>
      <c r="FX96" s="122"/>
      <c r="FY96" s="122"/>
      <c r="FZ96" s="122"/>
      <c r="GA96" s="122"/>
      <c r="GB96" s="122"/>
      <c r="GC96" s="122"/>
      <c r="GD96" s="122"/>
      <c r="GE96" s="122"/>
      <c r="GF96" s="122"/>
      <c r="GG96" s="122"/>
      <c r="GH96" s="122"/>
      <c r="GI96" s="122"/>
      <c r="GJ96" s="122"/>
      <c r="GK96" s="122"/>
      <c r="GL96" s="122"/>
      <c r="GM96" s="122"/>
      <c r="GN96" s="122"/>
      <c r="GO96" s="122"/>
      <c r="GP96" s="122"/>
      <c r="GQ96" s="122"/>
      <c r="GR96" s="122"/>
      <c r="GS96" s="122"/>
      <c r="GT96" s="122"/>
      <c r="GU96" s="122"/>
      <c r="GV96" s="122"/>
      <c r="GW96" s="122"/>
      <c r="GX96" s="122"/>
      <c r="GY96" s="122"/>
      <c r="GZ96" s="122"/>
      <c r="HA96" s="122"/>
      <c r="HB96" s="122"/>
      <c r="HC96" s="122"/>
      <c r="HD96" s="122"/>
      <c r="HE96" s="122"/>
      <c r="HF96" s="122"/>
      <c r="HG96" s="122"/>
      <c r="HH96" s="122"/>
      <c r="HI96" s="122"/>
      <c r="HJ96" s="122"/>
      <c r="HK96" s="122"/>
      <c r="HL96" s="122"/>
      <c r="HM96" s="122"/>
      <c r="HN96" s="122"/>
      <c r="HO96" s="122"/>
      <c r="HP96" s="122"/>
      <c r="HQ96" s="122"/>
      <c r="HR96" s="122"/>
      <c r="HS96" s="122"/>
      <c r="HT96" s="122"/>
      <c r="HU96" s="122"/>
      <c r="HV96" s="122"/>
      <c r="HW96" s="122"/>
      <c r="HX96" s="122"/>
      <c r="HY96" s="122"/>
      <c r="HZ96" s="122"/>
      <c r="IA96" s="122"/>
      <c r="IB96" s="122"/>
      <c r="IC96" s="122"/>
      <c r="ID96" s="122"/>
      <c r="IE96" s="122"/>
      <c r="IF96" s="122"/>
      <c r="IG96" s="122"/>
      <c r="IH96" s="122"/>
      <c r="II96" s="122"/>
      <c r="IJ96" s="122"/>
      <c r="IK96" s="122"/>
      <c r="IL96" s="122"/>
      <c r="IM96" s="122"/>
      <c r="IN96" s="122"/>
      <c r="IO96" s="122"/>
      <c r="IP96" s="122"/>
      <c r="IQ96" s="122"/>
      <c r="IR96" s="122"/>
      <c r="IS96" s="122"/>
      <c r="IT96" s="122"/>
      <c r="IU96" s="122"/>
      <c r="IV96" s="122"/>
      <c r="IW96" s="122"/>
      <c r="IX96" s="122"/>
      <c r="IY96" s="122"/>
      <c r="IZ96" s="122"/>
      <c r="JA96" s="122"/>
      <c r="JB96" s="122"/>
      <c r="JC96" s="122"/>
      <c r="JD96" s="122"/>
      <c r="JE96" s="122"/>
      <c r="JF96" s="122"/>
      <c r="JG96" s="122"/>
      <c r="JH96" s="122"/>
      <c r="JI96" s="119">
        <f t="shared" si="2"/>
        <v>20000</v>
      </c>
      <c r="JJ96" s="2">
        <v>37334</v>
      </c>
      <c r="JK96" s="122">
        <v>20000</v>
      </c>
      <c r="JL96" s="125">
        <f t="shared" si="1"/>
        <v>0</v>
      </c>
      <c r="JM96" s="125"/>
      <c r="JN96" s="125"/>
      <c r="JO96" s="125"/>
      <c r="JP96" s="125"/>
    </row>
    <row r="97" spans="1:276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  <c r="BS97" s="122"/>
      <c r="BT97" s="122"/>
      <c r="BU97" s="122"/>
      <c r="BV97" s="122"/>
      <c r="BW97" s="122"/>
      <c r="BX97" s="122"/>
      <c r="BY97" s="122"/>
      <c r="BZ97" s="122"/>
      <c r="CA97" s="122"/>
      <c r="CB97" s="122"/>
      <c r="CC97" s="122"/>
      <c r="CD97" s="122"/>
      <c r="CE97" s="122"/>
      <c r="CF97" s="122"/>
      <c r="CG97" s="122"/>
      <c r="CH97" s="122"/>
      <c r="CI97" s="122"/>
      <c r="CJ97" s="122"/>
      <c r="CK97" s="122"/>
      <c r="CL97" s="122"/>
      <c r="CM97" s="122"/>
      <c r="CN97" s="122"/>
      <c r="CO97" s="122"/>
      <c r="CP97" s="122"/>
      <c r="CQ97" s="122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  <c r="DN97" s="122"/>
      <c r="DO97" s="122"/>
      <c r="DP97" s="122"/>
      <c r="DQ97" s="122"/>
      <c r="DR97" s="122"/>
      <c r="DS97" s="122"/>
      <c r="DT97" s="122"/>
      <c r="DU97" s="122"/>
      <c r="DV97" s="122"/>
      <c r="DW97" s="122"/>
      <c r="DX97" s="122"/>
      <c r="DY97" s="122"/>
      <c r="DZ97" s="122"/>
      <c r="EA97" s="122"/>
      <c r="EB97" s="122"/>
      <c r="EC97" s="122"/>
      <c r="ED97" s="122"/>
      <c r="EE97" s="122"/>
      <c r="EF97" s="122"/>
      <c r="EG97" s="122"/>
      <c r="EH97" s="122"/>
      <c r="EI97" s="122"/>
      <c r="EJ97" s="122"/>
      <c r="EK97" s="122"/>
      <c r="EL97" s="122"/>
      <c r="EM97" s="122"/>
      <c r="EN97" s="122"/>
      <c r="EO97" s="122"/>
      <c r="EP97" s="122"/>
      <c r="EQ97" s="122"/>
      <c r="ER97" s="122"/>
      <c r="ES97" s="122"/>
      <c r="ET97" s="122"/>
      <c r="EU97" s="122"/>
      <c r="EV97" s="122"/>
      <c r="EW97" s="122"/>
      <c r="EX97" s="122"/>
      <c r="EY97" s="122"/>
      <c r="EZ97" s="122"/>
      <c r="FA97" s="122"/>
      <c r="FB97" s="122"/>
      <c r="FC97" s="122"/>
      <c r="FD97" s="122"/>
      <c r="FE97" s="122"/>
      <c r="FF97" s="122"/>
      <c r="FG97" s="122"/>
      <c r="FH97" s="122"/>
      <c r="FI97" s="122"/>
      <c r="FJ97" s="122"/>
      <c r="FK97" s="122"/>
      <c r="FL97" s="122"/>
      <c r="FM97" s="122"/>
      <c r="FN97" s="122"/>
      <c r="FO97" s="122"/>
      <c r="FP97" s="122"/>
      <c r="FQ97" s="122"/>
      <c r="FR97" s="122"/>
      <c r="FS97" s="122"/>
      <c r="FT97" s="122"/>
      <c r="FU97" s="122"/>
      <c r="FV97" s="122"/>
      <c r="FW97" s="122"/>
      <c r="FX97" s="122"/>
      <c r="FY97" s="122"/>
      <c r="FZ97" s="122"/>
      <c r="GA97" s="122">
        <v>57022.9</v>
      </c>
      <c r="GB97" s="122"/>
      <c r="GC97" s="122"/>
      <c r="GD97" s="122"/>
      <c r="GE97" s="122"/>
      <c r="GF97" s="122"/>
      <c r="GG97" s="122"/>
      <c r="GH97" s="122"/>
      <c r="GI97" s="122"/>
      <c r="GJ97" s="122"/>
      <c r="GK97" s="122"/>
      <c r="GL97" s="122"/>
      <c r="GM97" s="122"/>
      <c r="GN97" s="122"/>
      <c r="GO97" s="122"/>
      <c r="GP97" s="122"/>
      <c r="GQ97" s="122"/>
      <c r="GR97" s="122"/>
      <c r="GS97" s="122"/>
      <c r="GT97" s="122"/>
      <c r="GU97" s="122"/>
      <c r="GV97" s="122"/>
      <c r="GW97" s="122"/>
      <c r="GX97" s="122"/>
      <c r="GY97" s="122"/>
      <c r="GZ97" s="122"/>
      <c r="HA97" s="122"/>
      <c r="HB97" s="122"/>
      <c r="HC97" s="122"/>
      <c r="HD97" s="122"/>
      <c r="HE97" s="122"/>
      <c r="HF97" s="122"/>
      <c r="HG97" s="122"/>
      <c r="HH97" s="122"/>
      <c r="HI97" s="122"/>
      <c r="HJ97" s="122"/>
      <c r="HK97" s="122"/>
      <c r="HL97" s="122"/>
      <c r="HM97" s="122"/>
      <c r="HN97" s="122"/>
      <c r="HO97" s="122"/>
      <c r="HP97" s="122"/>
      <c r="HQ97" s="122"/>
      <c r="HR97" s="122"/>
      <c r="HS97" s="122"/>
      <c r="HT97" s="122"/>
      <c r="HU97" s="122"/>
      <c r="HV97" s="122"/>
      <c r="HW97" s="122"/>
      <c r="HX97" s="122"/>
      <c r="HY97" s="122"/>
      <c r="HZ97" s="122"/>
      <c r="IA97" s="122"/>
      <c r="IB97" s="122"/>
      <c r="IC97" s="122"/>
      <c r="ID97" s="122"/>
      <c r="IE97" s="122"/>
      <c r="IF97" s="122"/>
      <c r="IG97" s="122"/>
      <c r="IH97" s="122"/>
      <c r="II97" s="122"/>
      <c r="IJ97" s="122"/>
      <c r="IK97" s="122"/>
      <c r="IL97" s="122"/>
      <c r="IM97" s="122"/>
      <c r="IN97" s="122"/>
      <c r="IO97" s="122"/>
      <c r="IP97" s="122"/>
      <c r="IQ97" s="122"/>
      <c r="IR97" s="122"/>
      <c r="IS97" s="122"/>
      <c r="IT97" s="122"/>
      <c r="IU97" s="122"/>
      <c r="IV97" s="122"/>
      <c r="IW97" s="122"/>
      <c r="IX97" s="122"/>
      <c r="IY97" s="122"/>
      <c r="IZ97" s="122"/>
      <c r="JA97" s="122"/>
      <c r="JB97" s="122"/>
      <c r="JC97" s="122"/>
      <c r="JD97" s="122"/>
      <c r="JE97" s="122"/>
      <c r="JF97" s="122"/>
      <c r="JG97" s="122"/>
      <c r="JH97" s="122"/>
      <c r="JI97" s="119">
        <f t="shared" si="2"/>
        <v>57022.9</v>
      </c>
      <c r="JJ97" s="2">
        <v>37335</v>
      </c>
      <c r="JK97" s="122">
        <v>57022.9</v>
      </c>
      <c r="JL97" s="125">
        <f t="shared" si="1"/>
        <v>0</v>
      </c>
      <c r="JM97" s="125"/>
      <c r="JN97" s="125"/>
      <c r="JO97" s="125"/>
      <c r="JP97" s="125"/>
    </row>
    <row r="98" spans="1:276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22"/>
      <c r="CA98" s="122"/>
      <c r="CB98" s="122"/>
      <c r="CC98" s="122"/>
      <c r="CD98" s="122"/>
      <c r="CE98" s="122"/>
      <c r="CF98" s="122"/>
      <c r="CG98" s="122"/>
      <c r="CH98" s="122"/>
      <c r="CI98" s="122"/>
      <c r="CJ98" s="122"/>
      <c r="CK98" s="122"/>
      <c r="CL98" s="122"/>
      <c r="CM98" s="122"/>
      <c r="CN98" s="122"/>
      <c r="CO98" s="122"/>
      <c r="CP98" s="122"/>
      <c r="CQ98" s="122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/>
      <c r="EB98" s="122"/>
      <c r="EC98" s="122"/>
      <c r="ED98" s="122"/>
      <c r="EE98" s="122"/>
      <c r="EF98" s="122"/>
      <c r="EG98" s="122"/>
      <c r="EH98" s="122"/>
      <c r="EI98" s="122"/>
      <c r="EJ98" s="122"/>
      <c r="EK98" s="122"/>
      <c r="EL98" s="122"/>
      <c r="EM98" s="122"/>
      <c r="EN98" s="122"/>
      <c r="EO98" s="122"/>
      <c r="EP98" s="122"/>
      <c r="EQ98" s="122"/>
      <c r="ER98" s="122"/>
      <c r="ES98" s="122"/>
      <c r="ET98" s="122"/>
      <c r="EU98" s="122"/>
      <c r="EV98" s="122"/>
      <c r="EW98" s="122"/>
      <c r="EX98" s="122"/>
      <c r="EY98" s="122"/>
      <c r="EZ98" s="122"/>
      <c r="FA98" s="122"/>
      <c r="FB98" s="122"/>
      <c r="FC98" s="122"/>
      <c r="FD98" s="122"/>
      <c r="FE98" s="122"/>
      <c r="FF98" s="122"/>
      <c r="FG98" s="122"/>
      <c r="FH98" s="122"/>
      <c r="FI98" s="122"/>
      <c r="FJ98" s="122"/>
      <c r="FK98" s="122"/>
      <c r="FL98" s="122"/>
      <c r="FM98" s="122"/>
      <c r="FN98" s="122"/>
      <c r="FO98" s="122"/>
      <c r="FP98" s="122"/>
      <c r="FQ98" s="122"/>
      <c r="FR98" s="122"/>
      <c r="FS98" s="122"/>
      <c r="FT98" s="122"/>
      <c r="FU98" s="122"/>
      <c r="FV98" s="122"/>
      <c r="FW98" s="122"/>
      <c r="FX98" s="122"/>
      <c r="FY98" s="122"/>
      <c r="FZ98" s="122"/>
      <c r="GA98" s="122"/>
      <c r="GB98" s="122"/>
      <c r="GC98" s="122">
        <v>3600</v>
      </c>
      <c r="GD98" s="122"/>
      <c r="GE98" s="122"/>
      <c r="GF98" s="122"/>
      <c r="GG98" s="122"/>
      <c r="GH98" s="122"/>
      <c r="GI98" s="122"/>
      <c r="GJ98" s="122"/>
      <c r="GK98" s="122"/>
      <c r="GL98" s="122"/>
      <c r="GM98" s="122"/>
      <c r="GN98" s="122"/>
      <c r="GO98" s="122"/>
      <c r="GP98" s="122"/>
      <c r="GQ98" s="122"/>
      <c r="GR98" s="122"/>
      <c r="GS98" s="122"/>
      <c r="GT98" s="122"/>
      <c r="GU98" s="122"/>
      <c r="GV98" s="122"/>
      <c r="GW98" s="122"/>
      <c r="GX98" s="122"/>
      <c r="GY98" s="122"/>
      <c r="GZ98" s="122"/>
      <c r="HA98" s="122"/>
      <c r="HB98" s="122"/>
      <c r="HC98" s="122"/>
      <c r="HD98" s="122"/>
      <c r="HE98" s="122"/>
      <c r="HF98" s="122"/>
      <c r="HG98" s="122"/>
      <c r="HH98" s="122"/>
      <c r="HI98" s="122"/>
      <c r="HJ98" s="122"/>
      <c r="HK98" s="122"/>
      <c r="HL98" s="122"/>
      <c r="HM98" s="122"/>
      <c r="HN98" s="122"/>
      <c r="HO98" s="122"/>
      <c r="HP98" s="122"/>
      <c r="HQ98" s="122"/>
      <c r="HR98" s="122"/>
      <c r="HS98" s="122"/>
      <c r="HT98" s="122"/>
      <c r="HU98" s="122"/>
      <c r="HV98" s="122"/>
      <c r="HW98" s="122"/>
      <c r="HX98" s="122"/>
      <c r="HY98" s="122"/>
      <c r="HZ98" s="122"/>
      <c r="IA98" s="122"/>
      <c r="IB98" s="122"/>
      <c r="IC98" s="122"/>
      <c r="ID98" s="122"/>
      <c r="IE98" s="122"/>
      <c r="IF98" s="122"/>
      <c r="IG98" s="122"/>
      <c r="IH98" s="122"/>
      <c r="II98" s="122"/>
      <c r="IJ98" s="122"/>
      <c r="IK98" s="122"/>
      <c r="IL98" s="122"/>
      <c r="IM98" s="122"/>
      <c r="IN98" s="122"/>
      <c r="IO98" s="122"/>
      <c r="IP98" s="122"/>
      <c r="IQ98" s="122"/>
      <c r="IR98" s="122"/>
      <c r="IS98" s="122"/>
      <c r="IT98" s="122"/>
      <c r="IU98" s="122"/>
      <c r="IV98" s="122"/>
      <c r="IW98" s="122"/>
      <c r="IX98" s="122"/>
      <c r="IY98" s="122"/>
      <c r="IZ98" s="122"/>
      <c r="JA98" s="122"/>
      <c r="JB98" s="122"/>
      <c r="JC98" s="122"/>
      <c r="JD98" s="122"/>
      <c r="JE98" s="122"/>
      <c r="JF98" s="122"/>
      <c r="JG98" s="122"/>
      <c r="JH98" s="122"/>
      <c r="JI98" s="119">
        <f t="shared" si="2"/>
        <v>3600</v>
      </c>
      <c r="JJ98" s="2">
        <v>37336</v>
      </c>
      <c r="JK98" s="122">
        <v>3600</v>
      </c>
      <c r="JL98" s="125">
        <f t="shared" si="1"/>
        <v>0</v>
      </c>
      <c r="JM98" s="125"/>
      <c r="JN98" s="125"/>
      <c r="JO98" s="125"/>
      <c r="JP98" s="125"/>
    </row>
    <row r="99" spans="1:276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  <c r="BQ99" s="122"/>
      <c r="BR99" s="122"/>
      <c r="BS99" s="122"/>
      <c r="BT99" s="122"/>
      <c r="BU99" s="122"/>
      <c r="BV99" s="122"/>
      <c r="BW99" s="122"/>
      <c r="BX99" s="122"/>
      <c r="BY99" s="122"/>
      <c r="BZ99" s="122"/>
      <c r="CA99" s="122"/>
      <c r="CB99" s="122"/>
      <c r="CC99" s="122"/>
      <c r="CD99" s="122"/>
      <c r="CE99" s="122"/>
      <c r="CF99" s="122"/>
      <c r="CG99" s="122"/>
      <c r="CH99" s="122"/>
      <c r="CI99" s="122"/>
      <c r="CJ99" s="122"/>
      <c r="CK99" s="122"/>
      <c r="CL99" s="122"/>
      <c r="CM99" s="122"/>
      <c r="CN99" s="122"/>
      <c r="CO99" s="122"/>
      <c r="CP99" s="122"/>
      <c r="CQ99" s="122"/>
      <c r="CR99" s="122"/>
      <c r="CS99" s="122"/>
      <c r="CT99" s="122"/>
      <c r="CU99" s="122"/>
      <c r="CV99" s="122"/>
      <c r="CW99" s="122"/>
      <c r="CX99" s="122"/>
      <c r="CY99" s="122"/>
      <c r="CZ99" s="122"/>
      <c r="DA99" s="122"/>
      <c r="DB99" s="122"/>
      <c r="DC99" s="122"/>
      <c r="DD99" s="122"/>
      <c r="DE99" s="122">
        <v>10000</v>
      </c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  <c r="EE99" s="122"/>
      <c r="EF99" s="122"/>
      <c r="EG99" s="122"/>
      <c r="EH99" s="122"/>
      <c r="EI99" s="122"/>
      <c r="EJ99" s="122"/>
      <c r="EK99" s="122"/>
      <c r="EL99" s="122"/>
      <c r="EM99" s="122"/>
      <c r="EN99" s="122"/>
      <c r="EO99" s="122"/>
      <c r="EP99" s="122"/>
      <c r="EQ99" s="122"/>
      <c r="ER99" s="122"/>
      <c r="ES99" s="122"/>
      <c r="ET99" s="122"/>
      <c r="EU99" s="122"/>
      <c r="EV99" s="122"/>
      <c r="EW99" s="122"/>
      <c r="EX99" s="122"/>
      <c r="EY99" s="122"/>
      <c r="EZ99" s="122"/>
      <c r="FA99" s="122"/>
      <c r="FB99" s="122"/>
      <c r="FC99" s="122"/>
      <c r="FD99" s="122"/>
      <c r="FE99" s="122"/>
      <c r="FF99" s="122"/>
      <c r="FG99" s="122"/>
      <c r="FH99" s="122"/>
      <c r="FI99" s="122"/>
      <c r="FJ99" s="122"/>
      <c r="FK99" s="122"/>
      <c r="FL99" s="122"/>
      <c r="FM99" s="122"/>
      <c r="FN99" s="122"/>
      <c r="FO99" s="122"/>
      <c r="FP99" s="122"/>
      <c r="FQ99" s="122"/>
      <c r="FR99" s="122"/>
      <c r="FS99" s="122"/>
      <c r="FT99" s="122"/>
      <c r="FU99" s="122"/>
      <c r="FV99" s="122"/>
      <c r="FW99" s="122"/>
      <c r="FX99" s="122"/>
      <c r="FY99" s="122"/>
      <c r="FZ99" s="122"/>
      <c r="GA99" s="122"/>
      <c r="GB99" s="122"/>
      <c r="GC99" s="122"/>
      <c r="GD99" s="122"/>
      <c r="GE99" s="122"/>
      <c r="GF99" s="122"/>
      <c r="GG99" s="122"/>
      <c r="GH99" s="122"/>
      <c r="GI99" s="122"/>
      <c r="GJ99" s="122"/>
      <c r="GK99" s="122"/>
      <c r="GL99" s="122"/>
      <c r="GM99" s="122"/>
      <c r="GN99" s="122"/>
      <c r="GO99" s="122"/>
      <c r="GP99" s="122"/>
      <c r="GQ99" s="122"/>
      <c r="GR99" s="122"/>
      <c r="GS99" s="122"/>
      <c r="GT99" s="122"/>
      <c r="GU99" s="122"/>
      <c r="GV99" s="122"/>
      <c r="GW99" s="122"/>
      <c r="GX99" s="122"/>
      <c r="GY99" s="122"/>
      <c r="GZ99" s="122"/>
      <c r="HA99" s="122"/>
      <c r="HB99" s="122"/>
      <c r="HC99" s="122"/>
      <c r="HD99" s="122"/>
      <c r="HE99" s="122"/>
      <c r="HF99" s="122"/>
      <c r="HG99" s="122"/>
      <c r="HH99" s="122"/>
      <c r="HI99" s="122"/>
      <c r="HJ99" s="122"/>
      <c r="HK99" s="122"/>
      <c r="HL99" s="122"/>
      <c r="HM99" s="122"/>
      <c r="HN99" s="122"/>
      <c r="HO99" s="122"/>
      <c r="HP99" s="122"/>
      <c r="HQ99" s="122"/>
      <c r="HR99" s="122"/>
      <c r="HS99" s="122"/>
      <c r="HT99" s="122"/>
      <c r="HU99" s="122"/>
      <c r="HV99" s="122"/>
      <c r="HW99" s="122"/>
      <c r="HX99" s="122"/>
      <c r="HY99" s="122"/>
      <c r="HZ99" s="122"/>
      <c r="IA99" s="122"/>
      <c r="IB99" s="122"/>
      <c r="IC99" s="122"/>
      <c r="ID99" s="122"/>
      <c r="IE99" s="122"/>
      <c r="IF99" s="122"/>
      <c r="IG99" s="122"/>
      <c r="IH99" s="122"/>
      <c r="II99" s="122"/>
      <c r="IJ99" s="122"/>
      <c r="IK99" s="122"/>
      <c r="IL99" s="122"/>
      <c r="IM99" s="122"/>
      <c r="IN99" s="122"/>
      <c r="IO99" s="122"/>
      <c r="IP99" s="122"/>
      <c r="IQ99" s="122"/>
      <c r="IR99" s="122"/>
      <c r="IS99" s="122"/>
      <c r="IT99" s="122"/>
      <c r="IU99" s="122"/>
      <c r="IV99" s="122"/>
      <c r="IW99" s="122"/>
      <c r="IX99" s="122"/>
      <c r="IY99" s="122"/>
      <c r="IZ99" s="122"/>
      <c r="JA99" s="122"/>
      <c r="JB99" s="122"/>
      <c r="JC99" s="122"/>
      <c r="JD99" s="122"/>
      <c r="JE99" s="122"/>
      <c r="JF99" s="122"/>
      <c r="JG99" s="122"/>
      <c r="JH99" s="122"/>
      <c r="JI99" s="119">
        <f t="shared" si="2"/>
        <v>10000</v>
      </c>
      <c r="JJ99" s="2">
        <v>37337</v>
      </c>
      <c r="JK99" s="122">
        <v>10000</v>
      </c>
      <c r="JL99" s="125">
        <f t="shared" si="1"/>
        <v>0</v>
      </c>
      <c r="JM99" s="125"/>
      <c r="JN99" s="125"/>
      <c r="JO99" s="125"/>
      <c r="JP99" s="125"/>
    </row>
    <row r="100" spans="1:276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  <c r="BQ100" s="122"/>
      <c r="BR100" s="122"/>
      <c r="BS100" s="122"/>
      <c r="BT100" s="122"/>
      <c r="BU100" s="122"/>
      <c r="BV100" s="122"/>
      <c r="BW100" s="122"/>
      <c r="BX100" s="122"/>
      <c r="BY100" s="122"/>
      <c r="BZ100" s="122"/>
      <c r="CA100" s="122"/>
      <c r="CB100" s="122"/>
      <c r="CC100" s="122"/>
      <c r="CD100" s="122"/>
      <c r="CE100" s="122"/>
      <c r="CF100" s="122"/>
      <c r="CG100" s="122"/>
      <c r="CH100" s="122"/>
      <c r="CI100" s="122"/>
      <c r="CJ100" s="122"/>
      <c r="CK100" s="122"/>
      <c r="CL100" s="122"/>
      <c r="CM100" s="122"/>
      <c r="CN100" s="122"/>
      <c r="CO100" s="122"/>
      <c r="CP100" s="122"/>
      <c r="CQ100" s="122"/>
      <c r="CR100" s="122"/>
      <c r="CS100" s="122"/>
      <c r="CT100" s="122"/>
      <c r="CU100" s="122"/>
      <c r="CV100" s="122"/>
      <c r="CW100" s="122"/>
      <c r="CX100" s="122"/>
      <c r="CY100" s="122"/>
      <c r="CZ100" s="122"/>
      <c r="DA100" s="122"/>
      <c r="DB100" s="122"/>
      <c r="DC100" s="122"/>
      <c r="DD100" s="122"/>
      <c r="DE100" s="122">
        <v>10000</v>
      </c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  <c r="EE100" s="122"/>
      <c r="EF100" s="122"/>
      <c r="EG100" s="122"/>
      <c r="EH100" s="122"/>
      <c r="EI100" s="122"/>
      <c r="EJ100" s="122"/>
      <c r="EK100" s="122"/>
      <c r="EL100" s="122"/>
      <c r="EM100" s="122"/>
      <c r="EN100" s="122"/>
      <c r="EO100" s="122"/>
      <c r="EP100" s="122"/>
      <c r="EQ100" s="122"/>
      <c r="ER100" s="122"/>
      <c r="ES100" s="122"/>
      <c r="ET100" s="122"/>
      <c r="EU100" s="122"/>
      <c r="EV100" s="122"/>
      <c r="EW100" s="122"/>
      <c r="EX100" s="122"/>
      <c r="EY100" s="122"/>
      <c r="EZ100" s="122"/>
      <c r="FA100" s="122"/>
      <c r="FB100" s="122"/>
      <c r="FC100" s="122"/>
      <c r="FD100" s="122"/>
      <c r="FE100" s="122"/>
      <c r="FF100" s="122"/>
      <c r="FG100" s="122"/>
      <c r="FH100" s="122"/>
      <c r="FI100" s="122"/>
      <c r="FJ100" s="122"/>
      <c r="FK100" s="122"/>
      <c r="FL100" s="122"/>
      <c r="FM100" s="122"/>
      <c r="FN100" s="122"/>
      <c r="FO100" s="122"/>
      <c r="FP100" s="122"/>
      <c r="FQ100" s="122"/>
      <c r="FR100" s="122"/>
      <c r="FS100" s="122"/>
      <c r="FT100" s="122"/>
      <c r="FU100" s="122"/>
      <c r="FV100" s="122"/>
      <c r="FW100" s="122"/>
      <c r="FX100" s="122"/>
      <c r="FY100" s="122"/>
      <c r="FZ100" s="122"/>
      <c r="GA100" s="122"/>
      <c r="GB100" s="122"/>
      <c r="GC100" s="122"/>
      <c r="GD100" s="122"/>
      <c r="GE100" s="122"/>
      <c r="GF100" s="122"/>
      <c r="GG100" s="122"/>
      <c r="GH100" s="122"/>
      <c r="GI100" s="122"/>
      <c r="GJ100" s="122"/>
      <c r="GK100" s="122"/>
      <c r="GL100" s="122"/>
      <c r="GM100" s="122"/>
      <c r="GN100" s="122"/>
      <c r="GO100" s="122"/>
      <c r="GP100" s="122"/>
      <c r="GQ100" s="122"/>
      <c r="GR100" s="122"/>
      <c r="GS100" s="122"/>
      <c r="GT100" s="122"/>
      <c r="GU100" s="122"/>
      <c r="GV100" s="122"/>
      <c r="GW100" s="122"/>
      <c r="GX100" s="122"/>
      <c r="GY100" s="122"/>
      <c r="GZ100" s="122"/>
      <c r="HA100" s="122"/>
      <c r="HB100" s="122"/>
      <c r="HC100" s="122"/>
      <c r="HD100" s="122"/>
      <c r="HE100" s="122"/>
      <c r="HF100" s="122"/>
      <c r="HG100" s="122"/>
      <c r="HH100" s="122"/>
      <c r="HI100" s="122"/>
      <c r="HJ100" s="122"/>
      <c r="HK100" s="122"/>
      <c r="HL100" s="122"/>
      <c r="HM100" s="122"/>
      <c r="HN100" s="122"/>
      <c r="HO100" s="122"/>
      <c r="HP100" s="122"/>
      <c r="HQ100" s="122"/>
      <c r="HR100" s="122"/>
      <c r="HS100" s="122"/>
      <c r="HT100" s="122"/>
      <c r="HU100" s="122"/>
      <c r="HV100" s="122"/>
      <c r="HW100" s="122"/>
      <c r="HX100" s="122"/>
      <c r="HY100" s="122"/>
      <c r="HZ100" s="122"/>
      <c r="IA100" s="122"/>
      <c r="IB100" s="122"/>
      <c r="IC100" s="122"/>
      <c r="ID100" s="122"/>
      <c r="IE100" s="122"/>
      <c r="IF100" s="122"/>
      <c r="IG100" s="122"/>
      <c r="IH100" s="122"/>
      <c r="II100" s="122"/>
      <c r="IJ100" s="122"/>
      <c r="IK100" s="122"/>
      <c r="IL100" s="122"/>
      <c r="IM100" s="122"/>
      <c r="IN100" s="122"/>
      <c r="IO100" s="122"/>
      <c r="IP100" s="122"/>
      <c r="IQ100" s="122"/>
      <c r="IR100" s="122"/>
      <c r="IS100" s="122"/>
      <c r="IT100" s="122"/>
      <c r="IU100" s="122"/>
      <c r="IV100" s="122"/>
      <c r="IW100" s="122"/>
      <c r="IX100" s="122"/>
      <c r="IY100" s="122"/>
      <c r="IZ100" s="122"/>
      <c r="JA100" s="122"/>
      <c r="JB100" s="122"/>
      <c r="JC100" s="122"/>
      <c r="JD100" s="122"/>
      <c r="JE100" s="122"/>
      <c r="JF100" s="122"/>
      <c r="JG100" s="122"/>
      <c r="JH100" s="122"/>
      <c r="JI100" s="119">
        <f t="shared" si="2"/>
        <v>10000</v>
      </c>
      <c r="JJ100" s="2">
        <v>37338</v>
      </c>
      <c r="JK100" s="122">
        <v>10000</v>
      </c>
      <c r="JL100" s="125">
        <f t="shared" si="1"/>
        <v>0</v>
      </c>
      <c r="JM100" s="125"/>
      <c r="JN100" s="125"/>
      <c r="JO100" s="125"/>
      <c r="JP100" s="125"/>
    </row>
    <row r="101" spans="1:276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>
        <v>39734.69</v>
      </c>
      <c r="BX101" s="122"/>
      <c r="BY101" s="122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/>
      <c r="FK101" s="122"/>
      <c r="FL101" s="122"/>
      <c r="FM101" s="122"/>
      <c r="FN101" s="122"/>
      <c r="FO101" s="122"/>
      <c r="FP101" s="122"/>
      <c r="FQ101" s="122"/>
      <c r="FR101" s="122"/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  <c r="GJ101" s="122"/>
      <c r="GK101" s="122"/>
      <c r="GL101" s="122"/>
      <c r="GM101" s="122"/>
      <c r="GN101" s="122"/>
      <c r="GO101" s="122"/>
      <c r="GP101" s="122"/>
      <c r="GQ101" s="122"/>
      <c r="GR101" s="122"/>
      <c r="GS101" s="122"/>
      <c r="GT101" s="122"/>
      <c r="GU101" s="122"/>
      <c r="GV101" s="122"/>
      <c r="GW101" s="122"/>
      <c r="GX101" s="122"/>
      <c r="GY101" s="122"/>
      <c r="GZ101" s="122"/>
      <c r="HA101" s="122"/>
      <c r="HB101" s="122"/>
      <c r="HC101" s="122"/>
      <c r="HD101" s="122"/>
      <c r="HE101" s="122"/>
      <c r="HF101" s="122"/>
      <c r="HG101" s="122"/>
      <c r="HH101" s="122"/>
      <c r="HI101" s="122"/>
      <c r="HJ101" s="122"/>
      <c r="HK101" s="122"/>
      <c r="HL101" s="122"/>
      <c r="HM101" s="122"/>
      <c r="HN101" s="122"/>
      <c r="HO101" s="122"/>
      <c r="HP101" s="122"/>
      <c r="HQ101" s="122"/>
      <c r="HR101" s="122"/>
      <c r="HS101" s="122"/>
      <c r="HT101" s="122"/>
      <c r="HU101" s="122"/>
      <c r="HV101" s="122"/>
      <c r="HW101" s="122"/>
      <c r="HX101" s="122"/>
      <c r="HY101" s="122"/>
      <c r="HZ101" s="122"/>
      <c r="IA101" s="122"/>
      <c r="IB101" s="122"/>
      <c r="IC101" s="122"/>
      <c r="ID101" s="122"/>
      <c r="IE101" s="122"/>
      <c r="IF101" s="122"/>
      <c r="IG101" s="122"/>
      <c r="IH101" s="122"/>
      <c r="II101" s="122"/>
      <c r="IJ101" s="122"/>
      <c r="IK101" s="122"/>
      <c r="IL101" s="122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122"/>
      <c r="JB101" s="122"/>
      <c r="JC101" s="122"/>
      <c r="JD101" s="122"/>
      <c r="JE101" s="122"/>
      <c r="JF101" s="122"/>
      <c r="JG101" s="122"/>
      <c r="JH101" s="122"/>
      <c r="JI101" s="119">
        <f t="shared" si="2"/>
        <v>39734.69</v>
      </c>
      <c r="JJ101" s="2">
        <v>37339</v>
      </c>
      <c r="JK101" s="122">
        <v>33000</v>
      </c>
      <c r="JL101" s="125">
        <f t="shared" si="1"/>
        <v>6734.6900000000023</v>
      </c>
      <c r="JM101" s="125"/>
      <c r="JN101" s="125"/>
      <c r="JO101" s="125"/>
      <c r="JP101" s="125"/>
    </row>
    <row r="102" spans="1:276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22"/>
      <c r="CA102" s="122"/>
      <c r="CB102" s="122"/>
      <c r="CC102" s="122"/>
      <c r="CD102" s="122"/>
      <c r="CE102" s="122"/>
      <c r="CF102" s="122"/>
      <c r="CG102" s="122"/>
      <c r="CH102" s="122"/>
      <c r="CI102" s="122"/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/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  <c r="GJ102" s="122"/>
      <c r="GK102" s="122"/>
      <c r="GL102" s="122"/>
      <c r="GM102" s="122"/>
      <c r="GN102" s="122"/>
      <c r="GO102" s="122"/>
      <c r="GP102" s="122"/>
      <c r="GQ102" s="122"/>
      <c r="GR102" s="122"/>
      <c r="GS102" s="122"/>
      <c r="GT102" s="122"/>
      <c r="GU102" s="122"/>
      <c r="GV102" s="122"/>
      <c r="GW102" s="122"/>
      <c r="GX102" s="122"/>
      <c r="GY102" s="122"/>
      <c r="GZ102" s="122"/>
      <c r="HA102" s="122"/>
      <c r="HB102" s="122"/>
      <c r="HC102" s="122"/>
      <c r="HD102" s="122"/>
      <c r="HE102" s="122"/>
      <c r="HF102" s="122"/>
      <c r="HG102" s="122"/>
      <c r="HH102" s="122"/>
      <c r="HI102" s="122"/>
      <c r="HJ102" s="122"/>
      <c r="HK102" s="122"/>
      <c r="HL102" s="122"/>
      <c r="HM102" s="122"/>
      <c r="HN102" s="122"/>
      <c r="HO102" s="122"/>
      <c r="HP102" s="122"/>
      <c r="HQ102" s="122"/>
      <c r="HR102" s="122"/>
      <c r="HS102" s="122"/>
      <c r="HT102" s="122"/>
      <c r="HU102" s="122"/>
      <c r="HV102" s="122"/>
      <c r="HW102" s="122"/>
      <c r="HX102" s="122"/>
      <c r="HY102" s="122"/>
      <c r="HZ102" s="122"/>
      <c r="IA102" s="122"/>
      <c r="IB102" s="122"/>
      <c r="IC102" s="122"/>
      <c r="ID102" s="122"/>
      <c r="IE102" s="122"/>
      <c r="IF102" s="122"/>
      <c r="IG102" s="122"/>
      <c r="IH102" s="122"/>
      <c r="II102" s="122"/>
      <c r="IJ102" s="122"/>
      <c r="IK102" s="122"/>
      <c r="IL102" s="122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122"/>
      <c r="JB102" s="122"/>
      <c r="JC102" s="122"/>
      <c r="JD102" s="122"/>
      <c r="JE102" s="122"/>
      <c r="JF102" s="122"/>
      <c r="JG102" s="122"/>
      <c r="JH102" s="122"/>
      <c r="JI102" s="119"/>
      <c r="JJ102" s="2"/>
      <c r="JK102" s="122"/>
      <c r="JL102" s="125"/>
      <c r="JM102" s="125"/>
      <c r="JN102" s="125"/>
      <c r="JO102" s="125"/>
      <c r="JP102" s="125"/>
    </row>
    <row r="103" spans="1:276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22"/>
      <c r="CA103" s="122"/>
      <c r="CB103" s="122"/>
      <c r="CC103" s="122"/>
      <c r="CD103" s="122"/>
      <c r="CE103" s="122"/>
      <c r="CF103" s="122"/>
      <c r="CG103" s="122"/>
      <c r="CH103" s="122"/>
      <c r="CI103" s="122"/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  <c r="GJ103" s="122"/>
      <c r="GK103" s="122"/>
      <c r="GL103" s="122"/>
      <c r="GM103" s="122"/>
      <c r="GN103" s="122"/>
      <c r="GO103" s="122"/>
      <c r="GP103" s="122"/>
      <c r="GQ103" s="122"/>
      <c r="GR103" s="122"/>
      <c r="GS103" s="122"/>
      <c r="GT103" s="122"/>
      <c r="GU103" s="122"/>
      <c r="GV103" s="122"/>
      <c r="GW103" s="122"/>
      <c r="GX103" s="122"/>
      <c r="GY103" s="122"/>
      <c r="GZ103" s="122"/>
      <c r="HA103" s="122"/>
      <c r="HB103" s="122"/>
      <c r="HC103" s="122"/>
      <c r="HD103" s="122"/>
      <c r="HE103" s="122"/>
      <c r="HF103" s="122"/>
      <c r="HG103" s="122"/>
      <c r="HH103" s="122"/>
      <c r="HI103" s="122"/>
      <c r="HJ103" s="122"/>
      <c r="HK103" s="122"/>
      <c r="HL103" s="122"/>
      <c r="HM103" s="122"/>
      <c r="HN103" s="122"/>
      <c r="HO103" s="122"/>
      <c r="HP103" s="122"/>
      <c r="HQ103" s="122"/>
      <c r="HR103" s="122"/>
      <c r="HS103" s="122"/>
      <c r="HT103" s="122"/>
      <c r="HU103" s="122"/>
      <c r="HV103" s="122"/>
      <c r="HW103" s="122"/>
      <c r="HX103" s="122"/>
      <c r="HY103" s="122"/>
      <c r="HZ103" s="122"/>
      <c r="IA103" s="122"/>
      <c r="IB103" s="122"/>
      <c r="IC103" s="122"/>
      <c r="ID103" s="122"/>
      <c r="IE103" s="122"/>
      <c r="IF103" s="122"/>
      <c r="IG103" s="122"/>
      <c r="IH103" s="122"/>
      <c r="II103" s="122"/>
      <c r="IJ103" s="122"/>
      <c r="IK103" s="122"/>
      <c r="IL103" s="122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122"/>
      <c r="JB103" s="122"/>
      <c r="JC103" s="122"/>
      <c r="JD103" s="122"/>
      <c r="JE103" s="122"/>
      <c r="JF103" s="122"/>
      <c r="JG103" s="122"/>
      <c r="JH103" s="122"/>
      <c r="JI103" s="119"/>
      <c r="JJ103" s="2"/>
      <c r="JK103" s="122"/>
      <c r="JL103" s="125"/>
      <c r="JM103" s="125"/>
      <c r="JN103" s="125"/>
      <c r="JO103" s="125"/>
      <c r="JP103" s="125"/>
    </row>
    <row r="104" spans="1:276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22"/>
      <c r="CC104" s="122"/>
      <c r="CD104" s="122"/>
      <c r="CE104" s="122"/>
      <c r="CF104" s="122"/>
      <c r="CG104" s="122"/>
      <c r="CH104" s="122"/>
      <c r="CI104" s="122"/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/>
      <c r="FJ104" s="122"/>
      <c r="FK104" s="122"/>
      <c r="FL104" s="122"/>
      <c r="FM104" s="122"/>
      <c r="FN104" s="122"/>
      <c r="FO104" s="122"/>
      <c r="FP104" s="122"/>
      <c r="FQ104" s="122"/>
      <c r="FR104" s="122"/>
      <c r="FS104" s="122"/>
      <c r="FT104" s="122"/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  <c r="GJ104" s="122"/>
      <c r="GK104" s="122"/>
      <c r="GL104" s="122"/>
      <c r="GM104" s="122"/>
      <c r="GN104" s="122"/>
      <c r="GO104" s="122"/>
      <c r="GP104" s="122"/>
      <c r="GQ104" s="122"/>
      <c r="GR104" s="122"/>
      <c r="GS104" s="122"/>
      <c r="GT104" s="122"/>
      <c r="GU104" s="122"/>
      <c r="GV104" s="122"/>
      <c r="GW104" s="122"/>
      <c r="GX104" s="122"/>
      <c r="GY104" s="122"/>
      <c r="GZ104" s="122"/>
      <c r="HA104" s="122"/>
      <c r="HB104" s="122"/>
      <c r="HC104" s="122"/>
      <c r="HD104" s="122"/>
      <c r="HE104" s="122"/>
      <c r="HF104" s="122"/>
      <c r="HG104" s="122"/>
      <c r="HH104" s="122"/>
      <c r="HI104" s="122"/>
      <c r="HJ104" s="122"/>
      <c r="HK104" s="122"/>
      <c r="HL104" s="122"/>
      <c r="HM104" s="122"/>
      <c r="HN104" s="122"/>
      <c r="HO104" s="122"/>
      <c r="HP104" s="122"/>
      <c r="HQ104" s="122"/>
      <c r="HR104" s="122"/>
      <c r="HS104" s="122"/>
      <c r="HT104" s="122"/>
      <c r="HU104" s="122"/>
      <c r="HV104" s="122"/>
      <c r="HW104" s="122"/>
      <c r="HX104" s="122"/>
      <c r="HY104" s="122"/>
      <c r="HZ104" s="122"/>
      <c r="IA104" s="122"/>
      <c r="IB104" s="122"/>
      <c r="IC104" s="122"/>
      <c r="ID104" s="122"/>
      <c r="IE104" s="122"/>
      <c r="IF104" s="122"/>
      <c r="IG104" s="122"/>
      <c r="IH104" s="122"/>
      <c r="II104" s="122"/>
      <c r="IJ104" s="122"/>
      <c r="IK104" s="122"/>
      <c r="IL104" s="122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122"/>
      <c r="JB104" s="122"/>
      <c r="JC104" s="122"/>
      <c r="JD104" s="122"/>
      <c r="JE104" s="122"/>
      <c r="JF104" s="122"/>
      <c r="JG104" s="122"/>
      <c r="JH104" s="122"/>
      <c r="JI104" s="119"/>
      <c r="JJ104" s="2"/>
      <c r="JK104" s="122"/>
      <c r="JL104" s="125"/>
      <c r="JM104" s="125"/>
      <c r="JN104" s="125"/>
      <c r="JO104" s="125"/>
      <c r="JP104" s="125"/>
    </row>
    <row r="105" spans="1:276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22"/>
      <c r="CA105" s="122"/>
      <c r="CB105" s="122"/>
      <c r="CC105" s="122"/>
      <c r="CD105" s="122"/>
      <c r="CE105" s="122"/>
      <c r="CF105" s="122"/>
      <c r="CG105" s="122"/>
      <c r="CH105" s="122"/>
      <c r="CI105" s="122"/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/>
      <c r="FC105" s="122"/>
      <c r="FD105" s="122"/>
      <c r="FE105" s="122"/>
      <c r="FF105" s="122"/>
      <c r="FG105" s="122"/>
      <c r="FH105" s="122"/>
      <c r="FI105" s="122"/>
      <c r="FJ105" s="122"/>
      <c r="FK105" s="122"/>
      <c r="FL105" s="122"/>
      <c r="FM105" s="122"/>
      <c r="FN105" s="122"/>
      <c r="FO105" s="122"/>
      <c r="FP105" s="122"/>
      <c r="FQ105" s="122"/>
      <c r="FR105" s="122"/>
      <c r="FS105" s="122"/>
      <c r="FT105" s="122"/>
      <c r="FU105" s="122"/>
      <c r="FV105" s="122"/>
      <c r="FW105" s="122"/>
      <c r="FX105" s="122"/>
      <c r="FY105" s="122"/>
      <c r="FZ105" s="122"/>
      <c r="GA105" s="122"/>
      <c r="GB105" s="122"/>
      <c r="GC105" s="122"/>
      <c r="GD105" s="122"/>
      <c r="GE105" s="122"/>
      <c r="GF105" s="122"/>
      <c r="GG105" s="122"/>
      <c r="GH105" s="122"/>
      <c r="GI105" s="122"/>
      <c r="GJ105" s="122"/>
      <c r="GK105" s="122"/>
      <c r="GL105" s="122"/>
      <c r="GM105" s="122"/>
      <c r="GN105" s="122"/>
      <c r="GO105" s="122"/>
      <c r="GP105" s="122"/>
      <c r="GQ105" s="122"/>
      <c r="GR105" s="122"/>
      <c r="GS105" s="122"/>
      <c r="GT105" s="122"/>
      <c r="GU105" s="122"/>
      <c r="GV105" s="122"/>
      <c r="GW105" s="122"/>
      <c r="GX105" s="122"/>
      <c r="GY105" s="122"/>
      <c r="GZ105" s="122"/>
      <c r="HA105" s="122"/>
      <c r="HB105" s="122"/>
      <c r="HC105" s="122"/>
      <c r="HD105" s="122"/>
      <c r="HE105" s="122"/>
      <c r="HF105" s="122"/>
      <c r="HG105" s="122"/>
      <c r="HH105" s="122"/>
      <c r="HI105" s="122"/>
      <c r="HJ105" s="122"/>
      <c r="HK105" s="122"/>
      <c r="HL105" s="122"/>
      <c r="HM105" s="122"/>
      <c r="HN105" s="122"/>
      <c r="HO105" s="122"/>
      <c r="HP105" s="122"/>
      <c r="HQ105" s="122"/>
      <c r="HR105" s="122"/>
      <c r="HS105" s="122"/>
      <c r="HT105" s="122"/>
      <c r="HU105" s="122"/>
      <c r="HV105" s="122"/>
      <c r="HW105" s="122"/>
      <c r="HX105" s="122"/>
      <c r="HY105" s="122"/>
      <c r="HZ105" s="122"/>
      <c r="IA105" s="122"/>
      <c r="IB105" s="122"/>
      <c r="IC105" s="122"/>
      <c r="ID105" s="122"/>
      <c r="IE105" s="122"/>
      <c r="IF105" s="122"/>
      <c r="IG105" s="122"/>
      <c r="IH105" s="122"/>
      <c r="II105" s="122"/>
      <c r="IJ105" s="122"/>
      <c r="IK105" s="122"/>
      <c r="IL105" s="122"/>
      <c r="IM105" s="122"/>
      <c r="IN105" s="122"/>
      <c r="IO105" s="122"/>
      <c r="IP105" s="122"/>
      <c r="IQ105" s="122"/>
      <c r="IR105" s="122"/>
      <c r="IS105" s="122"/>
      <c r="IT105" s="122"/>
      <c r="IU105" s="122"/>
      <c r="IV105" s="122"/>
      <c r="IW105" s="122"/>
      <c r="IX105" s="122"/>
      <c r="IY105" s="122"/>
      <c r="IZ105" s="122"/>
      <c r="JA105" s="122"/>
      <c r="JB105" s="122"/>
      <c r="JC105" s="122"/>
      <c r="JD105" s="122"/>
      <c r="JE105" s="122"/>
      <c r="JF105" s="122"/>
      <c r="JG105" s="122"/>
      <c r="JH105" s="122"/>
      <c r="JI105" s="119"/>
      <c r="JJ105" s="2"/>
      <c r="JK105" s="122"/>
      <c r="JL105" s="125"/>
      <c r="JM105" s="125"/>
      <c r="JN105" s="125"/>
      <c r="JO105" s="125"/>
      <c r="JP105" s="125"/>
    </row>
    <row r="106" spans="1:27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  <c r="BS106" s="122"/>
      <c r="BT106" s="122"/>
      <c r="BU106" s="122"/>
      <c r="BV106" s="122"/>
      <c r="BW106" s="122"/>
      <c r="BX106" s="122"/>
      <c r="BY106" s="122"/>
      <c r="BZ106" s="122"/>
      <c r="CA106" s="122"/>
      <c r="CB106" s="122"/>
      <c r="CC106" s="122"/>
      <c r="CD106" s="122"/>
      <c r="CE106" s="122"/>
      <c r="CF106" s="122"/>
      <c r="CG106" s="122"/>
      <c r="CH106" s="122"/>
      <c r="CI106" s="122"/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22"/>
      <c r="FD106" s="122"/>
      <c r="FE106" s="122"/>
      <c r="FF106" s="122"/>
      <c r="FG106" s="122"/>
      <c r="FH106" s="122"/>
      <c r="FI106" s="122"/>
      <c r="FJ106" s="122"/>
      <c r="FK106" s="122"/>
      <c r="FL106" s="122"/>
      <c r="FM106" s="122"/>
      <c r="FN106" s="122"/>
      <c r="FO106" s="122"/>
      <c r="FP106" s="122"/>
      <c r="FQ106" s="122"/>
      <c r="FR106" s="122"/>
      <c r="FS106" s="122"/>
      <c r="FT106" s="122"/>
      <c r="FU106" s="122"/>
      <c r="FV106" s="122"/>
      <c r="FW106" s="122"/>
      <c r="FX106" s="122"/>
      <c r="FY106" s="122"/>
      <c r="FZ106" s="122"/>
      <c r="GA106" s="122"/>
      <c r="GB106" s="122"/>
      <c r="GC106" s="122"/>
      <c r="GD106" s="122"/>
      <c r="GE106" s="122"/>
      <c r="GF106" s="122"/>
      <c r="GG106" s="122"/>
      <c r="GH106" s="122"/>
      <c r="GI106" s="122"/>
      <c r="GJ106" s="122"/>
      <c r="GK106" s="122"/>
      <c r="GL106" s="122"/>
      <c r="GM106" s="122"/>
      <c r="GN106" s="122"/>
      <c r="GO106" s="122"/>
      <c r="GP106" s="122"/>
      <c r="GQ106" s="122"/>
      <c r="GR106" s="122"/>
      <c r="GS106" s="122"/>
      <c r="GT106" s="122"/>
      <c r="GU106" s="122"/>
      <c r="GV106" s="122"/>
      <c r="GW106" s="122"/>
      <c r="GX106" s="122"/>
      <c r="GY106" s="122"/>
      <c r="GZ106" s="122"/>
      <c r="HA106" s="122"/>
      <c r="HB106" s="122"/>
      <c r="HC106" s="122"/>
      <c r="HD106" s="122"/>
      <c r="HE106" s="122"/>
      <c r="HF106" s="122"/>
      <c r="HG106" s="122"/>
      <c r="HH106" s="122"/>
      <c r="HI106" s="122"/>
      <c r="HJ106" s="122"/>
      <c r="HK106" s="122"/>
      <c r="HL106" s="122"/>
      <c r="HM106" s="122"/>
      <c r="HN106" s="122"/>
      <c r="HO106" s="122"/>
      <c r="HP106" s="122"/>
      <c r="HQ106" s="122"/>
      <c r="HR106" s="122"/>
      <c r="HS106" s="122"/>
      <c r="HT106" s="122"/>
      <c r="HU106" s="122"/>
      <c r="HV106" s="122"/>
      <c r="HW106" s="122"/>
      <c r="HX106" s="122"/>
      <c r="HY106" s="122"/>
      <c r="HZ106" s="122"/>
      <c r="IA106" s="122"/>
      <c r="IB106" s="122"/>
      <c r="IC106" s="122"/>
      <c r="ID106" s="122"/>
      <c r="IE106" s="122"/>
      <c r="IF106" s="122"/>
      <c r="IG106" s="122"/>
      <c r="IH106" s="122"/>
      <c r="II106" s="122"/>
      <c r="IJ106" s="122"/>
      <c r="IK106" s="122"/>
      <c r="IL106" s="122"/>
      <c r="IM106" s="122"/>
      <c r="IN106" s="122"/>
      <c r="IO106" s="122"/>
      <c r="IP106" s="122"/>
      <c r="IQ106" s="122"/>
      <c r="IR106" s="122"/>
      <c r="IS106" s="122"/>
      <c r="IT106" s="122"/>
      <c r="IU106" s="122"/>
      <c r="IV106" s="122"/>
      <c r="IW106" s="122"/>
      <c r="IX106" s="122"/>
      <c r="IY106" s="122"/>
      <c r="IZ106" s="122"/>
      <c r="JA106" s="122"/>
      <c r="JB106" s="122"/>
      <c r="JC106" s="122"/>
      <c r="JD106" s="122"/>
      <c r="JE106" s="122"/>
      <c r="JF106" s="122"/>
      <c r="JG106" s="122"/>
      <c r="JH106" s="122"/>
      <c r="JI106" s="119"/>
      <c r="JJ106" s="2"/>
      <c r="JK106" s="122"/>
      <c r="JL106" s="125"/>
      <c r="JM106" s="125"/>
      <c r="JN106" s="125"/>
      <c r="JO106" s="125"/>
      <c r="JP106" s="125"/>
    </row>
    <row r="107" spans="1:276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  <c r="BS107" s="122"/>
      <c r="BT107" s="122"/>
      <c r="BU107" s="122"/>
      <c r="BV107" s="122"/>
      <c r="BW107" s="122"/>
      <c r="BX107" s="122"/>
      <c r="BY107" s="122"/>
      <c r="BZ107" s="122"/>
      <c r="CA107" s="122"/>
      <c r="CB107" s="122"/>
      <c r="CC107" s="122"/>
      <c r="CD107" s="122"/>
      <c r="CE107" s="122"/>
      <c r="CF107" s="122"/>
      <c r="CG107" s="122"/>
      <c r="CH107" s="122"/>
      <c r="CI107" s="122"/>
      <c r="CJ107" s="122"/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/>
      <c r="EM107" s="122"/>
      <c r="EN107" s="122"/>
      <c r="EO107" s="122"/>
      <c r="EP107" s="122"/>
      <c r="EQ107" s="122"/>
      <c r="ER107" s="122"/>
      <c r="ES107" s="122"/>
      <c r="ET107" s="122"/>
      <c r="EU107" s="122"/>
      <c r="EV107" s="122"/>
      <c r="EW107" s="122"/>
      <c r="EX107" s="122"/>
      <c r="EY107" s="122"/>
      <c r="EZ107" s="122"/>
      <c r="FA107" s="122"/>
      <c r="FB107" s="122"/>
      <c r="FC107" s="122"/>
      <c r="FD107" s="122"/>
      <c r="FE107" s="122"/>
      <c r="FF107" s="122"/>
      <c r="FG107" s="122"/>
      <c r="FH107" s="122"/>
      <c r="FI107" s="122"/>
      <c r="FJ107" s="122"/>
      <c r="FK107" s="122"/>
      <c r="FL107" s="122"/>
      <c r="FM107" s="122"/>
      <c r="FN107" s="122"/>
      <c r="FO107" s="122"/>
      <c r="FP107" s="122"/>
      <c r="FQ107" s="122"/>
      <c r="FR107" s="122"/>
      <c r="FS107" s="122"/>
      <c r="FT107" s="122"/>
      <c r="FU107" s="122"/>
      <c r="FV107" s="122"/>
      <c r="FW107" s="122"/>
      <c r="FX107" s="122"/>
      <c r="FY107" s="122"/>
      <c r="FZ107" s="122"/>
      <c r="GA107" s="122"/>
      <c r="GB107" s="122"/>
      <c r="GC107" s="122"/>
      <c r="GD107" s="122"/>
      <c r="GE107" s="122"/>
      <c r="GF107" s="122"/>
      <c r="GG107" s="122"/>
      <c r="GH107" s="122"/>
      <c r="GI107" s="122"/>
      <c r="GJ107" s="122"/>
      <c r="GK107" s="122"/>
      <c r="GL107" s="122"/>
      <c r="GM107" s="122"/>
      <c r="GN107" s="122"/>
      <c r="GO107" s="122"/>
      <c r="GP107" s="122"/>
      <c r="GQ107" s="122"/>
      <c r="GR107" s="122"/>
      <c r="GS107" s="122"/>
      <c r="GT107" s="122"/>
      <c r="GU107" s="122"/>
      <c r="GV107" s="122"/>
      <c r="GW107" s="122"/>
      <c r="GX107" s="122"/>
      <c r="GY107" s="122"/>
      <c r="GZ107" s="122"/>
      <c r="HA107" s="122"/>
      <c r="HB107" s="122"/>
      <c r="HC107" s="122"/>
      <c r="HD107" s="122"/>
      <c r="HE107" s="122"/>
      <c r="HF107" s="122"/>
      <c r="HG107" s="122"/>
      <c r="HH107" s="122"/>
      <c r="HI107" s="122"/>
      <c r="HJ107" s="122"/>
      <c r="HK107" s="122"/>
      <c r="HL107" s="122"/>
      <c r="HM107" s="122"/>
      <c r="HN107" s="122"/>
      <c r="HO107" s="122"/>
      <c r="HP107" s="122"/>
      <c r="HQ107" s="122"/>
      <c r="HR107" s="122"/>
      <c r="HS107" s="122"/>
      <c r="HT107" s="122"/>
      <c r="HU107" s="122"/>
      <c r="HV107" s="122"/>
      <c r="HW107" s="122"/>
      <c r="HX107" s="122"/>
      <c r="HY107" s="122"/>
      <c r="HZ107" s="122"/>
      <c r="IA107" s="122"/>
      <c r="IB107" s="122"/>
      <c r="IC107" s="122"/>
      <c r="ID107" s="122"/>
      <c r="IE107" s="122"/>
      <c r="IF107" s="122"/>
      <c r="IG107" s="122"/>
      <c r="IH107" s="122"/>
      <c r="II107" s="122"/>
      <c r="IJ107" s="122"/>
      <c r="IK107" s="122"/>
      <c r="IL107" s="122"/>
      <c r="IM107" s="122"/>
      <c r="IN107" s="122"/>
      <c r="IO107" s="122"/>
      <c r="IP107" s="122"/>
      <c r="IQ107" s="122"/>
      <c r="IR107" s="122"/>
      <c r="IS107" s="122"/>
      <c r="IT107" s="122"/>
      <c r="IU107" s="122"/>
      <c r="IV107" s="122"/>
      <c r="IW107" s="122"/>
      <c r="IX107" s="122"/>
      <c r="IY107" s="122"/>
      <c r="IZ107" s="122"/>
      <c r="JA107" s="122"/>
      <c r="JB107" s="122"/>
      <c r="JC107" s="122"/>
      <c r="JD107" s="122"/>
      <c r="JE107" s="122"/>
      <c r="JF107" s="122"/>
      <c r="JG107" s="122"/>
      <c r="JH107" s="122"/>
      <c r="JI107" s="119"/>
      <c r="JJ107" s="2"/>
      <c r="JK107" s="122"/>
      <c r="JL107" s="125"/>
      <c r="JM107" s="125"/>
      <c r="JN107" s="125"/>
      <c r="JO107" s="125"/>
      <c r="JP107" s="125"/>
    </row>
    <row r="108" spans="1:276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22"/>
      <c r="CA108" s="122"/>
      <c r="CB108" s="122"/>
      <c r="CC108" s="122"/>
      <c r="CD108" s="122"/>
      <c r="CE108" s="122"/>
      <c r="CF108" s="122"/>
      <c r="CG108" s="122"/>
      <c r="CH108" s="122"/>
      <c r="CI108" s="122"/>
      <c r="CJ108" s="122"/>
      <c r="CK108" s="122"/>
      <c r="CL108" s="122"/>
      <c r="CM108" s="122"/>
      <c r="CN108" s="122"/>
      <c r="CO108" s="122"/>
      <c r="CP108" s="122"/>
      <c r="CQ108" s="122"/>
      <c r="CR108" s="122"/>
      <c r="CS108" s="122"/>
      <c r="CT108" s="122"/>
      <c r="CU108" s="122"/>
      <c r="CV108" s="122"/>
      <c r="CW108" s="122"/>
      <c r="CX108" s="122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  <c r="EE108" s="122"/>
      <c r="EF108" s="122"/>
      <c r="EG108" s="122"/>
      <c r="EH108" s="122"/>
      <c r="EI108" s="122"/>
      <c r="EJ108" s="122"/>
      <c r="EK108" s="122"/>
      <c r="EL108" s="122"/>
      <c r="EM108" s="122"/>
      <c r="EN108" s="122"/>
      <c r="EO108" s="122"/>
      <c r="EP108" s="122"/>
      <c r="EQ108" s="122"/>
      <c r="ER108" s="122"/>
      <c r="ES108" s="122"/>
      <c r="ET108" s="122"/>
      <c r="EU108" s="122"/>
      <c r="EV108" s="122"/>
      <c r="EW108" s="122"/>
      <c r="EX108" s="122"/>
      <c r="EY108" s="122"/>
      <c r="EZ108" s="122"/>
      <c r="FA108" s="122"/>
      <c r="FB108" s="122"/>
      <c r="FC108" s="122"/>
      <c r="FD108" s="122"/>
      <c r="FE108" s="122"/>
      <c r="FF108" s="122"/>
      <c r="FG108" s="122"/>
      <c r="FH108" s="122"/>
      <c r="FI108" s="122"/>
      <c r="FJ108" s="122"/>
      <c r="FK108" s="122"/>
      <c r="FL108" s="122"/>
      <c r="FM108" s="122"/>
      <c r="FN108" s="122"/>
      <c r="FO108" s="122"/>
      <c r="FP108" s="122"/>
      <c r="FQ108" s="122"/>
      <c r="FR108" s="122"/>
      <c r="FS108" s="122"/>
      <c r="FT108" s="122"/>
      <c r="FU108" s="122"/>
      <c r="FV108" s="122"/>
      <c r="FW108" s="122"/>
      <c r="FX108" s="122"/>
      <c r="FY108" s="122"/>
      <c r="FZ108" s="122"/>
      <c r="GA108" s="122"/>
      <c r="GB108" s="122"/>
      <c r="GC108" s="122"/>
      <c r="GD108" s="122"/>
      <c r="GE108" s="122"/>
      <c r="GF108" s="122"/>
      <c r="GG108" s="122"/>
      <c r="GH108" s="122"/>
      <c r="GI108" s="122"/>
      <c r="GJ108" s="122"/>
      <c r="GK108" s="122"/>
      <c r="GL108" s="122"/>
      <c r="GM108" s="122"/>
      <c r="GN108" s="122"/>
      <c r="GO108" s="122"/>
      <c r="GP108" s="122"/>
      <c r="GQ108" s="122"/>
      <c r="GR108" s="122"/>
      <c r="GS108" s="122"/>
      <c r="GT108" s="122"/>
      <c r="GU108" s="122"/>
      <c r="GV108" s="122"/>
      <c r="GW108" s="122"/>
      <c r="GX108" s="122"/>
      <c r="GY108" s="122"/>
      <c r="GZ108" s="122"/>
      <c r="HA108" s="122"/>
      <c r="HB108" s="122"/>
      <c r="HC108" s="122"/>
      <c r="HD108" s="122"/>
      <c r="HE108" s="122"/>
      <c r="HF108" s="122"/>
      <c r="HG108" s="122"/>
      <c r="HH108" s="122"/>
      <c r="HI108" s="122"/>
      <c r="HJ108" s="122"/>
      <c r="HK108" s="122"/>
      <c r="HL108" s="122"/>
      <c r="HM108" s="122"/>
      <c r="HN108" s="122"/>
      <c r="HO108" s="122"/>
      <c r="HP108" s="122"/>
      <c r="HQ108" s="122"/>
      <c r="HR108" s="122"/>
      <c r="HS108" s="122"/>
      <c r="HT108" s="122"/>
      <c r="HU108" s="122"/>
      <c r="HV108" s="122"/>
      <c r="HW108" s="122"/>
      <c r="HX108" s="122"/>
      <c r="HY108" s="122"/>
      <c r="HZ108" s="122"/>
      <c r="IA108" s="122"/>
      <c r="IB108" s="122"/>
      <c r="IC108" s="122"/>
      <c r="ID108" s="122"/>
      <c r="IE108" s="122"/>
      <c r="IF108" s="122"/>
      <c r="IG108" s="122"/>
      <c r="IH108" s="122"/>
      <c r="II108" s="122"/>
      <c r="IJ108" s="122"/>
      <c r="IK108" s="122"/>
      <c r="IL108" s="122"/>
      <c r="IM108" s="122"/>
      <c r="IN108" s="122"/>
      <c r="IO108" s="122"/>
      <c r="IP108" s="122"/>
      <c r="IQ108" s="122"/>
      <c r="IR108" s="122"/>
      <c r="IS108" s="122"/>
      <c r="IT108" s="122"/>
      <c r="IU108" s="122"/>
      <c r="IV108" s="122"/>
      <c r="IW108" s="122"/>
      <c r="IX108" s="122"/>
      <c r="IY108" s="122"/>
      <c r="IZ108" s="122"/>
      <c r="JA108" s="122"/>
      <c r="JB108" s="122"/>
      <c r="JC108" s="122"/>
      <c r="JD108" s="122"/>
      <c r="JE108" s="122"/>
      <c r="JF108" s="122"/>
      <c r="JG108" s="122"/>
      <c r="JH108" s="122"/>
      <c r="JI108" s="119"/>
      <c r="JJ108" s="2"/>
      <c r="JK108" s="122"/>
      <c r="JL108" s="125"/>
      <c r="JM108" s="125"/>
      <c r="JN108" s="125"/>
      <c r="JO108" s="125"/>
      <c r="JP108" s="125"/>
    </row>
    <row r="109" spans="1:276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22"/>
      <c r="CJ109" s="122"/>
      <c r="CK109" s="122"/>
      <c r="CL109" s="122"/>
      <c r="CM109" s="122"/>
      <c r="CN109" s="122"/>
      <c r="CO109" s="122"/>
      <c r="CP109" s="122"/>
      <c r="CQ109" s="122"/>
      <c r="CR109" s="122"/>
      <c r="CS109" s="122"/>
      <c r="CT109" s="122"/>
      <c r="CU109" s="122"/>
      <c r="CV109" s="122"/>
      <c r="CW109" s="122"/>
      <c r="CX109" s="122"/>
      <c r="CY109" s="122"/>
      <c r="CZ109" s="122"/>
      <c r="DA109" s="122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/>
      <c r="EB109" s="122"/>
      <c r="EC109" s="122"/>
      <c r="ED109" s="122"/>
      <c r="EE109" s="122"/>
      <c r="EF109" s="122"/>
      <c r="EG109" s="122"/>
      <c r="EH109" s="122"/>
      <c r="EI109" s="122"/>
      <c r="EJ109" s="122"/>
      <c r="EK109" s="122"/>
      <c r="EL109" s="122"/>
      <c r="EM109" s="122"/>
      <c r="EN109" s="122"/>
      <c r="EO109" s="122"/>
      <c r="EP109" s="122"/>
      <c r="EQ109" s="122"/>
      <c r="ER109" s="122"/>
      <c r="ES109" s="122"/>
      <c r="ET109" s="122"/>
      <c r="EU109" s="122"/>
      <c r="EV109" s="122"/>
      <c r="EW109" s="122"/>
      <c r="EX109" s="122"/>
      <c r="EY109" s="122"/>
      <c r="EZ109" s="122"/>
      <c r="FA109" s="122"/>
      <c r="FB109" s="122"/>
      <c r="FC109" s="122"/>
      <c r="FD109" s="122"/>
      <c r="FE109" s="122"/>
      <c r="FF109" s="122"/>
      <c r="FG109" s="122"/>
      <c r="FH109" s="122"/>
      <c r="FI109" s="122"/>
      <c r="FJ109" s="122"/>
      <c r="FK109" s="122"/>
      <c r="FL109" s="122"/>
      <c r="FM109" s="122"/>
      <c r="FN109" s="122"/>
      <c r="FO109" s="122"/>
      <c r="FP109" s="122"/>
      <c r="FQ109" s="122"/>
      <c r="FR109" s="122"/>
      <c r="FS109" s="122"/>
      <c r="FT109" s="122"/>
      <c r="FU109" s="122"/>
      <c r="FV109" s="122"/>
      <c r="FW109" s="122"/>
      <c r="FX109" s="122"/>
      <c r="FY109" s="122"/>
      <c r="FZ109" s="122"/>
      <c r="GA109" s="122"/>
      <c r="GB109" s="122"/>
      <c r="GC109" s="122"/>
      <c r="GD109" s="122"/>
      <c r="GE109" s="122"/>
      <c r="GF109" s="122"/>
      <c r="GG109" s="122"/>
      <c r="GH109" s="122"/>
      <c r="GI109" s="122"/>
      <c r="GJ109" s="122"/>
      <c r="GK109" s="122"/>
      <c r="GL109" s="122"/>
      <c r="GM109" s="122"/>
      <c r="GN109" s="122"/>
      <c r="GO109" s="122"/>
      <c r="GP109" s="122"/>
      <c r="GQ109" s="122"/>
      <c r="GR109" s="122"/>
      <c r="GS109" s="122"/>
      <c r="GT109" s="122"/>
      <c r="GU109" s="122"/>
      <c r="GV109" s="122"/>
      <c r="GW109" s="122"/>
      <c r="GX109" s="122"/>
      <c r="GY109" s="122"/>
      <c r="GZ109" s="122"/>
      <c r="HA109" s="122"/>
      <c r="HB109" s="122"/>
      <c r="HC109" s="122"/>
      <c r="HD109" s="122"/>
      <c r="HE109" s="122"/>
      <c r="HF109" s="122"/>
      <c r="HG109" s="122"/>
      <c r="HH109" s="122"/>
      <c r="HI109" s="122"/>
      <c r="HJ109" s="122"/>
      <c r="HK109" s="122"/>
      <c r="HL109" s="122"/>
      <c r="HM109" s="122"/>
      <c r="HN109" s="122"/>
      <c r="HO109" s="122"/>
      <c r="HP109" s="122"/>
      <c r="HQ109" s="122"/>
      <c r="HR109" s="122"/>
      <c r="HS109" s="122"/>
      <c r="HT109" s="122"/>
      <c r="HU109" s="122"/>
      <c r="HV109" s="122"/>
      <c r="HW109" s="122"/>
      <c r="HX109" s="122"/>
      <c r="HY109" s="122"/>
      <c r="HZ109" s="122"/>
      <c r="IA109" s="122"/>
      <c r="IB109" s="122"/>
      <c r="IC109" s="122"/>
      <c r="ID109" s="122"/>
      <c r="IE109" s="122"/>
      <c r="IF109" s="122"/>
      <c r="IG109" s="122"/>
      <c r="IH109" s="122"/>
      <c r="II109" s="122"/>
      <c r="IJ109" s="122"/>
      <c r="IK109" s="122"/>
      <c r="IL109" s="122"/>
      <c r="IM109" s="122"/>
      <c r="IN109" s="122"/>
      <c r="IO109" s="122"/>
      <c r="IP109" s="122"/>
      <c r="IQ109" s="122"/>
      <c r="IR109" s="122"/>
      <c r="IS109" s="122"/>
      <c r="IT109" s="122"/>
      <c r="IU109" s="122"/>
      <c r="IV109" s="122"/>
      <c r="IW109" s="122"/>
      <c r="IX109" s="122"/>
      <c r="IY109" s="122"/>
      <c r="IZ109" s="122"/>
      <c r="JA109" s="122"/>
      <c r="JB109" s="122"/>
      <c r="JC109" s="122"/>
      <c r="JD109" s="122"/>
      <c r="JE109" s="122"/>
      <c r="JF109" s="122"/>
      <c r="JG109" s="122"/>
      <c r="JH109" s="122"/>
      <c r="JI109" s="119"/>
      <c r="JJ109" s="2"/>
      <c r="JK109" s="122"/>
      <c r="JL109" s="125"/>
      <c r="JM109" s="125"/>
      <c r="JN109" s="125"/>
      <c r="JO109" s="125"/>
      <c r="JP109" s="125"/>
    </row>
    <row r="110" spans="1:276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22"/>
      <c r="CJ110" s="122"/>
      <c r="CK110" s="122"/>
      <c r="CL110" s="122"/>
      <c r="CM110" s="122"/>
      <c r="CN110" s="122"/>
      <c r="CO110" s="122"/>
      <c r="CP110" s="122"/>
      <c r="CQ110" s="122"/>
      <c r="CR110" s="122"/>
      <c r="CS110" s="122"/>
      <c r="CT110" s="122"/>
      <c r="CU110" s="122"/>
      <c r="CV110" s="122"/>
      <c r="CW110" s="122"/>
      <c r="CX110" s="122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  <c r="EE110" s="122"/>
      <c r="EF110" s="122"/>
      <c r="EG110" s="122"/>
      <c r="EH110" s="122"/>
      <c r="EI110" s="122"/>
      <c r="EJ110" s="122"/>
      <c r="EK110" s="122"/>
      <c r="EL110" s="122"/>
      <c r="EM110" s="122"/>
      <c r="EN110" s="122"/>
      <c r="EO110" s="122"/>
      <c r="EP110" s="122"/>
      <c r="EQ110" s="122"/>
      <c r="ER110" s="122"/>
      <c r="ES110" s="122"/>
      <c r="ET110" s="122"/>
      <c r="EU110" s="122"/>
      <c r="EV110" s="122"/>
      <c r="EW110" s="122"/>
      <c r="EX110" s="122"/>
      <c r="EY110" s="122"/>
      <c r="EZ110" s="122"/>
      <c r="FA110" s="122"/>
      <c r="FB110" s="122"/>
      <c r="FC110" s="122"/>
      <c r="FD110" s="122"/>
      <c r="FE110" s="122"/>
      <c r="FF110" s="122"/>
      <c r="FG110" s="122"/>
      <c r="FH110" s="122"/>
      <c r="FI110" s="122"/>
      <c r="FJ110" s="122"/>
      <c r="FK110" s="122"/>
      <c r="FL110" s="122"/>
      <c r="FM110" s="122"/>
      <c r="FN110" s="122"/>
      <c r="FO110" s="122"/>
      <c r="FP110" s="122"/>
      <c r="FQ110" s="122"/>
      <c r="FR110" s="122"/>
      <c r="FS110" s="122"/>
      <c r="FT110" s="122"/>
      <c r="FU110" s="122"/>
      <c r="FV110" s="122"/>
      <c r="FW110" s="122"/>
      <c r="FX110" s="122"/>
      <c r="FY110" s="122"/>
      <c r="FZ110" s="122"/>
      <c r="GA110" s="122"/>
      <c r="GB110" s="122"/>
      <c r="GC110" s="122"/>
      <c r="GD110" s="122"/>
      <c r="GE110" s="122"/>
      <c r="GF110" s="122"/>
      <c r="GG110" s="122"/>
      <c r="GH110" s="122"/>
      <c r="GI110" s="122"/>
      <c r="GJ110" s="122"/>
      <c r="GK110" s="122"/>
      <c r="GL110" s="122"/>
      <c r="GM110" s="122"/>
      <c r="GN110" s="122"/>
      <c r="GO110" s="122"/>
      <c r="GP110" s="122"/>
      <c r="GQ110" s="122"/>
      <c r="GR110" s="122"/>
      <c r="GS110" s="122"/>
      <c r="GT110" s="122"/>
      <c r="GU110" s="122"/>
      <c r="GV110" s="122"/>
      <c r="GW110" s="122"/>
      <c r="GX110" s="122"/>
      <c r="GY110" s="122"/>
      <c r="GZ110" s="122"/>
      <c r="HA110" s="122"/>
      <c r="HB110" s="122"/>
      <c r="HC110" s="122"/>
      <c r="HD110" s="122"/>
      <c r="HE110" s="122"/>
      <c r="HF110" s="122"/>
      <c r="HG110" s="122"/>
      <c r="HH110" s="122"/>
      <c r="HI110" s="122"/>
      <c r="HJ110" s="122"/>
      <c r="HK110" s="122"/>
      <c r="HL110" s="122"/>
      <c r="HM110" s="122"/>
      <c r="HN110" s="122"/>
      <c r="HO110" s="122"/>
      <c r="HP110" s="122"/>
      <c r="HQ110" s="122"/>
      <c r="HR110" s="122"/>
      <c r="HS110" s="122"/>
      <c r="HT110" s="122"/>
      <c r="HU110" s="122"/>
      <c r="HV110" s="122"/>
      <c r="HW110" s="122"/>
      <c r="HX110" s="122"/>
      <c r="HY110" s="122"/>
      <c r="HZ110" s="122"/>
      <c r="IA110" s="122"/>
      <c r="IB110" s="122"/>
      <c r="IC110" s="122"/>
      <c r="ID110" s="122"/>
      <c r="IE110" s="122"/>
      <c r="IF110" s="122"/>
      <c r="IG110" s="122"/>
      <c r="IH110" s="122"/>
      <c r="II110" s="122"/>
      <c r="IJ110" s="122"/>
      <c r="IK110" s="122"/>
      <c r="IL110" s="122"/>
      <c r="IM110" s="122"/>
      <c r="IN110" s="122"/>
      <c r="IO110" s="122"/>
      <c r="IP110" s="122"/>
      <c r="IQ110" s="122"/>
      <c r="IR110" s="122"/>
      <c r="IS110" s="122"/>
      <c r="IT110" s="122"/>
      <c r="IU110" s="122"/>
      <c r="IV110" s="122"/>
      <c r="IW110" s="122"/>
      <c r="IX110" s="122"/>
      <c r="IY110" s="122"/>
      <c r="IZ110" s="122"/>
      <c r="JA110" s="122"/>
      <c r="JB110" s="122"/>
      <c r="JC110" s="122"/>
      <c r="JD110" s="122"/>
      <c r="JE110" s="122"/>
      <c r="JF110" s="122"/>
      <c r="JG110" s="122"/>
      <c r="JH110" s="122"/>
      <c r="JI110" s="119"/>
      <c r="JJ110" s="2"/>
      <c r="JK110" s="122"/>
      <c r="JL110" s="125"/>
      <c r="JM110" s="125"/>
      <c r="JN110" s="125"/>
      <c r="JO110" s="125"/>
      <c r="JP110" s="125"/>
    </row>
    <row r="111" spans="1:276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  <c r="FF111" s="122"/>
      <c r="FG111" s="122"/>
      <c r="FH111" s="122"/>
      <c r="FI111" s="122"/>
      <c r="FJ111" s="122"/>
      <c r="FK111" s="122"/>
      <c r="FL111" s="122"/>
      <c r="FM111" s="122"/>
      <c r="FN111" s="122"/>
      <c r="FO111" s="122"/>
      <c r="FP111" s="122"/>
      <c r="FQ111" s="122"/>
      <c r="FR111" s="122"/>
      <c r="FS111" s="122"/>
      <c r="FT111" s="122"/>
      <c r="FU111" s="122"/>
      <c r="FV111" s="122"/>
      <c r="FW111" s="122"/>
      <c r="FX111" s="122"/>
      <c r="FY111" s="122"/>
      <c r="FZ111" s="122"/>
      <c r="GA111" s="122"/>
      <c r="GB111" s="122"/>
      <c r="GC111" s="122"/>
      <c r="GD111" s="122"/>
      <c r="GE111" s="122"/>
      <c r="GF111" s="122"/>
      <c r="GG111" s="122"/>
      <c r="GH111" s="122"/>
      <c r="GI111" s="122"/>
      <c r="GJ111" s="122"/>
      <c r="GK111" s="122"/>
      <c r="GL111" s="122"/>
      <c r="GM111" s="122"/>
      <c r="GN111" s="122"/>
      <c r="GO111" s="122"/>
      <c r="GP111" s="122"/>
      <c r="GQ111" s="122"/>
      <c r="GR111" s="122"/>
      <c r="GS111" s="122"/>
      <c r="GT111" s="122"/>
      <c r="GU111" s="122"/>
      <c r="GV111" s="122"/>
      <c r="GW111" s="122"/>
      <c r="GX111" s="122"/>
      <c r="GY111" s="122"/>
      <c r="GZ111" s="122"/>
      <c r="HA111" s="122"/>
      <c r="HB111" s="122"/>
      <c r="HC111" s="122"/>
      <c r="HD111" s="122"/>
      <c r="HE111" s="122"/>
      <c r="HF111" s="122"/>
      <c r="HG111" s="122"/>
      <c r="HH111" s="122"/>
      <c r="HI111" s="122"/>
      <c r="HJ111" s="122"/>
      <c r="HK111" s="122"/>
      <c r="HL111" s="122"/>
      <c r="HM111" s="122"/>
      <c r="HN111" s="122"/>
      <c r="HO111" s="122"/>
      <c r="HP111" s="122"/>
      <c r="HQ111" s="122"/>
      <c r="HR111" s="122"/>
      <c r="HS111" s="122"/>
      <c r="HT111" s="122"/>
      <c r="HU111" s="122"/>
      <c r="HV111" s="122"/>
      <c r="HW111" s="122"/>
      <c r="HX111" s="122"/>
      <c r="HY111" s="122"/>
      <c r="HZ111" s="122"/>
      <c r="IA111" s="122"/>
      <c r="IB111" s="122"/>
      <c r="IC111" s="122"/>
      <c r="ID111" s="122"/>
      <c r="IE111" s="122"/>
      <c r="IF111" s="122"/>
      <c r="IG111" s="122"/>
      <c r="IH111" s="122"/>
      <c r="II111" s="122"/>
      <c r="IJ111" s="122"/>
      <c r="IK111" s="122"/>
      <c r="IL111" s="122"/>
      <c r="IM111" s="122"/>
      <c r="IN111" s="122"/>
      <c r="IO111" s="122"/>
      <c r="IP111" s="122"/>
      <c r="IQ111" s="122"/>
      <c r="IR111" s="122"/>
      <c r="IS111" s="122"/>
      <c r="IT111" s="122"/>
      <c r="IU111" s="122"/>
      <c r="IV111" s="122"/>
      <c r="IW111" s="122"/>
      <c r="IX111" s="122"/>
      <c r="IY111" s="122"/>
      <c r="IZ111" s="122"/>
      <c r="JA111" s="122"/>
      <c r="JB111" s="122"/>
      <c r="JC111" s="122"/>
      <c r="JD111" s="122"/>
      <c r="JE111" s="122"/>
      <c r="JF111" s="122"/>
      <c r="JG111" s="122"/>
      <c r="JH111" s="122"/>
      <c r="JI111" s="119"/>
      <c r="JJ111" s="2"/>
      <c r="JK111" s="122"/>
      <c r="JL111" s="125"/>
      <c r="JM111" s="125"/>
      <c r="JN111" s="125"/>
      <c r="JO111" s="125"/>
      <c r="JP111" s="125"/>
    </row>
    <row r="112" spans="1:276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  <c r="BU112" s="122"/>
      <c r="BV112" s="122"/>
      <c r="BW112" s="122"/>
      <c r="BX112" s="122"/>
      <c r="BY112" s="122"/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22"/>
      <c r="CK112" s="122"/>
      <c r="CL112" s="122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22"/>
      <c r="FD112" s="122"/>
      <c r="FE112" s="122"/>
      <c r="FF112" s="122"/>
      <c r="FG112" s="122"/>
      <c r="FH112" s="122"/>
      <c r="FI112" s="122"/>
      <c r="FJ112" s="122"/>
      <c r="FK112" s="122"/>
      <c r="FL112" s="122"/>
      <c r="FM112" s="122"/>
      <c r="FN112" s="122"/>
      <c r="FO112" s="122"/>
      <c r="FP112" s="122"/>
      <c r="FQ112" s="122"/>
      <c r="FR112" s="122"/>
      <c r="FS112" s="122"/>
      <c r="FT112" s="122"/>
      <c r="FU112" s="122"/>
      <c r="FV112" s="122"/>
      <c r="FW112" s="122"/>
      <c r="FX112" s="122"/>
      <c r="FY112" s="122"/>
      <c r="FZ112" s="122"/>
      <c r="GA112" s="122"/>
      <c r="GB112" s="122"/>
      <c r="GC112" s="122"/>
      <c r="GD112" s="122"/>
      <c r="GE112" s="122"/>
      <c r="GF112" s="122"/>
      <c r="GG112" s="122"/>
      <c r="GH112" s="122"/>
      <c r="GI112" s="122"/>
      <c r="GJ112" s="122"/>
      <c r="GK112" s="122"/>
      <c r="GL112" s="122"/>
      <c r="GM112" s="122"/>
      <c r="GN112" s="122"/>
      <c r="GO112" s="122"/>
      <c r="GP112" s="122"/>
      <c r="GQ112" s="122"/>
      <c r="GR112" s="122"/>
      <c r="GS112" s="122"/>
      <c r="GT112" s="122"/>
      <c r="GU112" s="122"/>
      <c r="GV112" s="122"/>
      <c r="GW112" s="122"/>
      <c r="GX112" s="122"/>
      <c r="GY112" s="122"/>
      <c r="GZ112" s="122"/>
      <c r="HA112" s="122"/>
      <c r="HB112" s="122"/>
      <c r="HC112" s="122"/>
      <c r="HD112" s="122"/>
      <c r="HE112" s="122"/>
      <c r="HF112" s="122"/>
      <c r="HG112" s="122"/>
      <c r="HH112" s="122"/>
      <c r="HI112" s="122"/>
      <c r="HJ112" s="122"/>
      <c r="HK112" s="122"/>
      <c r="HL112" s="122"/>
      <c r="HM112" s="122"/>
      <c r="HN112" s="122"/>
      <c r="HO112" s="122"/>
      <c r="HP112" s="122"/>
      <c r="HQ112" s="122"/>
      <c r="HR112" s="122"/>
      <c r="HS112" s="122"/>
      <c r="HT112" s="122"/>
      <c r="HU112" s="122"/>
      <c r="HV112" s="122"/>
      <c r="HW112" s="122"/>
      <c r="HX112" s="122"/>
      <c r="HY112" s="122"/>
      <c r="HZ112" s="122"/>
      <c r="IA112" s="122"/>
      <c r="IB112" s="122"/>
      <c r="IC112" s="122"/>
      <c r="ID112" s="122"/>
      <c r="IE112" s="122"/>
      <c r="IF112" s="122"/>
      <c r="IG112" s="122"/>
      <c r="IH112" s="122"/>
      <c r="II112" s="122"/>
      <c r="IJ112" s="122"/>
      <c r="IK112" s="122"/>
      <c r="IL112" s="122"/>
      <c r="IM112" s="122"/>
      <c r="IN112" s="122"/>
      <c r="IO112" s="122"/>
      <c r="IP112" s="122"/>
      <c r="IQ112" s="122"/>
      <c r="IR112" s="122"/>
      <c r="IS112" s="122"/>
      <c r="IT112" s="122"/>
      <c r="IU112" s="122"/>
      <c r="IV112" s="122"/>
      <c r="IW112" s="122"/>
      <c r="IX112" s="122"/>
      <c r="IY112" s="122"/>
      <c r="IZ112" s="122"/>
      <c r="JA112" s="122"/>
      <c r="JB112" s="122"/>
      <c r="JC112" s="122"/>
      <c r="JD112" s="122"/>
      <c r="JE112" s="122"/>
      <c r="JF112" s="122"/>
      <c r="JG112" s="122"/>
      <c r="JH112" s="122"/>
      <c r="JI112" s="119"/>
      <c r="JJ112" s="2"/>
      <c r="JK112" s="122"/>
      <c r="JL112" s="125"/>
      <c r="JM112" s="125"/>
      <c r="JN112" s="125"/>
      <c r="JO112" s="125"/>
      <c r="JP112" s="125"/>
    </row>
    <row r="113" spans="1:276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22"/>
      <c r="BS113" s="122"/>
      <c r="BT113" s="122"/>
      <c r="BU113" s="122"/>
      <c r="BV113" s="122"/>
      <c r="BW113" s="122"/>
      <c r="BX113" s="122"/>
      <c r="BY113" s="122"/>
      <c r="BZ113" s="122"/>
      <c r="CA113" s="122"/>
      <c r="CB113" s="122"/>
      <c r="CC113" s="122"/>
      <c r="CD113" s="122"/>
      <c r="CE113" s="122"/>
      <c r="CF113" s="122"/>
      <c r="CG113" s="122"/>
      <c r="CH113" s="122"/>
      <c r="CI113" s="122"/>
      <c r="CJ113" s="122"/>
      <c r="CK113" s="122"/>
      <c r="CL113" s="122"/>
      <c r="CM113" s="122"/>
      <c r="CN113" s="122"/>
      <c r="CO113" s="122"/>
      <c r="CP113" s="122"/>
      <c r="CQ113" s="122"/>
      <c r="CR113" s="122"/>
      <c r="CS113" s="122"/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  <c r="EO113" s="122"/>
      <c r="EP113" s="122"/>
      <c r="EQ113" s="122"/>
      <c r="ER113" s="122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R113" s="122"/>
      <c r="FS113" s="122"/>
      <c r="FT113" s="122"/>
      <c r="FU113" s="122"/>
      <c r="FV113" s="122"/>
      <c r="FW113" s="122"/>
      <c r="FX113" s="122"/>
      <c r="FY113" s="122"/>
      <c r="FZ113" s="122"/>
      <c r="GA113" s="122"/>
      <c r="GB113" s="122"/>
      <c r="GC113" s="122"/>
      <c r="GD113" s="122"/>
      <c r="GE113" s="122"/>
      <c r="GF113" s="122"/>
      <c r="GG113" s="122"/>
      <c r="GH113" s="122"/>
      <c r="GI113" s="122"/>
      <c r="GJ113" s="122"/>
      <c r="GK113" s="122"/>
      <c r="GL113" s="122"/>
      <c r="GM113" s="122"/>
      <c r="GN113" s="122"/>
      <c r="GO113" s="122"/>
      <c r="GP113" s="122"/>
      <c r="GQ113" s="122"/>
      <c r="GR113" s="122"/>
      <c r="GS113" s="122"/>
      <c r="GT113" s="122"/>
      <c r="GU113" s="122"/>
      <c r="GV113" s="122"/>
      <c r="GW113" s="122"/>
      <c r="GX113" s="122"/>
      <c r="GY113" s="122"/>
      <c r="GZ113" s="122"/>
      <c r="HA113" s="122"/>
      <c r="HB113" s="122"/>
      <c r="HC113" s="122"/>
      <c r="HD113" s="122"/>
      <c r="HE113" s="122"/>
      <c r="HF113" s="122"/>
      <c r="HG113" s="122"/>
      <c r="HH113" s="122"/>
      <c r="HI113" s="122"/>
      <c r="HJ113" s="122"/>
      <c r="HK113" s="122"/>
      <c r="HL113" s="122"/>
      <c r="HM113" s="122"/>
      <c r="HN113" s="122"/>
      <c r="HO113" s="122"/>
      <c r="HP113" s="122"/>
      <c r="HQ113" s="122"/>
      <c r="HR113" s="122"/>
      <c r="HS113" s="122"/>
      <c r="HT113" s="122"/>
      <c r="HU113" s="122"/>
      <c r="HV113" s="122"/>
      <c r="HW113" s="122"/>
      <c r="HX113" s="122"/>
      <c r="HY113" s="122"/>
      <c r="HZ113" s="122"/>
      <c r="IA113" s="122"/>
      <c r="IB113" s="122"/>
      <c r="IC113" s="122"/>
      <c r="ID113" s="122"/>
      <c r="IE113" s="122"/>
      <c r="IF113" s="122"/>
      <c r="IG113" s="122"/>
      <c r="IH113" s="122"/>
      <c r="II113" s="122"/>
      <c r="IJ113" s="122"/>
      <c r="IK113" s="122"/>
      <c r="IL113" s="122"/>
      <c r="IM113" s="122"/>
      <c r="IN113" s="122"/>
      <c r="IO113" s="122"/>
      <c r="IP113" s="122"/>
      <c r="IQ113" s="122"/>
      <c r="IR113" s="122"/>
      <c r="IS113" s="122"/>
      <c r="IT113" s="122"/>
      <c r="IU113" s="122"/>
      <c r="IV113" s="122"/>
      <c r="IW113" s="122"/>
      <c r="IX113" s="122"/>
      <c r="IY113" s="122"/>
      <c r="IZ113" s="122"/>
      <c r="JA113" s="122"/>
      <c r="JB113" s="122"/>
      <c r="JC113" s="122"/>
      <c r="JD113" s="122"/>
      <c r="JE113" s="122"/>
      <c r="JF113" s="122"/>
      <c r="JG113" s="122"/>
      <c r="JH113" s="122"/>
      <c r="JI113" s="119"/>
      <c r="JJ113" s="2"/>
      <c r="JK113" s="122"/>
      <c r="JL113" s="125"/>
      <c r="JM113" s="125"/>
      <c r="JN113" s="125"/>
      <c r="JO113" s="125"/>
      <c r="JP113" s="125"/>
    </row>
    <row r="114" spans="1:276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/>
      <c r="BS114" s="122"/>
      <c r="BT114" s="122"/>
      <c r="BU114" s="122"/>
      <c r="BV114" s="122"/>
      <c r="BW114" s="122"/>
      <c r="BX114" s="122"/>
      <c r="BY114" s="122"/>
      <c r="BZ114" s="122"/>
      <c r="CA114" s="122"/>
      <c r="CB114" s="122"/>
      <c r="CC114" s="122"/>
      <c r="CD114" s="122"/>
      <c r="CE114" s="122"/>
      <c r="CF114" s="122"/>
      <c r="CG114" s="122"/>
      <c r="CH114" s="122"/>
      <c r="CI114" s="122"/>
      <c r="CJ114" s="122"/>
      <c r="CK114" s="122"/>
      <c r="CL114" s="122"/>
      <c r="CM114" s="122"/>
      <c r="CN114" s="122"/>
      <c r="CO114" s="122"/>
      <c r="CP114" s="122"/>
      <c r="CQ114" s="122"/>
      <c r="CR114" s="122"/>
      <c r="CS114" s="122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  <c r="EO114" s="122"/>
      <c r="EP114" s="122"/>
      <c r="EQ114" s="122"/>
      <c r="ER114" s="122"/>
      <c r="ES114" s="122"/>
      <c r="ET114" s="122"/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/>
      <c r="FH114" s="122"/>
      <c r="FI114" s="122"/>
      <c r="FJ114" s="122"/>
      <c r="FK114" s="122"/>
      <c r="FL114" s="122"/>
      <c r="FM114" s="122"/>
      <c r="FN114" s="122"/>
      <c r="FO114" s="122"/>
      <c r="FP114" s="122"/>
      <c r="FQ114" s="122"/>
      <c r="FR114" s="122"/>
      <c r="FS114" s="122"/>
      <c r="FT114" s="122"/>
      <c r="FU114" s="122"/>
      <c r="FV114" s="122"/>
      <c r="FW114" s="122"/>
      <c r="FX114" s="122"/>
      <c r="FY114" s="122"/>
      <c r="FZ114" s="122"/>
      <c r="GA114" s="122"/>
      <c r="GB114" s="122"/>
      <c r="GC114" s="122"/>
      <c r="GD114" s="122"/>
      <c r="GE114" s="122"/>
      <c r="GF114" s="122"/>
      <c r="GG114" s="122"/>
      <c r="GH114" s="122"/>
      <c r="GI114" s="122"/>
      <c r="GJ114" s="122"/>
      <c r="GK114" s="122"/>
      <c r="GL114" s="122"/>
      <c r="GM114" s="122"/>
      <c r="GN114" s="122"/>
      <c r="GO114" s="122"/>
      <c r="GP114" s="122"/>
      <c r="GQ114" s="122"/>
      <c r="GR114" s="122"/>
      <c r="GS114" s="122"/>
      <c r="GT114" s="122"/>
      <c r="GU114" s="122"/>
      <c r="GV114" s="122"/>
      <c r="GW114" s="122"/>
      <c r="GX114" s="122"/>
      <c r="GY114" s="122"/>
      <c r="GZ114" s="122"/>
      <c r="HA114" s="122"/>
      <c r="HB114" s="122"/>
      <c r="HC114" s="122"/>
      <c r="HD114" s="122"/>
      <c r="HE114" s="122"/>
      <c r="HF114" s="122"/>
      <c r="HG114" s="122"/>
      <c r="HH114" s="122"/>
      <c r="HI114" s="122"/>
      <c r="HJ114" s="122"/>
      <c r="HK114" s="122"/>
      <c r="HL114" s="122"/>
      <c r="HM114" s="122"/>
      <c r="HN114" s="122"/>
      <c r="HO114" s="122"/>
      <c r="HP114" s="122"/>
      <c r="HQ114" s="122"/>
      <c r="HR114" s="122"/>
      <c r="HS114" s="122"/>
      <c r="HT114" s="122"/>
      <c r="HU114" s="122"/>
      <c r="HV114" s="122"/>
      <c r="HW114" s="122"/>
      <c r="HX114" s="122"/>
      <c r="HY114" s="122"/>
      <c r="HZ114" s="122"/>
      <c r="IA114" s="122"/>
      <c r="IB114" s="122"/>
      <c r="IC114" s="122"/>
      <c r="ID114" s="122"/>
      <c r="IE114" s="122"/>
      <c r="IF114" s="122"/>
      <c r="IG114" s="122"/>
      <c r="IH114" s="122"/>
      <c r="II114" s="122"/>
      <c r="IJ114" s="122"/>
      <c r="IK114" s="122"/>
      <c r="IL114" s="122"/>
      <c r="IM114" s="122"/>
      <c r="IN114" s="122"/>
      <c r="IO114" s="122"/>
      <c r="IP114" s="122"/>
      <c r="IQ114" s="122"/>
      <c r="IR114" s="122"/>
      <c r="IS114" s="122"/>
      <c r="IT114" s="122"/>
      <c r="IU114" s="122"/>
      <c r="IV114" s="122"/>
      <c r="IW114" s="122"/>
      <c r="IX114" s="122"/>
      <c r="IY114" s="122"/>
      <c r="IZ114" s="122"/>
      <c r="JA114" s="122"/>
      <c r="JB114" s="122"/>
      <c r="JC114" s="122"/>
      <c r="JD114" s="122"/>
      <c r="JE114" s="122"/>
      <c r="JF114" s="122"/>
      <c r="JG114" s="122"/>
      <c r="JH114" s="122"/>
      <c r="JI114" s="119"/>
      <c r="JJ114" s="2"/>
      <c r="JK114" s="122"/>
      <c r="JL114" s="125"/>
      <c r="JM114" s="125"/>
      <c r="JN114" s="125"/>
      <c r="JO114" s="125"/>
      <c r="JP114" s="125"/>
    </row>
    <row r="115" spans="1:276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122"/>
      <c r="CR115" s="122"/>
      <c r="CS115" s="122"/>
      <c r="CT115" s="122"/>
      <c r="CU115" s="122"/>
      <c r="CV115" s="122"/>
      <c r="CW115" s="122"/>
      <c r="CX115" s="122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Q115" s="122"/>
      <c r="ER115" s="122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22"/>
      <c r="FD115" s="122"/>
      <c r="FE115" s="122"/>
      <c r="FF115" s="122"/>
      <c r="FG115" s="122"/>
      <c r="FH115" s="122"/>
      <c r="FI115" s="122"/>
      <c r="FJ115" s="122"/>
      <c r="FK115" s="122"/>
      <c r="FL115" s="122"/>
      <c r="FM115" s="122"/>
      <c r="FN115" s="122"/>
      <c r="FO115" s="122"/>
      <c r="FP115" s="122"/>
      <c r="FQ115" s="122"/>
      <c r="FR115" s="122"/>
      <c r="FS115" s="122"/>
      <c r="FT115" s="122"/>
      <c r="FU115" s="122"/>
      <c r="FV115" s="122"/>
      <c r="FW115" s="122"/>
      <c r="FX115" s="122"/>
      <c r="FY115" s="122"/>
      <c r="FZ115" s="122"/>
      <c r="GA115" s="122"/>
      <c r="GB115" s="122"/>
      <c r="GC115" s="122"/>
      <c r="GD115" s="122"/>
      <c r="GE115" s="122"/>
      <c r="GF115" s="122"/>
      <c r="GG115" s="122"/>
      <c r="GH115" s="122"/>
      <c r="GI115" s="122"/>
      <c r="GJ115" s="122"/>
      <c r="GK115" s="122"/>
      <c r="GL115" s="122"/>
      <c r="GM115" s="122"/>
      <c r="GN115" s="122"/>
      <c r="GO115" s="122"/>
      <c r="GP115" s="122"/>
      <c r="GQ115" s="122"/>
      <c r="GR115" s="122"/>
      <c r="GS115" s="122"/>
      <c r="GT115" s="122"/>
      <c r="GU115" s="122"/>
      <c r="GV115" s="122"/>
      <c r="GW115" s="122"/>
      <c r="GX115" s="122"/>
      <c r="GY115" s="122"/>
      <c r="GZ115" s="122"/>
      <c r="HA115" s="122"/>
      <c r="HB115" s="122"/>
      <c r="HC115" s="122"/>
      <c r="HD115" s="122"/>
      <c r="HE115" s="122"/>
      <c r="HF115" s="122"/>
      <c r="HG115" s="122"/>
      <c r="HH115" s="122"/>
      <c r="HI115" s="122"/>
      <c r="HJ115" s="122"/>
      <c r="HK115" s="122"/>
      <c r="HL115" s="122"/>
      <c r="HM115" s="122"/>
      <c r="HN115" s="122"/>
      <c r="HO115" s="122"/>
      <c r="HP115" s="122"/>
      <c r="HQ115" s="122"/>
      <c r="HR115" s="122"/>
      <c r="HS115" s="122"/>
      <c r="HT115" s="122"/>
      <c r="HU115" s="122"/>
      <c r="HV115" s="122"/>
      <c r="HW115" s="122"/>
      <c r="HX115" s="122"/>
      <c r="HY115" s="122"/>
      <c r="HZ115" s="122"/>
      <c r="IA115" s="122"/>
      <c r="IB115" s="122"/>
      <c r="IC115" s="122"/>
      <c r="ID115" s="122"/>
      <c r="IE115" s="122"/>
      <c r="IF115" s="122"/>
      <c r="IG115" s="122"/>
      <c r="IH115" s="122"/>
      <c r="II115" s="122"/>
      <c r="IJ115" s="122"/>
      <c r="IK115" s="122"/>
      <c r="IL115" s="122"/>
      <c r="IM115" s="122"/>
      <c r="IN115" s="122"/>
      <c r="IO115" s="122"/>
      <c r="IP115" s="122"/>
      <c r="IQ115" s="122"/>
      <c r="IR115" s="122"/>
      <c r="IS115" s="122"/>
      <c r="IT115" s="122"/>
      <c r="IU115" s="122"/>
      <c r="IV115" s="122"/>
      <c r="IW115" s="122"/>
      <c r="IX115" s="122"/>
      <c r="IY115" s="122"/>
      <c r="IZ115" s="122"/>
      <c r="JA115" s="122"/>
      <c r="JB115" s="122"/>
      <c r="JC115" s="122"/>
      <c r="JD115" s="122"/>
      <c r="JE115" s="122"/>
      <c r="JF115" s="122"/>
      <c r="JG115" s="122"/>
      <c r="JH115" s="122"/>
      <c r="JI115" s="119"/>
      <c r="JJ115" s="2"/>
      <c r="JK115" s="122"/>
      <c r="JL115" s="125"/>
      <c r="JM115" s="125"/>
      <c r="JN115" s="125"/>
      <c r="JO115" s="125"/>
      <c r="JP115" s="125"/>
    </row>
    <row r="116" spans="1:27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22"/>
      <c r="CJ116" s="122"/>
      <c r="CK116" s="122"/>
      <c r="CL116" s="122"/>
      <c r="CM116" s="122"/>
      <c r="CN116" s="122"/>
      <c r="CO116" s="122"/>
      <c r="CP116" s="122"/>
      <c r="CQ116" s="122"/>
      <c r="CR116" s="122"/>
      <c r="CS116" s="122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  <c r="EE116" s="122"/>
      <c r="EF116" s="122"/>
      <c r="EG116" s="122"/>
      <c r="EH116" s="122"/>
      <c r="EI116" s="122"/>
      <c r="EJ116" s="122"/>
      <c r="EK116" s="122"/>
      <c r="EL116" s="122"/>
      <c r="EM116" s="122"/>
      <c r="EN116" s="122"/>
      <c r="EO116" s="122"/>
      <c r="EP116" s="122"/>
      <c r="EQ116" s="122"/>
      <c r="ER116" s="122"/>
      <c r="ES116" s="122"/>
      <c r="ET116" s="122"/>
      <c r="EU116" s="122"/>
      <c r="EV116" s="122"/>
      <c r="EW116" s="122"/>
      <c r="EX116" s="122"/>
      <c r="EY116" s="122"/>
      <c r="EZ116" s="122"/>
      <c r="FA116" s="122"/>
      <c r="FB116" s="122"/>
      <c r="FC116" s="122"/>
      <c r="FD116" s="122"/>
      <c r="FE116" s="122"/>
      <c r="FF116" s="122"/>
      <c r="FG116" s="122"/>
      <c r="FH116" s="122"/>
      <c r="FI116" s="122"/>
      <c r="FJ116" s="122"/>
      <c r="FK116" s="122"/>
      <c r="FL116" s="122"/>
      <c r="FM116" s="122"/>
      <c r="FN116" s="122"/>
      <c r="FO116" s="122"/>
      <c r="FP116" s="122"/>
      <c r="FQ116" s="122"/>
      <c r="FR116" s="122"/>
      <c r="FS116" s="122"/>
      <c r="FT116" s="122"/>
      <c r="FU116" s="122"/>
      <c r="FV116" s="122"/>
      <c r="FW116" s="122"/>
      <c r="FX116" s="122"/>
      <c r="FY116" s="122"/>
      <c r="FZ116" s="122"/>
      <c r="GA116" s="122"/>
      <c r="GB116" s="122"/>
      <c r="GC116" s="122"/>
      <c r="GD116" s="122"/>
      <c r="GE116" s="122"/>
      <c r="GF116" s="122"/>
      <c r="GG116" s="122"/>
      <c r="GH116" s="122"/>
      <c r="GI116" s="122"/>
      <c r="GJ116" s="122"/>
      <c r="GK116" s="122"/>
      <c r="GL116" s="122"/>
      <c r="GM116" s="122"/>
      <c r="GN116" s="122"/>
      <c r="GO116" s="122"/>
      <c r="GP116" s="122"/>
      <c r="GQ116" s="122"/>
      <c r="GR116" s="122"/>
      <c r="GS116" s="122"/>
      <c r="GT116" s="122"/>
      <c r="GU116" s="122"/>
      <c r="GV116" s="122"/>
      <c r="GW116" s="122"/>
      <c r="GX116" s="122"/>
      <c r="GY116" s="122"/>
      <c r="GZ116" s="122"/>
      <c r="HA116" s="122"/>
      <c r="HB116" s="122"/>
      <c r="HC116" s="122"/>
      <c r="HD116" s="122"/>
      <c r="HE116" s="122"/>
      <c r="HF116" s="122"/>
      <c r="HG116" s="122"/>
      <c r="HH116" s="122"/>
      <c r="HI116" s="122"/>
      <c r="HJ116" s="122"/>
      <c r="HK116" s="122"/>
      <c r="HL116" s="122"/>
      <c r="HM116" s="122"/>
      <c r="HN116" s="122"/>
      <c r="HO116" s="122"/>
      <c r="HP116" s="122"/>
      <c r="HQ116" s="122"/>
      <c r="HR116" s="122"/>
      <c r="HS116" s="122"/>
      <c r="HT116" s="122"/>
      <c r="HU116" s="122"/>
      <c r="HV116" s="122"/>
      <c r="HW116" s="122"/>
      <c r="HX116" s="122"/>
      <c r="HY116" s="122"/>
      <c r="HZ116" s="122"/>
      <c r="IA116" s="122"/>
      <c r="IB116" s="122"/>
      <c r="IC116" s="122"/>
      <c r="ID116" s="122"/>
      <c r="IE116" s="122"/>
      <c r="IF116" s="122"/>
      <c r="IG116" s="122"/>
      <c r="IH116" s="122"/>
      <c r="II116" s="122"/>
      <c r="IJ116" s="122"/>
      <c r="IK116" s="122"/>
      <c r="IL116" s="122"/>
      <c r="IM116" s="122"/>
      <c r="IN116" s="122"/>
      <c r="IO116" s="122"/>
      <c r="IP116" s="122"/>
      <c r="IQ116" s="122"/>
      <c r="IR116" s="122"/>
      <c r="IS116" s="122"/>
      <c r="IT116" s="122"/>
      <c r="IU116" s="122"/>
      <c r="IV116" s="122"/>
      <c r="IW116" s="122"/>
      <c r="IX116" s="122"/>
      <c r="IY116" s="122"/>
      <c r="IZ116" s="122"/>
      <c r="JA116" s="122"/>
      <c r="JB116" s="122"/>
      <c r="JC116" s="122"/>
      <c r="JD116" s="122"/>
      <c r="JE116" s="122"/>
      <c r="JF116" s="122"/>
      <c r="JG116" s="122"/>
      <c r="JH116" s="122"/>
      <c r="JI116" s="119"/>
      <c r="JJ116" s="2"/>
      <c r="JK116" s="122"/>
      <c r="JL116" s="125"/>
      <c r="JM116" s="125"/>
      <c r="JN116" s="125"/>
      <c r="JO116" s="125"/>
      <c r="JP116" s="125"/>
    </row>
    <row r="117" spans="1:276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2"/>
      <c r="CJ117" s="122"/>
      <c r="CK117" s="122"/>
      <c r="CL117" s="122"/>
      <c r="CM117" s="122"/>
      <c r="CN117" s="122"/>
      <c r="CO117" s="122"/>
      <c r="CP117" s="122"/>
      <c r="CQ117" s="122"/>
      <c r="CR117" s="122"/>
      <c r="CS117" s="122"/>
      <c r="CT117" s="122"/>
      <c r="CU117" s="122"/>
      <c r="CV117" s="122"/>
      <c r="CW117" s="122"/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/>
      <c r="ED117" s="122"/>
      <c r="EE117" s="122"/>
      <c r="EF117" s="122"/>
      <c r="EG117" s="122"/>
      <c r="EH117" s="122"/>
      <c r="EI117" s="122"/>
      <c r="EJ117" s="122"/>
      <c r="EK117" s="122"/>
      <c r="EL117" s="122"/>
      <c r="EM117" s="122"/>
      <c r="EN117" s="122"/>
      <c r="EO117" s="122"/>
      <c r="EP117" s="122"/>
      <c r="EQ117" s="122"/>
      <c r="ER117" s="122"/>
      <c r="ES117" s="122"/>
      <c r="ET117" s="122"/>
      <c r="EU117" s="122"/>
      <c r="EV117" s="122"/>
      <c r="EW117" s="122"/>
      <c r="EX117" s="122"/>
      <c r="EY117" s="122"/>
      <c r="EZ117" s="122"/>
      <c r="FA117" s="122"/>
      <c r="FB117" s="122"/>
      <c r="FC117" s="122"/>
      <c r="FD117" s="122"/>
      <c r="FE117" s="122"/>
      <c r="FF117" s="122"/>
      <c r="FG117" s="122"/>
      <c r="FH117" s="122"/>
      <c r="FI117" s="122"/>
      <c r="FJ117" s="122"/>
      <c r="FK117" s="122"/>
      <c r="FL117" s="122"/>
      <c r="FM117" s="122"/>
      <c r="FN117" s="122"/>
      <c r="FO117" s="122"/>
      <c r="FP117" s="122"/>
      <c r="FQ117" s="122"/>
      <c r="FR117" s="122"/>
      <c r="FS117" s="122"/>
      <c r="FT117" s="122"/>
      <c r="FU117" s="122"/>
      <c r="FV117" s="122"/>
      <c r="FW117" s="122"/>
      <c r="FX117" s="122"/>
      <c r="FY117" s="122"/>
      <c r="FZ117" s="122"/>
      <c r="GA117" s="122"/>
      <c r="GB117" s="122"/>
      <c r="GC117" s="122"/>
      <c r="GD117" s="122"/>
      <c r="GE117" s="122"/>
      <c r="GF117" s="122"/>
      <c r="GG117" s="122"/>
      <c r="GH117" s="122"/>
      <c r="GI117" s="122"/>
      <c r="GJ117" s="122"/>
      <c r="GK117" s="122"/>
      <c r="GL117" s="122"/>
      <c r="GM117" s="122"/>
      <c r="GN117" s="122"/>
      <c r="GO117" s="122"/>
      <c r="GP117" s="122"/>
      <c r="GQ117" s="122"/>
      <c r="GR117" s="122"/>
      <c r="GS117" s="122"/>
      <c r="GT117" s="122"/>
      <c r="GU117" s="122"/>
      <c r="GV117" s="122"/>
      <c r="GW117" s="122"/>
      <c r="GX117" s="122"/>
      <c r="GY117" s="122"/>
      <c r="GZ117" s="122"/>
      <c r="HA117" s="122"/>
      <c r="HB117" s="122"/>
      <c r="HC117" s="122"/>
      <c r="HD117" s="122"/>
      <c r="HE117" s="122"/>
      <c r="HF117" s="122"/>
      <c r="HG117" s="122"/>
      <c r="HH117" s="122"/>
      <c r="HI117" s="122"/>
      <c r="HJ117" s="122"/>
      <c r="HK117" s="122"/>
      <c r="HL117" s="122"/>
      <c r="HM117" s="122"/>
      <c r="HN117" s="122"/>
      <c r="HO117" s="122"/>
      <c r="HP117" s="122"/>
      <c r="HQ117" s="122"/>
      <c r="HR117" s="122"/>
      <c r="HS117" s="122"/>
      <c r="HT117" s="122"/>
      <c r="HU117" s="122"/>
      <c r="HV117" s="122"/>
      <c r="HW117" s="122"/>
      <c r="HX117" s="122"/>
      <c r="HY117" s="122"/>
      <c r="HZ117" s="122"/>
      <c r="IA117" s="122"/>
      <c r="IB117" s="122"/>
      <c r="IC117" s="122"/>
      <c r="ID117" s="122"/>
      <c r="IE117" s="122"/>
      <c r="IF117" s="122"/>
      <c r="IG117" s="122"/>
      <c r="IH117" s="122"/>
      <c r="II117" s="122"/>
      <c r="IJ117" s="122"/>
      <c r="IK117" s="122"/>
      <c r="IL117" s="122"/>
      <c r="IM117" s="122"/>
      <c r="IN117" s="122"/>
      <c r="IO117" s="122"/>
      <c r="IP117" s="122"/>
      <c r="IQ117" s="122"/>
      <c r="IR117" s="122"/>
      <c r="IS117" s="122"/>
      <c r="IT117" s="122"/>
      <c r="IU117" s="122"/>
      <c r="IV117" s="122"/>
      <c r="IW117" s="122"/>
      <c r="IX117" s="122"/>
      <c r="IY117" s="122"/>
      <c r="IZ117" s="122"/>
      <c r="JA117" s="122"/>
      <c r="JB117" s="122"/>
      <c r="JC117" s="122"/>
      <c r="JD117" s="122"/>
      <c r="JE117" s="122"/>
      <c r="JF117" s="122"/>
      <c r="JG117" s="122"/>
      <c r="JH117" s="122"/>
      <c r="JI117" s="119"/>
      <c r="JJ117" s="2"/>
      <c r="JK117" s="122"/>
      <c r="JL117" s="125"/>
      <c r="JM117" s="125"/>
      <c r="JN117" s="125"/>
      <c r="JO117" s="125"/>
      <c r="JP117" s="125"/>
    </row>
    <row r="118" spans="1:276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22"/>
      <c r="BW118" s="12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22"/>
      <c r="CI118" s="122"/>
      <c r="CJ118" s="122"/>
      <c r="CK118" s="122"/>
      <c r="CL118" s="122"/>
      <c r="CM118" s="122"/>
      <c r="CN118" s="122"/>
      <c r="CO118" s="122"/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  <c r="EE118" s="122"/>
      <c r="EF118" s="122"/>
      <c r="EG118" s="122"/>
      <c r="EH118" s="122"/>
      <c r="EI118" s="122"/>
      <c r="EJ118" s="122"/>
      <c r="EK118" s="122"/>
      <c r="EL118" s="122"/>
      <c r="EM118" s="122"/>
      <c r="EN118" s="122"/>
      <c r="EO118" s="122"/>
      <c r="EP118" s="122"/>
      <c r="EQ118" s="122"/>
      <c r="ER118" s="122"/>
      <c r="ES118" s="122"/>
      <c r="ET118" s="122"/>
      <c r="EU118" s="122"/>
      <c r="EV118" s="122"/>
      <c r="EW118" s="122"/>
      <c r="EX118" s="122"/>
      <c r="EY118" s="122"/>
      <c r="EZ118" s="122"/>
      <c r="FA118" s="122"/>
      <c r="FB118" s="122"/>
      <c r="FC118" s="122"/>
      <c r="FD118" s="122"/>
      <c r="FE118" s="122"/>
      <c r="FF118" s="122"/>
      <c r="FG118" s="122"/>
      <c r="FH118" s="122"/>
      <c r="FI118" s="122"/>
      <c r="FJ118" s="122"/>
      <c r="FK118" s="122"/>
      <c r="FL118" s="122"/>
      <c r="FM118" s="122"/>
      <c r="FN118" s="122"/>
      <c r="FO118" s="122"/>
      <c r="FP118" s="122"/>
      <c r="FQ118" s="122"/>
      <c r="FR118" s="122"/>
      <c r="FS118" s="122"/>
      <c r="FT118" s="122"/>
      <c r="FU118" s="122"/>
      <c r="FV118" s="122"/>
      <c r="FW118" s="122"/>
      <c r="FX118" s="122"/>
      <c r="FY118" s="122"/>
      <c r="FZ118" s="122"/>
      <c r="GA118" s="122"/>
      <c r="GB118" s="122"/>
      <c r="GC118" s="122"/>
      <c r="GD118" s="122"/>
      <c r="GE118" s="122"/>
      <c r="GF118" s="122"/>
      <c r="GG118" s="122"/>
      <c r="GH118" s="122"/>
      <c r="GI118" s="122"/>
      <c r="GJ118" s="122"/>
      <c r="GK118" s="122"/>
      <c r="GL118" s="122"/>
      <c r="GM118" s="122"/>
      <c r="GN118" s="122"/>
      <c r="GO118" s="122"/>
      <c r="GP118" s="122"/>
      <c r="GQ118" s="122"/>
      <c r="GR118" s="122"/>
      <c r="GS118" s="122"/>
      <c r="GT118" s="122"/>
      <c r="GU118" s="122"/>
      <c r="GV118" s="122"/>
      <c r="GW118" s="122"/>
      <c r="GX118" s="122"/>
      <c r="GY118" s="122"/>
      <c r="GZ118" s="122"/>
      <c r="HA118" s="122"/>
      <c r="HB118" s="122"/>
      <c r="HC118" s="122"/>
      <c r="HD118" s="122"/>
      <c r="HE118" s="122"/>
      <c r="HF118" s="122"/>
      <c r="HG118" s="122"/>
      <c r="HH118" s="122"/>
      <c r="HI118" s="122"/>
      <c r="HJ118" s="122"/>
      <c r="HK118" s="122"/>
      <c r="HL118" s="122"/>
      <c r="HM118" s="122"/>
      <c r="HN118" s="122"/>
      <c r="HO118" s="122"/>
      <c r="HP118" s="122"/>
      <c r="HQ118" s="122"/>
      <c r="HR118" s="122"/>
      <c r="HS118" s="122"/>
      <c r="HT118" s="122"/>
      <c r="HU118" s="122"/>
      <c r="HV118" s="122"/>
      <c r="HW118" s="122"/>
      <c r="HX118" s="122"/>
      <c r="HY118" s="122"/>
      <c r="HZ118" s="122"/>
      <c r="IA118" s="122"/>
      <c r="IB118" s="122"/>
      <c r="IC118" s="122"/>
      <c r="ID118" s="122"/>
      <c r="IE118" s="122"/>
      <c r="IF118" s="122"/>
      <c r="IG118" s="122"/>
      <c r="IH118" s="122"/>
      <c r="II118" s="122"/>
      <c r="IJ118" s="122"/>
      <c r="IK118" s="122"/>
      <c r="IL118" s="122"/>
      <c r="IM118" s="122"/>
      <c r="IN118" s="122"/>
      <c r="IO118" s="122"/>
      <c r="IP118" s="122"/>
      <c r="IQ118" s="122"/>
      <c r="IR118" s="122"/>
      <c r="IS118" s="122"/>
      <c r="IT118" s="122"/>
      <c r="IU118" s="122"/>
      <c r="IV118" s="122"/>
      <c r="IW118" s="122"/>
      <c r="IX118" s="122"/>
      <c r="IY118" s="122"/>
      <c r="IZ118" s="122"/>
      <c r="JA118" s="122"/>
      <c r="JB118" s="122"/>
      <c r="JC118" s="122"/>
      <c r="JD118" s="122"/>
      <c r="JE118" s="122"/>
      <c r="JF118" s="122"/>
      <c r="JG118" s="122"/>
      <c r="JH118" s="122"/>
      <c r="JI118" s="119"/>
      <c r="JJ118" s="2"/>
      <c r="JK118" s="122"/>
      <c r="JL118" s="125"/>
      <c r="JM118" s="125"/>
      <c r="JN118" s="125"/>
      <c r="JO118" s="125"/>
      <c r="JP118" s="125"/>
    </row>
    <row r="119" spans="1:276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  <c r="BS119" s="122"/>
      <c r="BT119" s="122"/>
      <c r="BU119" s="122"/>
      <c r="BV119" s="122"/>
      <c r="BW119" s="122"/>
      <c r="BX119" s="122"/>
      <c r="BY119" s="122"/>
      <c r="BZ119" s="122"/>
      <c r="CA119" s="122"/>
      <c r="CB119" s="122"/>
      <c r="CC119" s="122"/>
      <c r="CD119" s="122"/>
      <c r="CE119" s="122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122"/>
      <c r="CP119" s="122"/>
      <c r="CQ119" s="122"/>
      <c r="CR119" s="122"/>
      <c r="CS119" s="122"/>
      <c r="CT119" s="122"/>
      <c r="CU119" s="122"/>
      <c r="CV119" s="122"/>
      <c r="CW119" s="122"/>
      <c r="CX119" s="122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2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/>
      <c r="EB119" s="122"/>
      <c r="EC119" s="122"/>
      <c r="ED119" s="122"/>
      <c r="EE119" s="122"/>
      <c r="EF119" s="122"/>
      <c r="EG119" s="122"/>
      <c r="EH119" s="122"/>
      <c r="EI119" s="122"/>
      <c r="EJ119" s="122"/>
      <c r="EK119" s="122"/>
      <c r="EL119" s="122"/>
      <c r="EM119" s="122"/>
      <c r="EN119" s="122"/>
      <c r="EO119" s="122"/>
      <c r="EP119" s="122"/>
      <c r="EQ119" s="122"/>
      <c r="ER119" s="122"/>
      <c r="ES119" s="122"/>
      <c r="ET119" s="122"/>
      <c r="EU119" s="122"/>
      <c r="EV119" s="122"/>
      <c r="EW119" s="122"/>
      <c r="EX119" s="122"/>
      <c r="EY119" s="122"/>
      <c r="EZ119" s="122"/>
      <c r="FA119" s="122"/>
      <c r="FB119" s="122"/>
      <c r="FC119" s="122"/>
      <c r="FD119" s="122"/>
      <c r="FE119" s="122"/>
      <c r="FF119" s="122"/>
      <c r="FG119" s="122"/>
      <c r="FH119" s="122"/>
      <c r="FI119" s="122"/>
      <c r="FJ119" s="122"/>
      <c r="FK119" s="122"/>
      <c r="FL119" s="122"/>
      <c r="FM119" s="122"/>
      <c r="FN119" s="122"/>
      <c r="FO119" s="122"/>
      <c r="FP119" s="122"/>
      <c r="FQ119" s="122"/>
      <c r="FR119" s="122"/>
      <c r="FS119" s="122"/>
      <c r="FT119" s="122"/>
      <c r="FU119" s="122"/>
      <c r="FV119" s="122"/>
      <c r="FW119" s="122"/>
      <c r="FX119" s="122"/>
      <c r="FY119" s="122"/>
      <c r="FZ119" s="122"/>
      <c r="GA119" s="122"/>
      <c r="GB119" s="122"/>
      <c r="GC119" s="122"/>
      <c r="GD119" s="122"/>
      <c r="GE119" s="122"/>
      <c r="GF119" s="122"/>
      <c r="GG119" s="122"/>
      <c r="GH119" s="122"/>
      <c r="GI119" s="122"/>
      <c r="GJ119" s="122"/>
      <c r="GK119" s="122"/>
      <c r="GL119" s="122"/>
      <c r="GM119" s="122"/>
      <c r="GN119" s="122"/>
      <c r="GO119" s="122"/>
      <c r="GP119" s="122"/>
      <c r="GQ119" s="122"/>
      <c r="GR119" s="122"/>
      <c r="GS119" s="122"/>
      <c r="GT119" s="122"/>
      <c r="GU119" s="122"/>
      <c r="GV119" s="122"/>
      <c r="GW119" s="122"/>
      <c r="GX119" s="122"/>
      <c r="GY119" s="122"/>
      <c r="GZ119" s="122"/>
      <c r="HA119" s="122"/>
      <c r="HB119" s="122"/>
      <c r="HC119" s="122"/>
      <c r="HD119" s="122"/>
      <c r="HE119" s="122"/>
      <c r="HF119" s="122"/>
      <c r="HG119" s="122"/>
      <c r="HH119" s="122"/>
      <c r="HI119" s="122"/>
      <c r="HJ119" s="122"/>
      <c r="HK119" s="122"/>
      <c r="HL119" s="122"/>
      <c r="HM119" s="122"/>
      <c r="HN119" s="122"/>
      <c r="HO119" s="122"/>
      <c r="HP119" s="122"/>
      <c r="HQ119" s="122"/>
      <c r="HR119" s="122"/>
      <c r="HS119" s="122"/>
      <c r="HT119" s="122"/>
      <c r="HU119" s="122"/>
      <c r="HV119" s="122"/>
      <c r="HW119" s="122"/>
      <c r="HX119" s="122"/>
      <c r="HY119" s="122"/>
      <c r="HZ119" s="122"/>
      <c r="IA119" s="122"/>
      <c r="IB119" s="122"/>
      <c r="IC119" s="122"/>
      <c r="ID119" s="122"/>
      <c r="IE119" s="122"/>
      <c r="IF119" s="122"/>
      <c r="IG119" s="122"/>
      <c r="IH119" s="122"/>
      <c r="II119" s="122"/>
      <c r="IJ119" s="122"/>
      <c r="IK119" s="122"/>
      <c r="IL119" s="122"/>
      <c r="IM119" s="122"/>
      <c r="IN119" s="122"/>
      <c r="IO119" s="122"/>
      <c r="IP119" s="122"/>
      <c r="IQ119" s="122"/>
      <c r="IR119" s="122"/>
      <c r="IS119" s="122"/>
      <c r="IT119" s="122"/>
      <c r="IU119" s="122"/>
      <c r="IV119" s="122"/>
      <c r="IW119" s="122"/>
      <c r="IX119" s="122"/>
      <c r="IY119" s="122"/>
      <c r="IZ119" s="122"/>
      <c r="JA119" s="122"/>
      <c r="JB119" s="122"/>
      <c r="JC119" s="122"/>
      <c r="JD119" s="122"/>
      <c r="JE119" s="122"/>
      <c r="JF119" s="122"/>
      <c r="JG119" s="122"/>
      <c r="JH119" s="122"/>
      <c r="JI119" s="119"/>
      <c r="JJ119" s="2"/>
      <c r="JK119" s="122"/>
      <c r="JL119" s="125"/>
      <c r="JM119" s="125"/>
      <c r="JN119" s="125"/>
      <c r="JO119" s="125"/>
      <c r="JP119" s="125"/>
    </row>
    <row r="120" spans="1:276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22"/>
      <c r="BS120" s="122"/>
      <c r="BT120" s="122"/>
      <c r="BU120" s="122"/>
      <c r="BV120" s="122"/>
      <c r="BW120" s="122"/>
      <c r="BX120" s="122"/>
      <c r="BY120" s="122"/>
      <c r="BZ120" s="122"/>
      <c r="CA120" s="122"/>
      <c r="CB120" s="122"/>
      <c r="CC120" s="122"/>
      <c r="CD120" s="122"/>
      <c r="CE120" s="122"/>
      <c r="CF120" s="122"/>
      <c r="CG120" s="122"/>
      <c r="CH120" s="122"/>
      <c r="CI120" s="122"/>
      <c r="CJ120" s="122"/>
      <c r="CK120" s="122"/>
      <c r="CL120" s="122"/>
      <c r="CM120" s="122"/>
      <c r="CN120" s="122"/>
      <c r="CO120" s="122"/>
      <c r="CP120" s="122"/>
      <c r="CQ120" s="122"/>
      <c r="CR120" s="122"/>
      <c r="CS120" s="122"/>
      <c r="CT120" s="122"/>
      <c r="CU120" s="122"/>
      <c r="CV120" s="122"/>
      <c r="CW120" s="122"/>
      <c r="CX120" s="122"/>
      <c r="CY120" s="122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  <c r="EE120" s="122"/>
      <c r="EF120" s="122"/>
      <c r="EG120" s="122"/>
      <c r="EH120" s="122"/>
      <c r="EI120" s="122"/>
      <c r="EJ120" s="122"/>
      <c r="EK120" s="122"/>
      <c r="EL120" s="122"/>
      <c r="EM120" s="122"/>
      <c r="EN120" s="122"/>
      <c r="EO120" s="122"/>
      <c r="EP120" s="122"/>
      <c r="EQ120" s="122"/>
      <c r="ER120" s="122"/>
      <c r="ES120" s="122"/>
      <c r="ET120" s="122"/>
      <c r="EU120" s="122"/>
      <c r="EV120" s="122"/>
      <c r="EW120" s="122"/>
      <c r="EX120" s="122"/>
      <c r="EY120" s="122"/>
      <c r="EZ120" s="122"/>
      <c r="FA120" s="122"/>
      <c r="FB120" s="122"/>
      <c r="FC120" s="122"/>
      <c r="FD120" s="122"/>
      <c r="FE120" s="122"/>
      <c r="FF120" s="122"/>
      <c r="FG120" s="122"/>
      <c r="FH120" s="122"/>
      <c r="FI120" s="122"/>
      <c r="FJ120" s="122"/>
      <c r="FK120" s="122"/>
      <c r="FL120" s="122"/>
      <c r="FM120" s="122"/>
      <c r="FN120" s="122"/>
      <c r="FO120" s="122"/>
      <c r="FP120" s="122"/>
      <c r="FQ120" s="122"/>
      <c r="FR120" s="122"/>
      <c r="FS120" s="122"/>
      <c r="FT120" s="122"/>
      <c r="FU120" s="122"/>
      <c r="FV120" s="122"/>
      <c r="FW120" s="122"/>
      <c r="FX120" s="122"/>
      <c r="FY120" s="122"/>
      <c r="FZ120" s="122"/>
      <c r="GA120" s="122"/>
      <c r="GB120" s="122"/>
      <c r="GC120" s="122"/>
      <c r="GD120" s="122"/>
      <c r="GE120" s="122"/>
      <c r="GF120" s="122"/>
      <c r="GG120" s="122"/>
      <c r="GH120" s="122"/>
      <c r="GI120" s="122"/>
      <c r="GJ120" s="122"/>
      <c r="GK120" s="122"/>
      <c r="GL120" s="122"/>
      <c r="GM120" s="122"/>
      <c r="GN120" s="122"/>
      <c r="GO120" s="122"/>
      <c r="GP120" s="122"/>
      <c r="GQ120" s="122"/>
      <c r="GR120" s="122"/>
      <c r="GS120" s="122"/>
      <c r="GT120" s="122"/>
      <c r="GU120" s="122"/>
      <c r="GV120" s="122"/>
      <c r="GW120" s="122"/>
      <c r="GX120" s="122"/>
      <c r="GY120" s="122"/>
      <c r="GZ120" s="122"/>
      <c r="HA120" s="122"/>
      <c r="HB120" s="122"/>
      <c r="HC120" s="122"/>
      <c r="HD120" s="122"/>
      <c r="HE120" s="122"/>
      <c r="HF120" s="122"/>
      <c r="HG120" s="122"/>
      <c r="HH120" s="122"/>
      <c r="HI120" s="122"/>
      <c r="HJ120" s="122"/>
      <c r="HK120" s="122"/>
      <c r="HL120" s="122"/>
      <c r="HM120" s="122"/>
      <c r="HN120" s="122"/>
      <c r="HO120" s="122"/>
      <c r="HP120" s="122"/>
      <c r="HQ120" s="122"/>
      <c r="HR120" s="122"/>
      <c r="HS120" s="122"/>
      <c r="HT120" s="122"/>
      <c r="HU120" s="122"/>
      <c r="HV120" s="122"/>
      <c r="HW120" s="122"/>
      <c r="HX120" s="122"/>
      <c r="HY120" s="122"/>
      <c r="HZ120" s="122"/>
      <c r="IA120" s="122"/>
      <c r="IB120" s="122"/>
      <c r="IC120" s="122"/>
      <c r="ID120" s="122"/>
      <c r="IE120" s="122"/>
      <c r="IF120" s="122"/>
      <c r="IG120" s="122"/>
      <c r="IH120" s="122"/>
      <c r="II120" s="122"/>
      <c r="IJ120" s="122"/>
      <c r="IK120" s="122"/>
      <c r="IL120" s="122"/>
      <c r="IM120" s="122"/>
      <c r="IN120" s="122"/>
      <c r="IO120" s="122"/>
      <c r="IP120" s="122"/>
      <c r="IQ120" s="122"/>
      <c r="IR120" s="122"/>
      <c r="IS120" s="122"/>
      <c r="IT120" s="122"/>
      <c r="IU120" s="122"/>
      <c r="IV120" s="122"/>
      <c r="IW120" s="122"/>
      <c r="IX120" s="122"/>
      <c r="IY120" s="122"/>
      <c r="IZ120" s="122"/>
      <c r="JA120" s="122"/>
      <c r="JB120" s="122"/>
      <c r="JC120" s="122"/>
      <c r="JD120" s="122"/>
      <c r="JE120" s="122"/>
      <c r="JF120" s="122"/>
      <c r="JG120" s="122"/>
      <c r="JH120" s="122"/>
      <c r="JI120" s="119"/>
      <c r="JJ120" s="2"/>
      <c r="JK120" s="122"/>
      <c r="JL120" s="125"/>
      <c r="JM120" s="125"/>
      <c r="JN120" s="125"/>
      <c r="JO120" s="125"/>
      <c r="JP120" s="125"/>
    </row>
    <row r="121" spans="1:276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2"/>
      <c r="BT121" s="122"/>
      <c r="BU121" s="122"/>
      <c r="BV121" s="122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22"/>
      <c r="CP121" s="122"/>
      <c r="CQ121" s="122"/>
      <c r="CR121" s="122"/>
      <c r="CS121" s="122"/>
      <c r="CT121" s="122"/>
      <c r="CU121" s="122"/>
      <c r="CV121" s="122"/>
      <c r="CW121" s="122"/>
      <c r="CX121" s="12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  <c r="EK121" s="122"/>
      <c r="EL121" s="122"/>
      <c r="EM121" s="122"/>
      <c r="EN121" s="122"/>
      <c r="EO121" s="122"/>
      <c r="EP121" s="122"/>
      <c r="EQ121" s="122"/>
      <c r="ER121" s="122"/>
      <c r="ES121" s="122"/>
      <c r="ET121" s="122"/>
      <c r="EU121" s="122"/>
      <c r="EV121" s="122"/>
      <c r="EW121" s="122"/>
      <c r="EX121" s="122"/>
      <c r="EY121" s="122"/>
      <c r="EZ121" s="122"/>
      <c r="FA121" s="122"/>
      <c r="FB121" s="122"/>
      <c r="FC121" s="122"/>
      <c r="FD121" s="122"/>
      <c r="FE121" s="122"/>
      <c r="FF121" s="122"/>
      <c r="FG121" s="122"/>
      <c r="FH121" s="122"/>
      <c r="FI121" s="122"/>
      <c r="FJ121" s="122"/>
      <c r="FK121" s="122"/>
      <c r="FL121" s="122"/>
      <c r="FM121" s="122"/>
      <c r="FN121" s="122"/>
      <c r="FO121" s="122"/>
      <c r="FP121" s="122"/>
      <c r="FQ121" s="122"/>
      <c r="FR121" s="122"/>
      <c r="FS121" s="122"/>
      <c r="FT121" s="122"/>
      <c r="FU121" s="122"/>
      <c r="FV121" s="122"/>
      <c r="FW121" s="122"/>
      <c r="FX121" s="122"/>
      <c r="FY121" s="122"/>
      <c r="FZ121" s="122"/>
      <c r="GA121" s="122"/>
      <c r="GB121" s="122"/>
      <c r="GC121" s="122"/>
      <c r="GD121" s="122"/>
      <c r="GE121" s="122"/>
      <c r="GF121" s="122"/>
      <c r="GG121" s="122"/>
      <c r="GH121" s="122"/>
      <c r="GI121" s="122"/>
      <c r="GJ121" s="122"/>
      <c r="GK121" s="122"/>
      <c r="GL121" s="122"/>
      <c r="GM121" s="122"/>
      <c r="GN121" s="122"/>
      <c r="GO121" s="122"/>
      <c r="GP121" s="122"/>
      <c r="GQ121" s="122"/>
      <c r="GR121" s="122"/>
      <c r="GS121" s="122"/>
      <c r="GT121" s="122"/>
      <c r="GU121" s="122"/>
      <c r="GV121" s="122"/>
      <c r="GW121" s="122"/>
      <c r="GX121" s="122"/>
      <c r="GY121" s="122"/>
      <c r="GZ121" s="122"/>
      <c r="HA121" s="122"/>
      <c r="HB121" s="122"/>
      <c r="HC121" s="122"/>
      <c r="HD121" s="122"/>
      <c r="HE121" s="122"/>
      <c r="HF121" s="122"/>
      <c r="HG121" s="122"/>
      <c r="HH121" s="122"/>
      <c r="HI121" s="122"/>
      <c r="HJ121" s="122"/>
      <c r="HK121" s="122"/>
      <c r="HL121" s="122"/>
      <c r="HM121" s="122"/>
      <c r="HN121" s="122"/>
      <c r="HO121" s="122"/>
      <c r="HP121" s="122"/>
      <c r="HQ121" s="122"/>
      <c r="HR121" s="122"/>
      <c r="HS121" s="122"/>
      <c r="HT121" s="122"/>
      <c r="HU121" s="122"/>
      <c r="HV121" s="122"/>
      <c r="HW121" s="122"/>
      <c r="HX121" s="122"/>
      <c r="HY121" s="122"/>
      <c r="HZ121" s="122"/>
      <c r="IA121" s="122"/>
      <c r="IB121" s="122"/>
      <c r="IC121" s="122"/>
      <c r="ID121" s="122"/>
      <c r="IE121" s="122"/>
      <c r="IF121" s="122"/>
      <c r="IG121" s="122"/>
      <c r="IH121" s="122"/>
      <c r="II121" s="122"/>
      <c r="IJ121" s="122"/>
      <c r="IK121" s="122"/>
      <c r="IL121" s="122"/>
      <c r="IM121" s="122"/>
      <c r="IN121" s="122"/>
      <c r="IO121" s="122"/>
      <c r="IP121" s="122"/>
      <c r="IQ121" s="122"/>
      <c r="IR121" s="122"/>
      <c r="IS121" s="122"/>
      <c r="IT121" s="122"/>
      <c r="IU121" s="122"/>
      <c r="IV121" s="122"/>
      <c r="IW121" s="122"/>
      <c r="IX121" s="122"/>
      <c r="IY121" s="122"/>
      <c r="IZ121" s="122"/>
      <c r="JA121" s="122"/>
      <c r="JB121" s="122"/>
      <c r="JC121" s="122"/>
      <c r="JD121" s="122"/>
      <c r="JE121" s="122"/>
      <c r="JF121" s="122"/>
      <c r="JG121" s="122"/>
      <c r="JH121" s="122"/>
      <c r="JI121" s="119"/>
      <c r="JJ121" s="2"/>
      <c r="JK121" s="122"/>
      <c r="JL121" s="125"/>
      <c r="JM121" s="125"/>
      <c r="JN121" s="125"/>
      <c r="JO121" s="125"/>
      <c r="JP121" s="125"/>
    </row>
    <row r="122" spans="1:276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2"/>
      <c r="BT122" s="122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22"/>
      <c r="CJ122" s="122"/>
      <c r="CK122" s="122"/>
      <c r="CL122" s="122"/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/>
      <c r="EO122" s="122"/>
      <c r="EP122" s="122"/>
      <c r="EQ122" s="122"/>
      <c r="ER122" s="122"/>
      <c r="ES122" s="122"/>
      <c r="ET122" s="122"/>
      <c r="EU122" s="122"/>
      <c r="EV122" s="122"/>
      <c r="EW122" s="122"/>
      <c r="EX122" s="122"/>
      <c r="EY122" s="122"/>
      <c r="EZ122" s="122"/>
      <c r="FA122" s="122"/>
      <c r="FB122" s="122"/>
      <c r="FC122" s="122"/>
      <c r="FD122" s="122"/>
      <c r="FE122" s="122"/>
      <c r="FF122" s="122"/>
      <c r="FG122" s="122"/>
      <c r="FH122" s="122"/>
      <c r="FI122" s="122"/>
      <c r="FJ122" s="122"/>
      <c r="FK122" s="122"/>
      <c r="FL122" s="122"/>
      <c r="FM122" s="122"/>
      <c r="FN122" s="122"/>
      <c r="FO122" s="122"/>
      <c r="FP122" s="122"/>
      <c r="FQ122" s="122"/>
      <c r="FR122" s="122"/>
      <c r="FS122" s="122"/>
      <c r="FT122" s="122"/>
      <c r="FU122" s="122"/>
      <c r="FV122" s="122"/>
      <c r="FW122" s="122"/>
      <c r="FX122" s="122"/>
      <c r="FY122" s="122"/>
      <c r="FZ122" s="122"/>
      <c r="GA122" s="122"/>
      <c r="GB122" s="122"/>
      <c r="GC122" s="122"/>
      <c r="GD122" s="122"/>
      <c r="GE122" s="122"/>
      <c r="GF122" s="122"/>
      <c r="GG122" s="122"/>
      <c r="GH122" s="122"/>
      <c r="GI122" s="122"/>
      <c r="GJ122" s="122"/>
      <c r="GK122" s="122"/>
      <c r="GL122" s="122"/>
      <c r="GM122" s="122"/>
      <c r="GN122" s="122"/>
      <c r="GO122" s="122"/>
      <c r="GP122" s="122"/>
      <c r="GQ122" s="122"/>
      <c r="GR122" s="122"/>
      <c r="GS122" s="122"/>
      <c r="GT122" s="122"/>
      <c r="GU122" s="122"/>
      <c r="GV122" s="122"/>
      <c r="GW122" s="122"/>
      <c r="GX122" s="122"/>
      <c r="GY122" s="122"/>
      <c r="GZ122" s="122"/>
      <c r="HA122" s="122"/>
      <c r="HB122" s="122"/>
      <c r="HC122" s="122"/>
      <c r="HD122" s="122"/>
      <c r="HE122" s="122"/>
      <c r="HF122" s="122"/>
      <c r="HG122" s="122"/>
      <c r="HH122" s="122"/>
      <c r="HI122" s="122"/>
      <c r="HJ122" s="122"/>
      <c r="HK122" s="122"/>
      <c r="HL122" s="122"/>
      <c r="HM122" s="122"/>
      <c r="HN122" s="122"/>
      <c r="HO122" s="122"/>
      <c r="HP122" s="122"/>
      <c r="HQ122" s="122"/>
      <c r="HR122" s="122"/>
      <c r="HS122" s="122"/>
      <c r="HT122" s="122"/>
      <c r="HU122" s="122"/>
      <c r="HV122" s="122"/>
      <c r="HW122" s="122"/>
      <c r="HX122" s="122"/>
      <c r="HY122" s="122"/>
      <c r="HZ122" s="122"/>
      <c r="IA122" s="122"/>
      <c r="IB122" s="122"/>
      <c r="IC122" s="122"/>
      <c r="ID122" s="122"/>
      <c r="IE122" s="122"/>
      <c r="IF122" s="122"/>
      <c r="IG122" s="122"/>
      <c r="IH122" s="122"/>
      <c r="II122" s="122"/>
      <c r="IJ122" s="122"/>
      <c r="IK122" s="122"/>
      <c r="IL122" s="122"/>
      <c r="IM122" s="122"/>
      <c r="IN122" s="122"/>
      <c r="IO122" s="122"/>
      <c r="IP122" s="122"/>
      <c r="IQ122" s="122"/>
      <c r="IR122" s="122"/>
      <c r="IS122" s="122"/>
      <c r="IT122" s="122"/>
      <c r="IU122" s="122"/>
      <c r="IV122" s="122"/>
      <c r="IW122" s="122"/>
      <c r="IX122" s="122"/>
      <c r="IY122" s="122"/>
      <c r="IZ122" s="122"/>
      <c r="JA122" s="122"/>
      <c r="JB122" s="122"/>
      <c r="JC122" s="122"/>
      <c r="JD122" s="122"/>
      <c r="JE122" s="122"/>
      <c r="JF122" s="122"/>
      <c r="JG122" s="122"/>
      <c r="JH122" s="122"/>
      <c r="JI122" s="119"/>
      <c r="JJ122" s="2"/>
      <c r="JK122" s="122"/>
      <c r="JL122" s="125"/>
      <c r="JM122" s="125"/>
      <c r="JN122" s="125"/>
      <c r="JO122" s="125"/>
      <c r="JP122" s="125"/>
    </row>
    <row r="123" spans="1:276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  <c r="BS123" s="122"/>
      <c r="BT123" s="122"/>
      <c r="BU123" s="122"/>
      <c r="BV123" s="122"/>
      <c r="BW123" s="122"/>
      <c r="BX123" s="122"/>
      <c r="BY123" s="122"/>
      <c r="BZ123" s="122"/>
      <c r="CA123" s="122"/>
      <c r="CB123" s="122"/>
      <c r="CC123" s="122"/>
      <c r="CD123" s="122"/>
      <c r="CE123" s="122"/>
      <c r="CF123" s="122"/>
      <c r="CG123" s="122"/>
      <c r="CH123" s="122"/>
      <c r="CI123" s="122"/>
      <c r="CJ123" s="122"/>
      <c r="CK123" s="122"/>
      <c r="CL123" s="122"/>
      <c r="CM123" s="122"/>
      <c r="CN123" s="122"/>
      <c r="CO123" s="122"/>
      <c r="CP123" s="122"/>
      <c r="CQ123" s="122"/>
      <c r="CR123" s="122"/>
      <c r="CS123" s="122"/>
      <c r="CT123" s="122"/>
      <c r="CU123" s="122"/>
      <c r="CV123" s="122"/>
      <c r="CW123" s="122"/>
      <c r="CX123" s="12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  <c r="EE123" s="122"/>
      <c r="EF123" s="122"/>
      <c r="EG123" s="122"/>
      <c r="EH123" s="122"/>
      <c r="EI123" s="122"/>
      <c r="EJ123" s="122"/>
      <c r="EK123" s="122"/>
      <c r="EL123" s="122"/>
      <c r="EM123" s="122"/>
      <c r="EN123" s="122"/>
      <c r="EO123" s="122"/>
      <c r="EP123" s="122"/>
      <c r="EQ123" s="122"/>
      <c r="ER123" s="122"/>
      <c r="ES123" s="122"/>
      <c r="ET123" s="122"/>
      <c r="EU123" s="122"/>
      <c r="EV123" s="122"/>
      <c r="EW123" s="122"/>
      <c r="EX123" s="122"/>
      <c r="EY123" s="122"/>
      <c r="EZ123" s="122"/>
      <c r="FA123" s="122"/>
      <c r="FB123" s="122"/>
      <c r="FC123" s="122"/>
      <c r="FD123" s="122"/>
      <c r="FE123" s="122"/>
      <c r="FF123" s="122"/>
      <c r="FG123" s="122"/>
      <c r="FH123" s="122"/>
      <c r="FI123" s="122"/>
      <c r="FJ123" s="122"/>
      <c r="FK123" s="122"/>
      <c r="FL123" s="122"/>
      <c r="FM123" s="122"/>
      <c r="FN123" s="122"/>
      <c r="FO123" s="122"/>
      <c r="FP123" s="122"/>
      <c r="FQ123" s="122"/>
      <c r="FR123" s="122"/>
      <c r="FS123" s="122"/>
      <c r="FT123" s="122"/>
      <c r="FU123" s="122"/>
      <c r="FV123" s="122"/>
      <c r="FW123" s="122"/>
      <c r="FX123" s="122"/>
      <c r="FY123" s="122"/>
      <c r="FZ123" s="122"/>
      <c r="GA123" s="122"/>
      <c r="GB123" s="122"/>
      <c r="GC123" s="122"/>
      <c r="GD123" s="122"/>
      <c r="GE123" s="122"/>
      <c r="GF123" s="122"/>
      <c r="GG123" s="122"/>
      <c r="GH123" s="122"/>
      <c r="GI123" s="122"/>
      <c r="GJ123" s="122"/>
      <c r="GK123" s="122"/>
      <c r="GL123" s="122"/>
      <c r="GM123" s="122"/>
      <c r="GN123" s="122"/>
      <c r="GO123" s="122"/>
      <c r="GP123" s="122"/>
      <c r="GQ123" s="122"/>
      <c r="GR123" s="122"/>
      <c r="GS123" s="122"/>
      <c r="GT123" s="122"/>
      <c r="GU123" s="122"/>
      <c r="GV123" s="122"/>
      <c r="GW123" s="122"/>
      <c r="GX123" s="122"/>
      <c r="GY123" s="122"/>
      <c r="GZ123" s="122"/>
      <c r="HA123" s="122"/>
      <c r="HB123" s="122"/>
      <c r="HC123" s="122"/>
      <c r="HD123" s="122"/>
      <c r="HE123" s="122"/>
      <c r="HF123" s="122"/>
      <c r="HG123" s="122"/>
      <c r="HH123" s="122"/>
      <c r="HI123" s="122"/>
      <c r="HJ123" s="122"/>
      <c r="HK123" s="122"/>
      <c r="HL123" s="122"/>
      <c r="HM123" s="122"/>
      <c r="HN123" s="122"/>
      <c r="HO123" s="122"/>
      <c r="HP123" s="122"/>
      <c r="HQ123" s="122"/>
      <c r="HR123" s="122"/>
      <c r="HS123" s="122"/>
      <c r="HT123" s="122"/>
      <c r="HU123" s="122"/>
      <c r="HV123" s="122"/>
      <c r="HW123" s="122"/>
      <c r="HX123" s="122"/>
      <c r="HY123" s="122"/>
      <c r="HZ123" s="122"/>
      <c r="IA123" s="122"/>
      <c r="IB123" s="122"/>
      <c r="IC123" s="122"/>
      <c r="ID123" s="122"/>
      <c r="IE123" s="122"/>
      <c r="IF123" s="122"/>
      <c r="IG123" s="122"/>
      <c r="IH123" s="122"/>
      <c r="II123" s="122"/>
      <c r="IJ123" s="122"/>
      <c r="IK123" s="122"/>
      <c r="IL123" s="122"/>
      <c r="IM123" s="122"/>
      <c r="IN123" s="122"/>
      <c r="IO123" s="122"/>
      <c r="IP123" s="122"/>
      <c r="IQ123" s="122"/>
      <c r="IR123" s="122"/>
      <c r="IS123" s="122"/>
      <c r="IT123" s="122"/>
      <c r="IU123" s="122"/>
      <c r="IV123" s="122"/>
      <c r="IW123" s="122"/>
      <c r="IX123" s="122"/>
      <c r="IY123" s="122"/>
      <c r="IZ123" s="122"/>
      <c r="JA123" s="122"/>
      <c r="JB123" s="122"/>
      <c r="JC123" s="122"/>
      <c r="JD123" s="122"/>
      <c r="JE123" s="122"/>
      <c r="JF123" s="122"/>
      <c r="JG123" s="122"/>
      <c r="JH123" s="122"/>
      <c r="JI123" s="119"/>
      <c r="JJ123" s="2"/>
      <c r="JK123" s="122"/>
      <c r="JL123" s="125"/>
      <c r="JM123" s="125"/>
      <c r="JN123" s="125"/>
      <c r="JO123" s="125"/>
      <c r="JP123" s="125"/>
    </row>
    <row r="124" spans="1:276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  <c r="BS124" s="122"/>
      <c r="BT124" s="122"/>
      <c r="BU124" s="122"/>
      <c r="BV124" s="122"/>
      <c r="BW124" s="122"/>
      <c r="BX124" s="122"/>
      <c r="BY124" s="122"/>
      <c r="BZ124" s="122"/>
      <c r="CA124" s="122"/>
      <c r="CB124" s="122"/>
      <c r="CC124" s="122"/>
      <c r="CD124" s="122"/>
      <c r="CE124" s="122"/>
      <c r="CF124" s="122"/>
      <c r="CG124" s="122"/>
      <c r="CH124" s="122"/>
      <c r="CI124" s="122"/>
      <c r="CJ124" s="122"/>
      <c r="CK124" s="122"/>
      <c r="CL124" s="122"/>
      <c r="CM124" s="122"/>
      <c r="CN124" s="122"/>
      <c r="CO124" s="122"/>
      <c r="CP124" s="122"/>
      <c r="CQ124" s="122"/>
      <c r="CR124" s="122"/>
      <c r="CS124" s="122"/>
      <c r="CT124" s="122"/>
      <c r="CU124" s="122"/>
      <c r="CV124" s="122"/>
      <c r="CW124" s="122"/>
      <c r="CX124" s="12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  <c r="EE124" s="122"/>
      <c r="EF124" s="122"/>
      <c r="EG124" s="122"/>
      <c r="EH124" s="122"/>
      <c r="EI124" s="122"/>
      <c r="EJ124" s="122"/>
      <c r="EK124" s="122"/>
      <c r="EL124" s="122"/>
      <c r="EM124" s="122"/>
      <c r="EN124" s="122"/>
      <c r="EO124" s="122"/>
      <c r="EP124" s="122"/>
      <c r="EQ124" s="122"/>
      <c r="ER124" s="122"/>
      <c r="ES124" s="122"/>
      <c r="ET124" s="122"/>
      <c r="EU124" s="122"/>
      <c r="EV124" s="122"/>
      <c r="EW124" s="122"/>
      <c r="EX124" s="122"/>
      <c r="EY124" s="122"/>
      <c r="EZ124" s="122"/>
      <c r="FA124" s="122"/>
      <c r="FB124" s="122"/>
      <c r="FC124" s="122"/>
      <c r="FD124" s="122"/>
      <c r="FE124" s="122"/>
      <c r="FF124" s="122"/>
      <c r="FG124" s="122"/>
      <c r="FH124" s="122"/>
      <c r="FI124" s="122"/>
      <c r="FJ124" s="122"/>
      <c r="FK124" s="122"/>
      <c r="FL124" s="122"/>
      <c r="FM124" s="122"/>
      <c r="FN124" s="122"/>
      <c r="FO124" s="122"/>
      <c r="FP124" s="122"/>
      <c r="FQ124" s="122"/>
      <c r="FR124" s="122"/>
      <c r="FS124" s="122"/>
      <c r="FT124" s="122"/>
      <c r="FU124" s="122"/>
      <c r="FV124" s="122"/>
      <c r="FW124" s="122"/>
      <c r="FX124" s="122"/>
      <c r="FY124" s="122"/>
      <c r="FZ124" s="122"/>
      <c r="GA124" s="122"/>
      <c r="GB124" s="122"/>
      <c r="GC124" s="122"/>
      <c r="GD124" s="122"/>
      <c r="GE124" s="122"/>
      <c r="GF124" s="122"/>
      <c r="GG124" s="122"/>
      <c r="GH124" s="122"/>
      <c r="GI124" s="122"/>
      <c r="GJ124" s="122"/>
      <c r="GK124" s="122"/>
      <c r="GL124" s="122"/>
      <c r="GM124" s="122"/>
      <c r="GN124" s="122"/>
      <c r="GO124" s="122"/>
      <c r="GP124" s="122"/>
      <c r="GQ124" s="122"/>
      <c r="GR124" s="122"/>
      <c r="GS124" s="122"/>
      <c r="GT124" s="122"/>
      <c r="GU124" s="122"/>
      <c r="GV124" s="122"/>
      <c r="GW124" s="122"/>
      <c r="GX124" s="122"/>
      <c r="GY124" s="122"/>
      <c r="GZ124" s="122"/>
      <c r="HA124" s="122"/>
      <c r="HB124" s="122"/>
      <c r="HC124" s="122"/>
      <c r="HD124" s="122"/>
      <c r="HE124" s="122"/>
      <c r="HF124" s="122"/>
      <c r="HG124" s="122"/>
      <c r="HH124" s="122"/>
      <c r="HI124" s="122"/>
      <c r="HJ124" s="122"/>
      <c r="HK124" s="122"/>
      <c r="HL124" s="122"/>
      <c r="HM124" s="122"/>
      <c r="HN124" s="122"/>
      <c r="HO124" s="122"/>
      <c r="HP124" s="122"/>
      <c r="HQ124" s="122"/>
      <c r="HR124" s="122"/>
      <c r="HS124" s="122"/>
      <c r="HT124" s="122"/>
      <c r="HU124" s="122"/>
      <c r="HV124" s="122"/>
      <c r="HW124" s="122"/>
      <c r="HX124" s="122"/>
      <c r="HY124" s="122"/>
      <c r="HZ124" s="122"/>
      <c r="IA124" s="122"/>
      <c r="IB124" s="122"/>
      <c r="IC124" s="122"/>
      <c r="ID124" s="122"/>
      <c r="IE124" s="122"/>
      <c r="IF124" s="122"/>
      <c r="IG124" s="122"/>
      <c r="IH124" s="122"/>
      <c r="II124" s="122"/>
      <c r="IJ124" s="122"/>
      <c r="IK124" s="122"/>
      <c r="IL124" s="122"/>
      <c r="IM124" s="122"/>
      <c r="IN124" s="122"/>
      <c r="IO124" s="122"/>
      <c r="IP124" s="122"/>
      <c r="IQ124" s="122"/>
      <c r="IR124" s="122"/>
      <c r="IS124" s="122"/>
      <c r="IT124" s="122"/>
      <c r="IU124" s="122"/>
      <c r="IV124" s="122"/>
      <c r="IW124" s="122"/>
      <c r="IX124" s="122"/>
      <c r="IY124" s="122"/>
      <c r="IZ124" s="122"/>
      <c r="JA124" s="122"/>
      <c r="JB124" s="122"/>
      <c r="JC124" s="122"/>
      <c r="JD124" s="122"/>
      <c r="JE124" s="122"/>
      <c r="JF124" s="122"/>
      <c r="JG124" s="122"/>
      <c r="JH124" s="122"/>
      <c r="JI124" s="119"/>
      <c r="JJ124" s="2"/>
      <c r="JK124" s="122"/>
      <c r="JL124" s="125"/>
      <c r="JM124" s="125"/>
      <c r="JN124" s="125"/>
      <c r="JO124" s="125"/>
      <c r="JP124" s="125"/>
    </row>
    <row r="125" spans="1:276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22"/>
      <c r="BS125" s="122"/>
      <c r="BT125" s="122"/>
      <c r="BU125" s="122"/>
      <c r="BV125" s="122"/>
      <c r="BW125" s="122"/>
      <c r="BX125" s="122"/>
      <c r="BY125" s="122"/>
      <c r="BZ125" s="122"/>
      <c r="CA125" s="122"/>
      <c r="CB125" s="122"/>
      <c r="CC125" s="122"/>
      <c r="CD125" s="122"/>
      <c r="CE125" s="122"/>
      <c r="CF125" s="122"/>
      <c r="CG125" s="122"/>
      <c r="CH125" s="122"/>
      <c r="CI125" s="122"/>
      <c r="CJ125" s="122"/>
      <c r="CK125" s="122"/>
      <c r="CL125" s="122"/>
      <c r="CM125" s="122"/>
      <c r="CN125" s="122"/>
      <c r="CO125" s="122"/>
      <c r="CP125" s="122"/>
      <c r="CQ125" s="122"/>
      <c r="CR125" s="122"/>
      <c r="CS125" s="122"/>
      <c r="CT125" s="122"/>
      <c r="CU125" s="122"/>
      <c r="CV125" s="122"/>
      <c r="CW125" s="122"/>
      <c r="CX125" s="122"/>
      <c r="CY125" s="122"/>
      <c r="CZ125" s="122"/>
      <c r="DA125" s="122"/>
      <c r="DB125" s="122"/>
      <c r="DC125" s="122"/>
      <c r="DD125" s="122"/>
      <c r="DE125" s="122"/>
      <c r="DF125" s="122"/>
      <c r="DG125" s="122"/>
      <c r="DH125" s="122"/>
      <c r="DI125" s="122"/>
      <c r="DJ125" s="122"/>
      <c r="DK125" s="122"/>
      <c r="DL125" s="122"/>
      <c r="DM125" s="122"/>
      <c r="DN125" s="122"/>
      <c r="DO125" s="122"/>
      <c r="DP125" s="122"/>
      <c r="DQ125" s="122"/>
      <c r="DR125" s="122"/>
      <c r="DS125" s="122"/>
      <c r="DT125" s="122"/>
      <c r="DU125" s="122"/>
      <c r="DV125" s="122"/>
      <c r="DW125" s="122"/>
      <c r="DX125" s="122"/>
      <c r="DY125" s="122"/>
      <c r="DZ125" s="122"/>
      <c r="EA125" s="122"/>
      <c r="EB125" s="122"/>
      <c r="EC125" s="122"/>
      <c r="ED125" s="122"/>
      <c r="EE125" s="122"/>
      <c r="EF125" s="122"/>
      <c r="EG125" s="122"/>
      <c r="EH125" s="122"/>
      <c r="EI125" s="122"/>
      <c r="EJ125" s="122"/>
      <c r="EK125" s="122"/>
      <c r="EL125" s="122"/>
      <c r="EM125" s="122"/>
      <c r="EN125" s="122"/>
      <c r="EO125" s="122"/>
      <c r="EP125" s="122"/>
      <c r="EQ125" s="122"/>
      <c r="ER125" s="122"/>
      <c r="ES125" s="122"/>
      <c r="ET125" s="122"/>
      <c r="EU125" s="122"/>
      <c r="EV125" s="122"/>
      <c r="EW125" s="122"/>
      <c r="EX125" s="122"/>
      <c r="EY125" s="122"/>
      <c r="EZ125" s="122"/>
      <c r="FA125" s="122"/>
      <c r="FB125" s="122"/>
      <c r="FC125" s="122"/>
      <c r="FD125" s="122"/>
      <c r="FE125" s="122"/>
      <c r="FF125" s="122"/>
      <c r="FG125" s="122"/>
      <c r="FH125" s="122"/>
      <c r="FI125" s="122"/>
      <c r="FJ125" s="122"/>
      <c r="FK125" s="122"/>
      <c r="FL125" s="122"/>
      <c r="FM125" s="122"/>
      <c r="FN125" s="122"/>
      <c r="FO125" s="122"/>
      <c r="FP125" s="122"/>
      <c r="FQ125" s="122"/>
      <c r="FR125" s="122"/>
      <c r="FS125" s="122"/>
      <c r="FT125" s="122"/>
      <c r="FU125" s="122"/>
      <c r="FV125" s="122"/>
      <c r="FW125" s="122"/>
      <c r="FX125" s="122"/>
      <c r="FY125" s="122"/>
      <c r="FZ125" s="122"/>
      <c r="GA125" s="122"/>
      <c r="GB125" s="122"/>
      <c r="GC125" s="122"/>
      <c r="GD125" s="122"/>
      <c r="GE125" s="122"/>
      <c r="GF125" s="122"/>
      <c r="GG125" s="122"/>
      <c r="GH125" s="122"/>
      <c r="GI125" s="122"/>
      <c r="GJ125" s="122"/>
      <c r="GK125" s="122"/>
      <c r="GL125" s="122"/>
      <c r="GM125" s="122"/>
      <c r="GN125" s="122"/>
      <c r="GO125" s="122"/>
      <c r="GP125" s="122"/>
      <c r="GQ125" s="122"/>
      <c r="GR125" s="122"/>
      <c r="GS125" s="122"/>
      <c r="GT125" s="122"/>
      <c r="GU125" s="122"/>
      <c r="GV125" s="122"/>
      <c r="GW125" s="122"/>
      <c r="GX125" s="122"/>
      <c r="GY125" s="122"/>
      <c r="GZ125" s="122"/>
      <c r="HA125" s="122"/>
      <c r="HB125" s="122"/>
      <c r="HC125" s="122"/>
      <c r="HD125" s="122"/>
      <c r="HE125" s="122"/>
      <c r="HF125" s="122"/>
      <c r="HG125" s="122"/>
      <c r="HH125" s="122"/>
      <c r="HI125" s="122"/>
      <c r="HJ125" s="122"/>
      <c r="HK125" s="122"/>
      <c r="HL125" s="122"/>
      <c r="HM125" s="122"/>
      <c r="HN125" s="122"/>
      <c r="HO125" s="122"/>
      <c r="HP125" s="122"/>
      <c r="HQ125" s="122"/>
      <c r="HR125" s="122"/>
      <c r="HS125" s="122"/>
      <c r="HT125" s="122"/>
      <c r="HU125" s="122"/>
      <c r="HV125" s="122"/>
      <c r="HW125" s="122"/>
      <c r="HX125" s="122"/>
      <c r="HY125" s="122"/>
      <c r="HZ125" s="122"/>
      <c r="IA125" s="122"/>
      <c r="IB125" s="122"/>
      <c r="IC125" s="122"/>
      <c r="ID125" s="122"/>
      <c r="IE125" s="122"/>
      <c r="IF125" s="122"/>
      <c r="IG125" s="122"/>
      <c r="IH125" s="122"/>
      <c r="II125" s="122"/>
      <c r="IJ125" s="122"/>
      <c r="IK125" s="122"/>
      <c r="IL125" s="122"/>
      <c r="IM125" s="122"/>
      <c r="IN125" s="122"/>
      <c r="IO125" s="122"/>
      <c r="IP125" s="122"/>
      <c r="IQ125" s="122"/>
      <c r="IR125" s="122"/>
      <c r="IS125" s="122"/>
      <c r="IT125" s="122"/>
      <c r="IU125" s="122"/>
      <c r="IV125" s="122"/>
      <c r="IW125" s="122"/>
      <c r="IX125" s="122"/>
      <c r="IY125" s="122"/>
      <c r="IZ125" s="122"/>
      <c r="JA125" s="122"/>
      <c r="JB125" s="122"/>
      <c r="JC125" s="122"/>
      <c r="JD125" s="122"/>
      <c r="JE125" s="122"/>
      <c r="JF125" s="122"/>
      <c r="JG125" s="122"/>
      <c r="JH125" s="122"/>
      <c r="JI125" s="119"/>
      <c r="JJ125" s="2"/>
      <c r="JK125" s="122"/>
      <c r="JL125" s="125"/>
      <c r="JM125" s="125"/>
      <c r="JN125" s="125"/>
      <c r="JO125" s="125"/>
      <c r="JP125" s="125"/>
    </row>
    <row r="126" spans="1:27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122"/>
      <c r="AX126" s="122"/>
      <c r="AY126" s="122"/>
      <c r="AZ126" s="122"/>
      <c r="BA126" s="122"/>
      <c r="BB126" s="122"/>
      <c r="BC126" s="122"/>
      <c r="BD126" s="122"/>
      <c r="BE126" s="122"/>
      <c r="BF126" s="122"/>
      <c r="BG126" s="122"/>
      <c r="BH126" s="122"/>
      <c r="BI126" s="122"/>
      <c r="BJ126" s="122"/>
      <c r="BK126" s="122"/>
      <c r="BL126" s="122"/>
      <c r="BM126" s="122"/>
      <c r="BN126" s="122"/>
      <c r="BO126" s="122"/>
      <c r="BP126" s="122"/>
      <c r="BQ126" s="122"/>
      <c r="BR126" s="122"/>
      <c r="BS126" s="122"/>
      <c r="BT126" s="122"/>
      <c r="BU126" s="122"/>
      <c r="BV126" s="122"/>
      <c r="BW126" s="122"/>
      <c r="BX126" s="122"/>
      <c r="BY126" s="122"/>
      <c r="BZ126" s="122"/>
      <c r="CA126" s="122"/>
      <c r="CB126" s="122"/>
      <c r="CC126" s="122"/>
      <c r="CD126" s="122"/>
      <c r="CE126" s="122"/>
      <c r="CF126" s="122"/>
      <c r="CG126" s="122"/>
      <c r="CH126" s="122"/>
      <c r="CI126" s="122"/>
      <c r="CJ126" s="122"/>
      <c r="CK126" s="122"/>
      <c r="CL126" s="122"/>
      <c r="CM126" s="122"/>
      <c r="CN126" s="122"/>
      <c r="CO126" s="122"/>
      <c r="CP126" s="122"/>
      <c r="CQ126" s="122"/>
      <c r="CR126" s="122"/>
      <c r="CS126" s="122"/>
      <c r="CT126" s="122"/>
      <c r="CU126" s="122"/>
      <c r="CV126" s="122"/>
      <c r="CW126" s="122"/>
      <c r="CX126" s="122"/>
      <c r="CY126" s="122"/>
      <c r="CZ126" s="122"/>
      <c r="DA126" s="122"/>
      <c r="DB126" s="122"/>
      <c r="DC126" s="122"/>
      <c r="DD126" s="122"/>
      <c r="DE126" s="122"/>
      <c r="DF126" s="122"/>
      <c r="DG126" s="122"/>
      <c r="DH126" s="122"/>
      <c r="DI126" s="122"/>
      <c r="DJ126" s="122"/>
      <c r="DK126" s="122"/>
      <c r="DL126" s="122"/>
      <c r="DM126" s="122"/>
      <c r="DN126" s="122"/>
      <c r="DO126" s="122"/>
      <c r="DP126" s="122"/>
      <c r="DQ126" s="122"/>
      <c r="DR126" s="122"/>
      <c r="DS126" s="122"/>
      <c r="DT126" s="122"/>
      <c r="DU126" s="122"/>
      <c r="DV126" s="122"/>
      <c r="DW126" s="122"/>
      <c r="DX126" s="122"/>
      <c r="DY126" s="122"/>
      <c r="DZ126" s="122"/>
      <c r="EA126" s="122"/>
      <c r="EB126" s="122"/>
      <c r="EC126" s="122"/>
      <c r="ED126" s="122"/>
      <c r="EE126" s="122"/>
      <c r="EF126" s="122"/>
      <c r="EG126" s="122"/>
      <c r="EH126" s="122"/>
      <c r="EI126" s="122"/>
      <c r="EJ126" s="122"/>
      <c r="EK126" s="122"/>
      <c r="EL126" s="122"/>
      <c r="EM126" s="122"/>
      <c r="EN126" s="122"/>
      <c r="EO126" s="122"/>
      <c r="EP126" s="122"/>
      <c r="EQ126" s="122"/>
      <c r="ER126" s="122"/>
      <c r="ES126" s="122"/>
      <c r="ET126" s="122"/>
      <c r="EU126" s="122"/>
      <c r="EV126" s="122"/>
      <c r="EW126" s="122"/>
      <c r="EX126" s="122"/>
      <c r="EY126" s="122"/>
      <c r="EZ126" s="122"/>
      <c r="FA126" s="122"/>
      <c r="FB126" s="122"/>
      <c r="FC126" s="122"/>
      <c r="FD126" s="122"/>
      <c r="FE126" s="122"/>
      <c r="FF126" s="122"/>
      <c r="FG126" s="122"/>
      <c r="FH126" s="122"/>
      <c r="FI126" s="122"/>
      <c r="FJ126" s="122"/>
      <c r="FK126" s="122"/>
      <c r="FL126" s="122"/>
      <c r="FM126" s="122"/>
      <c r="FN126" s="122"/>
      <c r="FO126" s="122"/>
      <c r="FP126" s="122"/>
      <c r="FQ126" s="122"/>
      <c r="FR126" s="122"/>
      <c r="FS126" s="122"/>
      <c r="FT126" s="122"/>
      <c r="FU126" s="122"/>
      <c r="FV126" s="122"/>
      <c r="FW126" s="122"/>
      <c r="FX126" s="122"/>
      <c r="FY126" s="122"/>
      <c r="FZ126" s="122"/>
      <c r="GA126" s="122"/>
      <c r="GB126" s="122"/>
      <c r="GC126" s="122"/>
      <c r="GD126" s="122"/>
      <c r="GE126" s="122"/>
      <c r="GF126" s="122"/>
      <c r="GG126" s="122"/>
      <c r="GH126" s="122"/>
      <c r="GI126" s="122"/>
      <c r="GJ126" s="122"/>
      <c r="GK126" s="122"/>
      <c r="GL126" s="122"/>
      <c r="GM126" s="122"/>
      <c r="GN126" s="122"/>
      <c r="GO126" s="122"/>
      <c r="GP126" s="122"/>
      <c r="GQ126" s="122"/>
      <c r="GR126" s="122"/>
      <c r="GS126" s="122"/>
      <c r="GT126" s="122"/>
      <c r="GU126" s="122"/>
      <c r="GV126" s="122"/>
      <c r="GW126" s="122"/>
      <c r="GX126" s="122"/>
      <c r="GY126" s="122"/>
      <c r="GZ126" s="122"/>
      <c r="HA126" s="122"/>
      <c r="HB126" s="122"/>
      <c r="HC126" s="122"/>
      <c r="HD126" s="122"/>
      <c r="HE126" s="122"/>
      <c r="HF126" s="122"/>
      <c r="HG126" s="122"/>
      <c r="HH126" s="122"/>
      <c r="HI126" s="122"/>
      <c r="HJ126" s="122"/>
      <c r="HK126" s="122"/>
      <c r="HL126" s="122"/>
      <c r="HM126" s="122"/>
      <c r="HN126" s="122"/>
      <c r="HO126" s="122"/>
      <c r="HP126" s="122"/>
      <c r="HQ126" s="122"/>
      <c r="HR126" s="122"/>
      <c r="HS126" s="122"/>
      <c r="HT126" s="122"/>
      <c r="HU126" s="122"/>
      <c r="HV126" s="122"/>
      <c r="HW126" s="122"/>
      <c r="HX126" s="122"/>
      <c r="HY126" s="122"/>
      <c r="HZ126" s="122"/>
      <c r="IA126" s="122"/>
      <c r="IB126" s="122"/>
      <c r="IC126" s="122"/>
      <c r="ID126" s="122"/>
      <c r="IE126" s="122"/>
      <c r="IF126" s="122"/>
      <c r="IG126" s="122"/>
      <c r="IH126" s="122"/>
      <c r="II126" s="122"/>
      <c r="IJ126" s="122"/>
      <c r="IK126" s="122"/>
      <c r="IL126" s="122"/>
      <c r="IM126" s="122"/>
      <c r="IN126" s="122"/>
      <c r="IO126" s="122"/>
      <c r="IP126" s="122"/>
      <c r="IQ126" s="122"/>
      <c r="IR126" s="122"/>
      <c r="IS126" s="122"/>
      <c r="IT126" s="122"/>
      <c r="IU126" s="122"/>
      <c r="IV126" s="122"/>
      <c r="IW126" s="122"/>
      <c r="IX126" s="122"/>
      <c r="IY126" s="122"/>
      <c r="IZ126" s="122"/>
      <c r="JA126" s="122"/>
      <c r="JB126" s="122"/>
      <c r="JC126" s="122"/>
      <c r="JD126" s="122"/>
      <c r="JE126" s="122"/>
      <c r="JF126" s="122"/>
      <c r="JG126" s="122"/>
      <c r="JH126" s="122"/>
      <c r="JI126" s="119"/>
      <c r="JJ126" s="2"/>
      <c r="JK126" s="122"/>
      <c r="JL126" s="125"/>
      <c r="JM126" s="125"/>
      <c r="JN126" s="125"/>
      <c r="JO126" s="125"/>
      <c r="JP126" s="125"/>
    </row>
    <row r="127" spans="1:276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/>
      <c r="AT127" s="122"/>
      <c r="AU127" s="122"/>
      <c r="AV127" s="122"/>
      <c r="AW127" s="122"/>
      <c r="AX127" s="122"/>
      <c r="AY127" s="122"/>
      <c r="AZ127" s="122"/>
      <c r="BA127" s="122"/>
      <c r="BB127" s="122"/>
      <c r="BC127" s="122"/>
      <c r="BD127" s="122"/>
      <c r="BE127" s="122"/>
      <c r="BF127" s="122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  <c r="BQ127" s="122"/>
      <c r="BR127" s="122"/>
      <c r="BS127" s="122"/>
      <c r="BT127" s="122"/>
      <c r="BU127" s="122"/>
      <c r="BV127" s="122"/>
      <c r="BW127" s="122"/>
      <c r="BX127" s="122"/>
      <c r="BY127" s="122"/>
      <c r="BZ127" s="122"/>
      <c r="CA127" s="122"/>
      <c r="CB127" s="122"/>
      <c r="CC127" s="122"/>
      <c r="CD127" s="122"/>
      <c r="CE127" s="122"/>
      <c r="CF127" s="122"/>
      <c r="CG127" s="122"/>
      <c r="CH127" s="122"/>
      <c r="CI127" s="122"/>
      <c r="CJ127" s="122"/>
      <c r="CK127" s="122"/>
      <c r="CL127" s="122"/>
      <c r="CM127" s="122"/>
      <c r="CN127" s="122"/>
      <c r="CO127" s="122"/>
      <c r="CP127" s="122"/>
      <c r="CQ127" s="122"/>
      <c r="CR127" s="122"/>
      <c r="CS127" s="122"/>
      <c r="CT127" s="122"/>
      <c r="CU127" s="122"/>
      <c r="CV127" s="122"/>
      <c r="CW127" s="122"/>
      <c r="CX127" s="122"/>
      <c r="CY127" s="122"/>
      <c r="CZ127" s="122"/>
      <c r="DA127" s="122"/>
      <c r="DB127" s="122"/>
      <c r="DC127" s="122"/>
      <c r="DD127" s="122"/>
      <c r="DE127" s="122"/>
      <c r="DF127" s="122"/>
      <c r="DG127" s="122"/>
      <c r="DH127" s="122"/>
      <c r="DI127" s="122"/>
      <c r="DJ127" s="122"/>
      <c r="DK127" s="122"/>
      <c r="DL127" s="122"/>
      <c r="DM127" s="122"/>
      <c r="DN127" s="122"/>
      <c r="DO127" s="122"/>
      <c r="DP127" s="122"/>
      <c r="DQ127" s="122"/>
      <c r="DR127" s="122"/>
      <c r="DS127" s="122"/>
      <c r="DT127" s="122"/>
      <c r="DU127" s="122"/>
      <c r="DV127" s="122"/>
      <c r="DW127" s="122"/>
      <c r="DX127" s="122"/>
      <c r="DY127" s="122"/>
      <c r="DZ127" s="122"/>
      <c r="EA127" s="122"/>
      <c r="EB127" s="122"/>
      <c r="EC127" s="122"/>
      <c r="ED127" s="122"/>
      <c r="EE127" s="122"/>
      <c r="EF127" s="122"/>
      <c r="EG127" s="122"/>
      <c r="EH127" s="122"/>
      <c r="EI127" s="122"/>
      <c r="EJ127" s="122"/>
      <c r="EK127" s="122"/>
      <c r="EL127" s="122"/>
      <c r="EM127" s="122"/>
      <c r="EN127" s="122"/>
      <c r="EO127" s="122"/>
      <c r="EP127" s="122"/>
      <c r="EQ127" s="122"/>
      <c r="ER127" s="122"/>
      <c r="ES127" s="122"/>
      <c r="ET127" s="122"/>
      <c r="EU127" s="122"/>
      <c r="EV127" s="122"/>
      <c r="EW127" s="122"/>
      <c r="EX127" s="122"/>
      <c r="EY127" s="122"/>
      <c r="EZ127" s="122"/>
      <c r="FA127" s="122"/>
      <c r="FB127" s="122"/>
      <c r="FC127" s="122"/>
      <c r="FD127" s="122"/>
      <c r="FE127" s="122"/>
      <c r="FF127" s="122"/>
      <c r="FG127" s="122"/>
      <c r="FH127" s="122"/>
      <c r="FI127" s="122"/>
      <c r="FJ127" s="122"/>
      <c r="FK127" s="122"/>
      <c r="FL127" s="122"/>
      <c r="FM127" s="122"/>
      <c r="FN127" s="122"/>
      <c r="FO127" s="122"/>
      <c r="FP127" s="122"/>
      <c r="FQ127" s="122"/>
      <c r="FR127" s="122"/>
      <c r="FS127" s="122"/>
      <c r="FT127" s="122"/>
      <c r="FU127" s="122"/>
      <c r="FV127" s="122"/>
      <c r="FW127" s="122"/>
      <c r="FX127" s="122"/>
      <c r="FY127" s="122"/>
      <c r="FZ127" s="122"/>
      <c r="GA127" s="122"/>
      <c r="GB127" s="122"/>
      <c r="GC127" s="122"/>
      <c r="GD127" s="122"/>
      <c r="GE127" s="122"/>
      <c r="GF127" s="122"/>
      <c r="GG127" s="122"/>
      <c r="GH127" s="122"/>
      <c r="GI127" s="122"/>
      <c r="GJ127" s="122"/>
      <c r="GK127" s="122"/>
      <c r="GL127" s="122"/>
      <c r="GM127" s="122"/>
      <c r="GN127" s="122"/>
      <c r="GO127" s="122"/>
      <c r="GP127" s="122"/>
      <c r="GQ127" s="122"/>
      <c r="GR127" s="122"/>
      <c r="GS127" s="122"/>
      <c r="GT127" s="122"/>
      <c r="GU127" s="122"/>
      <c r="GV127" s="122"/>
      <c r="GW127" s="122"/>
      <c r="GX127" s="122"/>
      <c r="GY127" s="122"/>
      <c r="GZ127" s="122"/>
      <c r="HA127" s="122"/>
      <c r="HB127" s="122"/>
      <c r="HC127" s="122"/>
      <c r="HD127" s="122"/>
      <c r="HE127" s="122"/>
      <c r="HF127" s="122"/>
      <c r="HG127" s="122"/>
      <c r="HH127" s="122"/>
      <c r="HI127" s="122"/>
      <c r="HJ127" s="122"/>
      <c r="HK127" s="122"/>
      <c r="HL127" s="122"/>
      <c r="HM127" s="122"/>
      <c r="HN127" s="122"/>
      <c r="HO127" s="122"/>
      <c r="HP127" s="122"/>
      <c r="HQ127" s="122"/>
      <c r="HR127" s="122"/>
      <c r="HS127" s="122"/>
      <c r="HT127" s="122"/>
      <c r="HU127" s="122"/>
      <c r="HV127" s="122"/>
      <c r="HW127" s="122"/>
      <c r="HX127" s="122"/>
      <c r="HY127" s="122"/>
      <c r="HZ127" s="122"/>
      <c r="IA127" s="122"/>
      <c r="IB127" s="122"/>
      <c r="IC127" s="122"/>
      <c r="ID127" s="122"/>
      <c r="IE127" s="122"/>
      <c r="IF127" s="122"/>
      <c r="IG127" s="122"/>
      <c r="IH127" s="122"/>
      <c r="II127" s="122"/>
      <c r="IJ127" s="122"/>
      <c r="IK127" s="122"/>
      <c r="IL127" s="122"/>
      <c r="IM127" s="122"/>
      <c r="IN127" s="122"/>
      <c r="IO127" s="122"/>
      <c r="IP127" s="122"/>
      <c r="IQ127" s="122"/>
      <c r="IR127" s="122"/>
      <c r="IS127" s="122"/>
      <c r="IT127" s="122"/>
      <c r="IU127" s="122"/>
      <c r="IV127" s="122"/>
      <c r="IW127" s="122"/>
      <c r="IX127" s="122"/>
      <c r="IY127" s="122"/>
      <c r="IZ127" s="122"/>
      <c r="JA127" s="122"/>
      <c r="JB127" s="122"/>
      <c r="JC127" s="122"/>
      <c r="JD127" s="122"/>
      <c r="JE127" s="122"/>
      <c r="JF127" s="122"/>
      <c r="JG127" s="122"/>
      <c r="JH127" s="122"/>
      <c r="JI127" s="119"/>
      <c r="JJ127" s="2"/>
      <c r="JK127" s="122"/>
      <c r="JL127" s="125"/>
      <c r="JM127" s="125"/>
      <c r="JN127" s="125"/>
      <c r="JO127" s="125"/>
      <c r="JP127" s="125"/>
    </row>
    <row r="128" spans="1:276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122"/>
      <c r="BS128" s="122"/>
      <c r="BT128" s="122"/>
      <c r="BU128" s="122"/>
      <c r="BV128" s="122"/>
      <c r="BW128" s="122"/>
      <c r="BX128" s="122"/>
      <c r="BY128" s="122"/>
      <c r="BZ128" s="122"/>
      <c r="CA128" s="122"/>
      <c r="CB128" s="122"/>
      <c r="CC128" s="122"/>
      <c r="CD128" s="122"/>
      <c r="CE128" s="122"/>
      <c r="CF128" s="122"/>
      <c r="CG128" s="122"/>
      <c r="CH128" s="122"/>
      <c r="CI128" s="122"/>
      <c r="CJ128" s="122"/>
      <c r="CK128" s="122"/>
      <c r="CL128" s="122"/>
      <c r="CM128" s="122"/>
      <c r="CN128" s="122"/>
      <c r="CO128" s="122"/>
      <c r="CP128" s="122"/>
      <c r="CQ128" s="122"/>
      <c r="CR128" s="122"/>
      <c r="CS128" s="122"/>
      <c r="CT128" s="122"/>
      <c r="CU128" s="122"/>
      <c r="CV128" s="122"/>
      <c r="CW128" s="122"/>
      <c r="CX128" s="122"/>
      <c r="CY128" s="122"/>
      <c r="CZ128" s="122"/>
      <c r="DA128" s="122"/>
      <c r="DB128" s="122"/>
      <c r="DC128" s="122"/>
      <c r="DD128" s="122"/>
      <c r="DE128" s="122"/>
      <c r="DF128" s="122"/>
      <c r="DG128" s="122"/>
      <c r="DH128" s="122"/>
      <c r="DI128" s="122"/>
      <c r="DJ128" s="122"/>
      <c r="DK128" s="122"/>
      <c r="DL128" s="122"/>
      <c r="DM128" s="122"/>
      <c r="DN128" s="122"/>
      <c r="DO128" s="122"/>
      <c r="DP128" s="122"/>
      <c r="DQ128" s="122"/>
      <c r="DR128" s="122"/>
      <c r="DS128" s="122"/>
      <c r="DT128" s="122"/>
      <c r="DU128" s="122"/>
      <c r="DV128" s="122"/>
      <c r="DW128" s="122"/>
      <c r="DX128" s="122"/>
      <c r="DY128" s="122"/>
      <c r="DZ128" s="122"/>
      <c r="EA128" s="122"/>
      <c r="EB128" s="122"/>
      <c r="EC128" s="122"/>
      <c r="ED128" s="122"/>
      <c r="EE128" s="122"/>
      <c r="EF128" s="122"/>
      <c r="EG128" s="122"/>
      <c r="EH128" s="122"/>
      <c r="EI128" s="122"/>
      <c r="EJ128" s="122"/>
      <c r="EK128" s="122"/>
      <c r="EL128" s="122"/>
      <c r="EM128" s="122"/>
      <c r="EN128" s="122"/>
      <c r="EO128" s="122"/>
      <c r="EP128" s="122"/>
      <c r="EQ128" s="122"/>
      <c r="ER128" s="122"/>
      <c r="ES128" s="122"/>
      <c r="ET128" s="122"/>
      <c r="EU128" s="122"/>
      <c r="EV128" s="122"/>
      <c r="EW128" s="122"/>
      <c r="EX128" s="122"/>
      <c r="EY128" s="122"/>
      <c r="EZ128" s="122"/>
      <c r="FA128" s="122"/>
      <c r="FB128" s="122"/>
      <c r="FC128" s="122"/>
      <c r="FD128" s="122"/>
      <c r="FE128" s="122"/>
      <c r="FF128" s="122"/>
      <c r="FG128" s="122"/>
      <c r="FH128" s="122"/>
      <c r="FI128" s="122"/>
      <c r="FJ128" s="122"/>
      <c r="FK128" s="122"/>
      <c r="FL128" s="122"/>
      <c r="FM128" s="122"/>
      <c r="FN128" s="122"/>
      <c r="FO128" s="122"/>
      <c r="FP128" s="122"/>
      <c r="FQ128" s="122"/>
      <c r="FR128" s="122"/>
      <c r="FS128" s="122"/>
      <c r="FT128" s="122"/>
      <c r="FU128" s="122"/>
      <c r="FV128" s="122"/>
      <c r="FW128" s="122"/>
      <c r="FX128" s="122"/>
      <c r="FY128" s="122"/>
      <c r="FZ128" s="122"/>
      <c r="GA128" s="122"/>
      <c r="GB128" s="122"/>
      <c r="GC128" s="122"/>
      <c r="GD128" s="122"/>
      <c r="GE128" s="122"/>
      <c r="GF128" s="122"/>
      <c r="GG128" s="122"/>
      <c r="GH128" s="122"/>
      <c r="GI128" s="122"/>
      <c r="GJ128" s="122"/>
      <c r="GK128" s="122"/>
      <c r="GL128" s="122"/>
      <c r="GM128" s="122"/>
      <c r="GN128" s="122"/>
      <c r="GO128" s="122"/>
      <c r="GP128" s="122"/>
      <c r="GQ128" s="122"/>
      <c r="GR128" s="122"/>
      <c r="GS128" s="122"/>
      <c r="GT128" s="122"/>
      <c r="GU128" s="122"/>
      <c r="GV128" s="122"/>
      <c r="GW128" s="122"/>
      <c r="GX128" s="122"/>
      <c r="GY128" s="122"/>
      <c r="GZ128" s="122"/>
      <c r="HA128" s="122"/>
      <c r="HB128" s="122"/>
      <c r="HC128" s="122"/>
      <c r="HD128" s="122"/>
      <c r="HE128" s="122"/>
      <c r="HF128" s="122"/>
      <c r="HG128" s="122"/>
      <c r="HH128" s="122"/>
      <c r="HI128" s="122"/>
      <c r="HJ128" s="122"/>
      <c r="HK128" s="122"/>
      <c r="HL128" s="122"/>
      <c r="HM128" s="122"/>
      <c r="HN128" s="122"/>
      <c r="HO128" s="122"/>
      <c r="HP128" s="122"/>
      <c r="HQ128" s="122"/>
      <c r="HR128" s="122"/>
      <c r="HS128" s="122"/>
      <c r="HT128" s="122"/>
      <c r="HU128" s="122"/>
      <c r="HV128" s="122"/>
      <c r="HW128" s="122"/>
      <c r="HX128" s="122"/>
      <c r="HY128" s="122"/>
      <c r="HZ128" s="122"/>
      <c r="IA128" s="122"/>
      <c r="IB128" s="122"/>
      <c r="IC128" s="122"/>
      <c r="ID128" s="122"/>
      <c r="IE128" s="122"/>
      <c r="IF128" s="122"/>
      <c r="IG128" s="122"/>
      <c r="IH128" s="122"/>
      <c r="II128" s="122"/>
      <c r="IJ128" s="122"/>
      <c r="IK128" s="122"/>
      <c r="IL128" s="122"/>
      <c r="IM128" s="122"/>
      <c r="IN128" s="122"/>
      <c r="IO128" s="122"/>
      <c r="IP128" s="122"/>
      <c r="IQ128" s="122"/>
      <c r="IR128" s="122"/>
      <c r="IS128" s="122"/>
      <c r="IT128" s="122"/>
      <c r="IU128" s="122"/>
      <c r="IV128" s="122"/>
      <c r="IW128" s="122"/>
      <c r="IX128" s="122"/>
      <c r="IY128" s="122"/>
      <c r="IZ128" s="122"/>
      <c r="JA128" s="122"/>
      <c r="JB128" s="122"/>
      <c r="JC128" s="122"/>
      <c r="JD128" s="122"/>
      <c r="JE128" s="122"/>
      <c r="JF128" s="122"/>
      <c r="JG128" s="122"/>
      <c r="JH128" s="122"/>
      <c r="JI128" s="119"/>
      <c r="JJ128" s="2"/>
      <c r="JK128" s="122"/>
      <c r="JL128" s="125"/>
      <c r="JM128" s="125"/>
      <c r="JN128" s="125"/>
      <c r="JO128" s="125"/>
      <c r="JP128" s="125"/>
    </row>
    <row r="129" spans="1:276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122"/>
      <c r="BS129" s="122"/>
      <c r="BT129" s="122"/>
      <c r="BU129" s="122"/>
      <c r="BV129" s="122"/>
      <c r="BW129" s="122"/>
      <c r="BX129" s="122"/>
      <c r="BY129" s="122"/>
      <c r="BZ129" s="122"/>
      <c r="CA129" s="122"/>
      <c r="CB129" s="122"/>
      <c r="CC129" s="122"/>
      <c r="CD129" s="122"/>
      <c r="CE129" s="122"/>
      <c r="CF129" s="122"/>
      <c r="CG129" s="122"/>
      <c r="CH129" s="122"/>
      <c r="CI129" s="122"/>
      <c r="CJ129" s="122"/>
      <c r="CK129" s="122"/>
      <c r="CL129" s="122"/>
      <c r="CM129" s="122"/>
      <c r="CN129" s="122"/>
      <c r="CO129" s="122"/>
      <c r="CP129" s="122"/>
      <c r="CQ129" s="122"/>
      <c r="CR129" s="122"/>
      <c r="CS129" s="122"/>
      <c r="CT129" s="122"/>
      <c r="CU129" s="122"/>
      <c r="CV129" s="122"/>
      <c r="CW129" s="122"/>
      <c r="CX129" s="122"/>
      <c r="CY129" s="122"/>
      <c r="CZ129" s="122"/>
      <c r="DA129" s="122"/>
      <c r="DB129" s="122"/>
      <c r="DC129" s="122"/>
      <c r="DD129" s="122"/>
      <c r="DE129" s="122"/>
      <c r="DF129" s="122"/>
      <c r="DG129" s="122"/>
      <c r="DH129" s="122"/>
      <c r="DI129" s="122"/>
      <c r="DJ129" s="122"/>
      <c r="DK129" s="122"/>
      <c r="DL129" s="122"/>
      <c r="DM129" s="122"/>
      <c r="DN129" s="122"/>
      <c r="DO129" s="122"/>
      <c r="DP129" s="122"/>
      <c r="DQ129" s="122"/>
      <c r="DR129" s="122"/>
      <c r="DS129" s="122"/>
      <c r="DT129" s="122"/>
      <c r="DU129" s="122"/>
      <c r="DV129" s="122"/>
      <c r="DW129" s="122"/>
      <c r="DX129" s="122"/>
      <c r="DY129" s="122"/>
      <c r="DZ129" s="122"/>
      <c r="EA129" s="122"/>
      <c r="EB129" s="122"/>
      <c r="EC129" s="122"/>
      <c r="ED129" s="122"/>
      <c r="EE129" s="122"/>
      <c r="EF129" s="122"/>
      <c r="EG129" s="122"/>
      <c r="EH129" s="122"/>
      <c r="EI129" s="122"/>
      <c r="EJ129" s="122"/>
      <c r="EK129" s="122"/>
      <c r="EL129" s="122"/>
      <c r="EM129" s="122"/>
      <c r="EN129" s="122"/>
      <c r="EO129" s="122"/>
      <c r="EP129" s="122"/>
      <c r="EQ129" s="122"/>
      <c r="ER129" s="122"/>
      <c r="ES129" s="122"/>
      <c r="ET129" s="122"/>
      <c r="EU129" s="122"/>
      <c r="EV129" s="122"/>
      <c r="EW129" s="122"/>
      <c r="EX129" s="122"/>
      <c r="EY129" s="122"/>
      <c r="EZ129" s="122"/>
      <c r="FA129" s="122"/>
      <c r="FB129" s="122"/>
      <c r="FC129" s="122"/>
      <c r="FD129" s="122"/>
      <c r="FE129" s="122"/>
      <c r="FF129" s="122"/>
      <c r="FG129" s="122"/>
      <c r="FH129" s="122"/>
      <c r="FI129" s="122"/>
      <c r="FJ129" s="122"/>
      <c r="FK129" s="122"/>
      <c r="FL129" s="122"/>
      <c r="FM129" s="122"/>
      <c r="FN129" s="122"/>
      <c r="FO129" s="122"/>
      <c r="FP129" s="122"/>
      <c r="FQ129" s="122"/>
      <c r="FR129" s="122"/>
      <c r="FS129" s="122"/>
      <c r="FT129" s="122"/>
      <c r="FU129" s="122"/>
      <c r="FV129" s="122"/>
      <c r="FW129" s="122"/>
      <c r="FX129" s="122"/>
      <c r="FY129" s="122"/>
      <c r="FZ129" s="122"/>
      <c r="GA129" s="122"/>
      <c r="GB129" s="122"/>
      <c r="GC129" s="122"/>
      <c r="GD129" s="122"/>
      <c r="GE129" s="122"/>
      <c r="GF129" s="122"/>
      <c r="GG129" s="122"/>
      <c r="GH129" s="122"/>
      <c r="GI129" s="122"/>
      <c r="GJ129" s="122"/>
      <c r="GK129" s="122"/>
      <c r="GL129" s="122"/>
      <c r="GM129" s="122"/>
      <c r="GN129" s="122"/>
      <c r="GO129" s="122"/>
      <c r="GP129" s="122"/>
      <c r="GQ129" s="122"/>
      <c r="GR129" s="122"/>
      <c r="GS129" s="122"/>
      <c r="GT129" s="122"/>
      <c r="GU129" s="122"/>
      <c r="GV129" s="122"/>
      <c r="GW129" s="122"/>
      <c r="GX129" s="122"/>
      <c r="GY129" s="122"/>
      <c r="GZ129" s="122"/>
      <c r="HA129" s="122"/>
      <c r="HB129" s="122"/>
      <c r="HC129" s="122"/>
      <c r="HD129" s="122"/>
      <c r="HE129" s="122"/>
      <c r="HF129" s="122"/>
      <c r="HG129" s="122"/>
      <c r="HH129" s="122"/>
      <c r="HI129" s="122"/>
      <c r="HJ129" s="122"/>
      <c r="HK129" s="122"/>
      <c r="HL129" s="122"/>
      <c r="HM129" s="122"/>
      <c r="HN129" s="122"/>
      <c r="HO129" s="122"/>
      <c r="HP129" s="122"/>
      <c r="HQ129" s="122"/>
      <c r="HR129" s="122"/>
      <c r="HS129" s="122"/>
      <c r="HT129" s="122"/>
      <c r="HU129" s="122"/>
      <c r="HV129" s="122"/>
      <c r="HW129" s="122"/>
      <c r="HX129" s="122"/>
      <c r="HY129" s="122"/>
      <c r="HZ129" s="122"/>
      <c r="IA129" s="122"/>
      <c r="IB129" s="122"/>
      <c r="IC129" s="122"/>
      <c r="ID129" s="122"/>
      <c r="IE129" s="122"/>
      <c r="IF129" s="122"/>
      <c r="IG129" s="122"/>
      <c r="IH129" s="122"/>
      <c r="II129" s="122"/>
      <c r="IJ129" s="122"/>
      <c r="IK129" s="122"/>
      <c r="IL129" s="122"/>
      <c r="IM129" s="122"/>
      <c r="IN129" s="122"/>
      <c r="IO129" s="122"/>
      <c r="IP129" s="122"/>
      <c r="IQ129" s="122"/>
      <c r="IR129" s="122"/>
      <c r="IS129" s="122"/>
      <c r="IT129" s="122"/>
      <c r="IU129" s="122"/>
      <c r="IV129" s="122"/>
      <c r="IW129" s="122"/>
      <c r="IX129" s="122"/>
      <c r="IY129" s="122"/>
      <c r="IZ129" s="122"/>
      <c r="JA129" s="122"/>
      <c r="JB129" s="122"/>
      <c r="JC129" s="122"/>
      <c r="JD129" s="122"/>
      <c r="JE129" s="122"/>
      <c r="JF129" s="122"/>
      <c r="JG129" s="122"/>
      <c r="JH129" s="122"/>
      <c r="JI129" s="119"/>
      <c r="JJ129" s="2"/>
      <c r="JK129" s="122"/>
      <c r="JL129" s="125"/>
      <c r="JM129" s="125"/>
      <c r="JN129" s="125"/>
      <c r="JO129" s="125"/>
      <c r="JP129" s="125"/>
    </row>
    <row r="130" spans="1:276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22"/>
      <c r="BS130" s="122"/>
      <c r="BT130" s="122"/>
      <c r="BU130" s="122"/>
      <c r="BV130" s="122"/>
      <c r="BW130" s="122"/>
      <c r="BX130" s="122"/>
      <c r="BY130" s="122"/>
      <c r="BZ130" s="122"/>
      <c r="CA130" s="122"/>
      <c r="CB130" s="122"/>
      <c r="CC130" s="122"/>
      <c r="CD130" s="122"/>
      <c r="CE130" s="122"/>
      <c r="CF130" s="122"/>
      <c r="CG130" s="122"/>
      <c r="CH130" s="122"/>
      <c r="CI130" s="122"/>
      <c r="CJ130" s="122"/>
      <c r="CK130" s="122"/>
      <c r="CL130" s="122"/>
      <c r="CM130" s="122"/>
      <c r="CN130" s="122"/>
      <c r="CO130" s="122"/>
      <c r="CP130" s="122"/>
      <c r="CQ130" s="122"/>
      <c r="CR130" s="122"/>
      <c r="CS130" s="122"/>
      <c r="CT130" s="122"/>
      <c r="CU130" s="122"/>
      <c r="CV130" s="122"/>
      <c r="CW130" s="122"/>
      <c r="CX130" s="122"/>
      <c r="CY130" s="122"/>
      <c r="CZ130" s="122"/>
      <c r="DA130" s="122"/>
      <c r="DB130" s="122"/>
      <c r="DC130" s="122"/>
      <c r="DD130" s="122"/>
      <c r="DE130" s="122"/>
      <c r="DF130" s="122"/>
      <c r="DG130" s="122"/>
      <c r="DH130" s="122"/>
      <c r="DI130" s="122"/>
      <c r="DJ130" s="122"/>
      <c r="DK130" s="122"/>
      <c r="DL130" s="122"/>
      <c r="DM130" s="122"/>
      <c r="DN130" s="122"/>
      <c r="DO130" s="122"/>
      <c r="DP130" s="122"/>
      <c r="DQ130" s="122"/>
      <c r="DR130" s="122"/>
      <c r="DS130" s="122"/>
      <c r="DT130" s="122"/>
      <c r="DU130" s="122"/>
      <c r="DV130" s="122"/>
      <c r="DW130" s="122"/>
      <c r="DX130" s="122"/>
      <c r="DY130" s="122"/>
      <c r="DZ130" s="122"/>
      <c r="EA130" s="122"/>
      <c r="EB130" s="122"/>
      <c r="EC130" s="122"/>
      <c r="ED130" s="122"/>
      <c r="EE130" s="122"/>
      <c r="EF130" s="122"/>
      <c r="EG130" s="122"/>
      <c r="EH130" s="122"/>
      <c r="EI130" s="122"/>
      <c r="EJ130" s="122"/>
      <c r="EK130" s="122"/>
      <c r="EL130" s="122"/>
      <c r="EM130" s="122"/>
      <c r="EN130" s="122"/>
      <c r="EO130" s="122"/>
      <c r="EP130" s="122"/>
      <c r="EQ130" s="122"/>
      <c r="ER130" s="122"/>
      <c r="ES130" s="122"/>
      <c r="ET130" s="122"/>
      <c r="EU130" s="122"/>
      <c r="EV130" s="122"/>
      <c r="EW130" s="122"/>
      <c r="EX130" s="122"/>
      <c r="EY130" s="122"/>
      <c r="EZ130" s="122"/>
      <c r="FA130" s="122"/>
      <c r="FB130" s="122"/>
      <c r="FC130" s="122"/>
      <c r="FD130" s="122"/>
      <c r="FE130" s="122"/>
      <c r="FF130" s="122"/>
      <c r="FG130" s="122"/>
      <c r="FH130" s="122"/>
      <c r="FI130" s="122"/>
      <c r="FJ130" s="122"/>
      <c r="FK130" s="122"/>
      <c r="FL130" s="122"/>
      <c r="FM130" s="122"/>
      <c r="FN130" s="122"/>
      <c r="FO130" s="122"/>
      <c r="FP130" s="122"/>
      <c r="FQ130" s="122"/>
      <c r="FR130" s="122"/>
      <c r="FS130" s="122"/>
      <c r="FT130" s="122"/>
      <c r="FU130" s="122"/>
      <c r="FV130" s="122"/>
      <c r="FW130" s="122"/>
      <c r="FX130" s="122"/>
      <c r="FY130" s="122"/>
      <c r="FZ130" s="122"/>
      <c r="GA130" s="122"/>
      <c r="GB130" s="122"/>
      <c r="GC130" s="122"/>
      <c r="GD130" s="122"/>
      <c r="GE130" s="122"/>
      <c r="GF130" s="122"/>
      <c r="GG130" s="122"/>
      <c r="GH130" s="122"/>
      <c r="GI130" s="122"/>
      <c r="GJ130" s="122"/>
      <c r="GK130" s="122"/>
      <c r="GL130" s="122"/>
      <c r="GM130" s="122"/>
      <c r="GN130" s="122"/>
      <c r="GO130" s="122"/>
      <c r="GP130" s="122"/>
      <c r="GQ130" s="122"/>
      <c r="GR130" s="122"/>
      <c r="GS130" s="122"/>
      <c r="GT130" s="122"/>
      <c r="GU130" s="122"/>
      <c r="GV130" s="122"/>
      <c r="GW130" s="122"/>
      <c r="GX130" s="122"/>
      <c r="GY130" s="122"/>
      <c r="GZ130" s="122"/>
      <c r="HA130" s="122"/>
      <c r="HB130" s="122"/>
      <c r="HC130" s="122"/>
      <c r="HD130" s="122"/>
      <c r="HE130" s="122"/>
      <c r="HF130" s="122"/>
      <c r="HG130" s="122"/>
      <c r="HH130" s="122"/>
      <c r="HI130" s="122"/>
      <c r="HJ130" s="122"/>
      <c r="HK130" s="122"/>
      <c r="HL130" s="122"/>
      <c r="HM130" s="122"/>
      <c r="HN130" s="122"/>
      <c r="HO130" s="122"/>
      <c r="HP130" s="122"/>
      <c r="HQ130" s="122"/>
      <c r="HR130" s="122"/>
      <c r="HS130" s="122"/>
      <c r="HT130" s="122"/>
      <c r="HU130" s="122"/>
      <c r="HV130" s="122"/>
      <c r="HW130" s="122"/>
      <c r="HX130" s="122"/>
      <c r="HY130" s="122"/>
      <c r="HZ130" s="122"/>
      <c r="IA130" s="122"/>
      <c r="IB130" s="122"/>
      <c r="IC130" s="122"/>
      <c r="ID130" s="122"/>
      <c r="IE130" s="122"/>
      <c r="IF130" s="122"/>
      <c r="IG130" s="122"/>
      <c r="IH130" s="122"/>
      <c r="II130" s="122"/>
      <c r="IJ130" s="122"/>
      <c r="IK130" s="122"/>
      <c r="IL130" s="122"/>
      <c r="IM130" s="122"/>
      <c r="IN130" s="122"/>
      <c r="IO130" s="122"/>
      <c r="IP130" s="122"/>
      <c r="IQ130" s="122"/>
      <c r="IR130" s="122"/>
      <c r="IS130" s="122"/>
      <c r="IT130" s="122"/>
      <c r="IU130" s="122"/>
      <c r="IV130" s="122"/>
      <c r="IW130" s="122"/>
      <c r="IX130" s="122"/>
      <c r="IY130" s="122"/>
      <c r="IZ130" s="122"/>
      <c r="JA130" s="122"/>
      <c r="JB130" s="122"/>
      <c r="JC130" s="122"/>
      <c r="JD130" s="122"/>
      <c r="JE130" s="122"/>
      <c r="JF130" s="122"/>
      <c r="JG130" s="122"/>
      <c r="JH130" s="122"/>
      <c r="JI130" s="119"/>
      <c r="JJ130" s="2"/>
      <c r="JK130" s="122"/>
      <c r="JL130" s="125"/>
      <c r="JM130" s="125"/>
      <c r="JN130" s="125"/>
      <c r="JO130" s="125"/>
      <c r="JP130" s="125"/>
    </row>
    <row r="131" spans="1:276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/>
      <c r="AT131" s="122"/>
      <c r="AU131" s="122"/>
      <c r="AV131" s="122"/>
      <c r="AW131" s="122"/>
      <c r="AX131" s="122"/>
      <c r="AY131" s="122"/>
      <c r="AZ131" s="122"/>
      <c r="BA131" s="122"/>
      <c r="BB131" s="122"/>
      <c r="BC131" s="122"/>
      <c r="BD131" s="122"/>
      <c r="BE131" s="122"/>
      <c r="BF131" s="122"/>
      <c r="BG131" s="122"/>
      <c r="BH131" s="122"/>
      <c r="BI131" s="122"/>
      <c r="BJ131" s="122"/>
      <c r="BK131" s="122"/>
      <c r="BL131" s="122"/>
      <c r="BM131" s="122"/>
      <c r="BN131" s="122"/>
      <c r="BO131" s="122"/>
      <c r="BP131" s="122"/>
      <c r="BQ131" s="122"/>
      <c r="BR131" s="122"/>
      <c r="BS131" s="122"/>
      <c r="BT131" s="122"/>
      <c r="BU131" s="122"/>
      <c r="BV131" s="122"/>
      <c r="BW131" s="122"/>
      <c r="BX131" s="122"/>
      <c r="BY131" s="122"/>
      <c r="BZ131" s="122"/>
      <c r="CA131" s="122"/>
      <c r="CB131" s="122"/>
      <c r="CC131" s="122"/>
      <c r="CD131" s="122"/>
      <c r="CE131" s="122"/>
      <c r="CF131" s="122"/>
      <c r="CG131" s="122"/>
      <c r="CH131" s="122"/>
      <c r="CI131" s="122"/>
      <c r="CJ131" s="122"/>
      <c r="CK131" s="122"/>
      <c r="CL131" s="122"/>
      <c r="CM131" s="122"/>
      <c r="CN131" s="122"/>
      <c r="CO131" s="122"/>
      <c r="CP131" s="122"/>
      <c r="CQ131" s="122"/>
      <c r="CR131" s="122"/>
      <c r="CS131" s="122"/>
      <c r="CT131" s="122"/>
      <c r="CU131" s="122"/>
      <c r="CV131" s="122"/>
      <c r="CW131" s="122"/>
      <c r="CX131" s="122"/>
      <c r="CY131" s="122"/>
      <c r="CZ131" s="122"/>
      <c r="DA131" s="122"/>
      <c r="DB131" s="122"/>
      <c r="DC131" s="122"/>
      <c r="DD131" s="122"/>
      <c r="DE131" s="122"/>
      <c r="DF131" s="122"/>
      <c r="DG131" s="122"/>
      <c r="DH131" s="122"/>
      <c r="DI131" s="122"/>
      <c r="DJ131" s="122"/>
      <c r="DK131" s="122"/>
      <c r="DL131" s="122"/>
      <c r="DM131" s="122"/>
      <c r="DN131" s="122"/>
      <c r="DO131" s="122"/>
      <c r="DP131" s="122"/>
      <c r="DQ131" s="122"/>
      <c r="DR131" s="122"/>
      <c r="DS131" s="122"/>
      <c r="DT131" s="122"/>
      <c r="DU131" s="122"/>
      <c r="DV131" s="122"/>
      <c r="DW131" s="122"/>
      <c r="DX131" s="122"/>
      <c r="DY131" s="122"/>
      <c r="DZ131" s="122"/>
      <c r="EA131" s="122"/>
      <c r="EB131" s="122"/>
      <c r="EC131" s="122"/>
      <c r="ED131" s="122"/>
      <c r="EE131" s="122"/>
      <c r="EF131" s="122"/>
      <c r="EG131" s="122"/>
      <c r="EH131" s="122"/>
      <c r="EI131" s="122"/>
      <c r="EJ131" s="122"/>
      <c r="EK131" s="122"/>
      <c r="EL131" s="122"/>
      <c r="EM131" s="122"/>
      <c r="EN131" s="122"/>
      <c r="EO131" s="122"/>
      <c r="EP131" s="122"/>
      <c r="EQ131" s="122"/>
      <c r="ER131" s="122"/>
      <c r="ES131" s="122"/>
      <c r="ET131" s="122"/>
      <c r="EU131" s="122"/>
      <c r="EV131" s="122"/>
      <c r="EW131" s="122"/>
      <c r="EX131" s="122"/>
      <c r="EY131" s="122"/>
      <c r="EZ131" s="122"/>
      <c r="FA131" s="122"/>
      <c r="FB131" s="122"/>
      <c r="FC131" s="122"/>
      <c r="FD131" s="122"/>
      <c r="FE131" s="122"/>
      <c r="FF131" s="122"/>
      <c r="FG131" s="122"/>
      <c r="FH131" s="122"/>
      <c r="FI131" s="122"/>
      <c r="FJ131" s="122"/>
      <c r="FK131" s="122"/>
      <c r="FL131" s="122"/>
      <c r="FM131" s="122"/>
      <c r="FN131" s="122"/>
      <c r="FO131" s="122"/>
      <c r="FP131" s="122"/>
      <c r="FQ131" s="122"/>
      <c r="FR131" s="122"/>
      <c r="FS131" s="122"/>
      <c r="FT131" s="122"/>
      <c r="FU131" s="122"/>
      <c r="FV131" s="122"/>
      <c r="FW131" s="122"/>
      <c r="FX131" s="122"/>
      <c r="FY131" s="122"/>
      <c r="FZ131" s="122"/>
      <c r="GA131" s="122"/>
      <c r="GB131" s="122"/>
      <c r="GC131" s="122"/>
      <c r="GD131" s="122"/>
      <c r="GE131" s="122"/>
      <c r="GF131" s="122"/>
      <c r="GG131" s="122"/>
      <c r="GH131" s="122"/>
      <c r="GI131" s="122"/>
      <c r="GJ131" s="122"/>
      <c r="GK131" s="122"/>
      <c r="GL131" s="122"/>
      <c r="GM131" s="122"/>
      <c r="GN131" s="122"/>
      <c r="GO131" s="122"/>
      <c r="GP131" s="122"/>
      <c r="GQ131" s="122"/>
      <c r="GR131" s="122"/>
      <c r="GS131" s="122"/>
      <c r="GT131" s="122"/>
      <c r="GU131" s="122"/>
      <c r="GV131" s="122"/>
      <c r="GW131" s="122"/>
      <c r="GX131" s="122"/>
      <c r="GY131" s="122"/>
      <c r="GZ131" s="122"/>
      <c r="HA131" s="122"/>
      <c r="HB131" s="122"/>
      <c r="HC131" s="122"/>
      <c r="HD131" s="122"/>
      <c r="HE131" s="122"/>
      <c r="HF131" s="122"/>
      <c r="HG131" s="122"/>
      <c r="HH131" s="122"/>
      <c r="HI131" s="122"/>
      <c r="HJ131" s="122"/>
      <c r="HK131" s="122"/>
      <c r="HL131" s="122"/>
      <c r="HM131" s="122"/>
      <c r="HN131" s="122"/>
      <c r="HO131" s="122"/>
      <c r="HP131" s="122"/>
      <c r="HQ131" s="122"/>
      <c r="HR131" s="122"/>
      <c r="HS131" s="122"/>
      <c r="HT131" s="122"/>
      <c r="HU131" s="122"/>
      <c r="HV131" s="122"/>
      <c r="HW131" s="122"/>
      <c r="HX131" s="122"/>
      <c r="HY131" s="122"/>
      <c r="HZ131" s="122"/>
      <c r="IA131" s="122"/>
      <c r="IB131" s="122"/>
      <c r="IC131" s="122"/>
      <c r="ID131" s="122"/>
      <c r="IE131" s="122"/>
      <c r="IF131" s="122"/>
      <c r="IG131" s="122"/>
      <c r="IH131" s="122"/>
      <c r="II131" s="122"/>
      <c r="IJ131" s="122"/>
      <c r="IK131" s="122"/>
      <c r="IL131" s="122"/>
      <c r="IM131" s="122"/>
      <c r="IN131" s="122"/>
      <c r="IO131" s="122"/>
      <c r="IP131" s="122"/>
      <c r="IQ131" s="122"/>
      <c r="IR131" s="122"/>
      <c r="IS131" s="122"/>
      <c r="IT131" s="122"/>
      <c r="IU131" s="122"/>
      <c r="IV131" s="122"/>
      <c r="IW131" s="122"/>
      <c r="IX131" s="122"/>
      <c r="IY131" s="122"/>
      <c r="IZ131" s="122"/>
      <c r="JA131" s="122"/>
      <c r="JB131" s="122"/>
      <c r="JC131" s="122"/>
      <c r="JD131" s="122"/>
      <c r="JE131" s="122"/>
      <c r="JF131" s="122"/>
      <c r="JG131" s="122"/>
      <c r="JH131" s="122"/>
      <c r="JI131" s="119"/>
      <c r="JJ131" s="2"/>
      <c r="JK131" s="122"/>
      <c r="JL131" s="125"/>
      <c r="JM131" s="125"/>
      <c r="JN131" s="125"/>
      <c r="JO131" s="125"/>
      <c r="JP131" s="125"/>
    </row>
    <row r="132" spans="1:276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22"/>
      <c r="BQ132" s="122"/>
      <c r="BR132" s="122"/>
      <c r="BS132" s="122"/>
      <c r="BT132" s="122"/>
      <c r="BU132" s="122"/>
      <c r="BV132" s="122"/>
      <c r="BW132" s="122"/>
      <c r="BX132" s="122"/>
      <c r="BY132" s="122"/>
      <c r="BZ132" s="122"/>
      <c r="CA132" s="122"/>
      <c r="CB132" s="122"/>
      <c r="CC132" s="122"/>
      <c r="CD132" s="122"/>
      <c r="CE132" s="122"/>
      <c r="CF132" s="122"/>
      <c r="CG132" s="122"/>
      <c r="CH132" s="122"/>
      <c r="CI132" s="122"/>
      <c r="CJ132" s="122"/>
      <c r="CK132" s="122"/>
      <c r="CL132" s="122"/>
      <c r="CM132" s="122"/>
      <c r="CN132" s="122"/>
      <c r="CO132" s="122"/>
      <c r="CP132" s="122"/>
      <c r="CQ132" s="122"/>
      <c r="CR132" s="122"/>
      <c r="CS132" s="122"/>
      <c r="CT132" s="122"/>
      <c r="CU132" s="122"/>
      <c r="CV132" s="122"/>
      <c r="CW132" s="122"/>
      <c r="CX132" s="122"/>
      <c r="CY132" s="122"/>
      <c r="CZ132" s="122"/>
      <c r="DA132" s="122"/>
      <c r="DB132" s="122"/>
      <c r="DC132" s="122"/>
      <c r="DD132" s="122"/>
      <c r="DE132" s="122"/>
      <c r="DF132" s="122"/>
      <c r="DG132" s="122"/>
      <c r="DH132" s="122"/>
      <c r="DI132" s="122"/>
      <c r="DJ132" s="122"/>
      <c r="DK132" s="122"/>
      <c r="DL132" s="122"/>
      <c r="DM132" s="122"/>
      <c r="DN132" s="122"/>
      <c r="DO132" s="122"/>
      <c r="DP132" s="122"/>
      <c r="DQ132" s="122"/>
      <c r="DR132" s="122"/>
      <c r="DS132" s="122"/>
      <c r="DT132" s="122"/>
      <c r="DU132" s="122"/>
      <c r="DV132" s="122"/>
      <c r="DW132" s="122"/>
      <c r="DX132" s="122"/>
      <c r="DY132" s="122"/>
      <c r="DZ132" s="122"/>
      <c r="EA132" s="122"/>
      <c r="EB132" s="122"/>
      <c r="EC132" s="122"/>
      <c r="ED132" s="122"/>
      <c r="EE132" s="122"/>
      <c r="EF132" s="122"/>
      <c r="EG132" s="122"/>
      <c r="EH132" s="122"/>
      <c r="EI132" s="122"/>
      <c r="EJ132" s="122"/>
      <c r="EK132" s="122"/>
      <c r="EL132" s="122"/>
      <c r="EM132" s="122"/>
      <c r="EN132" s="122"/>
      <c r="EO132" s="122"/>
      <c r="EP132" s="122"/>
      <c r="EQ132" s="122"/>
      <c r="ER132" s="122"/>
      <c r="ES132" s="122"/>
      <c r="ET132" s="122"/>
      <c r="EU132" s="122"/>
      <c r="EV132" s="122"/>
      <c r="EW132" s="122"/>
      <c r="EX132" s="122"/>
      <c r="EY132" s="122"/>
      <c r="EZ132" s="122"/>
      <c r="FA132" s="122"/>
      <c r="FB132" s="122"/>
      <c r="FC132" s="122"/>
      <c r="FD132" s="122"/>
      <c r="FE132" s="122"/>
      <c r="FF132" s="122"/>
      <c r="FG132" s="122"/>
      <c r="FH132" s="122"/>
      <c r="FI132" s="122"/>
      <c r="FJ132" s="122"/>
      <c r="FK132" s="122"/>
      <c r="FL132" s="122"/>
      <c r="FM132" s="122"/>
      <c r="FN132" s="122"/>
      <c r="FO132" s="122"/>
      <c r="FP132" s="122"/>
      <c r="FQ132" s="122"/>
      <c r="FR132" s="122"/>
      <c r="FS132" s="122"/>
      <c r="FT132" s="122"/>
      <c r="FU132" s="122"/>
      <c r="FV132" s="122"/>
      <c r="FW132" s="122"/>
      <c r="FX132" s="122"/>
      <c r="FY132" s="122"/>
      <c r="FZ132" s="122"/>
      <c r="GA132" s="122"/>
      <c r="GB132" s="122"/>
      <c r="GC132" s="122"/>
      <c r="GD132" s="122"/>
      <c r="GE132" s="122"/>
      <c r="GF132" s="122"/>
      <c r="GG132" s="122"/>
      <c r="GH132" s="122"/>
      <c r="GI132" s="122"/>
      <c r="GJ132" s="122"/>
      <c r="GK132" s="122"/>
      <c r="GL132" s="122"/>
      <c r="GM132" s="122"/>
      <c r="GN132" s="122"/>
      <c r="GO132" s="122"/>
      <c r="GP132" s="122"/>
      <c r="GQ132" s="122"/>
      <c r="GR132" s="122"/>
      <c r="GS132" s="122"/>
      <c r="GT132" s="122"/>
      <c r="GU132" s="122"/>
      <c r="GV132" s="122"/>
      <c r="GW132" s="122"/>
      <c r="GX132" s="122"/>
      <c r="GY132" s="122"/>
      <c r="GZ132" s="122"/>
      <c r="HA132" s="122"/>
      <c r="HB132" s="122"/>
      <c r="HC132" s="122"/>
      <c r="HD132" s="122"/>
      <c r="HE132" s="122"/>
      <c r="HF132" s="122"/>
      <c r="HG132" s="122"/>
      <c r="HH132" s="122"/>
      <c r="HI132" s="122"/>
      <c r="HJ132" s="122"/>
      <c r="HK132" s="122"/>
      <c r="HL132" s="122"/>
      <c r="HM132" s="122"/>
      <c r="HN132" s="122"/>
      <c r="HO132" s="122"/>
      <c r="HP132" s="122"/>
      <c r="HQ132" s="122"/>
      <c r="HR132" s="122"/>
      <c r="HS132" s="122"/>
      <c r="HT132" s="122"/>
      <c r="HU132" s="122"/>
      <c r="HV132" s="122"/>
      <c r="HW132" s="122"/>
      <c r="HX132" s="122"/>
      <c r="HY132" s="122"/>
      <c r="HZ132" s="122"/>
      <c r="IA132" s="122"/>
      <c r="IB132" s="122"/>
      <c r="IC132" s="122"/>
      <c r="ID132" s="122"/>
      <c r="IE132" s="122"/>
      <c r="IF132" s="122"/>
      <c r="IG132" s="122"/>
      <c r="IH132" s="122"/>
      <c r="II132" s="122"/>
      <c r="IJ132" s="122"/>
      <c r="IK132" s="122"/>
      <c r="IL132" s="122"/>
      <c r="IM132" s="122"/>
      <c r="IN132" s="122"/>
      <c r="IO132" s="122"/>
      <c r="IP132" s="122"/>
      <c r="IQ132" s="122"/>
      <c r="IR132" s="122"/>
      <c r="IS132" s="122"/>
      <c r="IT132" s="122"/>
      <c r="IU132" s="122"/>
      <c r="IV132" s="122"/>
      <c r="IW132" s="122"/>
      <c r="IX132" s="122"/>
      <c r="IY132" s="122"/>
      <c r="IZ132" s="122"/>
      <c r="JA132" s="122"/>
      <c r="JB132" s="122"/>
      <c r="JC132" s="122"/>
      <c r="JD132" s="122"/>
      <c r="JE132" s="122"/>
      <c r="JF132" s="122"/>
      <c r="JG132" s="122"/>
      <c r="JH132" s="122"/>
      <c r="JI132" s="119"/>
      <c r="JJ132" s="2"/>
      <c r="JK132" s="122"/>
      <c r="JL132" s="125"/>
      <c r="JM132" s="125"/>
      <c r="JN132" s="125"/>
      <c r="JO132" s="125"/>
      <c r="JP132" s="125"/>
    </row>
    <row r="133" spans="1:276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122"/>
      <c r="BR133" s="122"/>
      <c r="BS133" s="122"/>
      <c r="BT133" s="122"/>
      <c r="BU133" s="122"/>
      <c r="BV133" s="122"/>
      <c r="BW133" s="122"/>
      <c r="BX133" s="122"/>
      <c r="BY133" s="122"/>
      <c r="BZ133" s="122"/>
      <c r="CA133" s="122"/>
      <c r="CB133" s="122"/>
      <c r="CC133" s="122"/>
      <c r="CD133" s="122"/>
      <c r="CE133" s="122"/>
      <c r="CF133" s="122"/>
      <c r="CG133" s="122"/>
      <c r="CH133" s="122"/>
      <c r="CI133" s="122"/>
      <c r="CJ133" s="122"/>
      <c r="CK133" s="122"/>
      <c r="CL133" s="122"/>
      <c r="CM133" s="122"/>
      <c r="CN133" s="122"/>
      <c r="CO133" s="122"/>
      <c r="CP133" s="122"/>
      <c r="CQ133" s="122"/>
      <c r="CR133" s="122"/>
      <c r="CS133" s="122"/>
      <c r="CT133" s="122"/>
      <c r="CU133" s="122"/>
      <c r="CV133" s="122"/>
      <c r="CW133" s="122"/>
      <c r="CX133" s="122"/>
      <c r="CY133" s="122"/>
      <c r="CZ133" s="122"/>
      <c r="DA133" s="122"/>
      <c r="DB133" s="122"/>
      <c r="DC133" s="122"/>
      <c r="DD133" s="122"/>
      <c r="DE133" s="122"/>
      <c r="DF133" s="122"/>
      <c r="DG133" s="122"/>
      <c r="DH133" s="122"/>
      <c r="DI133" s="122"/>
      <c r="DJ133" s="122"/>
      <c r="DK133" s="122"/>
      <c r="DL133" s="122"/>
      <c r="DM133" s="122"/>
      <c r="DN133" s="122"/>
      <c r="DO133" s="122"/>
      <c r="DP133" s="122"/>
      <c r="DQ133" s="122"/>
      <c r="DR133" s="122"/>
      <c r="DS133" s="122"/>
      <c r="DT133" s="122"/>
      <c r="DU133" s="122"/>
      <c r="DV133" s="122"/>
      <c r="DW133" s="122"/>
      <c r="DX133" s="122"/>
      <c r="DY133" s="122"/>
      <c r="DZ133" s="122"/>
      <c r="EA133" s="122"/>
      <c r="EB133" s="122"/>
      <c r="EC133" s="122"/>
      <c r="ED133" s="122"/>
      <c r="EE133" s="122"/>
      <c r="EF133" s="122"/>
      <c r="EG133" s="122"/>
      <c r="EH133" s="122"/>
      <c r="EI133" s="122"/>
      <c r="EJ133" s="122"/>
      <c r="EK133" s="122"/>
      <c r="EL133" s="122"/>
      <c r="EM133" s="122"/>
      <c r="EN133" s="122"/>
      <c r="EO133" s="122"/>
      <c r="EP133" s="122"/>
      <c r="EQ133" s="122"/>
      <c r="ER133" s="122"/>
      <c r="ES133" s="122"/>
      <c r="ET133" s="122"/>
      <c r="EU133" s="122"/>
      <c r="EV133" s="122"/>
      <c r="EW133" s="122"/>
      <c r="EX133" s="122"/>
      <c r="EY133" s="122"/>
      <c r="EZ133" s="122"/>
      <c r="FA133" s="122"/>
      <c r="FB133" s="122"/>
      <c r="FC133" s="122"/>
      <c r="FD133" s="122"/>
      <c r="FE133" s="122"/>
      <c r="FF133" s="122"/>
      <c r="FG133" s="122"/>
      <c r="FH133" s="122"/>
      <c r="FI133" s="122"/>
      <c r="FJ133" s="122"/>
      <c r="FK133" s="122"/>
      <c r="FL133" s="122"/>
      <c r="FM133" s="122"/>
      <c r="FN133" s="122"/>
      <c r="FO133" s="122"/>
      <c r="FP133" s="122"/>
      <c r="FQ133" s="122"/>
      <c r="FR133" s="122"/>
      <c r="FS133" s="122"/>
      <c r="FT133" s="122"/>
      <c r="FU133" s="122"/>
      <c r="FV133" s="122"/>
      <c r="FW133" s="122"/>
      <c r="FX133" s="122"/>
      <c r="FY133" s="122"/>
      <c r="FZ133" s="122"/>
      <c r="GA133" s="122"/>
      <c r="GB133" s="122"/>
      <c r="GC133" s="122"/>
      <c r="GD133" s="122"/>
      <c r="GE133" s="122"/>
      <c r="GF133" s="122"/>
      <c r="GG133" s="122"/>
      <c r="GH133" s="122"/>
      <c r="GI133" s="122"/>
      <c r="GJ133" s="122"/>
      <c r="GK133" s="122"/>
      <c r="GL133" s="122"/>
      <c r="GM133" s="122"/>
      <c r="GN133" s="122"/>
      <c r="GO133" s="122"/>
      <c r="GP133" s="122"/>
      <c r="GQ133" s="122"/>
      <c r="GR133" s="122"/>
      <c r="GS133" s="122"/>
      <c r="GT133" s="122"/>
      <c r="GU133" s="122"/>
      <c r="GV133" s="122"/>
      <c r="GW133" s="122"/>
      <c r="GX133" s="122"/>
      <c r="GY133" s="122"/>
      <c r="GZ133" s="122"/>
      <c r="HA133" s="122"/>
      <c r="HB133" s="122"/>
      <c r="HC133" s="122"/>
      <c r="HD133" s="122"/>
      <c r="HE133" s="122"/>
      <c r="HF133" s="122"/>
      <c r="HG133" s="122"/>
      <c r="HH133" s="122"/>
      <c r="HI133" s="122"/>
      <c r="HJ133" s="122"/>
      <c r="HK133" s="122"/>
      <c r="HL133" s="122"/>
      <c r="HM133" s="122"/>
      <c r="HN133" s="122"/>
      <c r="HO133" s="122"/>
      <c r="HP133" s="122"/>
      <c r="HQ133" s="122"/>
      <c r="HR133" s="122"/>
      <c r="HS133" s="122"/>
      <c r="HT133" s="122"/>
      <c r="HU133" s="122"/>
      <c r="HV133" s="122"/>
      <c r="HW133" s="122"/>
      <c r="HX133" s="122"/>
      <c r="HY133" s="122"/>
      <c r="HZ133" s="122"/>
      <c r="IA133" s="122"/>
      <c r="IB133" s="122"/>
      <c r="IC133" s="122"/>
      <c r="ID133" s="122"/>
      <c r="IE133" s="122"/>
      <c r="IF133" s="122"/>
      <c r="IG133" s="122"/>
      <c r="IH133" s="122"/>
      <c r="II133" s="122"/>
      <c r="IJ133" s="122"/>
      <c r="IK133" s="122"/>
      <c r="IL133" s="122"/>
      <c r="IM133" s="122"/>
      <c r="IN133" s="122"/>
      <c r="IO133" s="122"/>
      <c r="IP133" s="122"/>
      <c r="IQ133" s="122"/>
      <c r="IR133" s="122"/>
      <c r="IS133" s="122"/>
      <c r="IT133" s="122"/>
      <c r="IU133" s="122"/>
      <c r="IV133" s="122"/>
      <c r="IW133" s="122"/>
      <c r="IX133" s="122"/>
      <c r="IY133" s="122"/>
      <c r="IZ133" s="122"/>
      <c r="JA133" s="122"/>
      <c r="JB133" s="122"/>
      <c r="JC133" s="122"/>
      <c r="JD133" s="122"/>
      <c r="JE133" s="122"/>
      <c r="JF133" s="122"/>
      <c r="JG133" s="122"/>
      <c r="JH133" s="122"/>
      <c r="JI133" s="119"/>
      <c r="JJ133" s="2"/>
      <c r="JK133" s="122"/>
      <c r="JL133" s="125"/>
      <c r="JM133" s="125"/>
      <c r="JN133" s="125"/>
      <c r="JO133" s="125"/>
      <c r="JP133" s="125"/>
    </row>
    <row r="134" spans="1:276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122"/>
      <c r="BG134" s="122"/>
      <c r="BH134" s="122"/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122"/>
      <c r="BS134" s="122"/>
      <c r="BT134" s="122"/>
      <c r="BU134" s="122"/>
      <c r="BV134" s="122"/>
      <c r="BW134" s="122"/>
      <c r="BX134" s="122"/>
      <c r="BY134" s="122"/>
      <c r="BZ134" s="122"/>
      <c r="CA134" s="122"/>
      <c r="CB134" s="122"/>
      <c r="CC134" s="122"/>
      <c r="CD134" s="122"/>
      <c r="CE134" s="122"/>
      <c r="CF134" s="122"/>
      <c r="CG134" s="122"/>
      <c r="CH134" s="122"/>
      <c r="CI134" s="122"/>
      <c r="CJ134" s="122"/>
      <c r="CK134" s="122"/>
      <c r="CL134" s="122"/>
      <c r="CM134" s="122"/>
      <c r="CN134" s="122"/>
      <c r="CO134" s="122"/>
      <c r="CP134" s="122"/>
      <c r="CQ134" s="122"/>
      <c r="CR134" s="122"/>
      <c r="CS134" s="122"/>
      <c r="CT134" s="122"/>
      <c r="CU134" s="122"/>
      <c r="CV134" s="122"/>
      <c r="CW134" s="122"/>
      <c r="CX134" s="122"/>
      <c r="CY134" s="122"/>
      <c r="CZ134" s="122"/>
      <c r="DA134" s="122"/>
      <c r="DB134" s="122"/>
      <c r="DC134" s="122"/>
      <c r="DD134" s="122"/>
      <c r="DE134" s="122"/>
      <c r="DF134" s="122"/>
      <c r="DG134" s="122"/>
      <c r="DH134" s="122"/>
      <c r="DI134" s="122"/>
      <c r="DJ134" s="122"/>
      <c r="DK134" s="122"/>
      <c r="DL134" s="122"/>
      <c r="DM134" s="122"/>
      <c r="DN134" s="122"/>
      <c r="DO134" s="122"/>
      <c r="DP134" s="122"/>
      <c r="DQ134" s="122"/>
      <c r="DR134" s="122"/>
      <c r="DS134" s="122"/>
      <c r="DT134" s="122"/>
      <c r="DU134" s="122"/>
      <c r="DV134" s="122"/>
      <c r="DW134" s="122"/>
      <c r="DX134" s="122"/>
      <c r="DY134" s="122"/>
      <c r="DZ134" s="122"/>
      <c r="EA134" s="122"/>
      <c r="EB134" s="122"/>
      <c r="EC134" s="122"/>
      <c r="ED134" s="122"/>
      <c r="EE134" s="122"/>
      <c r="EF134" s="122"/>
      <c r="EG134" s="122"/>
      <c r="EH134" s="122"/>
      <c r="EI134" s="122"/>
      <c r="EJ134" s="122"/>
      <c r="EK134" s="122"/>
      <c r="EL134" s="122"/>
      <c r="EM134" s="122"/>
      <c r="EN134" s="122"/>
      <c r="EO134" s="122"/>
      <c r="EP134" s="122"/>
      <c r="EQ134" s="122"/>
      <c r="ER134" s="122"/>
      <c r="ES134" s="122"/>
      <c r="ET134" s="122"/>
      <c r="EU134" s="122"/>
      <c r="EV134" s="122"/>
      <c r="EW134" s="122"/>
      <c r="EX134" s="122"/>
      <c r="EY134" s="122"/>
      <c r="EZ134" s="122"/>
      <c r="FA134" s="122"/>
      <c r="FB134" s="122"/>
      <c r="FC134" s="122"/>
      <c r="FD134" s="122"/>
      <c r="FE134" s="122"/>
      <c r="FF134" s="122"/>
      <c r="FG134" s="122"/>
      <c r="FH134" s="122"/>
      <c r="FI134" s="122"/>
      <c r="FJ134" s="122"/>
      <c r="FK134" s="122"/>
      <c r="FL134" s="122"/>
      <c r="FM134" s="122"/>
      <c r="FN134" s="122"/>
      <c r="FO134" s="122"/>
      <c r="FP134" s="122"/>
      <c r="FQ134" s="122"/>
      <c r="FR134" s="122"/>
      <c r="FS134" s="122"/>
      <c r="FT134" s="122"/>
      <c r="FU134" s="122"/>
      <c r="FV134" s="122"/>
      <c r="FW134" s="122"/>
      <c r="FX134" s="122"/>
      <c r="FY134" s="122"/>
      <c r="FZ134" s="122"/>
      <c r="GA134" s="122"/>
      <c r="GB134" s="122"/>
      <c r="GC134" s="122"/>
      <c r="GD134" s="122"/>
      <c r="GE134" s="122"/>
      <c r="GF134" s="122"/>
      <c r="GG134" s="122"/>
      <c r="GH134" s="122"/>
      <c r="GI134" s="122"/>
      <c r="GJ134" s="122"/>
      <c r="GK134" s="122"/>
      <c r="GL134" s="122"/>
      <c r="GM134" s="122"/>
      <c r="GN134" s="122"/>
      <c r="GO134" s="122"/>
      <c r="GP134" s="122"/>
      <c r="GQ134" s="122"/>
      <c r="GR134" s="122"/>
      <c r="GS134" s="122"/>
      <c r="GT134" s="122"/>
      <c r="GU134" s="122"/>
      <c r="GV134" s="122"/>
      <c r="GW134" s="122"/>
      <c r="GX134" s="122"/>
      <c r="GY134" s="122"/>
      <c r="GZ134" s="122"/>
      <c r="HA134" s="122"/>
      <c r="HB134" s="122"/>
      <c r="HC134" s="122"/>
      <c r="HD134" s="122"/>
      <c r="HE134" s="122"/>
      <c r="HF134" s="122"/>
      <c r="HG134" s="122"/>
      <c r="HH134" s="122"/>
      <c r="HI134" s="122"/>
      <c r="HJ134" s="122"/>
      <c r="HK134" s="122"/>
      <c r="HL134" s="122"/>
      <c r="HM134" s="122"/>
      <c r="HN134" s="122"/>
      <c r="HO134" s="122"/>
      <c r="HP134" s="122"/>
      <c r="HQ134" s="122"/>
      <c r="HR134" s="122"/>
      <c r="HS134" s="122"/>
      <c r="HT134" s="122"/>
      <c r="HU134" s="122"/>
      <c r="HV134" s="122"/>
      <c r="HW134" s="122"/>
      <c r="HX134" s="122"/>
      <c r="HY134" s="122"/>
      <c r="HZ134" s="122"/>
      <c r="IA134" s="122"/>
      <c r="IB134" s="122"/>
      <c r="IC134" s="122"/>
      <c r="ID134" s="122"/>
      <c r="IE134" s="122"/>
      <c r="IF134" s="122"/>
      <c r="IG134" s="122"/>
      <c r="IH134" s="122"/>
      <c r="II134" s="122"/>
      <c r="IJ134" s="122"/>
      <c r="IK134" s="122"/>
      <c r="IL134" s="122"/>
      <c r="IM134" s="122"/>
      <c r="IN134" s="122"/>
      <c r="IO134" s="122"/>
      <c r="IP134" s="122"/>
      <c r="IQ134" s="122"/>
      <c r="IR134" s="122"/>
      <c r="IS134" s="122"/>
      <c r="IT134" s="122"/>
      <c r="IU134" s="122"/>
      <c r="IV134" s="122"/>
      <c r="IW134" s="122"/>
      <c r="IX134" s="122"/>
      <c r="IY134" s="122"/>
      <c r="IZ134" s="122"/>
      <c r="JA134" s="122"/>
      <c r="JB134" s="122"/>
      <c r="JC134" s="122"/>
      <c r="JD134" s="122"/>
      <c r="JE134" s="122"/>
      <c r="JF134" s="122"/>
      <c r="JG134" s="122"/>
      <c r="JH134" s="122"/>
      <c r="JI134" s="119"/>
      <c r="JJ134" s="2"/>
      <c r="JK134" s="122"/>
      <c r="JL134" s="125"/>
      <c r="JM134" s="125"/>
      <c r="JN134" s="125"/>
      <c r="JO134" s="125"/>
      <c r="JP134" s="125"/>
    </row>
    <row r="135" spans="1:276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  <c r="BQ135" s="122"/>
      <c r="BR135" s="122"/>
      <c r="BS135" s="122"/>
      <c r="BT135" s="122"/>
      <c r="BU135" s="122"/>
      <c r="BV135" s="122"/>
      <c r="BW135" s="122"/>
      <c r="BX135" s="122"/>
      <c r="BY135" s="122"/>
      <c r="BZ135" s="122"/>
      <c r="CA135" s="122"/>
      <c r="CB135" s="122"/>
      <c r="CC135" s="122"/>
      <c r="CD135" s="122"/>
      <c r="CE135" s="122"/>
      <c r="CF135" s="122"/>
      <c r="CG135" s="122"/>
      <c r="CH135" s="122"/>
      <c r="CI135" s="122"/>
      <c r="CJ135" s="122"/>
      <c r="CK135" s="122"/>
      <c r="CL135" s="122"/>
      <c r="CM135" s="122"/>
      <c r="CN135" s="122"/>
      <c r="CO135" s="122"/>
      <c r="CP135" s="122"/>
      <c r="CQ135" s="122"/>
      <c r="CR135" s="122"/>
      <c r="CS135" s="122"/>
      <c r="CT135" s="122"/>
      <c r="CU135" s="122"/>
      <c r="CV135" s="122"/>
      <c r="CW135" s="122"/>
      <c r="CX135" s="122"/>
      <c r="CY135" s="122"/>
      <c r="CZ135" s="122"/>
      <c r="DA135" s="122"/>
      <c r="DB135" s="122"/>
      <c r="DC135" s="122"/>
      <c r="DD135" s="122"/>
      <c r="DE135" s="122"/>
      <c r="DF135" s="122"/>
      <c r="DG135" s="122"/>
      <c r="DH135" s="122"/>
      <c r="DI135" s="122"/>
      <c r="DJ135" s="122"/>
      <c r="DK135" s="122"/>
      <c r="DL135" s="122"/>
      <c r="DM135" s="122"/>
      <c r="DN135" s="122"/>
      <c r="DO135" s="122"/>
      <c r="DP135" s="122"/>
      <c r="DQ135" s="122"/>
      <c r="DR135" s="122"/>
      <c r="DS135" s="122"/>
      <c r="DT135" s="122"/>
      <c r="DU135" s="122"/>
      <c r="DV135" s="122"/>
      <c r="DW135" s="122"/>
      <c r="DX135" s="122"/>
      <c r="DY135" s="122"/>
      <c r="DZ135" s="122"/>
      <c r="EA135" s="122"/>
      <c r="EB135" s="122"/>
      <c r="EC135" s="122"/>
      <c r="ED135" s="122"/>
      <c r="EE135" s="122"/>
      <c r="EF135" s="122"/>
      <c r="EG135" s="122"/>
      <c r="EH135" s="122"/>
      <c r="EI135" s="122"/>
      <c r="EJ135" s="122"/>
      <c r="EK135" s="122"/>
      <c r="EL135" s="122"/>
      <c r="EM135" s="122"/>
      <c r="EN135" s="122"/>
      <c r="EO135" s="122"/>
      <c r="EP135" s="122"/>
      <c r="EQ135" s="122"/>
      <c r="ER135" s="122"/>
      <c r="ES135" s="122"/>
      <c r="ET135" s="122"/>
      <c r="EU135" s="122"/>
      <c r="EV135" s="122"/>
      <c r="EW135" s="122"/>
      <c r="EX135" s="122"/>
      <c r="EY135" s="122"/>
      <c r="EZ135" s="122"/>
      <c r="FA135" s="122"/>
      <c r="FB135" s="122"/>
      <c r="FC135" s="122"/>
      <c r="FD135" s="122"/>
      <c r="FE135" s="122"/>
      <c r="FF135" s="122"/>
      <c r="FG135" s="122"/>
      <c r="FH135" s="122"/>
      <c r="FI135" s="122"/>
      <c r="FJ135" s="122"/>
      <c r="FK135" s="122"/>
      <c r="FL135" s="122"/>
      <c r="FM135" s="122"/>
      <c r="FN135" s="122"/>
      <c r="FO135" s="122"/>
      <c r="FP135" s="122"/>
      <c r="FQ135" s="122"/>
      <c r="FR135" s="122"/>
      <c r="FS135" s="122"/>
      <c r="FT135" s="122"/>
      <c r="FU135" s="122"/>
      <c r="FV135" s="122"/>
      <c r="FW135" s="122"/>
      <c r="FX135" s="122"/>
      <c r="FY135" s="122"/>
      <c r="FZ135" s="122"/>
      <c r="GA135" s="122"/>
      <c r="GB135" s="122"/>
      <c r="GC135" s="122"/>
      <c r="GD135" s="122"/>
      <c r="GE135" s="122"/>
      <c r="GF135" s="122"/>
      <c r="GG135" s="122"/>
      <c r="GH135" s="122"/>
      <c r="GI135" s="122"/>
      <c r="GJ135" s="122"/>
      <c r="GK135" s="122"/>
      <c r="GL135" s="122"/>
      <c r="GM135" s="122"/>
      <c r="GN135" s="122"/>
      <c r="GO135" s="122"/>
      <c r="GP135" s="122"/>
      <c r="GQ135" s="122"/>
      <c r="GR135" s="122"/>
      <c r="GS135" s="122"/>
      <c r="GT135" s="122"/>
      <c r="GU135" s="122"/>
      <c r="GV135" s="122"/>
      <c r="GW135" s="122"/>
      <c r="GX135" s="122"/>
      <c r="GY135" s="122"/>
      <c r="GZ135" s="122"/>
      <c r="HA135" s="122"/>
      <c r="HB135" s="122"/>
      <c r="HC135" s="122"/>
      <c r="HD135" s="122"/>
      <c r="HE135" s="122"/>
      <c r="HF135" s="122"/>
      <c r="HG135" s="122"/>
      <c r="HH135" s="122"/>
      <c r="HI135" s="122"/>
      <c r="HJ135" s="122"/>
      <c r="HK135" s="122"/>
      <c r="HL135" s="122"/>
      <c r="HM135" s="122"/>
      <c r="HN135" s="122"/>
      <c r="HO135" s="122"/>
      <c r="HP135" s="122"/>
      <c r="HQ135" s="122"/>
      <c r="HR135" s="122"/>
      <c r="HS135" s="122"/>
      <c r="HT135" s="122"/>
      <c r="HU135" s="122"/>
      <c r="HV135" s="122"/>
      <c r="HW135" s="122"/>
      <c r="HX135" s="122"/>
      <c r="HY135" s="122"/>
      <c r="HZ135" s="122"/>
      <c r="IA135" s="122"/>
      <c r="IB135" s="122"/>
      <c r="IC135" s="122"/>
      <c r="ID135" s="122"/>
      <c r="IE135" s="122"/>
      <c r="IF135" s="122"/>
      <c r="IG135" s="122"/>
      <c r="IH135" s="122"/>
      <c r="II135" s="122"/>
      <c r="IJ135" s="122"/>
      <c r="IK135" s="122"/>
      <c r="IL135" s="122"/>
      <c r="IM135" s="122"/>
      <c r="IN135" s="122"/>
      <c r="IO135" s="122"/>
      <c r="IP135" s="122"/>
      <c r="IQ135" s="122"/>
      <c r="IR135" s="122"/>
      <c r="IS135" s="122"/>
      <c r="IT135" s="122"/>
      <c r="IU135" s="122"/>
      <c r="IV135" s="122"/>
      <c r="IW135" s="122"/>
      <c r="IX135" s="122"/>
      <c r="IY135" s="122"/>
      <c r="IZ135" s="122"/>
      <c r="JA135" s="122"/>
      <c r="JB135" s="122"/>
      <c r="JC135" s="122"/>
      <c r="JD135" s="122"/>
      <c r="JE135" s="122"/>
      <c r="JF135" s="122"/>
      <c r="JG135" s="122"/>
      <c r="JH135" s="122"/>
      <c r="JI135" s="119"/>
      <c r="JJ135" s="2"/>
      <c r="JK135" s="122"/>
      <c r="JL135" s="125"/>
      <c r="JM135" s="125"/>
      <c r="JN135" s="125"/>
      <c r="JO135" s="125"/>
      <c r="JP135" s="125"/>
    </row>
    <row r="136" spans="1:27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  <c r="AS136" s="122"/>
      <c r="AT136" s="122"/>
      <c r="AU136" s="122"/>
      <c r="AV136" s="122"/>
      <c r="AW136" s="122"/>
      <c r="AX136" s="122"/>
      <c r="AY136" s="122"/>
      <c r="AZ136" s="122"/>
      <c r="BA136" s="122"/>
      <c r="BB136" s="122"/>
      <c r="BC136" s="122"/>
      <c r="BD136" s="122"/>
      <c r="BE136" s="122"/>
      <c r="BF136" s="122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122"/>
      <c r="BS136" s="122"/>
      <c r="BT136" s="122"/>
      <c r="BU136" s="122"/>
      <c r="BV136" s="122"/>
      <c r="BW136" s="122"/>
      <c r="BX136" s="122"/>
      <c r="BY136" s="122"/>
      <c r="BZ136" s="122"/>
      <c r="CA136" s="122"/>
      <c r="CB136" s="122"/>
      <c r="CC136" s="122"/>
      <c r="CD136" s="122"/>
      <c r="CE136" s="122"/>
      <c r="CF136" s="122"/>
      <c r="CG136" s="122"/>
      <c r="CH136" s="122"/>
      <c r="CI136" s="122"/>
      <c r="CJ136" s="122"/>
      <c r="CK136" s="122"/>
      <c r="CL136" s="122"/>
      <c r="CM136" s="122"/>
      <c r="CN136" s="122"/>
      <c r="CO136" s="122"/>
      <c r="CP136" s="122"/>
      <c r="CQ136" s="122"/>
      <c r="CR136" s="122"/>
      <c r="CS136" s="122"/>
      <c r="CT136" s="122"/>
      <c r="CU136" s="122"/>
      <c r="CV136" s="122"/>
      <c r="CW136" s="122"/>
      <c r="CX136" s="122"/>
      <c r="CY136" s="122"/>
      <c r="CZ136" s="122"/>
      <c r="DA136" s="122"/>
      <c r="DB136" s="122"/>
      <c r="DC136" s="122"/>
      <c r="DD136" s="122"/>
      <c r="DE136" s="122"/>
      <c r="DF136" s="122"/>
      <c r="DG136" s="122"/>
      <c r="DH136" s="122"/>
      <c r="DI136" s="122"/>
      <c r="DJ136" s="122"/>
      <c r="DK136" s="122"/>
      <c r="DL136" s="122"/>
      <c r="DM136" s="122"/>
      <c r="DN136" s="122"/>
      <c r="DO136" s="122"/>
      <c r="DP136" s="122"/>
      <c r="DQ136" s="122"/>
      <c r="DR136" s="122"/>
      <c r="DS136" s="122"/>
      <c r="DT136" s="122"/>
      <c r="DU136" s="122"/>
      <c r="DV136" s="122"/>
      <c r="DW136" s="122"/>
      <c r="DX136" s="122"/>
      <c r="DY136" s="122"/>
      <c r="DZ136" s="122"/>
      <c r="EA136" s="122"/>
      <c r="EB136" s="122"/>
      <c r="EC136" s="122"/>
      <c r="ED136" s="122"/>
      <c r="EE136" s="122"/>
      <c r="EF136" s="122"/>
      <c r="EG136" s="122"/>
      <c r="EH136" s="122"/>
      <c r="EI136" s="122"/>
      <c r="EJ136" s="122"/>
      <c r="EK136" s="122"/>
      <c r="EL136" s="122"/>
      <c r="EM136" s="122"/>
      <c r="EN136" s="122"/>
      <c r="EO136" s="122"/>
      <c r="EP136" s="122"/>
      <c r="EQ136" s="122"/>
      <c r="ER136" s="122"/>
      <c r="ES136" s="122"/>
      <c r="ET136" s="122"/>
      <c r="EU136" s="122"/>
      <c r="EV136" s="122"/>
      <c r="EW136" s="122"/>
      <c r="EX136" s="122"/>
      <c r="EY136" s="122"/>
      <c r="EZ136" s="122"/>
      <c r="FA136" s="122"/>
      <c r="FB136" s="122"/>
      <c r="FC136" s="122"/>
      <c r="FD136" s="122"/>
      <c r="FE136" s="122"/>
      <c r="FF136" s="122"/>
      <c r="FG136" s="122"/>
      <c r="FH136" s="122"/>
      <c r="FI136" s="122"/>
      <c r="FJ136" s="122"/>
      <c r="FK136" s="122"/>
      <c r="FL136" s="122"/>
      <c r="FM136" s="122"/>
      <c r="FN136" s="122"/>
      <c r="FO136" s="122"/>
      <c r="FP136" s="122"/>
      <c r="FQ136" s="122"/>
      <c r="FR136" s="122"/>
      <c r="FS136" s="122"/>
      <c r="FT136" s="122"/>
      <c r="FU136" s="122"/>
      <c r="FV136" s="122"/>
      <c r="FW136" s="122"/>
      <c r="FX136" s="122"/>
      <c r="FY136" s="122"/>
      <c r="FZ136" s="122"/>
      <c r="GA136" s="122"/>
      <c r="GB136" s="122"/>
      <c r="GC136" s="122"/>
      <c r="GD136" s="122"/>
      <c r="GE136" s="122"/>
      <c r="GF136" s="122"/>
      <c r="GG136" s="122"/>
      <c r="GH136" s="122"/>
      <c r="GI136" s="122"/>
      <c r="GJ136" s="122"/>
      <c r="GK136" s="122"/>
      <c r="GL136" s="122"/>
      <c r="GM136" s="122"/>
      <c r="GN136" s="122"/>
      <c r="GO136" s="122"/>
      <c r="GP136" s="122"/>
      <c r="GQ136" s="122"/>
      <c r="GR136" s="122"/>
      <c r="GS136" s="122"/>
      <c r="GT136" s="122"/>
      <c r="GU136" s="122"/>
      <c r="GV136" s="122"/>
      <c r="GW136" s="122"/>
      <c r="GX136" s="122"/>
      <c r="GY136" s="122"/>
      <c r="GZ136" s="122"/>
      <c r="HA136" s="122"/>
      <c r="HB136" s="122"/>
      <c r="HC136" s="122"/>
      <c r="HD136" s="122"/>
      <c r="HE136" s="122"/>
      <c r="HF136" s="122"/>
      <c r="HG136" s="122"/>
      <c r="HH136" s="122"/>
      <c r="HI136" s="122"/>
      <c r="HJ136" s="122"/>
      <c r="HK136" s="122"/>
      <c r="HL136" s="122"/>
      <c r="HM136" s="122"/>
      <c r="HN136" s="122"/>
      <c r="HO136" s="122"/>
      <c r="HP136" s="122"/>
      <c r="HQ136" s="122"/>
      <c r="HR136" s="122"/>
      <c r="HS136" s="122"/>
      <c r="HT136" s="122"/>
      <c r="HU136" s="122"/>
      <c r="HV136" s="122"/>
      <c r="HW136" s="122"/>
      <c r="HX136" s="122"/>
      <c r="HY136" s="122"/>
      <c r="HZ136" s="122"/>
      <c r="IA136" s="122"/>
      <c r="IB136" s="122"/>
      <c r="IC136" s="122"/>
      <c r="ID136" s="122"/>
      <c r="IE136" s="122"/>
      <c r="IF136" s="122"/>
      <c r="IG136" s="122"/>
      <c r="IH136" s="122"/>
      <c r="II136" s="122"/>
      <c r="IJ136" s="122"/>
      <c r="IK136" s="122"/>
      <c r="IL136" s="122"/>
      <c r="IM136" s="122"/>
      <c r="IN136" s="122"/>
      <c r="IO136" s="122"/>
      <c r="IP136" s="122"/>
      <c r="IQ136" s="122"/>
      <c r="IR136" s="122"/>
      <c r="IS136" s="122"/>
      <c r="IT136" s="122"/>
      <c r="IU136" s="122"/>
      <c r="IV136" s="122"/>
      <c r="IW136" s="122"/>
      <c r="IX136" s="122"/>
      <c r="IY136" s="122"/>
      <c r="IZ136" s="122"/>
      <c r="JA136" s="122"/>
      <c r="JB136" s="122"/>
      <c r="JC136" s="122"/>
      <c r="JD136" s="122"/>
      <c r="JE136" s="122"/>
      <c r="JF136" s="122"/>
      <c r="JG136" s="122"/>
      <c r="JH136" s="122"/>
      <c r="JI136" s="119"/>
      <c r="JJ136" s="2"/>
      <c r="JK136" s="122"/>
      <c r="JL136" s="125"/>
      <c r="JM136" s="125"/>
      <c r="JN136" s="125"/>
      <c r="JO136" s="125"/>
      <c r="JP136" s="125"/>
    </row>
    <row r="137" spans="1:276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  <c r="BQ137" s="122"/>
      <c r="BR137" s="122"/>
      <c r="BS137" s="122"/>
      <c r="BT137" s="122"/>
      <c r="BU137" s="122"/>
      <c r="BV137" s="122"/>
      <c r="BW137" s="122"/>
      <c r="BX137" s="122"/>
      <c r="BY137" s="122"/>
      <c r="BZ137" s="122"/>
      <c r="CA137" s="122"/>
      <c r="CB137" s="122"/>
      <c r="CC137" s="122"/>
      <c r="CD137" s="122"/>
      <c r="CE137" s="122"/>
      <c r="CF137" s="122"/>
      <c r="CG137" s="122"/>
      <c r="CH137" s="122"/>
      <c r="CI137" s="122"/>
      <c r="CJ137" s="122"/>
      <c r="CK137" s="122"/>
      <c r="CL137" s="122"/>
      <c r="CM137" s="122"/>
      <c r="CN137" s="122"/>
      <c r="CO137" s="122"/>
      <c r="CP137" s="122"/>
      <c r="CQ137" s="122"/>
      <c r="CR137" s="122"/>
      <c r="CS137" s="122"/>
      <c r="CT137" s="122"/>
      <c r="CU137" s="122"/>
      <c r="CV137" s="122"/>
      <c r="CW137" s="122"/>
      <c r="CX137" s="122"/>
      <c r="CY137" s="122"/>
      <c r="CZ137" s="122"/>
      <c r="DA137" s="122"/>
      <c r="DB137" s="122"/>
      <c r="DC137" s="122"/>
      <c r="DD137" s="122"/>
      <c r="DE137" s="122"/>
      <c r="DF137" s="122"/>
      <c r="DG137" s="122"/>
      <c r="DH137" s="122"/>
      <c r="DI137" s="122"/>
      <c r="DJ137" s="122"/>
      <c r="DK137" s="122"/>
      <c r="DL137" s="122"/>
      <c r="DM137" s="122"/>
      <c r="DN137" s="122"/>
      <c r="DO137" s="122"/>
      <c r="DP137" s="122"/>
      <c r="DQ137" s="122"/>
      <c r="DR137" s="122"/>
      <c r="DS137" s="122"/>
      <c r="DT137" s="122"/>
      <c r="DU137" s="122"/>
      <c r="DV137" s="122"/>
      <c r="DW137" s="122"/>
      <c r="DX137" s="122"/>
      <c r="DY137" s="122"/>
      <c r="DZ137" s="122"/>
      <c r="EA137" s="122"/>
      <c r="EB137" s="122"/>
      <c r="EC137" s="122"/>
      <c r="ED137" s="122"/>
      <c r="EE137" s="122"/>
      <c r="EF137" s="122"/>
      <c r="EG137" s="122"/>
      <c r="EH137" s="122"/>
      <c r="EI137" s="122"/>
      <c r="EJ137" s="122"/>
      <c r="EK137" s="122"/>
      <c r="EL137" s="122"/>
      <c r="EM137" s="122"/>
      <c r="EN137" s="122"/>
      <c r="EO137" s="122"/>
      <c r="EP137" s="122"/>
      <c r="EQ137" s="122"/>
      <c r="ER137" s="122"/>
      <c r="ES137" s="122"/>
      <c r="ET137" s="122"/>
      <c r="EU137" s="122"/>
      <c r="EV137" s="122"/>
      <c r="EW137" s="122"/>
      <c r="EX137" s="122"/>
      <c r="EY137" s="122"/>
      <c r="EZ137" s="122"/>
      <c r="FA137" s="122"/>
      <c r="FB137" s="122"/>
      <c r="FC137" s="122"/>
      <c r="FD137" s="122"/>
      <c r="FE137" s="122"/>
      <c r="FF137" s="122"/>
      <c r="FG137" s="122"/>
      <c r="FH137" s="122"/>
      <c r="FI137" s="122"/>
      <c r="FJ137" s="122"/>
      <c r="FK137" s="122"/>
      <c r="FL137" s="122"/>
      <c r="FM137" s="122"/>
      <c r="FN137" s="122"/>
      <c r="FO137" s="122"/>
      <c r="FP137" s="122"/>
      <c r="FQ137" s="122"/>
      <c r="FR137" s="122"/>
      <c r="FS137" s="122"/>
      <c r="FT137" s="122"/>
      <c r="FU137" s="122"/>
      <c r="FV137" s="122"/>
      <c r="FW137" s="122"/>
      <c r="FX137" s="122"/>
      <c r="FY137" s="122"/>
      <c r="FZ137" s="122"/>
      <c r="GA137" s="122"/>
      <c r="GB137" s="122"/>
      <c r="GC137" s="122"/>
      <c r="GD137" s="122"/>
      <c r="GE137" s="122"/>
      <c r="GF137" s="122"/>
      <c r="GG137" s="122"/>
      <c r="GH137" s="122"/>
      <c r="GI137" s="122"/>
      <c r="GJ137" s="122"/>
      <c r="GK137" s="122"/>
      <c r="GL137" s="122"/>
      <c r="GM137" s="122"/>
      <c r="GN137" s="122"/>
      <c r="GO137" s="122"/>
      <c r="GP137" s="122"/>
      <c r="GQ137" s="122"/>
      <c r="GR137" s="122"/>
      <c r="GS137" s="122"/>
      <c r="GT137" s="122"/>
      <c r="GU137" s="122"/>
      <c r="GV137" s="122"/>
      <c r="GW137" s="122"/>
      <c r="GX137" s="122"/>
      <c r="GY137" s="122"/>
      <c r="GZ137" s="122"/>
      <c r="HA137" s="122"/>
      <c r="HB137" s="122"/>
      <c r="HC137" s="122"/>
      <c r="HD137" s="122"/>
      <c r="HE137" s="122"/>
      <c r="HF137" s="122"/>
      <c r="HG137" s="122"/>
      <c r="HH137" s="122"/>
      <c r="HI137" s="122"/>
      <c r="HJ137" s="122"/>
      <c r="HK137" s="122"/>
      <c r="HL137" s="122"/>
      <c r="HM137" s="122"/>
      <c r="HN137" s="122"/>
      <c r="HO137" s="122"/>
      <c r="HP137" s="122"/>
      <c r="HQ137" s="122"/>
      <c r="HR137" s="122"/>
      <c r="HS137" s="122"/>
      <c r="HT137" s="122"/>
      <c r="HU137" s="122"/>
      <c r="HV137" s="122"/>
      <c r="HW137" s="122"/>
      <c r="HX137" s="122"/>
      <c r="HY137" s="122"/>
      <c r="HZ137" s="122"/>
      <c r="IA137" s="122"/>
      <c r="IB137" s="122"/>
      <c r="IC137" s="122"/>
      <c r="ID137" s="122"/>
      <c r="IE137" s="122"/>
      <c r="IF137" s="122"/>
      <c r="IG137" s="122"/>
      <c r="IH137" s="122"/>
      <c r="II137" s="122"/>
      <c r="IJ137" s="122"/>
      <c r="IK137" s="122"/>
      <c r="IL137" s="122"/>
      <c r="IM137" s="122"/>
      <c r="IN137" s="122"/>
      <c r="IO137" s="122"/>
      <c r="IP137" s="122"/>
      <c r="IQ137" s="122"/>
      <c r="IR137" s="122"/>
      <c r="IS137" s="122"/>
      <c r="IT137" s="122"/>
      <c r="IU137" s="122"/>
      <c r="IV137" s="122"/>
      <c r="IW137" s="122"/>
      <c r="IX137" s="122"/>
      <c r="IY137" s="122"/>
      <c r="IZ137" s="122"/>
      <c r="JA137" s="122"/>
      <c r="JB137" s="122"/>
      <c r="JC137" s="122"/>
      <c r="JD137" s="122"/>
      <c r="JE137" s="122"/>
      <c r="JF137" s="122"/>
      <c r="JG137" s="122"/>
      <c r="JH137" s="122"/>
      <c r="JI137" s="119"/>
      <c r="JJ137" s="2"/>
      <c r="JK137" s="122"/>
      <c r="JL137" s="125"/>
      <c r="JM137" s="125"/>
      <c r="JN137" s="125"/>
      <c r="JO137" s="125"/>
      <c r="JP137" s="125"/>
    </row>
    <row r="138" spans="1:276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22"/>
      <c r="AY138" s="122"/>
      <c r="AZ138" s="122"/>
      <c r="BA138" s="122"/>
      <c r="BB138" s="122"/>
      <c r="BC138" s="122"/>
      <c r="BD138" s="122"/>
      <c r="BE138" s="122"/>
      <c r="BF138" s="122"/>
      <c r="BG138" s="122"/>
      <c r="BH138" s="122"/>
      <c r="BI138" s="122"/>
      <c r="BJ138" s="122"/>
      <c r="BK138" s="122"/>
      <c r="BL138" s="122"/>
      <c r="BM138" s="122"/>
      <c r="BN138" s="122"/>
      <c r="BO138" s="122"/>
      <c r="BP138" s="122"/>
      <c r="BQ138" s="122"/>
      <c r="BR138" s="122"/>
      <c r="BS138" s="122"/>
      <c r="BT138" s="122"/>
      <c r="BU138" s="122"/>
      <c r="BV138" s="122"/>
      <c r="BW138" s="122"/>
      <c r="BX138" s="122"/>
      <c r="BY138" s="122"/>
      <c r="BZ138" s="122"/>
      <c r="CA138" s="122"/>
      <c r="CB138" s="122"/>
      <c r="CC138" s="122"/>
      <c r="CD138" s="122"/>
      <c r="CE138" s="122"/>
      <c r="CF138" s="122"/>
      <c r="CG138" s="122"/>
      <c r="CH138" s="122"/>
      <c r="CI138" s="122"/>
      <c r="CJ138" s="122"/>
      <c r="CK138" s="122"/>
      <c r="CL138" s="122"/>
      <c r="CM138" s="122"/>
      <c r="CN138" s="122"/>
      <c r="CO138" s="122"/>
      <c r="CP138" s="122"/>
      <c r="CQ138" s="122"/>
      <c r="CR138" s="122"/>
      <c r="CS138" s="122"/>
      <c r="CT138" s="122"/>
      <c r="CU138" s="122"/>
      <c r="CV138" s="122"/>
      <c r="CW138" s="122"/>
      <c r="CX138" s="122"/>
      <c r="CY138" s="122"/>
      <c r="CZ138" s="122"/>
      <c r="DA138" s="122"/>
      <c r="DB138" s="122"/>
      <c r="DC138" s="122"/>
      <c r="DD138" s="122"/>
      <c r="DE138" s="122"/>
      <c r="DF138" s="122"/>
      <c r="DG138" s="122"/>
      <c r="DH138" s="122"/>
      <c r="DI138" s="122"/>
      <c r="DJ138" s="122"/>
      <c r="DK138" s="122"/>
      <c r="DL138" s="122"/>
      <c r="DM138" s="122"/>
      <c r="DN138" s="122"/>
      <c r="DO138" s="122"/>
      <c r="DP138" s="122"/>
      <c r="DQ138" s="122"/>
      <c r="DR138" s="122"/>
      <c r="DS138" s="122"/>
      <c r="DT138" s="122"/>
      <c r="DU138" s="122"/>
      <c r="DV138" s="122"/>
      <c r="DW138" s="122"/>
      <c r="DX138" s="122"/>
      <c r="DY138" s="122"/>
      <c r="DZ138" s="122"/>
      <c r="EA138" s="122"/>
      <c r="EB138" s="122"/>
      <c r="EC138" s="122"/>
      <c r="ED138" s="122"/>
      <c r="EE138" s="122"/>
      <c r="EF138" s="122"/>
      <c r="EG138" s="122"/>
      <c r="EH138" s="122"/>
      <c r="EI138" s="122"/>
      <c r="EJ138" s="122"/>
      <c r="EK138" s="122"/>
      <c r="EL138" s="122"/>
      <c r="EM138" s="122"/>
      <c r="EN138" s="122"/>
      <c r="EO138" s="122"/>
      <c r="EP138" s="122"/>
      <c r="EQ138" s="122"/>
      <c r="ER138" s="122"/>
      <c r="ES138" s="122"/>
      <c r="ET138" s="122"/>
      <c r="EU138" s="122"/>
      <c r="EV138" s="122"/>
      <c r="EW138" s="122"/>
      <c r="EX138" s="122"/>
      <c r="EY138" s="122"/>
      <c r="EZ138" s="122"/>
      <c r="FA138" s="122"/>
      <c r="FB138" s="122"/>
      <c r="FC138" s="122"/>
      <c r="FD138" s="122"/>
      <c r="FE138" s="122"/>
      <c r="FF138" s="122"/>
      <c r="FG138" s="122"/>
      <c r="FH138" s="122"/>
      <c r="FI138" s="122"/>
      <c r="FJ138" s="122"/>
      <c r="FK138" s="122"/>
      <c r="FL138" s="122"/>
      <c r="FM138" s="122"/>
      <c r="FN138" s="122"/>
      <c r="FO138" s="122"/>
      <c r="FP138" s="122"/>
      <c r="FQ138" s="122"/>
      <c r="FR138" s="122"/>
      <c r="FS138" s="122"/>
      <c r="FT138" s="122"/>
      <c r="FU138" s="122"/>
      <c r="FV138" s="122"/>
      <c r="FW138" s="122"/>
      <c r="FX138" s="122"/>
      <c r="FY138" s="122"/>
      <c r="FZ138" s="122"/>
      <c r="GA138" s="122"/>
      <c r="GB138" s="122"/>
      <c r="GC138" s="122"/>
      <c r="GD138" s="122"/>
      <c r="GE138" s="122"/>
      <c r="GF138" s="122"/>
      <c r="GG138" s="122"/>
      <c r="GH138" s="122"/>
      <c r="GI138" s="122"/>
      <c r="GJ138" s="122"/>
      <c r="GK138" s="122"/>
      <c r="GL138" s="122"/>
      <c r="GM138" s="122"/>
      <c r="GN138" s="122"/>
      <c r="GO138" s="122"/>
      <c r="GP138" s="122"/>
      <c r="GQ138" s="122"/>
      <c r="GR138" s="122"/>
      <c r="GS138" s="122"/>
      <c r="GT138" s="122"/>
      <c r="GU138" s="122"/>
      <c r="GV138" s="122"/>
      <c r="GW138" s="122"/>
      <c r="GX138" s="122"/>
      <c r="GY138" s="122"/>
      <c r="GZ138" s="122"/>
      <c r="HA138" s="122"/>
      <c r="HB138" s="122"/>
      <c r="HC138" s="122"/>
      <c r="HD138" s="122"/>
      <c r="HE138" s="122"/>
      <c r="HF138" s="122"/>
      <c r="HG138" s="122"/>
      <c r="HH138" s="122"/>
      <c r="HI138" s="122"/>
      <c r="HJ138" s="122"/>
      <c r="HK138" s="122"/>
      <c r="HL138" s="122"/>
      <c r="HM138" s="122"/>
      <c r="HN138" s="122"/>
      <c r="HO138" s="122"/>
      <c r="HP138" s="122"/>
      <c r="HQ138" s="122"/>
      <c r="HR138" s="122"/>
      <c r="HS138" s="122"/>
      <c r="HT138" s="122"/>
      <c r="HU138" s="122"/>
      <c r="HV138" s="122"/>
      <c r="HW138" s="122"/>
      <c r="HX138" s="122"/>
      <c r="HY138" s="122"/>
      <c r="HZ138" s="122"/>
      <c r="IA138" s="122"/>
      <c r="IB138" s="122"/>
      <c r="IC138" s="122"/>
      <c r="ID138" s="122"/>
      <c r="IE138" s="122"/>
      <c r="IF138" s="122"/>
      <c r="IG138" s="122"/>
      <c r="IH138" s="122"/>
      <c r="II138" s="122"/>
      <c r="IJ138" s="122"/>
      <c r="IK138" s="122"/>
      <c r="IL138" s="122"/>
      <c r="IM138" s="122"/>
      <c r="IN138" s="122"/>
      <c r="IO138" s="122"/>
      <c r="IP138" s="122"/>
      <c r="IQ138" s="122"/>
      <c r="IR138" s="122"/>
      <c r="IS138" s="122"/>
      <c r="IT138" s="122"/>
      <c r="IU138" s="122"/>
      <c r="IV138" s="122"/>
      <c r="IW138" s="122"/>
      <c r="IX138" s="122"/>
      <c r="IY138" s="122"/>
      <c r="IZ138" s="122"/>
      <c r="JA138" s="122"/>
      <c r="JB138" s="122"/>
      <c r="JC138" s="122"/>
      <c r="JD138" s="122"/>
      <c r="JE138" s="122"/>
      <c r="JF138" s="122"/>
      <c r="JG138" s="122"/>
      <c r="JH138" s="122"/>
      <c r="JI138" s="119"/>
      <c r="JJ138" s="2"/>
      <c r="JK138" s="122"/>
      <c r="JL138" s="125"/>
      <c r="JM138" s="125"/>
      <c r="JN138" s="125"/>
      <c r="JO138" s="125"/>
      <c r="JP138" s="125"/>
    </row>
    <row r="139" spans="1:276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  <c r="BQ139" s="122"/>
      <c r="BR139" s="122"/>
      <c r="BS139" s="122"/>
      <c r="BT139" s="122"/>
      <c r="BU139" s="122"/>
      <c r="BV139" s="122"/>
      <c r="BW139" s="122"/>
      <c r="BX139" s="122"/>
      <c r="BY139" s="122"/>
      <c r="BZ139" s="122"/>
      <c r="CA139" s="122"/>
      <c r="CB139" s="122"/>
      <c r="CC139" s="122"/>
      <c r="CD139" s="122"/>
      <c r="CE139" s="122"/>
      <c r="CF139" s="122"/>
      <c r="CG139" s="122"/>
      <c r="CH139" s="122"/>
      <c r="CI139" s="122"/>
      <c r="CJ139" s="122"/>
      <c r="CK139" s="122"/>
      <c r="CL139" s="122"/>
      <c r="CM139" s="122"/>
      <c r="CN139" s="122"/>
      <c r="CO139" s="122"/>
      <c r="CP139" s="122"/>
      <c r="CQ139" s="122"/>
      <c r="CR139" s="122"/>
      <c r="CS139" s="122"/>
      <c r="CT139" s="122"/>
      <c r="CU139" s="122"/>
      <c r="CV139" s="122"/>
      <c r="CW139" s="122"/>
      <c r="CX139" s="122"/>
      <c r="CY139" s="122"/>
      <c r="CZ139" s="122"/>
      <c r="DA139" s="122"/>
      <c r="DB139" s="122"/>
      <c r="DC139" s="122"/>
      <c r="DD139" s="122"/>
      <c r="DE139" s="122"/>
      <c r="DF139" s="122"/>
      <c r="DG139" s="122"/>
      <c r="DH139" s="122"/>
      <c r="DI139" s="122"/>
      <c r="DJ139" s="122"/>
      <c r="DK139" s="122"/>
      <c r="DL139" s="122"/>
      <c r="DM139" s="122"/>
      <c r="DN139" s="122"/>
      <c r="DO139" s="122"/>
      <c r="DP139" s="122"/>
      <c r="DQ139" s="122"/>
      <c r="DR139" s="122"/>
      <c r="DS139" s="122"/>
      <c r="DT139" s="122"/>
      <c r="DU139" s="122"/>
      <c r="DV139" s="122"/>
      <c r="DW139" s="122"/>
      <c r="DX139" s="122"/>
      <c r="DY139" s="122"/>
      <c r="DZ139" s="122"/>
      <c r="EA139" s="122"/>
      <c r="EB139" s="122"/>
      <c r="EC139" s="122"/>
      <c r="ED139" s="122"/>
      <c r="EE139" s="122"/>
      <c r="EF139" s="122"/>
      <c r="EG139" s="122"/>
      <c r="EH139" s="122"/>
      <c r="EI139" s="122"/>
      <c r="EJ139" s="122"/>
      <c r="EK139" s="122"/>
      <c r="EL139" s="122"/>
      <c r="EM139" s="122"/>
      <c r="EN139" s="122"/>
      <c r="EO139" s="122"/>
      <c r="EP139" s="122"/>
      <c r="EQ139" s="122"/>
      <c r="ER139" s="122"/>
      <c r="ES139" s="122"/>
      <c r="ET139" s="122"/>
      <c r="EU139" s="122"/>
      <c r="EV139" s="122"/>
      <c r="EW139" s="122"/>
      <c r="EX139" s="122"/>
      <c r="EY139" s="122"/>
      <c r="EZ139" s="122"/>
      <c r="FA139" s="122"/>
      <c r="FB139" s="122"/>
      <c r="FC139" s="122"/>
      <c r="FD139" s="122"/>
      <c r="FE139" s="122"/>
      <c r="FF139" s="122"/>
      <c r="FG139" s="122"/>
      <c r="FH139" s="122"/>
      <c r="FI139" s="122"/>
      <c r="FJ139" s="122"/>
      <c r="FK139" s="122"/>
      <c r="FL139" s="122"/>
      <c r="FM139" s="122"/>
      <c r="FN139" s="122"/>
      <c r="FO139" s="122"/>
      <c r="FP139" s="122"/>
      <c r="FQ139" s="122"/>
      <c r="FR139" s="122"/>
      <c r="FS139" s="122"/>
      <c r="FT139" s="122"/>
      <c r="FU139" s="122"/>
      <c r="FV139" s="122"/>
      <c r="FW139" s="122"/>
      <c r="FX139" s="122"/>
      <c r="FY139" s="122"/>
      <c r="FZ139" s="122"/>
      <c r="GA139" s="122"/>
      <c r="GB139" s="122"/>
      <c r="GC139" s="122"/>
      <c r="GD139" s="122"/>
      <c r="GE139" s="122"/>
      <c r="GF139" s="122"/>
      <c r="GG139" s="122"/>
      <c r="GH139" s="122"/>
      <c r="GI139" s="122"/>
      <c r="GJ139" s="122"/>
      <c r="GK139" s="122"/>
      <c r="GL139" s="122"/>
      <c r="GM139" s="122"/>
      <c r="GN139" s="122"/>
      <c r="GO139" s="122"/>
      <c r="GP139" s="122"/>
      <c r="GQ139" s="122"/>
      <c r="GR139" s="122"/>
      <c r="GS139" s="122"/>
      <c r="GT139" s="122"/>
      <c r="GU139" s="122"/>
      <c r="GV139" s="122"/>
      <c r="GW139" s="122"/>
      <c r="GX139" s="122"/>
      <c r="GY139" s="122"/>
      <c r="GZ139" s="122"/>
      <c r="HA139" s="122"/>
      <c r="HB139" s="122"/>
      <c r="HC139" s="122"/>
      <c r="HD139" s="122"/>
      <c r="HE139" s="122"/>
      <c r="HF139" s="122"/>
      <c r="HG139" s="122"/>
      <c r="HH139" s="122"/>
      <c r="HI139" s="122"/>
      <c r="HJ139" s="122"/>
      <c r="HK139" s="122"/>
      <c r="HL139" s="122"/>
      <c r="HM139" s="122"/>
      <c r="HN139" s="122"/>
      <c r="HO139" s="122"/>
      <c r="HP139" s="122"/>
      <c r="HQ139" s="122"/>
      <c r="HR139" s="122"/>
      <c r="HS139" s="122"/>
      <c r="HT139" s="122"/>
      <c r="HU139" s="122"/>
      <c r="HV139" s="122"/>
      <c r="HW139" s="122"/>
      <c r="HX139" s="122"/>
      <c r="HY139" s="122"/>
      <c r="HZ139" s="122"/>
      <c r="IA139" s="122"/>
      <c r="IB139" s="122"/>
      <c r="IC139" s="122"/>
      <c r="ID139" s="122"/>
      <c r="IE139" s="122"/>
      <c r="IF139" s="122"/>
      <c r="IG139" s="122"/>
      <c r="IH139" s="122"/>
      <c r="II139" s="122"/>
      <c r="IJ139" s="122"/>
      <c r="IK139" s="122"/>
      <c r="IL139" s="122"/>
      <c r="IM139" s="122"/>
      <c r="IN139" s="122"/>
      <c r="IO139" s="122"/>
      <c r="IP139" s="122"/>
      <c r="IQ139" s="122"/>
      <c r="IR139" s="122"/>
      <c r="IS139" s="122"/>
      <c r="IT139" s="122"/>
      <c r="IU139" s="122"/>
      <c r="IV139" s="122"/>
      <c r="IW139" s="122"/>
      <c r="IX139" s="122"/>
      <c r="IY139" s="122"/>
      <c r="IZ139" s="122"/>
      <c r="JA139" s="122"/>
      <c r="JB139" s="122"/>
      <c r="JC139" s="122"/>
      <c r="JD139" s="122"/>
      <c r="JE139" s="122"/>
      <c r="JF139" s="122"/>
      <c r="JG139" s="122"/>
      <c r="JH139" s="122"/>
      <c r="JI139" s="119"/>
      <c r="JJ139" s="2"/>
      <c r="JK139" s="122"/>
      <c r="JL139" s="125"/>
      <c r="JM139" s="125"/>
      <c r="JN139" s="125"/>
      <c r="JO139" s="125"/>
      <c r="JP139" s="125"/>
    </row>
    <row r="140" spans="1:276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  <c r="BP140" s="122"/>
      <c r="BQ140" s="122"/>
      <c r="BR140" s="122"/>
      <c r="BS140" s="122"/>
      <c r="BT140" s="122"/>
      <c r="BU140" s="122"/>
      <c r="BV140" s="122"/>
      <c r="BW140" s="122"/>
      <c r="BX140" s="122"/>
      <c r="BY140" s="122"/>
      <c r="BZ140" s="122"/>
      <c r="CA140" s="122"/>
      <c r="CB140" s="122"/>
      <c r="CC140" s="122"/>
      <c r="CD140" s="122"/>
      <c r="CE140" s="122"/>
      <c r="CF140" s="122"/>
      <c r="CG140" s="122"/>
      <c r="CH140" s="122"/>
      <c r="CI140" s="122"/>
      <c r="CJ140" s="122"/>
      <c r="CK140" s="122"/>
      <c r="CL140" s="122"/>
      <c r="CM140" s="122"/>
      <c r="CN140" s="122"/>
      <c r="CO140" s="122"/>
      <c r="CP140" s="122"/>
      <c r="CQ140" s="122"/>
      <c r="CR140" s="122"/>
      <c r="CS140" s="122"/>
      <c r="CT140" s="122"/>
      <c r="CU140" s="122"/>
      <c r="CV140" s="122"/>
      <c r="CW140" s="122"/>
      <c r="CX140" s="122"/>
      <c r="CY140" s="122"/>
      <c r="CZ140" s="122"/>
      <c r="DA140" s="122"/>
      <c r="DB140" s="122"/>
      <c r="DC140" s="122"/>
      <c r="DD140" s="122"/>
      <c r="DE140" s="122"/>
      <c r="DF140" s="122"/>
      <c r="DG140" s="122"/>
      <c r="DH140" s="122"/>
      <c r="DI140" s="122"/>
      <c r="DJ140" s="122"/>
      <c r="DK140" s="122"/>
      <c r="DL140" s="122"/>
      <c r="DM140" s="122"/>
      <c r="DN140" s="122"/>
      <c r="DO140" s="122"/>
      <c r="DP140" s="122"/>
      <c r="DQ140" s="122"/>
      <c r="DR140" s="122"/>
      <c r="DS140" s="122"/>
      <c r="DT140" s="122"/>
      <c r="DU140" s="122"/>
      <c r="DV140" s="122"/>
      <c r="DW140" s="122"/>
      <c r="DX140" s="122"/>
      <c r="DY140" s="122"/>
      <c r="DZ140" s="122"/>
      <c r="EA140" s="122"/>
      <c r="EB140" s="122"/>
      <c r="EC140" s="122"/>
      <c r="ED140" s="122"/>
      <c r="EE140" s="122"/>
      <c r="EF140" s="122"/>
      <c r="EG140" s="122"/>
      <c r="EH140" s="122"/>
      <c r="EI140" s="122"/>
      <c r="EJ140" s="122"/>
      <c r="EK140" s="122"/>
      <c r="EL140" s="122"/>
      <c r="EM140" s="122"/>
      <c r="EN140" s="122"/>
      <c r="EO140" s="122"/>
      <c r="EP140" s="122"/>
      <c r="EQ140" s="122"/>
      <c r="ER140" s="122"/>
      <c r="ES140" s="122"/>
      <c r="ET140" s="122"/>
      <c r="EU140" s="122"/>
      <c r="EV140" s="122"/>
      <c r="EW140" s="122"/>
      <c r="EX140" s="122"/>
      <c r="EY140" s="122"/>
      <c r="EZ140" s="122"/>
      <c r="FA140" s="122"/>
      <c r="FB140" s="122"/>
      <c r="FC140" s="122"/>
      <c r="FD140" s="122"/>
      <c r="FE140" s="122"/>
      <c r="FF140" s="122"/>
      <c r="FG140" s="122"/>
      <c r="FH140" s="122"/>
      <c r="FI140" s="122"/>
      <c r="FJ140" s="122"/>
      <c r="FK140" s="122"/>
      <c r="FL140" s="122"/>
      <c r="FM140" s="122"/>
      <c r="FN140" s="122"/>
      <c r="FO140" s="122"/>
      <c r="FP140" s="122"/>
      <c r="FQ140" s="122"/>
      <c r="FR140" s="122"/>
      <c r="FS140" s="122"/>
      <c r="FT140" s="122"/>
      <c r="FU140" s="122"/>
      <c r="FV140" s="122"/>
      <c r="FW140" s="122"/>
      <c r="FX140" s="122"/>
      <c r="FY140" s="122"/>
      <c r="FZ140" s="122"/>
      <c r="GA140" s="122"/>
      <c r="GB140" s="122"/>
      <c r="GC140" s="122"/>
      <c r="GD140" s="122"/>
      <c r="GE140" s="122"/>
      <c r="GF140" s="122"/>
      <c r="GG140" s="122"/>
      <c r="GH140" s="122"/>
      <c r="GI140" s="122"/>
      <c r="GJ140" s="122"/>
      <c r="GK140" s="122"/>
      <c r="GL140" s="122"/>
      <c r="GM140" s="122"/>
      <c r="GN140" s="122"/>
      <c r="GO140" s="122"/>
      <c r="GP140" s="122"/>
      <c r="GQ140" s="122"/>
      <c r="GR140" s="122"/>
      <c r="GS140" s="122"/>
      <c r="GT140" s="122"/>
      <c r="GU140" s="122"/>
      <c r="GV140" s="122"/>
      <c r="GW140" s="122"/>
      <c r="GX140" s="122"/>
      <c r="GY140" s="122"/>
      <c r="GZ140" s="122"/>
      <c r="HA140" s="122"/>
      <c r="HB140" s="122"/>
      <c r="HC140" s="122"/>
      <c r="HD140" s="122"/>
      <c r="HE140" s="122"/>
      <c r="HF140" s="122"/>
      <c r="HG140" s="122"/>
      <c r="HH140" s="122"/>
      <c r="HI140" s="122"/>
      <c r="HJ140" s="122"/>
      <c r="HK140" s="122"/>
      <c r="HL140" s="122"/>
      <c r="HM140" s="122"/>
      <c r="HN140" s="122"/>
      <c r="HO140" s="122"/>
      <c r="HP140" s="122"/>
      <c r="HQ140" s="122"/>
      <c r="HR140" s="122"/>
      <c r="HS140" s="122"/>
      <c r="HT140" s="122"/>
      <c r="HU140" s="122"/>
      <c r="HV140" s="122"/>
      <c r="HW140" s="122"/>
      <c r="HX140" s="122"/>
      <c r="HY140" s="122"/>
      <c r="HZ140" s="122"/>
      <c r="IA140" s="122"/>
      <c r="IB140" s="122"/>
      <c r="IC140" s="122"/>
      <c r="ID140" s="122"/>
      <c r="IE140" s="122"/>
      <c r="IF140" s="122"/>
      <c r="IG140" s="122"/>
      <c r="IH140" s="122"/>
      <c r="II140" s="122"/>
      <c r="IJ140" s="122"/>
      <c r="IK140" s="122"/>
      <c r="IL140" s="122"/>
      <c r="IM140" s="122"/>
      <c r="IN140" s="122"/>
      <c r="IO140" s="122"/>
      <c r="IP140" s="122"/>
      <c r="IQ140" s="122"/>
      <c r="IR140" s="122"/>
      <c r="IS140" s="122"/>
      <c r="IT140" s="122"/>
      <c r="IU140" s="122"/>
      <c r="IV140" s="122"/>
      <c r="IW140" s="122"/>
      <c r="IX140" s="122"/>
      <c r="IY140" s="122"/>
      <c r="IZ140" s="122"/>
      <c r="JA140" s="122"/>
      <c r="JB140" s="122"/>
      <c r="JC140" s="122"/>
      <c r="JD140" s="122"/>
      <c r="JE140" s="122"/>
      <c r="JF140" s="122"/>
      <c r="JG140" s="122"/>
      <c r="JH140" s="122"/>
      <c r="JI140" s="119"/>
      <c r="JJ140" s="2"/>
      <c r="JK140" s="122"/>
      <c r="JL140" s="125"/>
      <c r="JM140" s="125"/>
      <c r="JN140" s="125"/>
      <c r="JO140" s="125"/>
      <c r="JP140" s="125"/>
    </row>
    <row r="141" spans="1:276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  <c r="BQ141" s="122"/>
      <c r="BR141" s="122"/>
      <c r="BS141" s="122"/>
      <c r="BT141" s="122"/>
      <c r="BU141" s="122"/>
      <c r="BV141" s="122"/>
      <c r="BW141" s="122"/>
      <c r="BX141" s="122"/>
      <c r="BY141" s="122"/>
      <c r="BZ141" s="122"/>
      <c r="CA141" s="122"/>
      <c r="CB141" s="122"/>
      <c r="CC141" s="122"/>
      <c r="CD141" s="122"/>
      <c r="CE141" s="122"/>
      <c r="CF141" s="122"/>
      <c r="CG141" s="122"/>
      <c r="CH141" s="122"/>
      <c r="CI141" s="122"/>
      <c r="CJ141" s="122"/>
      <c r="CK141" s="122"/>
      <c r="CL141" s="122"/>
      <c r="CM141" s="122"/>
      <c r="CN141" s="122"/>
      <c r="CO141" s="122"/>
      <c r="CP141" s="122"/>
      <c r="CQ141" s="122"/>
      <c r="CR141" s="122"/>
      <c r="CS141" s="122"/>
      <c r="CT141" s="122"/>
      <c r="CU141" s="122"/>
      <c r="CV141" s="122"/>
      <c r="CW141" s="122"/>
      <c r="CX141" s="122"/>
      <c r="CY141" s="122"/>
      <c r="CZ141" s="122"/>
      <c r="DA141" s="122"/>
      <c r="DB141" s="122"/>
      <c r="DC141" s="122"/>
      <c r="DD141" s="122"/>
      <c r="DE141" s="122"/>
      <c r="DF141" s="122"/>
      <c r="DG141" s="122"/>
      <c r="DH141" s="122"/>
      <c r="DI141" s="122"/>
      <c r="DJ141" s="122"/>
      <c r="DK141" s="122"/>
      <c r="DL141" s="122"/>
      <c r="DM141" s="122"/>
      <c r="DN141" s="122"/>
      <c r="DO141" s="122"/>
      <c r="DP141" s="122"/>
      <c r="DQ141" s="122"/>
      <c r="DR141" s="122"/>
      <c r="DS141" s="122"/>
      <c r="DT141" s="122"/>
      <c r="DU141" s="122"/>
      <c r="DV141" s="122"/>
      <c r="DW141" s="122"/>
      <c r="DX141" s="122"/>
      <c r="DY141" s="122"/>
      <c r="DZ141" s="122"/>
      <c r="EA141" s="122"/>
      <c r="EB141" s="122"/>
      <c r="EC141" s="122"/>
      <c r="ED141" s="122"/>
      <c r="EE141" s="122"/>
      <c r="EF141" s="122"/>
      <c r="EG141" s="122"/>
      <c r="EH141" s="122"/>
      <c r="EI141" s="122"/>
      <c r="EJ141" s="122"/>
      <c r="EK141" s="122"/>
      <c r="EL141" s="122"/>
      <c r="EM141" s="122"/>
      <c r="EN141" s="122"/>
      <c r="EO141" s="122"/>
      <c r="EP141" s="122"/>
      <c r="EQ141" s="122"/>
      <c r="ER141" s="122"/>
      <c r="ES141" s="122"/>
      <c r="ET141" s="122"/>
      <c r="EU141" s="122"/>
      <c r="EV141" s="122"/>
      <c r="EW141" s="122"/>
      <c r="EX141" s="122"/>
      <c r="EY141" s="122"/>
      <c r="EZ141" s="122"/>
      <c r="FA141" s="122"/>
      <c r="FB141" s="122"/>
      <c r="FC141" s="122"/>
      <c r="FD141" s="122"/>
      <c r="FE141" s="122"/>
      <c r="FF141" s="122"/>
      <c r="FG141" s="122"/>
      <c r="FH141" s="122"/>
      <c r="FI141" s="122"/>
      <c r="FJ141" s="122"/>
      <c r="FK141" s="122"/>
      <c r="FL141" s="122"/>
      <c r="FM141" s="122"/>
      <c r="FN141" s="122"/>
      <c r="FO141" s="122"/>
      <c r="FP141" s="122"/>
      <c r="FQ141" s="122"/>
      <c r="FR141" s="122"/>
      <c r="FS141" s="122"/>
      <c r="FT141" s="122"/>
      <c r="FU141" s="122"/>
      <c r="FV141" s="122"/>
      <c r="FW141" s="122"/>
      <c r="FX141" s="122"/>
      <c r="FY141" s="122"/>
      <c r="FZ141" s="122"/>
      <c r="GA141" s="122"/>
      <c r="GB141" s="122"/>
      <c r="GC141" s="122"/>
      <c r="GD141" s="122"/>
      <c r="GE141" s="122"/>
      <c r="GF141" s="122"/>
      <c r="GG141" s="122"/>
      <c r="GH141" s="122"/>
      <c r="GI141" s="122"/>
      <c r="GJ141" s="122"/>
      <c r="GK141" s="122"/>
      <c r="GL141" s="122"/>
      <c r="GM141" s="122"/>
      <c r="GN141" s="122"/>
      <c r="GO141" s="122"/>
      <c r="GP141" s="122"/>
      <c r="GQ141" s="122"/>
      <c r="GR141" s="122"/>
      <c r="GS141" s="122"/>
      <c r="GT141" s="122"/>
      <c r="GU141" s="122"/>
      <c r="GV141" s="122"/>
      <c r="GW141" s="122"/>
      <c r="GX141" s="122"/>
      <c r="GY141" s="122"/>
      <c r="GZ141" s="122"/>
      <c r="HA141" s="122"/>
      <c r="HB141" s="122"/>
      <c r="HC141" s="122"/>
      <c r="HD141" s="122"/>
      <c r="HE141" s="122"/>
      <c r="HF141" s="122"/>
      <c r="HG141" s="122"/>
      <c r="HH141" s="122"/>
      <c r="HI141" s="122"/>
      <c r="HJ141" s="122"/>
      <c r="HK141" s="122"/>
      <c r="HL141" s="122"/>
      <c r="HM141" s="122"/>
      <c r="HN141" s="122"/>
      <c r="HO141" s="122"/>
      <c r="HP141" s="122"/>
      <c r="HQ141" s="122"/>
      <c r="HR141" s="122"/>
      <c r="HS141" s="122"/>
      <c r="HT141" s="122"/>
      <c r="HU141" s="122"/>
      <c r="HV141" s="122"/>
      <c r="HW141" s="122"/>
      <c r="HX141" s="122"/>
      <c r="HY141" s="122"/>
      <c r="HZ141" s="122"/>
      <c r="IA141" s="122"/>
      <c r="IB141" s="122"/>
      <c r="IC141" s="122"/>
      <c r="ID141" s="122"/>
      <c r="IE141" s="122"/>
      <c r="IF141" s="122"/>
      <c r="IG141" s="122"/>
      <c r="IH141" s="122"/>
      <c r="II141" s="122"/>
      <c r="IJ141" s="122"/>
      <c r="IK141" s="122"/>
      <c r="IL141" s="122"/>
      <c r="IM141" s="122"/>
      <c r="IN141" s="122"/>
      <c r="IO141" s="122"/>
      <c r="IP141" s="122"/>
      <c r="IQ141" s="122"/>
      <c r="IR141" s="122"/>
      <c r="IS141" s="122"/>
      <c r="IT141" s="122"/>
      <c r="IU141" s="122"/>
      <c r="IV141" s="122"/>
      <c r="IW141" s="122"/>
      <c r="IX141" s="122"/>
      <c r="IY141" s="122"/>
      <c r="IZ141" s="122"/>
      <c r="JA141" s="122"/>
      <c r="JB141" s="122"/>
      <c r="JC141" s="122"/>
      <c r="JD141" s="122"/>
      <c r="JE141" s="122"/>
      <c r="JF141" s="122"/>
      <c r="JG141" s="122"/>
      <c r="JH141" s="122"/>
      <c r="JI141" s="119"/>
      <c r="JJ141" s="2"/>
      <c r="JK141" s="122"/>
      <c r="JL141" s="125"/>
      <c r="JM141" s="125"/>
      <c r="JN141" s="125"/>
      <c r="JO141" s="125"/>
      <c r="JP141" s="125"/>
    </row>
    <row r="142" spans="1:276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  <c r="BP142" s="122"/>
      <c r="BQ142" s="122"/>
      <c r="BR142" s="122"/>
      <c r="BS142" s="122"/>
      <c r="BT142" s="122"/>
      <c r="BU142" s="122"/>
      <c r="BV142" s="122"/>
      <c r="BW142" s="122"/>
      <c r="BX142" s="122"/>
      <c r="BY142" s="122"/>
      <c r="BZ142" s="122"/>
      <c r="CA142" s="122"/>
      <c r="CB142" s="122"/>
      <c r="CC142" s="122"/>
      <c r="CD142" s="122"/>
      <c r="CE142" s="122"/>
      <c r="CF142" s="122"/>
      <c r="CG142" s="122"/>
      <c r="CH142" s="122"/>
      <c r="CI142" s="122"/>
      <c r="CJ142" s="122"/>
      <c r="CK142" s="122"/>
      <c r="CL142" s="122"/>
      <c r="CM142" s="122"/>
      <c r="CN142" s="122"/>
      <c r="CO142" s="122"/>
      <c r="CP142" s="122"/>
      <c r="CQ142" s="122"/>
      <c r="CR142" s="122"/>
      <c r="CS142" s="122"/>
      <c r="CT142" s="122"/>
      <c r="CU142" s="122"/>
      <c r="CV142" s="122"/>
      <c r="CW142" s="122"/>
      <c r="CX142" s="122"/>
      <c r="CY142" s="122"/>
      <c r="CZ142" s="122"/>
      <c r="DA142" s="122"/>
      <c r="DB142" s="122"/>
      <c r="DC142" s="122"/>
      <c r="DD142" s="122"/>
      <c r="DE142" s="122"/>
      <c r="DF142" s="122"/>
      <c r="DG142" s="122"/>
      <c r="DH142" s="122"/>
      <c r="DI142" s="122"/>
      <c r="DJ142" s="122"/>
      <c r="DK142" s="122"/>
      <c r="DL142" s="122"/>
      <c r="DM142" s="122"/>
      <c r="DN142" s="122"/>
      <c r="DO142" s="122"/>
      <c r="DP142" s="122"/>
      <c r="DQ142" s="122"/>
      <c r="DR142" s="122"/>
      <c r="DS142" s="122"/>
      <c r="DT142" s="122"/>
      <c r="DU142" s="122"/>
      <c r="DV142" s="122"/>
      <c r="DW142" s="122"/>
      <c r="DX142" s="122"/>
      <c r="DY142" s="122"/>
      <c r="DZ142" s="122"/>
      <c r="EA142" s="122"/>
      <c r="EB142" s="122"/>
      <c r="EC142" s="122"/>
      <c r="ED142" s="122"/>
      <c r="EE142" s="122"/>
      <c r="EF142" s="122"/>
      <c r="EG142" s="122"/>
      <c r="EH142" s="122"/>
      <c r="EI142" s="122"/>
      <c r="EJ142" s="122"/>
      <c r="EK142" s="122"/>
      <c r="EL142" s="122"/>
      <c r="EM142" s="122"/>
      <c r="EN142" s="122"/>
      <c r="EO142" s="122"/>
      <c r="EP142" s="122"/>
      <c r="EQ142" s="122"/>
      <c r="ER142" s="122"/>
      <c r="ES142" s="122"/>
      <c r="ET142" s="122"/>
      <c r="EU142" s="122"/>
      <c r="EV142" s="122"/>
      <c r="EW142" s="122"/>
      <c r="EX142" s="122"/>
      <c r="EY142" s="122"/>
      <c r="EZ142" s="122"/>
      <c r="FA142" s="122"/>
      <c r="FB142" s="122"/>
      <c r="FC142" s="122"/>
      <c r="FD142" s="122"/>
      <c r="FE142" s="122"/>
      <c r="FF142" s="122"/>
      <c r="FG142" s="122"/>
      <c r="FH142" s="122"/>
      <c r="FI142" s="122"/>
      <c r="FJ142" s="122"/>
      <c r="FK142" s="122"/>
      <c r="FL142" s="122"/>
      <c r="FM142" s="122"/>
      <c r="FN142" s="122"/>
      <c r="FO142" s="122"/>
      <c r="FP142" s="122"/>
      <c r="FQ142" s="122"/>
      <c r="FR142" s="122"/>
      <c r="FS142" s="122"/>
      <c r="FT142" s="122"/>
      <c r="FU142" s="122"/>
      <c r="FV142" s="122"/>
      <c r="FW142" s="122"/>
      <c r="FX142" s="122"/>
      <c r="FY142" s="122"/>
      <c r="FZ142" s="122"/>
      <c r="GA142" s="122"/>
      <c r="GB142" s="122"/>
      <c r="GC142" s="122"/>
      <c r="GD142" s="122"/>
      <c r="GE142" s="122"/>
      <c r="GF142" s="122"/>
      <c r="GG142" s="122"/>
      <c r="GH142" s="122"/>
      <c r="GI142" s="122"/>
      <c r="GJ142" s="122"/>
      <c r="GK142" s="122"/>
      <c r="GL142" s="122"/>
      <c r="GM142" s="122"/>
      <c r="GN142" s="122"/>
      <c r="GO142" s="122"/>
      <c r="GP142" s="122"/>
      <c r="GQ142" s="122"/>
      <c r="GR142" s="122"/>
      <c r="GS142" s="122"/>
      <c r="GT142" s="122"/>
      <c r="GU142" s="122"/>
      <c r="GV142" s="122"/>
      <c r="GW142" s="122"/>
      <c r="GX142" s="122"/>
      <c r="GY142" s="122"/>
      <c r="GZ142" s="122"/>
      <c r="HA142" s="122"/>
      <c r="HB142" s="122"/>
      <c r="HC142" s="122"/>
      <c r="HD142" s="122"/>
      <c r="HE142" s="122"/>
      <c r="HF142" s="122"/>
      <c r="HG142" s="122"/>
      <c r="HH142" s="122"/>
      <c r="HI142" s="122"/>
      <c r="HJ142" s="122"/>
      <c r="HK142" s="122"/>
      <c r="HL142" s="122"/>
      <c r="HM142" s="122"/>
      <c r="HN142" s="122"/>
      <c r="HO142" s="122"/>
      <c r="HP142" s="122"/>
      <c r="HQ142" s="122"/>
      <c r="HR142" s="122"/>
      <c r="HS142" s="122"/>
      <c r="HT142" s="122"/>
      <c r="HU142" s="122"/>
      <c r="HV142" s="122"/>
      <c r="HW142" s="122"/>
      <c r="HX142" s="122"/>
      <c r="HY142" s="122"/>
      <c r="HZ142" s="122"/>
      <c r="IA142" s="122"/>
      <c r="IB142" s="122"/>
      <c r="IC142" s="122"/>
      <c r="ID142" s="122"/>
      <c r="IE142" s="122"/>
      <c r="IF142" s="122"/>
      <c r="IG142" s="122"/>
      <c r="IH142" s="122"/>
      <c r="II142" s="122"/>
      <c r="IJ142" s="122"/>
      <c r="IK142" s="122"/>
      <c r="IL142" s="122"/>
      <c r="IM142" s="122"/>
      <c r="IN142" s="122"/>
      <c r="IO142" s="122"/>
      <c r="IP142" s="122"/>
      <c r="IQ142" s="122"/>
      <c r="IR142" s="122"/>
      <c r="IS142" s="122"/>
      <c r="IT142" s="122"/>
      <c r="IU142" s="122"/>
      <c r="IV142" s="122"/>
      <c r="IW142" s="122"/>
      <c r="IX142" s="122"/>
      <c r="IY142" s="122"/>
      <c r="IZ142" s="122"/>
      <c r="JA142" s="122"/>
      <c r="JB142" s="122"/>
      <c r="JC142" s="122"/>
      <c r="JD142" s="122"/>
      <c r="JE142" s="122"/>
      <c r="JF142" s="122"/>
      <c r="JG142" s="122"/>
      <c r="JH142" s="122"/>
      <c r="JI142" s="119"/>
      <c r="JJ142" s="2"/>
      <c r="JK142" s="122"/>
      <c r="JL142" s="125"/>
      <c r="JM142" s="125"/>
      <c r="JN142" s="125"/>
      <c r="JO142" s="125"/>
      <c r="JP142" s="125"/>
    </row>
    <row r="143" spans="1:276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  <c r="BQ143" s="122"/>
      <c r="BR143" s="122"/>
      <c r="BS143" s="122"/>
      <c r="BT143" s="122"/>
      <c r="BU143" s="122"/>
      <c r="BV143" s="122"/>
      <c r="BW143" s="122"/>
      <c r="BX143" s="122"/>
      <c r="BY143" s="122"/>
      <c r="BZ143" s="122"/>
      <c r="CA143" s="122"/>
      <c r="CB143" s="122"/>
      <c r="CC143" s="122"/>
      <c r="CD143" s="122"/>
      <c r="CE143" s="122"/>
      <c r="CF143" s="122"/>
      <c r="CG143" s="122"/>
      <c r="CH143" s="122"/>
      <c r="CI143" s="122"/>
      <c r="CJ143" s="122"/>
      <c r="CK143" s="122"/>
      <c r="CL143" s="122"/>
      <c r="CM143" s="122"/>
      <c r="CN143" s="122"/>
      <c r="CO143" s="122"/>
      <c r="CP143" s="122"/>
      <c r="CQ143" s="122"/>
      <c r="CR143" s="122"/>
      <c r="CS143" s="122"/>
      <c r="CT143" s="122"/>
      <c r="CU143" s="122"/>
      <c r="CV143" s="122"/>
      <c r="CW143" s="122"/>
      <c r="CX143" s="122"/>
      <c r="CY143" s="122"/>
      <c r="CZ143" s="122"/>
      <c r="DA143" s="122"/>
      <c r="DB143" s="122"/>
      <c r="DC143" s="122"/>
      <c r="DD143" s="122"/>
      <c r="DE143" s="122"/>
      <c r="DF143" s="122"/>
      <c r="DG143" s="122"/>
      <c r="DH143" s="122"/>
      <c r="DI143" s="122"/>
      <c r="DJ143" s="122"/>
      <c r="DK143" s="122"/>
      <c r="DL143" s="122"/>
      <c r="DM143" s="122"/>
      <c r="DN143" s="122"/>
      <c r="DO143" s="122"/>
      <c r="DP143" s="122"/>
      <c r="DQ143" s="122"/>
      <c r="DR143" s="122"/>
      <c r="DS143" s="122"/>
      <c r="DT143" s="122"/>
      <c r="DU143" s="122"/>
      <c r="DV143" s="122"/>
      <c r="DW143" s="122"/>
      <c r="DX143" s="122"/>
      <c r="DY143" s="122"/>
      <c r="DZ143" s="122"/>
      <c r="EA143" s="122"/>
      <c r="EB143" s="122"/>
      <c r="EC143" s="122"/>
      <c r="ED143" s="122"/>
      <c r="EE143" s="122"/>
      <c r="EF143" s="122"/>
      <c r="EG143" s="122"/>
      <c r="EH143" s="122"/>
      <c r="EI143" s="122"/>
      <c r="EJ143" s="122"/>
      <c r="EK143" s="122"/>
      <c r="EL143" s="122"/>
      <c r="EM143" s="122"/>
      <c r="EN143" s="122"/>
      <c r="EO143" s="122"/>
      <c r="EP143" s="122"/>
      <c r="EQ143" s="122"/>
      <c r="ER143" s="122"/>
      <c r="ES143" s="122"/>
      <c r="ET143" s="122"/>
      <c r="EU143" s="122"/>
      <c r="EV143" s="122"/>
      <c r="EW143" s="122"/>
      <c r="EX143" s="122"/>
      <c r="EY143" s="122"/>
      <c r="EZ143" s="122"/>
      <c r="FA143" s="122"/>
      <c r="FB143" s="122"/>
      <c r="FC143" s="122"/>
      <c r="FD143" s="122"/>
      <c r="FE143" s="122"/>
      <c r="FF143" s="122"/>
      <c r="FG143" s="122"/>
      <c r="FH143" s="122"/>
      <c r="FI143" s="122"/>
      <c r="FJ143" s="122"/>
      <c r="FK143" s="122"/>
      <c r="FL143" s="122"/>
      <c r="FM143" s="122"/>
      <c r="FN143" s="122"/>
      <c r="FO143" s="122"/>
      <c r="FP143" s="122"/>
      <c r="FQ143" s="122"/>
      <c r="FR143" s="122"/>
      <c r="FS143" s="122"/>
      <c r="FT143" s="122"/>
      <c r="FU143" s="122"/>
      <c r="FV143" s="122"/>
      <c r="FW143" s="122"/>
      <c r="FX143" s="122"/>
      <c r="FY143" s="122"/>
      <c r="FZ143" s="122"/>
      <c r="GA143" s="122"/>
      <c r="GB143" s="122"/>
      <c r="GC143" s="122"/>
      <c r="GD143" s="122"/>
      <c r="GE143" s="122"/>
      <c r="GF143" s="122"/>
      <c r="GG143" s="122"/>
      <c r="GH143" s="122"/>
      <c r="GI143" s="122"/>
      <c r="GJ143" s="122"/>
      <c r="GK143" s="122"/>
      <c r="GL143" s="122"/>
      <c r="GM143" s="122"/>
      <c r="GN143" s="122"/>
      <c r="GO143" s="122"/>
      <c r="GP143" s="122"/>
      <c r="GQ143" s="122"/>
      <c r="GR143" s="122"/>
      <c r="GS143" s="122"/>
      <c r="GT143" s="122"/>
      <c r="GU143" s="122"/>
      <c r="GV143" s="122"/>
      <c r="GW143" s="122"/>
      <c r="GX143" s="122"/>
      <c r="GY143" s="122"/>
      <c r="GZ143" s="122"/>
      <c r="HA143" s="122"/>
      <c r="HB143" s="122"/>
      <c r="HC143" s="122"/>
      <c r="HD143" s="122"/>
      <c r="HE143" s="122"/>
      <c r="HF143" s="122"/>
      <c r="HG143" s="122"/>
      <c r="HH143" s="122"/>
      <c r="HI143" s="122"/>
      <c r="HJ143" s="122"/>
      <c r="HK143" s="122"/>
      <c r="HL143" s="122"/>
      <c r="HM143" s="122"/>
      <c r="HN143" s="122"/>
      <c r="HO143" s="122"/>
      <c r="HP143" s="122"/>
      <c r="HQ143" s="122"/>
      <c r="HR143" s="122"/>
      <c r="HS143" s="122"/>
      <c r="HT143" s="122"/>
      <c r="HU143" s="122"/>
      <c r="HV143" s="122"/>
      <c r="HW143" s="122"/>
      <c r="HX143" s="122"/>
      <c r="HY143" s="122"/>
      <c r="HZ143" s="122"/>
      <c r="IA143" s="122"/>
      <c r="IB143" s="122"/>
      <c r="IC143" s="122"/>
      <c r="ID143" s="122"/>
      <c r="IE143" s="122"/>
      <c r="IF143" s="122"/>
      <c r="IG143" s="122"/>
      <c r="IH143" s="122"/>
      <c r="II143" s="122"/>
      <c r="IJ143" s="122"/>
      <c r="IK143" s="122"/>
      <c r="IL143" s="122"/>
      <c r="IM143" s="122"/>
      <c r="IN143" s="122"/>
      <c r="IO143" s="122"/>
      <c r="IP143" s="122"/>
      <c r="IQ143" s="122"/>
      <c r="IR143" s="122"/>
      <c r="IS143" s="122"/>
      <c r="IT143" s="122"/>
      <c r="IU143" s="122"/>
      <c r="IV143" s="122"/>
      <c r="IW143" s="122"/>
      <c r="IX143" s="122"/>
      <c r="IY143" s="122"/>
      <c r="IZ143" s="122"/>
      <c r="JA143" s="122"/>
      <c r="JB143" s="122"/>
      <c r="JC143" s="122"/>
      <c r="JD143" s="122"/>
      <c r="JE143" s="122"/>
      <c r="JF143" s="122"/>
      <c r="JG143" s="122"/>
      <c r="JH143" s="122"/>
      <c r="JI143" s="119"/>
      <c r="JJ143" s="2"/>
      <c r="JK143" s="122"/>
      <c r="JL143" s="125"/>
      <c r="JM143" s="125"/>
      <c r="JN143" s="125"/>
      <c r="JO143" s="125"/>
      <c r="JP143" s="125"/>
    </row>
    <row r="144" spans="1:276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122"/>
      <c r="BS144" s="122"/>
      <c r="BT144" s="122"/>
      <c r="BU144" s="122"/>
      <c r="BV144" s="122"/>
      <c r="BW144" s="122"/>
      <c r="BX144" s="122"/>
      <c r="BY144" s="122"/>
      <c r="BZ144" s="122"/>
      <c r="CA144" s="122"/>
      <c r="CB144" s="122"/>
      <c r="CC144" s="122"/>
      <c r="CD144" s="122"/>
      <c r="CE144" s="122"/>
      <c r="CF144" s="122"/>
      <c r="CG144" s="122"/>
      <c r="CH144" s="122"/>
      <c r="CI144" s="122"/>
      <c r="CJ144" s="122"/>
      <c r="CK144" s="122"/>
      <c r="CL144" s="122"/>
      <c r="CM144" s="122"/>
      <c r="CN144" s="122"/>
      <c r="CO144" s="122"/>
      <c r="CP144" s="122"/>
      <c r="CQ144" s="122"/>
      <c r="CR144" s="122"/>
      <c r="CS144" s="122"/>
      <c r="CT144" s="122"/>
      <c r="CU144" s="122"/>
      <c r="CV144" s="122"/>
      <c r="CW144" s="122"/>
      <c r="CX144" s="122"/>
      <c r="CY144" s="122"/>
      <c r="CZ144" s="122"/>
      <c r="DA144" s="122"/>
      <c r="DB144" s="122"/>
      <c r="DC144" s="122"/>
      <c r="DD144" s="122"/>
      <c r="DE144" s="122"/>
      <c r="DF144" s="122"/>
      <c r="DG144" s="122"/>
      <c r="DH144" s="122"/>
      <c r="DI144" s="122"/>
      <c r="DJ144" s="122"/>
      <c r="DK144" s="122"/>
      <c r="DL144" s="122"/>
      <c r="DM144" s="122"/>
      <c r="DN144" s="122"/>
      <c r="DO144" s="122"/>
      <c r="DP144" s="122"/>
      <c r="DQ144" s="122"/>
      <c r="DR144" s="122"/>
      <c r="DS144" s="122"/>
      <c r="DT144" s="122"/>
      <c r="DU144" s="122"/>
      <c r="DV144" s="122"/>
      <c r="DW144" s="122"/>
      <c r="DX144" s="122"/>
      <c r="DY144" s="122"/>
      <c r="DZ144" s="122"/>
      <c r="EA144" s="122"/>
      <c r="EB144" s="122"/>
      <c r="EC144" s="122"/>
      <c r="ED144" s="122"/>
      <c r="EE144" s="122"/>
      <c r="EF144" s="122"/>
      <c r="EG144" s="122"/>
      <c r="EH144" s="122"/>
      <c r="EI144" s="122"/>
      <c r="EJ144" s="122"/>
      <c r="EK144" s="122"/>
      <c r="EL144" s="122"/>
      <c r="EM144" s="122"/>
      <c r="EN144" s="122"/>
      <c r="EO144" s="122"/>
      <c r="EP144" s="122"/>
      <c r="EQ144" s="122"/>
      <c r="ER144" s="122"/>
      <c r="ES144" s="122"/>
      <c r="ET144" s="122"/>
      <c r="EU144" s="122"/>
      <c r="EV144" s="122"/>
      <c r="EW144" s="122"/>
      <c r="EX144" s="122"/>
      <c r="EY144" s="122"/>
      <c r="EZ144" s="122"/>
      <c r="FA144" s="122"/>
      <c r="FB144" s="122"/>
      <c r="FC144" s="122"/>
      <c r="FD144" s="122"/>
      <c r="FE144" s="122"/>
      <c r="FF144" s="122"/>
      <c r="FG144" s="122"/>
      <c r="FH144" s="122"/>
      <c r="FI144" s="122"/>
      <c r="FJ144" s="122"/>
      <c r="FK144" s="122"/>
      <c r="FL144" s="122"/>
      <c r="FM144" s="122"/>
      <c r="FN144" s="122"/>
      <c r="FO144" s="122"/>
      <c r="FP144" s="122"/>
      <c r="FQ144" s="122"/>
      <c r="FR144" s="122"/>
      <c r="FS144" s="122"/>
      <c r="FT144" s="122"/>
      <c r="FU144" s="122"/>
      <c r="FV144" s="122"/>
      <c r="FW144" s="122"/>
      <c r="FX144" s="122"/>
      <c r="FY144" s="122"/>
      <c r="FZ144" s="122"/>
      <c r="GA144" s="122"/>
      <c r="GB144" s="122"/>
      <c r="GC144" s="122"/>
      <c r="GD144" s="122"/>
      <c r="GE144" s="122"/>
      <c r="GF144" s="122"/>
      <c r="GG144" s="122"/>
      <c r="GH144" s="122"/>
      <c r="GI144" s="122"/>
      <c r="GJ144" s="122"/>
      <c r="GK144" s="122"/>
      <c r="GL144" s="122"/>
      <c r="GM144" s="122"/>
      <c r="GN144" s="122"/>
      <c r="GO144" s="122"/>
      <c r="GP144" s="122"/>
      <c r="GQ144" s="122"/>
      <c r="GR144" s="122"/>
      <c r="GS144" s="122"/>
      <c r="GT144" s="122"/>
      <c r="GU144" s="122"/>
      <c r="GV144" s="122"/>
      <c r="GW144" s="122"/>
      <c r="GX144" s="122"/>
      <c r="GY144" s="122"/>
      <c r="GZ144" s="122"/>
      <c r="HA144" s="122"/>
      <c r="HB144" s="122"/>
      <c r="HC144" s="122"/>
      <c r="HD144" s="122"/>
      <c r="HE144" s="122"/>
      <c r="HF144" s="122"/>
      <c r="HG144" s="122"/>
      <c r="HH144" s="122"/>
      <c r="HI144" s="122"/>
      <c r="HJ144" s="122"/>
      <c r="HK144" s="122"/>
      <c r="HL144" s="122"/>
      <c r="HM144" s="122"/>
      <c r="HN144" s="122"/>
      <c r="HO144" s="122"/>
      <c r="HP144" s="122"/>
      <c r="HQ144" s="122"/>
      <c r="HR144" s="122"/>
      <c r="HS144" s="122"/>
      <c r="HT144" s="122"/>
      <c r="HU144" s="122"/>
      <c r="HV144" s="122"/>
      <c r="HW144" s="122"/>
      <c r="HX144" s="122"/>
      <c r="HY144" s="122"/>
      <c r="HZ144" s="122"/>
      <c r="IA144" s="122"/>
      <c r="IB144" s="122"/>
      <c r="IC144" s="122"/>
      <c r="ID144" s="122"/>
      <c r="IE144" s="122"/>
      <c r="IF144" s="122"/>
      <c r="IG144" s="122"/>
      <c r="IH144" s="122"/>
      <c r="II144" s="122"/>
      <c r="IJ144" s="122"/>
      <c r="IK144" s="122"/>
      <c r="IL144" s="122"/>
      <c r="IM144" s="122"/>
      <c r="IN144" s="122"/>
      <c r="IO144" s="122"/>
      <c r="IP144" s="122"/>
      <c r="IQ144" s="122"/>
      <c r="IR144" s="122"/>
      <c r="IS144" s="122"/>
      <c r="IT144" s="122"/>
      <c r="IU144" s="122"/>
      <c r="IV144" s="122"/>
      <c r="IW144" s="122"/>
      <c r="IX144" s="122"/>
      <c r="IY144" s="122"/>
      <c r="IZ144" s="122"/>
      <c r="JA144" s="122"/>
      <c r="JB144" s="122"/>
      <c r="JC144" s="122"/>
      <c r="JD144" s="122"/>
      <c r="JE144" s="122"/>
      <c r="JF144" s="122"/>
      <c r="JG144" s="122"/>
      <c r="JH144" s="122"/>
      <c r="JI144" s="119"/>
      <c r="JJ144" s="2"/>
      <c r="JK144" s="122"/>
      <c r="JL144" s="125"/>
      <c r="JM144" s="125"/>
      <c r="JN144" s="125"/>
      <c r="JO144" s="125"/>
      <c r="JP144" s="125"/>
    </row>
    <row r="145" spans="1:276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  <c r="BP145" s="122"/>
      <c r="BQ145" s="122"/>
      <c r="BR145" s="122"/>
      <c r="BS145" s="122"/>
      <c r="BT145" s="122"/>
      <c r="BU145" s="122"/>
      <c r="BV145" s="122"/>
      <c r="BW145" s="122"/>
      <c r="BX145" s="122"/>
      <c r="BY145" s="122"/>
      <c r="BZ145" s="122"/>
      <c r="CA145" s="122"/>
      <c r="CB145" s="122"/>
      <c r="CC145" s="122"/>
      <c r="CD145" s="122"/>
      <c r="CE145" s="122"/>
      <c r="CF145" s="122"/>
      <c r="CG145" s="122"/>
      <c r="CH145" s="122"/>
      <c r="CI145" s="122"/>
      <c r="CJ145" s="122"/>
      <c r="CK145" s="122"/>
      <c r="CL145" s="122"/>
      <c r="CM145" s="122"/>
      <c r="CN145" s="122"/>
      <c r="CO145" s="122"/>
      <c r="CP145" s="122"/>
      <c r="CQ145" s="122"/>
      <c r="CR145" s="122"/>
      <c r="CS145" s="122"/>
      <c r="CT145" s="122"/>
      <c r="CU145" s="122"/>
      <c r="CV145" s="122"/>
      <c r="CW145" s="122"/>
      <c r="CX145" s="122"/>
      <c r="CY145" s="122"/>
      <c r="CZ145" s="122"/>
      <c r="DA145" s="122"/>
      <c r="DB145" s="122"/>
      <c r="DC145" s="122"/>
      <c r="DD145" s="122"/>
      <c r="DE145" s="122"/>
      <c r="DF145" s="122"/>
      <c r="DG145" s="122"/>
      <c r="DH145" s="122"/>
      <c r="DI145" s="122"/>
      <c r="DJ145" s="122"/>
      <c r="DK145" s="122"/>
      <c r="DL145" s="122"/>
      <c r="DM145" s="122"/>
      <c r="DN145" s="122"/>
      <c r="DO145" s="122"/>
      <c r="DP145" s="122"/>
      <c r="DQ145" s="122"/>
      <c r="DR145" s="122"/>
      <c r="DS145" s="122"/>
      <c r="DT145" s="122"/>
      <c r="DU145" s="122"/>
      <c r="DV145" s="122"/>
      <c r="DW145" s="122"/>
      <c r="DX145" s="122"/>
      <c r="DY145" s="122"/>
      <c r="DZ145" s="122"/>
      <c r="EA145" s="122"/>
      <c r="EB145" s="122"/>
      <c r="EC145" s="122"/>
      <c r="ED145" s="122"/>
      <c r="EE145" s="122"/>
      <c r="EF145" s="122"/>
      <c r="EG145" s="122"/>
      <c r="EH145" s="122"/>
      <c r="EI145" s="122"/>
      <c r="EJ145" s="122"/>
      <c r="EK145" s="122"/>
      <c r="EL145" s="122"/>
      <c r="EM145" s="122"/>
      <c r="EN145" s="122"/>
      <c r="EO145" s="122"/>
      <c r="EP145" s="122"/>
      <c r="EQ145" s="122"/>
      <c r="ER145" s="122"/>
      <c r="ES145" s="122"/>
      <c r="ET145" s="122"/>
      <c r="EU145" s="122"/>
      <c r="EV145" s="122"/>
      <c r="EW145" s="122"/>
      <c r="EX145" s="122"/>
      <c r="EY145" s="122"/>
      <c r="EZ145" s="122"/>
      <c r="FA145" s="122"/>
      <c r="FB145" s="122"/>
      <c r="FC145" s="122"/>
      <c r="FD145" s="122"/>
      <c r="FE145" s="122"/>
      <c r="FF145" s="122"/>
      <c r="FG145" s="122"/>
      <c r="FH145" s="122"/>
      <c r="FI145" s="122"/>
      <c r="FJ145" s="122"/>
      <c r="FK145" s="122"/>
      <c r="FL145" s="122"/>
      <c r="FM145" s="122"/>
      <c r="FN145" s="122"/>
      <c r="FO145" s="122"/>
      <c r="FP145" s="122"/>
      <c r="FQ145" s="122"/>
      <c r="FR145" s="122"/>
      <c r="FS145" s="122"/>
      <c r="FT145" s="122"/>
      <c r="FU145" s="122"/>
      <c r="FV145" s="122"/>
      <c r="FW145" s="122"/>
      <c r="FX145" s="122"/>
      <c r="FY145" s="122"/>
      <c r="FZ145" s="122"/>
      <c r="GA145" s="122"/>
      <c r="GB145" s="122"/>
      <c r="GC145" s="122"/>
      <c r="GD145" s="122"/>
      <c r="GE145" s="122"/>
      <c r="GF145" s="122"/>
      <c r="GG145" s="122"/>
      <c r="GH145" s="122"/>
      <c r="GI145" s="122"/>
      <c r="GJ145" s="122"/>
      <c r="GK145" s="122"/>
      <c r="GL145" s="122"/>
      <c r="GM145" s="122"/>
      <c r="GN145" s="122"/>
      <c r="GO145" s="122"/>
      <c r="GP145" s="122"/>
      <c r="GQ145" s="122"/>
      <c r="GR145" s="122"/>
      <c r="GS145" s="122"/>
      <c r="GT145" s="122"/>
      <c r="GU145" s="122"/>
      <c r="GV145" s="122"/>
      <c r="GW145" s="122"/>
      <c r="GX145" s="122"/>
      <c r="GY145" s="122"/>
      <c r="GZ145" s="122"/>
      <c r="HA145" s="122"/>
      <c r="HB145" s="122"/>
      <c r="HC145" s="122"/>
      <c r="HD145" s="122"/>
      <c r="HE145" s="122"/>
      <c r="HF145" s="122"/>
      <c r="HG145" s="122"/>
      <c r="HH145" s="122"/>
      <c r="HI145" s="122"/>
      <c r="HJ145" s="122"/>
      <c r="HK145" s="122"/>
      <c r="HL145" s="122"/>
      <c r="HM145" s="122"/>
      <c r="HN145" s="122"/>
      <c r="HO145" s="122"/>
      <c r="HP145" s="122"/>
      <c r="HQ145" s="122"/>
      <c r="HR145" s="122"/>
      <c r="HS145" s="122"/>
      <c r="HT145" s="122"/>
      <c r="HU145" s="122"/>
      <c r="HV145" s="122"/>
      <c r="HW145" s="122"/>
      <c r="HX145" s="122"/>
      <c r="HY145" s="122"/>
      <c r="HZ145" s="122"/>
      <c r="IA145" s="122"/>
      <c r="IB145" s="122"/>
      <c r="IC145" s="122"/>
      <c r="ID145" s="122"/>
      <c r="IE145" s="122"/>
      <c r="IF145" s="122"/>
      <c r="IG145" s="122"/>
      <c r="IH145" s="122"/>
      <c r="II145" s="122"/>
      <c r="IJ145" s="122"/>
      <c r="IK145" s="122"/>
      <c r="IL145" s="122"/>
      <c r="IM145" s="122"/>
      <c r="IN145" s="122"/>
      <c r="IO145" s="122"/>
      <c r="IP145" s="122"/>
      <c r="IQ145" s="122"/>
      <c r="IR145" s="122"/>
      <c r="IS145" s="122"/>
      <c r="IT145" s="122"/>
      <c r="IU145" s="122"/>
      <c r="IV145" s="122"/>
      <c r="IW145" s="122"/>
      <c r="IX145" s="122"/>
      <c r="IY145" s="122"/>
      <c r="IZ145" s="122"/>
      <c r="JA145" s="122"/>
      <c r="JB145" s="122"/>
      <c r="JC145" s="122"/>
      <c r="JD145" s="122"/>
      <c r="JE145" s="122"/>
      <c r="JF145" s="122"/>
      <c r="JG145" s="122"/>
      <c r="JH145" s="122"/>
      <c r="JI145" s="119"/>
      <c r="JJ145" s="2"/>
      <c r="JK145" s="122"/>
      <c r="JL145" s="125"/>
      <c r="JM145" s="125"/>
      <c r="JN145" s="125"/>
      <c r="JO145" s="125"/>
      <c r="JP145" s="125"/>
    </row>
    <row r="146" spans="1:27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  <c r="BP146" s="122"/>
      <c r="BQ146" s="122"/>
      <c r="BR146" s="122"/>
      <c r="BS146" s="122"/>
      <c r="BT146" s="122"/>
      <c r="BU146" s="122"/>
      <c r="BV146" s="122"/>
      <c r="BW146" s="122"/>
      <c r="BX146" s="122"/>
      <c r="BY146" s="122"/>
      <c r="BZ146" s="122"/>
      <c r="CA146" s="122"/>
      <c r="CB146" s="122"/>
      <c r="CC146" s="122"/>
      <c r="CD146" s="122"/>
      <c r="CE146" s="122"/>
      <c r="CF146" s="122"/>
      <c r="CG146" s="122"/>
      <c r="CH146" s="122"/>
      <c r="CI146" s="122"/>
      <c r="CJ146" s="122"/>
      <c r="CK146" s="122"/>
      <c r="CL146" s="122"/>
      <c r="CM146" s="122"/>
      <c r="CN146" s="122"/>
      <c r="CO146" s="122"/>
      <c r="CP146" s="122"/>
      <c r="CQ146" s="122"/>
      <c r="CR146" s="122"/>
      <c r="CS146" s="122"/>
      <c r="CT146" s="122"/>
      <c r="CU146" s="122"/>
      <c r="CV146" s="122"/>
      <c r="CW146" s="122"/>
      <c r="CX146" s="122"/>
      <c r="CY146" s="122"/>
      <c r="CZ146" s="122"/>
      <c r="DA146" s="122"/>
      <c r="DB146" s="122"/>
      <c r="DC146" s="122"/>
      <c r="DD146" s="122"/>
      <c r="DE146" s="122"/>
      <c r="DF146" s="122"/>
      <c r="DG146" s="122"/>
      <c r="DH146" s="122"/>
      <c r="DI146" s="122"/>
      <c r="DJ146" s="122"/>
      <c r="DK146" s="122"/>
      <c r="DL146" s="122"/>
      <c r="DM146" s="122"/>
      <c r="DN146" s="122"/>
      <c r="DO146" s="122"/>
      <c r="DP146" s="122"/>
      <c r="DQ146" s="122"/>
      <c r="DR146" s="122"/>
      <c r="DS146" s="122"/>
      <c r="DT146" s="122"/>
      <c r="DU146" s="122"/>
      <c r="DV146" s="122"/>
      <c r="DW146" s="122"/>
      <c r="DX146" s="122"/>
      <c r="DY146" s="122"/>
      <c r="DZ146" s="122"/>
      <c r="EA146" s="122"/>
      <c r="EB146" s="122"/>
      <c r="EC146" s="122"/>
      <c r="ED146" s="122"/>
      <c r="EE146" s="122"/>
      <c r="EF146" s="122"/>
      <c r="EG146" s="122"/>
      <c r="EH146" s="122"/>
      <c r="EI146" s="122"/>
      <c r="EJ146" s="122"/>
      <c r="EK146" s="122"/>
      <c r="EL146" s="122"/>
      <c r="EM146" s="122"/>
      <c r="EN146" s="122"/>
      <c r="EO146" s="122"/>
      <c r="EP146" s="122"/>
      <c r="EQ146" s="122"/>
      <c r="ER146" s="122"/>
      <c r="ES146" s="122"/>
      <c r="ET146" s="122"/>
      <c r="EU146" s="122"/>
      <c r="EV146" s="122"/>
      <c r="EW146" s="122"/>
      <c r="EX146" s="122"/>
      <c r="EY146" s="122"/>
      <c r="EZ146" s="122"/>
      <c r="FA146" s="122"/>
      <c r="FB146" s="122"/>
      <c r="FC146" s="122"/>
      <c r="FD146" s="122"/>
      <c r="FE146" s="122"/>
      <c r="FF146" s="122"/>
      <c r="FG146" s="122"/>
      <c r="FH146" s="122"/>
      <c r="FI146" s="122"/>
      <c r="FJ146" s="122"/>
      <c r="FK146" s="122"/>
      <c r="FL146" s="122"/>
      <c r="FM146" s="122"/>
      <c r="FN146" s="122"/>
      <c r="FO146" s="122"/>
      <c r="FP146" s="122"/>
      <c r="FQ146" s="122"/>
      <c r="FR146" s="122"/>
      <c r="FS146" s="122"/>
      <c r="FT146" s="122"/>
      <c r="FU146" s="122"/>
      <c r="FV146" s="122"/>
      <c r="FW146" s="122"/>
      <c r="FX146" s="122"/>
      <c r="FY146" s="122"/>
      <c r="FZ146" s="122"/>
      <c r="GA146" s="122"/>
      <c r="GB146" s="122"/>
      <c r="GC146" s="122"/>
      <c r="GD146" s="122"/>
      <c r="GE146" s="122"/>
      <c r="GF146" s="122"/>
      <c r="GG146" s="122"/>
      <c r="GH146" s="122"/>
      <c r="GI146" s="122"/>
      <c r="GJ146" s="122"/>
      <c r="GK146" s="122"/>
      <c r="GL146" s="122"/>
      <c r="GM146" s="122"/>
      <c r="GN146" s="122"/>
      <c r="GO146" s="122"/>
      <c r="GP146" s="122"/>
      <c r="GQ146" s="122"/>
      <c r="GR146" s="122"/>
      <c r="GS146" s="122"/>
      <c r="GT146" s="122"/>
      <c r="GU146" s="122"/>
      <c r="GV146" s="122"/>
      <c r="GW146" s="122"/>
      <c r="GX146" s="122"/>
      <c r="GY146" s="122"/>
      <c r="GZ146" s="122"/>
      <c r="HA146" s="122"/>
      <c r="HB146" s="122"/>
      <c r="HC146" s="122"/>
      <c r="HD146" s="122"/>
      <c r="HE146" s="122"/>
      <c r="HF146" s="122"/>
      <c r="HG146" s="122"/>
      <c r="HH146" s="122"/>
      <c r="HI146" s="122"/>
      <c r="HJ146" s="122"/>
      <c r="HK146" s="122"/>
      <c r="HL146" s="122"/>
      <c r="HM146" s="122"/>
      <c r="HN146" s="122"/>
      <c r="HO146" s="122"/>
      <c r="HP146" s="122"/>
      <c r="HQ146" s="122"/>
      <c r="HR146" s="122"/>
      <c r="HS146" s="122"/>
      <c r="HT146" s="122"/>
      <c r="HU146" s="122"/>
      <c r="HV146" s="122"/>
      <c r="HW146" s="122"/>
      <c r="HX146" s="122"/>
      <c r="HY146" s="122"/>
      <c r="HZ146" s="122"/>
      <c r="IA146" s="122"/>
      <c r="IB146" s="122"/>
      <c r="IC146" s="122"/>
      <c r="ID146" s="122"/>
      <c r="IE146" s="122"/>
      <c r="IF146" s="122"/>
      <c r="IG146" s="122"/>
      <c r="IH146" s="122"/>
      <c r="II146" s="122"/>
      <c r="IJ146" s="122"/>
      <c r="IK146" s="122"/>
      <c r="IL146" s="122"/>
      <c r="IM146" s="122"/>
      <c r="IN146" s="122"/>
      <c r="IO146" s="122"/>
      <c r="IP146" s="122"/>
      <c r="IQ146" s="122"/>
      <c r="IR146" s="122"/>
      <c r="IS146" s="122"/>
      <c r="IT146" s="122"/>
      <c r="IU146" s="122"/>
      <c r="IV146" s="122"/>
      <c r="IW146" s="122"/>
      <c r="IX146" s="122"/>
      <c r="IY146" s="122"/>
      <c r="IZ146" s="122"/>
      <c r="JA146" s="122"/>
      <c r="JB146" s="122"/>
      <c r="JC146" s="122"/>
      <c r="JD146" s="122"/>
      <c r="JE146" s="122"/>
      <c r="JF146" s="122"/>
      <c r="JG146" s="122"/>
      <c r="JH146" s="122"/>
      <c r="JI146" s="119"/>
      <c r="JJ146" s="2"/>
      <c r="JK146" s="122"/>
      <c r="JL146" s="125"/>
      <c r="JM146" s="125"/>
      <c r="JN146" s="125"/>
      <c r="JO146" s="125"/>
      <c r="JP146" s="125"/>
    </row>
    <row r="147" spans="1:276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  <c r="BP147" s="122"/>
      <c r="BQ147" s="122"/>
      <c r="BR147" s="122"/>
      <c r="BS147" s="122"/>
      <c r="BT147" s="122"/>
      <c r="BU147" s="122"/>
      <c r="BV147" s="122"/>
      <c r="BW147" s="122"/>
      <c r="BX147" s="122"/>
      <c r="BY147" s="122"/>
      <c r="BZ147" s="122"/>
      <c r="CA147" s="122"/>
      <c r="CB147" s="122"/>
      <c r="CC147" s="122"/>
      <c r="CD147" s="122"/>
      <c r="CE147" s="122"/>
      <c r="CF147" s="122"/>
      <c r="CG147" s="122"/>
      <c r="CH147" s="122"/>
      <c r="CI147" s="122"/>
      <c r="CJ147" s="122"/>
      <c r="CK147" s="122"/>
      <c r="CL147" s="122"/>
      <c r="CM147" s="122"/>
      <c r="CN147" s="122"/>
      <c r="CO147" s="122"/>
      <c r="CP147" s="122"/>
      <c r="CQ147" s="122"/>
      <c r="CR147" s="122"/>
      <c r="CS147" s="122"/>
      <c r="CT147" s="122"/>
      <c r="CU147" s="122"/>
      <c r="CV147" s="122"/>
      <c r="CW147" s="122"/>
      <c r="CX147" s="122"/>
      <c r="CY147" s="122"/>
      <c r="CZ147" s="122"/>
      <c r="DA147" s="122"/>
      <c r="DB147" s="122"/>
      <c r="DC147" s="122"/>
      <c r="DD147" s="122"/>
      <c r="DE147" s="122"/>
      <c r="DF147" s="122"/>
      <c r="DG147" s="122"/>
      <c r="DH147" s="122"/>
      <c r="DI147" s="122"/>
      <c r="DJ147" s="122"/>
      <c r="DK147" s="122"/>
      <c r="DL147" s="122"/>
      <c r="DM147" s="122"/>
      <c r="DN147" s="122"/>
      <c r="DO147" s="122"/>
      <c r="DP147" s="122"/>
      <c r="DQ147" s="122"/>
      <c r="DR147" s="122"/>
      <c r="DS147" s="122"/>
      <c r="DT147" s="122"/>
      <c r="DU147" s="122"/>
      <c r="DV147" s="122"/>
      <c r="DW147" s="122"/>
      <c r="DX147" s="122"/>
      <c r="DY147" s="122"/>
      <c r="DZ147" s="122"/>
      <c r="EA147" s="122"/>
      <c r="EB147" s="122"/>
      <c r="EC147" s="122"/>
      <c r="ED147" s="122"/>
      <c r="EE147" s="122"/>
      <c r="EF147" s="122"/>
      <c r="EG147" s="122"/>
      <c r="EH147" s="122"/>
      <c r="EI147" s="122"/>
      <c r="EJ147" s="122"/>
      <c r="EK147" s="122"/>
      <c r="EL147" s="122"/>
      <c r="EM147" s="122"/>
      <c r="EN147" s="122"/>
      <c r="EO147" s="122"/>
      <c r="EP147" s="122"/>
      <c r="EQ147" s="122"/>
      <c r="ER147" s="122"/>
      <c r="ES147" s="122"/>
      <c r="ET147" s="122"/>
      <c r="EU147" s="122"/>
      <c r="EV147" s="122"/>
      <c r="EW147" s="122"/>
      <c r="EX147" s="122"/>
      <c r="EY147" s="122"/>
      <c r="EZ147" s="122"/>
      <c r="FA147" s="122"/>
      <c r="FB147" s="122"/>
      <c r="FC147" s="122"/>
      <c r="FD147" s="122"/>
      <c r="FE147" s="122"/>
      <c r="FF147" s="122"/>
      <c r="FG147" s="122"/>
      <c r="FH147" s="122"/>
      <c r="FI147" s="122"/>
      <c r="FJ147" s="122"/>
      <c r="FK147" s="122"/>
      <c r="FL147" s="122"/>
      <c r="FM147" s="122"/>
      <c r="FN147" s="122"/>
      <c r="FO147" s="122"/>
      <c r="FP147" s="122"/>
      <c r="FQ147" s="122"/>
      <c r="FR147" s="122"/>
      <c r="FS147" s="122"/>
      <c r="FT147" s="122"/>
      <c r="FU147" s="122"/>
      <c r="FV147" s="122"/>
      <c r="FW147" s="122"/>
      <c r="FX147" s="122"/>
      <c r="FY147" s="122"/>
      <c r="FZ147" s="122"/>
      <c r="GA147" s="122"/>
      <c r="GB147" s="122"/>
      <c r="GC147" s="122"/>
      <c r="GD147" s="122"/>
      <c r="GE147" s="122"/>
      <c r="GF147" s="122"/>
      <c r="GG147" s="122"/>
      <c r="GH147" s="122"/>
      <c r="GI147" s="122"/>
      <c r="GJ147" s="122"/>
      <c r="GK147" s="122"/>
      <c r="GL147" s="122"/>
      <c r="GM147" s="122"/>
      <c r="GN147" s="122"/>
      <c r="GO147" s="122"/>
      <c r="GP147" s="122"/>
      <c r="GQ147" s="122"/>
      <c r="GR147" s="122"/>
      <c r="GS147" s="122"/>
      <c r="GT147" s="122"/>
      <c r="GU147" s="122"/>
      <c r="GV147" s="122"/>
      <c r="GW147" s="122"/>
      <c r="GX147" s="122"/>
      <c r="GY147" s="122"/>
      <c r="GZ147" s="122"/>
      <c r="HA147" s="122"/>
      <c r="HB147" s="122"/>
      <c r="HC147" s="122"/>
      <c r="HD147" s="122"/>
      <c r="HE147" s="122"/>
      <c r="HF147" s="122"/>
      <c r="HG147" s="122"/>
      <c r="HH147" s="122"/>
      <c r="HI147" s="122"/>
      <c r="HJ147" s="122"/>
      <c r="HK147" s="122"/>
      <c r="HL147" s="122"/>
      <c r="HM147" s="122"/>
      <c r="HN147" s="122"/>
      <c r="HO147" s="122"/>
      <c r="HP147" s="122"/>
      <c r="HQ147" s="122"/>
      <c r="HR147" s="122"/>
      <c r="HS147" s="122"/>
      <c r="HT147" s="122"/>
      <c r="HU147" s="122"/>
      <c r="HV147" s="122"/>
      <c r="HW147" s="122"/>
      <c r="HX147" s="122"/>
      <c r="HY147" s="122"/>
      <c r="HZ147" s="122"/>
      <c r="IA147" s="122"/>
      <c r="IB147" s="122"/>
      <c r="IC147" s="122"/>
      <c r="ID147" s="122"/>
      <c r="IE147" s="122"/>
      <c r="IF147" s="122"/>
      <c r="IG147" s="122"/>
      <c r="IH147" s="122"/>
      <c r="II147" s="122"/>
      <c r="IJ147" s="122"/>
      <c r="IK147" s="122"/>
      <c r="IL147" s="122"/>
      <c r="IM147" s="122"/>
      <c r="IN147" s="122"/>
      <c r="IO147" s="122"/>
      <c r="IP147" s="122"/>
      <c r="IQ147" s="122"/>
      <c r="IR147" s="122"/>
      <c r="IS147" s="122"/>
      <c r="IT147" s="122"/>
      <c r="IU147" s="122"/>
      <c r="IV147" s="122"/>
      <c r="IW147" s="122"/>
      <c r="IX147" s="122"/>
      <c r="IY147" s="122"/>
      <c r="IZ147" s="122"/>
      <c r="JA147" s="122"/>
      <c r="JB147" s="122"/>
      <c r="JC147" s="122"/>
      <c r="JD147" s="122"/>
      <c r="JE147" s="122"/>
      <c r="JF147" s="122"/>
      <c r="JG147" s="122"/>
      <c r="JH147" s="122"/>
      <c r="JI147" s="119"/>
      <c r="JJ147" s="2"/>
      <c r="JK147" s="122"/>
      <c r="JL147" s="125"/>
      <c r="JM147" s="125"/>
      <c r="JN147" s="125"/>
      <c r="JO147" s="125"/>
      <c r="JP147" s="125"/>
    </row>
    <row r="148" spans="1:276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  <c r="BP148" s="122"/>
      <c r="BQ148" s="122"/>
      <c r="BR148" s="122"/>
      <c r="BS148" s="122"/>
      <c r="BT148" s="122"/>
      <c r="BU148" s="122"/>
      <c r="BV148" s="122"/>
      <c r="BW148" s="122"/>
      <c r="BX148" s="122"/>
      <c r="BY148" s="122"/>
      <c r="BZ148" s="122"/>
      <c r="CA148" s="122"/>
      <c r="CB148" s="122"/>
      <c r="CC148" s="122"/>
      <c r="CD148" s="122"/>
      <c r="CE148" s="122"/>
      <c r="CF148" s="122"/>
      <c r="CG148" s="122"/>
      <c r="CH148" s="122"/>
      <c r="CI148" s="122"/>
      <c r="CJ148" s="122"/>
      <c r="CK148" s="122"/>
      <c r="CL148" s="122"/>
      <c r="CM148" s="122"/>
      <c r="CN148" s="122"/>
      <c r="CO148" s="122"/>
      <c r="CP148" s="122"/>
      <c r="CQ148" s="122"/>
      <c r="CR148" s="122"/>
      <c r="CS148" s="122"/>
      <c r="CT148" s="122"/>
      <c r="CU148" s="122"/>
      <c r="CV148" s="122"/>
      <c r="CW148" s="122"/>
      <c r="CX148" s="122"/>
      <c r="CY148" s="122"/>
      <c r="CZ148" s="122"/>
      <c r="DA148" s="122"/>
      <c r="DB148" s="122"/>
      <c r="DC148" s="122"/>
      <c r="DD148" s="122"/>
      <c r="DE148" s="122"/>
      <c r="DF148" s="122"/>
      <c r="DG148" s="122"/>
      <c r="DH148" s="122"/>
      <c r="DI148" s="122"/>
      <c r="DJ148" s="122"/>
      <c r="DK148" s="122"/>
      <c r="DL148" s="122"/>
      <c r="DM148" s="122"/>
      <c r="DN148" s="122"/>
      <c r="DO148" s="122"/>
      <c r="DP148" s="122"/>
      <c r="DQ148" s="122"/>
      <c r="DR148" s="122"/>
      <c r="DS148" s="122"/>
      <c r="DT148" s="122"/>
      <c r="DU148" s="122"/>
      <c r="DV148" s="122"/>
      <c r="DW148" s="122"/>
      <c r="DX148" s="122"/>
      <c r="DY148" s="122"/>
      <c r="DZ148" s="122"/>
      <c r="EA148" s="122"/>
      <c r="EB148" s="122"/>
      <c r="EC148" s="122"/>
      <c r="ED148" s="122"/>
      <c r="EE148" s="122"/>
      <c r="EF148" s="122"/>
      <c r="EG148" s="122"/>
      <c r="EH148" s="122"/>
      <c r="EI148" s="122"/>
      <c r="EJ148" s="122"/>
      <c r="EK148" s="122"/>
      <c r="EL148" s="122"/>
      <c r="EM148" s="122"/>
      <c r="EN148" s="122"/>
      <c r="EO148" s="122"/>
      <c r="EP148" s="122"/>
      <c r="EQ148" s="122"/>
      <c r="ER148" s="122"/>
      <c r="ES148" s="122"/>
      <c r="ET148" s="122"/>
      <c r="EU148" s="122"/>
      <c r="EV148" s="122"/>
      <c r="EW148" s="122"/>
      <c r="EX148" s="122"/>
      <c r="EY148" s="122"/>
      <c r="EZ148" s="122"/>
      <c r="FA148" s="122"/>
      <c r="FB148" s="122"/>
      <c r="FC148" s="122"/>
      <c r="FD148" s="122"/>
      <c r="FE148" s="122"/>
      <c r="FF148" s="122"/>
      <c r="FG148" s="122"/>
      <c r="FH148" s="122"/>
      <c r="FI148" s="122"/>
      <c r="FJ148" s="122"/>
      <c r="FK148" s="122"/>
      <c r="FL148" s="122"/>
      <c r="FM148" s="122"/>
      <c r="FN148" s="122"/>
      <c r="FO148" s="122"/>
      <c r="FP148" s="122"/>
      <c r="FQ148" s="122"/>
      <c r="FR148" s="122"/>
      <c r="FS148" s="122"/>
      <c r="FT148" s="122"/>
      <c r="FU148" s="122"/>
      <c r="FV148" s="122"/>
      <c r="FW148" s="122"/>
      <c r="FX148" s="122"/>
      <c r="FY148" s="122"/>
      <c r="FZ148" s="122"/>
      <c r="GA148" s="122"/>
      <c r="GB148" s="122"/>
      <c r="GC148" s="122"/>
      <c r="GD148" s="122"/>
      <c r="GE148" s="122"/>
      <c r="GF148" s="122"/>
      <c r="GG148" s="122"/>
      <c r="GH148" s="122"/>
      <c r="GI148" s="122"/>
      <c r="GJ148" s="122"/>
      <c r="GK148" s="122"/>
      <c r="GL148" s="122"/>
      <c r="GM148" s="122"/>
      <c r="GN148" s="122"/>
      <c r="GO148" s="122"/>
      <c r="GP148" s="122"/>
      <c r="GQ148" s="122"/>
      <c r="GR148" s="122"/>
      <c r="GS148" s="122"/>
      <c r="GT148" s="122"/>
      <c r="GU148" s="122"/>
      <c r="GV148" s="122"/>
      <c r="GW148" s="122"/>
      <c r="GX148" s="122"/>
      <c r="GY148" s="122"/>
      <c r="GZ148" s="122"/>
      <c r="HA148" s="122"/>
      <c r="HB148" s="122"/>
      <c r="HC148" s="122"/>
      <c r="HD148" s="122"/>
      <c r="HE148" s="122"/>
      <c r="HF148" s="122"/>
      <c r="HG148" s="122"/>
      <c r="HH148" s="122"/>
      <c r="HI148" s="122"/>
      <c r="HJ148" s="122"/>
      <c r="HK148" s="122"/>
      <c r="HL148" s="122"/>
      <c r="HM148" s="122"/>
      <c r="HN148" s="122"/>
      <c r="HO148" s="122"/>
      <c r="HP148" s="122"/>
      <c r="HQ148" s="122"/>
      <c r="HR148" s="122"/>
      <c r="HS148" s="122"/>
      <c r="HT148" s="122"/>
      <c r="HU148" s="122"/>
      <c r="HV148" s="122"/>
      <c r="HW148" s="122"/>
      <c r="HX148" s="122"/>
      <c r="HY148" s="122"/>
      <c r="HZ148" s="122"/>
      <c r="IA148" s="122"/>
      <c r="IB148" s="122"/>
      <c r="IC148" s="122"/>
      <c r="ID148" s="122"/>
      <c r="IE148" s="122"/>
      <c r="IF148" s="122"/>
      <c r="IG148" s="122"/>
      <c r="IH148" s="122"/>
      <c r="II148" s="122"/>
      <c r="IJ148" s="122"/>
      <c r="IK148" s="122"/>
      <c r="IL148" s="122"/>
      <c r="IM148" s="122"/>
      <c r="IN148" s="122"/>
      <c r="IO148" s="122"/>
      <c r="IP148" s="122"/>
      <c r="IQ148" s="122"/>
      <c r="IR148" s="122"/>
      <c r="IS148" s="122"/>
      <c r="IT148" s="122"/>
      <c r="IU148" s="122"/>
      <c r="IV148" s="122"/>
      <c r="IW148" s="122"/>
      <c r="IX148" s="122"/>
      <c r="IY148" s="122"/>
      <c r="IZ148" s="122"/>
      <c r="JA148" s="122"/>
      <c r="JB148" s="122"/>
      <c r="JC148" s="122"/>
      <c r="JD148" s="122"/>
      <c r="JE148" s="122"/>
      <c r="JF148" s="122"/>
      <c r="JG148" s="122"/>
      <c r="JH148" s="122"/>
      <c r="JI148" s="119"/>
      <c r="JJ148" s="2"/>
      <c r="JK148" s="122"/>
      <c r="JL148" s="125"/>
      <c r="JM148" s="125"/>
      <c r="JN148" s="125"/>
      <c r="JO148" s="125"/>
      <c r="JP148" s="125"/>
    </row>
    <row r="149" spans="1:276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  <c r="BP149" s="122"/>
      <c r="BQ149" s="122"/>
      <c r="BR149" s="122"/>
      <c r="BS149" s="122"/>
      <c r="BT149" s="122"/>
      <c r="BU149" s="122"/>
      <c r="BV149" s="122"/>
      <c r="BW149" s="122"/>
      <c r="BX149" s="122"/>
      <c r="BY149" s="122"/>
      <c r="BZ149" s="122"/>
      <c r="CA149" s="122"/>
      <c r="CB149" s="122"/>
      <c r="CC149" s="122"/>
      <c r="CD149" s="122"/>
      <c r="CE149" s="122"/>
      <c r="CF149" s="122"/>
      <c r="CG149" s="122"/>
      <c r="CH149" s="122"/>
      <c r="CI149" s="122"/>
      <c r="CJ149" s="122"/>
      <c r="CK149" s="122"/>
      <c r="CL149" s="122"/>
      <c r="CM149" s="122"/>
      <c r="CN149" s="122"/>
      <c r="CO149" s="122"/>
      <c r="CP149" s="122"/>
      <c r="CQ149" s="122"/>
      <c r="CR149" s="122"/>
      <c r="CS149" s="122"/>
      <c r="CT149" s="122"/>
      <c r="CU149" s="122"/>
      <c r="CV149" s="122"/>
      <c r="CW149" s="122"/>
      <c r="CX149" s="122"/>
      <c r="CY149" s="122"/>
      <c r="CZ149" s="122"/>
      <c r="DA149" s="122"/>
      <c r="DB149" s="122"/>
      <c r="DC149" s="122"/>
      <c r="DD149" s="122"/>
      <c r="DE149" s="122"/>
      <c r="DF149" s="122"/>
      <c r="DG149" s="122"/>
      <c r="DH149" s="122"/>
      <c r="DI149" s="122"/>
      <c r="DJ149" s="122"/>
      <c r="DK149" s="122"/>
      <c r="DL149" s="122"/>
      <c r="DM149" s="122"/>
      <c r="DN149" s="122"/>
      <c r="DO149" s="122"/>
      <c r="DP149" s="122"/>
      <c r="DQ149" s="122"/>
      <c r="DR149" s="122"/>
      <c r="DS149" s="122"/>
      <c r="DT149" s="122"/>
      <c r="DU149" s="122"/>
      <c r="DV149" s="122"/>
      <c r="DW149" s="122"/>
      <c r="DX149" s="122"/>
      <c r="DY149" s="122"/>
      <c r="DZ149" s="122"/>
      <c r="EA149" s="122"/>
      <c r="EB149" s="122"/>
      <c r="EC149" s="122"/>
      <c r="ED149" s="122"/>
      <c r="EE149" s="122"/>
      <c r="EF149" s="122"/>
      <c r="EG149" s="122"/>
      <c r="EH149" s="122"/>
      <c r="EI149" s="122"/>
      <c r="EJ149" s="122"/>
      <c r="EK149" s="122"/>
      <c r="EL149" s="122"/>
      <c r="EM149" s="122"/>
      <c r="EN149" s="122"/>
      <c r="EO149" s="122"/>
      <c r="EP149" s="122"/>
      <c r="EQ149" s="122"/>
      <c r="ER149" s="122"/>
      <c r="ES149" s="122"/>
      <c r="ET149" s="122"/>
      <c r="EU149" s="122"/>
      <c r="EV149" s="122"/>
      <c r="EW149" s="122"/>
      <c r="EX149" s="122"/>
      <c r="EY149" s="122"/>
      <c r="EZ149" s="122"/>
      <c r="FA149" s="122"/>
      <c r="FB149" s="122"/>
      <c r="FC149" s="122"/>
      <c r="FD149" s="122"/>
      <c r="FE149" s="122"/>
      <c r="FF149" s="122"/>
      <c r="FG149" s="122"/>
      <c r="FH149" s="122"/>
      <c r="FI149" s="122"/>
      <c r="FJ149" s="122"/>
      <c r="FK149" s="122"/>
      <c r="FL149" s="122"/>
      <c r="FM149" s="122"/>
      <c r="FN149" s="122"/>
      <c r="FO149" s="122"/>
      <c r="FP149" s="122"/>
      <c r="FQ149" s="122"/>
      <c r="FR149" s="122"/>
      <c r="FS149" s="122"/>
      <c r="FT149" s="122"/>
      <c r="FU149" s="122"/>
      <c r="FV149" s="122"/>
      <c r="FW149" s="122"/>
      <c r="FX149" s="122"/>
      <c r="FY149" s="122"/>
      <c r="FZ149" s="122"/>
      <c r="GA149" s="122"/>
      <c r="GB149" s="122"/>
      <c r="GC149" s="122"/>
      <c r="GD149" s="122"/>
      <c r="GE149" s="122"/>
      <c r="GF149" s="122"/>
      <c r="GG149" s="122"/>
      <c r="GH149" s="122"/>
      <c r="GI149" s="122"/>
      <c r="GJ149" s="122"/>
      <c r="GK149" s="122"/>
      <c r="GL149" s="122"/>
      <c r="GM149" s="122"/>
      <c r="GN149" s="122"/>
      <c r="GO149" s="122"/>
      <c r="GP149" s="122"/>
      <c r="GQ149" s="122"/>
      <c r="GR149" s="122"/>
      <c r="GS149" s="122"/>
      <c r="GT149" s="122"/>
      <c r="GU149" s="122"/>
      <c r="GV149" s="122"/>
      <c r="GW149" s="122"/>
      <c r="GX149" s="122"/>
      <c r="GY149" s="122"/>
      <c r="GZ149" s="122"/>
      <c r="HA149" s="122"/>
      <c r="HB149" s="122"/>
      <c r="HC149" s="122"/>
      <c r="HD149" s="122"/>
      <c r="HE149" s="122"/>
      <c r="HF149" s="122"/>
      <c r="HG149" s="122"/>
      <c r="HH149" s="122"/>
      <c r="HI149" s="122"/>
      <c r="HJ149" s="122"/>
      <c r="HK149" s="122"/>
      <c r="HL149" s="122"/>
      <c r="HM149" s="122"/>
      <c r="HN149" s="122"/>
      <c r="HO149" s="122"/>
      <c r="HP149" s="122"/>
      <c r="HQ149" s="122"/>
      <c r="HR149" s="122"/>
      <c r="HS149" s="122"/>
      <c r="HT149" s="122"/>
      <c r="HU149" s="122"/>
      <c r="HV149" s="122"/>
      <c r="HW149" s="122"/>
      <c r="HX149" s="122"/>
      <c r="HY149" s="122"/>
      <c r="HZ149" s="122"/>
      <c r="IA149" s="122"/>
      <c r="IB149" s="122"/>
      <c r="IC149" s="122"/>
      <c r="ID149" s="122"/>
      <c r="IE149" s="122"/>
      <c r="IF149" s="122"/>
      <c r="IG149" s="122"/>
      <c r="IH149" s="122"/>
      <c r="II149" s="122"/>
      <c r="IJ149" s="122"/>
      <c r="IK149" s="122"/>
      <c r="IL149" s="122"/>
      <c r="IM149" s="122"/>
      <c r="IN149" s="122"/>
      <c r="IO149" s="122"/>
      <c r="IP149" s="122"/>
      <c r="IQ149" s="122"/>
      <c r="IR149" s="122"/>
      <c r="IS149" s="122"/>
      <c r="IT149" s="122"/>
      <c r="IU149" s="122"/>
      <c r="IV149" s="122"/>
      <c r="IW149" s="122"/>
      <c r="IX149" s="122"/>
      <c r="IY149" s="122"/>
      <c r="IZ149" s="122"/>
      <c r="JA149" s="122"/>
      <c r="JB149" s="122"/>
      <c r="JC149" s="122"/>
      <c r="JD149" s="122"/>
      <c r="JE149" s="122"/>
      <c r="JF149" s="122"/>
      <c r="JG149" s="122"/>
      <c r="JH149" s="122"/>
      <c r="JI149" s="119"/>
      <c r="JJ149" s="2"/>
      <c r="JK149" s="122"/>
      <c r="JL149" s="125"/>
      <c r="JM149" s="125"/>
      <c r="JN149" s="125"/>
      <c r="JO149" s="125"/>
      <c r="JP149" s="125"/>
    </row>
    <row r="150" spans="1:276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  <c r="BP150" s="122"/>
      <c r="BQ150" s="122"/>
      <c r="BR150" s="122"/>
      <c r="BS150" s="122"/>
      <c r="BT150" s="122"/>
      <c r="BU150" s="122"/>
      <c r="BV150" s="122"/>
      <c r="BW150" s="122"/>
      <c r="BX150" s="122"/>
      <c r="BY150" s="122"/>
      <c r="BZ150" s="122"/>
      <c r="CA150" s="122"/>
      <c r="CB150" s="122"/>
      <c r="CC150" s="122"/>
      <c r="CD150" s="122"/>
      <c r="CE150" s="122"/>
      <c r="CF150" s="122"/>
      <c r="CG150" s="122"/>
      <c r="CH150" s="122"/>
      <c r="CI150" s="122"/>
      <c r="CJ150" s="122"/>
      <c r="CK150" s="122"/>
      <c r="CL150" s="122"/>
      <c r="CM150" s="122"/>
      <c r="CN150" s="122"/>
      <c r="CO150" s="122"/>
      <c r="CP150" s="122"/>
      <c r="CQ150" s="122"/>
      <c r="CR150" s="122"/>
      <c r="CS150" s="122"/>
      <c r="CT150" s="122"/>
      <c r="CU150" s="122"/>
      <c r="CV150" s="122"/>
      <c r="CW150" s="122"/>
      <c r="CX150" s="122"/>
      <c r="CY150" s="122"/>
      <c r="CZ150" s="122"/>
      <c r="DA150" s="122"/>
      <c r="DB150" s="122"/>
      <c r="DC150" s="122"/>
      <c r="DD150" s="122"/>
      <c r="DE150" s="122"/>
      <c r="DF150" s="122"/>
      <c r="DG150" s="122"/>
      <c r="DH150" s="122"/>
      <c r="DI150" s="122"/>
      <c r="DJ150" s="122"/>
      <c r="DK150" s="122"/>
      <c r="DL150" s="122"/>
      <c r="DM150" s="122"/>
      <c r="DN150" s="122"/>
      <c r="DO150" s="122"/>
      <c r="DP150" s="122"/>
      <c r="DQ150" s="122"/>
      <c r="DR150" s="122"/>
      <c r="DS150" s="122"/>
      <c r="DT150" s="122"/>
      <c r="DU150" s="122"/>
      <c r="DV150" s="122"/>
      <c r="DW150" s="122"/>
      <c r="DX150" s="122"/>
      <c r="DY150" s="122"/>
      <c r="DZ150" s="122"/>
      <c r="EA150" s="122"/>
      <c r="EB150" s="122"/>
      <c r="EC150" s="122"/>
      <c r="ED150" s="122"/>
      <c r="EE150" s="122"/>
      <c r="EF150" s="122"/>
      <c r="EG150" s="122"/>
      <c r="EH150" s="122"/>
      <c r="EI150" s="122"/>
      <c r="EJ150" s="122"/>
      <c r="EK150" s="122"/>
      <c r="EL150" s="122"/>
      <c r="EM150" s="122"/>
      <c r="EN150" s="122"/>
      <c r="EO150" s="122"/>
      <c r="EP150" s="122"/>
      <c r="EQ150" s="122"/>
      <c r="ER150" s="122"/>
      <c r="ES150" s="122"/>
      <c r="ET150" s="122"/>
      <c r="EU150" s="122"/>
      <c r="EV150" s="122"/>
      <c r="EW150" s="122"/>
      <c r="EX150" s="122"/>
      <c r="EY150" s="122"/>
      <c r="EZ150" s="122"/>
      <c r="FA150" s="122"/>
      <c r="FB150" s="122"/>
      <c r="FC150" s="122"/>
      <c r="FD150" s="122"/>
      <c r="FE150" s="122"/>
      <c r="FF150" s="122"/>
      <c r="FG150" s="122"/>
      <c r="FH150" s="122"/>
      <c r="FI150" s="122"/>
      <c r="FJ150" s="122"/>
      <c r="FK150" s="122"/>
      <c r="FL150" s="122"/>
      <c r="FM150" s="122"/>
      <c r="FN150" s="122"/>
      <c r="FO150" s="122"/>
      <c r="FP150" s="122"/>
      <c r="FQ150" s="122"/>
      <c r="FR150" s="122"/>
      <c r="FS150" s="122"/>
      <c r="FT150" s="122"/>
      <c r="FU150" s="122"/>
      <c r="FV150" s="122"/>
      <c r="FW150" s="122"/>
      <c r="FX150" s="122"/>
      <c r="FY150" s="122"/>
      <c r="FZ150" s="122"/>
      <c r="GA150" s="122"/>
      <c r="GB150" s="122"/>
      <c r="GC150" s="122"/>
      <c r="GD150" s="122"/>
      <c r="GE150" s="122"/>
      <c r="GF150" s="122"/>
      <c r="GG150" s="122"/>
      <c r="GH150" s="122"/>
      <c r="GI150" s="122"/>
      <c r="GJ150" s="122"/>
      <c r="GK150" s="122"/>
      <c r="GL150" s="122"/>
      <c r="GM150" s="122"/>
      <c r="GN150" s="122"/>
      <c r="GO150" s="122"/>
      <c r="GP150" s="122"/>
      <c r="GQ150" s="122"/>
      <c r="GR150" s="122"/>
      <c r="GS150" s="122"/>
      <c r="GT150" s="122"/>
      <c r="GU150" s="122"/>
      <c r="GV150" s="122"/>
      <c r="GW150" s="122"/>
      <c r="GX150" s="122"/>
      <c r="GY150" s="122"/>
      <c r="GZ150" s="122"/>
      <c r="HA150" s="122"/>
      <c r="HB150" s="122"/>
      <c r="HC150" s="122"/>
      <c r="HD150" s="122"/>
      <c r="HE150" s="122"/>
      <c r="HF150" s="122"/>
      <c r="HG150" s="122"/>
      <c r="HH150" s="122"/>
      <c r="HI150" s="122"/>
      <c r="HJ150" s="122"/>
      <c r="HK150" s="122"/>
      <c r="HL150" s="122"/>
      <c r="HM150" s="122"/>
      <c r="HN150" s="122"/>
      <c r="HO150" s="122"/>
      <c r="HP150" s="122"/>
      <c r="HQ150" s="122"/>
      <c r="HR150" s="122"/>
      <c r="HS150" s="122"/>
      <c r="HT150" s="122"/>
      <c r="HU150" s="122"/>
      <c r="HV150" s="122"/>
      <c r="HW150" s="122"/>
      <c r="HX150" s="122"/>
      <c r="HY150" s="122"/>
      <c r="HZ150" s="122"/>
      <c r="IA150" s="122"/>
      <c r="IB150" s="122"/>
      <c r="IC150" s="122"/>
      <c r="ID150" s="122"/>
      <c r="IE150" s="122"/>
      <c r="IF150" s="122"/>
      <c r="IG150" s="122"/>
      <c r="IH150" s="122"/>
      <c r="II150" s="122"/>
      <c r="IJ150" s="122"/>
      <c r="IK150" s="122"/>
      <c r="IL150" s="122"/>
      <c r="IM150" s="122"/>
      <c r="IN150" s="122"/>
      <c r="IO150" s="122"/>
      <c r="IP150" s="122"/>
      <c r="IQ150" s="122"/>
      <c r="IR150" s="122"/>
      <c r="IS150" s="122"/>
      <c r="IT150" s="122"/>
      <c r="IU150" s="122"/>
      <c r="IV150" s="122"/>
      <c r="IW150" s="122"/>
      <c r="IX150" s="122"/>
      <c r="IY150" s="122"/>
      <c r="IZ150" s="122"/>
      <c r="JA150" s="122"/>
      <c r="JB150" s="122"/>
      <c r="JC150" s="122"/>
      <c r="JD150" s="122"/>
      <c r="JE150" s="122"/>
      <c r="JF150" s="122"/>
      <c r="JG150" s="122"/>
      <c r="JH150" s="122"/>
      <c r="JI150" s="119"/>
      <c r="JJ150" s="2"/>
      <c r="JK150" s="122"/>
      <c r="JL150" s="125"/>
      <c r="JM150" s="125"/>
      <c r="JN150" s="125"/>
      <c r="JO150" s="125"/>
      <c r="JP150" s="125"/>
    </row>
    <row r="151" spans="1:276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  <c r="BP151" s="122"/>
      <c r="BQ151" s="122"/>
      <c r="BR151" s="122"/>
      <c r="BS151" s="122"/>
      <c r="BT151" s="122"/>
      <c r="BU151" s="122"/>
      <c r="BV151" s="122"/>
      <c r="BW151" s="122"/>
      <c r="BX151" s="122"/>
      <c r="BY151" s="122"/>
      <c r="BZ151" s="122"/>
      <c r="CA151" s="122"/>
      <c r="CB151" s="122"/>
      <c r="CC151" s="122"/>
      <c r="CD151" s="122"/>
      <c r="CE151" s="122"/>
      <c r="CF151" s="122"/>
      <c r="CG151" s="122"/>
      <c r="CH151" s="122"/>
      <c r="CI151" s="122"/>
      <c r="CJ151" s="122"/>
      <c r="CK151" s="122"/>
      <c r="CL151" s="122"/>
      <c r="CM151" s="122"/>
      <c r="CN151" s="122"/>
      <c r="CO151" s="122"/>
      <c r="CP151" s="122"/>
      <c r="CQ151" s="122"/>
      <c r="CR151" s="122"/>
      <c r="CS151" s="122"/>
      <c r="CT151" s="122"/>
      <c r="CU151" s="122"/>
      <c r="CV151" s="122"/>
      <c r="CW151" s="122"/>
      <c r="CX151" s="122"/>
      <c r="CY151" s="122"/>
      <c r="CZ151" s="122"/>
      <c r="DA151" s="122"/>
      <c r="DB151" s="122"/>
      <c r="DC151" s="122"/>
      <c r="DD151" s="122"/>
      <c r="DE151" s="122"/>
      <c r="DF151" s="122"/>
      <c r="DG151" s="122"/>
      <c r="DH151" s="122"/>
      <c r="DI151" s="122"/>
      <c r="DJ151" s="122"/>
      <c r="DK151" s="122"/>
      <c r="DL151" s="122"/>
      <c r="DM151" s="122"/>
      <c r="DN151" s="122"/>
      <c r="DO151" s="122"/>
      <c r="DP151" s="122"/>
      <c r="DQ151" s="122"/>
      <c r="DR151" s="122"/>
      <c r="DS151" s="122"/>
      <c r="DT151" s="122"/>
      <c r="DU151" s="122"/>
      <c r="DV151" s="122"/>
      <c r="DW151" s="122"/>
      <c r="DX151" s="122"/>
      <c r="DY151" s="122"/>
      <c r="DZ151" s="122"/>
      <c r="EA151" s="122"/>
      <c r="EB151" s="122"/>
      <c r="EC151" s="122"/>
      <c r="ED151" s="122"/>
      <c r="EE151" s="122"/>
      <c r="EF151" s="122"/>
      <c r="EG151" s="122"/>
      <c r="EH151" s="122"/>
      <c r="EI151" s="122"/>
      <c r="EJ151" s="122"/>
      <c r="EK151" s="122"/>
      <c r="EL151" s="122"/>
      <c r="EM151" s="122"/>
      <c r="EN151" s="122"/>
      <c r="EO151" s="122"/>
      <c r="EP151" s="122"/>
      <c r="EQ151" s="122"/>
      <c r="ER151" s="122"/>
      <c r="ES151" s="122"/>
      <c r="ET151" s="122"/>
      <c r="EU151" s="122"/>
      <c r="EV151" s="122"/>
      <c r="EW151" s="122"/>
      <c r="EX151" s="122"/>
      <c r="EY151" s="122"/>
      <c r="EZ151" s="122"/>
      <c r="FA151" s="122"/>
      <c r="FB151" s="122"/>
      <c r="FC151" s="122"/>
      <c r="FD151" s="122"/>
      <c r="FE151" s="122"/>
      <c r="FF151" s="122"/>
      <c r="FG151" s="122"/>
      <c r="FH151" s="122"/>
      <c r="FI151" s="122"/>
      <c r="FJ151" s="122"/>
      <c r="FK151" s="122"/>
      <c r="FL151" s="122"/>
      <c r="FM151" s="122"/>
      <c r="FN151" s="122"/>
      <c r="FO151" s="122"/>
      <c r="FP151" s="122"/>
      <c r="FQ151" s="122"/>
      <c r="FR151" s="122"/>
      <c r="FS151" s="122"/>
      <c r="FT151" s="122"/>
      <c r="FU151" s="122"/>
      <c r="FV151" s="122"/>
      <c r="FW151" s="122"/>
      <c r="FX151" s="122"/>
      <c r="FY151" s="122"/>
      <c r="FZ151" s="122"/>
      <c r="GA151" s="122"/>
      <c r="GB151" s="122"/>
      <c r="GC151" s="122"/>
      <c r="GD151" s="122"/>
      <c r="GE151" s="122"/>
      <c r="GF151" s="122"/>
      <c r="GG151" s="122"/>
      <c r="GH151" s="122"/>
      <c r="GI151" s="122"/>
      <c r="GJ151" s="122"/>
      <c r="GK151" s="122"/>
      <c r="GL151" s="122"/>
      <c r="GM151" s="122"/>
      <c r="GN151" s="122"/>
      <c r="GO151" s="122"/>
      <c r="GP151" s="122"/>
      <c r="GQ151" s="122"/>
      <c r="GR151" s="122"/>
      <c r="GS151" s="122"/>
      <c r="GT151" s="122"/>
      <c r="GU151" s="122"/>
      <c r="GV151" s="122"/>
      <c r="GW151" s="122"/>
      <c r="GX151" s="122"/>
      <c r="GY151" s="122"/>
      <c r="GZ151" s="122"/>
      <c r="HA151" s="122"/>
      <c r="HB151" s="122"/>
      <c r="HC151" s="122"/>
      <c r="HD151" s="122"/>
      <c r="HE151" s="122"/>
      <c r="HF151" s="122"/>
      <c r="HG151" s="122"/>
      <c r="HH151" s="122"/>
      <c r="HI151" s="122"/>
      <c r="HJ151" s="122"/>
      <c r="HK151" s="122"/>
      <c r="HL151" s="122"/>
      <c r="HM151" s="122"/>
      <c r="HN151" s="122"/>
      <c r="HO151" s="122"/>
      <c r="HP151" s="122"/>
      <c r="HQ151" s="122"/>
      <c r="HR151" s="122"/>
      <c r="HS151" s="122"/>
      <c r="HT151" s="122"/>
      <c r="HU151" s="122"/>
      <c r="HV151" s="122"/>
      <c r="HW151" s="122"/>
      <c r="HX151" s="122"/>
      <c r="HY151" s="122"/>
      <c r="HZ151" s="122"/>
      <c r="IA151" s="122"/>
      <c r="IB151" s="122"/>
      <c r="IC151" s="122"/>
      <c r="ID151" s="122"/>
      <c r="IE151" s="122"/>
      <c r="IF151" s="122"/>
      <c r="IG151" s="122"/>
      <c r="IH151" s="122"/>
      <c r="II151" s="122"/>
      <c r="IJ151" s="122"/>
      <c r="IK151" s="122"/>
      <c r="IL151" s="122"/>
      <c r="IM151" s="122"/>
      <c r="IN151" s="122"/>
      <c r="IO151" s="122"/>
      <c r="IP151" s="122"/>
      <c r="IQ151" s="122"/>
      <c r="IR151" s="122"/>
      <c r="IS151" s="122"/>
      <c r="IT151" s="122"/>
      <c r="IU151" s="122"/>
      <c r="IV151" s="122"/>
      <c r="IW151" s="122"/>
      <c r="IX151" s="122"/>
      <c r="IY151" s="122"/>
      <c r="IZ151" s="122"/>
      <c r="JA151" s="122"/>
      <c r="JB151" s="122"/>
      <c r="JC151" s="122"/>
      <c r="JD151" s="122"/>
      <c r="JE151" s="122"/>
      <c r="JF151" s="122"/>
      <c r="JG151" s="122"/>
      <c r="JH151" s="122"/>
      <c r="JI151" s="119"/>
      <c r="JJ151" s="2"/>
      <c r="JK151" s="122"/>
      <c r="JL151" s="125"/>
      <c r="JM151" s="125"/>
      <c r="JN151" s="125"/>
      <c r="JO151" s="125"/>
      <c r="JP151" s="125"/>
    </row>
    <row r="152" spans="1:276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  <c r="BP152" s="122"/>
      <c r="BQ152" s="122"/>
      <c r="BR152" s="122"/>
      <c r="BS152" s="122"/>
      <c r="BT152" s="122"/>
      <c r="BU152" s="122"/>
      <c r="BV152" s="122"/>
      <c r="BW152" s="122"/>
      <c r="BX152" s="122"/>
      <c r="BY152" s="122"/>
      <c r="BZ152" s="122"/>
      <c r="CA152" s="122"/>
      <c r="CB152" s="122"/>
      <c r="CC152" s="122"/>
      <c r="CD152" s="122"/>
      <c r="CE152" s="122"/>
      <c r="CF152" s="122"/>
      <c r="CG152" s="122"/>
      <c r="CH152" s="122"/>
      <c r="CI152" s="122"/>
      <c r="CJ152" s="122"/>
      <c r="CK152" s="122"/>
      <c r="CL152" s="122"/>
      <c r="CM152" s="122"/>
      <c r="CN152" s="122"/>
      <c r="CO152" s="122"/>
      <c r="CP152" s="122"/>
      <c r="CQ152" s="122"/>
      <c r="CR152" s="122"/>
      <c r="CS152" s="122"/>
      <c r="CT152" s="122"/>
      <c r="CU152" s="122"/>
      <c r="CV152" s="122"/>
      <c r="CW152" s="122"/>
      <c r="CX152" s="122"/>
      <c r="CY152" s="122"/>
      <c r="CZ152" s="122"/>
      <c r="DA152" s="122"/>
      <c r="DB152" s="122"/>
      <c r="DC152" s="122"/>
      <c r="DD152" s="122"/>
      <c r="DE152" s="122"/>
      <c r="DF152" s="122"/>
      <c r="DG152" s="122"/>
      <c r="DH152" s="122"/>
      <c r="DI152" s="122"/>
      <c r="DJ152" s="122"/>
      <c r="DK152" s="122"/>
      <c r="DL152" s="122"/>
      <c r="DM152" s="122"/>
      <c r="DN152" s="122"/>
      <c r="DO152" s="122"/>
      <c r="DP152" s="122"/>
      <c r="DQ152" s="122"/>
      <c r="DR152" s="122"/>
      <c r="DS152" s="122"/>
      <c r="DT152" s="122"/>
      <c r="DU152" s="122"/>
      <c r="DV152" s="122"/>
      <c r="DW152" s="122"/>
      <c r="DX152" s="122"/>
      <c r="DY152" s="122"/>
      <c r="DZ152" s="122"/>
      <c r="EA152" s="122"/>
      <c r="EB152" s="122"/>
      <c r="EC152" s="122"/>
      <c r="ED152" s="122"/>
      <c r="EE152" s="122"/>
      <c r="EF152" s="122"/>
      <c r="EG152" s="122"/>
      <c r="EH152" s="122"/>
      <c r="EI152" s="122"/>
      <c r="EJ152" s="122"/>
      <c r="EK152" s="122"/>
      <c r="EL152" s="122"/>
      <c r="EM152" s="122"/>
      <c r="EN152" s="122"/>
      <c r="EO152" s="122"/>
      <c r="EP152" s="122"/>
      <c r="EQ152" s="122"/>
      <c r="ER152" s="122"/>
      <c r="ES152" s="122"/>
      <c r="ET152" s="122"/>
      <c r="EU152" s="122"/>
      <c r="EV152" s="122"/>
      <c r="EW152" s="122"/>
      <c r="EX152" s="122"/>
      <c r="EY152" s="122"/>
      <c r="EZ152" s="122"/>
      <c r="FA152" s="122"/>
      <c r="FB152" s="122"/>
      <c r="FC152" s="122"/>
      <c r="FD152" s="122"/>
      <c r="FE152" s="122"/>
      <c r="FF152" s="122"/>
      <c r="FG152" s="122"/>
      <c r="FH152" s="122"/>
      <c r="FI152" s="122"/>
      <c r="FJ152" s="122"/>
      <c r="FK152" s="122"/>
      <c r="FL152" s="122"/>
      <c r="FM152" s="122"/>
      <c r="FN152" s="122"/>
      <c r="FO152" s="122"/>
      <c r="FP152" s="122"/>
      <c r="FQ152" s="122"/>
      <c r="FR152" s="122"/>
      <c r="FS152" s="122"/>
      <c r="FT152" s="122"/>
      <c r="FU152" s="122"/>
      <c r="FV152" s="122"/>
      <c r="FW152" s="122"/>
      <c r="FX152" s="122"/>
      <c r="FY152" s="122"/>
      <c r="FZ152" s="122"/>
      <c r="GA152" s="122"/>
      <c r="GB152" s="122"/>
      <c r="GC152" s="122"/>
      <c r="GD152" s="122"/>
      <c r="GE152" s="122"/>
      <c r="GF152" s="122"/>
      <c r="GG152" s="122"/>
      <c r="GH152" s="122"/>
      <c r="GI152" s="122"/>
      <c r="GJ152" s="122"/>
      <c r="GK152" s="122"/>
      <c r="GL152" s="122"/>
      <c r="GM152" s="122"/>
      <c r="GN152" s="122"/>
      <c r="GO152" s="122"/>
      <c r="GP152" s="122"/>
      <c r="GQ152" s="122"/>
      <c r="GR152" s="122"/>
      <c r="GS152" s="122"/>
      <c r="GT152" s="122"/>
      <c r="GU152" s="122"/>
      <c r="GV152" s="122"/>
      <c r="GW152" s="122"/>
      <c r="GX152" s="122"/>
      <c r="GY152" s="122"/>
      <c r="GZ152" s="122"/>
      <c r="HA152" s="122"/>
      <c r="HB152" s="122"/>
      <c r="HC152" s="122"/>
      <c r="HD152" s="122"/>
      <c r="HE152" s="122"/>
      <c r="HF152" s="122"/>
      <c r="HG152" s="122"/>
      <c r="HH152" s="122"/>
      <c r="HI152" s="122"/>
      <c r="HJ152" s="122"/>
      <c r="HK152" s="122"/>
      <c r="HL152" s="122"/>
      <c r="HM152" s="122"/>
      <c r="HN152" s="122"/>
      <c r="HO152" s="122"/>
      <c r="HP152" s="122"/>
      <c r="HQ152" s="122"/>
      <c r="HR152" s="122"/>
      <c r="HS152" s="122"/>
      <c r="HT152" s="122"/>
      <c r="HU152" s="122"/>
      <c r="HV152" s="122"/>
      <c r="HW152" s="122"/>
      <c r="HX152" s="122"/>
      <c r="HY152" s="122"/>
      <c r="HZ152" s="122"/>
      <c r="IA152" s="122"/>
      <c r="IB152" s="122"/>
      <c r="IC152" s="122"/>
      <c r="ID152" s="122"/>
      <c r="IE152" s="122"/>
      <c r="IF152" s="122"/>
      <c r="IG152" s="122"/>
      <c r="IH152" s="122"/>
      <c r="II152" s="122"/>
      <c r="IJ152" s="122"/>
      <c r="IK152" s="122"/>
      <c r="IL152" s="122"/>
      <c r="IM152" s="122"/>
      <c r="IN152" s="122"/>
      <c r="IO152" s="122"/>
      <c r="IP152" s="122"/>
      <c r="IQ152" s="122"/>
      <c r="IR152" s="122"/>
      <c r="IS152" s="122"/>
      <c r="IT152" s="122"/>
      <c r="IU152" s="122"/>
      <c r="IV152" s="122"/>
      <c r="IW152" s="122"/>
      <c r="IX152" s="122"/>
      <c r="IY152" s="122"/>
      <c r="IZ152" s="122"/>
      <c r="JA152" s="122"/>
      <c r="JB152" s="122"/>
      <c r="JC152" s="122"/>
      <c r="JD152" s="122"/>
      <c r="JE152" s="122"/>
      <c r="JF152" s="122"/>
      <c r="JG152" s="122"/>
      <c r="JH152" s="122"/>
      <c r="JI152" s="119"/>
      <c r="JJ152" s="2"/>
      <c r="JK152" s="122"/>
      <c r="JL152" s="125"/>
      <c r="JM152" s="125"/>
      <c r="JN152" s="125"/>
      <c r="JO152" s="125"/>
      <c r="JP152" s="125"/>
    </row>
    <row r="153" spans="1:276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  <c r="BP153" s="122"/>
      <c r="BQ153" s="122"/>
      <c r="BR153" s="122"/>
      <c r="BS153" s="122"/>
      <c r="BT153" s="122"/>
      <c r="BU153" s="122"/>
      <c r="BV153" s="122"/>
      <c r="BW153" s="122"/>
      <c r="BX153" s="122"/>
      <c r="BY153" s="122"/>
      <c r="BZ153" s="122"/>
      <c r="CA153" s="122"/>
      <c r="CB153" s="122"/>
      <c r="CC153" s="122"/>
      <c r="CD153" s="122"/>
      <c r="CE153" s="122"/>
      <c r="CF153" s="122"/>
      <c r="CG153" s="122"/>
      <c r="CH153" s="122"/>
      <c r="CI153" s="122"/>
      <c r="CJ153" s="122"/>
      <c r="CK153" s="122"/>
      <c r="CL153" s="122"/>
      <c r="CM153" s="122"/>
      <c r="CN153" s="122"/>
      <c r="CO153" s="122"/>
      <c r="CP153" s="122"/>
      <c r="CQ153" s="122"/>
      <c r="CR153" s="122"/>
      <c r="CS153" s="122"/>
      <c r="CT153" s="122"/>
      <c r="CU153" s="122"/>
      <c r="CV153" s="122"/>
      <c r="CW153" s="122"/>
      <c r="CX153" s="122"/>
      <c r="CY153" s="122"/>
      <c r="CZ153" s="122"/>
      <c r="DA153" s="122"/>
      <c r="DB153" s="122"/>
      <c r="DC153" s="122"/>
      <c r="DD153" s="122"/>
      <c r="DE153" s="122"/>
      <c r="DF153" s="122"/>
      <c r="DG153" s="122"/>
      <c r="DH153" s="122"/>
      <c r="DI153" s="122"/>
      <c r="DJ153" s="122"/>
      <c r="DK153" s="122"/>
      <c r="DL153" s="122"/>
      <c r="DM153" s="122"/>
      <c r="DN153" s="122"/>
      <c r="DO153" s="122"/>
      <c r="DP153" s="122"/>
      <c r="DQ153" s="122"/>
      <c r="DR153" s="122"/>
      <c r="DS153" s="122"/>
      <c r="DT153" s="122"/>
      <c r="DU153" s="122"/>
      <c r="DV153" s="122"/>
      <c r="DW153" s="122"/>
      <c r="DX153" s="122"/>
      <c r="DY153" s="122"/>
      <c r="DZ153" s="122"/>
      <c r="EA153" s="122"/>
      <c r="EB153" s="122"/>
      <c r="EC153" s="122"/>
      <c r="ED153" s="122"/>
      <c r="EE153" s="122"/>
      <c r="EF153" s="122"/>
      <c r="EG153" s="122"/>
      <c r="EH153" s="122"/>
      <c r="EI153" s="122"/>
      <c r="EJ153" s="122"/>
      <c r="EK153" s="122"/>
      <c r="EL153" s="122"/>
      <c r="EM153" s="122"/>
      <c r="EN153" s="122"/>
      <c r="EO153" s="122"/>
      <c r="EP153" s="122"/>
      <c r="EQ153" s="122"/>
      <c r="ER153" s="122"/>
      <c r="ES153" s="122"/>
      <c r="ET153" s="122"/>
      <c r="EU153" s="122"/>
      <c r="EV153" s="122"/>
      <c r="EW153" s="122"/>
      <c r="EX153" s="122"/>
      <c r="EY153" s="122"/>
      <c r="EZ153" s="122"/>
      <c r="FA153" s="122"/>
      <c r="FB153" s="122"/>
      <c r="FC153" s="122"/>
      <c r="FD153" s="122"/>
      <c r="FE153" s="122"/>
      <c r="FF153" s="122"/>
      <c r="FG153" s="122"/>
      <c r="FH153" s="122"/>
      <c r="FI153" s="122"/>
      <c r="FJ153" s="122"/>
      <c r="FK153" s="122"/>
      <c r="FL153" s="122"/>
      <c r="FM153" s="122"/>
      <c r="FN153" s="122"/>
      <c r="FO153" s="122"/>
      <c r="FP153" s="122"/>
      <c r="FQ153" s="122"/>
      <c r="FR153" s="122"/>
      <c r="FS153" s="122"/>
      <c r="FT153" s="122"/>
      <c r="FU153" s="122"/>
      <c r="FV153" s="122"/>
      <c r="FW153" s="122"/>
      <c r="FX153" s="122"/>
      <c r="FY153" s="122"/>
      <c r="FZ153" s="122"/>
      <c r="GA153" s="122"/>
      <c r="GB153" s="122"/>
      <c r="GC153" s="122"/>
      <c r="GD153" s="122"/>
      <c r="GE153" s="122"/>
      <c r="GF153" s="122"/>
      <c r="GG153" s="122"/>
      <c r="GH153" s="122"/>
      <c r="GI153" s="122"/>
      <c r="GJ153" s="122"/>
      <c r="GK153" s="122"/>
      <c r="GL153" s="122"/>
      <c r="GM153" s="122"/>
      <c r="GN153" s="122"/>
      <c r="GO153" s="122"/>
      <c r="GP153" s="122"/>
      <c r="GQ153" s="122"/>
      <c r="GR153" s="122"/>
      <c r="GS153" s="122"/>
      <c r="GT153" s="122"/>
      <c r="GU153" s="122"/>
      <c r="GV153" s="122"/>
      <c r="GW153" s="122"/>
      <c r="GX153" s="122"/>
      <c r="GY153" s="122"/>
      <c r="GZ153" s="122"/>
      <c r="HA153" s="122"/>
      <c r="HB153" s="122"/>
      <c r="HC153" s="122"/>
      <c r="HD153" s="122"/>
      <c r="HE153" s="122"/>
      <c r="HF153" s="122"/>
      <c r="HG153" s="122"/>
      <c r="HH153" s="122"/>
      <c r="HI153" s="122"/>
      <c r="HJ153" s="122"/>
      <c r="HK153" s="122"/>
      <c r="HL153" s="122"/>
      <c r="HM153" s="122"/>
      <c r="HN153" s="122"/>
      <c r="HO153" s="122"/>
      <c r="HP153" s="122"/>
      <c r="HQ153" s="122"/>
      <c r="HR153" s="122"/>
      <c r="HS153" s="122"/>
      <c r="HT153" s="122"/>
      <c r="HU153" s="122"/>
      <c r="HV153" s="122"/>
      <c r="HW153" s="122"/>
      <c r="HX153" s="122"/>
      <c r="HY153" s="122"/>
      <c r="HZ153" s="122"/>
      <c r="IA153" s="122"/>
      <c r="IB153" s="122"/>
      <c r="IC153" s="122"/>
      <c r="ID153" s="122"/>
      <c r="IE153" s="122"/>
      <c r="IF153" s="122"/>
      <c r="IG153" s="122"/>
      <c r="IH153" s="122"/>
      <c r="II153" s="122"/>
      <c r="IJ153" s="122"/>
      <c r="IK153" s="122"/>
      <c r="IL153" s="122"/>
      <c r="IM153" s="122"/>
      <c r="IN153" s="122"/>
      <c r="IO153" s="122"/>
      <c r="IP153" s="122"/>
      <c r="IQ153" s="122"/>
      <c r="IR153" s="122"/>
      <c r="IS153" s="122"/>
      <c r="IT153" s="122"/>
      <c r="IU153" s="122"/>
      <c r="IV153" s="122"/>
      <c r="IW153" s="122"/>
      <c r="IX153" s="122"/>
      <c r="IY153" s="122"/>
      <c r="IZ153" s="122"/>
      <c r="JA153" s="122"/>
      <c r="JB153" s="122"/>
      <c r="JC153" s="122"/>
      <c r="JD153" s="122"/>
      <c r="JE153" s="122"/>
      <c r="JF153" s="122"/>
      <c r="JG153" s="122"/>
      <c r="JH153" s="122"/>
      <c r="JI153" s="119"/>
      <c r="JJ153" s="2"/>
      <c r="JK153" s="122"/>
      <c r="JL153" s="125"/>
      <c r="JM153" s="125"/>
      <c r="JN153" s="125"/>
      <c r="JO153" s="125"/>
      <c r="JP153" s="125"/>
    </row>
    <row r="154" spans="1:276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  <c r="BP154" s="122"/>
      <c r="BQ154" s="122"/>
      <c r="BR154" s="122"/>
      <c r="BS154" s="122"/>
      <c r="BT154" s="122"/>
      <c r="BU154" s="122"/>
      <c r="BV154" s="122"/>
      <c r="BW154" s="122"/>
      <c r="BX154" s="122"/>
      <c r="BY154" s="122"/>
      <c r="BZ154" s="122"/>
      <c r="CA154" s="122"/>
      <c r="CB154" s="122"/>
      <c r="CC154" s="122"/>
      <c r="CD154" s="122"/>
      <c r="CE154" s="122"/>
      <c r="CF154" s="122"/>
      <c r="CG154" s="122"/>
      <c r="CH154" s="122"/>
      <c r="CI154" s="122"/>
      <c r="CJ154" s="122"/>
      <c r="CK154" s="122"/>
      <c r="CL154" s="122"/>
      <c r="CM154" s="122"/>
      <c r="CN154" s="122"/>
      <c r="CO154" s="122"/>
      <c r="CP154" s="122"/>
      <c r="CQ154" s="122"/>
      <c r="CR154" s="122"/>
      <c r="CS154" s="122"/>
      <c r="CT154" s="122"/>
      <c r="CU154" s="122"/>
      <c r="CV154" s="122"/>
      <c r="CW154" s="122"/>
      <c r="CX154" s="122"/>
      <c r="CY154" s="122"/>
      <c r="CZ154" s="122"/>
      <c r="DA154" s="122"/>
      <c r="DB154" s="122"/>
      <c r="DC154" s="122"/>
      <c r="DD154" s="122"/>
      <c r="DE154" s="122"/>
      <c r="DF154" s="122"/>
      <c r="DG154" s="122"/>
      <c r="DH154" s="122"/>
      <c r="DI154" s="122"/>
      <c r="DJ154" s="122"/>
      <c r="DK154" s="122"/>
      <c r="DL154" s="122"/>
      <c r="DM154" s="122"/>
      <c r="DN154" s="122"/>
      <c r="DO154" s="122"/>
      <c r="DP154" s="122"/>
      <c r="DQ154" s="122"/>
      <c r="DR154" s="122"/>
      <c r="DS154" s="122"/>
      <c r="DT154" s="122"/>
      <c r="DU154" s="122"/>
      <c r="DV154" s="122"/>
      <c r="DW154" s="122"/>
      <c r="DX154" s="122"/>
      <c r="DY154" s="122"/>
      <c r="DZ154" s="122"/>
      <c r="EA154" s="122"/>
      <c r="EB154" s="122"/>
      <c r="EC154" s="122"/>
      <c r="ED154" s="122"/>
      <c r="EE154" s="122"/>
      <c r="EF154" s="122"/>
      <c r="EG154" s="122"/>
      <c r="EH154" s="122"/>
      <c r="EI154" s="122"/>
      <c r="EJ154" s="122"/>
      <c r="EK154" s="122"/>
      <c r="EL154" s="122"/>
      <c r="EM154" s="122"/>
      <c r="EN154" s="122"/>
      <c r="EO154" s="122"/>
      <c r="EP154" s="122"/>
      <c r="EQ154" s="122"/>
      <c r="ER154" s="122"/>
      <c r="ES154" s="122"/>
      <c r="ET154" s="122"/>
      <c r="EU154" s="122"/>
      <c r="EV154" s="122"/>
      <c r="EW154" s="122"/>
      <c r="EX154" s="122"/>
      <c r="EY154" s="122"/>
      <c r="EZ154" s="122"/>
      <c r="FA154" s="122"/>
      <c r="FB154" s="122"/>
      <c r="FC154" s="122"/>
      <c r="FD154" s="122"/>
      <c r="FE154" s="122"/>
      <c r="FF154" s="122"/>
      <c r="FG154" s="122"/>
      <c r="FH154" s="122"/>
      <c r="FI154" s="122"/>
      <c r="FJ154" s="122"/>
      <c r="FK154" s="122"/>
      <c r="FL154" s="122"/>
      <c r="FM154" s="122"/>
      <c r="FN154" s="122"/>
      <c r="FO154" s="122"/>
      <c r="FP154" s="122"/>
      <c r="FQ154" s="122"/>
      <c r="FR154" s="122"/>
      <c r="FS154" s="122"/>
      <c r="FT154" s="122"/>
      <c r="FU154" s="122"/>
      <c r="FV154" s="122"/>
      <c r="FW154" s="122"/>
      <c r="FX154" s="122"/>
      <c r="FY154" s="122"/>
      <c r="FZ154" s="122"/>
      <c r="GA154" s="122"/>
      <c r="GB154" s="122"/>
      <c r="GC154" s="122"/>
      <c r="GD154" s="122"/>
      <c r="GE154" s="122"/>
      <c r="GF154" s="122"/>
      <c r="GG154" s="122"/>
      <c r="GH154" s="122"/>
      <c r="GI154" s="122"/>
      <c r="GJ154" s="122"/>
      <c r="GK154" s="122"/>
      <c r="GL154" s="122"/>
      <c r="GM154" s="122"/>
      <c r="GN154" s="122"/>
      <c r="GO154" s="122"/>
      <c r="GP154" s="122"/>
      <c r="GQ154" s="122"/>
      <c r="GR154" s="122"/>
      <c r="GS154" s="122"/>
      <c r="GT154" s="122"/>
      <c r="GU154" s="122"/>
      <c r="GV154" s="122"/>
      <c r="GW154" s="122"/>
      <c r="GX154" s="122"/>
      <c r="GY154" s="122"/>
      <c r="GZ154" s="122"/>
      <c r="HA154" s="122"/>
      <c r="HB154" s="122"/>
      <c r="HC154" s="122"/>
      <c r="HD154" s="122"/>
      <c r="HE154" s="122"/>
      <c r="HF154" s="122"/>
      <c r="HG154" s="122"/>
      <c r="HH154" s="122"/>
      <c r="HI154" s="122"/>
      <c r="HJ154" s="122"/>
      <c r="HK154" s="122"/>
      <c r="HL154" s="122"/>
      <c r="HM154" s="122"/>
      <c r="HN154" s="122"/>
      <c r="HO154" s="122"/>
      <c r="HP154" s="122"/>
      <c r="HQ154" s="122"/>
      <c r="HR154" s="122"/>
      <c r="HS154" s="122"/>
      <c r="HT154" s="122"/>
      <c r="HU154" s="122"/>
      <c r="HV154" s="122"/>
      <c r="HW154" s="122"/>
      <c r="HX154" s="122"/>
      <c r="HY154" s="122"/>
      <c r="HZ154" s="122"/>
      <c r="IA154" s="122"/>
      <c r="IB154" s="122"/>
      <c r="IC154" s="122"/>
      <c r="ID154" s="122"/>
      <c r="IE154" s="122"/>
      <c r="IF154" s="122"/>
      <c r="IG154" s="122"/>
      <c r="IH154" s="122"/>
      <c r="II154" s="122"/>
      <c r="IJ154" s="122"/>
      <c r="IK154" s="122"/>
      <c r="IL154" s="122"/>
      <c r="IM154" s="122"/>
      <c r="IN154" s="122"/>
      <c r="IO154" s="122"/>
      <c r="IP154" s="122"/>
      <c r="IQ154" s="122"/>
      <c r="IR154" s="122"/>
      <c r="IS154" s="122"/>
      <c r="IT154" s="122"/>
      <c r="IU154" s="122"/>
      <c r="IV154" s="122"/>
      <c r="IW154" s="122"/>
      <c r="IX154" s="122"/>
      <c r="IY154" s="122"/>
      <c r="IZ154" s="122"/>
      <c r="JA154" s="122"/>
      <c r="JB154" s="122"/>
      <c r="JC154" s="122"/>
      <c r="JD154" s="122"/>
      <c r="JE154" s="122"/>
      <c r="JF154" s="122"/>
      <c r="JG154" s="122"/>
      <c r="JH154" s="122"/>
      <c r="JI154" s="119"/>
      <c r="JJ154" s="2"/>
      <c r="JK154" s="122"/>
      <c r="JL154" s="125"/>
      <c r="JM154" s="125"/>
      <c r="JN154" s="125"/>
      <c r="JO154" s="125"/>
      <c r="JP154" s="125"/>
    </row>
    <row r="155" spans="1:276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  <c r="AU155" s="122"/>
      <c r="AV155" s="122"/>
      <c r="AW155" s="122"/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  <c r="BJ155" s="122"/>
      <c r="BK155" s="122"/>
      <c r="BL155" s="122"/>
      <c r="BM155" s="122"/>
      <c r="BN155" s="122"/>
      <c r="BO155" s="122"/>
      <c r="BP155" s="122"/>
      <c r="BQ155" s="122"/>
      <c r="BR155" s="122"/>
      <c r="BS155" s="122"/>
      <c r="BT155" s="122"/>
      <c r="BU155" s="122"/>
      <c r="BV155" s="122"/>
      <c r="BW155" s="122"/>
      <c r="BX155" s="122"/>
      <c r="BY155" s="122"/>
      <c r="BZ155" s="122"/>
      <c r="CA155" s="122"/>
      <c r="CB155" s="122"/>
      <c r="CC155" s="122"/>
      <c r="CD155" s="122"/>
      <c r="CE155" s="122"/>
      <c r="CF155" s="122"/>
      <c r="CG155" s="122"/>
      <c r="CH155" s="122"/>
      <c r="CI155" s="122"/>
      <c r="CJ155" s="122"/>
      <c r="CK155" s="122"/>
      <c r="CL155" s="122"/>
      <c r="CM155" s="122"/>
      <c r="CN155" s="122"/>
      <c r="CO155" s="122"/>
      <c r="CP155" s="122"/>
      <c r="CQ155" s="122"/>
      <c r="CR155" s="122"/>
      <c r="CS155" s="122"/>
      <c r="CT155" s="122"/>
      <c r="CU155" s="122"/>
      <c r="CV155" s="122"/>
      <c r="CW155" s="122"/>
      <c r="CX155" s="122"/>
      <c r="CY155" s="122"/>
      <c r="CZ155" s="122"/>
      <c r="DA155" s="122"/>
      <c r="DB155" s="122"/>
      <c r="DC155" s="122"/>
      <c r="DD155" s="122"/>
      <c r="DE155" s="122"/>
      <c r="DF155" s="122"/>
      <c r="DG155" s="122"/>
      <c r="DH155" s="122"/>
      <c r="DI155" s="122"/>
      <c r="DJ155" s="122"/>
      <c r="DK155" s="122"/>
      <c r="DL155" s="122"/>
      <c r="DM155" s="122"/>
      <c r="DN155" s="122"/>
      <c r="DO155" s="122"/>
      <c r="DP155" s="122"/>
      <c r="DQ155" s="122"/>
      <c r="DR155" s="122"/>
      <c r="DS155" s="122"/>
      <c r="DT155" s="122"/>
      <c r="DU155" s="122"/>
      <c r="DV155" s="122"/>
      <c r="DW155" s="122"/>
      <c r="DX155" s="122"/>
      <c r="DY155" s="122"/>
      <c r="DZ155" s="122"/>
      <c r="EA155" s="122"/>
      <c r="EB155" s="122"/>
      <c r="EC155" s="122"/>
      <c r="ED155" s="122"/>
      <c r="EE155" s="122"/>
      <c r="EF155" s="122"/>
      <c r="EG155" s="122"/>
      <c r="EH155" s="122"/>
      <c r="EI155" s="122"/>
      <c r="EJ155" s="122"/>
      <c r="EK155" s="122"/>
      <c r="EL155" s="122"/>
      <c r="EM155" s="122"/>
      <c r="EN155" s="122"/>
      <c r="EO155" s="122"/>
      <c r="EP155" s="122"/>
      <c r="EQ155" s="122"/>
      <c r="ER155" s="122"/>
      <c r="ES155" s="122"/>
      <c r="ET155" s="122"/>
      <c r="EU155" s="122"/>
      <c r="EV155" s="122"/>
      <c r="EW155" s="122"/>
      <c r="EX155" s="122"/>
      <c r="EY155" s="122"/>
      <c r="EZ155" s="122"/>
      <c r="FA155" s="122"/>
      <c r="FB155" s="122"/>
      <c r="FC155" s="122"/>
      <c r="FD155" s="122"/>
      <c r="FE155" s="122"/>
      <c r="FF155" s="122"/>
      <c r="FG155" s="122"/>
      <c r="FH155" s="122"/>
      <c r="FI155" s="122"/>
      <c r="FJ155" s="122"/>
      <c r="FK155" s="122"/>
      <c r="FL155" s="122"/>
      <c r="FM155" s="122"/>
      <c r="FN155" s="122"/>
      <c r="FO155" s="122"/>
      <c r="FP155" s="122"/>
      <c r="FQ155" s="122"/>
      <c r="FR155" s="122"/>
      <c r="FS155" s="122"/>
      <c r="FT155" s="122"/>
      <c r="FU155" s="122"/>
      <c r="FV155" s="122"/>
      <c r="FW155" s="122"/>
      <c r="FX155" s="122"/>
      <c r="FY155" s="122"/>
      <c r="FZ155" s="122"/>
      <c r="GA155" s="122"/>
      <c r="GB155" s="122"/>
      <c r="GC155" s="122"/>
      <c r="GD155" s="122"/>
      <c r="GE155" s="122"/>
      <c r="GF155" s="122"/>
      <c r="GG155" s="122"/>
      <c r="GH155" s="122"/>
      <c r="GI155" s="122"/>
      <c r="GJ155" s="122"/>
      <c r="GK155" s="122"/>
      <c r="GL155" s="122"/>
      <c r="GM155" s="122"/>
      <c r="GN155" s="122"/>
      <c r="GO155" s="122"/>
      <c r="GP155" s="122"/>
      <c r="GQ155" s="122"/>
      <c r="GR155" s="122"/>
      <c r="GS155" s="122"/>
      <c r="GT155" s="122"/>
      <c r="GU155" s="122"/>
      <c r="GV155" s="122"/>
      <c r="GW155" s="122"/>
      <c r="GX155" s="122"/>
      <c r="GY155" s="122"/>
      <c r="GZ155" s="122"/>
      <c r="HA155" s="122"/>
      <c r="HB155" s="122"/>
      <c r="HC155" s="122"/>
      <c r="HD155" s="122"/>
      <c r="HE155" s="122"/>
      <c r="HF155" s="122"/>
      <c r="HG155" s="122"/>
      <c r="HH155" s="122"/>
      <c r="HI155" s="122"/>
      <c r="HJ155" s="122"/>
      <c r="HK155" s="122"/>
      <c r="HL155" s="122"/>
      <c r="HM155" s="122"/>
      <c r="HN155" s="122"/>
      <c r="HO155" s="122"/>
      <c r="HP155" s="122"/>
      <c r="HQ155" s="122"/>
      <c r="HR155" s="122"/>
      <c r="HS155" s="122"/>
      <c r="HT155" s="122"/>
      <c r="HU155" s="122"/>
      <c r="HV155" s="122"/>
      <c r="HW155" s="122"/>
      <c r="HX155" s="122"/>
      <c r="HY155" s="122"/>
      <c r="HZ155" s="122"/>
      <c r="IA155" s="122"/>
      <c r="IB155" s="122"/>
      <c r="IC155" s="122"/>
      <c r="ID155" s="122"/>
      <c r="IE155" s="122"/>
      <c r="IF155" s="122"/>
      <c r="IG155" s="122"/>
      <c r="IH155" s="122"/>
      <c r="II155" s="122"/>
      <c r="IJ155" s="122"/>
      <c r="IK155" s="122"/>
      <c r="IL155" s="122"/>
      <c r="IM155" s="122"/>
      <c r="IN155" s="122"/>
      <c r="IO155" s="122"/>
      <c r="IP155" s="122"/>
      <c r="IQ155" s="122"/>
      <c r="IR155" s="122"/>
      <c r="IS155" s="122"/>
      <c r="IT155" s="122"/>
      <c r="IU155" s="122"/>
      <c r="IV155" s="122"/>
      <c r="IW155" s="122"/>
      <c r="IX155" s="122"/>
      <c r="IY155" s="122"/>
      <c r="IZ155" s="122"/>
      <c r="JA155" s="122"/>
      <c r="JB155" s="122"/>
      <c r="JC155" s="122"/>
      <c r="JD155" s="122"/>
      <c r="JE155" s="122"/>
      <c r="JF155" s="122"/>
      <c r="JG155" s="122"/>
      <c r="JH155" s="122"/>
      <c r="JI155" s="119"/>
      <c r="JJ155" s="2"/>
      <c r="JK155" s="122"/>
      <c r="JL155" s="125"/>
      <c r="JM155" s="125"/>
      <c r="JN155" s="125"/>
      <c r="JO155" s="125"/>
      <c r="JP155" s="125"/>
    </row>
    <row r="156" spans="1:27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  <c r="AS156" s="122"/>
      <c r="AT156" s="122"/>
      <c r="AU156" s="122"/>
      <c r="AV156" s="122"/>
      <c r="AW156" s="122"/>
      <c r="AX156" s="122"/>
      <c r="AY156" s="122"/>
      <c r="AZ156" s="122"/>
      <c r="BA156" s="122"/>
      <c r="BB156" s="122"/>
      <c r="BC156" s="122"/>
      <c r="BD156" s="122"/>
      <c r="BE156" s="122"/>
      <c r="BF156" s="122"/>
      <c r="BG156" s="122"/>
      <c r="BH156" s="122"/>
      <c r="BI156" s="122"/>
      <c r="BJ156" s="122"/>
      <c r="BK156" s="122"/>
      <c r="BL156" s="122"/>
      <c r="BM156" s="122"/>
      <c r="BN156" s="122"/>
      <c r="BO156" s="122"/>
      <c r="BP156" s="122"/>
      <c r="BQ156" s="122"/>
      <c r="BR156" s="122"/>
      <c r="BS156" s="122"/>
      <c r="BT156" s="122"/>
      <c r="BU156" s="122"/>
      <c r="BV156" s="122"/>
      <c r="BW156" s="122"/>
      <c r="BX156" s="122"/>
      <c r="BY156" s="122"/>
      <c r="BZ156" s="122"/>
      <c r="CA156" s="122"/>
      <c r="CB156" s="122"/>
      <c r="CC156" s="122"/>
      <c r="CD156" s="122"/>
      <c r="CE156" s="122"/>
      <c r="CF156" s="122"/>
      <c r="CG156" s="122"/>
      <c r="CH156" s="122"/>
      <c r="CI156" s="122"/>
      <c r="CJ156" s="122"/>
      <c r="CK156" s="122"/>
      <c r="CL156" s="122"/>
      <c r="CM156" s="122"/>
      <c r="CN156" s="122"/>
      <c r="CO156" s="122"/>
      <c r="CP156" s="122"/>
      <c r="CQ156" s="122"/>
      <c r="CR156" s="122"/>
      <c r="CS156" s="122"/>
      <c r="CT156" s="122"/>
      <c r="CU156" s="122"/>
      <c r="CV156" s="122"/>
      <c r="CW156" s="122"/>
      <c r="CX156" s="122"/>
      <c r="CY156" s="122"/>
      <c r="CZ156" s="122"/>
      <c r="DA156" s="122"/>
      <c r="DB156" s="122"/>
      <c r="DC156" s="122"/>
      <c r="DD156" s="122"/>
      <c r="DE156" s="122"/>
      <c r="DF156" s="122"/>
      <c r="DG156" s="122"/>
      <c r="DH156" s="122"/>
      <c r="DI156" s="122"/>
      <c r="DJ156" s="122"/>
      <c r="DK156" s="122"/>
      <c r="DL156" s="122"/>
      <c r="DM156" s="122"/>
      <c r="DN156" s="122"/>
      <c r="DO156" s="122"/>
      <c r="DP156" s="122"/>
      <c r="DQ156" s="122"/>
      <c r="DR156" s="122"/>
      <c r="DS156" s="122"/>
      <c r="DT156" s="122"/>
      <c r="DU156" s="122"/>
      <c r="DV156" s="122"/>
      <c r="DW156" s="122"/>
      <c r="DX156" s="122"/>
      <c r="DY156" s="122"/>
      <c r="DZ156" s="122"/>
      <c r="EA156" s="122"/>
      <c r="EB156" s="122"/>
      <c r="EC156" s="122"/>
      <c r="ED156" s="122"/>
      <c r="EE156" s="122"/>
      <c r="EF156" s="122"/>
      <c r="EG156" s="122"/>
      <c r="EH156" s="122"/>
      <c r="EI156" s="122"/>
      <c r="EJ156" s="122"/>
      <c r="EK156" s="122"/>
      <c r="EL156" s="122"/>
      <c r="EM156" s="122"/>
      <c r="EN156" s="122"/>
      <c r="EO156" s="122"/>
      <c r="EP156" s="122"/>
      <c r="EQ156" s="122"/>
      <c r="ER156" s="122"/>
      <c r="ES156" s="122"/>
      <c r="ET156" s="122"/>
      <c r="EU156" s="122"/>
      <c r="EV156" s="122"/>
      <c r="EW156" s="122"/>
      <c r="EX156" s="122"/>
      <c r="EY156" s="122"/>
      <c r="EZ156" s="122"/>
      <c r="FA156" s="122"/>
      <c r="FB156" s="122"/>
      <c r="FC156" s="122"/>
      <c r="FD156" s="122"/>
      <c r="FE156" s="122"/>
      <c r="FF156" s="122"/>
      <c r="FG156" s="122"/>
      <c r="FH156" s="122"/>
      <c r="FI156" s="122"/>
      <c r="FJ156" s="122"/>
      <c r="FK156" s="122"/>
      <c r="FL156" s="122"/>
      <c r="FM156" s="122"/>
      <c r="FN156" s="122"/>
      <c r="FO156" s="122"/>
      <c r="FP156" s="122"/>
      <c r="FQ156" s="122"/>
      <c r="FR156" s="122"/>
      <c r="FS156" s="122"/>
      <c r="FT156" s="122"/>
      <c r="FU156" s="122"/>
      <c r="FV156" s="122"/>
      <c r="FW156" s="122"/>
      <c r="FX156" s="122"/>
      <c r="FY156" s="122"/>
      <c r="FZ156" s="122"/>
      <c r="GA156" s="122"/>
      <c r="GB156" s="122"/>
      <c r="GC156" s="122"/>
      <c r="GD156" s="122"/>
      <c r="GE156" s="122"/>
      <c r="GF156" s="122"/>
      <c r="GG156" s="122"/>
      <c r="GH156" s="122"/>
      <c r="GI156" s="122"/>
      <c r="GJ156" s="122"/>
      <c r="GK156" s="122"/>
      <c r="GL156" s="122"/>
      <c r="GM156" s="122"/>
      <c r="GN156" s="122"/>
      <c r="GO156" s="122"/>
      <c r="GP156" s="122"/>
      <c r="GQ156" s="122"/>
      <c r="GR156" s="122"/>
      <c r="GS156" s="122"/>
      <c r="GT156" s="122"/>
      <c r="GU156" s="122"/>
      <c r="GV156" s="122"/>
      <c r="GW156" s="122"/>
      <c r="GX156" s="122"/>
      <c r="GY156" s="122"/>
      <c r="GZ156" s="122"/>
      <c r="HA156" s="122"/>
      <c r="HB156" s="122"/>
      <c r="HC156" s="122"/>
      <c r="HD156" s="122"/>
      <c r="HE156" s="122"/>
      <c r="HF156" s="122"/>
      <c r="HG156" s="122"/>
      <c r="HH156" s="122"/>
      <c r="HI156" s="122"/>
      <c r="HJ156" s="122"/>
      <c r="HK156" s="122"/>
      <c r="HL156" s="122"/>
      <c r="HM156" s="122"/>
      <c r="HN156" s="122"/>
      <c r="HO156" s="122"/>
      <c r="HP156" s="122"/>
      <c r="HQ156" s="122"/>
      <c r="HR156" s="122"/>
      <c r="HS156" s="122"/>
      <c r="HT156" s="122"/>
      <c r="HU156" s="122"/>
      <c r="HV156" s="122"/>
      <c r="HW156" s="122"/>
      <c r="HX156" s="122"/>
      <c r="HY156" s="122"/>
      <c r="HZ156" s="122"/>
      <c r="IA156" s="122"/>
      <c r="IB156" s="122"/>
      <c r="IC156" s="122"/>
      <c r="ID156" s="122"/>
      <c r="IE156" s="122"/>
      <c r="IF156" s="122"/>
      <c r="IG156" s="122"/>
      <c r="IH156" s="122"/>
      <c r="II156" s="122"/>
      <c r="IJ156" s="122"/>
      <c r="IK156" s="122"/>
      <c r="IL156" s="122"/>
      <c r="IM156" s="122"/>
      <c r="IN156" s="122"/>
      <c r="IO156" s="122"/>
      <c r="IP156" s="122"/>
      <c r="IQ156" s="122"/>
      <c r="IR156" s="122"/>
      <c r="IS156" s="122"/>
      <c r="IT156" s="122"/>
      <c r="IU156" s="122"/>
      <c r="IV156" s="122"/>
      <c r="IW156" s="122"/>
      <c r="IX156" s="122"/>
      <c r="IY156" s="122"/>
      <c r="IZ156" s="122"/>
      <c r="JA156" s="122"/>
      <c r="JB156" s="122"/>
      <c r="JC156" s="122"/>
      <c r="JD156" s="122"/>
      <c r="JE156" s="122"/>
      <c r="JF156" s="122"/>
      <c r="JG156" s="122"/>
      <c r="JH156" s="122"/>
      <c r="JI156" s="119"/>
      <c r="JJ156" s="2"/>
      <c r="JK156" s="122"/>
      <c r="JL156" s="125"/>
      <c r="JM156" s="125"/>
      <c r="JN156" s="125"/>
      <c r="JO156" s="125"/>
      <c r="JP156" s="125"/>
    </row>
    <row r="157" spans="1:276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  <c r="AS157" s="122"/>
      <c r="AT157" s="122"/>
      <c r="AU157" s="122"/>
      <c r="AV157" s="122"/>
      <c r="AW157" s="122"/>
      <c r="AX157" s="122"/>
      <c r="AY157" s="122"/>
      <c r="AZ157" s="122"/>
      <c r="BA157" s="122"/>
      <c r="BB157" s="122"/>
      <c r="BC157" s="122"/>
      <c r="BD157" s="122"/>
      <c r="BE157" s="122"/>
      <c r="BF157" s="122"/>
      <c r="BG157" s="122"/>
      <c r="BH157" s="122"/>
      <c r="BI157" s="122"/>
      <c r="BJ157" s="122"/>
      <c r="BK157" s="122"/>
      <c r="BL157" s="122"/>
      <c r="BM157" s="122"/>
      <c r="BN157" s="122"/>
      <c r="BO157" s="122"/>
      <c r="BP157" s="122"/>
      <c r="BQ157" s="122"/>
      <c r="BR157" s="122"/>
      <c r="BS157" s="122"/>
      <c r="BT157" s="122"/>
      <c r="BU157" s="122"/>
      <c r="BV157" s="122"/>
      <c r="BW157" s="122"/>
      <c r="BX157" s="122"/>
      <c r="BY157" s="122"/>
      <c r="BZ157" s="122"/>
      <c r="CA157" s="122"/>
      <c r="CB157" s="122"/>
      <c r="CC157" s="122"/>
      <c r="CD157" s="122"/>
      <c r="CE157" s="122"/>
      <c r="CF157" s="122"/>
      <c r="CG157" s="122"/>
      <c r="CH157" s="122"/>
      <c r="CI157" s="122"/>
      <c r="CJ157" s="122"/>
      <c r="CK157" s="122"/>
      <c r="CL157" s="122"/>
      <c r="CM157" s="122"/>
      <c r="CN157" s="122"/>
      <c r="CO157" s="122"/>
      <c r="CP157" s="122"/>
      <c r="CQ157" s="122"/>
      <c r="CR157" s="122"/>
      <c r="CS157" s="122"/>
      <c r="CT157" s="122"/>
      <c r="CU157" s="122"/>
      <c r="CV157" s="122"/>
      <c r="CW157" s="122"/>
      <c r="CX157" s="122"/>
      <c r="CY157" s="122"/>
      <c r="CZ157" s="122"/>
      <c r="DA157" s="122"/>
      <c r="DB157" s="122"/>
      <c r="DC157" s="122"/>
      <c r="DD157" s="122"/>
      <c r="DE157" s="122"/>
      <c r="DF157" s="122"/>
      <c r="DG157" s="122"/>
      <c r="DH157" s="122"/>
      <c r="DI157" s="122"/>
      <c r="DJ157" s="122"/>
      <c r="DK157" s="122"/>
      <c r="DL157" s="122"/>
      <c r="DM157" s="122"/>
      <c r="DN157" s="122"/>
      <c r="DO157" s="122"/>
      <c r="DP157" s="122"/>
      <c r="DQ157" s="122"/>
      <c r="DR157" s="122"/>
      <c r="DS157" s="122"/>
      <c r="DT157" s="122"/>
      <c r="DU157" s="122"/>
      <c r="DV157" s="122"/>
      <c r="DW157" s="122"/>
      <c r="DX157" s="122"/>
      <c r="DY157" s="122"/>
      <c r="DZ157" s="122"/>
      <c r="EA157" s="122"/>
      <c r="EB157" s="122"/>
      <c r="EC157" s="122"/>
      <c r="ED157" s="122"/>
      <c r="EE157" s="122"/>
      <c r="EF157" s="122"/>
      <c r="EG157" s="122"/>
      <c r="EH157" s="122"/>
      <c r="EI157" s="122"/>
      <c r="EJ157" s="122"/>
      <c r="EK157" s="122"/>
      <c r="EL157" s="122"/>
      <c r="EM157" s="122"/>
      <c r="EN157" s="122"/>
      <c r="EO157" s="122"/>
      <c r="EP157" s="122"/>
      <c r="EQ157" s="122"/>
      <c r="ER157" s="122"/>
      <c r="ES157" s="122"/>
      <c r="ET157" s="122"/>
      <c r="EU157" s="122"/>
      <c r="EV157" s="122"/>
      <c r="EW157" s="122"/>
      <c r="EX157" s="122"/>
      <c r="EY157" s="122"/>
      <c r="EZ157" s="122"/>
      <c r="FA157" s="122"/>
      <c r="FB157" s="122"/>
      <c r="FC157" s="122"/>
      <c r="FD157" s="122"/>
      <c r="FE157" s="122"/>
      <c r="FF157" s="122"/>
      <c r="FG157" s="122"/>
      <c r="FH157" s="122"/>
      <c r="FI157" s="122"/>
      <c r="FJ157" s="122"/>
      <c r="FK157" s="122"/>
      <c r="FL157" s="122"/>
      <c r="FM157" s="122"/>
      <c r="FN157" s="122"/>
      <c r="FO157" s="122"/>
      <c r="FP157" s="122"/>
      <c r="FQ157" s="122"/>
      <c r="FR157" s="122"/>
      <c r="FS157" s="122"/>
      <c r="FT157" s="122"/>
      <c r="FU157" s="122"/>
      <c r="FV157" s="122"/>
      <c r="FW157" s="122"/>
      <c r="FX157" s="122"/>
      <c r="FY157" s="122"/>
      <c r="FZ157" s="122"/>
      <c r="GA157" s="122"/>
      <c r="GB157" s="122"/>
      <c r="GC157" s="122"/>
      <c r="GD157" s="122"/>
      <c r="GE157" s="122"/>
      <c r="GF157" s="122"/>
      <c r="GG157" s="122"/>
      <c r="GH157" s="122"/>
      <c r="GI157" s="122"/>
      <c r="GJ157" s="122"/>
      <c r="GK157" s="122"/>
      <c r="GL157" s="122"/>
      <c r="GM157" s="122"/>
      <c r="GN157" s="122"/>
      <c r="GO157" s="122"/>
      <c r="GP157" s="122"/>
      <c r="GQ157" s="122"/>
      <c r="GR157" s="122"/>
      <c r="GS157" s="122"/>
      <c r="GT157" s="122"/>
      <c r="GU157" s="122"/>
      <c r="GV157" s="122"/>
      <c r="GW157" s="122"/>
      <c r="GX157" s="122"/>
      <c r="GY157" s="122"/>
      <c r="GZ157" s="122"/>
      <c r="HA157" s="122"/>
      <c r="HB157" s="122"/>
      <c r="HC157" s="122"/>
      <c r="HD157" s="122"/>
      <c r="HE157" s="122"/>
      <c r="HF157" s="122"/>
      <c r="HG157" s="122"/>
      <c r="HH157" s="122"/>
      <c r="HI157" s="122"/>
      <c r="HJ157" s="122"/>
      <c r="HK157" s="122"/>
      <c r="HL157" s="122"/>
      <c r="HM157" s="122"/>
      <c r="HN157" s="122"/>
      <c r="HO157" s="122"/>
      <c r="HP157" s="122"/>
      <c r="HQ157" s="122"/>
      <c r="HR157" s="122"/>
      <c r="HS157" s="122"/>
      <c r="HT157" s="122"/>
      <c r="HU157" s="122"/>
      <c r="HV157" s="122"/>
      <c r="HW157" s="122"/>
      <c r="HX157" s="122"/>
      <c r="HY157" s="122"/>
      <c r="HZ157" s="122"/>
      <c r="IA157" s="122"/>
      <c r="IB157" s="122"/>
      <c r="IC157" s="122"/>
      <c r="ID157" s="122"/>
      <c r="IE157" s="122"/>
      <c r="IF157" s="122"/>
      <c r="IG157" s="122"/>
      <c r="IH157" s="122"/>
      <c r="II157" s="122"/>
      <c r="IJ157" s="122"/>
      <c r="IK157" s="122"/>
      <c r="IL157" s="122"/>
      <c r="IM157" s="122"/>
      <c r="IN157" s="122"/>
      <c r="IO157" s="122"/>
      <c r="IP157" s="122"/>
      <c r="IQ157" s="122"/>
      <c r="IR157" s="122"/>
      <c r="IS157" s="122"/>
      <c r="IT157" s="122"/>
      <c r="IU157" s="122"/>
      <c r="IV157" s="122"/>
      <c r="IW157" s="122"/>
      <c r="IX157" s="122"/>
      <c r="IY157" s="122"/>
      <c r="IZ157" s="122"/>
      <c r="JA157" s="122"/>
      <c r="JB157" s="122"/>
      <c r="JC157" s="122"/>
      <c r="JD157" s="122"/>
      <c r="JE157" s="122"/>
      <c r="JF157" s="122"/>
      <c r="JG157" s="122"/>
      <c r="JH157" s="122"/>
      <c r="JI157" s="119"/>
      <c r="JJ157" s="2"/>
      <c r="JK157" s="122"/>
      <c r="JL157" s="125"/>
      <c r="JM157" s="125"/>
      <c r="JN157" s="125"/>
      <c r="JO157" s="125"/>
      <c r="JP157" s="125"/>
    </row>
    <row r="158" spans="1:276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  <c r="AS158" s="122"/>
      <c r="AT158" s="122"/>
      <c r="AU158" s="122"/>
      <c r="AV158" s="122"/>
      <c r="AW158" s="122"/>
      <c r="AX158" s="122"/>
      <c r="AY158" s="122"/>
      <c r="AZ158" s="122"/>
      <c r="BA158" s="122"/>
      <c r="BB158" s="122"/>
      <c r="BC158" s="122"/>
      <c r="BD158" s="122"/>
      <c r="BE158" s="122"/>
      <c r="BF158" s="122"/>
      <c r="BG158" s="122"/>
      <c r="BH158" s="122"/>
      <c r="BI158" s="122"/>
      <c r="BJ158" s="122"/>
      <c r="BK158" s="122"/>
      <c r="BL158" s="122"/>
      <c r="BM158" s="122"/>
      <c r="BN158" s="122"/>
      <c r="BO158" s="122"/>
      <c r="BP158" s="122"/>
      <c r="BQ158" s="122"/>
      <c r="BR158" s="122"/>
      <c r="BS158" s="122"/>
      <c r="BT158" s="122"/>
      <c r="BU158" s="122"/>
      <c r="BV158" s="122"/>
      <c r="BW158" s="122"/>
      <c r="BX158" s="122"/>
      <c r="BY158" s="122"/>
      <c r="BZ158" s="122"/>
      <c r="CA158" s="122"/>
      <c r="CB158" s="122"/>
      <c r="CC158" s="122"/>
      <c r="CD158" s="122"/>
      <c r="CE158" s="122"/>
      <c r="CF158" s="122"/>
      <c r="CG158" s="122"/>
      <c r="CH158" s="122"/>
      <c r="CI158" s="122"/>
      <c r="CJ158" s="122"/>
      <c r="CK158" s="122"/>
      <c r="CL158" s="122"/>
      <c r="CM158" s="122"/>
      <c r="CN158" s="122"/>
      <c r="CO158" s="122"/>
      <c r="CP158" s="122"/>
      <c r="CQ158" s="122"/>
      <c r="CR158" s="122"/>
      <c r="CS158" s="122"/>
      <c r="CT158" s="122"/>
      <c r="CU158" s="122"/>
      <c r="CV158" s="122"/>
      <c r="CW158" s="122"/>
      <c r="CX158" s="122"/>
      <c r="CY158" s="122"/>
      <c r="CZ158" s="122"/>
      <c r="DA158" s="122"/>
      <c r="DB158" s="122"/>
      <c r="DC158" s="122"/>
      <c r="DD158" s="122"/>
      <c r="DE158" s="122"/>
      <c r="DF158" s="122"/>
      <c r="DG158" s="122"/>
      <c r="DH158" s="122"/>
      <c r="DI158" s="122"/>
      <c r="DJ158" s="122"/>
      <c r="DK158" s="122"/>
      <c r="DL158" s="122"/>
      <c r="DM158" s="122"/>
      <c r="DN158" s="122"/>
      <c r="DO158" s="122"/>
      <c r="DP158" s="122"/>
      <c r="DQ158" s="122"/>
      <c r="DR158" s="122"/>
      <c r="DS158" s="122"/>
      <c r="DT158" s="122"/>
      <c r="DU158" s="122"/>
      <c r="DV158" s="122"/>
      <c r="DW158" s="122"/>
      <c r="DX158" s="122"/>
      <c r="DY158" s="122"/>
      <c r="DZ158" s="122"/>
      <c r="EA158" s="122"/>
      <c r="EB158" s="122"/>
      <c r="EC158" s="122"/>
      <c r="ED158" s="122"/>
      <c r="EE158" s="122"/>
      <c r="EF158" s="122"/>
      <c r="EG158" s="122"/>
      <c r="EH158" s="122"/>
      <c r="EI158" s="122"/>
      <c r="EJ158" s="122"/>
      <c r="EK158" s="122"/>
      <c r="EL158" s="122"/>
      <c r="EM158" s="122"/>
      <c r="EN158" s="122"/>
      <c r="EO158" s="122"/>
      <c r="EP158" s="122"/>
      <c r="EQ158" s="122"/>
      <c r="ER158" s="122"/>
      <c r="ES158" s="122"/>
      <c r="ET158" s="122"/>
      <c r="EU158" s="122"/>
      <c r="EV158" s="122"/>
      <c r="EW158" s="122"/>
      <c r="EX158" s="122"/>
      <c r="EY158" s="122"/>
      <c r="EZ158" s="122"/>
      <c r="FA158" s="122"/>
      <c r="FB158" s="122"/>
      <c r="FC158" s="122"/>
      <c r="FD158" s="122"/>
      <c r="FE158" s="122"/>
      <c r="FF158" s="122"/>
      <c r="FG158" s="122"/>
      <c r="FH158" s="122"/>
      <c r="FI158" s="122"/>
      <c r="FJ158" s="122"/>
      <c r="FK158" s="122"/>
      <c r="FL158" s="122"/>
      <c r="FM158" s="122"/>
      <c r="FN158" s="122"/>
      <c r="FO158" s="122"/>
      <c r="FP158" s="122"/>
      <c r="FQ158" s="122"/>
      <c r="FR158" s="122"/>
      <c r="FS158" s="122"/>
      <c r="FT158" s="122"/>
      <c r="FU158" s="122"/>
      <c r="FV158" s="122"/>
      <c r="FW158" s="122"/>
      <c r="FX158" s="122"/>
      <c r="FY158" s="122"/>
      <c r="FZ158" s="122"/>
      <c r="GA158" s="122"/>
      <c r="GB158" s="122"/>
      <c r="GC158" s="122"/>
      <c r="GD158" s="122"/>
      <c r="GE158" s="122"/>
      <c r="GF158" s="122"/>
      <c r="GG158" s="122"/>
      <c r="GH158" s="122"/>
      <c r="GI158" s="122"/>
      <c r="GJ158" s="122"/>
      <c r="GK158" s="122"/>
      <c r="GL158" s="122"/>
      <c r="GM158" s="122"/>
      <c r="GN158" s="122"/>
      <c r="GO158" s="122"/>
      <c r="GP158" s="122"/>
      <c r="GQ158" s="122"/>
      <c r="GR158" s="122"/>
      <c r="GS158" s="122"/>
      <c r="GT158" s="122"/>
      <c r="GU158" s="122"/>
      <c r="GV158" s="122"/>
      <c r="GW158" s="122"/>
      <c r="GX158" s="122"/>
      <c r="GY158" s="122"/>
      <c r="GZ158" s="122"/>
      <c r="HA158" s="122"/>
      <c r="HB158" s="122"/>
      <c r="HC158" s="122"/>
      <c r="HD158" s="122"/>
      <c r="HE158" s="122"/>
      <c r="HF158" s="122"/>
      <c r="HG158" s="122"/>
      <c r="HH158" s="122"/>
      <c r="HI158" s="122"/>
      <c r="HJ158" s="122"/>
      <c r="HK158" s="122"/>
      <c r="HL158" s="122"/>
      <c r="HM158" s="122"/>
      <c r="HN158" s="122"/>
      <c r="HO158" s="122"/>
      <c r="HP158" s="122"/>
      <c r="HQ158" s="122"/>
      <c r="HR158" s="122"/>
      <c r="HS158" s="122"/>
      <c r="HT158" s="122"/>
      <c r="HU158" s="122"/>
      <c r="HV158" s="122"/>
      <c r="HW158" s="122"/>
      <c r="HX158" s="122"/>
      <c r="HY158" s="122"/>
      <c r="HZ158" s="122"/>
      <c r="IA158" s="122"/>
      <c r="IB158" s="122"/>
      <c r="IC158" s="122"/>
      <c r="ID158" s="122"/>
      <c r="IE158" s="122"/>
      <c r="IF158" s="122"/>
      <c r="IG158" s="122"/>
      <c r="IH158" s="122"/>
      <c r="II158" s="122"/>
      <c r="IJ158" s="122"/>
      <c r="IK158" s="122"/>
      <c r="IL158" s="122"/>
      <c r="IM158" s="122"/>
      <c r="IN158" s="122"/>
      <c r="IO158" s="122"/>
      <c r="IP158" s="122"/>
      <c r="IQ158" s="122"/>
      <c r="IR158" s="122"/>
      <c r="IS158" s="122"/>
      <c r="IT158" s="122"/>
      <c r="IU158" s="122"/>
      <c r="IV158" s="122"/>
      <c r="IW158" s="122"/>
      <c r="IX158" s="122"/>
      <c r="IY158" s="122"/>
      <c r="IZ158" s="122"/>
      <c r="JA158" s="122"/>
      <c r="JB158" s="122"/>
      <c r="JC158" s="122"/>
      <c r="JD158" s="122"/>
      <c r="JE158" s="122"/>
      <c r="JF158" s="122"/>
      <c r="JG158" s="122"/>
      <c r="JH158" s="122"/>
      <c r="JI158" s="119"/>
      <c r="JJ158" s="2"/>
      <c r="JK158" s="122"/>
      <c r="JL158" s="125"/>
      <c r="JM158" s="125"/>
      <c r="JN158" s="125"/>
      <c r="JO158" s="125"/>
      <c r="JP158" s="125"/>
    </row>
    <row r="159" spans="1:276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  <c r="AS159" s="122"/>
      <c r="AT159" s="122"/>
      <c r="AU159" s="122"/>
      <c r="AV159" s="122"/>
      <c r="AW159" s="122"/>
      <c r="AX159" s="122"/>
      <c r="AY159" s="122"/>
      <c r="AZ159" s="122"/>
      <c r="BA159" s="122"/>
      <c r="BB159" s="122"/>
      <c r="BC159" s="122"/>
      <c r="BD159" s="122"/>
      <c r="BE159" s="122"/>
      <c r="BF159" s="122"/>
      <c r="BG159" s="122"/>
      <c r="BH159" s="122"/>
      <c r="BI159" s="122"/>
      <c r="BJ159" s="122"/>
      <c r="BK159" s="122"/>
      <c r="BL159" s="122"/>
      <c r="BM159" s="122"/>
      <c r="BN159" s="122"/>
      <c r="BO159" s="122"/>
      <c r="BP159" s="122"/>
      <c r="BQ159" s="122"/>
      <c r="BR159" s="122"/>
      <c r="BS159" s="122"/>
      <c r="BT159" s="122"/>
      <c r="BU159" s="122"/>
      <c r="BV159" s="122"/>
      <c r="BW159" s="122"/>
      <c r="BX159" s="122"/>
      <c r="BY159" s="122"/>
      <c r="BZ159" s="122"/>
      <c r="CA159" s="122"/>
      <c r="CB159" s="122"/>
      <c r="CC159" s="122"/>
      <c r="CD159" s="122"/>
      <c r="CE159" s="122"/>
      <c r="CF159" s="122"/>
      <c r="CG159" s="122"/>
      <c r="CH159" s="122"/>
      <c r="CI159" s="122"/>
      <c r="CJ159" s="122"/>
      <c r="CK159" s="122"/>
      <c r="CL159" s="122"/>
      <c r="CM159" s="122"/>
      <c r="CN159" s="122"/>
      <c r="CO159" s="122"/>
      <c r="CP159" s="122"/>
      <c r="CQ159" s="122"/>
      <c r="CR159" s="122"/>
      <c r="CS159" s="122"/>
      <c r="CT159" s="122"/>
      <c r="CU159" s="122"/>
      <c r="CV159" s="122"/>
      <c r="CW159" s="122"/>
      <c r="CX159" s="122"/>
      <c r="CY159" s="122"/>
      <c r="CZ159" s="122"/>
      <c r="DA159" s="122"/>
      <c r="DB159" s="122"/>
      <c r="DC159" s="122"/>
      <c r="DD159" s="122"/>
      <c r="DE159" s="122"/>
      <c r="DF159" s="122"/>
      <c r="DG159" s="122"/>
      <c r="DH159" s="122"/>
      <c r="DI159" s="122"/>
      <c r="DJ159" s="122"/>
      <c r="DK159" s="122"/>
      <c r="DL159" s="122"/>
      <c r="DM159" s="122"/>
      <c r="DN159" s="122"/>
      <c r="DO159" s="122"/>
      <c r="DP159" s="122"/>
      <c r="DQ159" s="122"/>
      <c r="DR159" s="122"/>
      <c r="DS159" s="122"/>
      <c r="DT159" s="122"/>
      <c r="DU159" s="122"/>
      <c r="DV159" s="122"/>
      <c r="DW159" s="122"/>
      <c r="DX159" s="122"/>
      <c r="DY159" s="122"/>
      <c r="DZ159" s="122"/>
      <c r="EA159" s="122"/>
      <c r="EB159" s="122"/>
      <c r="EC159" s="122"/>
      <c r="ED159" s="122"/>
      <c r="EE159" s="122"/>
      <c r="EF159" s="122"/>
      <c r="EG159" s="122"/>
      <c r="EH159" s="122"/>
      <c r="EI159" s="122"/>
      <c r="EJ159" s="122"/>
      <c r="EK159" s="122"/>
      <c r="EL159" s="122"/>
      <c r="EM159" s="122"/>
      <c r="EN159" s="122"/>
      <c r="EO159" s="122"/>
      <c r="EP159" s="122"/>
      <c r="EQ159" s="122"/>
      <c r="ER159" s="122"/>
      <c r="ES159" s="122"/>
      <c r="ET159" s="122"/>
      <c r="EU159" s="122"/>
      <c r="EV159" s="122"/>
      <c r="EW159" s="122"/>
      <c r="EX159" s="122"/>
      <c r="EY159" s="122"/>
      <c r="EZ159" s="122"/>
      <c r="FA159" s="122"/>
      <c r="FB159" s="122"/>
      <c r="FC159" s="122"/>
      <c r="FD159" s="122"/>
      <c r="FE159" s="122"/>
      <c r="FF159" s="122"/>
      <c r="FG159" s="122"/>
      <c r="FH159" s="122"/>
      <c r="FI159" s="122"/>
      <c r="FJ159" s="122"/>
      <c r="FK159" s="122"/>
      <c r="FL159" s="122"/>
      <c r="FM159" s="122"/>
      <c r="FN159" s="122"/>
      <c r="FO159" s="122"/>
      <c r="FP159" s="122"/>
      <c r="FQ159" s="122"/>
      <c r="FR159" s="122"/>
      <c r="FS159" s="122"/>
      <c r="FT159" s="122"/>
      <c r="FU159" s="122"/>
      <c r="FV159" s="122"/>
      <c r="FW159" s="122"/>
      <c r="FX159" s="122"/>
      <c r="FY159" s="122"/>
      <c r="FZ159" s="122"/>
      <c r="GA159" s="122"/>
      <c r="GB159" s="122"/>
      <c r="GC159" s="122"/>
      <c r="GD159" s="122"/>
      <c r="GE159" s="122"/>
      <c r="GF159" s="122"/>
      <c r="GG159" s="122"/>
      <c r="GH159" s="122"/>
      <c r="GI159" s="122"/>
      <c r="GJ159" s="122"/>
      <c r="GK159" s="122"/>
      <c r="GL159" s="122"/>
      <c r="GM159" s="122"/>
      <c r="GN159" s="122"/>
      <c r="GO159" s="122"/>
      <c r="GP159" s="122"/>
      <c r="GQ159" s="122"/>
      <c r="GR159" s="122"/>
      <c r="GS159" s="122"/>
      <c r="GT159" s="122"/>
      <c r="GU159" s="122"/>
      <c r="GV159" s="122"/>
      <c r="GW159" s="122"/>
      <c r="GX159" s="122"/>
      <c r="GY159" s="122"/>
      <c r="GZ159" s="122"/>
      <c r="HA159" s="122"/>
      <c r="HB159" s="122"/>
      <c r="HC159" s="122"/>
      <c r="HD159" s="122"/>
      <c r="HE159" s="122"/>
      <c r="HF159" s="122"/>
      <c r="HG159" s="122"/>
      <c r="HH159" s="122"/>
      <c r="HI159" s="122"/>
      <c r="HJ159" s="122"/>
      <c r="HK159" s="122"/>
      <c r="HL159" s="122"/>
      <c r="HM159" s="122"/>
      <c r="HN159" s="122"/>
      <c r="HO159" s="122"/>
      <c r="HP159" s="122"/>
      <c r="HQ159" s="122"/>
      <c r="HR159" s="122"/>
      <c r="HS159" s="122"/>
      <c r="HT159" s="122"/>
      <c r="HU159" s="122"/>
      <c r="HV159" s="122"/>
      <c r="HW159" s="122"/>
      <c r="HX159" s="122"/>
      <c r="HY159" s="122"/>
      <c r="HZ159" s="122"/>
      <c r="IA159" s="122"/>
      <c r="IB159" s="122"/>
      <c r="IC159" s="122"/>
      <c r="ID159" s="122"/>
      <c r="IE159" s="122"/>
      <c r="IF159" s="122"/>
      <c r="IG159" s="122"/>
      <c r="IH159" s="122"/>
      <c r="II159" s="122"/>
      <c r="IJ159" s="122"/>
      <c r="IK159" s="122"/>
      <c r="IL159" s="122"/>
      <c r="IM159" s="122"/>
      <c r="IN159" s="122"/>
      <c r="IO159" s="122"/>
      <c r="IP159" s="122"/>
      <c r="IQ159" s="122"/>
      <c r="IR159" s="122"/>
      <c r="IS159" s="122"/>
      <c r="IT159" s="122"/>
      <c r="IU159" s="122"/>
      <c r="IV159" s="122"/>
      <c r="IW159" s="122"/>
      <c r="IX159" s="122"/>
      <c r="IY159" s="122"/>
      <c r="IZ159" s="122"/>
      <c r="JA159" s="122"/>
      <c r="JB159" s="122"/>
      <c r="JC159" s="122"/>
      <c r="JD159" s="122"/>
      <c r="JE159" s="122"/>
      <c r="JF159" s="122"/>
      <c r="JG159" s="122"/>
      <c r="JH159" s="122"/>
      <c r="JI159" s="119"/>
      <c r="JJ159" s="2"/>
      <c r="JK159" s="122"/>
      <c r="JL159" s="125"/>
      <c r="JM159" s="125"/>
      <c r="JN159" s="125"/>
      <c r="JO159" s="125"/>
      <c r="JP159" s="125"/>
    </row>
    <row r="160" spans="1:276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  <c r="AS160" s="122"/>
      <c r="AT160" s="122"/>
      <c r="AU160" s="122"/>
      <c r="AV160" s="122"/>
      <c r="AW160" s="122"/>
      <c r="AX160" s="122"/>
      <c r="AY160" s="122"/>
      <c r="AZ160" s="122"/>
      <c r="BA160" s="122"/>
      <c r="BB160" s="122"/>
      <c r="BC160" s="122"/>
      <c r="BD160" s="122"/>
      <c r="BE160" s="122"/>
      <c r="BF160" s="122"/>
      <c r="BG160" s="122"/>
      <c r="BH160" s="122"/>
      <c r="BI160" s="122"/>
      <c r="BJ160" s="122"/>
      <c r="BK160" s="122"/>
      <c r="BL160" s="122"/>
      <c r="BM160" s="122"/>
      <c r="BN160" s="122"/>
      <c r="BO160" s="122"/>
      <c r="BP160" s="122"/>
      <c r="BQ160" s="122"/>
      <c r="BR160" s="122"/>
      <c r="BS160" s="122"/>
      <c r="BT160" s="122"/>
      <c r="BU160" s="122"/>
      <c r="BV160" s="122"/>
      <c r="BW160" s="122"/>
      <c r="BX160" s="122"/>
      <c r="BY160" s="122"/>
      <c r="BZ160" s="122"/>
      <c r="CA160" s="122"/>
      <c r="CB160" s="122"/>
      <c r="CC160" s="122"/>
      <c r="CD160" s="122"/>
      <c r="CE160" s="122"/>
      <c r="CF160" s="122"/>
      <c r="CG160" s="122"/>
      <c r="CH160" s="122"/>
      <c r="CI160" s="122"/>
      <c r="CJ160" s="122"/>
      <c r="CK160" s="122"/>
      <c r="CL160" s="122"/>
      <c r="CM160" s="122"/>
      <c r="CN160" s="122"/>
      <c r="CO160" s="122"/>
      <c r="CP160" s="122"/>
      <c r="CQ160" s="122"/>
      <c r="CR160" s="122"/>
      <c r="CS160" s="122"/>
      <c r="CT160" s="122"/>
      <c r="CU160" s="122"/>
      <c r="CV160" s="122"/>
      <c r="CW160" s="122"/>
      <c r="CX160" s="122"/>
      <c r="CY160" s="122"/>
      <c r="CZ160" s="122"/>
      <c r="DA160" s="122"/>
      <c r="DB160" s="122"/>
      <c r="DC160" s="122"/>
      <c r="DD160" s="122"/>
      <c r="DE160" s="122"/>
      <c r="DF160" s="122"/>
      <c r="DG160" s="122"/>
      <c r="DH160" s="122"/>
      <c r="DI160" s="122"/>
      <c r="DJ160" s="122"/>
      <c r="DK160" s="122"/>
      <c r="DL160" s="122"/>
      <c r="DM160" s="122"/>
      <c r="DN160" s="122"/>
      <c r="DO160" s="122"/>
      <c r="DP160" s="122"/>
      <c r="DQ160" s="122"/>
      <c r="DR160" s="122"/>
      <c r="DS160" s="122"/>
      <c r="DT160" s="122"/>
      <c r="DU160" s="122"/>
      <c r="DV160" s="122"/>
      <c r="DW160" s="122"/>
      <c r="DX160" s="122"/>
      <c r="DY160" s="122"/>
      <c r="DZ160" s="122"/>
      <c r="EA160" s="122"/>
      <c r="EB160" s="122"/>
      <c r="EC160" s="122"/>
      <c r="ED160" s="122"/>
      <c r="EE160" s="122"/>
      <c r="EF160" s="122"/>
      <c r="EG160" s="122"/>
      <c r="EH160" s="122"/>
      <c r="EI160" s="122"/>
      <c r="EJ160" s="122"/>
      <c r="EK160" s="122"/>
      <c r="EL160" s="122"/>
      <c r="EM160" s="122"/>
      <c r="EN160" s="122"/>
      <c r="EO160" s="122"/>
      <c r="EP160" s="122"/>
      <c r="EQ160" s="122"/>
      <c r="ER160" s="122"/>
      <c r="ES160" s="122"/>
      <c r="ET160" s="122"/>
      <c r="EU160" s="122"/>
      <c r="EV160" s="122"/>
      <c r="EW160" s="122"/>
      <c r="EX160" s="122"/>
      <c r="EY160" s="122"/>
      <c r="EZ160" s="122"/>
      <c r="FA160" s="122"/>
      <c r="FB160" s="122"/>
      <c r="FC160" s="122"/>
      <c r="FD160" s="122"/>
      <c r="FE160" s="122"/>
      <c r="FF160" s="122"/>
      <c r="FG160" s="122"/>
      <c r="FH160" s="122"/>
      <c r="FI160" s="122"/>
      <c r="FJ160" s="122"/>
      <c r="FK160" s="122"/>
      <c r="FL160" s="122"/>
      <c r="FM160" s="122"/>
      <c r="FN160" s="122"/>
      <c r="FO160" s="122"/>
      <c r="FP160" s="122"/>
      <c r="FQ160" s="122"/>
      <c r="FR160" s="122"/>
      <c r="FS160" s="122"/>
      <c r="FT160" s="122"/>
      <c r="FU160" s="122"/>
      <c r="FV160" s="122"/>
      <c r="FW160" s="122"/>
      <c r="FX160" s="122"/>
      <c r="FY160" s="122"/>
      <c r="FZ160" s="122"/>
      <c r="GA160" s="122"/>
      <c r="GB160" s="122"/>
      <c r="GC160" s="122"/>
      <c r="GD160" s="122"/>
      <c r="GE160" s="122"/>
      <c r="GF160" s="122"/>
      <c r="GG160" s="122"/>
      <c r="GH160" s="122"/>
      <c r="GI160" s="122"/>
      <c r="GJ160" s="122"/>
      <c r="GK160" s="122"/>
      <c r="GL160" s="122"/>
      <c r="GM160" s="122"/>
      <c r="GN160" s="122"/>
      <c r="GO160" s="122"/>
      <c r="GP160" s="122"/>
      <c r="GQ160" s="122"/>
      <c r="GR160" s="122"/>
      <c r="GS160" s="122"/>
      <c r="GT160" s="122"/>
      <c r="GU160" s="122"/>
      <c r="GV160" s="122"/>
      <c r="GW160" s="122"/>
      <c r="GX160" s="122"/>
      <c r="GY160" s="122"/>
      <c r="GZ160" s="122"/>
      <c r="HA160" s="122"/>
      <c r="HB160" s="122"/>
      <c r="HC160" s="122"/>
      <c r="HD160" s="122"/>
      <c r="HE160" s="122"/>
      <c r="HF160" s="122"/>
      <c r="HG160" s="122"/>
      <c r="HH160" s="122"/>
      <c r="HI160" s="122"/>
      <c r="HJ160" s="122"/>
      <c r="HK160" s="122"/>
      <c r="HL160" s="122"/>
      <c r="HM160" s="122"/>
      <c r="HN160" s="122"/>
      <c r="HO160" s="122"/>
      <c r="HP160" s="122"/>
      <c r="HQ160" s="122"/>
      <c r="HR160" s="122"/>
      <c r="HS160" s="122"/>
      <c r="HT160" s="122"/>
      <c r="HU160" s="122"/>
      <c r="HV160" s="122"/>
      <c r="HW160" s="122"/>
      <c r="HX160" s="122"/>
      <c r="HY160" s="122"/>
      <c r="HZ160" s="122"/>
      <c r="IA160" s="122"/>
      <c r="IB160" s="122"/>
      <c r="IC160" s="122"/>
      <c r="ID160" s="122"/>
      <c r="IE160" s="122"/>
      <c r="IF160" s="122"/>
      <c r="IG160" s="122"/>
      <c r="IH160" s="122"/>
      <c r="II160" s="122"/>
      <c r="IJ160" s="122"/>
      <c r="IK160" s="122"/>
      <c r="IL160" s="122"/>
      <c r="IM160" s="122"/>
      <c r="IN160" s="122"/>
      <c r="IO160" s="122"/>
      <c r="IP160" s="122"/>
      <c r="IQ160" s="122"/>
      <c r="IR160" s="122"/>
      <c r="IS160" s="122"/>
      <c r="IT160" s="122"/>
      <c r="IU160" s="122"/>
      <c r="IV160" s="122"/>
      <c r="IW160" s="122"/>
      <c r="IX160" s="122"/>
      <c r="IY160" s="122"/>
      <c r="IZ160" s="122"/>
      <c r="JA160" s="122"/>
      <c r="JB160" s="122"/>
      <c r="JC160" s="122"/>
      <c r="JD160" s="122"/>
      <c r="JE160" s="122"/>
      <c r="JF160" s="122"/>
      <c r="JG160" s="122"/>
      <c r="JH160" s="122"/>
      <c r="JI160" s="119"/>
      <c r="JJ160" s="2"/>
      <c r="JK160" s="122"/>
      <c r="JL160" s="125"/>
      <c r="JM160" s="125"/>
      <c r="JN160" s="125"/>
      <c r="JO160" s="125"/>
      <c r="JP160" s="125"/>
    </row>
    <row r="161" spans="1:276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  <c r="AS161" s="122"/>
      <c r="AT161" s="122"/>
      <c r="AU161" s="122"/>
      <c r="AV161" s="122"/>
      <c r="AW161" s="122"/>
      <c r="AX161" s="122"/>
      <c r="AY161" s="122"/>
      <c r="AZ161" s="122"/>
      <c r="BA161" s="122"/>
      <c r="BB161" s="122"/>
      <c r="BC161" s="122"/>
      <c r="BD161" s="122"/>
      <c r="BE161" s="122"/>
      <c r="BF161" s="122"/>
      <c r="BG161" s="122"/>
      <c r="BH161" s="122"/>
      <c r="BI161" s="122"/>
      <c r="BJ161" s="122"/>
      <c r="BK161" s="122"/>
      <c r="BL161" s="122"/>
      <c r="BM161" s="122"/>
      <c r="BN161" s="122"/>
      <c r="BO161" s="122"/>
      <c r="BP161" s="122"/>
      <c r="BQ161" s="122"/>
      <c r="BR161" s="122"/>
      <c r="BS161" s="122"/>
      <c r="BT161" s="122"/>
      <c r="BU161" s="122"/>
      <c r="BV161" s="122"/>
      <c r="BW161" s="122"/>
      <c r="BX161" s="122"/>
      <c r="BY161" s="122"/>
      <c r="BZ161" s="122"/>
      <c r="CA161" s="122"/>
      <c r="CB161" s="122"/>
      <c r="CC161" s="122"/>
      <c r="CD161" s="122"/>
      <c r="CE161" s="122"/>
      <c r="CF161" s="122"/>
      <c r="CG161" s="122"/>
      <c r="CH161" s="122"/>
      <c r="CI161" s="122"/>
      <c r="CJ161" s="122"/>
      <c r="CK161" s="122"/>
      <c r="CL161" s="122"/>
      <c r="CM161" s="122"/>
      <c r="CN161" s="122"/>
      <c r="CO161" s="122"/>
      <c r="CP161" s="122"/>
      <c r="CQ161" s="122"/>
      <c r="CR161" s="122"/>
      <c r="CS161" s="122"/>
      <c r="CT161" s="122"/>
      <c r="CU161" s="122"/>
      <c r="CV161" s="122"/>
      <c r="CW161" s="122"/>
      <c r="CX161" s="122"/>
      <c r="CY161" s="122"/>
      <c r="CZ161" s="122"/>
      <c r="DA161" s="122"/>
      <c r="DB161" s="122"/>
      <c r="DC161" s="122"/>
      <c r="DD161" s="122"/>
      <c r="DE161" s="122"/>
      <c r="DF161" s="122"/>
      <c r="DG161" s="122"/>
      <c r="DH161" s="122"/>
      <c r="DI161" s="122"/>
      <c r="DJ161" s="122"/>
      <c r="DK161" s="122"/>
      <c r="DL161" s="122"/>
      <c r="DM161" s="122"/>
      <c r="DN161" s="122"/>
      <c r="DO161" s="122"/>
      <c r="DP161" s="122"/>
      <c r="DQ161" s="122"/>
      <c r="DR161" s="122"/>
      <c r="DS161" s="122"/>
      <c r="DT161" s="122"/>
      <c r="DU161" s="122"/>
      <c r="DV161" s="122"/>
      <c r="DW161" s="122"/>
      <c r="DX161" s="122"/>
      <c r="DY161" s="122"/>
      <c r="DZ161" s="122"/>
      <c r="EA161" s="122"/>
      <c r="EB161" s="122"/>
      <c r="EC161" s="122"/>
      <c r="ED161" s="122"/>
      <c r="EE161" s="122"/>
      <c r="EF161" s="122"/>
      <c r="EG161" s="122"/>
      <c r="EH161" s="122"/>
      <c r="EI161" s="122"/>
      <c r="EJ161" s="122"/>
      <c r="EK161" s="122"/>
      <c r="EL161" s="122"/>
      <c r="EM161" s="122"/>
      <c r="EN161" s="122"/>
      <c r="EO161" s="122"/>
      <c r="EP161" s="122"/>
      <c r="EQ161" s="122"/>
      <c r="ER161" s="122"/>
      <c r="ES161" s="122"/>
      <c r="ET161" s="122"/>
      <c r="EU161" s="122"/>
      <c r="EV161" s="122"/>
      <c r="EW161" s="122"/>
      <c r="EX161" s="122"/>
      <c r="EY161" s="122"/>
      <c r="EZ161" s="122"/>
      <c r="FA161" s="122"/>
      <c r="FB161" s="122"/>
      <c r="FC161" s="122"/>
      <c r="FD161" s="122"/>
      <c r="FE161" s="122"/>
      <c r="FF161" s="122"/>
      <c r="FG161" s="122"/>
      <c r="FH161" s="122"/>
      <c r="FI161" s="122"/>
      <c r="FJ161" s="122"/>
      <c r="FK161" s="122"/>
      <c r="FL161" s="122"/>
      <c r="FM161" s="122"/>
      <c r="FN161" s="122"/>
      <c r="FO161" s="122"/>
      <c r="FP161" s="122"/>
      <c r="FQ161" s="122"/>
      <c r="FR161" s="122"/>
      <c r="FS161" s="122"/>
      <c r="FT161" s="122"/>
      <c r="FU161" s="122"/>
      <c r="FV161" s="122"/>
      <c r="FW161" s="122"/>
      <c r="FX161" s="122"/>
      <c r="FY161" s="122"/>
      <c r="FZ161" s="122"/>
      <c r="GA161" s="122"/>
      <c r="GB161" s="122"/>
      <c r="GC161" s="122"/>
      <c r="GD161" s="122"/>
      <c r="GE161" s="122"/>
      <c r="GF161" s="122"/>
      <c r="GG161" s="122"/>
      <c r="GH161" s="122"/>
      <c r="GI161" s="122"/>
      <c r="GJ161" s="122"/>
      <c r="GK161" s="122"/>
      <c r="GL161" s="122"/>
      <c r="GM161" s="122"/>
      <c r="GN161" s="122"/>
      <c r="GO161" s="122"/>
      <c r="GP161" s="122"/>
      <c r="GQ161" s="122"/>
      <c r="GR161" s="122"/>
      <c r="GS161" s="122"/>
      <c r="GT161" s="122"/>
      <c r="GU161" s="122"/>
      <c r="GV161" s="122"/>
      <c r="GW161" s="122"/>
      <c r="GX161" s="122"/>
      <c r="GY161" s="122"/>
      <c r="GZ161" s="122"/>
      <c r="HA161" s="122"/>
      <c r="HB161" s="122"/>
      <c r="HC161" s="122"/>
      <c r="HD161" s="122"/>
      <c r="HE161" s="122"/>
      <c r="HF161" s="122"/>
      <c r="HG161" s="122"/>
      <c r="HH161" s="122"/>
      <c r="HI161" s="122"/>
      <c r="HJ161" s="122"/>
      <c r="HK161" s="122"/>
      <c r="HL161" s="122"/>
      <c r="HM161" s="122"/>
      <c r="HN161" s="122"/>
      <c r="HO161" s="122"/>
      <c r="HP161" s="122"/>
      <c r="HQ161" s="122"/>
      <c r="HR161" s="122"/>
      <c r="HS161" s="122"/>
      <c r="HT161" s="122"/>
      <c r="HU161" s="122"/>
      <c r="HV161" s="122"/>
      <c r="HW161" s="122"/>
      <c r="HX161" s="122"/>
      <c r="HY161" s="122"/>
      <c r="HZ161" s="122"/>
      <c r="IA161" s="122"/>
      <c r="IB161" s="122"/>
      <c r="IC161" s="122"/>
      <c r="ID161" s="122"/>
      <c r="IE161" s="122"/>
      <c r="IF161" s="122"/>
      <c r="IG161" s="122"/>
      <c r="IH161" s="122"/>
      <c r="II161" s="122"/>
      <c r="IJ161" s="122"/>
      <c r="IK161" s="122"/>
      <c r="IL161" s="122"/>
      <c r="IM161" s="122"/>
      <c r="IN161" s="122"/>
      <c r="IO161" s="122"/>
      <c r="IP161" s="122"/>
      <c r="IQ161" s="122"/>
      <c r="IR161" s="122"/>
      <c r="IS161" s="122"/>
      <c r="IT161" s="122"/>
      <c r="IU161" s="122"/>
      <c r="IV161" s="122"/>
      <c r="IW161" s="122"/>
      <c r="IX161" s="122"/>
      <c r="IY161" s="122"/>
      <c r="IZ161" s="122"/>
      <c r="JA161" s="122"/>
      <c r="JB161" s="122"/>
      <c r="JC161" s="122"/>
      <c r="JD161" s="122"/>
      <c r="JE161" s="122"/>
      <c r="JF161" s="122"/>
      <c r="JG161" s="122"/>
      <c r="JH161" s="122"/>
      <c r="JI161" s="119"/>
      <c r="JJ161" s="2"/>
      <c r="JK161" s="122"/>
      <c r="JL161" s="125"/>
      <c r="JM161" s="125"/>
      <c r="JN161" s="125"/>
      <c r="JO161" s="125"/>
      <c r="JP161" s="125"/>
    </row>
    <row r="162" spans="1:276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  <c r="AT162" s="122"/>
      <c r="AU162" s="122"/>
      <c r="AV162" s="122"/>
      <c r="AW162" s="122"/>
      <c r="AX162" s="122"/>
      <c r="AY162" s="122"/>
      <c r="AZ162" s="122"/>
      <c r="BA162" s="122"/>
      <c r="BB162" s="122"/>
      <c r="BC162" s="122"/>
      <c r="BD162" s="122"/>
      <c r="BE162" s="122"/>
      <c r="BF162" s="122"/>
      <c r="BG162" s="122"/>
      <c r="BH162" s="122"/>
      <c r="BI162" s="122"/>
      <c r="BJ162" s="122"/>
      <c r="BK162" s="122"/>
      <c r="BL162" s="122"/>
      <c r="BM162" s="122"/>
      <c r="BN162" s="122"/>
      <c r="BO162" s="122"/>
      <c r="BP162" s="122"/>
      <c r="BQ162" s="122"/>
      <c r="BR162" s="122"/>
      <c r="BS162" s="122"/>
      <c r="BT162" s="122"/>
      <c r="BU162" s="122"/>
      <c r="BV162" s="122"/>
      <c r="BW162" s="122"/>
      <c r="BX162" s="122"/>
      <c r="BY162" s="122"/>
      <c r="BZ162" s="122"/>
      <c r="CA162" s="122"/>
      <c r="CB162" s="122"/>
      <c r="CC162" s="122"/>
      <c r="CD162" s="122"/>
      <c r="CE162" s="122"/>
      <c r="CF162" s="122"/>
      <c r="CG162" s="122"/>
      <c r="CH162" s="122"/>
      <c r="CI162" s="122"/>
      <c r="CJ162" s="122"/>
      <c r="CK162" s="122"/>
      <c r="CL162" s="122"/>
      <c r="CM162" s="122"/>
      <c r="CN162" s="122"/>
      <c r="CO162" s="122"/>
      <c r="CP162" s="122"/>
      <c r="CQ162" s="122"/>
      <c r="CR162" s="122"/>
      <c r="CS162" s="122"/>
      <c r="CT162" s="122"/>
      <c r="CU162" s="122"/>
      <c r="CV162" s="122"/>
      <c r="CW162" s="122"/>
      <c r="CX162" s="122"/>
      <c r="CY162" s="122"/>
      <c r="CZ162" s="122"/>
      <c r="DA162" s="122"/>
      <c r="DB162" s="122"/>
      <c r="DC162" s="122"/>
      <c r="DD162" s="122"/>
      <c r="DE162" s="122"/>
      <c r="DF162" s="122"/>
      <c r="DG162" s="122"/>
      <c r="DH162" s="122"/>
      <c r="DI162" s="122"/>
      <c r="DJ162" s="122"/>
      <c r="DK162" s="122"/>
      <c r="DL162" s="122"/>
      <c r="DM162" s="122"/>
      <c r="DN162" s="122"/>
      <c r="DO162" s="122"/>
      <c r="DP162" s="122"/>
      <c r="DQ162" s="122"/>
      <c r="DR162" s="122"/>
      <c r="DS162" s="122"/>
      <c r="DT162" s="122"/>
      <c r="DU162" s="122"/>
      <c r="DV162" s="122"/>
      <c r="DW162" s="122"/>
      <c r="DX162" s="122"/>
      <c r="DY162" s="122"/>
      <c r="DZ162" s="122"/>
      <c r="EA162" s="122"/>
      <c r="EB162" s="122"/>
      <c r="EC162" s="122"/>
      <c r="ED162" s="122"/>
      <c r="EE162" s="122"/>
      <c r="EF162" s="122"/>
      <c r="EG162" s="122"/>
      <c r="EH162" s="122"/>
      <c r="EI162" s="122"/>
      <c r="EJ162" s="122"/>
      <c r="EK162" s="122"/>
      <c r="EL162" s="122"/>
      <c r="EM162" s="122"/>
      <c r="EN162" s="122"/>
      <c r="EO162" s="122"/>
      <c r="EP162" s="122"/>
      <c r="EQ162" s="122"/>
      <c r="ER162" s="122"/>
      <c r="ES162" s="122"/>
      <c r="ET162" s="122"/>
      <c r="EU162" s="122"/>
      <c r="EV162" s="122"/>
      <c r="EW162" s="122"/>
      <c r="EX162" s="122"/>
      <c r="EY162" s="122"/>
      <c r="EZ162" s="122"/>
      <c r="FA162" s="122"/>
      <c r="FB162" s="122"/>
      <c r="FC162" s="122"/>
      <c r="FD162" s="122"/>
      <c r="FE162" s="122"/>
      <c r="FF162" s="122"/>
      <c r="FG162" s="122"/>
      <c r="FH162" s="122"/>
      <c r="FI162" s="122"/>
      <c r="FJ162" s="122"/>
      <c r="FK162" s="122"/>
      <c r="FL162" s="122"/>
      <c r="FM162" s="122"/>
      <c r="FN162" s="122"/>
      <c r="FO162" s="122"/>
      <c r="FP162" s="122"/>
      <c r="FQ162" s="122"/>
      <c r="FR162" s="122"/>
      <c r="FS162" s="122"/>
      <c r="FT162" s="122"/>
      <c r="FU162" s="122"/>
      <c r="FV162" s="122"/>
      <c r="FW162" s="122"/>
      <c r="FX162" s="122"/>
      <c r="FY162" s="122"/>
      <c r="FZ162" s="122"/>
      <c r="GA162" s="122"/>
      <c r="GB162" s="122"/>
      <c r="GC162" s="122"/>
      <c r="GD162" s="122"/>
      <c r="GE162" s="122"/>
      <c r="GF162" s="122"/>
      <c r="GG162" s="122"/>
      <c r="GH162" s="122"/>
      <c r="GI162" s="122"/>
      <c r="GJ162" s="122"/>
      <c r="GK162" s="122"/>
      <c r="GL162" s="122"/>
      <c r="GM162" s="122"/>
      <c r="GN162" s="122"/>
      <c r="GO162" s="122"/>
      <c r="GP162" s="122"/>
      <c r="GQ162" s="122"/>
      <c r="GR162" s="122"/>
      <c r="GS162" s="122"/>
      <c r="GT162" s="122"/>
      <c r="GU162" s="122"/>
      <c r="GV162" s="122"/>
      <c r="GW162" s="122"/>
      <c r="GX162" s="122"/>
      <c r="GY162" s="122"/>
      <c r="GZ162" s="122"/>
      <c r="HA162" s="122"/>
      <c r="HB162" s="122"/>
      <c r="HC162" s="122"/>
      <c r="HD162" s="122"/>
      <c r="HE162" s="122"/>
      <c r="HF162" s="122"/>
      <c r="HG162" s="122"/>
      <c r="HH162" s="122"/>
      <c r="HI162" s="122"/>
      <c r="HJ162" s="122"/>
      <c r="HK162" s="122"/>
      <c r="HL162" s="122"/>
      <c r="HM162" s="122"/>
      <c r="HN162" s="122"/>
      <c r="HO162" s="122"/>
      <c r="HP162" s="122"/>
      <c r="HQ162" s="122"/>
      <c r="HR162" s="122"/>
      <c r="HS162" s="122"/>
      <c r="HT162" s="122"/>
      <c r="HU162" s="122"/>
      <c r="HV162" s="122"/>
      <c r="HW162" s="122"/>
      <c r="HX162" s="122"/>
      <c r="HY162" s="122"/>
      <c r="HZ162" s="122"/>
      <c r="IA162" s="122"/>
      <c r="IB162" s="122"/>
      <c r="IC162" s="122"/>
      <c r="ID162" s="122"/>
      <c r="IE162" s="122"/>
      <c r="IF162" s="122"/>
      <c r="IG162" s="122"/>
      <c r="IH162" s="122"/>
      <c r="II162" s="122"/>
      <c r="IJ162" s="122"/>
      <c r="IK162" s="122"/>
      <c r="IL162" s="122"/>
      <c r="IM162" s="122"/>
      <c r="IN162" s="122"/>
      <c r="IO162" s="122"/>
      <c r="IP162" s="122"/>
      <c r="IQ162" s="122"/>
      <c r="IR162" s="122"/>
      <c r="IS162" s="122"/>
      <c r="IT162" s="122"/>
      <c r="IU162" s="122"/>
      <c r="IV162" s="122"/>
      <c r="IW162" s="122"/>
      <c r="IX162" s="122"/>
      <c r="IY162" s="122"/>
      <c r="IZ162" s="122"/>
      <c r="JA162" s="122"/>
      <c r="JB162" s="122"/>
      <c r="JC162" s="122"/>
      <c r="JD162" s="122"/>
      <c r="JE162" s="122"/>
      <c r="JF162" s="122"/>
      <c r="JG162" s="122"/>
      <c r="JH162" s="122"/>
      <c r="JI162" s="119"/>
      <c r="JJ162" s="2"/>
      <c r="JK162" s="122"/>
      <c r="JL162" s="125"/>
      <c r="JM162" s="125"/>
      <c r="JN162" s="125"/>
      <c r="JO162" s="125"/>
      <c r="JP162" s="125"/>
    </row>
    <row r="163" spans="1:276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  <c r="AT163" s="122"/>
      <c r="AU163" s="122"/>
      <c r="AV163" s="122"/>
      <c r="AW163" s="122"/>
      <c r="AX163" s="122"/>
      <c r="AY163" s="122"/>
      <c r="AZ163" s="122"/>
      <c r="BA163" s="122"/>
      <c r="BB163" s="122"/>
      <c r="BC163" s="122"/>
      <c r="BD163" s="122"/>
      <c r="BE163" s="122"/>
      <c r="BF163" s="122"/>
      <c r="BG163" s="122"/>
      <c r="BH163" s="122"/>
      <c r="BI163" s="122"/>
      <c r="BJ163" s="122"/>
      <c r="BK163" s="122"/>
      <c r="BL163" s="122"/>
      <c r="BM163" s="122"/>
      <c r="BN163" s="122"/>
      <c r="BO163" s="122"/>
      <c r="BP163" s="122"/>
      <c r="BQ163" s="122"/>
      <c r="BR163" s="122"/>
      <c r="BS163" s="122"/>
      <c r="BT163" s="122"/>
      <c r="BU163" s="122"/>
      <c r="BV163" s="122"/>
      <c r="BW163" s="122"/>
      <c r="BX163" s="122"/>
      <c r="BY163" s="122"/>
      <c r="BZ163" s="122"/>
      <c r="CA163" s="122"/>
      <c r="CB163" s="122"/>
      <c r="CC163" s="122"/>
      <c r="CD163" s="122"/>
      <c r="CE163" s="122"/>
      <c r="CF163" s="122"/>
      <c r="CG163" s="122"/>
      <c r="CH163" s="122"/>
      <c r="CI163" s="122"/>
      <c r="CJ163" s="122"/>
      <c r="CK163" s="122"/>
      <c r="CL163" s="122"/>
      <c r="CM163" s="122"/>
      <c r="CN163" s="122"/>
      <c r="CO163" s="122"/>
      <c r="CP163" s="122"/>
      <c r="CQ163" s="122"/>
      <c r="CR163" s="122"/>
      <c r="CS163" s="122"/>
      <c r="CT163" s="122"/>
      <c r="CU163" s="122"/>
      <c r="CV163" s="122"/>
      <c r="CW163" s="122"/>
      <c r="CX163" s="122"/>
      <c r="CY163" s="122"/>
      <c r="CZ163" s="122"/>
      <c r="DA163" s="122"/>
      <c r="DB163" s="122"/>
      <c r="DC163" s="122"/>
      <c r="DD163" s="122"/>
      <c r="DE163" s="122"/>
      <c r="DF163" s="122"/>
      <c r="DG163" s="122"/>
      <c r="DH163" s="122"/>
      <c r="DI163" s="122"/>
      <c r="DJ163" s="122"/>
      <c r="DK163" s="122"/>
      <c r="DL163" s="122"/>
      <c r="DM163" s="122"/>
      <c r="DN163" s="122"/>
      <c r="DO163" s="122"/>
      <c r="DP163" s="122"/>
      <c r="DQ163" s="122"/>
      <c r="DR163" s="122"/>
      <c r="DS163" s="122"/>
      <c r="DT163" s="122"/>
      <c r="DU163" s="122"/>
      <c r="DV163" s="122"/>
      <c r="DW163" s="122"/>
      <c r="DX163" s="122"/>
      <c r="DY163" s="122"/>
      <c r="DZ163" s="122"/>
      <c r="EA163" s="122"/>
      <c r="EB163" s="122"/>
      <c r="EC163" s="122"/>
      <c r="ED163" s="122"/>
      <c r="EE163" s="122"/>
      <c r="EF163" s="122"/>
      <c r="EG163" s="122"/>
      <c r="EH163" s="122"/>
      <c r="EI163" s="122"/>
      <c r="EJ163" s="122"/>
      <c r="EK163" s="122"/>
      <c r="EL163" s="122"/>
      <c r="EM163" s="122"/>
      <c r="EN163" s="122"/>
      <c r="EO163" s="122"/>
      <c r="EP163" s="122"/>
      <c r="EQ163" s="122"/>
      <c r="ER163" s="122"/>
      <c r="ES163" s="122"/>
      <c r="ET163" s="122"/>
      <c r="EU163" s="122"/>
      <c r="EV163" s="122"/>
      <c r="EW163" s="122"/>
      <c r="EX163" s="122"/>
      <c r="EY163" s="122"/>
      <c r="EZ163" s="122"/>
      <c r="FA163" s="122"/>
      <c r="FB163" s="122"/>
      <c r="FC163" s="122"/>
      <c r="FD163" s="122"/>
      <c r="FE163" s="122"/>
      <c r="FF163" s="122"/>
      <c r="FG163" s="122"/>
      <c r="FH163" s="122"/>
      <c r="FI163" s="122"/>
      <c r="FJ163" s="122"/>
      <c r="FK163" s="122"/>
      <c r="FL163" s="122"/>
      <c r="FM163" s="122"/>
      <c r="FN163" s="122"/>
      <c r="FO163" s="122"/>
      <c r="FP163" s="122"/>
      <c r="FQ163" s="122"/>
      <c r="FR163" s="122"/>
      <c r="FS163" s="122"/>
      <c r="FT163" s="122"/>
      <c r="FU163" s="122"/>
      <c r="FV163" s="122"/>
      <c r="FW163" s="122"/>
      <c r="FX163" s="122"/>
      <c r="FY163" s="122"/>
      <c r="FZ163" s="122"/>
      <c r="GA163" s="122"/>
      <c r="GB163" s="122"/>
      <c r="GC163" s="122"/>
      <c r="GD163" s="122"/>
      <c r="GE163" s="122"/>
      <c r="GF163" s="122"/>
      <c r="GG163" s="122"/>
      <c r="GH163" s="122"/>
      <c r="GI163" s="122"/>
      <c r="GJ163" s="122"/>
      <c r="GK163" s="122"/>
      <c r="GL163" s="122"/>
      <c r="GM163" s="122"/>
      <c r="GN163" s="122"/>
      <c r="GO163" s="122"/>
      <c r="GP163" s="122"/>
      <c r="GQ163" s="122"/>
      <c r="GR163" s="122"/>
      <c r="GS163" s="122"/>
      <c r="GT163" s="122"/>
      <c r="GU163" s="122"/>
      <c r="GV163" s="122"/>
      <c r="GW163" s="122"/>
      <c r="GX163" s="122"/>
      <c r="GY163" s="122"/>
      <c r="GZ163" s="122"/>
      <c r="HA163" s="122"/>
      <c r="HB163" s="122"/>
      <c r="HC163" s="122"/>
      <c r="HD163" s="122"/>
      <c r="HE163" s="122"/>
      <c r="HF163" s="122"/>
      <c r="HG163" s="122"/>
      <c r="HH163" s="122"/>
      <c r="HI163" s="122"/>
      <c r="HJ163" s="122"/>
      <c r="HK163" s="122"/>
      <c r="HL163" s="122"/>
      <c r="HM163" s="122"/>
      <c r="HN163" s="122"/>
      <c r="HO163" s="122"/>
      <c r="HP163" s="122"/>
      <c r="HQ163" s="122"/>
      <c r="HR163" s="122"/>
      <c r="HS163" s="122"/>
      <c r="HT163" s="122"/>
      <c r="HU163" s="122"/>
      <c r="HV163" s="122"/>
      <c r="HW163" s="122"/>
      <c r="HX163" s="122"/>
      <c r="HY163" s="122"/>
      <c r="HZ163" s="122"/>
      <c r="IA163" s="122"/>
      <c r="IB163" s="122"/>
      <c r="IC163" s="122"/>
      <c r="ID163" s="122"/>
      <c r="IE163" s="122"/>
      <c r="IF163" s="122"/>
      <c r="IG163" s="122"/>
      <c r="IH163" s="122"/>
      <c r="II163" s="122"/>
      <c r="IJ163" s="122"/>
      <c r="IK163" s="122"/>
      <c r="IL163" s="122"/>
      <c r="IM163" s="122"/>
      <c r="IN163" s="122"/>
      <c r="IO163" s="122"/>
      <c r="IP163" s="122"/>
      <c r="IQ163" s="122"/>
      <c r="IR163" s="122"/>
      <c r="IS163" s="122"/>
      <c r="IT163" s="122"/>
      <c r="IU163" s="122"/>
      <c r="IV163" s="122"/>
      <c r="IW163" s="122"/>
      <c r="IX163" s="122"/>
      <c r="IY163" s="122"/>
      <c r="IZ163" s="122"/>
      <c r="JA163" s="122"/>
      <c r="JB163" s="122"/>
      <c r="JC163" s="122"/>
      <c r="JD163" s="122"/>
      <c r="JE163" s="122"/>
      <c r="JF163" s="122"/>
      <c r="JG163" s="122"/>
      <c r="JH163" s="122"/>
      <c r="JI163" s="119"/>
      <c r="JJ163" s="2"/>
      <c r="JK163" s="122"/>
      <c r="JL163" s="125"/>
      <c r="JM163" s="125"/>
      <c r="JN163" s="125"/>
      <c r="JO163" s="125"/>
      <c r="JP163" s="125"/>
    </row>
    <row r="164" spans="1:276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  <c r="AU164" s="122"/>
      <c r="AV164" s="122"/>
      <c r="AW164" s="122"/>
      <c r="AX164" s="122"/>
      <c r="AY164" s="122"/>
      <c r="AZ164" s="122"/>
      <c r="BA164" s="122"/>
      <c r="BB164" s="122"/>
      <c r="BC164" s="122"/>
      <c r="BD164" s="122"/>
      <c r="BE164" s="122"/>
      <c r="BF164" s="122"/>
      <c r="BG164" s="122"/>
      <c r="BH164" s="122"/>
      <c r="BI164" s="122"/>
      <c r="BJ164" s="122"/>
      <c r="BK164" s="122"/>
      <c r="BL164" s="122"/>
      <c r="BM164" s="122"/>
      <c r="BN164" s="122"/>
      <c r="BO164" s="122"/>
      <c r="BP164" s="122"/>
      <c r="BQ164" s="122"/>
      <c r="BR164" s="122"/>
      <c r="BS164" s="122"/>
      <c r="BT164" s="122"/>
      <c r="BU164" s="122"/>
      <c r="BV164" s="122"/>
      <c r="BW164" s="122"/>
      <c r="BX164" s="122"/>
      <c r="BY164" s="122"/>
      <c r="BZ164" s="122"/>
      <c r="CA164" s="122"/>
      <c r="CB164" s="122"/>
      <c r="CC164" s="122"/>
      <c r="CD164" s="122"/>
      <c r="CE164" s="122"/>
      <c r="CF164" s="122"/>
      <c r="CG164" s="122"/>
      <c r="CH164" s="122"/>
      <c r="CI164" s="122"/>
      <c r="CJ164" s="122"/>
      <c r="CK164" s="122"/>
      <c r="CL164" s="122"/>
      <c r="CM164" s="122"/>
      <c r="CN164" s="122"/>
      <c r="CO164" s="122"/>
      <c r="CP164" s="122"/>
      <c r="CQ164" s="122"/>
      <c r="CR164" s="122"/>
      <c r="CS164" s="122"/>
      <c r="CT164" s="122"/>
      <c r="CU164" s="122"/>
      <c r="CV164" s="122"/>
      <c r="CW164" s="122"/>
      <c r="CX164" s="122"/>
      <c r="CY164" s="122"/>
      <c r="CZ164" s="122"/>
      <c r="DA164" s="122"/>
      <c r="DB164" s="122"/>
      <c r="DC164" s="122"/>
      <c r="DD164" s="122"/>
      <c r="DE164" s="122"/>
      <c r="DF164" s="122"/>
      <c r="DG164" s="122"/>
      <c r="DH164" s="122"/>
      <c r="DI164" s="122"/>
      <c r="DJ164" s="122"/>
      <c r="DK164" s="122"/>
      <c r="DL164" s="122"/>
      <c r="DM164" s="122"/>
      <c r="DN164" s="122"/>
      <c r="DO164" s="122"/>
      <c r="DP164" s="122"/>
      <c r="DQ164" s="122"/>
      <c r="DR164" s="122"/>
      <c r="DS164" s="122"/>
      <c r="DT164" s="122"/>
      <c r="DU164" s="122"/>
      <c r="DV164" s="122"/>
      <c r="DW164" s="122"/>
      <c r="DX164" s="122"/>
      <c r="DY164" s="122"/>
      <c r="DZ164" s="122"/>
      <c r="EA164" s="122"/>
      <c r="EB164" s="122"/>
      <c r="EC164" s="122"/>
      <c r="ED164" s="122"/>
      <c r="EE164" s="122"/>
      <c r="EF164" s="122"/>
      <c r="EG164" s="122"/>
      <c r="EH164" s="122"/>
      <c r="EI164" s="122"/>
      <c r="EJ164" s="122"/>
      <c r="EK164" s="122"/>
      <c r="EL164" s="122"/>
      <c r="EM164" s="122"/>
      <c r="EN164" s="122"/>
      <c r="EO164" s="122"/>
      <c r="EP164" s="122"/>
      <c r="EQ164" s="122"/>
      <c r="ER164" s="122"/>
      <c r="ES164" s="122"/>
      <c r="ET164" s="122"/>
      <c r="EU164" s="122"/>
      <c r="EV164" s="122"/>
      <c r="EW164" s="122"/>
      <c r="EX164" s="122"/>
      <c r="EY164" s="122"/>
      <c r="EZ164" s="122"/>
      <c r="FA164" s="122"/>
      <c r="FB164" s="122"/>
      <c r="FC164" s="122"/>
      <c r="FD164" s="122"/>
      <c r="FE164" s="122"/>
      <c r="FF164" s="122"/>
      <c r="FG164" s="122"/>
      <c r="FH164" s="122"/>
      <c r="FI164" s="122"/>
      <c r="FJ164" s="122"/>
      <c r="FK164" s="122"/>
      <c r="FL164" s="122"/>
      <c r="FM164" s="122"/>
      <c r="FN164" s="122"/>
      <c r="FO164" s="122"/>
      <c r="FP164" s="122"/>
      <c r="FQ164" s="122"/>
      <c r="FR164" s="122"/>
      <c r="FS164" s="122"/>
      <c r="FT164" s="122"/>
      <c r="FU164" s="122"/>
      <c r="FV164" s="122"/>
      <c r="FW164" s="122"/>
      <c r="FX164" s="122"/>
      <c r="FY164" s="122"/>
      <c r="FZ164" s="122"/>
      <c r="GA164" s="122"/>
      <c r="GB164" s="122"/>
      <c r="GC164" s="122"/>
      <c r="GD164" s="122"/>
      <c r="GE164" s="122"/>
      <c r="GF164" s="122"/>
      <c r="GG164" s="122"/>
      <c r="GH164" s="122"/>
      <c r="GI164" s="122"/>
      <c r="GJ164" s="122"/>
      <c r="GK164" s="122"/>
      <c r="GL164" s="122"/>
      <c r="GM164" s="122"/>
      <c r="GN164" s="122"/>
      <c r="GO164" s="122"/>
      <c r="GP164" s="122"/>
      <c r="GQ164" s="122"/>
      <c r="GR164" s="122"/>
      <c r="GS164" s="122"/>
      <c r="GT164" s="122"/>
      <c r="GU164" s="122"/>
      <c r="GV164" s="122"/>
      <c r="GW164" s="122"/>
      <c r="GX164" s="122"/>
      <c r="GY164" s="122"/>
      <c r="GZ164" s="122"/>
      <c r="HA164" s="122"/>
      <c r="HB164" s="122"/>
      <c r="HC164" s="122"/>
      <c r="HD164" s="122"/>
      <c r="HE164" s="122"/>
      <c r="HF164" s="122"/>
      <c r="HG164" s="122"/>
      <c r="HH164" s="122"/>
      <c r="HI164" s="122"/>
      <c r="HJ164" s="122"/>
      <c r="HK164" s="122"/>
      <c r="HL164" s="122"/>
      <c r="HM164" s="122"/>
      <c r="HN164" s="122"/>
      <c r="HO164" s="122"/>
      <c r="HP164" s="122"/>
      <c r="HQ164" s="122"/>
      <c r="HR164" s="122"/>
      <c r="HS164" s="122"/>
      <c r="HT164" s="122"/>
      <c r="HU164" s="122"/>
      <c r="HV164" s="122"/>
      <c r="HW164" s="122"/>
      <c r="HX164" s="122"/>
      <c r="HY164" s="122"/>
      <c r="HZ164" s="122"/>
      <c r="IA164" s="122"/>
      <c r="IB164" s="122"/>
      <c r="IC164" s="122"/>
      <c r="ID164" s="122"/>
      <c r="IE164" s="122"/>
      <c r="IF164" s="122"/>
      <c r="IG164" s="122"/>
      <c r="IH164" s="122"/>
      <c r="II164" s="122"/>
      <c r="IJ164" s="122"/>
      <c r="IK164" s="122"/>
      <c r="IL164" s="122"/>
      <c r="IM164" s="122"/>
      <c r="IN164" s="122"/>
      <c r="IO164" s="122"/>
      <c r="IP164" s="122"/>
      <c r="IQ164" s="122"/>
      <c r="IR164" s="122"/>
      <c r="IS164" s="122"/>
      <c r="IT164" s="122"/>
      <c r="IU164" s="122"/>
      <c r="IV164" s="122"/>
      <c r="IW164" s="122"/>
      <c r="IX164" s="122"/>
      <c r="IY164" s="122"/>
      <c r="IZ164" s="122"/>
      <c r="JA164" s="122"/>
      <c r="JB164" s="122"/>
      <c r="JC164" s="122"/>
      <c r="JD164" s="122"/>
      <c r="JE164" s="122"/>
      <c r="JF164" s="122"/>
      <c r="JG164" s="122"/>
      <c r="JH164" s="122"/>
      <c r="JI164" s="119"/>
      <c r="JJ164" s="2"/>
      <c r="JK164" s="122"/>
      <c r="JL164" s="125"/>
      <c r="JM164" s="125"/>
      <c r="JN164" s="125"/>
      <c r="JO164" s="125"/>
      <c r="JP164" s="125"/>
    </row>
    <row r="165" spans="1:276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  <c r="AS165" s="122"/>
      <c r="AT165" s="122"/>
      <c r="AU165" s="122"/>
      <c r="AV165" s="122"/>
      <c r="AW165" s="122"/>
      <c r="AX165" s="122"/>
      <c r="AY165" s="122"/>
      <c r="AZ165" s="122"/>
      <c r="BA165" s="122"/>
      <c r="BB165" s="122"/>
      <c r="BC165" s="122"/>
      <c r="BD165" s="122"/>
      <c r="BE165" s="122"/>
      <c r="BF165" s="122"/>
      <c r="BG165" s="122"/>
      <c r="BH165" s="122"/>
      <c r="BI165" s="122"/>
      <c r="BJ165" s="122"/>
      <c r="BK165" s="122"/>
      <c r="BL165" s="122"/>
      <c r="BM165" s="122"/>
      <c r="BN165" s="122"/>
      <c r="BO165" s="122"/>
      <c r="BP165" s="122"/>
      <c r="BQ165" s="122"/>
      <c r="BR165" s="122"/>
      <c r="BS165" s="122"/>
      <c r="BT165" s="122"/>
      <c r="BU165" s="122"/>
      <c r="BV165" s="122"/>
      <c r="BW165" s="122"/>
      <c r="BX165" s="122"/>
      <c r="BY165" s="122"/>
      <c r="BZ165" s="122"/>
      <c r="CA165" s="122"/>
      <c r="CB165" s="122"/>
      <c r="CC165" s="122"/>
      <c r="CD165" s="122"/>
      <c r="CE165" s="122"/>
      <c r="CF165" s="122"/>
      <c r="CG165" s="122"/>
      <c r="CH165" s="122"/>
      <c r="CI165" s="122"/>
      <c r="CJ165" s="122"/>
      <c r="CK165" s="122"/>
      <c r="CL165" s="122"/>
      <c r="CM165" s="122"/>
      <c r="CN165" s="122"/>
      <c r="CO165" s="122"/>
      <c r="CP165" s="122"/>
      <c r="CQ165" s="122"/>
      <c r="CR165" s="122"/>
      <c r="CS165" s="122"/>
      <c r="CT165" s="122"/>
      <c r="CU165" s="122"/>
      <c r="CV165" s="122"/>
      <c r="CW165" s="122"/>
      <c r="CX165" s="122"/>
      <c r="CY165" s="122"/>
      <c r="CZ165" s="122"/>
      <c r="DA165" s="122"/>
      <c r="DB165" s="122"/>
      <c r="DC165" s="122"/>
      <c r="DD165" s="122"/>
      <c r="DE165" s="122"/>
      <c r="DF165" s="122"/>
      <c r="DG165" s="122"/>
      <c r="DH165" s="122"/>
      <c r="DI165" s="122"/>
      <c r="DJ165" s="122"/>
      <c r="DK165" s="122"/>
      <c r="DL165" s="122"/>
      <c r="DM165" s="122"/>
      <c r="DN165" s="122"/>
      <c r="DO165" s="122"/>
      <c r="DP165" s="122"/>
      <c r="DQ165" s="122"/>
      <c r="DR165" s="122"/>
      <c r="DS165" s="122"/>
      <c r="DT165" s="122"/>
      <c r="DU165" s="122"/>
      <c r="DV165" s="122"/>
      <c r="DW165" s="122"/>
      <c r="DX165" s="122"/>
      <c r="DY165" s="122"/>
      <c r="DZ165" s="122"/>
      <c r="EA165" s="122"/>
      <c r="EB165" s="122"/>
      <c r="EC165" s="122"/>
      <c r="ED165" s="122"/>
      <c r="EE165" s="122"/>
      <c r="EF165" s="122"/>
      <c r="EG165" s="122"/>
      <c r="EH165" s="122"/>
      <c r="EI165" s="122"/>
      <c r="EJ165" s="122"/>
      <c r="EK165" s="122"/>
      <c r="EL165" s="122"/>
      <c r="EM165" s="122"/>
      <c r="EN165" s="122"/>
      <c r="EO165" s="122"/>
      <c r="EP165" s="122"/>
      <c r="EQ165" s="122"/>
      <c r="ER165" s="122"/>
      <c r="ES165" s="122"/>
      <c r="ET165" s="122"/>
      <c r="EU165" s="122"/>
      <c r="EV165" s="122"/>
      <c r="EW165" s="122"/>
      <c r="EX165" s="122"/>
      <c r="EY165" s="122"/>
      <c r="EZ165" s="122"/>
      <c r="FA165" s="122"/>
      <c r="FB165" s="122"/>
      <c r="FC165" s="122"/>
      <c r="FD165" s="122"/>
      <c r="FE165" s="122"/>
      <c r="FF165" s="122"/>
      <c r="FG165" s="122"/>
      <c r="FH165" s="122"/>
      <c r="FI165" s="122"/>
      <c r="FJ165" s="122"/>
      <c r="FK165" s="122"/>
      <c r="FL165" s="122"/>
      <c r="FM165" s="122"/>
      <c r="FN165" s="122"/>
      <c r="FO165" s="122"/>
      <c r="FP165" s="122"/>
      <c r="FQ165" s="122"/>
      <c r="FR165" s="122"/>
      <c r="FS165" s="122"/>
      <c r="FT165" s="122"/>
      <c r="FU165" s="122"/>
      <c r="FV165" s="122"/>
      <c r="FW165" s="122"/>
      <c r="FX165" s="122"/>
      <c r="FY165" s="122"/>
      <c r="FZ165" s="122"/>
      <c r="GA165" s="122"/>
      <c r="GB165" s="122"/>
      <c r="GC165" s="122"/>
      <c r="GD165" s="122"/>
      <c r="GE165" s="122"/>
      <c r="GF165" s="122"/>
      <c r="GG165" s="122"/>
      <c r="GH165" s="122"/>
      <c r="GI165" s="122"/>
      <c r="GJ165" s="122"/>
      <c r="GK165" s="122"/>
      <c r="GL165" s="122"/>
      <c r="GM165" s="122"/>
      <c r="GN165" s="122"/>
      <c r="GO165" s="122"/>
      <c r="GP165" s="122"/>
      <c r="GQ165" s="122"/>
      <c r="GR165" s="122"/>
      <c r="GS165" s="122"/>
      <c r="GT165" s="122"/>
      <c r="GU165" s="122"/>
      <c r="GV165" s="122"/>
      <c r="GW165" s="122"/>
      <c r="GX165" s="122"/>
      <c r="GY165" s="122"/>
      <c r="GZ165" s="122"/>
      <c r="HA165" s="122"/>
      <c r="HB165" s="122"/>
      <c r="HC165" s="122"/>
      <c r="HD165" s="122"/>
      <c r="HE165" s="122"/>
      <c r="HF165" s="122"/>
      <c r="HG165" s="122"/>
      <c r="HH165" s="122"/>
      <c r="HI165" s="122"/>
      <c r="HJ165" s="122"/>
      <c r="HK165" s="122"/>
      <c r="HL165" s="122"/>
      <c r="HM165" s="122"/>
      <c r="HN165" s="122"/>
      <c r="HO165" s="122"/>
      <c r="HP165" s="122"/>
      <c r="HQ165" s="122"/>
      <c r="HR165" s="122"/>
      <c r="HS165" s="122"/>
      <c r="HT165" s="122"/>
      <c r="HU165" s="122"/>
      <c r="HV165" s="122"/>
      <c r="HW165" s="122"/>
      <c r="HX165" s="122"/>
      <c r="HY165" s="122"/>
      <c r="HZ165" s="122"/>
      <c r="IA165" s="122"/>
      <c r="IB165" s="122"/>
      <c r="IC165" s="122"/>
      <c r="ID165" s="122"/>
      <c r="IE165" s="122"/>
      <c r="IF165" s="122"/>
      <c r="IG165" s="122"/>
      <c r="IH165" s="122"/>
      <c r="II165" s="122"/>
      <c r="IJ165" s="122"/>
      <c r="IK165" s="122"/>
      <c r="IL165" s="122"/>
      <c r="IM165" s="122"/>
      <c r="IN165" s="122"/>
      <c r="IO165" s="122"/>
      <c r="IP165" s="122"/>
      <c r="IQ165" s="122"/>
      <c r="IR165" s="122"/>
      <c r="IS165" s="122"/>
      <c r="IT165" s="122"/>
      <c r="IU165" s="122"/>
      <c r="IV165" s="122"/>
      <c r="IW165" s="122"/>
      <c r="IX165" s="122"/>
      <c r="IY165" s="122"/>
      <c r="IZ165" s="122"/>
      <c r="JA165" s="122"/>
      <c r="JB165" s="122"/>
      <c r="JC165" s="122"/>
      <c r="JD165" s="122"/>
      <c r="JE165" s="122"/>
      <c r="JF165" s="122"/>
      <c r="JG165" s="122"/>
      <c r="JH165" s="122"/>
      <c r="JI165" s="119"/>
      <c r="JJ165" s="2"/>
      <c r="JK165" s="122"/>
      <c r="JL165" s="125"/>
      <c r="JM165" s="125"/>
      <c r="JN165" s="125"/>
      <c r="JO165" s="125"/>
      <c r="JP165" s="125"/>
    </row>
    <row r="166" spans="1:27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  <c r="AS166" s="122"/>
      <c r="AT166" s="122"/>
      <c r="AU166" s="122"/>
      <c r="AV166" s="122"/>
      <c r="AW166" s="122"/>
      <c r="AX166" s="122"/>
      <c r="AY166" s="122"/>
      <c r="AZ166" s="122"/>
      <c r="BA166" s="122"/>
      <c r="BB166" s="122"/>
      <c r="BC166" s="122"/>
      <c r="BD166" s="122"/>
      <c r="BE166" s="122"/>
      <c r="BF166" s="122"/>
      <c r="BG166" s="122"/>
      <c r="BH166" s="122"/>
      <c r="BI166" s="122"/>
      <c r="BJ166" s="122"/>
      <c r="BK166" s="122"/>
      <c r="BL166" s="122"/>
      <c r="BM166" s="122"/>
      <c r="BN166" s="122"/>
      <c r="BO166" s="122"/>
      <c r="BP166" s="122"/>
      <c r="BQ166" s="122"/>
      <c r="BR166" s="122"/>
      <c r="BS166" s="122"/>
      <c r="BT166" s="122"/>
      <c r="BU166" s="122"/>
      <c r="BV166" s="122"/>
      <c r="BW166" s="122"/>
      <c r="BX166" s="122"/>
      <c r="BY166" s="122"/>
      <c r="BZ166" s="122"/>
      <c r="CA166" s="122"/>
      <c r="CB166" s="122"/>
      <c r="CC166" s="122"/>
      <c r="CD166" s="122"/>
      <c r="CE166" s="122"/>
      <c r="CF166" s="122"/>
      <c r="CG166" s="122"/>
      <c r="CH166" s="122"/>
      <c r="CI166" s="122"/>
      <c r="CJ166" s="122"/>
      <c r="CK166" s="122"/>
      <c r="CL166" s="122"/>
      <c r="CM166" s="122"/>
      <c r="CN166" s="122"/>
      <c r="CO166" s="122"/>
      <c r="CP166" s="122"/>
      <c r="CQ166" s="122"/>
      <c r="CR166" s="122"/>
      <c r="CS166" s="122"/>
      <c r="CT166" s="122"/>
      <c r="CU166" s="122"/>
      <c r="CV166" s="122"/>
      <c r="CW166" s="122"/>
      <c r="CX166" s="122"/>
      <c r="CY166" s="122"/>
      <c r="CZ166" s="122"/>
      <c r="DA166" s="122"/>
      <c r="DB166" s="122"/>
      <c r="DC166" s="122"/>
      <c r="DD166" s="122"/>
      <c r="DE166" s="122"/>
      <c r="DF166" s="122"/>
      <c r="DG166" s="122"/>
      <c r="DH166" s="122"/>
      <c r="DI166" s="122"/>
      <c r="DJ166" s="122"/>
      <c r="DK166" s="122"/>
      <c r="DL166" s="122"/>
      <c r="DM166" s="122"/>
      <c r="DN166" s="122"/>
      <c r="DO166" s="122"/>
      <c r="DP166" s="122"/>
      <c r="DQ166" s="122"/>
      <c r="DR166" s="122"/>
      <c r="DS166" s="122"/>
      <c r="DT166" s="122"/>
      <c r="DU166" s="122"/>
      <c r="DV166" s="122"/>
      <c r="DW166" s="122"/>
      <c r="DX166" s="122"/>
      <c r="DY166" s="122"/>
      <c r="DZ166" s="122"/>
      <c r="EA166" s="122"/>
      <c r="EB166" s="122"/>
      <c r="EC166" s="122"/>
      <c r="ED166" s="122"/>
      <c r="EE166" s="122"/>
      <c r="EF166" s="122"/>
      <c r="EG166" s="122"/>
      <c r="EH166" s="122"/>
      <c r="EI166" s="122"/>
      <c r="EJ166" s="122"/>
      <c r="EK166" s="122"/>
      <c r="EL166" s="122"/>
      <c r="EM166" s="122"/>
      <c r="EN166" s="122"/>
      <c r="EO166" s="122"/>
      <c r="EP166" s="122"/>
      <c r="EQ166" s="122"/>
      <c r="ER166" s="122"/>
      <c r="ES166" s="122"/>
      <c r="ET166" s="122"/>
      <c r="EU166" s="122"/>
      <c r="EV166" s="122"/>
      <c r="EW166" s="122"/>
      <c r="EX166" s="122"/>
      <c r="EY166" s="122"/>
      <c r="EZ166" s="122"/>
      <c r="FA166" s="122"/>
      <c r="FB166" s="122"/>
      <c r="FC166" s="122"/>
      <c r="FD166" s="122"/>
      <c r="FE166" s="122"/>
      <c r="FF166" s="122"/>
      <c r="FG166" s="122"/>
      <c r="FH166" s="122"/>
      <c r="FI166" s="122"/>
      <c r="FJ166" s="122"/>
      <c r="FK166" s="122"/>
      <c r="FL166" s="122"/>
      <c r="FM166" s="122"/>
      <c r="FN166" s="122"/>
      <c r="FO166" s="122"/>
      <c r="FP166" s="122"/>
      <c r="FQ166" s="122"/>
      <c r="FR166" s="122"/>
      <c r="FS166" s="122"/>
      <c r="FT166" s="122"/>
      <c r="FU166" s="122"/>
      <c r="FV166" s="122"/>
      <c r="FW166" s="122"/>
      <c r="FX166" s="122"/>
      <c r="FY166" s="122"/>
      <c r="FZ166" s="122"/>
      <c r="GA166" s="122"/>
      <c r="GB166" s="122"/>
      <c r="GC166" s="122"/>
      <c r="GD166" s="122"/>
      <c r="GE166" s="122"/>
      <c r="GF166" s="122"/>
      <c r="GG166" s="122"/>
      <c r="GH166" s="122"/>
      <c r="GI166" s="122"/>
      <c r="GJ166" s="122"/>
      <c r="GK166" s="122"/>
      <c r="GL166" s="122"/>
      <c r="GM166" s="122"/>
      <c r="GN166" s="122"/>
      <c r="GO166" s="122"/>
      <c r="GP166" s="122"/>
      <c r="GQ166" s="122"/>
      <c r="GR166" s="122"/>
      <c r="GS166" s="122"/>
      <c r="GT166" s="122"/>
      <c r="GU166" s="122"/>
      <c r="GV166" s="122"/>
      <c r="GW166" s="122"/>
      <c r="GX166" s="122"/>
      <c r="GY166" s="122"/>
      <c r="GZ166" s="122"/>
      <c r="HA166" s="122"/>
      <c r="HB166" s="122"/>
      <c r="HC166" s="122"/>
      <c r="HD166" s="122"/>
      <c r="HE166" s="122"/>
      <c r="HF166" s="122"/>
      <c r="HG166" s="122"/>
      <c r="HH166" s="122"/>
      <c r="HI166" s="122"/>
      <c r="HJ166" s="122"/>
      <c r="HK166" s="122"/>
      <c r="HL166" s="122"/>
      <c r="HM166" s="122"/>
      <c r="HN166" s="122"/>
      <c r="HO166" s="122"/>
      <c r="HP166" s="122"/>
      <c r="HQ166" s="122"/>
      <c r="HR166" s="122"/>
      <c r="HS166" s="122"/>
      <c r="HT166" s="122"/>
      <c r="HU166" s="122"/>
      <c r="HV166" s="122"/>
      <c r="HW166" s="122"/>
      <c r="HX166" s="122"/>
      <c r="HY166" s="122"/>
      <c r="HZ166" s="122"/>
      <c r="IA166" s="122"/>
      <c r="IB166" s="122"/>
      <c r="IC166" s="122"/>
      <c r="ID166" s="122"/>
      <c r="IE166" s="122"/>
      <c r="IF166" s="122"/>
      <c r="IG166" s="122"/>
      <c r="IH166" s="122"/>
      <c r="II166" s="122"/>
      <c r="IJ166" s="122"/>
      <c r="IK166" s="122"/>
      <c r="IL166" s="122"/>
      <c r="IM166" s="122"/>
      <c r="IN166" s="122"/>
      <c r="IO166" s="122"/>
      <c r="IP166" s="122"/>
      <c r="IQ166" s="122"/>
      <c r="IR166" s="122"/>
      <c r="IS166" s="122"/>
      <c r="IT166" s="122"/>
      <c r="IU166" s="122"/>
      <c r="IV166" s="122"/>
      <c r="IW166" s="122"/>
      <c r="IX166" s="122"/>
      <c r="IY166" s="122"/>
      <c r="IZ166" s="122"/>
      <c r="JA166" s="122"/>
      <c r="JB166" s="122"/>
      <c r="JC166" s="122"/>
      <c r="JD166" s="122"/>
      <c r="JE166" s="122"/>
      <c r="JF166" s="122"/>
      <c r="JG166" s="122"/>
      <c r="JH166" s="122"/>
      <c r="JI166" s="119"/>
      <c r="JJ166" s="2"/>
      <c r="JK166" s="122"/>
      <c r="JL166" s="125"/>
      <c r="JM166" s="125"/>
      <c r="JN166" s="125"/>
      <c r="JO166" s="125"/>
      <c r="JP166" s="125"/>
    </row>
    <row r="167" spans="1:276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  <c r="AU167" s="122"/>
      <c r="AV167" s="122"/>
      <c r="AW167" s="122"/>
      <c r="AX167" s="122"/>
      <c r="AY167" s="122"/>
      <c r="AZ167" s="122"/>
      <c r="BA167" s="122"/>
      <c r="BB167" s="122"/>
      <c r="BC167" s="122"/>
      <c r="BD167" s="122"/>
      <c r="BE167" s="122"/>
      <c r="BF167" s="122"/>
      <c r="BG167" s="122"/>
      <c r="BH167" s="122"/>
      <c r="BI167" s="122"/>
      <c r="BJ167" s="122"/>
      <c r="BK167" s="122"/>
      <c r="BL167" s="122"/>
      <c r="BM167" s="122"/>
      <c r="BN167" s="122"/>
      <c r="BO167" s="122"/>
      <c r="BP167" s="122"/>
      <c r="BQ167" s="122"/>
      <c r="BR167" s="122"/>
      <c r="BS167" s="122"/>
      <c r="BT167" s="122"/>
      <c r="BU167" s="122"/>
      <c r="BV167" s="122"/>
      <c r="BW167" s="122"/>
      <c r="BX167" s="122"/>
      <c r="BY167" s="122"/>
      <c r="BZ167" s="122"/>
      <c r="CA167" s="122"/>
      <c r="CB167" s="122"/>
      <c r="CC167" s="122"/>
      <c r="CD167" s="122"/>
      <c r="CE167" s="122"/>
      <c r="CF167" s="122"/>
      <c r="CG167" s="122"/>
      <c r="CH167" s="122"/>
      <c r="CI167" s="122"/>
      <c r="CJ167" s="122"/>
      <c r="CK167" s="122"/>
      <c r="CL167" s="122"/>
      <c r="CM167" s="122"/>
      <c r="CN167" s="122"/>
      <c r="CO167" s="122"/>
      <c r="CP167" s="122"/>
      <c r="CQ167" s="122"/>
      <c r="CR167" s="122"/>
      <c r="CS167" s="122"/>
      <c r="CT167" s="122"/>
      <c r="CU167" s="122"/>
      <c r="CV167" s="122"/>
      <c r="CW167" s="122"/>
      <c r="CX167" s="122"/>
      <c r="CY167" s="122"/>
      <c r="CZ167" s="122"/>
      <c r="DA167" s="122"/>
      <c r="DB167" s="122"/>
      <c r="DC167" s="122"/>
      <c r="DD167" s="122"/>
      <c r="DE167" s="122"/>
      <c r="DF167" s="122"/>
      <c r="DG167" s="122"/>
      <c r="DH167" s="122"/>
      <c r="DI167" s="122"/>
      <c r="DJ167" s="122"/>
      <c r="DK167" s="122"/>
      <c r="DL167" s="122"/>
      <c r="DM167" s="122"/>
      <c r="DN167" s="122"/>
      <c r="DO167" s="122"/>
      <c r="DP167" s="122"/>
      <c r="DQ167" s="122"/>
      <c r="DR167" s="122"/>
      <c r="DS167" s="122"/>
      <c r="DT167" s="122"/>
      <c r="DU167" s="122"/>
      <c r="DV167" s="122"/>
      <c r="DW167" s="122"/>
      <c r="DX167" s="122"/>
      <c r="DY167" s="122"/>
      <c r="DZ167" s="122"/>
      <c r="EA167" s="122"/>
      <c r="EB167" s="122"/>
      <c r="EC167" s="122"/>
      <c r="ED167" s="122"/>
      <c r="EE167" s="122"/>
      <c r="EF167" s="122"/>
      <c r="EG167" s="122"/>
      <c r="EH167" s="122"/>
      <c r="EI167" s="122"/>
      <c r="EJ167" s="122"/>
      <c r="EK167" s="122"/>
      <c r="EL167" s="122"/>
      <c r="EM167" s="122"/>
      <c r="EN167" s="122"/>
      <c r="EO167" s="122"/>
      <c r="EP167" s="122"/>
      <c r="EQ167" s="122"/>
      <c r="ER167" s="122"/>
      <c r="ES167" s="122"/>
      <c r="ET167" s="122"/>
      <c r="EU167" s="122"/>
      <c r="EV167" s="122"/>
      <c r="EW167" s="122"/>
      <c r="EX167" s="122"/>
      <c r="EY167" s="122"/>
      <c r="EZ167" s="122"/>
      <c r="FA167" s="122"/>
      <c r="FB167" s="122"/>
      <c r="FC167" s="122"/>
      <c r="FD167" s="122"/>
      <c r="FE167" s="122"/>
      <c r="FF167" s="122"/>
      <c r="FG167" s="122"/>
      <c r="FH167" s="122"/>
      <c r="FI167" s="122"/>
      <c r="FJ167" s="122"/>
      <c r="FK167" s="122"/>
      <c r="FL167" s="122"/>
      <c r="FM167" s="122"/>
      <c r="FN167" s="122"/>
      <c r="FO167" s="122"/>
      <c r="FP167" s="122"/>
      <c r="FQ167" s="122"/>
      <c r="FR167" s="122"/>
      <c r="FS167" s="122"/>
      <c r="FT167" s="122"/>
      <c r="FU167" s="122"/>
      <c r="FV167" s="122"/>
      <c r="FW167" s="122"/>
      <c r="FX167" s="122"/>
      <c r="FY167" s="122"/>
      <c r="FZ167" s="122"/>
      <c r="GA167" s="122"/>
      <c r="GB167" s="122"/>
      <c r="GC167" s="122"/>
      <c r="GD167" s="122"/>
      <c r="GE167" s="122"/>
      <c r="GF167" s="122"/>
      <c r="GG167" s="122"/>
      <c r="GH167" s="122"/>
      <c r="GI167" s="122"/>
      <c r="GJ167" s="122"/>
      <c r="GK167" s="122"/>
      <c r="GL167" s="122"/>
      <c r="GM167" s="122"/>
      <c r="GN167" s="122"/>
      <c r="GO167" s="122"/>
      <c r="GP167" s="122"/>
      <c r="GQ167" s="122"/>
      <c r="GR167" s="122"/>
      <c r="GS167" s="122"/>
      <c r="GT167" s="122"/>
      <c r="GU167" s="122"/>
      <c r="GV167" s="122"/>
      <c r="GW167" s="122"/>
      <c r="GX167" s="122"/>
      <c r="GY167" s="122"/>
      <c r="GZ167" s="122"/>
      <c r="HA167" s="122"/>
      <c r="HB167" s="122"/>
      <c r="HC167" s="122"/>
      <c r="HD167" s="122"/>
      <c r="HE167" s="122"/>
      <c r="HF167" s="122"/>
      <c r="HG167" s="122"/>
      <c r="HH167" s="122"/>
      <c r="HI167" s="122"/>
      <c r="HJ167" s="122"/>
      <c r="HK167" s="122"/>
      <c r="HL167" s="122"/>
      <c r="HM167" s="122"/>
      <c r="HN167" s="122"/>
      <c r="HO167" s="122"/>
      <c r="HP167" s="122"/>
      <c r="HQ167" s="122"/>
      <c r="HR167" s="122"/>
      <c r="HS167" s="122"/>
      <c r="HT167" s="122"/>
      <c r="HU167" s="122"/>
      <c r="HV167" s="122"/>
      <c r="HW167" s="122"/>
      <c r="HX167" s="122"/>
      <c r="HY167" s="122"/>
      <c r="HZ167" s="122"/>
      <c r="IA167" s="122"/>
      <c r="IB167" s="122"/>
      <c r="IC167" s="122"/>
      <c r="ID167" s="122"/>
      <c r="IE167" s="122"/>
      <c r="IF167" s="122"/>
      <c r="IG167" s="122"/>
      <c r="IH167" s="122"/>
      <c r="II167" s="122"/>
      <c r="IJ167" s="122"/>
      <c r="IK167" s="122"/>
      <c r="IL167" s="122"/>
      <c r="IM167" s="122"/>
      <c r="IN167" s="122"/>
      <c r="IO167" s="122"/>
      <c r="IP167" s="122"/>
      <c r="IQ167" s="122"/>
      <c r="IR167" s="122"/>
      <c r="IS167" s="122"/>
      <c r="IT167" s="122"/>
      <c r="IU167" s="122"/>
      <c r="IV167" s="122"/>
      <c r="IW167" s="122"/>
      <c r="IX167" s="122"/>
      <c r="IY167" s="122"/>
      <c r="IZ167" s="122"/>
      <c r="JA167" s="122"/>
      <c r="JB167" s="122"/>
      <c r="JC167" s="122"/>
      <c r="JD167" s="122"/>
      <c r="JE167" s="122"/>
      <c r="JF167" s="122"/>
      <c r="JG167" s="122"/>
      <c r="JH167" s="122"/>
      <c r="JI167" s="119"/>
      <c r="JJ167" s="2"/>
      <c r="JK167" s="122"/>
      <c r="JL167" s="125"/>
      <c r="JM167" s="125"/>
      <c r="JN167" s="125"/>
      <c r="JO167" s="125"/>
      <c r="JP167" s="125"/>
    </row>
    <row r="168" spans="1:276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  <c r="AS168" s="122"/>
      <c r="AT168" s="122"/>
      <c r="AU168" s="122"/>
      <c r="AV168" s="122"/>
      <c r="AW168" s="122"/>
      <c r="AX168" s="122"/>
      <c r="AY168" s="122"/>
      <c r="AZ168" s="122"/>
      <c r="BA168" s="122"/>
      <c r="BB168" s="122"/>
      <c r="BC168" s="122"/>
      <c r="BD168" s="122"/>
      <c r="BE168" s="122"/>
      <c r="BF168" s="122"/>
      <c r="BG168" s="122"/>
      <c r="BH168" s="122"/>
      <c r="BI168" s="122"/>
      <c r="BJ168" s="122"/>
      <c r="BK168" s="122"/>
      <c r="BL168" s="122"/>
      <c r="BM168" s="122"/>
      <c r="BN168" s="122"/>
      <c r="BO168" s="122"/>
      <c r="BP168" s="122"/>
      <c r="BQ168" s="122"/>
      <c r="BR168" s="122"/>
      <c r="BS168" s="122"/>
      <c r="BT168" s="122"/>
      <c r="BU168" s="122"/>
      <c r="BV168" s="122"/>
      <c r="BW168" s="122"/>
      <c r="BX168" s="122"/>
      <c r="BY168" s="122"/>
      <c r="BZ168" s="122"/>
      <c r="CA168" s="122"/>
      <c r="CB168" s="122"/>
      <c r="CC168" s="122"/>
      <c r="CD168" s="122"/>
      <c r="CE168" s="122"/>
      <c r="CF168" s="122"/>
      <c r="CG168" s="122"/>
      <c r="CH168" s="122"/>
      <c r="CI168" s="122"/>
      <c r="CJ168" s="122"/>
      <c r="CK168" s="122"/>
      <c r="CL168" s="122"/>
      <c r="CM168" s="122"/>
      <c r="CN168" s="122"/>
      <c r="CO168" s="122"/>
      <c r="CP168" s="122"/>
      <c r="CQ168" s="122"/>
      <c r="CR168" s="122"/>
      <c r="CS168" s="122"/>
      <c r="CT168" s="122"/>
      <c r="CU168" s="122"/>
      <c r="CV168" s="122"/>
      <c r="CW168" s="122"/>
      <c r="CX168" s="122"/>
      <c r="CY168" s="122"/>
      <c r="CZ168" s="122"/>
      <c r="DA168" s="122"/>
      <c r="DB168" s="122"/>
      <c r="DC168" s="122"/>
      <c r="DD168" s="122"/>
      <c r="DE168" s="122"/>
      <c r="DF168" s="122"/>
      <c r="DG168" s="122"/>
      <c r="DH168" s="122"/>
      <c r="DI168" s="122"/>
      <c r="DJ168" s="122"/>
      <c r="DK168" s="122"/>
      <c r="DL168" s="122"/>
      <c r="DM168" s="122"/>
      <c r="DN168" s="122"/>
      <c r="DO168" s="122"/>
      <c r="DP168" s="122"/>
      <c r="DQ168" s="122"/>
      <c r="DR168" s="122"/>
      <c r="DS168" s="122"/>
      <c r="DT168" s="122"/>
      <c r="DU168" s="122"/>
      <c r="DV168" s="122"/>
      <c r="DW168" s="122"/>
      <c r="DX168" s="122"/>
      <c r="DY168" s="122"/>
      <c r="DZ168" s="122"/>
      <c r="EA168" s="122"/>
      <c r="EB168" s="122"/>
      <c r="EC168" s="122"/>
      <c r="ED168" s="122"/>
      <c r="EE168" s="122"/>
      <c r="EF168" s="122"/>
      <c r="EG168" s="122"/>
      <c r="EH168" s="122"/>
      <c r="EI168" s="122"/>
      <c r="EJ168" s="122"/>
      <c r="EK168" s="122"/>
      <c r="EL168" s="122"/>
      <c r="EM168" s="122"/>
      <c r="EN168" s="122"/>
      <c r="EO168" s="122"/>
      <c r="EP168" s="122"/>
      <c r="EQ168" s="122"/>
      <c r="ER168" s="122"/>
      <c r="ES168" s="122"/>
      <c r="ET168" s="122"/>
      <c r="EU168" s="122"/>
      <c r="EV168" s="122"/>
      <c r="EW168" s="122"/>
      <c r="EX168" s="122"/>
      <c r="EY168" s="122"/>
      <c r="EZ168" s="122"/>
      <c r="FA168" s="122"/>
      <c r="FB168" s="122"/>
      <c r="FC168" s="122"/>
      <c r="FD168" s="122"/>
      <c r="FE168" s="122"/>
      <c r="FF168" s="122"/>
      <c r="FG168" s="122"/>
      <c r="FH168" s="122"/>
      <c r="FI168" s="122"/>
      <c r="FJ168" s="122"/>
      <c r="FK168" s="122"/>
      <c r="FL168" s="122"/>
      <c r="FM168" s="122"/>
      <c r="FN168" s="122"/>
      <c r="FO168" s="122"/>
      <c r="FP168" s="122"/>
      <c r="FQ168" s="122"/>
      <c r="FR168" s="122"/>
      <c r="FS168" s="122"/>
      <c r="FT168" s="122"/>
      <c r="FU168" s="122"/>
      <c r="FV168" s="122"/>
      <c r="FW168" s="122"/>
      <c r="FX168" s="122"/>
      <c r="FY168" s="122"/>
      <c r="FZ168" s="122"/>
      <c r="GA168" s="122"/>
      <c r="GB168" s="122"/>
      <c r="GC168" s="122"/>
      <c r="GD168" s="122"/>
      <c r="GE168" s="122"/>
      <c r="GF168" s="122"/>
      <c r="GG168" s="122"/>
      <c r="GH168" s="122"/>
      <c r="GI168" s="122"/>
      <c r="GJ168" s="122"/>
      <c r="GK168" s="122"/>
      <c r="GL168" s="122"/>
      <c r="GM168" s="122"/>
      <c r="GN168" s="122"/>
      <c r="GO168" s="122"/>
      <c r="GP168" s="122"/>
      <c r="GQ168" s="122"/>
      <c r="GR168" s="122"/>
      <c r="GS168" s="122"/>
      <c r="GT168" s="122"/>
      <c r="GU168" s="122"/>
      <c r="GV168" s="122"/>
      <c r="GW168" s="122"/>
      <c r="GX168" s="122"/>
      <c r="GY168" s="122"/>
      <c r="GZ168" s="122"/>
      <c r="HA168" s="122"/>
      <c r="HB168" s="122"/>
      <c r="HC168" s="122"/>
      <c r="HD168" s="122"/>
      <c r="HE168" s="122"/>
      <c r="HF168" s="122"/>
      <c r="HG168" s="122"/>
      <c r="HH168" s="122"/>
      <c r="HI168" s="122"/>
      <c r="HJ168" s="122"/>
      <c r="HK168" s="122"/>
      <c r="HL168" s="122"/>
      <c r="HM168" s="122"/>
      <c r="HN168" s="122"/>
      <c r="HO168" s="122"/>
      <c r="HP168" s="122"/>
      <c r="HQ168" s="122"/>
      <c r="HR168" s="122"/>
      <c r="HS168" s="122"/>
      <c r="HT168" s="122"/>
      <c r="HU168" s="122"/>
      <c r="HV168" s="122"/>
      <c r="HW168" s="122"/>
      <c r="HX168" s="122"/>
      <c r="HY168" s="122"/>
      <c r="HZ168" s="122"/>
      <c r="IA168" s="122"/>
      <c r="IB168" s="122"/>
      <c r="IC168" s="122"/>
      <c r="ID168" s="122"/>
      <c r="IE168" s="122"/>
      <c r="IF168" s="122"/>
      <c r="IG168" s="122"/>
      <c r="IH168" s="122"/>
      <c r="II168" s="122"/>
      <c r="IJ168" s="122"/>
      <c r="IK168" s="122"/>
      <c r="IL168" s="122"/>
      <c r="IM168" s="122"/>
      <c r="IN168" s="122"/>
      <c r="IO168" s="122"/>
      <c r="IP168" s="122"/>
      <c r="IQ168" s="122"/>
      <c r="IR168" s="122"/>
      <c r="IS168" s="122"/>
      <c r="IT168" s="122"/>
      <c r="IU168" s="122"/>
      <c r="IV168" s="122"/>
      <c r="IW168" s="122"/>
      <c r="IX168" s="122"/>
      <c r="IY168" s="122"/>
      <c r="IZ168" s="122"/>
      <c r="JA168" s="122"/>
      <c r="JB168" s="122"/>
      <c r="JC168" s="122"/>
      <c r="JD168" s="122"/>
      <c r="JE168" s="122"/>
      <c r="JF168" s="122"/>
      <c r="JG168" s="122"/>
      <c r="JH168" s="122"/>
      <c r="JI168" s="119"/>
      <c r="JJ168" s="2"/>
      <c r="JK168" s="122"/>
      <c r="JL168" s="125"/>
      <c r="JM168" s="125"/>
      <c r="JN168" s="125"/>
      <c r="JO168" s="125"/>
      <c r="JP168" s="125"/>
    </row>
    <row r="169" spans="1:276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  <c r="BJ169" s="122"/>
      <c r="BK169" s="122"/>
      <c r="BL169" s="122"/>
      <c r="BM169" s="122"/>
      <c r="BN169" s="122"/>
      <c r="BO169" s="122"/>
      <c r="BP169" s="122"/>
      <c r="BQ169" s="122"/>
      <c r="BR169" s="122"/>
      <c r="BS169" s="122"/>
      <c r="BT169" s="122"/>
      <c r="BU169" s="122"/>
      <c r="BV169" s="122"/>
      <c r="BW169" s="122"/>
      <c r="BX169" s="122"/>
      <c r="BY169" s="122"/>
      <c r="BZ169" s="122"/>
      <c r="CA169" s="122"/>
      <c r="CB169" s="122"/>
      <c r="CC169" s="122"/>
      <c r="CD169" s="122"/>
      <c r="CE169" s="122"/>
      <c r="CF169" s="122"/>
      <c r="CG169" s="122"/>
      <c r="CH169" s="122"/>
      <c r="CI169" s="122"/>
      <c r="CJ169" s="122"/>
      <c r="CK169" s="122"/>
      <c r="CL169" s="122"/>
      <c r="CM169" s="122"/>
      <c r="CN169" s="122"/>
      <c r="CO169" s="122"/>
      <c r="CP169" s="122"/>
      <c r="CQ169" s="122"/>
      <c r="CR169" s="122"/>
      <c r="CS169" s="122"/>
      <c r="CT169" s="122"/>
      <c r="CU169" s="122"/>
      <c r="CV169" s="122"/>
      <c r="CW169" s="122"/>
      <c r="CX169" s="122"/>
      <c r="CY169" s="122"/>
      <c r="CZ169" s="122"/>
      <c r="DA169" s="122"/>
      <c r="DB169" s="122"/>
      <c r="DC169" s="122"/>
      <c r="DD169" s="122"/>
      <c r="DE169" s="122"/>
      <c r="DF169" s="122"/>
      <c r="DG169" s="122"/>
      <c r="DH169" s="122"/>
      <c r="DI169" s="122"/>
      <c r="DJ169" s="122"/>
      <c r="DK169" s="122"/>
      <c r="DL169" s="122"/>
      <c r="DM169" s="122"/>
      <c r="DN169" s="122"/>
      <c r="DO169" s="122"/>
      <c r="DP169" s="122"/>
      <c r="DQ169" s="122"/>
      <c r="DR169" s="122"/>
      <c r="DS169" s="122"/>
      <c r="DT169" s="122"/>
      <c r="DU169" s="122"/>
      <c r="DV169" s="122"/>
      <c r="DW169" s="122"/>
      <c r="DX169" s="122"/>
      <c r="DY169" s="122"/>
      <c r="DZ169" s="122"/>
      <c r="EA169" s="122"/>
      <c r="EB169" s="122"/>
      <c r="EC169" s="122"/>
      <c r="ED169" s="122"/>
      <c r="EE169" s="122"/>
      <c r="EF169" s="122"/>
      <c r="EG169" s="122"/>
      <c r="EH169" s="122"/>
      <c r="EI169" s="122"/>
      <c r="EJ169" s="122"/>
      <c r="EK169" s="122"/>
      <c r="EL169" s="122"/>
      <c r="EM169" s="122"/>
      <c r="EN169" s="122"/>
      <c r="EO169" s="122"/>
      <c r="EP169" s="122"/>
      <c r="EQ169" s="122"/>
      <c r="ER169" s="122"/>
      <c r="ES169" s="122"/>
      <c r="ET169" s="122"/>
      <c r="EU169" s="122"/>
      <c r="EV169" s="122"/>
      <c r="EW169" s="122"/>
      <c r="EX169" s="122"/>
      <c r="EY169" s="122"/>
      <c r="EZ169" s="122"/>
      <c r="FA169" s="122"/>
      <c r="FB169" s="122"/>
      <c r="FC169" s="122"/>
      <c r="FD169" s="122"/>
      <c r="FE169" s="122"/>
      <c r="FF169" s="122"/>
      <c r="FG169" s="122"/>
      <c r="FH169" s="122"/>
      <c r="FI169" s="122"/>
      <c r="FJ169" s="122"/>
      <c r="FK169" s="122"/>
      <c r="FL169" s="122"/>
      <c r="FM169" s="122"/>
      <c r="FN169" s="122"/>
      <c r="FO169" s="122"/>
      <c r="FP169" s="122"/>
      <c r="FQ169" s="122"/>
      <c r="FR169" s="122"/>
      <c r="FS169" s="122"/>
      <c r="FT169" s="122"/>
      <c r="FU169" s="122"/>
      <c r="FV169" s="122"/>
      <c r="FW169" s="122"/>
      <c r="FX169" s="122"/>
      <c r="FY169" s="122"/>
      <c r="FZ169" s="122"/>
      <c r="GA169" s="122"/>
      <c r="GB169" s="122"/>
      <c r="GC169" s="122"/>
      <c r="GD169" s="122"/>
      <c r="GE169" s="122"/>
      <c r="GF169" s="122"/>
      <c r="GG169" s="122"/>
      <c r="GH169" s="122"/>
      <c r="GI169" s="122"/>
      <c r="GJ169" s="122"/>
      <c r="GK169" s="122"/>
      <c r="GL169" s="122"/>
      <c r="GM169" s="122"/>
      <c r="GN169" s="122"/>
      <c r="GO169" s="122"/>
      <c r="GP169" s="122"/>
      <c r="GQ169" s="122"/>
      <c r="GR169" s="122"/>
      <c r="GS169" s="122"/>
      <c r="GT169" s="122"/>
      <c r="GU169" s="122"/>
      <c r="GV169" s="122"/>
      <c r="GW169" s="122"/>
      <c r="GX169" s="122"/>
      <c r="GY169" s="122"/>
      <c r="GZ169" s="122"/>
      <c r="HA169" s="122"/>
      <c r="HB169" s="122"/>
      <c r="HC169" s="122"/>
      <c r="HD169" s="122"/>
      <c r="HE169" s="122"/>
      <c r="HF169" s="122"/>
      <c r="HG169" s="122"/>
      <c r="HH169" s="122"/>
      <c r="HI169" s="122"/>
      <c r="HJ169" s="122"/>
      <c r="HK169" s="122"/>
      <c r="HL169" s="122"/>
      <c r="HM169" s="122"/>
      <c r="HN169" s="122"/>
      <c r="HO169" s="122"/>
      <c r="HP169" s="122"/>
      <c r="HQ169" s="122"/>
      <c r="HR169" s="122"/>
      <c r="HS169" s="122"/>
      <c r="HT169" s="122"/>
      <c r="HU169" s="122"/>
      <c r="HV169" s="122"/>
      <c r="HW169" s="122"/>
      <c r="HX169" s="122"/>
      <c r="HY169" s="122"/>
      <c r="HZ169" s="122"/>
      <c r="IA169" s="122"/>
      <c r="IB169" s="122"/>
      <c r="IC169" s="122"/>
      <c r="ID169" s="122"/>
      <c r="IE169" s="122"/>
      <c r="IF169" s="122"/>
      <c r="IG169" s="122"/>
      <c r="IH169" s="122"/>
      <c r="II169" s="122"/>
      <c r="IJ169" s="122"/>
      <c r="IK169" s="122"/>
      <c r="IL169" s="122"/>
      <c r="IM169" s="122"/>
      <c r="IN169" s="122"/>
      <c r="IO169" s="122"/>
      <c r="IP169" s="122"/>
      <c r="IQ169" s="122"/>
      <c r="IR169" s="122"/>
      <c r="IS169" s="122"/>
      <c r="IT169" s="122"/>
      <c r="IU169" s="122"/>
      <c r="IV169" s="122"/>
      <c r="IW169" s="122"/>
      <c r="IX169" s="122"/>
      <c r="IY169" s="122"/>
      <c r="IZ169" s="122"/>
      <c r="JA169" s="122"/>
      <c r="JB169" s="122"/>
      <c r="JC169" s="122"/>
      <c r="JD169" s="122"/>
      <c r="JE169" s="122"/>
      <c r="JF169" s="122"/>
      <c r="JG169" s="122"/>
      <c r="JH169" s="122"/>
      <c r="JI169" s="119"/>
      <c r="JJ169" s="2"/>
      <c r="JK169" s="122"/>
      <c r="JL169" s="125"/>
      <c r="JM169" s="125"/>
      <c r="JN169" s="125"/>
      <c r="JO169" s="125"/>
      <c r="JP169" s="125"/>
    </row>
    <row r="170" spans="1:276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  <c r="AS170" s="122"/>
      <c r="AT170" s="122"/>
      <c r="AU170" s="122"/>
      <c r="AV170" s="122"/>
      <c r="AW170" s="122"/>
      <c r="AX170" s="122"/>
      <c r="AY170" s="122"/>
      <c r="AZ170" s="122"/>
      <c r="BA170" s="122"/>
      <c r="BB170" s="122"/>
      <c r="BC170" s="122"/>
      <c r="BD170" s="122"/>
      <c r="BE170" s="122"/>
      <c r="BF170" s="122"/>
      <c r="BG170" s="122"/>
      <c r="BH170" s="122"/>
      <c r="BI170" s="122"/>
      <c r="BJ170" s="122"/>
      <c r="BK170" s="122"/>
      <c r="BL170" s="122"/>
      <c r="BM170" s="122"/>
      <c r="BN170" s="122"/>
      <c r="BO170" s="122"/>
      <c r="BP170" s="122"/>
      <c r="BQ170" s="122"/>
      <c r="BR170" s="122"/>
      <c r="BS170" s="122"/>
      <c r="BT170" s="122"/>
      <c r="BU170" s="122"/>
      <c r="BV170" s="122"/>
      <c r="BW170" s="122"/>
      <c r="BX170" s="122"/>
      <c r="BY170" s="122"/>
      <c r="BZ170" s="122"/>
      <c r="CA170" s="122"/>
      <c r="CB170" s="122"/>
      <c r="CC170" s="122"/>
      <c r="CD170" s="122"/>
      <c r="CE170" s="122"/>
      <c r="CF170" s="122"/>
      <c r="CG170" s="122"/>
      <c r="CH170" s="122"/>
      <c r="CI170" s="122"/>
      <c r="CJ170" s="122"/>
      <c r="CK170" s="122"/>
      <c r="CL170" s="122"/>
      <c r="CM170" s="122"/>
      <c r="CN170" s="122"/>
      <c r="CO170" s="122"/>
      <c r="CP170" s="122"/>
      <c r="CQ170" s="122"/>
      <c r="CR170" s="122"/>
      <c r="CS170" s="122"/>
      <c r="CT170" s="122"/>
      <c r="CU170" s="122"/>
      <c r="CV170" s="122"/>
      <c r="CW170" s="122"/>
      <c r="CX170" s="122"/>
      <c r="CY170" s="122"/>
      <c r="CZ170" s="122"/>
      <c r="DA170" s="122"/>
      <c r="DB170" s="122"/>
      <c r="DC170" s="122"/>
      <c r="DD170" s="122"/>
      <c r="DE170" s="122"/>
      <c r="DF170" s="122"/>
      <c r="DG170" s="122"/>
      <c r="DH170" s="122"/>
      <c r="DI170" s="122"/>
      <c r="DJ170" s="122"/>
      <c r="DK170" s="122"/>
      <c r="DL170" s="122"/>
      <c r="DM170" s="122"/>
      <c r="DN170" s="122"/>
      <c r="DO170" s="122"/>
      <c r="DP170" s="122"/>
      <c r="DQ170" s="122"/>
      <c r="DR170" s="122"/>
      <c r="DS170" s="122"/>
      <c r="DT170" s="122"/>
      <c r="DU170" s="122"/>
      <c r="DV170" s="122"/>
      <c r="DW170" s="122"/>
      <c r="DX170" s="122"/>
      <c r="DY170" s="122"/>
      <c r="DZ170" s="122"/>
      <c r="EA170" s="122"/>
      <c r="EB170" s="122"/>
      <c r="EC170" s="122"/>
      <c r="ED170" s="122"/>
      <c r="EE170" s="122"/>
      <c r="EF170" s="122"/>
      <c r="EG170" s="122"/>
      <c r="EH170" s="122"/>
      <c r="EI170" s="122"/>
      <c r="EJ170" s="122"/>
      <c r="EK170" s="122"/>
      <c r="EL170" s="122"/>
      <c r="EM170" s="122"/>
      <c r="EN170" s="122"/>
      <c r="EO170" s="122"/>
      <c r="EP170" s="122"/>
      <c r="EQ170" s="122"/>
      <c r="ER170" s="122"/>
      <c r="ES170" s="122"/>
      <c r="ET170" s="122"/>
      <c r="EU170" s="122"/>
      <c r="EV170" s="122"/>
      <c r="EW170" s="122"/>
      <c r="EX170" s="122"/>
      <c r="EY170" s="122"/>
      <c r="EZ170" s="122"/>
      <c r="FA170" s="122"/>
      <c r="FB170" s="122"/>
      <c r="FC170" s="122"/>
      <c r="FD170" s="122"/>
      <c r="FE170" s="122"/>
      <c r="FF170" s="122"/>
      <c r="FG170" s="122"/>
      <c r="FH170" s="122"/>
      <c r="FI170" s="122"/>
      <c r="FJ170" s="122"/>
      <c r="FK170" s="122"/>
      <c r="FL170" s="122"/>
      <c r="FM170" s="122"/>
      <c r="FN170" s="122"/>
      <c r="FO170" s="122"/>
      <c r="FP170" s="122"/>
      <c r="FQ170" s="122"/>
      <c r="FR170" s="122"/>
      <c r="FS170" s="122"/>
      <c r="FT170" s="122"/>
      <c r="FU170" s="122"/>
      <c r="FV170" s="122"/>
      <c r="FW170" s="122"/>
      <c r="FX170" s="122"/>
      <c r="FY170" s="122"/>
      <c r="FZ170" s="122"/>
      <c r="GA170" s="122"/>
      <c r="GB170" s="122"/>
      <c r="GC170" s="122"/>
      <c r="GD170" s="122"/>
      <c r="GE170" s="122"/>
      <c r="GF170" s="122"/>
      <c r="GG170" s="122"/>
      <c r="GH170" s="122"/>
      <c r="GI170" s="122"/>
      <c r="GJ170" s="122"/>
      <c r="GK170" s="122"/>
      <c r="GL170" s="122"/>
      <c r="GM170" s="122"/>
      <c r="GN170" s="122"/>
      <c r="GO170" s="122"/>
      <c r="GP170" s="122"/>
      <c r="GQ170" s="122"/>
      <c r="GR170" s="122"/>
      <c r="GS170" s="122"/>
      <c r="GT170" s="122"/>
      <c r="GU170" s="122"/>
      <c r="GV170" s="122"/>
      <c r="GW170" s="122"/>
      <c r="GX170" s="122"/>
      <c r="GY170" s="122"/>
      <c r="GZ170" s="122"/>
      <c r="HA170" s="122"/>
      <c r="HB170" s="122"/>
      <c r="HC170" s="122"/>
      <c r="HD170" s="122"/>
      <c r="HE170" s="122"/>
      <c r="HF170" s="122"/>
      <c r="HG170" s="122"/>
      <c r="HH170" s="122"/>
      <c r="HI170" s="122"/>
      <c r="HJ170" s="122"/>
      <c r="HK170" s="122"/>
      <c r="HL170" s="122"/>
      <c r="HM170" s="122"/>
      <c r="HN170" s="122"/>
      <c r="HO170" s="122"/>
      <c r="HP170" s="122"/>
      <c r="HQ170" s="122"/>
      <c r="HR170" s="122"/>
      <c r="HS170" s="122"/>
      <c r="HT170" s="122"/>
      <c r="HU170" s="122"/>
      <c r="HV170" s="122"/>
      <c r="HW170" s="122"/>
      <c r="HX170" s="122"/>
      <c r="HY170" s="122"/>
      <c r="HZ170" s="122"/>
      <c r="IA170" s="122"/>
      <c r="IB170" s="122"/>
      <c r="IC170" s="122"/>
      <c r="ID170" s="122"/>
      <c r="IE170" s="122"/>
      <c r="IF170" s="122"/>
      <c r="IG170" s="122"/>
      <c r="IH170" s="122"/>
      <c r="II170" s="122"/>
      <c r="IJ170" s="122"/>
      <c r="IK170" s="122"/>
      <c r="IL170" s="122"/>
      <c r="IM170" s="122"/>
      <c r="IN170" s="122"/>
      <c r="IO170" s="122"/>
      <c r="IP170" s="122"/>
      <c r="IQ170" s="122"/>
      <c r="IR170" s="122"/>
      <c r="IS170" s="122"/>
      <c r="IT170" s="122"/>
      <c r="IU170" s="122"/>
      <c r="IV170" s="122"/>
      <c r="IW170" s="122"/>
      <c r="IX170" s="122"/>
      <c r="IY170" s="122"/>
      <c r="IZ170" s="122"/>
      <c r="JA170" s="122"/>
      <c r="JB170" s="122"/>
      <c r="JC170" s="122"/>
      <c r="JD170" s="122"/>
      <c r="JE170" s="122"/>
      <c r="JF170" s="122"/>
      <c r="JG170" s="122"/>
      <c r="JH170" s="122"/>
      <c r="JI170" s="119"/>
      <c r="JJ170" s="2"/>
      <c r="JK170" s="122"/>
      <c r="JL170" s="125"/>
      <c r="JM170" s="125"/>
      <c r="JN170" s="125"/>
      <c r="JO170" s="125"/>
      <c r="JP170" s="125"/>
    </row>
    <row r="171" spans="1:276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  <c r="AT171" s="122"/>
      <c r="AU171" s="122"/>
      <c r="AV171" s="122"/>
      <c r="AW171" s="122"/>
      <c r="AX171" s="122"/>
      <c r="AY171" s="122"/>
      <c r="AZ171" s="122"/>
      <c r="BA171" s="122"/>
      <c r="BB171" s="122"/>
      <c r="BC171" s="122"/>
      <c r="BD171" s="122"/>
      <c r="BE171" s="122"/>
      <c r="BF171" s="122"/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122"/>
      <c r="BS171" s="122"/>
      <c r="BT171" s="122"/>
      <c r="BU171" s="122"/>
      <c r="BV171" s="122"/>
      <c r="BW171" s="122"/>
      <c r="BX171" s="122"/>
      <c r="BY171" s="122"/>
      <c r="BZ171" s="122"/>
      <c r="CA171" s="122"/>
      <c r="CB171" s="122"/>
      <c r="CC171" s="122"/>
      <c r="CD171" s="122"/>
      <c r="CE171" s="122"/>
      <c r="CF171" s="122"/>
      <c r="CG171" s="122"/>
      <c r="CH171" s="122"/>
      <c r="CI171" s="122"/>
      <c r="CJ171" s="122"/>
      <c r="CK171" s="122"/>
      <c r="CL171" s="122"/>
      <c r="CM171" s="122"/>
      <c r="CN171" s="122"/>
      <c r="CO171" s="122"/>
      <c r="CP171" s="122"/>
      <c r="CQ171" s="122"/>
      <c r="CR171" s="122"/>
      <c r="CS171" s="122"/>
      <c r="CT171" s="122"/>
      <c r="CU171" s="122"/>
      <c r="CV171" s="122"/>
      <c r="CW171" s="122"/>
      <c r="CX171" s="122"/>
      <c r="CY171" s="122"/>
      <c r="CZ171" s="122"/>
      <c r="DA171" s="122"/>
      <c r="DB171" s="122"/>
      <c r="DC171" s="122"/>
      <c r="DD171" s="122"/>
      <c r="DE171" s="122"/>
      <c r="DF171" s="122"/>
      <c r="DG171" s="122"/>
      <c r="DH171" s="122"/>
      <c r="DI171" s="122"/>
      <c r="DJ171" s="122"/>
      <c r="DK171" s="122"/>
      <c r="DL171" s="122"/>
      <c r="DM171" s="122"/>
      <c r="DN171" s="122"/>
      <c r="DO171" s="122"/>
      <c r="DP171" s="122"/>
      <c r="DQ171" s="122"/>
      <c r="DR171" s="122"/>
      <c r="DS171" s="122"/>
      <c r="DT171" s="122"/>
      <c r="DU171" s="122"/>
      <c r="DV171" s="122"/>
      <c r="DW171" s="122"/>
      <c r="DX171" s="122"/>
      <c r="DY171" s="122"/>
      <c r="DZ171" s="122"/>
      <c r="EA171" s="122"/>
      <c r="EB171" s="122"/>
      <c r="EC171" s="122"/>
      <c r="ED171" s="122"/>
      <c r="EE171" s="122"/>
      <c r="EF171" s="122"/>
      <c r="EG171" s="122"/>
      <c r="EH171" s="122"/>
      <c r="EI171" s="122"/>
      <c r="EJ171" s="122"/>
      <c r="EK171" s="122"/>
      <c r="EL171" s="122"/>
      <c r="EM171" s="122"/>
      <c r="EN171" s="122"/>
      <c r="EO171" s="122"/>
      <c r="EP171" s="122"/>
      <c r="EQ171" s="122"/>
      <c r="ER171" s="122"/>
      <c r="ES171" s="122"/>
      <c r="ET171" s="122"/>
      <c r="EU171" s="122"/>
      <c r="EV171" s="122"/>
      <c r="EW171" s="122"/>
      <c r="EX171" s="122"/>
      <c r="EY171" s="122"/>
      <c r="EZ171" s="122"/>
      <c r="FA171" s="122"/>
      <c r="FB171" s="122"/>
      <c r="FC171" s="122"/>
      <c r="FD171" s="122"/>
      <c r="FE171" s="122"/>
      <c r="FF171" s="122"/>
      <c r="FG171" s="122"/>
      <c r="FH171" s="122"/>
      <c r="FI171" s="122"/>
      <c r="FJ171" s="122"/>
      <c r="FK171" s="122"/>
      <c r="FL171" s="122"/>
      <c r="FM171" s="122"/>
      <c r="FN171" s="122"/>
      <c r="FO171" s="122"/>
      <c r="FP171" s="122"/>
      <c r="FQ171" s="122"/>
      <c r="FR171" s="122"/>
      <c r="FS171" s="122"/>
      <c r="FT171" s="122"/>
      <c r="FU171" s="122"/>
      <c r="FV171" s="122"/>
      <c r="FW171" s="122"/>
      <c r="FX171" s="122"/>
      <c r="FY171" s="122"/>
      <c r="FZ171" s="122"/>
      <c r="GA171" s="122"/>
      <c r="GB171" s="122"/>
      <c r="GC171" s="122"/>
      <c r="GD171" s="122"/>
      <c r="GE171" s="122"/>
      <c r="GF171" s="122"/>
      <c r="GG171" s="122"/>
      <c r="GH171" s="122"/>
      <c r="GI171" s="122"/>
      <c r="GJ171" s="122"/>
      <c r="GK171" s="122"/>
      <c r="GL171" s="122"/>
      <c r="GM171" s="122"/>
      <c r="GN171" s="122"/>
      <c r="GO171" s="122"/>
      <c r="GP171" s="122"/>
      <c r="GQ171" s="122"/>
      <c r="GR171" s="122"/>
      <c r="GS171" s="122"/>
      <c r="GT171" s="122"/>
      <c r="GU171" s="122"/>
      <c r="GV171" s="122"/>
      <c r="GW171" s="122"/>
      <c r="GX171" s="122"/>
      <c r="GY171" s="122"/>
      <c r="GZ171" s="122"/>
      <c r="HA171" s="122"/>
      <c r="HB171" s="122"/>
      <c r="HC171" s="122"/>
      <c r="HD171" s="122"/>
      <c r="HE171" s="122"/>
      <c r="HF171" s="122"/>
      <c r="HG171" s="122"/>
      <c r="HH171" s="122"/>
      <c r="HI171" s="122"/>
      <c r="HJ171" s="122"/>
      <c r="HK171" s="122"/>
      <c r="HL171" s="122"/>
      <c r="HM171" s="122"/>
      <c r="HN171" s="122"/>
      <c r="HO171" s="122"/>
      <c r="HP171" s="122"/>
      <c r="HQ171" s="122"/>
      <c r="HR171" s="122"/>
      <c r="HS171" s="122"/>
      <c r="HT171" s="122"/>
      <c r="HU171" s="122"/>
      <c r="HV171" s="122"/>
      <c r="HW171" s="122"/>
      <c r="HX171" s="122"/>
      <c r="HY171" s="122"/>
      <c r="HZ171" s="122"/>
      <c r="IA171" s="122"/>
      <c r="IB171" s="122"/>
      <c r="IC171" s="122"/>
      <c r="ID171" s="122"/>
      <c r="IE171" s="122"/>
      <c r="IF171" s="122"/>
      <c r="IG171" s="122"/>
      <c r="IH171" s="122"/>
      <c r="II171" s="122"/>
      <c r="IJ171" s="122"/>
      <c r="IK171" s="122"/>
      <c r="IL171" s="122"/>
      <c r="IM171" s="122"/>
      <c r="IN171" s="122"/>
      <c r="IO171" s="122"/>
      <c r="IP171" s="122"/>
      <c r="IQ171" s="122"/>
      <c r="IR171" s="122"/>
      <c r="IS171" s="122"/>
      <c r="IT171" s="122"/>
      <c r="IU171" s="122"/>
      <c r="IV171" s="122"/>
      <c r="IW171" s="122"/>
      <c r="IX171" s="122"/>
      <c r="IY171" s="122"/>
      <c r="IZ171" s="122"/>
      <c r="JA171" s="122"/>
      <c r="JB171" s="122"/>
      <c r="JC171" s="122"/>
      <c r="JD171" s="122"/>
      <c r="JE171" s="122"/>
      <c r="JF171" s="122"/>
      <c r="JG171" s="122"/>
      <c r="JH171" s="122"/>
      <c r="JI171" s="119"/>
      <c r="JJ171" s="2"/>
      <c r="JK171" s="122"/>
      <c r="JL171" s="125"/>
      <c r="JM171" s="125"/>
      <c r="JN171" s="125"/>
      <c r="JO171" s="125"/>
      <c r="JP171" s="125"/>
    </row>
    <row r="172" spans="1:276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  <c r="AS172" s="122"/>
      <c r="AT172" s="122"/>
      <c r="AU172" s="122"/>
      <c r="AV172" s="122"/>
      <c r="AW172" s="122"/>
      <c r="AX172" s="122"/>
      <c r="AY172" s="122"/>
      <c r="AZ172" s="122"/>
      <c r="BA172" s="122"/>
      <c r="BB172" s="122"/>
      <c r="BC172" s="122"/>
      <c r="BD172" s="122"/>
      <c r="BE172" s="122"/>
      <c r="BF172" s="122"/>
      <c r="BG172" s="122"/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122"/>
      <c r="BS172" s="122"/>
      <c r="BT172" s="122"/>
      <c r="BU172" s="122"/>
      <c r="BV172" s="122"/>
      <c r="BW172" s="122"/>
      <c r="BX172" s="122"/>
      <c r="BY172" s="122"/>
      <c r="BZ172" s="122"/>
      <c r="CA172" s="122"/>
      <c r="CB172" s="122"/>
      <c r="CC172" s="122"/>
      <c r="CD172" s="122"/>
      <c r="CE172" s="122"/>
      <c r="CF172" s="122"/>
      <c r="CG172" s="122"/>
      <c r="CH172" s="122"/>
      <c r="CI172" s="122"/>
      <c r="CJ172" s="122"/>
      <c r="CK172" s="122"/>
      <c r="CL172" s="122"/>
      <c r="CM172" s="122"/>
      <c r="CN172" s="122"/>
      <c r="CO172" s="122"/>
      <c r="CP172" s="122"/>
      <c r="CQ172" s="122"/>
      <c r="CR172" s="122"/>
      <c r="CS172" s="122"/>
      <c r="CT172" s="122"/>
      <c r="CU172" s="122"/>
      <c r="CV172" s="122"/>
      <c r="CW172" s="122"/>
      <c r="CX172" s="122"/>
      <c r="CY172" s="122"/>
      <c r="CZ172" s="122"/>
      <c r="DA172" s="122"/>
      <c r="DB172" s="122"/>
      <c r="DC172" s="122"/>
      <c r="DD172" s="122"/>
      <c r="DE172" s="122"/>
      <c r="DF172" s="122"/>
      <c r="DG172" s="122"/>
      <c r="DH172" s="122"/>
      <c r="DI172" s="122"/>
      <c r="DJ172" s="122"/>
      <c r="DK172" s="122"/>
      <c r="DL172" s="122"/>
      <c r="DM172" s="122"/>
      <c r="DN172" s="122"/>
      <c r="DO172" s="122"/>
      <c r="DP172" s="122"/>
      <c r="DQ172" s="122"/>
      <c r="DR172" s="122"/>
      <c r="DS172" s="122"/>
      <c r="DT172" s="122"/>
      <c r="DU172" s="122"/>
      <c r="DV172" s="122"/>
      <c r="DW172" s="122"/>
      <c r="DX172" s="122"/>
      <c r="DY172" s="122"/>
      <c r="DZ172" s="122"/>
      <c r="EA172" s="122"/>
      <c r="EB172" s="122"/>
      <c r="EC172" s="122"/>
      <c r="ED172" s="122"/>
      <c r="EE172" s="122"/>
      <c r="EF172" s="122"/>
      <c r="EG172" s="122"/>
      <c r="EH172" s="122"/>
      <c r="EI172" s="122"/>
      <c r="EJ172" s="122"/>
      <c r="EK172" s="122"/>
      <c r="EL172" s="122"/>
      <c r="EM172" s="122"/>
      <c r="EN172" s="122"/>
      <c r="EO172" s="122"/>
      <c r="EP172" s="122"/>
      <c r="EQ172" s="122"/>
      <c r="ER172" s="122"/>
      <c r="ES172" s="122"/>
      <c r="ET172" s="122"/>
      <c r="EU172" s="122"/>
      <c r="EV172" s="122"/>
      <c r="EW172" s="122"/>
      <c r="EX172" s="122"/>
      <c r="EY172" s="122"/>
      <c r="EZ172" s="122"/>
      <c r="FA172" s="122"/>
      <c r="FB172" s="122"/>
      <c r="FC172" s="122"/>
      <c r="FD172" s="122"/>
      <c r="FE172" s="122"/>
      <c r="FF172" s="122"/>
      <c r="FG172" s="122"/>
      <c r="FH172" s="122"/>
      <c r="FI172" s="122"/>
      <c r="FJ172" s="122"/>
      <c r="FK172" s="122"/>
      <c r="FL172" s="122"/>
      <c r="FM172" s="122"/>
      <c r="FN172" s="122"/>
      <c r="FO172" s="122"/>
      <c r="FP172" s="122"/>
      <c r="FQ172" s="122"/>
      <c r="FR172" s="122"/>
      <c r="FS172" s="122"/>
      <c r="FT172" s="122"/>
      <c r="FU172" s="122"/>
      <c r="FV172" s="122"/>
      <c r="FW172" s="122"/>
      <c r="FX172" s="122"/>
      <c r="FY172" s="122"/>
      <c r="FZ172" s="122"/>
      <c r="GA172" s="122"/>
      <c r="GB172" s="122"/>
      <c r="GC172" s="122"/>
      <c r="GD172" s="122"/>
      <c r="GE172" s="122"/>
      <c r="GF172" s="122"/>
      <c r="GG172" s="122"/>
      <c r="GH172" s="122"/>
      <c r="GI172" s="122"/>
      <c r="GJ172" s="122"/>
      <c r="GK172" s="122"/>
      <c r="GL172" s="122"/>
      <c r="GM172" s="122"/>
      <c r="GN172" s="122"/>
      <c r="GO172" s="122"/>
      <c r="GP172" s="122"/>
      <c r="GQ172" s="122"/>
      <c r="GR172" s="122"/>
      <c r="GS172" s="122"/>
      <c r="GT172" s="122"/>
      <c r="GU172" s="122"/>
      <c r="GV172" s="122"/>
      <c r="GW172" s="122"/>
      <c r="GX172" s="122"/>
      <c r="GY172" s="122"/>
      <c r="GZ172" s="122"/>
      <c r="HA172" s="122"/>
      <c r="HB172" s="122"/>
      <c r="HC172" s="122"/>
      <c r="HD172" s="122"/>
      <c r="HE172" s="122"/>
      <c r="HF172" s="122"/>
      <c r="HG172" s="122"/>
      <c r="HH172" s="122"/>
      <c r="HI172" s="122"/>
      <c r="HJ172" s="122"/>
      <c r="HK172" s="122"/>
      <c r="HL172" s="122"/>
      <c r="HM172" s="122"/>
      <c r="HN172" s="122"/>
      <c r="HO172" s="122"/>
      <c r="HP172" s="122"/>
      <c r="HQ172" s="122"/>
      <c r="HR172" s="122"/>
      <c r="HS172" s="122"/>
      <c r="HT172" s="122"/>
      <c r="HU172" s="122"/>
      <c r="HV172" s="122"/>
      <c r="HW172" s="122"/>
      <c r="HX172" s="122"/>
      <c r="HY172" s="122"/>
      <c r="HZ172" s="122"/>
      <c r="IA172" s="122"/>
      <c r="IB172" s="122"/>
      <c r="IC172" s="122"/>
      <c r="ID172" s="122"/>
      <c r="IE172" s="122"/>
      <c r="IF172" s="122"/>
      <c r="IG172" s="122"/>
      <c r="IH172" s="122"/>
      <c r="II172" s="122"/>
      <c r="IJ172" s="122"/>
      <c r="IK172" s="122"/>
      <c r="IL172" s="122"/>
      <c r="IM172" s="122"/>
      <c r="IN172" s="122"/>
      <c r="IO172" s="122"/>
      <c r="IP172" s="122"/>
      <c r="IQ172" s="122"/>
      <c r="IR172" s="122"/>
      <c r="IS172" s="122"/>
      <c r="IT172" s="122"/>
      <c r="IU172" s="122"/>
      <c r="IV172" s="122"/>
      <c r="IW172" s="122"/>
      <c r="IX172" s="122"/>
      <c r="IY172" s="122"/>
      <c r="IZ172" s="122"/>
      <c r="JA172" s="122"/>
      <c r="JB172" s="122"/>
      <c r="JC172" s="122"/>
      <c r="JD172" s="122"/>
      <c r="JE172" s="122"/>
      <c r="JF172" s="122"/>
      <c r="JG172" s="122"/>
      <c r="JH172" s="122"/>
      <c r="JI172" s="119"/>
      <c r="JJ172" s="2"/>
      <c r="JK172" s="122"/>
      <c r="JL172" s="125"/>
      <c r="JM172" s="125"/>
      <c r="JN172" s="125"/>
      <c r="JO172" s="125"/>
      <c r="JP172" s="125"/>
    </row>
    <row r="173" spans="1:276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  <c r="AR173" s="122"/>
      <c r="AS173" s="122"/>
      <c r="AT173" s="122"/>
      <c r="AU173" s="122"/>
      <c r="AV173" s="122"/>
      <c r="AW173" s="122"/>
      <c r="AX173" s="122"/>
      <c r="AY173" s="122"/>
      <c r="AZ173" s="122"/>
      <c r="BA173" s="122"/>
      <c r="BB173" s="122"/>
      <c r="BC173" s="122"/>
      <c r="BD173" s="122"/>
      <c r="BE173" s="122"/>
      <c r="BF173" s="122"/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122"/>
      <c r="BS173" s="122"/>
      <c r="BT173" s="122"/>
      <c r="BU173" s="122"/>
      <c r="BV173" s="122"/>
      <c r="BW173" s="122"/>
      <c r="BX173" s="122"/>
      <c r="BY173" s="122"/>
      <c r="BZ173" s="122"/>
      <c r="CA173" s="122"/>
      <c r="CB173" s="122"/>
      <c r="CC173" s="122"/>
      <c r="CD173" s="122"/>
      <c r="CE173" s="122"/>
      <c r="CF173" s="122"/>
      <c r="CG173" s="122"/>
      <c r="CH173" s="122"/>
      <c r="CI173" s="122"/>
      <c r="CJ173" s="122"/>
      <c r="CK173" s="122"/>
      <c r="CL173" s="122"/>
      <c r="CM173" s="122"/>
      <c r="CN173" s="122"/>
      <c r="CO173" s="122"/>
      <c r="CP173" s="122"/>
      <c r="CQ173" s="122"/>
      <c r="CR173" s="122"/>
      <c r="CS173" s="122"/>
      <c r="CT173" s="122"/>
      <c r="CU173" s="122"/>
      <c r="CV173" s="122"/>
      <c r="CW173" s="122"/>
      <c r="CX173" s="122"/>
      <c r="CY173" s="122"/>
      <c r="CZ173" s="122"/>
      <c r="DA173" s="122"/>
      <c r="DB173" s="122"/>
      <c r="DC173" s="122"/>
      <c r="DD173" s="122"/>
      <c r="DE173" s="122"/>
      <c r="DF173" s="122"/>
      <c r="DG173" s="122"/>
      <c r="DH173" s="122"/>
      <c r="DI173" s="122"/>
      <c r="DJ173" s="122"/>
      <c r="DK173" s="122"/>
      <c r="DL173" s="122"/>
      <c r="DM173" s="122"/>
      <c r="DN173" s="122"/>
      <c r="DO173" s="122"/>
      <c r="DP173" s="122"/>
      <c r="DQ173" s="122"/>
      <c r="DR173" s="122"/>
      <c r="DS173" s="122"/>
      <c r="DT173" s="122"/>
      <c r="DU173" s="122"/>
      <c r="DV173" s="122"/>
      <c r="DW173" s="122"/>
      <c r="DX173" s="122"/>
      <c r="DY173" s="122"/>
      <c r="DZ173" s="122"/>
      <c r="EA173" s="122"/>
      <c r="EB173" s="122"/>
      <c r="EC173" s="122"/>
      <c r="ED173" s="122"/>
      <c r="EE173" s="122"/>
      <c r="EF173" s="122"/>
      <c r="EG173" s="122"/>
      <c r="EH173" s="122"/>
      <c r="EI173" s="122"/>
      <c r="EJ173" s="122"/>
      <c r="EK173" s="122"/>
      <c r="EL173" s="122"/>
      <c r="EM173" s="122"/>
      <c r="EN173" s="122"/>
      <c r="EO173" s="122"/>
      <c r="EP173" s="122"/>
      <c r="EQ173" s="122"/>
      <c r="ER173" s="122"/>
      <c r="ES173" s="122"/>
      <c r="ET173" s="122"/>
      <c r="EU173" s="122"/>
      <c r="EV173" s="122"/>
      <c r="EW173" s="122"/>
      <c r="EX173" s="122"/>
      <c r="EY173" s="122"/>
      <c r="EZ173" s="122"/>
      <c r="FA173" s="122"/>
      <c r="FB173" s="122"/>
      <c r="FC173" s="122"/>
      <c r="FD173" s="122"/>
      <c r="FE173" s="122"/>
      <c r="FF173" s="122"/>
      <c r="FG173" s="122"/>
      <c r="FH173" s="122"/>
      <c r="FI173" s="122"/>
      <c r="FJ173" s="122"/>
      <c r="FK173" s="122"/>
      <c r="FL173" s="122"/>
      <c r="FM173" s="122"/>
      <c r="FN173" s="122"/>
      <c r="FO173" s="122"/>
      <c r="FP173" s="122"/>
      <c r="FQ173" s="122"/>
      <c r="FR173" s="122"/>
      <c r="FS173" s="122"/>
      <c r="FT173" s="122"/>
      <c r="FU173" s="122"/>
      <c r="FV173" s="122"/>
      <c r="FW173" s="122"/>
      <c r="FX173" s="122"/>
      <c r="FY173" s="122"/>
      <c r="FZ173" s="122"/>
      <c r="GA173" s="122"/>
      <c r="GB173" s="122"/>
      <c r="GC173" s="122"/>
      <c r="GD173" s="122"/>
      <c r="GE173" s="122"/>
      <c r="GF173" s="122"/>
      <c r="GG173" s="122"/>
      <c r="GH173" s="122"/>
      <c r="GI173" s="122"/>
      <c r="GJ173" s="122"/>
      <c r="GK173" s="122"/>
      <c r="GL173" s="122"/>
      <c r="GM173" s="122"/>
      <c r="GN173" s="122"/>
      <c r="GO173" s="122"/>
      <c r="GP173" s="122"/>
      <c r="GQ173" s="122"/>
      <c r="GR173" s="122"/>
      <c r="GS173" s="122"/>
      <c r="GT173" s="122"/>
      <c r="GU173" s="122"/>
      <c r="GV173" s="122"/>
      <c r="GW173" s="122"/>
      <c r="GX173" s="122"/>
      <c r="GY173" s="122"/>
      <c r="GZ173" s="122"/>
      <c r="HA173" s="122"/>
      <c r="HB173" s="122"/>
      <c r="HC173" s="122"/>
      <c r="HD173" s="122"/>
      <c r="HE173" s="122"/>
      <c r="HF173" s="122"/>
      <c r="HG173" s="122"/>
      <c r="HH173" s="122"/>
      <c r="HI173" s="122"/>
      <c r="HJ173" s="122"/>
      <c r="HK173" s="122"/>
      <c r="HL173" s="122"/>
      <c r="HM173" s="122"/>
      <c r="HN173" s="122"/>
      <c r="HO173" s="122"/>
      <c r="HP173" s="122"/>
      <c r="HQ173" s="122"/>
      <c r="HR173" s="122"/>
      <c r="HS173" s="122"/>
      <c r="HT173" s="122"/>
      <c r="HU173" s="122"/>
      <c r="HV173" s="122"/>
      <c r="HW173" s="122"/>
      <c r="HX173" s="122"/>
      <c r="HY173" s="122"/>
      <c r="HZ173" s="122"/>
      <c r="IA173" s="122"/>
      <c r="IB173" s="122"/>
      <c r="IC173" s="122"/>
      <c r="ID173" s="122"/>
      <c r="IE173" s="122"/>
      <c r="IF173" s="122"/>
      <c r="IG173" s="122"/>
      <c r="IH173" s="122"/>
      <c r="II173" s="122"/>
      <c r="IJ173" s="122"/>
      <c r="IK173" s="122"/>
      <c r="IL173" s="122"/>
      <c r="IM173" s="122"/>
      <c r="IN173" s="122"/>
      <c r="IO173" s="122"/>
      <c r="IP173" s="122"/>
      <c r="IQ173" s="122"/>
      <c r="IR173" s="122"/>
      <c r="IS173" s="122"/>
      <c r="IT173" s="122"/>
      <c r="IU173" s="122"/>
      <c r="IV173" s="122"/>
      <c r="IW173" s="122"/>
      <c r="IX173" s="122"/>
      <c r="IY173" s="122"/>
      <c r="IZ173" s="122"/>
      <c r="JA173" s="122"/>
      <c r="JB173" s="122"/>
      <c r="JC173" s="122"/>
      <c r="JD173" s="122"/>
      <c r="JE173" s="122"/>
      <c r="JF173" s="122"/>
      <c r="JG173" s="122"/>
      <c r="JH173" s="122"/>
      <c r="JI173" s="119"/>
      <c r="JJ173" s="2"/>
      <c r="JK173" s="122"/>
      <c r="JL173" s="125"/>
      <c r="JM173" s="125"/>
      <c r="JN173" s="125"/>
      <c r="JO173" s="125"/>
      <c r="JP173" s="125"/>
    </row>
    <row r="174" spans="1:276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122"/>
      <c r="AQ174" s="122"/>
      <c r="AR174" s="122"/>
      <c r="AS174" s="122"/>
      <c r="AT174" s="122"/>
      <c r="AU174" s="122"/>
      <c r="AV174" s="122"/>
      <c r="AW174" s="122"/>
      <c r="AX174" s="122"/>
      <c r="AY174" s="122"/>
      <c r="AZ174" s="122"/>
      <c r="BA174" s="122"/>
      <c r="BB174" s="122"/>
      <c r="BC174" s="122"/>
      <c r="BD174" s="122"/>
      <c r="BE174" s="122"/>
      <c r="BF174" s="122"/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122"/>
      <c r="BS174" s="122"/>
      <c r="BT174" s="122"/>
      <c r="BU174" s="122"/>
      <c r="BV174" s="122"/>
      <c r="BW174" s="122"/>
      <c r="BX174" s="122"/>
      <c r="BY174" s="122"/>
      <c r="BZ174" s="122"/>
      <c r="CA174" s="122"/>
      <c r="CB174" s="122"/>
      <c r="CC174" s="122"/>
      <c r="CD174" s="122"/>
      <c r="CE174" s="122"/>
      <c r="CF174" s="122"/>
      <c r="CG174" s="122"/>
      <c r="CH174" s="122"/>
      <c r="CI174" s="122"/>
      <c r="CJ174" s="122"/>
      <c r="CK174" s="122"/>
      <c r="CL174" s="122"/>
      <c r="CM174" s="122"/>
      <c r="CN174" s="122"/>
      <c r="CO174" s="122"/>
      <c r="CP174" s="122"/>
      <c r="CQ174" s="122"/>
      <c r="CR174" s="122"/>
      <c r="CS174" s="122"/>
      <c r="CT174" s="122"/>
      <c r="CU174" s="122"/>
      <c r="CV174" s="122"/>
      <c r="CW174" s="122"/>
      <c r="CX174" s="122"/>
      <c r="CY174" s="122"/>
      <c r="CZ174" s="122"/>
      <c r="DA174" s="122"/>
      <c r="DB174" s="122"/>
      <c r="DC174" s="122"/>
      <c r="DD174" s="122"/>
      <c r="DE174" s="122"/>
      <c r="DF174" s="122"/>
      <c r="DG174" s="122"/>
      <c r="DH174" s="122"/>
      <c r="DI174" s="122"/>
      <c r="DJ174" s="122"/>
      <c r="DK174" s="122"/>
      <c r="DL174" s="122"/>
      <c r="DM174" s="122"/>
      <c r="DN174" s="122"/>
      <c r="DO174" s="122"/>
      <c r="DP174" s="122"/>
      <c r="DQ174" s="122"/>
      <c r="DR174" s="122"/>
      <c r="DS174" s="122"/>
      <c r="DT174" s="122"/>
      <c r="DU174" s="122"/>
      <c r="DV174" s="122"/>
      <c r="DW174" s="122"/>
      <c r="DX174" s="122"/>
      <c r="DY174" s="122"/>
      <c r="DZ174" s="122"/>
      <c r="EA174" s="122"/>
      <c r="EB174" s="122"/>
      <c r="EC174" s="122"/>
      <c r="ED174" s="122"/>
      <c r="EE174" s="122"/>
      <c r="EF174" s="122"/>
      <c r="EG174" s="122"/>
      <c r="EH174" s="122"/>
      <c r="EI174" s="122"/>
      <c r="EJ174" s="122"/>
      <c r="EK174" s="122"/>
      <c r="EL174" s="122"/>
      <c r="EM174" s="122"/>
      <c r="EN174" s="122"/>
      <c r="EO174" s="122"/>
      <c r="EP174" s="122"/>
      <c r="EQ174" s="122"/>
      <c r="ER174" s="122"/>
      <c r="ES174" s="122"/>
      <c r="ET174" s="122"/>
      <c r="EU174" s="122"/>
      <c r="EV174" s="122"/>
      <c r="EW174" s="122"/>
      <c r="EX174" s="122"/>
      <c r="EY174" s="122"/>
      <c r="EZ174" s="122"/>
      <c r="FA174" s="122"/>
      <c r="FB174" s="122"/>
      <c r="FC174" s="122"/>
      <c r="FD174" s="122"/>
      <c r="FE174" s="122"/>
      <c r="FF174" s="122"/>
      <c r="FG174" s="122"/>
      <c r="FH174" s="122"/>
      <c r="FI174" s="122"/>
      <c r="FJ174" s="122"/>
      <c r="FK174" s="122"/>
      <c r="FL174" s="122"/>
      <c r="FM174" s="122"/>
      <c r="FN174" s="122"/>
      <c r="FO174" s="122"/>
      <c r="FP174" s="122"/>
      <c r="FQ174" s="122"/>
      <c r="FR174" s="122"/>
      <c r="FS174" s="122"/>
      <c r="FT174" s="122"/>
      <c r="FU174" s="122"/>
      <c r="FV174" s="122"/>
      <c r="FW174" s="122"/>
      <c r="FX174" s="122"/>
      <c r="FY174" s="122"/>
      <c r="FZ174" s="122"/>
      <c r="GA174" s="122"/>
      <c r="GB174" s="122"/>
      <c r="GC174" s="122"/>
      <c r="GD174" s="122"/>
      <c r="GE174" s="122"/>
      <c r="GF174" s="122"/>
      <c r="GG174" s="122"/>
      <c r="GH174" s="122"/>
      <c r="GI174" s="122"/>
      <c r="GJ174" s="122"/>
      <c r="GK174" s="122"/>
      <c r="GL174" s="122"/>
      <c r="GM174" s="122"/>
      <c r="GN174" s="122"/>
      <c r="GO174" s="122"/>
      <c r="GP174" s="122"/>
      <c r="GQ174" s="122"/>
      <c r="GR174" s="122"/>
      <c r="GS174" s="122"/>
      <c r="GT174" s="122"/>
      <c r="GU174" s="122"/>
      <c r="GV174" s="122"/>
      <c r="GW174" s="122"/>
      <c r="GX174" s="122"/>
      <c r="GY174" s="122"/>
      <c r="GZ174" s="122"/>
      <c r="HA174" s="122"/>
      <c r="HB174" s="122"/>
      <c r="HC174" s="122"/>
      <c r="HD174" s="122"/>
      <c r="HE174" s="122"/>
      <c r="HF174" s="122"/>
      <c r="HG174" s="122"/>
      <c r="HH174" s="122"/>
      <c r="HI174" s="122"/>
      <c r="HJ174" s="122"/>
      <c r="HK174" s="122"/>
      <c r="HL174" s="122"/>
      <c r="HM174" s="122"/>
      <c r="HN174" s="122"/>
      <c r="HO174" s="122"/>
      <c r="HP174" s="122"/>
      <c r="HQ174" s="122"/>
      <c r="HR174" s="122"/>
      <c r="HS174" s="122"/>
      <c r="HT174" s="122"/>
      <c r="HU174" s="122"/>
      <c r="HV174" s="122"/>
      <c r="HW174" s="122"/>
      <c r="HX174" s="122"/>
      <c r="HY174" s="122"/>
      <c r="HZ174" s="122"/>
      <c r="IA174" s="122"/>
      <c r="IB174" s="122"/>
      <c r="IC174" s="122"/>
      <c r="ID174" s="122"/>
      <c r="IE174" s="122"/>
      <c r="IF174" s="122"/>
      <c r="IG174" s="122"/>
      <c r="IH174" s="122"/>
      <c r="II174" s="122"/>
      <c r="IJ174" s="122"/>
      <c r="IK174" s="122"/>
      <c r="IL174" s="122"/>
      <c r="IM174" s="122"/>
      <c r="IN174" s="122"/>
      <c r="IO174" s="122"/>
      <c r="IP174" s="122"/>
      <c r="IQ174" s="122"/>
      <c r="IR174" s="122"/>
      <c r="IS174" s="122"/>
      <c r="IT174" s="122"/>
      <c r="IU174" s="122"/>
      <c r="IV174" s="122"/>
      <c r="IW174" s="122"/>
      <c r="IX174" s="122"/>
      <c r="IY174" s="122"/>
      <c r="IZ174" s="122"/>
      <c r="JA174" s="122"/>
      <c r="JB174" s="122"/>
      <c r="JC174" s="122"/>
      <c r="JD174" s="122"/>
      <c r="JE174" s="122"/>
      <c r="JF174" s="122"/>
      <c r="JG174" s="122"/>
      <c r="JH174" s="122"/>
      <c r="JI174" s="119"/>
      <c r="JJ174" s="2"/>
      <c r="JK174" s="122"/>
      <c r="JL174" s="125"/>
      <c r="JM174" s="125"/>
      <c r="JN174" s="125"/>
      <c r="JO174" s="125"/>
      <c r="JP174" s="125"/>
    </row>
    <row r="175" spans="1:276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2"/>
      <c r="AU175" s="122"/>
      <c r="AV175" s="122"/>
      <c r="AW175" s="122"/>
      <c r="AX175" s="122"/>
      <c r="AY175" s="122"/>
      <c r="AZ175" s="122"/>
      <c r="BA175" s="122"/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122"/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2"/>
      <c r="CI175" s="122"/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2"/>
      <c r="CZ175" s="122"/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2"/>
      <c r="DQ175" s="122"/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2"/>
      <c r="EH175" s="122"/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2"/>
      <c r="EY175" s="122"/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2"/>
      <c r="FP175" s="122"/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2"/>
      <c r="GG175" s="122"/>
      <c r="GH175" s="122"/>
      <c r="GI175" s="122"/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2"/>
      <c r="GX175" s="122"/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2"/>
      <c r="HO175" s="122"/>
      <c r="HP175" s="122"/>
      <c r="HQ175" s="122"/>
      <c r="HR175" s="122"/>
      <c r="HS175" s="122"/>
      <c r="HT175" s="122"/>
      <c r="HU175" s="122"/>
      <c r="HV175" s="122"/>
      <c r="HW175" s="122"/>
      <c r="HX175" s="122"/>
      <c r="HY175" s="122"/>
      <c r="HZ175" s="122"/>
      <c r="IA175" s="122"/>
      <c r="IB175" s="122"/>
      <c r="IC175" s="122"/>
      <c r="ID175" s="122"/>
      <c r="IE175" s="122"/>
      <c r="IF175" s="122"/>
      <c r="IG175" s="122"/>
      <c r="IH175" s="122"/>
      <c r="II175" s="122"/>
      <c r="IJ175" s="122"/>
      <c r="IK175" s="122"/>
      <c r="IL175" s="122"/>
      <c r="IM175" s="122"/>
      <c r="IN175" s="122"/>
      <c r="IO175" s="122"/>
      <c r="IP175" s="122"/>
      <c r="IQ175" s="122"/>
      <c r="IR175" s="122"/>
      <c r="IS175" s="122"/>
      <c r="IT175" s="122"/>
      <c r="IU175" s="122"/>
      <c r="IV175" s="122"/>
      <c r="IW175" s="122"/>
      <c r="IX175" s="122"/>
      <c r="IY175" s="122"/>
      <c r="IZ175" s="122"/>
      <c r="JA175" s="122"/>
      <c r="JB175" s="122"/>
      <c r="JC175" s="122"/>
      <c r="JD175" s="122"/>
      <c r="JE175" s="122"/>
      <c r="JF175" s="122"/>
      <c r="JG175" s="122"/>
      <c r="JH175" s="122"/>
      <c r="JI175" s="119"/>
      <c r="JJ175" s="2"/>
      <c r="JK175" s="122"/>
      <c r="JL175" s="125"/>
      <c r="JM175" s="125"/>
      <c r="JN175" s="125"/>
      <c r="JO175" s="125"/>
      <c r="JP175" s="125"/>
    </row>
    <row r="176" spans="1:2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2"/>
      <c r="AU176" s="122"/>
      <c r="AV176" s="122"/>
      <c r="AW176" s="122"/>
      <c r="AX176" s="122"/>
      <c r="AY176" s="122"/>
      <c r="AZ176" s="122"/>
      <c r="BA176" s="122"/>
      <c r="BB176" s="122"/>
      <c r="BC176" s="122"/>
      <c r="BD176" s="122"/>
      <c r="BE176" s="122"/>
      <c r="BF176" s="122"/>
      <c r="BG176" s="122"/>
      <c r="BH176" s="122"/>
      <c r="BI176" s="122"/>
      <c r="BJ176" s="122"/>
      <c r="BK176" s="122"/>
      <c r="BL176" s="122"/>
      <c r="BM176" s="122"/>
      <c r="BN176" s="122"/>
      <c r="BO176" s="122"/>
      <c r="BP176" s="122"/>
      <c r="BQ176" s="122"/>
      <c r="BR176" s="122"/>
      <c r="BS176" s="122"/>
      <c r="BT176" s="122"/>
      <c r="BU176" s="122"/>
      <c r="BV176" s="122"/>
      <c r="BW176" s="122"/>
      <c r="BX176" s="122"/>
      <c r="BY176" s="122"/>
      <c r="BZ176" s="122"/>
      <c r="CA176" s="122"/>
      <c r="CB176" s="122"/>
      <c r="CC176" s="122"/>
      <c r="CD176" s="122"/>
      <c r="CE176" s="122"/>
      <c r="CF176" s="122"/>
      <c r="CG176" s="122"/>
      <c r="CH176" s="122"/>
      <c r="CI176" s="122"/>
      <c r="CJ176" s="122"/>
      <c r="CK176" s="122"/>
      <c r="CL176" s="122"/>
      <c r="CM176" s="122"/>
      <c r="CN176" s="122"/>
      <c r="CO176" s="122"/>
      <c r="CP176" s="122"/>
      <c r="CQ176" s="122"/>
      <c r="CR176" s="122"/>
      <c r="CS176" s="122"/>
      <c r="CT176" s="122"/>
      <c r="CU176" s="122"/>
      <c r="CV176" s="122"/>
      <c r="CW176" s="122"/>
      <c r="CX176" s="122"/>
      <c r="CY176" s="122"/>
      <c r="CZ176" s="122"/>
      <c r="DA176" s="122"/>
      <c r="DB176" s="122"/>
      <c r="DC176" s="122"/>
      <c r="DD176" s="122"/>
      <c r="DE176" s="122"/>
      <c r="DF176" s="122"/>
      <c r="DG176" s="122"/>
      <c r="DH176" s="122"/>
      <c r="DI176" s="122"/>
      <c r="DJ176" s="122"/>
      <c r="DK176" s="122"/>
      <c r="DL176" s="122"/>
      <c r="DM176" s="122"/>
      <c r="DN176" s="122"/>
      <c r="DO176" s="122"/>
      <c r="DP176" s="122"/>
      <c r="DQ176" s="122"/>
      <c r="DR176" s="122"/>
      <c r="DS176" s="122"/>
      <c r="DT176" s="122"/>
      <c r="DU176" s="122"/>
      <c r="DV176" s="122"/>
      <c r="DW176" s="122"/>
      <c r="DX176" s="122"/>
      <c r="DY176" s="122"/>
      <c r="DZ176" s="122"/>
      <c r="EA176" s="122"/>
      <c r="EB176" s="122"/>
      <c r="EC176" s="122"/>
      <c r="ED176" s="122"/>
      <c r="EE176" s="122"/>
      <c r="EF176" s="122"/>
      <c r="EG176" s="122"/>
      <c r="EH176" s="122"/>
      <c r="EI176" s="122"/>
      <c r="EJ176" s="122"/>
      <c r="EK176" s="122"/>
      <c r="EL176" s="122"/>
      <c r="EM176" s="122"/>
      <c r="EN176" s="122"/>
      <c r="EO176" s="122"/>
      <c r="EP176" s="122"/>
      <c r="EQ176" s="122"/>
      <c r="ER176" s="122"/>
      <c r="ES176" s="122"/>
      <c r="ET176" s="122"/>
      <c r="EU176" s="122"/>
      <c r="EV176" s="122"/>
      <c r="EW176" s="122"/>
      <c r="EX176" s="122"/>
      <c r="EY176" s="122"/>
      <c r="EZ176" s="122"/>
      <c r="FA176" s="122"/>
      <c r="FB176" s="122"/>
      <c r="FC176" s="122"/>
      <c r="FD176" s="122"/>
      <c r="FE176" s="122"/>
      <c r="FF176" s="122"/>
      <c r="FG176" s="122"/>
      <c r="FH176" s="122"/>
      <c r="FI176" s="122"/>
      <c r="FJ176" s="122"/>
      <c r="FK176" s="122"/>
      <c r="FL176" s="122"/>
      <c r="FM176" s="122"/>
      <c r="FN176" s="122"/>
      <c r="FO176" s="122"/>
      <c r="FP176" s="122"/>
      <c r="FQ176" s="122"/>
      <c r="FR176" s="122"/>
      <c r="FS176" s="122"/>
      <c r="FT176" s="122"/>
      <c r="FU176" s="122"/>
      <c r="FV176" s="122"/>
      <c r="FW176" s="122"/>
      <c r="FX176" s="122"/>
      <c r="FY176" s="122"/>
      <c r="FZ176" s="122"/>
      <c r="GA176" s="122"/>
      <c r="GB176" s="122"/>
      <c r="GC176" s="122"/>
      <c r="GD176" s="122"/>
      <c r="GE176" s="122"/>
      <c r="GF176" s="122"/>
      <c r="GG176" s="122"/>
      <c r="GH176" s="122"/>
      <c r="GI176" s="122"/>
      <c r="GJ176" s="122"/>
      <c r="GK176" s="122"/>
      <c r="GL176" s="122"/>
      <c r="GM176" s="122"/>
      <c r="GN176" s="122"/>
      <c r="GO176" s="122"/>
      <c r="GP176" s="122"/>
      <c r="GQ176" s="122"/>
      <c r="GR176" s="122"/>
      <c r="GS176" s="122"/>
      <c r="GT176" s="122"/>
      <c r="GU176" s="122"/>
      <c r="GV176" s="122"/>
      <c r="GW176" s="122"/>
      <c r="GX176" s="122"/>
      <c r="GY176" s="122"/>
      <c r="GZ176" s="122"/>
      <c r="HA176" s="122"/>
      <c r="HB176" s="122"/>
      <c r="HC176" s="122"/>
      <c r="HD176" s="122"/>
      <c r="HE176" s="122"/>
      <c r="HF176" s="122"/>
      <c r="HG176" s="122"/>
      <c r="HH176" s="122"/>
      <c r="HI176" s="122"/>
      <c r="HJ176" s="122"/>
      <c r="HK176" s="122"/>
      <c r="HL176" s="122"/>
      <c r="HM176" s="122"/>
      <c r="HN176" s="122"/>
      <c r="HO176" s="122"/>
      <c r="HP176" s="122"/>
      <c r="HQ176" s="122"/>
      <c r="HR176" s="122"/>
      <c r="HS176" s="122"/>
      <c r="HT176" s="122"/>
      <c r="HU176" s="122"/>
      <c r="HV176" s="122"/>
      <c r="HW176" s="122"/>
      <c r="HX176" s="122"/>
      <c r="HY176" s="122"/>
      <c r="HZ176" s="122"/>
      <c r="IA176" s="122"/>
      <c r="IB176" s="122"/>
      <c r="IC176" s="122"/>
      <c r="ID176" s="122"/>
      <c r="IE176" s="122"/>
      <c r="IF176" s="122"/>
      <c r="IG176" s="122"/>
      <c r="IH176" s="122"/>
      <c r="II176" s="122"/>
      <c r="IJ176" s="122"/>
      <c r="IK176" s="122"/>
      <c r="IL176" s="122"/>
      <c r="IM176" s="122"/>
      <c r="IN176" s="122"/>
      <c r="IO176" s="122"/>
      <c r="IP176" s="122"/>
      <c r="IQ176" s="122"/>
      <c r="IR176" s="122"/>
      <c r="IS176" s="122"/>
      <c r="IT176" s="122"/>
      <c r="IU176" s="122"/>
      <c r="IV176" s="122"/>
      <c r="IW176" s="122"/>
      <c r="IX176" s="122"/>
      <c r="IY176" s="122"/>
      <c r="IZ176" s="122"/>
      <c r="JA176" s="122"/>
      <c r="JB176" s="122"/>
      <c r="JC176" s="122"/>
      <c r="JD176" s="122"/>
      <c r="JE176" s="122"/>
      <c r="JF176" s="122"/>
      <c r="JG176" s="122"/>
      <c r="JH176" s="122"/>
      <c r="JI176" s="119"/>
      <c r="JJ176" s="2"/>
      <c r="JK176" s="122"/>
      <c r="JL176" s="125"/>
      <c r="JM176" s="125"/>
      <c r="JN176" s="125"/>
      <c r="JO176" s="125"/>
      <c r="JP176" s="125"/>
    </row>
    <row r="177" spans="1:276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s="122"/>
      <c r="AV177" s="122"/>
      <c r="AW177" s="122"/>
      <c r="AX177" s="122"/>
      <c r="AY177" s="122"/>
      <c r="AZ177" s="122"/>
      <c r="BA177" s="122"/>
      <c r="BB177" s="122"/>
      <c r="BC177" s="122"/>
      <c r="BD177" s="122"/>
      <c r="BE177" s="122"/>
      <c r="BF177" s="122"/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122"/>
      <c r="BS177" s="122"/>
      <c r="BT177" s="122"/>
      <c r="BU177" s="122"/>
      <c r="BV177" s="122"/>
      <c r="BW177" s="122"/>
      <c r="BX177" s="122"/>
      <c r="BY177" s="122"/>
      <c r="BZ177" s="122"/>
      <c r="CA177" s="122"/>
      <c r="CB177" s="122"/>
      <c r="CC177" s="122"/>
      <c r="CD177" s="122"/>
      <c r="CE177" s="122"/>
      <c r="CF177" s="122"/>
      <c r="CG177" s="122"/>
      <c r="CH177" s="122"/>
      <c r="CI177" s="122"/>
      <c r="CJ177" s="122"/>
      <c r="CK177" s="122"/>
      <c r="CL177" s="122"/>
      <c r="CM177" s="122"/>
      <c r="CN177" s="122"/>
      <c r="CO177" s="122"/>
      <c r="CP177" s="122"/>
      <c r="CQ177" s="122"/>
      <c r="CR177" s="122"/>
      <c r="CS177" s="122"/>
      <c r="CT177" s="122"/>
      <c r="CU177" s="122"/>
      <c r="CV177" s="122"/>
      <c r="CW177" s="122"/>
      <c r="CX177" s="122"/>
      <c r="CY177" s="122"/>
      <c r="CZ177" s="122"/>
      <c r="DA177" s="122"/>
      <c r="DB177" s="122"/>
      <c r="DC177" s="122"/>
      <c r="DD177" s="122"/>
      <c r="DE177" s="122"/>
      <c r="DF177" s="122"/>
      <c r="DG177" s="122"/>
      <c r="DH177" s="122"/>
      <c r="DI177" s="122"/>
      <c r="DJ177" s="122"/>
      <c r="DK177" s="122"/>
      <c r="DL177" s="122"/>
      <c r="DM177" s="122"/>
      <c r="DN177" s="122"/>
      <c r="DO177" s="122"/>
      <c r="DP177" s="122"/>
      <c r="DQ177" s="122"/>
      <c r="DR177" s="122"/>
      <c r="DS177" s="122"/>
      <c r="DT177" s="122"/>
      <c r="DU177" s="122"/>
      <c r="DV177" s="122"/>
      <c r="DW177" s="122"/>
      <c r="DX177" s="122"/>
      <c r="DY177" s="122"/>
      <c r="DZ177" s="122"/>
      <c r="EA177" s="122"/>
      <c r="EB177" s="122"/>
      <c r="EC177" s="122"/>
      <c r="ED177" s="122"/>
      <c r="EE177" s="122"/>
      <c r="EF177" s="122"/>
      <c r="EG177" s="122"/>
      <c r="EH177" s="122"/>
      <c r="EI177" s="122"/>
      <c r="EJ177" s="122"/>
      <c r="EK177" s="122"/>
      <c r="EL177" s="122"/>
      <c r="EM177" s="122"/>
      <c r="EN177" s="122"/>
      <c r="EO177" s="122"/>
      <c r="EP177" s="122"/>
      <c r="EQ177" s="122"/>
      <c r="ER177" s="122"/>
      <c r="ES177" s="122"/>
      <c r="ET177" s="122"/>
      <c r="EU177" s="122"/>
      <c r="EV177" s="122"/>
      <c r="EW177" s="122"/>
      <c r="EX177" s="122"/>
      <c r="EY177" s="122"/>
      <c r="EZ177" s="122"/>
      <c r="FA177" s="122"/>
      <c r="FB177" s="122"/>
      <c r="FC177" s="122"/>
      <c r="FD177" s="122"/>
      <c r="FE177" s="122"/>
      <c r="FF177" s="122"/>
      <c r="FG177" s="122"/>
      <c r="FH177" s="122"/>
      <c r="FI177" s="122"/>
      <c r="FJ177" s="122"/>
      <c r="FK177" s="122"/>
      <c r="FL177" s="122"/>
      <c r="FM177" s="122"/>
      <c r="FN177" s="122"/>
      <c r="FO177" s="122"/>
      <c r="FP177" s="122"/>
      <c r="FQ177" s="122"/>
      <c r="FR177" s="122"/>
      <c r="FS177" s="122"/>
      <c r="FT177" s="122"/>
      <c r="FU177" s="122"/>
      <c r="FV177" s="122"/>
      <c r="FW177" s="122"/>
      <c r="FX177" s="122"/>
      <c r="FY177" s="122"/>
      <c r="FZ177" s="122"/>
      <c r="GA177" s="122"/>
      <c r="GB177" s="122"/>
      <c r="GC177" s="122"/>
      <c r="GD177" s="122"/>
      <c r="GE177" s="122"/>
      <c r="GF177" s="122"/>
      <c r="GG177" s="122"/>
      <c r="GH177" s="122"/>
      <c r="GI177" s="122"/>
      <c r="GJ177" s="122"/>
      <c r="GK177" s="122"/>
      <c r="GL177" s="122"/>
      <c r="GM177" s="122"/>
      <c r="GN177" s="122"/>
      <c r="GO177" s="122"/>
      <c r="GP177" s="122"/>
      <c r="GQ177" s="122"/>
      <c r="GR177" s="122"/>
      <c r="GS177" s="122"/>
      <c r="GT177" s="122"/>
      <c r="GU177" s="122"/>
      <c r="GV177" s="122"/>
      <c r="GW177" s="122"/>
      <c r="GX177" s="122"/>
      <c r="GY177" s="122"/>
      <c r="GZ177" s="122"/>
      <c r="HA177" s="122"/>
      <c r="HB177" s="122"/>
      <c r="HC177" s="122"/>
      <c r="HD177" s="122"/>
      <c r="HE177" s="122"/>
      <c r="HF177" s="122"/>
      <c r="HG177" s="122"/>
      <c r="HH177" s="122"/>
      <c r="HI177" s="122"/>
      <c r="HJ177" s="122"/>
      <c r="HK177" s="122"/>
      <c r="HL177" s="122"/>
      <c r="HM177" s="122"/>
      <c r="HN177" s="122"/>
      <c r="HO177" s="122"/>
      <c r="HP177" s="122"/>
      <c r="HQ177" s="122"/>
      <c r="HR177" s="122"/>
      <c r="HS177" s="122"/>
      <c r="HT177" s="122"/>
      <c r="HU177" s="122"/>
      <c r="HV177" s="122"/>
      <c r="HW177" s="122"/>
      <c r="HX177" s="122"/>
      <c r="HY177" s="122"/>
      <c r="HZ177" s="122"/>
      <c r="IA177" s="122"/>
      <c r="IB177" s="122"/>
      <c r="IC177" s="122"/>
      <c r="ID177" s="122"/>
      <c r="IE177" s="122"/>
      <c r="IF177" s="122"/>
      <c r="IG177" s="122"/>
      <c r="IH177" s="122"/>
      <c r="II177" s="122"/>
      <c r="IJ177" s="122"/>
      <c r="IK177" s="122"/>
      <c r="IL177" s="122"/>
      <c r="IM177" s="122"/>
      <c r="IN177" s="122"/>
      <c r="IO177" s="122"/>
      <c r="IP177" s="122"/>
      <c r="IQ177" s="122"/>
      <c r="IR177" s="122"/>
      <c r="IS177" s="122"/>
      <c r="IT177" s="122"/>
      <c r="IU177" s="122"/>
      <c r="IV177" s="122"/>
      <c r="IW177" s="122"/>
      <c r="IX177" s="122"/>
      <c r="IY177" s="122"/>
      <c r="IZ177" s="122"/>
      <c r="JA177" s="122"/>
      <c r="JB177" s="122"/>
      <c r="JC177" s="122"/>
      <c r="JD177" s="122"/>
      <c r="JE177" s="122"/>
      <c r="JF177" s="122"/>
      <c r="JG177" s="122"/>
      <c r="JH177" s="122"/>
      <c r="JI177" s="119"/>
      <c r="JJ177" s="2"/>
      <c r="JK177" s="122"/>
      <c r="JL177" s="125"/>
      <c r="JM177" s="125"/>
      <c r="JN177" s="125"/>
      <c r="JO177" s="125"/>
      <c r="JP177" s="125"/>
    </row>
    <row r="178" spans="1:276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22"/>
      <c r="AS178" s="122"/>
      <c r="AT178" s="122"/>
      <c r="AU178" s="122"/>
      <c r="AV178" s="122"/>
      <c r="AW178" s="122"/>
      <c r="AX178" s="122"/>
      <c r="AY178" s="122"/>
      <c r="AZ178" s="122"/>
      <c r="BA178" s="122"/>
      <c r="BB178" s="122"/>
      <c r="BC178" s="122"/>
      <c r="BD178" s="122"/>
      <c r="BE178" s="122"/>
      <c r="BF178" s="122"/>
      <c r="BG178" s="122"/>
      <c r="BH178" s="122"/>
      <c r="BI178" s="122"/>
      <c r="BJ178" s="122"/>
      <c r="BK178" s="122"/>
      <c r="BL178" s="122"/>
      <c r="BM178" s="122"/>
      <c r="BN178" s="122"/>
      <c r="BO178" s="122"/>
      <c r="BP178" s="122"/>
      <c r="BQ178" s="122"/>
      <c r="BR178" s="122"/>
      <c r="BS178" s="122"/>
      <c r="BT178" s="122"/>
      <c r="BU178" s="122"/>
      <c r="BV178" s="122"/>
      <c r="BW178" s="122"/>
      <c r="BX178" s="122"/>
      <c r="BY178" s="122"/>
      <c r="BZ178" s="122"/>
      <c r="CA178" s="122"/>
      <c r="CB178" s="122"/>
      <c r="CC178" s="122"/>
      <c r="CD178" s="122"/>
      <c r="CE178" s="122"/>
      <c r="CF178" s="122"/>
      <c r="CG178" s="122"/>
      <c r="CH178" s="122"/>
      <c r="CI178" s="122"/>
      <c r="CJ178" s="122"/>
      <c r="CK178" s="122"/>
      <c r="CL178" s="122"/>
      <c r="CM178" s="122"/>
      <c r="CN178" s="122"/>
      <c r="CO178" s="122"/>
      <c r="CP178" s="122"/>
      <c r="CQ178" s="122"/>
      <c r="CR178" s="122"/>
      <c r="CS178" s="122"/>
      <c r="CT178" s="122"/>
      <c r="CU178" s="122"/>
      <c r="CV178" s="122"/>
      <c r="CW178" s="122"/>
      <c r="CX178" s="122"/>
      <c r="CY178" s="122"/>
      <c r="CZ178" s="122"/>
      <c r="DA178" s="122"/>
      <c r="DB178" s="122"/>
      <c r="DC178" s="122"/>
      <c r="DD178" s="122"/>
      <c r="DE178" s="122"/>
      <c r="DF178" s="122"/>
      <c r="DG178" s="122"/>
      <c r="DH178" s="122"/>
      <c r="DI178" s="122"/>
      <c r="DJ178" s="122"/>
      <c r="DK178" s="122"/>
      <c r="DL178" s="122"/>
      <c r="DM178" s="122"/>
      <c r="DN178" s="122"/>
      <c r="DO178" s="122"/>
      <c r="DP178" s="122"/>
      <c r="DQ178" s="122"/>
      <c r="DR178" s="122"/>
      <c r="DS178" s="122"/>
      <c r="DT178" s="122"/>
      <c r="DU178" s="122"/>
      <c r="DV178" s="122"/>
      <c r="DW178" s="122"/>
      <c r="DX178" s="122"/>
      <c r="DY178" s="122"/>
      <c r="DZ178" s="122"/>
      <c r="EA178" s="122"/>
      <c r="EB178" s="122"/>
      <c r="EC178" s="122"/>
      <c r="ED178" s="122"/>
      <c r="EE178" s="122"/>
      <c r="EF178" s="122"/>
      <c r="EG178" s="122"/>
      <c r="EH178" s="122"/>
      <c r="EI178" s="122"/>
      <c r="EJ178" s="122"/>
      <c r="EK178" s="122"/>
      <c r="EL178" s="122"/>
      <c r="EM178" s="122"/>
      <c r="EN178" s="122"/>
      <c r="EO178" s="122"/>
      <c r="EP178" s="122"/>
      <c r="EQ178" s="122"/>
      <c r="ER178" s="122"/>
      <c r="ES178" s="122"/>
      <c r="ET178" s="122"/>
      <c r="EU178" s="122"/>
      <c r="EV178" s="122"/>
      <c r="EW178" s="122"/>
      <c r="EX178" s="122"/>
      <c r="EY178" s="122"/>
      <c r="EZ178" s="122"/>
      <c r="FA178" s="122"/>
      <c r="FB178" s="122"/>
      <c r="FC178" s="122"/>
      <c r="FD178" s="122"/>
      <c r="FE178" s="122"/>
      <c r="FF178" s="122"/>
      <c r="FG178" s="122"/>
      <c r="FH178" s="122"/>
      <c r="FI178" s="122"/>
      <c r="FJ178" s="122"/>
      <c r="FK178" s="122"/>
      <c r="FL178" s="122"/>
      <c r="FM178" s="122"/>
      <c r="FN178" s="122"/>
      <c r="FO178" s="122"/>
      <c r="FP178" s="122"/>
      <c r="FQ178" s="122"/>
      <c r="FR178" s="122"/>
      <c r="FS178" s="122"/>
      <c r="FT178" s="122"/>
      <c r="FU178" s="122"/>
      <c r="FV178" s="122"/>
      <c r="FW178" s="122"/>
      <c r="FX178" s="122"/>
      <c r="FY178" s="122"/>
      <c r="FZ178" s="122"/>
      <c r="GA178" s="122"/>
      <c r="GB178" s="122"/>
      <c r="GC178" s="122"/>
      <c r="GD178" s="122"/>
      <c r="GE178" s="122"/>
      <c r="GF178" s="122"/>
      <c r="GG178" s="122"/>
      <c r="GH178" s="122"/>
      <c r="GI178" s="122"/>
      <c r="GJ178" s="122"/>
      <c r="GK178" s="122"/>
      <c r="GL178" s="122"/>
      <c r="GM178" s="122"/>
      <c r="GN178" s="122"/>
      <c r="GO178" s="122"/>
      <c r="GP178" s="122"/>
      <c r="GQ178" s="122"/>
      <c r="GR178" s="122"/>
      <c r="GS178" s="122"/>
      <c r="GT178" s="122"/>
      <c r="GU178" s="122"/>
      <c r="GV178" s="122"/>
      <c r="GW178" s="122"/>
      <c r="GX178" s="122"/>
      <c r="GY178" s="122"/>
      <c r="GZ178" s="122"/>
      <c r="HA178" s="122"/>
      <c r="HB178" s="122"/>
      <c r="HC178" s="122"/>
      <c r="HD178" s="122"/>
      <c r="HE178" s="122"/>
      <c r="HF178" s="122"/>
      <c r="HG178" s="122"/>
      <c r="HH178" s="122"/>
      <c r="HI178" s="122"/>
      <c r="HJ178" s="122"/>
      <c r="HK178" s="122"/>
      <c r="HL178" s="122"/>
      <c r="HM178" s="122"/>
      <c r="HN178" s="122"/>
      <c r="HO178" s="122"/>
      <c r="HP178" s="122"/>
      <c r="HQ178" s="122"/>
      <c r="HR178" s="122"/>
      <c r="HS178" s="122"/>
      <c r="HT178" s="122"/>
      <c r="HU178" s="122"/>
      <c r="HV178" s="122"/>
      <c r="HW178" s="122"/>
      <c r="HX178" s="122"/>
      <c r="HY178" s="122"/>
      <c r="HZ178" s="122"/>
      <c r="IA178" s="122"/>
      <c r="IB178" s="122"/>
      <c r="IC178" s="122"/>
      <c r="ID178" s="122"/>
      <c r="IE178" s="122"/>
      <c r="IF178" s="122"/>
      <c r="IG178" s="122"/>
      <c r="IH178" s="122"/>
      <c r="II178" s="122"/>
      <c r="IJ178" s="122"/>
      <c r="IK178" s="122"/>
      <c r="IL178" s="122"/>
      <c r="IM178" s="122"/>
      <c r="IN178" s="122"/>
      <c r="IO178" s="122"/>
      <c r="IP178" s="122"/>
      <c r="IQ178" s="122"/>
      <c r="IR178" s="122"/>
      <c r="IS178" s="122"/>
      <c r="IT178" s="122"/>
      <c r="IU178" s="122"/>
      <c r="IV178" s="122"/>
      <c r="IW178" s="122"/>
      <c r="IX178" s="122"/>
      <c r="IY178" s="122"/>
      <c r="IZ178" s="122"/>
      <c r="JA178" s="122"/>
      <c r="JB178" s="122"/>
      <c r="JC178" s="122"/>
      <c r="JD178" s="122"/>
      <c r="JE178" s="122"/>
      <c r="JF178" s="122"/>
      <c r="JG178" s="122"/>
      <c r="JH178" s="122"/>
      <c r="JI178" s="119"/>
      <c r="JJ178" s="2"/>
      <c r="JK178" s="122"/>
      <c r="JL178" s="125"/>
      <c r="JM178" s="125"/>
      <c r="JN178" s="125"/>
      <c r="JO178" s="125"/>
      <c r="JP178" s="125"/>
    </row>
    <row r="179" spans="1:276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s="122"/>
      <c r="AV179" s="122"/>
      <c r="AW179" s="122"/>
      <c r="AX179" s="122"/>
      <c r="AY179" s="122"/>
      <c r="AZ179" s="122"/>
      <c r="BA179" s="122"/>
      <c r="BB179" s="122"/>
      <c r="BC179" s="122"/>
      <c r="BD179" s="122"/>
      <c r="BE179" s="122"/>
      <c r="BF179" s="122"/>
      <c r="BG179" s="122"/>
      <c r="BH179" s="122"/>
      <c r="BI179" s="122"/>
      <c r="BJ179" s="122"/>
      <c r="BK179" s="122"/>
      <c r="BL179" s="122"/>
      <c r="BM179" s="122"/>
      <c r="BN179" s="122"/>
      <c r="BO179" s="122"/>
      <c r="BP179" s="122"/>
      <c r="BQ179" s="122"/>
      <c r="BR179" s="122"/>
      <c r="BS179" s="122"/>
      <c r="BT179" s="122"/>
      <c r="BU179" s="122"/>
      <c r="BV179" s="122"/>
      <c r="BW179" s="122"/>
      <c r="BX179" s="122"/>
      <c r="BY179" s="122"/>
      <c r="BZ179" s="122"/>
      <c r="CA179" s="122"/>
      <c r="CB179" s="122"/>
      <c r="CC179" s="122"/>
      <c r="CD179" s="122"/>
      <c r="CE179" s="122"/>
      <c r="CF179" s="122"/>
      <c r="CG179" s="122"/>
      <c r="CH179" s="122"/>
      <c r="CI179" s="122"/>
      <c r="CJ179" s="122"/>
      <c r="CK179" s="122"/>
      <c r="CL179" s="122"/>
      <c r="CM179" s="122"/>
      <c r="CN179" s="122"/>
      <c r="CO179" s="122"/>
      <c r="CP179" s="122"/>
      <c r="CQ179" s="122"/>
      <c r="CR179" s="122"/>
      <c r="CS179" s="122"/>
      <c r="CT179" s="122"/>
      <c r="CU179" s="122"/>
      <c r="CV179" s="122"/>
      <c r="CW179" s="122"/>
      <c r="CX179" s="122"/>
      <c r="CY179" s="122"/>
      <c r="CZ179" s="122"/>
      <c r="DA179" s="122"/>
      <c r="DB179" s="122"/>
      <c r="DC179" s="122"/>
      <c r="DD179" s="122"/>
      <c r="DE179" s="122"/>
      <c r="DF179" s="122"/>
      <c r="DG179" s="122"/>
      <c r="DH179" s="122"/>
      <c r="DI179" s="122"/>
      <c r="DJ179" s="122"/>
      <c r="DK179" s="122"/>
      <c r="DL179" s="122"/>
      <c r="DM179" s="122"/>
      <c r="DN179" s="122"/>
      <c r="DO179" s="122"/>
      <c r="DP179" s="122"/>
      <c r="DQ179" s="122"/>
      <c r="DR179" s="122"/>
      <c r="DS179" s="122"/>
      <c r="DT179" s="122"/>
      <c r="DU179" s="122"/>
      <c r="DV179" s="122"/>
      <c r="DW179" s="122"/>
      <c r="DX179" s="122"/>
      <c r="DY179" s="122"/>
      <c r="DZ179" s="122"/>
      <c r="EA179" s="122"/>
      <c r="EB179" s="122"/>
      <c r="EC179" s="122"/>
      <c r="ED179" s="122"/>
      <c r="EE179" s="122"/>
      <c r="EF179" s="122"/>
      <c r="EG179" s="122"/>
      <c r="EH179" s="122"/>
      <c r="EI179" s="122"/>
      <c r="EJ179" s="122"/>
      <c r="EK179" s="122"/>
      <c r="EL179" s="122"/>
      <c r="EM179" s="122"/>
      <c r="EN179" s="122"/>
      <c r="EO179" s="122"/>
      <c r="EP179" s="122"/>
      <c r="EQ179" s="122"/>
      <c r="ER179" s="122"/>
      <c r="ES179" s="122"/>
      <c r="ET179" s="122"/>
      <c r="EU179" s="122"/>
      <c r="EV179" s="122"/>
      <c r="EW179" s="122"/>
      <c r="EX179" s="122"/>
      <c r="EY179" s="122"/>
      <c r="EZ179" s="122"/>
      <c r="FA179" s="122"/>
      <c r="FB179" s="122"/>
      <c r="FC179" s="122"/>
      <c r="FD179" s="122"/>
      <c r="FE179" s="122"/>
      <c r="FF179" s="122"/>
      <c r="FG179" s="122"/>
      <c r="FH179" s="122"/>
      <c r="FI179" s="122"/>
      <c r="FJ179" s="122"/>
      <c r="FK179" s="122"/>
      <c r="FL179" s="122"/>
      <c r="FM179" s="122"/>
      <c r="FN179" s="122"/>
      <c r="FO179" s="122"/>
      <c r="FP179" s="122"/>
      <c r="FQ179" s="122"/>
      <c r="FR179" s="122"/>
      <c r="FS179" s="122"/>
      <c r="FT179" s="122"/>
      <c r="FU179" s="122"/>
      <c r="FV179" s="122"/>
      <c r="FW179" s="122"/>
      <c r="FX179" s="122"/>
      <c r="FY179" s="122"/>
      <c r="FZ179" s="122"/>
      <c r="GA179" s="122"/>
      <c r="GB179" s="122"/>
      <c r="GC179" s="122"/>
      <c r="GD179" s="122"/>
      <c r="GE179" s="122"/>
      <c r="GF179" s="122"/>
      <c r="GG179" s="122"/>
      <c r="GH179" s="122"/>
      <c r="GI179" s="122"/>
      <c r="GJ179" s="122"/>
      <c r="GK179" s="122"/>
      <c r="GL179" s="122"/>
      <c r="GM179" s="122"/>
      <c r="GN179" s="122"/>
      <c r="GO179" s="122"/>
      <c r="GP179" s="122"/>
      <c r="GQ179" s="122"/>
      <c r="GR179" s="122"/>
      <c r="GS179" s="122"/>
      <c r="GT179" s="122"/>
      <c r="GU179" s="122"/>
      <c r="GV179" s="122"/>
      <c r="GW179" s="122"/>
      <c r="GX179" s="122"/>
      <c r="GY179" s="122"/>
      <c r="GZ179" s="122"/>
      <c r="HA179" s="122"/>
      <c r="HB179" s="122"/>
      <c r="HC179" s="122"/>
      <c r="HD179" s="122"/>
      <c r="HE179" s="122"/>
      <c r="HF179" s="122"/>
      <c r="HG179" s="122"/>
      <c r="HH179" s="122"/>
      <c r="HI179" s="122"/>
      <c r="HJ179" s="122"/>
      <c r="HK179" s="122"/>
      <c r="HL179" s="122"/>
      <c r="HM179" s="122"/>
      <c r="HN179" s="122"/>
      <c r="HO179" s="122"/>
      <c r="HP179" s="122"/>
      <c r="HQ179" s="122"/>
      <c r="HR179" s="122"/>
      <c r="HS179" s="122"/>
      <c r="HT179" s="122"/>
      <c r="HU179" s="122"/>
      <c r="HV179" s="122"/>
      <c r="HW179" s="122"/>
      <c r="HX179" s="122"/>
      <c r="HY179" s="122"/>
      <c r="HZ179" s="122"/>
      <c r="IA179" s="122"/>
      <c r="IB179" s="122"/>
      <c r="IC179" s="122"/>
      <c r="ID179" s="122"/>
      <c r="IE179" s="122"/>
      <c r="IF179" s="122"/>
      <c r="IG179" s="122"/>
      <c r="IH179" s="122"/>
      <c r="II179" s="122"/>
      <c r="IJ179" s="122"/>
      <c r="IK179" s="122"/>
      <c r="IL179" s="122"/>
      <c r="IM179" s="122"/>
      <c r="IN179" s="122"/>
      <c r="IO179" s="122"/>
      <c r="IP179" s="122"/>
      <c r="IQ179" s="122"/>
      <c r="IR179" s="122"/>
      <c r="IS179" s="122"/>
      <c r="IT179" s="122"/>
      <c r="IU179" s="122"/>
      <c r="IV179" s="122"/>
      <c r="IW179" s="122"/>
      <c r="IX179" s="122"/>
      <c r="IY179" s="122"/>
      <c r="IZ179" s="122"/>
      <c r="JA179" s="122"/>
      <c r="JB179" s="122"/>
      <c r="JC179" s="122"/>
      <c r="JD179" s="122"/>
      <c r="JE179" s="122"/>
      <c r="JF179" s="122"/>
      <c r="JG179" s="122"/>
      <c r="JH179" s="122"/>
      <c r="JI179" s="119"/>
      <c r="JJ179" s="2"/>
      <c r="JK179" s="122"/>
      <c r="JL179" s="125"/>
      <c r="JM179" s="125"/>
      <c r="JN179" s="125"/>
      <c r="JO179" s="125"/>
      <c r="JP179" s="125"/>
    </row>
    <row r="180" spans="1:276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  <c r="AU180" s="122"/>
      <c r="AV180" s="122"/>
      <c r="AW180" s="122"/>
      <c r="AX180" s="122"/>
      <c r="AY180" s="122"/>
      <c r="AZ180" s="122"/>
      <c r="BA180" s="122"/>
      <c r="BB180" s="122"/>
      <c r="BC180" s="122"/>
      <c r="BD180" s="122"/>
      <c r="BE180" s="122"/>
      <c r="BF180" s="122"/>
      <c r="BG180" s="122"/>
      <c r="BH180" s="122"/>
      <c r="BI180" s="122"/>
      <c r="BJ180" s="122"/>
      <c r="BK180" s="122"/>
      <c r="BL180" s="122"/>
      <c r="BM180" s="122"/>
      <c r="BN180" s="122"/>
      <c r="BO180" s="122"/>
      <c r="BP180" s="122"/>
      <c r="BQ180" s="122"/>
      <c r="BR180" s="122"/>
      <c r="BS180" s="122"/>
      <c r="BT180" s="122"/>
      <c r="BU180" s="122"/>
      <c r="BV180" s="122"/>
      <c r="BW180" s="122"/>
      <c r="BX180" s="122"/>
      <c r="BY180" s="122"/>
      <c r="BZ180" s="122"/>
      <c r="CA180" s="122"/>
      <c r="CB180" s="122"/>
      <c r="CC180" s="122"/>
      <c r="CD180" s="122"/>
      <c r="CE180" s="122"/>
      <c r="CF180" s="122"/>
      <c r="CG180" s="122"/>
      <c r="CH180" s="122"/>
      <c r="CI180" s="122"/>
      <c r="CJ180" s="122"/>
      <c r="CK180" s="122"/>
      <c r="CL180" s="122"/>
      <c r="CM180" s="122"/>
      <c r="CN180" s="122"/>
      <c r="CO180" s="122"/>
      <c r="CP180" s="122"/>
      <c r="CQ180" s="122"/>
      <c r="CR180" s="122"/>
      <c r="CS180" s="122"/>
      <c r="CT180" s="122"/>
      <c r="CU180" s="122"/>
      <c r="CV180" s="122"/>
      <c r="CW180" s="122"/>
      <c r="CX180" s="122"/>
      <c r="CY180" s="122"/>
      <c r="CZ180" s="122"/>
      <c r="DA180" s="122"/>
      <c r="DB180" s="122"/>
      <c r="DC180" s="122"/>
      <c r="DD180" s="122"/>
      <c r="DE180" s="122"/>
      <c r="DF180" s="122"/>
      <c r="DG180" s="122"/>
      <c r="DH180" s="122"/>
      <c r="DI180" s="122"/>
      <c r="DJ180" s="122"/>
      <c r="DK180" s="122"/>
      <c r="DL180" s="122"/>
      <c r="DM180" s="122"/>
      <c r="DN180" s="122"/>
      <c r="DO180" s="122"/>
      <c r="DP180" s="122"/>
      <c r="DQ180" s="122"/>
      <c r="DR180" s="122"/>
      <c r="DS180" s="122"/>
      <c r="DT180" s="122"/>
      <c r="DU180" s="122"/>
      <c r="DV180" s="122"/>
      <c r="DW180" s="122"/>
      <c r="DX180" s="122"/>
      <c r="DY180" s="122"/>
      <c r="DZ180" s="122"/>
      <c r="EA180" s="122"/>
      <c r="EB180" s="122"/>
      <c r="EC180" s="122"/>
      <c r="ED180" s="122"/>
      <c r="EE180" s="122"/>
      <c r="EF180" s="122"/>
      <c r="EG180" s="122"/>
      <c r="EH180" s="122"/>
      <c r="EI180" s="122"/>
      <c r="EJ180" s="122"/>
      <c r="EK180" s="122"/>
      <c r="EL180" s="122"/>
      <c r="EM180" s="122"/>
      <c r="EN180" s="122"/>
      <c r="EO180" s="122"/>
      <c r="EP180" s="122"/>
      <c r="EQ180" s="122"/>
      <c r="ER180" s="122"/>
      <c r="ES180" s="122"/>
      <c r="ET180" s="122"/>
      <c r="EU180" s="122"/>
      <c r="EV180" s="122"/>
      <c r="EW180" s="122"/>
      <c r="EX180" s="122"/>
      <c r="EY180" s="122"/>
      <c r="EZ180" s="122"/>
      <c r="FA180" s="122"/>
      <c r="FB180" s="122"/>
      <c r="FC180" s="122"/>
      <c r="FD180" s="122"/>
      <c r="FE180" s="122"/>
      <c r="FF180" s="122"/>
      <c r="FG180" s="122"/>
      <c r="FH180" s="122"/>
      <c r="FI180" s="122"/>
      <c r="FJ180" s="122"/>
      <c r="FK180" s="122"/>
      <c r="FL180" s="122"/>
      <c r="FM180" s="122"/>
      <c r="FN180" s="122"/>
      <c r="FO180" s="122"/>
      <c r="FP180" s="122"/>
      <c r="FQ180" s="122"/>
      <c r="FR180" s="122"/>
      <c r="FS180" s="122"/>
      <c r="FT180" s="122"/>
      <c r="FU180" s="122"/>
      <c r="FV180" s="122"/>
      <c r="FW180" s="122"/>
      <c r="FX180" s="122"/>
      <c r="FY180" s="122"/>
      <c r="FZ180" s="122"/>
      <c r="GA180" s="122"/>
      <c r="GB180" s="122"/>
      <c r="GC180" s="122"/>
      <c r="GD180" s="122"/>
      <c r="GE180" s="122"/>
      <c r="GF180" s="122"/>
      <c r="GG180" s="122"/>
      <c r="GH180" s="122"/>
      <c r="GI180" s="122"/>
      <c r="GJ180" s="122"/>
      <c r="GK180" s="122"/>
      <c r="GL180" s="122"/>
      <c r="GM180" s="122"/>
      <c r="GN180" s="122"/>
      <c r="GO180" s="122"/>
      <c r="GP180" s="122"/>
      <c r="GQ180" s="122"/>
      <c r="GR180" s="122"/>
      <c r="GS180" s="122"/>
      <c r="GT180" s="122"/>
      <c r="GU180" s="122"/>
      <c r="GV180" s="122"/>
      <c r="GW180" s="122"/>
      <c r="GX180" s="122"/>
      <c r="GY180" s="122"/>
      <c r="GZ180" s="122"/>
      <c r="HA180" s="122"/>
      <c r="HB180" s="122"/>
      <c r="HC180" s="122"/>
      <c r="HD180" s="122"/>
      <c r="HE180" s="122"/>
      <c r="HF180" s="122"/>
      <c r="HG180" s="122"/>
      <c r="HH180" s="122"/>
      <c r="HI180" s="122"/>
      <c r="HJ180" s="122"/>
      <c r="HK180" s="122"/>
      <c r="HL180" s="122"/>
      <c r="HM180" s="122"/>
      <c r="HN180" s="122"/>
      <c r="HO180" s="122"/>
      <c r="HP180" s="122"/>
      <c r="HQ180" s="122"/>
      <c r="HR180" s="122"/>
      <c r="HS180" s="122"/>
      <c r="HT180" s="122"/>
      <c r="HU180" s="122"/>
      <c r="HV180" s="122"/>
      <c r="HW180" s="122"/>
      <c r="HX180" s="122"/>
      <c r="HY180" s="122"/>
      <c r="HZ180" s="122"/>
      <c r="IA180" s="122"/>
      <c r="IB180" s="122"/>
      <c r="IC180" s="122"/>
      <c r="ID180" s="122"/>
      <c r="IE180" s="122"/>
      <c r="IF180" s="122"/>
      <c r="IG180" s="122"/>
      <c r="IH180" s="122"/>
      <c r="II180" s="122"/>
      <c r="IJ180" s="122"/>
      <c r="IK180" s="122"/>
      <c r="IL180" s="122"/>
      <c r="IM180" s="122"/>
      <c r="IN180" s="122"/>
      <c r="IO180" s="122"/>
      <c r="IP180" s="122"/>
      <c r="IQ180" s="122"/>
      <c r="IR180" s="122"/>
      <c r="IS180" s="122"/>
      <c r="IT180" s="122"/>
      <c r="IU180" s="122"/>
      <c r="IV180" s="122"/>
      <c r="IW180" s="122"/>
      <c r="IX180" s="122"/>
      <c r="IY180" s="122"/>
      <c r="IZ180" s="122"/>
      <c r="JA180" s="122"/>
      <c r="JB180" s="122"/>
      <c r="JC180" s="122"/>
      <c r="JD180" s="122"/>
      <c r="JE180" s="122"/>
      <c r="JF180" s="122"/>
      <c r="JG180" s="122"/>
      <c r="JH180" s="122"/>
      <c r="JI180" s="119"/>
      <c r="JJ180" s="2"/>
      <c r="JK180" s="122"/>
      <c r="JL180" s="125"/>
      <c r="JM180" s="125"/>
      <c r="JN180" s="125"/>
      <c r="JO180" s="125"/>
      <c r="JP180" s="125"/>
    </row>
    <row r="181" spans="1:276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  <c r="AS181" s="122"/>
      <c r="AT181" s="122"/>
      <c r="AU181" s="122"/>
      <c r="AV181" s="122"/>
      <c r="AW181" s="122"/>
      <c r="AX181" s="122"/>
      <c r="AY181" s="122"/>
      <c r="AZ181" s="122"/>
      <c r="BA181" s="122"/>
      <c r="BB181" s="122"/>
      <c r="BC181" s="122"/>
      <c r="BD181" s="122"/>
      <c r="BE181" s="122"/>
      <c r="BF181" s="122"/>
      <c r="BG181" s="122"/>
      <c r="BH181" s="122"/>
      <c r="BI181" s="122"/>
      <c r="BJ181" s="122"/>
      <c r="BK181" s="122"/>
      <c r="BL181" s="122"/>
      <c r="BM181" s="122"/>
      <c r="BN181" s="122"/>
      <c r="BO181" s="122"/>
      <c r="BP181" s="122"/>
      <c r="BQ181" s="122"/>
      <c r="BR181" s="122"/>
      <c r="BS181" s="122"/>
      <c r="BT181" s="122"/>
      <c r="BU181" s="122"/>
      <c r="BV181" s="122"/>
      <c r="BW181" s="122"/>
      <c r="BX181" s="122"/>
      <c r="BY181" s="122"/>
      <c r="BZ181" s="122"/>
      <c r="CA181" s="122"/>
      <c r="CB181" s="122"/>
      <c r="CC181" s="122"/>
      <c r="CD181" s="122"/>
      <c r="CE181" s="122"/>
      <c r="CF181" s="122"/>
      <c r="CG181" s="122"/>
      <c r="CH181" s="122"/>
      <c r="CI181" s="122"/>
      <c r="CJ181" s="122"/>
      <c r="CK181" s="122"/>
      <c r="CL181" s="122"/>
      <c r="CM181" s="122"/>
      <c r="CN181" s="122"/>
      <c r="CO181" s="122"/>
      <c r="CP181" s="122"/>
      <c r="CQ181" s="122"/>
      <c r="CR181" s="122"/>
      <c r="CS181" s="122"/>
      <c r="CT181" s="122"/>
      <c r="CU181" s="122"/>
      <c r="CV181" s="122"/>
      <c r="CW181" s="122"/>
      <c r="CX181" s="122"/>
      <c r="CY181" s="122"/>
      <c r="CZ181" s="122"/>
      <c r="DA181" s="122"/>
      <c r="DB181" s="122"/>
      <c r="DC181" s="122"/>
      <c r="DD181" s="122"/>
      <c r="DE181" s="122"/>
      <c r="DF181" s="122"/>
      <c r="DG181" s="122"/>
      <c r="DH181" s="122"/>
      <c r="DI181" s="122"/>
      <c r="DJ181" s="122"/>
      <c r="DK181" s="122"/>
      <c r="DL181" s="122"/>
      <c r="DM181" s="122"/>
      <c r="DN181" s="122"/>
      <c r="DO181" s="122"/>
      <c r="DP181" s="122"/>
      <c r="DQ181" s="122"/>
      <c r="DR181" s="122"/>
      <c r="DS181" s="122"/>
      <c r="DT181" s="122"/>
      <c r="DU181" s="122"/>
      <c r="DV181" s="122"/>
      <c r="DW181" s="122"/>
      <c r="DX181" s="122"/>
      <c r="DY181" s="122"/>
      <c r="DZ181" s="122"/>
      <c r="EA181" s="122"/>
      <c r="EB181" s="122"/>
      <c r="EC181" s="122"/>
      <c r="ED181" s="122"/>
      <c r="EE181" s="122"/>
      <c r="EF181" s="122"/>
      <c r="EG181" s="122"/>
      <c r="EH181" s="122"/>
      <c r="EI181" s="122"/>
      <c r="EJ181" s="122"/>
      <c r="EK181" s="122"/>
      <c r="EL181" s="122"/>
      <c r="EM181" s="122"/>
      <c r="EN181" s="122"/>
      <c r="EO181" s="122"/>
      <c r="EP181" s="122"/>
      <c r="EQ181" s="122"/>
      <c r="ER181" s="122"/>
      <c r="ES181" s="122"/>
      <c r="ET181" s="122"/>
      <c r="EU181" s="122"/>
      <c r="EV181" s="122"/>
      <c r="EW181" s="122"/>
      <c r="EX181" s="122"/>
      <c r="EY181" s="122"/>
      <c r="EZ181" s="122"/>
      <c r="FA181" s="122"/>
      <c r="FB181" s="122"/>
      <c r="FC181" s="122"/>
      <c r="FD181" s="122"/>
      <c r="FE181" s="122"/>
      <c r="FF181" s="122"/>
      <c r="FG181" s="122"/>
      <c r="FH181" s="122"/>
      <c r="FI181" s="122"/>
      <c r="FJ181" s="122"/>
      <c r="FK181" s="122"/>
      <c r="FL181" s="122"/>
      <c r="FM181" s="122"/>
      <c r="FN181" s="122"/>
      <c r="FO181" s="122"/>
      <c r="FP181" s="122"/>
      <c r="FQ181" s="122"/>
      <c r="FR181" s="122"/>
      <c r="FS181" s="122"/>
      <c r="FT181" s="122"/>
      <c r="FU181" s="122"/>
      <c r="FV181" s="122"/>
      <c r="FW181" s="122"/>
      <c r="FX181" s="122"/>
      <c r="FY181" s="122"/>
      <c r="FZ181" s="122"/>
      <c r="GA181" s="122"/>
      <c r="GB181" s="122"/>
      <c r="GC181" s="122"/>
      <c r="GD181" s="122"/>
      <c r="GE181" s="122"/>
      <c r="GF181" s="122"/>
      <c r="GG181" s="122"/>
      <c r="GH181" s="122"/>
      <c r="GI181" s="122"/>
      <c r="GJ181" s="122"/>
      <c r="GK181" s="122"/>
      <c r="GL181" s="122"/>
      <c r="GM181" s="122"/>
      <c r="GN181" s="122"/>
      <c r="GO181" s="122"/>
      <c r="GP181" s="122"/>
      <c r="GQ181" s="122"/>
      <c r="GR181" s="122"/>
      <c r="GS181" s="122"/>
      <c r="GT181" s="122"/>
      <c r="GU181" s="122"/>
      <c r="GV181" s="122"/>
      <c r="GW181" s="122"/>
      <c r="GX181" s="122"/>
      <c r="GY181" s="122"/>
      <c r="GZ181" s="122"/>
      <c r="HA181" s="122"/>
      <c r="HB181" s="122"/>
      <c r="HC181" s="122"/>
      <c r="HD181" s="122"/>
      <c r="HE181" s="122"/>
      <c r="HF181" s="122"/>
      <c r="HG181" s="122"/>
      <c r="HH181" s="122"/>
      <c r="HI181" s="122"/>
      <c r="HJ181" s="122"/>
      <c r="HK181" s="122"/>
      <c r="HL181" s="122"/>
      <c r="HM181" s="122"/>
      <c r="HN181" s="122"/>
      <c r="HO181" s="122"/>
      <c r="HP181" s="122"/>
      <c r="HQ181" s="122"/>
      <c r="HR181" s="122"/>
      <c r="HS181" s="122"/>
      <c r="HT181" s="122"/>
      <c r="HU181" s="122"/>
      <c r="HV181" s="122"/>
      <c r="HW181" s="122"/>
      <c r="HX181" s="122"/>
      <c r="HY181" s="122"/>
      <c r="HZ181" s="122"/>
      <c r="IA181" s="122"/>
      <c r="IB181" s="122"/>
      <c r="IC181" s="122"/>
      <c r="ID181" s="122"/>
      <c r="IE181" s="122"/>
      <c r="IF181" s="122"/>
      <c r="IG181" s="122"/>
      <c r="IH181" s="122"/>
      <c r="II181" s="122"/>
      <c r="IJ181" s="122"/>
      <c r="IK181" s="122"/>
      <c r="IL181" s="122"/>
      <c r="IM181" s="122"/>
      <c r="IN181" s="122"/>
      <c r="IO181" s="122"/>
      <c r="IP181" s="122"/>
      <c r="IQ181" s="122"/>
      <c r="IR181" s="122"/>
      <c r="IS181" s="122"/>
      <c r="IT181" s="122"/>
      <c r="IU181" s="122"/>
      <c r="IV181" s="122"/>
      <c r="IW181" s="122"/>
      <c r="IX181" s="122"/>
      <c r="IY181" s="122"/>
      <c r="IZ181" s="122"/>
      <c r="JA181" s="122"/>
      <c r="JB181" s="122"/>
      <c r="JC181" s="122"/>
      <c r="JD181" s="122"/>
      <c r="JE181" s="122"/>
      <c r="JF181" s="122"/>
      <c r="JG181" s="122"/>
      <c r="JH181" s="122"/>
      <c r="JI181" s="119"/>
      <c r="JJ181" s="2"/>
      <c r="JK181" s="122"/>
      <c r="JL181" s="125"/>
      <c r="JM181" s="125"/>
      <c r="JN181" s="125"/>
      <c r="JO181" s="125"/>
      <c r="JP181" s="125"/>
    </row>
    <row r="182" spans="1:276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  <c r="AT182" s="122"/>
      <c r="AU182" s="122"/>
      <c r="AV182" s="122"/>
      <c r="AW182" s="122"/>
      <c r="AX182" s="122"/>
      <c r="AY182" s="122"/>
      <c r="AZ182" s="122"/>
      <c r="BA182" s="122"/>
      <c r="BB182" s="122"/>
      <c r="BC182" s="122"/>
      <c r="BD182" s="122"/>
      <c r="BE182" s="122"/>
      <c r="BF182" s="122"/>
      <c r="BG182" s="122"/>
      <c r="BH182" s="122"/>
      <c r="BI182" s="122"/>
      <c r="BJ182" s="122"/>
      <c r="BK182" s="122"/>
      <c r="BL182" s="122"/>
      <c r="BM182" s="122"/>
      <c r="BN182" s="122"/>
      <c r="BO182" s="122"/>
      <c r="BP182" s="122"/>
      <c r="BQ182" s="122"/>
      <c r="BR182" s="122"/>
      <c r="BS182" s="122"/>
      <c r="BT182" s="122"/>
      <c r="BU182" s="122"/>
      <c r="BV182" s="122"/>
      <c r="BW182" s="122"/>
      <c r="BX182" s="122"/>
      <c r="BY182" s="122"/>
      <c r="BZ182" s="122"/>
      <c r="CA182" s="122"/>
      <c r="CB182" s="122"/>
      <c r="CC182" s="122"/>
      <c r="CD182" s="122"/>
      <c r="CE182" s="122"/>
      <c r="CF182" s="122"/>
      <c r="CG182" s="122"/>
      <c r="CH182" s="122"/>
      <c r="CI182" s="122"/>
      <c r="CJ182" s="122"/>
      <c r="CK182" s="122"/>
      <c r="CL182" s="122"/>
      <c r="CM182" s="122"/>
      <c r="CN182" s="122"/>
      <c r="CO182" s="122"/>
      <c r="CP182" s="122"/>
      <c r="CQ182" s="122"/>
      <c r="CR182" s="122"/>
      <c r="CS182" s="122"/>
      <c r="CT182" s="122"/>
      <c r="CU182" s="122"/>
      <c r="CV182" s="122"/>
      <c r="CW182" s="122"/>
      <c r="CX182" s="122"/>
      <c r="CY182" s="122"/>
      <c r="CZ182" s="122"/>
      <c r="DA182" s="122"/>
      <c r="DB182" s="122"/>
      <c r="DC182" s="122"/>
      <c r="DD182" s="122"/>
      <c r="DE182" s="122"/>
      <c r="DF182" s="122"/>
      <c r="DG182" s="122"/>
      <c r="DH182" s="122"/>
      <c r="DI182" s="122"/>
      <c r="DJ182" s="122"/>
      <c r="DK182" s="122"/>
      <c r="DL182" s="122"/>
      <c r="DM182" s="122"/>
      <c r="DN182" s="122"/>
      <c r="DO182" s="122"/>
      <c r="DP182" s="122"/>
      <c r="DQ182" s="122"/>
      <c r="DR182" s="122"/>
      <c r="DS182" s="122"/>
      <c r="DT182" s="122"/>
      <c r="DU182" s="122"/>
      <c r="DV182" s="122"/>
      <c r="DW182" s="122"/>
      <c r="DX182" s="122"/>
      <c r="DY182" s="122"/>
      <c r="DZ182" s="122"/>
      <c r="EA182" s="122"/>
      <c r="EB182" s="122"/>
      <c r="EC182" s="122"/>
      <c r="ED182" s="122"/>
      <c r="EE182" s="122"/>
      <c r="EF182" s="122"/>
      <c r="EG182" s="122"/>
      <c r="EH182" s="122"/>
      <c r="EI182" s="122"/>
      <c r="EJ182" s="122"/>
      <c r="EK182" s="122"/>
      <c r="EL182" s="122"/>
      <c r="EM182" s="122"/>
      <c r="EN182" s="122"/>
      <c r="EO182" s="122"/>
      <c r="EP182" s="122"/>
      <c r="EQ182" s="122"/>
      <c r="ER182" s="122"/>
      <c r="ES182" s="122"/>
      <c r="ET182" s="122"/>
      <c r="EU182" s="122"/>
      <c r="EV182" s="122"/>
      <c r="EW182" s="122"/>
      <c r="EX182" s="122"/>
      <c r="EY182" s="122"/>
      <c r="EZ182" s="122"/>
      <c r="FA182" s="122"/>
      <c r="FB182" s="122"/>
      <c r="FC182" s="122"/>
      <c r="FD182" s="122"/>
      <c r="FE182" s="122"/>
      <c r="FF182" s="122"/>
      <c r="FG182" s="122"/>
      <c r="FH182" s="122"/>
      <c r="FI182" s="122"/>
      <c r="FJ182" s="122"/>
      <c r="FK182" s="122"/>
      <c r="FL182" s="122"/>
      <c r="FM182" s="122"/>
      <c r="FN182" s="122"/>
      <c r="FO182" s="122"/>
      <c r="FP182" s="122"/>
      <c r="FQ182" s="122"/>
      <c r="FR182" s="122"/>
      <c r="FS182" s="122"/>
      <c r="FT182" s="122"/>
      <c r="FU182" s="122"/>
      <c r="FV182" s="122"/>
      <c r="FW182" s="122"/>
      <c r="FX182" s="122"/>
      <c r="FY182" s="122"/>
      <c r="FZ182" s="122"/>
      <c r="GA182" s="122"/>
      <c r="GB182" s="122"/>
      <c r="GC182" s="122"/>
      <c r="GD182" s="122"/>
      <c r="GE182" s="122"/>
      <c r="GF182" s="122"/>
      <c r="GG182" s="122"/>
      <c r="GH182" s="122"/>
      <c r="GI182" s="122"/>
      <c r="GJ182" s="122"/>
      <c r="GK182" s="122"/>
      <c r="GL182" s="122"/>
      <c r="GM182" s="122"/>
      <c r="GN182" s="122"/>
      <c r="GO182" s="122"/>
      <c r="GP182" s="122"/>
      <c r="GQ182" s="122"/>
      <c r="GR182" s="122"/>
      <c r="GS182" s="122"/>
      <c r="GT182" s="122"/>
      <c r="GU182" s="122"/>
      <c r="GV182" s="122"/>
      <c r="GW182" s="122"/>
      <c r="GX182" s="122"/>
      <c r="GY182" s="122"/>
      <c r="GZ182" s="122"/>
      <c r="HA182" s="122"/>
      <c r="HB182" s="122"/>
      <c r="HC182" s="122"/>
      <c r="HD182" s="122"/>
      <c r="HE182" s="122"/>
      <c r="HF182" s="122"/>
      <c r="HG182" s="122"/>
      <c r="HH182" s="122"/>
      <c r="HI182" s="122"/>
      <c r="HJ182" s="122"/>
      <c r="HK182" s="122"/>
      <c r="HL182" s="122"/>
      <c r="HM182" s="122"/>
      <c r="HN182" s="122"/>
      <c r="HO182" s="122"/>
      <c r="HP182" s="122"/>
      <c r="HQ182" s="122"/>
      <c r="HR182" s="122"/>
      <c r="HS182" s="122"/>
      <c r="HT182" s="122"/>
      <c r="HU182" s="122"/>
      <c r="HV182" s="122"/>
      <c r="HW182" s="122"/>
      <c r="HX182" s="122"/>
      <c r="HY182" s="122"/>
      <c r="HZ182" s="122"/>
      <c r="IA182" s="122"/>
      <c r="IB182" s="122"/>
      <c r="IC182" s="122"/>
      <c r="ID182" s="122"/>
      <c r="IE182" s="122"/>
      <c r="IF182" s="122"/>
      <c r="IG182" s="122"/>
      <c r="IH182" s="122"/>
      <c r="II182" s="122"/>
      <c r="IJ182" s="122"/>
      <c r="IK182" s="122"/>
      <c r="IL182" s="122"/>
      <c r="IM182" s="122"/>
      <c r="IN182" s="122"/>
      <c r="IO182" s="122"/>
      <c r="IP182" s="122"/>
      <c r="IQ182" s="122"/>
      <c r="IR182" s="122"/>
      <c r="IS182" s="122"/>
      <c r="IT182" s="122"/>
      <c r="IU182" s="122"/>
      <c r="IV182" s="122"/>
      <c r="IW182" s="122"/>
      <c r="IX182" s="122"/>
      <c r="IY182" s="122"/>
      <c r="IZ182" s="122"/>
      <c r="JA182" s="122"/>
      <c r="JB182" s="122"/>
      <c r="JC182" s="122"/>
      <c r="JD182" s="122"/>
      <c r="JE182" s="122"/>
      <c r="JF182" s="122"/>
      <c r="JG182" s="122"/>
      <c r="JH182" s="122"/>
      <c r="JI182" s="119"/>
      <c r="JJ182" s="2"/>
      <c r="JK182" s="122"/>
      <c r="JL182" s="125"/>
      <c r="JM182" s="125"/>
      <c r="JN182" s="125"/>
      <c r="JO182" s="125"/>
      <c r="JP182" s="125"/>
    </row>
    <row r="183" spans="1:276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  <c r="AR183" s="122"/>
      <c r="AS183" s="122"/>
      <c r="AT183" s="122"/>
      <c r="AU183" s="122"/>
      <c r="AV183" s="122"/>
      <c r="AW183" s="122"/>
      <c r="AX183" s="122"/>
      <c r="AY183" s="122"/>
      <c r="AZ183" s="122"/>
      <c r="BA183" s="122"/>
      <c r="BB183" s="122"/>
      <c r="BC183" s="122"/>
      <c r="BD183" s="122"/>
      <c r="BE183" s="122"/>
      <c r="BF183" s="122"/>
      <c r="BG183" s="122"/>
      <c r="BH183" s="122"/>
      <c r="BI183" s="122"/>
      <c r="BJ183" s="122"/>
      <c r="BK183" s="122"/>
      <c r="BL183" s="122"/>
      <c r="BM183" s="122"/>
      <c r="BN183" s="122"/>
      <c r="BO183" s="122"/>
      <c r="BP183" s="122"/>
      <c r="BQ183" s="122"/>
      <c r="BR183" s="122"/>
      <c r="BS183" s="122"/>
      <c r="BT183" s="122"/>
      <c r="BU183" s="122"/>
      <c r="BV183" s="122"/>
      <c r="BW183" s="122"/>
      <c r="BX183" s="122"/>
      <c r="BY183" s="122"/>
      <c r="BZ183" s="122"/>
      <c r="CA183" s="122"/>
      <c r="CB183" s="122"/>
      <c r="CC183" s="122"/>
      <c r="CD183" s="122"/>
      <c r="CE183" s="122"/>
      <c r="CF183" s="122"/>
      <c r="CG183" s="122"/>
      <c r="CH183" s="122"/>
      <c r="CI183" s="122"/>
      <c r="CJ183" s="122"/>
      <c r="CK183" s="122"/>
      <c r="CL183" s="122"/>
      <c r="CM183" s="122"/>
      <c r="CN183" s="122"/>
      <c r="CO183" s="122"/>
      <c r="CP183" s="122"/>
      <c r="CQ183" s="122"/>
      <c r="CR183" s="122"/>
      <c r="CS183" s="122"/>
      <c r="CT183" s="122"/>
      <c r="CU183" s="122"/>
      <c r="CV183" s="122"/>
      <c r="CW183" s="122"/>
      <c r="CX183" s="122"/>
      <c r="CY183" s="122"/>
      <c r="CZ183" s="122"/>
      <c r="DA183" s="122"/>
      <c r="DB183" s="122"/>
      <c r="DC183" s="122"/>
      <c r="DD183" s="122"/>
      <c r="DE183" s="122"/>
      <c r="DF183" s="122"/>
      <c r="DG183" s="122"/>
      <c r="DH183" s="122"/>
      <c r="DI183" s="122"/>
      <c r="DJ183" s="122"/>
      <c r="DK183" s="122"/>
      <c r="DL183" s="122"/>
      <c r="DM183" s="122"/>
      <c r="DN183" s="122"/>
      <c r="DO183" s="122"/>
      <c r="DP183" s="122"/>
      <c r="DQ183" s="122"/>
      <c r="DR183" s="122"/>
      <c r="DS183" s="122"/>
      <c r="DT183" s="122"/>
      <c r="DU183" s="122"/>
      <c r="DV183" s="122"/>
      <c r="DW183" s="122"/>
      <c r="DX183" s="122"/>
      <c r="DY183" s="122"/>
      <c r="DZ183" s="122"/>
      <c r="EA183" s="122"/>
      <c r="EB183" s="122"/>
      <c r="EC183" s="122"/>
      <c r="ED183" s="122"/>
      <c r="EE183" s="122"/>
      <c r="EF183" s="122"/>
      <c r="EG183" s="122"/>
      <c r="EH183" s="122"/>
      <c r="EI183" s="122"/>
      <c r="EJ183" s="122"/>
      <c r="EK183" s="122"/>
      <c r="EL183" s="122"/>
      <c r="EM183" s="122"/>
      <c r="EN183" s="122"/>
      <c r="EO183" s="122"/>
      <c r="EP183" s="122"/>
      <c r="EQ183" s="122"/>
      <c r="ER183" s="122"/>
      <c r="ES183" s="122"/>
      <c r="ET183" s="122"/>
      <c r="EU183" s="122"/>
      <c r="EV183" s="122"/>
      <c r="EW183" s="122"/>
      <c r="EX183" s="122"/>
      <c r="EY183" s="122"/>
      <c r="EZ183" s="122"/>
      <c r="FA183" s="122"/>
      <c r="FB183" s="122"/>
      <c r="FC183" s="122"/>
      <c r="FD183" s="122"/>
      <c r="FE183" s="122"/>
      <c r="FF183" s="122"/>
      <c r="FG183" s="122"/>
      <c r="FH183" s="122"/>
      <c r="FI183" s="122"/>
      <c r="FJ183" s="122"/>
      <c r="FK183" s="122"/>
      <c r="FL183" s="122"/>
      <c r="FM183" s="122"/>
      <c r="FN183" s="122"/>
      <c r="FO183" s="122"/>
      <c r="FP183" s="122"/>
      <c r="FQ183" s="122"/>
      <c r="FR183" s="122"/>
      <c r="FS183" s="122"/>
      <c r="FT183" s="122"/>
      <c r="FU183" s="122"/>
      <c r="FV183" s="122"/>
      <c r="FW183" s="122"/>
      <c r="FX183" s="122"/>
      <c r="FY183" s="122"/>
      <c r="FZ183" s="122"/>
      <c r="GA183" s="122"/>
      <c r="GB183" s="122"/>
      <c r="GC183" s="122"/>
      <c r="GD183" s="122"/>
      <c r="GE183" s="122"/>
      <c r="GF183" s="122"/>
      <c r="GG183" s="122"/>
      <c r="GH183" s="122"/>
      <c r="GI183" s="122"/>
      <c r="GJ183" s="122"/>
      <c r="GK183" s="122"/>
      <c r="GL183" s="122"/>
      <c r="GM183" s="122"/>
      <c r="GN183" s="122"/>
      <c r="GO183" s="122"/>
      <c r="GP183" s="122"/>
      <c r="GQ183" s="122"/>
      <c r="GR183" s="122"/>
      <c r="GS183" s="122"/>
      <c r="GT183" s="122"/>
      <c r="GU183" s="122"/>
      <c r="GV183" s="122"/>
      <c r="GW183" s="122"/>
      <c r="GX183" s="122"/>
      <c r="GY183" s="122"/>
      <c r="GZ183" s="122"/>
      <c r="HA183" s="122"/>
      <c r="HB183" s="122"/>
      <c r="HC183" s="122"/>
      <c r="HD183" s="122"/>
      <c r="HE183" s="122"/>
      <c r="HF183" s="122"/>
      <c r="HG183" s="122"/>
      <c r="HH183" s="122"/>
      <c r="HI183" s="122"/>
      <c r="HJ183" s="122"/>
      <c r="HK183" s="122"/>
      <c r="HL183" s="122"/>
      <c r="HM183" s="122"/>
      <c r="HN183" s="122"/>
      <c r="HO183" s="122"/>
      <c r="HP183" s="122"/>
      <c r="HQ183" s="122"/>
      <c r="HR183" s="122"/>
      <c r="HS183" s="122"/>
      <c r="HT183" s="122"/>
      <c r="HU183" s="122"/>
      <c r="HV183" s="122"/>
      <c r="HW183" s="122"/>
      <c r="HX183" s="122"/>
      <c r="HY183" s="122"/>
      <c r="HZ183" s="122"/>
      <c r="IA183" s="122"/>
      <c r="IB183" s="122"/>
      <c r="IC183" s="122"/>
      <c r="ID183" s="122"/>
      <c r="IE183" s="122"/>
      <c r="IF183" s="122"/>
      <c r="IG183" s="122"/>
      <c r="IH183" s="122"/>
      <c r="II183" s="122"/>
      <c r="IJ183" s="122"/>
      <c r="IK183" s="122"/>
      <c r="IL183" s="122"/>
      <c r="IM183" s="122"/>
      <c r="IN183" s="122"/>
      <c r="IO183" s="122"/>
      <c r="IP183" s="122"/>
      <c r="IQ183" s="122"/>
      <c r="IR183" s="122"/>
      <c r="IS183" s="122"/>
      <c r="IT183" s="122"/>
      <c r="IU183" s="122"/>
      <c r="IV183" s="122"/>
      <c r="IW183" s="122"/>
      <c r="IX183" s="122"/>
      <c r="IY183" s="122"/>
      <c r="IZ183" s="122"/>
      <c r="JA183" s="122"/>
      <c r="JB183" s="122"/>
      <c r="JC183" s="122"/>
      <c r="JD183" s="122"/>
      <c r="JE183" s="122"/>
      <c r="JF183" s="122"/>
      <c r="JG183" s="122"/>
      <c r="JH183" s="122"/>
      <c r="JI183" s="119"/>
      <c r="JJ183" s="2"/>
      <c r="JK183" s="122"/>
      <c r="JL183" s="125"/>
      <c r="JM183" s="125"/>
      <c r="JN183" s="125"/>
      <c r="JO183" s="125"/>
      <c r="JP183" s="125"/>
    </row>
    <row r="184" spans="1:276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122"/>
      <c r="AR184" s="122"/>
      <c r="AS184" s="122"/>
      <c r="AT184" s="122"/>
      <c r="AU184" s="122"/>
      <c r="AV184" s="122"/>
      <c r="AW184" s="122"/>
      <c r="AX184" s="122"/>
      <c r="AY184" s="122"/>
      <c r="AZ184" s="122"/>
      <c r="BA184" s="122"/>
      <c r="BB184" s="122"/>
      <c r="BC184" s="122"/>
      <c r="BD184" s="122"/>
      <c r="BE184" s="122"/>
      <c r="BF184" s="122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122"/>
      <c r="BS184" s="122"/>
      <c r="BT184" s="122"/>
      <c r="BU184" s="122"/>
      <c r="BV184" s="122"/>
      <c r="BW184" s="122"/>
      <c r="BX184" s="122"/>
      <c r="BY184" s="122"/>
      <c r="BZ184" s="122"/>
      <c r="CA184" s="122"/>
      <c r="CB184" s="122"/>
      <c r="CC184" s="122"/>
      <c r="CD184" s="122"/>
      <c r="CE184" s="122"/>
      <c r="CF184" s="122"/>
      <c r="CG184" s="122"/>
      <c r="CH184" s="122"/>
      <c r="CI184" s="122"/>
      <c r="CJ184" s="122"/>
      <c r="CK184" s="122"/>
      <c r="CL184" s="122"/>
      <c r="CM184" s="122"/>
      <c r="CN184" s="122"/>
      <c r="CO184" s="122"/>
      <c r="CP184" s="122"/>
      <c r="CQ184" s="122"/>
      <c r="CR184" s="122"/>
      <c r="CS184" s="122"/>
      <c r="CT184" s="122"/>
      <c r="CU184" s="122"/>
      <c r="CV184" s="122"/>
      <c r="CW184" s="122"/>
      <c r="CX184" s="122"/>
      <c r="CY184" s="122"/>
      <c r="CZ184" s="122"/>
      <c r="DA184" s="122"/>
      <c r="DB184" s="122"/>
      <c r="DC184" s="122"/>
      <c r="DD184" s="122"/>
      <c r="DE184" s="122"/>
      <c r="DF184" s="122"/>
      <c r="DG184" s="122"/>
      <c r="DH184" s="122"/>
      <c r="DI184" s="122"/>
      <c r="DJ184" s="122"/>
      <c r="DK184" s="122"/>
      <c r="DL184" s="122"/>
      <c r="DM184" s="122"/>
      <c r="DN184" s="122"/>
      <c r="DO184" s="122"/>
      <c r="DP184" s="122"/>
      <c r="DQ184" s="122"/>
      <c r="DR184" s="122"/>
      <c r="DS184" s="122"/>
      <c r="DT184" s="122"/>
      <c r="DU184" s="122"/>
      <c r="DV184" s="122"/>
      <c r="DW184" s="122"/>
      <c r="DX184" s="122"/>
      <c r="DY184" s="122"/>
      <c r="DZ184" s="122"/>
      <c r="EA184" s="122"/>
      <c r="EB184" s="122"/>
      <c r="EC184" s="122"/>
      <c r="ED184" s="122"/>
      <c r="EE184" s="122"/>
      <c r="EF184" s="122"/>
      <c r="EG184" s="122"/>
      <c r="EH184" s="122"/>
      <c r="EI184" s="122"/>
      <c r="EJ184" s="122"/>
      <c r="EK184" s="122"/>
      <c r="EL184" s="122"/>
      <c r="EM184" s="122"/>
      <c r="EN184" s="122"/>
      <c r="EO184" s="122"/>
      <c r="EP184" s="122"/>
      <c r="EQ184" s="122"/>
      <c r="ER184" s="122"/>
      <c r="ES184" s="122"/>
      <c r="ET184" s="122"/>
      <c r="EU184" s="122"/>
      <c r="EV184" s="122"/>
      <c r="EW184" s="122"/>
      <c r="EX184" s="122"/>
      <c r="EY184" s="122"/>
      <c r="EZ184" s="122"/>
      <c r="FA184" s="122"/>
      <c r="FB184" s="122"/>
      <c r="FC184" s="122"/>
      <c r="FD184" s="122"/>
      <c r="FE184" s="122"/>
      <c r="FF184" s="122"/>
      <c r="FG184" s="122"/>
      <c r="FH184" s="122"/>
      <c r="FI184" s="122"/>
      <c r="FJ184" s="122"/>
      <c r="FK184" s="122"/>
      <c r="FL184" s="122"/>
      <c r="FM184" s="122"/>
      <c r="FN184" s="122"/>
      <c r="FO184" s="122"/>
      <c r="FP184" s="122"/>
      <c r="FQ184" s="122"/>
      <c r="FR184" s="122"/>
      <c r="FS184" s="122"/>
      <c r="FT184" s="122"/>
      <c r="FU184" s="122"/>
      <c r="FV184" s="122"/>
      <c r="FW184" s="122"/>
      <c r="FX184" s="122"/>
      <c r="FY184" s="122"/>
      <c r="FZ184" s="122"/>
      <c r="GA184" s="122"/>
      <c r="GB184" s="122"/>
      <c r="GC184" s="122"/>
      <c r="GD184" s="122"/>
      <c r="GE184" s="122"/>
      <c r="GF184" s="122"/>
      <c r="GG184" s="122"/>
      <c r="GH184" s="122"/>
      <c r="GI184" s="122"/>
      <c r="GJ184" s="122"/>
      <c r="GK184" s="122"/>
      <c r="GL184" s="122"/>
      <c r="GM184" s="122"/>
      <c r="GN184" s="122"/>
      <c r="GO184" s="122"/>
      <c r="GP184" s="122"/>
      <c r="GQ184" s="122"/>
      <c r="GR184" s="122"/>
      <c r="GS184" s="122"/>
      <c r="GT184" s="122"/>
      <c r="GU184" s="122"/>
      <c r="GV184" s="122"/>
      <c r="GW184" s="122"/>
      <c r="GX184" s="122"/>
      <c r="GY184" s="122"/>
      <c r="GZ184" s="122"/>
      <c r="HA184" s="122"/>
      <c r="HB184" s="122"/>
      <c r="HC184" s="122"/>
      <c r="HD184" s="122"/>
      <c r="HE184" s="122"/>
      <c r="HF184" s="122"/>
      <c r="HG184" s="122"/>
      <c r="HH184" s="122"/>
      <c r="HI184" s="122"/>
      <c r="HJ184" s="122"/>
      <c r="HK184" s="122"/>
      <c r="HL184" s="122"/>
      <c r="HM184" s="122"/>
      <c r="HN184" s="122"/>
      <c r="HO184" s="122"/>
      <c r="HP184" s="122"/>
      <c r="HQ184" s="122"/>
      <c r="HR184" s="122"/>
      <c r="HS184" s="122"/>
      <c r="HT184" s="122"/>
      <c r="HU184" s="122"/>
      <c r="HV184" s="122"/>
      <c r="HW184" s="122"/>
      <c r="HX184" s="122"/>
      <c r="HY184" s="122"/>
      <c r="HZ184" s="122"/>
      <c r="IA184" s="122"/>
      <c r="IB184" s="122"/>
      <c r="IC184" s="122"/>
      <c r="ID184" s="122"/>
      <c r="IE184" s="122"/>
      <c r="IF184" s="122"/>
      <c r="IG184" s="122"/>
      <c r="IH184" s="122"/>
      <c r="II184" s="122"/>
      <c r="IJ184" s="122"/>
      <c r="IK184" s="122"/>
      <c r="IL184" s="122"/>
      <c r="IM184" s="122"/>
      <c r="IN184" s="122"/>
      <c r="IO184" s="122"/>
      <c r="IP184" s="122"/>
      <c r="IQ184" s="122"/>
      <c r="IR184" s="122"/>
      <c r="IS184" s="122"/>
      <c r="IT184" s="122"/>
      <c r="IU184" s="122"/>
      <c r="IV184" s="122"/>
      <c r="IW184" s="122"/>
      <c r="IX184" s="122"/>
      <c r="IY184" s="122"/>
      <c r="IZ184" s="122"/>
      <c r="JA184" s="122"/>
      <c r="JB184" s="122"/>
      <c r="JC184" s="122"/>
      <c r="JD184" s="122"/>
      <c r="JE184" s="122"/>
      <c r="JF184" s="122"/>
      <c r="JG184" s="122"/>
      <c r="JH184" s="122"/>
      <c r="JI184" s="119"/>
      <c r="JJ184" s="2"/>
      <c r="JK184" s="122"/>
      <c r="JL184" s="125"/>
      <c r="JM184" s="125"/>
      <c r="JN184" s="125"/>
      <c r="JO184" s="125"/>
      <c r="JP184" s="125"/>
    </row>
    <row r="185" spans="1:276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  <c r="AS185" s="122"/>
      <c r="AT185" s="122"/>
      <c r="AU185" s="122"/>
      <c r="AV185" s="122"/>
      <c r="AW185" s="122"/>
      <c r="AX185" s="122"/>
      <c r="AY185" s="122"/>
      <c r="AZ185" s="122"/>
      <c r="BA185" s="122"/>
      <c r="BB185" s="122"/>
      <c r="BC185" s="122"/>
      <c r="BD185" s="122"/>
      <c r="BE185" s="122"/>
      <c r="BF185" s="122"/>
      <c r="BG185" s="122"/>
      <c r="BH185" s="122"/>
      <c r="BI185" s="122"/>
      <c r="BJ185" s="122"/>
      <c r="BK185" s="122"/>
      <c r="BL185" s="122"/>
      <c r="BM185" s="122"/>
      <c r="BN185" s="122"/>
      <c r="BO185" s="122"/>
      <c r="BP185" s="122"/>
      <c r="BQ185" s="122"/>
      <c r="BR185" s="122"/>
      <c r="BS185" s="122"/>
      <c r="BT185" s="122"/>
      <c r="BU185" s="122"/>
      <c r="BV185" s="122"/>
      <c r="BW185" s="122"/>
      <c r="BX185" s="122"/>
      <c r="BY185" s="122"/>
      <c r="BZ185" s="122"/>
      <c r="CA185" s="122"/>
      <c r="CB185" s="122"/>
      <c r="CC185" s="122"/>
      <c r="CD185" s="122"/>
      <c r="CE185" s="122"/>
      <c r="CF185" s="122"/>
      <c r="CG185" s="122"/>
      <c r="CH185" s="122"/>
      <c r="CI185" s="122"/>
      <c r="CJ185" s="122"/>
      <c r="CK185" s="122"/>
      <c r="CL185" s="122"/>
      <c r="CM185" s="122"/>
      <c r="CN185" s="122"/>
      <c r="CO185" s="122"/>
      <c r="CP185" s="122"/>
      <c r="CQ185" s="122"/>
      <c r="CR185" s="122"/>
      <c r="CS185" s="122"/>
      <c r="CT185" s="122"/>
      <c r="CU185" s="122"/>
      <c r="CV185" s="122"/>
      <c r="CW185" s="122"/>
      <c r="CX185" s="122"/>
      <c r="CY185" s="122"/>
      <c r="CZ185" s="122"/>
      <c r="DA185" s="122"/>
      <c r="DB185" s="122"/>
      <c r="DC185" s="122"/>
      <c r="DD185" s="122"/>
      <c r="DE185" s="122"/>
      <c r="DF185" s="122"/>
      <c r="DG185" s="122"/>
      <c r="DH185" s="122"/>
      <c r="DI185" s="122"/>
      <c r="DJ185" s="122"/>
      <c r="DK185" s="122"/>
      <c r="DL185" s="122"/>
      <c r="DM185" s="122"/>
      <c r="DN185" s="122"/>
      <c r="DO185" s="122"/>
      <c r="DP185" s="122"/>
      <c r="DQ185" s="122"/>
      <c r="DR185" s="122"/>
      <c r="DS185" s="122"/>
      <c r="DT185" s="122"/>
      <c r="DU185" s="122"/>
      <c r="DV185" s="122"/>
      <c r="DW185" s="122"/>
      <c r="DX185" s="122"/>
      <c r="DY185" s="122"/>
      <c r="DZ185" s="122"/>
      <c r="EA185" s="122"/>
      <c r="EB185" s="122"/>
      <c r="EC185" s="122"/>
      <c r="ED185" s="122"/>
      <c r="EE185" s="122"/>
      <c r="EF185" s="122"/>
      <c r="EG185" s="122"/>
      <c r="EH185" s="122"/>
      <c r="EI185" s="122"/>
      <c r="EJ185" s="122"/>
      <c r="EK185" s="122"/>
      <c r="EL185" s="122"/>
      <c r="EM185" s="122"/>
      <c r="EN185" s="122"/>
      <c r="EO185" s="122"/>
      <c r="EP185" s="122"/>
      <c r="EQ185" s="122"/>
      <c r="ER185" s="122"/>
      <c r="ES185" s="122"/>
      <c r="ET185" s="122"/>
      <c r="EU185" s="122"/>
      <c r="EV185" s="122"/>
      <c r="EW185" s="122"/>
      <c r="EX185" s="122"/>
      <c r="EY185" s="122"/>
      <c r="EZ185" s="122"/>
      <c r="FA185" s="122"/>
      <c r="FB185" s="122"/>
      <c r="FC185" s="122"/>
      <c r="FD185" s="122"/>
      <c r="FE185" s="122"/>
      <c r="FF185" s="122"/>
      <c r="FG185" s="122"/>
      <c r="FH185" s="122"/>
      <c r="FI185" s="122"/>
      <c r="FJ185" s="122"/>
      <c r="FK185" s="122"/>
      <c r="FL185" s="122"/>
      <c r="FM185" s="122"/>
      <c r="FN185" s="122"/>
      <c r="FO185" s="122"/>
      <c r="FP185" s="122"/>
      <c r="FQ185" s="122"/>
      <c r="FR185" s="122"/>
      <c r="FS185" s="122"/>
      <c r="FT185" s="122"/>
      <c r="FU185" s="122"/>
      <c r="FV185" s="122"/>
      <c r="FW185" s="122"/>
      <c r="FX185" s="122"/>
      <c r="FY185" s="122"/>
      <c r="FZ185" s="122"/>
      <c r="GA185" s="122"/>
      <c r="GB185" s="122"/>
      <c r="GC185" s="122"/>
      <c r="GD185" s="122"/>
      <c r="GE185" s="122"/>
      <c r="GF185" s="122"/>
      <c r="GG185" s="122"/>
      <c r="GH185" s="122"/>
      <c r="GI185" s="122"/>
      <c r="GJ185" s="122"/>
      <c r="GK185" s="122"/>
      <c r="GL185" s="122"/>
      <c r="GM185" s="122"/>
      <c r="GN185" s="122"/>
      <c r="GO185" s="122"/>
      <c r="GP185" s="122"/>
      <c r="GQ185" s="122"/>
      <c r="GR185" s="122"/>
      <c r="GS185" s="122"/>
      <c r="GT185" s="122"/>
      <c r="GU185" s="122"/>
      <c r="GV185" s="122"/>
      <c r="GW185" s="122"/>
      <c r="GX185" s="122"/>
      <c r="GY185" s="122"/>
      <c r="GZ185" s="122"/>
      <c r="HA185" s="122"/>
      <c r="HB185" s="122"/>
      <c r="HC185" s="122"/>
      <c r="HD185" s="122"/>
      <c r="HE185" s="122"/>
      <c r="HF185" s="122"/>
      <c r="HG185" s="122"/>
      <c r="HH185" s="122"/>
      <c r="HI185" s="122"/>
      <c r="HJ185" s="122"/>
      <c r="HK185" s="122"/>
      <c r="HL185" s="122"/>
      <c r="HM185" s="122"/>
      <c r="HN185" s="122"/>
      <c r="HO185" s="122"/>
      <c r="HP185" s="122"/>
      <c r="HQ185" s="122"/>
      <c r="HR185" s="122"/>
      <c r="HS185" s="122"/>
      <c r="HT185" s="122"/>
      <c r="HU185" s="122"/>
      <c r="HV185" s="122"/>
      <c r="HW185" s="122"/>
      <c r="HX185" s="122"/>
      <c r="HY185" s="122"/>
      <c r="HZ185" s="122"/>
      <c r="IA185" s="122"/>
      <c r="IB185" s="122"/>
      <c r="IC185" s="122"/>
      <c r="ID185" s="122"/>
      <c r="IE185" s="122"/>
      <c r="IF185" s="122"/>
      <c r="IG185" s="122"/>
      <c r="IH185" s="122"/>
      <c r="II185" s="122"/>
      <c r="IJ185" s="122"/>
      <c r="IK185" s="122"/>
      <c r="IL185" s="122"/>
      <c r="IM185" s="122"/>
      <c r="IN185" s="122"/>
      <c r="IO185" s="122"/>
      <c r="IP185" s="122"/>
      <c r="IQ185" s="122"/>
      <c r="IR185" s="122"/>
      <c r="IS185" s="122"/>
      <c r="IT185" s="122"/>
      <c r="IU185" s="122"/>
      <c r="IV185" s="122"/>
      <c r="IW185" s="122"/>
      <c r="IX185" s="122"/>
      <c r="IY185" s="122"/>
      <c r="IZ185" s="122"/>
      <c r="JA185" s="122"/>
      <c r="JB185" s="122"/>
      <c r="JC185" s="122"/>
      <c r="JD185" s="122"/>
      <c r="JE185" s="122"/>
      <c r="JF185" s="122"/>
      <c r="JG185" s="122"/>
      <c r="JH185" s="122"/>
      <c r="JI185" s="119"/>
      <c r="JJ185" s="2"/>
      <c r="JK185" s="122"/>
      <c r="JL185" s="125"/>
      <c r="JM185" s="125"/>
      <c r="JN185" s="125"/>
      <c r="JO185" s="125"/>
      <c r="JP185" s="125"/>
    </row>
    <row r="186" spans="1:27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  <c r="AS186" s="122"/>
      <c r="AT186" s="122"/>
      <c r="AU186" s="122"/>
      <c r="AV186" s="122"/>
      <c r="AW186" s="122"/>
      <c r="AX186" s="122"/>
      <c r="AY186" s="122"/>
      <c r="AZ186" s="122"/>
      <c r="BA186" s="122"/>
      <c r="BB186" s="122"/>
      <c r="BC186" s="122"/>
      <c r="BD186" s="122"/>
      <c r="BE186" s="122"/>
      <c r="BF186" s="122"/>
      <c r="BG186" s="122"/>
      <c r="BH186" s="122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122"/>
      <c r="BS186" s="122"/>
      <c r="BT186" s="122"/>
      <c r="BU186" s="122"/>
      <c r="BV186" s="122"/>
      <c r="BW186" s="122"/>
      <c r="BX186" s="122"/>
      <c r="BY186" s="122"/>
      <c r="BZ186" s="122"/>
      <c r="CA186" s="122"/>
      <c r="CB186" s="122"/>
      <c r="CC186" s="122"/>
      <c r="CD186" s="122"/>
      <c r="CE186" s="122"/>
      <c r="CF186" s="122"/>
      <c r="CG186" s="122"/>
      <c r="CH186" s="122"/>
      <c r="CI186" s="122"/>
      <c r="CJ186" s="122"/>
      <c r="CK186" s="122"/>
      <c r="CL186" s="122"/>
      <c r="CM186" s="122"/>
      <c r="CN186" s="122"/>
      <c r="CO186" s="122"/>
      <c r="CP186" s="122"/>
      <c r="CQ186" s="122"/>
      <c r="CR186" s="122"/>
      <c r="CS186" s="122"/>
      <c r="CT186" s="122"/>
      <c r="CU186" s="122"/>
      <c r="CV186" s="122"/>
      <c r="CW186" s="122"/>
      <c r="CX186" s="122"/>
      <c r="CY186" s="122"/>
      <c r="CZ186" s="122"/>
      <c r="DA186" s="122"/>
      <c r="DB186" s="122"/>
      <c r="DC186" s="122"/>
      <c r="DD186" s="122"/>
      <c r="DE186" s="122"/>
      <c r="DF186" s="122"/>
      <c r="DG186" s="122"/>
      <c r="DH186" s="122"/>
      <c r="DI186" s="122"/>
      <c r="DJ186" s="122"/>
      <c r="DK186" s="122"/>
      <c r="DL186" s="122"/>
      <c r="DM186" s="122"/>
      <c r="DN186" s="122"/>
      <c r="DO186" s="122"/>
      <c r="DP186" s="122"/>
      <c r="DQ186" s="122"/>
      <c r="DR186" s="122"/>
      <c r="DS186" s="122"/>
      <c r="DT186" s="122"/>
      <c r="DU186" s="122"/>
      <c r="DV186" s="122"/>
      <c r="DW186" s="122"/>
      <c r="DX186" s="122"/>
      <c r="DY186" s="122"/>
      <c r="DZ186" s="122"/>
      <c r="EA186" s="122"/>
      <c r="EB186" s="122"/>
      <c r="EC186" s="122"/>
      <c r="ED186" s="122"/>
      <c r="EE186" s="122"/>
      <c r="EF186" s="122"/>
      <c r="EG186" s="122"/>
      <c r="EH186" s="122"/>
      <c r="EI186" s="122"/>
      <c r="EJ186" s="122"/>
      <c r="EK186" s="122"/>
      <c r="EL186" s="122"/>
      <c r="EM186" s="122"/>
      <c r="EN186" s="122"/>
      <c r="EO186" s="122"/>
      <c r="EP186" s="122"/>
      <c r="EQ186" s="122"/>
      <c r="ER186" s="122"/>
      <c r="ES186" s="122"/>
      <c r="ET186" s="122"/>
      <c r="EU186" s="122"/>
      <c r="EV186" s="122"/>
      <c r="EW186" s="122"/>
      <c r="EX186" s="122"/>
      <c r="EY186" s="122"/>
      <c r="EZ186" s="122"/>
      <c r="FA186" s="122"/>
      <c r="FB186" s="122"/>
      <c r="FC186" s="122"/>
      <c r="FD186" s="122"/>
      <c r="FE186" s="122"/>
      <c r="FF186" s="122"/>
      <c r="FG186" s="122"/>
      <c r="FH186" s="122"/>
      <c r="FI186" s="122"/>
      <c r="FJ186" s="122"/>
      <c r="FK186" s="122"/>
      <c r="FL186" s="122"/>
      <c r="FM186" s="122"/>
      <c r="FN186" s="122"/>
      <c r="FO186" s="122"/>
      <c r="FP186" s="122"/>
      <c r="FQ186" s="122"/>
      <c r="FR186" s="122"/>
      <c r="FS186" s="122"/>
      <c r="FT186" s="122"/>
      <c r="FU186" s="122"/>
      <c r="FV186" s="122"/>
      <c r="FW186" s="122"/>
      <c r="FX186" s="122"/>
      <c r="FY186" s="122"/>
      <c r="FZ186" s="122"/>
      <c r="GA186" s="122"/>
      <c r="GB186" s="122"/>
      <c r="GC186" s="122"/>
      <c r="GD186" s="122"/>
      <c r="GE186" s="122"/>
      <c r="GF186" s="122"/>
      <c r="GG186" s="122"/>
      <c r="GH186" s="122"/>
      <c r="GI186" s="122"/>
      <c r="GJ186" s="122"/>
      <c r="GK186" s="122"/>
      <c r="GL186" s="122"/>
      <c r="GM186" s="122"/>
      <c r="GN186" s="122"/>
      <c r="GO186" s="122"/>
      <c r="GP186" s="122"/>
      <c r="GQ186" s="122"/>
      <c r="GR186" s="122"/>
      <c r="GS186" s="122"/>
      <c r="GT186" s="122"/>
      <c r="GU186" s="122"/>
      <c r="GV186" s="122"/>
      <c r="GW186" s="122"/>
      <c r="GX186" s="122"/>
      <c r="GY186" s="122"/>
      <c r="GZ186" s="122"/>
      <c r="HA186" s="122"/>
      <c r="HB186" s="122"/>
      <c r="HC186" s="122"/>
      <c r="HD186" s="122"/>
      <c r="HE186" s="122"/>
      <c r="HF186" s="122"/>
      <c r="HG186" s="122"/>
      <c r="HH186" s="122"/>
      <c r="HI186" s="122"/>
      <c r="HJ186" s="122"/>
      <c r="HK186" s="122"/>
      <c r="HL186" s="122"/>
      <c r="HM186" s="122"/>
      <c r="HN186" s="122"/>
      <c r="HO186" s="122"/>
      <c r="HP186" s="122"/>
      <c r="HQ186" s="122"/>
      <c r="HR186" s="122"/>
      <c r="HS186" s="122"/>
      <c r="HT186" s="122"/>
      <c r="HU186" s="122"/>
      <c r="HV186" s="122"/>
      <c r="HW186" s="122"/>
      <c r="HX186" s="122"/>
      <c r="HY186" s="122"/>
      <c r="HZ186" s="122"/>
      <c r="IA186" s="122"/>
      <c r="IB186" s="122"/>
      <c r="IC186" s="122"/>
      <c r="ID186" s="122"/>
      <c r="IE186" s="122"/>
      <c r="IF186" s="122"/>
      <c r="IG186" s="122"/>
      <c r="IH186" s="122"/>
      <c r="II186" s="122"/>
      <c r="IJ186" s="122"/>
      <c r="IK186" s="122"/>
      <c r="IL186" s="122"/>
      <c r="IM186" s="122"/>
      <c r="IN186" s="122"/>
      <c r="IO186" s="122"/>
      <c r="IP186" s="122"/>
      <c r="IQ186" s="122"/>
      <c r="IR186" s="122"/>
      <c r="IS186" s="122"/>
      <c r="IT186" s="122"/>
      <c r="IU186" s="122"/>
      <c r="IV186" s="122"/>
      <c r="IW186" s="122"/>
      <c r="IX186" s="122"/>
      <c r="IY186" s="122"/>
      <c r="IZ186" s="122"/>
      <c r="JA186" s="122"/>
      <c r="JB186" s="122"/>
      <c r="JC186" s="122"/>
      <c r="JD186" s="122"/>
      <c r="JE186" s="122"/>
      <c r="JF186" s="122"/>
      <c r="JG186" s="122"/>
      <c r="JH186" s="122"/>
      <c r="JI186" s="119"/>
      <c r="JJ186" s="2"/>
      <c r="JK186" s="122"/>
      <c r="JL186" s="125"/>
      <c r="JM186" s="125"/>
      <c r="JN186" s="125"/>
      <c r="JO186" s="125"/>
      <c r="JP186" s="125"/>
    </row>
    <row r="187" spans="1:276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2"/>
      <c r="AU187" s="122"/>
      <c r="AV187" s="122"/>
      <c r="AW187" s="122"/>
      <c r="AX187" s="122"/>
      <c r="AY187" s="122"/>
      <c r="AZ187" s="122"/>
      <c r="BA187" s="122"/>
      <c r="BB187" s="122"/>
      <c r="BC187" s="122"/>
      <c r="BD187" s="122"/>
      <c r="BE187" s="122"/>
      <c r="BF187" s="122"/>
      <c r="BG187" s="122"/>
      <c r="BH187" s="122"/>
      <c r="BI187" s="122"/>
      <c r="BJ187" s="122"/>
      <c r="BK187" s="122"/>
      <c r="BL187" s="122"/>
      <c r="BM187" s="122"/>
      <c r="BN187" s="122"/>
      <c r="BO187" s="122"/>
      <c r="BP187" s="122"/>
      <c r="BQ187" s="122"/>
      <c r="BR187" s="122"/>
      <c r="BS187" s="122"/>
      <c r="BT187" s="122"/>
      <c r="BU187" s="122"/>
      <c r="BV187" s="122"/>
      <c r="BW187" s="122"/>
      <c r="BX187" s="122"/>
      <c r="BY187" s="122"/>
      <c r="BZ187" s="122"/>
      <c r="CA187" s="122"/>
      <c r="CB187" s="122"/>
      <c r="CC187" s="122"/>
      <c r="CD187" s="122"/>
      <c r="CE187" s="122"/>
      <c r="CF187" s="122"/>
      <c r="CG187" s="122"/>
      <c r="CH187" s="122"/>
      <c r="CI187" s="122"/>
      <c r="CJ187" s="122"/>
      <c r="CK187" s="122"/>
      <c r="CL187" s="122"/>
      <c r="CM187" s="122"/>
      <c r="CN187" s="122"/>
      <c r="CO187" s="122"/>
      <c r="CP187" s="122"/>
      <c r="CQ187" s="122"/>
      <c r="CR187" s="122"/>
      <c r="CS187" s="122"/>
      <c r="CT187" s="122"/>
      <c r="CU187" s="122"/>
      <c r="CV187" s="122"/>
      <c r="CW187" s="122"/>
      <c r="CX187" s="122"/>
      <c r="CY187" s="122"/>
      <c r="CZ187" s="122"/>
      <c r="DA187" s="122"/>
      <c r="DB187" s="122"/>
      <c r="DC187" s="122"/>
      <c r="DD187" s="122"/>
      <c r="DE187" s="122"/>
      <c r="DF187" s="122"/>
      <c r="DG187" s="122"/>
      <c r="DH187" s="122"/>
      <c r="DI187" s="122"/>
      <c r="DJ187" s="122"/>
      <c r="DK187" s="122"/>
      <c r="DL187" s="122"/>
      <c r="DM187" s="122"/>
      <c r="DN187" s="122"/>
      <c r="DO187" s="122"/>
      <c r="DP187" s="122"/>
      <c r="DQ187" s="122"/>
      <c r="DR187" s="122"/>
      <c r="DS187" s="122"/>
      <c r="DT187" s="122"/>
      <c r="DU187" s="122"/>
      <c r="DV187" s="122"/>
      <c r="DW187" s="122"/>
      <c r="DX187" s="122"/>
      <c r="DY187" s="122"/>
      <c r="DZ187" s="122"/>
      <c r="EA187" s="122"/>
      <c r="EB187" s="122"/>
      <c r="EC187" s="122"/>
      <c r="ED187" s="122"/>
      <c r="EE187" s="122"/>
      <c r="EF187" s="122"/>
      <c r="EG187" s="122"/>
      <c r="EH187" s="122"/>
      <c r="EI187" s="122"/>
      <c r="EJ187" s="122"/>
      <c r="EK187" s="122"/>
      <c r="EL187" s="122"/>
      <c r="EM187" s="122"/>
      <c r="EN187" s="122"/>
      <c r="EO187" s="122"/>
      <c r="EP187" s="122"/>
      <c r="EQ187" s="122"/>
      <c r="ER187" s="122"/>
      <c r="ES187" s="122"/>
      <c r="ET187" s="122"/>
      <c r="EU187" s="122"/>
      <c r="EV187" s="122"/>
      <c r="EW187" s="122"/>
      <c r="EX187" s="122"/>
      <c r="EY187" s="122"/>
      <c r="EZ187" s="122"/>
      <c r="FA187" s="122"/>
      <c r="FB187" s="122"/>
      <c r="FC187" s="122"/>
      <c r="FD187" s="122"/>
      <c r="FE187" s="122"/>
      <c r="FF187" s="122"/>
      <c r="FG187" s="122"/>
      <c r="FH187" s="122"/>
      <c r="FI187" s="122"/>
      <c r="FJ187" s="122"/>
      <c r="FK187" s="122"/>
      <c r="FL187" s="122"/>
      <c r="FM187" s="122"/>
      <c r="FN187" s="122"/>
      <c r="FO187" s="122"/>
      <c r="FP187" s="122"/>
      <c r="FQ187" s="122"/>
      <c r="FR187" s="122"/>
      <c r="FS187" s="122"/>
      <c r="FT187" s="122"/>
      <c r="FU187" s="122"/>
      <c r="FV187" s="122"/>
      <c r="FW187" s="122"/>
      <c r="FX187" s="122"/>
      <c r="FY187" s="122"/>
      <c r="FZ187" s="122"/>
      <c r="GA187" s="122"/>
      <c r="GB187" s="122"/>
      <c r="GC187" s="122"/>
      <c r="GD187" s="122"/>
      <c r="GE187" s="122"/>
      <c r="GF187" s="122"/>
      <c r="GG187" s="122"/>
      <c r="GH187" s="122"/>
      <c r="GI187" s="122"/>
      <c r="GJ187" s="122"/>
      <c r="GK187" s="122"/>
      <c r="GL187" s="122"/>
      <c r="GM187" s="122"/>
      <c r="GN187" s="122"/>
      <c r="GO187" s="122"/>
      <c r="GP187" s="122"/>
      <c r="GQ187" s="122"/>
      <c r="GR187" s="122"/>
      <c r="GS187" s="122"/>
      <c r="GT187" s="122"/>
      <c r="GU187" s="122"/>
      <c r="GV187" s="122"/>
      <c r="GW187" s="122"/>
      <c r="GX187" s="122"/>
      <c r="GY187" s="122"/>
      <c r="GZ187" s="122"/>
      <c r="HA187" s="122"/>
      <c r="HB187" s="122"/>
      <c r="HC187" s="122"/>
      <c r="HD187" s="122"/>
      <c r="HE187" s="122"/>
      <c r="HF187" s="122"/>
      <c r="HG187" s="122"/>
      <c r="HH187" s="122"/>
      <c r="HI187" s="122"/>
      <c r="HJ187" s="122"/>
      <c r="HK187" s="122"/>
      <c r="HL187" s="122"/>
      <c r="HM187" s="122"/>
      <c r="HN187" s="122"/>
      <c r="HO187" s="122"/>
      <c r="HP187" s="122"/>
      <c r="HQ187" s="122"/>
      <c r="HR187" s="122"/>
      <c r="HS187" s="122"/>
      <c r="HT187" s="122"/>
      <c r="HU187" s="122"/>
      <c r="HV187" s="122"/>
      <c r="HW187" s="122"/>
      <c r="HX187" s="122"/>
      <c r="HY187" s="122"/>
      <c r="HZ187" s="122"/>
      <c r="IA187" s="122"/>
      <c r="IB187" s="122"/>
      <c r="IC187" s="122"/>
      <c r="ID187" s="122"/>
      <c r="IE187" s="122"/>
      <c r="IF187" s="122"/>
      <c r="IG187" s="122"/>
      <c r="IH187" s="122"/>
      <c r="II187" s="122"/>
      <c r="IJ187" s="122"/>
      <c r="IK187" s="122"/>
      <c r="IL187" s="122"/>
      <c r="IM187" s="122"/>
      <c r="IN187" s="122"/>
      <c r="IO187" s="122"/>
      <c r="IP187" s="122"/>
      <c r="IQ187" s="122"/>
      <c r="IR187" s="122"/>
      <c r="IS187" s="122"/>
      <c r="IT187" s="122"/>
      <c r="IU187" s="122"/>
      <c r="IV187" s="122"/>
      <c r="IW187" s="122"/>
      <c r="IX187" s="122"/>
      <c r="IY187" s="122"/>
      <c r="IZ187" s="122"/>
      <c r="JA187" s="122"/>
      <c r="JB187" s="122"/>
      <c r="JC187" s="122"/>
      <c r="JD187" s="122"/>
      <c r="JE187" s="122"/>
      <c r="JF187" s="122"/>
      <c r="JG187" s="122"/>
      <c r="JH187" s="122"/>
      <c r="JI187" s="119"/>
      <c r="JJ187" s="2"/>
      <c r="JK187" s="122"/>
      <c r="JL187" s="125"/>
      <c r="JM187" s="125"/>
      <c r="JN187" s="125"/>
      <c r="JO187" s="125"/>
      <c r="JP187" s="125"/>
    </row>
    <row r="188" spans="1:276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  <c r="AT188" s="122"/>
      <c r="AU188" s="122"/>
      <c r="AV188" s="122"/>
      <c r="AW188" s="122"/>
      <c r="AX188" s="122"/>
      <c r="AY188" s="122"/>
      <c r="AZ188" s="122"/>
      <c r="BA188" s="122"/>
      <c r="BB188" s="122"/>
      <c r="BC188" s="122"/>
      <c r="BD188" s="122"/>
      <c r="BE188" s="122"/>
      <c r="BF188" s="122"/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122"/>
      <c r="BS188" s="122"/>
      <c r="BT188" s="122"/>
      <c r="BU188" s="122"/>
      <c r="BV188" s="122"/>
      <c r="BW188" s="122"/>
      <c r="BX188" s="122"/>
      <c r="BY188" s="122"/>
      <c r="BZ188" s="122"/>
      <c r="CA188" s="122"/>
      <c r="CB188" s="122"/>
      <c r="CC188" s="122"/>
      <c r="CD188" s="122"/>
      <c r="CE188" s="122"/>
      <c r="CF188" s="122"/>
      <c r="CG188" s="122"/>
      <c r="CH188" s="122"/>
      <c r="CI188" s="122"/>
      <c r="CJ188" s="122"/>
      <c r="CK188" s="122"/>
      <c r="CL188" s="122"/>
      <c r="CM188" s="122"/>
      <c r="CN188" s="122"/>
      <c r="CO188" s="122"/>
      <c r="CP188" s="122"/>
      <c r="CQ188" s="122"/>
      <c r="CR188" s="122"/>
      <c r="CS188" s="122"/>
      <c r="CT188" s="122"/>
      <c r="CU188" s="122"/>
      <c r="CV188" s="122"/>
      <c r="CW188" s="122"/>
      <c r="CX188" s="122"/>
      <c r="CY188" s="122"/>
      <c r="CZ188" s="122"/>
      <c r="DA188" s="122"/>
      <c r="DB188" s="122"/>
      <c r="DC188" s="122"/>
      <c r="DD188" s="122"/>
      <c r="DE188" s="122"/>
      <c r="DF188" s="122"/>
      <c r="DG188" s="122"/>
      <c r="DH188" s="122"/>
      <c r="DI188" s="122"/>
      <c r="DJ188" s="122"/>
      <c r="DK188" s="122"/>
      <c r="DL188" s="122"/>
      <c r="DM188" s="122"/>
      <c r="DN188" s="122"/>
      <c r="DO188" s="122"/>
      <c r="DP188" s="122"/>
      <c r="DQ188" s="122"/>
      <c r="DR188" s="122"/>
      <c r="DS188" s="122"/>
      <c r="DT188" s="122"/>
      <c r="DU188" s="122"/>
      <c r="DV188" s="122"/>
      <c r="DW188" s="122"/>
      <c r="DX188" s="122"/>
      <c r="DY188" s="122"/>
      <c r="DZ188" s="122"/>
      <c r="EA188" s="122"/>
      <c r="EB188" s="122"/>
      <c r="EC188" s="122"/>
      <c r="ED188" s="122"/>
      <c r="EE188" s="122"/>
      <c r="EF188" s="122"/>
      <c r="EG188" s="122"/>
      <c r="EH188" s="122"/>
      <c r="EI188" s="122"/>
      <c r="EJ188" s="122"/>
      <c r="EK188" s="122"/>
      <c r="EL188" s="122"/>
      <c r="EM188" s="122"/>
      <c r="EN188" s="122"/>
      <c r="EO188" s="122"/>
      <c r="EP188" s="122"/>
      <c r="EQ188" s="122"/>
      <c r="ER188" s="122"/>
      <c r="ES188" s="122"/>
      <c r="ET188" s="122"/>
      <c r="EU188" s="122"/>
      <c r="EV188" s="122"/>
      <c r="EW188" s="122"/>
      <c r="EX188" s="122"/>
      <c r="EY188" s="122"/>
      <c r="EZ188" s="122"/>
      <c r="FA188" s="122"/>
      <c r="FB188" s="122"/>
      <c r="FC188" s="122"/>
      <c r="FD188" s="122"/>
      <c r="FE188" s="122"/>
      <c r="FF188" s="122"/>
      <c r="FG188" s="122"/>
      <c r="FH188" s="122"/>
      <c r="FI188" s="122"/>
      <c r="FJ188" s="122"/>
      <c r="FK188" s="122"/>
      <c r="FL188" s="122"/>
      <c r="FM188" s="122"/>
      <c r="FN188" s="122"/>
      <c r="FO188" s="122"/>
      <c r="FP188" s="122"/>
      <c r="FQ188" s="122"/>
      <c r="FR188" s="122"/>
      <c r="FS188" s="122"/>
      <c r="FT188" s="122"/>
      <c r="FU188" s="122"/>
      <c r="FV188" s="122"/>
      <c r="FW188" s="122"/>
      <c r="FX188" s="122"/>
      <c r="FY188" s="122"/>
      <c r="FZ188" s="122"/>
      <c r="GA188" s="122"/>
      <c r="GB188" s="122"/>
      <c r="GC188" s="122"/>
      <c r="GD188" s="122"/>
      <c r="GE188" s="122"/>
      <c r="GF188" s="122"/>
      <c r="GG188" s="122"/>
      <c r="GH188" s="122"/>
      <c r="GI188" s="122"/>
      <c r="GJ188" s="122"/>
      <c r="GK188" s="122"/>
      <c r="GL188" s="122"/>
      <c r="GM188" s="122"/>
      <c r="GN188" s="122"/>
      <c r="GO188" s="122"/>
      <c r="GP188" s="122"/>
      <c r="GQ188" s="122"/>
      <c r="GR188" s="122"/>
      <c r="GS188" s="122"/>
      <c r="GT188" s="122"/>
      <c r="GU188" s="122"/>
      <c r="GV188" s="122"/>
      <c r="GW188" s="122"/>
      <c r="GX188" s="122"/>
      <c r="GY188" s="122"/>
      <c r="GZ188" s="122"/>
      <c r="HA188" s="122"/>
      <c r="HB188" s="122"/>
      <c r="HC188" s="122"/>
      <c r="HD188" s="122"/>
      <c r="HE188" s="122"/>
      <c r="HF188" s="122"/>
      <c r="HG188" s="122"/>
      <c r="HH188" s="122"/>
      <c r="HI188" s="122"/>
      <c r="HJ188" s="122"/>
      <c r="HK188" s="122"/>
      <c r="HL188" s="122"/>
      <c r="HM188" s="122"/>
      <c r="HN188" s="122"/>
      <c r="HO188" s="122"/>
      <c r="HP188" s="122"/>
      <c r="HQ188" s="122"/>
      <c r="HR188" s="122"/>
      <c r="HS188" s="122"/>
      <c r="HT188" s="122"/>
      <c r="HU188" s="122"/>
      <c r="HV188" s="122"/>
      <c r="HW188" s="122"/>
      <c r="HX188" s="122"/>
      <c r="HY188" s="122"/>
      <c r="HZ188" s="122"/>
      <c r="IA188" s="122"/>
      <c r="IB188" s="122"/>
      <c r="IC188" s="122"/>
      <c r="ID188" s="122"/>
      <c r="IE188" s="122"/>
      <c r="IF188" s="122"/>
      <c r="IG188" s="122"/>
      <c r="IH188" s="122"/>
      <c r="II188" s="122"/>
      <c r="IJ188" s="122"/>
      <c r="IK188" s="122"/>
      <c r="IL188" s="122"/>
      <c r="IM188" s="122"/>
      <c r="IN188" s="122"/>
      <c r="IO188" s="122"/>
      <c r="IP188" s="122"/>
      <c r="IQ188" s="122"/>
      <c r="IR188" s="122"/>
      <c r="IS188" s="122"/>
      <c r="IT188" s="122"/>
      <c r="IU188" s="122"/>
      <c r="IV188" s="122"/>
      <c r="IW188" s="122"/>
      <c r="IX188" s="122"/>
      <c r="IY188" s="122"/>
      <c r="IZ188" s="122"/>
      <c r="JA188" s="122"/>
      <c r="JB188" s="122"/>
      <c r="JC188" s="122"/>
      <c r="JD188" s="122"/>
      <c r="JE188" s="122"/>
      <c r="JF188" s="122"/>
      <c r="JG188" s="122"/>
      <c r="JH188" s="122"/>
      <c r="JI188" s="119"/>
      <c r="JJ188" s="2"/>
      <c r="JK188" s="122"/>
      <c r="JL188" s="125"/>
      <c r="JM188" s="125"/>
      <c r="JN188" s="125"/>
      <c r="JO188" s="125"/>
      <c r="JP188" s="125"/>
    </row>
    <row r="189" spans="1:276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  <c r="AT189" s="122"/>
      <c r="AU189" s="122"/>
      <c r="AV189" s="122"/>
      <c r="AW189" s="122"/>
      <c r="AX189" s="122"/>
      <c r="AY189" s="122"/>
      <c r="AZ189" s="122"/>
      <c r="BA189" s="122"/>
      <c r="BB189" s="122"/>
      <c r="BC189" s="122"/>
      <c r="BD189" s="122"/>
      <c r="BE189" s="122"/>
      <c r="BF189" s="122"/>
      <c r="BG189" s="122"/>
      <c r="BH189" s="122"/>
      <c r="BI189" s="122"/>
      <c r="BJ189" s="122"/>
      <c r="BK189" s="122"/>
      <c r="BL189" s="122"/>
      <c r="BM189" s="122"/>
      <c r="BN189" s="122"/>
      <c r="BO189" s="122"/>
      <c r="BP189" s="122"/>
      <c r="BQ189" s="122"/>
      <c r="BR189" s="122"/>
      <c r="BS189" s="122"/>
      <c r="BT189" s="122"/>
      <c r="BU189" s="122"/>
      <c r="BV189" s="122"/>
      <c r="BW189" s="122"/>
      <c r="BX189" s="122"/>
      <c r="BY189" s="122"/>
      <c r="BZ189" s="122"/>
      <c r="CA189" s="122"/>
      <c r="CB189" s="122"/>
      <c r="CC189" s="122"/>
      <c r="CD189" s="122"/>
      <c r="CE189" s="122"/>
      <c r="CF189" s="122"/>
      <c r="CG189" s="122"/>
      <c r="CH189" s="122"/>
      <c r="CI189" s="122"/>
      <c r="CJ189" s="122"/>
      <c r="CK189" s="122"/>
      <c r="CL189" s="122"/>
      <c r="CM189" s="122"/>
      <c r="CN189" s="122"/>
      <c r="CO189" s="122"/>
      <c r="CP189" s="122"/>
      <c r="CQ189" s="122"/>
      <c r="CR189" s="122"/>
      <c r="CS189" s="122"/>
      <c r="CT189" s="122"/>
      <c r="CU189" s="122"/>
      <c r="CV189" s="122"/>
      <c r="CW189" s="122"/>
      <c r="CX189" s="122"/>
      <c r="CY189" s="122"/>
      <c r="CZ189" s="122"/>
      <c r="DA189" s="122"/>
      <c r="DB189" s="122"/>
      <c r="DC189" s="122"/>
      <c r="DD189" s="122"/>
      <c r="DE189" s="122"/>
      <c r="DF189" s="122"/>
      <c r="DG189" s="122"/>
      <c r="DH189" s="122"/>
      <c r="DI189" s="122"/>
      <c r="DJ189" s="122"/>
      <c r="DK189" s="122"/>
      <c r="DL189" s="122"/>
      <c r="DM189" s="122"/>
      <c r="DN189" s="122"/>
      <c r="DO189" s="122"/>
      <c r="DP189" s="122"/>
      <c r="DQ189" s="122"/>
      <c r="DR189" s="122"/>
      <c r="DS189" s="122"/>
      <c r="DT189" s="122"/>
      <c r="DU189" s="122"/>
      <c r="DV189" s="122"/>
      <c r="DW189" s="122"/>
      <c r="DX189" s="122"/>
      <c r="DY189" s="122"/>
      <c r="DZ189" s="122"/>
      <c r="EA189" s="122"/>
      <c r="EB189" s="122"/>
      <c r="EC189" s="122"/>
      <c r="ED189" s="122"/>
      <c r="EE189" s="122"/>
      <c r="EF189" s="122"/>
      <c r="EG189" s="122"/>
      <c r="EH189" s="122"/>
      <c r="EI189" s="122"/>
      <c r="EJ189" s="122"/>
      <c r="EK189" s="122"/>
      <c r="EL189" s="122"/>
      <c r="EM189" s="122"/>
      <c r="EN189" s="122"/>
      <c r="EO189" s="122"/>
      <c r="EP189" s="122"/>
      <c r="EQ189" s="122"/>
      <c r="ER189" s="122"/>
      <c r="ES189" s="122"/>
      <c r="ET189" s="122"/>
      <c r="EU189" s="122"/>
      <c r="EV189" s="122"/>
      <c r="EW189" s="122"/>
      <c r="EX189" s="122"/>
      <c r="EY189" s="122"/>
      <c r="EZ189" s="122"/>
      <c r="FA189" s="122"/>
      <c r="FB189" s="122"/>
      <c r="FC189" s="122"/>
      <c r="FD189" s="122"/>
      <c r="FE189" s="122"/>
      <c r="FF189" s="122"/>
      <c r="FG189" s="122"/>
      <c r="FH189" s="122"/>
      <c r="FI189" s="122"/>
      <c r="FJ189" s="122"/>
      <c r="FK189" s="122"/>
      <c r="FL189" s="122"/>
      <c r="FM189" s="122"/>
      <c r="FN189" s="122"/>
      <c r="FO189" s="122"/>
      <c r="FP189" s="122"/>
      <c r="FQ189" s="122"/>
      <c r="FR189" s="122"/>
      <c r="FS189" s="122"/>
      <c r="FT189" s="122"/>
      <c r="FU189" s="122"/>
      <c r="FV189" s="122"/>
      <c r="FW189" s="122"/>
      <c r="FX189" s="122"/>
      <c r="FY189" s="122"/>
      <c r="FZ189" s="122"/>
      <c r="GA189" s="122"/>
      <c r="GB189" s="122"/>
      <c r="GC189" s="122"/>
      <c r="GD189" s="122"/>
      <c r="GE189" s="122"/>
      <c r="GF189" s="122"/>
      <c r="GG189" s="122"/>
      <c r="GH189" s="122"/>
      <c r="GI189" s="122"/>
      <c r="GJ189" s="122"/>
      <c r="GK189" s="122"/>
      <c r="GL189" s="122"/>
      <c r="GM189" s="122"/>
      <c r="GN189" s="122"/>
      <c r="GO189" s="122"/>
      <c r="GP189" s="122"/>
      <c r="GQ189" s="122"/>
      <c r="GR189" s="122"/>
      <c r="GS189" s="122"/>
      <c r="GT189" s="122"/>
      <c r="GU189" s="122"/>
      <c r="GV189" s="122"/>
      <c r="GW189" s="122"/>
      <c r="GX189" s="122"/>
      <c r="GY189" s="122"/>
      <c r="GZ189" s="122"/>
      <c r="HA189" s="122"/>
      <c r="HB189" s="122"/>
      <c r="HC189" s="122"/>
      <c r="HD189" s="122"/>
      <c r="HE189" s="122"/>
      <c r="HF189" s="122"/>
      <c r="HG189" s="122"/>
      <c r="HH189" s="122"/>
      <c r="HI189" s="122"/>
      <c r="HJ189" s="122"/>
      <c r="HK189" s="122"/>
      <c r="HL189" s="122"/>
      <c r="HM189" s="122"/>
      <c r="HN189" s="122"/>
      <c r="HO189" s="122"/>
      <c r="HP189" s="122"/>
      <c r="HQ189" s="122"/>
      <c r="HR189" s="122"/>
      <c r="HS189" s="122"/>
      <c r="HT189" s="122"/>
      <c r="HU189" s="122"/>
      <c r="HV189" s="122"/>
      <c r="HW189" s="122"/>
      <c r="HX189" s="122"/>
      <c r="HY189" s="122"/>
      <c r="HZ189" s="122"/>
      <c r="IA189" s="122"/>
      <c r="IB189" s="122"/>
      <c r="IC189" s="122"/>
      <c r="ID189" s="122"/>
      <c r="IE189" s="122"/>
      <c r="IF189" s="122"/>
      <c r="IG189" s="122"/>
      <c r="IH189" s="122"/>
      <c r="II189" s="122"/>
      <c r="IJ189" s="122"/>
      <c r="IK189" s="122"/>
      <c r="IL189" s="122"/>
      <c r="IM189" s="122"/>
      <c r="IN189" s="122"/>
      <c r="IO189" s="122"/>
      <c r="IP189" s="122"/>
      <c r="IQ189" s="122"/>
      <c r="IR189" s="122"/>
      <c r="IS189" s="122"/>
      <c r="IT189" s="122"/>
      <c r="IU189" s="122"/>
      <c r="IV189" s="122"/>
      <c r="IW189" s="122"/>
      <c r="IX189" s="122"/>
      <c r="IY189" s="122"/>
      <c r="IZ189" s="122"/>
      <c r="JA189" s="122"/>
      <c r="JB189" s="122"/>
      <c r="JC189" s="122"/>
      <c r="JD189" s="122"/>
      <c r="JE189" s="122"/>
      <c r="JF189" s="122"/>
      <c r="JG189" s="122"/>
      <c r="JH189" s="122"/>
      <c r="JI189" s="119"/>
      <c r="JJ189" s="2"/>
      <c r="JK189" s="122"/>
      <c r="JL189" s="125"/>
      <c r="JM189" s="125"/>
      <c r="JN189" s="125"/>
      <c r="JO189" s="125"/>
      <c r="JP189" s="125"/>
    </row>
    <row r="190" spans="1:276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  <c r="AS190" s="122"/>
      <c r="AT190" s="122"/>
      <c r="AU190" s="122"/>
      <c r="AV190" s="122"/>
      <c r="AW190" s="122"/>
      <c r="AX190" s="122"/>
      <c r="AY190" s="122"/>
      <c r="AZ190" s="122"/>
      <c r="BA190" s="122"/>
      <c r="BB190" s="122"/>
      <c r="BC190" s="122"/>
      <c r="BD190" s="122"/>
      <c r="BE190" s="122"/>
      <c r="BF190" s="122"/>
      <c r="BG190" s="122"/>
      <c r="BH190" s="122"/>
      <c r="BI190" s="122"/>
      <c r="BJ190" s="122"/>
      <c r="BK190" s="122"/>
      <c r="BL190" s="122"/>
      <c r="BM190" s="122"/>
      <c r="BN190" s="122"/>
      <c r="BO190" s="122"/>
      <c r="BP190" s="122"/>
      <c r="BQ190" s="122"/>
      <c r="BR190" s="122"/>
      <c r="BS190" s="122"/>
      <c r="BT190" s="122"/>
      <c r="BU190" s="122"/>
      <c r="BV190" s="122"/>
      <c r="BW190" s="122"/>
      <c r="BX190" s="122"/>
      <c r="BY190" s="122"/>
      <c r="BZ190" s="122"/>
      <c r="CA190" s="122"/>
      <c r="CB190" s="122"/>
      <c r="CC190" s="122"/>
      <c r="CD190" s="122"/>
      <c r="CE190" s="122"/>
      <c r="CF190" s="122"/>
      <c r="CG190" s="122"/>
      <c r="CH190" s="122"/>
      <c r="CI190" s="122"/>
      <c r="CJ190" s="122"/>
      <c r="CK190" s="122"/>
      <c r="CL190" s="122"/>
      <c r="CM190" s="122"/>
      <c r="CN190" s="122"/>
      <c r="CO190" s="122"/>
      <c r="CP190" s="122"/>
      <c r="CQ190" s="122"/>
      <c r="CR190" s="122"/>
      <c r="CS190" s="122"/>
      <c r="CT190" s="122"/>
      <c r="CU190" s="122"/>
      <c r="CV190" s="122"/>
      <c r="CW190" s="122"/>
      <c r="CX190" s="122"/>
      <c r="CY190" s="122"/>
      <c r="CZ190" s="122"/>
      <c r="DA190" s="122"/>
      <c r="DB190" s="122"/>
      <c r="DC190" s="122"/>
      <c r="DD190" s="122"/>
      <c r="DE190" s="122"/>
      <c r="DF190" s="122"/>
      <c r="DG190" s="122"/>
      <c r="DH190" s="122"/>
      <c r="DI190" s="122"/>
      <c r="DJ190" s="122"/>
      <c r="DK190" s="122"/>
      <c r="DL190" s="122"/>
      <c r="DM190" s="122"/>
      <c r="DN190" s="122"/>
      <c r="DO190" s="122"/>
      <c r="DP190" s="122"/>
      <c r="DQ190" s="122"/>
      <c r="DR190" s="122"/>
      <c r="DS190" s="122"/>
      <c r="DT190" s="122"/>
      <c r="DU190" s="122"/>
      <c r="DV190" s="122"/>
      <c r="DW190" s="122"/>
      <c r="DX190" s="122"/>
      <c r="DY190" s="122"/>
      <c r="DZ190" s="122"/>
      <c r="EA190" s="122"/>
      <c r="EB190" s="122"/>
      <c r="EC190" s="122"/>
      <c r="ED190" s="122"/>
      <c r="EE190" s="122"/>
      <c r="EF190" s="122"/>
      <c r="EG190" s="122"/>
      <c r="EH190" s="122"/>
      <c r="EI190" s="122"/>
      <c r="EJ190" s="122"/>
      <c r="EK190" s="122"/>
      <c r="EL190" s="122"/>
      <c r="EM190" s="122"/>
      <c r="EN190" s="122"/>
      <c r="EO190" s="122"/>
      <c r="EP190" s="122"/>
      <c r="EQ190" s="122"/>
      <c r="ER190" s="122"/>
      <c r="ES190" s="122"/>
      <c r="ET190" s="122"/>
      <c r="EU190" s="122"/>
      <c r="EV190" s="122"/>
      <c r="EW190" s="122"/>
      <c r="EX190" s="122"/>
      <c r="EY190" s="122"/>
      <c r="EZ190" s="122"/>
      <c r="FA190" s="122"/>
      <c r="FB190" s="122"/>
      <c r="FC190" s="122"/>
      <c r="FD190" s="122"/>
      <c r="FE190" s="122"/>
      <c r="FF190" s="122"/>
      <c r="FG190" s="122"/>
      <c r="FH190" s="122"/>
      <c r="FI190" s="122"/>
      <c r="FJ190" s="122"/>
      <c r="FK190" s="122"/>
      <c r="FL190" s="122"/>
      <c r="FM190" s="122"/>
      <c r="FN190" s="122"/>
      <c r="FO190" s="122"/>
      <c r="FP190" s="122"/>
      <c r="FQ190" s="122"/>
      <c r="FR190" s="122"/>
      <c r="FS190" s="122"/>
      <c r="FT190" s="122"/>
      <c r="FU190" s="122"/>
      <c r="FV190" s="122"/>
      <c r="FW190" s="122"/>
      <c r="FX190" s="122"/>
      <c r="FY190" s="122"/>
      <c r="FZ190" s="122"/>
      <c r="GA190" s="122"/>
      <c r="GB190" s="122"/>
      <c r="GC190" s="122"/>
      <c r="GD190" s="122"/>
      <c r="GE190" s="122"/>
      <c r="GF190" s="122"/>
      <c r="GG190" s="122"/>
      <c r="GH190" s="122"/>
      <c r="GI190" s="122"/>
      <c r="GJ190" s="122"/>
      <c r="GK190" s="122"/>
      <c r="GL190" s="122"/>
      <c r="GM190" s="122"/>
      <c r="GN190" s="122"/>
      <c r="GO190" s="122"/>
      <c r="GP190" s="122"/>
      <c r="GQ190" s="122"/>
      <c r="GR190" s="122"/>
      <c r="GS190" s="122"/>
      <c r="GT190" s="122"/>
      <c r="GU190" s="122"/>
      <c r="GV190" s="122"/>
      <c r="GW190" s="122"/>
      <c r="GX190" s="122"/>
      <c r="GY190" s="122"/>
      <c r="GZ190" s="122"/>
      <c r="HA190" s="122"/>
      <c r="HB190" s="122"/>
      <c r="HC190" s="122"/>
      <c r="HD190" s="122"/>
      <c r="HE190" s="122"/>
      <c r="HF190" s="122"/>
      <c r="HG190" s="122"/>
      <c r="HH190" s="122"/>
      <c r="HI190" s="122"/>
      <c r="HJ190" s="122"/>
      <c r="HK190" s="122"/>
      <c r="HL190" s="122"/>
      <c r="HM190" s="122"/>
      <c r="HN190" s="122"/>
      <c r="HO190" s="122"/>
      <c r="HP190" s="122"/>
      <c r="HQ190" s="122"/>
      <c r="HR190" s="122"/>
      <c r="HS190" s="122"/>
      <c r="HT190" s="122"/>
      <c r="HU190" s="122"/>
      <c r="HV190" s="122"/>
      <c r="HW190" s="122"/>
      <c r="HX190" s="122"/>
      <c r="HY190" s="122"/>
      <c r="HZ190" s="122"/>
      <c r="IA190" s="122"/>
      <c r="IB190" s="122"/>
      <c r="IC190" s="122"/>
      <c r="ID190" s="122"/>
      <c r="IE190" s="122"/>
      <c r="IF190" s="122"/>
      <c r="IG190" s="122"/>
      <c r="IH190" s="122"/>
      <c r="II190" s="122"/>
      <c r="IJ190" s="122"/>
      <c r="IK190" s="122"/>
      <c r="IL190" s="122"/>
      <c r="IM190" s="122"/>
      <c r="IN190" s="122"/>
      <c r="IO190" s="122"/>
      <c r="IP190" s="122"/>
      <c r="IQ190" s="122"/>
      <c r="IR190" s="122"/>
      <c r="IS190" s="122"/>
      <c r="IT190" s="122"/>
      <c r="IU190" s="122"/>
      <c r="IV190" s="122"/>
      <c r="IW190" s="122"/>
      <c r="IX190" s="122"/>
      <c r="IY190" s="122"/>
      <c r="IZ190" s="122"/>
      <c r="JA190" s="122"/>
      <c r="JB190" s="122"/>
      <c r="JC190" s="122"/>
      <c r="JD190" s="122"/>
      <c r="JE190" s="122"/>
      <c r="JF190" s="122"/>
      <c r="JG190" s="122"/>
      <c r="JH190" s="122"/>
      <c r="JI190" s="119"/>
      <c r="JJ190" s="2"/>
      <c r="JK190" s="122"/>
      <c r="JL190" s="125"/>
      <c r="JM190" s="125"/>
      <c r="JN190" s="125"/>
      <c r="JO190" s="125"/>
      <c r="JP190" s="125"/>
    </row>
    <row r="191" spans="1:276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  <c r="AS191" s="122"/>
      <c r="AT191" s="122"/>
      <c r="AU191" s="122"/>
      <c r="AV191" s="122"/>
      <c r="AW191" s="122"/>
      <c r="AX191" s="122"/>
      <c r="AY191" s="122"/>
      <c r="AZ191" s="122"/>
      <c r="BA191" s="122"/>
      <c r="BB191" s="122"/>
      <c r="BC191" s="122"/>
      <c r="BD191" s="122"/>
      <c r="BE191" s="122"/>
      <c r="BF191" s="122"/>
      <c r="BG191" s="122"/>
      <c r="BH191" s="122"/>
      <c r="BI191" s="122"/>
      <c r="BJ191" s="122"/>
      <c r="BK191" s="122"/>
      <c r="BL191" s="122"/>
      <c r="BM191" s="122"/>
      <c r="BN191" s="122"/>
      <c r="BO191" s="122"/>
      <c r="BP191" s="122"/>
      <c r="BQ191" s="122"/>
      <c r="BR191" s="122"/>
      <c r="BS191" s="122"/>
      <c r="BT191" s="122"/>
      <c r="BU191" s="122"/>
      <c r="BV191" s="122"/>
      <c r="BW191" s="122"/>
      <c r="BX191" s="122"/>
      <c r="BY191" s="122"/>
      <c r="BZ191" s="122"/>
      <c r="CA191" s="122"/>
      <c r="CB191" s="122"/>
      <c r="CC191" s="122"/>
      <c r="CD191" s="122"/>
      <c r="CE191" s="122"/>
      <c r="CF191" s="122"/>
      <c r="CG191" s="122"/>
      <c r="CH191" s="122"/>
      <c r="CI191" s="122"/>
      <c r="CJ191" s="122"/>
      <c r="CK191" s="122"/>
      <c r="CL191" s="122"/>
      <c r="CM191" s="122"/>
      <c r="CN191" s="122"/>
      <c r="CO191" s="122"/>
      <c r="CP191" s="122"/>
      <c r="CQ191" s="122"/>
      <c r="CR191" s="122"/>
      <c r="CS191" s="122"/>
      <c r="CT191" s="122"/>
      <c r="CU191" s="122"/>
      <c r="CV191" s="122"/>
      <c r="CW191" s="122"/>
      <c r="CX191" s="122"/>
      <c r="CY191" s="122"/>
      <c r="CZ191" s="122"/>
      <c r="DA191" s="122"/>
      <c r="DB191" s="122"/>
      <c r="DC191" s="122"/>
      <c r="DD191" s="122"/>
      <c r="DE191" s="122"/>
      <c r="DF191" s="122"/>
      <c r="DG191" s="122"/>
      <c r="DH191" s="122"/>
      <c r="DI191" s="122"/>
      <c r="DJ191" s="122"/>
      <c r="DK191" s="122"/>
      <c r="DL191" s="122"/>
      <c r="DM191" s="122"/>
      <c r="DN191" s="122"/>
      <c r="DO191" s="122"/>
      <c r="DP191" s="122"/>
      <c r="DQ191" s="122"/>
      <c r="DR191" s="122"/>
      <c r="DS191" s="122"/>
      <c r="DT191" s="122"/>
      <c r="DU191" s="122"/>
      <c r="DV191" s="122"/>
      <c r="DW191" s="122"/>
      <c r="DX191" s="122"/>
      <c r="DY191" s="122"/>
      <c r="DZ191" s="122"/>
      <c r="EA191" s="122"/>
      <c r="EB191" s="122"/>
      <c r="EC191" s="122"/>
      <c r="ED191" s="122"/>
      <c r="EE191" s="122"/>
      <c r="EF191" s="122"/>
      <c r="EG191" s="122"/>
      <c r="EH191" s="122"/>
      <c r="EI191" s="122"/>
      <c r="EJ191" s="122"/>
      <c r="EK191" s="122"/>
      <c r="EL191" s="122"/>
      <c r="EM191" s="122"/>
      <c r="EN191" s="122"/>
      <c r="EO191" s="122"/>
      <c r="EP191" s="122"/>
      <c r="EQ191" s="122"/>
      <c r="ER191" s="122"/>
      <c r="ES191" s="122"/>
      <c r="ET191" s="122"/>
      <c r="EU191" s="122"/>
      <c r="EV191" s="122"/>
      <c r="EW191" s="122"/>
      <c r="EX191" s="122"/>
      <c r="EY191" s="122"/>
      <c r="EZ191" s="122"/>
      <c r="FA191" s="122"/>
      <c r="FB191" s="122"/>
      <c r="FC191" s="122"/>
      <c r="FD191" s="122"/>
      <c r="FE191" s="122"/>
      <c r="FF191" s="122"/>
      <c r="FG191" s="122"/>
      <c r="FH191" s="122"/>
      <c r="FI191" s="122"/>
      <c r="FJ191" s="122"/>
      <c r="FK191" s="122"/>
      <c r="FL191" s="122"/>
      <c r="FM191" s="122"/>
      <c r="FN191" s="122"/>
      <c r="FO191" s="122"/>
      <c r="FP191" s="122"/>
      <c r="FQ191" s="122"/>
      <c r="FR191" s="122"/>
      <c r="FS191" s="122"/>
      <c r="FT191" s="122"/>
      <c r="FU191" s="122"/>
      <c r="FV191" s="122"/>
      <c r="FW191" s="122"/>
      <c r="FX191" s="122"/>
      <c r="FY191" s="122"/>
      <c r="FZ191" s="122"/>
      <c r="GA191" s="122"/>
      <c r="GB191" s="122"/>
      <c r="GC191" s="122"/>
      <c r="GD191" s="122"/>
      <c r="GE191" s="122"/>
      <c r="GF191" s="122"/>
      <c r="GG191" s="122"/>
      <c r="GH191" s="122"/>
      <c r="GI191" s="122"/>
      <c r="GJ191" s="122"/>
      <c r="GK191" s="122"/>
      <c r="GL191" s="122"/>
      <c r="GM191" s="122"/>
      <c r="GN191" s="122"/>
      <c r="GO191" s="122"/>
      <c r="GP191" s="122"/>
      <c r="GQ191" s="122"/>
      <c r="GR191" s="122"/>
      <c r="GS191" s="122"/>
      <c r="GT191" s="122"/>
      <c r="GU191" s="122"/>
      <c r="GV191" s="122"/>
      <c r="GW191" s="122"/>
      <c r="GX191" s="122"/>
      <c r="GY191" s="122"/>
      <c r="GZ191" s="122"/>
      <c r="HA191" s="122"/>
      <c r="HB191" s="122"/>
      <c r="HC191" s="122"/>
      <c r="HD191" s="122"/>
      <c r="HE191" s="122"/>
      <c r="HF191" s="122"/>
      <c r="HG191" s="122"/>
      <c r="HH191" s="122"/>
      <c r="HI191" s="122"/>
      <c r="HJ191" s="122"/>
      <c r="HK191" s="122"/>
      <c r="HL191" s="122"/>
      <c r="HM191" s="122"/>
      <c r="HN191" s="122"/>
      <c r="HO191" s="122"/>
      <c r="HP191" s="122"/>
      <c r="HQ191" s="122"/>
      <c r="HR191" s="122"/>
      <c r="HS191" s="122"/>
      <c r="HT191" s="122"/>
      <c r="HU191" s="122"/>
      <c r="HV191" s="122"/>
      <c r="HW191" s="122"/>
      <c r="HX191" s="122"/>
      <c r="HY191" s="122"/>
      <c r="HZ191" s="122"/>
      <c r="IA191" s="122"/>
      <c r="IB191" s="122"/>
      <c r="IC191" s="122"/>
      <c r="ID191" s="122"/>
      <c r="IE191" s="122"/>
      <c r="IF191" s="122"/>
      <c r="IG191" s="122"/>
      <c r="IH191" s="122"/>
      <c r="II191" s="122"/>
      <c r="IJ191" s="122"/>
      <c r="IK191" s="122"/>
      <c r="IL191" s="122"/>
      <c r="IM191" s="122"/>
      <c r="IN191" s="122"/>
      <c r="IO191" s="122"/>
      <c r="IP191" s="122"/>
      <c r="IQ191" s="122"/>
      <c r="IR191" s="122"/>
      <c r="IS191" s="122"/>
      <c r="IT191" s="122"/>
      <c r="IU191" s="122"/>
      <c r="IV191" s="122"/>
      <c r="IW191" s="122"/>
      <c r="IX191" s="122"/>
      <c r="IY191" s="122"/>
      <c r="IZ191" s="122"/>
      <c r="JA191" s="122"/>
      <c r="JB191" s="122"/>
      <c r="JC191" s="122"/>
      <c r="JD191" s="122"/>
      <c r="JE191" s="122"/>
      <c r="JF191" s="122"/>
      <c r="JG191" s="122"/>
      <c r="JH191" s="122"/>
      <c r="JI191" s="119"/>
      <c r="JJ191" s="2"/>
      <c r="JK191" s="122"/>
      <c r="JL191" s="125"/>
      <c r="JM191" s="125"/>
      <c r="JN191" s="125"/>
      <c r="JO191" s="125"/>
      <c r="JP191" s="125"/>
    </row>
    <row r="192" spans="1:276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  <c r="AS192" s="122"/>
      <c r="AT192" s="122"/>
      <c r="AU192" s="122"/>
      <c r="AV192" s="122"/>
      <c r="AW192" s="122"/>
      <c r="AX192" s="122"/>
      <c r="AY192" s="122"/>
      <c r="AZ192" s="122"/>
      <c r="BA192" s="122"/>
      <c r="BB192" s="122"/>
      <c r="BC192" s="122"/>
      <c r="BD192" s="122"/>
      <c r="BE192" s="122"/>
      <c r="BF192" s="122"/>
      <c r="BG192" s="122"/>
      <c r="BH192" s="122"/>
      <c r="BI192" s="122"/>
      <c r="BJ192" s="122"/>
      <c r="BK192" s="122"/>
      <c r="BL192" s="122"/>
      <c r="BM192" s="122"/>
      <c r="BN192" s="122"/>
      <c r="BO192" s="122"/>
      <c r="BP192" s="122"/>
      <c r="BQ192" s="122"/>
      <c r="BR192" s="122"/>
      <c r="BS192" s="122"/>
      <c r="BT192" s="122"/>
      <c r="BU192" s="122"/>
      <c r="BV192" s="122"/>
      <c r="BW192" s="122"/>
      <c r="BX192" s="122"/>
      <c r="BY192" s="122"/>
      <c r="BZ192" s="122"/>
      <c r="CA192" s="122"/>
      <c r="CB192" s="122"/>
      <c r="CC192" s="122"/>
      <c r="CD192" s="122"/>
      <c r="CE192" s="122"/>
      <c r="CF192" s="122"/>
      <c r="CG192" s="122"/>
      <c r="CH192" s="122"/>
      <c r="CI192" s="122"/>
      <c r="CJ192" s="122"/>
      <c r="CK192" s="122"/>
      <c r="CL192" s="122"/>
      <c r="CM192" s="122"/>
      <c r="CN192" s="122"/>
      <c r="CO192" s="122"/>
      <c r="CP192" s="122"/>
      <c r="CQ192" s="122"/>
      <c r="CR192" s="122"/>
      <c r="CS192" s="122"/>
      <c r="CT192" s="122"/>
      <c r="CU192" s="122"/>
      <c r="CV192" s="122"/>
      <c r="CW192" s="122"/>
      <c r="CX192" s="122"/>
      <c r="CY192" s="122"/>
      <c r="CZ192" s="122"/>
      <c r="DA192" s="122"/>
      <c r="DB192" s="122"/>
      <c r="DC192" s="122"/>
      <c r="DD192" s="122"/>
      <c r="DE192" s="122"/>
      <c r="DF192" s="122"/>
      <c r="DG192" s="122"/>
      <c r="DH192" s="122"/>
      <c r="DI192" s="122"/>
      <c r="DJ192" s="122"/>
      <c r="DK192" s="122"/>
      <c r="DL192" s="122"/>
      <c r="DM192" s="122"/>
      <c r="DN192" s="122"/>
      <c r="DO192" s="122"/>
      <c r="DP192" s="122"/>
      <c r="DQ192" s="122"/>
      <c r="DR192" s="122"/>
      <c r="DS192" s="122"/>
      <c r="DT192" s="122"/>
      <c r="DU192" s="122"/>
      <c r="DV192" s="122"/>
      <c r="DW192" s="122"/>
      <c r="DX192" s="122"/>
      <c r="DY192" s="122"/>
      <c r="DZ192" s="122"/>
      <c r="EA192" s="122"/>
      <c r="EB192" s="122"/>
      <c r="EC192" s="122"/>
      <c r="ED192" s="122"/>
      <c r="EE192" s="122"/>
      <c r="EF192" s="122"/>
      <c r="EG192" s="122"/>
      <c r="EH192" s="122"/>
      <c r="EI192" s="122"/>
      <c r="EJ192" s="122"/>
      <c r="EK192" s="122"/>
      <c r="EL192" s="122"/>
      <c r="EM192" s="122"/>
      <c r="EN192" s="122"/>
      <c r="EO192" s="122"/>
      <c r="EP192" s="122"/>
      <c r="EQ192" s="122"/>
      <c r="ER192" s="122"/>
      <c r="ES192" s="122"/>
      <c r="ET192" s="122"/>
      <c r="EU192" s="122"/>
      <c r="EV192" s="122"/>
      <c r="EW192" s="122"/>
      <c r="EX192" s="122"/>
      <c r="EY192" s="122"/>
      <c r="EZ192" s="122"/>
      <c r="FA192" s="122"/>
      <c r="FB192" s="122"/>
      <c r="FC192" s="122"/>
      <c r="FD192" s="122"/>
      <c r="FE192" s="122"/>
      <c r="FF192" s="122"/>
      <c r="FG192" s="122"/>
      <c r="FH192" s="122"/>
      <c r="FI192" s="122"/>
      <c r="FJ192" s="122"/>
      <c r="FK192" s="122"/>
      <c r="FL192" s="122"/>
      <c r="FM192" s="122"/>
      <c r="FN192" s="122"/>
      <c r="FO192" s="122"/>
      <c r="FP192" s="122"/>
      <c r="FQ192" s="122"/>
      <c r="FR192" s="122"/>
      <c r="FS192" s="122"/>
      <c r="FT192" s="122"/>
      <c r="FU192" s="122"/>
      <c r="FV192" s="122"/>
      <c r="FW192" s="122"/>
      <c r="FX192" s="122"/>
      <c r="FY192" s="122"/>
      <c r="FZ192" s="122"/>
      <c r="GA192" s="122"/>
      <c r="GB192" s="122"/>
      <c r="GC192" s="122"/>
      <c r="GD192" s="122"/>
      <c r="GE192" s="122"/>
      <c r="GF192" s="122"/>
      <c r="GG192" s="122"/>
      <c r="GH192" s="122"/>
      <c r="GI192" s="122"/>
      <c r="GJ192" s="122"/>
      <c r="GK192" s="122"/>
      <c r="GL192" s="122"/>
      <c r="GM192" s="122"/>
      <c r="GN192" s="122"/>
      <c r="GO192" s="122"/>
      <c r="GP192" s="122"/>
      <c r="GQ192" s="122"/>
      <c r="GR192" s="122"/>
      <c r="GS192" s="122"/>
      <c r="GT192" s="122"/>
      <c r="GU192" s="122"/>
      <c r="GV192" s="122"/>
      <c r="GW192" s="122"/>
      <c r="GX192" s="122"/>
      <c r="GY192" s="122"/>
      <c r="GZ192" s="122"/>
      <c r="HA192" s="122"/>
      <c r="HB192" s="122"/>
      <c r="HC192" s="122"/>
      <c r="HD192" s="122"/>
      <c r="HE192" s="122"/>
      <c r="HF192" s="122"/>
      <c r="HG192" s="122"/>
      <c r="HH192" s="122"/>
      <c r="HI192" s="122"/>
      <c r="HJ192" s="122"/>
      <c r="HK192" s="122"/>
      <c r="HL192" s="122"/>
      <c r="HM192" s="122"/>
      <c r="HN192" s="122"/>
      <c r="HO192" s="122"/>
      <c r="HP192" s="122"/>
      <c r="HQ192" s="122"/>
      <c r="HR192" s="122"/>
      <c r="HS192" s="122"/>
      <c r="HT192" s="122"/>
      <c r="HU192" s="122"/>
      <c r="HV192" s="122"/>
      <c r="HW192" s="122"/>
      <c r="HX192" s="122"/>
      <c r="HY192" s="122"/>
      <c r="HZ192" s="122"/>
      <c r="IA192" s="122"/>
      <c r="IB192" s="122"/>
      <c r="IC192" s="122"/>
      <c r="ID192" s="122"/>
      <c r="IE192" s="122"/>
      <c r="IF192" s="122"/>
      <c r="IG192" s="122"/>
      <c r="IH192" s="122"/>
      <c r="II192" s="122"/>
      <c r="IJ192" s="122"/>
      <c r="IK192" s="122"/>
      <c r="IL192" s="122"/>
      <c r="IM192" s="122"/>
      <c r="IN192" s="122"/>
      <c r="IO192" s="122"/>
      <c r="IP192" s="122"/>
      <c r="IQ192" s="122"/>
      <c r="IR192" s="122"/>
      <c r="IS192" s="122"/>
      <c r="IT192" s="122"/>
      <c r="IU192" s="122"/>
      <c r="IV192" s="122"/>
      <c r="IW192" s="122"/>
      <c r="IX192" s="122"/>
      <c r="IY192" s="122"/>
      <c r="IZ192" s="122"/>
      <c r="JA192" s="122"/>
      <c r="JB192" s="122"/>
      <c r="JC192" s="122"/>
      <c r="JD192" s="122"/>
      <c r="JE192" s="122"/>
      <c r="JF192" s="122"/>
      <c r="JG192" s="122"/>
      <c r="JH192" s="122"/>
      <c r="JI192" s="119"/>
      <c r="JJ192" s="2"/>
      <c r="JK192" s="122"/>
      <c r="JL192" s="125"/>
      <c r="JM192" s="125"/>
      <c r="JN192" s="125"/>
      <c r="JO192" s="125"/>
      <c r="JP192" s="125"/>
    </row>
    <row r="193" spans="1:276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  <c r="AS193" s="122"/>
      <c r="AT193" s="122"/>
      <c r="AU193" s="122"/>
      <c r="AV193" s="122"/>
      <c r="AW193" s="122"/>
      <c r="AX193" s="122"/>
      <c r="AY193" s="122"/>
      <c r="AZ193" s="122"/>
      <c r="BA193" s="122"/>
      <c r="BB193" s="122"/>
      <c r="BC193" s="122"/>
      <c r="BD193" s="122"/>
      <c r="BE193" s="122"/>
      <c r="BF193" s="122"/>
      <c r="BG193" s="122"/>
      <c r="BH193" s="122"/>
      <c r="BI193" s="122"/>
      <c r="BJ193" s="122"/>
      <c r="BK193" s="122"/>
      <c r="BL193" s="122"/>
      <c r="BM193" s="122"/>
      <c r="BN193" s="122"/>
      <c r="BO193" s="122"/>
      <c r="BP193" s="122"/>
      <c r="BQ193" s="122"/>
      <c r="BR193" s="122"/>
      <c r="BS193" s="122"/>
      <c r="BT193" s="122"/>
      <c r="BU193" s="122"/>
      <c r="BV193" s="122"/>
      <c r="BW193" s="122"/>
      <c r="BX193" s="122"/>
      <c r="BY193" s="122"/>
      <c r="BZ193" s="122"/>
      <c r="CA193" s="122"/>
      <c r="CB193" s="122"/>
      <c r="CC193" s="122"/>
      <c r="CD193" s="122"/>
      <c r="CE193" s="122"/>
      <c r="CF193" s="122"/>
      <c r="CG193" s="122"/>
      <c r="CH193" s="122"/>
      <c r="CI193" s="122"/>
      <c r="CJ193" s="122"/>
      <c r="CK193" s="122"/>
      <c r="CL193" s="122"/>
      <c r="CM193" s="122"/>
      <c r="CN193" s="122"/>
      <c r="CO193" s="122"/>
      <c r="CP193" s="122"/>
      <c r="CQ193" s="122"/>
      <c r="CR193" s="122"/>
      <c r="CS193" s="122"/>
      <c r="CT193" s="122"/>
      <c r="CU193" s="122"/>
      <c r="CV193" s="122"/>
      <c r="CW193" s="122"/>
      <c r="CX193" s="122"/>
      <c r="CY193" s="122"/>
      <c r="CZ193" s="122"/>
      <c r="DA193" s="122"/>
      <c r="DB193" s="122"/>
      <c r="DC193" s="122"/>
      <c r="DD193" s="122"/>
      <c r="DE193" s="122"/>
      <c r="DF193" s="122"/>
      <c r="DG193" s="122"/>
      <c r="DH193" s="122"/>
      <c r="DI193" s="122"/>
      <c r="DJ193" s="122"/>
      <c r="DK193" s="122"/>
      <c r="DL193" s="122"/>
      <c r="DM193" s="122"/>
      <c r="DN193" s="122"/>
      <c r="DO193" s="122"/>
      <c r="DP193" s="122"/>
      <c r="DQ193" s="122"/>
      <c r="DR193" s="122"/>
      <c r="DS193" s="122"/>
      <c r="DT193" s="122"/>
      <c r="DU193" s="122"/>
      <c r="DV193" s="122"/>
      <c r="DW193" s="122"/>
      <c r="DX193" s="122"/>
      <c r="DY193" s="122"/>
      <c r="DZ193" s="122"/>
      <c r="EA193" s="122"/>
      <c r="EB193" s="122"/>
      <c r="EC193" s="122"/>
      <c r="ED193" s="122"/>
      <c r="EE193" s="122"/>
      <c r="EF193" s="122"/>
      <c r="EG193" s="122"/>
      <c r="EH193" s="122"/>
      <c r="EI193" s="122"/>
      <c r="EJ193" s="122"/>
      <c r="EK193" s="122"/>
      <c r="EL193" s="122"/>
      <c r="EM193" s="122"/>
      <c r="EN193" s="122"/>
      <c r="EO193" s="122"/>
      <c r="EP193" s="122"/>
      <c r="EQ193" s="122"/>
      <c r="ER193" s="122"/>
      <c r="ES193" s="122"/>
      <c r="ET193" s="122"/>
      <c r="EU193" s="122"/>
      <c r="EV193" s="122"/>
      <c r="EW193" s="122"/>
      <c r="EX193" s="122"/>
      <c r="EY193" s="122"/>
      <c r="EZ193" s="122"/>
      <c r="FA193" s="122"/>
      <c r="FB193" s="122"/>
      <c r="FC193" s="122"/>
      <c r="FD193" s="122"/>
      <c r="FE193" s="122"/>
      <c r="FF193" s="122"/>
      <c r="FG193" s="122"/>
      <c r="FH193" s="122"/>
      <c r="FI193" s="122"/>
      <c r="FJ193" s="122"/>
      <c r="FK193" s="122"/>
      <c r="FL193" s="122"/>
      <c r="FM193" s="122"/>
      <c r="FN193" s="122"/>
      <c r="FO193" s="122"/>
      <c r="FP193" s="122"/>
      <c r="FQ193" s="122"/>
      <c r="FR193" s="122"/>
      <c r="FS193" s="122"/>
      <c r="FT193" s="122"/>
      <c r="FU193" s="122"/>
      <c r="FV193" s="122"/>
      <c r="FW193" s="122"/>
      <c r="FX193" s="122"/>
      <c r="FY193" s="122"/>
      <c r="FZ193" s="122"/>
      <c r="GA193" s="122"/>
      <c r="GB193" s="122"/>
      <c r="GC193" s="122"/>
      <c r="GD193" s="122"/>
      <c r="GE193" s="122"/>
      <c r="GF193" s="122"/>
      <c r="GG193" s="122"/>
      <c r="GH193" s="122"/>
      <c r="GI193" s="122"/>
      <c r="GJ193" s="122"/>
      <c r="GK193" s="122"/>
      <c r="GL193" s="122"/>
      <c r="GM193" s="122"/>
      <c r="GN193" s="122"/>
      <c r="GO193" s="122"/>
      <c r="GP193" s="122"/>
      <c r="GQ193" s="122"/>
      <c r="GR193" s="122"/>
      <c r="GS193" s="122"/>
      <c r="GT193" s="122"/>
      <c r="GU193" s="122"/>
      <c r="GV193" s="122"/>
      <c r="GW193" s="122"/>
      <c r="GX193" s="122"/>
      <c r="GY193" s="122"/>
      <c r="GZ193" s="122"/>
      <c r="HA193" s="122"/>
      <c r="HB193" s="122"/>
      <c r="HC193" s="122"/>
      <c r="HD193" s="122"/>
      <c r="HE193" s="122"/>
      <c r="HF193" s="122"/>
      <c r="HG193" s="122"/>
      <c r="HH193" s="122"/>
      <c r="HI193" s="122"/>
      <c r="HJ193" s="122"/>
      <c r="HK193" s="122"/>
      <c r="HL193" s="122"/>
      <c r="HM193" s="122"/>
      <c r="HN193" s="122"/>
      <c r="HO193" s="122"/>
      <c r="HP193" s="122"/>
      <c r="HQ193" s="122"/>
      <c r="HR193" s="122"/>
      <c r="HS193" s="122"/>
      <c r="HT193" s="122"/>
      <c r="HU193" s="122"/>
      <c r="HV193" s="122"/>
      <c r="HW193" s="122"/>
      <c r="HX193" s="122"/>
      <c r="HY193" s="122"/>
      <c r="HZ193" s="122"/>
      <c r="IA193" s="122"/>
      <c r="IB193" s="122"/>
      <c r="IC193" s="122"/>
      <c r="ID193" s="122"/>
      <c r="IE193" s="122"/>
      <c r="IF193" s="122"/>
      <c r="IG193" s="122"/>
      <c r="IH193" s="122"/>
      <c r="II193" s="122"/>
      <c r="IJ193" s="122"/>
      <c r="IK193" s="122"/>
      <c r="IL193" s="122"/>
      <c r="IM193" s="122"/>
      <c r="IN193" s="122"/>
      <c r="IO193" s="122"/>
      <c r="IP193" s="122"/>
      <c r="IQ193" s="122"/>
      <c r="IR193" s="122"/>
      <c r="IS193" s="122"/>
      <c r="IT193" s="122"/>
      <c r="IU193" s="122"/>
      <c r="IV193" s="122"/>
      <c r="IW193" s="122"/>
      <c r="IX193" s="122"/>
      <c r="IY193" s="122"/>
      <c r="IZ193" s="122"/>
      <c r="JA193" s="122"/>
      <c r="JB193" s="122"/>
      <c r="JC193" s="122"/>
      <c r="JD193" s="122"/>
      <c r="JE193" s="122"/>
      <c r="JF193" s="122"/>
      <c r="JG193" s="122"/>
      <c r="JH193" s="122"/>
      <c r="JI193" s="119"/>
      <c r="JJ193" s="2"/>
      <c r="JK193" s="122"/>
      <c r="JL193" s="125"/>
      <c r="JM193" s="125"/>
      <c r="JN193" s="125"/>
      <c r="JO193" s="125"/>
      <c r="JP193" s="125"/>
    </row>
    <row r="194" spans="1:276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22"/>
      <c r="AS194" s="122"/>
      <c r="AT194" s="122"/>
      <c r="AU194" s="122"/>
      <c r="AV194" s="122"/>
      <c r="AW194" s="122"/>
      <c r="AX194" s="122"/>
      <c r="AY194" s="122"/>
      <c r="AZ194" s="122"/>
      <c r="BA194" s="122"/>
      <c r="BB194" s="122"/>
      <c r="BC194" s="122"/>
      <c r="BD194" s="122"/>
      <c r="BE194" s="122"/>
      <c r="BF194" s="122"/>
      <c r="BG194" s="122"/>
      <c r="BH194" s="122"/>
      <c r="BI194" s="122"/>
      <c r="BJ194" s="122"/>
      <c r="BK194" s="122"/>
      <c r="BL194" s="122"/>
      <c r="BM194" s="122"/>
      <c r="BN194" s="122"/>
      <c r="BO194" s="122"/>
      <c r="BP194" s="122"/>
      <c r="BQ194" s="122"/>
      <c r="BR194" s="122"/>
      <c r="BS194" s="122"/>
      <c r="BT194" s="122"/>
      <c r="BU194" s="122"/>
      <c r="BV194" s="122"/>
      <c r="BW194" s="122"/>
      <c r="BX194" s="122"/>
      <c r="BY194" s="122"/>
      <c r="BZ194" s="122"/>
      <c r="CA194" s="122"/>
      <c r="CB194" s="122"/>
      <c r="CC194" s="122"/>
      <c r="CD194" s="122"/>
      <c r="CE194" s="122"/>
      <c r="CF194" s="122"/>
      <c r="CG194" s="122"/>
      <c r="CH194" s="122"/>
      <c r="CI194" s="122"/>
      <c r="CJ194" s="122"/>
      <c r="CK194" s="122"/>
      <c r="CL194" s="122"/>
      <c r="CM194" s="122"/>
      <c r="CN194" s="122"/>
      <c r="CO194" s="122"/>
      <c r="CP194" s="122"/>
      <c r="CQ194" s="122"/>
      <c r="CR194" s="122"/>
      <c r="CS194" s="122"/>
      <c r="CT194" s="122"/>
      <c r="CU194" s="122"/>
      <c r="CV194" s="122"/>
      <c r="CW194" s="122"/>
      <c r="CX194" s="122"/>
      <c r="CY194" s="122"/>
      <c r="CZ194" s="122"/>
      <c r="DA194" s="122"/>
      <c r="DB194" s="122"/>
      <c r="DC194" s="122"/>
      <c r="DD194" s="122"/>
      <c r="DE194" s="122"/>
      <c r="DF194" s="122"/>
      <c r="DG194" s="122"/>
      <c r="DH194" s="122"/>
      <c r="DI194" s="122"/>
      <c r="DJ194" s="122"/>
      <c r="DK194" s="122"/>
      <c r="DL194" s="122"/>
      <c r="DM194" s="122"/>
      <c r="DN194" s="122"/>
      <c r="DO194" s="122"/>
      <c r="DP194" s="122"/>
      <c r="DQ194" s="122"/>
      <c r="DR194" s="122"/>
      <c r="DS194" s="122"/>
      <c r="DT194" s="122"/>
      <c r="DU194" s="122"/>
      <c r="DV194" s="122"/>
      <c r="DW194" s="122"/>
      <c r="DX194" s="122"/>
      <c r="DY194" s="122"/>
      <c r="DZ194" s="122"/>
      <c r="EA194" s="122"/>
      <c r="EB194" s="122"/>
      <c r="EC194" s="122"/>
      <c r="ED194" s="122"/>
      <c r="EE194" s="122"/>
      <c r="EF194" s="122"/>
      <c r="EG194" s="122"/>
      <c r="EH194" s="122"/>
      <c r="EI194" s="122"/>
      <c r="EJ194" s="122"/>
      <c r="EK194" s="122"/>
      <c r="EL194" s="122"/>
      <c r="EM194" s="122"/>
      <c r="EN194" s="122"/>
      <c r="EO194" s="122"/>
      <c r="EP194" s="122"/>
      <c r="EQ194" s="122"/>
      <c r="ER194" s="122"/>
      <c r="ES194" s="122"/>
      <c r="ET194" s="122"/>
      <c r="EU194" s="122"/>
      <c r="EV194" s="122"/>
      <c r="EW194" s="122"/>
      <c r="EX194" s="122"/>
      <c r="EY194" s="122"/>
      <c r="EZ194" s="122"/>
      <c r="FA194" s="122"/>
      <c r="FB194" s="122"/>
      <c r="FC194" s="122"/>
      <c r="FD194" s="122"/>
      <c r="FE194" s="122"/>
      <c r="FF194" s="122"/>
      <c r="FG194" s="122"/>
      <c r="FH194" s="122"/>
      <c r="FI194" s="122"/>
      <c r="FJ194" s="122"/>
      <c r="FK194" s="122"/>
      <c r="FL194" s="122"/>
      <c r="FM194" s="122"/>
      <c r="FN194" s="122"/>
      <c r="FO194" s="122"/>
      <c r="FP194" s="122"/>
      <c r="FQ194" s="122"/>
      <c r="FR194" s="122"/>
      <c r="FS194" s="122"/>
      <c r="FT194" s="122"/>
      <c r="FU194" s="122"/>
      <c r="FV194" s="122"/>
      <c r="FW194" s="122"/>
      <c r="FX194" s="122"/>
      <c r="FY194" s="122"/>
      <c r="FZ194" s="122"/>
      <c r="GA194" s="122"/>
      <c r="GB194" s="122"/>
      <c r="GC194" s="122"/>
      <c r="GD194" s="122"/>
      <c r="GE194" s="122"/>
      <c r="GF194" s="122"/>
      <c r="GG194" s="122"/>
      <c r="GH194" s="122"/>
      <c r="GI194" s="122"/>
      <c r="GJ194" s="122"/>
      <c r="GK194" s="122"/>
      <c r="GL194" s="122"/>
      <c r="GM194" s="122"/>
      <c r="GN194" s="122"/>
      <c r="GO194" s="122"/>
      <c r="GP194" s="122"/>
      <c r="GQ194" s="122"/>
      <c r="GR194" s="122"/>
      <c r="GS194" s="122"/>
      <c r="GT194" s="122"/>
      <c r="GU194" s="122"/>
      <c r="GV194" s="122"/>
      <c r="GW194" s="122"/>
      <c r="GX194" s="122"/>
      <c r="GY194" s="122"/>
      <c r="GZ194" s="122"/>
      <c r="HA194" s="122"/>
      <c r="HB194" s="122"/>
      <c r="HC194" s="122"/>
      <c r="HD194" s="122"/>
      <c r="HE194" s="122"/>
      <c r="HF194" s="122"/>
      <c r="HG194" s="122"/>
      <c r="HH194" s="122"/>
      <c r="HI194" s="122"/>
      <c r="HJ194" s="122"/>
      <c r="HK194" s="122"/>
      <c r="HL194" s="122"/>
      <c r="HM194" s="122"/>
      <c r="HN194" s="122"/>
      <c r="HO194" s="122"/>
      <c r="HP194" s="122"/>
      <c r="HQ194" s="122"/>
      <c r="HR194" s="122"/>
      <c r="HS194" s="122"/>
      <c r="HT194" s="122"/>
      <c r="HU194" s="122"/>
      <c r="HV194" s="122"/>
      <c r="HW194" s="122"/>
      <c r="HX194" s="122"/>
      <c r="HY194" s="122"/>
      <c r="HZ194" s="122"/>
      <c r="IA194" s="122"/>
      <c r="IB194" s="122"/>
      <c r="IC194" s="122"/>
      <c r="ID194" s="122"/>
      <c r="IE194" s="122"/>
      <c r="IF194" s="122"/>
      <c r="IG194" s="122"/>
      <c r="IH194" s="122"/>
      <c r="II194" s="122"/>
      <c r="IJ194" s="122"/>
      <c r="IK194" s="122"/>
      <c r="IL194" s="122"/>
      <c r="IM194" s="122"/>
      <c r="IN194" s="122"/>
      <c r="IO194" s="122"/>
      <c r="IP194" s="122"/>
      <c r="IQ194" s="122"/>
      <c r="IR194" s="122"/>
      <c r="IS194" s="122"/>
      <c r="IT194" s="122"/>
      <c r="IU194" s="122"/>
      <c r="IV194" s="122"/>
      <c r="IW194" s="122"/>
      <c r="IX194" s="122"/>
      <c r="IY194" s="122"/>
      <c r="IZ194" s="122"/>
      <c r="JA194" s="122"/>
      <c r="JB194" s="122"/>
      <c r="JC194" s="122"/>
      <c r="JD194" s="122"/>
      <c r="JE194" s="122"/>
      <c r="JF194" s="122"/>
      <c r="JG194" s="122"/>
      <c r="JH194" s="122"/>
      <c r="JI194" s="119"/>
      <c r="JJ194" s="2"/>
      <c r="JK194" s="122"/>
      <c r="JL194" s="125"/>
      <c r="JM194" s="125"/>
      <c r="JN194" s="125"/>
      <c r="JO194" s="125"/>
      <c r="JP194" s="125"/>
    </row>
    <row r="195" spans="1:276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  <c r="AR195" s="122"/>
      <c r="AS195" s="122"/>
      <c r="AT195" s="122"/>
      <c r="AU195" s="122"/>
      <c r="AV195" s="122"/>
      <c r="AW195" s="122"/>
      <c r="AX195" s="122"/>
      <c r="AY195" s="122"/>
      <c r="AZ195" s="122"/>
      <c r="BA195" s="122"/>
      <c r="BB195" s="122"/>
      <c r="BC195" s="122"/>
      <c r="BD195" s="122"/>
      <c r="BE195" s="122"/>
      <c r="BF195" s="122"/>
      <c r="BG195" s="122"/>
      <c r="BH195" s="122"/>
      <c r="BI195" s="122"/>
      <c r="BJ195" s="122"/>
      <c r="BK195" s="122"/>
      <c r="BL195" s="122"/>
      <c r="BM195" s="122"/>
      <c r="BN195" s="122"/>
      <c r="BO195" s="122"/>
      <c r="BP195" s="122"/>
      <c r="BQ195" s="122"/>
      <c r="BR195" s="122"/>
      <c r="BS195" s="122"/>
      <c r="BT195" s="122"/>
      <c r="BU195" s="122"/>
      <c r="BV195" s="122"/>
      <c r="BW195" s="122"/>
      <c r="BX195" s="122"/>
      <c r="BY195" s="122"/>
      <c r="BZ195" s="122"/>
      <c r="CA195" s="122"/>
      <c r="CB195" s="122"/>
      <c r="CC195" s="122"/>
      <c r="CD195" s="122"/>
      <c r="CE195" s="122"/>
      <c r="CF195" s="122"/>
      <c r="CG195" s="122"/>
      <c r="CH195" s="122"/>
      <c r="CI195" s="122"/>
      <c r="CJ195" s="122"/>
      <c r="CK195" s="122"/>
      <c r="CL195" s="122"/>
      <c r="CM195" s="122"/>
      <c r="CN195" s="122"/>
      <c r="CO195" s="122"/>
      <c r="CP195" s="122"/>
      <c r="CQ195" s="122"/>
      <c r="CR195" s="122"/>
      <c r="CS195" s="122"/>
      <c r="CT195" s="122"/>
      <c r="CU195" s="122"/>
      <c r="CV195" s="122"/>
      <c r="CW195" s="122"/>
      <c r="CX195" s="122"/>
      <c r="CY195" s="122"/>
      <c r="CZ195" s="122"/>
      <c r="DA195" s="122"/>
      <c r="DB195" s="122"/>
      <c r="DC195" s="122"/>
      <c r="DD195" s="122"/>
      <c r="DE195" s="122"/>
      <c r="DF195" s="122"/>
      <c r="DG195" s="122"/>
      <c r="DH195" s="122"/>
      <c r="DI195" s="122"/>
      <c r="DJ195" s="122"/>
      <c r="DK195" s="122"/>
      <c r="DL195" s="122"/>
      <c r="DM195" s="122"/>
      <c r="DN195" s="122"/>
      <c r="DO195" s="122"/>
      <c r="DP195" s="122"/>
      <c r="DQ195" s="122"/>
      <c r="DR195" s="122"/>
      <c r="DS195" s="122"/>
      <c r="DT195" s="122"/>
      <c r="DU195" s="122"/>
      <c r="DV195" s="122"/>
      <c r="DW195" s="122"/>
      <c r="DX195" s="122"/>
      <c r="DY195" s="122"/>
      <c r="DZ195" s="122"/>
      <c r="EA195" s="122"/>
      <c r="EB195" s="122"/>
      <c r="EC195" s="122"/>
      <c r="ED195" s="122"/>
      <c r="EE195" s="122"/>
      <c r="EF195" s="122"/>
      <c r="EG195" s="122"/>
      <c r="EH195" s="122"/>
      <c r="EI195" s="122"/>
      <c r="EJ195" s="122"/>
      <c r="EK195" s="122"/>
      <c r="EL195" s="122"/>
      <c r="EM195" s="122"/>
      <c r="EN195" s="122"/>
      <c r="EO195" s="122"/>
      <c r="EP195" s="122"/>
      <c r="EQ195" s="122"/>
      <c r="ER195" s="122"/>
      <c r="ES195" s="122"/>
      <c r="ET195" s="122"/>
      <c r="EU195" s="122"/>
      <c r="EV195" s="122"/>
      <c r="EW195" s="122"/>
      <c r="EX195" s="122"/>
      <c r="EY195" s="122"/>
      <c r="EZ195" s="122"/>
      <c r="FA195" s="122"/>
      <c r="FB195" s="122"/>
      <c r="FC195" s="122"/>
      <c r="FD195" s="122"/>
      <c r="FE195" s="122"/>
      <c r="FF195" s="122"/>
      <c r="FG195" s="122"/>
      <c r="FH195" s="122"/>
      <c r="FI195" s="122"/>
      <c r="FJ195" s="122"/>
      <c r="FK195" s="122"/>
      <c r="FL195" s="122"/>
      <c r="FM195" s="122"/>
      <c r="FN195" s="122"/>
      <c r="FO195" s="122"/>
      <c r="FP195" s="122"/>
      <c r="FQ195" s="122"/>
      <c r="FR195" s="122"/>
      <c r="FS195" s="122"/>
      <c r="FT195" s="122"/>
      <c r="FU195" s="122"/>
      <c r="FV195" s="122"/>
      <c r="FW195" s="122"/>
      <c r="FX195" s="122"/>
      <c r="FY195" s="122"/>
      <c r="FZ195" s="122"/>
      <c r="GA195" s="122"/>
      <c r="GB195" s="122"/>
      <c r="GC195" s="122"/>
      <c r="GD195" s="122"/>
      <c r="GE195" s="122"/>
      <c r="GF195" s="122"/>
      <c r="GG195" s="122"/>
      <c r="GH195" s="122"/>
      <c r="GI195" s="122"/>
      <c r="GJ195" s="122"/>
      <c r="GK195" s="122"/>
      <c r="GL195" s="122"/>
      <c r="GM195" s="122"/>
      <c r="GN195" s="122"/>
      <c r="GO195" s="122"/>
      <c r="GP195" s="122"/>
      <c r="GQ195" s="122"/>
      <c r="GR195" s="122"/>
      <c r="GS195" s="122"/>
      <c r="GT195" s="122"/>
      <c r="GU195" s="122"/>
      <c r="GV195" s="122"/>
      <c r="GW195" s="122"/>
      <c r="GX195" s="122"/>
      <c r="GY195" s="122"/>
      <c r="GZ195" s="122"/>
      <c r="HA195" s="122"/>
      <c r="HB195" s="122"/>
      <c r="HC195" s="122"/>
      <c r="HD195" s="122"/>
      <c r="HE195" s="122"/>
      <c r="HF195" s="122"/>
      <c r="HG195" s="122"/>
      <c r="HH195" s="122"/>
      <c r="HI195" s="122"/>
      <c r="HJ195" s="122"/>
      <c r="HK195" s="122"/>
      <c r="HL195" s="122"/>
      <c r="HM195" s="122"/>
      <c r="HN195" s="122"/>
      <c r="HO195" s="122"/>
      <c r="HP195" s="122"/>
      <c r="HQ195" s="122"/>
      <c r="HR195" s="122"/>
      <c r="HS195" s="122"/>
      <c r="HT195" s="122"/>
      <c r="HU195" s="122"/>
      <c r="HV195" s="122"/>
      <c r="HW195" s="122"/>
      <c r="HX195" s="122"/>
      <c r="HY195" s="122"/>
      <c r="HZ195" s="122"/>
      <c r="IA195" s="122"/>
      <c r="IB195" s="122"/>
      <c r="IC195" s="122"/>
      <c r="ID195" s="122"/>
      <c r="IE195" s="122"/>
      <c r="IF195" s="122"/>
      <c r="IG195" s="122"/>
      <c r="IH195" s="122"/>
      <c r="II195" s="122"/>
      <c r="IJ195" s="122"/>
      <c r="IK195" s="122"/>
      <c r="IL195" s="122"/>
      <c r="IM195" s="122"/>
      <c r="IN195" s="122"/>
      <c r="IO195" s="122"/>
      <c r="IP195" s="122"/>
      <c r="IQ195" s="122"/>
      <c r="IR195" s="122"/>
      <c r="IS195" s="122"/>
      <c r="IT195" s="122"/>
      <c r="IU195" s="122"/>
      <c r="IV195" s="122"/>
      <c r="IW195" s="122"/>
      <c r="IX195" s="122"/>
      <c r="IY195" s="122"/>
      <c r="IZ195" s="122"/>
      <c r="JA195" s="122"/>
      <c r="JB195" s="122"/>
      <c r="JC195" s="122"/>
      <c r="JD195" s="122"/>
      <c r="JE195" s="122"/>
      <c r="JF195" s="122"/>
      <c r="JG195" s="122"/>
      <c r="JH195" s="122"/>
      <c r="JI195" s="119"/>
      <c r="JJ195" s="2"/>
      <c r="JK195" s="122"/>
      <c r="JL195" s="125"/>
      <c r="JM195" s="125"/>
      <c r="JN195" s="125"/>
      <c r="JO195" s="125"/>
      <c r="JP195" s="125"/>
    </row>
    <row r="196" spans="1:27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/>
      <c r="AS196" s="122"/>
      <c r="AT196" s="122"/>
      <c r="AU196" s="122"/>
      <c r="AV196" s="122"/>
      <c r="AW196" s="122"/>
      <c r="AX196" s="122"/>
      <c r="AY196" s="122"/>
      <c r="AZ196" s="122"/>
      <c r="BA196" s="122"/>
      <c r="BB196" s="122"/>
      <c r="BC196" s="122"/>
      <c r="BD196" s="122"/>
      <c r="BE196" s="122"/>
      <c r="BF196" s="122"/>
      <c r="BG196" s="122"/>
      <c r="BH196" s="122"/>
      <c r="BI196" s="122"/>
      <c r="BJ196" s="122"/>
      <c r="BK196" s="122"/>
      <c r="BL196" s="122"/>
      <c r="BM196" s="122"/>
      <c r="BN196" s="122"/>
      <c r="BO196" s="122"/>
      <c r="BP196" s="122"/>
      <c r="BQ196" s="122"/>
      <c r="BR196" s="122"/>
      <c r="BS196" s="122"/>
      <c r="BT196" s="122"/>
      <c r="BU196" s="122"/>
      <c r="BV196" s="122"/>
      <c r="BW196" s="122"/>
      <c r="BX196" s="122"/>
      <c r="BY196" s="122"/>
      <c r="BZ196" s="122"/>
      <c r="CA196" s="122"/>
      <c r="CB196" s="122"/>
      <c r="CC196" s="122"/>
      <c r="CD196" s="122"/>
      <c r="CE196" s="122"/>
      <c r="CF196" s="122"/>
      <c r="CG196" s="122"/>
      <c r="CH196" s="122"/>
      <c r="CI196" s="122"/>
      <c r="CJ196" s="122"/>
      <c r="CK196" s="122"/>
      <c r="CL196" s="122"/>
      <c r="CM196" s="122"/>
      <c r="CN196" s="122"/>
      <c r="CO196" s="122"/>
      <c r="CP196" s="122"/>
      <c r="CQ196" s="122"/>
      <c r="CR196" s="122"/>
      <c r="CS196" s="122"/>
      <c r="CT196" s="122"/>
      <c r="CU196" s="122"/>
      <c r="CV196" s="122"/>
      <c r="CW196" s="122"/>
      <c r="CX196" s="122"/>
      <c r="CY196" s="122"/>
      <c r="CZ196" s="122"/>
      <c r="DA196" s="122"/>
      <c r="DB196" s="122"/>
      <c r="DC196" s="122"/>
      <c r="DD196" s="122"/>
      <c r="DE196" s="122"/>
      <c r="DF196" s="122"/>
      <c r="DG196" s="122"/>
      <c r="DH196" s="122"/>
      <c r="DI196" s="122"/>
      <c r="DJ196" s="122"/>
      <c r="DK196" s="122"/>
      <c r="DL196" s="122"/>
      <c r="DM196" s="122"/>
      <c r="DN196" s="122"/>
      <c r="DO196" s="122"/>
      <c r="DP196" s="122"/>
      <c r="DQ196" s="122"/>
      <c r="DR196" s="122"/>
      <c r="DS196" s="122"/>
      <c r="DT196" s="122"/>
      <c r="DU196" s="122"/>
      <c r="DV196" s="122"/>
      <c r="DW196" s="122"/>
      <c r="DX196" s="122"/>
      <c r="DY196" s="122"/>
      <c r="DZ196" s="122"/>
      <c r="EA196" s="122"/>
      <c r="EB196" s="122"/>
      <c r="EC196" s="122"/>
      <c r="ED196" s="122"/>
      <c r="EE196" s="122"/>
      <c r="EF196" s="122"/>
      <c r="EG196" s="122"/>
      <c r="EH196" s="122"/>
      <c r="EI196" s="122"/>
      <c r="EJ196" s="122"/>
      <c r="EK196" s="122"/>
      <c r="EL196" s="122"/>
      <c r="EM196" s="122"/>
      <c r="EN196" s="122"/>
      <c r="EO196" s="122"/>
      <c r="EP196" s="122"/>
      <c r="EQ196" s="122"/>
      <c r="ER196" s="122"/>
      <c r="ES196" s="122"/>
      <c r="ET196" s="122"/>
      <c r="EU196" s="122"/>
      <c r="EV196" s="122"/>
      <c r="EW196" s="122"/>
      <c r="EX196" s="122"/>
      <c r="EY196" s="122"/>
      <c r="EZ196" s="122"/>
      <c r="FA196" s="122"/>
      <c r="FB196" s="122"/>
      <c r="FC196" s="122"/>
      <c r="FD196" s="122"/>
      <c r="FE196" s="122"/>
      <c r="FF196" s="122"/>
      <c r="FG196" s="122"/>
      <c r="FH196" s="122"/>
      <c r="FI196" s="122"/>
      <c r="FJ196" s="122"/>
      <c r="FK196" s="122"/>
      <c r="FL196" s="122"/>
      <c r="FM196" s="122"/>
      <c r="FN196" s="122"/>
      <c r="FO196" s="122"/>
      <c r="FP196" s="122"/>
      <c r="FQ196" s="122"/>
      <c r="FR196" s="122"/>
      <c r="FS196" s="122"/>
      <c r="FT196" s="122"/>
      <c r="FU196" s="122"/>
      <c r="FV196" s="122"/>
      <c r="FW196" s="122"/>
      <c r="FX196" s="122"/>
      <c r="FY196" s="122"/>
      <c r="FZ196" s="122"/>
      <c r="GA196" s="122"/>
      <c r="GB196" s="122"/>
      <c r="GC196" s="122"/>
      <c r="GD196" s="122"/>
      <c r="GE196" s="122"/>
      <c r="GF196" s="122"/>
      <c r="GG196" s="122"/>
      <c r="GH196" s="122"/>
      <c r="GI196" s="122"/>
      <c r="GJ196" s="122"/>
      <c r="GK196" s="122"/>
      <c r="GL196" s="122"/>
      <c r="GM196" s="122"/>
      <c r="GN196" s="122"/>
      <c r="GO196" s="122"/>
      <c r="GP196" s="122"/>
      <c r="GQ196" s="122"/>
      <c r="GR196" s="122"/>
      <c r="GS196" s="122"/>
      <c r="GT196" s="122"/>
      <c r="GU196" s="122"/>
      <c r="GV196" s="122"/>
      <c r="GW196" s="122"/>
      <c r="GX196" s="122"/>
      <c r="GY196" s="122"/>
      <c r="GZ196" s="122"/>
      <c r="HA196" s="122"/>
      <c r="HB196" s="122"/>
      <c r="HC196" s="122"/>
      <c r="HD196" s="122"/>
      <c r="HE196" s="122"/>
      <c r="HF196" s="122"/>
      <c r="HG196" s="122"/>
      <c r="HH196" s="122"/>
      <c r="HI196" s="122"/>
      <c r="HJ196" s="122"/>
      <c r="HK196" s="122"/>
      <c r="HL196" s="122"/>
      <c r="HM196" s="122"/>
      <c r="HN196" s="122"/>
      <c r="HO196" s="122"/>
      <c r="HP196" s="122"/>
      <c r="HQ196" s="122"/>
      <c r="HR196" s="122"/>
      <c r="HS196" s="122"/>
      <c r="HT196" s="122"/>
      <c r="HU196" s="122"/>
      <c r="HV196" s="122"/>
      <c r="HW196" s="122"/>
      <c r="HX196" s="122"/>
      <c r="HY196" s="122"/>
      <c r="HZ196" s="122"/>
      <c r="IA196" s="122"/>
      <c r="IB196" s="122"/>
      <c r="IC196" s="122"/>
      <c r="ID196" s="122"/>
      <c r="IE196" s="122"/>
      <c r="IF196" s="122"/>
      <c r="IG196" s="122"/>
      <c r="IH196" s="122"/>
      <c r="II196" s="122"/>
      <c r="IJ196" s="122"/>
      <c r="IK196" s="122"/>
      <c r="IL196" s="122"/>
      <c r="IM196" s="122"/>
      <c r="IN196" s="122"/>
      <c r="IO196" s="122"/>
      <c r="IP196" s="122"/>
      <c r="IQ196" s="122"/>
      <c r="IR196" s="122"/>
      <c r="IS196" s="122"/>
      <c r="IT196" s="122"/>
      <c r="IU196" s="122"/>
      <c r="IV196" s="122"/>
      <c r="IW196" s="122"/>
      <c r="IX196" s="122"/>
      <c r="IY196" s="122"/>
      <c r="IZ196" s="122"/>
      <c r="JA196" s="122"/>
      <c r="JB196" s="122"/>
      <c r="JC196" s="122"/>
      <c r="JD196" s="122"/>
      <c r="JE196" s="122"/>
      <c r="JF196" s="122"/>
      <c r="JG196" s="122"/>
      <c r="JH196" s="122"/>
      <c r="JI196" s="119"/>
      <c r="JJ196" s="2"/>
      <c r="JK196" s="122"/>
      <c r="JL196" s="125"/>
      <c r="JM196" s="125"/>
      <c r="JN196" s="125"/>
      <c r="JO196" s="125"/>
      <c r="JP196" s="125"/>
    </row>
    <row r="197" spans="1:276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s="122"/>
      <c r="AV197" s="122"/>
      <c r="AW197" s="122"/>
      <c r="AX197" s="122"/>
      <c r="AY197" s="122"/>
      <c r="AZ197" s="122"/>
      <c r="BA197" s="122"/>
      <c r="BB197" s="122"/>
      <c r="BC197" s="122"/>
      <c r="BD197" s="122"/>
      <c r="BE197" s="122"/>
      <c r="BF197" s="122"/>
      <c r="BG197" s="122"/>
      <c r="BH197" s="122"/>
      <c r="BI197" s="122"/>
      <c r="BJ197" s="122"/>
      <c r="BK197" s="122"/>
      <c r="BL197" s="122"/>
      <c r="BM197" s="122"/>
      <c r="BN197" s="122"/>
      <c r="BO197" s="122"/>
      <c r="BP197" s="122"/>
      <c r="BQ197" s="122"/>
      <c r="BR197" s="122"/>
      <c r="BS197" s="122"/>
      <c r="BT197" s="122"/>
      <c r="BU197" s="122"/>
      <c r="BV197" s="122"/>
      <c r="BW197" s="122"/>
      <c r="BX197" s="122"/>
      <c r="BY197" s="122"/>
      <c r="BZ197" s="122"/>
      <c r="CA197" s="122"/>
      <c r="CB197" s="122"/>
      <c r="CC197" s="122"/>
      <c r="CD197" s="122"/>
      <c r="CE197" s="122"/>
      <c r="CF197" s="122"/>
      <c r="CG197" s="122"/>
      <c r="CH197" s="122"/>
      <c r="CI197" s="122"/>
      <c r="CJ197" s="122"/>
      <c r="CK197" s="122"/>
      <c r="CL197" s="122"/>
      <c r="CM197" s="122"/>
      <c r="CN197" s="122"/>
      <c r="CO197" s="122"/>
      <c r="CP197" s="122"/>
      <c r="CQ197" s="122"/>
      <c r="CR197" s="122"/>
      <c r="CS197" s="122"/>
      <c r="CT197" s="122"/>
      <c r="CU197" s="122"/>
      <c r="CV197" s="122"/>
      <c r="CW197" s="122"/>
      <c r="CX197" s="122"/>
      <c r="CY197" s="122"/>
      <c r="CZ197" s="122"/>
      <c r="DA197" s="122"/>
      <c r="DB197" s="122"/>
      <c r="DC197" s="122"/>
      <c r="DD197" s="122"/>
      <c r="DE197" s="122"/>
      <c r="DF197" s="122"/>
      <c r="DG197" s="122"/>
      <c r="DH197" s="122"/>
      <c r="DI197" s="122"/>
      <c r="DJ197" s="122"/>
      <c r="DK197" s="122"/>
      <c r="DL197" s="122"/>
      <c r="DM197" s="122"/>
      <c r="DN197" s="122"/>
      <c r="DO197" s="122"/>
      <c r="DP197" s="122"/>
      <c r="DQ197" s="122"/>
      <c r="DR197" s="122"/>
      <c r="DS197" s="122"/>
      <c r="DT197" s="122"/>
      <c r="DU197" s="122"/>
      <c r="DV197" s="122"/>
      <c r="DW197" s="122"/>
      <c r="DX197" s="122"/>
      <c r="DY197" s="122"/>
      <c r="DZ197" s="122"/>
      <c r="EA197" s="122"/>
      <c r="EB197" s="122"/>
      <c r="EC197" s="122"/>
      <c r="ED197" s="122"/>
      <c r="EE197" s="122"/>
      <c r="EF197" s="122"/>
      <c r="EG197" s="122"/>
      <c r="EH197" s="122"/>
      <c r="EI197" s="122"/>
      <c r="EJ197" s="122"/>
      <c r="EK197" s="122"/>
      <c r="EL197" s="122"/>
      <c r="EM197" s="122"/>
      <c r="EN197" s="122"/>
      <c r="EO197" s="122"/>
      <c r="EP197" s="122"/>
      <c r="EQ197" s="122"/>
      <c r="ER197" s="122"/>
      <c r="ES197" s="122"/>
      <c r="ET197" s="122"/>
      <c r="EU197" s="122"/>
      <c r="EV197" s="122"/>
      <c r="EW197" s="122"/>
      <c r="EX197" s="122"/>
      <c r="EY197" s="122"/>
      <c r="EZ197" s="122"/>
      <c r="FA197" s="122"/>
      <c r="FB197" s="122"/>
      <c r="FC197" s="122"/>
      <c r="FD197" s="122"/>
      <c r="FE197" s="122"/>
      <c r="FF197" s="122"/>
      <c r="FG197" s="122"/>
      <c r="FH197" s="122"/>
      <c r="FI197" s="122"/>
      <c r="FJ197" s="122"/>
      <c r="FK197" s="122"/>
      <c r="FL197" s="122"/>
      <c r="FM197" s="122"/>
      <c r="FN197" s="122"/>
      <c r="FO197" s="122"/>
      <c r="FP197" s="122"/>
      <c r="FQ197" s="122"/>
      <c r="FR197" s="122"/>
      <c r="FS197" s="122"/>
      <c r="FT197" s="122"/>
      <c r="FU197" s="122"/>
      <c r="FV197" s="122"/>
      <c r="FW197" s="122"/>
      <c r="FX197" s="122"/>
      <c r="FY197" s="122"/>
      <c r="FZ197" s="122"/>
      <c r="GA197" s="122"/>
      <c r="GB197" s="122"/>
      <c r="GC197" s="122"/>
      <c r="GD197" s="122"/>
      <c r="GE197" s="122"/>
      <c r="GF197" s="122"/>
      <c r="GG197" s="122"/>
      <c r="GH197" s="122"/>
      <c r="GI197" s="122"/>
      <c r="GJ197" s="122"/>
      <c r="GK197" s="122"/>
      <c r="GL197" s="122"/>
      <c r="GM197" s="122"/>
      <c r="GN197" s="122"/>
      <c r="GO197" s="122"/>
      <c r="GP197" s="122"/>
      <c r="GQ197" s="122"/>
      <c r="GR197" s="122"/>
      <c r="GS197" s="122"/>
      <c r="GT197" s="122"/>
      <c r="GU197" s="122"/>
      <c r="GV197" s="122"/>
      <c r="GW197" s="122"/>
      <c r="GX197" s="122"/>
      <c r="GY197" s="122"/>
      <c r="GZ197" s="122"/>
      <c r="HA197" s="122"/>
      <c r="HB197" s="122"/>
      <c r="HC197" s="122"/>
      <c r="HD197" s="122"/>
      <c r="HE197" s="122"/>
      <c r="HF197" s="122"/>
      <c r="HG197" s="122"/>
      <c r="HH197" s="122"/>
      <c r="HI197" s="122"/>
      <c r="HJ197" s="122"/>
      <c r="HK197" s="122"/>
      <c r="HL197" s="122"/>
      <c r="HM197" s="122"/>
      <c r="HN197" s="122"/>
      <c r="HO197" s="122"/>
      <c r="HP197" s="122"/>
      <c r="HQ197" s="122"/>
      <c r="HR197" s="122"/>
      <c r="HS197" s="122"/>
      <c r="HT197" s="122"/>
      <c r="HU197" s="122"/>
      <c r="HV197" s="122"/>
      <c r="HW197" s="122"/>
      <c r="HX197" s="122"/>
      <c r="HY197" s="122"/>
      <c r="HZ197" s="122"/>
      <c r="IA197" s="122"/>
      <c r="IB197" s="122"/>
      <c r="IC197" s="122"/>
      <c r="ID197" s="122"/>
      <c r="IE197" s="122"/>
      <c r="IF197" s="122"/>
      <c r="IG197" s="122"/>
      <c r="IH197" s="122"/>
      <c r="II197" s="122"/>
      <c r="IJ197" s="122"/>
      <c r="IK197" s="122"/>
      <c r="IL197" s="122"/>
      <c r="IM197" s="122"/>
      <c r="IN197" s="122"/>
      <c r="IO197" s="122"/>
      <c r="IP197" s="122"/>
      <c r="IQ197" s="122"/>
      <c r="IR197" s="122"/>
      <c r="IS197" s="122"/>
      <c r="IT197" s="122"/>
      <c r="IU197" s="122"/>
      <c r="IV197" s="122"/>
      <c r="IW197" s="122"/>
      <c r="IX197" s="122"/>
      <c r="IY197" s="122"/>
      <c r="IZ197" s="122"/>
      <c r="JA197" s="122"/>
      <c r="JB197" s="122"/>
      <c r="JC197" s="122"/>
      <c r="JD197" s="122"/>
      <c r="JE197" s="122"/>
      <c r="JF197" s="122"/>
      <c r="JG197" s="122"/>
      <c r="JH197" s="122"/>
      <c r="JI197" s="119"/>
      <c r="JJ197" s="2"/>
      <c r="JK197" s="122"/>
      <c r="JL197" s="125"/>
      <c r="JM197" s="125"/>
      <c r="JN197" s="125"/>
      <c r="JO197" s="125"/>
      <c r="JP197" s="125"/>
    </row>
    <row r="198" spans="1:276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  <c r="AT198" s="122"/>
      <c r="AU198" s="122"/>
      <c r="AV198" s="122"/>
      <c r="AW198" s="122"/>
      <c r="AX198" s="122"/>
      <c r="AY198" s="122"/>
      <c r="AZ198" s="122"/>
      <c r="BA198" s="122"/>
      <c r="BB198" s="122"/>
      <c r="BC198" s="122"/>
      <c r="BD198" s="122"/>
      <c r="BE198" s="122"/>
      <c r="BF198" s="122"/>
      <c r="BG198" s="122"/>
      <c r="BH198" s="122"/>
      <c r="BI198" s="122"/>
      <c r="BJ198" s="122"/>
      <c r="BK198" s="122"/>
      <c r="BL198" s="122"/>
      <c r="BM198" s="122"/>
      <c r="BN198" s="122"/>
      <c r="BO198" s="122"/>
      <c r="BP198" s="122"/>
      <c r="BQ198" s="122"/>
      <c r="BR198" s="122"/>
      <c r="BS198" s="122"/>
      <c r="BT198" s="122"/>
      <c r="BU198" s="122"/>
      <c r="BV198" s="122"/>
      <c r="BW198" s="122"/>
      <c r="BX198" s="122"/>
      <c r="BY198" s="122"/>
      <c r="BZ198" s="122"/>
      <c r="CA198" s="122"/>
      <c r="CB198" s="122"/>
      <c r="CC198" s="122"/>
      <c r="CD198" s="122"/>
      <c r="CE198" s="122"/>
      <c r="CF198" s="122"/>
      <c r="CG198" s="122"/>
      <c r="CH198" s="122"/>
      <c r="CI198" s="122"/>
      <c r="CJ198" s="122"/>
      <c r="CK198" s="122"/>
      <c r="CL198" s="122"/>
      <c r="CM198" s="122"/>
      <c r="CN198" s="122"/>
      <c r="CO198" s="122"/>
      <c r="CP198" s="122"/>
      <c r="CQ198" s="122"/>
      <c r="CR198" s="122"/>
      <c r="CS198" s="122"/>
      <c r="CT198" s="122"/>
      <c r="CU198" s="122"/>
      <c r="CV198" s="122"/>
      <c r="CW198" s="122"/>
      <c r="CX198" s="122"/>
      <c r="CY198" s="122"/>
      <c r="CZ198" s="122"/>
      <c r="DA198" s="122"/>
      <c r="DB198" s="122"/>
      <c r="DC198" s="122"/>
      <c r="DD198" s="122"/>
      <c r="DE198" s="122"/>
      <c r="DF198" s="122"/>
      <c r="DG198" s="122"/>
      <c r="DH198" s="122"/>
      <c r="DI198" s="122"/>
      <c r="DJ198" s="122"/>
      <c r="DK198" s="122"/>
      <c r="DL198" s="122"/>
      <c r="DM198" s="122"/>
      <c r="DN198" s="122"/>
      <c r="DO198" s="122"/>
      <c r="DP198" s="122"/>
      <c r="DQ198" s="122"/>
      <c r="DR198" s="122"/>
      <c r="DS198" s="122"/>
      <c r="DT198" s="122"/>
      <c r="DU198" s="122"/>
      <c r="DV198" s="122"/>
      <c r="DW198" s="122"/>
      <c r="DX198" s="122"/>
      <c r="DY198" s="122"/>
      <c r="DZ198" s="122"/>
      <c r="EA198" s="122"/>
      <c r="EB198" s="122"/>
      <c r="EC198" s="122"/>
      <c r="ED198" s="122"/>
      <c r="EE198" s="122"/>
      <c r="EF198" s="122"/>
      <c r="EG198" s="122"/>
      <c r="EH198" s="122"/>
      <c r="EI198" s="122"/>
      <c r="EJ198" s="122"/>
      <c r="EK198" s="122"/>
      <c r="EL198" s="122"/>
      <c r="EM198" s="122"/>
      <c r="EN198" s="122"/>
      <c r="EO198" s="122"/>
      <c r="EP198" s="122"/>
      <c r="EQ198" s="122"/>
      <c r="ER198" s="122"/>
      <c r="ES198" s="122"/>
      <c r="ET198" s="122"/>
      <c r="EU198" s="122"/>
      <c r="EV198" s="122"/>
      <c r="EW198" s="122"/>
      <c r="EX198" s="122"/>
      <c r="EY198" s="122"/>
      <c r="EZ198" s="122"/>
      <c r="FA198" s="122"/>
      <c r="FB198" s="122"/>
      <c r="FC198" s="122"/>
      <c r="FD198" s="122"/>
      <c r="FE198" s="122"/>
      <c r="FF198" s="122"/>
      <c r="FG198" s="122"/>
      <c r="FH198" s="122"/>
      <c r="FI198" s="122"/>
      <c r="FJ198" s="122"/>
      <c r="FK198" s="122"/>
      <c r="FL198" s="122"/>
      <c r="FM198" s="122"/>
      <c r="FN198" s="122"/>
      <c r="FO198" s="122"/>
      <c r="FP198" s="122"/>
      <c r="FQ198" s="122"/>
      <c r="FR198" s="122"/>
      <c r="FS198" s="122"/>
      <c r="FT198" s="122"/>
      <c r="FU198" s="122"/>
      <c r="FV198" s="122"/>
      <c r="FW198" s="122"/>
      <c r="FX198" s="122"/>
      <c r="FY198" s="122"/>
      <c r="FZ198" s="122"/>
      <c r="GA198" s="122"/>
      <c r="GB198" s="122"/>
      <c r="GC198" s="122"/>
      <c r="GD198" s="122"/>
      <c r="GE198" s="122"/>
      <c r="GF198" s="122"/>
      <c r="GG198" s="122"/>
      <c r="GH198" s="122"/>
      <c r="GI198" s="122"/>
      <c r="GJ198" s="122"/>
      <c r="GK198" s="122"/>
      <c r="GL198" s="122"/>
      <c r="GM198" s="122"/>
      <c r="GN198" s="122"/>
      <c r="GO198" s="122"/>
      <c r="GP198" s="122"/>
      <c r="GQ198" s="122"/>
      <c r="GR198" s="122"/>
      <c r="GS198" s="122"/>
      <c r="GT198" s="122"/>
      <c r="GU198" s="122"/>
      <c r="GV198" s="122"/>
      <c r="GW198" s="122"/>
      <c r="GX198" s="122"/>
      <c r="GY198" s="122"/>
      <c r="GZ198" s="122"/>
      <c r="HA198" s="122"/>
      <c r="HB198" s="122"/>
      <c r="HC198" s="122"/>
      <c r="HD198" s="122"/>
      <c r="HE198" s="122"/>
      <c r="HF198" s="122"/>
      <c r="HG198" s="122"/>
      <c r="HH198" s="122"/>
      <c r="HI198" s="122"/>
      <c r="HJ198" s="122"/>
      <c r="HK198" s="122"/>
      <c r="HL198" s="122"/>
      <c r="HM198" s="122"/>
      <c r="HN198" s="122"/>
      <c r="HO198" s="122"/>
      <c r="HP198" s="122"/>
      <c r="HQ198" s="122"/>
      <c r="HR198" s="122"/>
      <c r="HS198" s="122"/>
      <c r="HT198" s="122"/>
      <c r="HU198" s="122"/>
      <c r="HV198" s="122"/>
      <c r="HW198" s="122"/>
      <c r="HX198" s="122"/>
      <c r="HY198" s="122"/>
      <c r="HZ198" s="122"/>
      <c r="IA198" s="122"/>
      <c r="IB198" s="122"/>
      <c r="IC198" s="122"/>
      <c r="ID198" s="122"/>
      <c r="IE198" s="122"/>
      <c r="IF198" s="122"/>
      <c r="IG198" s="122"/>
      <c r="IH198" s="122"/>
      <c r="II198" s="122"/>
      <c r="IJ198" s="122"/>
      <c r="IK198" s="122"/>
      <c r="IL198" s="122"/>
      <c r="IM198" s="122"/>
      <c r="IN198" s="122"/>
      <c r="IO198" s="122"/>
      <c r="IP198" s="122"/>
      <c r="IQ198" s="122"/>
      <c r="IR198" s="122"/>
      <c r="IS198" s="122"/>
      <c r="IT198" s="122"/>
      <c r="IU198" s="122"/>
      <c r="IV198" s="122"/>
      <c r="IW198" s="122"/>
      <c r="IX198" s="122"/>
      <c r="IY198" s="122"/>
      <c r="IZ198" s="122"/>
      <c r="JA198" s="122"/>
      <c r="JB198" s="122"/>
      <c r="JC198" s="122"/>
      <c r="JD198" s="122"/>
      <c r="JE198" s="122"/>
      <c r="JF198" s="122"/>
      <c r="JG198" s="122"/>
      <c r="JH198" s="122"/>
      <c r="JI198" s="119"/>
      <c r="JJ198" s="2"/>
      <c r="JK198" s="122"/>
      <c r="JL198" s="125"/>
      <c r="JM198" s="125"/>
      <c r="JN198" s="125"/>
      <c r="JO198" s="125"/>
      <c r="JP198" s="125"/>
    </row>
    <row r="199" spans="1:276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  <c r="AT199" s="122"/>
      <c r="AU199" s="122"/>
      <c r="AV199" s="122"/>
      <c r="AW199" s="122"/>
      <c r="AX199" s="122"/>
      <c r="AY199" s="122"/>
      <c r="AZ199" s="122"/>
      <c r="BA199" s="122"/>
      <c r="BB199" s="122"/>
      <c r="BC199" s="122"/>
      <c r="BD199" s="122"/>
      <c r="BE199" s="122"/>
      <c r="BF199" s="122"/>
      <c r="BG199" s="122"/>
      <c r="BH199" s="122"/>
      <c r="BI199" s="122"/>
      <c r="BJ199" s="122"/>
      <c r="BK199" s="122"/>
      <c r="BL199" s="122"/>
      <c r="BM199" s="122"/>
      <c r="BN199" s="122"/>
      <c r="BO199" s="122"/>
      <c r="BP199" s="122"/>
      <c r="BQ199" s="122"/>
      <c r="BR199" s="122"/>
      <c r="BS199" s="122"/>
      <c r="BT199" s="122"/>
      <c r="BU199" s="122"/>
      <c r="BV199" s="122"/>
      <c r="BW199" s="122"/>
      <c r="BX199" s="122"/>
      <c r="BY199" s="122"/>
      <c r="BZ199" s="122"/>
      <c r="CA199" s="122"/>
      <c r="CB199" s="122"/>
      <c r="CC199" s="122"/>
      <c r="CD199" s="122"/>
      <c r="CE199" s="122"/>
      <c r="CF199" s="122"/>
      <c r="CG199" s="122"/>
      <c r="CH199" s="122"/>
      <c r="CI199" s="122"/>
      <c r="CJ199" s="122"/>
      <c r="CK199" s="122"/>
      <c r="CL199" s="122"/>
      <c r="CM199" s="122"/>
      <c r="CN199" s="122"/>
      <c r="CO199" s="122"/>
      <c r="CP199" s="122"/>
      <c r="CQ199" s="122"/>
      <c r="CR199" s="122"/>
      <c r="CS199" s="122"/>
      <c r="CT199" s="122"/>
      <c r="CU199" s="122"/>
      <c r="CV199" s="122"/>
      <c r="CW199" s="122"/>
      <c r="CX199" s="122"/>
      <c r="CY199" s="122"/>
      <c r="CZ199" s="122"/>
      <c r="DA199" s="122"/>
      <c r="DB199" s="122"/>
      <c r="DC199" s="122"/>
      <c r="DD199" s="122"/>
      <c r="DE199" s="122"/>
      <c r="DF199" s="122"/>
      <c r="DG199" s="122"/>
      <c r="DH199" s="122"/>
      <c r="DI199" s="122"/>
      <c r="DJ199" s="122"/>
      <c r="DK199" s="122"/>
      <c r="DL199" s="122"/>
      <c r="DM199" s="122"/>
      <c r="DN199" s="122"/>
      <c r="DO199" s="122"/>
      <c r="DP199" s="122"/>
      <c r="DQ199" s="122"/>
      <c r="DR199" s="122"/>
      <c r="DS199" s="122"/>
      <c r="DT199" s="122"/>
      <c r="DU199" s="122"/>
      <c r="DV199" s="122"/>
      <c r="DW199" s="122"/>
      <c r="DX199" s="122"/>
      <c r="DY199" s="122"/>
      <c r="DZ199" s="122"/>
      <c r="EA199" s="122"/>
      <c r="EB199" s="122"/>
      <c r="EC199" s="122"/>
      <c r="ED199" s="122"/>
      <c r="EE199" s="122"/>
      <c r="EF199" s="122"/>
      <c r="EG199" s="122"/>
      <c r="EH199" s="122"/>
      <c r="EI199" s="122"/>
      <c r="EJ199" s="122"/>
      <c r="EK199" s="122"/>
      <c r="EL199" s="122"/>
      <c r="EM199" s="122"/>
      <c r="EN199" s="122"/>
      <c r="EO199" s="122"/>
      <c r="EP199" s="122"/>
      <c r="EQ199" s="122"/>
      <c r="ER199" s="122"/>
      <c r="ES199" s="122"/>
      <c r="ET199" s="122"/>
      <c r="EU199" s="122"/>
      <c r="EV199" s="122"/>
      <c r="EW199" s="122"/>
      <c r="EX199" s="122"/>
      <c r="EY199" s="122"/>
      <c r="EZ199" s="122"/>
      <c r="FA199" s="122"/>
      <c r="FB199" s="122"/>
      <c r="FC199" s="122"/>
      <c r="FD199" s="122"/>
      <c r="FE199" s="122"/>
      <c r="FF199" s="122"/>
      <c r="FG199" s="122"/>
      <c r="FH199" s="122"/>
      <c r="FI199" s="122"/>
      <c r="FJ199" s="122"/>
      <c r="FK199" s="122"/>
      <c r="FL199" s="122"/>
      <c r="FM199" s="122"/>
      <c r="FN199" s="122"/>
      <c r="FO199" s="122"/>
      <c r="FP199" s="122"/>
      <c r="FQ199" s="122"/>
      <c r="FR199" s="122"/>
      <c r="FS199" s="122"/>
      <c r="FT199" s="122"/>
      <c r="FU199" s="122"/>
      <c r="FV199" s="122"/>
      <c r="FW199" s="122"/>
      <c r="FX199" s="122"/>
      <c r="FY199" s="122"/>
      <c r="FZ199" s="122"/>
      <c r="GA199" s="122"/>
      <c r="GB199" s="122"/>
      <c r="GC199" s="122"/>
      <c r="GD199" s="122"/>
      <c r="GE199" s="122"/>
      <c r="GF199" s="122"/>
      <c r="GG199" s="122"/>
      <c r="GH199" s="122"/>
      <c r="GI199" s="122"/>
      <c r="GJ199" s="122"/>
      <c r="GK199" s="122"/>
      <c r="GL199" s="122"/>
      <c r="GM199" s="122"/>
      <c r="GN199" s="122"/>
      <c r="GO199" s="122"/>
      <c r="GP199" s="122"/>
      <c r="GQ199" s="122"/>
      <c r="GR199" s="122"/>
      <c r="GS199" s="122"/>
      <c r="GT199" s="122"/>
      <c r="GU199" s="122"/>
      <c r="GV199" s="122"/>
      <c r="GW199" s="122"/>
      <c r="GX199" s="122"/>
      <c r="GY199" s="122"/>
      <c r="GZ199" s="122"/>
      <c r="HA199" s="122"/>
      <c r="HB199" s="122"/>
      <c r="HC199" s="122"/>
      <c r="HD199" s="122"/>
      <c r="HE199" s="122"/>
      <c r="HF199" s="122"/>
      <c r="HG199" s="122"/>
      <c r="HH199" s="122"/>
      <c r="HI199" s="122"/>
      <c r="HJ199" s="122"/>
      <c r="HK199" s="122"/>
      <c r="HL199" s="122"/>
      <c r="HM199" s="122"/>
      <c r="HN199" s="122"/>
      <c r="HO199" s="122"/>
      <c r="HP199" s="122"/>
      <c r="HQ199" s="122"/>
      <c r="HR199" s="122"/>
      <c r="HS199" s="122"/>
      <c r="HT199" s="122"/>
      <c r="HU199" s="122"/>
      <c r="HV199" s="122"/>
      <c r="HW199" s="122"/>
      <c r="HX199" s="122"/>
      <c r="HY199" s="122"/>
      <c r="HZ199" s="122"/>
      <c r="IA199" s="122"/>
      <c r="IB199" s="122"/>
      <c r="IC199" s="122"/>
      <c r="ID199" s="122"/>
      <c r="IE199" s="122"/>
      <c r="IF199" s="122"/>
      <c r="IG199" s="122"/>
      <c r="IH199" s="122"/>
      <c r="II199" s="122"/>
      <c r="IJ199" s="122"/>
      <c r="IK199" s="122"/>
      <c r="IL199" s="122"/>
      <c r="IM199" s="122"/>
      <c r="IN199" s="122"/>
      <c r="IO199" s="122"/>
      <c r="IP199" s="122"/>
      <c r="IQ199" s="122"/>
      <c r="IR199" s="122"/>
      <c r="IS199" s="122"/>
      <c r="IT199" s="122"/>
      <c r="IU199" s="122"/>
      <c r="IV199" s="122"/>
      <c r="IW199" s="122"/>
      <c r="IX199" s="122"/>
      <c r="IY199" s="122"/>
      <c r="IZ199" s="122"/>
      <c r="JA199" s="122"/>
      <c r="JB199" s="122"/>
      <c r="JC199" s="122"/>
      <c r="JD199" s="122"/>
      <c r="JE199" s="122"/>
      <c r="JF199" s="122"/>
      <c r="JG199" s="122"/>
      <c r="JH199" s="122"/>
      <c r="JI199" s="119"/>
      <c r="JJ199" s="2"/>
      <c r="JK199" s="122"/>
      <c r="JL199" s="125"/>
      <c r="JM199" s="125"/>
      <c r="JN199" s="125"/>
      <c r="JO199" s="125"/>
      <c r="JP199" s="125"/>
    </row>
    <row r="200" spans="1:276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  <c r="AS200" s="122"/>
      <c r="AT200" s="122"/>
      <c r="AU200" s="122"/>
      <c r="AV200" s="122"/>
      <c r="AW200" s="122"/>
      <c r="AX200" s="122"/>
      <c r="AY200" s="122"/>
      <c r="AZ200" s="122"/>
      <c r="BA200" s="122"/>
      <c r="BB200" s="122"/>
      <c r="BC200" s="122"/>
      <c r="BD200" s="122"/>
      <c r="BE200" s="122"/>
      <c r="BF200" s="122"/>
      <c r="BG200" s="122"/>
      <c r="BH200" s="122"/>
      <c r="BI200" s="122"/>
      <c r="BJ200" s="122"/>
      <c r="BK200" s="122"/>
      <c r="BL200" s="122"/>
      <c r="BM200" s="122"/>
      <c r="BN200" s="122"/>
      <c r="BO200" s="122"/>
      <c r="BP200" s="122"/>
      <c r="BQ200" s="122"/>
      <c r="BR200" s="122"/>
      <c r="BS200" s="122"/>
      <c r="BT200" s="122"/>
      <c r="BU200" s="122"/>
      <c r="BV200" s="122"/>
      <c r="BW200" s="122"/>
      <c r="BX200" s="122"/>
      <c r="BY200" s="122"/>
      <c r="BZ200" s="122"/>
      <c r="CA200" s="122"/>
      <c r="CB200" s="122"/>
      <c r="CC200" s="122"/>
      <c r="CD200" s="122"/>
      <c r="CE200" s="122"/>
      <c r="CF200" s="122"/>
      <c r="CG200" s="122"/>
      <c r="CH200" s="122"/>
      <c r="CI200" s="122"/>
      <c r="CJ200" s="122"/>
      <c r="CK200" s="122"/>
      <c r="CL200" s="122"/>
      <c r="CM200" s="122"/>
      <c r="CN200" s="122"/>
      <c r="CO200" s="122"/>
      <c r="CP200" s="122"/>
      <c r="CQ200" s="122"/>
      <c r="CR200" s="122"/>
      <c r="CS200" s="122"/>
      <c r="CT200" s="122"/>
      <c r="CU200" s="122"/>
      <c r="CV200" s="122"/>
      <c r="CW200" s="122"/>
      <c r="CX200" s="122"/>
      <c r="CY200" s="122"/>
      <c r="CZ200" s="122"/>
      <c r="DA200" s="122"/>
      <c r="DB200" s="122"/>
      <c r="DC200" s="122"/>
      <c r="DD200" s="122"/>
      <c r="DE200" s="122"/>
      <c r="DF200" s="122"/>
      <c r="DG200" s="122"/>
      <c r="DH200" s="122"/>
      <c r="DI200" s="122"/>
      <c r="DJ200" s="122"/>
      <c r="DK200" s="122"/>
      <c r="DL200" s="122"/>
      <c r="DM200" s="122"/>
      <c r="DN200" s="122"/>
      <c r="DO200" s="122"/>
      <c r="DP200" s="122"/>
      <c r="DQ200" s="122"/>
      <c r="DR200" s="122"/>
      <c r="DS200" s="122"/>
      <c r="DT200" s="122"/>
      <c r="DU200" s="122"/>
      <c r="DV200" s="122"/>
      <c r="DW200" s="122"/>
      <c r="DX200" s="122"/>
      <c r="DY200" s="122"/>
      <c r="DZ200" s="122"/>
      <c r="EA200" s="122"/>
      <c r="EB200" s="122"/>
      <c r="EC200" s="122"/>
      <c r="ED200" s="122"/>
      <c r="EE200" s="122"/>
      <c r="EF200" s="122"/>
      <c r="EG200" s="122"/>
      <c r="EH200" s="122"/>
      <c r="EI200" s="122"/>
      <c r="EJ200" s="122"/>
      <c r="EK200" s="122"/>
      <c r="EL200" s="122"/>
      <c r="EM200" s="122"/>
      <c r="EN200" s="122"/>
      <c r="EO200" s="122"/>
      <c r="EP200" s="122"/>
      <c r="EQ200" s="122"/>
      <c r="ER200" s="122"/>
      <c r="ES200" s="122"/>
      <c r="ET200" s="122"/>
      <c r="EU200" s="122"/>
      <c r="EV200" s="122"/>
      <c r="EW200" s="122"/>
      <c r="EX200" s="122"/>
      <c r="EY200" s="122"/>
      <c r="EZ200" s="122"/>
      <c r="FA200" s="122"/>
      <c r="FB200" s="122"/>
      <c r="FC200" s="122"/>
      <c r="FD200" s="122"/>
      <c r="FE200" s="122"/>
      <c r="FF200" s="122"/>
      <c r="FG200" s="122"/>
      <c r="FH200" s="122"/>
      <c r="FI200" s="122"/>
      <c r="FJ200" s="122"/>
      <c r="FK200" s="122"/>
      <c r="FL200" s="122"/>
      <c r="FM200" s="122"/>
      <c r="FN200" s="122"/>
      <c r="FO200" s="122"/>
      <c r="FP200" s="122"/>
      <c r="FQ200" s="122"/>
      <c r="FR200" s="122"/>
      <c r="FS200" s="122"/>
      <c r="FT200" s="122"/>
      <c r="FU200" s="122"/>
      <c r="FV200" s="122"/>
      <c r="FW200" s="122"/>
      <c r="FX200" s="122"/>
      <c r="FY200" s="122"/>
      <c r="FZ200" s="122"/>
      <c r="GA200" s="122"/>
      <c r="GB200" s="122"/>
      <c r="GC200" s="122"/>
      <c r="GD200" s="122"/>
      <c r="GE200" s="122"/>
      <c r="GF200" s="122"/>
      <c r="GG200" s="122"/>
      <c r="GH200" s="122"/>
      <c r="GI200" s="122"/>
      <c r="GJ200" s="122"/>
      <c r="GK200" s="122"/>
      <c r="GL200" s="122"/>
      <c r="GM200" s="122"/>
      <c r="GN200" s="122"/>
      <c r="GO200" s="122"/>
      <c r="GP200" s="122"/>
      <c r="GQ200" s="122"/>
      <c r="GR200" s="122"/>
      <c r="GS200" s="122"/>
      <c r="GT200" s="122"/>
      <c r="GU200" s="122"/>
      <c r="GV200" s="122"/>
      <c r="GW200" s="122"/>
      <c r="GX200" s="122"/>
      <c r="GY200" s="122"/>
      <c r="GZ200" s="122"/>
      <c r="HA200" s="122"/>
      <c r="HB200" s="122"/>
      <c r="HC200" s="122"/>
      <c r="HD200" s="122"/>
      <c r="HE200" s="122"/>
      <c r="HF200" s="122"/>
      <c r="HG200" s="122"/>
      <c r="HH200" s="122"/>
      <c r="HI200" s="122"/>
      <c r="HJ200" s="122"/>
      <c r="HK200" s="122"/>
      <c r="HL200" s="122"/>
      <c r="HM200" s="122"/>
      <c r="HN200" s="122"/>
      <c r="HO200" s="122"/>
      <c r="HP200" s="122"/>
      <c r="HQ200" s="122"/>
      <c r="HR200" s="122"/>
      <c r="HS200" s="122"/>
      <c r="HT200" s="122"/>
      <c r="HU200" s="122"/>
      <c r="HV200" s="122"/>
      <c r="HW200" s="122"/>
      <c r="HX200" s="122"/>
      <c r="HY200" s="122"/>
      <c r="HZ200" s="122"/>
      <c r="IA200" s="122"/>
      <c r="IB200" s="122"/>
      <c r="IC200" s="122"/>
      <c r="ID200" s="122"/>
      <c r="IE200" s="122"/>
      <c r="IF200" s="122"/>
      <c r="IG200" s="122"/>
      <c r="IH200" s="122"/>
      <c r="II200" s="122"/>
      <c r="IJ200" s="122"/>
      <c r="IK200" s="122"/>
      <c r="IL200" s="122"/>
      <c r="IM200" s="122"/>
      <c r="IN200" s="122"/>
      <c r="IO200" s="122"/>
      <c r="IP200" s="122"/>
      <c r="IQ200" s="122"/>
      <c r="IR200" s="122"/>
      <c r="IS200" s="122"/>
      <c r="IT200" s="122"/>
      <c r="IU200" s="122"/>
      <c r="IV200" s="122"/>
      <c r="IW200" s="122"/>
      <c r="IX200" s="122"/>
      <c r="IY200" s="122"/>
      <c r="IZ200" s="122"/>
      <c r="JA200" s="122"/>
      <c r="JB200" s="122"/>
      <c r="JC200" s="122"/>
      <c r="JD200" s="122"/>
      <c r="JE200" s="122"/>
      <c r="JF200" s="122"/>
      <c r="JG200" s="122"/>
      <c r="JH200" s="122"/>
      <c r="JI200" s="119"/>
      <c r="JJ200" s="2"/>
      <c r="JK200" s="122"/>
      <c r="JL200" s="125"/>
      <c r="JM200" s="125"/>
      <c r="JN200" s="125"/>
      <c r="JO200" s="125"/>
      <c r="JP200" s="125"/>
    </row>
    <row r="201" spans="1:276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  <c r="AR201" s="122"/>
      <c r="AS201" s="122"/>
      <c r="AT201" s="122"/>
      <c r="AU201" s="122"/>
      <c r="AV201" s="122"/>
      <c r="AW201" s="122"/>
      <c r="AX201" s="122"/>
      <c r="AY201" s="122"/>
      <c r="AZ201" s="122"/>
      <c r="BA201" s="122"/>
      <c r="BB201" s="122"/>
      <c r="BC201" s="122"/>
      <c r="BD201" s="122"/>
      <c r="BE201" s="122"/>
      <c r="BF201" s="122"/>
      <c r="BG201" s="122"/>
      <c r="BH201" s="122"/>
      <c r="BI201" s="122"/>
      <c r="BJ201" s="122"/>
      <c r="BK201" s="122"/>
      <c r="BL201" s="122"/>
      <c r="BM201" s="122"/>
      <c r="BN201" s="122"/>
      <c r="BO201" s="122"/>
      <c r="BP201" s="122"/>
      <c r="BQ201" s="122"/>
      <c r="BR201" s="122"/>
      <c r="BS201" s="122"/>
      <c r="BT201" s="122"/>
      <c r="BU201" s="122"/>
      <c r="BV201" s="122"/>
      <c r="BW201" s="122"/>
      <c r="BX201" s="122"/>
      <c r="BY201" s="122"/>
      <c r="BZ201" s="122"/>
      <c r="CA201" s="122"/>
      <c r="CB201" s="122"/>
      <c r="CC201" s="122"/>
      <c r="CD201" s="122"/>
      <c r="CE201" s="122"/>
      <c r="CF201" s="122"/>
      <c r="CG201" s="122"/>
      <c r="CH201" s="122"/>
      <c r="CI201" s="122"/>
      <c r="CJ201" s="122"/>
      <c r="CK201" s="122"/>
      <c r="CL201" s="122"/>
      <c r="CM201" s="122"/>
      <c r="CN201" s="122"/>
      <c r="CO201" s="122"/>
      <c r="CP201" s="122"/>
      <c r="CQ201" s="122"/>
      <c r="CR201" s="122"/>
      <c r="CS201" s="122"/>
      <c r="CT201" s="122"/>
      <c r="CU201" s="122"/>
      <c r="CV201" s="122"/>
      <c r="CW201" s="122"/>
      <c r="CX201" s="122"/>
      <c r="CY201" s="122"/>
      <c r="CZ201" s="122"/>
      <c r="DA201" s="122"/>
      <c r="DB201" s="122"/>
      <c r="DC201" s="122"/>
      <c r="DD201" s="122"/>
      <c r="DE201" s="122"/>
      <c r="DF201" s="122"/>
      <c r="DG201" s="122"/>
      <c r="DH201" s="122"/>
      <c r="DI201" s="122"/>
      <c r="DJ201" s="122"/>
      <c r="DK201" s="122"/>
      <c r="DL201" s="122"/>
      <c r="DM201" s="122"/>
      <c r="DN201" s="122"/>
      <c r="DO201" s="122"/>
      <c r="DP201" s="122"/>
      <c r="DQ201" s="122"/>
      <c r="DR201" s="122"/>
      <c r="DS201" s="122"/>
      <c r="DT201" s="122"/>
      <c r="DU201" s="122"/>
      <c r="DV201" s="122"/>
      <c r="DW201" s="122"/>
      <c r="DX201" s="122"/>
      <c r="DY201" s="122"/>
      <c r="DZ201" s="122"/>
      <c r="EA201" s="122"/>
      <c r="EB201" s="122"/>
      <c r="EC201" s="122"/>
      <c r="ED201" s="122"/>
      <c r="EE201" s="122"/>
      <c r="EF201" s="122"/>
      <c r="EG201" s="122"/>
      <c r="EH201" s="122"/>
      <c r="EI201" s="122"/>
      <c r="EJ201" s="122"/>
      <c r="EK201" s="122"/>
      <c r="EL201" s="122"/>
      <c r="EM201" s="122"/>
      <c r="EN201" s="122"/>
      <c r="EO201" s="122"/>
      <c r="EP201" s="122"/>
      <c r="EQ201" s="122"/>
      <c r="ER201" s="122"/>
      <c r="ES201" s="122"/>
      <c r="ET201" s="122"/>
      <c r="EU201" s="122"/>
      <c r="EV201" s="122"/>
      <c r="EW201" s="122"/>
      <c r="EX201" s="122"/>
      <c r="EY201" s="122"/>
      <c r="EZ201" s="122"/>
      <c r="FA201" s="122"/>
      <c r="FB201" s="122"/>
      <c r="FC201" s="122"/>
      <c r="FD201" s="122"/>
      <c r="FE201" s="122"/>
      <c r="FF201" s="122"/>
      <c r="FG201" s="122"/>
      <c r="FH201" s="122"/>
      <c r="FI201" s="122"/>
      <c r="FJ201" s="122"/>
      <c r="FK201" s="122"/>
      <c r="FL201" s="122"/>
      <c r="FM201" s="122"/>
      <c r="FN201" s="122"/>
      <c r="FO201" s="122"/>
      <c r="FP201" s="122"/>
      <c r="FQ201" s="122"/>
      <c r="FR201" s="122"/>
      <c r="FS201" s="122"/>
      <c r="FT201" s="122"/>
      <c r="FU201" s="122"/>
      <c r="FV201" s="122"/>
      <c r="FW201" s="122"/>
      <c r="FX201" s="122"/>
      <c r="FY201" s="122"/>
      <c r="FZ201" s="122"/>
      <c r="GA201" s="122"/>
      <c r="GB201" s="122"/>
      <c r="GC201" s="122"/>
      <c r="GD201" s="122"/>
      <c r="GE201" s="122"/>
      <c r="GF201" s="122"/>
      <c r="GG201" s="122"/>
      <c r="GH201" s="122"/>
      <c r="GI201" s="122"/>
      <c r="GJ201" s="122"/>
      <c r="GK201" s="122"/>
      <c r="GL201" s="122"/>
      <c r="GM201" s="122"/>
      <c r="GN201" s="122"/>
      <c r="GO201" s="122"/>
      <c r="GP201" s="122"/>
      <c r="GQ201" s="122"/>
      <c r="GR201" s="122"/>
      <c r="GS201" s="122"/>
      <c r="GT201" s="122"/>
      <c r="GU201" s="122"/>
      <c r="GV201" s="122"/>
      <c r="GW201" s="122"/>
      <c r="GX201" s="122"/>
      <c r="GY201" s="122"/>
      <c r="GZ201" s="122"/>
      <c r="HA201" s="122"/>
      <c r="HB201" s="122"/>
      <c r="HC201" s="122"/>
      <c r="HD201" s="122"/>
      <c r="HE201" s="122"/>
      <c r="HF201" s="122"/>
      <c r="HG201" s="122"/>
      <c r="HH201" s="122"/>
      <c r="HI201" s="122"/>
      <c r="HJ201" s="122"/>
      <c r="HK201" s="122"/>
      <c r="HL201" s="122"/>
      <c r="HM201" s="122"/>
      <c r="HN201" s="122"/>
      <c r="HO201" s="122"/>
      <c r="HP201" s="122"/>
      <c r="HQ201" s="122"/>
      <c r="HR201" s="122"/>
      <c r="HS201" s="122"/>
      <c r="HT201" s="122"/>
      <c r="HU201" s="122"/>
      <c r="HV201" s="122"/>
      <c r="HW201" s="122"/>
      <c r="HX201" s="122"/>
      <c r="HY201" s="122"/>
      <c r="HZ201" s="122"/>
      <c r="IA201" s="122"/>
      <c r="IB201" s="122"/>
      <c r="IC201" s="122"/>
      <c r="ID201" s="122"/>
      <c r="IE201" s="122"/>
      <c r="IF201" s="122"/>
      <c r="IG201" s="122"/>
      <c r="IH201" s="122"/>
      <c r="II201" s="122"/>
      <c r="IJ201" s="122"/>
      <c r="IK201" s="122"/>
      <c r="IL201" s="122"/>
      <c r="IM201" s="122"/>
      <c r="IN201" s="122"/>
      <c r="IO201" s="122"/>
      <c r="IP201" s="122"/>
      <c r="IQ201" s="122"/>
      <c r="IR201" s="122"/>
      <c r="IS201" s="122"/>
      <c r="IT201" s="122"/>
      <c r="IU201" s="122"/>
      <c r="IV201" s="122"/>
      <c r="IW201" s="122"/>
      <c r="IX201" s="122"/>
      <c r="IY201" s="122"/>
      <c r="IZ201" s="122"/>
      <c r="JA201" s="122"/>
      <c r="JB201" s="122"/>
      <c r="JC201" s="122"/>
      <c r="JD201" s="122"/>
      <c r="JE201" s="122"/>
      <c r="JF201" s="122"/>
      <c r="JG201" s="122"/>
      <c r="JH201" s="122"/>
      <c r="JI201" s="119"/>
      <c r="JJ201" s="2"/>
      <c r="JK201" s="122"/>
      <c r="JL201" s="125"/>
      <c r="JM201" s="125"/>
      <c r="JN201" s="125"/>
      <c r="JO201" s="125"/>
      <c r="JP201" s="125"/>
    </row>
    <row r="202" spans="1:276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  <c r="AS202" s="122"/>
      <c r="AT202" s="122"/>
      <c r="AU202" s="122"/>
      <c r="AV202" s="122"/>
      <c r="AW202" s="122"/>
      <c r="AX202" s="122"/>
      <c r="AY202" s="122"/>
      <c r="AZ202" s="122"/>
      <c r="BA202" s="122"/>
      <c r="BB202" s="122"/>
      <c r="BC202" s="122"/>
      <c r="BD202" s="122"/>
      <c r="BE202" s="122"/>
      <c r="BF202" s="122"/>
      <c r="BG202" s="122"/>
      <c r="BH202" s="122"/>
      <c r="BI202" s="122"/>
      <c r="BJ202" s="122"/>
      <c r="BK202" s="122"/>
      <c r="BL202" s="122"/>
      <c r="BM202" s="122"/>
      <c r="BN202" s="122"/>
      <c r="BO202" s="122"/>
      <c r="BP202" s="122"/>
      <c r="BQ202" s="122"/>
      <c r="BR202" s="122"/>
      <c r="BS202" s="122"/>
      <c r="BT202" s="122"/>
      <c r="BU202" s="122"/>
      <c r="BV202" s="122"/>
      <c r="BW202" s="122"/>
      <c r="BX202" s="122"/>
      <c r="BY202" s="122"/>
      <c r="BZ202" s="122"/>
      <c r="CA202" s="122"/>
      <c r="CB202" s="122"/>
      <c r="CC202" s="122"/>
      <c r="CD202" s="122"/>
      <c r="CE202" s="122"/>
      <c r="CF202" s="122"/>
      <c r="CG202" s="122"/>
      <c r="CH202" s="122"/>
      <c r="CI202" s="122"/>
      <c r="CJ202" s="122"/>
      <c r="CK202" s="122"/>
      <c r="CL202" s="122"/>
      <c r="CM202" s="122"/>
      <c r="CN202" s="122"/>
      <c r="CO202" s="122"/>
      <c r="CP202" s="122"/>
      <c r="CQ202" s="122"/>
      <c r="CR202" s="122"/>
      <c r="CS202" s="122"/>
      <c r="CT202" s="122"/>
      <c r="CU202" s="122"/>
      <c r="CV202" s="122"/>
      <c r="CW202" s="122"/>
      <c r="CX202" s="122"/>
      <c r="CY202" s="122"/>
      <c r="CZ202" s="122"/>
      <c r="DA202" s="122"/>
      <c r="DB202" s="122"/>
      <c r="DC202" s="122"/>
      <c r="DD202" s="122"/>
      <c r="DE202" s="122"/>
      <c r="DF202" s="122"/>
      <c r="DG202" s="122"/>
      <c r="DH202" s="122"/>
      <c r="DI202" s="122"/>
      <c r="DJ202" s="122"/>
      <c r="DK202" s="122"/>
      <c r="DL202" s="122"/>
      <c r="DM202" s="122"/>
      <c r="DN202" s="122"/>
      <c r="DO202" s="122"/>
      <c r="DP202" s="122"/>
      <c r="DQ202" s="122"/>
      <c r="DR202" s="122"/>
      <c r="DS202" s="122"/>
      <c r="DT202" s="122"/>
      <c r="DU202" s="122"/>
      <c r="DV202" s="122"/>
      <c r="DW202" s="122"/>
      <c r="DX202" s="122"/>
      <c r="DY202" s="122"/>
      <c r="DZ202" s="122"/>
      <c r="EA202" s="122"/>
      <c r="EB202" s="122"/>
      <c r="EC202" s="122"/>
      <c r="ED202" s="122"/>
      <c r="EE202" s="122"/>
      <c r="EF202" s="122"/>
      <c r="EG202" s="122"/>
      <c r="EH202" s="122"/>
      <c r="EI202" s="122"/>
      <c r="EJ202" s="122"/>
      <c r="EK202" s="122"/>
      <c r="EL202" s="122"/>
      <c r="EM202" s="122"/>
      <c r="EN202" s="122"/>
      <c r="EO202" s="122"/>
      <c r="EP202" s="122"/>
      <c r="EQ202" s="122"/>
      <c r="ER202" s="122"/>
      <c r="ES202" s="122"/>
      <c r="ET202" s="122"/>
      <c r="EU202" s="122"/>
      <c r="EV202" s="122"/>
      <c r="EW202" s="122"/>
      <c r="EX202" s="122"/>
      <c r="EY202" s="122"/>
      <c r="EZ202" s="122"/>
      <c r="FA202" s="122"/>
      <c r="FB202" s="122"/>
      <c r="FC202" s="122"/>
      <c r="FD202" s="122"/>
      <c r="FE202" s="122"/>
      <c r="FF202" s="122"/>
      <c r="FG202" s="122"/>
      <c r="FH202" s="122"/>
      <c r="FI202" s="122"/>
      <c r="FJ202" s="122"/>
      <c r="FK202" s="122"/>
      <c r="FL202" s="122"/>
      <c r="FM202" s="122"/>
      <c r="FN202" s="122"/>
      <c r="FO202" s="122"/>
      <c r="FP202" s="122"/>
      <c r="FQ202" s="122"/>
      <c r="FR202" s="122"/>
      <c r="FS202" s="122"/>
      <c r="FT202" s="122"/>
      <c r="FU202" s="122"/>
      <c r="FV202" s="122"/>
      <c r="FW202" s="122"/>
      <c r="FX202" s="122"/>
      <c r="FY202" s="122"/>
      <c r="FZ202" s="122"/>
      <c r="GA202" s="122"/>
      <c r="GB202" s="122"/>
      <c r="GC202" s="122"/>
      <c r="GD202" s="122"/>
      <c r="GE202" s="122"/>
      <c r="GF202" s="122"/>
      <c r="GG202" s="122"/>
      <c r="GH202" s="122"/>
      <c r="GI202" s="122"/>
      <c r="GJ202" s="122"/>
      <c r="GK202" s="122"/>
      <c r="GL202" s="122"/>
      <c r="GM202" s="122"/>
      <c r="GN202" s="122"/>
      <c r="GO202" s="122"/>
      <c r="GP202" s="122"/>
      <c r="GQ202" s="122"/>
      <c r="GR202" s="122"/>
      <c r="GS202" s="122"/>
      <c r="GT202" s="122"/>
      <c r="GU202" s="122"/>
      <c r="GV202" s="122"/>
      <c r="GW202" s="122"/>
      <c r="GX202" s="122"/>
      <c r="GY202" s="122"/>
      <c r="GZ202" s="122"/>
      <c r="HA202" s="122"/>
      <c r="HB202" s="122"/>
      <c r="HC202" s="122"/>
      <c r="HD202" s="122"/>
      <c r="HE202" s="122"/>
      <c r="HF202" s="122"/>
      <c r="HG202" s="122"/>
      <c r="HH202" s="122"/>
      <c r="HI202" s="122"/>
      <c r="HJ202" s="122"/>
      <c r="HK202" s="122"/>
      <c r="HL202" s="122"/>
      <c r="HM202" s="122"/>
      <c r="HN202" s="122"/>
      <c r="HO202" s="122"/>
      <c r="HP202" s="122"/>
      <c r="HQ202" s="122"/>
      <c r="HR202" s="122"/>
      <c r="HS202" s="122"/>
      <c r="HT202" s="122"/>
      <c r="HU202" s="122"/>
      <c r="HV202" s="122"/>
      <c r="HW202" s="122"/>
      <c r="HX202" s="122"/>
      <c r="HY202" s="122"/>
      <c r="HZ202" s="122"/>
      <c r="IA202" s="122"/>
      <c r="IB202" s="122"/>
      <c r="IC202" s="122"/>
      <c r="ID202" s="122"/>
      <c r="IE202" s="122"/>
      <c r="IF202" s="122"/>
      <c r="IG202" s="122"/>
      <c r="IH202" s="122"/>
      <c r="II202" s="122"/>
      <c r="IJ202" s="122"/>
      <c r="IK202" s="122"/>
      <c r="IL202" s="122"/>
      <c r="IM202" s="122"/>
      <c r="IN202" s="122"/>
      <c r="IO202" s="122"/>
      <c r="IP202" s="122"/>
      <c r="IQ202" s="122"/>
      <c r="IR202" s="122"/>
      <c r="IS202" s="122"/>
      <c r="IT202" s="122"/>
      <c r="IU202" s="122"/>
      <c r="IV202" s="122"/>
      <c r="IW202" s="122"/>
      <c r="IX202" s="122"/>
      <c r="IY202" s="122"/>
      <c r="IZ202" s="122"/>
      <c r="JA202" s="122"/>
      <c r="JB202" s="122"/>
      <c r="JC202" s="122"/>
      <c r="JD202" s="122"/>
      <c r="JE202" s="122"/>
      <c r="JF202" s="122"/>
      <c r="JG202" s="122"/>
      <c r="JH202" s="122"/>
      <c r="JI202" s="119"/>
      <c r="JJ202" s="2"/>
      <c r="JK202" s="122"/>
      <c r="JL202" s="125"/>
      <c r="JM202" s="125"/>
      <c r="JN202" s="125"/>
      <c r="JO202" s="125"/>
      <c r="JP202" s="125"/>
    </row>
    <row r="203" spans="1:276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  <c r="AR203" s="122"/>
      <c r="AS203" s="122"/>
      <c r="AT203" s="122"/>
      <c r="AU203" s="122"/>
      <c r="AV203" s="122"/>
      <c r="AW203" s="122"/>
      <c r="AX203" s="122"/>
      <c r="AY203" s="122"/>
      <c r="AZ203" s="122"/>
      <c r="BA203" s="122"/>
      <c r="BB203" s="122"/>
      <c r="BC203" s="122"/>
      <c r="BD203" s="122"/>
      <c r="BE203" s="122"/>
      <c r="BF203" s="122"/>
      <c r="BG203" s="122"/>
      <c r="BH203" s="122"/>
      <c r="BI203" s="122"/>
      <c r="BJ203" s="122"/>
      <c r="BK203" s="122"/>
      <c r="BL203" s="122"/>
      <c r="BM203" s="122"/>
      <c r="BN203" s="122"/>
      <c r="BO203" s="122"/>
      <c r="BP203" s="122"/>
      <c r="BQ203" s="122"/>
      <c r="BR203" s="122"/>
      <c r="BS203" s="122"/>
      <c r="BT203" s="122"/>
      <c r="BU203" s="122"/>
      <c r="BV203" s="122"/>
      <c r="BW203" s="122"/>
      <c r="BX203" s="122"/>
      <c r="BY203" s="122"/>
      <c r="BZ203" s="122"/>
      <c r="CA203" s="122"/>
      <c r="CB203" s="122"/>
      <c r="CC203" s="122"/>
      <c r="CD203" s="122"/>
      <c r="CE203" s="122"/>
      <c r="CF203" s="122"/>
      <c r="CG203" s="122"/>
      <c r="CH203" s="122"/>
      <c r="CI203" s="122"/>
      <c r="CJ203" s="122"/>
      <c r="CK203" s="122"/>
      <c r="CL203" s="122"/>
      <c r="CM203" s="122"/>
      <c r="CN203" s="122"/>
      <c r="CO203" s="122"/>
      <c r="CP203" s="122"/>
      <c r="CQ203" s="122"/>
      <c r="CR203" s="122"/>
      <c r="CS203" s="122"/>
      <c r="CT203" s="122"/>
      <c r="CU203" s="122"/>
      <c r="CV203" s="122"/>
      <c r="CW203" s="122"/>
      <c r="CX203" s="122"/>
      <c r="CY203" s="122"/>
      <c r="CZ203" s="122"/>
      <c r="DA203" s="122"/>
      <c r="DB203" s="122"/>
      <c r="DC203" s="122"/>
      <c r="DD203" s="122"/>
      <c r="DE203" s="122"/>
      <c r="DF203" s="122"/>
      <c r="DG203" s="122"/>
      <c r="DH203" s="122"/>
      <c r="DI203" s="122"/>
      <c r="DJ203" s="122"/>
      <c r="DK203" s="122"/>
      <c r="DL203" s="122"/>
      <c r="DM203" s="122"/>
      <c r="DN203" s="122"/>
      <c r="DO203" s="122"/>
      <c r="DP203" s="122"/>
      <c r="DQ203" s="122"/>
      <c r="DR203" s="122"/>
      <c r="DS203" s="122"/>
      <c r="DT203" s="122"/>
      <c r="DU203" s="122"/>
      <c r="DV203" s="122"/>
      <c r="DW203" s="122"/>
      <c r="DX203" s="122"/>
      <c r="DY203" s="122"/>
      <c r="DZ203" s="122"/>
      <c r="EA203" s="122"/>
      <c r="EB203" s="122"/>
      <c r="EC203" s="122"/>
      <c r="ED203" s="122"/>
      <c r="EE203" s="122"/>
      <c r="EF203" s="122"/>
      <c r="EG203" s="122"/>
      <c r="EH203" s="122"/>
      <c r="EI203" s="122"/>
      <c r="EJ203" s="122"/>
      <c r="EK203" s="122"/>
      <c r="EL203" s="122"/>
      <c r="EM203" s="122"/>
      <c r="EN203" s="122"/>
      <c r="EO203" s="122"/>
      <c r="EP203" s="122"/>
      <c r="EQ203" s="122"/>
      <c r="ER203" s="122"/>
      <c r="ES203" s="122"/>
      <c r="ET203" s="122"/>
      <c r="EU203" s="122"/>
      <c r="EV203" s="122"/>
      <c r="EW203" s="122"/>
      <c r="EX203" s="122"/>
      <c r="EY203" s="122"/>
      <c r="EZ203" s="122"/>
      <c r="FA203" s="122"/>
      <c r="FB203" s="122"/>
      <c r="FC203" s="122"/>
      <c r="FD203" s="122"/>
      <c r="FE203" s="122"/>
      <c r="FF203" s="122"/>
      <c r="FG203" s="122"/>
      <c r="FH203" s="122"/>
      <c r="FI203" s="122"/>
      <c r="FJ203" s="122"/>
      <c r="FK203" s="122"/>
      <c r="FL203" s="122"/>
      <c r="FM203" s="122"/>
      <c r="FN203" s="122"/>
      <c r="FO203" s="122"/>
      <c r="FP203" s="122"/>
      <c r="FQ203" s="122"/>
      <c r="FR203" s="122"/>
      <c r="FS203" s="122"/>
      <c r="FT203" s="122"/>
      <c r="FU203" s="122"/>
      <c r="FV203" s="122"/>
      <c r="FW203" s="122"/>
      <c r="FX203" s="122"/>
      <c r="FY203" s="122"/>
      <c r="FZ203" s="122"/>
      <c r="GA203" s="122"/>
      <c r="GB203" s="122"/>
      <c r="GC203" s="122"/>
      <c r="GD203" s="122"/>
      <c r="GE203" s="122"/>
      <c r="GF203" s="122"/>
      <c r="GG203" s="122"/>
      <c r="GH203" s="122"/>
      <c r="GI203" s="122"/>
      <c r="GJ203" s="122"/>
      <c r="GK203" s="122"/>
      <c r="GL203" s="122"/>
      <c r="GM203" s="122"/>
      <c r="GN203" s="122"/>
      <c r="GO203" s="122"/>
      <c r="GP203" s="122"/>
      <c r="GQ203" s="122"/>
      <c r="GR203" s="122"/>
      <c r="GS203" s="122"/>
      <c r="GT203" s="122"/>
      <c r="GU203" s="122"/>
      <c r="GV203" s="122"/>
      <c r="GW203" s="122"/>
      <c r="GX203" s="122"/>
      <c r="GY203" s="122"/>
      <c r="GZ203" s="122"/>
      <c r="HA203" s="122"/>
      <c r="HB203" s="122"/>
      <c r="HC203" s="122"/>
      <c r="HD203" s="122"/>
      <c r="HE203" s="122"/>
      <c r="HF203" s="122"/>
      <c r="HG203" s="122"/>
      <c r="HH203" s="122"/>
      <c r="HI203" s="122"/>
      <c r="HJ203" s="122"/>
      <c r="HK203" s="122"/>
      <c r="HL203" s="122"/>
      <c r="HM203" s="122"/>
      <c r="HN203" s="122"/>
      <c r="HO203" s="122"/>
      <c r="HP203" s="122"/>
      <c r="HQ203" s="122"/>
      <c r="HR203" s="122"/>
      <c r="HS203" s="122"/>
      <c r="HT203" s="122"/>
      <c r="HU203" s="122"/>
      <c r="HV203" s="122"/>
      <c r="HW203" s="122"/>
      <c r="HX203" s="122"/>
      <c r="HY203" s="122"/>
      <c r="HZ203" s="122"/>
      <c r="IA203" s="122"/>
      <c r="IB203" s="122"/>
      <c r="IC203" s="122"/>
      <c r="ID203" s="122"/>
      <c r="IE203" s="122"/>
      <c r="IF203" s="122"/>
      <c r="IG203" s="122"/>
      <c r="IH203" s="122"/>
      <c r="II203" s="122"/>
      <c r="IJ203" s="122"/>
      <c r="IK203" s="122"/>
      <c r="IL203" s="122"/>
      <c r="IM203" s="122"/>
      <c r="IN203" s="122"/>
      <c r="IO203" s="122"/>
      <c r="IP203" s="122"/>
      <c r="IQ203" s="122"/>
      <c r="IR203" s="122"/>
      <c r="IS203" s="122"/>
      <c r="IT203" s="122"/>
      <c r="IU203" s="122"/>
      <c r="IV203" s="122"/>
      <c r="IW203" s="122"/>
      <c r="IX203" s="122"/>
      <c r="IY203" s="122"/>
      <c r="IZ203" s="122"/>
      <c r="JA203" s="122"/>
      <c r="JB203" s="122"/>
      <c r="JC203" s="122"/>
      <c r="JD203" s="122"/>
      <c r="JE203" s="122"/>
      <c r="JF203" s="122"/>
      <c r="JG203" s="122"/>
      <c r="JH203" s="122"/>
      <c r="JI203" s="119"/>
      <c r="JJ203" s="2"/>
      <c r="JK203" s="122"/>
      <c r="JL203" s="125"/>
      <c r="JM203" s="125"/>
      <c r="JN203" s="125"/>
      <c r="JO203" s="125"/>
      <c r="JP203" s="125"/>
    </row>
    <row r="204" spans="1:276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  <c r="AS204" s="122"/>
      <c r="AT204" s="122"/>
      <c r="AU204" s="122"/>
      <c r="AV204" s="122"/>
      <c r="AW204" s="122"/>
      <c r="AX204" s="122"/>
      <c r="AY204" s="122"/>
      <c r="AZ204" s="122"/>
      <c r="BA204" s="122"/>
      <c r="BB204" s="122"/>
      <c r="BC204" s="122"/>
      <c r="BD204" s="122"/>
      <c r="BE204" s="122"/>
      <c r="BF204" s="122"/>
      <c r="BG204" s="122"/>
      <c r="BH204" s="122"/>
      <c r="BI204" s="122"/>
      <c r="BJ204" s="122"/>
      <c r="BK204" s="122"/>
      <c r="BL204" s="122"/>
      <c r="BM204" s="122"/>
      <c r="BN204" s="122"/>
      <c r="BO204" s="122"/>
      <c r="BP204" s="122"/>
      <c r="BQ204" s="122"/>
      <c r="BR204" s="122"/>
      <c r="BS204" s="122"/>
      <c r="BT204" s="122"/>
      <c r="BU204" s="122"/>
      <c r="BV204" s="122"/>
      <c r="BW204" s="122"/>
      <c r="BX204" s="122"/>
      <c r="BY204" s="122"/>
      <c r="BZ204" s="122"/>
      <c r="CA204" s="122"/>
      <c r="CB204" s="122"/>
      <c r="CC204" s="122"/>
      <c r="CD204" s="122"/>
      <c r="CE204" s="122"/>
      <c r="CF204" s="122"/>
      <c r="CG204" s="122"/>
      <c r="CH204" s="122"/>
      <c r="CI204" s="122"/>
      <c r="CJ204" s="122"/>
      <c r="CK204" s="122"/>
      <c r="CL204" s="122"/>
      <c r="CM204" s="122"/>
      <c r="CN204" s="122"/>
      <c r="CO204" s="122"/>
      <c r="CP204" s="122"/>
      <c r="CQ204" s="122"/>
      <c r="CR204" s="122"/>
      <c r="CS204" s="122"/>
      <c r="CT204" s="122"/>
      <c r="CU204" s="122"/>
      <c r="CV204" s="122"/>
      <c r="CW204" s="122"/>
      <c r="CX204" s="122"/>
      <c r="CY204" s="122"/>
      <c r="CZ204" s="122"/>
      <c r="DA204" s="122"/>
      <c r="DB204" s="122"/>
      <c r="DC204" s="122"/>
      <c r="DD204" s="122"/>
      <c r="DE204" s="122"/>
      <c r="DF204" s="122"/>
      <c r="DG204" s="122"/>
      <c r="DH204" s="122"/>
      <c r="DI204" s="122"/>
      <c r="DJ204" s="122"/>
      <c r="DK204" s="122"/>
      <c r="DL204" s="122"/>
      <c r="DM204" s="122"/>
      <c r="DN204" s="122"/>
      <c r="DO204" s="122"/>
      <c r="DP204" s="122"/>
      <c r="DQ204" s="122"/>
      <c r="DR204" s="122"/>
      <c r="DS204" s="122"/>
      <c r="DT204" s="122"/>
      <c r="DU204" s="122"/>
      <c r="DV204" s="122"/>
      <c r="DW204" s="122"/>
      <c r="DX204" s="122"/>
      <c r="DY204" s="122"/>
      <c r="DZ204" s="122"/>
      <c r="EA204" s="122"/>
      <c r="EB204" s="122"/>
      <c r="EC204" s="122"/>
      <c r="ED204" s="122"/>
      <c r="EE204" s="122"/>
      <c r="EF204" s="122"/>
      <c r="EG204" s="122"/>
      <c r="EH204" s="122"/>
      <c r="EI204" s="122"/>
      <c r="EJ204" s="122"/>
      <c r="EK204" s="122"/>
      <c r="EL204" s="122"/>
      <c r="EM204" s="122"/>
      <c r="EN204" s="122"/>
      <c r="EO204" s="122"/>
      <c r="EP204" s="122"/>
      <c r="EQ204" s="122"/>
      <c r="ER204" s="122"/>
      <c r="ES204" s="122"/>
      <c r="ET204" s="122"/>
      <c r="EU204" s="122"/>
      <c r="EV204" s="122"/>
      <c r="EW204" s="122"/>
      <c r="EX204" s="122"/>
      <c r="EY204" s="122"/>
      <c r="EZ204" s="122"/>
      <c r="FA204" s="122"/>
      <c r="FB204" s="122"/>
      <c r="FC204" s="122"/>
      <c r="FD204" s="122"/>
      <c r="FE204" s="122"/>
      <c r="FF204" s="122"/>
      <c r="FG204" s="122"/>
      <c r="FH204" s="122"/>
      <c r="FI204" s="122"/>
      <c r="FJ204" s="122"/>
      <c r="FK204" s="122"/>
      <c r="FL204" s="122"/>
      <c r="FM204" s="122"/>
      <c r="FN204" s="122"/>
      <c r="FO204" s="122"/>
      <c r="FP204" s="122"/>
      <c r="FQ204" s="122"/>
      <c r="FR204" s="122"/>
      <c r="FS204" s="122"/>
      <c r="FT204" s="122"/>
      <c r="FU204" s="122"/>
      <c r="FV204" s="122"/>
      <c r="FW204" s="122"/>
      <c r="FX204" s="122"/>
      <c r="FY204" s="122"/>
      <c r="FZ204" s="122"/>
      <c r="GA204" s="122"/>
      <c r="GB204" s="122"/>
      <c r="GC204" s="122"/>
      <c r="GD204" s="122"/>
      <c r="GE204" s="122"/>
      <c r="GF204" s="122"/>
      <c r="GG204" s="122"/>
      <c r="GH204" s="122"/>
      <c r="GI204" s="122"/>
      <c r="GJ204" s="122"/>
      <c r="GK204" s="122"/>
      <c r="GL204" s="122"/>
      <c r="GM204" s="122"/>
      <c r="GN204" s="122"/>
      <c r="GO204" s="122"/>
      <c r="GP204" s="122"/>
      <c r="GQ204" s="122"/>
      <c r="GR204" s="122"/>
      <c r="GS204" s="122"/>
      <c r="GT204" s="122"/>
      <c r="GU204" s="122"/>
      <c r="GV204" s="122"/>
      <c r="GW204" s="122"/>
      <c r="GX204" s="122"/>
      <c r="GY204" s="122"/>
      <c r="GZ204" s="122"/>
      <c r="HA204" s="122"/>
      <c r="HB204" s="122"/>
      <c r="HC204" s="122"/>
      <c r="HD204" s="122"/>
      <c r="HE204" s="122"/>
      <c r="HF204" s="122"/>
      <c r="HG204" s="122"/>
      <c r="HH204" s="122"/>
      <c r="HI204" s="122"/>
      <c r="HJ204" s="122"/>
      <c r="HK204" s="122"/>
      <c r="HL204" s="122"/>
      <c r="HM204" s="122"/>
      <c r="HN204" s="122"/>
      <c r="HO204" s="122"/>
      <c r="HP204" s="122"/>
      <c r="HQ204" s="122"/>
      <c r="HR204" s="122"/>
      <c r="HS204" s="122"/>
      <c r="HT204" s="122"/>
      <c r="HU204" s="122"/>
      <c r="HV204" s="122"/>
      <c r="HW204" s="122"/>
      <c r="HX204" s="122"/>
      <c r="HY204" s="122"/>
      <c r="HZ204" s="122"/>
      <c r="IA204" s="122"/>
      <c r="IB204" s="122"/>
      <c r="IC204" s="122"/>
      <c r="ID204" s="122"/>
      <c r="IE204" s="122"/>
      <c r="IF204" s="122"/>
      <c r="IG204" s="122"/>
      <c r="IH204" s="122"/>
      <c r="II204" s="122"/>
      <c r="IJ204" s="122"/>
      <c r="IK204" s="122"/>
      <c r="IL204" s="122"/>
      <c r="IM204" s="122"/>
      <c r="IN204" s="122"/>
      <c r="IO204" s="122"/>
      <c r="IP204" s="122"/>
      <c r="IQ204" s="122"/>
      <c r="IR204" s="122"/>
      <c r="IS204" s="122"/>
      <c r="IT204" s="122"/>
      <c r="IU204" s="122"/>
      <c r="IV204" s="122"/>
      <c r="IW204" s="122"/>
      <c r="IX204" s="122"/>
      <c r="IY204" s="122"/>
      <c r="IZ204" s="122"/>
      <c r="JA204" s="122"/>
      <c r="JB204" s="122"/>
      <c r="JC204" s="122"/>
      <c r="JD204" s="122"/>
      <c r="JE204" s="122"/>
      <c r="JF204" s="122"/>
      <c r="JG204" s="122"/>
      <c r="JH204" s="122"/>
      <c r="JI204" s="119"/>
      <c r="JJ204" s="2"/>
      <c r="JK204" s="122"/>
      <c r="JL204" s="125"/>
      <c r="JM204" s="125"/>
      <c r="JN204" s="125"/>
      <c r="JO204" s="125"/>
      <c r="JP204" s="125"/>
    </row>
    <row r="205" spans="1:276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  <c r="AS205" s="122"/>
      <c r="AT205" s="122"/>
      <c r="AU205" s="122"/>
      <c r="AV205" s="122"/>
      <c r="AW205" s="122"/>
      <c r="AX205" s="122"/>
      <c r="AY205" s="122"/>
      <c r="AZ205" s="122"/>
      <c r="BA205" s="122"/>
      <c r="BB205" s="122"/>
      <c r="BC205" s="122"/>
      <c r="BD205" s="122"/>
      <c r="BE205" s="122"/>
      <c r="BF205" s="122"/>
      <c r="BG205" s="122"/>
      <c r="BH205" s="122"/>
      <c r="BI205" s="122"/>
      <c r="BJ205" s="122"/>
      <c r="BK205" s="122"/>
      <c r="BL205" s="122"/>
      <c r="BM205" s="122"/>
      <c r="BN205" s="122"/>
      <c r="BO205" s="122"/>
      <c r="BP205" s="122"/>
      <c r="BQ205" s="122"/>
      <c r="BR205" s="122"/>
      <c r="BS205" s="122"/>
      <c r="BT205" s="122"/>
      <c r="BU205" s="122"/>
      <c r="BV205" s="122"/>
      <c r="BW205" s="122"/>
      <c r="BX205" s="122"/>
      <c r="BY205" s="122"/>
      <c r="BZ205" s="122"/>
      <c r="CA205" s="122"/>
      <c r="CB205" s="122"/>
      <c r="CC205" s="122"/>
      <c r="CD205" s="122"/>
      <c r="CE205" s="122"/>
      <c r="CF205" s="122"/>
      <c r="CG205" s="122"/>
      <c r="CH205" s="122"/>
      <c r="CI205" s="122"/>
      <c r="CJ205" s="122"/>
      <c r="CK205" s="122"/>
      <c r="CL205" s="122"/>
      <c r="CM205" s="122"/>
      <c r="CN205" s="122"/>
      <c r="CO205" s="122"/>
      <c r="CP205" s="122"/>
      <c r="CQ205" s="122"/>
      <c r="CR205" s="122"/>
      <c r="CS205" s="122"/>
      <c r="CT205" s="122"/>
      <c r="CU205" s="122"/>
      <c r="CV205" s="122"/>
      <c r="CW205" s="122"/>
      <c r="CX205" s="122"/>
      <c r="CY205" s="122"/>
      <c r="CZ205" s="122"/>
      <c r="DA205" s="122"/>
      <c r="DB205" s="122"/>
      <c r="DC205" s="122"/>
      <c r="DD205" s="122"/>
      <c r="DE205" s="122"/>
      <c r="DF205" s="122"/>
      <c r="DG205" s="122"/>
      <c r="DH205" s="122"/>
      <c r="DI205" s="122"/>
      <c r="DJ205" s="122"/>
      <c r="DK205" s="122"/>
      <c r="DL205" s="122"/>
      <c r="DM205" s="122"/>
      <c r="DN205" s="122"/>
      <c r="DO205" s="122"/>
      <c r="DP205" s="122"/>
      <c r="DQ205" s="122"/>
      <c r="DR205" s="122"/>
      <c r="DS205" s="122"/>
      <c r="DT205" s="122"/>
      <c r="DU205" s="122"/>
      <c r="DV205" s="122"/>
      <c r="DW205" s="122"/>
      <c r="DX205" s="122"/>
      <c r="DY205" s="122"/>
      <c r="DZ205" s="122"/>
      <c r="EA205" s="122"/>
      <c r="EB205" s="122"/>
      <c r="EC205" s="122"/>
      <c r="ED205" s="122"/>
      <c r="EE205" s="122"/>
      <c r="EF205" s="122"/>
      <c r="EG205" s="122"/>
      <c r="EH205" s="122"/>
      <c r="EI205" s="122"/>
      <c r="EJ205" s="122"/>
      <c r="EK205" s="122"/>
      <c r="EL205" s="122"/>
      <c r="EM205" s="122"/>
      <c r="EN205" s="122"/>
      <c r="EO205" s="122"/>
      <c r="EP205" s="122"/>
      <c r="EQ205" s="122"/>
      <c r="ER205" s="122"/>
      <c r="ES205" s="122"/>
      <c r="ET205" s="122"/>
      <c r="EU205" s="122"/>
      <c r="EV205" s="122"/>
      <c r="EW205" s="122"/>
      <c r="EX205" s="122"/>
      <c r="EY205" s="122"/>
      <c r="EZ205" s="122"/>
      <c r="FA205" s="122"/>
      <c r="FB205" s="122"/>
      <c r="FC205" s="122"/>
      <c r="FD205" s="122"/>
      <c r="FE205" s="122"/>
      <c r="FF205" s="122"/>
      <c r="FG205" s="122"/>
      <c r="FH205" s="122"/>
      <c r="FI205" s="122"/>
      <c r="FJ205" s="122"/>
      <c r="FK205" s="122"/>
      <c r="FL205" s="122"/>
      <c r="FM205" s="122"/>
      <c r="FN205" s="122"/>
      <c r="FO205" s="122"/>
      <c r="FP205" s="122"/>
      <c r="FQ205" s="122"/>
      <c r="FR205" s="122"/>
      <c r="FS205" s="122"/>
      <c r="FT205" s="122"/>
      <c r="FU205" s="122"/>
      <c r="FV205" s="122"/>
      <c r="FW205" s="122"/>
      <c r="FX205" s="122"/>
      <c r="FY205" s="122"/>
      <c r="FZ205" s="122"/>
      <c r="GA205" s="122"/>
      <c r="GB205" s="122"/>
      <c r="GC205" s="122"/>
      <c r="GD205" s="122"/>
      <c r="GE205" s="122"/>
      <c r="GF205" s="122"/>
      <c r="GG205" s="122"/>
      <c r="GH205" s="122"/>
      <c r="GI205" s="122"/>
      <c r="GJ205" s="122"/>
      <c r="GK205" s="122"/>
      <c r="GL205" s="122"/>
      <c r="GM205" s="122"/>
      <c r="GN205" s="122"/>
      <c r="GO205" s="122"/>
      <c r="GP205" s="122"/>
      <c r="GQ205" s="122"/>
      <c r="GR205" s="122"/>
      <c r="GS205" s="122"/>
      <c r="GT205" s="122"/>
      <c r="GU205" s="122"/>
      <c r="GV205" s="122"/>
      <c r="GW205" s="122"/>
      <c r="GX205" s="122"/>
      <c r="GY205" s="122"/>
      <c r="GZ205" s="122"/>
      <c r="HA205" s="122"/>
      <c r="HB205" s="122"/>
      <c r="HC205" s="122"/>
      <c r="HD205" s="122"/>
      <c r="HE205" s="122"/>
      <c r="HF205" s="122"/>
      <c r="HG205" s="122"/>
      <c r="HH205" s="122"/>
      <c r="HI205" s="122"/>
      <c r="HJ205" s="122"/>
      <c r="HK205" s="122"/>
      <c r="HL205" s="122"/>
      <c r="HM205" s="122"/>
      <c r="HN205" s="122"/>
      <c r="HO205" s="122"/>
      <c r="HP205" s="122"/>
      <c r="HQ205" s="122"/>
      <c r="HR205" s="122"/>
      <c r="HS205" s="122"/>
      <c r="HT205" s="122"/>
      <c r="HU205" s="122"/>
      <c r="HV205" s="122"/>
      <c r="HW205" s="122"/>
      <c r="HX205" s="122"/>
      <c r="HY205" s="122"/>
      <c r="HZ205" s="122"/>
      <c r="IA205" s="122"/>
      <c r="IB205" s="122"/>
      <c r="IC205" s="122"/>
      <c r="ID205" s="122"/>
      <c r="IE205" s="122"/>
      <c r="IF205" s="122"/>
      <c r="IG205" s="122"/>
      <c r="IH205" s="122"/>
      <c r="II205" s="122"/>
      <c r="IJ205" s="122"/>
      <c r="IK205" s="122"/>
      <c r="IL205" s="122"/>
      <c r="IM205" s="122"/>
      <c r="IN205" s="122"/>
      <c r="IO205" s="122"/>
      <c r="IP205" s="122"/>
      <c r="IQ205" s="122"/>
      <c r="IR205" s="122"/>
      <c r="IS205" s="122"/>
      <c r="IT205" s="122"/>
      <c r="IU205" s="122"/>
      <c r="IV205" s="122"/>
      <c r="IW205" s="122"/>
      <c r="IX205" s="122"/>
      <c r="IY205" s="122"/>
      <c r="IZ205" s="122"/>
      <c r="JA205" s="122"/>
      <c r="JB205" s="122"/>
      <c r="JC205" s="122"/>
      <c r="JD205" s="122"/>
      <c r="JE205" s="122"/>
      <c r="JF205" s="122"/>
      <c r="JG205" s="122"/>
      <c r="JH205" s="122"/>
      <c r="JI205" s="119"/>
      <c r="JJ205" s="2"/>
      <c r="JK205" s="122"/>
      <c r="JL205" s="125"/>
      <c r="JM205" s="125"/>
      <c r="JN205" s="125"/>
      <c r="JO205" s="125"/>
      <c r="JP205" s="125"/>
    </row>
    <row r="206" spans="1:27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  <c r="AT206" s="122"/>
      <c r="AU206" s="122"/>
      <c r="AV206" s="122"/>
      <c r="AW206" s="122"/>
      <c r="AX206" s="122"/>
      <c r="AY206" s="122"/>
      <c r="AZ206" s="122"/>
      <c r="BA206" s="122"/>
      <c r="BB206" s="122"/>
      <c r="BC206" s="122"/>
      <c r="BD206" s="122"/>
      <c r="BE206" s="122"/>
      <c r="BF206" s="122"/>
      <c r="BG206" s="122"/>
      <c r="BH206" s="122"/>
      <c r="BI206" s="122"/>
      <c r="BJ206" s="122"/>
      <c r="BK206" s="122"/>
      <c r="BL206" s="122"/>
      <c r="BM206" s="122"/>
      <c r="BN206" s="122"/>
      <c r="BO206" s="122"/>
      <c r="BP206" s="122"/>
      <c r="BQ206" s="122"/>
      <c r="BR206" s="122"/>
      <c r="BS206" s="122"/>
      <c r="BT206" s="122"/>
      <c r="BU206" s="122"/>
      <c r="BV206" s="122"/>
      <c r="BW206" s="122"/>
      <c r="BX206" s="122"/>
      <c r="BY206" s="122"/>
      <c r="BZ206" s="122"/>
      <c r="CA206" s="122"/>
      <c r="CB206" s="122"/>
      <c r="CC206" s="122"/>
      <c r="CD206" s="122"/>
      <c r="CE206" s="122"/>
      <c r="CF206" s="122"/>
      <c r="CG206" s="122"/>
      <c r="CH206" s="122"/>
      <c r="CI206" s="122"/>
      <c r="CJ206" s="122"/>
      <c r="CK206" s="122"/>
      <c r="CL206" s="122"/>
      <c r="CM206" s="122"/>
      <c r="CN206" s="122"/>
      <c r="CO206" s="122"/>
      <c r="CP206" s="122"/>
      <c r="CQ206" s="122"/>
      <c r="CR206" s="122"/>
      <c r="CS206" s="122"/>
      <c r="CT206" s="122"/>
      <c r="CU206" s="122"/>
      <c r="CV206" s="122"/>
      <c r="CW206" s="122"/>
      <c r="CX206" s="122"/>
      <c r="CY206" s="122"/>
      <c r="CZ206" s="122"/>
      <c r="DA206" s="122"/>
      <c r="DB206" s="122"/>
      <c r="DC206" s="122"/>
      <c r="DD206" s="122"/>
      <c r="DE206" s="122"/>
      <c r="DF206" s="122"/>
      <c r="DG206" s="122"/>
      <c r="DH206" s="122"/>
      <c r="DI206" s="122"/>
      <c r="DJ206" s="122"/>
      <c r="DK206" s="122"/>
      <c r="DL206" s="122"/>
      <c r="DM206" s="122"/>
      <c r="DN206" s="122"/>
      <c r="DO206" s="122"/>
      <c r="DP206" s="122"/>
      <c r="DQ206" s="122"/>
      <c r="DR206" s="122"/>
      <c r="DS206" s="122"/>
      <c r="DT206" s="122"/>
      <c r="DU206" s="122"/>
      <c r="DV206" s="122"/>
      <c r="DW206" s="122"/>
      <c r="DX206" s="122"/>
      <c r="DY206" s="122"/>
      <c r="DZ206" s="122"/>
      <c r="EA206" s="122"/>
      <c r="EB206" s="122"/>
      <c r="EC206" s="122"/>
      <c r="ED206" s="122"/>
      <c r="EE206" s="122"/>
      <c r="EF206" s="122"/>
      <c r="EG206" s="122"/>
      <c r="EH206" s="122"/>
      <c r="EI206" s="122"/>
      <c r="EJ206" s="122"/>
      <c r="EK206" s="122"/>
      <c r="EL206" s="122"/>
      <c r="EM206" s="122"/>
      <c r="EN206" s="122"/>
      <c r="EO206" s="122"/>
      <c r="EP206" s="122"/>
      <c r="EQ206" s="122"/>
      <c r="ER206" s="122"/>
      <c r="ES206" s="122"/>
      <c r="ET206" s="122"/>
      <c r="EU206" s="122"/>
      <c r="EV206" s="122"/>
      <c r="EW206" s="122"/>
      <c r="EX206" s="122"/>
      <c r="EY206" s="122"/>
      <c r="EZ206" s="122"/>
      <c r="FA206" s="122"/>
      <c r="FB206" s="122"/>
      <c r="FC206" s="122"/>
      <c r="FD206" s="122"/>
      <c r="FE206" s="122"/>
      <c r="FF206" s="122"/>
      <c r="FG206" s="122"/>
      <c r="FH206" s="122"/>
      <c r="FI206" s="122"/>
      <c r="FJ206" s="122"/>
      <c r="FK206" s="122"/>
      <c r="FL206" s="122"/>
      <c r="FM206" s="122"/>
      <c r="FN206" s="122"/>
      <c r="FO206" s="122"/>
      <c r="FP206" s="122"/>
      <c r="FQ206" s="122"/>
      <c r="FR206" s="122"/>
      <c r="FS206" s="122"/>
      <c r="FT206" s="122"/>
      <c r="FU206" s="122"/>
      <c r="FV206" s="122"/>
      <c r="FW206" s="122"/>
      <c r="FX206" s="122"/>
      <c r="FY206" s="122"/>
      <c r="FZ206" s="122"/>
      <c r="GA206" s="122"/>
      <c r="GB206" s="122"/>
      <c r="GC206" s="122"/>
      <c r="GD206" s="122"/>
      <c r="GE206" s="122"/>
      <c r="GF206" s="122"/>
      <c r="GG206" s="122"/>
      <c r="GH206" s="122"/>
      <c r="GI206" s="122"/>
      <c r="GJ206" s="122"/>
      <c r="GK206" s="122"/>
      <c r="GL206" s="122"/>
      <c r="GM206" s="122"/>
      <c r="GN206" s="122"/>
      <c r="GO206" s="122"/>
      <c r="GP206" s="122"/>
      <c r="GQ206" s="122"/>
      <c r="GR206" s="122"/>
      <c r="GS206" s="122"/>
      <c r="GT206" s="122"/>
      <c r="GU206" s="122"/>
      <c r="GV206" s="122"/>
      <c r="GW206" s="122"/>
      <c r="GX206" s="122"/>
      <c r="GY206" s="122"/>
      <c r="GZ206" s="122"/>
      <c r="HA206" s="122"/>
      <c r="HB206" s="122"/>
      <c r="HC206" s="122"/>
      <c r="HD206" s="122"/>
      <c r="HE206" s="122"/>
      <c r="HF206" s="122"/>
      <c r="HG206" s="122"/>
      <c r="HH206" s="122"/>
      <c r="HI206" s="122"/>
      <c r="HJ206" s="122"/>
      <c r="HK206" s="122"/>
      <c r="HL206" s="122"/>
      <c r="HM206" s="122"/>
      <c r="HN206" s="122"/>
      <c r="HO206" s="122"/>
      <c r="HP206" s="122"/>
      <c r="HQ206" s="122"/>
      <c r="HR206" s="122"/>
      <c r="HS206" s="122"/>
      <c r="HT206" s="122"/>
      <c r="HU206" s="122"/>
      <c r="HV206" s="122"/>
      <c r="HW206" s="122"/>
      <c r="HX206" s="122"/>
      <c r="HY206" s="122"/>
      <c r="HZ206" s="122"/>
      <c r="IA206" s="122"/>
      <c r="IB206" s="122"/>
      <c r="IC206" s="122"/>
      <c r="ID206" s="122"/>
      <c r="IE206" s="122"/>
      <c r="IF206" s="122"/>
      <c r="IG206" s="122"/>
      <c r="IH206" s="122"/>
      <c r="II206" s="122"/>
      <c r="IJ206" s="122"/>
      <c r="IK206" s="122"/>
      <c r="IL206" s="122"/>
      <c r="IM206" s="122"/>
      <c r="IN206" s="122"/>
      <c r="IO206" s="122"/>
      <c r="IP206" s="122"/>
      <c r="IQ206" s="122"/>
      <c r="IR206" s="122"/>
      <c r="IS206" s="122"/>
      <c r="IT206" s="122"/>
      <c r="IU206" s="122"/>
      <c r="IV206" s="122"/>
      <c r="IW206" s="122"/>
      <c r="IX206" s="122"/>
      <c r="IY206" s="122"/>
      <c r="IZ206" s="122"/>
      <c r="JA206" s="122"/>
      <c r="JB206" s="122"/>
      <c r="JC206" s="122"/>
      <c r="JD206" s="122"/>
      <c r="JE206" s="122"/>
      <c r="JF206" s="122"/>
      <c r="JG206" s="122"/>
      <c r="JH206" s="122"/>
      <c r="JI206" s="119"/>
      <c r="JJ206" s="2"/>
      <c r="JK206" s="122"/>
      <c r="JL206" s="125"/>
      <c r="JM206" s="125"/>
      <c r="JN206" s="125"/>
      <c r="JO206" s="125"/>
      <c r="JP206" s="125"/>
    </row>
    <row r="207" spans="1:276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22"/>
      <c r="BZ207" s="122"/>
      <c r="CA207" s="122"/>
      <c r="CB207" s="122"/>
      <c r="CC207" s="122"/>
      <c r="CD207" s="122"/>
      <c r="CE207" s="122"/>
      <c r="CF207" s="122"/>
      <c r="CG207" s="122"/>
      <c r="CH207" s="122"/>
      <c r="CI207" s="122"/>
      <c r="CJ207" s="122"/>
      <c r="CK207" s="122"/>
      <c r="CL207" s="122"/>
      <c r="CM207" s="122"/>
      <c r="CN207" s="122"/>
      <c r="CO207" s="122"/>
      <c r="CP207" s="122"/>
      <c r="CQ207" s="122"/>
      <c r="CR207" s="122"/>
      <c r="CS207" s="122"/>
      <c r="CT207" s="122"/>
      <c r="CU207" s="122"/>
      <c r="CV207" s="122"/>
      <c r="CW207" s="122"/>
      <c r="CX207" s="122"/>
      <c r="CY207" s="122"/>
      <c r="CZ207" s="122"/>
      <c r="DA207" s="122"/>
      <c r="DB207" s="122"/>
      <c r="DC207" s="122"/>
      <c r="DD207" s="122"/>
      <c r="DE207" s="122"/>
      <c r="DF207" s="122"/>
      <c r="DG207" s="122"/>
      <c r="DH207" s="122"/>
      <c r="DI207" s="122"/>
      <c r="DJ207" s="122"/>
      <c r="DK207" s="122"/>
      <c r="DL207" s="122"/>
      <c r="DM207" s="122"/>
      <c r="DN207" s="122"/>
      <c r="DO207" s="122"/>
      <c r="DP207" s="122"/>
      <c r="DQ207" s="122"/>
      <c r="DR207" s="122"/>
      <c r="DS207" s="122"/>
      <c r="DT207" s="122"/>
      <c r="DU207" s="122"/>
      <c r="DV207" s="122"/>
      <c r="DW207" s="122"/>
      <c r="DX207" s="122"/>
      <c r="DY207" s="122"/>
      <c r="DZ207" s="122"/>
      <c r="EA207" s="122"/>
      <c r="EB207" s="122"/>
      <c r="EC207" s="122"/>
      <c r="ED207" s="122"/>
      <c r="EE207" s="122"/>
      <c r="EF207" s="122"/>
      <c r="EG207" s="122"/>
      <c r="EH207" s="122"/>
      <c r="EI207" s="122"/>
      <c r="EJ207" s="122"/>
      <c r="EK207" s="122"/>
      <c r="EL207" s="122"/>
      <c r="EM207" s="122"/>
      <c r="EN207" s="122"/>
      <c r="EO207" s="122"/>
      <c r="EP207" s="122"/>
      <c r="EQ207" s="122"/>
      <c r="ER207" s="122"/>
      <c r="ES207" s="122"/>
      <c r="ET207" s="122"/>
      <c r="EU207" s="122"/>
      <c r="EV207" s="122"/>
      <c r="EW207" s="122"/>
      <c r="EX207" s="122"/>
      <c r="EY207" s="122"/>
      <c r="EZ207" s="122"/>
      <c r="FA207" s="122"/>
      <c r="FB207" s="122"/>
      <c r="FC207" s="122"/>
      <c r="FD207" s="122"/>
      <c r="FE207" s="122"/>
      <c r="FF207" s="122"/>
      <c r="FG207" s="122"/>
      <c r="FH207" s="122"/>
      <c r="FI207" s="122"/>
      <c r="FJ207" s="122"/>
      <c r="FK207" s="122"/>
      <c r="FL207" s="122"/>
      <c r="FM207" s="122"/>
      <c r="FN207" s="122"/>
      <c r="FO207" s="122"/>
      <c r="FP207" s="122"/>
      <c r="FQ207" s="122"/>
      <c r="FR207" s="122"/>
      <c r="FS207" s="122"/>
      <c r="FT207" s="122"/>
      <c r="FU207" s="122"/>
      <c r="FV207" s="122"/>
      <c r="FW207" s="122"/>
      <c r="FX207" s="122"/>
      <c r="FY207" s="122"/>
      <c r="FZ207" s="122"/>
      <c r="GA207" s="122"/>
      <c r="GB207" s="122"/>
      <c r="GC207" s="122"/>
      <c r="GD207" s="122"/>
      <c r="GE207" s="122"/>
      <c r="GF207" s="122"/>
      <c r="GG207" s="122"/>
      <c r="GH207" s="122"/>
      <c r="GI207" s="122"/>
      <c r="GJ207" s="122"/>
      <c r="GK207" s="122"/>
      <c r="GL207" s="122"/>
      <c r="GM207" s="122"/>
      <c r="GN207" s="122"/>
      <c r="GO207" s="122"/>
      <c r="GP207" s="122"/>
      <c r="GQ207" s="122"/>
      <c r="GR207" s="122"/>
      <c r="GS207" s="122"/>
      <c r="GT207" s="122"/>
      <c r="GU207" s="122"/>
      <c r="GV207" s="122"/>
      <c r="GW207" s="122"/>
      <c r="GX207" s="122"/>
      <c r="GY207" s="122"/>
      <c r="GZ207" s="122"/>
      <c r="HA207" s="122"/>
      <c r="HB207" s="122"/>
      <c r="HC207" s="122"/>
      <c r="HD207" s="122"/>
      <c r="HE207" s="122"/>
      <c r="HF207" s="122"/>
      <c r="HG207" s="122"/>
      <c r="HH207" s="122"/>
      <c r="HI207" s="122"/>
      <c r="HJ207" s="122"/>
      <c r="HK207" s="122"/>
      <c r="HL207" s="122"/>
      <c r="HM207" s="122"/>
      <c r="HN207" s="122"/>
      <c r="HO207" s="122"/>
      <c r="HP207" s="122"/>
      <c r="HQ207" s="122"/>
      <c r="HR207" s="122"/>
      <c r="HS207" s="122"/>
      <c r="HT207" s="122"/>
      <c r="HU207" s="122"/>
      <c r="HV207" s="122"/>
      <c r="HW207" s="122"/>
      <c r="HX207" s="122"/>
      <c r="HY207" s="122"/>
      <c r="HZ207" s="122"/>
      <c r="IA207" s="122"/>
      <c r="IB207" s="122"/>
      <c r="IC207" s="122"/>
      <c r="ID207" s="122"/>
      <c r="IE207" s="122"/>
      <c r="IF207" s="122"/>
      <c r="IG207" s="122"/>
      <c r="IH207" s="122"/>
      <c r="II207" s="122"/>
      <c r="IJ207" s="122"/>
      <c r="IK207" s="122"/>
      <c r="IL207" s="122"/>
      <c r="IM207" s="122"/>
      <c r="IN207" s="122"/>
      <c r="IO207" s="122"/>
      <c r="IP207" s="122"/>
      <c r="IQ207" s="122"/>
      <c r="IR207" s="122"/>
      <c r="IS207" s="122"/>
      <c r="IT207" s="122"/>
      <c r="IU207" s="122"/>
      <c r="IV207" s="122"/>
      <c r="IW207" s="122"/>
      <c r="IX207" s="122"/>
      <c r="IY207" s="122"/>
      <c r="IZ207" s="122"/>
      <c r="JA207" s="122"/>
      <c r="JB207" s="122"/>
      <c r="JC207" s="122"/>
      <c r="JD207" s="122"/>
      <c r="JE207" s="122"/>
      <c r="JF207" s="122"/>
      <c r="JG207" s="122"/>
      <c r="JH207" s="122"/>
      <c r="JI207" s="119"/>
      <c r="JJ207" s="2"/>
      <c r="JK207" s="122"/>
      <c r="JL207" s="125"/>
      <c r="JM207" s="125"/>
      <c r="JN207" s="125"/>
      <c r="JO207" s="125"/>
      <c r="JP207" s="125"/>
    </row>
    <row r="208" spans="1:276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  <c r="AS208" s="122"/>
      <c r="AT208" s="122"/>
      <c r="AU208" s="122"/>
      <c r="AV208" s="122"/>
      <c r="AW208" s="122"/>
      <c r="AX208" s="122"/>
      <c r="AY208" s="122"/>
      <c r="AZ208" s="122"/>
      <c r="BA208" s="122"/>
      <c r="BB208" s="122"/>
      <c r="BC208" s="122"/>
      <c r="BD208" s="122"/>
      <c r="BE208" s="122"/>
      <c r="BF208" s="122"/>
      <c r="BG208" s="122"/>
      <c r="BH208" s="122"/>
      <c r="BI208" s="122"/>
      <c r="BJ208" s="122"/>
      <c r="BK208" s="122"/>
      <c r="BL208" s="122"/>
      <c r="BM208" s="122"/>
      <c r="BN208" s="122"/>
      <c r="BO208" s="122"/>
      <c r="BP208" s="122"/>
      <c r="BQ208" s="122"/>
      <c r="BR208" s="122"/>
      <c r="BS208" s="122"/>
      <c r="BT208" s="122"/>
      <c r="BU208" s="122"/>
      <c r="BV208" s="122"/>
      <c r="BW208" s="122"/>
      <c r="BX208" s="122"/>
      <c r="BY208" s="122"/>
      <c r="BZ208" s="122"/>
      <c r="CA208" s="122"/>
      <c r="CB208" s="122"/>
      <c r="CC208" s="122"/>
      <c r="CD208" s="122"/>
      <c r="CE208" s="122"/>
      <c r="CF208" s="122"/>
      <c r="CG208" s="122"/>
      <c r="CH208" s="122"/>
      <c r="CI208" s="122"/>
      <c r="CJ208" s="122"/>
      <c r="CK208" s="122"/>
      <c r="CL208" s="122"/>
      <c r="CM208" s="122"/>
      <c r="CN208" s="122"/>
      <c r="CO208" s="122"/>
      <c r="CP208" s="122"/>
      <c r="CQ208" s="122"/>
      <c r="CR208" s="122"/>
      <c r="CS208" s="122"/>
      <c r="CT208" s="122"/>
      <c r="CU208" s="122"/>
      <c r="CV208" s="122"/>
      <c r="CW208" s="122"/>
      <c r="CX208" s="122"/>
      <c r="CY208" s="122"/>
      <c r="CZ208" s="122"/>
      <c r="DA208" s="122"/>
      <c r="DB208" s="122"/>
      <c r="DC208" s="122"/>
      <c r="DD208" s="122"/>
      <c r="DE208" s="122"/>
      <c r="DF208" s="122"/>
      <c r="DG208" s="122"/>
      <c r="DH208" s="122"/>
      <c r="DI208" s="122"/>
      <c r="DJ208" s="122"/>
      <c r="DK208" s="122"/>
      <c r="DL208" s="122"/>
      <c r="DM208" s="122"/>
      <c r="DN208" s="122"/>
      <c r="DO208" s="122"/>
      <c r="DP208" s="122"/>
      <c r="DQ208" s="122"/>
      <c r="DR208" s="122"/>
      <c r="DS208" s="122"/>
      <c r="DT208" s="122"/>
      <c r="DU208" s="122"/>
      <c r="DV208" s="122"/>
      <c r="DW208" s="122"/>
      <c r="DX208" s="122"/>
      <c r="DY208" s="122"/>
      <c r="DZ208" s="122"/>
      <c r="EA208" s="122"/>
      <c r="EB208" s="122"/>
      <c r="EC208" s="122"/>
      <c r="ED208" s="122"/>
      <c r="EE208" s="122"/>
      <c r="EF208" s="122"/>
      <c r="EG208" s="122"/>
      <c r="EH208" s="122"/>
      <c r="EI208" s="122"/>
      <c r="EJ208" s="122"/>
      <c r="EK208" s="122"/>
      <c r="EL208" s="122"/>
      <c r="EM208" s="122"/>
      <c r="EN208" s="122"/>
      <c r="EO208" s="122"/>
      <c r="EP208" s="122"/>
      <c r="EQ208" s="122"/>
      <c r="ER208" s="122"/>
      <c r="ES208" s="122"/>
      <c r="ET208" s="122"/>
      <c r="EU208" s="122"/>
      <c r="EV208" s="122"/>
      <c r="EW208" s="122"/>
      <c r="EX208" s="122"/>
      <c r="EY208" s="122"/>
      <c r="EZ208" s="122"/>
      <c r="FA208" s="122"/>
      <c r="FB208" s="122"/>
      <c r="FC208" s="122"/>
      <c r="FD208" s="122"/>
      <c r="FE208" s="122"/>
      <c r="FF208" s="122"/>
      <c r="FG208" s="122"/>
      <c r="FH208" s="122"/>
      <c r="FI208" s="122"/>
      <c r="FJ208" s="122"/>
      <c r="FK208" s="122"/>
      <c r="FL208" s="122"/>
      <c r="FM208" s="122"/>
      <c r="FN208" s="122"/>
      <c r="FO208" s="122"/>
      <c r="FP208" s="122"/>
      <c r="FQ208" s="122"/>
      <c r="FR208" s="122"/>
      <c r="FS208" s="122"/>
      <c r="FT208" s="122"/>
      <c r="FU208" s="122"/>
      <c r="FV208" s="122"/>
      <c r="FW208" s="122"/>
      <c r="FX208" s="122"/>
      <c r="FY208" s="122"/>
      <c r="FZ208" s="122"/>
      <c r="GA208" s="122"/>
      <c r="GB208" s="122"/>
      <c r="GC208" s="122"/>
      <c r="GD208" s="122"/>
      <c r="GE208" s="122"/>
      <c r="GF208" s="122"/>
      <c r="GG208" s="122"/>
      <c r="GH208" s="122"/>
      <c r="GI208" s="122"/>
      <c r="GJ208" s="122"/>
      <c r="GK208" s="122"/>
      <c r="GL208" s="122"/>
      <c r="GM208" s="122"/>
      <c r="GN208" s="122"/>
      <c r="GO208" s="122"/>
      <c r="GP208" s="122"/>
      <c r="GQ208" s="122"/>
      <c r="GR208" s="122"/>
      <c r="GS208" s="122"/>
      <c r="GT208" s="122"/>
      <c r="GU208" s="122"/>
      <c r="GV208" s="122"/>
      <c r="GW208" s="122"/>
      <c r="GX208" s="122"/>
      <c r="GY208" s="122"/>
      <c r="GZ208" s="122"/>
      <c r="HA208" s="122"/>
      <c r="HB208" s="122"/>
      <c r="HC208" s="122"/>
      <c r="HD208" s="122"/>
      <c r="HE208" s="122"/>
      <c r="HF208" s="122"/>
      <c r="HG208" s="122"/>
      <c r="HH208" s="122"/>
      <c r="HI208" s="122"/>
      <c r="HJ208" s="122"/>
      <c r="HK208" s="122"/>
      <c r="HL208" s="122"/>
      <c r="HM208" s="122"/>
      <c r="HN208" s="122"/>
      <c r="HO208" s="122"/>
      <c r="HP208" s="122"/>
      <c r="HQ208" s="122"/>
      <c r="HR208" s="122"/>
      <c r="HS208" s="122"/>
      <c r="HT208" s="122"/>
      <c r="HU208" s="122"/>
      <c r="HV208" s="122"/>
      <c r="HW208" s="122"/>
      <c r="HX208" s="122"/>
      <c r="HY208" s="122"/>
      <c r="HZ208" s="122"/>
      <c r="IA208" s="122"/>
      <c r="IB208" s="122"/>
      <c r="IC208" s="122"/>
      <c r="ID208" s="122"/>
      <c r="IE208" s="122"/>
      <c r="IF208" s="122"/>
      <c r="IG208" s="122"/>
      <c r="IH208" s="122"/>
      <c r="II208" s="122"/>
      <c r="IJ208" s="122"/>
      <c r="IK208" s="122"/>
      <c r="IL208" s="122"/>
      <c r="IM208" s="122"/>
      <c r="IN208" s="122"/>
      <c r="IO208" s="122"/>
      <c r="IP208" s="122"/>
      <c r="IQ208" s="122"/>
      <c r="IR208" s="122"/>
      <c r="IS208" s="122"/>
      <c r="IT208" s="122"/>
      <c r="IU208" s="122"/>
      <c r="IV208" s="122"/>
      <c r="IW208" s="122"/>
      <c r="IX208" s="122"/>
      <c r="IY208" s="122"/>
      <c r="IZ208" s="122"/>
      <c r="JA208" s="122"/>
      <c r="JB208" s="122"/>
      <c r="JC208" s="122"/>
      <c r="JD208" s="122"/>
      <c r="JE208" s="122"/>
      <c r="JF208" s="122"/>
      <c r="JG208" s="122"/>
      <c r="JH208" s="122"/>
      <c r="JI208" s="119"/>
      <c r="JJ208" s="2"/>
      <c r="JK208" s="122"/>
      <c r="JL208" s="125"/>
      <c r="JM208" s="125"/>
      <c r="JN208" s="125"/>
      <c r="JO208" s="125"/>
      <c r="JP208" s="125"/>
    </row>
    <row r="209" spans="1:276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  <c r="AR209" s="122"/>
      <c r="AS209" s="122"/>
      <c r="AT209" s="122"/>
      <c r="AU209" s="122"/>
      <c r="AV209" s="122"/>
      <c r="AW209" s="122"/>
      <c r="AX209" s="122"/>
      <c r="AY209" s="122"/>
      <c r="AZ209" s="122"/>
      <c r="BA209" s="122"/>
      <c r="BB209" s="122"/>
      <c r="BC209" s="122"/>
      <c r="BD209" s="122"/>
      <c r="BE209" s="122"/>
      <c r="BF209" s="122"/>
      <c r="BG209" s="122"/>
      <c r="BH209" s="122"/>
      <c r="BI209" s="122"/>
      <c r="BJ209" s="122"/>
      <c r="BK209" s="122"/>
      <c r="BL209" s="122"/>
      <c r="BM209" s="122"/>
      <c r="BN209" s="122"/>
      <c r="BO209" s="122"/>
      <c r="BP209" s="122"/>
      <c r="BQ209" s="122"/>
      <c r="BR209" s="122"/>
      <c r="BS209" s="122"/>
      <c r="BT209" s="122"/>
      <c r="BU209" s="122"/>
      <c r="BV209" s="122"/>
      <c r="BW209" s="122"/>
      <c r="BX209" s="122"/>
      <c r="BY209" s="122"/>
      <c r="BZ209" s="122"/>
      <c r="CA209" s="122"/>
      <c r="CB209" s="122"/>
      <c r="CC209" s="122"/>
      <c r="CD209" s="122"/>
      <c r="CE209" s="122"/>
      <c r="CF209" s="122"/>
      <c r="CG209" s="122"/>
      <c r="CH209" s="122"/>
      <c r="CI209" s="122"/>
      <c r="CJ209" s="122"/>
      <c r="CK209" s="122"/>
      <c r="CL209" s="122"/>
      <c r="CM209" s="122"/>
      <c r="CN209" s="122"/>
      <c r="CO209" s="122"/>
      <c r="CP209" s="122"/>
      <c r="CQ209" s="122"/>
      <c r="CR209" s="122"/>
      <c r="CS209" s="122"/>
      <c r="CT209" s="122"/>
      <c r="CU209" s="122"/>
      <c r="CV209" s="122"/>
      <c r="CW209" s="122"/>
      <c r="CX209" s="122"/>
      <c r="CY209" s="122"/>
      <c r="CZ209" s="122"/>
      <c r="DA209" s="122"/>
      <c r="DB209" s="122"/>
      <c r="DC209" s="122"/>
      <c r="DD209" s="122"/>
      <c r="DE209" s="122"/>
      <c r="DF209" s="122"/>
      <c r="DG209" s="122"/>
      <c r="DH209" s="122"/>
      <c r="DI209" s="122"/>
      <c r="DJ209" s="122"/>
      <c r="DK209" s="122"/>
      <c r="DL209" s="122"/>
      <c r="DM209" s="122"/>
      <c r="DN209" s="122"/>
      <c r="DO209" s="122"/>
      <c r="DP209" s="122"/>
      <c r="DQ209" s="122"/>
      <c r="DR209" s="122"/>
      <c r="DS209" s="122"/>
      <c r="DT209" s="122"/>
      <c r="DU209" s="122"/>
      <c r="DV209" s="122"/>
      <c r="DW209" s="122"/>
      <c r="DX209" s="122"/>
      <c r="DY209" s="122"/>
      <c r="DZ209" s="122"/>
      <c r="EA209" s="122"/>
      <c r="EB209" s="122"/>
      <c r="EC209" s="122"/>
      <c r="ED209" s="122"/>
      <c r="EE209" s="122"/>
      <c r="EF209" s="122"/>
      <c r="EG209" s="122"/>
      <c r="EH209" s="122"/>
      <c r="EI209" s="122"/>
      <c r="EJ209" s="122"/>
      <c r="EK209" s="122"/>
      <c r="EL209" s="122"/>
      <c r="EM209" s="122"/>
      <c r="EN209" s="122"/>
      <c r="EO209" s="122"/>
      <c r="EP209" s="122"/>
      <c r="EQ209" s="122"/>
      <c r="ER209" s="122"/>
      <c r="ES209" s="122"/>
      <c r="ET209" s="122"/>
      <c r="EU209" s="122"/>
      <c r="EV209" s="122"/>
      <c r="EW209" s="122"/>
      <c r="EX209" s="122"/>
      <c r="EY209" s="122"/>
      <c r="EZ209" s="122"/>
      <c r="FA209" s="122"/>
      <c r="FB209" s="122"/>
      <c r="FC209" s="122"/>
      <c r="FD209" s="122"/>
      <c r="FE209" s="122"/>
      <c r="FF209" s="122"/>
      <c r="FG209" s="122"/>
      <c r="FH209" s="122"/>
      <c r="FI209" s="122"/>
      <c r="FJ209" s="122"/>
      <c r="FK209" s="122"/>
      <c r="FL209" s="122"/>
      <c r="FM209" s="122"/>
      <c r="FN209" s="122"/>
      <c r="FO209" s="122"/>
      <c r="FP209" s="122"/>
      <c r="FQ209" s="122"/>
      <c r="FR209" s="122"/>
      <c r="FS209" s="122"/>
      <c r="FT209" s="122"/>
      <c r="FU209" s="122"/>
      <c r="FV209" s="122"/>
      <c r="FW209" s="122"/>
      <c r="FX209" s="122"/>
      <c r="FY209" s="122"/>
      <c r="FZ209" s="122"/>
      <c r="GA209" s="122"/>
      <c r="GB209" s="122"/>
      <c r="GC209" s="122"/>
      <c r="GD209" s="122"/>
      <c r="GE209" s="122"/>
      <c r="GF209" s="122"/>
      <c r="GG209" s="122"/>
      <c r="GH209" s="122"/>
      <c r="GI209" s="122"/>
      <c r="GJ209" s="122"/>
      <c r="GK209" s="122"/>
      <c r="GL209" s="122"/>
      <c r="GM209" s="122"/>
      <c r="GN209" s="122"/>
      <c r="GO209" s="122"/>
      <c r="GP209" s="122"/>
      <c r="GQ209" s="122"/>
      <c r="GR209" s="122"/>
      <c r="GS209" s="122"/>
      <c r="GT209" s="122"/>
      <c r="GU209" s="122"/>
      <c r="GV209" s="122"/>
      <c r="GW209" s="122"/>
      <c r="GX209" s="122"/>
      <c r="GY209" s="122"/>
      <c r="GZ209" s="122"/>
      <c r="HA209" s="122"/>
      <c r="HB209" s="122"/>
      <c r="HC209" s="122"/>
      <c r="HD209" s="122"/>
      <c r="HE209" s="122"/>
      <c r="HF209" s="122"/>
      <c r="HG209" s="122"/>
      <c r="HH209" s="122"/>
      <c r="HI209" s="122"/>
      <c r="HJ209" s="122"/>
      <c r="HK209" s="122"/>
      <c r="HL209" s="122"/>
      <c r="HM209" s="122"/>
      <c r="HN209" s="122"/>
      <c r="HO209" s="122"/>
      <c r="HP209" s="122"/>
      <c r="HQ209" s="122"/>
      <c r="HR209" s="122"/>
      <c r="HS209" s="122"/>
      <c r="HT209" s="122"/>
      <c r="HU209" s="122"/>
      <c r="HV209" s="122"/>
      <c r="HW209" s="122"/>
      <c r="HX209" s="122"/>
      <c r="HY209" s="122"/>
      <c r="HZ209" s="122"/>
      <c r="IA209" s="122"/>
      <c r="IB209" s="122"/>
      <c r="IC209" s="122"/>
      <c r="ID209" s="122"/>
      <c r="IE209" s="122"/>
      <c r="IF209" s="122"/>
      <c r="IG209" s="122"/>
      <c r="IH209" s="122"/>
      <c r="II209" s="122"/>
      <c r="IJ209" s="122"/>
      <c r="IK209" s="122"/>
      <c r="IL209" s="122"/>
      <c r="IM209" s="122"/>
      <c r="IN209" s="122"/>
      <c r="IO209" s="122"/>
      <c r="IP209" s="122"/>
      <c r="IQ209" s="122"/>
      <c r="IR209" s="122"/>
      <c r="IS209" s="122"/>
      <c r="IT209" s="122"/>
      <c r="IU209" s="122"/>
      <c r="IV209" s="122"/>
      <c r="IW209" s="122"/>
      <c r="IX209" s="122"/>
      <c r="IY209" s="122"/>
      <c r="IZ209" s="122"/>
      <c r="JA209" s="122"/>
      <c r="JB209" s="122"/>
      <c r="JC209" s="122"/>
      <c r="JD209" s="122"/>
      <c r="JE209" s="122"/>
      <c r="JF209" s="122"/>
      <c r="JG209" s="122"/>
      <c r="JH209" s="122"/>
      <c r="JI209" s="119"/>
      <c r="JJ209" s="2"/>
      <c r="JK209" s="122"/>
      <c r="JL209" s="125"/>
      <c r="JM209" s="125"/>
      <c r="JN209" s="125"/>
      <c r="JO209" s="125"/>
      <c r="JP209" s="125"/>
    </row>
    <row r="210" spans="1:276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  <c r="AP210" s="122"/>
      <c r="AQ210" s="122"/>
      <c r="AR210" s="122"/>
      <c r="AS210" s="122"/>
      <c r="AT210" s="122"/>
      <c r="AU210" s="122"/>
      <c r="AV210" s="122"/>
      <c r="AW210" s="122"/>
      <c r="AX210" s="122"/>
      <c r="AY210" s="122"/>
      <c r="AZ210" s="122"/>
      <c r="BA210" s="122"/>
      <c r="BB210" s="122"/>
      <c r="BC210" s="122"/>
      <c r="BD210" s="122"/>
      <c r="BE210" s="122"/>
      <c r="BF210" s="122"/>
      <c r="BG210" s="122"/>
      <c r="BH210" s="122"/>
      <c r="BI210" s="122"/>
      <c r="BJ210" s="122"/>
      <c r="BK210" s="122"/>
      <c r="BL210" s="122"/>
      <c r="BM210" s="122"/>
      <c r="BN210" s="122"/>
      <c r="BO210" s="122"/>
      <c r="BP210" s="122"/>
      <c r="BQ210" s="122"/>
      <c r="BR210" s="122"/>
      <c r="BS210" s="122"/>
      <c r="BT210" s="122"/>
      <c r="BU210" s="122"/>
      <c r="BV210" s="122"/>
      <c r="BW210" s="122"/>
      <c r="BX210" s="122"/>
      <c r="BY210" s="122"/>
      <c r="BZ210" s="122"/>
      <c r="CA210" s="122"/>
      <c r="CB210" s="122"/>
      <c r="CC210" s="122"/>
      <c r="CD210" s="122"/>
      <c r="CE210" s="122"/>
      <c r="CF210" s="122"/>
      <c r="CG210" s="122"/>
      <c r="CH210" s="122"/>
      <c r="CI210" s="122"/>
      <c r="CJ210" s="122"/>
      <c r="CK210" s="122"/>
      <c r="CL210" s="122"/>
      <c r="CM210" s="122"/>
      <c r="CN210" s="122"/>
      <c r="CO210" s="122"/>
      <c r="CP210" s="122"/>
      <c r="CQ210" s="122"/>
      <c r="CR210" s="122"/>
      <c r="CS210" s="122"/>
      <c r="CT210" s="122"/>
      <c r="CU210" s="122"/>
      <c r="CV210" s="122"/>
      <c r="CW210" s="122"/>
      <c r="CX210" s="122"/>
      <c r="CY210" s="122"/>
      <c r="CZ210" s="122"/>
      <c r="DA210" s="122"/>
      <c r="DB210" s="122"/>
      <c r="DC210" s="122"/>
      <c r="DD210" s="122"/>
      <c r="DE210" s="122"/>
      <c r="DF210" s="122"/>
      <c r="DG210" s="122"/>
      <c r="DH210" s="122"/>
      <c r="DI210" s="122"/>
      <c r="DJ210" s="122"/>
      <c r="DK210" s="122"/>
      <c r="DL210" s="122"/>
      <c r="DM210" s="122"/>
      <c r="DN210" s="122"/>
      <c r="DO210" s="122"/>
      <c r="DP210" s="122"/>
      <c r="DQ210" s="122"/>
      <c r="DR210" s="122"/>
      <c r="DS210" s="122"/>
      <c r="DT210" s="122"/>
      <c r="DU210" s="122"/>
      <c r="DV210" s="122"/>
      <c r="DW210" s="122"/>
      <c r="DX210" s="122"/>
      <c r="DY210" s="122"/>
      <c r="DZ210" s="122"/>
      <c r="EA210" s="122"/>
      <c r="EB210" s="122"/>
      <c r="EC210" s="122"/>
      <c r="ED210" s="122"/>
      <c r="EE210" s="122"/>
      <c r="EF210" s="122"/>
      <c r="EG210" s="122"/>
      <c r="EH210" s="122"/>
      <c r="EI210" s="122"/>
      <c r="EJ210" s="122"/>
      <c r="EK210" s="122"/>
      <c r="EL210" s="122"/>
      <c r="EM210" s="122"/>
      <c r="EN210" s="122"/>
      <c r="EO210" s="122"/>
      <c r="EP210" s="122"/>
      <c r="EQ210" s="122"/>
      <c r="ER210" s="122"/>
      <c r="ES210" s="122"/>
      <c r="ET210" s="122"/>
      <c r="EU210" s="122"/>
      <c r="EV210" s="122"/>
      <c r="EW210" s="122"/>
      <c r="EX210" s="122"/>
      <c r="EY210" s="122"/>
      <c r="EZ210" s="122"/>
      <c r="FA210" s="122"/>
      <c r="FB210" s="122"/>
      <c r="FC210" s="122"/>
      <c r="FD210" s="122"/>
      <c r="FE210" s="122"/>
      <c r="FF210" s="122"/>
      <c r="FG210" s="122"/>
      <c r="FH210" s="122"/>
      <c r="FI210" s="122"/>
      <c r="FJ210" s="122"/>
      <c r="FK210" s="122"/>
      <c r="FL210" s="122"/>
      <c r="FM210" s="122"/>
      <c r="FN210" s="122"/>
      <c r="FO210" s="122"/>
      <c r="FP210" s="122"/>
      <c r="FQ210" s="122"/>
      <c r="FR210" s="122"/>
      <c r="FS210" s="122"/>
      <c r="FT210" s="122"/>
      <c r="FU210" s="122"/>
      <c r="FV210" s="122"/>
      <c r="FW210" s="122"/>
      <c r="FX210" s="122"/>
      <c r="FY210" s="122"/>
      <c r="FZ210" s="122"/>
      <c r="GA210" s="122"/>
      <c r="GB210" s="122"/>
      <c r="GC210" s="122"/>
      <c r="GD210" s="122"/>
      <c r="GE210" s="122"/>
      <c r="GF210" s="122"/>
      <c r="GG210" s="122"/>
      <c r="GH210" s="122"/>
      <c r="GI210" s="122"/>
      <c r="GJ210" s="122"/>
      <c r="GK210" s="122"/>
      <c r="GL210" s="122"/>
      <c r="GM210" s="122"/>
      <c r="GN210" s="122"/>
      <c r="GO210" s="122"/>
      <c r="GP210" s="122"/>
      <c r="GQ210" s="122"/>
      <c r="GR210" s="122"/>
      <c r="GS210" s="122"/>
      <c r="GT210" s="122"/>
      <c r="GU210" s="122"/>
      <c r="GV210" s="122"/>
      <c r="GW210" s="122"/>
      <c r="GX210" s="122"/>
      <c r="GY210" s="122"/>
      <c r="GZ210" s="122"/>
      <c r="HA210" s="122"/>
      <c r="HB210" s="122"/>
      <c r="HC210" s="122"/>
      <c r="HD210" s="122"/>
      <c r="HE210" s="122"/>
      <c r="HF210" s="122"/>
      <c r="HG210" s="122"/>
      <c r="HH210" s="122"/>
      <c r="HI210" s="122"/>
      <c r="HJ210" s="122"/>
      <c r="HK210" s="122"/>
      <c r="HL210" s="122"/>
      <c r="HM210" s="122"/>
      <c r="HN210" s="122"/>
      <c r="HO210" s="122"/>
      <c r="HP210" s="122"/>
      <c r="HQ210" s="122"/>
      <c r="HR210" s="122"/>
      <c r="HS210" s="122"/>
      <c r="HT210" s="122"/>
      <c r="HU210" s="122"/>
      <c r="HV210" s="122"/>
      <c r="HW210" s="122"/>
      <c r="HX210" s="122"/>
      <c r="HY210" s="122"/>
      <c r="HZ210" s="122"/>
      <c r="IA210" s="122"/>
      <c r="IB210" s="122"/>
      <c r="IC210" s="122"/>
      <c r="ID210" s="122"/>
      <c r="IE210" s="122"/>
      <c r="IF210" s="122"/>
      <c r="IG210" s="122"/>
      <c r="IH210" s="122"/>
      <c r="II210" s="122"/>
      <c r="IJ210" s="122"/>
      <c r="IK210" s="122"/>
      <c r="IL210" s="122"/>
      <c r="IM210" s="122"/>
      <c r="IN210" s="122"/>
      <c r="IO210" s="122"/>
      <c r="IP210" s="122"/>
      <c r="IQ210" s="122"/>
      <c r="IR210" s="122"/>
      <c r="IS210" s="122"/>
      <c r="IT210" s="122"/>
      <c r="IU210" s="122"/>
      <c r="IV210" s="122"/>
      <c r="IW210" s="122"/>
      <c r="IX210" s="122"/>
      <c r="IY210" s="122"/>
      <c r="IZ210" s="122"/>
      <c r="JA210" s="122"/>
      <c r="JB210" s="122"/>
      <c r="JC210" s="122"/>
      <c r="JD210" s="122"/>
      <c r="JE210" s="122"/>
      <c r="JF210" s="122"/>
      <c r="JG210" s="122"/>
      <c r="JH210" s="122"/>
      <c r="JI210" s="119"/>
      <c r="JJ210" s="2"/>
      <c r="JK210" s="122"/>
      <c r="JL210" s="125"/>
      <c r="JM210" s="125"/>
      <c r="JN210" s="125"/>
      <c r="JO210" s="125"/>
      <c r="JP210" s="125"/>
    </row>
    <row r="211" spans="1:276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  <c r="AR211" s="122"/>
      <c r="AS211" s="122"/>
      <c r="AT211" s="122"/>
      <c r="AU211" s="122"/>
      <c r="AV211" s="122"/>
      <c r="AW211" s="122"/>
      <c r="AX211" s="122"/>
      <c r="AY211" s="122"/>
      <c r="AZ211" s="122"/>
      <c r="BA211" s="122"/>
      <c r="BB211" s="122"/>
      <c r="BC211" s="122"/>
      <c r="BD211" s="122"/>
      <c r="BE211" s="122"/>
      <c r="BF211" s="122"/>
      <c r="BG211" s="122"/>
      <c r="BH211" s="122"/>
      <c r="BI211" s="122"/>
      <c r="BJ211" s="122"/>
      <c r="BK211" s="122"/>
      <c r="BL211" s="122"/>
      <c r="BM211" s="122"/>
      <c r="BN211" s="122"/>
      <c r="BO211" s="122"/>
      <c r="BP211" s="122"/>
      <c r="BQ211" s="122"/>
      <c r="BR211" s="122"/>
      <c r="BS211" s="122"/>
      <c r="BT211" s="122"/>
      <c r="BU211" s="122"/>
      <c r="BV211" s="122"/>
      <c r="BW211" s="122"/>
      <c r="BX211" s="122"/>
      <c r="BY211" s="122"/>
      <c r="BZ211" s="122"/>
      <c r="CA211" s="122"/>
      <c r="CB211" s="122"/>
      <c r="CC211" s="122"/>
      <c r="CD211" s="122"/>
      <c r="CE211" s="122"/>
      <c r="CF211" s="122"/>
      <c r="CG211" s="122"/>
      <c r="CH211" s="122"/>
      <c r="CI211" s="122"/>
      <c r="CJ211" s="122"/>
      <c r="CK211" s="122"/>
      <c r="CL211" s="122"/>
      <c r="CM211" s="122"/>
      <c r="CN211" s="122"/>
      <c r="CO211" s="122"/>
      <c r="CP211" s="122"/>
      <c r="CQ211" s="122"/>
      <c r="CR211" s="122"/>
      <c r="CS211" s="122"/>
      <c r="CT211" s="122"/>
      <c r="CU211" s="122"/>
      <c r="CV211" s="122"/>
      <c r="CW211" s="122"/>
      <c r="CX211" s="122"/>
      <c r="CY211" s="122"/>
      <c r="CZ211" s="122"/>
      <c r="DA211" s="122"/>
      <c r="DB211" s="122"/>
      <c r="DC211" s="122"/>
      <c r="DD211" s="122"/>
      <c r="DE211" s="122"/>
      <c r="DF211" s="122"/>
      <c r="DG211" s="122"/>
      <c r="DH211" s="122"/>
      <c r="DI211" s="122"/>
      <c r="DJ211" s="122"/>
      <c r="DK211" s="122"/>
      <c r="DL211" s="122"/>
      <c r="DM211" s="122"/>
      <c r="DN211" s="122"/>
      <c r="DO211" s="122"/>
      <c r="DP211" s="122"/>
      <c r="DQ211" s="122"/>
      <c r="DR211" s="122"/>
      <c r="DS211" s="122"/>
      <c r="DT211" s="122"/>
      <c r="DU211" s="122"/>
      <c r="DV211" s="122"/>
      <c r="DW211" s="122"/>
      <c r="DX211" s="122"/>
      <c r="DY211" s="122"/>
      <c r="DZ211" s="122"/>
      <c r="EA211" s="122"/>
      <c r="EB211" s="122"/>
      <c r="EC211" s="122"/>
      <c r="ED211" s="122"/>
      <c r="EE211" s="122"/>
      <c r="EF211" s="122"/>
      <c r="EG211" s="122"/>
      <c r="EH211" s="122"/>
      <c r="EI211" s="122"/>
      <c r="EJ211" s="122"/>
      <c r="EK211" s="122"/>
      <c r="EL211" s="122"/>
      <c r="EM211" s="122"/>
      <c r="EN211" s="122"/>
      <c r="EO211" s="122"/>
      <c r="EP211" s="122"/>
      <c r="EQ211" s="122"/>
      <c r="ER211" s="122"/>
      <c r="ES211" s="122"/>
      <c r="ET211" s="122"/>
      <c r="EU211" s="122"/>
      <c r="EV211" s="122"/>
      <c r="EW211" s="122"/>
      <c r="EX211" s="122"/>
      <c r="EY211" s="122"/>
      <c r="EZ211" s="122"/>
      <c r="FA211" s="122"/>
      <c r="FB211" s="122"/>
      <c r="FC211" s="122"/>
      <c r="FD211" s="122"/>
      <c r="FE211" s="122"/>
      <c r="FF211" s="122"/>
      <c r="FG211" s="122"/>
      <c r="FH211" s="122"/>
      <c r="FI211" s="122"/>
      <c r="FJ211" s="122"/>
      <c r="FK211" s="122"/>
      <c r="FL211" s="122"/>
      <c r="FM211" s="122"/>
      <c r="FN211" s="122"/>
      <c r="FO211" s="122"/>
      <c r="FP211" s="122"/>
      <c r="FQ211" s="122"/>
      <c r="FR211" s="122"/>
      <c r="FS211" s="122"/>
      <c r="FT211" s="122"/>
      <c r="FU211" s="122"/>
      <c r="FV211" s="122"/>
      <c r="FW211" s="122"/>
      <c r="FX211" s="122"/>
      <c r="FY211" s="122"/>
      <c r="FZ211" s="122"/>
      <c r="GA211" s="122"/>
      <c r="GB211" s="122"/>
      <c r="GC211" s="122"/>
      <c r="GD211" s="122"/>
      <c r="GE211" s="122"/>
      <c r="GF211" s="122"/>
      <c r="GG211" s="122"/>
      <c r="GH211" s="122"/>
      <c r="GI211" s="122"/>
      <c r="GJ211" s="122"/>
      <c r="GK211" s="122"/>
      <c r="GL211" s="122"/>
      <c r="GM211" s="122"/>
      <c r="GN211" s="122"/>
      <c r="GO211" s="122"/>
      <c r="GP211" s="122"/>
      <c r="GQ211" s="122"/>
      <c r="GR211" s="122"/>
      <c r="GS211" s="122"/>
      <c r="GT211" s="122"/>
      <c r="GU211" s="122"/>
      <c r="GV211" s="122"/>
      <c r="GW211" s="122"/>
      <c r="GX211" s="122"/>
      <c r="GY211" s="122"/>
      <c r="GZ211" s="122"/>
      <c r="HA211" s="122"/>
      <c r="HB211" s="122"/>
      <c r="HC211" s="122"/>
      <c r="HD211" s="122"/>
      <c r="HE211" s="122"/>
      <c r="HF211" s="122"/>
      <c r="HG211" s="122"/>
      <c r="HH211" s="122"/>
      <c r="HI211" s="122"/>
      <c r="HJ211" s="122"/>
      <c r="HK211" s="122"/>
      <c r="HL211" s="122"/>
      <c r="HM211" s="122"/>
      <c r="HN211" s="122"/>
      <c r="HO211" s="122"/>
      <c r="HP211" s="122"/>
      <c r="HQ211" s="122"/>
      <c r="HR211" s="122"/>
      <c r="HS211" s="122"/>
      <c r="HT211" s="122"/>
      <c r="HU211" s="122"/>
      <c r="HV211" s="122"/>
      <c r="HW211" s="122"/>
      <c r="HX211" s="122"/>
      <c r="HY211" s="122"/>
      <c r="HZ211" s="122"/>
      <c r="IA211" s="122"/>
      <c r="IB211" s="122"/>
      <c r="IC211" s="122"/>
      <c r="ID211" s="122"/>
      <c r="IE211" s="122"/>
      <c r="IF211" s="122"/>
      <c r="IG211" s="122"/>
      <c r="IH211" s="122"/>
      <c r="II211" s="122"/>
      <c r="IJ211" s="122"/>
      <c r="IK211" s="122"/>
      <c r="IL211" s="122"/>
      <c r="IM211" s="122"/>
      <c r="IN211" s="122"/>
      <c r="IO211" s="122"/>
      <c r="IP211" s="122"/>
      <c r="IQ211" s="122"/>
      <c r="IR211" s="122"/>
      <c r="IS211" s="122"/>
      <c r="IT211" s="122"/>
      <c r="IU211" s="122"/>
      <c r="IV211" s="122"/>
      <c r="IW211" s="122"/>
      <c r="IX211" s="122"/>
      <c r="IY211" s="122"/>
      <c r="IZ211" s="122"/>
      <c r="JA211" s="122"/>
      <c r="JB211" s="122"/>
      <c r="JC211" s="122"/>
      <c r="JD211" s="122"/>
      <c r="JE211" s="122"/>
      <c r="JF211" s="122"/>
      <c r="JG211" s="122"/>
      <c r="JH211" s="122"/>
      <c r="JI211" s="119"/>
      <c r="JJ211" s="2"/>
      <c r="JK211" s="122"/>
      <c r="JL211" s="125"/>
      <c r="JM211" s="125"/>
      <c r="JN211" s="125"/>
      <c r="JO211" s="125"/>
      <c r="JP211" s="125"/>
    </row>
    <row r="212" spans="1:276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  <c r="AP212" s="122"/>
      <c r="AQ212" s="122"/>
      <c r="AR212" s="122"/>
      <c r="AS212" s="122"/>
      <c r="AT212" s="122"/>
      <c r="AU212" s="122"/>
      <c r="AV212" s="122"/>
      <c r="AW212" s="122"/>
      <c r="AX212" s="122"/>
      <c r="AY212" s="122"/>
      <c r="AZ212" s="122"/>
      <c r="BA212" s="122"/>
      <c r="BB212" s="122"/>
      <c r="BC212" s="122"/>
      <c r="BD212" s="122"/>
      <c r="BE212" s="122"/>
      <c r="BF212" s="122"/>
      <c r="BG212" s="122"/>
      <c r="BH212" s="122"/>
      <c r="BI212" s="122"/>
      <c r="BJ212" s="122"/>
      <c r="BK212" s="122"/>
      <c r="BL212" s="122"/>
      <c r="BM212" s="122"/>
      <c r="BN212" s="122"/>
      <c r="BO212" s="122"/>
      <c r="BP212" s="122"/>
      <c r="BQ212" s="122"/>
      <c r="BR212" s="122"/>
      <c r="BS212" s="122"/>
      <c r="BT212" s="122"/>
      <c r="BU212" s="122"/>
      <c r="BV212" s="122"/>
      <c r="BW212" s="122"/>
      <c r="BX212" s="122"/>
      <c r="BY212" s="122"/>
      <c r="BZ212" s="122"/>
      <c r="CA212" s="122"/>
      <c r="CB212" s="122"/>
      <c r="CC212" s="122"/>
      <c r="CD212" s="122"/>
      <c r="CE212" s="122"/>
      <c r="CF212" s="122"/>
      <c r="CG212" s="122"/>
      <c r="CH212" s="122"/>
      <c r="CI212" s="122"/>
      <c r="CJ212" s="122"/>
      <c r="CK212" s="122"/>
      <c r="CL212" s="122"/>
      <c r="CM212" s="122"/>
      <c r="CN212" s="122"/>
      <c r="CO212" s="122"/>
      <c r="CP212" s="122"/>
      <c r="CQ212" s="122"/>
      <c r="CR212" s="122"/>
      <c r="CS212" s="122"/>
      <c r="CT212" s="122"/>
      <c r="CU212" s="122"/>
      <c r="CV212" s="122"/>
      <c r="CW212" s="122"/>
      <c r="CX212" s="122"/>
      <c r="CY212" s="122"/>
      <c r="CZ212" s="122"/>
      <c r="DA212" s="122"/>
      <c r="DB212" s="122"/>
      <c r="DC212" s="122"/>
      <c r="DD212" s="122"/>
      <c r="DE212" s="122"/>
      <c r="DF212" s="122"/>
      <c r="DG212" s="122"/>
      <c r="DH212" s="122"/>
      <c r="DI212" s="122"/>
      <c r="DJ212" s="122"/>
      <c r="DK212" s="122"/>
      <c r="DL212" s="122"/>
      <c r="DM212" s="122"/>
      <c r="DN212" s="122"/>
      <c r="DO212" s="122"/>
      <c r="DP212" s="122"/>
      <c r="DQ212" s="122"/>
      <c r="DR212" s="122"/>
      <c r="DS212" s="122"/>
      <c r="DT212" s="122"/>
      <c r="DU212" s="122"/>
      <c r="DV212" s="122"/>
      <c r="DW212" s="122"/>
      <c r="DX212" s="122"/>
      <c r="DY212" s="122"/>
      <c r="DZ212" s="122"/>
      <c r="EA212" s="122"/>
      <c r="EB212" s="122"/>
      <c r="EC212" s="122"/>
      <c r="ED212" s="122"/>
      <c r="EE212" s="122"/>
      <c r="EF212" s="122"/>
      <c r="EG212" s="122"/>
      <c r="EH212" s="122"/>
      <c r="EI212" s="122"/>
      <c r="EJ212" s="122"/>
      <c r="EK212" s="122"/>
      <c r="EL212" s="122"/>
      <c r="EM212" s="122"/>
      <c r="EN212" s="122"/>
      <c r="EO212" s="122"/>
      <c r="EP212" s="122"/>
      <c r="EQ212" s="122"/>
      <c r="ER212" s="122"/>
      <c r="ES212" s="122"/>
      <c r="ET212" s="122"/>
      <c r="EU212" s="122"/>
      <c r="EV212" s="122"/>
      <c r="EW212" s="122"/>
      <c r="EX212" s="122"/>
      <c r="EY212" s="122"/>
      <c r="EZ212" s="122"/>
      <c r="FA212" s="122"/>
      <c r="FB212" s="122"/>
      <c r="FC212" s="122"/>
      <c r="FD212" s="122"/>
      <c r="FE212" s="122"/>
      <c r="FF212" s="122"/>
      <c r="FG212" s="122"/>
      <c r="FH212" s="122"/>
      <c r="FI212" s="122"/>
      <c r="FJ212" s="122"/>
      <c r="FK212" s="122"/>
      <c r="FL212" s="122"/>
      <c r="FM212" s="122"/>
      <c r="FN212" s="122"/>
      <c r="FO212" s="122"/>
      <c r="FP212" s="122"/>
      <c r="FQ212" s="122"/>
      <c r="FR212" s="122"/>
      <c r="FS212" s="122"/>
      <c r="FT212" s="122"/>
      <c r="FU212" s="122"/>
      <c r="FV212" s="122"/>
      <c r="FW212" s="122"/>
      <c r="FX212" s="122"/>
      <c r="FY212" s="122"/>
      <c r="FZ212" s="122"/>
      <c r="GA212" s="122"/>
      <c r="GB212" s="122"/>
      <c r="GC212" s="122"/>
      <c r="GD212" s="122"/>
      <c r="GE212" s="122"/>
      <c r="GF212" s="122"/>
      <c r="GG212" s="122"/>
      <c r="GH212" s="122"/>
      <c r="GI212" s="122"/>
      <c r="GJ212" s="122"/>
      <c r="GK212" s="122"/>
      <c r="GL212" s="122"/>
      <c r="GM212" s="122"/>
      <c r="GN212" s="122"/>
      <c r="GO212" s="122"/>
      <c r="GP212" s="122"/>
      <c r="GQ212" s="122"/>
      <c r="GR212" s="122"/>
      <c r="GS212" s="122"/>
      <c r="GT212" s="122"/>
      <c r="GU212" s="122"/>
      <c r="GV212" s="122"/>
      <c r="GW212" s="122"/>
      <c r="GX212" s="122"/>
      <c r="GY212" s="122"/>
      <c r="GZ212" s="122"/>
      <c r="HA212" s="122"/>
      <c r="HB212" s="122"/>
      <c r="HC212" s="122"/>
      <c r="HD212" s="122"/>
      <c r="HE212" s="122"/>
      <c r="HF212" s="122"/>
      <c r="HG212" s="122"/>
      <c r="HH212" s="122"/>
      <c r="HI212" s="122"/>
      <c r="HJ212" s="122"/>
      <c r="HK212" s="122"/>
      <c r="HL212" s="122"/>
      <c r="HM212" s="122"/>
      <c r="HN212" s="122"/>
      <c r="HO212" s="122"/>
      <c r="HP212" s="122"/>
      <c r="HQ212" s="122"/>
      <c r="HR212" s="122"/>
      <c r="HS212" s="122"/>
      <c r="HT212" s="122"/>
      <c r="HU212" s="122"/>
      <c r="HV212" s="122"/>
      <c r="HW212" s="122"/>
      <c r="HX212" s="122"/>
      <c r="HY212" s="122"/>
      <c r="HZ212" s="122"/>
      <c r="IA212" s="122"/>
      <c r="IB212" s="122"/>
      <c r="IC212" s="122"/>
      <c r="ID212" s="122"/>
      <c r="IE212" s="122"/>
      <c r="IF212" s="122"/>
      <c r="IG212" s="122"/>
      <c r="IH212" s="122"/>
      <c r="II212" s="122"/>
      <c r="IJ212" s="122"/>
      <c r="IK212" s="122"/>
      <c r="IL212" s="122"/>
      <c r="IM212" s="122"/>
      <c r="IN212" s="122"/>
      <c r="IO212" s="122"/>
      <c r="IP212" s="122"/>
      <c r="IQ212" s="122"/>
      <c r="IR212" s="122"/>
      <c r="IS212" s="122"/>
      <c r="IT212" s="122"/>
      <c r="IU212" s="122"/>
      <c r="IV212" s="122"/>
      <c r="IW212" s="122"/>
      <c r="IX212" s="122"/>
      <c r="IY212" s="122"/>
      <c r="IZ212" s="122"/>
      <c r="JA212" s="122"/>
      <c r="JB212" s="122"/>
      <c r="JC212" s="122"/>
      <c r="JD212" s="122"/>
      <c r="JE212" s="122"/>
      <c r="JF212" s="122"/>
      <c r="JG212" s="122"/>
      <c r="JH212" s="122"/>
      <c r="JI212" s="119"/>
      <c r="JJ212" s="2"/>
      <c r="JK212" s="122"/>
      <c r="JL212" s="125"/>
      <c r="JM212" s="125"/>
      <c r="JN212" s="125"/>
      <c r="JO212" s="125"/>
      <c r="JP212" s="125"/>
    </row>
    <row r="213" spans="1:276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  <c r="AS213" s="122"/>
      <c r="AT213" s="122"/>
      <c r="AU213" s="122"/>
      <c r="AV213" s="122"/>
      <c r="AW213" s="122"/>
      <c r="AX213" s="122"/>
      <c r="AY213" s="122"/>
      <c r="AZ213" s="122"/>
      <c r="BA213" s="122"/>
      <c r="BB213" s="122"/>
      <c r="BC213" s="122"/>
      <c r="BD213" s="122"/>
      <c r="BE213" s="122"/>
      <c r="BF213" s="122"/>
      <c r="BG213" s="122"/>
      <c r="BH213" s="122"/>
      <c r="BI213" s="122"/>
      <c r="BJ213" s="122"/>
      <c r="BK213" s="122"/>
      <c r="BL213" s="122"/>
      <c r="BM213" s="122"/>
      <c r="BN213" s="122"/>
      <c r="BO213" s="122"/>
      <c r="BP213" s="122"/>
      <c r="BQ213" s="122"/>
      <c r="BR213" s="122"/>
      <c r="BS213" s="122"/>
      <c r="BT213" s="122"/>
      <c r="BU213" s="122"/>
      <c r="BV213" s="122"/>
      <c r="BW213" s="122"/>
      <c r="BX213" s="122"/>
      <c r="BY213" s="122"/>
      <c r="BZ213" s="122"/>
      <c r="CA213" s="122"/>
      <c r="CB213" s="122"/>
      <c r="CC213" s="122"/>
      <c r="CD213" s="122"/>
      <c r="CE213" s="122"/>
      <c r="CF213" s="122"/>
      <c r="CG213" s="122"/>
      <c r="CH213" s="122"/>
      <c r="CI213" s="122"/>
      <c r="CJ213" s="122"/>
      <c r="CK213" s="122"/>
      <c r="CL213" s="122"/>
      <c r="CM213" s="122"/>
      <c r="CN213" s="122"/>
      <c r="CO213" s="122"/>
      <c r="CP213" s="122"/>
      <c r="CQ213" s="122"/>
      <c r="CR213" s="122"/>
      <c r="CS213" s="122"/>
      <c r="CT213" s="122"/>
      <c r="CU213" s="122"/>
      <c r="CV213" s="122"/>
      <c r="CW213" s="122"/>
      <c r="CX213" s="122"/>
      <c r="CY213" s="122"/>
      <c r="CZ213" s="122"/>
      <c r="DA213" s="122"/>
      <c r="DB213" s="122"/>
      <c r="DC213" s="122"/>
      <c r="DD213" s="122"/>
      <c r="DE213" s="122"/>
      <c r="DF213" s="122"/>
      <c r="DG213" s="122"/>
      <c r="DH213" s="122"/>
      <c r="DI213" s="122"/>
      <c r="DJ213" s="122"/>
      <c r="DK213" s="122"/>
      <c r="DL213" s="122"/>
      <c r="DM213" s="122"/>
      <c r="DN213" s="122"/>
      <c r="DO213" s="122"/>
      <c r="DP213" s="122"/>
      <c r="DQ213" s="122"/>
      <c r="DR213" s="122"/>
      <c r="DS213" s="122"/>
      <c r="DT213" s="122"/>
      <c r="DU213" s="122"/>
      <c r="DV213" s="122"/>
      <c r="DW213" s="122"/>
      <c r="DX213" s="122"/>
      <c r="DY213" s="122"/>
      <c r="DZ213" s="122"/>
      <c r="EA213" s="122"/>
      <c r="EB213" s="122"/>
      <c r="EC213" s="122"/>
      <c r="ED213" s="122"/>
      <c r="EE213" s="122"/>
      <c r="EF213" s="122"/>
      <c r="EG213" s="122"/>
      <c r="EH213" s="122"/>
      <c r="EI213" s="122"/>
      <c r="EJ213" s="122"/>
      <c r="EK213" s="122"/>
      <c r="EL213" s="122"/>
      <c r="EM213" s="122"/>
      <c r="EN213" s="122"/>
      <c r="EO213" s="122"/>
      <c r="EP213" s="122"/>
      <c r="EQ213" s="122"/>
      <c r="ER213" s="122"/>
      <c r="ES213" s="122"/>
      <c r="ET213" s="122"/>
      <c r="EU213" s="122"/>
      <c r="EV213" s="122"/>
      <c r="EW213" s="122"/>
      <c r="EX213" s="122"/>
      <c r="EY213" s="122"/>
      <c r="EZ213" s="122"/>
      <c r="FA213" s="122"/>
      <c r="FB213" s="122"/>
      <c r="FC213" s="122"/>
      <c r="FD213" s="122"/>
      <c r="FE213" s="122"/>
      <c r="FF213" s="122"/>
      <c r="FG213" s="122"/>
      <c r="FH213" s="122"/>
      <c r="FI213" s="122"/>
      <c r="FJ213" s="122"/>
      <c r="FK213" s="122"/>
      <c r="FL213" s="122"/>
      <c r="FM213" s="122"/>
      <c r="FN213" s="122"/>
      <c r="FO213" s="122"/>
      <c r="FP213" s="122"/>
      <c r="FQ213" s="122"/>
      <c r="FR213" s="122"/>
      <c r="FS213" s="122"/>
      <c r="FT213" s="122"/>
      <c r="FU213" s="122"/>
      <c r="FV213" s="122"/>
      <c r="FW213" s="122"/>
      <c r="FX213" s="122"/>
      <c r="FY213" s="122"/>
      <c r="FZ213" s="122"/>
      <c r="GA213" s="122"/>
      <c r="GB213" s="122"/>
      <c r="GC213" s="122"/>
      <c r="GD213" s="122"/>
      <c r="GE213" s="122"/>
      <c r="GF213" s="122"/>
      <c r="GG213" s="122"/>
      <c r="GH213" s="122"/>
      <c r="GI213" s="122"/>
      <c r="GJ213" s="122"/>
      <c r="GK213" s="122"/>
      <c r="GL213" s="122"/>
      <c r="GM213" s="122"/>
      <c r="GN213" s="122"/>
      <c r="GO213" s="122"/>
      <c r="GP213" s="122"/>
      <c r="GQ213" s="122"/>
      <c r="GR213" s="122"/>
      <c r="GS213" s="122"/>
      <c r="GT213" s="122"/>
      <c r="GU213" s="122"/>
      <c r="GV213" s="122"/>
      <c r="GW213" s="122"/>
      <c r="GX213" s="122"/>
      <c r="GY213" s="122"/>
      <c r="GZ213" s="122"/>
      <c r="HA213" s="122"/>
      <c r="HB213" s="122"/>
      <c r="HC213" s="122"/>
      <c r="HD213" s="122"/>
      <c r="HE213" s="122"/>
      <c r="HF213" s="122"/>
      <c r="HG213" s="122"/>
      <c r="HH213" s="122"/>
      <c r="HI213" s="122"/>
      <c r="HJ213" s="122"/>
      <c r="HK213" s="122"/>
      <c r="HL213" s="122"/>
      <c r="HM213" s="122"/>
      <c r="HN213" s="122"/>
      <c r="HO213" s="122"/>
      <c r="HP213" s="122"/>
      <c r="HQ213" s="122"/>
      <c r="HR213" s="122"/>
      <c r="HS213" s="122"/>
      <c r="HT213" s="122"/>
      <c r="HU213" s="122"/>
      <c r="HV213" s="122"/>
      <c r="HW213" s="122"/>
      <c r="HX213" s="122"/>
      <c r="HY213" s="122"/>
      <c r="HZ213" s="122"/>
      <c r="IA213" s="122"/>
      <c r="IB213" s="122"/>
      <c r="IC213" s="122"/>
      <c r="ID213" s="122"/>
      <c r="IE213" s="122"/>
      <c r="IF213" s="122"/>
      <c r="IG213" s="122"/>
      <c r="IH213" s="122"/>
      <c r="II213" s="122"/>
      <c r="IJ213" s="122"/>
      <c r="IK213" s="122"/>
      <c r="IL213" s="122"/>
      <c r="IM213" s="122"/>
      <c r="IN213" s="122"/>
      <c r="IO213" s="122"/>
      <c r="IP213" s="122"/>
      <c r="IQ213" s="122"/>
      <c r="IR213" s="122"/>
      <c r="IS213" s="122"/>
      <c r="IT213" s="122"/>
      <c r="IU213" s="122"/>
      <c r="IV213" s="122"/>
      <c r="IW213" s="122"/>
      <c r="IX213" s="122"/>
      <c r="IY213" s="122"/>
      <c r="IZ213" s="122"/>
      <c r="JA213" s="122"/>
      <c r="JB213" s="122"/>
      <c r="JC213" s="122"/>
      <c r="JD213" s="122"/>
      <c r="JE213" s="122"/>
      <c r="JF213" s="122"/>
      <c r="JG213" s="122"/>
      <c r="JH213" s="122"/>
      <c r="JI213" s="119"/>
      <c r="JJ213" s="2"/>
      <c r="JK213" s="122"/>
      <c r="JL213" s="125"/>
      <c r="JM213" s="125"/>
      <c r="JN213" s="125"/>
      <c r="JO213" s="125"/>
      <c r="JP213" s="125"/>
    </row>
    <row r="214" spans="1:276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  <c r="AT214" s="122"/>
      <c r="AU214" s="122"/>
      <c r="AV214" s="122"/>
      <c r="AW214" s="122"/>
      <c r="AX214" s="122"/>
      <c r="AY214" s="122"/>
      <c r="AZ214" s="122"/>
      <c r="BA214" s="122"/>
      <c r="BB214" s="122"/>
      <c r="BC214" s="122"/>
      <c r="BD214" s="122"/>
      <c r="BE214" s="122"/>
      <c r="BF214" s="122"/>
      <c r="BG214" s="122"/>
      <c r="BH214" s="122"/>
      <c r="BI214" s="122"/>
      <c r="BJ214" s="122"/>
      <c r="BK214" s="122"/>
      <c r="BL214" s="122"/>
      <c r="BM214" s="122"/>
      <c r="BN214" s="122"/>
      <c r="BO214" s="122"/>
      <c r="BP214" s="122"/>
      <c r="BQ214" s="122"/>
      <c r="BR214" s="122"/>
      <c r="BS214" s="122"/>
      <c r="BT214" s="122"/>
      <c r="BU214" s="122"/>
      <c r="BV214" s="122"/>
      <c r="BW214" s="122"/>
      <c r="BX214" s="122"/>
      <c r="BY214" s="122"/>
      <c r="BZ214" s="122"/>
      <c r="CA214" s="122"/>
      <c r="CB214" s="122"/>
      <c r="CC214" s="122"/>
      <c r="CD214" s="122"/>
      <c r="CE214" s="122"/>
      <c r="CF214" s="122"/>
      <c r="CG214" s="122"/>
      <c r="CH214" s="122"/>
      <c r="CI214" s="122"/>
      <c r="CJ214" s="122"/>
      <c r="CK214" s="122"/>
      <c r="CL214" s="122"/>
      <c r="CM214" s="122"/>
      <c r="CN214" s="122"/>
      <c r="CO214" s="122"/>
      <c r="CP214" s="122"/>
      <c r="CQ214" s="122"/>
      <c r="CR214" s="122"/>
      <c r="CS214" s="122"/>
      <c r="CT214" s="122"/>
      <c r="CU214" s="122"/>
      <c r="CV214" s="122"/>
      <c r="CW214" s="122"/>
      <c r="CX214" s="122"/>
      <c r="CY214" s="122"/>
      <c r="CZ214" s="122"/>
      <c r="DA214" s="122"/>
      <c r="DB214" s="122"/>
      <c r="DC214" s="122"/>
      <c r="DD214" s="122"/>
      <c r="DE214" s="122"/>
      <c r="DF214" s="122"/>
      <c r="DG214" s="122"/>
      <c r="DH214" s="122"/>
      <c r="DI214" s="122"/>
      <c r="DJ214" s="122"/>
      <c r="DK214" s="122"/>
      <c r="DL214" s="122"/>
      <c r="DM214" s="122"/>
      <c r="DN214" s="122"/>
      <c r="DO214" s="122"/>
      <c r="DP214" s="122"/>
      <c r="DQ214" s="122"/>
      <c r="DR214" s="122"/>
      <c r="DS214" s="122"/>
      <c r="DT214" s="122"/>
      <c r="DU214" s="122"/>
      <c r="DV214" s="122"/>
      <c r="DW214" s="122"/>
      <c r="DX214" s="122"/>
      <c r="DY214" s="122"/>
      <c r="DZ214" s="122"/>
      <c r="EA214" s="122"/>
      <c r="EB214" s="122"/>
      <c r="EC214" s="122"/>
      <c r="ED214" s="122"/>
      <c r="EE214" s="122"/>
      <c r="EF214" s="122"/>
      <c r="EG214" s="122"/>
      <c r="EH214" s="122"/>
      <c r="EI214" s="122"/>
      <c r="EJ214" s="122"/>
      <c r="EK214" s="122"/>
      <c r="EL214" s="122"/>
      <c r="EM214" s="122"/>
      <c r="EN214" s="122"/>
      <c r="EO214" s="122"/>
      <c r="EP214" s="122"/>
      <c r="EQ214" s="122"/>
      <c r="ER214" s="122"/>
      <c r="ES214" s="122"/>
      <c r="ET214" s="122"/>
      <c r="EU214" s="122"/>
      <c r="EV214" s="122"/>
      <c r="EW214" s="122"/>
      <c r="EX214" s="122"/>
      <c r="EY214" s="122"/>
      <c r="EZ214" s="122"/>
      <c r="FA214" s="122"/>
      <c r="FB214" s="122"/>
      <c r="FC214" s="122"/>
      <c r="FD214" s="122"/>
      <c r="FE214" s="122"/>
      <c r="FF214" s="122"/>
      <c r="FG214" s="122"/>
      <c r="FH214" s="122"/>
      <c r="FI214" s="122"/>
      <c r="FJ214" s="122"/>
      <c r="FK214" s="122"/>
      <c r="FL214" s="122"/>
      <c r="FM214" s="122"/>
      <c r="FN214" s="122"/>
      <c r="FO214" s="122"/>
      <c r="FP214" s="122"/>
      <c r="FQ214" s="122"/>
      <c r="FR214" s="122"/>
      <c r="FS214" s="122"/>
      <c r="FT214" s="122"/>
      <c r="FU214" s="122"/>
      <c r="FV214" s="122"/>
      <c r="FW214" s="122"/>
      <c r="FX214" s="122"/>
      <c r="FY214" s="122"/>
      <c r="FZ214" s="122"/>
      <c r="GA214" s="122"/>
      <c r="GB214" s="122"/>
      <c r="GC214" s="122"/>
      <c r="GD214" s="122"/>
      <c r="GE214" s="122"/>
      <c r="GF214" s="122"/>
      <c r="GG214" s="122"/>
      <c r="GH214" s="122"/>
      <c r="GI214" s="122"/>
      <c r="GJ214" s="122"/>
      <c r="GK214" s="122"/>
      <c r="GL214" s="122"/>
      <c r="GM214" s="122"/>
      <c r="GN214" s="122"/>
      <c r="GO214" s="122"/>
      <c r="GP214" s="122"/>
      <c r="GQ214" s="122"/>
      <c r="GR214" s="122"/>
      <c r="GS214" s="122"/>
      <c r="GT214" s="122"/>
      <c r="GU214" s="122"/>
      <c r="GV214" s="122"/>
      <c r="GW214" s="122"/>
      <c r="GX214" s="122"/>
      <c r="GY214" s="122"/>
      <c r="GZ214" s="122"/>
      <c r="HA214" s="122"/>
      <c r="HB214" s="122"/>
      <c r="HC214" s="122"/>
      <c r="HD214" s="122"/>
      <c r="HE214" s="122"/>
      <c r="HF214" s="122"/>
      <c r="HG214" s="122"/>
      <c r="HH214" s="122"/>
      <c r="HI214" s="122"/>
      <c r="HJ214" s="122"/>
      <c r="HK214" s="122"/>
      <c r="HL214" s="122"/>
      <c r="HM214" s="122"/>
      <c r="HN214" s="122"/>
      <c r="HO214" s="122"/>
      <c r="HP214" s="122"/>
      <c r="HQ214" s="122"/>
      <c r="HR214" s="122"/>
      <c r="HS214" s="122"/>
      <c r="HT214" s="122"/>
      <c r="HU214" s="122"/>
      <c r="HV214" s="122"/>
      <c r="HW214" s="122"/>
      <c r="HX214" s="122"/>
      <c r="HY214" s="122"/>
      <c r="HZ214" s="122"/>
      <c r="IA214" s="122"/>
      <c r="IB214" s="122"/>
      <c r="IC214" s="122"/>
      <c r="ID214" s="122"/>
      <c r="IE214" s="122"/>
      <c r="IF214" s="122"/>
      <c r="IG214" s="122"/>
      <c r="IH214" s="122"/>
      <c r="II214" s="122"/>
      <c r="IJ214" s="122"/>
      <c r="IK214" s="122"/>
      <c r="IL214" s="122"/>
      <c r="IM214" s="122"/>
      <c r="IN214" s="122"/>
      <c r="IO214" s="122"/>
      <c r="IP214" s="122"/>
      <c r="IQ214" s="122"/>
      <c r="IR214" s="122"/>
      <c r="IS214" s="122"/>
      <c r="IT214" s="122"/>
      <c r="IU214" s="122"/>
      <c r="IV214" s="122"/>
      <c r="IW214" s="122"/>
      <c r="IX214" s="122"/>
      <c r="IY214" s="122"/>
      <c r="IZ214" s="122"/>
      <c r="JA214" s="122"/>
      <c r="JB214" s="122"/>
      <c r="JC214" s="122"/>
      <c r="JD214" s="122"/>
      <c r="JE214" s="122"/>
      <c r="JF214" s="122"/>
      <c r="JG214" s="122"/>
      <c r="JH214" s="122"/>
      <c r="JI214" s="119"/>
      <c r="JJ214" s="2"/>
      <c r="JK214" s="122"/>
      <c r="JL214" s="125"/>
      <c r="JM214" s="125"/>
      <c r="JN214" s="125"/>
      <c r="JO214" s="125"/>
      <c r="JP214" s="125"/>
    </row>
    <row r="215" spans="1:276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  <c r="AS215" s="122"/>
      <c r="AT215" s="122"/>
      <c r="AU215" s="122"/>
      <c r="AV215" s="122"/>
      <c r="AW215" s="122"/>
      <c r="AX215" s="122"/>
      <c r="AY215" s="122"/>
      <c r="AZ215" s="122"/>
      <c r="BA215" s="122"/>
      <c r="BB215" s="122"/>
      <c r="BC215" s="122"/>
      <c r="BD215" s="122"/>
      <c r="BE215" s="122"/>
      <c r="BF215" s="122"/>
      <c r="BG215" s="122"/>
      <c r="BH215" s="122"/>
      <c r="BI215" s="122"/>
      <c r="BJ215" s="122"/>
      <c r="BK215" s="122"/>
      <c r="BL215" s="122"/>
      <c r="BM215" s="122"/>
      <c r="BN215" s="122"/>
      <c r="BO215" s="122"/>
      <c r="BP215" s="122"/>
      <c r="BQ215" s="122"/>
      <c r="BR215" s="122"/>
      <c r="BS215" s="122"/>
      <c r="BT215" s="122"/>
      <c r="BU215" s="122"/>
      <c r="BV215" s="122"/>
      <c r="BW215" s="122"/>
      <c r="BX215" s="122"/>
      <c r="BY215" s="122"/>
      <c r="BZ215" s="122"/>
      <c r="CA215" s="122"/>
      <c r="CB215" s="122"/>
      <c r="CC215" s="122"/>
      <c r="CD215" s="122"/>
      <c r="CE215" s="122"/>
      <c r="CF215" s="122"/>
      <c r="CG215" s="122"/>
      <c r="CH215" s="122"/>
      <c r="CI215" s="122"/>
      <c r="CJ215" s="122"/>
      <c r="CK215" s="122"/>
      <c r="CL215" s="122"/>
      <c r="CM215" s="122"/>
      <c r="CN215" s="122"/>
      <c r="CO215" s="122"/>
      <c r="CP215" s="122"/>
      <c r="CQ215" s="122"/>
      <c r="CR215" s="122"/>
      <c r="CS215" s="122"/>
      <c r="CT215" s="122"/>
      <c r="CU215" s="122"/>
      <c r="CV215" s="122"/>
      <c r="CW215" s="122"/>
      <c r="CX215" s="122"/>
      <c r="CY215" s="122"/>
      <c r="CZ215" s="122"/>
      <c r="DA215" s="122"/>
      <c r="DB215" s="122"/>
      <c r="DC215" s="122"/>
      <c r="DD215" s="122"/>
      <c r="DE215" s="122"/>
      <c r="DF215" s="122"/>
      <c r="DG215" s="122"/>
      <c r="DH215" s="122"/>
      <c r="DI215" s="122"/>
      <c r="DJ215" s="122"/>
      <c r="DK215" s="122"/>
      <c r="DL215" s="122"/>
      <c r="DM215" s="122"/>
      <c r="DN215" s="122"/>
      <c r="DO215" s="122"/>
      <c r="DP215" s="122"/>
      <c r="DQ215" s="122"/>
      <c r="DR215" s="122"/>
      <c r="DS215" s="122"/>
      <c r="DT215" s="122"/>
      <c r="DU215" s="122"/>
      <c r="DV215" s="122"/>
      <c r="DW215" s="122"/>
      <c r="DX215" s="122"/>
      <c r="DY215" s="122"/>
      <c r="DZ215" s="122"/>
      <c r="EA215" s="122"/>
      <c r="EB215" s="122"/>
      <c r="EC215" s="122"/>
      <c r="ED215" s="122"/>
      <c r="EE215" s="122"/>
      <c r="EF215" s="122"/>
      <c r="EG215" s="122"/>
      <c r="EH215" s="122"/>
      <c r="EI215" s="122"/>
      <c r="EJ215" s="122"/>
      <c r="EK215" s="122"/>
      <c r="EL215" s="122"/>
      <c r="EM215" s="122"/>
      <c r="EN215" s="122"/>
      <c r="EO215" s="122"/>
      <c r="EP215" s="122"/>
      <c r="EQ215" s="122"/>
      <c r="ER215" s="122"/>
      <c r="ES215" s="122"/>
      <c r="ET215" s="122"/>
      <c r="EU215" s="122"/>
      <c r="EV215" s="122"/>
      <c r="EW215" s="122"/>
      <c r="EX215" s="122"/>
      <c r="EY215" s="122"/>
      <c r="EZ215" s="122"/>
      <c r="FA215" s="122"/>
      <c r="FB215" s="122"/>
      <c r="FC215" s="122"/>
      <c r="FD215" s="122"/>
      <c r="FE215" s="122"/>
      <c r="FF215" s="122"/>
      <c r="FG215" s="122"/>
      <c r="FH215" s="122"/>
      <c r="FI215" s="122"/>
      <c r="FJ215" s="122"/>
      <c r="FK215" s="122"/>
      <c r="FL215" s="122"/>
      <c r="FM215" s="122"/>
      <c r="FN215" s="122"/>
      <c r="FO215" s="122"/>
      <c r="FP215" s="122"/>
      <c r="FQ215" s="122"/>
      <c r="FR215" s="122"/>
      <c r="FS215" s="122"/>
      <c r="FT215" s="122"/>
      <c r="FU215" s="122"/>
      <c r="FV215" s="122"/>
      <c r="FW215" s="122"/>
      <c r="FX215" s="122"/>
      <c r="FY215" s="122"/>
      <c r="FZ215" s="122"/>
      <c r="GA215" s="122"/>
      <c r="GB215" s="122"/>
      <c r="GC215" s="122"/>
      <c r="GD215" s="122"/>
      <c r="GE215" s="122"/>
      <c r="GF215" s="122"/>
      <c r="GG215" s="122"/>
      <c r="GH215" s="122"/>
      <c r="GI215" s="122"/>
      <c r="GJ215" s="122"/>
      <c r="GK215" s="122"/>
      <c r="GL215" s="122"/>
      <c r="GM215" s="122"/>
      <c r="GN215" s="122"/>
      <c r="GO215" s="122"/>
      <c r="GP215" s="122"/>
      <c r="GQ215" s="122"/>
      <c r="GR215" s="122"/>
      <c r="GS215" s="122"/>
      <c r="GT215" s="122"/>
      <c r="GU215" s="122"/>
      <c r="GV215" s="122"/>
      <c r="GW215" s="122"/>
      <c r="GX215" s="122"/>
      <c r="GY215" s="122"/>
      <c r="GZ215" s="122"/>
      <c r="HA215" s="122"/>
      <c r="HB215" s="122"/>
      <c r="HC215" s="122"/>
      <c r="HD215" s="122"/>
      <c r="HE215" s="122"/>
      <c r="HF215" s="122"/>
      <c r="HG215" s="122"/>
      <c r="HH215" s="122"/>
      <c r="HI215" s="122"/>
      <c r="HJ215" s="122"/>
      <c r="HK215" s="122"/>
      <c r="HL215" s="122"/>
      <c r="HM215" s="122"/>
      <c r="HN215" s="122"/>
      <c r="HO215" s="122"/>
      <c r="HP215" s="122"/>
      <c r="HQ215" s="122"/>
      <c r="HR215" s="122"/>
      <c r="HS215" s="122"/>
      <c r="HT215" s="122"/>
      <c r="HU215" s="122"/>
      <c r="HV215" s="122"/>
      <c r="HW215" s="122"/>
      <c r="HX215" s="122"/>
      <c r="HY215" s="122"/>
      <c r="HZ215" s="122"/>
      <c r="IA215" s="122"/>
      <c r="IB215" s="122"/>
      <c r="IC215" s="122"/>
      <c r="ID215" s="122"/>
      <c r="IE215" s="122"/>
      <c r="IF215" s="122"/>
      <c r="IG215" s="122"/>
      <c r="IH215" s="122"/>
      <c r="II215" s="122"/>
      <c r="IJ215" s="122"/>
      <c r="IK215" s="122"/>
      <c r="IL215" s="122"/>
      <c r="IM215" s="122"/>
      <c r="IN215" s="122"/>
      <c r="IO215" s="122"/>
      <c r="IP215" s="122"/>
      <c r="IQ215" s="122"/>
      <c r="IR215" s="122"/>
      <c r="IS215" s="122"/>
      <c r="IT215" s="122"/>
      <c r="IU215" s="122"/>
      <c r="IV215" s="122"/>
      <c r="IW215" s="122"/>
      <c r="IX215" s="122"/>
      <c r="IY215" s="122"/>
      <c r="IZ215" s="122"/>
      <c r="JA215" s="122"/>
      <c r="JB215" s="122"/>
      <c r="JC215" s="122"/>
      <c r="JD215" s="122"/>
      <c r="JE215" s="122"/>
      <c r="JF215" s="122"/>
      <c r="JG215" s="122"/>
      <c r="JH215" s="122"/>
      <c r="JI215" s="119"/>
      <c r="JJ215" s="2"/>
      <c r="JK215" s="122"/>
      <c r="JL215" s="125"/>
      <c r="JM215" s="125"/>
      <c r="JN215" s="125"/>
      <c r="JO215" s="125"/>
      <c r="JP215" s="125"/>
    </row>
    <row r="216" spans="1:27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  <c r="AS216" s="122"/>
      <c r="AT216" s="122"/>
      <c r="AU216" s="122"/>
      <c r="AV216" s="122"/>
      <c r="AW216" s="122"/>
      <c r="AX216" s="122"/>
      <c r="AY216" s="122"/>
      <c r="AZ216" s="122"/>
      <c r="BA216" s="122"/>
      <c r="BB216" s="122"/>
      <c r="BC216" s="122"/>
      <c r="BD216" s="122"/>
      <c r="BE216" s="122"/>
      <c r="BF216" s="122"/>
      <c r="BG216" s="122"/>
      <c r="BH216" s="122"/>
      <c r="BI216" s="122"/>
      <c r="BJ216" s="122"/>
      <c r="BK216" s="122"/>
      <c r="BL216" s="122"/>
      <c r="BM216" s="122"/>
      <c r="BN216" s="122"/>
      <c r="BO216" s="122"/>
      <c r="BP216" s="122"/>
      <c r="BQ216" s="122"/>
      <c r="BR216" s="122"/>
      <c r="BS216" s="122"/>
      <c r="BT216" s="122"/>
      <c r="BU216" s="122"/>
      <c r="BV216" s="122"/>
      <c r="BW216" s="122"/>
      <c r="BX216" s="122"/>
      <c r="BY216" s="122"/>
      <c r="BZ216" s="122"/>
      <c r="CA216" s="122"/>
      <c r="CB216" s="122"/>
      <c r="CC216" s="122"/>
      <c r="CD216" s="122"/>
      <c r="CE216" s="122"/>
      <c r="CF216" s="122"/>
      <c r="CG216" s="122"/>
      <c r="CH216" s="122"/>
      <c r="CI216" s="122"/>
      <c r="CJ216" s="122"/>
      <c r="CK216" s="122"/>
      <c r="CL216" s="122"/>
      <c r="CM216" s="122"/>
      <c r="CN216" s="122"/>
      <c r="CO216" s="122"/>
      <c r="CP216" s="122"/>
      <c r="CQ216" s="122"/>
      <c r="CR216" s="122"/>
      <c r="CS216" s="122"/>
      <c r="CT216" s="122"/>
      <c r="CU216" s="122"/>
      <c r="CV216" s="122"/>
      <c r="CW216" s="122"/>
      <c r="CX216" s="122"/>
      <c r="CY216" s="122"/>
      <c r="CZ216" s="122"/>
      <c r="DA216" s="122"/>
      <c r="DB216" s="122"/>
      <c r="DC216" s="122"/>
      <c r="DD216" s="122"/>
      <c r="DE216" s="122"/>
      <c r="DF216" s="122"/>
      <c r="DG216" s="122"/>
      <c r="DH216" s="122"/>
      <c r="DI216" s="122"/>
      <c r="DJ216" s="122"/>
      <c r="DK216" s="122"/>
      <c r="DL216" s="122"/>
      <c r="DM216" s="122"/>
      <c r="DN216" s="122"/>
      <c r="DO216" s="122"/>
      <c r="DP216" s="122"/>
      <c r="DQ216" s="122"/>
      <c r="DR216" s="122"/>
      <c r="DS216" s="122"/>
      <c r="DT216" s="122"/>
      <c r="DU216" s="122"/>
      <c r="DV216" s="122"/>
      <c r="DW216" s="122"/>
      <c r="DX216" s="122"/>
      <c r="DY216" s="122"/>
      <c r="DZ216" s="122"/>
      <c r="EA216" s="122"/>
      <c r="EB216" s="122"/>
      <c r="EC216" s="122"/>
      <c r="ED216" s="122"/>
      <c r="EE216" s="122"/>
      <c r="EF216" s="122"/>
      <c r="EG216" s="122"/>
      <c r="EH216" s="122"/>
      <c r="EI216" s="122"/>
      <c r="EJ216" s="122"/>
      <c r="EK216" s="122"/>
      <c r="EL216" s="122"/>
      <c r="EM216" s="122"/>
      <c r="EN216" s="122"/>
      <c r="EO216" s="122"/>
      <c r="EP216" s="122"/>
      <c r="EQ216" s="122"/>
      <c r="ER216" s="122"/>
      <c r="ES216" s="122"/>
      <c r="ET216" s="122"/>
      <c r="EU216" s="122"/>
      <c r="EV216" s="122"/>
      <c r="EW216" s="122"/>
      <c r="EX216" s="122"/>
      <c r="EY216" s="122"/>
      <c r="EZ216" s="122"/>
      <c r="FA216" s="122"/>
      <c r="FB216" s="122"/>
      <c r="FC216" s="122"/>
      <c r="FD216" s="122"/>
      <c r="FE216" s="122"/>
      <c r="FF216" s="122"/>
      <c r="FG216" s="122"/>
      <c r="FH216" s="122"/>
      <c r="FI216" s="122"/>
      <c r="FJ216" s="122"/>
      <c r="FK216" s="122"/>
      <c r="FL216" s="122"/>
      <c r="FM216" s="122"/>
      <c r="FN216" s="122"/>
      <c r="FO216" s="122"/>
      <c r="FP216" s="122"/>
      <c r="FQ216" s="122"/>
      <c r="FR216" s="122"/>
      <c r="FS216" s="122"/>
      <c r="FT216" s="122"/>
      <c r="FU216" s="122"/>
      <c r="FV216" s="122"/>
      <c r="FW216" s="122"/>
      <c r="FX216" s="122"/>
      <c r="FY216" s="122"/>
      <c r="FZ216" s="122"/>
      <c r="GA216" s="122"/>
      <c r="GB216" s="122"/>
      <c r="GC216" s="122"/>
      <c r="GD216" s="122"/>
      <c r="GE216" s="122"/>
      <c r="GF216" s="122"/>
      <c r="GG216" s="122"/>
      <c r="GH216" s="122"/>
      <c r="GI216" s="122"/>
      <c r="GJ216" s="122"/>
      <c r="GK216" s="122"/>
      <c r="GL216" s="122"/>
      <c r="GM216" s="122"/>
      <c r="GN216" s="122"/>
      <c r="GO216" s="122"/>
      <c r="GP216" s="122"/>
      <c r="GQ216" s="122"/>
      <c r="GR216" s="122"/>
      <c r="GS216" s="122"/>
      <c r="GT216" s="122"/>
      <c r="GU216" s="122"/>
      <c r="GV216" s="122"/>
      <c r="GW216" s="122"/>
      <c r="GX216" s="122"/>
      <c r="GY216" s="122"/>
      <c r="GZ216" s="122"/>
      <c r="HA216" s="122"/>
      <c r="HB216" s="122"/>
      <c r="HC216" s="122"/>
      <c r="HD216" s="122"/>
      <c r="HE216" s="122"/>
      <c r="HF216" s="122"/>
      <c r="HG216" s="122"/>
      <c r="HH216" s="122"/>
      <c r="HI216" s="122"/>
      <c r="HJ216" s="122"/>
      <c r="HK216" s="122"/>
      <c r="HL216" s="122"/>
      <c r="HM216" s="122"/>
      <c r="HN216" s="122"/>
      <c r="HO216" s="122"/>
      <c r="HP216" s="122"/>
      <c r="HQ216" s="122"/>
      <c r="HR216" s="122"/>
      <c r="HS216" s="122"/>
      <c r="HT216" s="122"/>
      <c r="HU216" s="122"/>
      <c r="HV216" s="122"/>
      <c r="HW216" s="122"/>
      <c r="HX216" s="122"/>
      <c r="HY216" s="122"/>
      <c r="HZ216" s="122"/>
      <c r="IA216" s="122"/>
      <c r="IB216" s="122"/>
      <c r="IC216" s="122"/>
      <c r="ID216" s="122"/>
      <c r="IE216" s="122"/>
      <c r="IF216" s="122"/>
      <c r="IG216" s="122"/>
      <c r="IH216" s="122"/>
      <c r="II216" s="122"/>
      <c r="IJ216" s="122"/>
      <c r="IK216" s="122"/>
      <c r="IL216" s="122"/>
      <c r="IM216" s="122"/>
      <c r="IN216" s="122"/>
      <c r="IO216" s="122"/>
      <c r="IP216" s="122"/>
      <c r="IQ216" s="122"/>
      <c r="IR216" s="122"/>
      <c r="IS216" s="122"/>
      <c r="IT216" s="122"/>
      <c r="IU216" s="122"/>
      <c r="IV216" s="122"/>
      <c r="IW216" s="122"/>
      <c r="IX216" s="122"/>
      <c r="IY216" s="122"/>
      <c r="IZ216" s="122"/>
      <c r="JA216" s="122"/>
      <c r="JB216" s="122"/>
      <c r="JC216" s="122"/>
      <c r="JD216" s="122"/>
      <c r="JE216" s="122"/>
      <c r="JF216" s="122"/>
      <c r="JG216" s="122"/>
      <c r="JH216" s="122"/>
      <c r="JI216" s="119"/>
      <c r="JJ216" s="2"/>
      <c r="JK216" s="122"/>
      <c r="JL216" s="125"/>
      <c r="JM216" s="125"/>
      <c r="JN216" s="125"/>
      <c r="JO216" s="125"/>
      <c r="JP216" s="125"/>
    </row>
    <row r="217" spans="1:276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  <c r="AS217" s="122"/>
      <c r="AT217" s="122"/>
      <c r="AU217" s="122"/>
      <c r="AV217" s="122"/>
      <c r="AW217" s="122"/>
      <c r="AX217" s="122"/>
      <c r="AY217" s="122"/>
      <c r="AZ217" s="122"/>
      <c r="BA217" s="122"/>
      <c r="BB217" s="122"/>
      <c r="BC217" s="122"/>
      <c r="BD217" s="122"/>
      <c r="BE217" s="122"/>
      <c r="BF217" s="122"/>
      <c r="BG217" s="122"/>
      <c r="BH217" s="122"/>
      <c r="BI217" s="122"/>
      <c r="BJ217" s="122"/>
      <c r="BK217" s="122"/>
      <c r="BL217" s="122"/>
      <c r="BM217" s="122"/>
      <c r="BN217" s="122"/>
      <c r="BO217" s="122"/>
      <c r="BP217" s="122"/>
      <c r="BQ217" s="122"/>
      <c r="BR217" s="122"/>
      <c r="BS217" s="122"/>
      <c r="BT217" s="122"/>
      <c r="BU217" s="122"/>
      <c r="BV217" s="122"/>
      <c r="BW217" s="122"/>
      <c r="BX217" s="122"/>
      <c r="BY217" s="122"/>
      <c r="BZ217" s="122"/>
      <c r="CA217" s="122"/>
      <c r="CB217" s="122"/>
      <c r="CC217" s="122"/>
      <c r="CD217" s="122"/>
      <c r="CE217" s="122"/>
      <c r="CF217" s="122"/>
      <c r="CG217" s="122"/>
      <c r="CH217" s="122"/>
      <c r="CI217" s="122"/>
      <c r="CJ217" s="122"/>
      <c r="CK217" s="122"/>
      <c r="CL217" s="122"/>
      <c r="CM217" s="122"/>
      <c r="CN217" s="122"/>
      <c r="CO217" s="122"/>
      <c r="CP217" s="122"/>
      <c r="CQ217" s="122"/>
      <c r="CR217" s="122"/>
      <c r="CS217" s="122"/>
      <c r="CT217" s="122"/>
      <c r="CU217" s="122"/>
      <c r="CV217" s="122"/>
      <c r="CW217" s="122"/>
      <c r="CX217" s="122"/>
      <c r="CY217" s="122"/>
      <c r="CZ217" s="122"/>
      <c r="DA217" s="122"/>
      <c r="DB217" s="122"/>
      <c r="DC217" s="122"/>
      <c r="DD217" s="122"/>
      <c r="DE217" s="122"/>
      <c r="DF217" s="122"/>
      <c r="DG217" s="122"/>
      <c r="DH217" s="122"/>
      <c r="DI217" s="122"/>
      <c r="DJ217" s="122"/>
      <c r="DK217" s="122"/>
      <c r="DL217" s="122"/>
      <c r="DM217" s="122"/>
      <c r="DN217" s="122"/>
      <c r="DO217" s="122"/>
      <c r="DP217" s="122"/>
      <c r="DQ217" s="122"/>
      <c r="DR217" s="122"/>
      <c r="DS217" s="122"/>
      <c r="DT217" s="122"/>
      <c r="DU217" s="122"/>
      <c r="DV217" s="122"/>
      <c r="DW217" s="122"/>
      <c r="DX217" s="122"/>
      <c r="DY217" s="122"/>
      <c r="DZ217" s="122"/>
      <c r="EA217" s="122"/>
      <c r="EB217" s="122"/>
      <c r="EC217" s="122"/>
      <c r="ED217" s="122"/>
      <c r="EE217" s="122"/>
      <c r="EF217" s="122"/>
      <c r="EG217" s="122"/>
      <c r="EH217" s="122"/>
      <c r="EI217" s="122"/>
      <c r="EJ217" s="122"/>
      <c r="EK217" s="122"/>
      <c r="EL217" s="122"/>
      <c r="EM217" s="122"/>
      <c r="EN217" s="122"/>
      <c r="EO217" s="122"/>
      <c r="EP217" s="122"/>
      <c r="EQ217" s="122"/>
      <c r="ER217" s="122"/>
      <c r="ES217" s="122"/>
      <c r="ET217" s="122"/>
      <c r="EU217" s="122"/>
      <c r="EV217" s="122"/>
      <c r="EW217" s="122"/>
      <c r="EX217" s="122"/>
      <c r="EY217" s="122"/>
      <c r="EZ217" s="122"/>
      <c r="FA217" s="122"/>
      <c r="FB217" s="122"/>
      <c r="FC217" s="122"/>
      <c r="FD217" s="122"/>
      <c r="FE217" s="122"/>
      <c r="FF217" s="122"/>
      <c r="FG217" s="122"/>
      <c r="FH217" s="122"/>
      <c r="FI217" s="122"/>
      <c r="FJ217" s="122"/>
      <c r="FK217" s="122"/>
      <c r="FL217" s="122"/>
      <c r="FM217" s="122"/>
      <c r="FN217" s="122"/>
      <c r="FO217" s="122"/>
      <c r="FP217" s="122"/>
      <c r="FQ217" s="122"/>
      <c r="FR217" s="122"/>
      <c r="FS217" s="122"/>
      <c r="FT217" s="122"/>
      <c r="FU217" s="122"/>
      <c r="FV217" s="122"/>
      <c r="FW217" s="122"/>
      <c r="FX217" s="122"/>
      <c r="FY217" s="122"/>
      <c r="FZ217" s="122"/>
      <c r="GA217" s="122"/>
      <c r="GB217" s="122"/>
      <c r="GC217" s="122"/>
      <c r="GD217" s="122"/>
      <c r="GE217" s="122"/>
      <c r="GF217" s="122"/>
      <c r="GG217" s="122"/>
      <c r="GH217" s="122"/>
      <c r="GI217" s="122"/>
      <c r="GJ217" s="122"/>
      <c r="GK217" s="122"/>
      <c r="GL217" s="122"/>
      <c r="GM217" s="122"/>
      <c r="GN217" s="122"/>
      <c r="GO217" s="122"/>
      <c r="GP217" s="122"/>
      <c r="GQ217" s="122"/>
      <c r="GR217" s="122"/>
      <c r="GS217" s="122"/>
      <c r="GT217" s="122"/>
      <c r="GU217" s="122"/>
      <c r="GV217" s="122"/>
      <c r="GW217" s="122"/>
      <c r="GX217" s="122"/>
      <c r="GY217" s="122"/>
      <c r="GZ217" s="122"/>
      <c r="HA217" s="122"/>
      <c r="HB217" s="122"/>
      <c r="HC217" s="122"/>
      <c r="HD217" s="122"/>
      <c r="HE217" s="122"/>
      <c r="HF217" s="122"/>
      <c r="HG217" s="122"/>
      <c r="HH217" s="122"/>
      <c r="HI217" s="122"/>
      <c r="HJ217" s="122"/>
      <c r="HK217" s="122"/>
      <c r="HL217" s="122"/>
      <c r="HM217" s="122"/>
      <c r="HN217" s="122"/>
      <c r="HO217" s="122"/>
      <c r="HP217" s="122"/>
      <c r="HQ217" s="122"/>
      <c r="HR217" s="122"/>
      <c r="HS217" s="122"/>
      <c r="HT217" s="122"/>
      <c r="HU217" s="122"/>
      <c r="HV217" s="122"/>
      <c r="HW217" s="122"/>
      <c r="HX217" s="122"/>
      <c r="HY217" s="122"/>
      <c r="HZ217" s="122"/>
      <c r="IA217" s="122"/>
      <c r="IB217" s="122"/>
      <c r="IC217" s="122"/>
      <c r="ID217" s="122"/>
      <c r="IE217" s="122"/>
      <c r="IF217" s="122"/>
      <c r="IG217" s="122"/>
      <c r="IH217" s="122"/>
      <c r="II217" s="122"/>
      <c r="IJ217" s="122"/>
      <c r="IK217" s="122"/>
      <c r="IL217" s="122"/>
      <c r="IM217" s="122"/>
      <c r="IN217" s="122"/>
      <c r="IO217" s="122"/>
      <c r="IP217" s="122"/>
      <c r="IQ217" s="122"/>
      <c r="IR217" s="122"/>
      <c r="IS217" s="122"/>
      <c r="IT217" s="122"/>
      <c r="IU217" s="122"/>
      <c r="IV217" s="122"/>
      <c r="IW217" s="122"/>
      <c r="IX217" s="122"/>
      <c r="IY217" s="122"/>
      <c r="IZ217" s="122"/>
      <c r="JA217" s="122"/>
      <c r="JB217" s="122"/>
      <c r="JC217" s="122"/>
      <c r="JD217" s="122"/>
      <c r="JE217" s="122"/>
      <c r="JF217" s="122"/>
      <c r="JG217" s="122"/>
      <c r="JH217" s="122"/>
      <c r="JI217" s="119"/>
      <c r="JJ217" s="2"/>
      <c r="JK217" s="122"/>
      <c r="JL217" s="125"/>
      <c r="JM217" s="125"/>
      <c r="JN217" s="125"/>
      <c r="JO217" s="125"/>
      <c r="JP217" s="125"/>
    </row>
    <row r="218" spans="1:276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  <c r="AP218" s="122"/>
      <c r="AQ218" s="122"/>
      <c r="AR218" s="122"/>
      <c r="AS218" s="122"/>
      <c r="AT218" s="122"/>
      <c r="AU218" s="122"/>
      <c r="AV218" s="122"/>
      <c r="AW218" s="122"/>
      <c r="AX218" s="122"/>
      <c r="AY218" s="122"/>
      <c r="AZ218" s="122"/>
      <c r="BA218" s="122"/>
      <c r="BB218" s="122"/>
      <c r="BC218" s="122"/>
      <c r="BD218" s="122"/>
      <c r="BE218" s="122"/>
      <c r="BF218" s="122"/>
      <c r="BG218" s="122"/>
      <c r="BH218" s="122"/>
      <c r="BI218" s="122"/>
      <c r="BJ218" s="122"/>
      <c r="BK218" s="122"/>
      <c r="BL218" s="122"/>
      <c r="BM218" s="122"/>
      <c r="BN218" s="122"/>
      <c r="BO218" s="122"/>
      <c r="BP218" s="122"/>
      <c r="BQ218" s="122"/>
      <c r="BR218" s="122"/>
      <c r="BS218" s="122"/>
      <c r="BT218" s="122"/>
      <c r="BU218" s="122"/>
      <c r="BV218" s="122"/>
      <c r="BW218" s="122"/>
      <c r="BX218" s="122"/>
      <c r="BY218" s="122"/>
      <c r="BZ218" s="122"/>
      <c r="CA218" s="122"/>
      <c r="CB218" s="122"/>
      <c r="CC218" s="122"/>
      <c r="CD218" s="122"/>
      <c r="CE218" s="122"/>
      <c r="CF218" s="122"/>
      <c r="CG218" s="122"/>
      <c r="CH218" s="122"/>
      <c r="CI218" s="122"/>
      <c r="CJ218" s="122"/>
      <c r="CK218" s="122"/>
      <c r="CL218" s="122"/>
      <c r="CM218" s="122"/>
      <c r="CN218" s="122"/>
      <c r="CO218" s="122"/>
      <c r="CP218" s="122"/>
      <c r="CQ218" s="122"/>
      <c r="CR218" s="122"/>
      <c r="CS218" s="122"/>
      <c r="CT218" s="122"/>
      <c r="CU218" s="122"/>
      <c r="CV218" s="122"/>
      <c r="CW218" s="122"/>
      <c r="CX218" s="122"/>
      <c r="CY218" s="122"/>
      <c r="CZ218" s="122"/>
      <c r="DA218" s="122"/>
      <c r="DB218" s="122"/>
      <c r="DC218" s="122"/>
      <c r="DD218" s="122"/>
      <c r="DE218" s="122"/>
      <c r="DF218" s="122"/>
      <c r="DG218" s="122"/>
      <c r="DH218" s="122"/>
      <c r="DI218" s="122"/>
      <c r="DJ218" s="122"/>
      <c r="DK218" s="122"/>
      <c r="DL218" s="122"/>
      <c r="DM218" s="122"/>
      <c r="DN218" s="122"/>
      <c r="DO218" s="122"/>
      <c r="DP218" s="122"/>
      <c r="DQ218" s="122"/>
      <c r="DR218" s="122"/>
      <c r="DS218" s="122"/>
      <c r="DT218" s="122"/>
      <c r="DU218" s="122"/>
      <c r="DV218" s="122"/>
      <c r="DW218" s="122"/>
      <c r="DX218" s="122"/>
      <c r="DY218" s="122"/>
      <c r="DZ218" s="122"/>
      <c r="EA218" s="122"/>
      <c r="EB218" s="122"/>
      <c r="EC218" s="122"/>
      <c r="ED218" s="122"/>
      <c r="EE218" s="122"/>
      <c r="EF218" s="122"/>
      <c r="EG218" s="122"/>
      <c r="EH218" s="122"/>
      <c r="EI218" s="122"/>
      <c r="EJ218" s="122"/>
      <c r="EK218" s="122"/>
      <c r="EL218" s="122"/>
      <c r="EM218" s="122"/>
      <c r="EN218" s="122"/>
      <c r="EO218" s="122"/>
      <c r="EP218" s="122"/>
      <c r="EQ218" s="122"/>
      <c r="ER218" s="122"/>
      <c r="ES218" s="122"/>
      <c r="ET218" s="122"/>
      <c r="EU218" s="122"/>
      <c r="EV218" s="122"/>
      <c r="EW218" s="122"/>
      <c r="EX218" s="122"/>
      <c r="EY218" s="122"/>
      <c r="EZ218" s="122"/>
      <c r="FA218" s="122"/>
      <c r="FB218" s="122"/>
      <c r="FC218" s="122"/>
      <c r="FD218" s="122"/>
      <c r="FE218" s="122"/>
      <c r="FF218" s="122"/>
      <c r="FG218" s="122"/>
      <c r="FH218" s="122"/>
      <c r="FI218" s="122"/>
      <c r="FJ218" s="122"/>
      <c r="FK218" s="122"/>
      <c r="FL218" s="122"/>
      <c r="FM218" s="122"/>
      <c r="FN218" s="122"/>
      <c r="FO218" s="122"/>
      <c r="FP218" s="122"/>
      <c r="FQ218" s="122"/>
      <c r="FR218" s="122"/>
      <c r="FS218" s="122"/>
      <c r="FT218" s="122"/>
      <c r="FU218" s="122"/>
      <c r="FV218" s="122"/>
      <c r="FW218" s="122"/>
      <c r="FX218" s="122"/>
      <c r="FY218" s="122"/>
      <c r="FZ218" s="122"/>
      <c r="GA218" s="122"/>
      <c r="GB218" s="122"/>
      <c r="GC218" s="122"/>
      <c r="GD218" s="122"/>
      <c r="GE218" s="122"/>
      <c r="GF218" s="122"/>
      <c r="GG218" s="122"/>
      <c r="GH218" s="122"/>
      <c r="GI218" s="122"/>
      <c r="GJ218" s="122"/>
      <c r="GK218" s="122"/>
      <c r="GL218" s="122"/>
      <c r="GM218" s="122"/>
      <c r="GN218" s="122"/>
      <c r="GO218" s="122"/>
      <c r="GP218" s="122"/>
      <c r="GQ218" s="122"/>
      <c r="GR218" s="122"/>
      <c r="GS218" s="122"/>
      <c r="GT218" s="122"/>
      <c r="GU218" s="122"/>
      <c r="GV218" s="122"/>
      <c r="GW218" s="122"/>
      <c r="GX218" s="122"/>
      <c r="GY218" s="122"/>
      <c r="GZ218" s="122"/>
      <c r="HA218" s="122"/>
      <c r="HB218" s="122"/>
      <c r="HC218" s="122"/>
      <c r="HD218" s="122"/>
      <c r="HE218" s="122"/>
      <c r="HF218" s="122"/>
      <c r="HG218" s="122"/>
      <c r="HH218" s="122"/>
      <c r="HI218" s="122"/>
      <c r="HJ218" s="122"/>
      <c r="HK218" s="122"/>
      <c r="HL218" s="122"/>
      <c r="HM218" s="122"/>
      <c r="HN218" s="122"/>
      <c r="HO218" s="122"/>
      <c r="HP218" s="122"/>
      <c r="HQ218" s="122"/>
      <c r="HR218" s="122"/>
      <c r="HS218" s="122"/>
      <c r="HT218" s="122"/>
      <c r="HU218" s="122"/>
      <c r="HV218" s="122"/>
      <c r="HW218" s="122"/>
      <c r="HX218" s="122"/>
      <c r="HY218" s="122"/>
      <c r="HZ218" s="122"/>
      <c r="IA218" s="122"/>
      <c r="IB218" s="122"/>
      <c r="IC218" s="122"/>
      <c r="ID218" s="122"/>
      <c r="IE218" s="122"/>
      <c r="IF218" s="122"/>
      <c r="IG218" s="122"/>
      <c r="IH218" s="122"/>
      <c r="II218" s="122"/>
      <c r="IJ218" s="122"/>
      <c r="IK218" s="122"/>
      <c r="IL218" s="122"/>
      <c r="IM218" s="122"/>
      <c r="IN218" s="122"/>
      <c r="IO218" s="122"/>
      <c r="IP218" s="122"/>
      <c r="IQ218" s="122"/>
      <c r="IR218" s="122"/>
      <c r="IS218" s="122"/>
      <c r="IT218" s="122"/>
      <c r="IU218" s="122"/>
      <c r="IV218" s="122"/>
      <c r="IW218" s="122"/>
      <c r="IX218" s="122"/>
      <c r="IY218" s="122"/>
      <c r="IZ218" s="122"/>
      <c r="JA218" s="122"/>
      <c r="JB218" s="122"/>
      <c r="JC218" s="122"/>
      <c r="JD218" s="122"/>
      <c r="JE218" s="122"/>
      <c r="JF218" s="122"/>
      <c r="JG218" s="122"/>
      <c r="JH218" s="122"/>
      <c r="JI218" s="119"/>
      <c r="JJ218" s="2"/>
      <c r="JK218" s="122"/>
      <c r="JL218" s="125"/>
      <c r="JM218" s="125"/>
      <c r="JN218" s="125"/>
      <c r="JO218" s="125"/>
      <c r="JP218" s="125"/>
    </row>
    <row r="219" spans="1:276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  <c r="AR219" s="122"/>
      <c r="AS219" s="122"/>
      <c r="AT219" s="122"/>
      <c r="AU219" s="122"/>
      <c r="AV219" s="122"/>
      <c r="AW219" s="122"/>
      <c r="AX219" s="122"/>
      <c r="AY219" s="122"/>
      <c r="AZ219" s="122"/>
      <c r="BA219" s="122"/>
      <c r="BB219" s="122"/>
      <c r="BC219" s="122"/>
      <c r="BD219" s="122"/>
      <c r="BE219" s="122"/>
      <c r="BF219" s="122"/>
      <c r="BG219" s="122"/>
      <c r="BH219" s="122"/>
      <c r="BI219" s="122"/>
      <c r="BJ219" s="122"/>
      <c r="BK219" s="122"/>
      <c r="BL219" s="122"/>
      <c r="BM219" s="122"/>
      <c r="BN219" s="122"/>
      <c r="BO219" s="122"/>
      <c r="BP219" s="122"/>
      <c r="BQ219" s="122"/>
      <c r="BR219" s="122"/>
      <c r="BS219" s="122"/>
      <c r="BT219" s="122"/>
      <c r="BU219" s="122"/>
      <c r="BV219" s="122"/>
      <c r="BW219" s="122"/>
      <c r="BX219" s="122"/>
      <c r="BY219" s="122"/>
      <c r="BZ219" s="122"/>
      <c r="CA219" s="122"/>
      <c r="CB219" s="122"/>
      <c r="CC219" s="122"/>
      <c r="CD219" s="122"/>
      <c r="CE219" s="122"/>
      <c r="CF219" s="122"/>
      <c r="CG219" s="122"/>
      <c r="CH219" s="122"/>
      <c r="CI219" s="122"/>
      <c r="CJ219" s="122"/>
      <c r="CK219" s="122"/>
      <c r="CL219" s="122"/>
      <c r="CM219" s="122"/>
      <c r="CN219" s="122"/>
      <c r="CO219" s="122"/>
      <c r="CP219" s="122"/>
      <c r="CQ219" s="122"/>
      <c r="CR219" s="122"/>
      <c r="CS219" s="122"/>
      <c r="CT219" s="122"/>
      <c r="CU219" s="122"/>
      <c r="CV219" s="122"/>
      <c r="CW219" s="122"/>
      <c r="CX219" s="122"/>
      <c r="CY219" s="122"/>
      <c r="CZ219" s="122"/>
      <c r="DA219" s="122"/>
      <c r="DB219" s="122"/>
      <c r="DC219" s="122"/>
      <c r="DD219" s="122"/>
      <c r="DE219" s="122"/>
      <c r="DF219" s="122"/>
      <c r="DG219" s="122"/>
      <c r="DH219" s="122"/>
      <c r="DI219" s="122"/>
      <c r="DJ219" s="122"/>
      <c r="DK219" s="122"/>
      <c r="DL219" s="122"/>
      <c r="DM219" s="122"/>
      <c r="DN219" s="122"/>
      <c r="DO219" s="122"/>
      <c r="DP219" s="122"/>
      <c r="DQ219" s="122"/>
      <c r="DR219" s="122"/>
      <c r="DS219" s="122"/>
      <c r="DT219" s="122"/>
      <c r="DU219" s="122"/>
      <c r="DV219" s="122"/>
      <c r="DW219" s="122"/>
      <c r="DX219" s="122"/>
      <c r="DY219" s="122"/>
      <c r="DZ219" s="122"/>
      <c r="EA219" s="122"/>
      <c r="EB219" s="122"/>
      <c r="EC219" s="122"/>
      <c r="ED219" s="122"/>
      <c r="EE219" s="122"/>
      <c r="EF219" s="122"/>
      <c r="EG219" s="122"/>
      <c r="EH219" s="122"/>
      <c r="EI219" s="122"/>
      <c r="EJ219" s="122"/>
      <c r="EK219" s="122"/>
      <c r="EL219" s="122"/>
      <c r="EM219" s="122"/>
      <c r="EN219" s="122"/>
      <c r="EO219" s="122"/>
      <c r="EP219" s="122"/>
      <c r="EQ219" s="122"/>
      <c r="ER219" s="122"/>
      <c r="ES219" s="122"/>
      <c r="ET219" s="122"/>
      <c r="EU219" s="122"/>
      <c r="EV219" s="122"/>
      <c r="EW219" s="122"/>
      <c r="EX219" s="122"/>
      <c r="EY219" s="122"/>
      <c r="EZ219" s="122"/>
      <c r="FA219" s="122"/>
      <c r="FB219" s="122"/>
      <c r="FC219" s="122"/>
      <c r="FD219" s="122"/>
      <c r="FE219" s="122"/>
      <c r="FF219" s="122"/>
      <c r="FG219" s="122"/>
      <c r="FH219" s="122"/>
      <c r="FI219" s="122"/>
      <c r="FJ219" s="122"/>
      <c r="FK219" s="122"/>
      <c r="FL219" s="122"/>
      <c r="FM219" s="122"/>
      <c r="FN219" s="122"/>
      <c r="FO219" s="122"/>
      <c r="FP219" s="122"/>
      <c r="FQ219" s="122"/>
      <c r="FR219" s="122"/>
      <c r="FS219" s="122"/>
      <c r="FT219" s="122"/>
      <c r="FU219" s="122"/>
      <c r="FV219" s="122"/>
      <c r="FW219" s="122"/>
      <c r="FX219" s="122"/>
      <c r="FY219" s="122"/>
      <c r="FZ219" s="122"/>
      <c r="GA219" s="122"/>
      <c r="GB219" s="122"/>
      <c r="GC219" s="122"/>
      <c r="GD219" s="122"/>
      <c r="GE219" s="122"/>
      <c r="GF219" s="122"/>
      <c r="GG219" s="122"/>
      <c r="GH219" s="122"/>
      <c r="GI219" s="122"/>
      <c r="GJ219" s="122"/>
      <c r="GK219" s="122"/>
      <c r="GL219" s="122"/>
      <c r="GM219" s="122"/>
      <c r="GN219" s="122"/>
      <c r="GO219" s="122"/>
      <c r="GP219" s="122"/>
      <c r="GQ219" s="122"/>
      <c r="GR219" s="122"/>
      <c r="GS219" s="122"/>
      <c r="GT219" s="122"/>
      <c r="GU219" s="122"/>
      <c r="GV219" s="122"/>
      <c r="GW219" s="122"/>
      <c r="GX219" s="122"/>
      <c r="GY219" s="122"/>
      <c r="GZ219" s="122"/>
      <c r="HA219" s="122"/>
      <c r="HB219" s="122"/>
      <c r="HC219" s="122"/>
      <c r="HD219" s="122"/>
      <c r="HE219" s="122"/>
      <c r="HF219" s="122"/>
      <c r="HG219" s="122"/>
      <c r="HH219" s="122"/>
      <c r="HI219" s="122"/>
      <c r="HJ219" s="122"/>
      <c r="HK219" s="122"/>
      <c r="HL219" s="122"/>
      <c r="HM219" s="122"/>
      <c r="HN219" s="122"/>
      <c r="HO219" s="122"/>
      <c r="HP219" s="122"/>
      <c r="HQ219" s="122"/>
      <c r="HR219" s="122"/>
      <c r="HS219" s="122"/>
      <c r="HT219" s="122"/>
      <c r="HU219" s="122"/>
      <c r="HV219" s="122"/>
      <c r="HW219" s="122"/>
      <c r="HX219" s="122"/>
      <c r="HY219" s="122"/>
      <c r="HZ219" s="122"/>
      <c r="IA219" s="122"/>
      <c r="IB219" s="122"/>
      <c r="IC219" s="122"/>
      <c r="ID219" s="122"/>
      <c r="IE219" s="122"/>
      <c r="IF219" s="122"/>
      <c r="IG219" s="122"/>
      <c r="IH219" s="122"/>
      <c r="II219" s="122"/>
      <c r="IJ219" s="122"/>
      <c r="IK219" s="122"/>
      <c r="IL219" s="122"/>
      <c r="IM219" s="122"/>
      <c r="IN219" s="122"/>
      <c r="IO219" s="122"/>
      <c r="IP219" s="122"/>
      <c r="IQ219" s="122"/>
      <c r="IR219" s="122"/>
      <c r="IS219" s="122"/>
      <c r="IT219" s="122"/>
      <c r="IU219" s="122"/>
      <c r="IV219" s="122"/>
      <c r="IW219" s="122"/>
      <c r="IX219" s="122"/>
      <c r="IY219" s="122"/>
      <c r="IZ219" s="122"/>
      <c r="JA219" s="122"/>
      <c r="JB219" s="122"/>
      <c r="JC219" s="122"/>
      <c r="JD219" s="122"/>
      <c r="JE219" s="122"/>
      <c r="JF219" s="122"/>
      <c r="JG219" s="122"/>
      <c r="JH219" s="122"/>
      <c r="JI219" s="119"/>
      <c r="JJ219" s="2"/>
      <c r="JK219" s="122"/>
      <c r="JL219" s="125"/>
      <c r="JM219" s="125"/>
      <c r="JN219" s="125"/>
      <c r="JO219" s="125"/>
      <c r="JP219" s="125"/>
    </row>
    <row r="220" spans="1:276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  <c r="AP220" s="122"/>
      <c r="AQ220" s="122"/>
      <c r="AR220" s="122"/>
      <c r="AS220" s="122"/>
      <c r="AT220" s="122"/>
      <c r="AU220" s="122"/>
      <c r="AV220" s="122"/>
      <c r="AW220" s="122"/>
      <c r="AX220" s="122"/>
      <c r="AY220" s="122"/>
      <c r="AZ220" s="122"/>
      <c r="BA220" s="122"/>
      <c r="BB220" s="122"/>
      <c r="BC220" s="122"/>
      <c r="BD220" s="122"/>
      <c r="BE220" s="122"/>
      <c r="BF220" s="122"/>
      <c r="BG220" s="122"/>
      <c r="BH220" s="122"/>
      <c r="BI220" s="122"/>
      <c r="BJ220" s="122"/>
      <c r="BK220" s="122"/>
      <c r="BL220" s="122"/>
      <c r="BM220" s="122"/>
      <c r="BN220" s="122"/>
      <c r="BO220" s="122"/>
      <c r="BP220" s="122"/>
      <c r="BQ220" s="122"/>
      <c r="BR220" s="122"/>
      <c r="BS220" s="122"/>
      <c r="BT220" s="122"/>
      <c r="BU220" s="122"/>
      <c r="BV220" s="122"/>
      <c r="BW220" s="122"/>
      <c r="BX220" s="122"/>
      <c r="BY220" s="122"/>
      <c r="BZ220" s="122"/>
      <c r="CA220" s="122"/>
      <c r="CB220" s="122"/>
      <c r="CC220" s="122"/>
      <c r="CD220" s="122"/>
      <c r="CE220" s="122"/>
      <c r="CF220" s="122"/>
      <c r="CG220" s="122"/>
      <c r="CH220" s="122"/>
      <c r="CI220" s="122"/>
      <c r="CJ220" s="122"/>
      <c r="CK220" s="122"/>
      <c r="CL220" s="122"/>
      <c r="CM220" s="122"/>
      <c r="CN220" s="122"/>
      <c r="CO220" s="122"/>
      <c r="CP220" s="122"/>
      <c r="CQ220" s="122"/>
      <c r="CR220" s="122"/>
      <c r="CS220" s="122"/>
      <c r="CT220" s="122"/>
      <c r="CU220" s="122"/>
      <c r="CV220" s="122"/>
      <c r="CW220" s="122"/>
      <c r="CX220" s="122"/>
      <c r="CY220" s="122"/>
      <c r="CZ220" s="122"/>
      <c r="DA220" s="122"/>
      <c r="DB220" s="122"/>
      <c r="DC220" s="122"/>
      <c r="DD220" s="122"/>
      <c r="DE220" s="122"/>
      <c r="DF220" s="122"/>
      <c r="DG220" s="122"/>
      <c r="DH220" s="122"/>
      <c r="DI220" s="122"/>
      <c r="DJ220" s="122"/>
      <c r="DK220" s="122"/>
      <c r="DL220" s="122"/>
      <c r="DM220" s="122"/>
      <c r="DN220" s="122"/>
      <c r="DO220" s="122"/>
      <c r="DP220" s="122"/>
      <c r="DQ220" s="122"/>
      <c r="DR220" s="122"/>
      <c r="DS220" s="122"/>
      <c r="DT220" s="122"/>
      <c r="DU220" s="122"/>
      <c r="DV220" s="122"/>
      <c r="DW220" s="122"/>
      <c r="DX220" s="122"/>
      <c r="DY220" s="122"/>
      <c r="DZ220" s="122"/>
      <c r="EA220" s="122"/>
      <c r="EB220" s="122"/>
      <c r="EC220" s="122"/>
      <c r="ED220" s="122"/>
      <c r="EE220" s="122"/>
      <c r="EF220" s="122"/>
      <c r="EG220" s="122"/>
      <c r="EH220" s="122"/>
      <c r="EI220" s="122"/>
      <c r="EJ220" s="122"/>
      <c r="EK220" s="122"/>
      <c r="EL220" s="122"/>
      <c r="EM220" s="122"/>
      <c r="EN220" s="122"/>
      <c r="EO220" s="122"/>
      <c r="EP220" s="122"/>
      <c r="EQ220" s="122"/>
      <c r="ER220" s="122"/>
      <c r="ES220" s="122"/>
      <c r="ET220" s="122"/>
      <c r="EU220" s="122"/>
      <c r="EV220" s="122"/>
      <c r="EW220" s="122"/>
      <c r="EX220" s="122"/>
      <c r="EY220" s="122"/>
      <c r="EZ220" s="122"/>
      <c r="FA220" s="122"/>
      <c r="FB220" s="122"/>
      <c r="FC220" s="122"/>
      <c r="FD220" s="122"/>
      <c r="FE220" s="122"/>
      <c r="FF220" s="122"/>
      <c r="FG220" s="122"/>
      <c r="FH220" s="122"/>
      <c r="FI220" s="122"/>
      <c r="FJ220" s="122"/>
      <c r="FK220" s="122"/>
      <c r="FL220" s="122"/>
      <c r="FM220" s="122"/>
      <c r="FN220" s="122"/>
      <c r="FO220" s="122"/>
      <c r="FP220" s="122"/>
      <c r="FQ220" s="122"/>
      <c r="FR220" s="122"/>
      <c r="FS220" s="122"/>
      <c r="FT220" s="122"/>
      <c r="FU220" s="122"/>
      <c r="FV220" s="122"/>
      <c r="FW220" s="122"/>
      <c r="FX220" s="122"/>
      <c r="FY220" s="122"/>
      <c r="FZ220" s="122"/>
      <c r="GA220" s="122"/>
      <c r="GB220" s="122"/>
      <c r="GC220" s="122"/>
      <c r="GD220" s="122"/>
      <c r="GE220" s="122"/>
      <c r="GF220" s="122"/>
      <c r="GG220" s="122"/>
      <c r="GH220" s="122"/>
      <c r="GI220" s="122"/>
      <c r="GJ220" s="122"/>
      <c r="GK220" s="122"/>
      <c r="GL220" s="122"/>
      <c r="GM220" s="122"/>
      <c r="GN220" s="122"/>
      <c r="GO220" s="122"/>
      <c r="GP220" s="122"/>
      <c r="GQ220" s="122"/>
      <c r="GR220" s="122"/>
      <c r="GS220" s="122"/>
      <c r="GT220" s="122"/>
      <c r="GU220" s="122"/>
      <c r="GV220" s="122"/>
      <c r="GW220" s="122"/>
      <c r="GX220" s="122"/>
      <c r="GY220" s="122"/>
      <c r="GZ220" s="122"/>
      <c r="HA220" s="122"/>
      <c r="HB220" s="122"/>
      <c r="HC220" s="122"/>
      <c r="HD220" s="122"/>
      <c r="HE220" s="122"/>
      <c r="HF220" s="122"/>
      <c r="HG220" s="122"/>
      <c r="HH220" s="122"/>
      <c r="HI220" s="122"/>
      <c r="HJ220" s="122"/>
      <c r="HK220" s="122"/>
      <c r="HL220" s="122"/>
      <c r="HM220" s="122"/>
      <c r="HN220" s="122"/>
      <c r="HO220" s="122"/>
      <c r="HP220" s="122"/>
      <c r="HQ220" s="122"/>
      <c r="HR220" s="122"/>
      <c r="HS220" s="122"/>
      <c r="HT220" s="122"/>
      <c r="HU220" s="122"/>
      <c r="HV220" s="122"/>
      <c r="HW220" s="122"/>
      <c r="HX220" s="122"/>
      <c r="HY220" s="122"/>
      <c r="HZ220" s="122"/>
      <c r="IA220" s="122"/>
      <c r="IB220" s="122"/>
      <c r="IC220" s="122"/>
      <c r="ID220" s="122"/>
      <c r="IE220" s="122"/>
      <c r="IF220" s="122"/>
      <c r="IG220" s="122"/>
      <c r="IH220" s="122"/>
      <c r="II220" s="122"/>
      <c r="IJ220" s="122"/>
      <c r="IK220" s="122"/>
      <c r="IL220" s="122"/>
      <c r="IM220" s="122"/>
      <c r="IN220" s="122"/>
      <c r="IO220" s="122"/>
      <c r="IP220" s="122"/>
      <c r="IQ220" s="122"/>
      <c r="IR220" s="122"/>
      <c r="IS220" s="122"/>
      <c r="IT220" s="122"/>
      <c r="IU220" s="122"/>
      <c r="IV220" s="122"/>
      <c r="IW220" s="122"/>
      <c r="IX220" s="122"/>
      <c r="IY220" s="122"/>
      <c r="IZ220" s="122"/>
      <c r="JA220" s="122"/>
      <c r="JB220" s="122"/>
      <c r="JC220" s="122"/>
      <c r="JD220" s="122"/>
      <c r="JE220" s="122"/>
      <c r="JF220" s="122"/>
      <c r="JG220" s="122"/>
      <c r="JH220" s="122"/>
      <c r="JI220" s="119"/>
      <c r="JJ220" s="2"/>
      <c r="JK220" s="122"/>
      <c r="JL220" s="125"/>
      <c r="JM220" s="125"/>
      <c r="JN220" s="125"/>
      <c r="JO220" s="125"/>
      <c r="JP220" s="125"/>
    </row>
    <row r="221" spans="1:276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  <c r="AS221" s="122"/>
      <c r="AT221" s="122"/>
      <c r="AU221" s="122"/>
      <c r="AV221" s="122"/>
      <c r="AW221" s="122"/>
      <c r="AX221" s="122"/>
      <c r="AY221" s="122"/>
      <c r="AZ221" s="122"/>
      <c r="BA221" s="122"/>
      <c r="BB221" s="122"/>
      <c r="BC221" s="122"/>
      <c r="BD221" s="122"/>
      <c r="BE221" s="122"/>
      <c r="BF221" s="122"/>
      <c r="BG221" s="122"/>
      <c r="BH221" s="122"/>
      <c r="BI221" s="122"/>
      <c r="BJ221" s="122"/>
      <c r="BK221" s="122"/>
      <c r="BL221" s="122"/>
      <c r="BM221" s="122"/>
      <c r="BN221" s="122"/>
      <c r="BO221" s="122"/>
      <c r="BP221" s="122"/>
      <c r="BQ221" s="122"/>
      <c r="BR221" s="122"/>
      <c r="BS221" s="122"/>
      <c r="BT221" s="122"/>
      <c r="BU221" s="122"/>
      <c r="BV221" s="122"/>
      <c r="BW221" s="122"/>
      <c r="BX221" s="122"/>
      <c r="BY221" s="122"/>
      <c r="BZ221" s="122"/>
      <c r="CA221" s="122"/>
      <c r="CB221" s="122"/>
      <c r="CC221" s="122"/>
      <c r="CD221" s="122"/>
      <c r="CE221" s="122"/>
      <c r="CF221" s="122"/>
      <c r="CG221" s="122"/>
      <c r="CH221" s="122"/>
      <c r="CI221" s="122"/>
      <c r="CJ221" s="122"/>
      <c r="CK221" s="122"/>
      <c r="CL221" s="122"/>
      <c r="CM221" s="122"/>
      <c r="CN221" s="122"/>
      <c r="CO221" s="122"/>
      <c r="CP221" s="122"/>
      <c r="CQ221" s="122"/>
      <c r="CR221" s="122"/>
      <c r="CS221" s="122"/>
      <c r="CT221" s="122"/>
      <c r="CU221" s="122"/>
      <c r="CV221" s="122"/>
      <c r="CW221" s="122"/>
      <c r="CX221" s="122"/>
      <c r="CY221" s="122"/>
      <c r="CZ221" s="122"/>
      <c r="DA221" s="122"/>
      <c r="DB221" s="122"/>
      <c r="DC221" s="122"/>
      <c r="DD221" s="122"/>
      <c r="DE221" s="122"/>
      <c r="DF221" s="122"/>
      <c r="DG221" s="122"/>
      <c r="DH221" s="122"/>
      <c r="DI221" s="122"/>
      <c r="DJ221" s="122"/>
      <c r="DK221" s="122"/>
      <c r="DL221" s="122"/>
      <c r="DM221" s="122"/>
      <c r="DN221" s="122"/>
      <c r="DO221" s="122"/>
      <c r="DP221" s="122"/>
      <c r="DQ221" s="122"/>
      <c r="DR221" s="122"/>
      <c r="DS221" s="122"/>
      <c r="DT221" s="122"/>
      <c r="DU221" s="122"/>
      <c r="DV221" s="122"/>
      <c r="DW221" s="122"/>
      <c r="DX221" s="122"/>
      <c r="DY221" s="122"/>
      <c r="DZ221" s="122"/>
      <c r="EA221" s="122"/>
      <c r="EB221" s="122"/>
      <c r="EC221" s="122"/>
      <c r="ED221" s="122"/>
      <c r="EE221" s="122"/>
      <c r="EF221" s="122"/>
      <c r="EG221" s="122"/>
      <c r="EH221" s="122"/>
      <c r="EI221" s="122"/>
      <c r="EJ221" s="122"/>
      <c r="EK221" s="122"/>
      <c r="EL221" s="122"/>
      <c r="EM221" s="122"/>
      <c r="EN221" s="122"/>
      <c r="EO221" s="122"/>
      <c r="EP221" s="122"/>
      <c r="EQ221" s="122"/>
      <c r="ER221" s="122"/>
      <c r="ES221" s="122"/>
      <c r="ET221" s="122"/>
      <c r="EU221" s="122"/>
      <c r="EV221" s="122"/>
      <c r="EW221" s="122"/>
      <c r="EX221" s="122"/>
      <c r="EY221" s="122"/>
      <c r="EZ221" s="122"/>
      <c r="FA221" s="122"/>
      <c r="FB221" s="122"/>
      <c r="FC221" s="122"/>
      <c r="FD221" s="122"/>
      <c r="FE221" s="122"/>
      <c r="FF221" s="122"/>
      <c r="FG221" s="122"/>
      <c r="FH221" s="122"/>
      <c r="FI221" s="122"/>
      <c r="FJ221" s="122"/>
      <c r="FK221" s="122"/>
      <c r="FL221" s="122"/>
      <c r="FM221" s="122"/>
      <c r="FN221" s="122"/>
      <c r="FO221" s="122"/>
      <c r="FP221" s="122"/>
      <c r="FQ221" s="122"/>
      <c r="FR221" s="122"/>
      <c r="FS221" s="122"/>
      <c r="FT221" s="122"/>
      <c r="FU221" s="122"/>
      <c r="FV221" s="122"/>
      <c r="FW221" s="122"/>
      <c r="FX221" s="122"/>
      <c r="FY221" s="122"/>
      <c r="FZ221" s="122"/>
      <c r="GA221" s="122"/>
      <c r="GB221" s="122"/>
      <c r="GC221" s="122"/>
      <c r="GD221" s="122"/>
      <c r="GE221" s="122"/>
      <c r="GF221" s="122"/>
      <c r="GG221" s="122"/>
      <c r="GH221" s="122"/>
      <c r="GI221" s="122"/>
      <c r="GJ221" s="122"/>
      <c r="GK221" s="122"/>
      <c r="GL221" s="122"/>
      <c r="GM221" s="122"/>
      <c r="GN221" s="122"/>
      <c r="GO221" s="122"/>
      <c r="GP221" s="122"/>
      <c r="GQ221" s="122"/>
      <c r="GR221" s="122"/>
      <c r="GS221" s="122"/>
      <c r="GT221" s="122"/>
      <c r="GU221" s="122"/>
      <c r="GV221" s="122"/>
      <c r="GW221" s="122"/>
      <c r="GX221" s="122"/>
      <c r="GY221" s="122"/>
      <c r="GZ221" s="122"/>
      <c r="HA221" s="122"/>
      <c r="HB221" s="122"/>
      <c r="HC221" s="122"/>
      <c r="HD221" s="122"/>
      <c r="HE221" s="122"/>
      <c r="HF221" s="122"/>
      <c r="HG221" s="122"/>
      <c r="HH221" s="122"/>
      <c r="HI221" s="122"/>
      <c r="HJ221" s="122"/>
      <c r="HK221" s="122"/>
      <c r="HL221" s="122"/>
      <c r="HM221" s="122"/>
      <c r="HN221" s="122"/>
      <c r="HO221" s="122"/>
      <c r="HP221" s="122"/>
      <c r="HQ221" s="122"/>
      <c r="HR221" s="122"/>
      <c r="HS221" s="122"/>
      <c r="HT221" s="122"/>
      <c r="HU221" s="122"/>
      <c r="HV221" s="122"/>
      <c r="HW221" s="122"/>
      <c r="HX221" s="122"/>
      <c r="HY221" s="122"/>
      <c r="HZ221" s="122"/>
      <c r="IA221" s="122"/>
      <c r="IB221" s="122"/>
      <c r="IC221" s="122"/>
      <c r="ID221" s="122"/>
      <c r="IE221" s="122"/>
      <c r="IF221" s="122"/>
      <c r="IG221" s="122"/>
      <c r="IH221" s="122"/>
      <c r="II221" s="122"/>
      <c r="IJ221" s="122"/>
      <c r="IK221" s="122"/>
      <c r="IL221" s="122"/>
      <c r="IM221" s="122"/>
      <c r="IN221" s="122"/>
      <c r="IO221" s="122"/>
      <c r="IP221" s="122"/>
      <c r="IQ221" s="122"/>
      <c r="IR221" s="122"/>
      <c r="IS221" s="122"/>
      <c r="IT221" s="122"/>
      <c r="IU221" s="122"/>
      <c r="IV221" s="122"/>
      <c r="IW221" s="122"/>
      <c r="IX221" s="122"/>
      <c r="IY221" s="122"/>
      <c r="IZ221" s="122"/>
      <c r="JA221" s="122"/>
      <c r="JB221" s="122"/>
      <c r="JC221" s="122"/>
      <c r="JD221" s="122"/>
      <c r="JE221" s="122"/>
      <c r="JF221" s="122"/>
      <c r="JG221" s="122"/>
      <c r="JH221" s="122"/>
      <c r="JI221" s="119"/>
      <c r="JJ221" s="2"/>
      <c r="JK221" s="122"/>
      <c r="JL221" s="125"/>
      <c r="JM221" s="125"/>
      <c r="JN221" s="125"/>
      <c r="JO221" s="125"/>
      <c r="JP221" s="125"/>
    </row>
    <row r="222" spans="1:276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  <c r="AP222" s="122"/>
      <c r="AQ222" s="122"/>
      <c r="AR222" s="122"/>
      <c r="AS222" s="122"/>
      <c r="AT222" s="122"/>
      <c r="AU222" s="122"/>
      <c r="AV222" s="122"/>
      <c r="AW222" s="122"/>
      <c r="AX222" s="122"/>
      <c r="AY222" s="122"/>
      <c r="AZ222" s="122"/>
      <c r="BA222" s="122"/>
      <c r="BB222" s="122"/>
      <c r="BC222" s="122"/>
      <c r="BD222" s="122"/>
      <c r="BE222" s="122"/>
      <c r="BF222" s="122"/>
      <c r="BG222" s="122"/>
      <c r="BH222" s="122"/>
      <c r="BI222" s="122"/>
      <c r="BJ222" s="122"/>
      <c r="BK222" s="122"/>
      <c r="BL222" s="122"/>
      <c r="BM222" s="122"/>
      <c r="BN222" s="122"/>
      <c r="BO222" s="122"/>
      <c r="BP222" s="122"/>
      <c r="BQ222" s="122"/>
      <c r="BR222" s="122"/>
      <c r="BS222" s="122"/>
      <c r="BT222" s="122"/>
      <c r="BU222" s="122"/>
      <c r="BV222" s="122"/>
      <c r="BW222" s="122"/>
      <c r="BX222" s="122"/>
      <c r="BY222" s="122"/>
      <c r="BZ222" s="122"/>
      <c r="CA222" s="122"/>
      <c r="CB222" s="122"/>
      <c r="CC222" s="122"/>
      <c r="CD222" s="122"/>
      <c r="CE222" s="122"/>
      <c r="CF222" s="122"/>
      <c r="CG222" s="122"/>
      <c r="CH222" s="122"/>
      <c r="CI222" s="122"/>
      <c r="CJ222" s="122"/>
      <c r="CK222" s="122"/>
      <c r="CL222" s="122"/>
      <c r="CM222" s="122"/>
      <c r="CN222" s="122"/>
      <c r="CO222" s="122"/>
      <c r="CP222" s="122"/>
      <c r="CQ222" s="122"/>
      <c r="CR222" s="122"/>
      <c r="CS222" s="122"/>
      <c r="CT222" s="122"/>
      <c r="CU222" s="122"/>
      <c r="CV222" s="122"/>
      <c r="CW222" s="122"/>
      <c r="CX222" s="122"/>
      <c r="CY222" s="122"/>
      <c r="CZ222" s="122"/>
      <c r="DA222" s="122"/>
      <c r="DB222" s="122"/>
      <c r="DC222" s="122"/>
      <c r="DD222" s="122"/>
      <c r="DE222" s="122"/>
      <c r="DF222" s="122"/>
      <c r="DG222" s="122"/>
      <c r="DH222" s="122"/>
      <c r="DI222" s="122"/>
      <c r="DJ222" s="122"/>
      <c r="DK222" s="122"/>
      <c r="DL222" s="122"/>
      <c r="DM222" s="122"/>
      <c r="DN222" s="122"/>
      <c r="DO222" s="122"/>
      <c r="DP222" s="122"/>
      <c r="DQ222" s="122"/>
      <c r="DR222" s="122"/>
      <c r="DS222" s="122"/>
      <c r="DT222" s="122"/>
      <c r="DU222" s="122"/>
      <c r="DV222" s="122"/>
      <c r="DW222" s="122"/>
      <c r="DX222" s="122"/>
      <c r="DY222" s="122"/>
      <c r="DZ222" s="122"/>
      <c r="EA222" s="122"/>
      <c r="EB222" s="122"/>
      <c r="EC222" s="122"/>
      <c r="ED222" s="122"/>
      <c r="EE222" s="122"/>
      <c r="EF222" s="122"/>
      <c r="EG222" s="122"/>
      <c r="EH222" s="122"/>
      <c r="EI222" s="122"/>
      <c r="EJ222" s="122"/>
      <c r="EK222" s="122"/>
      <c r="EL222" s="122"/>
      <c r="EM222" s="122"/>
      <c r="EN222" s="122"/>
      <c r="EO222" s="122"/>
      <c r="EP222" s="122"/>
      <c r="EQ222" s="122"/>
      <c r="ER222" s="122"/>
      <c r="ES222" s="122"/>
      <c r="ET222" s="122"/>
      <c r="EU222" s="122"/>
      <c r="EV222" s="122"/>
      <c r="EW222" s="122"/>
      <c r="EX222" s="122"/>
      <c r="EY222" s="122"/>
      <c r="EZ222" s="122"/>
      <c r="FA222" s="122"/>
      <c r="FB222" s="122"/>
      <c r="FC222" s="122"/>
      <c r="FD222" s="122"/>
      <c r="FE222" s="122"/>
      <c r="FF222" s="122"/>
      <c r="FG222" s="122"/>
      <c r="FH222" s="122"/>
      <c r="FI222" s="122"/>
      <c r="FJ222" s="122"/>
      <c r="FK222" s="122"/>
      <c r="FL222" s="122"/>
      <c r="FM222" s="122"/>
      <c r="FN222" s="122"/>
      <c r="FO222" s="122"/>
      <c r="FP222" s="122"/>
      <c r="FQ222" s="122"/>
      <c r="FR222" s="122"/>
      <c r="FS222" s="122"/>
      <c r="FT222" s="122"/>
      <c r="FU222" s="122"/>
      <c r="FV222" s="122"/>
      <c r="FW222" s="122"/>
      <c r="FX222" s="122"/>
      <c r="FY222" s="122"/>
      <c r="FZ222" s="122"/>
      <c r="GA222" s="122"/>
      <c r="GB222" s="122"/>
      <c r="GC222" s="122"/>
      <c r="GD222" s="122"/>
      <c r="GE222" s="122"/>
      <c r="GF222" s="122"/>
      <c r="GG222" s="122"/>
      <c r="GH222" s="122"/>
      <c r="GI222" s="122"/>
      <c r="GJ222" s="122"/>
      <c r="GK222" s="122"/>
      <c r="GL222" s="122"/>
      <c r="GM222" s="122"/>
      <c r="GN222" s="122"/>
      <c r="GO222" s="122"/>
      <c r="GP222" s="122"/>
      <c r="GQ222" s="122"/>
      <c r="GR222" s="122"/>
      <c r="GS222" s="122"/>
      <c r="GT222" s="122"/>
      <c r="GU222" s="122"/>
      <c r="GV222" s="122"/>
      <c r="GW222" s="122"/>
      <c r="GX222" s="122"/>
      <c r="GY222" s="122"/>
      <c r="GZ222" s="122"/>
      <c r="HA222" s="122"/>
      <c r="HB222" s="122"/>
      <c r="HC222" s="122"/>
      <c r="HD222" s="122"/>
      <c r="HE222" s="122"/>
      <c r="HF222" s="122"/>
      <c r="HG222" s="122"/>
      <c r="HH222" s="122"/>
      <c r="HI222" s="122"/>
      <c r="HJ222" s="122"/>
      <c r="HK222" s="122"/>
      <c r="HL222" s="122"/>
      <c r="HM222" s="122"/>
      <c r="HN222" s="122"/>
      <c r="HO222" s="122"/>
      <c r="HP222" s="122"/>
      <c r="HQ222" s="122"/>
      <c r="HR222" s="122"/>
      <c r="HS222" s="122"/>
      <c r="HT222" s="122"/>
      <c r="HU222" s="122"/>
      <c r="HV222" s="122"/>
      <c r="HW222" s="122"/>
      <c r="HX222" s="122"/>
      <c r="HY222" s="122"/>
      <c r="HZ222" s="122"/>
      <c r="IA222" s="122"/>
      <c r="IB222" s="122"/>
      <c r="IC222" s="122"/>
      <c r="ID222" s="122"/>
      <c r="IE222" s="122"/>
      <c r="IF222" s="122"/>
      <c r="IG222" s="122"/>
      <c r="IH222" s="122"/>
      <c r="II222" s="122"/>
      <c r="IJ222" s="122"/>
      <c r="IK222" s="122"/>
      <c r="IL222" s="122"/>
      <c r="IM222" s="122"/>
      <c r="IN222" s="122"/>
      <c r="IO222" s="122"/>
      <c r="IP222" s="122"/>
      <c r="IQ222" s="122"/>
      <c r="IR222" s="122"/>
      <c r="IS222" s="122"/>
      <c r="IT222" s="122"/>
      <c r="IU222" s="122"/>
      <c r="IV222" s="122"/>
      <c r="IW222" s="122"/>
      <c r="IX222" s="122"/>
      <c r="IY222" s="122"/>
      <c r="IZ222" s="122"/>
      <c r="JA222" s="122"/>
      <c r="JB222" s="122"/>
      <c r="JC222" s="122"/>
      <c r="JD222" s="122"/>
      <c r="JE222" s="122"/>
      <c r="JF222" s="122"/>
      <c r="JG222" s="122"/>
      <c r="JH222" s="122"/>
      <c r="JI222" s="119"/>
      <c r="JJ222" s="2"/>
      <c r="JK222" s="122"/>
      <c r="JL222" s="125"/>
      <c r="JM222" s="125"/>
      <c r="JN222" s="125"/>
      <c r="JO222" s="125"/>
      <c r="JP222" s="125"/>
    </row>
    <row r="223" spans="1:276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  <c r="AS223" s="122"/>
      <c r="AT223" s="122"/>
      <c r="AU223" s="122"/>
      <c r="AV223" s="122"/>
      <c r="AW223" s="122"/>
      <c r="AX223" s="122"/>
      <c r="AY223" s="122"/>
      <c r="AZ223" s="122"/>
      <c r="BA223" s="122"/>
      <c r="BB223" s="122"/>
      <c r="BC223" s="122"/>
      <c r="BD223" s="122"/>
      <c r="BE223" s="122"/>
      <c r="BF223" s="122"/>
      <c r="BG223" s="122"/>
      <c r="BH223" s="122"/>
      <c r="BI223" s="122"/>
      <c r="BJ223" s="122"/>
      <c r="BK223" s="122"/>
      <c r="BL223" s="122"/>
      <c r="BM223" s="122"/>
      <c r="BN223" s="122"/>
      <c r="BO223" s="122"/>
      <c r="BP223" s="122"/>
      <c r="BQ223" s="122"/>
      <c r="BR223" s="122"/>
      <c r="BS223" s="122"/>
      <c r="BT223" s="122"/>
      <c r="BU223" s="122"/>
      <c r="BV223" s="122"/>
      <c r="BW223" s="122"/>
      <c r="BX223" s="122"/>
      <c r="BY223" s="122"/>
      <c r="BZ223" s="122"/>
      <c r="CA223" s="122"/>
      <c r="CB223" s="122"/>
      <c r="CC223" s="122"/>
      <c r="CD223" s="122"/>
      <c r="CE223" s="122"/>
      <c r="CF223" s="122"/>
      <c r="CG223" s="122"/>
      <c r="CH223" s="122"/>
      <c r="CI223" s="122"/>
      <c r="CJ223" s="122"/>
      <c r="CK223" s="122"/>
      <c r="CL223" s="122"/>
      <c r="CM223" s="122"/>
      <c r="CN223" s="122"/>
      <c r="CO223" s="122"/>
      <c r="CP223" s="122"/>
      <c r="CQ223" s="122"/>
      <c r="CR223" s="122"/>
      <c r="CS223" s="122"/>
      <c r="CT223" s="122"/>
      <c r="CU223" s="122"/>
      <c r="CV223" s="122"/>
      <c r="CW223" s="122"/>
      <c r="CX223" s="122"/>
      <c r="CY223" s="122"/>
      <c r="CZ223" s="122"/>
      <c r="DA223" s="122"/>
      <c r="DB223" s="122"/>
      <c r="DC223" s="122"/>
      <c r="DD223" s="122"/>
      <c r="DE223" s="122"/>
      <c r="DF223" s="122"/>
      <c r="DG223" s="122"/>
      <c r="DH223" s="122"/>
      <c r="DI223" s="122"/>
      <c r="DJ223" s="122"/>
      <c r="DK223" s="122"/>
      <c r="DL223" s="122"/>
      <c r="DM223" s="122"/>
      <c r="DN223" s="122"/>
      <c r="DO223" s="122"/>
      <c r="DP223" s="122"/>
      <c r="DQ223" s="122"/>
      <c r="DR223" s="122"/>
      <c r="DS223" s="122"/>
      <c r="DT223" s="122"/>
      <c r="DU223" s="122"/>
      <c r="DV223" s="122"/>
      <c r="DW223" s="122"/>
      <c r="DX223" s="122"/>
      <c r="DY223" s="122"/>
      <c r="DZ223" s="122"/>
      <c r="EA223" s="122"/>
      <c r="EB223" s="122"/>
      <c r="EC223" s="122"/>
      <c r="ED223" s="122"/>
      <c r="EE223" s="122"/>
      <c r="EF223" s="122"/>
      <c r="EG223" s="122"/>
      <c r="EH223" s="122"/>
      <c r="EI223" s="122"/>
      <c r="EJ223" s="122"/>
      <c r="EK223" s="122"/>
      <c r="EL223" s="122"/>
      <c r="EM223" s="122"/>
      <c r="EN223" s="122"/>
      <c r="EO223" s="122"/>
      <c r="EP223" s="122"/>
      <c r="EQ223" s="122"/>
      <c r="ER223" s="122"/>
      <c r="ES223" s="122"/>
      <c r="ET223" s="122"/>
      <c r="EU223" s="122"/>
      <c r="EV223" s="122"/>
      <c r="EW223" s="122"/>
      <c r="EX223" s="122"/>
      <c r="EY223" s="122"/>
      <c r="EZ223" s="122"/>
      <c r="FA223" s="122"/>
      <c r="FB223" s="122"/>
      <c r="FC223" s="122"/>
      <c r="FD223" s="122"/>
      <c r="FE223" s="122"/>
      <c r="FF223" s="122"/>
      <c r="FG223" s="122"/>
      <c r="FH223" s="122"/>
      <c r="FI223" s="122"/>
      <c r="FJ223" s="122"/>
      <c r="FK223" s="122"/>
      <c r="FL223" s="122"/>
      <c r="FM223" s="122"/>
      <c r="FN223" s="122"/>
      <c r="FO223" s="122"/>
      <c r="FP223" s="122"/>
      <c r="FQ223" s="122"/>
      <c r="FR223" s="122"/>
      <c r="FS223" s="122"/>
      <c r="FT223" s="122"/>
      <c r="FU223" s="122"/>
      <c r="FV223" s="122"/>
      <c r="FW223" s="122"/>
      <c r="FX223" s="122"/>
      <c r="FY223" s="122"/>
      <c r="FZ223" s="122"/>
      <c r="GA223" s="122"/>
      <c r="GB223" s="122"/>
      <c r="GC223" s="122"/>
      <c r="GD223" s="122"/>
      <c r="GE223" s="122"/>
      <c r="GF223" s="122"/>
      <c r="GG223" s="122"/>
      <c r="GH223" s="122"/>
      <c r="GI223" s="122"/>
      <c r="GJ223" s="122"/>
      <c r="GK223" s="122"/>
      <c r="GL223" s="122"/>
      <c r="GM223" s="122"/>
      <c r="GN223" s="122"/>
      <c r="GO223" s="122"/>
      <c r="GP223" s="122"/>
      <c r="GQ223" s="122"/>
      <c r="GR223" s="122"/>
      <c r="GS223" s="122"/>
      <c r="GT223" s="122"/>
      <c r="GU223" s="122"/>
      <c r="GV223" s="122"/>
      <c r="GW223" s="122"/>
      <c r="GX223" s="122"/>
      <c r="GY223" s="122"/>
      <c r="GZ223" s="122"/>
      <c r="HA223" s="122"/>
      <c r="HB223" s="122"/>
      <c r="HC223" s="122"/>
      <c r="HD223" s="122"/>
      <c r="HE223" s="122"/>
      <c r="HF223" s="122"/>
      <c r="HG223" s="122"/>
      <c r="HH223" s="122"/>
      <c r="HI223" s="122"/>
      <c r="HJ223" s="122"/>
      <c r="HK223" s="122"/>
      <c r="HL223" s="122"/>
      <c r="HM223" s="122"/>
      <c r="HN223" s="122"/>
      <c r="HO223" s="122"/>
      <c r="HP223" s="122"/>
      <c r="HQ223" s="122"/>
      <c r="HR223" s="122"/>
      <c r="HS223" s="122"/>
      <c r="HT223" s="122"/>
      <c r="HU223" s="122"/>
      <c r="HV223" s="122"/>
      <c r="HW223" s="122"/>
      <c r="HX223" s="122"/>
      <c r="HY223" s="122"/>
      <c r="HZ223" s="122"/>
      <c r="IA223" s="122"/>
      <c r="IB223" s="122"/>
      <c r="IC223" s="122"/>
      <c r="ID223" s="122"/>
      <c r="IE223" s="122"/>
      <c r="IF223" s="122"/>
      <c r="IG223" s="122"/>
      <c r="IH223" s="122"/>
      <c r="II223" s="122"/>
      <c r="IJ223" s="122"/>
      <c r="IK223" s="122"/>
      <c r="IL223" s="122"/>
      <c r="IM223" s="122"/>
      <c r="IN223" s="122"/>
      <c r="IO223" s="122"/>
      <c r="IP223" s="122"/>
      <c r="IQ223" s="122"/>
      <c r="IR223" s="122"/>
      <c r="IS223" s="122"/>
      <c r="IT223" s="122"/>
      <c r="IU223" s="122"/>
      <c r="IV223" s="122"/>
      <c r="IW223" s="122"/>
      <c r="IX223" s="122"/>
      <c r="IY223" s="122"/>
      <c r="IZ223" s="122"/>
      <c r="JA223" s="122"/>
      <c r="JB223" s="122"/>
      <c r="JC223" s="122"/>
      <c r="JD223" s="122"/>
      <c r="JE223" s="122"/>
      <c r="JF223" s="122"/>
      <c r="JG223" s="122"/>
      <c r="JH223" s="122"/>
      <c r="JI223" s="119"/>
      <c r="JJ223" s="2"/>
      <c r="JK223" s="122"/>
      <c r="JL223" s="125"/>
      <c r="JM223" s="125"/>
      <c r="JN223" s="125"/>
      <c r="JO223" s="125"/>
      <c r="JP223" s="125"/>
    </row>
    <row r="224" spans="1:276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122"/>
      <c r="AQ224" s="122"/>
      <c r="AR224" s="122"/>
      <c r="AS224" s="122"/>
      <c r="AT224" s="122"/>
      <c r="AU224" s="122"/>
      <c r="AV224" s="122"/>
      <c r="AW224" s="122"/>
      <c r="AX224" s="122"/>
      <c r="AY224" s="122"/>
      <c r="AZ224" s="122"/>
      <c r="BA224" s="122"/>
      <c r="BB224" s="122"/>
      <c r="BC224" s="122"/>
      <c r="BD224" s="122"/>
      <c r="BE224" s="122"/>
      <c r="BF224" s="122"/>
      <c r="BG224" s="122"/>
      <c r="BH224" s="122"/>
      <c r="BI224" s="122"/>
      <c r="BJ224" s="122"/>
      <c r="BK224" s="122"/>
      <c r="BL224" s="122"/>
      <c r="BM224" s="122"/>
      <c r="BN224" s="122"/>
      <c r="BO224" s="122"/>
      <c r="BP224" s="122"/>
      <c r="BQ224" s="122"/>
      <c r="BR224" s="122"/>
      <c r="BS224" s="122"/>
      <c r="BT224" s="122"/>
      <c r="BU224" s="122"/>
      <c r="BV224" s="122"/>
      <c r="BW224" s="122"/>
      <c r="BX224" s="122"/>
      <c r="BY224" s="122"/>
      <c r="BZ224" s="122"/>
      <c r="CA224" s="122"/>
      <c r="CB224" s="122"/>
      <c r="CC224" s="122"/>
      <c r="CD224" s="122"/>
      <c r="CE224" s="122"/>
      <c r="CF224" s="122"/>
      <c r="CG224" s="122"/>
      <c r="CH224" s="122"/>
      <c r="CI224" s="122"/>
      <c r="CJ224" s="122"/>
      <c r="CK224" s="122"/>
      <c r="CL224" s="122"/>
      <c r="CM224" s="122"/>
      <c r="CN224" s="122"/>
      <c r="CO224" s="122"/>
      <c r="CP224" s="122"/>
      <c r="CQ224" s="122"/>
      <c r="CR224" s="122"/>
      <c r="CS224" s="122"/>
      <c r="CT224" s="122"/>
      <c r="CU224" s="122"/>
      <c r="CV224" s="122"/>
      <c r="CW224" s="122"/>
      <c r="CX224" s="122"/>
      <c r="CY224" s="122"/>
      <c r="CZ224" s="122"/>
      <c r="DA224" s="122"/>
      <c r="DB224" s="122"/>
      <c r="DC224" s="122"/>
      <c r="DD224" s="122"/>
      <c r="DE224" s="122"/>
      <c r="DF224" s="122"/>
      <c r="DG224" s="122"/>
      <c r="DH224" s="122"/>
      <c r="DI224" s="122"/>
      <c r="DJ224" s="122"/>
      <c r="DK224" s="122"/>
      <c r="DL224" s="122"/>
      <c r="DM224" s="122"/>
      <c r="DN224" s="122"/>
      <c r="DO224" s="122"/>
      <c r="DP224" s="122"/>
      <c r="DQ224" s="122"/>
      <c r="DR224" s="122"/>
      <c r="DS224" s="122"/>
      <c r="DT224" s="122"/>
      <c r="DU224" s="122"/>
      <c r="DV224" s="122"/>
      <c r="DW224" s="122"/>
      <c r="DX224" s="122"/>
      <c r="DY224" s="122"/>
      <c r="DZ224" s="122"/>
      <c r="EA224" s="122"/>
      <c r="EB224" s="122"/>
      <c r="EC224" s="122"/>
      <c r="ED224" s="122"/>
      <c r="EE224" s="122"/>
      <c r="EF224" s="122"/>
      <c r="EG224" s="122"/>
      <c r="EH224" s="122"/>
      <c r="EI224" s="122"/>
      <c r="EJ224" s="122"/>
      <c r="EK224" s="122"/>
      <c r="EL224" s="122"/>
      <c r="EM224" s="122"/>
      <c r="EN224" s="122"/>
      <c r="EO224" s="122"/>
      <c r="EP224" s="122"/>
      <c r="EQ224" s="122"/>
      <c r="ER224" s="122"/>
      <c r="ES224" s="122"/>
      <c r="ET224" s="122"/>
      <c r="EU224" s="122"/>
      <c r="EV224" s="122"/>
      <c r="EW224" s="122"/>
      <c r="EX224" s="122"/>
      <c r="EY224" s="122"/>
      <c r="EZ224" s="122"/>
      <c r="FA224" s="122"/>
      <c r="FB224" s="122"/>
      <c r="FC224" s="122"/>
      <c r="FD224" s="122"/>
      <c r="FE224" s="122"/>
      <c r="FF224" s="122"/>
      <c r="FG224" s="122"/>
      <c r="FH224" s="122"/>
      <c r="FI224" s="122"/>
      <c r="FJ224" s="122"/>
      <c r="FK224" s="122"/>
      <c r="FL224" s="122"/>
      <c r="FM224" s="122"/>
      <c r="FN224" s="122"/>
      <c r="FO224" s="122"/>
      <c r="FP224" s="122"/>
      <c r="FQ224" s="122"/>
      <c r="FR224" s="122"/>
      <c r="FS224" s="122"/>
      <c r="FT224" s="122"/>
      <c r="FU224" s="122"/>
      <c r="FV224" s="122"/>
      <c r="FW224" s="122"/>
      <c r="FX224" s="122"/>
      <c r="FY224" s="122"/>
      <c r="FZ224" s="122"/>
      <c r="GA224" s="122"/>
      <c r="GB224" s="122"/>
      <c r="GC224" s="122"/>
      <c r="GD224" s="122"/>
      <c r="GE224" s="122"/>
      <c r="GF224" s="122"/>
      <c r="GG224" s="122"/>
      <c r="GH224" s="122"/>
      <c r="GI224" s="122"/>
      <c r="GJ224" s="122"/>
      <c r="GK224" s="122"/>
      <c r="GL224" s="122"/>
      <c r="GM224" s="122"/>
      <c r="GN224" s="122"/>
      <c r="GO224" s="122"/>
      <c r="GP224" s="122"/>
      <c r="GQ224" s="122"/>
      <c r="GR224" s="122"/>
      <c r="GS224" s="122"/>
      <c r="GT224" s="122"/>
      <c r="GU224" s="122"/>
      <c r="GV224" s="122"/>
      <c r="GW224" s="122"/>
      <c r="GX224" s="122"/>
      <c r="GY224" s="122"/>
      <c r="GZ224" s="122"/>
      <c r="HA224" s="122"/>
      <c r="HB224" s="122"/>
      <c r="HC224" s="122"/>
      <c r="HD224" s="122"/>
      <c r="HE224" s="122"/>
      <c r="HF224" s="122"/>
      <c r="HG224" s="122"/>
      <c r="HH224" s="122"/>
      <c r="HI224" s="122"/>
      <c r="HJ224" s="122"/>
      <c r="HK224" s="122"/>
      <c r="HL224" s="122"/>
      <c r="HM224" s="122"/>
      <c r="HN224" s="122"/>
      <c r="HO224" s="122"/>
      <c r="HP224" s="122"/>
      <c r="HQ224" s="122"/>
      <c r="HR224" s="122"/>
      <c r="HS224" s="122"/>
      <c r="HT224" s="122"/>
      <c r="HU224" s="122"/>
      <c r="HV224" s="122"/>
      <c r="HW224" s="122"/>
      <c r="HX224" s="122"/>
      <c r="HY224" s="122"/>
      <c r="HZ224" s="122"/>
      <c r="IA224" s="122"/>
      <c r="IB224" s="122"/>
      <c r="IC224" s="122"/>
      <c r="ID224" s="122"/>
      <c r="IE224" s="122"/>
      <c r="IF224" s="122"/>
      <c r="IG224" s="122"/>
      <c r="IH224" s="122"/>
      <c r="II224" s="122"/>
      <c r="IJ224" s="122"/>
      <c r="IK224" s="122"/>
      <c r="IL224" s="122"/>
      <c r="IM224" s="122"/>
      <c r="IN224" s="122"/>
      <c r="IO224" s="122"/>
      <c r="IP224" s="122"/>
      <c r="IQ224" s="122"/>
      <c r="IR224" s="122"/>
      <c r="IS224" s="122"/>
      <c r="IT224" s="122"/>
      <c r="IU224" s="122"/>
      <c r="IV224" s="122"/>
      <c r="IW224" s="122"/>
      <c r="IX224" s="122"/>
      <c r="IY224" s="122"/>
      <c r="IZ224" s="122"/>
      <c r="JA224" s="122"/>
      <c r="JB224" s="122"/>
      <c r="JC224" s="122"/>
      <c r="JD224" s="122"/>
      <c r="JE224" s="122"/>
      <c r="JF224" s="122"/>
      <c r="JG224" s="122"/>
      <c r="JH224" s="122"/>
      <c r="JI224" s="119"/>
      <c r="JJ224" s="2"/>
      <c r="JK224" s="122"/>
      <c r="JL224" s="125"/>
      <c r="JM224" s="125"/>
      <c r="JN224" s="125"/>
      <c r="JO224" s="125"/>
      <c r="JP224" s="125"/>
    </row>
    <row r="225" spans="1:276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  <c r="AR225" s="122"/>
      <c r="AS225" s="122"/>
      <c r="AT225" s="122"/>
      <c r="AU225" s="122"/>
      <c r="AV225" s="122"/>
      <c r="AW225" s="122"/>
      <c r="AX225" s="122"/>
      <c r="AY225" s="122"/>
      <c r="AZ225" s="122"/>
      <c r="BA225" s="122"/>
      <c r="BB225" s="122"/>
      <c r="BC225" s="122"/>
      <c r="BD225" s="122"/>
      <c r="BE225" s="122"/>
      <c r="BF225" s="122"/>
      <c r="BG225" s="122"/>
      <c r="BH225" s="122"/>
      <c r="BI225" s="122"/>
      <c r="BJ225" s="122"/>
      <c r="BK225" s="122"/>
      <c r="BL225" s="122"/>
      <c r="BM225" s="122"/>
      <c r="BN225" s="122"/>
      <c r="BO225" s="122"/>
      <c r="BP225" s="122"/>
      <c r="BQ225" s="122"/>
      <c r="BR225" s="122"/>
      <c r="BS225" s="122"/>
      <c r="BT225" s="122"/>
      <c r="BU225" s="122"/>
      <c r="BV225" s="122"/>
      <c r="BW225" s="122"/>
      <c r="BX225" s="122"/>
      <c r="BY225" s="122"/>
      <c r="BZ225" s="122"/>
      <c r="CA225" s="122"/>
      <c r="CB225" s="122"/>
      <c r="CC225" s="122"/>
      <c r="CD225" s="122"/>
      <c r="CE225" s="122"/>
      <c r="CF225" s="122"/>
      <c r="CG225" s="122"/>
      <c r="CH225" s="122"/>
      <c r="CI225" s="122"/>
      <c r="CJ225" s="122"/>
      <c r="CK225" s="122"/>
      <c r="CL225" s="122"/>
      <c r="CM225" s="122"/>
      <c r="CN225" s="122"/>
      <c r="CO225" s="122"/>
      <c r="CP225" s="122"/>
      <c r="CQ225" s="122"/>
      <c r="CR225" s="122"/>
      <c r="CS225" s="122"/>
      <c r="CT225" s="122"/>
      <c r="CU225" s="122"/>
      <c r="CV225" s="122"/>
      <c r="CW225" s="122"/>
      <c r="CX225" s="122"/>
      <c r="CY225" s="122"/>
      <c r="CZ225" s="122"/>
      <c r="DA225" s="122"/>
      <c r="DB225" s="122"/>
      <c r="DC225" s="122"/>
      <c r="DD225" s="122"/>
      <c r="DE225" s="122"/>
      <c r="DF225" s="122"/>
      <c r="DG225" s="122"/>
      <c r="DH225" s="122"/>
      <c r="DI225" s="122"/>
      <c r="DJ225" s="122"/>
      <c r="DK225" s="122"/>
      <c r="DL225" s="122"/>
      <c r="DM225" s="122"/>
      <c r="DN225" s="122"/>
      <c r="DO225" s="122"/>
      <c r="DP225" s="122"/>
      <c r="DQ225" s="122"/>
      <c r="DR225" s="122"/>
      <c r="DS225" s="122"/>
      <c r="DT225" s="122"/>
      <c r="DU225" s="122"/>
      <c r="DV225" s="122"/>
      <c r="DW225" s="122"/>
      <c r="DX225" s="122"/>
      <c r="DY225" s="122"/>
      <c r="DZ225" s="122"/>
      <c r="EA225" s="122"/>
      <c r="EB225" s="122"/>
      <c r="EC225" s="122"/>
      <c r="ED225" s="122"/>
      <c r="EE225" s="122"/>
      <c r="EF225" s="122"/>
      <c r="EG225" s="122"/>
      <c r="EH225" s="122"/>
      <c r="EI225" s="122"/>
      <c r="EJ225" s="122"/>
      <c r="EK225" s="122"/>
      <c r="EL225" s="122"/>
      <c r="EM225" s="122"/>
      <c r="EN225" s="122"/>
      <c r="EO225" s="122"/>
      <c r="EP225" s="122"/>
      <c r="EQ225" s="122"/>
      <c r="ER225" s="122"/>
      <c r="ES225" s="122"/>
      <c r="ET225" s="122"/>
      <c r="EU225" s="122"/>
      <c r="EV225" s="122"/>
      <c r="EW225" s="122"/>
      <c r="EX225" s="122"/>
      <c r="EY225" s="122"/>
      <c r="EZ225" s="122"/>
      <c r="FA225" s="122"/>
      <c r="FB225" s="122"/>
      <c r="FC225" s="122"/>
      <c r="FD225" s="122"/>
      <c r="FE225" s="122"/>
      <c r="FF225" s="122"/>
      <c r="FG225" s="122"/>
      <c r="FH225" s="122"/>
      <c r="FI225" s="122"/>
      <c r="FJ225" s="122"/>
      <c r="FK225" s="122"/>
      <c r="FL225" s="122"/>
      <c r="FM225" s="122"/>
      <c r="FN225" s="122"/>
      <c r="FO225" s="122"/>
      <c r="FP225" s="122"/>
      <c r="FQ225" s="122"/>
      <c r="FR225" s="122"/>
      <c r="FS225" s="122"/>
      <c r="FT225" s="122"/>
      <c r="FU225" s="122"/>
      <c r="FV225" s="122"/>
      <c r="FW225" s="122"/>
      <c r="FX225" s="122"/>
      <c r="FY225" s="122"/>
      <c r="FZ225" s="122"/>
      <c r="GA225" s="122"/>
      <c r="GB225" s="122"/>
      <c r="GC225" s="122"/>
      <c r="GD225" s="122"/>
      <c r="GE225" s="122"/>
      <c r="GF225" s="122"/>
      <c r="GG225" s="122"/>
      <c r="GH225" s="122"/>
      <c r="GI225" s="122"/>
      <c r="GJ225" s="122"/>
      <c r="GK225" s="122"/>
      <c r="GL225" s="122"/>
      <c r="GM225" s="122"/>
      <c r="GN225" s="122"/>
      <c r="GO225" s="122"/>
      <c r="GP225" s="122"/>
      <c r="GQ225" s="122"/>
      <c r="GR225" s="122"/>
      <c r="GS225" s="122"/>
      <c r="GT225" s="122"/>
      <c r="GU225" s="122"/>
      <c r="GV225" s="122"/>
      <c r="GW225" s="122"/>
      <c r="GX225" s="122"/>
      <c r="GY225" s="122"/>
      <c r="GZ225" s="122"/>
      <c r="HA225" s="122"/>
      <c r="HB225" s="122"/>
      <c r="HC225" s="122"/>
      <c r="HD225" s="122"/>
      <c r="HE225" s="122"/>
      <c r="HF225" s="122"/>
      <c r="HG225" s="122"/>
      <c r="HH225" s="122"/>
      <c r="HI225" s="122"/>
      <c r="HJ225" s="122"/>
      <c r="HK225" s="122"/>
      <c r="HL225" s="122"/>
      <c r="HM225" s="122"/>
      <c r="HN225" s="122"/>
      <c r="HO225" s="122"/>
      <c r="HP225" s="122"/>
      <c r="HQ225" s="122"/>
      <c r="HR225" s="122"/>
      <c r="HS225" s="122"/>
      <c r="HT225" s="122"/>
      <c r="HU225" s="122"/>
      <c r="HV225" s="122"/>
      <c r="HW225" s="122"/>
      <c r="HX225" s="122"/>
      <c r="HY225" s="122"/>
      <c r="HZ225" s="122"/>
      <c r="IA225" s="122"/>
      <c r="IB225" s="122"/>
      <c r="IC225" s="122"/>
      <c r="ID225" s="122"/>
      <c r="IE225" s="122"/>
      <c r="IF225" s="122"/>
      <c r="IG225" s="122"/>
      <c r="IH225" s="122"/>
      <c r="II225" s="122"/>
      <c r="IJ225" s="122"/>
      <c r="IK225" s="122"/>
      <c r="IL225" s="122"/>
      <c r="IM225" s="122"/>
      <c r="IN225" s="122"/>
      <c r="IO225" s="122"/>
      <c r="IP225" s="122"/>
      <c r="IQ225" s="122"/>
      <c r="IR225" s="122"/>
      <c r="IS225" s="122"/>
      <c r="IT225" s="122"/>
      <c r="IU225" s="122"/>
      <c r="IV225" s="122"/>
      <c r="IW225" s="122"/>
      <c r="IX225" s="122"/>
      <c r="IY225" s="122"/>
      <c r="IZ225" s="122"/>
      <c r="JA225" s="122"/>
      <c r="JB225" s="122"/>
      <c r="JC225" s="122"/>
      <c r="JD225" s="122"/>
      <c r="JE225" s="122"/>
      <c r="JF225" s="122"/>
      <c r="JG225" s="122"/>
      <c r="JH225" s="122"/>
      <c r="JI225" s="119"/>
      <c r="JJ225" s="2"/>
      <c r="JK225" s="122"/>
      <c r="JL225" s="125"/>
      <c r="JM225" s="125"/>
      <c r="JN225" s="125"/>
      <c r="JO225" s="125"/>
      <c r="JP225" s="125"/>
    </row>
    <row r="226" spans="1:27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122"/>
      <c r="AQ226" s="122"/>
      <c r="AR226" s="122"/>
      <c r="AS226" s="122"/>
      <c r="AT226" s="122"/>
      <c r="AU226" s="122"/>
      <c r="AV226" s="122"/>
      <c r="AW226" s="122"/>
      <c r="AX226" s="122"/>
      <c r="AY226" s="122"/>
      <c r="AZ226" s="122"/>
      <c r="BA226" s="122"/>
      <c r="BB226" s="122"/>
      <c r="BC226" s="122"/>
      <c r="BD226" s="122"/>
      <c r="BE226" s="122"/>
      <c r="BF226" s="122"/>
      <c r="BG226" s="122"/>
      <c r="BH226" s="122"/>
      <c r="BI226" s="122"/>
      <c r="BJ226" s="122"/>
      <c r="BK226" s="122"/>
      <c r="BL226" s="122"/>
      <c r="BM226" s="122"/>
      <c r="BN226" s="122"/>
      <c r="BO226" s="122"/>
      <c r="BP226" s="122"/>
      <c r="BQ226" s="122"/>
      <c r="BR226" s="122"/>
      <c r="BS226" s="122"/>
      <c r="BT226" s="122"/>
      <c r="BU226" s="122"/>
      <c r="BV226" s="122"/>
      <c r="BW226" s="122"/>
      <c r="BX226" s="122"/>
      <c r="BY226" s="122"/>
      <c r="BZ226" s="122"/>
      <c r="CA226" s="122"/>
      <c r="CB226" s="122"/>
      <c r="CC226" s="122"/>
      <c r="CD226" s="122"/>
      <c r="CE226" s="122"/>
      <c r="CF226" s="122"/>
      <c r="CG226" s="122"/>
      <c r="CH226" s="122"/>
      <c r="CI226" s="122"/>
      <c r="CJ226" s="122"/>
      <c r="CK226" s="122"/>
      <c r="CL226" s="122"/>
      <c r="CM226" s="122"/>
      <c r="CN226" s="122"/>
      <c r="CO226" s="122"/>
      <c r="CP226" s="122"/>
      <c r="CQ226" s="122"/>
      <c r="CR226" s="122"/>
      <c r="CS226" s="122"/>
      <c r="CT226" s="122"/>
      <c r="CU226" s="122"/>
      <c r="CV226" s="122"/>
      <c r="CW226" s="122"/>
      <c r="CX226" s="122"/>
      <c r="CY226" s="122"/>
      <c r="CZ226" s="122"/>
      <c r="DA226" s="122"/>
      <c r="DB226" s="122"/>
      <c r="DC226" s="122"/>
      <c r="DD226" s="122"/>
      <c r="DE226" s="122"/>
      <c r="DF226" s="122"/>
      <c r="DG226" s="122"/>
      <c r="DH226" s="122"/>
      <c r="DI226" s="122"/>
      <c r="DJ226" s="122"/>
      <c r="DK226" s="122"/>
      <c r="DL226" s="122"/>
      <c r="DM226" s="122"/>
      <c r="DN226" s="122"/>
      <c r="DO226" s="122"/>
      <c r="DP226" s="122"/>
      <c r="DQ226" s="122"/>
      <c r="DR226" s="122"/>
      <c r="DS226" s="122"/>
      <c r="DT226" s="122"/>
      <c r="DU226" s="122"/>
      <c r="DV226" s="122"/>
      <c r="DW226" s="122"/>
      <c r="DX226" s="122"/>
      <c r="DY226" s="122"/>
      <c r="DZ226" s="122"/>
      <c r="EA226" s="122"/>
      <c r="EB226" s="122"/>
      <c r="EC226" s="122"/>
      <c r="ED226" s="122"/>
      <c r="EE226" s="122"/>
      <c r="EF226" s="122"/>
      <c r="EG226" s="122"/>
      <c r="EH226" s="122"/>
      <c r="EI226" s="122"/>
      <c r="EJ226" s="122"/>
      <c r="EK226" s="122"/>
      <c r="EL226" s="122"/>
      <c r="EM226" s="122"/>
      <c r="EN226" s="122"/>
      <c r="EO226" s="122"/>
      <c r="EP226" s="122"/>
      <c r="EQ226" s="122"/>
      <c r="ER226" s="122"/>
      <c r="ES226" s="122"/>
      <c r="ET226" s="122"/>
      <c r="EU226" s="122"/>
      <c r="EV226" s="122"/>
      <c r="EW226" s="122"/>
      <c r="EX226" s="122"/>
      <c r="EY226" s="122"/>
      <c r="EZ226" s="122"/>
      <c r="FA226" s="122"/>
      <c r="FB226" s="122"/>
      <c r="FC226" s="122"/>
      <c r="FD226" s="122"/>
      <c r="FE226" s="122"/>
      <c r="FF226" s="122"/>
      <c r="FG226" s="122"/>
      <c r="FH226" s="122"/>
      <c r="FI226" s="122"/>
      <c r="FJ226" s="122"/>
      <c r="FK226" s="122"/>
      <c r="FL226" s="122"/>
      <c r="FM226" s="122"/>
      <c r="FN226" s="122"/>
      <c r="FO226" s="122"/>
      <c r="FP226" s="122"/>
      <c r="FQ226" s="122"/>
      <c r="FR226" s="122"/>
      <c r="FS226" s="122"/>
      <c r="FT226" s="122"/>
      <c r="FU226" s="122"/>
      <c r="FV226" s="122"/>
      <c r="FW226" s="122"/>
      <c r="FX226" s="122"/>
      <c r="FY226" s="122"/>
      <c r="FZ226" s="122"/>
      <c r="GA226" s="122"/>
      <c r="GB226" s="122"/>
      <c r="GC226" s="122"/>
      <c r="GD226" s="122"/>
      <c r="GE226" s="122"/>
      <c r="GF226" s="122"/>
      <c r="GG226" s="122"/>
      <c r="GH226" s="122"/>
      <c r="GI226" s="122"/>
      <c r="GJ226" s="122"/>
      <c r="GK226" s="122"/>
      <c r="GL226" s="122"/>
      <c r="GM226" s="122"/>
      <c r="GN226" s="122"/>
      <c r="GO226" s="122"/>
      <c r="GP226" s="122"/>
      <c r="GQ226" s="122"/>
      <c r="GR226" s="122"/>
      <c r="GS226" s="122"/>
      <c r="GT226" s="122"/>
      <c r="GU226" s="122"/>
      <c r="GV226" s="122"/>
      <c r="GW226" s="122"/>
      <c r="GX226" s="122"/>
      <c r="GY226" s="122"/>
      <c r="GZ226" s="122"/>
      <c r="HA226" s="122"/>
      <c r="HB226" s="122"/>
      <c r="HC226" s="122"/>
      <c r="HD226" s="122"/>
      <c r="HE226" s="122"/>
      <c r="HF226" s="122"/>
      <c r="HG226" s="122"/>
      <c r="HH226" s="122"/>
      <c r="HI226" s="122"/>
      <c r="HJ226" s="122"/>
      <c r="HK226" s="122"/>
      <c r="HL226" s="122"/>
      <c r="HM226" s="122"/>
      <c r="HN226" s="122"/>
      <c r="HO226" s="122"/>
      <c r="HP226" s="122"/>
      <c r="HQ226" s="122"/>
      <c r="HR226" s="122"/>
      <c r="HS226" s="122"/>
      <c r="HT226" s="122"/>
      <c r="HU226" s="122"/>
      <c r="HV226" s="122"/>
      <c r="HW226" s="122"/>
      <c r="HX226" s="122"/>
      <c r="HY226" s="122"/>
      <c r="HZ226" s="122"/>
      <c r="IA226" s="122"/>
      <c r="IB226" s="122"/>
      <c r="IC226" s="122"/>
      <c r="ID226" s="122"/>
      <c r="IE226" s="122"/>
      <c r="IF226" s="122"/>
      <c r="IG226" s="122"/>
      <c r="IH226" s="122"/>
      <c r="II226" s="122"/>
      <c r="IJ226" s="122"/>
      <c r="IK226" s="122"/>
      <c r="IL226" s="122"/>
      <c r="IM226" s="122"/>
      <c r="IN226" s="122"/>
      <c r="IO226" s="122"/>
      <c r="IP226" s="122"/>
      <c r="IQ226" s="122"/>
      <c r="IR226" s="122"/>
      <c r="IS226" s="122"/>
      <c r="IT226" s="122"/>
      <c r="IU226" s="122"/>
      <c r="IV226" s="122"/>
      <c r="IW226" s="122"/>
      <c r="IX226" s="122"/>
      <c r="IY226" s="122"/>
      <c r="IZ226" s="122"/>
      <c r="JA226" s="122"/>
      <c r="JB226" s="122"/>
      <c r="JC226" s="122"/>
      <c r="JD226" s="122"/>
      <c r="JE226" s="122"/>
      <c r="JF226" s="122"/>
      <c r="JG226" s="122"/>
      <c r="JH226" s="122"/>
      <c r="JI226" s="119"/>
      <c r="JJ226" s="2"/>
      <c r="JK226" s="122"/>
      <c r="JL226" s="125"/>
      <c r="JM226" s="125"/>
      <c r="JN226" s="125"/>
      <c r="JO226" s="125"/>
      <c r="JP226" s="125"/>
    </row>
    <row r="227" spans="1:276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  <c r="AR227" s="122"/>
      <c r="AS227" s="122"/>
      <c r="AT227" s="122"/>
      <c r="AU227" s="122"/>
      <c r="AV227" s="122"/>
      <c r="AW227" s="122"/>
      <c r="AX227" s="122"/>
      <c r="AY227" s="122"/>
      <c r="AZ227" s="122"/>
      <c r="BA227" s="122"/>
      <c r="BB227" s="122"/>
      <c r="BC227" s="122"/>
      <c r="BD227" s="122"/>
      <c r="BE227" s="122"/>
      <c r="BF227" s="122"/>
      <c r="BG227" s="122"/>
      <c r="BH227" s="122"/>
      <c r="BI227" s="122"/>
      <c r="BJ227" s="122"/>
      <c r="BK227" s="122"/>
      <c r="BL227" s="122"/>
      <c r="BM227" s="122"/>
      <c r="BN227" s="122"/>
      <c r="BO227" s="122"/>
      <c r="BP227" s="122"/>
      <c r="BQ227" s="122"/>
      <c r="BR227" s="122"/>
      <c r="BS227" s="122"/>
      <c r="BT227" s="122"/>
      <c r="BU227" s="122"/>
      <c r="BV227" s="122"/>
      <c r="BW227" s="122"/>
      <c r="BX227" s="122"/>
      <c r="BY227" s="122"/>
      <c r="BZ227" s="122"/>
      <c r="CA227" s="122"/>
      <c r="CB227" s="122"/>
      <c r="CC227" s="122"/>
      <c r="CD227" s="122"/>
      <c r="CE227" s="122"/>
      <c r="CF227" s="122"/>
      <c r="CG227" s="122"/>
      <c r="CH227" s="122"/>
      <c r="CI227" s="122"/>
      <c r="CJ227" s="122"/>
      <c r="CK227" s="122"/>
      <c r="CL227" s="122"/>
      <c r="CM227" s="122"/>
      <c r="CN227" s="122"/>
      <c r="CO227" s="122"/>
      <c r="CP227" s="122"/>
      <c r="CQ227" s="122"/>
      <c r="CR227" s="122"/>
      <c r="CS227" s="122"/>
      <c r="CT227" s="122"/>
      <c r="CU227" s="122"/>
      <c r="CV227" s="122"/>
      <c r="CW227" s="122"/>
      <c r="CX227" s="122"/>
      <c r="CY227" s="122"/>
      <c r="CZ227" s="122"/>
      <c r="DA227" s="122"/>
      <c r="DB227" s="122"/>
      <c r="DC227" s="122"/>
      <c r="DD227" s="122"/>
      <c r="DE227" s="122"/>
      <c r="DF227" s="122"/>
      <c r="DG227" s="122"/>
      <c r="DH227" s="122"/>
      <c r="DI227" s="122"/>
      <c r="DJ227" s="122"/>
      <c r="DK227" s="122"/>
      <c r="DL227" s="122"/>
      <c r="DM227" s="122"/>
      <c r="DN227" s="122"/>
      <c r="DO227" s="122"/>
      <c r="DP227" s="122"/>
      <c r="DQ227" s="122"/>
      <c r="DR227" s="122"/>
      <c r="DS227" s="122"/>
      <c r="DT227" s="122"/>
      <c r="DU227" s="122"/>
      <c r="DV227" s="122"/>
      <c r="DW227" s="122"/>
      <c r="DX227" s="122"/>
      <c r="DY227" s="122"/>
      <c r="DZ227" s="122"/>
      <c r="EA227" s="122"/>
      <c r="EB227" s="122"/>
      <c r="EC227" s="122"/>
      <c r="ED227" s="122"/>
      <c r="EE227" s="122"/>
      <c r="EF227" s="122"/>
      <c r="EG227" s="122"/>
      <c r="EH227" s="122"/>
      <c r="EI227" s="122"/>
      <c r="EJ227" s="122"/>
      <c r="EK227" s="122"/>
      <c r="EL227" s="122"/>
      <c r="EM227" s="122"/>
      <c r="EN227" s="122"/>
      <c r="EO227" s="122"/>
      <c r="EP227" s="122"/>
      <c r="EQ227" s="122"/>
      <c r="ER227" s="122"/>
      <c r="ES227" s="122"/>
      <c r="ET227" s="122"/>
      <c r="EU227" s="122"/>
      <c r="EV227" s="122"/>
      <c r="EW227" s="122"/>
      <c r="EX227" s="122"/>
      <c r="EY227" s="122"/>
      <c r="EZ227" s="122"/>
      <c r="FA227" s="122"/>
      <c r="FB227" s="122"/>
      <c r="FC227" s="122"/>
      <c r="FD227" s="122"/>
      <c r="FE227" s="122"/>
      <c r="FF227" s="122"/>
      <c r="FG227" s="122"/>
      <c r="FH227" s="122"/>
      <c r="FI227" s="122"/>
      <c r="FJ227" s="122"/>
      <c r="FK227" s="122"/>
      <c r="FL227" s="122"/>
      <c r="FM227" s="122"/>
      <c r="FN227" s="122"/>
      <c r="FO227" s="122"/>
      <c r="FP227" s="122"/>
      <c r="FQ227" s="122"/>
      <c r="FR227" s="122"/>
      <c r="FS227" s="122"/>
      <c r="FT227" s="122"/>
      <c r="FU227" s="122"/>
      <c r="FV227" s="122"/>
      <c r="FW227" s="122"/>
      <c r="FX227" s="122"/>
      <c r="FY227" s="122"/>
      <c r="FZ227" s="122"/>
      <c r="GA227" s="122"/>
      <c r="GB227" s="122"/>
      <c r="GC227" s="122"/>
      <c r="GD227" s="122"/>
      <c r="GE227" s="122"/>
      <c r="GF227" s="122"/>
      <c r="GG227" s="122"/>
      <c r="GH227" s="122"/>
      <c r="GI227" s="122"/>
      <c r="GJ227" s="122"/>
      <c r="GK227" s="122"/>
      <c r="GL227" s="122"/>
      <c r="GM227" s="122"/>
      <c r="GN227" s="122"/>
      <c r="GO227" s="122"/>
      <c r="GP227" s="122"/>
      <c r="GQ227" s="122"/>
      <c r="GR227" s="122"/>
      <c r="GS227" s="122"/>
      <c r="GT227" s="122"/>
      <c r="GU227" s="122"/>
      <c r="GV227" s="122"/>
      <c r="GW227" s="122"/>
      <c r="GX227" s="122"/>
      <c r="GY227" s="122"/>
      <c r="GZ227" s="122"/>
      <c r="HA227" s="122"/>
      <c r="HB227" s="122"/>
      <c r="HC227" s="122"/>
      <c r="HD227" s="122"/>
      <c r="HE227" s="122"/>
      <c r="HF227" s="122"/>
      <c r="HG227" s="122"/>
      <c r="HH227" s="122"/>
      <c r="HI227" s="122"/>
      <c r="HJ227" s="122"/>
      <c r="HK227" s="122"/>
      <c r="HL227" s="122"/>
      <c r="HM227" s="122"/>
      <c r="HN227" s="122"/>
      <c r="HO227" s="122"/>
      <c r="HP227" s="122"/>
      <c r="HQ227" s="122"/>
      <c r="HR227" s="122"/>
      <c r="HS227" s="122"/>
      <c r="HT227" s="122"/>
      <c r="HU227" s="122"/>
      <c r="HV227" s="122"/>
      <c r="HW227" s="122"/>
      <c r="HX227" s="122"/>
      <c r="HY227" s="122"/>
      <c r="HZ227" s="122"/>
      <c r="IA227" s="122"/>
      <c r="IB227" s="122"/>
      <c r="IC227" s="122"/>
      <c r="ID227" s="122"/>
      <c r="IE227" s="122"/>
      <c r="IF227" s="122"/>
      <c r="IG227" s="122"/>
      <c r="IH227" s="122"/>
      <c r="II227" s="122"/>
      <c r="IJ227" s="122"/>
      <c r="IK227" s="122"/>
      <c r="IL227" s="122"/>
      <c r="IM227" s="122"/>
      <c r="IN227" s="122"/>
      <c r="IO227" s="122"/>
      <c r="IP227" s="122"/>
      <c r="IQ227" s="122"/>
      <c r="IR227" s="122"/>
      <c r="IS227" s="122"/>
      <c r="IT227" s="122"/>
      <c r="IU227" s="122"/>
      <c r="IV227" s="122"/>
      <c r="IW227" s="122"/>
      <c r="IX227" s="122"/>
      <c r="IY227" s="122"/>
      <c r="IZ227" s="122"/>
      <c r="JA227" s="122"/>
      <c r="JB227" s="122"/>
      <c r="JC227" s="122"/>
      <c r="JD227" s="122"/>
      <c r="JE227" s="122"/>
      <c r="JF227" s="122"/>
      <c r="JG227" s="122"/>
      <c r="JH227" s="122"/>
      <c r="JI227" s="119"/>
      <c r="JJ227" s="2"/>
      <c r="JK227" s="122"/>
      <c r="JL227" s="125"/>
      <c r="JM227" s="125"/>
      <c r="JN227" s="125"/>
      <c r="JO227" s="125"/>
      <c r="JP227" s="125"/>
    </row>
    <row r="228" spans="1:276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  <c r="AS228" s="122"/>
      <c r="AT228" s="122"/>
      <c r="AU228" s="122"/>
      <c r="AV228" s="122"/>
      <c r="AW228" s="122"/>
      <c r="AX228" s="122"/>
      <c r="AY228" s="122"/>
      <c r="AZ228" s="122"/>
      <c r="BA228" s="122"/>
      <c r="BB228" s="122"/>
      <c r="BC228" s="122"/>
      <c r="BD228" s="122"/>
      <c r="BE228" s="122"/>
      <c r="BF228" s="122"/>
      <c r="BG228" s="122"/>
      <c r="BH228" s="122"/>
      <c r="BI228" s="122"/>
      <c r="BJ228" s="122"/>
      <c r="BK228" s="122"/>
      <c r="BL228" s="122"/>
      <c r="BM228" s="122"/>
      <c r="BN228" s="122"/>
      <c r="BO228" s="122"/>
      <c r="BP228" s="122"/>
      <c r="BQ228" s="122"/>
      <c r="BR228" s="122"/>
      <c r="BS228" s="122"/>
      <c r="BT228" s="122"/>
      <c r="BU228" s="122"/>
      <c r="BV228" s="122"/>
      <c r="BW228" s="122"/>
      <c r="BX228" s="122"/>
      <c r="BY228" s="122"/>
      <c r="BZ228" s="122"/>
      <c r="CA228" s="122"/>
      <c r="CB228" s="122"/>
      <c r="CC228" s="122"/>
      <c r="CD228" s="122"/>
      <c r="CE228" s="122"/>
      <c r="CF228" s="122"/>
      <c r="CG228" s="122"/>
      <c r="CH228" s="122"/>
      <c r="CI228" s="122"/>
      <c r="CJ228" s="122"/>
      <c r="CK228" s="122"/>
      <c r="CL228" s="122"/>
      <c r="CM228" s="122"/>
      <c r="CN228" s="122"/>
      <c r="CO228" s="122"/>
      <c r="CP228" s="122"/>
      <c r="CQ228" s="122"/>
      <c r="CR228" s="122"/>
      <c r="CS228" s="122"/>
      <c r="CT228" s="122"/>
      <c r="CU228" s="122"/>
      <c r="CV228" s="122"/>
      <c r="CW228" s="122"/>
      <c r="CX228" s="122"/>
      <c r="CY228" s="122"/>
      <c r="CZ228" s="122"/>
      <c r="DA228" s="122"/>
      <c r="DB228" s="122"/>
      <c r="DC228" s="122"/>
      <c r="DD228" s="122"/>
      <c r="DE228" s="122"/>
      <c r="DF228" s="122"/>
      <c r="DG228" s="122"/>
      <c r="DH228" s="122"/>
      <c r="DI228" s="122"/>
      <c r="DJ228" s="122"/>
      <c r="DK228" s="122"/>
      <c r="DL228" s="122"/>
      <c r="DM228" s="122"/>
      <c r="DN228" s="122"/>
      <c r="DO228" s="122"/>
      <c r="DP228" s="122"/>
      <c r="DQ228" s="122"/>
      <c r="DR228" s="122"/>
      <c r="DS228" s="122"/>
      <c r="DT228" s="122"/>
      <c r="DU228" s="122"/>
      <c r="DV228" s="122"/>
      <c r="DW228" s="122"/>
      <c r="DX228" s="122"/>
      <c r="DY228" s="122"/>
      <c r="DZ228" s="122"/>
      <c r="EA228" s="122"/>
      <c r="EB228" s="122"/>
      <c r="EC228" s="122"/>
      <c r="ED228" s="122"/>
      <c r="EE228" s="122"/>
      <c r="EF228" s="122"/>
      <c r="EG228" s="122"/>
      <c r="EH228" s="122"/>
      <c r="EI228" s="122"/>
      <c r="EJ228" s="122"/>
      <c r="EK228" s="122"/>
      <c r="EL228" s="122"/>
      <c r="EM228" s="122"/>
      <c r="EN228" s="122"/>
      <c r="EO228" s="122"/>
      <c r="EP228" s="122"/>
      <c r="EQ228" s="122"/>
      <c r="ER228" s="122"/>
      <c r="ES228" s="122"/>
      <c r="ET228" s="122"/>
      <c r="EU228" s="122"/>
      <c r="EV228" s="122"/>
      <c r="EW228" s="122"/>
      <c r="EX228" s="122"/>
      <c r="EY228" s="122"/>
      <c r="EZ228" s="122"/>
      <c r="FA228" s="122"/>
      <c r="FB228" s="122"/>
      <c r="FC228" s="122"/>
      <c r="FD228" s="122"/>
      <c r="FE228" s="122"/>
      <c r="FF228" s="122"/>
      <c r="FG228" s="122"/>
      <c r="FH228" s="122"/>
      <c r="FI228" s="122"/>
      <c r="FJ228" s="122"/>
      <c r="FK228" s="122"/>
      <c r="FL228" s="122"/>
      <c r="FM228" s="122"/>
      <c r="FN228" s="122"/>
      <c r="FO228" s="122"/>
      <c r="FP228" s="122"/>
      <c r="FQ228" s="122"/>
      <c r="FR228" s="122"/>
      <c r="FS228" s="122"/>
      <c r="FT228" s="122"/>
      <c r="FU228" s="122"/>
      <c r="FV228" s="122"/>
      <c r="FW228" s="122"/>
      <c r="FX228" s="122"/>
      <c r="FY228" s="122"/>
      <c r="FZ228" s="122"/>
      <c r="GA228" s="122"/>
      <c r="GB228" s="122"/>
      <c r="GC228" s="122"/>
      <c r="GD228" s="122"/>
      <c r="GE228" s="122"/>
      <c r="GF228" s="122"/>
      <c r="GG228" s="122"/>
      <c r="GH228" s="122"/>
      <c r="GI228" s="122"/>
      <c r="GJ228" s="122"/>
      <c r="GK228" s="122"/>
      <c r="GL228" s="122"/>
      <c r="GM228" s="122"/>
      <c r="GN228" s="122"/>
      <c r="GO228" s="122"/>
      <c r="GP228" s="122"/>
      <c r="GQ228" s="122"/>
      <c r="GR228" s="122"/>
      <c r="GS228" s="122"/>
      <c r="GT228" s="122"/>
      <c r="GU228" s="122"/>
      <c r="GV228" s="122"/>
      <c r="GW228" s="122"/>
      <c r="GX228" s="122"/>
      <c r="GY228" s="122"/>
      <c r="GZ228" s="122"/>
      <c r="HA228" s="122"/>
      <c r="HB228" s="122"/>
      <c r="HC228" s="122"/>
      <c r="HD228" s="122"/>
      <c r="HE228" s="122"/>
      <c r="HF228" s="122"/>
      <c r="HG228" s="122"/>
      <c r="HH228" s="122"/>
      <c r="HI228" s="122"/>
      <c r="HJ228" s="122"/>
      <c r="HK228" s="122"/>
      <c r="HL228" s="122"/>
      <c r="HM228" s="122"/>
      <c r="HN228" s="122"/>
      <c r="HO228" s="122"/>
      <c r="HP228" s="122"/>
      <c r="HQ228" s="122"/>
      <c r="HR228" s="122"/>
      <c r="HS228" s="122"/>
      <c r="HT228" s="122"/>
      <c r="HU228" s="122"/>
      <c r="HV228" s="122"/>
      <c r="HW228" s="122"/>
      <c r="HX228" s="122"/>
      <c r="HY228" s="122"/>
      <c r="HZ228" s="122"/>
      <c r="IA228" s="122"/>
      <c r="IB228" s="122"/>
      <c r="IC228" s="122"/>
      <c r="ID228" s="122"/>
      <c r="IE228" s="122"/>
      <c r="IF228" s="122"/>
      <c r="IG228" s="122"/>
      <c r="IH228" s="122"/>
      <c r="II228" s="122"/>
      <c r="IJ228" s="122"/>
      <c r="IK228" s="122"/>
      <c r="IL228" s="122"/>
      <c r="IM228" s="122"/>
      <c r="IN228" s="122"/>
      <c r="IO228" s="122"/>
      <c r="IP228" s="122"/>
      <c r="IQ228" s="122"/>
      <c r="IR228" s="122"/>
      <c r="IS228" s="122"/>
      <c r="IT228" s="122"/>
      <c r="IU228" s="122"/>
      <c r="IV228" s="122"/>
      <c r="IW228" s="122"/>
      <c r="IX228" s="122"/>
      <c r="IY228" s="122"/>
      <c r="IZ228" s="122"/>
      <c r="JA228" s="122"/>
      <c r="JB228" s="122"/>
      <c r="JC228" s="122"/>
      <c r="JD228" s="122"/>
      <c r="JE228" s="122"/>
      <c r="JF228" s="122"/>
      <c r="JG228" s="122"/>
      <c r="JH228" s="122"/>
      <c r="JI228" s="119"/>
      <c r="JJ228" s="2"/>
      <c r="JK228" s="122"/>
      <c r="JL228" s="125"/>
      <c r="JM228" s="125"/>
      <c r="JN228" s="125"/>
      <c r="JO228" s="125"/>
      <c r="JP228" s="125"/>
    </row>
    <row r="229" spans="1:276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  <c r="AR229" s="122"/>
      <c r="AS229" s="122"/>
      <c r="AT229" s="122"/>
      <c r="AU229" s="122"/>
      <c r="AV229" s="122"/>
      <c r="AW229" s="122"/>
      <c r="AX229" s="122"/>
      <c r="AY229" s="122"/>
      <c r="AZ229" s="122"/>
      <c r="BA229" s="122"/>
      <c r="BB229" s="122"/>
      <c r="BC229" s="122"/>
      <c r="BD229" s="122"/>
      <c r="BE229" s="122"/>
      <c r="BF229" s="122"/>
      <c r="BG229" s="122"/>
      <c r="BH229" s="122"/>
      <c r="BI229" s="122"/>
      <c r="BJ229" s="122"/>
      <c r="BK229" s="122"/>
      <c r="BL229" s="122"/>
      <c r="BM229" s="122"/>
      <c r="BN229" s="122"/>
      <c r="BO229" s="122"/>
      <c r="BP229" s="122"/>
      <c r="BQ229" s="122"/>
      <c r="BR229" s="122"/>
      <c r="BS229" s="122"/>
      <c r="BT229" s="122"/>
      <c r="BU229" s="122"/>
      <c r="BV229" s="122"/>
      <c r="BW229" s="122"/>
      <c r="BX229" s="122"/>
      <c r="BY229" s="122"/>
      <c r="BZ229" s="122"/>
      <c r="CA229" s="122"/>
      <c r="CB229" s="122"/>
      <c r="CC229" s="122"/>
      <c r="CD229" s="122"/>
      <c r="CE229" s="122"/>
      <c r="CF229" s="122"/>
      <c r="CG229" s="122"/>
      <c r="CH229" s="122"/>
      <c r="CI229" s="122"/>
      <c r="CJ229" s="122"/>
      <c r="CK229" s="122"/>
      <c r="CL229" s="122"/>
      <c r="CM229" s="122"/>
      <c r="CN229" s="122"/>
      <c r="CO229" s="122"/>
      <c r="CP229" s="122"/>
      <c r="CQ229" s="122"/>
      <c r="CR229" s="122"/>
      <c r="CS229" s="122"/>
      <c r="CT229" s="122"/>
      <c r="CU229" s="122"/>
      <c r="CV229" s="122"/>
      <c r="CW229" s="122"/>
      <c r="CX229" s="122"/>
      <c r="CY229" s="122"/>
      <c r="CZ229" s="122"/>
      <c r="DA229" s="122"/>
      <c r="DB229" s="122"/>
      <c r="DC229" s="122"/>
      <c r="DD229" s="122"/>
      <c r="DE229" s="122"/>
      <c r="DF229" s="122"/>
      <c r="DG229" s="122"/>
      <c r="DH229" s="122"/>
      <c r="DI229" s="122"/>
      <c r="DJ229" s="122"/>
      <c r="DK229" s="122"/>
      <c r="DL229" s="122"/>
      <c r="DM229" s="122"/>
      <c r="DN229" s="122"/>
      <c r="DO229" s="122"/>
      <c r="DP229" s="122"/>
      <c r="DQ229" s="122"/>
      <c r="DR229" s="122"/>
      <c r="DS229" s="122"/>
      <c r="DT229" s="122"/>
      <c r="DU229" s="122"/>
      <c r="DV229" s="122"/>
      <c r="DW229" s="122"/>
      <c r="DX229" s="122"/>
      <c r="DY229" s="122"/>
      <c r="DZ229" s="122"/>
      <c r="EA229" s="122"/>
      <c r="EB229" s="122"/>
      <c r="EC229" s="122"/>
      <c r="ED229" s="122"/>
      <c r="EE229" s="122"/>
      <c r="EF229" s="122"/>
      <c r="EG229" s="122"/>
      <c r="EH229" s="122"/>
      <c r="EI229" s="122"/>
      <c r="EJ229" s="122"/>
      <c r="EK229" s="122"/>
      <c r="EL229" s="122"/>
      <c r="EM229" s="122"/>
      <c r="EN229" s="122"/>
      <c r="EO229" s="122"/>
      <c r="EP229" s="122"/>
      <c r="EQ229" s="122"/>
      <c r="ER229" s="122"/>
      <c r="ES229" s="122"/>
      <c r="ET229" s="122"/>
      <c r="EU229" s="122"/>
      <c r="EV229" s="122"/>
      <c r="EW229" s="122"/>
      <c r="EX229" s="122"/>
      <c r="EY229" s="122"/>
      <c r="EZ229" s="122"/>
      <c r="FA229" s="122"/>
      <c r="FB229" s="122"/>
      <c r="FC229" s="122"/>
      <c r="FD229" s="122"/>
      <c r="FE229" s="122"/>
      <c r="FF229" s="122"/>
      <c r="FG229" s="122"/>
      <c r="FH229" s="122"/>
      <c r="FI229" s="122"/>
      <c r="FJ229" s="122"/>
      <c r="FK229" s="122"/>
      <c r="FL229" s="122"/>
      <c r="FM229" s="122"/>
      <c r="FN229" s="122"/>
      <c r="FO229" s="122"/>
      <c r="FP229" s="122"/>
      <c r="FQ229" s="122"/>
      <c r="FR229" s="122"/>
      <c r="FS229" s="122"/>
      <c r="FT229" s="122"/>
      <c r="FU229" s="122"/>
      <c r="FV229" s="122"/>
      <c r="FW229" s="122"/>
      <c r="FX229" s="122"/>
      <c r="FY229" s="122"/>
      <c r="FZ229" s="122"/>
      <c r="GA229" s="122"/>
      <c r="GB229" s="122"/>
      <c r="GC229" s="122"/>
      <c r="GD229" s="122"/>
      <c r="GE229" s="122"/>
      <c r="GF229" s="122"/>
      <c r="GG229" s="122"/>
      <c r="GH229" s="122"/>
      <c r="GI229" s="122"/>
      <c r="GJ229" s="122"/>
      <c r="GK229" s="122"/>
      <c r="GL229" s="122"/>
      <c r="GM229" s="122"/>
      <c r="GN229" s="122"/>
      <c r="GO229" s="122"/>
      <c r="GP229" s="122"/>
      <c r="GQ229" s="122"/>
      <c r="GR229" s="122"/>
      <c r="GS229" s="122"/>
      <c r="GT229" s="122"/>
      <c r="GU229" s="122"/>
      <c r="GV229" s="122"/>
      <c r="GW229" s="122"/>
      <c r="GX229" s="122"/>
      <c r="GY229" s="122"/>
      <c r="GZ229" s="122"/>
      <c r="HA229" s="122"/>
      <c r="HB229" s="122"/>
      <c r="HC229" s="122"/>
      <c r="HD229" s="122"/>
      <c r="HE229" s="122"/>
      <c r="HF229" s="122"/>
      <c r="HG229" s="122"/>
      <c r="HH229" s="122"/>
      <c r="HI229" s="122"/>
      <c r="HJ229" s="122"/>
      <c r="HK229" s="122"/>
      <c r="HL229" s="122"/>
      <c r="HM229" s="122"/>
      <c r="HN229" s="122"/>
      <c r="HO229" s="122"/>
      <c r="HP229" s="122"/>
      <c r="HQ229" s="122"/>
      <c r="HR229" s="122"/>
      <c r="HS229" s="122"/>
      <c r="HT229" s="122"/>
      <c r="HU229" s="122"/>
      <c r="HV229" s="122"/>
      <c r="HW229" s="122"/>
      <c r="HX229" s="122"/>
      <c r="HY229" s="122"/>
      <c r="HZ229" s="122"/>
      <c r="IA229" s="122"/>
      <c r="IB229" s="122"/>
      <c r="IC229" s="122"/>
      <c r="ID229" s="122"/>
      <c r="IE229" s="122"/>
      <c r="IF229" s="122"/>
      <c r="IG229" s="122"/>
      <c r="IH229" s="122"/>
      <c r="II229" s="122"/>
      <c r="IJ229" s="122"/>
      <c r="IK229" s="122"/>
      <c r="IL229" s="122"/>
      <c r="IM229" s="122"/>
      <c r="IN229" s="122"/>
      <c r="IO229" s="122"/>
      <c r="IP229" s="122"/>
      <c r="IQ229" s="122"/>
      <c r="IR229" s="122"/>
      <c r="IS229" s="122"/>
      <c r="IT229" s="122"/>
      <c r="IU229" s="122"/>
      <c r="IV229" s="122"/>
      <c r="IW229" s="122"/>
      <c r="IX229" s="122"/>
      <c r="IY229" s="122"/>
      <c r="IZ229" s="122"/>
      <c r="JA229" s="122"/>
      <c r="JB229" s="122"/>
      <c r="JC229" s="122"/>
      <c r="JD229" s="122"/>
      <c r="JE229" s="122"/>
      <c r="JF229" s="122"/>
      <c r="JG229" s="122"/>
      <c r="JH229" s="122"/>
      <c r="JI229" s="119"/>
      <c r="JJ229" s="2"/>
      <c r="JK229" s="122"/>
      <c r="JL229" s="125"/>
      <c r="JM229" s="125"/>
      <c r="JN229" s="125"/>
      <c r="JO229" s="125"/>
      <c r="JP229" s="125"/>
    </row>
    <row r="230" spans="1:276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122"/>
      <c r="AQ230" s="122"/>
      <c r="AR230" s="122"/>
      <c r="AS230" s="122"/>
      <c r="AT230" s="122"/>
      <c r="AU230" s="122"/>
      <c r="AV230" s="122"/>
      <c r="AW230" s="122"/>
      <c r="AX230" s="122"/>
      <c r="AY230" s="122"/>
      <c r="AZ230" s="122"/>
      <c r="BA230" s="122"/>
      <c r="BB230" s="122"/>
      <c r="BC230" s="122"/>
      <c r="BD230" s="122"/>
      <c r="BE230" s="122"/>
      <c r="BF230" s="122"/>
      <c r="BG230" s="122"/>
      <c r="BH230" s="122"/>
      <c r="BI230" s="122"/>
      <c r="BJ230" s="122"/>
      <c r="BK230" s="122"/>
      <c r="BL230" s="122"/>
      <c r="BM230" s="122"/>
      <c r="BN230" s="122"/>
      <c r="BO230" s="122"/>
      <c r="BP230" s="122"/>
      <c r="BQ230" s="122"/>
      <c r="BR230" s="122"/>
      <c r="BS230" s="122"/>
      <c r="BT230" s="122"/>
      <c r="BU230" s="122"/>
      <c r="BV230" s="122"/>
      <c r="BW230" s="122"/>
      <c r="BX230" s="122"/>
      <c r="BY230" s="122"/>
      <c r="BZ230" s="122"/>
      <c r="CA230" s="122"/>
      <c r="CB230" s="122"/>
      <c r="CC230" s="122"/>
      <c r="CD230" s="122"/>
      <c r="CE230" s="122"/>
      <c r="CF230" s="122"/>
      <c r="CG230" s="122"/>
      <c r="CH230" s="122"/>
      <c r="CI230" s="122"/>
      <c r="CJ230" s="122"/>
      <c r="CK230" s="122"/>
      <c r="CL230" s="122"/>
      <c r="CM230" s="122"/>
      <c r="CN230" s="122"/>
      <c r="CO230" s="122"/>
      <c r="CP230" s="122"/>
      <c r="CQ230" s="122"/>
      <c r="CR230" s="122"/>
      <c r="CS230" s="122"/>
      <c r="CT230" s="122"/>
      <c r="CU230" s="122"/>
      <c r="CV230" s="122"/>
      <c r="CW230" s="122"/>
      <c r="CX230" s="122"/>
      <c r="CY230" s="122"/>
      <c r="CZ230" s="122"/>
      <c r="DA230" s="122"/>
      <c r="DB230" s="122"/>
      <c r="DC230" s="122"/>
      <c r="DD230" s="122"/>
      <c r="DE230" s="122"/>
      <c r="DF230" s="122"/>
      <c r="DG230" s="122"/>
      <c r="DH230" s="122"/>
      <c r="DI230" s="122"/>
      <c r="DJ230" s="122"/>
      <c r="DK230" s="122"/>
      <c r="DL230" s="122"/>
      <c r="DM230" s="122"/>
      <c r="DN230" s="122"/>
      <c r="DO230" s="122"/>
      <c r="DP230" s="122"/>
      <c r="DQ230" s="122"/>
      <c r="DR230" s="122"/>
      <c r="DS230" s="122"/>
      <c r="DT230" s="122"/>
      <c r="DU230" s="122"/>
      <c r="DV230" s="122"/>
      <c r="DW230" s="122"/>
      <c r="DX230" s="122"/>
      <c r="DY230" s="122"/>
      <c r="DZ230" s="122"/>
      <c r="EA230" s="122"/>
      <c r="EB230" s="122"/>
      <c r="EC230" s="122"/>
      <c r="ED230" s="122"/>
      <c r="EE230" s="122"/>
      <c r="EF230" s="122"/>
      <c r="EG230" s="122"/>
      <c r="EH230" s="122"/>
      <c r="EI230" s="122"/>
      <c r="EJ230" s="122"/>
      <c r="EK230" s="122"/>
      <c r="EL230" s="122"/>
      <c r="EM230" s="122"/>
      <c r="EN230" s="122"/>
      <c r="EO230" s="122"/>
      <c r="EP230" s="122"/>
      <c r="EQ230" s="122"/>
      <c r="ER230" s="122"/>
      <c r="ES230" s="122"/>
      <c r="ET230" s="122"/>
      <c r="EU230" s="122"/>
      <c r="EV230" s="122"/>
      <c r="EW230" s="122"/>
      <c r="EX230" s="122"/>
      <c r="EY230" s="122"/>
      <c r="EZ230" s="122"/>
      <c r="FA230" s="122"/>
      <c r="FB230" s="122"/>
      <c r="FC230" s="122"/>
      <c r="FD230" s="122"/>
      <c r="FE230" s="122"/>
      <c r="FF230" s="122"/>
      <c r="FG230" s="122"/>
      <c r="FH230" s="122"/>
      <c r="FI230" s="122"/>
      <c r="FJ230" s="122"/>
      <c r="FK230" s="122"/>
      <c r="FL230" s="122"/>
      <c r="FM230" s="122"/>
      <c r="FN230" s="122"/>
      <c r="FO230" s="122"/>
      <c r="FP230" s="122"/>
      <c r="FQ230" s="122"/>
      <c r="FR230" s="122"/>
      <c r="FS230" s="122"/>
      <c r="FT230" s="122"/>
      <c r="FU230" s="122"/>
      <c r="FV230" s="122"/>
      <c r="FW230" s="122"/>
      <c r="FX230" s="122"/>
      <c r="FY230" s="122"/>
      <c r="FZ230" s="122"/>
      <c r="GA230" s="122"/>
      <c r="GB230" s="122"/>
      <c r="GC230" s="122"/>
      <c r="GD230" s="122"/>
      <c r="GE230" s="122"/>
      <c r="GF230" s="122"/>
      <c r="GG230" s="122"/>
      <c r="GH230" s="122"/>
      <c r="GI230" s="122"/>
      <c r="GJ230" s="122"/>
      <c r="GK230" s="122"/>
      <c r="GL230" s="122"/>
      <c r="GM230" s="122"/>
      <c r="GN230" s="122"/>
      <c r="GO230" s="122"/>
      <c r="GP230" s="122"/>
      <c r="GQ230" s="122"/>
      <c r="GR230" s="122"/>
      <c r="GS230" s="122"/>
      <c r="GT230" s="122"/>
      <c r="GU230" s="122"/>
      <c r="GV230" s="122"/>
      <c r="GW230" s="122"/>
      <c r="GX230" s="122"/>
      <c r="GY230" s="122"/>
      <c r="GZ230" s="122"/>
      <c r="HA230" s="122"/>
      <c r="HB230" s="122"/>
      <c r="HC230" s="122"/>
      <c r="HD230" s="122"/>
      <c r="HE230" s="122"/>
      <c r="HF230" s="122"/>
      <c r="HG230" s="122"/>
      <c r="HH230" s="122"/>
      <c r="HI230" s="122"/>
      <c r="HJ230" s="122"/>
      <c r="HK230" s="122"/>
      <c r="HL230" s="122"/>
      <c r="HM230" s="122"/>
      <c r="HN230" s="122"/>
      <c r="HO230" s="122"/>
      <c r="HP230" s="122"/>
      <c r="HQ230" s="122"/>
      <c r="HR230" s="122"/>
      <c r="HS230" s="122"/>
      <c r="HT230" s="122"/>
      <c r="HU230" s="122"/>
      <c r="HV230" s="122"/>
      <c r="HW230" s="122"/>
      <c r="HX230" s="122"/>
      <c r="HY230" s="122"/>
      <c r="HZ230" s="122"/>
      <c r="IA230" s="122"/>
      <c r="IB230" s="122"/>
      <c r="IC230" s="122"/>
      <c r="ID230" s="122"/>
      <c r="IE230" s="122"/>
      <c r="IF230" s="122"/>
      <c r="IG230" s="122"/>
      <c r="IH230" s="122"/>
      <c r="II230" s="122"/>
      <c r="IJ230" s="122"/>
      <c r="IK230" s="122"/>
      <c r="IL230" s="122"/>
      <c r="IM230" s="122"/>
      <c r="IN230" s="122"/>
      <c r="IO230" s="122"/>
      <c r="IP230" s="122"/>
      <c r="IQ230" s="122"/>
      <c r="IR230" s="122"/>
      <c r="IS230" s="122"/>
      <c r="IT230" s="122"/>
      <c r="IU230" s="122"/>
      <c r="IV230" s="122"/>
      <c r="IW230" s="122"/>
      <c r="IX230" s="122"/>
      <c r="IY230" s="122"/>
      <c r="IZ230" s="122"/>
      <c r="JA230" s="122"/>
      <c r="JB230" s="122"/>
      <c r="JC230" s="122"/>
      <c r="JD230" s="122"/>
      <c r="JE230" s="122"/>
      <c r="JF230" s="122"/>
      <c r="JG230" s="122"/>
      <c r="JH230" s="122"/>
      <c r="JI230" s="119"/>
      <c r="JJ230" s="2"/>
      <c r="JK230" s="122"/>
      <c r="JL230" s="125"/>
      <c r="JM230" s="125"/>
      <c r="JN230" s="125"/>
      <c r="JO230" s="125"/>
      <c r="JP230" s="125"/>
    </row>
    <row r="231" spans="1:276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  <c r="AR231" s="122"/>
      <c r="AS231" s="122"/>
      <c r="AT231" s="122"/>
      <c r="AU231" s="122"/>
      <c r="AV231" s="122"/>
      <c r="AW231" s="122"/>
      <c r="AX231" s="122"/>
      <c r="AY231" s="122"/>
      <c r="AZ231" s="122"/>
      <c r="BA231" s="122"/>
      <c r="BB231" s="122"/>
      <c r="BC231" s="122"/>
      <c r="BD231" s="122"/>
      <c r="BE231" s="122"/>
      <c r="BF231" s="122"/>
      <c r="BG231" s="122"/>
      <c r="BH231" s="122"/>
      <c r="BI231" s="122"/>
      <c r="BJ231" s="122"/>
      <c r="BK231" s="122"/>
      <c r="BL231" s="122"/>
      <c r="BM231" s="122"/>
      <c r="BN231" s="122"/>
      <c r="BO231" s="122"/>
      <c r="BP231" s="122"/>
      <c r="BQ231" s="122"/>
      <c r="BR231" s="122"/>
      <c r="BS231" s="122"/>
      <c r="BT231" s="122"/>
      <c r="BU231" s="122"/>
      <c r="BV231" s="122"/>
      <c r="BW231" s="122"/>
      <c r="BX231" s="122"/>
      <c r="BY231" s="122"/>
      <c r="BZ231" s="122"/>
      <c r="CA231" s="122"/>
      <c r="CB231" s="122"/>
      <c r="CC231" s="122"/>
      <c r="CD231" s="122"/>
      <c r="CE231" s="122"/>
      <c r="CF231" s="122"/>
      <c r="CG231" s="122"/>
      <c r="CH231" s="122"/>
      <c r="CI231" s="122"/>
      <c r="CJ231" s="122"/>
      <c r="CK231" s="122"/>
      <c r="CL231" s="122"/>
      <c r="CM231" s="122"/>
      <c r="CN231" s="122"/>
      <c r="CO231" s="122"/>
      <c r="CP231" s="122"/>
      <c r="CQ231" s="122"/>
      <c r="CR231" s="122"/>
      <c r="CS231" s="122"/>
      <c r="CT231" s="122"/>
      <c r="CU231" s="122"/>
      <c r="CV231" s="122"/>
      <c r="CW231" s="122"/>
      <c r="CX231" s="122"/>
      <c r="CY231" s="122"/>
      <c r="CZ231" s="122"/>
      <c r="DA231" s="122"/>
      <c r="DB231" s="122"/>
      <c r="DC231" s="122"/>
      <c r="DD231" s="122"/>
      <c r="DE231" s="122"/>
      <c r="DF231" s="122"/>
      <c r="DG231" s="122"/>
      <c r="DH231" s="122"/>
      <c r="DI231" s="122"/>
      <c r="DJ231" s="122"/>
      <c r="DK231" s="122"/>
      <c r="DL231" s="122"/>
      <c r="DM231" s="122"/>
      <c r="DN231" s="122"/>
      <c r="DO231" s="122"/>
      <c r="DP231" s="122"/>
      <c r="DQ231" s="122"/>
      <c r="DR231" s="122"/>
      <c r="DS231" s="122"/>
      <c r="DT231" s="122"/>
      <c r="DU231" s="122"/>
      <c r="DV231" s="122"/>
      <c r="DW231" s="122"/>
      <c r="DX231" s="122"/>
      <c r="DY231" s="122"/>
      <c r="DZ231" s="122"/>
      <c r="EA231" s="122"/>
      <c r="EB231" s="122"/>
      <c r="EC231" s="122"/>
      <c r="ED231" s="122"/>
      <c r="EE231" s="122"/>
      <c r="EF231" s="122"/>
      <c r="EG231" s="122"/>
      <c r="EH231" s="122"/>
      <c r="EI231" s="122"/>
      <c r="EJ231" s="122"/>
      <c r="EK231" s="122"/>
      <c r="EL231" s="122"/>
      <c r="EM231" s="122"/>
      <c r="EN231" s="122"/>
      <c r="EO231" s="122"/>
      <c r="EP231" s="122"/>
      <c r="EQ231" s="122"/>
      <c r="ER231" s="122"/>
      <c r="ES231" s="122"/>
      <c r="ET231" s="122"/>
      <c r="EU231" s="122"/>
      <c r="EV231" s="122"/>
      <c r="EW231" s="122"/>
      <c r="EX231" s="122"/>
      <c r="EY231" s="122"/>
      <c r="EZ231" s="122"/>
      <c r="FA231" s="122"/>
      <c r="FB231" s="122"/>
      <c r="FC231" s="122"/>
      <c r="FD231" s="122"/>
      <c r="FE231" s="122"/>
      <c r="FF231" s="122"/>
      <c r="FG231" s="122"/>
      <c r="FH231" s="122"/>
      <c r="FI231" s="122"/>
      <c r="FJ231" s="122"/>
      <c r="FK231" s="122"/>
      <c r="FL231" s="122"/>
      <c r="FM231" s="122"/>
      <c r="FN231" s="122"/>
      <c r="FO231" s="122"/>
      <c r="FP231" s="122"/>
      <c r="FQ231" s="122"/>
      <c r="FR231" s="122"/>
      <c r="FS231" s="122"/>
      <c r="FT231" s="122"/>
      <c r="FU231" s="122"/>
      <c r="FV231" s="122"/>
      <c r="FW231" s="122"/>
      <c r="FX231" s="122"/>
      <c r="FY231" s="122"/>
      <c r="FZ231" s="122"/>
      <c r="GA231" s="122"/>
      <c r="GB231" s="122"/>
      <c r="GC231" s="122"/>
      <c r="GD231" s="122"/>
      <c r="GE231" s="122"/>
      <c r="GF231" s="122"/>
      <c r="GG231" s="122"/>
      <c r="GH231" s="122"/>
      <c r="GI231" s="122"/>
      <c r="GJ231" s="122"/>
      <c r="GK231" s="122"/>
      <c r="GL231" s="122"/>
      <c r="GM231" s="122"/>
      <c r="GN231" s="122"/>
      <c r="GO231" s="122"/>
      <c r="GP231" s="122"/>
      <c r="GQ231" s="122"/>
      <c r="GR231" s="122"/>
      <c r="GS231" s="122"/>
      <c r="GT231" s="122"/>
      <c r="GU231" s="122"/>
      <c r="GV231" s="122"/>
      <c r="GW231" s="122"/>
      <c r="GX231" s="122"/>
      <c r="GY231" s="122"/>
      <c r="GZ231" s="122"/>
      <c r="HA231" s="122"/>
      <c r="HB231" s="122"/>
      <c r="HC231" s="122"/>
      <c r="HD231" s="122"/>
      <c r="HE231" s="122"/>
      <c r="HF231" s="122"/>
      <c r="HG231" s="122"/>
      <c r="HH231" s="122"/>
      <c r="HI231" s="122"/>
      <c r="HJ231" s="122"/>
      <c r="HK231" s="122"/>
      <c r="HL231" s="122"/>
      <c r="HM231" s="122"/>
      <c r="HN231" s="122"/>
      <c r="HO231" s="122"/>
      <c r="HP231" s="122"/>
      <c r="HQ231" s="122"/>
      <c r="HR231" s="122"/>
      <c r="HS231" s="122"/>
      <c r="HT231" s="122"/>
      <c r="HU231" s="122"/>
      <c r="HV231" s="122"/>
      <c r="HW231" s="122"/>
      <c r="HX231" s="122"/>
      <c r="HY231" s="122"/>
      <c r="HZ231" s="122"/>
      <c r="IA231" s="122"/>
      <c r="IB231" s="122"/>
      <c r="IC231" s="122"/>
      <c r="ID231" s="122"/>
      <c r="IE231" s="122"/>
      <c r="IF231" s="122"/>
      <c r="IG231" s="122"/>
      <c r="IH231" s="122"/>
      <c r="II231" s="122"/>
      <c r="IJ231" s="122"/>
      <c r="IK231" s="122"/>
      <c r="IL231" s="122"/>
      <c r="IM231" s="122"/>
      <c r="IN231" s="122"/>
      <c r="IO231" s="122"/>
      <c r="IP231" s="122"/>
      <c r="IQ231" s="122"/>
      <c r="IR231" s="122"/>
      <c r="IS231" s="122"/>
      <c r="IT231" s="122"/>
      <c r="IU231" s="122"/>
      <c r="IV231" s="122"/>
      <c r="IW231" s="122"/>
      <c r="IX231" s="122"/>
      <c r="IY231" s="122"/>
      <c r="IZ231" s="122"/>
      <c r="JA231" s="122"/>
      <c r="JB231" s="122"/>
      <c r="JC231" s="122"/>
      <c r="JD231" s="122"/>
      <c r="JE231" s="122"/>
      <c r="JF231" s="122"/>
      <c r="JG231" s="122"/>
      <c r="JH231" s="122"/>
      <c r="JI231" s="119"/>
      <c r="JJ231" s="2"/>
      <c r="JK231" s="122"/>
      <c r="JL231" s="125"/>
      <c r="JM231" s="125"/>
      <c r="JN231" s="125"/>
      <c r="JO231" s="125"/>
      <c r="JP231" s="125"/>
    </row>
    <row r="232" spans="1:276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  <c r="AT232" s="122"/>
      <c r="AU232" s="122"/>
      <c r="AV232" s="122"/>
      <c r="AW232" s="122"/>
      <c r="AX232" s="122"/>
      <c r="AY232" s="122"/>
      <c r="AZ232" s="122"/>
      <c r="BA232" s="122"/>
      <c r="BB232" s="122"/>
      <c r="BC232" s="122"/>
      <c r="BD232" s="122"/>
      <c r="BE232" s="122"/>
      <c r="BF232" s="122"/>
      <c r="BG232" s="122"/>
      <c r="BH232" s="122"/>
      <c r="BI232" s="122"/>
      <c r="BJ232" s="122"/>
      <c r="BK232" s="122"/>
      <c r="BL232" s="122"/>
      <c r="BM232" s="122"/>
      <c r="BN232" s="122"/>
      <c r="BO232" s="122"/>
      <c r="BP232" s="122"/>
      <c r="BQ232" s="122"/>
      <c r="BR232" s="122"/>
      <c r="BS232" s="122"/>
      <c r="BT232" s="122"/>
      <c r="BU232" s="122"/>
      <c r="BV232" s="122"/>
      <c r="BW232" s="122"/>
      <c r="BX232" s="122"/>
      <c r="BY232" s="122"/>
      <c r="BZ232" s="122"/>
      <c r="CA232" s="122"/>
      <c r="CB232" s="122"/>
      <c r="CC232" s="122"/>
      <c r="CD232" s="122"/>
      <c r="CE232" s="122"/>
      <c r="CF232" s="122"/>
      <c r="CG232" s="122"/>
      <c r="CH232" s="122"/>
      <c r="CI232" s="122"/>
      <c r="CJ232" s="122"/>
      <c r="CK232" s="122"/>
      <c r="CL232" s="122"/>
      <c r="CM232" s="122"/>
      <c r="CN232" s="122"/>
      <c r="CO232" s="122"/>
      <c r="CP232" s="122"/>
      <c r="CQ232" s="122"/>
      <c r="CR232" s="122"/>
      <c r="CS232" s="122"/>
      <c r="CT232" s="122"/>
      <c r="CU232" s="122"/>
      <c r="CV232" s="122"/>
      <c r="CW232" s="122"/>
      <c r="CX232" s="122"/>
      <c r="CY232" s="122"/>
      <c r="CZ232" s="122"/>
      <c r="DA232" s="122"/>
      <c r="DB232" s="122"/>
      <c r="DC232" s="122"/>
      <c r="DD232" s="122"/>
      <c r="DE232" s="122"/>
      <c r="DF232" s="122"/>
      <c r="DG232" s="122"/>
      <c r="DH232" s="122"/>
      <c r="DI232" s="122"/>
      <c r="DJ232" s="122"/>
      <c r="DK232" s="122"/>
      <c r="DL232" s="122"/>
      <c r="DM232" s="122"/>
      <c r="DN232" s="122"/>
      <c r="DO232" s="122"/>
      <c r="DP232" s="122"/>
      <c r="DQ232" s="122"/>
      <c r="DR232" s="122"/>
      <c r="DS232" s="122"/>
      <c r="DT232" s="122"/>
      <c r="DU232" s="122"/>
      <c r="DV232" s="122"/>
      <c r="DW232" s="122"/>
      <c r="DX232" s="122"/>
      <c r="DY232" s="122"/>
      <c r="DZ232" s="122"/>
      <c r="EA232" s="122"/>
      <c r="EB232" s="122"/>
      <c r="EC232" s="122"/>
      <c r="ED232" s="122"/>
      <c r="EE232" s="122"/>
      <c r="EF232" s="122"/>
      <c r="EG232" s="122"/>
      <c r="EH232" s="122"/>
      <c r="EI232" s="122"/>
      <c r="EJ232" s="122"/>
      <c r="EK232" s="122"/>
      <c r="EL232" s="122"/>
      <c r="EM232" s="122"/>
      <c r="EN232" s="122"/>
      <c r="EO232" s="122"/>
      <c r="EP232" s="122"/>
      <c r="EQ232" s="122"/>
      <c r="ER232" s="122"/>
      <c r="ES232" s="122"/>
      <c r="ET232" s="122"/>
      <c r="EU232" s="122"/>
      <c r="EV232" s="122"/>
      <c r="EW232" s="122"/>
      <c r="EX232" s="122"/>
      <c r="EY232" s="122"/>
      <c r="EZ232" s="122"/>
      <c r="FA232" s="122"/>
      <c r="FB232" s="122"/>
      <c r="FC232" s="122"/>
      <c r="FD232" s="122"/>
      <c r="FE232" s="122"/>
      <c r="FF232" s="122"/>
      <c r="FG232" s="122"/>
      <c r="FH232" s="122"/>
      <c r="FI232" s="122"/>
      <c r="FJ232" s="122"/>
      <c r="FK232" s="122"/>
      <c r="FL232" s="122"/>
      <c r="FM232" s="122"/>
      <c r="FN232" s="122"/>
      <c r="FO232" s="122"/>
      <c r="FP232" s="122"/>
      <c r="FQ232" s="122"/>
      <c r="FR232" s="122"/>
      <c r="FS232" s="122"/>
      <c r="FT232" s="122"/>
      <c r="FU232" s="122"/>
      <c r="FV232" s="122"/>
      <c r="FW232" s="122"/>
      <c r="FX232" s="122"/>
      <c r="FY232" s="122"/>
      <c r="FZ232" s="122"/>
      <c r="GA232" s="122"/>
      <c r="GB232" s="122"/>
      <c r="GC232" s="122"/>
      <c r="GD232" s="122"/>
      <c r="GE232" s="122"/>
      <c r="GF232" s="122"/>
      <c r="GG232" s="122"/>
      <c r="GH232" s="122"/>
      <c r="GI232" s="122"/>
      <c r="GJ232" s="122"/>
      <c r="GK232" s="122"/>
      <c r="GL232" s="122"/>
      <c r="GM232" s="122"/>
      <c r="GN232" s="122"/>
      <c r="GO232" s="122"/>
      <c r="GP232" s="122"/>
      <c r="GQ232" s="122"/>
      <c r="GR232" s="122"/>
      <c r="GS232" s="122"/>
      <c r="GT232" s="122"/>
      <c r="GU232" s="122"/>
      <c r="GV232" s="122"/>
      <c r="GW232" s="122"/>
      <c r="GX232" s="122"/>
      <c r="GY232" s="122"/>
      <c r="GZ232" s="122"/>
      <c r="HA232" s="122"/>
      <c r="HB232" s="122"/>
      <c r="HC232" s="122"/>
      <c r="HD232" s="122"/>
      <c r="HE232" s="122"/>
      <c r="HF232" s="122"/>
      <c r="HG232" s="122"/>
      <c r="HH232" s="122"/>
      <c r="HI232" s="122"/>
      <c r="HJ232" s="122"/>
      <c r="HK232" s="122"/>
      <c r="HL232" s="122"/>
      <c r="HM232" s="122"/>
      <c r="HN232" s="122"/>
      <c r="HO232" s="122"/>
      <c r="HP232" s="122"/>
      <c r="HQ232" s="122"/>
      <c r="HR232" s="122"/>
      <c r="HS232" s="122"/>
      <c r="HT232" s="122"/>
      <c r="HU232" s="122"/>
      <c r="HV232" s="122"/>
      <c r="HW232" s="122"/>
      <c r="HX232" s="122"/>
      <c r="HY232" s="122"/>
      <c r="HZ232" s="122"/>
      <c r="IA232" s="122"/>
      <c r="IB232" s="122"/>
      <c r="IC232" s="122"/>
      <c r="ID232" s="122"/>
      <c r="IE232" s="122"/>
      <c r="IF232" s="122"/>
      <c r="IG232" s="122"/>
      <c r="IH232" s="122"/>
      <c r="II232" s="122"/>
      <c r="IJ232" s="122"/>
      <c r="IK232" s="122"/>
      <c r="IL232" s="122"/>
      <c r="IM232" s="122"/>
      <c r="IN232" s="122"/>
      <c r="IO232" s="122"/>
      <c r="IP232" s="122"/>
      <c r="IQ232" s="122"/>
      <c r="IR232" s="122"/>
      <c r="IS232" s="122"/>
      <c r="IT232" s="122"/>
      <c r="IU232" s="122"/>
      <c r="IV232" s="122"/>
      <c r="IW232" s="122"/>
      <c r="IX232" s="122"/>
      <c r="IY232" s="122"/>
      <c r="IZ232" s="122"/>
      <c r="JA232" s="122"/>
      <c r="JB232" s="122"/>
      <c r="JC232" s="122"/>
      <c r="JD232" s="122"/>
      <c r="JE232" s="122"/>
      <c r="JF232" s="122"/>
      <c r="JG232" s="122"/>
      <c r="JH232" s="122"/>
      <c r="JI232" s="119"/>
      <c r="JJ232" s="2"/>
      <c r="JK232" s="122"/>
      <c r="JL232" s="125"/>
      <c r="JM232" s="125"/>
      <c r="JN232" s="125"/>
      <c r="JO232" s="125"/>
      <c r="JP232" s="125"/>
    </row>
    <row r="233" spans="1:276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  <c r="AR233" s="122"/>
      <c r="AS233" s="122"/>
      <c r="AT233" s="122"/>
      <c r="AU233" s="122"/>
      <c r="AV233" s="122"/>
      <c r="AW233" s="122"/>
      <c r="AX233" s="122"/>
      <c r="AY233" s="122"/>
      <c r="AZ233" s="122"/>
      <c r="BA233" s="122"/>
      <c r="BB233" s="122"/>
      <c r="BC233" s="122"/>
      <c r="BD233" s="122"/>
      <c r="BE233" s="122"/>
      <c r="BF233" s="122"/>
      <c r="BG233" s="122"/>
      <c r="BH233" s="122"/>
      <c r="BI233" s="122"/>
      <c r="BJ233" s="122"/>
      <c r="BK233" s="122"/>
      <c r="BL233" s="122"/>
      <c r="BM233" s="122"/>
      <c r="BN233" s="122"/>
      <c r="BO233" s="122"/>
      <c r="BP233" s="122"/>
      <c r="BQ233" s="122"/>
      <c r="BR233" s="122"/>
      <c r="BS233" s="122"/>
      <c r="BT233" s="122"/>
      <c r="BU233" s="122"/>
      <c r="BV233" s="122"/>
      <c r="BW233" s="122"/>
      <c r="BX233" s="122"/>
      <c r="BY233" s="122"/>
      <c r="BZ233" s="122"/>
      <c r="CA233" s="122"/>
      <c r="CB233" s="122"/>
      <c r="CC233" s="122"/>
      <c r="CD233" s="122"/>
      <c r="CE233" s="122"/>
      <c r="CF233" s="122"/>
      <c r="CG233" s="122"/>
      <c r="CH233" s="122"/>
      <c r="CI233" s="122"/>
      <c r="CJ233" s="122"/>
      <c r="CK233" s="122"/>
      <c r="CL233" s="122"/>
      <c r="CM233" s="122"/>
      <c r="CN233" s="122"/>
      <c r="CO233" s="122"/>
      <c r="CP233" s="122"/>
      <c r="CQ233" s="122"/>
      <c r="CR233" s="122"/>
      <c r="CS233" s="122"/>
      <c r="CT233" s="122"/>
      <c r="CU233" s="122"/>
      <c r="CV233" s="122"/>
      <c r="CW233" s="122"/>
      <c r="CX233" s="122"/>
      <c r="CY233" s="122"/>
      <c r="CZ233" s="122"/>
      <c r="DA233" s="122"/>
      <c r="DB233" s="122"/>
      <c r="DC233" s="122"/>
      <c r="DD233" s="122"/>
      <c r="DE233" s="122"/>
      <c r="DF233" s="122"/>
      <c r="DG233" s="122"/>
      <c r="DH233" s="122"/>
      <c r="DI233" s="122"/>
      <c r="DJ233" s="122"/>
      <c r="DK233" s="122"/>
      <c r="DL233" s="122"/>
      <c r="DM233" s="122"/>
      <c r="DN233" s="122"/>
      <c r="DO233" s="122"/>
      <c r="DP233" s="122"/>
      <c r="DQ233" s="122"/>
      <c r="DR233" s="122"/>
      <c r="DS233" s="122"/>
      <c r="DT233" s="122"/>
      <c r="DU233" s="122"/>
      <c r="DV233" s="122"/>
      <c r="DW233" s="122"/>
      <c r="DX233" s="122"/>
      <c r="DY233" s="122"/>
      <c r="DZ233" s="122"/>
      <c r="EA233" s="122"/>
      <c r="EB233" s="122"/>
      <c r="EC233" s="122"/>
      <c r="ED233" s="122"/>
      <c r="EE233" s="122"/>
      <c r="EF233" s="122"/>
      <c r="EG233" s="122"/>
      <c r="EH233" s="122"/>
      <c r="EI233" s="122"/>
      <c r="EJ233" s="122"/>
      <c r="EK233" s="122"/>
      <c r="EL233" s="122"/>
      <c r="EM233" s="122"/>
      <c r="EN233" s="122"/>
      <c r="EO233" s="122"/>
      <c r="EP233" s="122"/>
      <c r="EQ233" s="122"/>
      <c r="ER233" s="122"/>
      <c r="ES233" s="122"/>
      <c r="ET233" s="122"/>
      <c r="EU233" s="122"/>
      <c r="EV233" s="122"/>
      <c r="EW233" s="122"/>
      <c r="EX233" s="122"/>
      <c r="EY233" s="122"/>
      <c r="EZ233" s="122"/>
      <c r="FA233" s="122"/>
      <c r="FB233" s="122"/>
      <c r="FC233" s="122"/>
      <c r="FD233" s="122"/>
      <c r="FE233" s="122"/>
      <c r="FF233" s="122"/>
      <c r="FG233" s="122"/>
      <c r="FH233" s="122"/>
      <c r="FI233" s="122"/>
      <c r="FJ233" s="122"/>
      <c r="FK233" s="122"/>
      <c r="FL233" s="122"/>
      <c r="FM233" s="122"/>
      <c r="FN233" s="122"/>
      <c r="FO233" s="122"/>
      <c r="FP233" s="122"/>
      <c r="FQ233" s="122"/>
      <c r="FR233" s="122"/>
      <c r="FS233" s="122"/>
      <c r="FT233" s="122"/>
      <c r="FU233" s="122"/>
      <c r="FV233" s="122"/>
      <c r="FW233" s="122"/>
      <c r="FX233" s="122"/>
      <c r="FY233" s="122"/>
      <c r="FZ233" s="122"/>
      <c r="GA233" s="122"/>
      <c r="GB233" s="122"/>
      <c r="GC233" s="122"/>
      <c r="GD233" s="122"/>
      <c r="GE233" s="122"/>
      <c r="GF233" s="122"/>
      <c r="GG233" s="122"/>
      <c r="GH233" s="122"/>
      <c r="GI233" s="122"/>
      <c r="GJ233" s="122"/>
      <c r="GK233" s="122"/>
      <c r="GL233" s="122"/>
      <c r="GM233" s="122"/>
      <c r="GN233" s="122"/>
      <c r="GO233" s="122"/>
      <c r="GP233" s="122"/>
      <c r="GQ233" s="122"/>
      <c r="GR233" s="122"/>
      <c r="GS233" s="122"/>
      <c r="GT233" s="122"/>
      <c r="GU233" s="122"/>
      <c r="GV233" s="122"/>
      <c r="GW233" s="122"/>
      <c r="GX233" s="122"/>
      <c r="GY233" s="122"/>
      <c r="GZ233" s="122"/>
      <c r="HA233" s="122"/>
      <c r="HB233" s="122"/>
      <c r="HC233" s="122"/>
      <c r="HD233" s="122"/>
      <c r="HE233" s="122"/>
      <c r="HF233" s="122"/>
      <c r="HG233" s="122"/>
      <c r="HH233" s="122"/>
      <c r="HI233" s="122"/>
      <c r="HJ233" s="122"/>
      <c r="HK233" s="122"/>
      <c r="HL233" s="122"/>
      <c r="HM233" s="122"/>
      <c r="HN233" s="122"/>
      <c r="HO233" s="122"/>
      <c r="HP233" s="122"/>
      <c r="HQ233" s="122"/>
      <c r="HR233" s="122"/>
      <c r="HS233" s="122"/>
      <c r="HT233" s="122"/>
      <c r="HU233" s="122"/>
      <c r="HV233" s="122"/>
      <c r="HW233" s="122"/>
      <c r="HX233" s="122"/>
      <c r="HY233" s="122"/>
      <c r="HZ233" s="122"/>
      <c r="IA233" s="122"/>
      <c r="IB233" s="122"/>
      <c r="IC233" s="122"/>
      <c r="ID233" s="122"/>
      <c r="IE233" s="122"/>
      <c r="IF233" s="122"/>
      <c r="IG233" s="122"/>
      <c r="IH233" s="122"/>
      <c r="II233" s="122"/>
      <c r="IJ233" s="122"/>
      <c r="IK233" s="122"/>
      <c r="IL233" s="122"/>
      <c r="IM233" s="122"/>
      <c r="IN233" s="122"/>
      <c r="IO233" s="122"/>
      <c r="IP233" s="122"/>
      <c r="IQ233" s="122"/>
      <c r="IR233" s="122"/>
      <c r="IS233" s="122"/>
      <c r="IT233" s="122"/>
      <c r="IU233" s="122"/>
      <c r="IV233" s="122"/>
      <c r="IW233" s="122"/>
      <c r="IX233" s="122"/>
      <c r="IY233" s="122"/>
      <c r="IZ233" s="122"/>
      <c r="JA233" s="122"/>
      <c r="JB233" s="122"/>
      <c r="JC233" s="122"/>
      <c r="JD233" s="122"/>
      <c r="JE233" s="122"/>
      <c r="JF233" s="122"/>
      <c r="JG233" s="122"/>
      <c r="JH233" s="122"/>
      <c r="JI233" s="119"/>
      <c r="JJ233" s="2"/>
      <c r="JK233" s="122"/>
      <c r="JL233" s="125"/>
      <c r="JM233" s="125"/>
      <c r="JN233" s="125"/>
      <c r="JO233" s="125"/>
      <c r="JP233" s="125"/>
    </row>
    <row r="234" spans="1:276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  <c r="AP234" s="122"/>
      <c r="AQ234" s="122"/>
      <c r="AR234" s="122"/>
      <c r="AS234" s="122"/>
      <c r="AT234" s="122"/>
      <c r="AU234" s="122"/>
      <c r="AV234" s="122"/>
      <c r="AW234" s="122"/>
      <c r="AX234" s="122"/>
      <c r="AY234" s="122"/>
      <c r="AZ234" s="122"/>
      <c r="BA234" s="122"/>
      <c r="BB234" s="122"/>
      <c r="BC234" s="122"/>
      <c r="BD234" s="122"/>
      <c r="BE234" s="122"/>
      <c r="BF234" s="122"/>
      <c r="BG234" s="122"/>
      <c r="BH234" s="122"/>
      <c r="BI234" s="122"/>
      <c r="BJ234" s="122"/>
      <c r="BK234" s="122"/>
      <c r="BL234" s="122"/>
      <c r="BM234" s="122"/>
      <c r="BN234" s="122"/>
      <c r="BO234" s="122"/>
      <c r="BP234" s="122"/>
      <c r="BQ234" s="122"/>
      <c r="BR234" s="122"/>
      <c r="BS234" s="122"/>
      <c r="BT234" s="122"/>
      <c r="BU234" s="122"/>
      <c r="BV234" s="122"/>
      <c r="BW234" s="122"/>
      <c r="BX234" s="122"/>
      <c r="BY234" s="122"/>
      <c r="BZ234" s="122"/>
      <c r="CA234" s="122"/>
      <c r="CB234" s="122"/>
      <c r="CC234" s="122"/>
      <c r="CD234" s="122"/>
      <c r="CE234" s="122"/>
      <c r="CF234" s="122"/>
      <c r="CG234" s="122"/>
      <c r="CH234" s="122"/>
      <c r="CI234" s="122"/>
      <c r="CJ234" s="122"/>
      <c r="CK234" s="122"/>
      <c r="CL234" s="122"/>
      <c r="CM234" s="122"/>
      <c r="CN234" s="122"/>
      <c r="CO234" s="122"/>
      <c r="CP234" s="122"/>
      <c r="CQ234" s="122"/>
      <c r="CR234" s="122"/>
      <c r="CS234" s="122"/>
      <c r="CT234" s="122"/>
      <c r="CU234" s="122"/>
      <c r="CV234" s="122"/>
      <c r="CW234" s="122"/>
      <c r="CX234" s="122"/>
      <c r="CY234" s="122"/>
      <c r="CZ234" s="122"/>
      <c r="DA234" s="122"/>
      <c r="DB234" s="122"/>
      <c r="DC234" s="122"/>
      <c r="DD234" s="122"/>
      <c r="DE234" s="122"/>
      <c r="DF234" s="122"/>
      <c r="DG234" s="122"/>
      <c r="DH234" s="122"/>
      <c r="DI234" s="122"/>
      <c r="DJ234" s="122"/>
      <c r="DK234" s="122"/>
      <c r="DL234" s="122"/>
      <c r="DM234" s="122"/>
      <c r="DN234" s="122"/>
      <c r="DO234" s="122"/>
      <c r="DP234" s="122"/>
      <c r="DQ234" s="122"/>
      <c r="DR234" s="122"/>
      <c r="DS234" s="122"/>
      <c r="DT234" s="122"/>
      <c r="DU234" s="122"/>
      <c r="DV234" s="122"/>
      <c r="DW234" s="122"/>
      <c r="DX234" s="122"/>
      <c r="DY234" s="122"/>
      <c r="DZ234" s="122"/>
      <c r="EA234" s="122"/>
      <c r="EB234" s="122"/>
      <c r="EC234" s="122"/>
      <c r="ED234" s="122"/>
      <c r="EE234" s="122"/>
      <c r="EF234" s="122"/>
      <c r="EG234" s="122"/>
      <c r="EH234" s="122"/>
      <c r="EI234" s="122"/>
      <c r="EJ234" s="122"/>
      <c r="EK234" s="122"/>
      <c r="EL234" s="122"/>
      <c r="EM234" s="122"/>
      <c r="EN234" s="122"/>
      <c r="EO234" s="122"/>
      <c r="EP234" s="122"/>
      <c r="EQ234" s="122"/>
      <c r="ER234" s="122"/>
      <c r="ES234" s="122"/>
      <c r="ET234" s="122"/>
      <c r="EU234" s="122"/>
      <c r="EV234" s="122"/>
      <c r="EW234" s="122"/>
      <c r="EX234" s="122"/>
      <c r="EY234" s="122"/>
      <c r="EZ234" s="122"/>
      <c r="FA234" s="122"/>
      <c r="FB234" s="122"/>
      <c r="FC234" s="122"/>
      <c r="FD234" s="122"/>
      <c r="FE234" s="122"/>
      <c r="FF234" s="122"/>
      <c r="FG234" s="122"/>
      <c r="FH234" s="122"/>
      <c r="FI234" s="122"/>
      <c r="FJ234" s="122"/>
      <c r="FK234" s="122"/>
      <c r="FL234" s="122"/>
      <c r="FM234" s="122"/>
      <c r="FN234" s="122"/>
      <c r="FO234" s="122"/>
      <c r="FP234" s="122"/>
      <c r="FQ234" s="122"/>
      <c r="FR234" s="122"/>
      <c r="FS234" s="122"/>
      <c r="FT234" s="122"/>
      <c r="FU234" s="122"/>
      <c r="FV234" s="122"/>
      <c r="FW234" s="122"/>
      <c r="FX234" s="122"/>
      <c r="FY234" s="122"/>
      <c r="FZ234" s="122"/>
      <c r="GA234" s="122"/>
      <c r="GB234" s="122"/>
      <c r="GC234" s="122"/>
      <c r="GD234" s="122"/>
      <c r="GE234" s="122"/>
      <c r="GF234" s="122"/>
      <c r="GG234" s="122"/>
      <c r="GH234" s="122"/>
      <c r="GI234" s="122"/>
      <c r="GJ234" s="122"/>
      <c r="GK234" s="122"/>
      <c r="GL234" s="122"/>
      <c r="GM234" s="122"/>
      <c r="GN234" s="122"/>
      <c r="GO234" s="122"/>
      <c r="GP234" s="122"/>
      <c r="GQ234" s="122"/>
      <c r="GR234" s="122"/>
      <c r="GS234" s="122"/>
      <c r="GT234" s="122"/>
      <c r="GU234" s="122"/>
      <c r="GV234" s="122"/>
      <c r="GW234" s="122"/>
      <c r="GX234" s="122"/>
      <c r="GY234" s="122"/>
      <c r="GZ234" s="122"/>
      <c r="HA234" s="122"/>
      <c r="HB234" s="122"/>
      <c r="HC234" s="122"/>
      <c r="HD234" s="122"/>
      <c r="HE234" s="122"/>
      <c r="HF234" s="122"/>
      <c r="HG234" s="122"/>
      <c r="HH234" s="122"/>
      <c r="HI234" s="122"/>
      <c r="HJ234" s="122"/>
      <c r="HK234" s="122"/>
      <c r="HL234" s="122"/>
      <c r="HM234" s="122"/>
      <c r="HN234" s="122"/>
      <c r="HO234" s="122"/>
      <c r="HP234" s="122"/>
      <c r="HQ234" s="122"/>
      <c r="HR234" s="122"/>
      <c r="HS234" s="122"/>
      <c r="HT234" s="122"/>
      <c r="HU234" s="122"/>
      <c r="HV234" s="122"/>
      <c r="HW234" s="122"/>
      <c r="HX234" s="122"/>
      <c r="HY234" s="122"/>
      <c r="HZ234" s="122"/>
      <c r="IA234" s="122"/>
      <c r="IB234" s="122"/>
      <c r="IC234" s="122"/>
      <c r="ID234" s="122"/>
      <c r="IE234" s="122"/>
      <c r="IF234" s="122"/>
      <c r="IG234" s="122"/>
      <c r="IH234" s="122"/>
      <c r="II234" s="122"/>
      <c r="IJ234" s="122"/>
      <c r="IK234" s="122"/>
      <c r="IL234" s="122"/>
      <c r="IM234" s="122"/>
      <c r="IN234" s="122"/>
      <c r="IO234" s="122"/>
      <c r="IP234" s="122"/>
      <c r="IQ234" s="122"/>
      <c r="IR234" s="122"/>
      <c r="IS234" s="122"/>
      <c r="IT234" s="122"/>
      <c r="IU234" s="122"/>
      <c r="IV234" s="122"/>
      <c r="IW234" s="122"/>
      <c r="IX234" s="122"/>
      <c r="IY234" s="122"/>
      <c r="IZ234" s="122"/>
      <c r="JA234" s="122"/>
      <c r="JB234" s="122"/>
      <c r="JC234" s="122"/>
      <c r="JD234" s="122"/>
      <c r="JE234" s="122"/>
      <c r="JF234" s="122"/>
      <c r="JG234" s="122"/>
      <c r="JH234" s="122"/>
      <c r="JI234" s="119"/>
      <c r="JJ234" s="2"/>
      <c r="JK234" s="122"/>
      <c r="JL234" s="125"/>
      <c r="JM234" s="125"/>
      <c r="JN234" s="125"/>
      <c r="JO234" s="125"/>
      <c r="JP234" s="125"/>
    </row>
    <row r="235" spans="1:276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122"/>
      <c r="AQ235" s="122"/>
      <c r="AR235" s="122"/>
      <c r="AS235" s="122"/>
      <c r="AT235" s="122"/>
      <c r="AU235" s="122"/>
      <c r="AV235" s="122"/>
      <c r="AW235" s="122"/>
      <c r="AX235" s="122"/>
      <c r="AY235" s="122"/>
      <c r="AZ235" s="122"/>
      <c r="BA235" s="122"/>
      <c r="BB235" s="122"/>
      <c r="BC235" s="122"/>
      <c r="BD235" s="122"/>
      <c r="BE235" s="122"/>
      <c r="BF235" s="122"/>
      <c r="BG235" s="122"/>
      <c r="BH235" s="122"/>
      <c r="BI235" s="122"/>
      <c r="BJ235" s="122"/>
      <c r="BK235" s="122"/>
      <c r="BL235" s="122"/>
      <c r="BM235" s="122"/>
      <c r="BN235" s="122"/>
      <c r="BO235" s="122"/>
      <c r="BP235" s="122"/>
      <c r="BQ235" s="122"/>
      <c r="BR235" s="122"/>
      <c r="BS235" s="122"/>
      <c r="BT235" s="122"/>
      <c r="BU235" s="122"/>
      <c r="BV235" s="122"/>
      <c r="BW235" s="122"/>
      <c r="BX235" s="122"/>
      <c r="BY235" s="122"/>
      <c r="BZ235" s="122"/>
      <c r="CA235" s="122"/>
      <c r="CB235" s="122"/>
      <c r="CC235" s="122"/>
      <c r="CD235" s="122"/>
      <c r="CE235" s="122"/>
      <c r="CF235" s="122"/>
      <c r="CG235" s="122"/>
      <c r="CH235" s="122"/>
      <c r="CI235" s="122"/>
      <c r="CJ235" s="122"/>
      <c r="CK235" s="122"/>
      <c r="CL235" s="122"/>
      <c r="CM235" s="122"/>
      <c r="CN235" s="122"/>
      <c r="CO235" s="122"/>
      <c r="CP235" s="122"/>
      <c r="CQ235" s="122"/>
      <c r="CR235" s="122"/>
      <c r="CS235" s="122"/>
      <c r="CT235" s="122"/>
      <c r="CU235" s="122"/>
      <c r="CV235" s="122"/>
      <c r="CW235" s="122"/>
      <c r="CX235" s="122"/>
      <c r="CY235" s="122"/>
      <c r="CZ235" s="122"/>
      <c r="DA235" s="122"/>
      <c r="DB235" s="122"/>
      <c r="DC235" s="122"/>
      <c r="DD235" s="122"/>
      <c r="DE235" s="122"/>
      <c r="DF235" s="122"/>
      <c r="DG235" s="122"/>
      <c r="DH235" s="122"/>
      <c r="DI235" s="122"/>
      <c r="DJ235" s="122"/>
      <c r="DK235" s="122"/>
      <c r="DL235" s="122"/>
      <c r="DM235" s="122"/>
      <c r="DN235" s="122"/>
      <c r="DO235" s="122"/>
      <c r="DP235" s="122"/>
      <c r="DQ235" s="122"/>
      <c r="DR235" s="122"/>
      <c r="DS235" s="122"/>
      <c r="DT235" s="122"/>
      <c r="DU235" s="122"/>
      <c r="DV235" s="122"/>
      <c r="DW235" s="122"/>
      <c r="DX235" s="122"/>
      <c r="DY235" s="122"/>
      <c r="DZ235" s="122"/>
      <c r="EA235" s="122"/>
      <c r="EB235" s="122"/>
      <c r="EC235" s="122"/>
      <c r="ED235" s="122"/>
      <c r="EE235" s="122"/>
      <c r="EF235" s="122"/>
      <c r="EG235" s="122"/>
      <c r="EH235" s="122"/>
      <c r="EI235" s="122"/>
      <c r="EJ235" s="122"/>
      <c r="EK235" s="122"/>
      <c r="EL235" s="122"/>
      <c r="EM235" s="122"/>
      <c r="EN235" s="122"/>
      <c r="EO235" s="122"/>
      <c r="EP235" s="122"/>
      <c r="EQ235" s="122"/>
      <c r="ER235" s="122"/>
      <c r="ES235" s="122"/>
      <c r="ET235" s="122"/>
      <c r="EU235" s="122"/>
      <c r="EV235" s="122"/>
      <c r="EW235" s="122"/>
      <c r="EX235" s="122"/>
      <c r="EY235" s="122"/>
      <c r="EZ235" s="122"/>
      <c r="FA235" s="122"/>
      <c r="FB235" s="122"/>
      <c r="FC235" s="122"/>
      <c r="FD235" s="122"/>
      <c r="FE235" s="122"/>
      <c r="FF235" s="122"/>
      <c r="FG235" s="122"/>
      <c r="FH235" s="122"/>
      <c r="FI235" s="122"/>
      <c r="FJ235" s="122"/>
      <c r="FK235" s="122"/>
      <c r="FL235" s="122"/>
      <c r="FM235" s="122"/>
      <c r="FN235" s="122"/>
      <c r="FO235" s="122"/>
      <c r="FP235" s="122"/>
      <c r="FQ235" s="122"/>
      <c r="FR235" s="122"/>
      <c r="FS235" s="122"/>
      <c r="FT235" s="122"/>
      <c r="FU235" s="122"/>
      <c r="FV235" s="122"/>
      <c r="FW235" s="122"/>
      <c r="FX235" s="122"/>
      <c r="FY235" s="122"/>
      <c r="FZ235" s="122"/>
      <c r="GA235" s="122"/>
      <c r="GB235" s="122"/>
      <c r="GC235" s="122"/>
      <c r="GD235" s="122"/>
      <c r="GE235" s="122"/>
      <c r="GF235" s="122"/>
      <c r="GG235" s="122"/>
      <c r="GH235" s="122"/>
      <c r="GI235" s="122"/>
      <c r="GJ235" s="122"/>
      <c r="GK235" s="122"/>
      <c r="GL235" s="122"/>
      <c r="GM235" s="122"/>
      <c r="GN235" s="122"/>
      <c r="GO235" s="122"/>
      <c r="GP235" s="122"/>
      <c r="GQ235" s="122"/>
      <c r="GR235" s="122"/>
      <c r="GS235" s="122"/>
      <c r="GT235" s="122"/>
      <c r="GU235" s="122"/>
      <c r="GV235" s="122"/>
      <c r="GW235" s="122"/>
      <c r="GX235" s="122"/>
      <c r="GY235" s="122"/>
      <c r="GZ235" s="122"/>
      <c r="HA235" s="122"/>
      <c r="HB235" s="122"/>
      <c r="HC235" s="122"/>
      <c r="HD235" s="122"/>
      <c r="HE235" s="122"/>
      <c r="HF235" s="122"/>
      <c r="HG235" s="122"/>
      <c r="HH235" s="122"/>
      <c r="HI235" s="122"/>
      <c r="HJ235" s="122"/>
      <c r="HK235" s="122"/>
      <c r="HL235" s="122"/>
      <c r="HM235" s="122"/>
      <c r="HN235" s="122"/>
      <c r="HO235" s="122"/>
      <c r="HP235" s="122"/>
      <c r="HQ235" s="122"/>
      <c r="HR235" s="122"/>
      <c r="HS235" s="122"/>
      <c r="HT235" s="122"/>
      <c r="HU235" s="122"/>
      <c r="HV235" s="122"/>
      <c r="HW235" s="122"/>
      <c r="HX235" s="122"/>
      <c r="HY235" s="122"/>
      <c r="HZ235" s="122"/>
      <c r="IA235" s="122"/>
      <c r="IB235" s="122"/>
      <c r="IC235" s="122"/>
      <c r="ID235" s="122"/>
      <c r="IE235" s="122"/>
      <c r="IF235" s="122"/>
      <c r="IG235" s="122"/>
      <c r="IH235" s="122"/>
      <c r="II235" s="122"/>
      <c r="IJ235" s="122"/>
      <c r="IK235" s="122"/>
      <c r="IL235" s="122"/>
      <c r="IM235" s="122"/>
      <c r="IN235" s="122"/>
      <c r="IO235" s="122"/>
      <c r="IP235" s="122"/>
      <c r="IQ235" s="122"/>
      <c r="IR235" s="122"/>
      <c r="IS235" s="122"/>
      <c r="IT235" s="122"/>
      <c r="IU235" s="122"/>
      <c r="IV235" s="122"/>
      <c r="IW235" s="122"/>
      <c r="IX235" s="122"/>
      <c r="IY235" s="122"/>
      <c r="IZ235" s="122"/>
      <c r="JA235" s="122"/>
      <c r="JB235" s="122"/>
      <c r="JC235" s="122"/>
      <c r="JD235" s="122"/>
      <c r="JE235" s="122"/>
      <c r="JF235" s="122"/>
      <c r="JG235" s="122"/>
      <c r="JH235" s="122"/>
      <c r="JI235" s="119"/>
      <c r="JJ235" s="2"/>
      <c r="JK235" s="122"/>
      <c r="JL235" s="125"/>
      <c r="JM235" s="125"/>
      <c r="JN235" s="125"/>
      <c r="JO235" s="125"/>
      <c r="JP235" s="125"/>
    </row>
    <row r="236" spans="1:27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  <c r="AP236" s="122"/>
      <c r="AQ236" s="122"/>
      <c r="AR236" s="122"/>
      <c r="AS236" s="122"/>
      <c r="AT236" s="122"/>
      <c r="AU236" s="122"/>
      <c r="AV236" s="122"/>
      <c r="AW236" s="122"/>
      <c r="AX236" s="122"/>
      <c r="AY236" s="122"/>
      <c r="AZ236" s="122"/>
      <c r="BA236" s="122"/>
      <c r="BB236" s="122"/>
      <c r="BC236" s="122"/>
      <c r="BD236" s="122"/>
      <c r="BE236" s="122"/>
      <c r="BF236" s="122"/>
      <c r="BG236" s="122"/>
      <c r="BH236" s="122"/>
      <c r="BI236" s="122"/>
      <c r="BJ236" s="122"/>
      <c r="BK236" s="122"/>
      <c r="BL236" s="122"/>
      <c r="BM236" s="122"/>
      <c r="BN236" s="122"/>
      <c r="BO236" s="122"/>
      <c r="BP236" s="122"/>
      <c r="BQ236" s="122"/>
      <c r="BR236" s="122"/>
      <c r="BS236" s="122"/>
      <c r="BT236" s="122"/>
      <c r="BU236" s="122"/>
      <c r="BV236" s="122"/>
      <c r="BW236" s="122"/>
      <c r="BX236" s="122"/>
      <c r="BY236" s="122"/>
      <c r="BZ236" s="122"/>
      <c r="CA236" s="122"/>
      <c r="CB236" s="122"/>
      <c r="CC236" s="122"/>
      <c r="CD236" s="122"/>
      <c r="CE236" s="122"/>
      <c r="CF236" s="122"/>
      <c r="CG236" s="122"/>
      <c r="CH236" s="122"/>
      <c r="CI236" s="122"/>
      <c r="CJ236" s="122"/>
      <c r="CK236" s="122"/>
      <c r="CL236" s="122"/>
      <c r="CM236" s="122"/>
      <c r="CN236" s="122"/>
      <c r="CO236" s="122"/>
      <c r="CP236" s="122"/>
      <c r="CQ236" s="122"/>
      <c r="CR236" s="122"/>
      <c r="CS236" s="122"/>
      <c r="CT236" s="122"/>
      <c r="CU236" s="122"/>
      <c r="CV236" s="122"/>
      <c r="CW236" s="122"/>
      <c r="CX236" s="122"/>
      <c r="CY236" s="122"/>
      <c r="CZ236" s="122"/>
      <c r="DA236" s="122"/>
      <c r="DB236" s="122"/>
      <c r="DC236" s="122"/>
      <c r="DD236" s="122"/>
      <c r="DE236" s="122"/>
      <c r="DF236" s="122"/>
      <c r="DG236" s="122"/>
      <c r="DH236" s="122"/>
      <c r="DI236" s="122"/>
      <c r="DJ236" s="122"/>
      <c r="DK236" s="122"/>
      <c r="DL236" s="122"/>
      <c r="DM236" s="122"/>
      <c r="DN236" s="122"/>
      <c r="DO236" s="122"/>
      <c r="DP236" s="122"/>
      <c r="DQ236" s="122"/>
      <c r="DR236" s="122"/>
      <c r="DS236" s="122"/>
      <c r="DT236" s="122"/>
      <c r="DU236" s="122"/>
      <c r="DV236" s="122"/>
      <c r="DW236" s="122"/>
      <c r="DX236" s="122"/>
      <c r="DY236" s="122"/>
      <c r="DZ236" s="122"/>
      <c r="EA236" s="122"/>
      <c r="EB236" s="122"/>
      <c r="EC236" s="122"/>
      <c r="ED236" s="122"/>
      <c r="EE236" s="122"/>
      <c r="EF236" s="122"/>
      <c r="EG236" s="122"/>
      <c r="EH236" s="122"/>
      <c r="EI236" s="122"/>
      <c r="EJ236" s="122"/>
      <c r="EK236" s="122"/>
      <c r="EL236" s="122"/>
      <c r="EM236" s="122"/>
      <c r="EN236" s="122"/>
      <c r="EO236" s="122"/>
      <c r="EP236" s="122"/>
      <c r="EQ236" s="122"/>
      <c r="ER236" s="122"/>
      <c r="ES236" s="122"/>
      <c r="ET236" s="122"/>
      <c r="EU236" s="122"/>
      <c r="EV236" s="122"/>
      <c r="EW236" s="122"/>
      <c r="EX236" s="122"/>
      <c r="EY236" s="122"/>
      <c r="EZ236" s="122"/>
      <c r="FA236" s="122"/>
      <c r="FB236" s="122"/>
      <c r="FC236" s="122"/>
      <c r="FD236" s="122"/>
      <c r="FE236" s="122"/>
      <c r="FF236" s="122"/>
      <c r="FG236" s="122"/>
      <c r="FH236" s="122"/>
      <c r="FI236" s="122"/>
      <c r="FJ236" s="122"/>
      <c r="FK236" s="122"/>
      <c r="FL236" s="122"/>
      <c r="FM236" s="122"/>
      <c r="FN236" s="122"/>
      <c r="FO236" s="122"/>
      <c r="FP236" s="122"/>
      <c r="FQ236" s="122"/>
      <c r="FR236" s="122"/>
      <c r="FS236" s="122"/>
      <c r="FT236" s="122"/>
      <c r="FU236" s="122"/>
      <c r="FV236" s="122"/>
      <c r="FW236" s="122"/>
      <c r="FX236" s="122"/>
      <c r="FY236" s="122"/>
      <c r="FZ236" s="122"/>
      <c r="GA236" s="122"/>
      <c r="GB236" s="122"/>
      <c r="GC236" s="122"/>
      <c r="GD236" s="122"/>
      <c r="GE236" s="122"/>
      <c r="GF236" s="122"/>
      <c r="GG236" s="122"/>
      <c r="GH236" s="122"/>
      <c r="GI236" s="122"/>
      <c r="GJ236" s="122"/>
      <c r="GK236" s="122"/>
      <c r="GL236" s="122"/>
      <c r="GM236" s="122"/>
      <c r="GN236" s="122"/>
      <c r="GO236" s="122"/>
      <c r="GP236" s="122"/>
      <c r="GQ236" s="122"/>
      <c r="GR236" s="122"/>
      <c r="GS236" s="122"/>
      <c r="GT236" s="122"/>
      <c r="GU236" s="122"/>
      <c r="GV236" s="122"/>
      <c r="GW236" s="122"/>
      <c r="GX236" s="122"/>
      <c r="GY236" s="122"/>
      <c r="GZ236" s="122"/>
      <c r="HA236" s="122"/>
      <c r="HB236" s="122"/>
      <c r="HC236" s="122"/>
      <c r="HD236" s="122"/>
      <c r="HE236" s="122"/>
      <c r="HF236" s="122"/>
      <c r="HG236" s="122"/>
      <c r="HH236" s="122"/>
      <c r="HI236" s="122"/>
      <c r="HJ236" s="122"/>
      <c r="HK236" s="122"/>
      <c r="HL236" s="122"/>
      <c r="HM236" s="122"/>
      <c r="HN236" s="122"/>
      <c r="HO236" s="122"/>
      <c r="HP236" s="122"/>
      <c r="HQ236" s="122"/>
      <c r="HR236" s="122"/>
      <c r="HS236" s="122"/>
      <c r="HT236" s="122"/>
      <c r="HU236" s="122"/>
      <c r="HV236" s="122"/>
      <c r="HW236" s="122"/>
      <c r="HX236" s="122"/>
      <c r="HY236" s="122"/>
      <c r="HZ236" s="122"/>
      <c r="IA236" s="122"/>
      <c r="IB236" s="122"/>
      <c r="IC236" s="122"/>
      <c r="ID236" s="122"/>
      <c r="IE236" s="122"/>
      <c r="IF236" s="122"/>
      <c r="IG236" s="122"/>
      <c r="IH236" s="122"/>
      <c r="II236" s="122"/>
      <c r="IJ236" s="122"/>
      <c r="IK236" s="122"/>
      <c r="IL236" s="122"/>
      <c r="IM236" s="122"/>
      <c r="IN236" s="122"/>
      <c r="IO236" s="122"/>
      <c r="IP236" s="122"/>
      <c r="IQ236" s="122"/>
      <c r="IR236" s="122"/>
      <c r="IS236" s="122"/>
      <c r="IT236" s="122"/>
      <c r="IU236" s="122"/>
      <c r="IV236" s="122"/>
      <c r="IW236" s="122"/>
      <c r="IX236" s="122"/>
      <c r="IY236" s="122"/>
      <c r="IZ236" s="122"/>
      <c r="JA236" s="122"/>
      <c r="JB236" s="122"/>
      <c r="JC236" s="122"/>
      <c r="JD236" s="122"/>
      <c r="JE236" s="122"/>
      <c r="JF236" s="122"/>
      <c r="JG236" s="122"/>
      <c r="JH236" s="122"/>
      <c r="JI236" s="119"/>
      <c r="JJ236" s="2"/>
      <c r="JK236" s="122"/>
      <c r="JL236" s="125"/>
      <c r="JM236" s="125"/>
      <c r="JN236" s="125"/>
      <c r="JO236" s="125"/>
      <c r="JP236" s="125"/>
    </row>
    <row r="237" spans="1:276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/>
      <c r="AR237" s="122"/>
      <c r="AS237" s="122"/>
      <c r="AT237" s="122"/>
      <c r="AU237" s="122"/>
      <c r="AV237" s="122"/>
      <c r="AW237" s="122"/>
      <c r="AX237" s="122"/>
      <c r="AY237" s="122"/>
      <c r="AZ237" s="122"/>
      <c r="BA237" s="122"/>
      <c r="BB237" s="122"/>
      <c r="BC237" s="122"/>
      <c r="BD237" s="122"/>
      <c r="BE237" s="122"/>
      <c r="BF237" s="122"/>
      <c r="BG237" s="122"/>
      <c r="BH237" s="122"/>
      <c r="BI237" s="122"/>
      <c r="BJ237" s="122"/>
      <c r="BK237" s="122"/>
      <c r="BL237" s="122"/>
      <c r="BM237" s="122"/>
      <c r="BN237" s="122"/>
      <c r="BO237" s="122"/>
      <c r="BP237" s="122"/>
      <c r="BQ237" s="122"/>
      <c r="BR237" s="122"/>
      <c r="BS237" s="122"/>
      <c r="BT237" s="122"/>
      <c r="BU237" s="122"/>
      <c r="BV237" s="122"/>
      <c r="BW237" s="122"/>
      <c r="BX237" s="122"/>
      <c r="BY237" s="122"/>
      <c r="BZ237" s="122"/>
      <c r="CA237" s="122"/>
      <c r="CB237" s="122"/>
      <c r="CC237" s="122"/>
      <c r="CD237" s="122"/>
      <c r="CE237" s="122"/>
      <c r="CF237" s="122"/>
      <c r="CG237" s="122"/>
      <c r="CH237" s="122"/>
      <c r="CI237" s="122"/>
      <c r="CJ237" s="122"/>
      <c r="CK237" s="122"/>
      <c r="CL237" s="122"/>
      <c r="CM237" s="122"/>
      <c r="CN237" s="122"/>
      <c r="CO237" s="122"/>
      <c r="CP237" s="122"/>
      <c r="CQ237" s="122"/>
      <c r="CR237" s="122"/>
      <c r="CS237" s="122"/>
      <c r="CT237" s="122"/>
      <c r="CU237" s="122"/>
      <c r="CV237" s="122"/>
      <c r="CW237" s="122"/>
      <c r="CX237" s="122"/>
      <c r="CY237" s="122"/>
      <c r="CZ237" s="122"/>
      <c r="DA237" s="122"/>
      <c r="DB237" s="122"/>
      <c r="DC237" s="122"/>
      <c r="DD237" s="122"/>
      <c r="DE237" s="122"/>
      <c r="DF237" s="122"/>
      <c r="DG237" s="122"/>
      <c r="DH237" s="122"/>
      <c r="DI237" s="122"/>
      <c r="DJ237" s="122"/>
      <c r="DK237" s="122"/>
      <c r="DL237" s="122"/>
      <c r="DM237" s="122"/>
      <c r="DN237" s="122"/>
      <c r="DO237" s="122"/>
      <c r="DP237" s="122"/>
      <c r="DQ237" s="122"/>
      <c r="DR237" s="122"/>
      <c r="DS237" s="122"/>
      <c r="DT237" s="122"/>
      <c r="DU237" s="122"/>
      <c r="DV237" s="122"/>
      <c r="DW237" s="122"/>
      <c r="DX237" s="122"/>
      <c r="DY237" s="122"/>
      <c r="DZ237" s="122"/>
      <c r="EA237" s="122"/>
      <c r="EB237" s="122"/>
      <c r="EC237" s="122"/>
      <c r="ED237" s="122"/>
      <c r="EE237" s="122"/>
      <c r="EF237" s="122"/>
      <c r="EG237" s="122"/>
      <c r="EH237" s="122"/>
      <c r="EI237" s="122"/>
      <c r="EJ237" s="122"/>
      <c r="EK237" s="122"/>
      <c r="EL237" s="122"/>
      <c r="EM237" s="122"/>
      <c r="EN237" s="122"/>
      <c r="EO237" s="122"/>
      <c r="EP237" s="122"/>
      <c r="EQ237" s="122"/>
      <c r="ER237" s="122"/>
      <c r="ES237" s="122"/>
      <c r="ET237" s="122"/>
      <c r="EU237" s="122"/>
      <c r="EV237" s="122"/>
      <c r="EW237" s="122"/>
      <c r="EX237" s="122"/>
      <c r="EY237" s="122"/>
      <c r="EZ237" s="122"/>
      <c r="FA237" s="122"/>
      <c r="FB237" s="122"/>
      <c r="FC237" s="122"/>
      <c r="FD237" s="122"/>
      <c r="FE237" s="122"/>
      <c r="FF237" s="122"/>
      <c r="FG237" s="122"/>
      <c r="FH237" s="122"/>
      <c r="FI237" s="122"/>
      <c r="FJ237" s="122"/>
      <c r="FK237" s="122"/>
      <c r="FL237" s="122"/>
      <c r="FM237" s="122"/>
      <c r="FN237" s="122"/>
      <c r="FO237" s="122"/>
      <c r="FP237" s="122"/>
      <c r="FQ237" s="122"/>
      <c r="FR237" s="122"/>
      <c r="FS237" s="122"/>
      <c r="FT237" s="122"/>
      <c r="FU237" s="122"/>
      <c r="FV237" s="122"/>
      <c r="FW237" s="122"/>
      <c r="FX237" s="122"/>
      <c r="FY237" s="122"/>
      <c r="FZ237" s="122"/>
      <c r="GA237" s="122"/>
      <c r="GB237" s="122"/>
      <c r="GC237" s="122"/>
      <c r="GD237" s="122"/>
      <c r="GE237" s="122"/>
      <c r="GF237" s="122"/>
      <c r="GG237" s="122"/>
      <c r="GH237" s="122"/>
      <c r="GI237" s="122"/>
      <c r="GJ237" s="122"/>
      <c r="GK237" s="122"/>
      <c r="GL237" s="122"/>
      <c r="GM237" s="122"/>
      <c r="GN237" s="122"/>
      <c r="GO237" s="122"/>
      <c r="GP237" s="122"/>
      <c r="GQ237" s="122"/>
      <c r="GR237" s="122"/>
      <c r="GS237" s="122"/>
      <c r="GT237" s="122"/>
      <c r="GU237" s="122"/>
      <c r="GV237" s="122"/>
      <c r="GW237" s="122"/>
      <c r="GX237" s="122"/>
      <c r="GY237" s="122"/>
      <c r="GZ237" s="122"/>
      <c r="HA237" s="122"/>
      <c r="HB237" s="122"/>
      <c r="HC237" s="122"/>
      <c r="HD237" s="122"/>
      <c r="HE237" s="122"/>
      <c r="HF237" s="122"/>
      <c r="HG237" s="122"/>
      <c r="HH237" s="122"/>
      <c r="HI237" s="122"/>
      <c r="HJ237" s="122"/>
      <c r="HK237" s="122"/>
      <c r="HL237" s="122"/>
      <c r="HM237" s="122"/>
      <c r="HN237" s="122"/>
      <c r="HO237" s="122"/>
      <c r="HP237" s="122"/>
      <c r="HQ237" s="122"/>
      <c r="HR237" s="122"/>
      <c r="HS237" s="122"/>
      <c r="HT237" s="122"/>
      <c r="HU237" s="122"/>
      <c r="HV237" s="122"/>
      <c r="HW237" s="122"/>
      <c r="HX237" s="122"/>
      <c r="HY237" s="122"/>
      <c r="HZ237" s="122"/>
      <c r="IA237" s="122"/>
      <c r="IB237" s="122"/>
      <c r="IC237" s="122"/>
      <c r="ID237" s="122"/>
      <c r="IE237" s="122"/>
      <c r="IF237" s="122"/>
      <c r="IG237" s="122"/>
      <c r="IH237" s="122"/>
      <c r="II237" s="122"/>
      <c r="IJ237" s="122"/>
      <c r="IK237" s="122"/>
      <c r="IL237" s="122"/>
      <c r="IM237" s="122"/>
      <c r="IN237" s="122"/>
      <c r="IO237" s="122"/>
      <c r="IP237" s="122"/>
      <c r="IQ237" s="122"/>
      <c r="IR237" s="122"/>
      <c r="IS237" s="122"/>
      <c r="IT237" s="122"/>
      <c r="IU237" s="122"/>
      <c r="IV237" s="122"/>
      <c r="IW237" s="122"/>
      <c r="IX237" s="122"/>
      <c r="IY237" s="122"/>
      <c r="IZ237" s="122"/>
      <c r="JA237" s="122"/>
      <c r="JB237" s="122"/>
      <c r="JC237" s="122"/>
      <c r="JD237" s="122"/>
      <c r="JE237" s="122"/>
      <c r="JF237" s="122"/>
      <c r="JG237" s="122"/>
      <c r="JH237" s="122"/>
      <c r="JI237" s="119"/>
      <c r="JJ237" s="2"/>
      <c r="JK237" s="122"/>
      <c r="JL237" s="125"/>
      <c r="JM237" s="125"/>
      <c r="JN237" s="125"/>
      <c r="JO237" s="125"/>
      <c r="JP237" s="125"/>
    </row>
    <row r="238" spans="1:276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  <c r="AP238" s="122"/>
      <c r="AQ238" s="122"/>
      <c r="AR238" s="122"/>
      <c r="AS238" s="122"/>
      <c r="AT238" s="122"/>
      <c r="AU238" s="122"/>
      <c r="AV238" s="122"/>
      <c r="AW238" s="122"/>
      <c r="AX238" s="122"/>
      <c r="AY238" s="122"/>
      <c r="AZ238" s="122"/>
      <c r="BA238" s="122"/>
      <c r="BB238" s="122"/>
      <c r="BC238" s="122"/>
      <c r="BD238" s="122"/>
      <c r="BE238" s="122"/>
      <c r="BF238" s="122"/>
      <c r="BG238" s="122"/>
      <c r="BH238" s="122"/>
      <c r="BI238" s="122"/>
      <c r="BJ238" s="122"/>
      <c r="BK238" s="122"/>
      <c r="BL238" s="122"/>
      <c r="BM238" s="122"/>
      <c r="BN238" s="122"/>
      <c r="BO238" s="122"/>
      <c r="BP238" s="122"/>
      <c r="BQ238" s="122"/>
      <c r="BR238" s="122"/>
      <c r="BS238" s="122"/>
      <c r="BT238" s="122"/>
      <c r="BU238" s="122"/>
      <c r="BV238" s="122"/>
      <c r="BW238" s="122"/>
      <c r="BX238" s="122"/>
      <c r="BY238" s="122"/>
      <c r="BZ238" s="122"/>
      <c r="CA238" s="122"/>
      <c r="CB238" s="122"/>
      <c r="CC238" s="122"/>
      <c r="CD238" s="122"/>
      <c r="CE238" s="122"/>
      <c r="CF238" s="122"/>
      <c r="CG238" s="122"/>
      <c r="CH238" s="122"/>
      <c r="CI238" s="122"/>
      <c r="CJ238" s="122"/>
      <c r="CK238" s="122"/>
      <c r="CL238" s="122"/>
      <c r="CM238" s="122"/>
      <c r="CN238" s="122"/>
      <c r="CO238" s="122"/>
      <c r="CP238" s="122"/>
      <c r="CQ238" s="122"/>
      <c r="CR238" s="122"/>
      <c r="CS238" s="122"/>
      <c r="CT238" s="122"/>
      <c r="CU238" s="122"/>
      <c r="CV238" s="122"/>
      <c r="CW238" s="122"/>
      <c r="CX238" s="122"/>
      <c r="CY238" s="122"/>
      <c r="CZ238" s="122"/>
      <c r="DA238" s="122"/>
      <c r="DB238" s="122"/>
      <c r="DC238" s="122"/>
      <c r="DD238" s="122"/>
      <c r="DE238" s="122"/>
      <c r="DF238" s="122"/>
      <c r="DG238" s="122"/>
      <c r="DH238" s="122"/>
      <c r="DI238" s="122"/>
      <c r="DJ238" s="122"/>
      <c r="DK238" s="122"/>
      <c r="DL238" s="122"/>
      <c r="DM238" s="122"/>
      <c r="DN238" s="122"/>
      <c r="DO238" s="122"/>
      <c r="DP238" s="122"/>
      <c r="DQ238" s="122"/>
      <c r="DR238" s="122"/>
      <c r="DS238" s="122"/>
      <c r="DT238" s="122"/>
      <c r="DU238" s="122"/>
      <c r="DV238" s="122"/>
      <c r="DW238" s="122"/>
      <c r="DX238" s="122"/>
      <c r="DY238" s="122"/>
      <c r="DZ238" s="122"/>
      <c r="EA238" s="122"/>
      <c r="EB238" s="122"/>
      <c r="EC238" s="122"/>
      <c r="ED238" s="122"/>
      <c r="EE238" s="122"/>
      <c r="EF238" s="122"/>
      <c r="EG238" s="122"/>
      <c r="EH238" s="122"/>
      <c r="EI238" s="122"/>
      <c r="EJ238" s="122"/>
      <c r="EK238" s="122"/>
      <c r="EL238" s="122"/>
      <c r="EM238" s="122"/>
      <c r="EN238" s="122"/>
      <c r="EO238" s="122"/>
      <c r="EP238" s="122"/>
      <c r="EQ238" s="122"/>
      <c r="ER238" s="122"/>
      <c r="ES238" s="122"/>
      <c r="ET238" s="122"/>
      <c r="EU238" s="122"/>
      <c r="EV238" s="122"/>
      <c r="EW238" s="122"/>
      <c r="EX238" s="122"/>
      <c r="EY238" s="122"/>
      <c r="EZ238" s="122"/>
      <c r="FA238" s="122"/>
      <c r="FB238" s="122"/>
      <c r="FC238" s="122"/>
      <c r="FD238" s="122"/>
      <c r="FE238" s="122"/>
      <c r="FF238" s="122"/>
      <c r="FG238" s="122"/>
      <c r="FH238" s="122"/>
      <c r="FI238" s="122"/>
      <c r="FJ238" s="122"/>
      <c r="FK238" s="122"/>
      <c r="FL238" s="122"/>
      <c r="FM238" s="122"/>
      <c r="FN238" s="122"/>
      <c r="FO238" s="122"/>
      <c r="FP238" s="122"/>
      <c r="FQ238" s="122"/>
      <c r="FR238" s="122"/>
      <c r="FS238" s="122"/>
      <c r="FT238" s="122"/>
      <c r="FU238" s="122"/>
      <c r="FV238" s="122"/>
      <c r="FW238" s="122"/>
      <c r="FX238" s="122"/>
      <c r="FY238" s="122"/>
      <c r="FZ238" s="122"/>
      <c r="GA238" s="122"/>
      <c r="GB238" s="122"/>
      <c r="GC238" s="122"/>
      <c r="GD238" s="122"/>
      <c r="GE238" s="122"/>
      <c r="GF238" s="122"/>
      <c r="GG238" s="122"/>
      <c r="GH238" s="122"/>
      <c r="GI238" s="122"/>
      <c r="GJ238" s="122"/>
      <c r="GK238" s="122"/>
      <c r="GL238" s="122"/>
      <c r="GM238" s="122"/>
      <c r="GN238" s="122"/>
      <c r="GO238" s="122"/>
      <c r="GP238" s="122"/>
      <c r="GQ238" s="122"/>
      <c r="GR238" s="122"/>
      <c r="GS238" s="122"/>
      <c r="GT238" s="122"/>
      <c r="GU238" s="122"/>
      <c r="GV238" s="122"/>
      <c r="GW238" s="122"/>
      <c r="GX238" s="122"/>
      <c r="GY238" s="122"/>
      <c r="GZ238" s="122"/>
      <c r="HA238" s="122"/>
      <c r="HB238" s="122"/>
      <c r="HC238" s="122"/>
      <c r="HD238" s="122"/>
      <c r="HE238" s="122"/>
      <c r="HF238" s="122"/>
      <c r="HG238" s="122"/>
      <c r="HH238" s="122"/>
      <c r="HI238" s="122"/>
      <c r="HJ238" s="122"/>
      <c r="HK238" s="122"/>
      <c r="HL238" s="122"/>
      <c r="HM238" s="122"/>
      <c r="HN238" s="122"/>
      <c r="HO238" s="122"/>
      <c r="HP238" s="122"/>
      <c r="HQ238" s="122"/>
      <c r="HR238" s="122"/>
      <c r="HS238" s="122"/>
      <c r="HT238" s="122"/>
      <c r="HU238" s="122"/>
      <c r="HV238" s="122"/>
      <c r="HW238" s="122"/>
      <c r="HX238" s="122"/>
      <c r="HY238" s="122"/>
      <c r="HZ238" s="122"/>
      <c r="IA238" s="122"/>
      <c r="IB238" s="122"/>
      <c r="IC238" s="122"/>
      <c r="ID238" s="122"/>
      <c r="IE238" s="122"/>
      <c r="IF238" s="122"/>
      <c r="IG238" s="122"/>
      <c r="IH238" s="122"/>
      <c r="II238" s="122"/>
      <c r="IJ238" s="122"/>
      <c r="IK238" s="122"/>
      <c r="IL238" s="122"/>
      <c r="IM238" s="122"/>
      <c r="IN238" s="122"/>
      <c r="IO238" s="122"/>
      <c r="IP238" s="122"/>
      <c r="IQ238" s="122"/>
      <c r="IR238" s="122"/>
      <c r="IS238" s="122"/>
      <c r="IT238" s="122"/>
      <c r="IU238" s="122"/>
      <c r="IV238" s="122"/>
      <c r="IW238" s="122"/>
      <c r="IX238" s="122"/>
      <c r="IY238" s="122"/>
      <c r="IZ238" s="122"/>
      <c r="JA238" s="122"/>
      <c r="JB238" s="122"/>
      <c r="JC238" s="122"/>
      <c r="JD238" s="122"/>
      <c r="JE238" s="122"/>
      <c r="JF238" s="122"/>
      <c r="JG238" s="122"/>
      <c r="JH238" s="122"/>
      <c r="JI238" s="119"/>
      <c r="JJ238" s="2"/>
      <c r="JK238" s="122"/>
      <c r="JL238" s="125"/>
      <c r="JM238" s="125"/>
      <c r="JN238" s="125"/>
      <c r="JO238" s="125"/>
      <c r="JP238" s="125"/>
    </row>
    <row r="239" spans="1:276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  <c r="AR239" s="122"/>
      <c r="AS239" s="122"/>
      <c r="AT239" s="122"/>
      <c r="AU239" s="122"/>
      <c r="AV239" s="122"/>
      <c r="AW239" s="122"/>
      <c r="AX239" s="122"/>
      <c r="AY239" s="122"/>
      <c r="AZ239" s="122"/>
      <c r="BA239" s="122"/>
      <c r="BB239" s="122"/>
      <c r="BC239" s="122"/>
      <c r="BD239" s="122"/>
      <c r="BE239" s="122"/>
      <c r="BF239" s="122"/>
      <c r="BG239" s="122"/>
      <c r="BH239" s="122"/>
      <c r="BI239" s="122"/>
      <c r="BJ239" s="122"/>
      <c r="BK239" s="122"/>
      <c r="BL239" s="122"/>
      <c r="BM239" s="122"/>
      <c r="BN239" s="122"/>
      <c r="BO239" s="122"/>
      <c r="BP239" s="122"/>
      <c r="BQ239" s="122"/>
      <c r="BR239" s="122"/>
      <c r="BS239" s="122"/>
      <c r="BT239" s="122"/>
      <c r="BU239" s="122"/>
      <c r="BV239" s="122"/>
      <c r="BW239" s="122"/>
      <c r="BX239" s="122"/>
      <c r="BY239" s="122"/>
      <c r="BZ239" s="122"/>
      <c r="CA239" s="122"/>
      <c r="CB239" s="122"/>
      <c r="CC239" s="122"/>
      <c r="CD239" s="122"/>
      <c r="CE239" s="122"/>
      <c r="CF239" s="122"/>
      <c r="CG239" s="122"/>
      <c r="CH239" s="122"/>
      <c r="CI239" s="122"/>
      <c r="CJ239" s="122"/>
      <c r="CK239" s="122"/>
      <c r="CL239" s="122"/>
      <c r="CM239" s="122"/>
      <c r="CN239" s="122"/>
      <c r="CO239" s="122"/>
      <c r="CP239" s="122"/>
      <c r="CQ239" s="122"/>
      <c r="CR239" s="122"/>
      <c r="CS239" s="122"/>
      <c r="CT239" s="122"/>
      <c r="CU239" s="122"/>
      <c r="CV239" s="122"/>
      <c r="CW239" s="122"/>
      <c r="CX239" s="122"/>
      <c r="CY239" s="122"/>
      <c r="CZ239" s="122"/>
      <c r="DA239" s="122"/>
      <c r="DB239" s="122"/>
      <c r="DC239" s="122"/>
      <c r="DD239" s="122"/>
      <c r="DE239" s="122"/>
      <c r="DF239" s="122"/>
      <c r="DG239" s="122"/>
      <c r="DH239" s="122"/>
      <c r="DI239" s="122"/>
      <c r="DJ239" s="122"/>
      <c r="DK239" s="122"/>
      <c r="DL239" s="122"/>
      <c r="DM239" s="122"/>
      <c r="DN239" s="122"/>
      <c r="DO239" s="122"/>
      <c r="DP239" s="122"/>
      <c r="DQ239" s="122"/>
      <c r="DR239" s="122"/>
      <c r="DS239" s="122"/>
      <c r="DT239" s="122"/>
      <c r="DU239" s="122"/>
      <c r="DV239" s="122"/>
      <c r="DW239" s="122"/>
      <c r="DX239" s="122"/>
      <c r="DY239" s="122"/>
      <c r="DZ239" s="122"/>
      <c r="EA239" s="122"/>
      <c r="EB239" s="122"/>
      <c r="EC239" s="122"/>
      <c r="ED239" s="122"/>
      <c r="EE239" s="122"/>
      <c r="EF239" s="122"/>
      <c r="EG239" s="122"/>
      <c r="EH239" s="122"/>
      <c r="EI239" s="122"/>
      <c r="EJ239" s="122"/>
      <c r="EK239" s="122"/>
      <c r="EL239" s="122"/>
      <c r="EM239" s="122"/>
      <c r="EN239" s="122"/>
      <c r="EO239" s="122"/>
      <c r="EP239" s="122"/>
      <c r="EQ239" s="122"/>
      <c r="ER239" s="122"/>
      <c r="ES239" s="122"/>
      <c r="ET239" s="122"/>
      <c r="EU239" s="122"/>
      <c r="EV239" s="122"/>
      <c r="EW239" s="122"/>
      <c r="EX239" s="122"/>
      <c r="EY239" s="122"/>
      <c r="EZ239" s="122"/>
      <c r="FA239" s="122"/>
      <c r="FB239" s="122"/>
      <c r="FC239" s="122"/>
      <c r="FD239" s="122"/>
      <c r="FE239" s="122"/>
      <c r="FF239" s="122"/>
      <c r="FG239" s="122"/>
      <c r="FH239" s="122"/>
      <c r="FI239" s="122"/>
      <c r="FJ239" s="122"/>
      <c r="FK239" s="122"/>
      <c r="FL239" s="122"/>
      <c r="FM239" s="122"/>
      <c r="FN239" s="122"/>
      <c r="FO239" s="122"/>
      <c r="FP239" s="122"/>
      <c r="FQ239" s="122"/>
      <c r="FR239" s="122"/>
      <c r="FS239" s="122"/>
      <c r="FT239" s="122"/>
      <c r="FU239" s="122"/>
      <c r="FV239" s="122"/>
      <c r="FW239" s="122"/>
      <c r="FX239" s="122"/>
      <c r="FY239" s="122"/>
      <c r="FZ239" s="122"/>
      <c r="GA239" s="122"/>
      <c r="GB239" s="122"/>
      <c r="GC239" s="122"/>
      <c r="GD239" s="122"/>
      <c r="GE239" s="122"/>
      <c r="GF239" s="122"/>
      <c r="GG239" s="122"/>
      <c r="GH239" s="122"/>
      <c r="GI239" s="122"/>
      <c r="GJ239" s="122"/>
      <c r="GK239" s="122"/>
      <c r="GL239" s="122"/>
      <c r="GM239" s="122"/>
      <c r="GN239" s="122"/>
      <c r="GO239" s="122"/>
      <c r="GP239" s="122"/>
      <c r="GQ239" s="122"/>
      <c r="GR239" s="122"/>
      <c r="GS239" s="122"/>
      <c r="GT239" s="122"/>
      <c r="GU239" s="122"/>
      <c r="GV239" s="122"/>
      <c r="GW239" s="122"/>
      <c r="GX239" s="122"/>
      <c r="GY239" s="122"/>
      <c r="GZ239" s="122"/>
      <c r="HA239" s="122"/>
      <c r="HB239" s="122"/>
      <c r="HC239" s="122"/>
      <c r="HD239" s="122"/>
      <c r="HE239" s="122"/>
      <c r="HF239" s="122"/>
      <c r="HG239" s="122"/>
      <c r="HH239" s="122"/>
      <c r="HI239" s="122"/>
      <c r="HJ239" s="122"/>
      <c r="HK239" s="122"/>
      <c r="HL239" s="122"/>
      <c r="HM239" s="122"/>
      <c r="HN239" s="122"/>
      <c r="HO239" s="122"/>
      <c r="HP239" s="122"/>
      <c r="HQ239" s="122"/>
      <c r="HR239" s="122"/>
      <c r="HS239" s="122"/>
      <c r="HT239" s="122"/>
      <c r="HU239" s="122"/>
      <c r="HV239" s="122"/>
      <c r="HW239" s="122"/>
      <c r="HX239" s="122"/>
      <c r="HY239" s="122"/>
      <c r="HZ239" s="122"/>
      <c r="IA239" s="122"/>
      <c r="IB239" s="122"/>
      <c r="IC239" s="122"/>
      <c r="ID239" s="122"/>
      <c r="IE239" s="122"/>
      <c r="IF239" s="122"/>
      <c r="IG239" s="122"/>
      <c r="IH239" s="122"/>
      <c r="II239" s="122"/>
      <c r="IJ239" s="122"/>
      <c r="IK239" s="122"/>
      <c r="IL239" s="122"/>
      <c r="IM239" s="122"/>
      <c r="IN239" s="122"/>
      <c r="IO239" s="122"/>
      <c r="IP239" s="122"/>
      <c r="IQ239" s="122"/>
      <c r="IR239" s="122"/>
      <c r="IS239" s="122"/>
      <c r="IT239" s="122"/>
      <c r="IU239" s="122"/>
      <c r="IV239" s="122"/>
      <c r="IW239" s="122"/>
      <c r="IX239" s="122"/>
      <c r="IY239" s="122"/>
      <c r="IZ239" s="122"/>
      <c r="JA239" s="122"/>
      <c r="JB239" s="122"/>
      <c r="JC239" s="122"/>
      <c r="JD239" s="122"/>
      <c r="JE239" s="122"/>
      <c r="JF239" s="122"/>
      <c r="JG239" s="122"/>
      <c r="JH239" s="122"/>
      <c r="JI239" s="119"/>
      <c r="JJ239" s="2"/>
      <c r="JK239" s="122"/>
      <c r="JL239" s="125"/>
      <c r="JM239" s="125"/>
      <c r="JN239" s="125"/>
      <c r="JO239" s="125"/>
      <c r="JP239" s="125"/>
    </row>
    <row r="240" spans="1:276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  <c r="AP240" s="122"/>
      <c r="AQ240" s="122"/>
      <c r="AR240" s="122"/>
      <c r="AS240" s="122"/>
      <c r="AT240" s="122"/>
      <c r="AU240" s="122"/>
      <c r="AV240" s="122"/>
      <c r="AW240" s="122"/>
      <c r="AX240" s="122"/>
      <c r="AY240" s="122"/>
      <c r="AZ240" s="122"/>
      <c r="BA240" s="122"/>
      <c r="BB240" s="122"/>
      <c r="BC240" s="122"/>
      <c r="BD240" s="122"/>
      <c r="BE240" s="122"/>
      <c r="BF240" s="122"/>
      <c r="BG240" s="122"/>
      <c r="BH240" s="122"/>
      <c r="BI240" s="122"/>
      <c r="BJ240" s="122"/>
      <c r="BK240" s="122"/>
      <c r="BL240" s="122"/>
      <c r="BM240" s="122"/>
      <c r="BN240" s="122"/>
      <c r="BO240" s="122"/>
      <c r="BP240" s="122"/>
      <c r="BQ240" s="122"/>
      <c r="BR240" s="122"/>
      <c r="BS240" s="122"/>
      <c r="BT240" s="122"/>
      <c r="BU240" s="122"/>
      <c r="BV240" s="122"/>
      <c r="BW240" s="122"/>
      <c r="BX240" s="122"/>
      <c r="BY240" s="122"/>
      <c r="BZ240" s="122"/>
      <c r="CA240" s="122"/>
      <c r="CB240" s="122"/>
      <c r="CC240" s="122"/>
      <c r="CD240" s="122"/>
      <c r="CE240" s="122"/>
      <c r="CF240" s="122"/>
      <c r="CG240" s="122"/>
      <c r="CH240" s="122"/>
      <c r="CI240" s="122"/>
      <c r="CJ240" s="122"/>
      <c r="CK240" s="122"/>
      <c r="CL240" s="122"/>
      <c r="CM240" s="122"/>
      <c r="CN240" s="122"/>
      <c r="CO240" s="122"/>
      <c r="CP240" s="122"/>
      <c r="CQ240" s="122"/>
      <c r="CR240" s="122"/>
      <c r="CS240" s="122"/>
      <c r="CT240" s="122"/>
      <c r="CU240" s="122"/>
      <c r="CV240" s="122"/>
      <c r="CW240" s="122"/>
      <c r="CX240" s="122"/>
      <c r="CY240" s="122"/>
      <c r="CZ240" s="122"/>
      <c r="DA240" s="122"/>
      <c r="DB240" s="122"/>
      <c r="DC240" s="122"/>
      <c r="DD240" s="122"/>
      <c r="DE240" s="122"/>
      <c r="DF240" s="122"/>
      <c r="DG240" s="122"/>
      <c r="DH240" s="122"/>
      <c r="DI240" s="122"/>
      <c r="DJ240" s="122"/>
      <c r="DK240" s="122"/>
      <c r="DL240" s="122"/>
      <c r="DM240" s="122"/>
      <c r="DN240" s="122"/>
      <c r="DO240" s="122"/>
      <c r="DP240" s="122"/>
      <c r="DQ240" s="122"/>
      <c r="DR240" s="122"/>
      <c r="DS240" s="122"/>
      <c r="DT240" s="122"/>
      <c r="DU240" s="122"/>
      <c r="DV240" s="122"/>
      <c r="DW240" s="122"/>
      <c r="DX240" s="122"/>
      <c r="DY240" s="122"/>
      <c r="DZ240" s="122"/>
      <c r="EA240" s="122"/>
      <c r="EB240" s="122"/>
      <c r="EC240" s="122"/>
      <c r="ED240" s="122"/>
      <c r="EE240" s="122"/>
      <c r="EF240" s="122"/>
      <c r="EG240" s="122"/>
      <c r="EH240" s="122"/>
      <c r="EI240" s="122"/>
      <c r="EJ240" s="122"/>
      <c r="EK240" s="122"/>
      <c r="EL240" s="122"/>
      <c r="EM240" s="122"/>
      <c r="EN240" s="122"/>
      <c r="EO240" s="122"/>
      <c r="EP240" s="122"/>
      <c r="EQ240" s="122"/>
      <c r="ER240" s="122"/>
      <c r="ES240" s="122"/>
      <c r="ET240" s="122"/>
      <c r="EU240" s="122"/>
      <c r="EV240" s="122"/>
      <c r="EW240" s="122"/>
      <c r="EX240" s="122"/>
      <c r="EY240" s="122"/>
      <c r="EZ240" s="122"/>
      <c r="FA240" s="122"/>
      <c r="FB240" s="122"/>
      <c r="FC240" s="122"/>
      <c r="FD240" s="122"/>
      <c r="FE240" s="122"/>
      <c r="FF240" s="122"/>
      <c r="FG240" s="122"/>
      <c r="FH240" s="122"/>
      <c r="FI240" s="122"/>
      <c r="FJ240" s="122"/>
      <c r="FK240" s="122"/>
      <c r="FL240" s="122"/>
      <c r="FM240" s="122"/>
      <c r="FN240" s="122"/>
      <c r="FO240" s="122"/>
      <c r="FP240" s="122"/>
      <c r="FQ240" s="122"/>
      <c r="FR240" s="122"/>
      <c r="FS240" s="122"/>
      <c r="FT240" s="122"/>
      <c r="FU240" s="122"/>
      <c r="FV240" s="122"/>
      <c r="FW240" s="122"/>
      <c r="FX240" s="122"/>
      <c r="FY240" s="122"/>
      <c r="FZ240" s="122"/>
      <c r="GA240" s="122"/>
      <c r="GB240" s="122"/>
      <c r="GC240" s="122"/>
      <c r="GD240" s="122"/>
      <c r="GE240" s="122"/>
      <c r="GF240" s="122"/>
      <c r="GG240" s="122"/>
      <c r="GH240" s="122"/>
      <c r="GI240" s="122"/>
      <c r="GJ240" s="122"/>
      <c r="GK240" s="122"/>
      <c r="GL240" s="122"/>
      <c r="GM240" s="122"/>
      <c r="GN240" s="122"/>
      <c r="GO240" s="122"/>
      <c r="GP240" s="122"/>
      <c r="GQ240" s="122"/>
      <c r="GR240" s="122"/>
      <c r="GS240" s="122"/>
      <c r="GT240" s="122"/>
      <c r="GU240" s="122"/>
      <c r="GV240" s="122"/>
      <c r="GW240" s="122"/>
      <c r="GX240" s="122"/>
      <c r="GY240" s="122"/>
      <c r="GZ240" s="122"/>
      <c r="HA240" s="122"/>
      <c r="HB240" s="122"/>
      <c r="HC240" s="122"/>
      <c r="HD240" s="122"/>
      <c r="HE240" s="122"/>
      <c r="HF240" s="122"/>
      <c r="HG240" s="122"/>
      <c r="HH240" s="122"/>
      <c r="HI240" s="122"/>
      <c r="HJ240" s="122"/>
      <c r="HK240" s="122"/>
      <c r="HL240" s="122"/>
      <c r="HM240" s="122"/>
      <c r="HN240" s="122"/>
      <c r="HO240" s="122"/>
      <c r="HP240" s="122"/>
      <c r="HQ240" s="122"/>
      <c r="HR240" s="122"/>
      <c r="HS240" s="122"/>
      <c r="HT240" s="122"/>
      <c r="HU240" s="122"/>
      <c r="HV240" s="122"/>
      <c r="HW240" s="122"/>
      <c r="HX240" s="122"/>
      <c r="HY240" s="122"/>
      <c r="HZ240" s="122"/>
      <c r="IA240" s="122"/>
      <c r="IB240" s="122"/>
      <c r="IC240" s="122"/>
      <c r="ID240" s="122"/>
      <c r="IE240" s="122"/>
      <c r="IF240" s="122"/>
      <c r="IG240" s="122"/>
      <c r="IH240" s="122"/>
      <c r="II240" s="122"/>
      <c r="IJ240" s="122"/>
      <c r="IK240" s="122"/>
      <c r="IL240" s="122"/>
      <c r="IM240" s="122"/>
      <c r="IN240" s="122"/>
      <c r="IO240" s="122"/>
      <c r="IP240" s="122"/>
      <c r="IQ240" s="122"/>
      <c r="IR240" s="122"/>
      <c r="IS240" s="122"/>
      <c r="IT240" s="122"/>
      <c r="IU240" s="122"/>
      <c r="IV240" s="122"/>
      <c r="IW240" s="122"/>
      <c r="IX240" s="122"/>
      <c r="IY240" s="122"/>
      <c r="IZ240" s="122"/>
      <c r="JA240" s="122"/>
      <c r="JB240" s="122"/>
      <c r="JC240" s="122"/>
      <c r="JD240" s="122"/>
      <c r="JE240" s="122"/>
      <c r="JF240" s="122"/>
      <c r="JG240" s="122"/>
      <c r="JH240" s="122"/>
      <c r="JI240" s="119"/>
      <c r="JJ240" s="2"/>
      <c r="JK240" s="122"/>
      <c r="JL240" s="125"/>
      <c r="JM240" s="125"/>
      <c r="JN240" s="125"/>
      <c r="JO240" s="125"/>
      <c r="JP240" s="125"/>
    </row>
    <row r="241" spans="1:276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  <c r="AR241" s="122"/>
      <c r="AS241" s="122"/>
      <c r="AT241" s="122"/>
      <c r="AU241" s="122"/>
      <c r="AV241" s="122"/>
      <c r="AW241" s="122"/>
      <c r="AX241" s="122"/>
      <c r="AY241" s="122"/>
      <c r="AZ241" s="122"/>
      <c r="BA241" s="122"/>
      <c r="BB241" s="122"/>
      <c r="BC241" s="122"/>
      <c r="BD241" s="122"/>
      <c r="BE241" s="122"/>
      <c r="BF241" s="122"/>
      <c r="BG241" s="122"/>
      <c r="BH241" s="122"/>
      <c r="BI241" s="122"/>
      <c r="BJ241" s="122"/>
      <c r="BK241" s="122"/>
      <c r="BL241" s="122"/>
      <c r="BM241" s="122"/>
      <c r="BN241" s="122"/>
      <c r="BO241" s="122"/>
      <c r="BP241" s="122"/>
      <c r="BQ241" s="122"/>
      <c r="BR241" s="122"/>
      <c r="BS241" s="122"/>
      <c r="BT241" s="122"/>
      <c r="BU241" s="122"/>
      <c r="BV241" s="122"/>
      <c r="BW241" s="122"/>
      <c r="BX241" s="122"/>
      <c r="BY241" s="122"/>
      <c r="BZ241" s="122"/>
      <c r="CA241" s="122"/>
      <c r="CB241" s="122"/>
      <c r="CC241" s="122"/>
      <c r="CD241" s="122"/>
      <c r="CE241" s="122"/>
      <c r="CF241" s="122"/>
      <c r="CG241" s="122"/>
      <c r="CH241" s="122"/>
      <c r="CI241" s="122"/>
      <c r="CJ241" s="122"/>
      <c r="CK241" s="122"/>
      <c r="CL241" s="122"/>
      <c r="CM241" s="122"/>
      <c r="CN241" s="122"/>
      <c r="CO241" s="122"/>
      <c r="CP241" s="122"/>
      <c r="CQ241" s="122"/>
      <c r="CR241" s="122"/>
      <c r="CS241" s="122"/>
      <c r="CT241" s="122"/>
      <c r="CU241" s="122"/>
      <c r="CV241" s="122"/>
      <c r="CW241" s="122"/>
      <c r="CX241" s="122"/>
      <c r="CY241" s="122"/>
      <c r="CZ241" s="122"/>
      <c r="DA241" s="122"/>
      <c r="DB241" s="122"/>
      <c r="DC241" s="122"/>
      <c r="DD241" s="122"/>
      <c r="DE241" s="122"/>
      <c r="DF241" s="122"/>
      <c r="DG241" s="122"/>
      <c r="DH241" s="122"/>
      <c r="DI241" s="122"/>
      <c r="DJ241" s="122"/>
      <c r="DK241" s="122"/>
      <c r="DL241" s="122"/>
      <c r="DM241" s="122"/>
      <c r="DN241" s="122"/>
      <c r="DO241" s="122"/>
      <c r="DP241" s="122"/>
      <c r="DQ241" s="122"/>
      <c r="DR241" s="122"/>
      <c r="DS241" s="122"/>
      <c r="DT241" s="122"/>
      <c r="DU241" s="122"/>
      <c r="DV241" s="122"/>
      <c r="DW241" s="122"/>
      <c r="DX241" s="122"/>
      <c r="DY241" s="122"/>
      <c r="DZ241" s="122"/>
      <c r="EA241" s="122"/>
      <c r="EB241" s="122"/>
      <c r="EC241" s="122"/>
      <c r="ED241" s="122"/>
      <c r="EE241" s="122"/>
      <c r="EF241" s="122"/>
      <c r="EG241" s="122"/>
      <c r="EH241" s="122"/>
      <c r="EI241" s="122"/>
      <c r="EJ241" s="122"/>
      <c r="EK241" s="122"/>
      <c r="EL241" s="122"/>
      <c r="EM241" s="122"/>
      <c r="EN241" s="122"/>
      <c r="EO241" s="122"/>
      <c r="EP241" s="122"/>
      <c r="EQ241" s="122"/>
      <c r="ER241" s="122"/>
      <c r="ES241" s="122"/>
      <c r="ET241" s="122"/>
      <c r="EU241" s="122"/>
      <c r="EV241" s="122"/>
      <c r="EW241" s="122"/>
      <c r="EX241" s="122"/>
      <c r="EY241" s="122"/>
      <c r="EZ241" s="122"/>
      <c r="FA241" s="122"/>
      <c r="FB241" s="122"/>
      <c r="FC241" s="122"/>
      <c r="FD241" s="122"/>
      <c r="FE241" s="122"/>
      <c r="FF241" s="122"/>
      <c r="FG241" s="122"/>
      <c r="FH241" s="122"/>
      <c r="FI241" s="122"/>
      <c r="FJ241" s="122"/>
      <c r="FK241" s="122"/>
      <c r="FL241" s="122"/>
      <c r="FM241" s="122"/>
      <c r="FN241" s="122"/>
      <c r="FO241" s="122"/>
      <c r="FP241" s="122"/>
      <c r="FQ241" s="122"/>
      <c r="FR241" s="122"/>
      <c r="FS241" s="122"/>
      <c r="FT241" s="122"/>
      <c r="FU241" s="122"/>
      <c r="FV241" s="122"/>
      <c r="FW241" s="122"/>
      <c r="FX241" s="122"/>
      <c r="FY241" s="122"/>
      <c r="FZ241" s="122"/>
      <c r="GA241" s="122"/>
      <c r="GB241" s="122"/>
      <c r="GC241" s="122"/>
      <c r="GD241" s="122"/>
      <c r="GE241" s="122"/>
      <c r="GF241" s="122"/>
      <c r="GG241" s="122"/>
      <c r="GH241" s="122"/>
      <c r="GI241" s="122"/>
      <c r="GJ241" s="122"/>
      <c r="GK241" s="122"/>
      <c r="GL241" s="122"/>
      <c r="GM241" s="122"/>
      <c r="GN241" s="122"/>
      <c r="GO241" s="122"/>
      <c r="GP241" s="122"/>
      <c r="GQ241" s="122"/>
      <c r="GR241" s="122"/>
      <c r="GS241" s="122"/>
      <c r="GT241" s="122"/>
      <c r="GU241" s="122"/>
      <c r="GV241" s="122"/>
      <c r="GW241" s="122"/>
      <c r="GX241" s="122"/>
      <c r="GY241" s="122"/>
      <c r="GZ241" s="122"/>
      <c r="HA241" s="122"/>
      <c r="HB241" s="122"/>
      <c r="HC241" s="122"/>
      <c r="HD241" s="122"/>
      <c r="HE241" s="122"/>
      <c r="HF241" s="122"/>
      <c r="HG241" s="122"/>
      <c r="HH241" s="122"/>
      <c r="HI241" s="122"/>
      <c r="HJ241" s="122"/>
      <c r="HK241" s="122"/>
      <c r="HL241" s="122"/>
      <c r="HM241" s="122"/>
      <c r="HN241" s="122"/>
      <c r="HO241" s="122"/>
      <c r="HP241" s="122"/>
      <c r="HQ241" s="122"/>
      <c r="HR241" s="122"/>
      <c r="HS241" s="122"/>
      <c r="HT241" s="122"/>
      <c r="HU241" s="122"/>
      <c r="HV241" s="122"/>
      <c r="HW241" s="122"/>
      <c r="HX241" s="122"/>
      <c r="HY241" s="122"/>
      <c r="HZ241" s="122"/>
      <c r="IA241" s="122"/>
      <c r="IB241" s="122"/>
      <c r="IC241" s="122"/>
      <c r="ID241" s="122"/>
      <c r="IE241" s="122"/>
      <c r="IF241" s="122"/>
      <c r="IG241" s="122"/>
      <c r="IH241" s="122"/>
      <c r="II241" s="122"/>
      <c r="IJ241" s="122"/>
      <c r="IK241" s="122"/>
      <c r="IL241" s="122"/>
      <c r="IM241" s="122"/>
      <c r="IN241" s="122"/>
      <c r="IO241" s="122"/>
      <c r="IP241" s="122"/>
      <c r="IQ241" s="122"/>
      <c r="IR241" s="122"/>
      <c r="IS241" s="122"/>
      <c r="IT241" s="122"/>
      <c r="IU241" s="122"/>
      <c r="IV241" s="122"/>
      <c r="IW241" s="122"/>
      <c r="IX241" s="122"/>
      <c r="IY241" s="122"/>
      <c r="IZ241" s="122"/>
      <c r="JA241" s="122"/>
      <c r="JB241" s="122"/>
      <c r="JC241" s="122"/>
      <c r="JD241" s="122"/>
      <c r="JE241" s="122"/>
      <c r="JF241" s="122"/>
      <c r="JG241" s="122"/>
      <c r="JH241" s="122"/>
      <c r="JI241" s="119"/>
      <c r="JJ241" s="2"/>
      <c r="JK241" s="122"/>
      <c r="JL241" s="125"/>
      <c r="JM241" s="125"/>
      <c r="JN241" s="125"/>
      <c r="JO241" s="125"/>
      <c r="JP241" s="125"/>
    </row>
    <row r="242" spans="1:276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122"/>
      <c r="AQ242" s="122"/>
      <c r="AR242" s="122"/>
      <c r="AS242" s="122"/>
      <c r="AT242" s="122"/>
      <c r="AU242" s="122"/>
      <c r="AV242" s="122"/>
      <c r="AW242" s="122"/>
      <c r="AX242" s="122"/>
      <c r="AY242" s="122"/>
      <c r="AZ242" s="122"/>
      <c r="BA242" s="122"/>
      <c r="BB242" s="122"/>
      <c r="BC242" s="122"/>
      <c r="BD242" s="122"/>
      <c r="BE242" s="122"/>
      <c r="BF242" s="122"/>
      <c r="BG242" s="122"/>
      <c r="BH242" s="122"/>
      <c r="BI242" s="122"/>
      <c r="BJ242" s="122"/>
      <c r="BK242" s="122"/>
      <c r="BL242" s="122"/>
      <c r="BM242" s="122"/>
      <c r="BN242" s="122"/>
      <c r="BO242" s="122"/>
      <c r="BP242" s="122"/>
      <c r="BQ242" s="122"/>
      <c r="BR242" s="122"/>
      <c r="BS242" s="122"/>
      <c r="BT242" s="122"/>
      <c r="BU242" s="122"/>
      <c r="BV242" s="122"/>
      <c r="BW242" s="122"/>
      <c r="BX242" s="122"/>
      <c r="BY242" s="122"/>
      <c r="BZ242" s="122"/>
      <c r="CA242" s="122"/>
      <c r="CB242" s="122"/>
      <c r="CC242" s="122"/>
      <c r="CD242" s="122"/>
      <c r="CE242" s="122"/>
      <c r="CF242" s="122"/>
      <c r="CG242" s="122"/>
      <c r="CH242" s="122"/>
      <c r="CI242" s="122"/>
      <c r="CJ242" s="122"/>
      <c r="CK242" s="122"/>
      <c r="CL242" s="122"/>
      <c r="CM242" s="122"/>
      <c r="CN242" s="122"/>
      <c r="CO242" s="122"/>
      <c r="CP242" s="122"/>
      <c r="CQ242" s="122"/>
      <c r="CR242" s="122"/>
      <c r="CS242" s="122"/>
      <c r="CT242" s="122"/>
      <c r="CU242" s="122"/>
      <c r="CV242" s="122"/>
      <c r="CW242" s="122"/>
      <c r="CX242" s="122"/>
      <c r="CY242" s="122"/>
      <c r="CZ242" s="122"/>
      <c r="DA242" s="122"/>
      <c r="DB242" s="122"/>
      <c r="DC242" s="122"/>
      <c r="DD242" s="122"/>
      <c r="DE242" s="122"/>
      <c r="DF242" s="122"/>
      <c r="DG242" s="122"/>
      <c r="DH242" s="122"/>
      <c r="DI242" s="122"/>
      <c r="DJ242" s="122"/>
      <c r="DK242" s="122"/>
      <c r="DL242" s="122"/>
      <c r="DM242" s="122"/>
      <c r="DN242" s="122"/>
      <c r="DO242" s="122"/>
      <c r="DP242" s="122"/>
      <c r="DQ242" s="122"/>
      <c r="DR242" s="122"/>
      <c r="DS242" s="122"/>
      <c r="DT242" s="122"/>
      <c r="DU242" s="122"/>
      <c r="DV242" s="122"/>
      <c r="DW242" s="122"/>
      <c r="DX242" s="122"/>
      <c r="DY242" s="122"/>
      <c r="DZ242" s="122"/>
      <c r="EA242" s="122"/>
      <c r="EB242" s="122"/>
      <c r="EC242" s="122"/>
      <c r="ED242" s="122"/>
      <c r="EE242" s="122"/>
      <c r="EF242" s="122"/>
      <c r="EG242" s="122"/>
      <c r="EH242" s="122"/>
      <c r="EI242" s="122"/>
      <c r="EJ242" s="122"/>
      <c r="EK242" s="122"/>
      <c r="EL242" s="122"/>
      <c r="EM242" s="122"/>
      <c r="EN242" s="122"/>
      <c r="EO242" s="122"/>
      <c r="EP242" s="122"/>
      <c r="EQ242" s="122"/>
      <c r="ER242" s="122"/>
      <c r="ES242" s="122"/>
      <c r="ET242" s="122"/>
      <c r="EU242" s="122"/>
      <c r="EV242" s="122"/>
      <c r="EW242" s="122"/>
      <c r="EX242" s="122"/>
      <c r="EY242" s="122"/>
      <c r="EZ242" s="122"/>
      <c r="FA242" s="122"/>
      <c r="FB242" s="122"/>
      <c r="FC242" s="122"/>
      <c r="FD242" s="122"/>
      <c r="FE242" s="122"/>
      <c r="FF242" s="122"/>
      <c r="FG242" s="122"/>
      <c r="FH242" s="122"/>
      <c r="FI242" s="122"/>
      <c r="FJ242" s="122"/>
      <c r="FK242" s="122"/>
      <c r="FL242" s="122"/>
      <c r="FM242" s="122"/>
      <c r="FN242" s="122"/>
      <c r="FO242" s="122"/>
      <c r="FP242" s="122"/>
      <c r="FQ242" s="122"/>
      <c r="FR242" s="122"/>
      <c r="FS242" s="122"/>
      <c r="FT242" s="122"/>
      <c r="FU242" s="122"/>
      <c r="FV242" s="122"/>
      <c r="FW242" s="122"/>
      <c r="FX242" s="122"/>
      <c r="FY242" s="122"/>
      <c r="FZ242" s="122"/>
      <c r="GA242" s="122"/>
      <c r="GB242" s="122"/>
      <c r="GC242" s="122"/>
      <c r="GD242" s="122"/>
      <c r="GE242" s="122"/>
      <c r="GF242" s="122"/>
      <c r="GG242" s="122"/>
      <c r="GH242" s="122"/>
      <c r="GI242" s="122"/>
      <c r="GJ242" s="122"/>
      <c r="GK242" s="122"/>
      <c r="GL242" s="122"/>
      <c r="GM242" s="122"/>
      <c r="GN242" s="122"/>
      <c r="GO242" s="122"/>
      <c r="GP242" s="122"/>
      <c r="GQ242" s="122"/>
      <c r="GR242" s="122"/>
      <c r="GS242" s="122"/>
      <c r="GT242" s="122"/>
      <c r="GU242" s="122"/>
      <c r="GV242" s="122"/>
      <c r="GW242" s="122"/>
      <c r="GX242" s="122"/>
      <c r="GY242" s="122"/>
      <c r="GZ242" s="122"/>
      <c r="HA242" s="122"/>
      <c r="HB242" s="122"/>
      <c r="HC242" s="122"/>
      <c r="HD242" s="122"/>
      <c r="HE242" s="122"/>
      <c r="HF242" s="122"/>
      <c r="HG242" s="122"/>
      <c r="HH242" s="122"/>
      <c r="HI242" s="122"/>
      <c r="HJ242" s="122"/>
      <c r="HK242" s="122"/>
      <c r="HL242" s="122"/>
      <c r="HM242" s="122"/>
      <c r="HN242" s="122"/>
      <c r="HO242" s="122"/>
      <c r="HP242" s="122"/>
      <c r="HQ242" s="122"/>
      <c r="HR242" s="122"/>
      <c r="HS242" s="122"/>
      <c r="HT242" s="122"/>
      <c r="HU242" s="122"/>
      <c r="HV242" s="122"/>
      <c r="HW242" s="122"/>
      <c r="HX242" s="122"/>
      <c r="HY242" s="122"/>
      <c r="HZ242" s="122"/>
      <c r="IA242" s="122"/>
      <c r="IB242" s="122"/>
      <c r="IC242" s="122"/>
      <c r="ID242" s="122"/>
      <c r="IE242" s="122"/>
      <c r="IF242" s="122"/>
      <c r="IG242" s="122"/>
      <c r="IH242" s="122"/>
      <c r="II242" s="122"/>
      <c r="IJ242" s="122"/>
      <c r="IK242" s="122"/>
      <c r="IL242" s="122"/>
      <c r="IM242" s="122"/>
      <c r="IN242" s="122"/>
      <c r="IO242" s="122"/>
      <c r="IP242" s="122"/>
      <c r="IQ242" s="122"/>
      <c r="IR242" s="122"/>
      <c r="IS242" s="122"/>
      <c r="IT242" s="122"/>
      <c r="IU242" s="122"/>
      <c r="IV242" s="122"/>
      <c r="IW242" s="122"/>
      <c r="IX242" s="122"/>
      <c r="IY242" s="122"/>
      <c r="IZ242" s="122"/>
      <c r="JA242" s="122"/>
      <c r="JB242" s="122"/>
      <c r="JC242" s="122"/>
      <c r="JD242" s="122"/>
      <c r="JE242" s="122"/>
      <c r="JF242" s="122"/>
      <c r="JG242" s="122"/>
      <c r="JH242" s="122"/>
      <c r="JI242" s="119"/>
      <c r="JJ242" s="2"/>
      <c r="JK242" s="122"/>
      <c r="JL242" s="125"/>
      <c r="JM242" s="125"/>
      <c r="JN242" s="125"/>
      <c r="JO242" s="125"/>
      <c r="JP242" s="125"/>
    </row>
    <row r="243" spans="1:276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  <c r="AR243" s="122"/>
      <c r="AS243" s="122"/>
      <c r="AT243" s="122"/>
      <c r="AU243" s="122"/>
      <c r="AV243" s="122"/>
      <c r="AW243" s="122"/>
      <c r="AX243" s="122"/>
      <c r="AY243" s="122"/>
      <c r="AZ243" s="122"/>
      <c r="BA243" s="122"/>
      <c r="BB243" s="122"/>
      <c r="BC243" s="122"/>
      <c r="BD243" s="122"/>
      <c r="BE243" s="122"/>
      <c r="BF243" s="122"/>
      <c r="BG243" s="122"/>
      <c r="BH243" s="122"/>
      <c r="BI243" s="122"/>
      <c r="BJ243" s="122"/>
      <c r="BK243" s="122"/>
      <c r="BL243" s="122"/>
      <c r="BM243" s="122"/>
      <c r="BN243" s="122"/>
      <c r="BO243" s="122"/>
      <c r="BP243" s="122"/>
      <c r="BQ243" s="122"/>
      <c r="BR243" s="122"/>
      <c r="BS243" s="122"/>
      <c r="BT243" s="122"/>
      <c r="BU243" s="122"/>
      <c r="BV243" s="122"/>
      <c r="BW243" s="122"/>
      <c r="BX243" s="122"/>
      <c r="BY243" s="122"/>
      <c r="BZ243" s="122"/>
      <c r="CA243" s="122"/>
      <c r="CB243" s="122"/>
      <c r="CC243" s="122"/>
      <c r="CD243" s="122"/>
      <c r="CE243" s="122"/>
      <c r="CF243" s="122"/>
      <c r="CG243" s="122"/>
      <c r="CH243" s="122"/>
      <c r="CI243" s="122"/>
      <c r="CJ243" s="122"/>
      <c r="CK243" s="122"/>
      <c r="CL243" s="122"/>
      <c r="CM243" s="122"/>
      <c r="CN243" s="122"/>
      <c r="CO243" s="122"/>
      <c r="CP243" s="122"/>
      <c r="CQ243" s="122"/>
      <c r="CR243" s="122"/>
      <c r="CS243" s="122"/>
      <c r="CT243" s="122"/>
      <c r="CU243" s="122"/>
      <c r="CV243" s="122"/>
      <c r="CW243" s="122"/>
      <c r="CX243" s="122"/>
      <c r="CY243" s="122"/>
      <c r="CZ243" s="122"/>
      <c r="DA243" s="122"/>
      <c r="DB243" s="122"/>
      <c r="DC243" s="122"/>
      <c r="DD243" s="122"/>
      <c r="DE243" s="122"/>
      <c r="DF243" s="122"/>
      <c r="DG243" s="122"/>
      <c r="DH243" s="122"/>
      <c r="DI243" s="122"/>
      <c r="DJ243" s="122"/>
      <c r="DK243" s="122"/>
      <c r="DL243" s="122"/>
      <c r="DM243" s="122"/>
      <c r="DN243" s="122"/>
      <c r="DO243" s="122"/>
      <c r="DP243" s="122"/>
      <c r="DQ243" s="122"/>
      <c r="DR243" s="122"/>
      <c r="DS243" s="122"/>
      <c r="DT243" s="122"/>
      <c r="DU243" s="122"/>
      <c r="DV243" s="122"/>
      <c r="DW243" s="122"/>
      <c r="DX243" s="122"/>
      <c r="DY243" s="122"/>
      <c r="DZ243" s="122"/>
      <c r="EA243" s="122"/>
      <c r="EB243" s="122"/>
      <c r="EC243" s="122"/>
      <c r="ED243" s="122"/>
      <c r="EE243" s="122"/>
      <c r="EF243" s="122"/>
      <c r="EG243" s="122"/>
      <c r="EH243" s="122"/>
      <c r="EI243" s="122"/>
      <c r="EJ243" s="122"/>
      <c r="EK243" s="122"/>
      <c r="EL243" s="122"/>
      <c r="EM243" s="122"/>
      <c r="EN243" s="122"/>
      <c r="EO243" s="122"/>
      <c r="EP243" s="122"/>
      <c r="EQ243" s="122"/>
      <c r="ER243" s="122"/>
      <c r="ES243" s="122"/>
      <c r="ET243" s="122"/>
      <c r="EU243" s="122"/>
      <c r="EV243" s="122"/>
      <c r="EW243" s="122"/>
      <c r="EX243" s="122"/>
      <c r="EY243" s="122"/>
      <c r="EZ243" s="122"/>
      <c r="FA243" s="122"/>
      <c r="FB243" s="122"/>
      <c r="FC243" s="122"/>
      <c r="FD243" s="122"/>
      <c r="FE243" s="122"/>
      <c r="FF243" s="122"/>
      <c r="FG243" s="122"/>
      <c r="FH243" s="122"/>
      <c r="FI243" s="122"/>
      <c r="FJ243" s="122"/>
      <c r="FK243" s="122"/>
      <c r="FL243" s="122"/>
      <c r="FM243" s="122"/>
      <c r="FN243" s="122"/>
      <c r="FO243" s="122"/>
      <c r="FP243" s="122"/>
      <c r="FQ243" s="122"/>
      <c r="FR243" s="122"/>
      <c r="FS243" s="122"/>
      <c r="FT243" s="122"/>
      <c r="FU243" s="122"/>
      <c r="FV243" s="122"/>
      <c r="FW243" s="122"/>
      <c r="FX243" s="122"/>
      <c r="FY243" s="122"/>
      <c r="FZ243" s="122"/>
      <c r="GA243" s="122"/>
      <c r="GB243" s="122"/>
      <c r="GC243" s="122"/>
      <c r="GD243" s="122"/>
      <c r="GE243" s="122"/>
      <c r="GF243" s="122"/>
      <c r="GG243" s="122"/>
      <c r="GH243" s="122"/>
      <c r="GI243" s="122"/>
      <c r="GJ243" s="122"/>
      <c r="GK243" s="122"/>
      <c r="GL243" s="122"/>
      <c r="GM243" s="122"/>
      <c r="GN243" s="122"/>
      <c r="GO243" s="122"/>
      <c r="GP243" s="122"/>
      <c r="GQ243" s="122"/>
      <c r="GR243" s="122"/>
      <c r="GS243" s="122"/>
      <c r="GT243" s="122"/>
      <c r="GU243" s="122"/>
      <c r="GV243" s="122"/>
      <c r="GW243" s="122"/>
      <c r="GX243" s="122"/>
      <c r="GY243" s="122"/>
      <c r="GZ243" s="122"/>
      <c r="HA243" s="122"/>
      <c r="HB243" s="122"/>
      <c r="HC243" s="122"/>
      <c r="HD243" s="122"/>
      <c r="HE243" s="122"/>
      <c r="HF243" s="122"/>
      <c r="HG243" s="122"/>
      <c r="HH243" s="122"/>
      <c r="HI243" s="122"/>
      <c r="HJ243" s="122"/>
      <c r="HK243" s="122"/>
      <c r="HL243" s="122"/>
      <c r="HM243" s="122"/>
      <c r="HN243" s="122"/>
      <c r="HO243" s="122"/>
      <c r="HP243" s="122"/>
      <c r="HQ243" s="122"/>
      <c r="HR243" s="122"/>
      <c r="HS243" s="122"/>
      <c r="HT243" s="122"/>
      <c r="HU243" s="122"/>
      <c r="HV243" s="122"/>
      <c r="HW243" s="122"/>
      <c r="HX243" s="122"/>
      <c r="HY243" s="122"/>
      <c r="HZ243" s="122"/>
      <c r="IA243" s="122"/>
      <c r="IB243" s="122"/>
      <c r="IC243" s="122"/>
      <c r="ID243" s="122"/>
      <c r="IE243" s="122"/>
      <c r="IF243" s="122"/>
      <c r="IG243" s="122"/>
      <c r="IH243" s="122"/>
      <c r="II243" s="122"/>
      <c r="IJ243" s="122"/>
      <c r="IK243" s="122"/>
      <c r="IL243" s="122"/>
      <c r="IM243" s="122"/>
      <c r="IN243" s="122"/>
      <c r="IO243" s="122"/>
      <c r="IP243" s="122"/>
      <c r="IQ243" s="122"/>
      <c r="IR243" s="122"/>
      <c r="IS243" s="122"/>
      <c r="IT243" s="122"/>
      <c r="IU243" s="122"/>
      <c r="IV243" s="122"/>
      <c r="IW243" s="122"/>
      <c r="IX243" s="122"/>
      <c r="IY243" s="122"/>
      <c r="IZ243" s="122"/>
      <c r="JA243" s="122"/>
      <c r="JB243" s="122"/>
      <c r="JC243" s="122"/>
      <c r="JD243" s="122"/>
      <c r="JE243" s="122"/>
      <c r="JF243" s="122"/>
      <c r="JG243" s="122"/>
      <c r="JH243" s="122"/>
      <c r="JI243" s="119"/>
      <c r="JJ243" s="2"/>
      <c r="JK243" s="122"/>
      <c r="JL243" s="125"/>
      <c r="JM243" s="125"/>
      <c r="JN243" s="125"/>
      <c r="JO243" s="125"/>
      <c r="JP243" s="125"/>
    </row>
    <row r="244" spans="1:276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  <c r="AP244" s="122"/>
      <c r="AQ244" s="122"/>
      <c r="AR244" s="122"/>
      <c r="AS244" s="122"/>
      <c r="AT244" s="122"/>
      <c r="AU244" s="122"/>
      <c r="AV244" s="122"/>
      <c r="AW244" s="122"/>
      <c r="AX244" s="122"/>
      <c r="AY244" s="122"/>
      <c r="AZ244" s="122"/>
      <c r="BA244" s="122"/>
      <c r="BB244" s="122"/>
      <c r="BC244" s="122"/>
      <c r="BD244" s="122"/>
      <c r="BE244" s="122"/>
      <c r="BF244" s="122"/>
      <c r="BG244" s="122"/>
      <c r="BH244" s="122"/>
      <c r="BI244" s="122"/>
      <c r="BJ244" s="122"/>
      <c r="BK244" s="122"/>
      <c r="BL244" s="122"/>
      <c r="BM244" s="122"/>
      <c r="BN244" s="122"/>
      <c r="BO244" s="122"/>
      <c r="BP244" s="122"/>
      <c r="BQ244" s="122"/>
      <c r="BR244" s="122"/>
      <c r="BS244" s="122"/>
      <c r="BT244" s="122"/>
      <c r="BU244" s="122"/>
      <c r="BV244" s="122"/>
      <c r="BW244" s="122"/>
      <c r="BX244" s="122"/>
      <c r="BY244" s="122"/>
      <c r="BZ244" s="122"/>
      <c r="CA244" s="122"/>
      <c r="CB244" s="122"/>
      <c r="CC244" s="122"/>
      <c r="CD244" s="122"/>
      <c r="CE244" s="122"/>
      <c r="CF244" s="122"/>
      <c r="CG244" s="122"/>
      <c r="CH244" s="122"/>
      <c r="CI244" s="122"/>
      <c r="CJ244" s="122"/>
      <c r="CK244" s="122"/>
      <c r="CL244" s="122"/>
      <c r="CM244" s="122"/>
      <c r="CN244" s="122"/>
      <c r="CO244" s="122"/>
      <c r="CP244" s="122"/>
      <c r="CQ244" s="122"/>
      <c r="CR244" s="122"/>
      <c r="CS244" s="122"/>
      <c r="CT244" s="122"/>
      <c r="CU244" s="122"/>
      <c r="CV244" s="122"/>
      <c r="CW244" s="122"/>
      <c r="CX244" s="122"/>
      <c r="CY244" s="122"/>
      <c r="CZ244" s="122"/>
      <c r="DA244" s="122"/>
      <c r="DB244" s="122"/>
      <c r="DC244" s="122"/>
      <c r="DD244" s="122"/>
      <c r="DE244" s="122"/>
      <c r="DF244" s="122"/>
      <c r="DG244" s="122"/>
      <c r="DH244" s="122"/>
      <c r="DI244" s="122"/>
      <c r="DJ244" s="122"/>
      <c r="DK244" s="122"/>
      <c r="DL244" s="122"/>
      <c r="DM244" s="122"/>
      <c r="DN244" s="122"/>
      <c r="DO244" s="122"/>
      <c r="DP244" s="122"/>
      <c r="DQ244" s="122"/>
      <c r="DR244" s="122"/>
      <c r="DS244" s="122"/>
      <c r="DT244" s="122"/>
      <c r="DU244" s="122"/>
      <c r="DV244" s="122"/>
      <c r="DW244" s="122"/>
      <c r="DX244" s="122"/>
      <c r="DY244" s="122"/>
      <c r="DZ244" s="122"/>
      <c r="EA244" s="122"/>
      <c r="EB244" s="122"/>
      <c r="EC244" s="122"/>
      <c r="ED244" s="122"/>
      <c r="EE244" s="122"/>
      <c r="EF244" s="122"/>
      <c r="EG244" s="122"/>
      <c r="EH244" s="122"/>
      <c r="EI244" s="122"/>
      <c r="EJ244" s="122"/>
      <c r="EK244" s="122"/>
      <c r="EL244" s="122"/>
      <c r="EM244" s="122"/>
      <c r="EN244" s="122"/>
      <c r="EO244" s="122"/>
      <c r="EP244" s="122"/>
      <c r="EQ244" s="122"/>
      <c r="ER244" s="122"/>
      <c r="ES244" s="122"/>
      <c r="ET244" s="122"/>
      <c r="EU244" s="122"/>
      <c r="EV244" s="122"/>
      <c r="EW244" s="122"/>
      <c r="EX244" s="122"/>
      <c r="EY244" s="122"/>
      <c r="EZ244" s="122"/>
      <c r="FA244" s="122"/>
      <c r="FB244" s="122"/>
      <c r="FC244" s="122"/>
      <c r="FD244" s="122"/>
      <c r="FE244" s="122"/>
      <c r="FF244" s="122"/>
      <c r="FG244" s="122"/>
      <c r="FH244" s="122"/>
      <c r="FI244" s="122"/>
      <c r="FJ244" s="122"/>
      <c r="FK244" s="122"/>
      <c r="FL244" s="122"/>
      <c r="FM244" s="122"/>
      <c r="FN244" s="122"/>
      <c r="FO244" s="122"/>
      <c r="FP244" s="122"/>
      <c r="FQ244" s="122"/>
      <c r="FR244" s="122"/>
      <c r="FS244" s="122"/>
      <c r="FT244" s="122"/>
      <c r="FU244" s="122"/>
      <c r="FV244" s="122"/>
      <c r="FW244" s="122"/>
      <c r="FX244" s="122"/>
      <c r="FY244" s="122"/>
      <c r="FZ244" s="122"/>
      <c r="GA244" s="122"/>
      <c r="GB244" s="122"/>
      <c r="GC244" s="122"/>
      <c r="GD244" s="122"/>
      <c r="GE244" s="122"/>
      <c r="GF244" s="122"/>
      <c r="GG244" s="122"/>
      <c r="GH244" s="122"/>
      <c r="GI244" s="122"/>
      <c r="GJ244" s="122"/>
      <c r="GK244" s="122"/>
      <c r="GL244" s="122"/>
      <c r="GM244" s="122"/>
      <c r="GN244" s="122"/>
      <c r="GO244" s="122"/>
      <c r="GP244" s="122"/>
      <c r="GQ244" s="122"/>
      <c r="GR244" s="122"/>
      <c r="GS244" s="122"/>
      <c r="GT244" s="122"/>
      <c r="GU244" s="122"/>
      <c r="GV244" s="122"/>
      <c r="GW244" s="122"/>
      <c r="GX244" s="122"/>
      <c r="GY244" s="122"/>
      <c r="GZ244" s="122"/>
      <c r="HA244" s="122"/>
      <c r="HB244" s="122"/>
      <c r="HC244" s="122"/>
      <c r="HD244" s="122"/>
      <c r="HE244" s="122"/>
      <c r="HF244" s="122"/>
      <c r="HG244" s="122"/>
      <c r="HH244" s="122"/>
      <c r="HI244" s="122"/>
      <c r="HJ244" s="122"/>
      <c r="HK244" s="122"/>
      <c r="HL244" s="122"/>
      <c r="HM244" s="122"/>
      <c r="HN244" s="122"/>
      <c r="HO244" s="122"/>
      <c r="HP244" s="122"/>
      <c r="HQ244" s="122"/>
      <c r="HR244" s="122"/>
      <c r="HS244" s="122"/>
      <c r="HT244" s="122"/>
      <c r="HU244" s="122"/>
      <c r="HV244" s="122"/>
      <c r="HW244" s="122"/>
      <c r="HX244" s="122"/>
      <c r="HY244" s="122"/>
      <c r="HZ244" s="122"/>
      <c r="IA244" s="122"/>
      <c r="IB244" s="122"/>
      <c r="IC244" s="122"/>
      <c r="ID244" s="122"/>
      <c r="IE244" s="122"/>
      <c r="IF244" s="122"/>
      <c r="IG244" s="122"/>
      <c r="IH244" s="122"/>
      <c r="II244" s="122"/>
      <c r="IJ244" s="122"/>
      <c r="IK244" s="122"/>
      <c r="IL244" s="122"/>
      <c r="IM244" s="122"/>
      <c r="IN244" s="122"/>
      <c r="IO244" s="122"/>
      <c r="IP244" s="122"/>
      <c r="IQ244" s="122"/>
      <c r="IR244" s="122"/>
      <c r="IS244" s="122"/>
      <c r="IT244" s="122"/>
      <c r="IU244" s="122"/>
      <c r="IV244" s="122"/>
      <c r="IW244" s="122"/>
      <c r="IX244" s="122"/>
      <c r="IY244" s="122"/>
      <c r="IZ244" s="122"/>
      <c r="JA244" s="122"/>
      <c r="JB244" s="122"/>
      <c r="JC244" s="122"/>
      <c r="JD244" s="122"/>
      <c r="JE244" s="122"/>
      <c r="JF244" s="122"/>
      <c r="JG244" s="122"/>
      <c r="JH244" s="122"/>
      <c r="JI244" s="119"/>
      <c r="JJ244" s="2"/>
      <c r="JK244" s="122"/>
      <c r="JL244" s="125"/>
      <c r="JM244" s="125"/>
      <c r="JN244" s="125"/>
      <c r="JO244" s="125"/>
      <c r="JP244" s="125"/>
    </row>
    <row r="245" spans="1:276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  <c r="AR245" s="122"/>
      <c r="AS245" s="122"/>
      <c r="AT245" s="122"/>
      <c r="AU245" s="122"/>
      <c r="AV245" s="122"/>
      <c r="AW245" s="122"/>
      <c r="AX245" s="122"/>
      <c r="AY245" s="122"/>
      <c r="AZ245" s="122"/>
      <c r="BA245" s="122"/>
      <c r="BB245" s="122"/>
      <c r="BC245" s="122"/>
      <c r="BD245" s="122"/>
      <c r="BE245" s="122"/>
      <c r="BF245" s="122"/>
      <c r="BG245" s="122"/>
      <c r="BH245" s="122"/>
      <c r="BI245" s="122"/>
      <c r="BJ245" s="122"/>
      <c r="BK245" s="122"/>
      <c r="BL245" s="122"/>
      <c r="BM245" s="122"/>
      <c r="BN245" s="122"/>
      <c r="BO245" s="122"/>
      <c r="BP245" s="122"/>
      <c r="BQ245" s="122"/>
      <c r="BR245" s="122"/>
      <c r="BS245" s="122"/>
      <c r="BT245" s="122"/>
      <c r="BU245" s="122"/>
      <c r="BV245" s="122"/>
      <c r="BW245" s="122"/>
      <c r="BX245" s="122"/>
      <c r="BY245" s="122"/>
      <c r="BZ245" s="122"/>
      <c r="CA245" s="122"/>
      <c r="CB245" s="122"/>
      <c r="CC245" s="122"/>
      <c r="CD245" s="122"/>
      <c r="CE245" s="122"/>
      <c r="CF245" s="122"/>
      <c r="CG245" s="122"/>
      <c r="CH245" s="122"/>
      <c r="CI245" s="122"/>
      <c r="CJ245" s="122"/>
      <c r="CK245" s="122"/>
      <c r="CL245" s="122"/>
      <c r="CM245" s="122"/>
      <c r="CN245" s="122"/>
      <c r="CO245" s="122"/>
      <c r="CP245" s="122"/>
      <c r="CQ245" s="122"/>
      <c r="CR245" s="122"/>
      <c r="CS245" s="122"/>
      <c r="CT245" s="122"/>
      <c r="CU245" s="122"/>
      <c r="CV245" s="122"/>
      <c r="CW245" s="122"/>
      <c r="CX245" s="122"/>
      <c r="CY245" s="122"/>
      <c r="CZ245" s="122"/>
      <c r="DA245" s="122"/>
      <c r="DB245" s="122"/>
      <c r="DC245" s="122"/>
      <c r="DD245" s="122"/>
      <c r="DE245" s="122"/>
      <c r="DF245" s="122"/>
      <c r="DG245" s="122"/>
      <c r="DH245" s="122"/>
      <c r="DI245" s="122"/>
      <c r="DJ245" s="122"/>
      <c r="DK245" s="122"/>
      <c r="DL245" s="122"/>
      <c r="DM245" s="122"/>
      <c r="DN245" s="122"/>
      <c r="DO245" s="122"/>
      <c r="DP245" s="122"/>
      <c r="DQ245" s="122"/>
      <c r="DR245" s="122"/>
      <c r="DS245" s="122"/>
      <c r="DT245" s="122"/>
      <c r="DU245" s="122"/>
      <c r="DV245" s="122"/>
      <c r="DW245" s="122"/>
      <c r="DX245" s="122"/>
      <c r="DY245" s="122"/>
      <c r="DZ245" s="122"/>
      <c r="EA245" s="122"/>
      <c r="EB245" s="122"/>
      <c r="EC245" s="122"/>
      <c r="ED245" s="122"/>
      <c r="EE245" s="122"/>
      <c r="EF245" s="122"/>
      <c r="EG245" s="122"/>
      <c r="EH245" s="122"/>
      <c r="EI245" s="122"/>
      <c r="EJ245" s="122"/>
      <c r="EK245" s="122"/>
      <c r="EL245" s="122"/>
      <c r="EM245" s="122"/>
      <c r="EN245" s="122"/>
      <c r="EO245" s="122"/>
      <c r="EP245" s="122"/>
      <c r="EQ245" s="122"/>
      <c r="ER245" s="122"/>
      <c r="ES245" s="122"/>
      <c r="ET245" s="122"/>
      <c r="EU245" s="122"/>
      <c r="EV245" s="122"/>
      <c r="EW245" s="122"/>
      <c r="EX245" s="122"/>
      <c r="EY245" s="122"/>
      <c r="EZ245" s="122"/>
      <c r="FA245" s="122"/>
      <c r="FB245" s="122"/>
      <c r="FC245" s="122"/>
      <c r="FD245" s="122"/>
      <c r="FE245" s="122"/>
      <c r="FF245" s="122"/>
      <c r="FG245" s="122"/>
      <c r="FH245" s="122"/>
      <c r="FI245" s="122"/>
      <c r="FJ245" s="122"/>
      <c r="FK245" s="122"/>
      <c r="FL245" s="122"/>
      <c r="FM245" s="122"/>
      <c r="FN245" s="122"/>
      <c r="FO245" s="122"/>
      <c r="FP245" s="122"/>
      <c r="FQ245" s="122"/>
      <c r="FR245" s="122"/>
      <c r="FS245" s="122"/>
      <c r="FT245" s="122"/>
      <c r="FU245" s="122"/>
      <c r="FV245" s="122"/>
      <c r="FW245" s="122"/>
      <c r="FX245" s="122"/>
      <c r="FY245" s="122"/>
      <c r="FZ245" s="122"/>
      <c r="GA245" s="122"/>
      <c r="GB245" s="122"/>
      <c r="GC245" s="122"/>
      <c r="GD245" s="122"/>
      <c r="GE245" s="122"/>
      <c r="GF245" s="122"/>
      <c r="GG245" s="122"/>
      <c r="GH245" s="122"/>
      <c r="GI245" s="122"/>
      <c r="GJ245" s="122"/>
      <c r="GK245" s="122"/>
      <c r="GL245" s="122"/>
      <c r="GM245" s="122"/>
      <c r="GN245" s="122"/>
      <c r="GO245" s="122"/>
      <c r="GP245" s="122"/>
      <c r="GQ245" s="122"/>
      <c r="GR245" s="122"/>
      <c r="GS245" s="122"/>
      <c r="GT245" s="122"/>
      <c r="GU245" s="122"/>
      <c r="GV245" s="122"/>
      <c r="GW245" s="122"/>
      <c r="GX245" s="122"/>
      <c r="GY245" s="122"/>
      <c r="GZ245" s="122"/>
      <c r="HA245" s="122"/>
      <c r="HB245" s="122"/>
      <c r="HC245" s="122"/>
      <c r="HD245" s="122"/>
      <c r="HE245" s="122"/>
      <c r="HF245" s="122"/>
      <c r="HG245" s="122"/>
      <c r="HH245" s="122"/>
      <c r="HI245" s="122"/>
      <c r="HJ245" s="122"/>
      <c r="HK245" s="122"/>
      <c r="HL245" s="122"/>
      <c r="HM245" s="122"/>
      <c r="HN245" s="122"/>
      <c r="HO245" s="122"/>
      <c r="HP245" s="122"/>
      <c r="HQ245" s="122"/>
      <c r="HR245" s="122"/>
      <c r="HS245" s="122"/>
      <c r="HT245" s="122"/>
      <c r="HU245" s="122"/>
      <c r="HV245" s="122"/>
      <c r="HW245" s="122"/>
      <c r="HX245" s="122"/>
      <c r="HY245" s="122"/>
      <c r="HZ245" s="122"/>
      <c r="IA245" s="122"/>
      <c r="IB245" s="122"/>
      <c r="IC245" s="122"/>
      <c r="ID245" s="122"/>
      <c r="IE245" s="122"/>
      <c r="IF245" s="122"/>
      <c r="IG245" s="122"/>
      <c r="IH245" s="122"/>
      <c r="II245" s="122"/>
      <c r="IJ245" s="122"/>
      <c r="IK245" s="122"/>
      <c r="IL245" s="122"/>
      <c r="IM245" s="122"/>
      <c r="IN245" s="122"/>
      <c r="IO245" s="122"/>
      <c r="IP245" s="122"/>
      <c r="IQ245" s="122"/>
      <c r="IR245" s="122"/>
      <c r="IS245" s="122"/>
      <c r="IT245" s="122"/>
      <c r="IU245" s="122"/>
      <c r="IV245" s="122"/>
      <c r="IW245" s="122"/>
      <c r="IX245" s="122"/>
      <c r="IY245" s="122"/>
      <c r="IZ245" s="122"/>
      <c r="JA245" s="122"/>
      <c r="JB245" s="122"/>
      <c r="JC245" s="122"/>
      <c r="JD245" s="122"/>
      <c r="JE245" s="122"/>
      <c r="JF245" s="122"/>
      <c r="JG245" s="122"/>
      <c r="JH245" s="122"/>
      <c r="JI245" s="119"/>
      <c r="JJ245" s="2"/>
      <c r="JK245" s="122"/>
      <c r="JL245" s="125"/>
      <c r="JM245" s="125"/>
      <c r="JN245" s="125"/>
      <c r="JO245" s="125"/>
      <c r="JP245" s="125"/>
    </row>
    <row r="246" spans="1:27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  <c r="AP246" s="122"/>
      <c r="AQ246" s="122"/>
      <c r="AR246" s="122"/>
      <c r="AS246" s="122"/>
      <c r="AT246" s="122"/>
      <c r="AU246" s="122"/>
      <c r="AV246" s="122"/>
      <c r="AW246" s="122"/>
      <c r="AX246" s="122"/>
      <c r="AY246" s="122"/>
      <c r="AZ246" s="122"/>
      <c r="BA246" s="122"/>
      <c r="BB246" s="122"/>
      <c r="BC246" s="122"/>
      <c r="BD246" s="122"/>
      <c r="BE246" s="122"/>
      <c r="BF246" s="122"/>
      <c r="BG246" s="122"/>
      <c r="BH246" s="122"/>
      <c r="BI246" s="122"/>
      <c r="BJ246" s="122"/>
      <c r="BK246" s="122"/>
      <c r="BL246" s="122"/>
      <c r="BM246" s="122"/>
      <c r="BN246" s="122"/>
      <c r="BO246" s="122"/>
      <c r="BP246" s="122"/>
      <c r="BQ246" s="122"/>
      <c r="BR246" s="122"/>
      <c r="BS246" s="122"/>
      <c r="BT246" s="122"/>
      <c r="BU246" s="122"/>
      <c r="BV246" s="122"/>
      <c r="BW246" s="122"/>
      <c r="BX246" s="122"/>
      <c r="BY246" s="122"/>
      <c r="BZ246" s="122"/>
      <c r="CA246" s="122"/>
      <c r="CB246" s="122"/>
      <c r="CC246" s="122"/>
      <c r="CD246" s="122"/>
      <c r="CE246" s="122"/>
      <c r="CF246" s="122"/>
      <c r="CG246" s="122"/>
      <c r="CH246" s="122"/>
      <c r="CI246" s="122"/>
      <c r="CJ246" s="122"/>
      <c r="CK246" s="122"/>
      <c r="CL246" s="122"/>
      <c r="CM246" s="122"/>
      <c r="CN246" s="122"/>
      <c r="CO246" s="122"/>
      <c r="CP246" s="122"/>
      <c r="CQ246" s="122"/>
      <c r="CR246" s="122"/>
      <c r="CS246" s="122"/>
      <c r="CT246" s="122"/>
      <c r="CU246" s="122"/>
      <c r="CV246" s="122"/>
      <c r="CW246" s="122"/>
      <c r="CX246" s="122"/>
      <c r="CY246" s="122"/>
      <c r="CZ246" s="122"/>
      <c r="DA246" s="122"/>
      <c r="DB246" s="122"/>
      <c r="DC246" s="122"/>
      <c r="DD246" s="122"/>
      <c r="DE246" s="122"/>
      <c r="DF246" s="122"/>
      <c r="DG246" s="122"/>
      <c r="DH246" s="122"/>
      <c r="DI246" s="122"/>
      <c r="DJ246" s="122"/>
      <c r="DK246" s="122"/>
      <c r="DL246" s="122"/>
      <c r="DM246" s="122"/>
      <c r="DN246" s="122"/>
      <c r="DO246" s="122"/>
      <c r="DP246" s="122"/>
      <c r="DQ246" s="122"/>
      <c r="DR246" s="122"/>
      <c r="DS246" s="122"/>
      <c r="DT246" s="122"/>
      <c r="DU246" s="122"/>
      <c r="DV246" s="122"/>
      <c r="DW246" s="122"/>
      <c r="DX246" s="122"/>
      <c r="DY246" s="122"/>
      <c r="DZ246" s="122"/>
      <c r="EA246" s="122"/>
      <c r="EB246" s="122"/>
      <c r="EC246" s="122"/>
      <c r="ED246" s="122"/>
      <c r="EE246" s="122"/>
      <c r="EF246" s="122"/>
      <c r="EG246" s="122"/>
      <c r="EH246" s="122"/>
      <c r="EI246" s="122"/>
      <c r="EJ246" s="122"/>
      <c r="EK246" s="122"/>
      <c r="EL246" s="122"/>
      <c r="EM246" s="122"/>
      <c r="EN246" s="122"/>
      <c r="EO246" s="122"/>
      <c r="EP246" s="122"/>
      <c r="EQ246" s="122"/>
      <c r="ER246" s="122"/>
      <c r="ES246" s="122"/>
      <c r="ET246" s="122"/>
      <c r="EU246" s="122"/>
      <c r="EV246" s="122"/>
      <c r="EW246" s="122"/>
      <c r="EX246" s="122"/>
      <c r="EY246" s="122"/>
      <c r="EZ246" s="122"/>
      <c r="FA246" s="122"/>
      <c r="FB246" s="122"/>
      <c r="FC246" s="122"/>
      <c r="FD246" s="122"/>
      <c r="FE246" s="122"/>
      <c r="FF246" s="122"/>
      <c r="FG246" s="122"/>
      <c r="FH246" s="122"/>
      <c r="FI246" s="122"/>
      <c r="FJ246" s="122"/>
      <c r="FK246" s="122"/>
      <c r="FL246" s="122"/>
      <c r="FM246" s="122"/>
      <c r="FN246" s="122"/>
      <c r="FO246" s="122"/>
      <c r="FP246" s="122"/>
      <c r="FQ246" s="122"/>
      <c r="FR246" s="122"/>
      <c r="FS246" s="122"/>
      <c r="FT246" s="122"/>
      <c r="FU246" s="122"/>
      <c r="FV246" s="122"/>
      <c r="FW246" s="122"/>
      <c r="FX246" s="122"/>
      <c r="FY246" s="122"/>
      <c r="FZ246" s="122"/>
      <c r="GA246" s="122"/>
      <c r="GB246" s="122"/>
      <c r="GC246" s="122"/>
      <c r="GD246" s="122"/>
      <c r="GE246" s="122"/>
      <c r="GF246" s="122"/>
      <c r="GG246" s="122"/>
      <c r="GH246" s="122"/>
      <c r="GI246" s="122"/>
      <c r="GJ246" s="122"/>
      <c r="GK246" s="122"/>
      <c r="GL246" s="122"/>
      <c r="GM246" s="122"/>
      <c r="GN246" s="122"/>
      <c r="GO246" s="122"/>
      <c r="GP246" s="122"/>
      <c r="GQ246" s="122"/>
      <c r="GR246" s="122"/>
      <c r="GS246" s="122"/>
      <c r="GT246" s="122"/>
      <c r="GU246" s="122"/>
      <c r="GV246" s="122"/>
      <c r="GW246" s="122"/>
      <c r="GX246" s="122"/>
      <c r="GY246" s="122"/>
      <c r="GZ246" s="122"/>
      <c r="HA246" s="122"/>
      <c r="HB246" s="122"/>
      <c r="HC246" s="122"/>
      <c r="HD246" s="122"/>
      <c r="HE246" s="122"/>
      <c r="HF246" s="122"/>
      <c r="HG246" s="122"/>
      <c r="HH246" s="122"/>
      <c r="HI246" s="122"/>
      <c r="HJ246" s="122"/>
      <c r="HK246" s="122"/>
      <c r="HL246" s="122"/>
      <c r="HM246" s="122"/>
      <c r="HN246" s="122"/>
      <c r="HO246" s="122"/>
      <c r="HP246" s="122"/>
      <c r="HQ246" s="122"/>
      <c r="HR246" s="122"/>
      <c r="HS246" s="122"/>
      <c r="HT246" s="122"/>
      <c r="HU246" s="122"/>
      <c r="HV246" s="122"/>
      <c r="HW246" s="122"/>
      <c r="HX246" s="122"/>
      <c r="HY246" s="122"/>
      <c r="HZ246" s="122"/>
      <c r="IA246" s="122"/>
      <c r="IB246" s="122"/>
      <c r="IC246" s="122"/>
      <c r="ID246" s="122"/>
      <c r="IE246" s="122"/>
      <c r="IF246" s="122"/>
      <c r="IG246" s="122"/>
      <c r="IH246" s="122"/>
      <c r="II246" s="122"/>
      <c r="IJ246" s="122"/>
      <c r="IK246" s="122"/>
      <c r="IL246" s="122"/>
      <c r="IM246" s="122"/>
      <c r="IN246" s="122"/>
      <c r="IO246" s="122"/>
      <c r="IP246" s="122"/>
      <c r="IQ246" s="122"/>
      <c r="IR246" s="122"/>
      <c r="IS246" s="122"/>
      <c r="IT246" s="122"/>
      <c r="IU246" s="122"/>
      <c r="IV246" s="122"/>
      <c r="IW246" s="122"/>
      <c r="IX246" s="122"/>
      <c r="IY246" s="122"/>
      <c r="IZ246" s="122"/>
      <c r="JA246" s="122"/>
      <c r="JB246" s="122"/>
      <c r="JC246" s="122"/>
      <c r="JD246" s="122"/>
      <c r="JE246" s="122"/>
      <c r="JF246" s="122"/>
      <c r="JG246" s="122"/>
      <c r="JH246" s="122"/>
      <c r="JI246" s="119"/>
      <c r="JJ246" s="2"/>
      <c r="JK246" s="122"/>
      <c r="JL246" s="125"/>
      <c r="JM246" s="125"/>
      <c r="JN246" s="125"/>
      <c r="JO246" s="125"/>
      <c r="JP246" s="125"/>
    </row>
    <row r="247" spans="1:276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  <c r="AR247" s="122"/>
      <c r="AS247" s="122"/>
      <c r="AT247" s="122"/>
      <c r="AU247" s="122"/>
      <c r="AV247" s="122"/>
      <c r="AW247" s="122"/>
      <c r="AX247" s="122"/>
      <c r="AY247" s="122"/>
      <c r="AZ247" s="122"/>
      <c r="BA247" s="122"/>
      <c r="BB247" s="122"/>
      <c r="BC247" s="122"/>
      <c r="BD247" s="122"/>
      <c r="BE247" s="122"/>
      <c r="BF247" s="122"/>
      <c r="BG247" s="122"/>
      <c r="BH247" s="122"/>
      <c r="BI247" s="122"/>
      <c r="BJ247" s="122"/>
      <c r="BK247" s="122"/>
      <c r="BL247" s="122"/>
      <c r="BM247" s="122"/>
      <c r="BN247" s="122"/>
      <c r="BO247" s="122"/>
      <c r="BP247" s="122"/>
      <c r="BQ247" s="122"/>
      <c r="BR247" s="122"/>
      <c r="BS247" s="122"/>
      <c r="BT247" s="122"/>
      <c r="BU247" s="122"/>
      <c r="BV247" s="122"/>
      <c r="BW247" s="122"/>
      <c r="BX247" s="122"/>
      <c r="BY247" s="122"/>
      <c r="BZ247" s="122"/>
      <c r="CA247" s="122"/>
      <c r="CB247" s="122"/>
      <c r="CC247" s="122"/>
      <c r="CD247" s="122"/>
      <c r="CE247" s="122"/>
      <c r="CF247" s="122"/>
      <c r="CG247" s="122"/>
      <c r="CH247" s="122"/>
      <c r="CI247" s="122"/>
      <c r="CJ247" s="122"/>
      <c r="CK247" s="122"/>
      <c r="CL247" s="122"/>
      <c r="CM247" s="122"/>
      <c r="CN247" s="122"/>
      <c r="CO247" s="122"/>
      <c r="CP247" s="122"/>
      <c r="CQ247" s="122"/>
      <c r="CR247" s="122"/>
      <c r="CS247" s="122"/>
      <c r="CT247" s="122"/>
      <c r="CU247" s="122"/>
      <c r="CV247" s="122"/>
      <c r="CW247" s="122"/>
      <c r="CX247" s="122"/>
      <c r="CY247" s="122"/>
      <c r="CZ247" s="122"/>
      <c r="DA247" s="122"/>
      <c r="DB247" s="122"/>
      <c r="DC247" s="122"/>
      <c r="DD247" s="122"/>
      <c r="DE247" s="122"/>
      <c r="DF247" s="122"/>
      <c r="DG247" s="122"/>
      <c r="DH247" s="122"/>
      <c r="DI247" s="122"/>
      <c r="DJ247" s="122"/>
      <c r="DK247" s="122"/>
      <c r="DL247" s="122"/>
      <c r="DM247" s="122"/>
      <c r="DN247" s="122"/>
      <c r="DO247" s="122"/>
      <c r="DP247" s="122"/>
      <c r="DQ247" s="122"/>
      <c r="DR247" s="122"/>
      <c r="DS247" s="122"/>
      <c r="DT247" s="122"/>
      <c r="DU247" s="122"/>
      <c r="DV247" s="122"/>
      <c r="DW247" s="122"/>
      <c r="DX247" s="122"/>
      <c r="DY247" s="122"/>
      <c r="DZ247" s="122"/>
      <c r="EA247" s="122"/>
      <c r="EB247" s="122"/>
      <c r="EC247" s="122"/>
      <c r="ED247" s="122"/>
      <c r="EE247" s="122"/>
      <c r="EF247" s="122"/>
      <c r="EG247" s="122"/>
      <c r="EH247" s="122"/>
      <c r="EI247" s="122"/>
      <c r="EJ247" s="122"/>
      <c r="EK247" s="122"/>
      <c r="EL247" s="122"/>
      <c r="EM247" s="122"/>
      <c r="EN247" s="122"/>
      <c r="EO247" s="122"/>
      <c r="EP247" s="122"/>
      <c r="EQ247" s="122"/>
      <c r="ER247" s="122"/>
      <c r="ES247" s="122"/>
      <c r="ET247" s="122"/>
      <c r="EU247" s="122"/>
      <c r="EV247" s="122"/>
      <c r="EW247" s="122"/>
      <c r="EX247" s="122"/>
      <c r="EY247" s="122"/>
      <c r="EZ247" s="122"/>
      <c r="FA247" s="122"/>
      <c r="FB247" s="122"/>
      <c r="FC247" s="122"/>
      <c r="FD247" s="122"/>
      <c r="FE247" s="122"/>
      <c r="FF247" s="122"/>
      <c r="FG247" s="122"/>
      <c r="FH247" s="122"/>
      <c r="FI247" s="122"/>
      <c r="FJ247" s="122"/>
      <c r="FK247" s="122"/>
      <c r="FL247" s="122"/>
      <c r="FM247" s="122"/>
      <c r="FN247" s="122"/>
      <c r="FO247" s="122"/>
      <c r="FP247" s="122"/>
      <c r="FQ247" s="122"/>
      <c r="FR247" s="122"/>
      <c r="FS247" s="122"/>
      <c r="FT247" s="122"/>
      <c r="FU247" s="122"/>
      <c r="FV247" s="122"/>
      <c r="FW247" s="122"/>
      <c r="FX247" s="122"/>
      <c r="FY247" s="122"/>
      <c r="FZ247" s="122"/>
      <c r="GA247" s="122"/>
      <c r="GB247" s="122"/>
      <c r="GC247" s="122"/>
      <c r="GD247" s="122"/>
      <c r="GE247" s="122"/>
      <c r="GF247" s="122"/>
      <c r="GG247" s="122"/>
      <c r="GH247" s="122"/>
      <c r="GI247" s="122"/>
      <c r="GJ247" s="122"/>
      <c r="GK247" s="122"/>
      <c r="GL247" s="122"/>
      <c r="GM247" s="122"/>
      <c r="GN247" s="122"/>
      <c r="GO247" s="122"/>
      <c r="GP247" s="122"/>
      <c r="GQ247" s="122"/>
      <c r="GR247" s="122"/>
      <c r="GS247" s="122"/>
      <c r="GT247" s="122"/>
      <c r="GU247" s="122"/>
      <c r="GV247" s="122"/>
      <c r="GW247" s="122"/>
      <c r="GX247" s="122"/>
      <c r="GY247" s="122"/>
      <c r="GZ247" s="122"/>
      <c r="HA247" s="122"/>
      <c r="HB247" s="122"/>
      <c r="HC247" s="122"/>
      <c r="HD247" s="122"/>
      <c r="HE247" s="122"/>
      <c r="HF247" s="122"/>
      <c r="HG247" s="122"/>
      <c r="HH247" s="122"/>
      <c r="HI247" s="122"/>
      <c r="HJ247" s="122"/>
      <c r="HK247" s="122"/>
      <c r="HL247" s="122"/>
      <c r="HM247" s="122"/>
      <c r="HN247" s="122"/>
      <c r="HO247" s="122"/>
      <c r="HP247" s="122"/>
      <c r="HQ247" s="122"/>
      <c r="HR247" s="122"/>
      <c r="HS247" s="122"/>
      <c r="HT247" s="122"/>
      <c r="HU247" s="122"/>
      <c r="HV247" s="122"/>
      <c r="HW247" s="122"/>
      <c r="HX247" s="122"/>
      <c r="HY247" s="122"/>
      <c r="HZ247" s="122"/>
      <c r="IA247" s="122"/>
      <c r="IB247" s="122"/>
      <c r="IC247" s="122"/>
      <c r="ID247" s="122"/>
      <c r="IE247" s="122"/>
      <c r="IF247" s="122"/>
      <c r="IG247" s="122"/>
      <c r="IH247" s="122"/>
      <c r="II247" s="122"/>
      <c r="IJ247" s="122"/>
      <c r="IK247" s="122"/>
      <c r="IL247" s="122"/>
      <c r="IM247" s="122"/>
      <c r="IN247" s="122"/>
      <c r="IO247" s="122"/>
      <c r="IP247" s="122"/>
      <c r="IQ247" s="122"/>
      <c r="IR247" s="122"/>
      <c r="IS247" s="122"/>
      <c r="IT247" s="122"/>
      <c r="IU247" s="122"/>
      <c r="IV247" s="122"/>
      <c r="IW247" s="122"/>
      <c r="IX247" s="122"/>
      <c r="IY247" s="122"/>
      <c r="IZ247" s="122"/>
      <c r="JA247" s="122"/>
      <c r="JB247" s="122"/>
      <c r="JC247" s="122"/>
      <c r="JD247" s="122"/>
      <c r="JE247" s="122"/>
      <c r="JF247" s="122"/>
      <c r="JG247" s="122"/>
      <c r="JH247" s="122"/>
      <c r="JI247" s="119"/>
      <c r="JJ247" s="2"/>
      <c r="JK247" s="122"/>
      <c r="JL247" s="125"/>
      <c r="JM247" s="125"/>
      <c r="JN247" s="125"/>
      <c r="JO247" s="125"/>
      <c r="JP247" s="125"/>
    </row>
    <row r="248" spans="1:276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  <c r="AP248" s="122"/>
      <c r="AQ248" s="122"/>
      <c r="AR248" s="122"/>
      <c r="AS248" s="122"/>
      <c r="AT248" s="122"/>
      <c r="AU248" s="122"/>
      <c r="AV248" s="122"/>
      <c r="AW248" s="122"/>
      <c r="AX248" s="122"/>
      <c r="AY248" s="122"/>
      <c r="AZ248" s="122"/>
      <c r="BA248" s="122"/>
      <c r="BB248" s="122"/>
      <c r="BC248" s="122"/>
      <c r="BD248" s="122"/>
      <c r="BE248" s="122"/>
      <c r="BF248" s="122"/>
      <c r="BG248" s="122"/>
      <c r="BH248" s="122"/>
      <c r="BI248" s="122"/>
      <c r="BJ248" s="122"/>
      <c r="BK248" s="122"/>
      <c r="BL248" s="122"/>
      <c r="BM248" s="122"/>
      <c r="BN248" s="122"/>
      <c r="BO248" s="122"/>
      <c r="BP248" s="122"/>
      <c r="BQ248" s="122"/>
      <c r="BR248" s="122"/>
      <c r="BS248" s="122"/>
      <c r="BT248" s="122"/>
      <c r="BU248" s="122"/>
      <c r="BV248" s="122"/>
      <c r="BW248" s="122"/>
      <c r="BX248" s="122"/>
      <c r="BY248" s="122"/>
      <c r="BZ248" s="122"/>
      <c r="CA248" s="122"/>
      <c r="CB248" s="122"/>
      <c r="CC248" s="122"/>
      <c r="CD248" s="122"/>
      <c r="CE248" s="122"/>
      <c r="CF248" s="122"/>
      <c r="CG248" s="122"/>
      <c r="CH248" s="122"/>
      <c r="CI248" s="122"/>
      <c r="CJ248" s="122"/>
      <c r="CK248" s="122"/>
      <c r="CL248" s="122"/>
      <c r="CM248" s="122"/>
      <c r="CN248" s="122"/>
      <c r="CO248" s="122"/>
      <c r="CP248" s="122"/>
      <c r="CQ248" s="122"/>
      <c r="CR248" s="122"/>
      <c r="CS248" s="122"/>
      <c r="CT248" s="122"/>
      <c r="CU248" s="122"/>
      <c r="CV248" s="122"/>
      <c r="CW248" s="122"/>
      <c r="CX248" s="122"/>
      <c r="CY248" s="122"/>
      <c r="CZ248" s="122"/>
      <c r="DA248" s="122"/>
      <c r="DB248" s="122"/>
      <c r="DC248" s="122"/>
      <c r="DD248" s="122"/>
      <c r="DE248" s="122"/>
      <c r="DF248" s="122"/>
      <c r="DG248" s="122"/>
      <c r="DH248" s="122"/>
      <c r="DI248" s="122"/>
      <c r="DJ248" s="122"/>
      <c r="DK248" s="122"/>
      <c r="DL248" s="122"/>
      <c r="DM248" s="122"/>
      <c r="DN248" s="122"/>
      <c r="DO248" s="122"/>
      <c r="DP248" s="122"/>
      <c r="DQ248" s="122"/>
      <c r="DR248" s="122"/>
      <c r="DS248" s="122"/>
      <c r="DT248" s="122"/>
      <c r="DU248" s="122"/>
      <c r="DV248" s="122"/>
      <c r="DW248" s="122"/>
      <c r="DX248" s="122"/>
      <c r="DY248" s="122"/>
      <c r="DZ248" s="122"/>
      <c r="EA248" s="122"/>
      <c r="EB248" s="122"/>
      <c r="EC248" s="122"/>
      <c r="ED248" s="122"/>
      <c r="EE248" s="122"/>
      <c r="EF248" s="122"/>
      <c r="EG248" s="122"/>
      <c r="EH248" s="122"/>
      <c r="EI248" s="122"/>
      <c r="EJ248" s="122"/>
      <c r="EK248" s="122"/>
      <c r="EL248" s="122"/>
      <c r="EM248" s="122"/>
      <c r="EN248" s="122"/>
      <c r="EO248" s="122"/>
      <c r="EP248" s="122"/>
      <c r="EQ248" s="122"/>
      <c r="ER248" s="122"/>
      <c r="ES248" s="122"/>
      <c r="ET248" s="122"/>
      <c r="EU248" s="122"/>
      <c r="EV248" s="122"/>
      <c r="EW248" s="122"/>
      <c r="EX248" s="122"/>
      <c r="EY248" s="122"/>
      <c r="EZ248" s="122"/>
      <c r="FA248" s="122"/>
      <c r="FB248" s="122"/>
      <c r="FC248" s="122"/>
      <c r="FD248" s="122"/>
      <c r="FE248" s="122"/>
      <c r="FF248" s="122"/>
      <c r="FG248" s="122"/>
      <c r="FH248" s="122"/>
      <c r="FI248" s="122"/>
      <c r="FJ248" s="122"/>
      <c r="FK248" s="122"/>
      <c r="FL248" s="122"/>
      <c r="FM248" s="122"/>
      <c r="FN248" s="122"/>
      <c r="FO248" s="122"/>
      <c r="FP248" s="122"/>
      <c r="FQ248" s="122"/>
      <c r="FR248" s="122"/>
      <c r="FS248" s="122"/>
      <c r="FT248" s="122"/>
      <c r="FU248" s="122"/>
      <c r="FV248" s="122"/>
      <c r="FW248" s="122"/>
      <c r="FX248" s="122"/>
      <c r="FY248" s="122"/>
      <c r="FZ248" s="122"/>
      <c r="GA248" s="122"/>
      <c r="GB248" s="122"/>
      <c r="GC248" s="122"/>
      <c r="GD248" s="122"/>
      <c r="GE248" s="122"/>
      <c r="GF248" s="122"/>
      <c r="GG248" s="122"/>
      <c r="GH248" s="122"/>
      <c r="GI248" s="122"/>
      <c r="GJ248" s="122"/>
      <c r="GK248" s="122"/>
      <c r="GL248" s="122"/>
      <c r="GM248" s="122"/>
      <c r="GN248" s="122"/>
      <c r="GO248" s="122"/>
      <c r="GP248" s="122"/>
      <c r="GQ248" s="122"/>
      <c r="GR248" s="122"/>
      <c r="GS248" s="122"/>
      <c r="GT248" s="122"/>
      <c r="GU248" s="122"/>
      <c r="GV248" s="122"/>
      <c r="GW248" s="122"/>
      <c r="GX248" s="122"/>
      <c r="GY248" s="122"/>
      <c r="GZ248" s="122"/>
      <c r="HA248" s="122"/>
      <c r="HB248" s="122"/>
      <c r="HC248" s="122"/>
      <c r="HD248" s="122"/>
      <c r="HE248" s="122"/>
      <c r="HF248" s="122"/>
      <c r="HG248" s="122"/>
      <c r="HH248" s="122"/>
      <c r="HI248" s="122"/>
      <c r="HJ248" s="122"/>
      <c r="HK248" s="122"/>
      <c r="HL248" s="122"/>
      <c r="HM248" s="122"/>
      <c r="HN248" s="122"/>
      <c r="HO248" s="122"/>
      <c r="HP248" s="122"/>
      <c r="HQ248" s="122"/>
      <c r="HR248" s="122"/>
      <c r="HS248" s="122"/>
      <c r="HT248" s="122"/>
      <c r="HU248" s="122"/>
      <c r="HV248" s="122"/>
      <c r="HW248" s="122"/>
      <c r="HX248" s="122"/>
      <c r="HY248" s="122"/>
      <c r="HZ248" s="122"/>
      <c r="IA248" s="122"/>
      <c r="IB248" s="122"/>
      <c r="IC248" s="122"/>
      <c r="ID248" s="122"/>
      <c r="IE248" s="122"/>
      <c r="IF248" s="122"/>
      <c r="IG248" s="122"/>
      <c r="IH248" s="122"/>
      <c r="II248" s="122"/>
      <c r="IJ248" s="122"/>
      <c r="IK248" s="122"/>
      <c r="IL248" s="122"/>
      <c r="IM248" s="122"/>
      <c r="IN248" s="122"/>
      <c r="IO248" s="122"/>
      <c r="IP248" s="122"/>
      <c r="IQ248" s="122"/>
      <c r="IR248" s="122"/>
      <c r="IS248" s="122"/>
      <c r="IT248" s="122"/>
      <c r="IU248" s="122"/>
      <c r="IV248" s="122"/>
      <c r="IW248" s="122"/>
      <c r="IX248" s="122"/>
      <c r="IY248" s="122"/>
      <c r="IZ248" s="122"/>
      <c r="JA248" s="122"/>
      <c r="JB248" s="122"/>
      <c r="JC248" s="122"/>
      <c r="JD248" s="122"/>
      <c r="JE248" s="122"/>
      <c r="JF248" s="122"/>
      <c r="JG248" s="122"/>
      <c r="JH248" s="122"/>
      <c r="JI248" s="119"/>
      <c r="JJ248" s="2"/>
      <c r="JK248" s="122"/>
      <c r="JL248" s="125"/>
      <c r="JM248" s="125"/>
      <c r="JN248" s="125"/>
      <c r="JO248" s="125"/>
      <c r="JP248" s="125"/>
    </row>
    <row r="249" spans="1:276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  <c r="AT249" s="122"/>
      <c r="AU249" s="122"/>
      <c r="AV249" s="122"/>
      <c r="AW249" s="122"/>
      <c r="AX249" s="122"/>
      <c r="AY249" s="122"/>
      <c r="AZ249" s="122"/>
      <c r="BA249" s="122"/>
      <c r="BB249" s="122"/>
      <c r="BC249" s="122"/>
      <c r="BD249" s="122"/>
      <c r="BE249" s="122"/>
      <c r="BF249" s="122"/>
      <c r="BG249" s="122"/>
      <c r="BH249" s="122"/>
      <c r="BI249" s="122"/>
      <c r="BJ249" s="122"/>
      <c r="BK249" s="122"/>
      <c r="BL249" s="122"/>
      <c r="BM249" s="122"/>
      <c r="BN249" s="122"/>
      <c r="BO249" s="122"/>
      <c r="BP249" s="122"/>
      <c r="BQ249" s="122"/>
      <c r="BR249" s="122"/>
      <c r="BS249" s="122"/>
      <c r="BT249" s="122"/>
      <c r="BU249" s="122"/>
      <c r="BV249" s="122"/>
      <c r="BW249" s="122"/>
      <c r="BX249" s="122"/>
      <c r="BY249" s="122"/>
      <c r="BZ249" s="122"/>
      <c r="CA249" s="122"/>
      <c r="CB249" s="122"/>
      <c r="CC249" s="122"/>
      <c r="CD249" s="122"/>
      <c r="CE249" s="122"/>
      <c r="CF249" s="122"/>
      <c r="CG249" s="122"/>
      <c r="CH249" s="122"/>
      <c r="CI249" s="122"/>
      <c r="CJ249" s="122"/>
      <c r="CK249" s="122"/>
      <c r="CL249" s="122"/>
      <c r="CM249" s="122"/>
      <c r="CN249" s="122"/>
      <c r="CO249" s="122"/>
      <c r="CP249" s="122"/>
      <c r="CQ249" s="122"/>
      <c r="CR249" s="122"/>
      <c r="CS249" s="122"/>
      <c r="CT249" s="122"/>
      <c r="CU249" s="122"/>
      <c r="CV249" s="122"/>
      <c r="CW249" s="122"/>
      <c r="CX249" s="122"/>
      <c r="CY249" s="122"/>
      <c r="CZ249" s="122"/>
      <c r="DA249" s="122"/>
      <c r="DB249" s="122"/>
      <c r="DC249" s="122"/>
      <c r="DD249" s="122"/>
      <c r="DE249" s="122"/>
      <c r="DF249" s="122"/>
      <c r="DG249" s="122"/>
      <c r="DH249" s="122"/>
      <c r="DI249" s="122"/>
      <c r="DJ249" s="122"/>
      <c r="DK249" s="122"/>
      <c r="DL249" s="122"/>
      <c r="DM249" s="122"/>
      <c r="DN249" s="122"/>
      <c r="DO249" s="122"/>
      <c r="DP249" s="122"/>
      <c r="DQ249" s="122"/>
      <c r="DR249" s="122"/>
      <c r="DS249" s="122"/>
      <c r="DT249" s="122"/>
      <c r="DU249" s="122"/>
      <c r="DV249" s="122"/>
      <c r="DW249" s="122"/>
      <c r="DX249" s="122"/>
      <c r="DY249" s="122"/>
      <c r="DZ249" s="122"/>
      <c r="EA249" s="122"/>
      <c r="EB249" s="122"/>
      <c r="EC249" s="122"/>
      <c r="ED249" s="122"/>
      <c r="EE249" s="122"/>
      <c r="EF249" s="122"/>
      <c r="EG249" s="122"/>
      <c r="EH249" s="122"/>
      <c r="EI249" s="122"/>
      <c r="EJ249" s="122"/>
      <c r="EK249" s="122"/>
      <c r="EL249" s="122"/>
      <c r="EM249" s="122"/>
      <c r="EN249" s="122"/>
      <c r="EO249" s="122"/>
      <c r="EP249" s="122"/>
      <c r="EQ249" s="122"/>
      <c r="ER249" s="122"/>
      <c r="ES249" s="122"/>
      <c r="ET249" s="122"/>
      <c r="EU249" s="122"/>
      <c r="EV249" s="122"/>
      <c r="EW249" s="122"/>
      <c r="EX249" s="122"/>
      <c r="EY249" s="122"/>
      <c r="EZ249" s="122"/>
      <c r="FA249" s="122"/>
      <c r="FB249" s="122"/>
      <c r="FC249" s="122"/>
      <c r="FD249" s="122"/>
      <c r="FE249" s="122"/>
      <c r="FF249" s="122"/>
      <c r="FG249" s="122"/>
      <c r="FH249" s="122"/>
      <c r="FI249" s="122"/>
      <c r="FJ249" s="122"/>
      <c r="FK249" s="122"/>
      <c r="FL249" s="122"/>
      <c r="FM249" s="122"/>
      <c r="FN249" s="122"/>
      <c r="FO249" s="122"/>
      <c r="FP249" s="122"/>
      <c r="FQ249" s="122"/>
      <c r="FR249" s="122"/>
      <c r="FS249" s="122"/>
      <c r="FT249" s="122"/>
      <c r="FU249" s="122"/>
      <c r="FV249" s="122"/>
      <c r="FW249" s="122"/>
      <c r="FX249" s="122"/>
      <c r="FY249" s="122"/>
      <c r="FZ249" s="122"/>
      <c r="GA249" s="122"/>
      <c r="GB249" s="122"/>
      <c r="GC249" s="122"/>
      <c r="GD249" s="122"/>
      <c r="GE249" s="122"/>
      <c r="GF249" s="122"/>
      <c r="GG249" s="122"/>
      <c r="GH249" s="122"/>
      <c r="GI249" s="122"/>
      <c r="GJ249" s="122"/>
      <c r="GK249" s="122"/>
      <c r="GL249" s="122"/>
      <c r="GM249" s="122"/>
      <c r="GN249" s="122"/>
      <c r="GO249" s="122"/>
      <c r="GP249" s="122"/>
      <c r="GQ249" s="122"/>
      <c r="GR249" s="122"/>
      <c r="GS249" s="122"/>
      <c r="GT249" s="122"/>
      <c r="GU249" s="122"/>
      <c r="GV249" s="122"/>
      <c r="GW249" s="122"/>
      <c r="GX249" s="122"/>
      <c r="GY249" s="122"/>
      <c r="GZ249" s="122"/>
      <c r="HA249" s="122"/>
      <c r="HB249" s="122"/>
      <c r="HC249" s="122"/>
      <c r="HD249" s="122"/>
      <c r="HE249" s="122"/>
      <c r="HF249" s="122"/>
      <c r="HG249" s="122"/>
      <c r="HH249" s="122"/>
      <c r="HI249" s="122"/>
      <c r="HJ249" s="122"/>
      <c r="HK249" s="122"/>
      <c r="HL249" s="122"/>
      <c r="HM249" s="122"/>
      <c r="HN249" s="122"/>
      <c r="HO249" s="122"/>
      <c r="HP249" s="122"/>
      <c r="HQ249" s="122"/>
      <c r="HR249" s="122"/>
      <c r="HS249" s="122"/>
      <c r="HT249" s="122"/>
      <c r="HU249" s="122"/>
      <c r="HV249" s="122"/>
      <c r="HW249" s="122"/>
      <c r="HX249" s="122"/>
      <c r="HY249" s="122"/>
      <c r="HZ249" s="122"/>
      <c r="IA249" s="122"/>
      <c r="IB249" s="122"/>
      <c r="IC249" s="122"/>
      <c r="ID249" s="122"/>
      <c r="IE249" s="122"/>
      <c r="IF249" s="122"/>
      <c r="IG249" s="122"/>
      <c r="IH249" s="122"/>
      <c r="II249" s="122"/>
      <c r="IJ249" s="122"/>
      <c r="IK249" s="122"/>
      <c r="IL249" s="122"/>
      <c r="IM249" s="122"/>
      <c r="IN249" s="122"/>
      <c r="IO249" s="122"/>
      <c r="IP249" s="122"/>
      <c r="IQ249" s="122"/>
      <c r="IR249" s="122"/>
      <c r="IS249" s="122"/>
      <c r="IT249" s="122"/>
      <c r="IU249" s="122"/>
      <c r="IV249" s="122"/>
      <c r="IW249" s="122"/>
      <c r="IX249" s="122"/>
      <c r="IY249" s="122"/>
      <c r="IZ249" s="122"/>
      <c r="JA249" s="122"/>
      <c r="JB249" s="122"/>
      <c r="JC249" s="122"/>
      <c r="JD249" s="122"/>
      <c r="JE249" s="122"/>
      <c r="JF249" s="122"/>
      <c r="JG249" s="122"/>
      <c r="JH249" s="122"/>
      <c r="JI249" s="119"/>
      <c r="JJ249" s="2"/>
      <c r="JK249" s="122"/>
      <c r="JL249" s="125"/>
      <c r="JM249" s="125"/>
      <c r="JN249" s="125"/>
      <c r="JO249" s="125"/>
      <c r="JP249" s="125"/>
    </row>
    <row r="250" spans="1:276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  <c r="AP250" s="122"/>
      <c r="AQ250" s="122"/>
      <c r="AR250" s="122"/>
      <c r="AS250" s="122"/>
      <c r="AT250" s="122"/>
      <c r="AU250" s="122"/>
      <c r="AV250" s="122"/>
      <c r="AW250" s="122"/>
      <c r="AX250" s="122"/>
      <c r="AY250" s="122"/>
      <c r="AZ250" s="122"/>
      <c r="BA250" s="122"/>
      <c r="BB250" s="122"/>
      <c r="BC250" s="122"/>
      <c r="BD250" s="122"/>
      <c r="BE250" s="122"/>
      <c r="BF250" s="122"/>
      <c r="BG250" s="122"/>
      <c r="BH250" s="122"/>
      <c r="BI250" s="122"/>
      <c r="BJ250" s="122"/>
      <c r="BK250" s="122"/>
      <c r="BL250" s="122"/>
      <c r="BM250" s="122"/>
      <c r="BN250" s="122"/>
      <c r="BO250" s="122"/>
      <c r="BP250" s="122"/>
      <c r="BQ250" s="122"/>
      <c r="BR250" s="122"/>
      <c r="BS250" s="122"/>
      <c r="BT250" s="122"/>
      <c r="BU250" s="122"/>
      <c r="BV250" s="122"/>
      <c r="BW250" s="122"/>
      <c r="BX250" s="122"/>
      <c r="BY250" s="122"/>
      <c r="BZ250" s="122"/>
      <c r="CA250" s="122"/>
      <c r="CB250" s="122"/>
      <c r="CC250" s="122"/>
      <c r="CD250" s="122"/>
      <c r="CE250" s="122"/>
      <c r="CF250" s="122"/>
      <c r="CG250" s="122"/>
      <c r="CH250" s="122"/>
      <c r="CI250" s="122"/>
      <c r="CJ250" s="122"/>
      <c r="CK250" s="122"/>
      <c r="CL250" s="122"/>
      <c r="CM250" s="122"/>
      <c r="CN250" s="122"/>
      <c r="CO250" s="122"/>
      <c r="CP250" s="122"/>
      <c r="CQ250" s="122"/>
      <c r="CR250" s="122"/>
      <c r="CS250" s="122"/>
      <c r="CT250" s="122"/>
      <c r="CU250" s="122"/>
      <c r="CV250" s="122"/>
      <c r="CW250" s="122"/>
      <c r="CX250" s="122"/>
      <c r="CY250" s="122"/>
      <c r="CZ250" s="122"/>
      <c r="DA250" s="122"/>
      <c r="DB250" s="122"/>
      <c r="DC250" s="122"/>
      <c r="DD250" s="122"/>
      <c r="DE250" s="122"/>
      <c r="DF250" s="122"/>
      <c r="DG250" s="122"/>
      <c r="DH250" s="122"/>
      <c r="DI250" s="122"/>
      <c r="DJ250" s="122"/>
      <c r="DK250" s="122"/>
      <c r="DL250" s="122"/>
      <c r="DM250" s="122"/>
      <c r="DN250" s="122"/>
      <c r="DO250" s="122"/>
      <c r="DP250" s="122"/>
      <c r="DQ250" s="122"/>
      <c r="DR250" s="122"/>
      <c r="DS250" s="122"/>
      <c r="DT250" s="122"/>
      <c r="DU250" s="122"/>
      <c r="DV250" s="122"/>
      <c r="DW250" s="122"/>
      <c r="DX250" s="122"/>
      <c r="DY250" s="122"/>
      <c r="DZ250" s="122"/>
      <c r="EA250" s="122"/>
      <c r="EB250" s="122"/>
      <c r="EC250" s="122"/>
      <c r="ED250" s="122"/>
      <c r="EE250" s="122"/>
      <c r="EF250" s="122"/>
      <c r="EG250" s="122"/>
      <c r="EH250" s="122"/>
      <c r="EI250" s="122"/>
      <c r="EJ250" s="122"/>
      <c r="EK250" s="122"/>
      <c r="EL250" s="122"/>
      <c r="EM250" s="122"/>
      <c r="EN250" s="122"/>
      <c r="EO250" s="122"/>
      <c r="EP250" s="122"/>
      <c r="EQ250" s="122"/>
      <c r="ER250" s="122"/>
      <c r="ES250" s="122"/>
      <c r="ET250" s="122"/>
      <c r="EU250" s="122"/>
      <c r="EV250" s="122"/>
      <c r="EW250" s="122"/>
      <c r="EX250" s="122"/>
      <c r="EY250" s="122"/>
      <c r="EZ250" s="122"/>
      <c r="FA250" s="122"/>
      <c r="FB250" s="122"/>
      <c r="FC250" s="122"/>
      <c r="FD250" s="122"/>
      <c r="FE250" s="122"/>
      <c r="FF250" s="122"/>
      <c r="FG250" s="122"/>
      <c r="FH250" s="122"/>
      <c r="FI250" s="122"/>
      <c r="FJ250" s="122"/>
      <c r="FK250" s="122"/>
      <c r="FL250" s="122"/>
      <c r="FM250" s="122"/>
      <c r="FN250" s="122"/>
      <c r="FO250" s="122"/>
      <c r="FP250" s="122"/>
      <c r="FQ250" s="122"/>
      <c r="FR250" s="122"/>
      <c r="FS250" s="122"/>
      <c r="FT250" s="122"/>
      <c r="FU250" s="122"/>
      <c r="FV250" s="122"/>
      <c r="FW250" s="122"/>
      <c r="FX250" s="122"/>
      <c r="FY250" s="122"/>
      <c r="FZ250" s="122"/>
      <c r="GA250" s="122"/>
      <c r="GB250" s="122"/>
      <c r="GC250" s="122"/>
      <c r="GD250" s="122"/>
      <c r="GE250" s="122"/>
      <c r="GF250" s="122"/>
      <c r="GG250" s="122"/>
      <c r="GH250" s="122"/>
      <c r="GI250" s="122"/>
      <c r="GJ250" s="122"/>
      <c r="GK250" s="122"/>
      <c r="GL250" s="122"/>
      <c r="GM250" s="122"/>
      <c r="GN250" s="122"/>
      <c r="GO250" s="122"/>
      <c r="GP250" s="122"/>
      <c r="GQ250" s="122"/>
      <c r="GR250" s="122"/>
      <c r="GS250" s="122"/>
      <c r="GT250" s="122"/>
      <c r="GU250" s="122"/>
      <c r="GV250" s="122"/>
      <c r="GW250" s="122"/>
      <c r="GX250" s="122"/>
      <c r="GY250" s="122"/>
      <c r="GZ250" s="122"/>
      <c r="HA250" s="122"/>
      <c r="HB250" s="122"/>
      <c r="HC250" s="122"/>
      <c r="HD250" s="122"/>
      <c r="HE250" s="122"/>
      <c r="HF250" s="122"/>
      <c r="HG250" s="122"/>
      <c r="HH250" s="122"/>
      <c r="HI250" s="122"/>
      <c r="HJ250" s="122"/>
      <c r="HK250" s="122"/>
      <c r="HL250" s="122"/>
      <c r="HM250" s="122"/>
      <c r="HN250" s="122"/>
      <c r="HO250" s="122"/>
      <c r="HP250" s="122"/>
      <c r="HQ250" s="122"/>
      <c r="HR250" s="122"/>
      <c r="HS250" s="122"/>
      <c r="HT250" s="122"/>
      <c r="HU250" s="122"/>
      <c r="HV250" s="122"/>
      <c r="HW250" s="122"/>
      <c r="HX250" s="122"/>
      <c r="HY250" s="122"/>
      <c r="HZ250" s="122"/>
      <c r="IA250" s="122"/>
      <c r="IB250" s="122"/>
      <c r="IC250" s="122"/>
      <c r="ID250" s="122"/>
      <c r="IE250" s="122"/>
      <c r="IF250" s="122"/>
      <c r="IG250" s="122"/>
      <c r="IH250" s="122"/>
      <c r="II250" s="122"/>
      <c r="IJ250" s="122"/>
      <c r="IK250" s="122"/>
      <c r="IL250" s="122"/>
      <c r="IM250" s="122"/>
      <c r="IN250" s="122"/>
      <c r="IO250" s="122"/>
      <c r="IP250" s="122"/>
      <c r="IQ250" s="122"/>
      <c r="IR250" s="122"/>
      <c r="IS250" s="122"/>
      <c r="IT250" s="122"/>
      <c r="IU250" s="122"/>
      <c r="IV250" s="122"/>
      <c r="IW250" s="122"/>
      <c r="IX250" s="122"/>
      <c r="IY250" s="122"/>
      <c r="IZ250" s="122"/>
      <c r="JA250" s="122"/>
      <c r="JB250" s="122"/>
      <c r="JC250" s="122"/>
      <c r="JD250" s="122"/>
      <c r="JE250" s="122"/>
      <c r="JF250" s="122"/>
      <c r="JG250" s="122"/>
      <c r="JH250" s="122"/>
      <c r="JI250" s="119"/>
      <c r="JJ250" s="2"/>
      <c r="JK250" s="122"/>
      <c r="JL250" s="125"/>
      <c r="JM250" s="125"/>
      <c r="JN250" s="125"/>
      <c r="JO250" s="125"/>
      <c r="JP250" s="125"/>
    </row>
    <row r="251" spans="1:276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  <c r="AR251" s="122"/>
      <c r="AS251" s="122"/>
      <c r="AT251" s="122"/>
      <c r="AU251" s="122"/>
      <c r="AV251" s="122"/>
      <c r="AW251" s="122"/>
      <c r="AX251" s="122"/>
      <c r="AY251" s="122"/>
      <c r="AZ251" s="122"/>
      <c r="BA251" s="122"/>
      <c r="BB251" s="122"/>
      <c r="BC251" s="122"/>
      <c r="BD251" s="122"/>
      <c r="BE251" s="122"/>
      <c r="BF251" s="122"/>
      <c r="BG251" s="122"/>
      <c r="BH251" s="122"/>
      <c r="BI251" s="122"/>
      <c r="BJ251" s="122"/>
      <c r="BK251" s="122"/>
      <c r="BL251" s="122"/>
      <c r="BM251" s="122"/>
      <c r="BN251" s="122"/>
      <c r="BO251" s="122"/>
      <c r="BP251" s="122"/>
      <c r="BQ251" s="122"/>
      <c r="BR251" s="122"/>
      <c r="BS251" s="122"/>
      <c r="BT251" s="122"/>
      <c r="BU251" s="122"/>
      <c r="BV251" s="122"/>
      <c r="BW251" s="122"/>
      <c r="BX251" s="122"/>
      <c r="BY251" s="122"/>
      <c r="BZ251" s="122"/>
      <c r="CA251" s="122"/>
      <c r="CB251" s="122"/>
      <c r="CC251" s="122"/>
      <c r="CD251" s="122"/>
      <c r="CE251" s="122"/>
      <c r="CF251" s="122"/>
      <c r="CG251" s="122"/>
      <c r="CH251" s="122"/>
      <c r="CI251" s="122"/>
      <c r="CJ251" s="122"/>
      <c r="CK251" s="122"/>
      <c r="CL251" s="122"/>
      <c r="CM251" s="122"/>
      <c r="CN251" s="122"/>
      <c r="CO251" s="122"/>
      <c r="CP251" s="122"/>
      <c r="CQ251" s="122"/>
      <c r="CR251" s="122"/>
      <c r="CS251" s="122"/>
      <c r="CT251" s="122"/>
      <c r="CU251" s="122"/>
      <c r="CV251" s="122"/>
      <c r="CW251" s="122"/>
      <c r="CX251" s="122"/>
      <c r="CY251" s="122"/>
      <c r="CZ251" s="122"/>
      <c r="DA251" s="122"/>
      <c r="DB251" s="122"/>
      <c r="DC251" s="122"/>
      <c r="DD251" s="122"/>
      <c r="DE251" s="122"/>
      <c r="DF251" s="122"/>
      <c r="DG251" s="122"/>
      <c r="DH251" s="122"/>
      <c r="DI251" s="122"/>
      <c r="DJ251" s="122"/>
      <c r="DK251" s="122"/>
      <c r="DL251" s="122"/>
      <c r="DM251" s="122"/>
      <c r="DN251" s="122"/>
      <c r="DO251" s="122"/>
      <c r="DP251" s="122"/>
      <c r="DQ251" s="122"/>
      <c r="DR251" s="122"/>
      <c r="DS251" s="122"/>
      <c r="DT251" s="122"/>
      <c r="DU251" s="122"/>
      <c r="DV251" s="122"/>
      <c r="DW251" s="122"/>
      <c r="DX251" s="122"/>
      <c r="DY251" s="122"/>
      <c r="DZ251" s="122"/>
      <c r="EA251" s="122"/>
      <c r="EB251" s="122"/>
      <c r="EC251" s="122"/>
      <c r="ED251" s="122"/>
      <c r="EE251" s="122"/>
      <c r="EF251" s="122"/>
      <c r="EG251" s="122"/>
      <c r="EH251" s="122"/>
      <c r="EI251" s="122"/>
      <c r="EJ251" s="122"/>
      <c r="EK251" s="122"/>
      <c r="EL251" s="122"/>
      <c r="EM251" s="122"/>
      <c r="EN251" s="122"/>
      <c r="EO251" s="122"/>
      <c r="EP251" s="122"/>
      <c r="EQ251" s="122"/>
      <c r="ER251" s="122"/>
      <c r="ES251" s="122"/>
      <c r="ET251" s="122"/>
      <c r="EU251" s="122"/>
      <c r="EV251" s="122"/>
      <c r="EW251" s="122"/>
      <c r="EX251" s="122"/>
      <c r="EY251" s="122"/>
      <c r="EZ251" s="122"/>
      <c r="FA251" s="122"/>
      <c r="FB251" s="122"/>
      <c r="FC251" s="122"/>
      <c r="FD251" s="122"/>
      <c r="FE251" s="122"/>
      <c r="FF251" s="122"/>
      <c r="FG251" s="122"/>
      <c r="FH251" s="122"/>
      <c r="FI251" s="122"/>
      <c r="FJ251" s="122"/>
      <c r="FK251" s="122"/>
      <c r="FL251" s="122"/>
      <c r="FM251" s="122"/>
      <c r="FN251" s="122"/>
      <c r="FO251" s="122"/>
      <c r="FP251" s="122"/>
      <c r="FQ251" s="122"/>
      <c r="FR251" s="122"/>
      <c r="FS251" s="122"/>
      <c r="FT251" s="122"/>
      <c r="FU251" s="122"/>
      <c r="FV251" s="122"/>
      <c r="FW251" s="122"/>
      <c r="FX251" s="122"/>
      <c r="FY251" s="122"/>
      <c r="FZ251" s="122"/>
      <c r="GA251" s="122"/>
      <c r="GB251" s="122"/>
      <c r="GC251" s="122"/>
      <c r="GD251" s="122"/>
      <c r="GE251" s="122"/>
      <c r="GF251" s="122"/>
      <c r="GG251" s="122"/>
      <c r="GH251" s="122"/>
      <c r="GI251" s="122"/>
      <c r="GJ251" s="122"/>
      <c r="GK251" s="122"/>
      <c r="GL251" s="122"/>
      <c r="GM251" s="122"/>
      <c r="GN251" s="122"/>
      <c r="GO251" s="122"/>
      <c r="GP251" s="122"/>
      <c r="GQ251" s="122"/>
      <c r="GR251" s="122"/>
      <c r="GS251" s="122"/>
      <c r="GT251" s="122"/>
      <c r="GU251" s="122"/>
      <c r="GV251" s="122"/>
      <c r="GW251" s="122"/>
      <c r="GX251" s="122"/>
      <c r="GY251" s="122"/>
      <c r="GZ251" s="122"/>
      <c r="HA251" s="122"/>
      <c r="HB251" s="122"/>
      <c r="HC251" s="122"/>
      <c r="HD251" s="122"/>
      <c r="HE251" s="122"/>
      <c r="HF251" s="122"/>
      <c r="HG251" s="122"/>
      <c r="HH251" s="122"/>
      <c r="HI251" s="122"/>
      <c r="HJ251" s="122"/>
      <c r="HK251" s="122"/>
      <c r="HL251" s="122"/>
      <c r="HM251" s="122"/>
      <c r="HN251" s="122"/>
      <c r="HO251" s="122"/>
      <c r="HP251" s="122"/>
      <c r="HQ251" s="122"/>
      <c r="HR251" s="122"/>
      <c r="HS251" s="122"/>
      <c r="HT251" s="122"/>
      <c r="HU251" s="122"/>
      <c r="HV251" s="122"/>
      <c r="HW251" s="122"/>
      <c r="HX251" s="122"/>
      <c r="HY251" s="122"/>
      <c r="HZ251" s="122"/>
      <c r="IA251" s="122"/>
      <c r="IB251" s="122"/>
      <c r="IC251" s="122"/>
      <c r="ID251" s="122"/>
      <c r="IE251" s="122"/>
      <c r="IF251" s="122"/>
      <c r="IG251" s="122"/>
      <c r="IH251" s="122"/>
      <c r="II251" s="122"/>
      <c r="IJ251" s="122"/>
      <c r="IK251" s="122"/>
      <c r="IL251" s="122"/>
      <c r="IM251" s="122"/>
      <c r="IN251" s="122"/>
      <c r="IO251" s="122"/>
      <c r="IP251" s="122"/>
      <c r="IQ251" s="122"/>
      <c r="IR251" s="122"/>
      <c r="IS251" s="122"/>
      <c r="IT251" s="122"/>
      <c r="IU251" s="122"/>
      <c r="IV251" s="122"/>
      <c r="IW251" s="122"/>
      <c r="IX251" s="122"/>
      <c r="IY251" s="122"/>
      <c r="IZ251" s="122"/>
      <c r="JA251" s="122"/>
      <c r="JB251" s="122"/>
      <c r="JC251" s="122"/>
      <c r="JD251" s="122"/>
      <c r="JE251" s="122"/>
      <c r="JF251" s="122"/>
      <c r="JG251" s="122"/>
      <c r="JH251" s="122"/>
      <c r="JI251" s="119"/>
      <c r="JJ251" s="2"/>
      <c r="JK251" s="122"/>
      <c r="JL251" s="125"/>
      <c r="JM251" s="125"/>
      <c r="JN251" s="125"/>
      <c r="JO251" s="125"/>
      <c r="JP251" s="125"/>
    </row>
    <row r="252" spans="1:276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  <c r="AP252" s="122"/>
      <c r="AQ252" s="122"/>
      <c r="AR252" s="122"/>
      <c r="AS252" s="122"/>
      <c r="AT252" s="122"/>
      <c r="AU252" s="122"/>
      <c r="AV252" s="122"/>
      <c r="AW252" s="122"/>
      <c r="AX252" s="122"/>
      <c r="AY252" s="122"/>
      <c r="AZ252" s="122"/>
      <c r="BA252" s="122"/>
      <c r="BB252" s="122"/>
      <c r="BC252" s="122"/>
      <c r="BD252" s="122"/>
      <c r="BE252" s="122"/>
      <c r="BF252" s="122"/>
      <c r="BG252" s="122"/>
      <c r="BH252" s="122"/>
      <c r="BI252" s="122"/>
      <c r="BJ252" s="122"/>
      <c r="BK252" s="122"/>
      <c r="BL252" s="122"/>
      <c r="BM252" s="122"/>
      <c r="BN252" s="122"/>
      <c r="BO252" s="122"/>
      <c r="BP252" s="122"/>
      <c r="BQ252" s="122"/>
      <c r="BR252" s="122"/>
      <c r="BS252" s="122"/>
      <c r="BT252" s="122"/>
      <c r="BU252" s="122"/>
      <c r="BV252" s="122"/>
      <c r="BW252" s="122"/>
      <c r="BX252" s="122"/>
      <c r="BY252" s="122"/>
      <c r="BZ252" s="122"/>
      <c r="CA252" s="122"/>
      <c r="CB252" s="122"/>
      <c r="CC252" s="122"/>
      <c r="CD252" s="122"/>
      <c r="CE252" s="122"/>
      <c r="CF252" s="122"/>
      <c r="CG252" s="122"/>
      <c r="CH252" s="122"/>
      <c r="CI252" s="122"/>
      <c r="CJ252" s="122"/>
      <c r="CK252" s="122"/>
      <c r="CL252" s="122"/>
      <c r="CM252" s="122"/>
      <c r="CN252" s="122"/>
      <c r="CO252" s="122"/>
      <c r="CP252" s="122"/>
      <c r="CQ252" s="122"/>
      <c r="CR252" s="122"/>
      <c r="CS252" s="122"/>
      <c r="CT252" s="122"/>
      <c r="CU252" s="122"/>
      <c r="CV252" s="122"/>
      <c r="CW252" s="122"/>
      <c r="CX252" s="122"/>
      <c r="CY252" s="122"/>
      <c r="CZ252" s="122"/>
      <c r="DA252" s="122"/>
      <c r="DB252" s="122"/>
      <c r="DC252" s="122"/>
      <c r="DD252" s="122"/>
      <c r="DE252" s="122"/>
      <c r="DF252" s="122"/>
      <c r="DG252" s="122"/>
      <c r="DH252" s="122"/>
      <c r="DI252" s="122"/>
      <c r="DJ252" s="122"/>
      <c r="DK252" s="122"/>
      <c r="DL252" s="122"/>
      <c r="DM252" s="122"/>
      <c r="DN252" s="122"/>
      <c r="DO252" s="122"/>
      <c r="DP252" s="122"/>
      <c r="DQ252" s="122"/>
      <c r="DR252" s="122"/>
      <c r="DS252" s="122"/>
      <c r="DT252" s="122"/>
      <c r="DU252" s="122"/>
      <c r="DV252" s="122"/>
      <c r="DW252" s="122"/>
      <c r="DX252" s="122"/>
      <c r="DY252" s="122"/>
      <c r="DZ252" s="122"/>
      <c r="EA252" s="122"/>
      <c r="EB252" s="122"/>
      <c r="EC252" s="122"/>
      <c r="ED252" s="122"/>
      <c r="EE252" s="122"/>
      <c r="EF252" s="122"/>
      <c r="EG252" s="122"/>
      <c r="EH252" s="122"/>
      <c r="EI252" s="122"/>
      <c r="EJ252" s="122"/>
      <c r="EK252" s="122"/>
      <c r="EL252" s="122"/>
      <c r="EM252" s="122"/>
      <c r="EN252" s="122"/>
      <c r="EO252" s="122"/>
      <c r="EP252" s="122"/>
      <c r="EQ252" s="122"/>
      <c r="ER252" s="122"/>
      <c r="ES252" s="122"/>
      <c r="ET252" s="122"/>
      <c r="EU252" s="122"/>
      <c r="EV252" s="122"/>
      <c r="EW252" s="122"/>
      <c r="EX252" s="122"/>
      <c r="EY252" s="122"/>
      <c r="EZ252" s="122"/>
      <c r="FA252" s="122"/>
      <c r="FB252" s="122"/>
      <c r="FC252" s="122"/>
      <c r="FD252" s="122"/>
      <c r="FE252" s="122"/>
      <c r="FF252" s="122"/>
      <c r="FG252" s="122"/>
      <c r="FH252" s="122"/>
      <c r="FI252" s="122"/>
      <c r="FJ252" s="122"/>
      <c r="FK252" s="122"/>
      <c r="FL252" s="122"/>
      <c r="FM252" s="122"/>
      <c r="FN252" s="122"/>
      <c r="FO252" s="122"/>
      <c r="FP252" s="122"/>
      <c r="FQ252" s="122"/>
      <c r="FR252" s="122"/>
      <c r="FS252" s="122"/>
      <c r="FT252" s="122"/>
      <c r="FU252" s="122"/>
      <c r="FV252" s="122"/>
      <c r="FW252" s="122"/>
      <c r="FX252" s="122"/>
      <c r="FY252" s="122"/>
      <c r="FZ252" s="122"/>
      <c r="GA252" s="122"/>
      <c r="GB252" s="122"/>
      <c r="GC252" s="122"/>
      <c r="GD252" s="122"/>
      <c r="GE252" s="122"/>
      <c r="GF252" s="122"/>
      <c r="GG252" s="122"/>
      <c r="GH252" s="122"/>
      <c r="GI252" s="122"/>
      <c r="GJ252" s="122"/>
      <c r="GK252" s="122"/>
      <c r="GL252" s="122"/>
      <c r="GM252" s="122"/>
      <c r="GN252" s="122"/>
      <c r="GO252" s="122"/>
      <c r="GP252" s="122"/>
      <c r="GQ252" s="122"/>
      <c r="GR252" s="122"/>
      <c r="GS252" s="122"/>
      <c r="GT252" s="122"/>
      <c r="GU252" s="122"/>
      <c r="GV252" s="122"/>
      <c r="GW252" s="122"/>
      <c r="GX252" s="122"/>
      <c r="GY252" s="122"/>
      <c r="GZ252" s="122"/>
      <c r="HA252" s="122"/>
      <c r="HB252" s="122"/>
      <c r="HC252" s="122"/>
      <c r="HD252" s="122"/>
      <c r="HE252" s="122"/>
      <c r="HF252" s="122"/>
      <c r="HG252" s="122"/>
      <c r="HH252" s="122"/>
      <c r="HI252" s="122"/>
      <c r="HJ252" s="122"/>
      <c r="HK252" s="122"/>
      <c r="HL252" s="122"/>
      <c r="HM252" s="122"/>
      <c r="HN252" s="122"/>
      <c r="HO252" s="122"/>
      <c r="HP252" s="122"/>
      <c r="HQ252" s="122"/>
      <c r="HR252" s="122"/>
      <c r="HS252" s="122"/>
      <c r="HT252" s="122"/>
      <c r="HU252" s="122"/>
      <c r="HV252" s="122"/>
      <c r="HW252" s="122"/>
      <c r="HX252" s="122"/>
      <c r="HY252" s="122"/>
      <c r="HZ252" s="122"/>
      <c r="IA252" s="122"/>
      <c r="IB252" s="122"/>
      <c r="IC252" s="122"/>
      <c r="ID252" s="122"/>
      <c r="IE252" s="122"/>
      <c r="IF252" s="122"/>
      <c r="IG252" s="122"/>
      <c r="IH252" s="122"/>
      <c r="II252" s="122"/>
      <c r="IJ252" s="122"/>
      <c r="IK252" s="122"/>
      <c r="IL252" s="122"/>
      <c r="IM252" s="122"/>
      <c r="IN252" s="122"/>
      <c r="IO252" s="122"/>
      <c r="IP252" s="122"/>
      <c r="IQ252" s="122"/>
      <c r="IR252" s="122"/>
      <c r="IS252" s="122"/>
      <c r="IT252" s="122"/>
      <c r="IU252" s="122"/>
      <c r="IV252" s="122"/>
      <c r="IW252" s="122"/>
      <c r="IX252" s="122"/>
      <c r="IY252" s="122"/>
      <c r="IZ252" s="122"/>
      <c r="JA252" s="122"/>
      <c r="JB252" s="122"/>
      <c r="JC252" s="122"/>
      <c r="JD252" s="122"/>
      <c r="JE252" s="122"/>
      <c r="JF252" s="122"/>
      <c r="JG252" s="122"/>
      <c r="JH252" s="122"/>
      <c r="JI252" s="119"/>
      <c r="JJ252" s="2"/>
      <c r="JK252" s="122"/>
      <c r="JL252" s="125"/>
      <c r="JM252" s="125"/>
      <c r="JN252" s="125"/>
      <c r="JO252" s="125"/>
      <c r="JP252" s="125"/>
    </row>
    <row r="253" spans="1:276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122"/>
      <c r="AQ253" s="122"/>
      <c r="AR253" s="122"/>
      <c r="AS253" s="122"/>
      <c r="AT253" s="122"/>
      <c r="AU253" s="122"/>
      <c r="AV253" s="122"/>
      <c r="AW253" s="122"/>
      <c r="AX253" s="122"/>
      <c r="AY253" s="122"/>
      <c r="AZ253" s="122"/>
      <c r="BA253" s="122"/>
      <c r="BB253" s="122"/>
      <c r="BC253" s="122"/>
      <c r="BD253" s="122"/>
      <c r="BE253" s="122"/>
      <c r="BF253" s="122"/>
      <c r="BG253" s="122"/>
      <c r="BH253" s="122"/>
      <c r="BI253" s="122"/>
      <c r="BJ253" s="122"/>
      <c r="BK253" s="122"/>
      <c r="BL253" s="122"/>
      <c r="BM253" s="122"/>
      <c r="BN253" s="122"/>
      <c r="BO253" s="122"/>
      <c r="BP253" s="122"/>
      <c r="BQ253" s="122"/>
      <c r="BR253" s="122"/>
      <c r="BS253" s="122"/>
      <c r="BT253" s="122"/>
      <c r="BU253" s="122"/>
      <c r="BV253" s="122"/>
      <c r="BW253" s="122"/>
      <c r="BX253" s="122"/>
      <c r="BY253" s="122"/>
      <c r="BZ253" s="122"/>
      <c r="CA253" s="122"/>
      <c r="CB253" s="122"/>
      <c r="CC253" s="122"/>
      <c r="CD253" s="122"/>
      <c r="CE253" s="122"/>
      <c r="CF253" s="122"/>
      <c r="CG253" s="122"/>
      <c r="CH253" s="122"/>
      <c r="CI253" s="122"/>
      <c r="CJ253" s="122"/>
      <c r="CK253" s="122"/>
      <c r="CL253" s="122"/>
      <c r="CM253" s="122"/>
      <c r="CN253" s="122"/>
      <c r="CO253" s="122"/>
      <c r="CP253" s="122"/>
      <c r="CQ253" s="122"/>
      <c r="CR253" s="122"/>
      <c r="CS253" s="122"/>
      <c r="CT253" s="122"/>
      <c r="CU253" s="122"/>
      <c r="CV253" s="122"/>
      <c r="CW253" s="122"/>
      <c r="CX253" s="122"/>
      <c r="CY253" s="122"/>
      <c r="CZ253" s="122"/>
      <c r="DA253" s="122"/>
      <c r="DB253" s="122"/>
      <c r="DC253" s="122"/>
      <c r="DD253" s="122"/>
      <c r="DE253" s="122"/>
      <c r="DF253" s="122"/>
      <c r="DG253" s="122"/>
      <c r="DH253" s="122"/>
      <c r="DI253" s="122"/>
      <c r="DJ253" s="122"/>
      <c r="DK253" s="122"/>
      <c r="DL253" s="122"/>
      <c r="DM253" s="122"/>
      <c r="DN253" s="122"/>
      <c r="DO253" s="122"/>
      <c r="DP253" s="122"/>
      <c r="DQ253" s="122"/>
      <c r="DR253" s="122"/>
      <c r="DS253" s="122"/>
      <c r="DT253" s="122"/>
      <c r="DU253" s="122"/>
      <c r="DV253" s="122"/>
      <c r="DW253" s="122"/>
      <c r="DX253" s="122"/>
      <c r="DY253" s="122"/>
      <c r="DZ253" s="122"/>
      <c r="EA253" s="122"/>
      <c r="EB253" s="122"/>
      <c r="EC253" s="122"/>
      <c r="ED253" s="122"/>
      <c r="EE253" s="122"/>
      <c r="EF253" s="122"/>
      <c r="EG253" s="122"/>
      <c r="EH253" s="122"/>
      <c r="EI253" s="122"/>
      <c r="EJ253" s="122"/>
      <c r="EK253" s="122"/>
      <c r="EL253" s="122"/>
      <c r="EM253" s="122"/>
      <c r="EN253" s="122"/>
      <c r="EO253" s="122"/>
      <c r="EP253" s="122"/>
      <c r="EQ253" s="122"/>
      <c r="ER253" s="122"/>
      <c r="ES253" s="122"/>
      <c r="ET253" s="122"/>
      <c r="EU253" s="122"/>
      <c r="EV253" s="122"/>
      <c r="EW253" s="122"/>
      <c r="EX253" s="122"/>
      <c r="EY253" s="122"/>
      <c r="EZ253" s="122"/>
      <c r="FA253" s="122"/>
      <c r="FB253" s="122"/>
      <c r="FC253" s="122"/>
      <c r="FD253" s="122"/>
      <c r="FE253" s="122"/>
      <c r="FF253" s="122"/>
      <c r="FG253" s="122"/>
      <c r="FH253" s="122"/>
      <c r="FI253" s="122"/>
      <c r="FJ253" s="122"/>
      <c r="FK253" s="122"/>
      <c r="FL253" s="122"/>
      <c r="FM253" s="122"/>
      <c r="FN253" s="122"/>
      <c r="FO253" s="122"/>
      <c r="FP253" s="122"/>
      <c r="FQ253" s="122"/>
      <c r="FR253" s="122"/>
      <c r="FS253" s="122"/>
      <c r="FT253" s="122"/>
      <c r="FU253" s="122"/>
      <c r="FV253" s="122"/>
      <c r="FW253" s="122"/>
      <c r="FX253" s="122"/>
      <c r="FY253" s="122"/>
      <c r="FZ253" s="122"/>
      <c r="GA253" s="122"/>
      <c r="GB253" s="122"/>
      <c r="GC253" s="122"/>
      <c r="GD253" s="122"/>
      <c r="GE253" s="122"/>
      <c r="GF253" s="122"/>
      <c r="GG253" s="122"/>
      <c r="GH253" s="122"/>
      <c r="GI253" s="122"/>
      <c r="GJ253" s="122"/>
      <c r="GK253" s="122"/>
      <c r="GL253" s="122"/>
      <c r="GM253" s="122"/>
      <c r="GN253" s="122"/>
      <c r="GO253" s="122"/>
      <c r="GP253" s="122"/>
      <c r="GQ253" s="122"/>
      <c r="GR253" s="122"/>
      <c r="GS253" s="122"/>
      <c r="GT253" s="122"/>
      <c r="GU253" s="122"/>
      <c r="GV253" s="122"/>
      <c r="GW253" s="122"/>
      <c r="GX253" s="122"/>
      <c r="GY253" s="122"/>
      <c r="GZ253" s="122"/>
      <c r="HA253" s="122"/>
      <c r="HB253" s="122"/>
      <c r="HC253" s="122"/>
      <c r="HD253" s="122"/>
      <c r="HE253" s="122"/>
      <c r="HF253" s="122"/>
      <c r="HG253" s="122"/>
      <c r="HH253" s="122"/>
      <c r="HI253" s="122"/>
      <c r="HJ253" s="122"/>
      <c r="HK253" s="122"/>
      <c r="HL253" s="122"/>
      <c r="HM253" s="122"/>
      <c r="HN253" s="122"/>
      <c r="HO253" s="122"/>
      <c r="HP253" s="122"/>
      <c r="HQ253" s="122"/>
      <c r="HR253" s="122"/>
      <c r="HS253" s="122"/>
      <c r="HT253" s="122"/>
      <c r="HU253" s="122"/>
      <c r="HV253" s="122"/>
      <c r="HW253" s="122"/>
      <c r="HX253" s="122"/>
      <c r="HY253" s="122"/>
      <c r="HZ253" s="122"/>
      <c r="IA253" s="122"/>
      <c r="IB253" s="122"/>
      <c r="IC253" s="122"/>
      <c r="ID253" s="122"/>
      <c r="IE253" s="122"/>
      <c r="IF253" s="122"/>
      <c r="IG253" s="122"/>
      <c r="IH253" s="122"/>
      <c r="II253" s="122"/>
      <c r="IJ253" s="122"/>
      <c r="IK253" s="122"/>
      <c r="IL253" s="122"/>
      <c r="IM253" s="122"/>
      <c r="IN253" s="122"/>
      <c r="IO253" s="122"/>
      <c r="IP253" s="122"/>
      <c r="IQ253" s="122"/>
      <c r="IR253" s="122"/>
      <c r="IS253" s="122"/>
      <c r="IT253" s="122"/>
      <c r="IU253" s="122"/>
      <c r="IV253" s="122"/>
      <c r="IW253" s="122"/>
      <c r="IX253" s="122"/>
      <c r="IY253" s="122"/>
      <c r="IZ253" s="122"/>
      <c r="JA253" s="122"/>
      <c r="JB253" s="122"/>
      <c r="JC253" s="122"/>
      <c r="JD253" s="122"/>
      <c r="JE253" s="122"/>
      <c r="JF253" s="122"/>
      <c r="JG253" s="122"/>
      <c r="JH253" s="122"/>
      <c r="JI253" s="119"/>
      <c r="JJ253" s="2"/>
      <c r="JK253" s="122"/>
      <c r="JL253" s="125"/>
      <c r="JM253" s="125"/>
      <c r="JN253" s="125"/>
      <c r="JO253" s="125"/>
      <c r="JP253" s="125"/>
    </row>
    <row r="254" spans="1:276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  <c r="AP254" s="122"/>
      <c r="AQ254" s="122"/>
      <c r="AR254" s="122"/>
      <c r="AS254" s="122"/>
      <c r="AT254" s="122"/>
      <c r="AU254" s="122"/>
      <c r="AV254" s="122"/>
      <c r="AW254" s="122"/>
      <c r="AX254" s="122"/>
      <c r="AY254" s="122"/>
      <c r="AZ254" s="122"/>
      <c r="BA254" s="122"/>
      <c r="BB254" s="122"/>
      <c r="BC254" s="122"/>
      <c r="BD254" s="122"/>
      <c r="BE254" s="122"/>
      <c r="BF254" s="122"/>
      <c r="BG254" s="122"/>
      <c r="BH254" s="122"/>
      <c r="BI254" s="122"/>
      <c r="BJ254" s="122"/>
      <c r="BK254" s="122"/>
      <c r="BL254" s="122"/>
      <c r="BM254" s="122"/>
      <c r="BN254" s="122"/>
      <c r="BO254" s="122"/>
      <c r="BP254" s="122"/>
      <c r="BQ254" s="122"/>
      <c r="BR254" s="122"/>
      <c r="BS254" s="122"/>
      <c r="BT254" s="122"/>
      <c r="BU254" s="122"/>
      <c r="BV254" s="122"/>
      <c r="BW254" s="122"/>
      <c r="BX254" s="122"/>
      <c r="BY254" s="122"/>
      <c r="BZ254" s="122"/>
      <c r="CA254" s="122"/>
      <c r="CB254" s="122"/>
      <c r="CC254" s="122"/>
      <c r="CD254" s="122"/>
      <c r="CE254" s="122"/>
      <c r="CF254" s="122"/>
      <c r="CG254" s="122"/>
      <c r="CH254" s="122"/>
      <c r="CI254" s="122"/>
      <c r="CJ254" s="122"/>
      <c r="CK254" s="122"/>
      <c r="CL254" s="122"/>
      <c r="CM254" s="122"/>
      <c r="CN254" s="122"/>
      <c r="CO254" s="122"/>
      <c r="CP254" s="122"/>
      <c r="CQ254" s="122"/>
      <c r="CR254" s="122"/>
      <c r="CS254" s="122"/>
      <c r="CT254" s="122"/>
      <c r="CU254" s="122"/>
      <c r="CV254" s="122"/>
      <c r="CW254" s="122"/>
      <c r="CX254" s="122"/>
      <c r="CY254" s="122"/>
      <c r="CZ254" s="122"/>
      <c r="DA254" s="122"/>
      <c r="DB254" s="122"/>
      <c r="DC254" s="122"/>
      <c r="DD254" s="122"/>
      <c r="DE254" s="122"/>
      <c r="DF254" s="122"/>
      <c r="DG254" s="122"/>
      <c r="DH254" s="122"/>
      <c r="DI254" s="122"/>
      <c r="DJ254" s="122"/>
      <c r="DK254" s="122"/>
      <c r="DL254" s="122"/>
      <c r="DM254" s="122"/>
      <c r="DN254" s="122"/>
      <c r="DO254" s="122"/>
      <c r="DP254" s="122"/>
      <c r="DQ254" s="122"/>
      <c r="DR254" s="122"/>
      <c r="DS254" s="122"/>
      <c r="DT254" s="122"/>
      <c r="DU254" s="122"/>
      <c r="DV254" s="122"/>
      <c r="DW254" s="122"/>
      <c r="DX254" s="122"/>
      <c r="DY254" s="122"/>
      <c r="DZ254" s="122"/>
      <c r="EA254" s="122"/>
      <c r="EB254" s="122"/>
      <c r="EC254" s="122"/>
      <c r="ED254" s="122"/>
      <c r="EE254" s="122"/>
      <c r="EF254" s="122"/>
      <c r="EG254" s="122"/>
      <c r="EH254" s="122"/>
      <c r="EI254" s="122"/>
      <c r="EJ254" s="122"/>
      <c r="EK254" s="122"/>
      <c r="EL254" s="122"/>
      <c r="EM254" s="122"/>
      <c r="EN254" s="122"/>
      <c r="EO254" s="122"/>
      <c r="EP254" s="122"/>
      <c r="EQ254" s="122"/>
      <c r="ER254" s="122"/>
      <c r="ES254" s="122"/>
      <c r="ET254" s="122"/>
      <c r="EU254" s="122"/>
      <c r="EV254" s="122"/>
      <c r="EW254" s="122"/>
      <c r="EX254" s="122"/>
      <c r="EY254" s="122"/>
      <c r="EZ254" s="122"/>
      <c r="FA254" s="122"/>
      <c r="FB254" s="122"/>
      <c r="FC254" s="122"/>
      <c r="FD254" s="122"/>
      <c r="FE254" s="122"/>
      <c r="FF254" s="122"/>
      <c r="FG254" s="122"/>
      <c r="FH254" s="122"/>
      <c r="FI254" s="122"/>
      <c r="FJ254" s="122"/>
      <c r="FK254" s="122"/>
      <c r="FL254" s="122"/>
      <c r="FM254" s="122"/>
      <c r="FN254" s="122"/>
      <c r="FO254" s="122"/>
      <c r="FP254" s="122"/>
      <c r="FQ254" s="122"/>
      <c r="FR254" s="122"/>
      <c r="FS254" s="122"/>
      <c r="FT254" s="122"/>
      <c r="FU254" s="122"/>
      <c r="FV254" s="122"/>
      <c r="FW254" s="122"/>
      <c r="FX254" s="122"/>
      <c r="FY254" s="122"/>
      <c r="FZ254" s="122"/>
      <c r="GA254" s="122"/>
      <c r="GB254" s="122"/>
      <c r="GC254" s="122"/>
      <c r="GD254" s="122"/>
      <c r="GE254" s="122"/>
      <c r="GF254" s="122"/>
      <c r="GG254" s="122"/>
      <c r="GH254" s="122"/>
      <c r="GI254" s="122"/>
      <c r="GJ254" s="122"/>
      <c r="GK254" s="122"/>
      <c r="GL254" s="122"/>
      <c r="GM254" s="122"/>
      <c r="GN254" s="122"/>
      <c r="GO254" s="122"/>
      <c r="GP254" s="122"/>
      <c r="GQ254" s="122"/>
      <c r="GR254" s="122"/>
      <c r="GS254" s="122"/>
      <c r="GT254" s="122"/>
      <c r="GU254" s="122"/>
      <c r="GV254" s="122"/>
      <c r="GW254" s="122"/>
      <c r="GX254" s="122"/>
      <c r="GY254" s="122"/>
      <c r="GZ254" s="122"/>
      <c r="HA254" s="122"/>
      <c r="HB254" s="122"/>
      <c r="HC254" s="122"/>
      <c r="HD254" s="122"/>
      <c r="HE254" s="122"/>
      <c r="HF254" s="122"/>
      <c r="HG254" s="122"/>
      <c r="HH254" s="122"/>
      <c r="HI254" s="122"/>
      <c r="HJ254" s="122"/>
      <c r="HK254" s="122"/>
      <c r="HL254" s="122"/>
      <c r="HM254" s="122"/>
      <c r="HN254" s="122"/>
      <c r="HO254" s="122"/>
      <c r="HP254" s="122"/>
      <c r="HQ254" s="122"/>
      <c r="HR254" s="122"/>
      <c r="HS254" s="122"/>
      <c r="HT254" s="122"/>
      <c r="HU254" s="122"/>
      <c r="HV254" s="122"/>
      <c r="HW254" s="122"/>
      <c r="HX254" s="122"/>
      <c r="HY254" s="122"/>
      <c r="HZ254" s="122"/>
      <c r="IA254" s="122"/>
      <c r="IB254" s="122"/>
      <c r="IC254" s="122"/>
      <c r="ID254" s="122"/>
      <c r="IE254" s="122"/>
      <c r="IF254" s="122"/>
      <c r="IG254" s="122"/>
      <c r="IH254" s="122"/>
      <c r="II254" s="122"/>
      <c r="IJ254" s="122"/>
      <c r="IK254" s="122"/>
      <c r="IL254" s="122"/>
      <c r="IM254" s="122"/>
      <c r="IN254" s="122"/>
      <c r="IO254" s="122"/>
      <c r="IP254" s="122"/>
      <c r="IQ254" s="122"/>
      <c r="IR254" s="122"/>
      <c r="IS254" s="122"/>
      <c r="IT254" s="122"/>
      <c r="IU254" s="122"/>
      <c r="IV254" s="122"/>
      <c r="IW254" s="122"/>
      <c r="IX254" s="122"/>
      <c r="IY254" s="122"/>
      <c r="IZ254" s="122"/>
      <c r="JA254" s="122"/>
      <c r="JB254" s="122"/>
      <c r="JC254" s="122"/>
      <c r="JD254" s="122"/>
      <c r="JE254" s="122"/>
      <c r="JF254" s="122"/>
      <c r="JG254" s="122"/>
      <c r="JH254" s="122"/>
      <c r="JI254" s="119"/>
      <c r="JJ254" s="2"/>
      <c r="JK254" s="122"/>
      <c r="JL254" s="125"/>
      <c r="JM254" s="125"/>
      <c r="JN254" s="125"/>
      <c r="JO254" s="125"/>
      <c r="JP254" s="125"/>
    </row>
    <row r="255" spans="1:276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  <c r="AR255" s="122"/>
      <c r="AS255" s="122"/>
      <c r="AT255" s="122"/>
      <c r="AU255" s="122"/>
      <c r="AV255" s="122"/>
      <c r="AW255" s="122"/>
      <c r="AX255" s="122"/>
      <c r="AY255" s="122"/>
      <c r="AZ255" s="122"/>
      <c r="BA255" s="122"/>
      <c r="BB255" s="122"/>
      <c r="BC255" s="122"/>
      <c r="BD255" s="122"/>
      <c r="BE255" s="122"/>
      <c r="BF255" s="122"/>
      <c r="BG255" s="122"/>
      <c r="BH255" s="122"/>
      <c r="BI255" s="122"/>
      <c r="BJ255" s="122"/>
      <c r="BK255" s="122"/>
      <c r="BL255" s="122"/>
      <c r="BM255" s="122"/>
      <c r="BN255" s="122"/>
      <c r="BO255" s="122"/>
      <c r="BP255" s="122"/>
      <c r="BQ255" s="122"/>
      <c r="BR255" s="122"/>
      <c r="BS255" s="122"/>
      <c r="BT255" s="122"/>
      <c r="BU255" s="122"/>
      <c r="BV255" s="122"/>
      <c r="BW255" s="122"/>
      <c r="BX255" s="122"/>
      <c r="BY255" s="122"/>
      <c r="BZ255" s="122"/>
      <c r="CA255" s="122"/>
      <c r="CB255" s="122"/>
      <c r="CC255" s="122"/>
      <c r="CD255" s="122"/>
      <c r="CE255" s="122"/>
      <c r="CF255" s="122"/>
      <c r="CG255" s="122"/>
      <c r="CH255" s="122"/>
      <c r="CI255" s="122"/>
      <c r="CJ255" s="122"/>
      <c r="CK255" s="122"/>
      <c r="CL255" s="122"/>
      <c r="CM255" s="122"/>
      <c r="CN255" s="122"/>
      <c r="CO255" s="122"/>
      <c r="CP255" s="122"/>
      <c r="CQ255" s="122"/>
      <c r="CR255" s="122"/>
      <c r="CS255" s="122"/>
      <c r="CT255" s="122"/>
      <c r="CU255" s="122"/>
      <c r="CV255" s="122"/>
      <c r="CW255" s="122"/>
      <c r="CX255" s="122"/>
      <c r="CY255" s="122"/>
      <c r="CZ255" s="122"/>
      <c r="DA255" s="122"/>
      <c r="DB255" s="122"/>
      <c r="DC255" s="122"/>
      <c r="DD255" s="122"/>
      <c r="DE255" s="122"/>
      <c r="DF255" s="122"/>
      <c r="DG255" s="122"/>
      <c r="DH255" s="122"/>
      <c r="DI255" s="122"/>
      <c r="DJ255" s="122"/>
      <c r="DK255" s="122"/>
      <c r="DL255" s="122"/>
      <c r="DM255" s="122"/>
      <c r="DN255" s="122"/>
      <c r="DO255" s="122"/>
      <c r="DP255" s="122"/>
      <c r="DQ255" s="122"/>
      <c r="DR255" s="122"/>
      <c r="DS255" s="122"/>
      <c r="DT255" s="122"/>
      <c r="DU255" s="122"/>
      <c r="DV255" s="122"/>
      <c r="DW255" s="122"/>
      <c r="DX255" s="122"/>
      <c r="DY255" s="122"/>
      <c r="DZ255" s="122"/>
      <c r="EA255" s="122"/>
      <c r="EB255" s="122"/>
      <c r="EC255" s="122"/>
      <c r="ED255" s="122"/>
      <c r="EE255" s="122"/>
      <c r="EF255" s="122"/>
      <c r="EG255" s="122"/>
      <c r="EH255" s="122"/>
      <c r="EI255" s="122"/>
      <c r="EJ255" s="122"/>
      <c r="EK255" s="122"/>
      <c r="EL255" s="122"/>
      <c r="EM255" s="122"/>
      <c r="EN255" s="122"/>
      <c r="EO255" s="122"/>
      <c r="EP255" s="122"/>
      <c r="EQ255" s="122"/>
      <c r="ER255" s="122"/>
      <c r="ES255" s="122"/>
      <c r="ET255" s="122"/>
      <c r="EU255" s="122"/>
      <c r="EV255" s="122"/>
      <c r="EW255" s="122"/>
      <c r="EX255" s="122"/>
      <c r="EY255" s="122"/>
      <c r="EZ255" s="122"/>
      <c r="FA255" s="122"/>
      <c r="FB255" s="122"/>
      <c r="FC255" s="122"/>
      <c r="FD255" s="122"/>
      <c r="FE255" s="122"/>
      <c r="FF255" s="122"/>
      <c r="FG255" s="122"/>
      <c r="FH255" s="122"/>
      <c r="FI255" s="122"/>
      <c r="FJ255" s="122"/>
      <c r="FK255" s="122"/>
      <c r="FL255" s="122"/>
      <c r="FM255" s="122"/>
      <c r="FN255" s="122"/>
      <c r="FO255" s="122"/>
      <c r="FP255" s="122"/>
      <c r="FQ255" s="122"/>
      <c r="FR255" s="122"/>
      <c r="FS255" s="122"/>
      <c r="FT255" s="122"/>
      <c r="FU255" s="122"/>
      <c r="FV255" s="122"/>
      <c r="FW255" s="122"/>
      <c r="FX255" s="122"/>
      <c r="FY255" s="122"/>
      <c r="FZ255" s="122"/>
      <c r="GA255" s="122"/>
      <c r="GB255" s="122"/>
      <c r="GC255" s="122"/>
      <c r="GD255" s="122"/>
      <c r="GE255" s="122"/>
      <c r="GF255" s="122"/>
      <c r="GG255" s="122"/>
      <c r="GH255" s="122"/>
      <c r="GI255" s="122"/>
      <c r="GJ255" s="122"/>
      <c r="GK255" s="122"/>
      <c r="GL255" s="122"/>
      <c r="GM255" s="122"/>
      <c r="GN255" s="122"/>
      <c r="GO255" s="122"/>
      <c r="GP255" s="122"/>
      <c r="GQ255" s="122"/>
      <c r="GR255" s="122"/>
      <c r="GS255" s="122"/>
      <c r="GT255" s="122"/>
      <c r="GU255" s="122"/>
      <c r="GV255" s="122"/>
      <c r="GW255" s="122"/>
      <c r="GX255" s="122"/>
      <c r="GY255" s="122"/>
      <c r="GZ255" s="122"/>
      <c r="HA255" s="122"/>
      <c r="HB255" s="122"/>
      <c r="HC255" s="122"/>
      <c r="HD255" s="122"/>
      <c r="HE255" s="122"/>
      <c r="HF255" s="122"/>
      <c r="HG255" s="122"/>
      <c r="HH255" s="122"/>
      <c r="HI255" s="122"/>
      <c r="HJ255" s="122"/>
      <c r="HK255" s="122"/>
      <c r="HL255" s="122"/>
      <c r="HM255" s="122"/>
      <c r="HN255" s="122"/>
      <c r="HO255" s="122"/>
      <c r="HP255" s="122"/>
      <c r="HQ255" s="122"/>
      <c r="HR255" s="122"/>
      <c r="HS255" s="122"/>
      <c r="HT255" s="122"/>
      <c r="HU255" s="122"/>
      <c r="HV255" s="122"/>
      <c r="HW255" s="122"/>
      <c r="HX255" s="122"/>
      <c r="HY255" s="122"/>
      <c r="HZ255" s="122"/>
      <c r="IA255" s="122"/>
      <c r="IB255" s="122"/>
      <c r="IC255" s="122"/>
      <c r="ID255" s="122"/>
      <c r="IE255" s="122"/>
      <c r="IF255" s="122"/>
      <c r="IG255" s="122"/>
      <c r="IH255" s="122"/>
      <c r="II255" s="122"/>
      <c r="IJ255" s="122"/>
      <c r="IK255" s="122"/>
      <c r="IL255" s="122"/>
      <c r="IM255" s="122"/>
      <c r="IN255" s="122"/>
      <c r="IO255" s="122"/>
      <c r="IP255" s="122"/>
      <c r="IQ255" s="122"/>
      <c r="IR255" s="122"/>
      <c r="IS255" s="122"/>
      <c r="IT255" s="122"/>
      <c r="IU255" s="122"/>
      <c r="IV255" s="122"/>
      <c r="IW255" s="122"/>
      <c r="IX255" s="122"/>
      <c r="IY255" s="122"/>
      <c r="IZ255" s="122"/>
      <c r="JA255" s="122"/>
      <c r="JB255" s="122"/>
      <c r="JC255" s="122"/>
      <c r="JD255" s="122"/>
      <c r="JE255" s="122"/>
      <c r="JF255" s="122"/>
      <c r="JG255" s="122"/>
      <c r="JH255" s="122"/>
      <c r="JI255" s="119"/>
      <c r="JJ255" s="2"/>
      <c r="JK255" s="122"/>
      <c r="JL255" s="125"/>
      <c r="JM255" s="125"/>
      <c r="JN255" s="125"/>
      <c r="JO255" s="125"/>
      <c r="JP255" s="125"/>
    </row>
    <row r="256" spans="1:27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  <c r="AS256" s="122"/>
      <c r="AT256" s="122"/>
      <c r="AU256" s="122"/>
      <c r="AV256" s="122"/>
      <c r="AW256" s="122"/>
      <c r="AX256" s="122"/>
      <c r="AY256" s="122"/>
      <c r="AZ256" s="122"/>
      <c r="BA256" s="122"/>
      <c r="BB256" s="122"/>
      <c r="BC256" s="122"/>
      <c r="BD256" s="122"/>
      <c r="BE256" s="122"/>
      <c r="BF256" s="122"/>
      <c r="BG256" s="122"/>
      <c r="BH256" s="122"/>
      <c r="BI256" s="122"/>
      <c r="BJ256" s="122"/>
      <c r="BK256" s="122"/>
      <c r="BL256" s="122"/>
      <c r="BM256" s="122"/>
      <c r="BN256" s="122"/>
      <c r="BO256" s="122"/>
      <c r="BP256" s="122"/>
      <c r="BQ256" s="122"/>
      <c r="BR256" s="122"/>
      <c r="BS256" s="122"/>
      <c r="BT256" s="122"/>
      <c r="BU256" s="122"/>
      <c r="BV256" s="122"/>
      <c r="BW256" s="122"/>
      <c r="BX256" s="122"/>
      <c r="BY256" s="122"/>
      <c r="BZ256" s="122"/>
      <c r="CA256" s="122"/>
      <c r="CB256" s="122"/>
      <c r="CC256" s="122"/>
      <c r="CD256" s="122"/>
      <c r="CE256" s="122"/>
      <c r="CF256" s="122"/>
      <c r="CG256" s="122"/>
      <c r="CH256" s="122"/>
      <c r="CI256" s="122"/>
      <c r="CJ256" s="122"/>
      <c r="CK256" s="122"/>
      <c r="CL256" s="122"/>
      <c r="CM256" s="122"/>
      <c r="CN256" s="122"/>
      <c r="CO256" s="122"/>
      <c r="CP256" s="122"/>
      <c r="CQ256" s="122"/>
      <c r="CR256" s="122"/>
      <c r="CS256" s="122"/>
      <c r="CT256" s="122"/>
      <c r="CU256" s="122"/>
      <c r="CV256" s="122"/>
      <c r="CW256" s="122"/>
      <c r="CX256" s="122"/>
      <c r="CY256" s="122"/>
      <c r="CZ256" s="122"/>
      <c r="DA256" s="122"/>
      <c r="DB256" s="122"/>
      <c r="DC256" s="122"/>
      <c r="DD256" s="122"/>
      <c r="DE256" s="122"/>
      <c r="DF256" s="122"/>
      <c r="DG256" s="122"/>
      <c r="DH256" s="122"/>
      <c r="DI256" s="122"/>
      <c r="DJ256" s="122"/>
      <c r="DK256" s="122"/>
      <c r="DL256" s="122"/>
      <c r="DM256" s="122"/>
      <c r="DN256" s="122"/>
      <c r="DO256" s="122"/>
      <c r="DP256" s="122"/>
      <c r="DQ256" s="122"/>
      <c r="DR256" s="122"/>
      <c r="DS256" s="122"/>
      <c r="DT256" s="122"/>
      <c r="DU256" s="122"/>
      <c r="DV256" s="122"/>
      <c r="DW256" s="122"/>
      <c r="DX256" s="122"/>
      <c r="DY256" s="122"/>
      <c r="DZ256" s="122"/>
      <c r="EA256" s="122"/>
      <c r="EB256" s="122"/>
      <c r="EC256" s="122"/>
      <c r="ED256" s="122"/>
      <c r="EE256" s="122"/>
      <c r="EF256" s="122"/>
      <c r="EG256" s="122"/>
      <c r="EH256" s="122"/>
      <c r="EI256" s="122"/>
      <c r="EJ256" s="122"/>
      <c r="EK256" s="122"/>
      <c r="EL256" s="122"/>
      <c r="EM256" s="122"/>
      <c r="EN256" s="122"/>
      <c r="EO256" s="122"/>
      <c r="EP256" s="122"/>
      <c r="EQ256" s="122"/>
      <c r="ER256" s="122"/>
      <c r="ES256" s="122"/>
      <c r="ET256" s="122"/>
      <c r="EU256" s="122"/>
      <c r="EV256" s="122"/>
      <c r="EW256" s="122"/>
      <c r="EX256" s="122"/>
      <c r="EY256" s="122"/>
      <c r="EZ256" s="122"/>
      <c r="FA256" s="122"/>
      <c r="FB256" s="122"/>
      <c r="FC256" s="122"/>
      <c r="FD256" s="122"/>
      <c r="FE256" s="122"/>
      <c r="FF256" s="122"/>
      <c r="FG256" s="122"/>
      <c r="FH256" s="122"/>
      <c r="FI256" s="122"/>
      <c r="FJ256" s="122"/>
      <c r="FK256" s="122"/>
      <c r="FL256" s="122"/>
      <c r="FM256" s="122"/>
      <c r="FN256" s="122"/>
      <c r="FO256" s="122"/>
      <c r="FP256" s="122"/>
      <c r="FQ256" s="122"/>
      <c r="FR256" s="122"/>
      <c r="FS256" s="122"/>
      <c r="FT256" s="122"/>
      <c r="FU256" s="122"/>
      <c r="FV256" s="122"/>
      <c r="FW256" s="122"/>
      <c r="FX256" s="122"/>
      <c r="FY256" s="122"/>
      <c r="FZ256" s="122"/>
      <c r="GA256" s="122"/>
      <c r="GB256" s="122"/>
      <c r="GC256" s="122"/>
      <c r="GD256" s="122"/>
      <c r="GE256" s="122"/>
      <c r="GF256" s="122"/>
      <c r="GG256" s="122"/>
      <c r="GH256" s="122"/>
      <c r="GI256" s="122"/>
      <c r="GJ256" s="122"/>
      <c r="GK256" s="122"/>
      <c r="GL256" s="122"/>
      <c r="GM256" s="122"/>
      <c r="GN256" s="122"/>
      <c r="GO256" s="122"/>
      <c r="GP256" s="122"/>
      <c r="GQ256" s="122"/>
      <c r="GR256" s="122"/>
      <c r="GS256" s="122"/>
      <c r="GT256" s="122"/>
      <c r="GU256" s="122"/>
      <c r="GV256" s="122"/>
      <c r="GW256" s="122"/>
      <c r="GX256" s="122"/>
      <c r="GY256" s="122"/>
      <c r="GZ256" s="122"/>
      <c r="HA256" s="122"/>
      <c r="HB256" s="122"/>
      <c r="HC256" s="122"/>
      <c r="HD256" s="122"/>
      <c r="HE256" s="122"/>
      <c r="HF256" s="122"/>
      <c r="HG256" s="122"/>
      <c r="HH256" s="122"/>
      <c r="HI256" s="122"/>
      <c r="HJ256" s="122"/>
      <c r="HK256" s="122"/>
      <c r="HL256" s="122"/>
      <c r="HM256" s="122"/>
      <c r="HN256" s="122"/>
      <c r="HO256" s="122"/>
      <c r="HP256" s="122"/>
      <c r="HQ256" s="122"/>
      <c r="HR256" s="122"/>
      <c r="HS256" s="122"/>
      <c r="HT256" s="122"/>
      <c r="HU256" s="122"/>
      <c r="HV256" s="122"/>
      <c r="HW256" s="122"/>
      <c r="HX256" s="122"/>
      <c r="HY256" s="122"/>
      <c r="HZ256" s="122"/>
      <c r="IA256" s="122"/>
      <c r="IB256" s="122"/>
      <c r="IC256" s="122"/>
      <c r="ID256" s="122"/>
      <c r="IE256" s="122"/>
      <c r="IF256" s="122"/>
      <c r="IG256" s="122"/>
      <c r="IH256" s="122"/>
      <c r="II256" s="122"/>
      <c r="IJ256" s="122"/>
      <c r="IK256" s="122"/>
      <c r="IL256" s="122"/>
      <c r="IM256" s="122"/>
      <c r="IN256" s="122"/>
      <c r="IO256" s="122"/>
      <c r="IP256" s="122"/>
      <c r="IQ256" s="122"/>
      <c r="IR256" s="122"/>
      <c r="IS256" s="122"/>
      <c r="IT256" s="122"/>
      <c r="IU256" s="122"/>
      <c r="IV256" s="122"/>
      <c r="IW256" s="122"/>
      <c r="IX256" s="122"/>
      <c r="IY256" s="122"/>
      <c r="IZ256" s="122"/>
      <c r="JA256" s="122"/>
      <c r="JB256" s="122"/>
      <c r="JC256" s="122"/>
      <c r="JD256" s="122"/>
      <c r="JE256" s="122"/>
      <c r="JF256" s="122"/>
      <c r="JG256" s="122"/>
      <c r="JH256" s="122"/>
      <c r="JI256" s="119"/>
      <c r="JJ256" s="2"/>
      <c r="JK256" s="122"/>
      <c r="JL256" s="125"/>
      <c r="JM256" s="125"/>
      <c r="JN256" s="125"/>
      <c r="JO256" s="125"/>
      <c r="JP256" s="125"/>
    </row>
    <row r="257" spans="1:276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  <c r="AT257" s="122"/>
      <c r="AU257" s="122"/>
      <c r="AV257" s="122"/>
      <c r="AW257" s="122"/>
      <c r="AX257" s="122"/>
      <c r="AY257" s="122"/>
      <c r="AZ257" s="122"/>
      <c r="BA257" s="122"/>
      <c r="BB257" s="122"/>
      <c r="BC257" s="122"/>
      <c r="BD257" s="122"/>
      <c r="BE257" s="122"/>
      <c r="BF257" s="122"/>
      <c r="BG257" s="122"/>
      <c r="BH257" s="122"/>
      <c r="BI257" s="122"/>
      <c r="BJ257" s="122"/>
      <c r="BK257" s="122"/>
      <c r="BL257" s="122"/>
      <c r="BM257" s="122"/>
      <c r="BN257" s="122"/>
      <c r="BO257" s="122"/>
      <c r="BP257" s="122"/>
      <c r="BQ257" s="122"/>
      <c r="BR257" s="122"/>
      <c r="BS257" s="122"/>
      <c r="BT257" s="122"/>
      <c r="BU257" s="122"/>
      <c r="BV257" s="122"/>
      <c r="BW257" s="122"/>
      <c r="BX257" s="122"/>
      <c r="BY257" s="122"/>
      <c r="BZ257" s="122"/>
      <c r="CA257" s="122"/>
      <c r="CB257" s="122"/>
      <c r="CC257" s="122"/>
      <c r="CD257" s="122"/>
      <c r="CE257" s="122"/>
      <c r="CF257" s="122"/>
      <c r="CG257" s="122"/>
      <c r="CH257" s="122"/>
      <c r="CI257" s="122"/>
      <c r="CJ257" s="122"/>
      <c r="CK257" s="122"/>
      <c r="CL257" s="122"/>
      <c r="CM257" s="122"/>
      <c r="CN257" s="122"/>
      <c r="CO257" s="122"/>
      <c r="CP257" s="122"/>
      <c r="CQ257" s="122"/>
      <c r="CR257" s="122"/>
      <c r="CS257" s="122"/>
      <c r="CT257" s="122"/>
      <c r="CU257" s="122"/>
      <c r="CV257" s="122"/>
      <c r="CW257" s="122"/>
      <c r="CX257" s="122"/>
      <c r="CY257" s="122"/>
      <c r="CZ257" s="122"/>
      <c r="DA257" s="122"/>
      <c r="DB257" s="122"/>
      <c r="DC257" s="122"/>
      <c r="DD257" s="122"/>
      <c r="DE257" s="122"/>
      <c r="DF257" s="122"/>
      <c r="DG257" s="122"/>
      <c r="DH257" s="122"/>
      <c r="DI257" s="122"/>
      <c r="DJ257" s="122"/>
      <c r="DK257" s="122"/>
      <c r="DL257" s="122"/>
      <c r="DM257" s="122"/>
      <c r="DN257" s="122"/>
      <c r="DO257" s="122"/>
      <c r="DP257" s="122"/>
      <c r="DQ257" s="122"/>
      <c r="DR257" s="122"/>
      <c r="DS257" s="122"/>
      <c r="DT257" s="122"/>
      <c r="DU257" s="122"/>
      <c r="DV257" s="122"/>
      <c r="DW257" s="122"/>
      <c r="DX257" s="122"/>
      <c r="DY257" s="122"/>
      <c r="DZ257" s="122"/>
      <c r="EA257" s="122"/>
      <c r="EB257" s="122"/>
      <c r="EC257" s="122"/>
      <c r="ED257" s="122"/>
      <c r="EE257" s="122"/>
      <c r="EF257" s="122"/>
      <c r="EG257" s="122"/>
      <c r="EH257" s="122"/>
      <c r="EI257" s="122"/>
      <c r="EJ257" s="122"/>
      <c r="EK257" s="122"/>
      <c r="EL257" s="122"/>
      <c r="EM257" s="122"/>
      <c r="EN257" s="122"/>
      <c r="EO257" s="122"/>
      <c r="EP257" s="122"/>
      <c r="EQ257" s="122"/>
      <c r="ER257" s="122"/>
      <c r="ES257" s="122"/>
      <c r="ET257" s="122"/>
      <c r="EU257" s="122"/>
      <c r="EV257" s="122"/>
      <c r="EW257" s="122"/>
      <c r="EX257" s="122"/>
      <c r="EY257" s="122"/>
      <c r="EZ257" s="122"/>
      <c r="FA257" s="122"/>
      <c r="FB257" s="122"/>
      <c r="FC257" s="122"/>
      <c r="FD257" s="122"/>
      <c r="FE257" s="122"/>
      <c r="FF257" s="122"/>
      <c r="FG257" s="122"/>
      <c r="FH257" s="122"/>
      <c r="FI257" s="122"/>
      <c r="FJ257" s="122"/>
      <c r="FK257" s="122"/>
      <c r="FL257" s="122"/>
      <c r="FM257" s="122"/>
      <c r="FN257" s="122"/>
      <c r="FO257" s="122"/>
      <c r="FP257" s="122"/>
      <c r="FQ257" s="122"/>
      <c r="FR257" s="122"/>
      <c r="FS257" s="122"/>
      <c r="FT257" s="122"/>
      <c r="FU257" s="122"/>
      <c r="FV257" s="122"/>
      <c r="FW257" s="122"/>
      <c r="FX257" s="122"/>
      <c r="FY257" s="122"/>
      <c r="FZ257" s="122"/>
      <c r="GA257" s="122"/>
      <c r="GB257" s="122"/>
      <c r="GC257" s="122"/>
      <c r="GD257" s="122"/>
      <c r="GE257" s="122"/>
      <c r="GF257" s="122"/>
      <c r="GG257" s="122"/>
      <c r="GH257" s="122"/>
      <c r="GI257" s="122"/>
      <c r="GJ257" s="122"/>
      <c r="GK257" s="122"/>
      <c r="GL257" s="122"/>
      <c r="GM257" s="122"/>
      <c r="GN257" s="122"/>
      <c r="GO257" s="122"/>
      <c r="GP257" s="122"/>
      <c r="GQ257" s="122"/>
      <c r="GR257" s="122"/>
      <c r="GS257" s="122"/>
      <c r="GT257" s="122"/>
      <c r="GU257" s="122"/>
      <c r="GV257" s="122"/>
      <c r="GW257" s="122"/>
      <c r="GX257" s="122"/>
      <c r="GY257" s="122"/>
      <c r="GZ257" s="122"/>
      <c r="HA257" s="122"/>
      <c r="HB257" s="122"/>
      <c r="HC257" s="122"/>
      <c r="HD257" s="122"/>
      <c r="HE257" s="122"/>
      <c r="HF257" s="122"/>
      <c r="HG257" s="122"/>
      <c r="HH257" s="122"/>
      <c r="HI257" s="122"/>
      <c r="HJ257" s="122"/>
      <c r="HK257" s="122"/>
      <c r="HL257" s="122"/>
      <c r="HM257" s="122"/>
      <c r="HN257" s="122"/>
      <c r="HO257" s="122"/>
      <c r="HP257" s="122"/>
      <c r="HQ257" s="122"/>
      <c r="HR257" s="122"/>
      <c r="HS257" s="122"/>
      <c r="HT257" s="122"/>
      <c r="HU257" s="122"/>
      <c r="HV257" s="122"/>
      <c r="HW257" s="122"/>
      <c r="HX257" s="122"/>
      <c r="HY257" s="122"/>
      <c r="HZ257" s="122"/>
      <c r="IA257" s="122"/>
      <c r="IB257" s="122"/>
      <c r="IC257" s="122"/>
      <c r="ID257" s="122"/>
      <c r="IE257" s="122"/>
      <c r="IF257" s="122"/>
      <c r="IG257" s="122"/>
      <c r="IH257" s="122"/>
      <c r="II257" s="122"/>
      <c r="IJ257" s="122"/>
      <c r="IK257" s="122"/>
      <c r="IL257" s="122"/>
      <c r="IM257" s="122"/>
      <c r="IN257" s="122"/>
      <c r="IO257" s="122"/>
      <c r="IP257" s="122"/>
      <c r="IQ257" s="122"/>
      <c r="IR257" s="122"/>
      <c r="IS257" s="122"/>
      <c r="IT257" s="122"/>
      <c r="IU257" s="122"/>
      <c r="IV257" s="122"/>
      <c r="IW257" s="122"/>
      <c r="IX257" s="122"/>
      <c r="IY257" s="122"/>
      <c r="IZ257" s="122"/>
      <c r="JA257" s="122"/>
      <c r="JB257" s="122"/>
      <c r="JC257" s="122"/>
      <c r="JD257" s="122"/>
      <c r="JE257" s="122"/>
      <c r="JF257" s="122"/>
      <c r="JG257" s="122"/>
      <c r="JH257" s="122"/>
      <c r="JI257" s="119"/>
      <c r="JJ257" s="2"/>
      <c r="JK257" s="122"/>
      <c r="JL257" s="125"/>
      <c r="JM257" s="125"/>
      <c r="JN257" s="125"/>
      <c r="JO257" s="125"/>
      <c r="JP257" s="125"/>
    </row>
    <row r="258" spans="1:276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  <c r="AP258" s="122"/>
      <c r="AQ258" s="122"/>
      <c r="AR258" s="122"/>
      <c r="AS258" s="122"/>
      <c r="AT258" s="122"/>
      <c r="AU258" s="122"/>
      <c r="AV258" s="122"/>
      <c r="AW258" s="122"/>
      <c r="AX258" s="122"/>
      <c r="AY258" s="122"/>
      <c r="AZ258" s="122"/>
      <c r="BA258" s="122"/>
      <c r="BB258" s="122"/>
      <c r="BC258" s="122"/>
      <c r="BD258" s="122"/>
      <c r="BE258" s="122"/>
      <c r="BF258" s="122"/>
      <c r="BG258" s="122"/>
      <c r="BH258" s="122"/>
      <c r="BI258" s="122"/>
      <c r="BJ258" s="122"/>
      <c r="BK258" s="122"/>
      <c r="BL258" s="122"/>
      <c r="BM258" s="122"/>
      <c r="BN258" s="122"/>
      <c r="BO258" s="122"/>
      <c r="BP258" s="122"/>
      <c r="BQ258" s="122"/>
      <c r="BR258" s="122"/>
      <c r="BS258" s="122"/>
      <c r="BT258" s="122"/>
      <c r="BU258" s="122"/>
      <c r="BV258" s="122"/>
      <c r="BW258" s="122"/>
      <c r="BX258" s="122"/>
      <c r="BY258" s="122"/>
      <c r="BZ258" s="122"/>
      <c r="CA258" s="122"/>
      <c r="CB258" s="122"/>
      <c r="CC258" s="122"/>
      <c r="CD258" s="122"/>
      <c r="CE258" s="122"/>
      <c r="CF258" s="122"/>
      <c r="CG258" s="122"/>
      <c r="CH258" s="122"/>
      <c r="CI258" s="122"/>
      <c r="CJ258" s="122"/>
      <c r="CK258" s="122"/>
      <c r="CL258" s="122"/>
      <c r="CM258" s="122"/>
      <c r="CN258" s="122"/>
      <c r="CO258" s="122"/>
      <c r="CP258" s="122"/>
      <c r="CQ258" s="122"/>
      <c r="CR258" s="122"/>
      <c r="CS258" s="122"/>
      <c r="CT258" s="122"/>
      <c r="CU258" s="122"/>
      <c r="CV258" s="122"/>
      <c r="CW258" s="122"/>
      <c r="CX258" s="122"/>
      <c r="CY258" s="122"/>
      <c r="CZ258" s="122"/>
      <c r="DA258" s="122"/>
      <c r="DB258" s="122"/>
      <c r="DC258" s="122"/>
      <c r="DD258" s="122"/>
      <c r="DE258" s="122"/>
      <c r="DF258" s="122"/>
      <c r="DG258" s="122"/>
      <c r="DH258" s="122"/>
      <c r="DI258" s="122"/>
      <c r="DJ258" s="122"/>
      <c r="DK258" s="122"/>
      <c r="DL258" s="122"/>
      <c r="DM258" s="122"/>
      <c r="DN258" s="122"/>
      <c r="DO258" s="122"/>
      <c r="DP258" s="122"/>
      <c r="DQ258" s="122"/>
      <c r="DR258" s="122"/>
      <c r="DS258" s="122"/>
      <c r="DT258" s="122"/>
      <c r="DU258" s="122"/>
      <c r="DV258" s="122"/>
      <c r="DW258" s="122"/>
      <c r="DX258" s="122"/>
      <c r="DY258" s="122"/>
      <c r="DZ258" s="122"/>
      <c r="EA258" s="122"/>
      <c r="EB258" s="122"/>
      <c r="EC258" s="122"/>
      <c r="ED258" s="122"/>
      <c r="EE258" s="122"/>
      <c r="EF258" s="122"/>
      <c r="EG258" s="122"/>
      <c r="EH258" s="122"/>
      <c r="EI258" s="122"/>
      <c r="EJ258" s="122"/>
      <c r="EK258" s="122"/>
      <c r="EL258" s="122"/>
      <c r="EM258" s="122"/>
      <c r="EN258" s="122"/>
      <c r="EO258" s="122"/>
      <c r="EP258" s="122"/>
      <c r="EQ258" s="122"/>
      <c r="ER258" s="122"/>
      <c r="ES258" s="122"/>
      <c r="ET258" s="122"/>
      <c r="EU258" s="122"/>
      <c r="EV258" s="122"/>
      <c r="EW258" s="122"/>
      <c r="EX258" s="122"/>
      <c r="EY258" s="122"/>
      <c r="EZ258" s="122"/>
      <c r="FA258" s="122"/>
      <c r="FB258" s="122"/>
      <c r="FC258" s="122"/>
      <c r="FD258" s="122"/>
      <c r="FE258" s="122"/>
      <c r="FF258" s="122"/>
      <c r="FG258" s="122"/>
      <c r="FH258" s="122"/>
      <c r="FI258" s="122"/>
      <c r="FJ258" s="122"/>
      <c r="FK258" s="122"/>
      <c r="FL258" s="122"/>
      <c r="FM258" s="122"/>
      <c r="FN258" s="122"/>
      <c r="FO258" s="122"/>
      <c r="FP258" s="122"/>
      <c r="FQ258" s="122"/>
      <c r="FR258" s="122"/>
      <c r="FS258" s="122"/>
      <c r="FT258" s="122"/>
      <c r="FU258" s="122"/>
      <c r="FV258" s="122"/>
      <c r="FW258" s="122"/>
      <c r="FX258" s="122"/>
      <c r="FY258" s="122"/>
      <c r="FZ258" s="122"/>
      <c r="GA258" s="122"/>
      <c r="GB258" s="122"/>
      <c r="GC258" s="122"/>
      <c r="GD258" s="122"/>
      <c r="GE258" s="122"/>
      <c r="GF258" s="122"/>
      <c r="GG258" s="122"/>
      <c r="GH258" s="122"/>
      <c r="GI258" s="122"/>
      <c r="GJ258" s="122"/>
      <c r="GK258" s="122"/>
      <c r="GL258" s="122"/>
      <c r="GM258" s="122"/>
      <c r="GN258" s="122"/>
      <c r="GO258" s="122"/>
      <c r="GP258" s="122"/>
      <c r="GQ258" s="122"/>
      <c r="GR258" s="122"/>
      <c r="GS258" s="122"/>
      <c r="GT258" s="122"/>
      <c r="GU258" s="122"/>
      <c r="GV258" s="122"/>
      <c r="GW258" s="122"/>
      <c r="GX258" s="122"/>
      <c r="GY258" s="122"/>
      <c r="GZ258" s="122"/>
      <c r="HA258" s="122"/>
      <c r="HB258" s="122"/>
      <c r="HC258" s="122"/>
      <c r="HD258" s="122"/>
      <c r="HE258" s="122"/>
      <c r="HF258" s="122"/>
      <c r="HG258" s="122"/>
      <c r="HH258" s="122"/>
      <c r="HI258" s="122"/>
      <c r="HJ258" s="122"/>
      <c r="HK258" s="122"/>
      <c r="HL258" s="122"/>
      <c r="HM258" s="122"/>
      <c r="HN258" s="122"/>
      <c r="HO258" s="122"/>
      <c r="HP258" s="122"/>
      <c r="HQ258" s="122"/>
      <c r="HR258" s="122"/>
      <c r="HS258" s="122"/>
      <c r="HT258" s="122"/>
      <c r="HU258" s="122"/>
      <c r="HV258" s="122"/>
      <c r="HW258" s="122"/>
      <c r="HX258" s="122"/>
      <c r="HY258" s="122"/>
      <c r="HZ258" s="122"/>
      <c r="IA258" s="122"/>
      <c r="IB258" s="122"/>
      <c r="IC258" s="122"/>
      <c r="ID258" s="122"/>
      <c r="IE258" s="122"/>
      <c r="IF258" s="122"/>
      <c r="IG258" s="122"/>
      <c r="IH258" s="122"/>
      <c r="II258" s="122"/>
      <c r="IJ258" s="122"/>
      <c r="IK258" s="122"/>
      <c r="IL258" s="122"/>
      <c r="IM258" s="122"/>
      <c r="IN258" s="122"/>
      <c r="IO258" s="122"/>
      <c r="IP258" s="122"/>
      <c r="IQ258" s="122"/>
      <c r="IR258" s="122"/>
      <c r="IS258" s="122"/>
      <c r="IT258" s="122"/>
      <c r="IU258" s="122"/>
      <c r="IV258" s="122"/>
      <c r="IW258" s="122"/>
      <c r="IX258" s="122"/>
      <c r="IY258" s="122"/>
      <c r="IZ258" s="122"/>
      <c r="JA258" s="122"/>
      <c r="JB258" s="122"/>
      <c r="JC258" s="122"/>
      <c r="JD258" s="122"/>
      <c r="JE258" s="122"/>
      <c r="JF258" s="122"/>
      <c r="JG258" s="122"/>
      <c r="JH258" s="122"/>
      <c r="JI258" s="119"/>
      <c r="JJ258" s="2"/>
      <c r="JK258" s="122"/>
      <c r="JL258" s="125"/>
      <c r="JM258" s="125"/>
      <c r="JN258" s="125"/>
      <c r="JO258" s="125"/>
      <c r="JP258" s="125"/>
    </row>
    <row r="259" spans="1:276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122"/>
      <c r="AQ259" s="122"/>
      <c r="AR259" s="122"/>
      <c r="AS259" s="122"/>
      <c r="AT259" s="122"/>
      <c r="AU259" s="122"/>
      <c r="AV259" s="122"/>
      <c r="AW259" s="122"/>
      <c r="AX259" s="122"/>
      <c r="AY259" s="122"/>
      <c r="AZ259" s="122"/>
      <c r="BA259" s="122"/>
      <c r="BB259" s="122"/>
      <c r="BC259" s="122"/>
      <c r="BD259" s="122"/>
      <c r="BE259" s="122"/>
      <c r="BF259" s="122"/>
      <c r="BG259" s="122"/>
      <c r="BH259" s="122"/>
      <c r="BI259" s="122"/>
      <c r="BJ259" s="122"/>
      <c r="BK259" s="122"/>
      <c r="BL259" s="122"/>
      <c r="BM259" s="122"/>
      <c r="BN259" s="122"/>
      <c r="BO259" s="122"/>
      <c r="BP259" s="122"/>
      <c r="BQ259" s="122"/>
      <c r="BR259" s="122"/>
      <c r="BS259" s="122"/>
      <c r="BT259" s="122"/>
      <c r="BU259" s="122"/>
      <c r="BV259" s="122"/>
      <c r="BW259" s="122"/>
      <c r="BX259" s="122"/>
      <c r="BY259" s="122"/>
      <c r="BZ259" s="122"/>
      <c r="CA259" s="122"/>
      <c r="CB259" s="122"/>
      <c r="CC259" s="122"/>
      <c r="CD259" s="122"/>
      <c r="CE259" s="122"/>
      <c r="CF259" s="122"/>
      <c r="CG259" s="122"/>
      <c r="CH259" s="122"/>
      <c r="CI259" s="122"/>
      <c r="CJ259" s="122"/>
      <c r="CK259" s="122"/>
      <c r="CL259" s="122"/>
      <c r="CM259" s="122"/>
      <c r="CN259" s="122"/>
      <c r="CO259" s="122"/>
      <c r="CP259" s="122"/>
      <c r="CQ259" s="122"/>
      <c r="CR259" s="122"/>
      <c r="CS259" s="122"/>
      <c r="CT259" s="122"/>
      <c r="CU259" s="122"/>
      <c r="CV259" s="122"/>
      <c r="CW259" s="122"/>
      <c r="CX259" s="122"/>
      <c r="CY259" s="122"/>
      <c r="CZ259" s="122"/>
      <c r="DA259" s="122"/>
      <c r="DB259" s="122"/>
      <c r="DC259" s="122"/>
      <c r="DD259" s="122"/>
      <c r="DE259" s="122"/>
      <c r="DF259" s="122"/>
      <c r="DG259" s="122"/>
      <c r="DH259" s="122"/>
      <c r="DI259" s="122"/>
      <c r="DJ259" s="122"/>
      <c r="DK259" s="122"/>
      <c r="DL259" s="122"/>
      <c r="DM259" s="122"/>
      <c r="DN259" s="122"/>
      <c r="DO259" s="122"/>
      <c r="DP259" s="122"/>
      <c r="DQ259" s="122"/>
      <c r="DR259" s="122"/>
      <c r="DS259" s="122"/>
      <c r="DT259" s="122"/>
      <c r="DU259" s="122"/>
      <c r="DV259" s="122"/>
      <c r="DW259" s="122"/>
      <c r="DX259" s="122"/>
      <c r="DY259" s="122"/>
      <c r="DZ259" s="122"/>
      <c r="EA259" s="122"/>
      <c r="EB259" s="122"/>
      <c r="EC259" s="122"/>
      <c r="ED259" s="122"/>
      <c r="EE259" s="122"/>
      <c r="EF259" s="122"/>
      <c r="EG259" s="122"/>
      <c r="EH259" s="122"/>
      <c r="EI259" s="122"/>
      <c r="EJ259" s="122"/>
      <c r="EK259" s="122"/>
      <c r="EL259" s="122"/>
      <c r="EM259" s="122"/>
      <c r="EN259" s="122"/>
      <c r="EO259" s="122"/>
      <c r="EP259" s="122"/>
      <c r="EQ259" s="122"/>
      <c r="ER259" s="122"/>
      <c r="ES259" s="122"/>
      <c r="ET259" s="122"/>
      <c r="EU259" s="122"/>
      <c r="EV259" s="122"/>
      <c r="EW259" s="122"/>
      <c r="EX259" s="122"/>
      <c r="EY259" s="122"/>
      <c r="EZ259" s="122"/>
      <c r="FA259" s="122"/>
      <c r="FB259" s="122"/>
      <c r="FC259" s="122"/>
      <c r="FD259" s="122"/>
      <c r="FE259" s="122"/>
      <c r="FF259" s="122"/>
      <c r="FG259" s="122"/>
      <c r="FH259" s="122"/>
      <c r="FI259" s="122"/>
      <c r="FJ259" s="122"/>
      <c r="FK259" s="122"/>
      <c r="FL259" s="122"/>
      <c r="FM259" s="122"/>
      <c r="FN259" s="122"/>
      <c r="FO259" s="122"/>
      <c r="FP259" s="122"/>
      <c r="FQ259" s="122"/>
      <c r="FR259" s="122"/>
      <c r="FS259" s="122"/>
      <c r="FT259" s="122"/>
      <c r="FU259" s="122"/>
      <c r="FV259" s="122"/>
      <c r="FW259" s="122"/>
      <c r="FX259" s="122"/>
      <c r="FY259" s="122"/>
      <c r="FZ259" s="122"/>
      <c r="GA259" s="122"/>
      <c r="GB259" s="122"/>
      <c r="GC259" s="122"/>
      <c r="GD259" s="122"/>
      <c r="GE259" s="122"/>
      <c r="GF259" s="122"/>
      <c r="GG259" s="122"/>
      <c r="GH259" s="122"/>
      <c r="GI259" s="122"/>
      <c r="GJ259" s="122"/>
      <c r="GK259" s="122"/>
      <c r="GL259" s="122"/>
      <c r="GM259" s="122"/>
      <c r="GN259" s="122"/>
      <c r="GO259" s="122"/>
      <c r="GP259" s="122"/>
      <c r="GQ259" s="122"/>
      <c r="GR259" s="122"/>
      <c r="GS259" s="122"/>
      <c r="GT259" s="122"/>
      <c r="GU259" s="122"/>
      <c r="GV259" s="122"/>
      <c r="GW259" s="122"/>
      <c r="GX259" s="122"/>
      <c r="GY259" s="122"/>
      <c r="GZ259" s="122"/>
      <c r="HA259" s="122"/>
      <c r="HB259" s="122"/>
      <c r="HC259" s="122"/>
      <c r="HD259" s="122"/>
      <c r="HE259" s="122"/>
      <c r="HF259" s="122"/>
      <c r="HG259" s="122"/>
      <c r="HH259" s="122"/>
      <c r="HI259" s="122"/>
      <c r="HJ259" s="122"/>
      <c r="HK259" s="122"/>
      <c r="HL259" s="122"/>
      <c r="HM259" s="122"/>
      <c r="HN259" s="122"/>
      <c r="HO259" s="122"/>
      <c r="HP259" s="122"/>
      <c r="HQ259" s="122"/>
      <c r="HR259" s="122"/>
      <c r="HS259" s="122"/>
      <c r="HT259" s="122"/>
      <c r="HU259" s="122"/>
      <c r="HV259" s="122"/>
      <c r="HW259" s="122"/>
      <c r="HX259" s="122"/>
      <c r="HY259" s="122"/>
      <c r="HZ259" s="122"/>
      <c r="IA259" s="122"/>
      <c r="IB259" s="122"/>
      <c r="IC259" s="122"/>
      <c r="ID259" s="122"/>
      <c r="IE259" s="122"/>
      <c r="IF259" s="122"/>
      <c r="IG259" s="122"/>
      <c r="IH259" s="122"/>
      <c r="II259" s="122"/>
      <c r="IJ259" s="122"/>
      <c r="IK259" s="122"/>
      <c r="IL259" s="122"/>
      <c r="IM259" s="122"/>
      <c r="IN259" s="122"/>
      <c r="IO259" s="122"/>
      <c r="IP259" s="122"/>
      <c r="IQ259" s="122"/>
      <c r="IR259" s="122"/>
      <c r="IS259" s="122"/>
      <c r="IT259" s="122"/>
      <c r="IU259" s="122"/>
      <c r="IV259" s="122"/>
      <c r="IW259" s="122"/>
      <c r="IX259" s="122"/>
      <c r="IY259" s="122"/>
      <c r="IZ259" s="122"/>
      <c r="JA259" s="122"/>
      <c r="JB259" s="122"/>
      <c r="JC259" s="122"/>
      <c r="JD259" s="122"/>
      <c r="JE259" s="122"/>
      <c r="JF259" s="122"/>
      <c r="JG259" s="122"/>
      <c r="JH259" s="122"/>
      <c r="JI259" s="119"/>
      <c r="JJ259" s="2"/>
      <c r="JK259" s="122"/>
      <c r="JL259" s="125"/>
      <c r="JM259" s="125"/>
      <c r="JN259" s="125"/>
      <c r="JO259" s="125"/>
      <c r="JP259" s="125"/>
    </row>
    <row r="260" spans="1:276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  <c r="AP260" s="122"/>
      <c r="AQ260" s="122"/>
      <c r="AR260" s="122"/>
      <c r="AS260" s="122"/>
      <c r="AT260" s="122"/>
      <c r="AU260" s="122"/>
      <c r="AV260" s="122"/>
      <c r="AW260" s="122"/>
      <c r="AX260" s="122"/>
      <c r="AY260" s="122"/>
      <c r="AZ260" s="122"/>
      <c r="BA260" s="122"/>
      <c r="BB260" s="122"/>
      <c r="BC260" s="122"/>
      <c r="BD260" s="122"/>
      <c r="BE260" s="122"/>
      <c r="BF260" s="122"/>
      <c r="BG260" s="122"/>
      <c r="BH260" s="122"/>
      <c r="BI260" s="122"/>
      <c r="BJ260" s="122"/>
      <c r="BK260" s="122"/>
      <c r="BL260" s="122"/>
      <c r="BM260" s="122"/>
      <c r="BN260" s="122"/>
      <c r="BO260" s="122"/>
      <c r="BP260" s="122"/>
      <c r="BQ260" s="122"/>
      <c r="BR260" s="122"/>
      <c r="BS260" s="122"/>
      <c r="BT260" s="122"/>
      <c r="BU260" s="122"/>
      <c r="BV260" s="122"/>
      <c r="BW260" s="122"/>
      <c r="BX260" s="122"/>
      <c r="BY260" s="122"/>
      <c r="BZ260" s="122"/>
      <c r="CA260" s="122"/>
      <c r="CB260" s="122"/>
      <c r="CC260" s="122"/>
      <c r="CD260" s="122"/>
      <c r="CE260" s="122"/>
      <c r="CF260" s="122"/>
      <c r="CG260" s="122"/>
      <c r="CH260" s="122"/>
      <c r="CI260" s="122"/>
      <c r="CJ260" s="122"/>
      <c r="CK260" s="122"/>
      <c r="CL260" s="122"/>
      <c r="CM260" s="122"/>
      <c r="CN260" s="122"/>
      <c r="CO260" s="122"/>
      <c r="CP260" s="122"/>
      <c r="CQ260" s="122"/>
      <c r="CR260" s="122"/>
      <c r="CS260" s="122"/>
      <c r="CT260" s="122"/>
      <c r="CU260" s="122"/>
      <c r="CV260" s="122"/>
      <c r="CW260" s="122"/>
      <c r="CX260" s="122"/>
      <c r="CY260" s="122"/>
      <c r="CZ260" s="122"/>
      <c r="DA260" s="122"/>
      <c r="DB260" s="122"/>
      <c r="DC260" s="122"/>
      <c r="DD260" s="122"/>
      <c r="DE260" s="122"/>
      <c r="DF260" s="122"/>
      <c r="DG260" s="122"/>
      <c r="DH260" s="122"/>
      <c r="DI260" s="122"/>
      <c r="DJ260" s="122"/>
      <c r="DK260" s="122"/>
      <c r="DL260" s="122"/>
      <c r="DM260" s="122"/>
      <c r="DN260" s="122"/>
      <c r="DO260" s="122"/>
      <c r="DP260" s="122"/>
      <c r="DQ260" s="122"/>
      <c r="DR260" s="122"/>
      <c r="DS260" s="122"/>
      <c r="DT260" s="122"/>
      <c r="DU260" s="122"/>
      <c r="DV260" s="122"/>
      <c r="DW260" s="122"/>
      <c r="DX260" s="122"/>
      <c r="DY260" s="122"/>
      <c r="DZ260" s="122"/>
      <c r="EA260" s="122"/>
      <c r="EB260" s="122"/>
      <c r="EC260" s="122"/>
      <c r="ED260" s="122"/>
      <c r="EE260" s="122"/>
      <c r="EF260" s="122"/>
      <c r="EG260" s="122"/>
      <c r="EH260" s="122"/>
      <c r="EI260" s="122"/>
      <c r="EJ260" s="122"/>
      <c r="EK260" s="122"/>
      <c r="EL260" s="122"/>
      <c r="EM260" s="122"/>
      <c r="EN260" s="122"/>
      <c r="EO260" s="122"/>
      <c r="EP260" s="122"/>
      <c r="EQ260" s="122"/>
      <c r="ER260" s="122"/>
      <c r="ES260" s="122"/>
      <c r="ET260" s="122"/>
      <c r="EU260" s="122"/>
      <c r="EV260" s="122"/>
      <c r="EW260" s="122"/>
      <c r="EX260" s="122"/>
      <c r="EY260" s="122"/>
      <c r="EZ260" s="122"/>
      <c r="FA260" s="122"/>
      <c r="FB260" s="122"/>
      <c r="FC260" s="122"/>
      <c r="FD260" s="122"/>
      <c r="FE260" s="122"/>
      <c r="FF260" s="122"/>
      <c r="FG260" s="122"/>
      <c r="FH260" s="122"/>
      <c r="FI260" s="122"/>
      <c r="FJ260" s="122"/>
      <c r="FK260" s="122"/>
      <c r="FL260" s="122"/>
      <c r="FM260" s="122"/>
      <c r="FN260" s="122"/>
      <c r="FO260" s="122"/>
      <c r="FP260" s="122"/>
      <c r="FQ260" s="122"/>
      <c r="FR260" s="122"/>
      <c r="FS260" s="122"/>
      <c r="FT260" s="122"/>
      <c r="FU260" s="122"/>
      <c r="FV260" s="122"/>
      <c r="FW260" s="122"/>
      <c r="FX260" s="122"/>
      <c r="FY260" s="122"/>
      <c r="FZ260" s="122"/>
      <c r="GA260" s="122"/>
      <c r="GB260" s="122"/>
      <c r="GC260" s="122"/>
      <c r="GD260" s="122"/>
      <c r="GE260" s="122"/>
      <c r="GF260" s="122"/>
      <c r="GG260" s="122"/>
      <c r="GH260" s="122"/>
      <c r="GI260" s="122"/>
      <c r="GJ260" s="122"/>
      <c r="GK260" s="122"/>
      <c r="GL260" s="122"/>
      <c r="GM260" s="122"/>
      <c r="GN260" s="122"/>
      <c r="GO260" s="122"/>
      <c r="GP260" s="122"/>
      <c r="GQ260" s="122"/>
      <c r="GR260" s="122"/>
      <c r="GS260" s="122"/>
      <c r="GT260" s="122"/>
      <c r="GU260" s="122"/>
      <c r="GV260" s="122"/>
      <c r="GW260" s="122"/>
      <c r="GX260" s="122"/>
      <c r="GY260" s="122"/>
      <c r="GZ260" s="122"/>
      <c r="HA260" s="122"/>
      <c r="HB260" s="122"/>
      <c r="HC260" s="122"/>
      <c r="HD260" s="122"/>
      <c r="HE260" s="122"/>
      <c r="HF260" s="122"/>
      <c r="HG260" s="122"/>
      <c r="HH260" s="122"/>
      <c r="HI260" s="122"/>
      <c r="HJ260" s="122"/>
      <c r="HK260" s="122"/>
      <c r="HL260" s="122"/>
      <c r="HM260" s="122"/>
      <c r="HN260" s="122"/>
      <c r="HO260" s="122"/>
      <c r="HP260" s="122"/>
      <c r="HQ260" s="122"/>
      <c r="HR260" s="122"/>
      <c r="HS260" s="122"/>
      <c r="HT260" s="122"/>
      <c r="HU260" s="122"/>
      <c r="HV260" s="122"/>
      <c r="HW260" s="122"/>
      <c r="HX260" s="122"/>
      <c r="HY260" s="122"/>
      <c r="HZ260" s="122"/>
      <c r="IA260" s="122"/>
      <c r="IB260" s="122"/>
      <c r="IC260" s="122"/>
      <c r="ID260" s="122"/>
      <c r="IE260" s="122"/>
      <c r="IF260" s="122"/>
      <c r="IG260" s="122"/>
      <c r="IH260" s="122"/>
      <c r="II260" s="122"/>
      <c r="IJ260" s="122"/>
      <c r="IK260" s="122"/>
      <c r="IL260" s="122"/>
      <c r="IM260" s="122"/>
      <c r="IN260" s="122"/>
      <c r="IO260" s="122"/>
      <c r="IP260" s="122"/>
      <c r="IQ260" s="122"/>
      <c r="IR260" s="122"/>
      <c r="IS260" s="122"/>
      <c r="IT260" s="122"/>
      <c r="IU260" s="122"/>
      <c r="IV260" s="122"/>
      <c r="IW260" s="122"/>
      <c r="IX260" s="122"/>
      <c r="IY260" s="122"/>
      <c r="IZ260" s="122"/>
      <c r="JA260" s="122"/>
      <c r="JB260" s="122"/>
      <c r="JC260" s="122"/>
      <c r="JD260" s="122"/>
      <c r="JE260" s="122"/>
      <c r="JF260" s="122"/>
      <c r="JG260" s="122"/>
      <c r="JH260" s="122"/>
      <c r="JI260" s="119"/>
      <c r="JJ260" s="2"/>
      <c r="JK260" s="122"/>
      <c r="JL260" s="125"/>
      <c r="JM260" s="125"/>
      <c r="JN260" s="125"/>
      <c r="JO260" s="125"/>
      <c r="JP260" s="125"/>
    </row>
    <row r="261" spans="1:276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  <c r="AR261" s="122"/>
      <c r="AS261" s="122"/>
      <c r="AT261" s="122"/>
      <c r="AU261" s="122"/>
      <c r="AV261" s="122"/>
      <c r="AW261" s="122"/>
      <c r="AX261" s="122"/>
      <c r="AY261" s="122"/>
      <c r="AZ261" s="122"/>
      <c r="BA261" s="122"/>
      <c r="BB261" s="122"/>
      <c r="BC261" s="122"/>
      <c r="BD261" s="122"/>
      <c r="BE261" s="122"/>
      <c r="BF261" s="122"/>
      <c r="BG261" s="122"/>
      <c r="BH261" s="122"/>
      <c r="BI261" s="122"/>
      <c r="BJ261" s="122"/>
      <c r="BK261" s="122"/>
      <c r="BL261" s="122"/>
      <c r="BM261" s="122"/>
      <c r="BN261" s="122"/>
      <c r="BO261" s="122"/>
      <c r="BP261" s="122"/>
      <c r="BQ261" s="122"/>
      <c r="BR261" s="122"/>
      <c r="BS261" s="122"/>
      <c r="BT261" s="122"/>
      <c r="BU261" s="122"/>
      <c r="BV261" s="122"/>
      <c r="BW261" s="122"/>
      <c r="BX261" s="122"/>
      <c r="BY261" s="122"/>
      <c r="BZ261" s="122"/>
      <c r="CA261" s="122"/>
      <c r="CB261" s="122"/>
      <c r="CC261" s="122"/>
      <c r="CD261" s="122"/>
      <c r="CE261" s="122"/>
      <c r="CF261" s="122"/>
      <c r="CG261" s="122"/>
      <c r="CH261" s="122"/>
      <c r="CI261" s="122"/>
      <c r="CJ261" s="122"/>
      <c r="CK261" s="122"/>
      <c r="CL261" s="122"/>
      <c r="CM261" s="122"/>
      <c r="CN261" s="122"/>
      <c r="CO261" s="122"/>
      <c r="CP261" s="122"/>
      <c r="CQ261" s="122"/>
      <c r="CR261" s="122"/>
      <c r="CS261" s="122"/>
      <c r="CT261" s="122"/>
      <c r="CU261" s="122"/>
      <c r="CV261" s="122"/>
      <c r="CW261" s="122"/>
      <c r="CX261" s="122"/>
      <c r="CY261" s="122"/>
      <c r="CZ261" s="122"/>
      <c r="DA261" s="122"/>
      <c r="DB261" s="122"/>
      <c r="DC261" s="122"/>
      <c r="DD261" s="122"/>
      <c r="DE261" s="122"/>
      <c r="DF261" s="122"/>
      <c r="DG261" s="122"/>
      <c r="DH261" s="122"/>
      <c r="DI261" s="122"/>
      <c r="DJ261" s="122"/>
      <c r="DK261" s="122"/>
      <c r="DL261" s="122"/>
      <c r="DM261" s="122"/>
      <c r="DN261" s="122"/>
      <c r="DO261" s="122"/>
      <c r="DP261" s="122"/>
      <c r="DQ261" s="122"/>
      <c r="DR261" s="122"/>
      <c r="DS261" s="122"/>
      <c r="DT261" s="122"/>
      <c r="DU261" s="122"/>
      <c r="DV261" s="122"/>
      <c r="DW261" s="122"/>
      <c r="DX261" s="122"/>
      <c r="DY261" s="122"/>
      <c r="DZ261" s="122"/>
      <c r="EA261" s="122"/>
      <c r="EB261" s="122"/>
      <c r="EC261" s="122"/>
      <c r="ED261" s="122"/>
      <c r="EE261" s="122"/>
      <c r="EF261" s="122"/>
      <c r="EG261" s="122"/>
      <c r="EH261" s="122"/>
      <c r="EI261" s="122"/>
      <c r="EJ261" s="122"/>
      <c r="EK261" s="122"/>
      <c r="EL261" s="122"/>
      <c r="EM261" s="122"/>
      <c r="EN261" s="122"/>
      <c r="EO261" s="122"/>
      <c r="EP261" s="122"/>
      <c r="EQ261" s="122"/>
      <c r="ER261" s="122"/>
      <c r="ES261" s="122"/>
      <c r="ET261" s="122"/>
      <c r="EU261" s="122"/>
      <c r="EV261" s="122"/>
      <c r="EW261" s="122"/>
      <c r="EX261" s="122"/>
      <c r="EY261" s="122"/>
      <c r="EZ261" s="122"/>
      <c r="FA261" s="122"/>
      <c r="FB261" s="122"/>
      <c r="FC261" s="122"/>
      <c r="FD261" s="122"/>
      <c r="FE261" s="122"/>
      <c r="FF261" s="122"/>
      <c r="FG261" s="122"/>
      <c r="FH261" s="122"/>
      <c r="FI261" s="122"/>
      <c r="FJ261" s="122"/>
      <c r="FK261" s="122"/>
      <c r="FL261" s="122"/>
      <c r="FM261" s="122"/>
      <c r="FN261" s="122"/>
      <c r="FO261" s="122"/>
      <c r="FP261" s="122"/>
      <c r="FQ261" s="122"/>
      <c r="FR261" s="122"/>
      <c r="FS261" s="122"/>
      <c r="FT261" s="122"/>
      <c r="FU261" s="122"/>
      <c r="FV261" s="122"/>
      <c r="FW261" s="122"/>
      <c r="FX261" s="122"/>
      <c r="FY261" s="122"/>
      <c r="FZ261" s="122"/>
      <c r="GA261" s="122"/>
      <c r="GB261" s="122"/>
      <c r="GC261" s="122"/>
      <c r="GD261" s="122"/>
      <c r="GE261" s="122"/>
      <c r="GF261" s="122"/>
      <c r="GG261" s="122"/>
      <c r="GH261" s="122"/>
      <c r="GI261" s="122"/>
      <c r="GJ261" s="122"/>
      <c r="GK261" s="122"/>
      <c r="GL261" s="122"/>
      <c r="GM261" s="122"/>
      <c r="GN261" s="122"/>
      <c r="GO261" s="122"/>
      <c r="GP261" s="122"/>
      <c r="GQ261" s="122"/>
      <c r="GR261" s="122"/>
      <c r="GS261" s="122"/>
      <c r="GT261" s="122"/>
      <c r="GU261" s="122"/>
      <c r="GV261" s="122"/>
      <c r="GW261" s="122"/>
      <c r="GX261" s="122"/>
      <c r="GY261" s="122"/>
      <c r="GZ261" s="122"/>
      <c r="HA261" s="122"/>
      <c r="HB261" s="122"/>
      <c r="HC261" s="122"/>
      <c r="HD261" s="122"/>
      <c r="HE261" s="122"/>
      <c r="HF261" s="122"/>
      <c r="HG261" s="122"/>
      <c r="HH261" s="122"/>
      <c r="HI261" s="122"/>
      <c r="HJ261" s="122"/>
      <c r="HK261" s="122"/>
      <c r="HL261" s="122"/>
      <c r="HM261" s="122"/>
      <c r="HN261" s="122"/>
      <c r="HO261" s="122"/>
      <c r="HP261" s="122"/>
      <c r="HQ261" s="122"/>
      <c r="HR261" s="122"/>
      <c r="HS261" s="122"/>
      <c r="HT261" s="122"/>
      <c r="HU261" s="122"/>
      <c r="HV261" s="122"/>
      <c r="HW261" s="122"/>
      <c r="HX261" s="122"/>
      <c r="HY261" s="122"/>
      <c r="HZ261" s="122"/>
      <c r="IA261" s="122"/>
      <c r="IB261" s="122"/>
      <c r="IC261" s="122"/>
      <c r="ID261" s="122"/>
      <c r="IE261" s="122"/>
      <c r="IF261" s="122"/>
      <c r="IG261" s="122"/>
      <c r="IH261" s="122"/>
      <c r="II261" s="122"/>
      <c r="IJ261" s="122"/>
      <c r="IK261" s="122"/>
      <c r="IL261" s="122"/>
      <c r="IM261" s="122"/>
      <c r="IN261" s="122"/>
      <c r="IO261" s="122"/>
      <c r="IP261" s="122"/>
      <c r="IQ261" s="122"/>
      <c r="IR261" s="122"/>
      <c r="IS261" s="122"/>
      <c r="IT261" s="122"/>
      <c r="IU261" s="122"/>
      <c r="IV261" s="122"/>
      <c r="IW261" s="122"/>
      <c r="IX261" s="122"/>
      <c r="IY261" s="122"/>
      <c r="IZ261" s="122"/>
      <c r="JA261" s="122"/>
      <c r="JB261" s="122"/>
      <c r="JC261" s="122"/>
      <c r="JD261" s="122"/>
      <c r="JE261" s="122"/>
      <c r="JF261" s="122"/>
      <c r="JG261" s="122"/>
      <c r="JH261" s="122"/>
      <c r="JI261" s="119"/>
      <c r="JJ261" s="2"/>
      <c r="JK261" s="122"/>
      <c r="JL261" s="125"/>
      <c r="JM261" s="125"/>
      <c r="JN261" s="125"/>
      <c r="JO261" s="125"/>
      <c r="JP261" s="125"/>
    </row>
    <row r="262" spans="1:276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122"/>
      <c r="AQ262" s="122"/>
      <c r="AR262" s="122"/>
      <c r="AS262" s="122"/>
      <c r="AT262" s="122"/>
      <c r="AU262" s="122"/>
      <c r="AV262" s="122"/>
      <c r="AW262" s="122"/>
      <c r="AX262" s="122"/>
      <c r="AY262" s="122"/>
      <c r="AZ262" s="122"/>
      <c r="BA262" s="122"/>
      <c r="BB262" s="122"/>
      <c r="BC262" s="122"/>
      <c r="BD262" s="122"/>
      <c r="BE262" s="122"/>
      <c r="BF262" s="122"/>
      <c r="BG262" s="122"/>
      <c r="BH262" s="122"/>
      <c r="BI262" s="122"/>
      <c r="BJ262" s="122"/>
      <c r="BK262" s="122"/>
      <c r="BL262" s="122"/>
      <c r="BM262" s="122"/>
      <c r="BN262" s="122"/>
      <c r="BO262" s="122"/>
      <c r="BP262" s="122"/>
      <c r="BQ262" s="122"/>
      <c r="BR262" s="122"/>
      <c r="BS262" s="122"/>
      <c r="BT262" s="122"/>
      <c r="BU262" s="122"/>
      <c r="BV262" s="122"/>
      <c r="BW262" s="122"/>
      <c r="BX262" s="122"/>
      <c r="BY262" s="122"/>
      <c r="BZ262" s="122"/>
      <c r="CA262" s="122"/>
      <c r="CB262" s="122"/>
      <c r="CC262" s="122"/>
      <c r="CD262" s="122"/>
      <c r="CE262" s="122"/>
      <c r="CF262" s="122"/>
      <c r="CG262" s="122"/>
      <c r="CH262" s="122"/>
      <c r="CI262" s="122"/>
      <c r="CJ262" s="122"/>
      <c r="CK262" s="122"/>
      <c r="CL262" s="122"/>
      <c r="CM262" s="122"/>
      <c r="CN262" s="122"/>
      <c r="CO262" s="122"/>
      <c r="CP262" s="122"/>
      <c r="CQ262" s="122"/>
      <c r="CR262" s="122"/>
      <c r="CS262" s="122"/>
      <c r="CT262" s="122"/>
      <c r="CU262" s="122"/>
      <c r="CV262" s="122"/>
      <c r="CW262" s="122"/>
      <c r="CX262" s="122"/>
      <c r="CY262" s="122"/>
      <c r="CZ262" s="122"/>
      <c r="DA262" s="122"/>
      <c r="DB262" s="122"/>
      <c r="DC262" s="122"/>
      <c r="DD262" s="122"/>
      <c r="DE262" s="122"/>
      <c r="DF262" s="122"/>
      <c r="DG262" s="122"/>
      <c r="DH262" s="122"/>
      <c r="DI262" s="122"/>
      <c r="DJ262" s="122"/>
      <c r="DK262" s="122"/>
      <c r="DL262" s="122"/>
      <c r="DM262" s="122"/>
      <c r="DN262" s="122"/>
      <c r="DO262" s="122"/>
      <c r="DP262" s="122"/>
      <c r="DQ262" s="122"/>
      <c r="DR262" s="122"/>
      <c r="DS262" s="122"/>
      <c r="DT262" s="122"/>
      <c r="DU262" s="122"/>
      <c r="DV262" s="122"/>
      <c r="DW262" s="122"/>
      <c r="DX262" s="122"/>
      <c r="DY262" s="122"/>
      <c r="DZ262" s="122"/>
      <c r="EA262" s="122"/>
      <c r="EB262" s="122"/>
      <c r="EC262" s="122"/>
      <c r="ED262" s="122"/>
      <c r="EE262" s="122"/>
      <c r="EF262" s="122"/>
      <c r="EG262" s="122"/>
      <c r="EH262" s="122"/>
      <c r="EI262" s="122"/>
      <c r="EJ262" s="122"/>
      <c r="EK262" s="122"/>
      <c r="EL262" s="122"/>
      <c r="EM262" s="122"/>
      <c r="EN262" s="122"/>
      <c r="EO262" s="122"/>
      <c r="EP262" s="122"/>
      <c r="EQ262" s="122"/>
      <c r="ER262" s="122"/>
      <c r="ES262" s="122"/>
      <c r="ET262" s="122"/>
      <c r="EU262" s="122"/>
      <c r="EV262" s="122"/>
      <c r="EW262" s="122"/>
      <c r="EX262" s="122"/>
      <c r="EY262" s="122"/>
      <c r="EZ262" s="122"/>
      <c r="FA262" s="122"/>
      <c r="FB262" s="122"/>
      <c r="FC262" s="122"/>
      <c r="FD262" s="122"/>
      <c r="FE262" s="122"/>
      <c r="FF262" s="122"/>
      <c r="FG262" s="122"/>
      <c r="FH262" s="122"/>
      <c r="FI262" s="122"/>
      <c r="FJ262" s="122"/>
      <c r="FK262" s="122"/>
      <c r="FL262" s="122"/>
      <c r="FM262" s="122"/>
      <c r="FN262" s="122"/>
      <c r="FO262" s="122"/>
      <c r="FP262" s="122"/>
      <c r="FQ262" s="122"/>
      <c r="FR262" s="122"/>
      <c r="FS262" s="122"/>
      <c r="FT262" s="122"/>
      <c r="FU262" s="122"/>
      <c r="FV262" s="122"/>
      <c r="FW262" s="122"/>
      <c r="FX262" s="122"/>
      <c r="FY262" s="122"/>
      <c r="FZ262" s="122"/>
      <c r="GA262" s="122"/>
      <c r="GB262" s="122"/>
      <c r="GC262" s="122"/>
      <c r="GD262" s="122"/>
      <c r="GE262" s="122"/>
      <c r="GF262" s="122"/>
      <c r="GG262" s="122"/>
      <c r="GH262" s="122"/>
      <c r="GI262" s="122"/>
      <c r="GJ262" s="122"/>
      <c r="GK262" s="122"/>
      <c r="GL262" s="122"/>
      <c r="GM262" s="122"/>
      <c r="GN262" s="122"/>
      <c r="GO262" s="122"/>
      <c r="GP262" s="122"/>
      <c r="GQ262" s="122"/>
      <c r="GR262" s="122"/>
      <c r="GS262" s="122"/>
      <c r="GT262" s="122"/>
      <c r="GU262" s="122"/>
      <c r="GV262" s="122"/>
      <c r="GW262" s="122"/>
      <c r="GX262" s="122"/>
      <c r="GY262" s="122"/>
      <c r="GZ262" s="122"/>
      <c r="HA262" s="122"/>
      <c r="HB262" s="122"/>
      <c r="HC262" s="122"/>
      <c r="HD262" s="122"/>
      <c r="HE262" s="122"/>
      <c r="HF262" s="122"/>
      <c r="HG262" s="122"/>
      <c r="HH262" s="122"/>
      <c r="HI262" s="122"/>
      <c r="HJ262" s="122"/>
      <c r="HK262" s="122"/>
      <c r="HL262" s="122"/>
      <c r="HM262" s="122"/>
      <c r="HN262" s="122"/>
      <c r="HO262" s="122"/>
      <c r="HP262" s="122"/>
      <c r="HQ262" s="122"/>
      <c r="HR262" s="122"/>
      <c r="HS262" s="122"/>
      <c r="HT262" s="122"/>
      <c r="HU262" s="122"/>
      <c r="HV262" s="122"/>
      <c r="HW262" s="122"/>
      <c r="HX262" s="122"/>
      <c r="HY262" s="122"/>
      <c r="HZ262" s="122"/>
      <c r="IA262" s="122"/>
      <c r="IB262" s="122"/>
      <c r="IC262" s="122"/>
      <c r="ID262" s="122"/>
      <c r="IE262" s="122"/>
      <c r="IF262" s="122"/>
      <c r="IG262" s="122"/>
      <c r="IH262" s="122"/>
      <c r="II262" s="122"/>
      <c r="IJ262" s="122"/>
      <c r="IK262" s="122"/>
      <c r="IL262" s="122"/>
      <c r="IM262" s="122"/>
      <c r="IN262" s="122"/>
      <c r="IO262" s="122"/>
      <c r="IP262" s="122"/>
      <c r="IQ262" s="122"/>
      <c r="IR262" s="122"/>
      <c r="IS262" s="122"/>
      <c r="IT262" s="122"/>
      <c r="IU262" s="122"/>
      <c r="IV262" s="122"/>
      <c r="IW262" s="122"/>
      <c r="IX262" s="122"/>
      <c r="IY262" s="122"/>
      <c r="IZ262" s="122"/>
      <c r="JA262" s="122"/>
      <c r="JB262" s="122"/>
      <c r="JC262" s="122"/>
      <c r="JD262" s="122"/>
      <c r="JE262" s="122"/>
      <c r="JF262" s="122"/>
      <c r="JG262" s="122"/>
      <c r="JH262" s="122"/>
      <c r="JI262" s="119"/>
      <c r="JJ262" s="2"/>
      <c r="JK262" s="122"/>
      <c r="JL262" s="125"/>
      <c r="JM262" s="125"/>
      <c r="JN262" s="125"/>
      <c r="JO262" s="125"/>
      <c r="JP262" s="125"/>
    </row>
    <row r="263" spans="1:276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  <c r="AR263" s="122"/>
      <c r="AS263" s="122"/>
      <c r="AT263" s="122"/>
      <c r="AU263" s="122"/>
      <c r="AV263" s="122"/>
      <c r="AW263" s="122"/>
      <c r="AX263" s="122"/>
      <c r="AY263" s="122"/>
      <c r="AZ263" s="122"/>
      <c r="BA263" s="122"/>
      <c r="BB263" s="122"/>
      <c r="BC263" s="122"/>
      <c r="BD263" s="122"/>
      <c r="BE263" s="122"/>
      <c r="BF263" s="122"/>
      <c r="BG263" s="122"/>
      <c r="BH263" s="122"/>
      <c r="BI263" s="122"/>
      <c r="BJ263" s="122"/>
      <c r="BK263" s="122"/>
      <c r="BL263" s="122"/>
      <c r="BM263" s="122"/>
      <c r="BN263" s="122"/>
      <c r="BO263" s="122"/>
      <c r="BP263" s="122"/>
      <c r="BQ263" s="122"/>
      <c r="BR263" s="122"/>
      <c r="BS263" s="122"/>
      <c r="BT263" s="122"/>
      <c r="BU263" s="122"/>
      <c r="BV263" s="122"/>
      <c r="BW263" s="122"/>
      <c r="BX263" s="122"/>
      <c r="BY263" s="122"/>
      <c r="BZ263" s="122"/>
      <c r="CA263" s="122"/>
      <c r="CB263" s="122"/>
      <c r="CC263" s="122"/>
      <c r="CD263" s="122"/>
      <c r="CE263" s="122"/>
      <c r="CF263" s="122"/>
      <c r="CG263" s="122"/>
      <c r="CH263" s="122"/>
      <c r="CI263" s="122"/>
      <c r="CJ263" s="122"/>
      <c r="CK263" s="122"/>
      <c r="CL263" s="122"/>
      <c r="CM263" s="122"/>
      <c r="CN263" s="122"/>
      <c r="CO263" s="122"/>
      <c r="CP263" s="122"/>
      <c r="CQ263" s="122"/>
      <c r="CR263" s="122"/>
      <c r="CS263" s="122"/>
      <c r="CT263" s="122"/>
      <c r="CU263" s="122"/>
      <c r="CV263" s="122"/>
      <c r="CW263" s="122"/>
      <c r="CX263" s="122"/>
      <c r="CY263" s="122"/>
      <c r="CZ263" s="122"/>
      <c r="DA263" s="122"/>
      <c r="DB263" s="122"/>
      <c r="DC263" s="122"/>
      <c r="DD263" s="122"/>
      <c r="DE263" s="122"/>
      <c r="DF263" s="122"/>
      <c r="DG263" s="122"/>
      <c r="DH263" s="122"/>
      <c r="DI263" s="122"/>
      <c r="DJ263" s="122"/>
      <c r="DK263" s="122"/>
      <c r="DL263" s="122"/>
      <c r="DM263" s="122"/>
      <c r="DN263" s="122"/>
      <c r="DO263" s="122"/>
      <c r="DP263" s="122"/>
      <c r="DQ263" s="122"/>
      <c r="DR263" s="122"/>
      <c r="DS263" s="122"/>
      <c r="DT263" s="122"/>
      <c r="DU263" s="122"/>
      <c r="DV263" s="122"/>
      <c r="DW263" s="122"/>
      <c r="DX263" s="122"/>
      <c r="DY263" s="122"/>
      <c r="DZ263" s="122"/>
      <c r="EA263" s="122"/>
      <c r="EB263" s="122"/>
      <c r="EC263" s="122"/>
      <c r="ED263" s="122"/>
      <c r="EE263" s="122"/>
      <c r="EF263" s="122"/>
      <c r="EG263" s="122"/>
      <c r="EH263" s="122"/>
      <c r="EI263" s="122"/>
      <c r="EJ263" s="122"/>
      <c r="EK263" s="122"/>
      <c r="EL263" s="122"/>
      <c r="EM263" s="122"/>
      <c r="EN263" s="122"/>
      <c r="EO263" s="122"/>
      <c r="EP263" s="122"/>
      <c r="EQ263" s="122"/>
      <c r="ER263" s="122"/>
      <c r="ES263" s="122"/>
      <c r="ET263" s="122"/>
      <c r="EU263" s="122"/>
      <c r="EV263" s="122"/>
      <c r="EW263" s="122"/>
      <c r="EX263" s="122"/>
      <c r="EY263" s="122"/>
      <c r="EZ263" s="122"/>
      <c r="FA263" s="122"/>
      <c r="FB263" s="122"/>
      <c r="FC263" s="122"/>
      <c r="FD263" s="122"/>
      <c r="FE263" s="122"/>
      <c r="FF263" s="122"/>
      <c r="FG263" s="122"/>
      <c r="FH263" s="122"/>
      <c r="FI263" s="122"/>
      <c r="FJ263" s="122"/>
      <c r="FK263" s="122"/>
      <c r="FL263" s="122"/>
      <c r="FM263" s="122"/>
      <c r="FN263" s="122"/>
      <c r="FO263" s="122"/>
      <c r="FP263" s="122"/>
      <c r="FQ263" s="122"/>
      <c r="FR263" s="122"/>
      <c r="FS263" s="122"/>
      <c r="FT263" s="122"/>
      <c r="FU263" s="122"/>
      <c r="FV263" s="122"/>
      <c r="FW263" s="122"/>
      <c r="FX263" s="122"/>
      <c r="FY263" s="122"/>
      <c r="FZ263" s="122"/>
      <c r="GA263" s="122"/>
      <c r="GB263" s="122"/>
      <c r="GC263" s="122"/>
      <c r="GD263" s="122"/>
      <c r="GE263" s="122"/>
      <c r="GF263" s="122"/>
      <c r="GG263" s="122"/>
      <c r="GH263" s="122"/>
      <c r="GI263" s="122"/>
      <c r="GJ263" s="122"/>
      <c r="GK263" s="122"/>
      <c r="GL263" s="122"/>
      <c r="GM263" s="122"/>
      <c r="GN263" s="122"/>
      <c r="GO263" s="122"/>
      <c r="GP263" s="122"/>
      <c r="GQ263" s="122"/>
      <c r="GR263" s="122"/>
      <c r="GS263" s="122"/>
      <c r="GT263" s="122"/>
      <c r="GU263" s="122"/>
      <c r="GV263" s="122"/>
      <c r="GW263" s="122"/>
      <c r="GX263" s="122"/>
      <c r="GY263" s="122"/>
      <c r="GZ263" s="122"/>
      <c r="HA263" s="122"/>
      <c r="HB263" s="122"/>
      <c r="HC263" s="122"/>
      <c r="HD263" s="122"/>
      <c r="HE263" s="122"/>
      <c r="HF263" s="122"/>
      <c r="HG263" s="122"/>
      <c r="HH263" s="122"/>
      <c r="HI263" s="122"/>
      <c r="HJ263" s="122"/>
      <c r="HK263" s="122"/>
      <c r="HL263" s="122"/>
      <c r="HM263" s="122"/>
      <c r="HN263" s="122"/>
      <c r="HO263" s="122"/>
      <c r="HP263" s="122"/>
      <c r="HQ263" s="122"/>
      <c r="HR263" s="122"/>
      <c r="HS263" s="122"/>
      <c r="HT263" s="122"/>
      <c r="HU263" s="122"/>
      <c r="HV263" s="122"/>
      <c r="HW263" s="122"/>
      <c r="HX263" s="122"/>
      <c r="HY263" s="122"/>
      <c r="HZ263" s="122"/>
      <c r="IA263" s="122"/>
      <c r="IB263" s="122"/>
      <c r="IC263" s="122"/>
      <c r="ID263" s="122"/>
      <c r="IE263" s="122"/>
      <c r="IF263" s="122"/>
      <c r="IG263" s="122"/>
      <c r="IH263" s="122"/>
      <c r="II263" s="122"/>
      <c r="IJ263" s="122"/>
      <c r="IK263" s="122"/>
      <c r="IL263" s="122"/>
      <c r="IM263" s="122"/>
      <c r="IN263" s="122"/>
      <c r="IO263" s="122"/>
      <c r="IP263" s="122"/>
      <c r="IQ263" s="122"/>
      <c r="IR263" s="122"/>
      <c r="IS263" s="122"/>
      <c r="IT263" s="122"/>
      <c r="IU263" s="122"/>
      <c r="IV263" s="122"/>
      <c r="IW263" s="122"/>
      <c r="IX263" s="122"/>
      <c r="IY263" s="122"/>
      <c r="IZ263" s="122"/>
      <c r="JA263" s="122"/>
      <c r="JB263" s="122"/>
      <c r="JC263" s="122"/>
      <c r="JD263" s="122"/>
      <c r="JE263" s="122"/>
      <c r="JF263" s="122"/>
      <c r="JG263" s="122"/>
      <c r="JH263" s="122"/>
      <c r="JI263" s="119"/>
      <c r="JJ263" s="2"/>
      <c r="JK263" s="122"/>
      <c r="JL263" s="125"/>
      <c r="JM263" s="125"/>
      <c r="JN263" s="125"/>
      <c r="JO263" s="125"/>
      <c r="JP263" s="125"/>
    </row>
    <row r="264" spans="1:276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  <c r="AP264" s="122"/>
      <c r="AQ264" s="122"/>
      <c r="AR264" s="122"/>
      <c r="AS264" s="122"/>
      <c r="AT264" s="122"/>
      <c r="AU264" s="122"/>
      <c r="AV264" s="122"/>
      <c r="AW264" s="122"/>
      <c r="AX264" s="122"/>
      <c r="AY264" s="122"/>
      <c r="AZ264" s="122"/>
      <c r="BA264" s="122"/>
      <c r="BB264" s="122"/>
      <c r="BC264" s="122"/>
      <c r="BD264" s="122"/>
      <c r="BE264" s="122"/>
      <c r="BF264" s="122"/>
      <c r="BG264" s="122"/>
      <c r="BH264" s="122"/>
      <c r="BI264" s="122"/>
      <c r="BJ264" s="122"/>
      <c r="BK264" s="122"/>
      <c r="BL264" s="122"/>
      <c r="BM264" s="122"/>
      <c r="BN264" s="122"/>
      <c r="BO264" s="122"/>
      <c r="BP264" s="122"/>
      <c r="BQ264" s="122"/>
      <c r="BR264" s="122"/>
      <c r="BS264" s="122"/>
      <c r="BT264" s="122"/>
      <c r="BU264" s="122"/>
      <c r="BV264" s="122"/>
      <c r="BW264" s="122"/>
      <c r="BX264" s="122"/>
      <c r="BY264" s="122"/>
      <c r="BZ264" s="122"/>
      <c r="CA264" s="122"/>
      <c r="CB264" s="122"/>
      <c r="CC264" s="122"/>
      <c r="CD264" s="122"/>
      <c r="CE264" s="122"/>
      <c r="CF264" s="122"/>
      <c r="CG264" s="122"/>
      <c r="CH264" s="122"/>
      <c r="CI264" s="122"/>
      <c r="CJ264" s="122"/>
      <c r="CK264" s="122"/>
      <c r="CL264" s="122"/>
      <c r="CM264" s="122"/>
      <c r="CN264" s="122"/>
      <c r="CO264" s="122"/>
      <c r="CP264" s="122"/>
      <c r="CQ264" s="122"/>
      <c r="CR264" s="122"/>
      <c r="CS264" s="122"/>
      <c r="CT264" s="122"/>
      <c r="CU264" s="122"/>
      <c r="CV264" s="122"/>
      <c r="CW264" s="122"/>
      <c r="CX264" s="122"/>
      <c r="CY264" s="122"/>
      <c r="CZ264" s="122"/>
      <c r="DA264" s="122"/>
      <c r="DB264" s="122"/>
      <c r="DC264" s="122"/>
      <c r="DD264" s="122"/>
      <c r="DE264" s="122"/>
      <c r="DF264" s="122"/>
      <c r="DG264" s="122"/>
      <c r="DH264" s="122"/>
      <c r="DI264" s="122"/>
      <c r="DJ264" s="122"/>
      <c r="DK264" s="122"/>
      <c r="DL264" s="122"/>
      <c r="DM264" s="122"/>
      <c r="DN264" s="122"/>
      <c r="DO264" s="122"/>
      <c r="DP264" s="122"/>
      <c r="DQ264" s="122"/>
      <c r="DR264" s="122"/>
      <c r="DS264" s="122"/>
      <c r="DT264" s="122"/>
      <c r="DU264" s="122"/>
      <c r="DV264" s="122"/>
      <c r="DW264" s="122"/>
      <c r="DX264" s="122"/>
      <c r="DY264" s="122"/>
      <c r="DZ264" s="122"/>
      <c r="EA264" s="122"/>
      <c r="EB264" s="122"/>
      <c r="EC264" s="122"/>
      <c r="ED264" s="122"/>
      <c r="EE264" s="122"/>
      <c r="EF264" s="122"/>
      <c r="EG264" s="122"/>
      <c r="EH264" s="122"/>
      <c r="EI264" s="122"/>
      <c r="EJ264" s="122"/>
      <c r="EK264" s="122"/>
      <c r="EL264" s="122"/>
      <c r="EM264" s="122"/>
      <c r="EN264" s="122"/>
      <c r="EO264" s="122"/>
      <c r="EP264" s="122"/>
      <c r="EQ264" s="122"/>
      <c r="ER264" s="122"/>
      <c r="ES264" s="122"/>
      <c r="ET264" s="122"/>
      <c r="EU264" s="122"/>
      <c r="EV264" s="122"/>
      <c r="EW264" s="122"/>
      <c r="EX264" s="122"/>
      <c r="EY264" s="122"/>
      <c r="EZ264" s="122"/>
      <c r="FA264" s="122"/>
      <c r="FB264" s="122"/>
      <c r="FC264" s="122"/>
      <c r="FD264" s="122"/>
      <c r="FE264" s="122"/>
      <c r="FF264" s="122"/>
      <c r="FG264" s="122"/>
      <c r="FH264" s="122"/>
      <c r="FI264" s="122"/>
      <c r="FJ264" s="122"/>
      <c r="FK264" s="122"/>
      <c r="FL264" s="122"/>
      <c r="FM264" s="122"/>
      <c r="FN264" s="122"/>
      <c r="FO264" s="122"/>
      <c r="FP264" s="122"/>
      <c r="FQ264" s="122"/>
      <c r="FR264" s="122"/>
      <c r="FS264" s="122"/>
      <c r="FT264" s="122"/>
      <c r="FU264" s="122"/>
      <c r="FV264" s="122"/>
      <c r="FW264" s="122"/>
      <c r="FX264" s="122"/>
      <c r="FY264" s="122"/>
      <c r="FZ264" s="122"/>
      <c r="GA264" s="122"/>
      <c r="GB264" s="122"/>
      <c r="GC264" s="122"/>
      <c r="GD264" s="122"/>
      <c r="GE264" s="122"/>
      <c r="GF264" s="122"/>
      <c r="GG264" s="122"/>
      <c r="GH264" s="122"/>
      <c r="GI264" s="122"/>
      <c r="GJ264" s="122"/>
      <c r="GK264" s="122"/>
      <c r="GL264" s="122"/>
      <c r="GM264" s="122"/>
      <c r="GN264" s="122"/>
      <c r="GO264" s="122"/>
      <c r="GP264" s="122"/>
      <c r="GQ264" s="122"/>
      <c r="GR264" s="122"/>
      <c r="GS264" s="122"/>
      <c r="GT264" s="122"/>
      <c r="GU264" s="122"/>
      <c r="GV264" s="122"/>
      <c r="GW264" s="122"/>
      <c r="GX264" s="122"/>
      <c r="GY264" s="122"/>
      <c r="GZ264" s="122"/>
      <c r="HA264" s="122"/>
      <c r="HB264" s="122"/>
      <c r="HC264" s="122"/>
      <c r="HD264" s="122"/>
      <c r="HE264" s="122"/>
      <c r="HF264" s="122"/>
      <c r="HG264" s="122"/>
      <c r="HH264" s="122"/>
      <c r="HI264" s="122"/>
      <c r="HJ264" s="122"/>
      <c r="HK264" s="122"/>
      <c r="HL264" s="122"/>
      <c r="HM264" s="122"/>
      <c r="HN264" s="122"/>
      <c r="HO264" s="122"/>
      <c r="HP264" s="122"/>
      <c r="HQ264" s="122"/>
      <c r="HR264" s="122"/>
      <c r="HS264" s="122"/>
      <c r="HT264" s="122"/>
      <c r="HU264" s="122"/>
      <c r="HV264" s="122"/>
      <c r="HW264" s="122"/>
      <c r="HX264" s="122"/>
      <c r="HY264" s="122"/>
      <c r="HZ264" s="122"/>
      <c r="IA264" s="122"/>
      <c r="IB264" s="122"/>
      <c r="IC264" s="122"/>
      <c r="ID264" s="122"/>
      <c r="IE264" s="122"/>
      <c r="IF264" s="122"/>
      <c r="IG264" s="122"/>
      <c r="IH264" s="122"/>
      <c r="II264" s="122"/>
      <c r="IJ264" s="122"/>
      <c r="IK264" s="122"/>
      <c r="IL264" s="122"/>
      <c r="IM264" s="122"/>
      <c r="IN264" s="122"/>
      <c r="IO264" s="122"/>
      <c r="IP264" s="122"/>
      <c r="IQ264" s="122"/>
      <c r="IR264" s="122"/>
      <c r="IS264" s="122"/>
      <c r="IT264" s="122"/>
      <c r="IU264" s="122"/>
      <c r="IV264" s="122"/>
      <c r="IW264" s="122"/>
      <c r="IX264" s="122"/>
      <c r="IY264" s="122"/>
      <c r="IZ264" s="122"/>
      <c r="JA264" s="122"/>
      <c r="JB264" s="122"/>
      <c r="JC264" s="122"/>
      <c r="JD264" s="122"/>
      <c r="JE264" s="122"/>
      <c r="JF264" s="122"/>
      <c r="JG264" s="122"/>
      <c r="JH264" s="122"/>
      <c r="JI264" s="119"/>
      <c r="JJ264" s="2"/>
      <c r="JK264" s="122"/>
      <c r="JL264" s="125"/>
      <c r="JM264" s="125"/>
      <c r="JN264" s="125"/>
      <c r="JO264" s="125"/>
      <c r="JP264" s="125"/>
    </row>
    <row r="265" spans="1:276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  <c r="AR265" s="122"/>
      <c r="AS265" s="122"/>
      <c r="AT265" s="122"/>
      <c r="AU265" s="122"/>
      <c r="AV265" s="122"/>
      <c r="AW265" s="122"/>
      <c r="AX265" s="122"/>
      <c r="AY265" s="122"/>
      <c r="AZ265" s="122"/>
      <c r="BA265" s="122"/>
      <c r="BB265" s="122"/>
      <c r="BC265" s="122"/>
      <c r="BD265" s="122"/>
      <c r="BE265" s="122"/>
      <c r="BF265" s="122"/>
      <c r="BG265" s="122"/>
      <c r="BH265" s="122"/>
      <c r="BI265" s="122"/>
      <c r="BJ265" s="122"/>
      <c r="BK265" s="122"/>
      <c r="BL265" s="122"/>
      <c r="BM265" s="122"/>
      <c r="BN265" s="122"/>
      <c r="BO265" s="122"/>
      <c r="BP265" s="122"/>
      <c r="BQ265" s="122"/>
      <c r="BR265" s="122"/>
      <c r="BS265" s="122"/>
      <c r="BT265" s="122"/>
      <c r="BU265" s="122"/>
      <c r="BV265" s="122"/>
      <c r="BW265" s="122"/>
      <c r="BX265" s="122"/>
      <c r="BY265" s="122"/>
      <c r="BZ265" s="122"/>
      <c r="CA265" s="122"/>
      <c r="CB265" s="122"/>
      <c r="CC265" s="122"/>
      <c r="CD265" s="122"/>
      <c r="CE265" s="122"/>
      <c r="CF265" s="122"/>
      <c r="CG265" s="122"/>
      <c r="CH265" s="122"/>
      <c r="CI265" s="122"/>
      <c r="CJ265" s="122"/>
      <c r="CK265" s="122"/>
      <c r="CL265" s="122"/>
      <c r="CM265" s="122"/>
      <c r="CN265" s="122"/>
      <c r="CO265" s="122"/>
      <c r="CP265" s="122"/>
      <c r="CQ265" s="122"/>
      <c r="CR265" s="122"/>
      <c r="CS265" s="122"/>
      <c r="CT265" s="122"/>
      <c r="CU265" s="122"/>
      <c r="CV265" s="122"/>
      <c r="CW265" s="122"/>
      <c r="CX265" s="122"/>
      <c r="CY265" s="122"/>
      <c r="CZ265" s="122"/>
      <c r="DA265" s="122"/>
      <c r="DB265" s="122"/>
      <c r="DC265" s="122"/>
      <c r="DD265" s="122"/>
      <c r="DE265" s="122"/>
      <c r="DF265" s="122"/>
      <c r="DG265" s="122"/>
      <c r="DH265" s="122"/>
      <c r="DI265" s="122"/>
      <c r="DJ265" s="122"/>
      <c r="DK265" s="122"/>
      <c r="DL265" s="122"/>
      <c r="DM265" s="122"/>
      <c r="DN265" s="122"/>
      <c r="DO265" s="122"/>
      <c r="DP265" s="122"/>
      <c r="DQ265" s="122"/>
      <c r="DR265" s="122"/>
      <c r="DS265" s="122"/>
      <c r="DT265" s="122"/>
      <c r="DU265" s="122"/>
      <c r="DV265" s="122"/>
      <c r="DW265" s="122"/>
      <c r="DX265" s="122"/>
      <c r="DY265" s="122"/>
      <c r="DZ265" s="122"/>
      <c r="EA265" s="122"/>
      <c r="EB265" s="122"/>
      <c r="EC265" s="122"/>
      <c r="ED265" s="122"/>
      <c r="EE265" s="122"/>
      <c r="EF265" s="122"/>
      <c r="EG265" s="122"/>
      <c r="EH265" s="122"/>
      <c r="EI265" s="122"/>
      <c r="EJ265" s="122"/>
      <c r="EK265" s="122"/>
      <c r="EL265" s="122"/>
      <c r="EM265" s="122"/>
      <c r="EN265" s="122"/>
      <c r="EO265" s="122"/>
      <c r="EP265" s="122"/>
      <c r="EQ265" s="122"/>
      <c r="ER265" s="122"/>
      <c r="ES265" s="122"/>
      <c r="ET265" s="122"/>
      <c r="EU265" s="122"/>
      <c r="EV265" s="122"/>
      <c r="EW265" s="122"/>
      <c r="EX265" s="122"/>
      <c r="EY265" s="122"/>
      <c r="EZ265" s="122"/>
      <c r="FA265" s="122"/>
      <c r="FB265" s="122"/>
      <c r="FC265" s="122"/>
      <c r="FD265" s="122"/>
      <c r="FE265" s="122"/>
      <c r="FF265" s="122"/>
      <c r="FG265" s="122"/>
      <c r="FH265" s="122"/>
      <c r="FI265" s="122"/>
      <c r="FJ265" s="122"/>
      <c r="FK265" s="122"/>
      <c r="FL265" s="122"/>
      <c r="FM265" s="122"/>
      <c r="FN265" s="122"/>
      <c r="FO265" s="122"/>
      <c r="FP265" s="122"/>
      <c r="FQ265" s="122"/>
      <c r="FR265" s="122"/>
      <c r="FS265" s="122"/>
      <c r="FT265" s="122"/>
      <c r="FU265" s="122"/>
      <c r="FV265" s="122"/>
      <c r="FW265" s="122"/>
      <c r="FX265" s="122"/>
      <c r="FY265" s="122"/>
      <c r="FZ265" s="122"/>
      <c r="GA265" s="122"/>
      <c r="GB265" s="122"/>
      <c r="GC265" s="122"/>
      <c r="GD265" s="122"/>
      <c r="GE265" s="122"/>
      <c r="GF265" s="122"/>
      <c r="GG265" s="122"/>
      <c r="GH265" s="122"/>
      <c r="GI265" s="122"/>
      <c r="GJ265" s="122"/>
      <c r="GK265" s="122"/>
      <c r="GL265" s="122"/>
      <c r="GM265" s="122"/>
      <c r="GN265" s="122"/>
      <c r="GO265" s="122"/>
      <c r="GP265" s="122"/>
      <c r="GQ265" s="122"/>
      <c r="GR265" s="122"/>
      <c r="GS265" s="122"/>
      <c r="GT265" s="122"/>
      <c r="GU265" s="122"/>
      <c r="GV265" s="122"/>
      <c r="GW265" s="122"/>
      <c r="GX265" s="122"/>
      <c r="GY265" s="122"/>
      <c r="GZ265" s="122"/>
      <c r="HA265" s="122"/>
      <c r="HB265" s="122"/>
      <c r="HC265" s="122"/>
      <c r="HD265" s="122"/>
      <c r="HE265" s="122"/>
      <c r="HF265" s="122"/>
      <c r="HG265" s="122"/>
      <c r="HH265" s="122"/>
      <c r="HI265" s="122"/>
      <c r="HJ265" s="122"/>
      <c r="HK265" s="122"/>
      <c r="HL265" s="122"/>
      <c r="HM265" s="122"/>
      <c r="HN265" s="122"/>
      <c r="HO265" s="122"/>
      <c r="HP265" s="122"/>
      <c r="HQ265" s="122"/>
      <c r="HR265" s="122"/>
      <c r="HS265" s="122"/>
      <c r="HT265" s="122"/>
      <c r="HU265" s="122"/>
      <c r="HV265" s="122"/>
      <c r="HW265" s="122"/>
      <c r="HX265" s="122"/>
      <c r="HY265" s="122"/>
      <c r="HZ265" s="122"/>
      <c r="IA265" s="122"/>
      <c r="IB265" s="122"/>
      <c r="IC265" s="122"/>
      <c r="ID265" s="122"/>
      <c r="IE265" s="122"/>
      <c r="IF265" s="122"/>
      <c r="IG265" s="122"/>
      <c r="IH265" s="122"/>
      <c r="II265" s="122"/>
      <c r="IJ265" s="122"/>
      <c r="IK265" s="122"/>
      <c r="IL265" s="122"/>
      <c r="IM265" s="122"/>
      <c r="IN265" s="122"/>
      <c r="IO265" s="122"/>
      <c r="IP265" s="122"/>
      <c r="IQ265" s="122"/>
      <c r="IR265" s="122"/>
      <c r="IS265" s="122"/>
      <c r="IT265" s="122"/>
      <c r="IU265" s="122"/>
      <c r="IV265" s="122"/>
      <c r="IW265" s="122"/>
      <c r="IX265" s="122"/>
      <c r="IY265" s="122"/>
      <c r="IZ265" s="122"/>
      <c r="JA265" s="122"/>
      <c r="JB265" s="122"/>
      <c r="JC265" s="122"/>
      <c r="JD265" s="122"/>
      <c r="JE265" s="122"/>
      <c r="JF265" s="122"/>
      <c r="JG265" s="122"/>
      <c r="JH265" s="122"/>
      <c r="JI265" s="119"/>
      <c r="JJ265" s="2"/>
      <c r="JK265" s="122"/>
      <c r="JL265" s="125"/>
      <c r="JM265" s="125"/>
      <c r="JN265" s="125"/>
      <c r="JO265" s="125"/>
      <c r="JP265" s="125"/>
    </row>
    <row r="266" spans="1:27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  <c r="AP266" s="122"/>
      <c r="AQ266" s="122"/>
      <c r="AR266" s="122"/>
      <c r="AS266" s="122"/>
      <c r="AT266" s="122"/>
      <c r="AU266" s="122"/>
      <c r="AV266" s="122"/>
      <c r="AW266" s="122"/>
      <c r="AX266" s="122"/>
      <c r="AY266" s="122"/>
      <c r="AZ266" s="122"/>
      <c r="BA266" s="122"/>
      <c r="BB266" s="122"/>
      <c r="BC266" s="122"/>
      <c r="BD266" s="122"/>
      <c r="BE266" s="122"/>
      <c r="BF266" s="122"/>
      <c r="BG266" s="122"/>
      <c r="BH266" s="122"/>
      <c r="BI266" s="122"/>
      <c r="BJ266" s="122"/>
      <c r="BK266" s="122"/>
      <c r="BL266" s="122"/>
      <c r="BM266" s="122"/>
      <c r="BN266" s="122"/>
      <c r="BO266" s="122"/>
      <c r="BP266" s="122"/>
      <c r="BQ266" s="122"/>
      <c r="BR266" s="122"/>
      <c r="BS266" s="122"/>
      <c r="BT266" s="122"/>
      <c r="BU266" s="122"/>
      <c r="BV266" s="122"/>
      <c r="BW266" s="122"/>
      <c r="BX266" s="122"/>
      <c r="BY266" s="122"/>
      <c r="BZ266" s="122"/>
      <c r="CA266" s="122"/>
      <c r="CB266" s="122"/>
      <c r="CC266" s="122"/>
      <c r="CD266" s="122"/>
      <c r="CE266" s="122"/>
      <c r="CF266" s="122"/>
      <c r="CG266" s="122"/>
      <c r="CH266" s="122"/>
      <c r="CI266" s="122"/>
      <c r="CJ266" s="122"/>
      <c r="CK266" s="122"/>
      <c r="CL266" s="122"/>
      <c r="CM266" s="122"/>
      <c r="CN266" s="122"/>
      <c r="CO266" s="122"/>
      <c r="CP266" s="122"/>
      <c r="CQ266" s="122"/>
      <c r="CR266" s="122"/>
      <c r="CS266" s="122"/>
      <c r="CT266" s="122"/>
      <c r="CU266" s="122"/>
      <c r="CV266" s="122"/>
      <c r="CW266" s="122"/>
      <c r="CX266" s="122"/>
      <c r="CY266" s="122"/>
      <c r="CZ266" s="122"/>
      <c r="DA266" s="122"/>
      <c r="DB266" s="122"/>
      <c r="DC266" s="122"/>
      <c r="DD266" s="122"/>
      <c r="DE266" s="122"/>
      <c r="DF266" s="122"/>
      <c r="DG266" s="122"/>
      <c r="DH266" s="122"/>
      <c r="DI266" s="122"/>
      <c r="DJ266" s="122"/>
      <c r="DK266" s="122"/>
      <c r="DL266" s="122"/>
      <c r="DM266" s="122"/>
      <c r="DN266" s="122"/>
      <c r="DO266" s="122"/>
      <c r="DP266" s="122"/>
      <c r="DQ266" s="122"/>
      <c r="DR266" s="122"/>
      <c r="DS266" s="122"/>
      <c r="DT266" s="122"/>
      <c r="DU266" s="122"/>
      <c r="DV266" s="122"/>
      <c r="DW266" s="122"/>
      <c r="DX266" s="122"/>
      <c r="DY266" s="122"/>
      <c r="DZ266" s="122"/>
      <c r="EA266" s="122"/>
      <c r="EB266" s="122"/>
      <c r="EC266" s="122"/>
      <c r="ED266" s="122"/>
      <c r="EE266" s="122"/>
      <c r="EF266" s="122"/>
      <c r="EG266" s="122"/>
      <c r="EH266" s="122"/>
      <c r="EI266" s="122"/>
      <c r="EJ266" s="122"/>
      <c r="EK266" s="122"/>
      <c r="EL266" s="122"/>
      <c r="EM266" s="122"/>
      <c r="EN266" s="122"/>
      <c r="EO266" s="122"/>
      <c r="EP266" s="122"/>
      <c r="EQ266" s="122"/>
      <c r="ER266" s="122"/>
      <c r="ES266" s="122"/>
      <c r="ET266" s="122"/>
      <c r="EU266" s="122"/>
      <c r="EV266" s="122"/>
      <c r="EW266" s="122"/>
      <c r="EX266" s="122"/>
      <c r="EY266" s="122"/>
      <c r="EZ266" s="122"/>
      <c r="FA266" s="122"/>
      <c r="FB266" s="122"/>
      <c r="FC266" s="122"/>
      <c r="FD266" s="122"/>
      <c r="FE266" s="122"/>
      <c r="FF266" s="122"/>
      <c r="FG266" s="122"/>
      <c r="FH266" s="122"/>
      <c r="FI266" s="122"/>
      <c r="FJ266" s="122"/>
      <c r="FK266" s="122"/>
      <c r="FL266" s="122"/>
      <c r="FM266" s="122"/>
      <c r="FN266" s="122"/>
      <c r="FO266" s="122"/>
      <c r="FP266" s="122"/>
      <c r="FQ266" s="122"/>
      <c r="FR266" s="122"/>
      <c r="FS266" s="122"/>
      <c r="FT266" s="122"/>
      <c r="FU266" s="122"/>
      <c r="FV266" s="122"/>
      <c r="FW266" s="122"/>
      <c r="FX266" s="122"/>
      <c r="FY266" s="122"/>
      <c r="FZ266" s="122"/>
      <c r="GA266" s="122"/>
      <c r="GB266" s="122"/>
      <c r="GC266" s="122"/>
      <c r="GD266" s="122"/>
      <c r="GE266" s="122"/>
      <c r="GF266" s="122"/>
      <c r="GG266" s="122"/>
      <c r="GH266" s="122"/>
      <c r="GI266" s="122"/>
      <c r="GJ266" s="122"/>
      <c r="GK266" s="122"/>
      <c r="GL266" s="122"/>
      <c r="GM266" s="122"/>
      <c r="GN266" s="122"/>
      <c r="GO266" s="122"/>
      <c r="GP266" s="122"/>
      <c r="GQ266" s="122"/>
      <c r="GR266" s="122"/>
      <c r="GS266" s="122"/>
      <c r="GT266" s="122"/>
      <c r="GU266" s="122"/>
      <c r="GV266" s="122"/>
      <c r="GW266" s="122"/>
      <c r="GX266" s="122"/>
      <c r="GY266" s="122"/>
      <c r="GZ266" s="122"/>
      <c r="HA266" s="122"/>
      <c r="HB266" s="122"/>
      <c r="HC266" s="122"/>
      <c r="HD266" s="122"/>
      <c r="HE266" s="122"/>
      <c r="HF266" s="122"/>
      <c r="HG266" s="122"/>
      <c r="HH266" s="122"/>
      <c r="HI266" s="122"/>
      <c r="HJ266" s="122"/>
      <c r="HK266" s="122"/>
      <c r="HL266" s="122"/>
      <c r="HM266" s="122"/>
      <c r="HN266" s="122"/>
      <c r="HO266" s="122"/>
      <c r="HP266" s="122"/>
      <c r="HQ266" s="122"/>
      <c r="HR266" s="122"/>
      <c r="HS266" s="122"/>
      <c r="HT266" s="122"/>
      <c r="HU266" s="122"/>
      <c r="HV266" s="122"/>
      <c r="HW266" s="122"/>
      <c r="HX266" s="122"/>
      <c r="HY266" s="122"/>
      <c r="HZ266" s="122"/>
      <c r="IA266" s="122"/>
      <c r="IB266" s="122"/>
      <c r="IC266" s="122"/>
      <c r="ID266" s="122"/>
      <c r="IE266" s="122"/>
      <c r="IF266" s="122"/>
      <c r="IG266" s="122"/>
      <c r="IH266" s="122"/>
      <c r="II266" s="122"/>
      <c r="IJ266" s="122"/>
      <c r="IK266" s="122"/>
      <c r="IL266" s="122"/>
      <c r="IM266" s="122"/>
      <c r="IN266" s="122"/>
      <c r="IO266" s="122"/>
      <c r="IP266" s="122"/>
      <c r="IQ266" s="122"/>
      <c r="IR266" s="122"/>
      <c r="IS266" s="122"/>
      <c r="IT266" s="122"/>
      <c r="IU266" s="122"/>
      <c r="IV266" s="122"/>
      <c r="IW266" s="122"/>
      <c r="IX266" s="122"/>
      <c r="IY266" s="122"/>
      <c r="IZ266" s="122"/>
      <c r="JA266" s="122"/>
      <c r="JB266" s="122"/>
      <c r="JC266" s="122"/>
      <c r="JD266" s="122"/>
      <c r="JE266" s="122"/>
      <c r="JF266" s="122"/>
      <c r="JG266" s="122"/>
      <c r="JH266" s="122"/>
      <c r="JI266" s="119"/>
      <c r="JJ266" s="2"/>
      <c r="JK266" s="122"/>
      <c r="JL266" s="125"/>
      <c r="JM266" s="125"/>
      <c r="JN266" s="125"/>
      <c r="JO266" s="125"/>
      <c r="JP266" s="125"/>
    </row>
    <row r="267" spans="1:276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122"/>
      <c r="AQ267" s="122"/>
      <c r="AR267" s="122"/>
      <c r="AS267" s="122"/>
      <c r="AT267" s="122"/>
      <c r="AU267" s="122"/>
      <c r="AV267" s="122"/>
      <c r="AW267" s="122"/>
      <c r="AX267" s="122"/>
      <c r="AY267" s="122"/>
      <c r="AZ267" s="122"/>
      <c r="BA267" s="122"/>
      <c r="BB267" s="122"/>
      <c r="BC267" s="122"/>
      <c r="BD267" s="122"/>
      <c r="BE267" s="122"/>
      <c r="BF267" s="122"/>
      <c r="BG267" s="122"/>
      <c r="BH267" s="122"/>
      <c r="BI267" s="122"/>
      <c r="BJ267" s="122"/>
      <c r="BK267" s="122"/>
      <c r="BL267" s="122"/>
      <c r="BM267" s="122"/>
      <c r="BN267" s="122"/>
      <c r="BO267" s="122"/>
      <c r="BP267" s="122"/>
      <c r="BQ267" s="122"/>
      <c r="BR267" s="122"/>
      <c r="BS267" s="122"/>
      <c r="BT267" s="122"/>
      <c r="BU267" s="122"/>
      <c r="BV267" s="122"/>
      <c r="BW267" s="122"/>
      <c r="BX267" s="122"/>
      <c r="BY267" s="122"/>
      <c r="BZ267" s="122"/>
      <c r="CA267" s="122"/>
      <c r="CB267" s="122"/>
      <c r="CC267" s="122"/>
      <c r="CD267" s="122"/>
      <c r="CE267" s="122"/>
      <c r="CF267" s="122"/>
      <c r="CG267" s="122"/>
      <c r="CH267" s="122"/>
      <c r="CI267" s="122"/>
      <c r="CJ267" s="122"/>
      <c r="CK267" s="122"/>
      <c r="CL267" s="122"/>
      <c r="CM267" s="122"/>
      <c r="CN267" s="122"/>
      <c r="CO267" s="122"/>
      <c r="CP267" s="122"/>
      <c r="CQ267" s="122"/>
      <c r="CR267" s="122"/>
      <c r="CS267" s="122"/>
      <c r="CT267" s="122"/>
      <c r="CU267" s="122"/>
      <c r="CV267" s="122"/>
      <c r="CW267" s="122"/>
      <c r="CX267" s="122"/>
      <c r="CY267" s="122"/>
      <c r="CZ267" s="122"/>
      <c r="DA267" s="122"/>
      <c r="DB267" s="122"/>
      <c r="DC267" s="122"/>
      <c r="DD267" s="122"/>
      <c r="DE267" s="122"/>
      <c r="DF267" s="122"/>
      <c r="DG267" s="122"/>
      <c r="DH267" s="122"/>
      <c r="DI267" s="122"/>
      <c r="DJ267" s="122"/>
      <c r="DK267" s="122"/>
      <c r="DL267" s="122"/>
      <c r="DM267" s="122"/>
      <c r="DN267" s="122"/>
      <c r="DO267" s="122"/>
      <c r="DP267" s="122"/>
      <c r="DQ267" s="122"/>
      <c r="DR267" s="122"/>
      <c r="DS267" s="122"/>
      <c r="DT267" s="122"/>
      <c r="DU267" s="122"/>
      <c r="DV267" s="122"/>
      <c r="DW267" s="122"/>
      <c r="DX267" s="122"/>
      <c r="DY267" s="122"/>
      <c r="DZ267" s="122"/>
      <c r="EA267" s="122"/>
      <c r="EB267" s="122"/>
      <c r="EC267" s="122"/>
      <c r="ED267" s="122"/>
      <c r="EE267" s="122"/>
      <c r="EF267" s="122"/>
      <c r="EG267" s="122"/>
      <c r="EH267" s="122"/>
      <c r="EI267" s="122"/>
      <c r="EJ267" s="122"/>
      <c r="EK267" s="122"/>
      <c r="EL267" s="122"/>
      <c r="EM267" s="122"/>
      <c r="EN267" s="122"/>
      <c r="EO267" s="122"/>
      <c r="EP267" s="122"/>
      <c r="EQ267" s="122"/>
      <c r="ER267" s="122"/>
      <c r="ES267" s="122"/>
      <c r="ET267" s="122"/>
      <c r="EU267" s="122"/>
      <c r="EV267" s="122"/>
      <c r="EW267" s="122"/>
      <c r="EX267" s="122"/>
      <c r="EY267" s="122"/>
      <c r="EZ267" s="122"/>
      <c r="FA267" s="122"/>
      <c r="FB267" s="122"/>
      <c r="FC267" s="122"/>
      <c r="FD267" s="122"/>
      <c r="FE267" s="122"/>
      <c r="FF267" s="122"/>
      <c r="FG267" s="122"/>
      <c r="FH267" s="122"/>
      <c r="FI267" s="122"/>
      <c r="FJ267" s="122"/>
      <c r="FK267" s="122"/>
      <c r="FL267" s="122"/>
      <c r="FM267" s="122"/>
      <c r="FN267" s="122"/>
      <c r="FO267" s="122"/>
      <c r="FP267" s="122"/>
      <c r="FQ267" s="122"/>
      <c r="FR267" s="122"/>
      <c r="FS267" s="122"/>
      <c r="FT267" s="122"/>
      <c r="FU267" s="122"/>
      <c r="FV267" s="122"/>
      <c r="FW267" s="122"/>
      <c r="FX267" s="122"/>
      <c r="FY267" s="122"/>
      <c r="FZ267" s="122"/>
      <c r="GA267" s="122"/>
      <c r="GB267" s="122"/>
      <c r="GC267" s="122"/>
      <c r="GD267" s="122"/>
      <c r="GE267" s="122"/>
      <c r="GF267" s="122"/>
      <c r="GG267" s="122"/>
      <c r="GH267" s="122"/>
      <c r="GI267" s="122"/>
      <c r="GJ267" s="122"/>
      <c r="GK267" s="122"/>
      <c r="GL267" s="122"/>
      <c r="GM267" s="122"/>
      <c r="GN267" s="122"/>
      <c r="GO267" s="122"/>
      <c r="GP267" s="122"/>
      <c r="GQ267" s="122"/>
      <c r="GR267" s="122"/>
      <c r="GS267" s="122"/>
      <c r="GT267" s="122"/>
      <c r="GU267" s="122"/>
      <c r="GV267" s="122"/>
      <c r="GW267" s="122"/>
      <c r="GX267" s="122"/>
      <c r="GY267" s="122"/>
      <c r="GZ267" s="122"/>
      <c r="HA267" s="122"/>
      <c r="HB267" s="122"/>
      <c r="HC267" s="122"/>
      <c r="HD267" s="122"/>
      <c r="HE267" s="122"/>
      <c r="HF267" s="122"/>
      <c r="HG267" s="122"/>
      <c r="HH267" s="122"/>
      <c r="HI267" s="122"/>
      <c r="HJ267" s="122"/>
      <c r="HK267" s="122"/>
      <c r="HL267" s="122"/>
      <c r="HM267" s="122"/>
      <c r="HN267" s="122"/>
      <c r="HO267" s="122"/>
      <c r="HP267" s="122"/>
      <c r="HQ267" s="122"/>
      <c r="HR267" s="122"/>
      <c r="HS267" s="122"/>
      <c r="HT267" s="122"/>
      <c r="HU267" s="122"/>
      <c r="HV267" s="122"/>
      <c r="HW267" s="122"/>
      <c r="HX267" s="122"/>
      <c r="HY267" s="122"/>
      <c r="HZ267" s="122"/>
      <c r="IA267" s="122"/>
      <c r="IB267" s="122"/>
      <c r="IC267" s="122"/>
      <c r="ID267" s="122"/>
      <c r="IE267" s="122"/>
      <c r="IF267" s="122"/>
      <c r="IG267" s="122"/>
      <c r="IH267" s="122"/>
      <c r="II267" s="122"/>
      <c r="IJ267" s="122"/>
      <c r="IK267" s="122"/>
      <c r="IL267" s="122"/>
      <c r="IM267" s="122"/>
      <c r="IN267" s="122"/>
      <c r="IO267" s="122"/>
      <c r="IP267" s="122"/>
      <c r="IQ267" s="122"/>
      <c r="IR267" s="122"/>
      <c r="IS267" s="122"/>
      <c r="IT267" s="122"/>
      <c r="IU267" s="122"/>
      <c r="IV267" s="122"/>
      <c r="IW267" s="122"/>
      <c r="IX267" s="122"/>
      <c r="IY267" s="122"/>
      <c r="IZ267" s="122"/>
      <c r="JA267" s="122"/>
      <c r="JB267" s="122"/>
      <c r="JC267" s="122"/>
      <c r="JD267" s="122"/>
      <c r="JE267" s="122"/>
      <c r="JF267" s="122"/>
      <c r="JG267" s="122"/>
      <c r="JH267" s="122"/>
      <c r="JI267" s="119"/>
      <c r="JJ267" s="2"/>
      <c r="JK267" s="122"/>
      <c r="JL267" s="125"/>
      <c r="JM267" s="125"/>
      <c r="JN267" s="125"/>
      <c r="JO267" s="125"/>
      <c r="JP267" s="125"/>
    </row>
    <row r="268" spans="1:276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  <c r="AP268" s="122"/>
      <c r="AQ268" s="122"/>
      <c r="AR268" s="122"/>
      <c r="AS268" s="122"/>
      <c r="AT268" s="122"/>
      <c r="AU268" s="122"/>
      <c r="AV268" s="122"/>
      <c r="AW268" s="122"/>
      <c r="AX268" s="122"/>
      <c r="AY268" s="122"/>
      <c r="AZ268" s="122"/>
      <c r="BA268" s="122"/>
      <c r="BB268" s="122"/>
      <c r="BC268" s="122"/>
      <c r="BD268" s="122"/>
      <c r="BE268" s="122"/>
      <c r="BF268" s="122"/>
      <c r="BG268" s="122"/>
      <c r="BH268" s="122"/>
      <c r="BI268" s="122"/>
      <c r="BJ268" s="122"/>
      <c r="BK268" s="122"/>
      <c r="BL268" s="122"/>
      <c r="BM268" s="122"/>
      <c r="BN268" s="122"/>
      <c r="BO268" s="122"/>
      <c r="BP268" s="122"/>
      <c r="BQ268" s="122"/>
      <c r="BR268" s="122"/>
      <c r="BS268" s="122"/>
      <c r="BT268" s="122"/>
      <c r="BU268" s="122"/>
      <c r="BV268" s="122"/>
      <c r="BW268" s="122"/>
      <c r="BX268" s="122"/>
      <c r="BY268" s="122"/>
      <c r="BZ268" s="122"/>
      <c r="CA268" s="122"/>
      <c r="CB268" s="122"/>
      <c r="CC268" s="122"/>
      <c r="CD268" s="122"/>
      <c r="CE268" s="122"/>
      <c r="CF268" s="122"/>
      <c r="CG268" s="122"/>
      <c r="CH268" s="122"/>
      <c r="CI268" s="122"/>
      <c r="CJ268" s="122"/>
      <c r="CK268" s="122"/>
      <c r="CL268" s="122"/>
      <c r="CM268" s="122"/>
      <c r="CN268" s="122"/>
      <c r="CO268" s="122"/>
      <c r="CP268" s="122"/>
      <c r="CQ268" s="122"/>
      <c r="CR268" s="122"/>
      <c r="CS268" s="122"/>
      <c r="CT268" s="122"/>
      <c r="CU268" s="122"/>
      <c r="CV268" s="122"/>
      <c r="CW268" s="122"/>
      <c r="CX268" s="122"/>
      <c r="CY268" s="122"/>
      <c r="CZ268" s="122"/>
      <c r="DA268" s="122"/>
      <c r="DB268" s="122"/>
      <c r="DC268" s="122"/>
      <c r="DD268" s="122"/>
      <c r="DE268" s="122"/>
      <c r="DF268" s="122"/>
      <c r="DG268" s="122"/>
      <c r="DH268" s="122"/>
      <c r="DI268" s="122"/>
      <c r="DJ268" s="122"/>
      <c r="DK268" s="122"/>
      <c r="DL268" s="122"/>
      <c r="DM268" s="122"/>
      <c r="DN268" s="122"/>
      <c r="DO268" s="122"/>
      <c r="DP268" s="122"/>
      <c r="DQ268" s="122"/>
      <c r="DR268" s="122"/>
      <c r="DS268" s="122"/>
      <c r="DT268" s="122"/>
      <c r="DU268" s="122"/>
      <c r="DV268" s="122"/>
      <c r="DW268" s="122"/>
      <c r="DX268" s="122"/>
      <c r="DY268" s="122"/>
      <c r="DZ268" s="122"/>
      <c r="EA268" s="122"/>
      <c r="EB268" s="122"/>
      <c r="EC268" s="122"/>
      <c r="ED268" s="122"/>
      <c r="EE268" s="122"/>
      <c r="EF268" s="122"/>
      <c r="EG268" s="122"/>
      <c r="EH268" s="122"/>
      <c r="EI268" s="122"/>
      <c r="EJ268" s="122"/>
      <c r="EK268" s="122"/>
      <c r="EL268" s="122"/>
      <c r="EM268" s="122"/>
      <c r="EN268" s="122"/>
      <c r="EO268" s="122"/>
      <c r="EP268" s="122"/>
      <c r="EQ268" s="122"/>
      <c r="ER268" s="122"/>
      <c r="ES268" s="122"/>
      <c r="ET268" s="122"/>
      <c r="EU268" s="122"/>
      <c r="EV268" s="122"/>
      <c r="EW268" s="122"/>
      <c r="EX268" s="122"/>
      <c r="EY268" s="122"/>
      <c r="EZ268" s="122"/>
      <c r="FA268" s="122"/>
      <c r="FB268" s="122"/>
      <c r="FC268" s="122"/>
      <c r="FD268" s="122"/>
      <c r="FE268" s="122"/>
      <c r="FF268" s="122"/>
      <c r="FG268" s="122"/>
      <c r="FH268" s="122"/>
      <c r="FI268" s="122"/>
      <c r="FJ268" s="122"/>
      <c r="FK268" s="122"/>
      <c r="FL268" s="122"/>
      <c r="FM268" s="122"/>
      <c r="FN268" s="122"/>
      <c r="FO268" s="122"/>
      <c r="FP268" s="122"/>
      <c r="FQ268" s="122"/>
      <c r="FR268" s="122"/>
      <c r="FS268" s="122"/>
      <c r="FT268" s="122"/>
      <c r="FU268" s="122"/>
      <c r="FV268" s="122"/>
      <c r="FW268" s="122"/>
      <c r="FX268" s="122"/>
      <c r="FY268" s="122"/>
      <c r="FZ268" s="122"/>
      <c r="GA268" s="122"/>
      <c r="GB268" s="122"/>
      <c r="GC268" s="122"/>
      <c r="GD268" s="122"/>
      <c r="GE268" s="122"/>
      <c r="GF268" s="122"/>
      <c r="GG268" s="122"/>
      <c r="GH268" s="122"/>
      <c r="GI268" s="122"/>
      <c r="GJ268" s="122"/>
      <c r="GK268" s="122"/>
      <c r="GL268" s="122"/>
      <c r="GM268" s="122"/>
      <c r="GN268" s="122"/>
      <c r="GO268" s="122"/>
      <c r="GP268" s="122"/>
      <c r="GQ268" s="122"/>
      <c r="GR268" s="122"/>
      <c r="GS268" s="122"/>
      <c r="GT268" s="122"/>
      <c r="GU268" s="122"/>
      <c r="GV268" s="122"/>
      <c r="GW268" s="122"/>
      <c r="GX268" s="122"/>
      <c r="GY268" s="122"/>
      <c r="GZ268" s="122"/>
      <c r="HA268" s="122"/>
      <c r="HB268" s="122"/>
      <c r="HC268" s="122"/>
      <c r="HD268" s="122"/>
      <c r="HE268" s="122"/>
      <c r="HF268" s="122"/>
      <c r="HG268" s="122"/>
      <c r="HH268" s="122"/>
      <c r="HI268" s="122"/>
      <c r="HJ268" s="122"/>
      <c r="HK268" s="122"/>
      <c r="HL268" s="122"/>
      <c r="HM268" s="122"/>
      <c r="HN268" s="122"/>
      <c r="HO268" s="122"/>
      <c r="HP268" s="122"/>
      <c r="HQ268" s="122"/>
      <c r="HR268" s="122"/>
      <c r="HS268" s="122"/>
      <c r="HT268" s="122"/>
      <c r="HU268" s="122"/>
      <c r="HV268" s="122"/>
      <c r="HW268" s="122"/>
      <c r="HX268" s="122"/>
      <c r="HY268" s="122"/>
      <c r="HZ268" s="122"/>
      <c r="IA268" s="122"/>
      <c r="IB268" s="122"/>
      <c r="IC268" s="122"/>
      <c r="ID268" s="122"/>
      <c r="IE268" s="122"/>
      <c r="IF268" s="122"/>
      <c r="IG268" s="122"/>
      <c r="IH268" s="122"/>
      <c r="II268" s="122"/>
      <c r="IJ268" s="122"/>
      <c r="IK268" s="122"/>
      <c r="IL268" s="122"/>
      <c r="IM268" s="122"/>
      <c r="IN268" s="122"/>
      <c r="IO268" s="122"/>
      <c r="IP268" s="122"/>
      <c r="IQ268" s="122"/>
      <c r="IR268" s="122"/>
      <c r="IS268" s="122"/>
      <c r="IT268" s="122"/>
      <c r="IU268" s="122"/>
      <c r="IV268" s="122"/>
      <c r="IW268" s="122"/>
      <c r="IX268" s="122"/>
      <c r="IY268" s="122"/>
      <c r="IZ268" s="122"/>
      <c r="JA268" s="122"/>
      <c r="JB268" s="122"/>
      <c r="JC268" s="122"/>
      <c r="JD268" s="122"/>
      <c r="JE268" s="122"/>
      <c r="JF268" s="122"/>
      <c r="JG268" s="122"/>
      <c r="JH268" s="122"/>
      <c r="JI268" s="119"/>
      <c r="JJ268" s="2"/>
      <c r="JK268" s="122"/>
      <c r="JL268" s="125"/>
      <c r="JM268" s="125"/>
      <c r="JN268" s="125"/>
      <c r="JO268" s="125"/>
      <c r="JP268" s="125"/>
    </row>
    <row r="269" spans="1:276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122"/>
      <c r="AQ269" s="122"/>
      <c r="AR269" s="122"/>
      <c r="AS269" s="122"/>
      <c r="AT269" s="122"/>
      <c r="AU269" s="122"/>
      <c r="AV269" s="122"/>
      <c r="AW269" s="122"/>
      <c r="AX269" s="122"/>
      <c r="AY269" s="122"/>
      <c r="AZ269" s="122"/>
      <c r="BA269" s="122"/>
      <c r="BB269" s="122"/>
      <c r="BC269" s="122"/>
      <c r="BD269" s="122"/>
      <c r="BE269" s="122"/>
      <c r="BF269" s="122"/>
      <c r="BG269" s="122"/>
      <c r="BH269" s="122"/>
      <c r="BI269" s="122"/>
      <c r="BJ269" s="122"/>
      <c r="BK269" s="122"/>
      <c r="BL269" s="122"/>
      <c r="BM269" s="122"/>
      <c r="BN269" s="122"/>
      <c r="BO269" s="122"/>
      <c r="BP269" s="122"/>
      <c r="BQ269" s="122"/>
      <c r="BR269" s="122"/>
      <c r="BS269" s="122"/>
      <c r="BT269" s="122"/>
      <c r="BU269" s="122"/>
      <c r="BV269" s="122"/>
      <c r="BW269" s="122"/>
      <c r="BX269" s="122"/>
      <c r="BY269" s="122"/>
      <c r="BZ269" s="122"/>
      <c r="CA269" s="122"/>
      <c r="CB269" s="122"/>
      <c r="CC269" s="122"/>
      <c r="CD269" s="122"/>
      <c r="CE269" s="122"/>
      <c r="CF269" s="122"/>
      <c r="CG269" s="122"/>
      <c r="CH269" s="122"/>
      <c r="CI269" s="122"/>
      <c r="CJ269" s="122"/>
      <c r="CK269" s="122"/>
      <c r="CL269" s="122"/>
      <c r="CM269" s="122"/>
      <c r="CN269" s="122"/>
      <c r="CO269" s="122"/>
      <c r="CP269" s="122"/>
      <c r="CQ269" s="122"/>
      <c r="CR269" s="122"/>
      <c r="CS269" s="122"/>
      <c r="CT269" s="122"/>
      <c r="CU269" s="122"/>
      <c r="CV269" s="122"/>
      <c r="CW269" s="122"/>
      <c r="CX269" s="122"/>
      <c r="CY269" s="122"/>
      <c r="CZ269" s="122"/>
      <c r="DA269" s="122"/>
      <c r="DB269" s="122"/>
      <c r="DC269" s="122"/>
      <c r="DD269" s="122"/>
      <c r="DE269" s="122"/>
      <c r="DF269" s="122"/>
      <c r="DG269" s="122"/>
      <c r="DH269" s="122"/>
      <c r="DI269" s="122"/>
      <c r="DJ269" s="122"/>
      <c r="DK269" s="122"/>
      <c r="DL269" s="122"/>
      <c r="DM269" s="122"/>
      <c r="DN269" s="122"/>
      <c r="DO269" s="122"/>
      <c r="DP269" s="122"/>
      <c r="DQ269" s="122"/>
      <c r="DR269" s="122"/>
      <c r="DS269" s="122"/>
      <c r="DT269" s="122"/>
      <c r="DU269" s="122"/>
      <c r="DV269" s="122"/>
      <c r="DW269" s="122"/>
      <c r="DX269" s="122"/>
      <c r="DY269" s="122"/>
      <c r="DZ269" s="122"/>
      <c r="EA269" s="122"/>
      <c r="EB269" s="122"/>
      <c r="EC269" s="122"/>
      <c r="ED269" s="122"/>
      <c r="EE269" s="122"/>
      <c r="EF269" s="122"/>
      <c r="EG269" s="122"/>
      <c r="EH269" s="122"/>
      <c r="EI269" s="122"/>
      <c r="EJ269" s="122"/>
      <c r="EK269" s="122"/>
      <c r="EL269" s="122"/>
      <c r="EM269" s="122"/>
      <c r="EN269" s="122"/>
      <c r="EO269" s="122"/>
      <c r="EP269" s="122"/>
      <c r="EQ269" s="122"/>
      <c r="ER269" s="122"/>
      <c r="ES269" s="122"/>
      <c r="ET269" s="122"/>
      <c r="EU269" s="122"/>
      <c r="EV269" s="122"/>
      <c r="EW269" s="122"/>
      <c r="EX269" s="122"/>
      <c r="EY269" s="122"/>
      <c r="EZ269" s="122"/>
      <c r="FA269" s="122"/>
      <c r="FB269" s="122"/>
      <c r="FC269" s="122"/>
      <c r="FD269" s="122"/>
      <c r="FE269" s="122"/>
      <c r="FF269" s="122"/>
      <c r="FG269" s="122"/>
      <c r="FH269" s="122"/>
      <c r="FI269" s="122"/>
      <c r="FJ269" s="122"/>
      <c r="FK269" s="122"/>
      <c r="FL269" s="122"/>
      <c r="FM269" s="122"/>
      <c r="FN269" s="122"/>
      <c r="FO269" s="122"/>
      <c r="FP269" s="122"/>
      <c r="FQ269" s="122"/>
      <c r="FR269" s="122"/>
      <c r="FS269" s="122"/>
      <c r="FT269" s="122"/>
      <c r="FU269" s="122"/>
      <c r="FV269" s="122"/>
      <c r="FW269" s="122"/>
      <c r="FX269" s="122"/>
      <c r="FY269" s="122"/>
      <c r="FZ269" s="122"/>
      <c r="GA269" s="122"/>
      <c r="GB269" s="122"/>
      <c r="GC269" s="122"/>
      <c r="GD269" s="122"/>
      <c r="GE269" s="122"/>
      <c r="GF269" s="122"/>
      <c r="GG269" s="122"/>
      <c r="GH269" s="122"/>
      <c r="GI269" s="122"/>
      <c r="GJ269" s="122"/>
      <c r="GK269" s="122"/>
      <c r="GL269" s="122"/>
      <c r="GM269" s="122"/>
      <c r="GN269" s="122"/>
      <c r="GO269" s="122"/>
      <c r="GP269" s="122"/>
      <c r="GQ269" s="122"/>
      <c r="GR269" s="122"/>
      <c r="GS269" s="122"/>
      <c r="GT269" s="122"/>
      <c r="GU269" s="122"/>
      <c r="GV269" s="122"/>
      <c r="GW269" s="122"/>
      <c r="GX269" s="122"/>
      <c r="GY269" s="122"/>
      <c r="GZ269" s="122"/>
      <c r="HA269" s="122"/>
      <c r="HB269" s="122"/>
      <c r="HC269" s="122"/>
      <c r="HD269" s="122"/>
      <c r="HE269" s="122"/>
      <c r="HF269" s="122"/>
      <c r="HG269" s="122"/>
      <c r="HH269" s="122"/>
      <c r="HI269" s="122"/>
      <c r="HJ269" s="122"/>
      <c r="HK269" s="122"/>
      <c r="HL269" s="122"/>
      <c r="HM269" s="122"/>
      <c r="HN269" s="122"/>
      <c r="HO269" s="122"/>
      <c r="HP269" s="122"/>
      <c r="HQ269" s="122"/>
      <c r="HR269" s="122"/>
      <c r="HS269" s="122"/>
      <c r="HT269" s="122"/>
      <c r="HU269" s="122"/>
      <c r="HV269" s="122"/>
      <c r="HW269" s="122"/>
      <c r="HX269" s="122"/>
      <c r="HY269" s="122"/>
      <c r="HZ269" s="122"/>
      <c r="IA269" s="122"/>
      <c r="IB269" s="122"/>
      <c r="IC269" s="122"/>
      <c r="ID269" s="122"/>
      <c r="IE269" s="122"/>
      <c r="IF269" s="122"/>
      <c r="IG269" s="122"/>
      <c r="IH269" s="122"/>
      <c r="II269" s="122"/>
      <c r="IJ269" s="122"/>
      <c r="IK269" s="122"/>
      <c r="IL269" s="122"/>
      <c r="IM269" s="122"/>
      <c r="IN269" s="122"/>
      <c r="IO269" s="122"/>
      <c r="IP269" s="122"/>
      <c r="IQ269" s="122"/>
      <c r="IR269" s="122"/>
      <c r="IS269" s="122"/>
      <c r="IT269" s="122"/>
      <c r="IU269" s="122"/>
      <c r="IV269" s="122"/>
      <c r="IW269" s="122"/>
      <c r="IX269" s="122"/>
      <c r="IY269" s="122"/>
      <c r="IZ269" s="122"/>
      <c r="JA269" s="122"/>
      <c r="JB269" s="122"/>
      <c r="JC269" s="122"/>
      <c r="JD269" s="122"/>
      <c r="JE269" s="122"/>
      <c r="JF269" s="122"/>
      <c r="JG269" s="122"/>
      <c r="JH269" s="122"/>
      <c r="JI269" s="119"/>
      <c r="JJ269" s="2"/>
      <c r="JK269" s="122"/>
      <c r="JL269" s="125"/>
      <c r="JM269" s="125"/>
      <c r="JN269" s="125"/>
      <c r="JO269" s="125"/>
      <c r="JP269" s="125"/>
    </row>
    <row r="270" spans="1:276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  <c r="AP270" s="122"/>
      <c r="AQ270" s="122"/>
      <c r="AR270" s="122"/>
      <c r="AS270" s="122"/>
      <c r="AT270" s="122"/>
      <c r="AU270" s="122"/>
      <c r="AV270" s="122"/>
      <c r="AW270" s="122"/>
      <c r="AX270" s="122"/>
      <c r="AY270" s="122"/>
      <c r="AZ270" s="122"/>
      <c r="BA270" s="122"/>
      <c r="BB270" s="122"/>
      <c r="BC270" s="122"/>
      <c r="BD270" s="122"/>
      <c r="BE270" s="122"/>
      <c r="BF270" s="122"/>
      <c r="BG270" s="122"/>
      <c r="BH270" s="122"/>
      <c r="BI270" s="122"/>
      <c r="BJ270" s="122"/>
      <c r="BK270" s="122"/>
      <c r="BL270" s="122"/>
      <c r="BM270" s="122"/>
      <c r="BN270" s="122"/>
      <c r="BO270" s="122"/>
      <c r="BP270" s="122"/>
      <c r="BQ270" s="122"/>
      <c r="BR270" s="122"/>
      <c r="BS270" s="122"/>
      <c r="BT270" s="122"/>
      <c r="BU270" s="122"/>
      <c r="BV270" s="122"/>
      <c r="BW270" s="122"/>
      <c r="BX270" s="122"/>
      <c r="BY270" s="122"/>
      <c r="BZ270" s="122"/>
      <c r="CA270" s="122"/>
      <c r="CB270" s="122"/>
      <c r="CC270" s="122"/>
      <c r="CD270" s="122"/>
      <c r="CE270" s="122"/>
      <c r="CF270" s="122"/>
      <c r="CG270" s="122"/>
      <c r="CH270" s="122"/>
      <c r="CI270" s="122"/>
      <c r="CJ270" s="122"/>
      <c r="CK270" s="122"/>
      <c r="CL270" s="122"/>
      <c r="CM270" s="122"/>
      <c r="CN270" s="122"/>
      <c r="CO270" s="122"/>
      <c r="CP270" s="122"/>
      <c r="CQ270" s="122"/>
      <c r="CR270" s="122"/>
      <c r="CS270" s="122"/>
      <c r="CT270" s="122"/>
      <c r="CU270" s="122"/>
      <c r="CV270" s="122"/>
      <c r="CW270" s="122"/>
      <c r="CX270" s="122"/>
      <c r="CY270" s="122"/>
      <c r="CZ270" s="122"/>
      <c r="DA270" s="122"/>
      <c r="DB270" s="122"/>
      <c r="DC270" s="122"/>
      <c r="DD270" s="122"/>
      <c r="DE270" s="122"/>
      <c r="DF270" s="122"/>
      <c r="DG270" s="122"/>
      <c r="DH270" s="122"/>
      <c r="DI270" s="122"/>
      <c r="DJ270" s="122"/>
      <c r="DK270" s="122"/>
      <c r="DL270" s="122"/>
      <c r="DM270" s="122"/>
      <c r="DN270" s="122"/>
      <c r="DO270" s="122"/>
      <c r="DP270" s="122"/>
      <c r="DQ270" s="122"/>
      <c r="DR270" s="122"/>
      <c r="DS270" s="122"/>
      <c r="DT270" s="122"/>
      <c r="DU270" s="122"/>
      <c r="DV270" s="122"/>
      <c r="DW270" s="122"/>
      <c r="DX270" s="122"/>
      <c r="DY270" s="122"/>
      <c r="DZ270" s="122"/>
      <c r="EA270" s="122"/>
      <c r="EB270" s="122"/>
      <c r="EC270" s="122"/>
      <c r="ED270" s="122"/>
      <c r="EE270" s="122"/>
      <c r="EF270" s="122"/>
      <c r="EG270" s="122"/>
      <c r="EH270" s="122"/>
      <c r="EI270" s="122"/>
      <c r="EJ270" s="122"/>
      <c r="EK270" s="122"/>
      <c r="EL270" s="122"/>
      <c r="EM270" s="122"/>
      <c r="EN270" s="122"/>
      <c r="EO270" s="122"/>
      <c r="EP270" s="122"/>
      <c r="EQ270" s="122"/>
      <c r="ER270" s="122"/>
      <c r="ES270" s="122"/>
      <c r="ET270" s="122"/>
      <c r="EU270" s="122"/>
      <c r="EV270" s="122"/>
      <c r="EW270" s="122"/>
      <c r="EX270" s="122"/>
      <c r="EY270" s="122"/>
      <c r="EZ270" s="122"/>
      <c r="FA270" s="122"/>
      <c r="FB270" s="122"/>
      <c r="FC270" s="122"/>
      <c r="FD270" s="122"/>
      <c r="FE270" s="122"/>
      <c r="FF270" s="122"/>
      <c r="FG270" s="122"/>
      <c r="FH270" s="122"/>
      <c r="FI270" s="122"/>
      <c r="FJ270" s="122"/>
      <c r="FK270" s="122"/>
      <c r="FL270" s="122"/>
      <c r="FM270" s="122"/>
      <c r="FN270" s="122"/>
      <c r="FO270" s="122"/>
      <c r="FP270" s="122"/>
      <c r="FQ270" s="122"/>
      <c r="FR270" s="122"/>
      <c r="FS270" s="122"/>
      <c r="FT270" s="122"/>
      <c r="FU270" s="122"/>
      <c r="FV270" s="122"/>
      <c r="FW270" s="122"/>
      <c r="FX270" s="122"/>
      <c r="FY270" s="122"/>
      <c r="FZ270" s="122"/>
      <c r="GA270" s="122"/>
      <c r="GB270" s="122"/>
      <c r="GC270" s="122"/>
      <c r="GD270" s="122"/>
      <c r="GE270" s="122"/>
      <c r="GF270" s="122"/>
      <c r="GG270" s="122"/>
      <c r="GH270" s="122"/>
      <c r="GI270" s="122"/>
      <c r="GJ270" s="122"/>
      <c r="GK270" s="122"/>
      <c r="GL270" s="122"/>
      <c r="GM270" s="122"/>
      <c r="GN270" s="122"/>
      <c r="GO270" s="122"/>
      <c r="GP270" s="122"/>
      <c r="GQ270" s="122"/>
      <c r="GR270" s="122"/>
      <c r="GS270" s="122"/>
      <c r="GT270" s="122"/>
      <c r="GU270" s="122"/>
      <c r="GV270" s="122"/>
      <c r="GW270" s="122"/>
      <c r="GX270" s="122"/>
      <c r="GY270" s="122"/>
      <c r="GZ270" s="122"/>
      <c r="HA270" s="122"/>
      <c r="HB270" s="122"/>
      <c r="HC270" s="122"/>
      <c r="HD270" s="122"/>
      <c r="HE270" s="122"/>
      <c r="HF270" s="122"/>
      <c r="HG270" s="122"/>
      <c r="HH270" s="122"/>
      <c r="HI270" s="122"/>
      <c r="HJ270" s="122"/>
      <c r="HK270" s="122"/>
      <c r="HL270" s="122"/>
      <c r="HM270" s="122"/>
      <c r="HN270" s="122"/>
      <c r="HO270" s="122"/>
      <c r="HP270" s="122"/>
      <c r="HQ270" s="122"/>
      <c r="HR270" s="122"/>
      <c r="HS270" s="122"/>
      <c r="HT270" s="122"/>
      <c r="HU270" s="122"/>
      <c r="HV270" s="122"/>
      <c r="HW270" s="122"/>
      <c r="HX270" s="122"/>
      <c r="HY270" s="122"/>
      <c r="HZ270" s="122"/>
      <c r="IA270" s="122"/>
      <c r="IB270" s="122"/>
      <c r="IC270" s="122"/>
      <c r="ID270" s="122"/>
      <c r="IE270" s="122"/>
      <c r="IF270" s="122"/>
      <c r="IG270" s="122"/>
      <c r="IH270" s="122"/>
      <c r="II270" s="122"/>
      <c r="IJ270" s="122"/>
      <c r="IK270" s="122"/>
      <c r="IL270" s="122"/>
      <c r="IM270" s="122"/>
      <c r="IN270" s="122"/>
      <c r="IO270" s="122"/>
      <c r="IP270" s="122"/>
      <c r="IQ270" s="122"/>
      <c r="IR270" s="122"/>
      <c r="IS270" s="122"/>
      <c r="IT270" s="122"/>
      <c r="IU270" s="122"/>
      <c r="IV270" s="122"/>
      <c r="IW270" s="122"/>
      <c r="IX270" s="122"/>
      <c r="IY270" s="122"/>
      <c r="IZ270" s="122"/>
      <c r="JA270" s="122"/>
      <c r="JB270" s="122"/>
      <c r="JC270" s="122"/>
      <c r="JD270" s="122"/>
      <c r="JE270" s="122"/>
      <c r="JF270" s="122"/>
      <c r="JG270" s="122"/>
      <c r="JH270" s="122"/>
      <c r="JI270" s="119"/>
      <c r="JJ270" s="2"/>
      <c r="JK270" s="122"/>
      <c r="JL270" s="125"/>
      <c r="JM270" s="125"/>
      <c r="JN270" s="125"/>
      <c r="JO270" s="125"/>
      <c r="JP270" s="125"/>
    </row>
    <row r="271" spans="1:276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122"/>
      <c r="AQ271" s="122"/>
      <c r="AR271" s="122"/>
      <c r="AS271" s="122"/>
      <c r="AT271" s="122"/>
      <c r="AU271" s="122"/>
      <c r="AV271" s="122"/>
      <c r="AW271" s="122"/>
      <c r="AX271" s="122"/>
      <c r="AY271" s="122"/>
      <c r="AZ271" s="122"/>
      <c r="BA271" s="122"/>
      <c r="BB271" s="122"/>
      <c r="BC271" s="122"/>
      <c r="BD271" s="122"/>
      <c r="BE271" s="122"/>
      <c r="BF271" s="122"/>
      <c r="BG271" s="122"/>
      <c r="BH271" s="122"/>
      <c r="BI271" s="122"/>
      <c r="BJ271" s="122"/>
      <c r="BK271" s="122"/>
      <c r="BL271" s="122"/>
      <c r="BM271" s="122"/>
      <c r="BN271" s="122"/>
      <c r="BO271" s="122"/>
      <c r="BP271" s="122"/>
      <c r="BQ271" s="122"/>
      <c r="BR271" s="122"/>
      <c r="BS271" s="122"/>
      <c r="BT271" s="122"/>
      <c r="BU271" s="122"/>
      <c r="BV271" s="122"/>
      <c r="BW271" s="122"/>
      <c r="BX271" s="122"/>
      <c r="BY271" s="122"/>
      <c r="BZ271" s="122"/>
      <c r="CA271" s="122"/>
      <c r="CB271" s="122"/>
      <c r="CC271" s="122"/>
      <c r="CD271" s="122"/>
      <c r="CE271" s="122"/>
      <c r="CF271" s="122"/>
      <c r="CG271" s="122"/>
      <c r="CH271" s="122"/>
      <c r="CI271" s="122"/>
      <c r="CJ271" s="122"/>
      <c r="CK271" s="122"/>
      <c r="CL271" s="122"/>
      <c r="CM271" s="122"/>
      <c r="CN271" s="122"/>
      <c r="CO271" s="122"/>
      <c r="CP271" s="122"/>
      <c r="CQ271" s="122"/>
      <c r="CR271" s="122"/>
      <c r="CS271" s="122"/>
      <c r="CT271" s="122"/>
      <c r="CU271" s="122"/>
      <c r="CV271" s="122"/>
      <c r="CW271" s="122"/>
      <c r="CX271" s="122"/>
      <c r="CY271" s="122"/>
      <c r="CZ271" s="122"/>
      <c r="DA271" s="122"/>
      <c r="DB271" s="122"/>
      <c r="DC271" s="122"/>
      <c r="DD271" s="122"/>
      <c r="DE271" s="122"/>
      <c r="DF271" s="122"/>
      <c r="DG271" s="122"/>
      <c r="DH271" s="122"/>
      <c r="DI271" s="122"/>
      <c r="DJ271" s="122"/>
      <c r="DK271" s="122"/>
      <c r="DL271" s="122"/>
      <c r="DM271" s="122"/>
      <c r="DN271" s="122"/>
      <c r="DO271" s="122"/>
      <c r="DP271" s="122"/>
      <c r="DQ271" s="122"/>
      <c r="DR271" s="122"/>
      <c r="DS271" s="122"/>
      <c r="DT271" s="122"/>
      <c r="DU271" s="122"/>
      <c r="DV271" s="122"/>
      <c r="DW271" s="122"/>
      <c r="DX271" s="122"/>
      <c r="DY271" s="122"/>
      <c r="DZ271" s="122"/>
      <c r="EA271" s="122"/>
      <c r="EB271" s="122"/>
      <c r="EC271" s="122"/>
      <c r="ED271" s="122"/>
      <c r="EE271" s="122"/>
      <c r="EF271" s="122"/>
      <c r="EG271" s="122"/>
      <c r="EH271" s="122"/>
      <c r="EI271" s="122"/>
      <c r="EJ271" s="122"/>
      <c r="EK271" s="122"/>
      <c r="EL271" s="122"/>
      <c r="EM271" s="122"/>
      <c r="EN271" s="122"/>
      <c r="EO271" s="122"/>
      <c r="EP271" s="122"/>
      <c r="EQ271" s="122"/>
      <c r="ER271" s="122"/>
      <c r="ES271" s="122"/>
      <c r="ET271" s="122"/>
      <c r="EU271" s="122"/>
      <c r="EV271" s="122"/>
      <c r="EW271" s="122"/>
      <c r="EX271" s="122"/>
      <c r="EY271" s="122"/>
      <c r="EZ271" s="122"/>
      <c r="FA271" s="122"/>
      <c r="FB271" s="122"/>
      <c r="FC271" s="122"/>
      <c r="FD271" s="122"/>
      <c r="FE271" s="122"/>
      <c r="FF271" s="122"/>
      <c r="FG271" s="122"/>
      <c r="FH271" s="122"/>
      <c r="FI271" s="122"/>
      <c r="FJ271" s="122"/>
      <c r="FK271" s="122"/>
      <c r="FL271" s="122"/>
      <c r="FM271" s="122"/>
      <c r="FN271" s="122"/>
      <c r="FO271" s="122"/>
      <c r="FP271" s="122"/>
      <c r="FQ271" s="122"/>
      <c r="FR271" s="122"/>
      <c r="FS271" s="122"/>
      <c r="FT271" s="122"/>
      <c r="FU271" s="122"/>
      <c r="FV271" s="122"/>
      <c r="FW271" s="122"/>
      <c r="FX271" s="122"/>
      <c r="FY271" s="122"/>
      <c r="FZ271" s="122"/>
      <c r="GA271" s="122"/>
      <c r="GB271" s="122"/>
      <c r="GC271" s="122"/>
      <c r="GD271" s="122"/>
      <c r="GE271" s="122"/>
      <c r="GF271" s="122"/>
      <c r="GG271" s="122"/>
      <c r="GH271" s="122"/>
      <c r="GI271" s="122"/>
      <c r="GJ271" s="122"/>
      <c r="GK271" s="122"/>
      <c r="GL271" s="122"/>
      <c r="GM271" s="122"/>
      <c r="GN271" s="122"/>
      <c r="GO271" s="122"/>
      <c r="GP271" s="122"/>
      <c r="GQ271" s="122"/>
      <c r="GR271" s="122"/>
      <c r="GS271" s="122"/>
      <c r="GT271" s="122"/>
      <c r="GU271" s="122"/>
      <c r="GV271" s="122"/>
      <c r="GW271" s="122"/>
      <c r="GX271" s="122"/>
      <c r="GY271" s="122"/>
      <c r="GZ271" s="122"/>
      <c r="HA271" s="122"/>
      <c r="HB271" s="122"/>
      <c r="HC271" s="122"/>
      <c r="HD271" s="122"/>
      <c r="HE271" s="122"/>
      <c r="HF271" s="122"/>
      <c r="HG271" s="122"/>
      <c r="HH271" s="122"/>
      <c r="HI271" s="122"/>
      <c r="HJ271" s="122"/>
      <c r="HK271" s="122"/>
      <c r="HL271" s="122"/>
      <c r="HM271" s="122"/>
      <c r="HN271" s="122"/>
      <c r="HO271" s="122"/>
      <c r="HP271" s="122"/>
      <c r="HQ271" s="122"/>
      <c r="HR271" s="122"/>
      <c r="HS271" s="122"/>
      <c r="HT271" s="122"/>
      <c r="HU271" s="122"/>
      <c r="HV271" s="122"/>
      <c r="HW271" s="122"/>
      <c r="HX271" s="122"/>
      <c r="HY271" s="122"/>
      <c r="HZ271" s="122"/>
      <c r="IA271" s="122"/>
      <c r="IB271" s="122"/>
      <c r="IC271" s="122"/>
      <c r="ID271" s="122"/>
      <c r="IE271" s="122"/>
      <c r="IF271" s="122"/>
      <c r="IG271" s="122"/>
      <c r="IH271" s="122"/>
      <c r="II271" s="122"/>
      <c r="IJ271" s="122"/>
      <c r="IK271" s="122"/>
      <c r="IL271" s="122"/>
      <c r="IM271" s="122"/>
      <c r="IN271" s="122"/>
      <c r="IO271" s="122"/>
      <c r="IP271" s="122"/>
      <c r="IQ271" s="122"/>
      <c r="IR271" s="122"/>
      <c r="IS271" s="122"/>
      <c r="IT271" s="122"/>
      <c r="IU271" s="122"/>
      <c r="IV271" s="122"/>
      <c r="IW271" s="122"/>
      <c r="IX271" s="122"/>
      <c r="IY271" s="122"/>
      <c r="IZ271" s="122"/>
      <c r="JA271" s="122"/>
      <c r="JB271" s="122"/>
      <c r="JC271" s="122"/>
      <c r="JD271" s="122"/>
      <c r="JE271" s="122"/>
      <c r="JF271" s="122"/>
      <c r="JG271" s="122"/>
      <c r="JH271" s="122"/>
      <c r="JI271" s="119"/>
      <c r="JJ271" s="2"/>
      <c r="JK271" s="122"/>
      <c r="JL271" s="125"/>
      <c r="JM271" s="125"/>
      <c r="JN271" s="125"/>
      <c r="JO271" s="125"/>
      <c r="JP271" s="125"/>
    </row>
    <row r="272" spans="1:276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  <c r="AP272" s="122"/>
      <c r="AQ272" s="122"/>
      <c r="AR272" s="122"/>
      <c r="AS272" s="122"/>
      <c r="AT272" s="122"/>
      <c r="AU272" s="122"/>
      <c r="AV272" s="122"/>
      <c r="AW272" s="122"/>
      <c r="AX272" s="122"/>
      <c r="AY272" s="122"/>
      <c r="AZ272" s="122"/>
      <c r="BA272" s="122"/>
      <c r="BB272" s="122"/>
      <c r="BC272" s="122"/>
      <c r="BD272" s="122"/>
      <c r="BE272" s="122"/>
      <c r="BF272" s="122"/>
      <c r="BG272" s="122"/>
      <c r="BH272" s="122"/>
      <c r="BI272" s="122"/>
      <c r="BJ272" s="122"/>
      <c r="BK272" s="122"/>
      <c r="BL272" s="122"/>
      <c r="BM272" s="122"/>
      <c r="BN272" s="122"/>
      <c r="BO272" s="122"/>
      <c r="BP272" s="122"/>
      <c r="BQ272" s="122"/>
      <c r="BR272" s="122"/>
      <c r="BS272" s="122"/>
      <c r="BT272" s="122"/>
      <c r="BU272" s="122"/>
      <c r="BV272" s="122"/>
      <c r="BW272" s="122"/>
      <c r="BX272" s="122"/>
      <c r="BY272" s="122"/>
      <c r="BZ272" s="122"/>
      <c r="CA272" s="122"/>
      <c r="CB272" s="122"/>
      <c r="CC272" s="122"/>
      <c r="CD272" s="122"/>
      <c r="CE272" s="122"/>
      <c r="CF272" s="122"/>
      <c r="CG272" s="122"/>
      <c r="CH272" s="122"/>
      <c r="CI272" s="122"/>
      <c r="CJ272" s="122"/>
      <c r="CK272" s="122"/>
      <c r="CL272" s="122"/>
      <c r="CM272" s="122"/>
      <c r="CN272" s="122"/>
      <c r="CO272" s="122"/>
      <c r="CP272" s="122"/>
      <c r="CQ272" s="122"/>
      <c r="CR272" s="122"/>
      <c r="CS272" s="122"/>
      <c r="CT272" s="122"/>
      <c r="CU272" s="122"/>
      <c r="CV272" s="122"/>
      <c r="CW272" s="122"/>
      <c r="CX272" s="122"/>
      <c r="CY272" s="122"/>
      <c r="CZ272" s="122"/>
      <c r="DA272" s="122"/>
      <c r="DB272" s="122"/>
      <c r="DC272" s="122"/>
      <c r="DD272" s="122"/>
      <c r="DE272" s="122"/>
      <c r="DF272" s="122"/>
      <c r="DG272" s="122"/>
      <c r="DH272" s="122"/>
      <c r="DI272" s="122"/>
      <c r="DJ272" s="122"/>
      <c r="DK272" s="122"/>
      <c r="DL272" s="122"/>
      <c r="DM272" s="122"/>
      <c r="DN272" s="122"/>
      <c r="DO272" s="122"/>
      <c r="DP272" s="122"/>
      <c r="DQ272" s="122"/>
      <c r="DR272" s="122"/>
      <c r="DS272" s="122"/>
      <c r="DT272" s="122"/>
      <c r="DU272" s="122"/>
      <c r="DV272" s="122"/>
      <c r="DW272" s="122"/>
      <c r="DX272" s="122"/>
      <c r="DY272" s="122"/>
      <c r="DZ272" s="122"/>
      <c r="EA272" s="122"/>
      <c r="EB272" s="122"/>
      <c r="EC272" s="122"/>
      <c r="ED272" s="122"/>
      <c r="EE272" s="122"/>
      <c r="EF272" s="122"/>
      <c r="EG272" s="122"/>
      <c r="EH272" s="122"/>
      <c r="EI272" s="122"/>
      <c r="EJ272" s="122"/>
      <c r="EK272" s="122"/>
      <c r="EL272" s="122"/>
      <c r="EM272" s="122"/>
      <c r="EN272" s="122"/>
      <c r="EO272" s="122"/>
      <c r="EP272" s="122"/>
      <c r="EQ272" s="122"/>
      <c r="ER272" s="122"/>
      <c r="ES272" s="122"/>
      <c r="ET272" s="122"/>
      <c r="EU272" s="122"/>
      <c r="EV272" s="122"/>
      <c r="EW272" s="122"/>
      <c r="EX272" s="122"/>
      <c r="EY272" s="122"/>
      <c r="EZ272" s="122"/>
      <c r="FA272" s="122"/>
      <c r="FB272" s="122"/>
      <c r="FC272" s="122"/>
      <c r="FD272" s="122"/>
      <c r="FE272" s="122"/>
      <c r="FF272" s="122"/>
      <c r="FG272" s="122"/>
      <c r="FH272" s="122"/>
      <c r="FI272" s="122"/>
      <c r="FJ272" s="122"/>
      <c r="FK272" s="122"/>
      <c r="FL272" s="122"/>
      <c r="FM272" s="122"/>
      <c r="FN272" s="122"/>
      <c r="FO272" s="122"/>
      <c r="FP272" s="122"/>
      <c r="FQ272" s="122"/>
      <c r="FR272" s="122"/>
      <c r="FS272" s="122"/>
      <c r="FT272" s="122"/>
      <c r="FU272" s="122"/>
      <c r="FV272" s="122"/>
      <c r="FW272" s="122"/>
      <c r="FX272" s="122"/>
      <c r="FY272" s="122"/>
      <c r="FZ272" s="122"/>
      <c r="GA272" s="122"/>
      <c r="GB272" s="122"/>
      <c r="GC272" s="122"/>
      <c r="GD272" s="122"/>
      <c r="GE272" s="122"/>
      <c r="GF272" s="122"/>
      <c r="GG272" s="122"/>
      <c r="GH272" s="122"/>
      <c r="GI272" s="122"/>
      <c r="GJ272" s="122"/>
      <c r="GK272" s="122"/>
      <c r="GL272" s="122"/>
      <c r="GM272" s="122"/>
      <c r="GN272" s="122"/>
      <c r="GO272" s="122"/>
      <c r="GP272" s="122"/>
      <c r="GQ272" s="122"/>
      <c r="GR272" s="122"/>
      <c r="GS272" s="122"/>
      <c r="GT272" s="122"/>
      <c r="GU272" s="122"/>
      <c r="GV272" s="122"/>
      <c r="GW272" s="122"/>
      <c r="GX272" s="122"/>
      <c r="GY272" s="122"/>
      <c r="GZ272" s="122"/>
      <c r="HA272" s="122"/>
      <c r="HB272" s="122"/>
      <c r="HC272" s="122"/>
      <c r="HD272" s="122"/>
      <c r="HE272" s="122"/>
      <c r="HF272" s="122"/>
      <c r="HG272" s="122"/>
      <c r="HH272" s="122"/>
      <c r="HI272" s="122"/>
      <c r="HJ272" s="122"/>
      <c r="HK272" s="122"/>
      <c r="HL272" s="122"/>
      <c r="HM272" s="122"/>
      <c r="HN272" s="122"/>
      <c r="HO272" s="122"/>
      <c r="HP272" s="122"/>
      <c r="HQ272" s="122"/>
      <c r="HR272" s="122"/>
      <c r="HS272" s="122"/>
      <c r="HT272" s="122"/>
      <c r="HU272" s="122"/>
      <c r="HV272" s="122"/>
      <c r="HW272" s="122"/>
      <c r="HX272" s="122"/>
      <c r="HY272" s="122"/>
      <c r="HZ272" s="122"/>
      <c r="IA272" s="122"/>
      <c r="IB272" s="122"/>
      <c r="IC272" s="122"/>
      <c r="ID272" s="122"/>
      <c r="IE272" s="122"/>
      <c r="IF272" s="122"/>
      <c r="IG272" s="122"/>
      <c r="IH272" s="122"/>
      <c r="II272" s="122"/>
      <c r="IJ272" s="122"/>
      <c r="IK272" s="122"/>
      <c r="IL272" s="122"/>
      <c r="IM272" s="122"/>
      <c r="IN272" s="122"/>
      <c r="IO272" s="122"/>
      <c r="IP272" s="122"/>
      <c r="IQ272" s="122"/>
      <c r="IR272" s="122"/>
      <c r="IS272" s="122"/>
      <c r="IT272" s="122"/>
      <c r="IU272" s="122"/>
      <c r="IV272" s="122"/>
      <c r="IW272" s="122"/>
      <c r="IX272" s="122"/>
      <c r="IY272" s="122"/>
      <c r="IZ272" s="122"/>
      <c r="JA272" s="122"/>
      <c r="JB272" s="122"/>
      <c r="JC272" s="122"/>
      <c r="JD272" s="122"/>
      <c r="JE272" s="122"/>
      <c r="JF272" s="122"/>
      <c r="JG272" s="122"/>
      <c r="JH272" s="122"/>
      <c r="JI272" s="119"/>
      <c r="JJ272" s="2"/>
      <c r="JK272" s="122"/>
      <c r="JL272" s="125"/>
      <c r="JM272" s="125"/>
      <c r="JN272" s="125"/>
      <c r="JO272" s="125"/>
      <c r="JP272" s="125"/>
    </row>
    <row r="273" spans="1:276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  <c r="AP273" s="122"/>
      <c r="AQ273" s="122"/>
      <c r="AR273" s="122"/>
      <c r="AS273" s="122"/>
      <c r="AT273" s="122"/>
      <c r="AU273" s="122"/>
      <c r="AV273" s="122"/>
      <c r="AW273" s="122"/>
      <c r="AX273" s="122"/>
      <c r="AY273" s="122"/>
      <c r="AZ273" s="122"/>
      <c r="BA273" s="122"/>
      <c r="BB273" s="122"/>
      <c r="BC273" s="122"/>
      <c r="BD273" s="122"/>
      <c r="BE273" s="122"/>
      <c r="BF273" s="122"/>
      <c r="BG273" s="122"/>
      <c r="BH273" s="122"/>
      <c r="BI273" s="122"/>
      <c r="BJ273" s="122"/>
      <c r="BK273" s="122"/>
      <c r="BL273" s="122"/>
      <c r="BM273" s="122"/>
      <c r="BN273" s="122"/>
      <c r="BO273" s="122"/>
      <c r="BP273" s="122"/>
      <c r="BQ273" s="122"/>
      <c r="BR273" s="122"/>
      <c r="BS273" s="122"/>
      <c r="BT273" s="122"/>
      <c r="BU273" s="122"/>
      <c r="BV273" s="122"/>
      <c r="BW273" s="122"/>
      <c r="BX273" s="122"/>
      <c r="BY273" s="122"/>
      <c r="BZ273" s="122"/>
      <c r="CA273" s="122"/>
      <c r="CB273" s="122"/>
      <c r="CC273" s="122"/>
      <c r="CD273" s="122"/>
      <c r="CE273" s="122"/>
      <c r="CF273" s="122"/>
      <c r="CG273" s="122"/>
      <c r="CH273" s="122"/>
      <c r="CI273" s="122"/>
      <c r="CJ273" s="122"/>
      <c r="CK273" s="122"/>
      <c r="CL273" s="122"/>
      <c r="CM273" s="122"/>
      <c r="CN273" s="122"/>
      <c r="CO273" s="122"/>
      <c r="CP273" s="122"/>
      <c r="CQ273" s="122"/>
      <c r="CR273" s="122"/>
      <c r="CS273" s="122"/>
      <c r="CT273" s="122"/>
      <c r="CU273" s="122"/>
      <c r="CV273" s="122"/>
      <c r="CW273" s="122"/>
      <c r="CX273" s="122"/>
      <c r="CY273" s="122"/>
      <c r="CZ273" s="122"/>
      <c r="DA273" s="122"/>
      <c r="DB273" s="122"/>
      <c r="DC273" s="122"/>
      <c r="DD273" s="122"/>
      <c r="DE273" s="122"/>
      <c r="DF273" s="122"/>
      <c r="DG273" s="122"/>
      <c r="DH273" s="122"/>
      <c r="DI273" s="122"/>
      <c r="DJ273" s="122"/>
      <c r="DK273" s="122"/>
      <c r="DL273" s="122"/>
      <c r="DM273" s="122"/>
      <c r="DN273" s="122"/>
      <c r="DO273" s="122"/>
      <c r="DP273" s="122"/>
      <c r="DQ273" s="122"/>
      <c r="DR273" s="122"/>
      <c r="DS273" s="122"/>
      <c r="DT273" s="122"/>
      <c r="DU273" s="122"/>
      <c r="DV273" s="122"/>
      <c r="DW273" s="122"/>
      <c r="DX273" s="122"/>
      <c r="DY273" s="122"/>
      <c r="DZ273" s="122"/>
      <c r="EA273" s="122"/>
      <c r="EB273" s="122"/>
      <c r="EC273" s="122"/>
      <c r="ED273" s="122"/>
      <c r="EE273" s="122"/>
      <c r="EF273" s="122"/>
      <c r="EG273" s="122"/>
      <c r="EH273" s="122"/>
      <c r="EI273" s="122"/>
      <c r="EJ273" s="122"/>
      <c r="EK273" s="122"/>
      <c r="EL273" s="122"/>
      <c r="EM273" s="122"/>
      <c r="EN273" s="122"/>
      <c r="EO273" s="122"/>
      <c r="EP273" s="122"/>
      <c r="EQ273" s="122"/>
      <c r="ER273" s="122"/>
      <c r="ES273" s="122"/>
      <c r="ET273" s="122"/>
      <c r="EU273" s="122"/>
      <c r="EV273" s="122"/>
      <c r="EW273" s="122"/>
      <c r="EX273" s="122"/>
      <c r="EY273" s="122"/>
      <c r="EZ273" s="122"/>
      <c r="FA273" s="122"/>
      <c r="FB273" s="122"/>
      <c r="FC273" s="122"/>
      <c r="FD273" s="122"/>
      <c r="FE273" s="122"/>
      <c r="FF273" s="122"/>
      <c r="FG273" s="122"/>
      <c r="FH273" s="122"/>
      <c r="FI273" s="122"/>
      <c r="FJ273" s="122"/>
      <c r="FK273" s="122"/>
      <c r="FL273" s="122"/>
      <c r="FM273" s="122"/>
      <c r="FN273" s="122"/>
      <c r="FO273" s="122"/>
      <c r="FP273" s="122"/>
      <c r="FQ273" s="122"/>
      <c r="FR273" s="122"/>
      <c r="FS273" s="122"/>
      <c r="FT273" s="122"/>
      <c r="FU273" s="122"/>
      <c r="FV273" s="122"/>
      <c r="FW273" s="122"/>
      <c r="FX273" s="122"/>
      <c r="FY273" s="122"/>
      <c r="FZ273" s="122"/>
      <c r="GA273" s="122"/>
      <c r="GB273" s="122"/>
      <c r="GC273" s="122"/>
      <c r="GD273" s="122"/>
      <c r="GE273" s="122"/>
      <c r="GF273" s="122"/>
      <c r="GG273" s="122"/>
      <c r="GH273" s="122"/>
      <c r="GI273" s="122"/>
      <c r="GJ273" s="122"/>
      <c r="GK273" s="122"/>
      <c r="GL273" s="122"/>
      <c r="GM273" s="122"/>
      <c r="GN273" s="122"/>
      <c r="GO273" s="122"/>
      <c r="GP273" s="122"/>
      <c r="GQ273" s="122"/>
      <c r="GR273" s="122"/>
      <c r="GS273" s="122"/>
      <c r="GT273" s="122"/>
      <c r="GU273" s="122"/>
      <c r="GV273" s="122"/>
      <c r="GW273" s="122"/>
      <c r="GX273" s="122"/>
      <c r="GY273" s="122"/>
      <c r="GZ273" s="122"/>
      <c r="HA273" s="122"/>
      <c r="HB273" s="122"/>
      <c r="HC273" s="122"/>
      <c r="HD273" s="122"/>
      <c r="HE273" s="122"/>
      <c r="HF273" s="122"/>
      <c r="HG273" s="122"/>
      <c r="HH273" s="122"/>
      <c r="HI273" s="122"/>
      <c r="HJ273" s="122"/>
      <c r="HK273" s="122"/>
      <c r="HL273" s="122"/>
      <c r="HM273" s="122"/>
      <c r="HN273" s="122"/>
      <c r="HO273" s="122"/>
      <c r="HP273" s="122"/>
      <c r="HQ273" s="122"/>
      <c r="HR273" s="122"/>
      <c r="HS273" s="122"/>
      <c r="HT273" s="122"/>
      <c r="HU273" s="122"/>
      <c r="HV273" s="122"/>
      <c r="HW273" s="122"/>
      <c r="HX273" s="122"/>
      <c r="HY273" s="122"/>
      <c r="HZ273" s="122"/>
      <c r="IA273" s="122"/>
      <c r="IB273" s="122"/>
      <c r="IC273" s="122"/>
      <c r="ID273" s="122"/>
      <c r="IE273" s="122"/>
      <c r="IF273" s="122"/>
      <c r="IG273" s="122"/>
      <c r="IH273" s="122"/>
      <c r="II273" s="122"/>
      <c r="IJ273" s="122"/>
      <c r="IK273" s="122"/>
      <c r="IL273" s="122"/>
      <c r="IM273" s="122"/>
      <c r="IN273" s="122"/>
      <c r="IO273" s="122"/>
      <c r="IP273" s="122"/>
      <c r="IQ273" s="122"/>
      <c r="IR273" s="122"/>
      <c r="IS273" s="122"/>
      <c r="IT273" s="122"/>
      <c r="IU273" s="122"/>
      <c r="IV273" s="122"/>
      <c r="IW273" s="122"/>
      <c r="IX273" s="122"/>
      <c r="IY273" s="122"/>
      <c r="IZ273" s="122"/>
      <c r="JA273" s="122"/>
      <c r="JB273" s="122"/>
      <c r="JC273" s="122"/>
      <c r="JD273" s="122"/>
      <c r="JE273" s="122"/>
      <c r="JF273" s="122"/>
      <c r="JG273" s="122"/>
      <c r="JH273" s="122"/>
      <c r="JI273" s="119"/>
      <c r="JJ273" s="2"/>
      <c r="JK273" s="122"/>
      <c r="JL273" s="125"/>
      <c r="JM273" s="125"/>
      <c r="JN273" s="125"/>
      <c r="JO273" s="125"/>
      <c r="JP273" s="125"/>
    </row>
    <row r="274" spans="1:276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  <c r="AP274" s="122"/>
      <c r="AQ274" s="122"/>
      <c r="AR274" s="122"/>
      <c r="AS274" s="122"/>
      <c r="AT274" s="122"/>
      <c r="AU274" s="122"/>
      <c r="AV274" s="122"/>
      <c r="AW274" s="122"/>
      <c r="AX274" s="122"/>
      <c r="AY274" s="122"/>
      <c r="AZ274" s="122"/>
      <c r="BA274" s="122"/>
      <c r="BB274" s="122"/>
      <c r="BC274" s="122"/>
      <c r="BD274" s="122"/>
      <c r="BE274" s="122"/>
      <c r="BF274" s="122"/>
      <c r="BG274" s="122"/>
      <c r="BH274" s="122"/>
      <c r="BI274" s="122"/>
      <c r="BJ274" s="122"/>
      <c r="BK274" s="122"/>
      <c r="BL274" s="122"/>
      <c r="BM274" s="122"/>
      <c r="BN274" s="122"/>
      <c r="BO274" s="122"/>
      <c r="BP274" s="122"/>
      <c r="BQ274" s="122"/>
      <c r="BR274" s="122"/>
      <c r="BS274" s="122"/>
      <c r="BT274" s="122"/>
      <c r="BU274" s="122"/>
      <c r="BV274" s="122"/>
      <c r="BW274" s="122"/>
      <c r="BX274" s="122"/>
      <c r="BY274" s="122"/>
      <c r="BZ274" s="122"/>
      <c r="CA274" s="122"/>
      <c r="CB274" s="122"/>
      <c r="CC274" s="122"/>
      <c r="CD274" s="122"/>
      <c r="CE274" s="122"/>
      <c r="CF274" s="122"/>
      <c r="CG274" s="122"/>
      <c r="CH274" s="122"/>
      <c r="CI274" s="122"/>
      <c r="CJ274" s="122"/>
      <c r="CK274" s="122"/>
      <c r="CL274" s="122"/>
      <c r="CM274" s="122"/>
      <c r="CN274" s="122"/>
      <c r="CO274" s="122"/>
      <c r="CP274" s="122"/>
      <c r="CQ274" s="122"/>
      <c r="CR274" s="122"/>
      <c r="CS274" s="122"/>
      <c r="CT274" s="122"/>
      <c r="CU274" s="122"/>
      <c r="CV274" s="122"/>
      <c r="CW274" s="122"/>
      <c r="CX274" s="122"/>
      <c r="CY274" s="122"/>
      <c r="CZ274" s="122"/>
      <c r="DA274" s="122"/>
      <c r="DB274" s="122"/>
      <c r="DC274" s="122"/>
      <c r="DD274" s="122"/>
      <c r="DE274" s="122"/>
      <c r="DF274" s="122"/>
      <c r="DG274" s="122"/>
      <c r="DH274" s="122"/>
      <c r="DI274" s="122"/>
      <c r="DJ274" s="122"/>
      <c r="DK274" s="122"/>
      <c r="DL274" s="122"/>
      <c r="DM274" s="122"/>
      <c r="DN274" s="122"/>
      <c r="DO274" s="122"/>
      <c r="DP274" s="122"/>
      <c r="DQ274" s="122"/>
      <c r="DR274" s="122"/>
      <c r="DS274" s="122"/>
      <c r="DT274" s="122"/>
      <c r="DU274" s="122"/>
      <c r="DV274" s="122"/>
      <c r="DW274" s="122"/>
      <c r="DX274" s="122"/>
      <c r="DY274" s="122"/>
      <c r="DZ274" s="122"/>
      <c r="EA274" s="122"/>
      <c r="EB274" s="122"/>
      <c r="EC274" s="122"/>
      <c r="ED274" s="122"/>
      <c r="EE274" s="122"/>
      <c r="EF274" s="122"/>
      <c r="EG274" s="122"/>
      <c r="EH274" s="122"/>
      <c r="EI274" s="122"/>
      <c r="EJ274" s="122"/>
      <c r="EK274" s="122"/>
      <c r="EL274" s="122"/>
      <c r="EM274" s="122"/>
      <c r="EN274" s="122"/>
      <c r="EO274" s="122"/>
      <c r="EP274" s="122"/>
      <c r="EQ274" s="122"/>
      <c r="ER274" s="122"/>
      <c r="ES274" s="122"/>
      <c r="ET274" s="122"/>
      <c r="EU274" s="122"/>
      <c r="EV274" s="122"/>
      <c r="EW274" s="122"/>
      <c r="EX274" s="122"/>
      <c r="EY274" s="122"/>
      <c r="EZ274" s="122"/>
      <c r="FA274" s="122"/>
      <c r="FB274" s="122"/>
      <c r="FC274" s="122"/>
      <c r="FD274" s="122"/>
      <c r="FE274" s="122"/>
      <c r="FF274" s="122"/>
      <c r="FG274" s="122"/>
      <c r="FH274" s="122"/>
      <c r="FI274" s="122"/>
      <c r="FJ274" s="122"/>
      <c r="FK274" s="122"/>
      <c r="FL274" s="122"/>
      <c r="FM274" s="122"/>
      <c r="FN274" s="122"/>
      <c r="FO274" s="122"/>
      <c r="FP274" s="122"/>
      <c r="FQ274" s="122"/>
      <c r="FR274" s="122"/>
      <c r="FS274" s="122"/>
      <c r="FT274" s="122"/>
      <c r="FU274" s="122"/>
      <c r="FV274" s="122"/>
      <c r="FW274" s="122"/>
      <c r="FX274" s="122"/>
      <c r="FY274" s="122"/>
      <c r="FZ274" s="122"/>
      <c r="GA274" s="122"/>
      <c r="GB274" s="122"/>
      <c r="GC274" s="122"/>
      <c r="GD274" s="122"/>
      <c r="GE274" s="122"/>
      <c r="GF274" s="122"/>
      <c r="GG274" s="122"/>
      <c r="GH274" s="122"/>
      <c r="GI274" s="122"/>
      <c r="GJ274" s="122"/>
      <c r="GK274" s="122"/>
      <c r="GL274" s="122"/>
      <c r="GM274" s="122"/>
      <c r="GN274" s="122"/>
      <c r="GO274" s="122"/>
      <c r="GP274" s="122"/>
      <c r="GQ274" s="122"/>
      <c r="GR274" s="122"/>
      <c r="GS274" s="122"/>
      <c r="GT274" s="122"/>
      <c r="GU274" s="122"/>
      <c r="GV274" s="122"/>
      <c r="GW274" s="122"/>
      <c r="GX274" s="122"/>
      <c r="GY274" s="122"/>
      <c r="GZ274" s="122"/>
      <c r="HA274" s="122"/>
      <c r="HB274" s="122"/>
      <c r="HC274" s="122"/>
      <c r="HD274" s="122"/>
      <c r="HE274" s="122"/>
      <c r="HF274" s="122"/>
      <c r="HG274" s="122"/>
      <c r="HH274" s="122"/>
      <c r="HI274" s="122"/>
      <c r="HJ274" s="122"/>
      <c r="HK274" s="122"/>
      <c r="HL274" s="122"/>
      <c r="HM274" s="122"/>
      <c r="HN274" s="122"/>
      <c r="HO274" s="122"/>
      <c r="HP274" s="122"/>
      <c r="HQ274" s="122"/>
      <c r="HR274" s="122"/>
      <c r="HS274" s="122"/>
      <c r="HT274" s="122"/>
      <c r="HU274" s="122"/>
      <c r="HV274" s="122"/>
      <c r="HW274" s="122"/>
      <c r="HX274" s="122"/>
      <c r="HY274" s="122"/>
      <c r="HZ274" s="122"/>
      <c r="IA274" s="122"/>
      <c r="IB274" s="122"/>
      <c r="IC274" s="122"/>
      <c r="ID274" s="122"/>
      <c r="IE274" s="122"/>
      <c r="IF274" s="122"/>
      <c r="IG274" s="122"/>
      <c r="IH274" s="122"/>
      <c r="II274" s="122"/>
      <c r="IJ274" s="122"/>
      <c r="IK274" s="122"/>
      <c r="IL274" s="122"/>
      <c r="IM274" s="122"/>
      <c r="IN274" s="122"/>
      <c r="IO274" s="122"/>
      <c r="IP274" s="122"/>
      <c r="IQ274" s="122"/>
      <c r="IR274" s="122"/>
      <c r="IS274" s="122"/>
      <c r="IT274" s="122"/>
      <c r="IU274" s="122"/>
      <c r="IV274" s="122"/>
      <c r="IW274" s="122"/>
      <c r="IX274" s="122"/>
      <c r="IY274" s="122"/>
      <c r="IZ274" s="122"/>
      <c r="JA274" s="122"/>
      <c r="JB274" s="122"/>
      <c r="JC274" s="122"/>
      <c r="JD274" s="122"/>
      <c r="JE274" s="122"/>
      <c r="JF274" s="122"/>
      <c r="JG274" s="122"/>
      <c r="JH274" s="122"/>
      <c r="JI274" s="119"/>
      <c r="JJ274" s="2"/>
      <c r="JK274" s="122"/>
      <c r="JL274" s="125"/>
      <c r="JM274" s="125"/>
      <c r="JN274" s="125"/>
      <c r="JO274" s="125"/>
      <c r="JP274" s="125"/>
    </row>
    <row r="275" spans="1:276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122"/>
      <c r="AQ275" s="122"/>
      <c r="AR275" s="122"/>
      <c r="AS275" s="122"/>
      <c r="AT275" s="122"/>
      <c r="AU275" s="122"/>
      <c r="AV275" s="122"/>
      <c r="AW275" s="122"/>
      <c r="AX275" s="122"/>
      <c r="AY275" s="122"/>
      <c r="AZ275" s="122"/>
      <c r="BA275" s="122"/>
      <c r="BB275" s="122"/>
      <c r="BC275" s="122"/>
      <c r="BD275" s="122"/>
      <c r="BE275" s="122"/>
      <c r="BF275" s="122"/>
      <c r="BG275" s="122"/>
      <c r="BH275" s="122"/>
      <c r="BI275" s="122"/>
      <c r="BJ275" s="122"/>
      <c r="BK275" s="122"/>
      <c r="BL275" s="122"/>
      <c r="BM275" s="122"/>
      <c r="BN275" s="122"/>
      <c r="BO275" s="122"/>
      <c r="BP275" s="122"/>
      <c r="BQ275" s="122"/>
      <c r="BR275" s="122"/>
      <c r="BS275" s="122"/>
      <c r="BT275" s="122"/>
      <c r="BU275" s="122"/>
      <c r="BV275" s="122"/>
      <c r="BW275" s="122"/>
      <c r="BX275" s="122"/>
      <c r="BY275" s="122"/>
      <c r="BZ275" s="122"/>
      <c r="CA275" s="122"/>
      <c r="CB275" s="122"/>
      <c r="CC275" s="122"/>
      <c r="CD275" s="122"/>
      <c r="CE275" s="122"/>
      <c r="CF275" s="122"/>
      <c r="CG275" s="122"/>
      <c r="CH275" s="122"/>
      <c r="CI275" s="122"/>
      <c r="CJ275" s="122"/>
      <c r="CK275" s="122"/>
      <c r="CL275" s="122"/>
      <c r="CM275" s="122"/>
      <c r="CN275" s="122"/>
      <c r="CO275" s="122"/>
      <c r="CP275" s="122"/>
      <c r="CQ275" s="122"/>
      <c r="CR275" s="122"/>
      <c r="CS275" s="122"/>
      <c r="CT275" s="122"/>
      <c r="CU275" s="122"/>
      <c r="CV275" s="122"/>
      <c r="CW275" s="122"/>
      <c r="CX275" s="122"/>
      <c r="CY275" s="122"/>
      <c r="CZ275" s="122"/>
      <c r="DA275" s="122"/>
      <c r="DB275" s="122"/>
      <c r="DC275" s="122"/>
      <c r="DD275" s="122"/>
      <c r="DE275" s="122"/>
      <c r="DF275" s="122"/>
      <c r="DG275" s="122"/>
      <c r="DH275" s="122"/>
      <c r="DI275" s="122"/>
      <c r="DJ275" s="122"/>
      <c r="DK275" s="122"/>
      <c r="DL275" s="122"/>
      <c r="DM275" s="122"/>
      <c r="DN275" s="122"/>
      <c r="DO275" s="122"/>
      <c r="DP275" s="122"/>
      <c r="DQ275" s="122"/>
      <c r="DR275" s="122"/>
      <c r="DS275" s="122"/>
      <c r="DT275" s="122"/>
      <c r="DU275" s="122"/>
      <c r="DV275" s="122"/>
      <c r="DW275" s="122"/>
      <c r="DX275" s="122"/>
      <c r="DY275" s="122"/>
      <c r="DZ275" s="122"/>
      <c r="EA275" s="122"/>
      <c r="EB275" s="122"/>
      <c r="EC275" s="122"/>
      <c r="ED275" s="122"/>
      <c r="EE275" s="122"/>
      <c r="EF275" s="122"/>
      <c r="EG275" s="122"/>
      <c r="EH275" s="122"/>
      <c r="EI275" s="122"/>
      <c r="EJ275" s="122"/>
      <c r="EK275" s="122"/>
      <c r="EL275" s="122"/>
      <c r="EM275" s="122"/>
      <c r="EN275" s="122"/>
      <c r="EO275" s="122"/>
      <c r="EP275" s="122"/>
      <c r="EQ275" s="122"/>
      <c r="ER275" s="122"/>
      <c r="ES275" s="122"/>
      <c r="ET275" s="122"/>
      <c r="EU275" s="122"/>
      <c r="EV275" s="122"/>
      <c r="EW275" s="122"/>
      <c r="EX275" s="122"/>
      <c r="EY275" s="122"/>
      <c r="EZ275" s="122"/>
      <c r="FA275" s="122"/>
      <c r="FB275" s="122"/>
      <c r="FC275" s="122"/>
      <c r="FD275" s="122"/>
      <c r="FE275" s="122"/>
      <c r="FF275" s="122"/>
      <c r="FG275" s="122"/>
      <c r="FH275" s="122"/>
      <c r="FI275" s="122"/>
      <c r="FJ275" s="122"/>
      <c r="FK275" s="122"/>
      <c r="FL275" s="122"/>
      <c r="FM275" s="122"/>
      <c r="FN275" s="122"/>
      <c r="FO275" s="122"/>
      <c r="FP275" s="122"/>
      <c r="FQ275" s="122"/>
      <c r="FR275" s="122"/>
      <c r="FS275" s="122"/>
      <c r="FT275" s="122"/>
      <c r="FU275" s="122"/>
      <c r="FV275" s="122"/>
      <c r="FW275" s="122"/>
      <c r="FX275" s="122"/>
      <c r="FY275" s="122"/>
      <c r="FZ275" s="122"/>
      <c r="GA275" s="122"/>
      <c r="GB275" s="122"/>
      <c r="GC275" s="122"/>
      <c r="GD275" s="122"/>
      <c r="GE275" s="122"/>
      <c r="GF275" s="122"/>
      <c r="GG275" s="122"/>
      <c r="GH275" s="122"/>
      <c r="GI275" s="122"/>
      <c r="GJ275" s="122"/>
      <c r="GK275" s="122"/>
      <c r="GL275" s="122"/>
      <c r="GM275" s="122"/>
      <c r="GN275" s="122"/>
      <c r="GO275" s="122"/>
      <c r="GP275" s="122"/>
      <c r="GQ275" s="122"/>
      <c r="GR275" s="122"/>
      <c r="GS275" s="122"/>
      <c r="GT275" s="122"/>
      <c r="GU275" s="122"/>
      <c r="GV275" s="122"/>
      <c r="GW275" s="122"/>
      <c r="GX275" s="122"/>
      <c r="GY275" s="122"/>
      <c r="GZ275" s="122"/>
      <c r="HA275" s="122"/>
      <c r="HB275" s="122"/>
      <c r="HC275" s="122"/>
      <c r="HD275" s="122"/>
      <c r="HE275" s="122"/>
      <c r="HF275" s="122"/>
      <c r="HG275" s="122"/>
      <c r="HH275" s="122"/>
      <c r="HI275" s="122"/>
      <c r="HJ275" s="122"/>
      <c r="HK275" s="122"/>
      <c r="HL275" s="122"/>
      <c r="HM275" s="122"/>
      <c r="HN275" s="122"/>
      <c r="HO275" s="122"/>
      <c r="HP275" s="122"/>
      <c r="HQ275" s="122"/>
      <c r="HR275" s="122"/>
      <c r="HS275" s="122"/>
      <c r="HT275" s="122"/>
      <c r="HU275" s="122"/>
      <c r="HV275" s="122"/>
      <c r="HW275" s="122"/>
      <c r="HX275" s="122"/>
      <c r="HY275" s="122"/>
      <c r="HZ275" s="122"/>
      <c r="IA275" s="122"/>
      <c r="IB275" s="122"/>
      <c r="IC275" s="122"/>
      <c r="ID275" s="122"/>
      <c r="IE275" s="122"/>
      <c r="IF275" s="122"/>
      <c r="IG275" s="122"/>
      <c r="IH275" s="122"/>
      <c r="II275" s="122"/>
      <c r="IJ275" s="122"/>
      <c r="IK275" s="122"/>
      <c r="IL275" s="122"/>
      <c r="IM275" s="122"/>
      <c r="IN275" s="122"/>
      <c r="IO275" s="122"/>
      <c r="IP275" s="122"/>
      <c r="IQ275" s="122"/>
      <c r="IR275" s="122"/>
      <c r="IS275" s="122"/>
      <c r="IT275" s="122"/>
      <c r="IU275" s="122"/>
      <c r="IV275" s="122"/>
      <c r="IW275" s="122"/>
      <c r="IX275" s="122"/>
      <c r="IY275" s="122"/>
      <c r="IZ275" s="122"/>
      <c r="JA275" s="122"/>
      <c r="JB275" s="122"/>
      <c r="JC275" s="122"/>
      <c r="JD275" s="122"/>
      <c r="JE275" s="122"/>
      <c r="JF275" s="122"/>
      <c r="JG275" s="122"/>
      <c r="JH275" s="122"/>
      <c r="JI275" s="119"/>
      <c r="JJ275" s="2"/>
      <c r="JK275" s="122"/>
      <c r="JL275" s="125"/>
      <c r="JM275" s="125"/>
      <c r="JN275" s="125"/>
      <c r="JO275" s="125"/>
      <c r="JP275" s="125"/>
    </row>
    <row r="276" spans="1: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122"/>
      <c r="AQ276" s="122"/>
      <c r="AR276" s="122"/>
      <c r="AS276" s="122"/>
      <c r="AT276" s="122"/>
      <c r="AU276" s="122"/>
      <c r="AV276" s="122"/>
      <c r="AW276" s="122"/>
      <c r="AX276" s="122"/>
      <c r="AY276" s="122"/>
      <c r="AZ276" s="122"/>
      <c r="BA276" s="122"/>
      <c r="BB276" s="122"/>
      <c r="BC276" s="122"/>
      <c r="BD276" s="122"/>
      <c r="BE276" s="122"/>
      <c r="BF276" s="122"/>
      <c r="BG276" s="122"/>
      <c r="BH276" s="122"/>
      <c r="BI276" s="122"/>
      <c r="BJ276" s="122"/>
      <c r="BK276" s="122"/>
      <c r="BL276" s="122"/>
      <c r="BM276" s="122"/>
      <c r="BN276" s="122"/>
      <c r="BO276" s="122"/>
      <c r="BP276" s="122"/>
      <c r="BQ276" s="122"/>
      <c r="BR276" s="122"/>
      <c r="BS276" s="122"/>
      <c r="BT276" s="122"/>
      <c r="BU276" s="122"/>
      <c r="BV276" s="122"/>
      <c r="BW276" s="122"/>
      <c r="BX276" s="122"/>
      <c r="BY276" s="122"/>
      <c r="BZ276" s="122"/>
      <c r="CA276" s="122"/>
      <c r="CB276" s="122"/>
      <c r="CC276" s="122"/>
      <c r="CD276" s="122"/>
      <c r="CE276" s="122"/>
      <c r="CF276" s="122"/>
      <c r="CG276" s="122"/>
      <c r="CH276" s="122"/>
      <c r="CI276" s="122"/>
      <c r="CJ276" s="122"/>
      <c r="CK276" s="122"/>
      <c r="CL276" s="122"/>
      <c r="CM276" s="122"/>
      <c r="CN276" s="122"/>
      <c r="CO276" s="122"/>
      <c r="CP276" s="122"/>
      <c r="CQ276" s="122"/>
      <c r="CR276" s="122"/>
      <c r="CS276" s="122"/>
      <c r="CT276" s="122"/>
      <c r="CU276" s="122"/>
      <c r="CV276" s="122"/>
      <c r="CW276" s="122"/>
      <c r="CX276" s="122"/>
      <c r="CY276" s="122"/>
      <c r="CZ276" s="122"/>
      <c r="DA276" s="122"/>
      <c r="DB276" s="122"/>
      <c r="DC276" s="122"/>
      <c r="DD276" s="122"/>
      <c r="DE276" s="122"/>
      <c r="DF276" s="122"/>
      <c r="DG276" s="122"/>
      <c r="DH276" s="122"/>
      <c r="DI276" s="122"/>
      <c r="DJ276" s="122"/>
      <c r="DK276" s="122"/>
      <c r="DL276" s="122"/>
      <c r="DM276" s="122"/>
      <c r="DN276" s="122"/>
      <c r="DO276" s="122"/>
      <c r="DP276" s="122"/>
      <c r="DQ276" s="122"/>
      <c r="DR276" s="122"/>
      <c r="DS276" s="122"/>
      <c r="DT276" s="122"/>
      <c r="DU276" s="122"/>
      <c r="DV276" s="122"/>
      <c r="DW276" s="122"/>
      <c r="DX276" s="122"/>
      <c r="DY276" s="122"/>
      <c r="DZ276" s="122"/>
      <c r="EA276" s="122"/>
      <c r="EB276" s="122"/>
      <c r="EC276" s="122"/>
      <c r="ED276" s="122"/>
      <c r="EE276" s="122"/>
      <c r="EF276" s="122"/>
      <c r="EG276" s="122"/>
      <c r="EH276" s="122"/>
      <c r="EI276" s="122"/>
      <c r="EJ276" s="122"/>
      <c r="EK276" s="122"/>
      <c r="EL276" s="122"/>
      <c r="EM276" s="122"/>
      <c r="EN276" s="122"/>
      <c r="EO276" s="122"/>
      <c r="EP276" s="122"/>
      <c r="EQ276" s="122"/>
      <c r="ER276" s="122"/>
      <c r="ES276" s="122"/>
      <c r="ET276" s="122"/>
      <c r="EU276" s="122"/>
      <c r="EV276" s="122"/>
      <c r="EW276" s="122"/>
      <c r="EX276" s="122"/>
      <c r="EY276" s="122"/>
      <c r="EZ276" s="122"/>
      <c r="FA276" s="122"/>
      <c r="FB276" s="122"/>
      <c r="FC276" s="122"/>
      <c r="FD276" s="122"/>
      <c r="FE276" s="122"/>
      <c r="FF276" s="122"/>
      <c r="FG276" s="122"/>
      <c r="FH276" s="122"/>
      <c r="FI276" s="122"/>
      <c r="FJ276" s="122"/>
      <c r="FK276" s="122"/>
      <c r="FL276" s="122"/>
      <c r="FM276" s="122"/>
      <c r="FN276" s="122"/>
      <c r="FO276" s="122"/>
      <c r="FP276" s="122"/>
      <c r="FQ276" s="122"/>
      <c r="FR276" s="122"/>
      <c r="FS276" s="122"/>
      <c r="FT276" s="122"/>
      <c r="FU276" s="122"/>
      <c r="FV276" s="122"/>
      <c r="FW276" s="122"/>
      <c r="FX276" s="122"/>
      <c r="FY276" s="122"/>
      <c r="FZ276" s="122"/>
      <c r="GA276" s="122"/>
      <c r="GB276" s="122"/>
      <c r="GC276" s="122"/>
      <c r="GD276" s="122"/>
      <c r="GE276" s="122"/>
      <c r="GF276" s="122"/>
      <c r="GG276" s="122"/>
      <c r="GH276" s="122"/>
      <c r="GI276" s="122"/>
      <c r="GJ276" s="122"/>
      <c r="GK276" s="122"/>
      <c r="GL276" s="122"/>
      <c r="GM276" s="122"/>
      <c r="GN276" s="122"/>
      <c r="GO276" s="122"/>
      <c r="GP276" s="122"/>
      <c r="GQ276" s="122"/>
      <c r="GR276" s="122"/>
      <c r="GS276" s="122"/>
      <c r="GT276" s="122"/>
      <c r="GU276" s="122"/>
      <c r="GV276" s="122"/>
      <c r="GW276" s="122"/>
      <c r="GX276" s="122"/>
      <c r="GY276" s="122"/>
      <c r="GZ276" s="122"/>
      <c r="HA276" s="122"/>
      <c r="HB276" s="122"/>
      <c r="HC276" s="122"/>
      <c r="HD276" s="122"/>
      <c r="HE276" s="122"/>
      <c r="HF276" s="122"/>
      <c r="HG276" s="122"/>
      <c r="HH276" s="122"/>
      <c r="HI276" s="122"/>
      <c r="HJ276" s="122"/>
      <c r="HK276" s="122"/>
      <c r="HL276" s="122"/>
      <c r="HM276" s="122"/>
      <c r="HN276" s="122"/>
      <c r="HO276" s="122"/>
      <c r="HP276" s="122"/>
      <c r="HQ276" s="122"/>
      <c r="HR276" s="122"/>
      <c r="HS276" s="122"/>
      <c r="HT276" s="122"/>
      <c r="HU276" s="122"/>
      <c r="HV276" s="122"/>
      <c r="HW276" s="122"/>
      <c r="HX276" s="122"/>
      <c r="HY276" s="122"/>
      <c r="HZ276" s="122"/>
      <c r="IA276" s="122"/>
      <c r="IB276" s="122"/>
      <c r="IC276" s="122"/>
      <c r="ID276" s="122"/>
      <c r="IE276" s="122"/>
      <c r="IF276" s="122"/>
      <c r="IG276" s="122"/>
      <c r="IH276" s="122"/>
      <c r="II276" s="122"/>
      <c r="IJ276" s="122"/>
      <c r="IK276" s="122"/>
      <c r="IL276" s="122"/>
      <c r="IM276" s="122"/>
      <c r="IN276" s="122"/>
      <c r="IO276" s="122"/>
      <c r="IP276" s="122"/>
      <c r="IQ276" s="122"/>
      <c r="IR276" s="122"/>
      <c r="IS276" s="122"/>
      <c r="IT276" s="122"/>
      <c r="IU276" s="122"/>
      <c r="IV276" s="122"/>
      <c r="IW276" s="122"/>
      <c r="IX276" s="122"/>
      <c r="IY276" s="122"/>
      <c r="IZ276" s="122"/>
      <c r="JA276" s="122"/>
      <c r="JB276" s="122"/>
      <c r="JC276" s="122"/>
      <c r="JD276" s="122"/>
      <c r="JE276" s="122"/>
      <c r="JF276" s="122"/>
      <c r="JG276" s="122"/>
      <c r="JH276" s="122"/>
      <c r="JI276" s="119"/>
      <c r="JJ276" s="2"/>
      <c r="JK276" s="122"/>
      <c r="JL276" s="125"/>
      <c r="JM276" s="125"/>
      <c r="JN276" s="125"/>
      <c r="JO276" s="125"/>
      <c r="JP276" s="125"/>
    </row>
    <row r="277" spans="1:276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  <c r="AR277" s="122"/>
      <c r="AS277" s="122"/>
      <c r="AT277" s="122"/>
      <c r="AU277" s="122"/>
      <c r="AV277" s="122"/>
      <c r="AW277" s="122"/>
      <c r="AX277" s="122"/>
      <c r="AY277" s="122"/>
      <c r="AZ277" s="122"/>
      <c r="BA277" s="122"/>
      <c r="BB277" s="122"/>
      <c r="BC277" s="122"/>
      <c r="BD277" s="122"/>
      <c r="BE277" s="122"/>
      <c r="BF277" s="122"/>
      <c r="BG277" s="122"/>
      <c r="BH277" s="122"/>
      <c r="BI277" s="122"/>
      <c r="BJ277" s="122"/>
      <c r="BK277" s="122"/>
      <c r="BL277" s="122"/>
      <c r="BM277" s="122"/>
      <c r="BN277" s="122"/>
      <c r="BO277" s="122"/>
      <c r="BP277" s="122"/>
      <c r="BQ277" s="122"/>
      <c r="BR277" s="122"/>
      <c r="BS277" s="122"/>
      <c r="BT277" s="122"/>
      <c r="BU277" s="122"/>
      <c r="BV277" s="122"/>
      <c r="BW277" s="122"/>
      <c r="BX277" s="122"/>
      <c r="BY277" s="122"/>
      <c r="BZ277" s="122"/>
      <c r="CA277" s="122"/>
      <c r="CB277" s="122"/>
      <c r="CC277" s="122"/>
      <c r="CD277" s="122"/>
      <c r="CE277" s="122"/>
      <c r="CF277" s="122"/>
      <c r="CG277" s="122"/>
      <c r="CH277" s="122"/>
      <c r="CI277" s="122"/>
      <c r="CJ277" s="122"/>
      <c r="CK277" s="122"/>
      <c r="CL277" s="122"/>
      <c r="CM277" s="122"/>
      <c r="CN277" s="122"/>
      <c r="CO277" s="122"/>
      <c r="CP277" s="122"/>
      <c r="CQ277" s="122"/>
      <c r="CR277" s="122"/>
      <c r="CS277" s="122"/>
      <c r="CT277" s="122"/>
      <c r="CU277" s="122"/>
      <c r="CV277" s="122"/>
      <c r="CW277" s="122"/>
      <c r="CX277" s="122"/>
      <c r="CY277" s="122"/>
      <c r="CZ277" s="122"/>
      <c r="DA277" s="122"/>
      <c r="DB277" s="122"/>
      <c r="DC277" s="122"/>
      <c r="DD277" s="122"/>
      <c r="DE277" s="122"/>
      <c r="DF277" s="122"/>
      <c r="DG277" s="122"/>
      <c r="DH277" s="122"/>
      <c r="DI277" s="122"/>
      <c r="DJ277" s="122"/>
      <c r="DK277" s="122"/>
      <c r="DL277" s="122"/>
      <c r="DM277" s="122"/>
      <c r="DN277" s="122"/>
      <c r="DO277" s="122"/>
      <c r="DP277" s="122"/>
      <c r="DQ277" s="122"/>
      <c r="DR277" s="122"/>
      <c r="DS277" s="122"/>
      <c r="DT277" s="122"/>
      <c r="DU277" s="122"/>
      <c r="DV277" s="122"/>
      <c r="DW277" s="122"/>
      <c r="DX277" s="122"/>
      <c r="DY277" s="122"/>
      <c r="DZ277" s="122"/>
      <c r="EA277" s="122"/>
      <c r="EB277" s="122"/>
      <c r="EC277" s="122"/>
      <c r="ED277" s="122"/>
      <c r="EE277" s="122"/>
      <c r="EF277" s="122"/>
      <c r="EG277" s="122"/>
      <c r="EH277" s="122"/>
      <c r="EI277" s="122"/>
      <c r="EJ277" s="122"/>
      <c r="EK277" s="122"/>
      <c r="EL277" s="122"/>
      <c r="EM277" s="122"/>
      <c r="EN277" s="122"/>
      <c r="EO277" s="122"/>
      <c r="EP277" s="122"/>
      <c r="EQ277" s="122"/>
      <c r="ER277" s="122"/>
      <c r="ES277" s="122"/>
      <c r="ET277" s="122"/>
      <c r="EU277" s="122"/>
      <c r="EV277" s="122"/>
      <c r="EW277" s="122"/>
      <c r="EX277" s="122"/>
      <c r="EY277" s="122"/>
      <c r="EZ277" s="122"/>
      <c r="FA277" s="122"/>
      <c r="FB277" s="122"/>
      <c r="FC277" s="122"/>
      <c r="FD277" s="122"/>
      <c r="FE277" s="122"/>
      <c r="FF277" s="122"/>
      <c r="FG277" s="122"/>
      <c r="FH277" s="122"/>
      <c r="FI277" s="122"/>
      <c r="FJ277" s="122"/>
      <c r="FK277" s="122"/>
      <c r="FL277" s="122"/>
      <c r="FM277" s="122"/>
      <c r="FN277" s="122"/>
      <c r="FO277" s="122"/>
      <c r="FP277" s="122"/>
      <c r="FQ277" s="122"/>
      <c r="FR277" s="122"/>
      <c r="FS277" s="122"/>
      <c r="FT277" s="122"/>
      <c r="FU277" s="122"/>
      <c r="FV277" s="122"/>
      <c r="FW277" s="122"/>
      <c r="FX277" s="122"/>
      <c r="FY277" s="122"/>
      <c r="FZ277" s="122"/>
      <c r="GA277" s="122"/>
      <c r="GB277" s="122"/>
      <c r="GC277" s="122"/>
      <c r="GD277" s="122"/>
      <c r="GE277" s="122"/>
      <c r="GF277" s="122"/>
      <c r="GG277" s="122"/>
      <c r="GH277" s="122"/>
      <c r="GI277" s="122"/>
      <c r="GJ277" s="122"/>
      <c r="GK277" s="122"/>
      <c r="GL277" s="122"/>
      <c r="GM277" s="122"/>
      <c r="GN277" s="122"/>
      <c r="GO277" s="122"/>
      <c r="GP277" s="122"/>
      <c r="GQ277" s="122"/>
      <c r="GR277" s="122"/>
      <c r="GS277" s="122"/>
      <c r="GT277" s="122"/>
      <c r="GU277" s="122"/>
      <c r="GV277" s="122"/>
      <c r="GW277" s="122"/>
      <c r="GX277" s="122"/>
      <c r="GY277" s="122"/>
      <c r="GZ277" s="122"/>
      <c r="HA277" s="122"/>
      <c r="HB277" s="122"/>
      <c r="HC277" s="122"/>
      <c r="HD277" s="122"/>
      <c r="HE277" s="122"/>
      <c r="HF277" s="122"/>
      <c r="HG277" s="122"/>
      <c r="HH277" s="122"/>
      <c r="HI277" s="122"/>
      <c r="HJ277" s="122"/>
      <c r="HK277" s="122"/>
      <c r="HL277" s="122"/>
      <c r="HM277" s="122"/>
      <c r="HN277" s="122"/>
      <c r="HO277" s="122"/>
      <c r="HP277" s="122"/>
      <c r="HQ277" s="122"/>
      <c r="HR277" s="122"/>
      <c r="HS277" s="122"/>
      <c r="HT277" s="122"/>
      <c r="HU277" s="122"/>
      <c r="HV277" s="122"/>
      <c r="HW277" s="122"/>
      <c r="HX277" s="122"/>
      <c r="HY277" s="122"/>
      <c r="HZ277" s="122"/>
      <c r="IA277" s="122"/>
      <c r="IB277" s="122"/>
      <c r="IC277" s="122"/>
      <c r="ID277" s="122"/>
      <c r="IE277" s="122"/>
      <c r="IF277" s="122"/>
      <c r="IG277" s="122"/>
      <c r="IH277" s="122"/>
      <c r="II277" s="122"/>
      <c r="IJ277" s="122"/>
      <c r="IK277" s="122"/>
      <c r="IL277" s="122"/>
      <c r="IM277" s="122"/>
      <c r="IN277" s="122"/>
      <c r="IO277" s="122"/>
      <c r="IP277" s="122"/>
      <c r="IQ277" s="122"/>
      <c r="IR277" s="122"/>
      <c r="IS277" s="122"/>
      <c r="IT277" s="122"/>
      <c r="IU277" s="122"/>
      <c r="IV277" s="122"/>
      <c r="IW277" s="122"/>
      <c r="IX277" s="122"/>
      <c r="IY277" s="122"/>
      <c r="IZ277" s="122"/>
      <c r="JA277" s="122"/>
      <c r="JB277" s="122"/>
      <c r="JC277" s="122"/>
      <c r="JD277" s="122"/>
      <c r="JE277" s="122"/>
      <c r="JF277" s="122"/>
      <c r="JG277" s="122"/>
      <c r="JH277" s="122"/>
      <c r="JI277" s="119"/>
      <c r="JJ277" s="2"/>
      <c r="JK277" s="122"/>
      <c r="JL277" s="125"/>
      <c r="JM277" s="125"/>
      <c r="JN277" s="125"/>
      <c r="JO277" s="125"/>
      <c r="JP277" s="125"/>
    </row>
    <row r="278" spans="1:276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122"/>
      <c r="AQ278" s="122"/>
      <c r="AR278" s="122"/>
      <c r="AS278" s="122"/>
      <c r="AT278" s="122"/>
      <c r="AU278" s="122"/>
      <c r="AV278" s="122"/>
      <c r="AW278" s="122"/>
      <c r="AX278" s="122"/>
      <c r="AY278" s="122"/>
      <c r="AZ278" s="122"/>
      <c r="BA278" s="122"/>
      <c r="BB278" s="122"/>
      <c r="BC278" s="122"/>
      <c r="BD278" s="122"/>
      <c r="BE278" s="122"/>
      <c r="BF278" s="122"/>
      <c r="BG278" s="122"/>
      <c r="BH278" s="122"/>
      <c r="BI278" s="122"/>
      <c r="BJ278" s="122"/>
      <c r="BK278" s="122"/>
      <c r="BL278" s="122"/>
      <c r="BM278" s="122"/>
      <c r="BN278" s="122"/>
      <c r="BO278" s="122"/>
      <c r="BP278" s="122"/>
      <c r="BQ278" s="122"/>
      <c r="BR278" s="122"/>
      <c r="BS278" s="122"/>
      <c r="BT278" s="122"/>
      <c r="BU278" s="122"/>
      <c r="BV278" s="122"/>
      <c r="BW278" s="122"/>
      <c r="BX278" s="122"/>
      <c r="BY278" s="122"/>
      <c r="BZ278" s="122"/>
      <c r="CA278" s="122"/>
      <c r="CB278" s="122"/>
      <c r="CC278" s="122"/>
      <c r="CD278" s="122"/>
      <c r="CE278" s="122"/>
      <c r="CF278" s="122"/>
      <c r="CG278" s="122"/>
      <c r="CH278" s="122"/>
      <c r="CI278" s="122"/>
      <c r="CJ278" s="122"/>
      <c r="CK278" s="122"/>
      <c r="CL278" s="122"/>
      <c r="CM278" s="122"/>
      <c r="CN278" s="122"/>
      <c r="CO278" s="122"/>
      <c r="CP278" s="122"/>
      <c r="CQ278" s="122"/>
      <c r="CR278" s="122"/>
      <c r="CS278" s="122"/>
      <c r="CT278" s="122"/>
      <c r="CU278" s="122"/>
      <c r="CV278" s="122"/>
      <c r="CW278" s="122"/>
      <c r="CX278" s="122"/>
      <c r="CY278" s="122"/>
      <c r="CZ278" s="122"/>
      <c r="DA278" s="122"/>
      <c r="DB278" s="122"/>
      <c r="DC278" s="122"/>
      <c r="DD278" s="122"/>
      <c r="DE278" s="122"/>
      <c r="DF278" s="122"/>
      <c r="DG278" s="122"/>
      <c r="DH278" s="122"/>
      <c r="DI278" s="122"/>
      <c r="DJ278" s="122"/>
      <c r="DK278" s="122"/>
      <c r="DL278" s="122"/>
      <c r="DM278" s="122"/>
      <c r="DN278" s="122"/>
      <c r="DO278" s="122"/>
      <c r="DP278" s="122"/>
      <c r="DQ278" s="122"/>
      <c r="DR278" s="122"/>
      <c r="DS278" s="122"/>
      <c r="DT278" s="122"/>
      <c r="DU278" s="122"/>
      <c r="DV278" s="122"/>
      <c r="DW278" s="122"/>
      <c r="DX278" s="122"/>
      <c r="DY278" s="122"/>
      <c r="DZ278" s="122"/>
      <c r="EA278" s="122"/>
      <c r="EB278" s="122"/>
      <c r="EC278" s="122"/>
      <c r="ED278" s="122"/>
      <c r="EE278" s="122"/>
      <c r="EF278" s="122"/>
      <c r="EG278" s="122"/>
      <c r="EH278" s="122"/>
      <c r="EI278" s="122"/>
      <c r="EJ278" s="122"/>
      <c r="EK278" s="122"/>
      <c r="EL278" s="122"/>
      <c r="EM278" s="122"/>
      <c r="EN278" s="122"/>
      <c r="EO278" s="122"/>
      <c r="EP278" s="122"/>
      <c r="EQ278" s="122"/>
      <c r="ER278" s="122"/>
      <c r="ES278" s="122"/>
      <c r="ET278" s="122"/>
      <c r="EU278" s="122"/>
      <c r="EV278" s="122"/>
      <c r="EW278" s="122"/>
      <c r="EX278" s="122"/>
      <c r="EY278" s="122"/>
      <c r="EZ278" s="122"/>
      <c r="FA278" s="122"/>
      <c r="FB278" s="122"/>
      <c r="FC278" s="122"/>
      <c r="FD278" s="122"/>
      <c r="FE278" s="122"/>
      <c r="FF278" s="122"/>
      <c r="FG278" s="122"/>
      <c r="FH278" s="122"/>
      <c r="FI278" s="122"/>
      <c r="FJ278" s="122"/>
      <c r="FK278" s="122"/>
      <c r="FL278" s="122"/>
      <c r="FM278" s="122"/>
      <c r="FN278" s="122"/>
      <c r="FO278" s="122"/>
      <c r="FP278" s="122"/>
      <c r="FQ278" s="122"/>
      <c r="FR278" s="122"/>
      <c r="FS278" s="122"/>
      <c r="FT278" s="122"/>
      <c r="FU278" s="122"/>
      <c r="FV278" s="122"/>
      <c r="FW278" s="122"/>
      <c r="FX278" s="122"/>
      <c r="FY278" s="122"/>
      <c r="FZ278" s="122"/>
      <c r="GA278" s="122"/>
      <c r="GB278" s="122"/>
      <c r="GC278" s="122"/>
      <c r="GD278" s="122"/>
      <c r="GE278" s="122"/>
      <c r="GF278" s="122"/>
      <c r="GG278" s="122"/>
      <c r="GH278" s="122"/>
      <c r="GI278" s="122"/>
      <c r="GJ278" s="122"/>
      <c r="GK278" s="122"/>
      <c r="GL278" s="122"/>
      <c r="GM278" s="122"/>
      <c r="GN278" s="122"/>
      <c r="GO278" s="122"/>
      <c r="GP278" s="122"/>
      <c r="GQ278" s="122"/>
      <c r="GR278" s="122"/>
      <c r="GS278" s="122"/>
      <c r="GT278" s="122"/>
      <c r="GU278" s="122"/>
      <c r="GV278" s="122"/>
      <c r="GW278" s="122"/>
      <c r="GX278" s="122"/>
      <c r="GY278" s="122"/>
      <c r="GZ278" s="122"/>
      <c r="HA278" s="122"/>
      <c r="HB278" s="122"/>
      <c r="HC278" s="122"/>
      <c r="HD278" s="122"/>
      <c r="HE278" s="122"/>
      <c r="HF278" s="122"/>
      <c r="HG278" s="122"/>
      <c r="HH278" s="122"/>
      <c r="HI278" s="122"/>
      <c r="HJ278" s="122"/>
      <c r="HK278" s="122"/>
      <c r="HL278" s="122"/>
      <c r="HM278" s="122"/>
      <c r="HN278" s="122"/>
      <c r="HO278" s="122"/>
      <c r="HP278" s="122"/>
      <c r="HQ278" s="122"/>
      <c r="HR278" s="122"/>
      <c r="HS278" s="122"/>
      <c r="HT278" s="122"/>
      <c r="HU278" s="122"/>
      <c r="HV278" s="122"/>
      <c r="HW278" s="122"/>
      <c r="HX278" s="122"/>
      <c r="HY278" s="122"/>
      <c r="HZ278" s="122"/>
      <c r="IA278" s="122"/>
      <c r="IB278" s="122"/>
      <c r="IC278" s="122"/>
      <c r="ID278" s="122"/>
      <c r="IE278" s="122"/>
      <c r="IF278" s="122"/>
      <c r="IG278" s="122"/>
      <c r="IH278" s="122"/>
      <c r="II278" s="122"/>
      <c r="IJ278" s="122"/>
      <c r="IK278" s="122"/>
      <c r="IL278" s="122"/>
      <c r="IM278" s="122"/>
      <c r="IN278" s="122"/>
      <c r="IO278" s="122"/>
      <c r="IP278" s="122"/>
      <c r="IQ278" s="122"/>
      <c r="IR278" s="122"/>
      <c r="IS278" s="122"/>
      <c r="IT278" s="122"/>
      <c r="IU278" s="122"/>
      <c r="IV278" s="122"/>
      <c r="IW278" s="122"/>
      <c r="IX278" s="122"/>
      <c r="IY278" s="122"/>
      <c r="IZ278" s="122"/>
      <c r="JA278" s="122"/>
      <c r="JB278" s="122"/>
      <c r="JC278" s="122"/>
      <c r="JD278" s="122"/>
      <c r="JE278" s="122"/>
      <c r="JF278" s="122"/>
      <c r="JG278" s="122"/>
      <c r="JH278" s="122"/>
      <c r="JI278" s="119"/>
      <c r="JJ278" s="2"/>
      <c r="JK278" s="122"/>
      <c r="JL278" s="125"/>
      <c r="JM278" s="125"/>
      <c r="JN278" s="125"/>
      <c r="JO278" s="125"/>
      <c r="JP278" s="125"/>
    </row>
    <row r="279" spans="1:276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22"/>
      <c r="AS279" s="122"/>
      <c r="AT279" s="122"/>
      <c r="AU279" s="122"/>
      <c r="AV279" s="122"/>
      <c r="AW279" s="122"/>
      <c r="AX279" s="122"/>
      <c r="AY279" s="122"/>
      <c r="AZ279" s="122"/>
      <c r="BA279" s="122"/>
      <c r="BB279" s="122"/>
      <c r="BC279" s="122"/>
      <c r="BD279" s="122"/>
      <c r="BE279" s="122"/>
      <c r="BF279" s="122"/>
      <c r="BG279" s="122"/>
      <c r="BH279" s="122"/>
      <c r="BI279" s="122"/>
      <c r="BJ279" s="122"/>
      <c r="BK279" s="122"/>
      <c r="BL279" s="122"/>
      <c r="BM279" s="122"/>
      <c r="BN279" s="122"/>
      <c r="BO279" s="122"/>
      <c r="BP279" s="122"/>
      <c r="BQ279" s="122"/>
      <c r="BR279" s="122"/>
      <c r="BS279" s="122"/>
      <c r="BT279" s="122"/>
      <c r="BU279" s="122"/>
      <c r="BV279" s="122"/>
      <c r="BW279" s="122"/>
      <c r="BX279" s="122"/>
      <c r="BY279" s="122"/>
      <c r="BZ279" s="122"/>
      <c r="CA279" s="122"/>
      <c r="CB279" s="122"/>
      <c r="CC279" s="122"/>
      <c r="CD279" s="122"/>
      <c r="CE279" s="122"/>
      <c r="CF279" s="122"/>
      <c r="CG279" s="122"/>
      <c r="CH279" s="122"/>
      <c r="CI279" s="122"/>
      <c r="CJ279" s="122"/>
      <c r="CK279" s="122"/>
      <c r="CL279" s="122"/>
      <c r="CM279" s="122"/>
      <c r="CN279" s="122"/>
      <c r="CO279" s="122"/>
      <c r="CP279" s="122"/>
      <c r="CQ279" s="122"/>
      <c r="CR279" s="122"/>
      <c r="CS279" s="122"/>
      <c r="CT279" s="122"/>
      <c r="CU279" s="122"/>
      <c r="CV279" s="122"/>
      <c r="CW279" s="122"/>
      <c r="CX279" s="122"/>
      <c r="CY279" s="122"/>
      <c r="CZ279" s="122"/>
      <c r="DA279" s="122"/>
      <c r="DB279" s="122"/>
      <c r="DC279" s="122"/>
      <c r="DD279" s="122"/>
      <c r="DE279" s="122"/>
      <c r="DF279" s="122"/>
      <c r="DG279" s="122"/>
      <c r="DH279" s="122"/>
      <c r="DI279" s="122"/>
      <c r="DJ279" s="122"/>
      <c r="DK279" s="122"/>
      <c r="DL279" s="122"/>
      <c r="DM279" s="122"/>
      <c r="DN279" s="122"/>
      <c r="DO279" s="122"/>
      <c r="DP279" s="122"/>
      <c r="DQ279" s="122"/>
      <c r="DR279" s="122"/>
      <c r="DS279" s="122"/>
      <c r="DT279" s="122"/>
      <c r="DU279" s="122"/>
      <c r="DV279" s="122"/>
      <c r="DW279" s="122"/>
      <c r="DX279" s="122"/>
      <c r="DY279" s="122"/>
      <c r="DZ279" s="122"/>
      <c r="EA279" s="122"/>
      <c r="EB279" s="122"/>
      <c r="EC279" s="122"/>
      <c r="ED279" s="122"/>
      <c r="EE279" s="122"/>
      <c r="EF279" s="122"/>
      <c r="EG279" s="122"/>
      <c r="EH279" s="122"/>
      <c r="EI279" s="122"/>
      <c r="EJ279" s="122"/>
      <c r="EK279" s="122"/>
      <c r="EL279" s="122"/>
      <c r="EM279" s="122"/>
      <c r="EN279" s="122"/>
      <c r="EO279" s="122"/>
      <c r="EP279" s="122"/>
      <c r="EQ279" s="122"/>
      <c r="ER279" s="122"/>
      <c r="ES279" s="122"/>
      <c r="ET279" s="122"/>
      <c r="EU279" s="122"/>
      <c r="EV279" s="122"/>
      <c r="EW279" s="122"/>
      <c r="EX279" s="122"/>
      <c r="EY279" s="122"/>
      <c r="EZ279" s="122"/>
      <c r="FA279" s="122"/>
      <c r="FB279" s="122"/>
      <c r="FC279" s="122"/>
      <c r="FD279" s="122"/>
      <c r="FE279" s="122"/>
      <c r="FF279" s="122"/>
      <c r="FG279" s="122"/>
      <c r="FH279" s="122"/>
      <c r="FI279" s="122"/>
      <c r="FJ279" s="122"/>
      <c r="FK279" s="122"/>
      <c r="FL279" s="122"/>
      <c r="FM279" s="122"/>
      <c r="FN279" s="122"/>
      <c r="FO279" s="122"/>
      <c r="FP279" s="122"/>
      <c r="FQ279" s="122"/>
      <c r="FR279" s="122"/>
      <c r="FS279" s="122"/>
      <c r="FT279" s="122"/>
      <c r="FU279" s="122"/>
      <c r="FV279" s="122"/>
      <c r="FW279" s="122"/>
      <c r="FX279" s="122"/>
      <c r="FY279" s="122"/>
      <c r="FZ279" s="122"/>
      <c r="GA279" s="122"/>
      <c r="GB279" s="122"/>
      <c r="GC279" s="122"/>
      <c r="GD279" s="122"/>
      <c r="GE279" s="122"/>
      <c r="GF279" s="122"/>
      <c r="GG279" s="122"/>
      <c r="GH279" s="122"/>
      <c r="GI279" s="122"/>
      <c r="GJ279" s="122"/>
      <c r="GK279" s="122"/>
      <c r="GL279" s="122"/>
      <c r="GM279" s="122"/>
      <c r="GN279" s="122"/>
      <c r="GO279" s="122"/>
      <c r="GP279" s="122"/>
      <c r="GQ279" s="122"/>
      <c r="GR279" s="122"/>
      <c r="GS279" s="122"/>
      <c r="GT279" s="122"/>
      <c r="GU279" s="122"/>
      <c r="GV279" s="122"/>
      <c r="GW279" s="122"/>
      <c r="GX279" s="122"/>
      <c r="GY279" s="122"/>
      <c r="GZ279" s="122"/>
      <c r="HA279" s="122"/>
      <c r="HB279" s="122"/>
      <c r="HC279" s="122"/>
      <c r="HD279" s="122"/>
      <c r="HE279" s="122"/>
      <c r="HF279" s="122"/>
      <c r="HG279" s="122"/>
      <c r="HH279" s="122"/>
      <c r="HI279" s="122"/>
      <c r="HJ279" s="122"/>
      <c r="HK279" s="122"/>
      <c r="HL279" s="122"/>
      <c r="HM279" s="122"/>
      <c r="HN279" s="122"/>
      <c r="HO279" s="122"/>
      <c r="HP279" s="122"/>
      <c r="HQ279" s="122"/>
      <c r="HR279" s="122"/>
      <c r="HS279" s="122"/>
      <c r="HT279" s="122"/>
      <c r="HU279" s="122"/>
      <c r="HV279" s="122"/>
      <c r="HW279" s="122"/>
      <c r="HX279" s="122"/>
      <c r="HY279" s="122"/>
      <c r="HZ279" s="122"/>
      <c r="IA279" s="122"/>
      <c r="IB279" s="122"/>
      <c r="IC279" s="122"/>
      <c r="ID279" s="122"/>
      <c r="IE279" s="122"/>
      <c r="IF279" s="122"/>
      <c r="IG279" s="122"/>
      <c r="IH279" s="122"/>
      <c r="II279" s="122"/>
      <c r="IJ279" s="122"/>
      <c r="IK279" s="122"/>
      <c r="IL279" s="122"/>
      <c r="IM279" s="122"/>
      <c r="IN279" s="122"/>
      <c r="IO279" s="122"/>
      <c r="IP279" s="122"/>
      <c r="IQ279" s="122"/>
      <c r="IR279" s="122"/>
      <c r="IS279" s="122"/>
      <c r="IT279" s="122"/>
      <c r="IU279" s="122"/>
      <c r="IV279" s="122"/>
      <c r="IW279" s="122"/>
      <c r="IX279" s="122"/>
      <c r="IY279" s="122"/>
      <c r="IZ279" s="122"/>
      <c r="JA279" s="122"/>
      <c r="JB279" s="122"/>
      <c r="JC279" s="122"/>
      <c r="JD279" s="122"/>
      <c r="JE279" s="122"/>
      <c r="JF279" s="122"/>
      <c r="JG279" s="122"/>
      <c r="JH279" s="122"/>
      <c r="JI279" s="119"/>
      <c r="JJ279" s="2"/>
      <c r="JK279" s="122"/>
      <c r="JL279" s="125"/>
      <c r="JM279" s="125"/>
      <c r="JN279" s="125"/>
      <c r="JO279" s="125"/>
      <c r="JP279" s="125"/>
    </row>
    <row r="280" spans="1:276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  <c r="AP280" s="122"/>
      <c r="AQ280" s="122"/>
      <c r="AR280" s="122"/>
      <c r="AS280" s="122"/>
      <c r="AT280" s="122"/>
      <c r="AU280" s="122"/>
      <c r="AV280" s="122"/>
      <c r="AW280" s="122"/>
      <c r="AX280" s="122"/>
      <c r="AY280" s="122"/>
      <c r="AZ280" s="122"/>
      <c r="BA280" s="122"/>
      <c r="BB280" s="122"/>
      <c r="BC280" s="122"/>
      <c r="BD280" s="122"/>
      <c r="BE280" s="122"/>
      <c r="BF280" s="122"/>
      <c r="BG280" s="122"/>
      <c r="BH280" s="122"/>
      <c r="BI280" s="122"/>
      <c r="BJ280" s="122"/>
      <c r="BK280" s="122"/>
      <c r="BL280" s="122"/>
      <c r="BM280" s="122"/>
      <c r="BN280" s="122"/>
      <c r="BO280" s="122"/>
      <c r="BP280" s="122"/>
      <c r="BQ280" s="122"/>
      <c r="BR280" s="122"/>
      <c r="BS280" s="122"/>
      <c r="BT280" s="122"/>
      <c r="BU280" s="122"/>
      <c r="BV280" s="122"/>
      <c r="BW280" s="122"/>
      <c r="BX280" s="122"/>
      <c r="BY280" s="122"/>
      <c r="BZ280" s="122"/>
      <c r="CA280" s="122"/>
      <c r="CB280" s="122"/>
      <c r="CC280" s="122"/>
      <c r="CD280" s="122"/>
      <c r="CE280" s="122"/>
      <c r="CF280" s="122"/>
      <c r="CG280" s="122"/>
      <c r="CH280" s="122"/>
      <c r="CI280" s="122"/>
      <c r="CJ280" s="122"/>
      <c r="CK280" s="122"/>
      <c r="CL280" s="122"/>
      <c r="CM280" s="122"/>
      <c r="CN280" s="122"/>
      <c r="CO280" s="122"/>
      <c r="CP280" s="122"/>
      <c r="CQ280" s="122"/>
      <c r="CR280" s="122"/>
      <c r="CS280" s="122"/>
      <c r="CT280" s="122"/>
      <c r="CU280" s="122"/>
      <c r="CV280" s="122"/>
      <c r="CW280" s="122"/>
      <c r="CX280" s="122"/>
      <c r="CY280" s="122"/>
      <c r="CZ280" s="122"/>
      <c r="DA280" s="122"/>
      <c r="DB280" s="122"/>
      <c r="DC280" s="122"/>
      <c r="DD280" s="122"/>
      <c r="DE280" s="122"/>
      <c r="DF280" s="122"/>
      <c r="DG280" s="122"/>
      <c r="DH280" s="122"/>
      <c r="DI280" s="122"/>
      <c r="DJ280" s="122"/>
      <c r="DK280" s="122"/>
      <c r="DL280" s="122"/>
      <c r="DM280" s="122"/>
      <c r="DN280" s="122"/>
      <c r="DO280" s="122"/>
      <c r="DP280" s="122"/>
      <c r="DQ280" s="122"/>
      <c r="DR280" s="122"/>
      <c r="DS280" s="122"/>
      <c r="DT280" s="122"/>
      <c r="DU280" s="122"/>
      <c r="DV280" s="122"/>
      <c r="DW280" s="122"/>
      <c r="DX280" s="122"/>
      <c r="DY280" s="122"/>
      <c r="DZ280" s="122"/>
      <c r="EA280" s="122"/>
      <c r="EB280" s="122"/>
      <c r="EC280" s="122"/>
      <c r="ED280" s="122"/>
      <c r="EE280" s="122"/>
      <c r="EF280" s="122"/>
      <c r="EG280" s="122"/>
      <c r="EH280" s="122"/>
      <c r="EI280" s="122"/>
      <c r="EJ280" s="122"/>
      <c r="EK280" s="122"/>
      <c r="EL280" s="122"/>
      <c r="EM280" s="122"/>
      <c r="EN280" s="122"/>
      <c r="EO280" s="122"/>
      <c r="EP280" s="122"/>
      <c r="EQ280" s="122"/>
      <c r="ER280" s="122"/>
      <c r="ES280" s="122"/>
      <c r="ET280" s="122"/>
      <c r="EU280" s="122"/>
      <c r="EV280" s="122"/>
      <c r="EW280" s="122"/>
      <c r="EX280" s="122"/>
      <c r="EY280" s="122"/>
      <c r="EZ280" s="122"/>
      <c r="FA280" s="122"/>
      <c r="FB280" s="122"/>
      <c r="FC280" s="122"/>
      <c r="FD280" s="122"/>
      <c r="FE280" s="122"/>
      <c r="FF280" s="122"/>
      <c r="FG280" s="122"/>
      <c r="FH280" s="122"/>
      <c r="FI280" s="122"/>
      <c r="FJ280" s="122"/>
      <c r="FK280" s="122"/>
      <c r="FL280" s="122"/>
      <c r="FM280" s="122"/>
      <c r="FN280" s="122"/>
      <c r="FO280" s="122"/>
      <c r="FP280" s="122"/>
      <c r="FQ280" s="122"/>
      <c r="FR280" s="122"/>
      <c r="FS280" s="122"/>
      <c r="FT280" s="122"/>
      <c r="FU280" s="122"/>
      <c r="FV280" s="122"/>
      <c r="FW280" s="122"/>
      <c r="FX280" s="122"/>
      <c r="FY280" s="122"/>
      <c r="FZ280" s="122"/>
      <c r="GA280" s="122"/>
      <c r="GB280" s="122"/>
      <c r="GC280" s="122"/>
      <c r="GD280" s="122"/>
      <c r="GE280" s="122"/>
      <c r="GF280" s="122"/>
      <c r="GG280" s="122"/>
      <c r="GH280" s="122"/>
      <c r="GI280" s="122"/>
      <c r="GJ280" s="122"/>
      <c r="GK280" s="122"/>
      <c r="GL280" s="122"/>
      <c r="GM280" s="122"/>
      <c r="GN280" s="122"/>
      <c r="GO280" s="122"/>
      <c r="GP280" s="122"/>
      <c r="GQ280" s="122"/>
      <c r="GR280" s="122"/>
      <c r="GS280" s="122"/>
      <c r="GT280" s="122"/>
      <c r="GU280" s="122"/>
      <c r="GV280" s="122"/>
      <c r="GW280" s="122"/>
      <c r="GX280" s="122"/>
      <c r="GY280" s="122"/>
      <c r="GZ280" s="122"/>
      <c r="HA280" s="122"/>
      <c r="HB280" s="122"/>
      <c r="HC280" s="122"/>
      <c r="HD280" s="122"/>
      <c r="HE280" s="122"/>
      <c r="HF280" s="122"/>
      <c r="HG280" s="122"/>
      <c r="HH280" s="122"/>
      <c r="HI280" s="122"/>
      <c r="HJ280" s="122"/>
      <c r="HK280" s="122"/>
      <c r="HL280" s="122"/>
      <c r="HM280" s="122"/>
      <c r="HN280" s="122"/>
      <c r="HO280" s="122"/>
      <c r="HP280" s="122"/>
      <c r="HQ280" s="122"/>
      <c r="HR280" s="122"/>
      <c r="HS280" s="122"/>
      <c r="HT280" s="122"/>
      <c r="HU280" s="122"/>
      <c r="HV280" s="122"/>
      <c r="HW280" s="122"/>
      <c r="HX280" s="122"/>
      <c r="HY280" s="122"/>
      <c r="HZ280" s="122"/>
      <c r="IA280" s="122"/>
      <c r="IB280" s="122"/>
      <c r="IC280" s="122"/>
      <c r="ID280" s="122"/>
      <c r="IE280" s="122"/>
      <c r="IF280" s="122"/>
      <c r="IG280" s="122"/>
      <c r="IH280" s="122"/>
      <c r="II280" s="122"/>
      <c r="IJ280" s="122"/>
      <c r="IK280" s="122"/>
      <c r="IL280" s="122"/>
      <c r="IM280" s="122"/>
      <c r="IN280" s="122"/>
      <c r="IO280" s="122"/>
      <c r="IP280" s="122"/>
      <c r="IQ280" s="122"/>
      <c r="IR280" s="122"/>
      <c r="IS280" s="122"/>
      <c r="IT280" s="122"/>
      <c r="IU280" s="122"/>
      <c r="IV280" s="122"/>
      <c r="IW280" s="122"/>
      <c r="IX280" s="122"/>
      <c r="IY280" s="122"/>
      <c r="IZ280" s="122"/>
      <c r="JA280" s="122"/>
      <c r="JB280" s="122"/>
      <c r="JC280" s="122"/>
      <c r="JD280" s="122"/>
      <c r="JE280" s="122"/>
      <c r="JF280" s="122"/>
      <c r="JG280" s="122"/>
      <c r="JH280" s="122"/>
      <c r="JI280" s="119"/>
      <c r="JJ280" s="2"/>
      <c r="JK280" s="122"/>
      <c r="JL280" s="125"/>
      <c r="JM280" s="125"/>
      <c r="JN280" s="125"/>
      <c r="JO280" s="125"/>
      <c r="JP280" s="125"/>
    </row>
    <row r="281" spans="1:276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  <c r="AR281" s="122"/>
      <c r="AS281" s="122"/>
      <c r="AT281" s="122"/>
      <c r="AU281" s="122"/>
      <c r="AV281" s="122"/>
      <c r="AW281" s="122"/>
      <c r="AX281" s="122"/>
      <c r="AY281" s="122"/>
      <c r="AZ281" s="122"/>
      <c r="BA281" s="122"/>
      <c r="BB281" s="122"/>
      <c r="BC281" s="122"/>
      <c r="BD281" s="122"/>
      <c r="BE281" s="122"/>
      <c r="BF281" s="122"/>
      <c r="BG281" s="122"/>
      <c r="BH281" s="122"/>
      <c r="BI281" s="122"/>
      <c r="BJ281" s="122"/>
      <c r="BK281" s="122"/>
      <c r="BL281" s="122"/>
      <c r="BM281" s="122"/>
      <c r="BN281" s="122"/>
      <c r="BO281" s="122"/>
      <c r="BP281" s="122"/>
      <c r="BQ281" s="122"/>
      <c r="BR281" s="122"/>
      <c r="BS281" s="122"/>
      <c r="BT281" s="122"/>
      <c r="BU281" s="122"/>
      <c r="BV281" s="122"/>
      <c r="BW281" s="122"/>
      <c r="BX281" s="122"/>
      <c r="BY281" s="122"/>
      <c r="BZ281" s="122"/>
      <c r="CA281" s="122"/>
      <c r="CB281" s="122"/>
      <c r="CC281" s="122"/>
      <c r="CD281" s="122"/>
      <c r="CE281" s="122"/>
      <c r="CF281" s="122"/>
      <c r="CG281" s="122"/>
      <c r="CH281" s="122"/>
      <c r="CI281" s="122"/>
      <c r="CJ281" s="122"/>
      <c r="CK281" s="122"/>
      <c r="CL281" s="122"/>
      <c r="CM281" s="122"/>
      <c r="CN281" s="122"/>
      <c r="CO281" s="122"/>
      <c r="CP281" s="122"/>
      <c r="CQ281" s="122"/>
      <c r="CR281" s="122"/>
      <c r="CS281" s="122"/>
      <c r="CT281" s="122"/>
      <c r="CU281" s="122"/>
      <c r="CV281" s="122"/>
      <c r="CW281" s="122"/>
      <c r="CX281" s="122"/>
      <c r="CY281" s="122"/>
      <c r="CZ281" s="122"/>
      <c r="DA281" s="122"/>
      <c r="DB281" s="122"/>
      <c r="DC281" s="122"/>
      <c r="DD281" s="122"/>
      <c r="DE281" s="122"/>
      <c r="DF281" s="122"/>
      <c r="DG281" s="122"/>
      <c r="DH281" s="122"/>
      <c r="DI281" s="122"/>
      <c r="DJ281" s="122"/>
      <c r="DK281" s="122"/>
      <c r="DL281" s="122"/>
      <c r="DM281" s="122"/>
      <c r="DN281" s="122"/>
      <c r="DO281" s="122"/>
      <c r="DP281" s="122"/>
      <c r="DQ281" s="122"/>
      <c r="DR281" s="122"/>
      <c r="DS281" s="122"/>
      <c r="DT281" s="122"/>
      <c r="DU281" s="122"/>
      <c r="DV281" s="122"/>
      <c r="DW281" s="122"/>
      <c r="DX281" s="122"/>
      <c r="DY281" s="122"/>
      <c r="DZ281" s="122"/>
      <c r="EA281" s="122"/>
      <c r="EB281" s="122"/>
      <c r="EC281" s="122"/>
      <c r="ED281" s="122"/>
      <c r="EE281" s="122"/>
      <c r="EF281" s="122"/>
      <c r="EG281" s="122"/>
      <c r="EH281" s="122"/>
      <c r="EI281" s="122"/>
      <c r="EJ281" s="122"/>
      <c r="EK281" s="122"/>
      <c r="EL281" s="122"/>
      <c r="EM281" s="122"/>
      <c r="EN281" s="122"/>
      <c r="EO281" s="122"/>
      <c r="EP281" s="122"/>
      <c r="EQ281" s="122"/>
      <c r="ER281" s="122"/>
      <c r="ES281" s="122"/>
      <c r="ET281" s="122"/>
      <c r="EU281" s="122"/>
      <c r="EV281" s="122"/>
      <c r="EW281" s="122"/>
      <c r="EX281" s="122"/>
      <c r="EY281" s="122"/>
      <c r="EZ281" s="122"/>
      <c r="FA281" s="122"/>
      <c r="FB281" s="122"/>
      <c r="FC281" s="122"/>
      <c r="FD281" s="122"/>
      <c r="FE281" s="122"/>
      <c r="FF281" s="122"/>
      <c r="FG281" s="122"/>
      <c r="FH281" s="122"/>
      <c r="FI281" s="122"/>
      <c r="FJ281" s="122"/>
      <c r="FK281" s="122"/>
      <c r="FL281" s="122"/>
      <c r="FM281" s="122"/>
      <c r="FN281" s="122"/>
      <c r="FO281" s="122"/>
      <c r="FP281" s="122"/>
      <c r="FQ281" s="122"/>
      <c r="FR281" s="122"/>
      <c r="FS281" s="122"/>
      <c r="FT281" s="122"/>
      <c r="FU281" s="122"/>
      <c r="FV281" s="122"/>
      <c r="FW281" s="122"/>
      <c r="FX281" s="122"/>
      <c r="FY281" s="122"/>
      <c r="FZ281" s="122"/>
      <c r="GA281" s="122"/>
      <c r="GB281" s="122"/>
      <c r="GC281" s="122"/>
      <c r="GD281" s="122"/>
      <c r="GE281" s="122"/>
      <c r="GF281" s="122"/>
      <c r="GG281" s="122"/>
      <c r="GH281" s="122"/>
      <c r="GI281" s="122"/>
      <c r="GJ281" s="122"/>
      <c r="GK281" s="122"/>
      <c r="GL281" s="122"/>
      <c r="GM281" s="122"/>
      <c r="GN281" s="122"/>
      <c r="GO281" s="122"/>
      <c r="GP281" s="122"/>
      <c r="GQ281" s="122"/>
      <c r="GR281" s="122"/>
      <c r="GS281" s="122"/>
      <c r="GT281" s="122"/>
      <c r="GU281" s="122"/>
      <c r="GV281" s="122"/>
      <c r="GW281" s="122"/>
      <c r="GX281" s="122"/>
      <c r="GY281" s="122"/>
      <c r="GZ281" s="122"/>
      <c r="HA281" s="122"/>
      <c r="HB281" s="122"/>
      <c r="HC281" s="122"/>
      <c r="HD281" s="122"/>
      <c r="HE281" s="122"/>
      <c r="HF281" s="122"/>
      <c r="HG281" s="122"/>
      <c r="HH281" s="122"/>
      <c r="HI281" s="122"/>
      <c r="HJ281" s="122"/>
      <c r="HK281" s="122"/>
      <c r="HL281" s="122"/>
      <c r="HM281" s="122"/>
      <c r="HN281" s="122"/>
      <c r="HO281" s="122"/>
      <c r="HP281" s="122"/>
      <c r="HQ281" s="122"/>
      <c r="HR281" s="122"/>
      <c r="HS281" s="122"/>
      <c r="HT281" s="122"/>
      <c r="HU281" s="122"/>
      <c r="HV281" s="122"/>
      <c r="HW281" s="122"/>
      <c r="HX281" s="122"/>
      <c r="HY281" s="122"/>
      <c r="HZ281" s="122"/>
      <c r="IA281" s="122"/>
      <c r="IB281" s="122"/>
      <c r="IC281" s="122"/>
      <c r="ID281" s="122"/>
      <c r="IE281" s="122"/>
      <c r="IF281" s="122"/>
      <c r="IG281" s="122"/>
      <c r="IH281" s="122"/>
      <c r="II281" s="122"/>
      <c r="IJ281" s="122"/>
      <c r="IK281" s="122"/>
      <c r="IL281" s="122"/>
      <c r="IM281" s="122"/>
      <c r="IN281" s="122"/>
      <c r="IO281" s="122"/>
      <c r="IP281" s="122"/>
      <c r="IQ281" s="122"/>
      <c r="IR281" s="122"/>
      <c r="IS281" s="122"/>
      <c r="IT281" s="122"/>
      <c r="IU281" s="122"/>
      <c r="IV281" s="122"/>
      <c r="IW281" s="122"/>
      <c r="IX281" s="122"/>
      <c r="IY281" s="122"/>
      <c r="IZ281" s="122"/>
      <c r="JA281" s="122"/>
      <c r="JB281" s="122"/>
      <c r="JC281" s="122"/>
      <c r="JD281" s="122"/>
      <c r="JE281" s="122"/>
      <c r="JF281" s="122"/>
      <c r="JG281" s="122"/>
      <c r="JH281" s="122"/>
      <c r="JI281" s="119"/>
      <c r="JJ281" s="2"/>
      <c r="JK281" s="122"/>
      <c r="JL281" s="125"/>
      <c r="JM281" s="125"/>
      <c r="JN281" s="125"/>
      <c r="JO281" s="125"/>
      <c r="JP281" s="125"/>
    </row>
    <row r="282" spans="1:276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22"/>
      <c r="AS282" s="122"/>
      <c r="AT282" s="122"/>
      <c r="AU282" s="122"/>
      <c r="AV282" s="122"/>
      <c r="AW282" s="122"/>
      <c r="AX282" s="122"/>
      <c r="AY282" s="122"/>
      <c r="AZ282" s="122"/>
      <c r="BA282" s="122"/>
      <c r="BB282" s="122"/>
      <c r="BC282" s="122"/>
      <c r="BD282" s="122"/>
      <c r="BE282" s="122"/>
      <c r="BF282" s="122"/>
      <c r="BG282" s="122"/>
      <c r="BH282" s="122"/>
      <c r="BI282" s="122"/>
      <c r="BJ282" s="122"/>
      <c r="BK282" s="122"/>
      <c r="BL282" s="122"/>
      <c r="BM282" s="122"/>
      <c r="BN282" s="122"/>
      <c r="BO282" s="122"/>
      <c r="BP282" s="122"/>
      <c r="BQ282" s="122"/>
      <c r="BR282" s="122"/>
      <c r="BS282" s="122"/>
      <c r="BT282" s="122"/>
      <c r="BU282" s="122"/>
      <c r="BV282" s="122"/>
      <c r="BW282" s="122"/>
      <c r="BX282" s="122"/>
      <c r="BY282" s="122"/>
      <c r="BZ282" s="122"/>
      <c r="CA282" s="122"/>
      <c r="CB282" s="122"/>
      <c r="CC282" s="122"/>
      <c r="CD282" s="122"/>
      <c r="CE282" s="122"/>
      <c r="CF282" s="122"/>
      <c r="CG282" s="122"/>
      <c r="CH282" s="122"/>
      <c r="CI282" s="122"/>
      <c r="CJ282" s="122"/>
      <c r="CK282" s="122"/>
      <c r="CL282" s="122"/>
      <c r="CM282" s="122"/>
      <c r="CN282" s="122"/>
      <c r="CO282" s="122"/>
      <c r="CP282" s="122"/>
      <c r="CQ282" s="122"/>
      <c r="CR282" s="122"/>
      <c r="CS282" s="122"/>
      <c r="CT282" s="122"/>
      <c r="CU282" s="122"/>
      <c r="CV282" s="122"/>
      <c r="CW282" s="122"/>
      <c r="CX282" s="122"/>
      <c r="CY282" s="122"/>
      <c r="CZ282" s="122"/>
      <c r="DA282" s="122"/>
      <c r="DB282" s="122"/>
      <c r="DC282" s="122"/>
      <c r="DD282" s="122"/>
      <c r="DE282" s="122"/>
      <c r="DF282" s="122"/>
      <c r="DG282" s="122"/>
      <c r="DH282" s="122"/>
      <c r="DI282" s="122"/>
      <c r="DJ282" s="122"/>
      <c r="DK282" s="122"/>
      <c r="DL282" s="122"/>
      <c r="DM282" s="122"/>
      <c r="DN282" s="122"/>
      <c r="DO282" s="122"/>
      <c r="DP282" s="122"/>
      <c r="DQ282" s="122"/>
      <c r="DR282" s="122"/>
      <c r="DS282" s="122"/>
      <c r="DT282" s="122"/>
      <c r="DU282" s="122"/>
      <c r="DV282" s="122"/>
      <c r="DW282" s="122"/>
      <c r="DX282" s="122"/>
      <c r="DY282" s="122"/>
      <c r="DZ282" s="122"/>
      <c r="EA282" s="122"/>
      <c r="EB282" s="122"/>
      <c r="EC282" s="122"/>
      <c r="ED282" s="122"/>
      <c r="EE282" s="122"/>
      <c r="EF282" s="122"/>
      <c r="EG282" s="122"/>
      <c r="EH282" s="122"/>
      <c r="EI282" s="122"/>
      <c r="EJ282" s="122"/>
      <c r="EK282" s="122"/>
      <c r="EL282" s="122"/>
      <c r="EM282" s="122"/>
      <c r="EN282" s="122"/>
      <c r="EO282" s="122"/>
      <c r="EP282" s="122"/>
      <c r="EQ282" s="122"/>
      <c r="ER282" s="122"/>
      <c r="ES282" s="122"/>
      <c r="ET282" s="122"/>
      <c r="EU282" s="122"/>
      <c r="EV282" s="122"/>
      <c r="EW282" s="122"/>
      <c r="EX282" s="122"/>
      <c r="EY282" s="122"/>
      <c r="EZ282" s="122"/>
      <c r="FA282" s="122"/>
      <c r="FB282" s="122"/>
      <c r="FC282" s="122"/>
      <c r="FD282" s="122"/>
      <c r="FE282" s="122"/>
      <c r="FF282" s="122"/>
      <c r="FG282" s="122"/>
      <c r="FH282" s="122"/>
      <c r="FI282" s="122"/>
      <c r="FJ282" s="122"/>
      <c r="FK282" s="122"/>
      <c r="FL282" s="122"/>
      <c r="FM282" s="122"/>
      <c r="FN282" s="122"/>
      <c r="FO282" s="122"/>
      <c r="FP282" s="122"/>
      <c r="FQ282" s="122"/>
      <c r="FR282" s="122"/>
      <c r="FS282" s="122"/>
      <c r="FT282" s="122"/>
      <c r="FU282" s="122"/>
      <c r="FV282" s="122"/>
      <c r="FW282" s="122"/>
      <c r="FX282" s="122"/>
      <c r="FY282" s="122"/>
      <c r="FZ282" s="122"/>
      <c r="GA282" s="122"/>
      <c r="GB282" s="122"/>
      <c r="GC282" s="122"/>
      <c r="GD282" s="122"/>
      <c r="GE282" s="122"/>
      <c r="GF282" s="122"/>
      <c r="GG282" s="122"/>
      <c r="GH282" s="122"/>
      <c r="GI282" s="122"/>
      <c r="GJ282" s="122"/>
      <c r="GK282" s="122"/>
      <c r="GL282" s="122"/>
      <c r="GM282" s="122"/>
      <c r="GN282" s="122"/>
      <c r="GO282" s="122"/>
      <c r="GP282" s="122"/>
      <c r="GQ282" s="122"/>
      <c r="GR282" s="122"/>
      <c r="GS282" s="122"/>
      <c r="GT282" s="122"/>
      <c r="GU282" s="122"/>
      <c r="GV282" s="122"/>
      <c r="GW282" s="122"/>
      <c r="GX282" s="122"/>
      <c r="GY282" s="122"/>
      <c r="GZ282" s="122"/>
      <c r="HA282" s="122"/>
      <c r="HB282" s="122"/>
      <c r="HC282" s="122"/>
      <c r="HD282" s="122"/>
      <c r="HE282" s="122"/>
      <c r="HF282" s="122"/>
      <c r="HG282" s="122"/>
      <c r="HH282" s="122"/>
      <c r="HI282" s="122"/>
      <c r="HJ282" s="122"/>
      <c r="HK282" s="122"/>
      <c r="HL282" s="122"/>
      <c r="HM282" s="122"/>
      <c r="HN282" s="122"/>
      <c r="HO282" s="122"/>
      <c r="HP282" s="122"/>
      <c r="HQ282" s="122"/>
      <c r="HR282" s="122"/>
      <c r="HS282" s="122"/>
      <c r="HT282" s="122"/>
      <c r="HU282" s="122"/>
      <c r="HV282" s="122"/>
      <c r="HW282" s="122"/>
      <c r="HX282" s="122"/>
      <c r="HY282" s="122"/>
      <c r="HZ282" s="122"/>
      <c r="IA282" s="122"/>
      <c r="IB282" s="122"/>
      <c r="IC282" s="122"/>
      <c r="ID282" s="122"/>
      <c r="IE282" s="122"/>
      <c r="IF282" s="122"/>
      <c r="IG282" s="122"/>
      <c r="IH282" s="122"/>
      <c r="II282" s="122"/>
      <c r="IJ282" s="122"/>
      <c r="IK282" s="122"/>
      <c r="IL282" s="122"/>
      <c r="IM282" s="122"/>
      <c r="IN282" s="122"/>
      <c r="IO282" s="122"/>
      <c r="IP282" s="122"/>
      <c r="IQ282" s="122"/>
      <c r="IR282" s="122"/>
      <c r="IS282" s="122"/>
      <c r="IT282" s="122"/>
      <c r="IU282" s="122"/>
      <c r="IV282" s="122"/>
      <c r="IW282" s="122"/>
      <c r="IX282" s="122"/>
      <c r="IY282" s="122"/>
      <c r="IZ282" s="122"/>
      <c r="JA282" s="122"/>
      <c r="JB282" s="122"/>
      <c r="JC282" s="122"/>
      <c r="JD282" s="122"/>
      <c r="JE282" s="122"/>
      <c r="JF282" s="122"/>
      <c r="JG282" s="122"/>
      <c r="JH282" s="122"/>
      <c r="JI282" s="119"/>
      <c r="JJ282" s="2"/>
      <c r="JK282" s="122"/>
      <c r="JL282" s="125"/>
      <c r="JM282" s="125"/>
      <c r="JN282" s="125"/>
      <c r="JO282" s="125"/>
      <c r="JP282" s="125"/>
    </row>
    <row r="283" spans="1:276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122"/>
      <c r="AQ283" s="122"/>
      <c r="AR283" s="122"/>
      <c r="AS283" s="122"/>
      <c r="AT283" s="122"/>
      <c r="AU283" s="122"/>
      <c r="AV283" s="122"/>
      <c r="AW283" s="122"/>
      <c r="AX283" s="122"/>
      <c r="AY283" s="122"/>
      <c r="AZ283" s="122"/>
      <c r="BA283" s="122"/>
      <c r="BB283" s="122"/>
      <c r="BC283" s="122"/>
      <c r="BD283" s="122"/>
      <c r="BE283" s="122"/>
      <c r="BF283" s="122"/>
      <c r="BG283" s="122"/>
      <c r="BH283" s="122"/>
      <c r="BI283" s="122"/>
      <c r="BJ283" s="122"/>
      <c r="BK283" s="122"/>
      <c r="BL283" s="122"/>
      <c r="BM283" s="122"/>
      <c r="BN283" s="122"/>
      <c r="BO283" s="122"/>
      <c r="BP283" s="122"/>
      <c r="BQ283" s="122"/>
      <c r="BR283" s="122"/>
      <c r="BS283" s="122"/>
      <c r="BT283" s="122"/>
      <c r="BU283" s="122"/>
      <c r="BV283" s="122"/>
      <c r="BW283" s="122"/>
      <c r="BX283" s="122"/>
      <c r="BY283" s="122"/>
      <c r="BZ283" s="122"/>
      <c r="CA283" s="122"/>
      <c r="CB283" s="122"/>
      <c r="CC283" s="122"/>
      <c r="CD283" s="122"/>
      <c r="CE283" s="122"/>
      <c r="CF283" s="122"/>
      <c r="CG283" s="122"/>
      <c r="CH283" s="122"/>
      <c r="CI283" s="122"/>
      <c r="CJ283" s="122"/>
      <c r="CK283" s="122"/>
      <c r="CL283" s="122"/>
      <c r="CM283" s="122"/>
      <c r="CN283" s="122"/>
      <c r="CO283" s="122"/>
      <c r="CP283" s="122"/>
      <c r="CQ283" s="122"/>
      <c r="CR283" s="122"/>
      <c r="CS283" s="122"/>
      <c r="CT283" s="122"/>
      <c r="CU283" s="122"/>
      <c r="CV283" s="122"/>
      <c r="CW283" s="122"/>
      <c r="CX283" s="122"/>
      <c r="CY283" s="122"/>
      <c r="CZ283" s="122"/>
      <c r="DA283" s="122"/>
      <c r="DB283" s="122"/>
      <c r="DC283" s="122"/>
      <c r="DD283" s="122"/>
      <c r="DE283" s="122"/>
      <c r="DF283" s="122"/>
      <c r="DG283" s="122"/>
      <c r="DH283" s="122"/>
      <c r="DI283" s="122"/>
      <c r="DJ283" s="122"/>
      <c r="DK283" s="122"/>
      <c r="DL283" s="122"/>
      <c r="DM283" s="122"/>
      <c r="DN283" s="122"/>
      <c r="DO283" s="122"/>
      <c r="DP283" s="122"/>
      <c r="DQ283" s="122"/>
      <c r="DR283" s="122"/>
      <c r="DS283" s="122"/>
      <c r="DT283" s="122"/>
      <c r="DU283" s="122"/>
      <c r="DV283" s="122"/>
      <c r="DW283" s="122"/>
      <c r="DX283" s="122"/>
      <c r="DY283" s="122"/>
      <c r="DZ283" s="122"/>
      <c r="EA283" s="122"/>
      <c r="EB283" s="122"/>
      <c r="EC283" s="122"/>
      <c r="ED283" s="122"/>
      <c r="EE283" s="122"/>
      <c r="EF283" s="122"/>
      <c r="EG283" s="122"/>
      <c r="EH283" s="122"/>
      <c r="EI283" s="122"/>
      <c r="EJ283" s="122"/>
      <c r="EK283" s="122"/>
      <c r="EL283" s="122"/>
      <c r="EM283" s="122"/>
      <c r="EN283" s="122"/>
      <c r="EO283" s="122"/>
      <c r="EP283" s="122"/>
      <c r="EQ283" s="122"/>
      <c r="ER283" s="122"/>
      <c r="ES283" s="122"/>
      <c r="ET283" s="122"/>
      <c r="EU283" s="122"/>
      <c r="EV283" s="122"/>
      <c r="EW283" s="122"/>
      <c r="EX283" s="122"/>
      <c r="EY283" s="122"/>
      <c r="EZ283" s="122"/>
      <c r="FA283" s="122"/>
      <c r="FB283" s="122"/>
      <c r="FC283" s="122"/>
      <c r="FD283" s="122"/>
      <c r="FE283" s="122"/>
      <c r="FF283" s="122"/>
      <c r="FG283" s="122"/>
      <c r="FH283" s="122"/>
      <c r="FI283" s="122"/>
      <c r="FJ283" s="122"/>
      <c r="FK283" s="122"/>
      <c r="FL283" s="122"/>
      <c r="FM283" s="122"/>
      <c r="FN283" s="122"/>
      <c r="FO283" s="122"/>
      <c r="FP283" s="122"/>
      <c r="FQ283" s="122"/>
      <c r="FR283" s="122"/>
      <c r="FS283" s="122"/>
      <c r="FT283" s="122"/>
      <c r="FU283" s="122"/>
      <c r="FV283" s="122"/>
      <c r="FW283" s="122"/>
      <c r="FX283" s="122"/>
      <c r="FY283" s="122"/>
      <c r="FZ283" s="122"/>
      <c r="GA283" s="122"/>
      <c r="GB283" s="122"/>
      <c r="GC283" s="122"/>
      <c r="GD283" s="122"/>
      <c r="GE283" s="122"/>
      <c r="GF283" s="122"/>
      <c r="GG283" s="122"/>
      <c r="GH283" s="122"/>
      <c r="GI283" s="122"/>
      <c r="GJ283" s="122"/>
      <c r="GK283" s="122"/>
      <c r="GL283" s="122"/>
      <c r="GM283" s="122"/>
      <c r="GN283" s="122"/>
      <c r="GO283" s="122"/>
      <c r="GP283" s="122"/>
      <c r="GQ283" s="122"/>
      <c r="GR283" s="122"/>
      <c r="GS283" s="122"/>
      <c r="GT283" s="122"/>
      <c r="GU283" s="122"/>
      <c r="GV283" s="122"/>
      <c r="GW283" s="122"/>
      <c r="GX283" s="122"/>
      <c r="GY283" s="122"/>
      <c r="GZ283" s="122"/>
      <c r="HA283" s="122"/>
      <c r="HB283" s="122"/>
      <c r="HC283" s="122"/>
      <c r="HD283" s="122"/>
      <c r="HE283" s="122"/>
      <c r="HF283" s="122"/>
      <c r="HG283" s="122"/>
      <c r="HH283" s="122"/>
      <c r="HI283" s="122"/>
      <c r="HJ283" s="122"/>
      <c r="HK283" s="122"/>
      <c r="HL283" s="122"/>
      <c r="HM283" s="122"/>
      <c r="HN283" s="122"/>
      <c r="HO283" s="122"/>
      <c r="HP283" s="122"/>
      <c r="HQ283" s="122"/>
      <c r="HR283" s="122"/>
      <c r="HS283" s="122"/>
      <c r="HT283" s="122"/>
      <c r="HU283" s="122"/>
      <c r="HV283" s="122"/>
      <c r="HW283" s="122"/>
      <c r="HX283" s="122"/>
      <c r="HY283" s="122"/>
      <c r="HZ283" s="122"/>
      <c r="IA283" s="122"/>
      <c r="IB283" s="122"/>
      <c r="IC283" s="122"/>
      <c r="ID283" s="122"/>
      <c r="IE283" s="122"/>
      <c r="IF283" s="122"/>
      <c r="IG283" s="122"/>
      <c r="IH283" s="122"/>
      <c r="II283" s="122"/>
      <c r="IJ283" s="122"/>
      <c r="IK283" s="122"/>
      <c r="IL283" s="122"/>
      <c r="IM283" s="122"/>
      <c r="IN283" s="122"/>
      <c r="IO283" s="122"/>
      <c r="IP283" s="122"/>
      <c r="IQ283" s="122"/>
      <c r="IR283" s="122"/>
      <c r="IS283" s="122"/>
      <c r="IT283" s="122"/>
      <c r="IU283" s="122"/>
      <c r="IV283" s="122"/>
      <c r="IW283" s="122"/>
      <c r="IX283" s="122"/>
      <c r="IY283" s="122"/>
      <c r="IZ283" s="122"/>
      <c r="JA283" s="122"/>
      <c r="JB283" s="122"/>
      <c r="JC283" s="122"/>
      <c r="JD283" s="122"/>
      <c r="JE283" s="122"/>
      <c r="JF283" s="122"/>
      <c r="JG283" s="122"/>
      <c r="JH283" s="122"/>
      <c r="JI283" s="119"/>
      <c r="JJ283" s="2"/>
      <c r="JK283" s="122"/>
      <c r="JL283" s="125"/>
      <c r="JM283" s="125"/>
      <c r="JN283" s="125"/>
      <c r="JO283" s="125"/>
      <c r="JP283" s="125"/>
    </row>
    <row r="284" spans="1:276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  <c r="AP284" s="122"/>
      <c r="AQ284" s="122"/>
      <c r="AR284" s="122"/>
      <c r="AS284" s="122"/>
      <c r="AT284" s="122"/>
      <c r="AU284" s="122"/>
      <c r="AV284" s="122"/>
      <c r="AW284" s="122"/>
      <c r="AX284" s="122"/>
      <c r="AY284" s="122"/>
      <c r="AZ284" s="122"/>
      <c r="BA284" s="122"/>
      <c r="BB284" s="122"/>
      <c r="BC284" s="122"/>
      <c r="BD284" s="122"/>
      <c r="BE284" s="122"/>
      <c r="BF284" s="122"/>
      <c r="BG284" s="122"/>
      <c r="BH284" s="122"/>
      <c r="BI284" s="122"/>
      <c r="BJ284" s="122"/>
      <c r="BK284" s="122"/>
      <c r="BL284" s="122"/>
      <c r="BM284" s="122"/>
      <c r="BN284" s="122"/>
      <c r="BO284" s="122"/>
      <c r="BP284" s="122"/>
      <c r="BQ284" s="122"/>
      <c r="BR284" s="122"/>
      <c r="BS284" s="122"/>
      <c r="BT284" s="122"/>
      <c r="BU284" s="122"/>
      <c r="BV284" s="122"/>
      <c r="BW284" s="122"/>
      <c r="BX284" s="122"/>
      <c r="BY284" s="122"/>
      <c r="BZ284" s="122"/>
      <c r="CA284" s="122"/>
      <c r="CB284" s="122"/>
      <c r="CC284" s="122"/>
      <c r="CD284" s="122"/>
      <c r="CE284" s="122"/>
      <c r="CF284" s="122"/>
      <c r="CG284" s="122"/>
      <c r="CH284" s="122"/>
      <c r="CI284" s="122"/>
      <c r="CJ284" s="122"/>
      <c r="CK284" s="122"/>
      <c r="CL284" s="122"/>
      <c r="CM284" s="122"/>
      <c r="CN284" s="122"/>
      <c r="CO284" s="122"/>
      <c r="CP284" s="122"/>
      <c r="CQ284" s="122"/>
      <c r="CR284" s="122"/>
      <c r="CS284" s="122"/>
      <c r="CT284" s="122"/>
      <c r="CU284" s="122"/>
      <c r="CV284" s="122"/>
      <c r="CW284" s="122"/>
      <c r="CX284" s="122"/>
      <c r="CY284" s="122"/>
      <c r="CZ284" s="122"/>
      <c r="DA284" s="122"/>
      <c r="DB284" s="122"/>
      <c r="DC284" s="122"/>
      <c r="DD284" s="122"/>
      <c r="DE284" s="122"/>
      <c r="DF284" s="122"/>
      <c r="DG284" s="122"/>
      <c r="DH284" s="122"/>
      <c r="DI284" s="122"/>
      <c r="DJ284" s="122"/>
      <c r="DK284" s="122"/>
      <c r="DL284" s="122"/>
      <c r="DM284" s="122"/>
      <c r="DN284" s="122"/>
      <c r="DO284" s="122"/>
      <c r="DP284" s="122"/>
      <c r="DQ284" s="122"/>
      <c r="DR284" s="122"/>
      <c r="DS284" s="122"/>
      <c r="DT284" s="122"/>
      <c r="DU284" s="122"/>
      <c r="DV284" s="122"/>
      <c r="DW284" s="122"/>
      <c r="DX284" s="122"/>
      <c r="DY284" s="122"/>
      <c r="DZ284" s="122"/>
      <c r="EA284" s="122"/>
      <c r="EB284" s="122"/>
      <c r="EC284" s="122"/>
      <c r="ED284" s="122"/>
      <c r="EE284" s="122"/>
      <c r="EF284" s="122"/>
      <c r="EG284" s="122"/>
      <c r="EH284" s="122"/>
      <c r="EI284" s="122"/>
      <c r="EJ284" s="122"/>
      <c r="EK284" s="122"/>
      <c r="EL284" s="122"/>
      <c r="EM284" s="122"/>
      <c r="EN284" s="122"/>
      <c r="EO284" s="122"/>
      <c r="EP284" s="122"/>
      <c r="EQ284" s="122"/>
      <c r="ER284" s="122"/>
      <c r="ES284" s="122"/>
      <c r="ET284" s="122"/>
      <c r="EU284" s="122"/>
      <c r="EV284" s="122"/>
      <c r="EW284" s="122"/>
      <c r="EX284" s="122"/>
      <c r="EY284" s="122"/>
      <c r="EZ284" s="122"/>
      <c r="FA284" s="122"/>
      <c r="FB284" s="122"/>
      <c r="FC284" s="122"/>
      <c r="FD284" s="122"/>
      <c r="FE284" s="122"/>
      <c r="FF284" s="122"/>
      <c r="FG284" s="122"/>
      <c r="FH284" s="122"/>
      <c r="FI284" s="122"/>
      <c r="FJ284" s="122"/>
      <c r="FK284" s="122"/>
      <c r="FL284" s="122"/>
      <c r="FM284" s="122"/>
      <c r="FN284" s="122"/>
      <c r="FO284" s="122"/>
      <c r="FP284" s="122"/>
      <c r="FQ284" s="122"/>
      <c r="FR284" s="122"/>
      <c r="FS284" s="122"/>
      <c r="FT284" s="122"/>
      <c r="FU284" s="122"/>
      <c r="FV284" s="122"/>
      <c r="FW284" s="122"/>
      <c r="FX284" s="122"/>
      <c r="FY284" s="122"/>
      <c r="FZ284" s="122"/>
      <c r="GA284" s="122"/>
      <c r="GB284" s="122"/>
      <c r="GC284" s="122"/>
      <c r="GD284" s="122"/>
      <c r="GE284" s="122"/>
      <c r="GF284" s="122"/>
      <c r="GG284" s="122"/>
      <c r="GH284" s="122"/>
      <c r="GI284" s="122"/>
      <c r="GJ284" s="122"/>
      <c r="GK284" s="122"/>
      <c r="GL284" s="122"/>
      <c r="GM284" s="122"/>
      <c r="GN284" s="122"/>
      <c r="GO284" s="122"/>
      <c r="GP284" s="122"/>
      <c r="GQ284" s="122"/>
      <c r="GR284" s="122"/>
      <c r="GS284" s="122"/>
      <c r="GT284" s="122"/>
      <c r="GU284" s="122"/>
      <c r="GV284" s="122"/>
      <c r="GW284" s="122"/>
      <c r="GX284" s="122"/>
      <c r="GY284" s="122"/>
      <c r="GZ284" s="122"/>
      <c r="HA284" s="122"/>
      <c r="HB284" s="122"/>
      <c r="HC284" s="122"/>
      <c r="HD284" s="122"/>
      <c r="HE284" s="122"/>
      <c r="HF284" s="122"/>
      <c r="HG284" s="122"/>
      <c r="HH284" s="122"/>
      <c r="HI284" s="122"/>
      <c r="HJ284" s="122"/>
      <c r="HK284" s="122"/>
      <c r="HL284" s="122"/>
      <c r="HM284" s="122"/>
      <c r="HN284" s="122"/>
      <c r="HO284" s="122"/>
      <c r="HP284" s="122"/>
      <c r="HQ284" s="122"/>
      <c r="HR284" s="122"/>
      <c r="HS284" s="122"/>
      <c r="HT284" s="122"/>
      <c r="HU284" s="122"/>
      <c r="HV284" s="122"/>
      <c r="HW284" s="122"/>
      <c r="HX284" s="122"/>
      <c r="HY284" s="122"/>
      <c r="HZ284" s="122"/>
      <c r="IA284" s="122"/>
      <c r="IB284" s="122"/>
      <c r="IC284" s="122"/>
      <c r="ID284" s="122"/>
      <c r="IE284" s="122"/>
      <c r="IF284" s="122"/>
      <c r="IG284" s="122"/>
      <c r="IH284" s="122"/>
      <c r="II284" s="122"/>
      <c r="IJ284" s="122"/>
      <c r="IK284" s="122"/>
      <c r="IL284" s="122"/>
      <c r="IM284" s="122"/>
      <c r="IN284" s="122"/>
      <c r="IO284" s="122"/>
      <c r="IP284" s="122"/>
      <c r="IQ284" s="122"/>
      <c r="IR284" s="122"/>
      <c r="IS284" s="122"/>
      <c r="IT284" s="122"/>
      <c r="IU284" s="122"/>
      <c r="IV284" s="122"/>
      <c r="IW284" s="122"/>
      <c r="IX284" s="122"/>
      <c r="IY284" s="122"/>
      <c r="IZ284" s="122"/>
      <c r="JA284" s="122"/>
      <c r="JB284" s="122"/>
      <c r="JC284" s="122"/>
      <c r="JD284" s="122"/>
      <c r="JE284" s="122"/>
      <c r="JF284" s="122"/>
      <c r="JG284" s="122"/>
      <c r="JH284" s="122"/>
      <c r="JI284" s="119"/>
      <c r="JJ284" s="2"/>
      <c r="JK284" s="122"/>
      <c r="JL284" s="125"/>
      <c r="JM284" s="125"/>
      <c r="JN284" s="125"/>
      <c r="JO284" s="125"/>
      <c r="JP284" s="125"/>
    </row>
    <row r="285" spans="1:276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122"/>
      <c r="AQ285" s="122"/>
      <c r="AR285" s="122"/>
      <c r="AS285" s="122"/>
      <c r="AT285" s="122"/>
      <c r="AU285" s="122"/>
      <c r="AV285" s="122"/>
      <c r="AW285" s="122"/>
      <c r="AX285" s="122"/>
      <c r="AY285" s="122"/>
      <c r="AZ285" s="122"/>
      <c r="BA285" s="122"/>
      <c r="BB285" s="122"/>
      <c r="BC285" s="122"/>
      <c r="BD285" s="122"/>
      <c r="BE285" s="122"/>
      <c r="BF285" s="122"/>
      <c r="BG285" s="122"/>
      <c r="BH285" s="122"/>
      <c r="BI285" s="122"/>
      <c r="BJ285" s="122"/>
      <c r="BK285" s="122"/>
      <c r="BL285" s="122"/>
      <c r="BM285" s="122"/>
      <c r="BN285" s="122"/>
      <c r="BO285" s="122"/>
      <c r="BP285" s="122"/>
      <c r="BQ285" s="122"/>
      <c r="BR285" s="122"/>
      <c r="BS285" s="122"/>
      <c r="BT285" s="122"/>
      <c r="BU285" s="122"/>
      <c r="BV285" s="122"/>
      <c r="BW285" s="122"/>
      <c r="BX285" s="122"/>
      <c r="BY285" s="122"/>
      <c r="BZ285" s="122"/>
      <c r="CA285" s="122"/>
      <c r="CB285" s="122"/>
      <c r="CC285" s="122"/>
      <c r="CD285" s="122"/>
      <c r="CE285" s="122"/>
      <c r="CF285" s="122"/>
      <c r="CG285" s="122"/>
      <c r="CH285" s="122"/>
      <c r="CI285" s="122"/>
      <c r="CJ285" s="122"/>
      <c r="CK285" s="122"/>
      <c r="CL285" s="122"/>
      <c r="CM285" s="122"/>
      <c r="CN285" s="122"/>
      <c r="CO285" s="122"/>
      <c r="CP285" s="122"/>
      <c r="CQ285" s="122"/>
      <c r="CR285" s="122"/>
      <c r="CS285" s="122"/>
      <c r="CT285" s="122"/>
      <c r="CU285" s="122"/>
      <c r="CV285" s="122"/>
      <c r="CW285" s="122"/>
      <c r="CX285" s="122"/>
      <c r="CY285" s="122"/>
      <c r="CZ285" s="122"/>
      <c r="DA285" s="122"/>
      <c r="DB285" s="122"/>
      <c r="DC285" s="122"/>
      <c r="DD285" s="122"/>
      <c r="DE285" s="122"/>
      <c r="DF285" s="122"/>
      <c r="DG285" s="122"/>
      <c r="DH285" s="122"/>
      <c r="DI285" s="122"/>
      <c r="DJ285" s="122"/>
      <c r="DK285" s="122"/>
      <c r="DL285" s="122"/>
      <c r="DM285" s="122"/>
      <c r="DN285" s="122"/>
      <c r="DO285" s="122"/>
      <c r="DP285" s="122"/>
      <c r="DQ285" s="122"/>
      <c r="DR285" s="122"/>
      <c r="DS285" s="122"/>
      <c r="DT285" s="122"/>
      <c r="DU285" s="122"/>
      <c r="DV285" s="122"/>
      <c r="DW285" s="122"/>
      <c r="DX285" s="122"/>
      <c r="DY285" s="122"/>
      <c r="DZ285" s="122"/>
      <c r="EA285" s="122"/>
      <c r="EB285" s="122"/>
      <c r="EC285" s="122"/>
      <c r="ED285" s="122"/>
      <c r="EE285" s="122"/>
      <c r="EF285" s="122"/>
      <c r="EG285" s="122"/>
      <c r="EH285" s="122"/>
      <c r="EI285" s="122"/>
      <c r="EJ285" s="122"/>
      <c r="EK285" s="122"/>
      <c r="EL285" s="122"/>
      <c r="EM285" s="122"/>
      <c r="EN285" s="122"/>
      <c r="EO285" s="122"/>
      <c r="EP285" s="122"/>
      <c r="EQ285" s="122"/>
      <c r="ER285" s="122"/>
      <c r="ES285" s="122"/>
      <c r="ET285" s="122"/>
      <c r="EU285" s="122"/>
      <c r="EV285" s="122"/>
      <c r="EW285" s="122"/>
      <c r="EX285" s="122"/>
      <c r="EY285" s="122"/>
      <c r="EZ285" s="122"/>
      <c r="FA285" s="122"/>
      <c r="FB285" s="122"/>
      <c r="FC285" s="122"/>
      <c r="FD285" s="122"/>
      <c r="FE285" s="122"/>
      <c r="FF285" s="122"/>
      <c r="FG285" s="122"/>
      <c r="FH285" s="122"/>
      <c r="FI285" s="122"/>
      <c r="FJ285" s="122"/>
      <c r="FK285" s="122"/>
      <c r="FL285" s="122"/>
      <c r="FM285" s="122"/>
      <c r="FN285" s="122"/>
      <c r="FO285" s="122"/>
      <c r="FP285" s="122"/>
      <c r="FQ285" s="122"/>
      <c r="FR285" s="122"/>
      <c r="FS285" s="122"/>
      <c r="FT285" s="122"/>
      <c r="FU285" s="122"/>
      <c r="FV285" s="122"/>
      <c r="FW285" s="122"/>
      <c r="FX285" s="122"/>
      <c r="FY285" s="122"/>
      <c r="FZ285" s="122"/>
      <c r="GA285" s="122"/>
      <c r="GB285" s="122"/>
      <c r="GC285" s="122"/>
      <c r="GD285" s="122"/>
      <c r="GE285" s="122"/>
      <c r="GF285" s="122"/>
      <c r="GG285" s="122"/>
      <c r="GH285" s="122"/>
      <c r="GI285" s="122"/>
      <c r="GJ285" s="122"/>
      <c r="GK285" s="122"/>
      <c r="GL285" s="122"/>
      <c r="GM285" s="122"/>
      <c r="GN285" s="122"/>
      <c r="GO285" s="122"/>
      <c r="GP285" s="122"/>
      <c r="GQ285" s="122"/>
      <c r="GR285" s="122"/>
      <c r="GS285" s="122"/>
      <c r="GT285" s="122"/>
      <c r="GU285" s="122"/>
      <c r="GV285" s="122"/>
      <c r="GW285" s="122"/>
      <c r="GX285" s="122"/>
      <c r="GY285" s="122"/>
      <c r="GZ285" s="122"/>
      <c r="HA285" s="122"/>
      <c r="HB285" s="122"/>
      <c r="HC285" s="122"/>
      <c r="HD285" s="122"/>
      <c r="HE285" s="122"/>
      <c r="HF285" s="122"/>
      <c r="HG285" s="122"/>
      <c r="HH285" s="122"/>
      <c r="HI285" s="122"/>
      <c r="HJ285" s="122"/>
      <c r="HK285" s="122"/>
      <c r="HL285" s="122"/>
      <c r="HM285" s="122"/>
      <c r="HN285" s="122"/>
      <c r="HO285" s="122"/>
      <c r="HP285" s="122"/>
      <c r="HQ285" s="122"/>
      <c r="HR285" s="122"/>
      <c r="HS285" s="122"/>
      <c r="HT285" s="122"/>
      <c r="HU285" s="122"/>
      <c r="HV285" s="122"/>
      <c r="HW285" s="122"/>
      <c r="HX285" s="122"/>
      <c r="HY285" s="122"/>
      <c r="HZ285" s="122"/>
      <c r="IA285" s="122"/>
      <c r="IB285" s="122"/>
      <c r="IC285" s="122"/>
      <c r="ID285" s="122"/>
      <c r="IE285" s="122"/>
      <c r="IF285" s="122"/>
      <c r="IG285" s="122"/>
      <c r="IH285" s="122"/>
      <c r="II285" s="122"/>
      <c r="IJ285" s="122"/>
      <c r="IK285" s="122"/>
      <c r="IL285" s="122"/>
      <c r="IM285" s="122"/>
      <c r="IN285" s="122"/>
      <c r="IO285" s="122"/>
      <c r="IP285" s="122"/>
      <c r="IQ285" s="122"/>
      <c r="IR285" s="122"/>
      <c r="IS285" s="122"/>
      <c r="IT285" s="122"/>
      <c r="IU285" s="122"/>
      <c r="IV285" s="122"/>
      <c r="IW285" s="122"/>
      <c r="IX285" s="122"/>
      <c r="IY285" s="122"/>
      <c r="IZ285" s="122"/>
      <c r="JA285" s="122"/>
      <c r="JB285" s="122"/>
      <c r="JC285" s="122"/>
      <c r="JD285" s="122"/>
      <c r="JE285" s="122"/>
      <c r="JF285" s="122"/>
      <c r="JG285" s="122"/>
      <c r="JH285" s="122"/>
      <c r="JI285" s="119"/>
      <c r="JJ285" s="2"/>
      <c r="JK285" s="122"/>
      <c r="JL285" s="125"/>
      <c r="JM285" s="125"/>
      <c r="JN285" s="125"/>
      <c r="JO285" s="125"/>
      <c r="JP285" s="125"/>
    </row>
    <row r="286" spans="1:27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122"/>
      <c r="AQ286" s="122"/>
      <c r="AR286" s="122"/>
      <c r="AS286" s="122"/>
      <c r="AT286" s="122"/>
      <c r="AU286" s="122"/>
      <c r="AV286" s="122"/>
      <c r="AW286" s="122"/>
      <c r="AX286" s="122"/>
      <c r="AY286" s="122"/>
      <c r="AZ286" s="122"/>
      <c r="BA286" s="122"/>
      <c r="BB286" s="122"/>
      <c r="BC286" s="122"/>
      <c r="BD286" s="122"/>
      <c r="BE286" s="122"/>
      <c r="BF286" s="122"/>
      <c r="BG286" s="122"/>
      <c r="BH286" s="122"/>
      <c r="BI286" s="122"/>
      <c r="BJ286" s="122"/>
      <c r="BK286" s="122"/>
      <c r="BL286" s="122"/>
      <c r="BM286" s="122"/>
      <c r="BN286" s="122"/>
      <c r="BO286" s="122"/>
      <c r="BP286" s="122"/>
      <c r="BQ286" s="122"/>
      <c r="BR286" s="122"/>
      <c r="BS286" s="122"/>
      <c r="BT286" s="122"/>
      <c r="BU286" s="122"/>
      <c r="BV286" s="122"/>
      <c r="BW286" s="122"/>
      <c r="BX286" s="122"/>
      <c r="BY286" s="122"/>
      <c r="BZ286" s="122"/>
      <c r="CA286" s="122"/>
      <c r="CB286" s="122"/>
      <c r="CC286" s="122"/>
      <c r="CD286" s="122"/>
      <c r="CE286" s="122"/>
      <c r="CF286" s="122"/>
      <c r="CG286" s="122"/>
      <c r="CH286" s="122"/>
      <c r="CI286" s="122"/>
      <c r="CJ286" s="122"/>
      <c r="CK286" s="122"/>
      <c r="CL286" s="122"/>
      <c r="CM286" s="122"/>
      <c r="CN286" s="122"/>
      <c r="CO286" s="122"/>
      <c r="CP286" s="122"/>
      <c r="CQ286" s="122"/>
      <c r="CR286" s="122"/>
      <c r="CS286" s="122"/>
      <c r="CT286" s="122"/>
      <c r="CU286" s="122"/>
      <c r="CV286" s="122"/>
      <c r="CW286" s="122"/>
      <c r="CX286" s="122"/>
      <c r="CY286" s="122"/>
      <c r="CZ286" s="122"/>
      <c r="DA286" s="122"/>
      <c r="DB286" s="122"/>
      <c r="DC286" s="122"/>
      <c r="DD286" s="122"/>
      <c r="DE286" s="122"/>
      <c r="DF286" s="122"/>
      <c r="DG286" s="122"/>
      <c r="DH286" s="122"/>
      <c r="DI286" s="122"/>
      <c r="DJ286" s="122"/>
      <c r="DK286" s="122"/>
      <c r="DL286" s="122"/>
      <c r="DM286" s="122"/>
      <c r="DN286" s="122"/>
      <c r="DO286" s="122"/>
      <c r="DP286" s="122"/>
      <c r="DQ286" s="122"/>
      <c r="DR286" s="122"/>
      <c r="DS286" s="122"/>
      <c r="DT286" s="122"/>
      <c r="DU286" s="122"/>
      <c r="DV286" s="122"/>
      <c r="DW286" s="122"/>
      <c r="DX286" s="122"/>
      <c r="DY286" s="122"/>
      <c r="DZ286" s="122"/>
      <c r="EA286" s="122"/>
      <c r="EB286" s="122"/>
      <c r="EC286" s="122"/>
      <c r="ED286" s="122"/>
      <c r="EE286" s="122"/>
      <c r="EF286" s="122"/>
      <c r="EG286" s="122"/>
      <c r="EH286" s="122"/>
      <c r="EI286" s="122"/>
      <c r="EJ286" s="122"/>
      <c r="EK286" s="122"/>
      <c r="EL286" s="122"/>
      <c r="EM286" s="122"/>
      <c r="EN286" s="122"/>
      <c r="EO286" s="122"/>
      <c r="EP286" s="122"/>
      <c r="EQ286" s="122"/>
      <c r="ER286" s="122"/>
      <c r="ES286" s="122"/>
      <c r="ET286" s="122"/>
      <c r="EU286" s="122"/>
      <c r="EV286" s="122"/>
      <c r="EW286" s="122"/>
      <c r="EX286" s="122"/>
      <c r="EY286" s="122"/>
      <c r="EZ286" s="122"/>
      <c r="FA286" s="122"/>
      <c r="FB286" s="122"/>
      <c r="FC286" s="122"/>
      <c r="FD286" s="122"/>
      <c r="FE286" s="122"/>
      <c r="FF286" s="122"/>
      <c r="FG286" s="122"/>
      <c r="FH286" s="122"/>
      <c r="FI286" s="122"/>
      <c r="FJ286" s="122"/>
      <c r="FK286" s="122"/>
      <c r="FL286" s="122"/>
      <c r="FM286" s="122"/>
      <c r="FN286" s="122"/>
      <c r="FO286" s="122"/>
      <c r="FP286" s="122"/>
      <c r="FQ286" s="122"/>
      <c r="FR286" s="122"/>
      <c r="FS286" s="122"/>
      <c r="FT286" s="122"/>
      <c r="FU286" s="122"/>
      <c r="FV286" s="122"/>
      <c r="FW286" s="122"/>
      <c r="FX286" s="122"/>
      <c r="FY286" s="122"/>
      <c r="FZ286" s="122"/>
      <c r="GA286" s="122"/>
      <c r="GB286" s="122"/>
      <c r="GC286" s="122"/>
      <c r="GD286" s="122"/>
      <c r="GE286" s="122"/>
      <c r="GF286" s="122"/>
      <c r="GG286" s="122"/>
      <c r="GH286" s="122"/>
      <c r="GI286" s="122"/>
      <c r="GJ286" s="122"/>
      <c r="GK286" s="122"/>
      <c r="GL286" s="122"/>
      <c r="GM286" s="122"/>
      <c r="GN286" s="122"/>
      <c r="GO286" s="122"/>
      <c r="GP286" s="122"/>
      <c r="GQ286" s="122"/>
      <c r="GR286" s="122"/>
      <c r="GS286" s="122"/>
      <c r="GT286" s="122"/>
      <c r="GU286" s="122"/>
      <c r="GV286" s="122"/>
      <c r="GW286" s="122"/>
      <c r="GX286" s="122"/>
      <c r="GY286" s="122"/>
      <c r="GZ286" s="122"/>
      <c r="HA286" s="122"/>
      <c r="HB286" s="122"/>
      <c r="HC286" s="122"/>
      <c r="HD286" s="122"/>
      <c r="HE286" s="122"/>
      <c r="HF286" s="122"/>
      <c r="HG286" s="122"/>
      <c r="HH286" s="122"/>
      <c r="HI286" s="122"/>
      <c r="HJ286" s="122"/>
      <c r="HK286" s="122"/>
      <c r="HL286" s="122"/>
      <c r="HM286" s="122"/>
      <c r="HN286" s="122"/>
      <c r="HO286" s="122"/>
      <c r="HP286" s="122"/>
      <c r="HQ286" s="122"/>
      <c r="HR286" s="122"/>
      <c r="HS286" s="122"/>
      <c r="HT286" s="122"/>
      <c r="HU286" s="122"/>
      <c r="HV286" s="122"/>
      <c r="HW286" s="122"/>
      <c r="HX286" s="122"/>
      <c r="HY286" s="122"/>
      <c r="HZ286" s="122"/>
      <c r="IA286" s="122"/>
      <c r="IB286" s="122"/>
      <c r="IC286" s="122"/>
      <c r="ID286" s="122"/>
      <c r="IE286" s="122"/>
      <c r="IF286" s="122"/>
      <c r="IG286" s="122"/>
      <c r="IH286" s="122"/>
      <c r="II286" s="122"/>
      <c r="IJ286" s="122"/>
      <c r="IK286" s="122"/>
      <c r="IL286" s="122"/>
      <c r="IM286" s="122"/>
      <c r="IN286" s="122"/>
      <c r="IO286" s="122"/>
      <c r="IP286" s="122"/>
      <c r="IQ286" s="122"/>
      <c r="IR286" s="122"/>
      <c r="IS286" s="122"/>
      <c r="IT286" s="122"/>
      <c r="IU286" s="122"/>
      <c r="IV286" s="122"/>
      <c r="IW286" s="122"/>
      <c r="IX286" s="122"/>
      <c r="IY286" s="122"/>
      <c r="IZ286" s="122"/>
      <c r="JA286" s="122"/>
      <c r="JB286" s="122"/>
      <c r="JC286" s="122"/>
      <c r="JD286" s="122"/>
      <c r="JE286" s="122"/>
      <c r="JF286" s="122"/>
      <c r="JG286" s="122"/>
      <c r="JH286" s="122"/>
      <c r="JI286" s="119"/>
      <c r="JJ286" s="2"/>
      <c r="JK286" s="122"/>
      <c r="JL286" s="125"/>
      <c r="JM286" s="125"/>
      <c r="JN286" s="125"/>
      <c r="JO286" s="125"/>
      <c r="JP286" s="125"/>
    </row>
    <row r="287" spans="1:276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122"/>
      <c r="AQ287" s="122"/>
      <c r="AR287" s="122"/>
      <c r="AS287" s="122"/>
      <c r="AT287" s="122"/>
      <c r="AU287" s="122"/>
      <c r="AV287" s="122"/>
      <c r="AW287" s="122"/>
      <c r="AX287" s="122"/>
      <c r="AY287" s="122"/>
      <c r="AZ287" s="122"/>
      <c r="BA287" s="122"/>
      <c r="BB287" s="122"/>
      <c r="BC287" s="122"/>
      <c r="BD287" s="122"/>
      <c r="BE287" s="122"/>
      <c r="BF287" s="122"/>
      <c r="BG287" s="122"/>
      <c r="BH287" s="122"/>
      <c r="BI287" s="122"/>
      <c r="BJ287" s="122"/>
      <c r="BK287" s="122"/>
      <c r="BL287" s="122"/>
      <c r="BM287" s="122"/>
      <c r="BN287" s="122"/>
      <c r="BO287" s="122"/>
      <c r="BP287" s="122"/>
      <c r="BQ287" s="122"/>
      <c r="BR287" s="122"/>
      <c r="BS287" s="122"/>
      <c r="BT287" s="122"/>
      <c r="BU287" s="122"/>
      <c r="BV287" s="122"/>
      <c r="BW287" s="122"/>
      <c r="BX287" s="122"/>
      <c r="BY287" s="122"/>
      <c r="BZ287" s="122"/>
      <c r="CA287" s="122"/>
      <c r="CB287" s="122"/>
      <c r="CC287" s="122"/>
      <c r="CD287" s="122"/>
      <c r="CE287" s="122"/>
      <c r="CF287" s="122"/>
      <c r="CG287" s="122"/>
      <c r="CH287" s="122"/>
      <c r="CI287" s="122"/>
      <c r="CJ287" s="122"/>
      <c r="CK287" s="122"/>
      <c r="CL287" s="122"/>
      <c r="CM287" s="122"/>
      <c r="CN287" s="122"/>
      <c r="CO287" s="122"/>
      <c r="CP287" s="122"/>
      <c r="CQ287" s="122"/>
      <c r="CR287" s="122"/>
      <c r="CS287" s="122"/>
      <c r="CT287" s="122"/>
      <c r="CU287" s="122"/>
      <c r="CV287" s="122"/>
      <c r="CW287" s="122"/>
      <c r="CX287" s="122"/>
      <c r="CY287" s="122"/>
      <c r="CZ287" s="122"/>
      <c r="DA287" s="122"/>
      <c r="DB287" s="122"/>
      <c r="DC287" s="122"/>
      <c r="DD287" s="122"/>
      <c r="DE287" s="122"/>
      <c r="DF287" s="122"/>
      <c r="DG287" s="122"/>
      <c r="DH287" s="122"/>
      <c r="DI287" s="122"/>
      <c r="DJ287" s="122"/>
      <c r="DK287" s="122"/>
      <c r="DL287" s="122"/>
      <c r="DM287" s="122"/>
      <c r="DN287" s="122"/>
      <c r="DO287" s="122"/>
      <c r="DP287" s="122"/>
      <c r="DQ287" s="122"/>
      <c r="DR287" s="122"/>
      <c r="DS287" s="122"/>
      <c r="DT287" s="122"/>
      <c r="DU287" s="122"/>
      <c r="DV287" s="122"/>
      <c r="DW287" s="122"/>
      <c r="DX287" s="122"/>
      <c r="DY287" s="122"/>
      <c r="DZ287" s="122"/>
      <c r="EA287" s="122"/>
      <c r="EB287" s="122"/>
      <c r="EC287" s="122"/>
      <c r="ED287" s="122"/>
      <c r="EE287" s="122"/>
      <c r="EF287" s="122"/>
      <c r="EG287" s="122"/>
      <c r="EH287" s="122"/>
      <c r="EI287" s="122"/>
      <c r="EJ287" s="122"/>
      <c r="EK287" s="122"/>
      <c r="EL287" s="122"/>
      <c r="EM287" s="122"/>
      <c r="EN287" s="122"/>
      <c r="EO287" s="122"/>
      <c r="EP287" s="122"/>
      <c r="EQ287" s="122"/>
      <c r="ER287" s="122"/>
      <c r="ES287" s="122"/>
      <c r="ET287" s="122"/>
      <c r="EU287" s="122"/>
      <c r="EV287" s="122"/>
      <c r="EW287" s="122"/>
      <c r="EX287" s="122"/>
      <c r="EY287" s="122"/>
      <c r="EZ287" s="122"/>
      <c r="FA287" s="122"/>
      <c r="FB287" s="122"/>
      <c r="FC287" s="122"/>
      <c r="FD287" s="122"/>
      <c r="FE287" s="122"/>
      <c r="FF287" s="122"/>
      <c r="FG287" s="122"/>
      <c r="FH287" s="122"/>
      <c r="FI287" s="122"/>
      <c r="FJ287" s="122"/>
      <c r="FK287" s="122"/>
      <c r="FL287" s="122"/>
      <c r="FM287" s="122"/>
      <c r="FN287" s="122"/>
      <c r="FO287" s="122"/>
      <c r="FP287" s="122"/>
      <c r="FQ287" s="122"/>
      <c r="FR287" s="122"/>
      <c r="FS287" s="122"/>
      <c r="FT287" s="122"/>
      <c r="FU287" s="122"/>
      <c r="FV287" s="122"/>
      <c r="FW287" s="122"/>
      <c r="FX287" s="122"/>
      <c r="FY287" s="122"/>
      <c r="FZ287" s="122"/>
      <c r="GA287" s="122"/>
      <c r="GB287" s="122"/>
      <c r="GC287" s="122"/>
      <c r="GD287" s="122"/>
      <c r="GE287" s="122"/>
      <c r="GF287" s="122"/>
      <c r="GG287" s="122"/>
      <c r="GH287" s="122"/>
      <c r="GI287" s="122"/>
      <c r="GJ287" s="122"/>
      <c r="GK287" s="122"/>
      <c r="GL287" s="122"/>
      <c r="GM287" s="122"/>
      <c r="GN287" s="122"/>
      <c r="GO287" s="122"/>
      <c r="GP287" s="122"/>
      <c r="GQ287" s="122"/>
      <c r="GR287" s="122"/>
      <c r="GS287" s="122"/>
      <c r="GT287" s="122"/>
      <c r="GU287" s="122"/>
      <c r="GV287" s="122"/>
      <c r="GW287" s="122"/>
      <c r="GX287" s="122"/>
      <c r="GY287" s="122"/>
      <c r="GZ287" s="122"/>
      <c r="HA287" s="122"/>
      <c r="HB287" s="122"/>
      <c r="HC287" s="122"/>
      <c r="HD287" s="122"/>
      <c r="HE287" s="122"/>
      <c r="HF287" s="122"/>
      <c r="HG287" s="122"/>
      <c r="HH287" s="122"/>
      <c r="HI287" s="122"/>
      <c r="HJ287" s="122"/>
      <c r="HK287" s="122"/>
      <c r="HL287" s="122"/>
      <c r="HM287" s="122"/>
      <c r="HN287" s="122"/>
      <c r="HO287" s="122"/>
      <c r="HP287" s="122"/>
      <c r="HQ287" s="122"/>
      <c r="HR287" s="122"/>
      <c r="HS287" s="122"/>
      <c r="HT287" s="122"/>
      <c r="HU287" s="122"/>
      <c r="HV287" s="122"/>
      <c r="HW287" s="122"/>
      <c r="HX287" s="122"/>
      <c r="HY287" s="122"/>
      <c r="HZ287" s="122"/>
      <c r="IA287" s="122"/>
      <c r="IB287" s="122"/>
      <c r="IC287" s="122"/>
      <c r="ID287" s="122"/>
      <c r="IE287" s="122"/>
      <c r="IF287" s="122"/>
      <c r="IG287" s="122"/>
      <c r="IH287" s="122"/>
      <c r="II287" s="122"/>
      <c r="IJ287" s="122"/>
      <c r="IK287" s="122"/>
      <c r="IL287" s="122"/>
      <c r="IM287" s="122"/>
      <c r="IN287" s="122"/>
      <c r="IO287" s="122"/>
      <c r="IP287" s="122"/>
      <c r="IQ287" s="122"/>
      <c r="IR287" s="122"/>
      <c r="IS287" s="122"/>
      <c r="IT287" s="122"/>
      <c r="IU287" s="122"/>
      <c r="IV287" s="122"/>
      <c r="IW287" s="122"/>
      <c r="IX287" s="122"/>
      <c r="IY287" s="122"/>
      <c r="IZ287" s="122"/>
      <c r="JA287" s="122"/>
      <c r="JB287" s="122"/>
      <c r="JC287" s="122"/>
      <c r="JD287" s="122"/>
      <c r="JE287" s="122"/>
      <c r="JF287" s="122"/>
      <c r="JG287" s="122"/>
      <c r="JH287" s="122"/>
      <c r="JI287" s="119"/>
      <c r="JJ287" s="2"/>
      <c r="JK287" s="122"/>
      <c r="JL287" s="125"/>
      <c r="JM287" s="125"/>
      <c r="JN287" s="125"/>
      <c r="JO287" s="125"/>
      <c r="JP287" s="125"/>
    </row>
    <row r="288" spans="1:276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122"/>
      <c r="AQ288" s="122"/>
      <c r="AR288" s="122"/>
      <c r="AS288" s="122"/>
      <c r="AT288" s="122"/>
      <c r="AU288" s="122"/>
      <c r="AV288" s="122"/>
      <c r="AW288" s="122"/>
      <c r="AX288" s="122"/>
      <c r="AY288" s="122"/>
      <c r="AZ288" s="122"/>
      <c r="BA288" s="122"/>
      <c r="BB288" s="122"/>
      <c r="BC288" s="122"/>
      <c r="BD288" s="122"/>
      <c r="BE288" s="122"/>
      <c r="BF288" s="122"/>
      <c r="BG288" s="122"/>
      <c r="BH288" s="122"/>
      <c r="BI288" s="122"/>
      <c r="BJ288" s="122"/>
      <c r="BK288" s="122"/>
      <c r="BL288" s="122"/>
      <c r="BM288" s="122"/>
      <c r="BN288" s="122"/>
      <c r="BO288" s="122"/>
      <c r="BP288" s="122"/>
      <c r="BQ288" s="122"/>
      <c r="BR288" s="122"/>
      <c r="BS288" s="122"/>
      <c r="BT288" s="122"/>
      <c r="BU288" s="122"/>
      <c r="BV288" s="122"/>
      <c r="BW288" s="122"/>
      <c r="BX288" s="122"/>
      <c r="BY288" s="122"/>
      <c r="BZ288" s="122"/>
      <c r="CA288" s="122"/>
      <c r="CB288" s="122"/>
      <c r="CC288" s="122"/>
      <c r="CD288" s="122"/>
      <c r="CE288" s="122"/>
      <c r="CF288" s="122"/>
      <c r="CG288" s="122"/>
      <c r="CH288" s="122"/>
      <c r="CI288" s="122"/>
      <c r="CJ288" s="122"/>
      <c r="CK288" s="122"/>
      <c r="CL288" s="122"/>
      <c r="CM288" s="122"/>
      <c r="CN288" s="122"/>
      <c r="CO288" s="122"/>
      <c r="CP288" s="122"/>
      <c r="CQ288" s="122"/>
      <c r="CR288" s="122"/>
      <c r="CS288" s="122"/>
      <c r="CT288" s="122"/>
      <c r="CU288" s="122"/>
      <c r="CV288" s="122"/>
      <c r="CW288" s="122"/>
      <c r="CX288" s="122"/>
      <c r="CY288" s="122"/>
      <c r="CZ288" s="122"/>
      <c r="DA288" s="122"/>
      <c r="DB288" s="122"/>
      <c r="DC288" s="122"/>
      <c r="DD288" s="122"/>
      <c r="DE288" s="122"/>
      <c r="DF288" s="122"/>
      <c r="DG288" s="122"/>
      <c r="DH288" s="122"/>
      <c r="DI288" s="122"/>
      <c r="DJ288" s="122"/>
      <c r="DK288" s="122"/>
      <c r="DL288" s="122"/>
      <c r="DM288" s="122"/>
      <c r="DN288" s="122"/>
      <c r="DO288" s="122"/>
      <c r="DP288" s="122"/>
      <c r="DQ288" s="122"/>
      <c r="DR288" s="122"/>
      <c r="DS288" s="122"/>
      <c r="DT288" s="122"/>
      <c r="DU288" s="122"/>
      <c r="DV288" s="122"/>
      <c r="DW288" s="122"/>
      <c r="DX288" s="122"/>
      <c r="DY288" s="122"/>
      <c r="DZ288" s="122"/>
      <c r="EA288" s="122"/>
      <c r="EB288" s="122"/>
      <c r="EC288" s="122"/>
      <c r="ED288" s="122"/>
      <c r="EE288" s="122"/>
      <c r="EF288" s="122"/>
      <c r="EG288" s="122"/>
      <c r="EH288" s="122"/>
      <c r="EI288" s="122"/>
      <c r="EJ288" s="122"/>
      <c r="EK288" s="122"/>
      <c r="EL288" s="122"/>
      <c r="EM288" s="122"/>
      <c r="EN288" s="122"/>
      <c r="EO288" s="122"/>
      <c r="EP288" s="122"/>
      <c r="EQ288" s="122"/>
      <c r="ER288" s="122"/>
      <c r="ES288" s="122"/>
      <c r="ET288" s="122"/>
      <c r="EU288" s="122"/>
      <c r="EV288" s="122"/>
      <c r="EW288" s="122"/>
      <c r="EX288" s="122"/>
      <c r="EY288" s="122"/>
      <c r="EZ288" s="122"/>
      <c r="FA288" s="122"/>
      <c r="FB288" s="122"/>
      <c r="FC288" s="122"/>
      <c r="FD288" s="122"/>
      <c r="FE288" s="122"/>
      <c r="FF288" s="122"/>
      <c r="FG288" s="122"/>
      <c r="FH288" s="122"/>
      <c r="FI288" s="122"/>
      <c r="FJ288" s="122"/>
      <c r="FK288" s="122"/>
      <c r="FL288" s="122"/>
      <c r="FM288" s="122"/>
      <c r="FN288" s="122"/>
      <c r="FO288" s="122"/>
      <c r="FP288" s="122"/>
      <c r="FQ288" s="122"/>
      <c r="FR288" s="122"/>
      <c r="FS288" s="122"/>
      <c r="FT288" s="122"/>
      <c r="FU288" s="122"/>
      <c r="FV288" s="122"/>
      <c r="FW288" s="122"/>
      <c r="FX288" s="122"/>
      <c r="FY288" s="122"/>
      <c r="FZ288" s="122"/>
      <c r="GA288" s="122"/>
      <c r="GB288" s="122"/>
      <c r="GC288" s="122"/>
      <c r="GD288" s="122"/>
      <c r="GE288" s="122"/>
      <c r="GF288" s="122"/>
      <c r="GG288" s="122"/>
      <c r="GH288" s="122"/>
      <c r="GI288" s="122"/>
      <c r="GJ288" s="122"/>
      <c r="GK288" s="122"/>
      <c r="GL288" s="122"/>
      <c r="GM288" s="122"/>
      <c r="GN288" s="122"/>
      <c r="GO288" s="122"/>
      <c r="GP288" s="122"/>
      <c r="GQ288" s="122"/>
      <c r="GR288" s="122"/>
      <c r="GS288" s="122"/>
      <c r="GT288" s="122"/>
      <c r="GU288" s="122"/>
      <c r="GV288" s="122"/>
      <c r="GW288" s="122"/>
      <c r="GX288" s="122"/>
      <c r="GY288" s="122"/>
      <c r="GZ288" s="122"/>
      <c r="HA288" s="122"/>
      <c r="HB288" s="122"/>
      <c r="HC288" s="122"/>
      <c r="HD288" s="122"/>
      <c r="HE288" s="122"/>
      <c r="HF288" s="122"/>
      <c r="HG288" s="122"/>
      <c r="HH288" s="122"/>
      <c r="HI288" s="122"/>
      <c r="HJ288" s="122"/>
      <c r="HK288" s="122"/>
      <c r="HL288" s="122"/>
      <c r="HM288" s="122"/>
      <c r="HN288" s="122"/>
      <c r="HO288" s="122"/>
      <c r="HP288" s="122"/>
      <c r="HQ288" s="122"/>
      <c r="HR288" s="122"/>
      <c r="HS288" s="122"/>
      <c r="HT288" s="122"/>
      <c r="HU288" s="122"/>
      <c r="HV288" s="122"/>
      <c r="HW288" s="122"/>
      <c r="HX288" s="122"/>
      <c r="HY288" s="122"/>
      <c r="HZ288" s="122"/>
      <c r="IA288" s="122"/>
      <c r="IB288" s="122"/>
      <c r="IC288" s="122"/>
      <c r="ID288" s="122"/>
      <c r="IE288" s="122"/>
      <c r="IF288" s="122"/>
      <c r="IG288" s="122"/>
      <c r="IH288" s="122"/>
      <c r="II288" s="122"/>
      <c r="IJ288" s="122"/>
      <c r="IK288" s="122"/>
      <c r="IL288" s="122"/>
      <c r="IM288" s="122"/>
      <c r="IN288" s="122"/>
      <c r="IO288" s="122"/>
      <c r="IP288" s="122"/>
      <c r="IQ288" s="122"/>
      <c r="IR288" s="122"/>
      <c r="IS288" s="122"/>
      <c r="IT288" s="122"/>
      <c r="IU288" s="122"/>
      <c r="IV288" s="122"/>
      <c r="IW288" s="122"/>
      <c r="IX288" s="122"/>
      <c r="IY288" s="122"/>
      <c r="IZ288" s="122"/>
      <c r="JA288" s="122"/>
      <c r="JB288" s="122"/>
      <c r="JC288" s="122"/>
      <c r="JD288" s="122"/>
      <c r="JE288" s="122"/>
      <c r="JF288" s="122"/>
      <c r="JG288" s="122"/>
      <c r="JH288" s="122"/>
      <c r="JI288" s="119"/>
      <c r="JJ288" s="2"/>
      <c r="JK288" s="122"/>
      <c r="JL288" s="125"/>
      <c r="JM288" s="125"/>
      <c r="JN288" s="125"/>
      <c r="JO288" s="125"/>
      <c r="JP288" s="125"/>
    </row>
    <row r="289" spans="1:276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122"/>
      <c r="AQ289" s="122"/>
      <c r="AR289" s="122"/>
      <c r="AS289" s="122"/>
      <c r="AT289" s="122"/>
      <c r="AU289" s="122"/>
      <c r="AV289" s="122"/>
      <c r="AW289" s="122"/>
      <c r="AX289" s="122"/>
      <c r="AY289" s="122"/>
      <c r="AZ289" s="122"/>
      <c r="BA289" s="122"/>
      <c r="BB289" s="122"/>
      <c r="BC289" s="122"/>
      <c r="BD289" s="122"/>
      <c r="BE289" s="122"/>
      <c r="BF289" s="122"/>
      <c r="BG289" s="122"/>
      <c r="BH289" s="122"/>
      <c r="BI289" s="122"/>
      <c r="BJ289" s="122"/>
      <c r="BK289" s="122"/>
      <c r="BL289" s="122"/>
      <c r="BM289" s="122"/>
      <c r="BN289" s="122"/>
      <c r="BO289" s="122"/>
      <c r="BP289" s="122"/>
      <c r="BQ289" s="122"/>
      <c r="BR289" s="122"/>
      <c r="BS289" s="122"/>
      <c r="BT289" s="122"/>
      <c r="BU289" s="122"/>
      <c r="BV289" s="122"/>
      <c r="BW289" s="122"/>
      <c r="BX289" s="122"/>
      <c r="BY289" s="122"/>
      <c r="BZ289" s="122"/>
      <c r="CA289" s="122"/>
      <c r="CB289" s="122"/>
      <c r="CC289" s="122"/>
      <c r="CD289" s="122"/>
      <c r="CE289" s="122"/>
      <c r="CF289" s="122"/>
      <c r="CG289" s="122"/>
      <c r="CH289" s="122"/>
      <c r="CI289" s="122"/>
      <c r="CJ289" s="122"/>
      <c r="CK289" s="122"/>
      <c r="CL289" s="122"/>
      <c r="CM289" s="122"/>
      <c r="CN289" s="122"/>
      <c r="CO289" s="122"/>
      <c r="CP289" s="122"/>
      <c r="CQ289" s="122"/>
      <c r="CR289" s="122"/>
      <c r="CS289" s="122"/>
      <c r="CT289" s="122"/>
      <c r="CU289" s="122"/>
      <c r="CV289" s="122"/>
      <c r="CW289" s="122"/>
      <c r="CX289" s="122"/>
      <c r="CY289" s="122"/>
      <c r="CZ289" s="122"/>
      <c r="DA289" s="122"/>
      <c r="DB289" s="122"/>
      <c r="DC289" s="122"/>
      <c r="DD289" s="122"/>
      <c r="DE289" s="122"/>
      <c r="DF289" s="122"/>
      <c r="DG289" s="122"/>
      <c r="DH289" s="122"/>
      <c r="DI289" s="122"/>
      <c r="DJ289" s="122"/>
      <c r="DK289" s="122"/>
      <c r="DL289" s="122"/>
      <c r="DM289" s="122"/>
      <c r="DN289" s="122"/>
      <c r="DO289" s="122"/>
      <c r="DP289" s="122"/>
      <c r="DQ289" s="122"/>
      <c r="DR289" s="122"/>
      <c r="DS289" s="122"/>
      <c r="DT289" s="122"/>
      <c r="DU289" s="122"/>
      <c r="DV289" s="122"/>
      <c r="DW289" s="122"/>
      <c r="DX289" s="122"/>
      <c r="DY289" s="122"/>
      <c r="DZ289" s="122"/>
      <c r="EA289" s="122"/>
      <c r="EB289" s="122"/>
      <c r="EC289" s="122"/>
      <c r="ED289" s="122"/>
      <c r="EE289" s="122"/>
      <c r="EF289" s="122"/>
      <c r="EG289" s="122"/>
      <c r="EH289" s="122"/>
      <c r="EI289" s="122"/>
      <c r="EJ289" s="122"/>
      <c r="EK289" s="122"/>
      <c r="EL289" s="122"/>
      <c r="EM289" s="122"/>
      <c r="EN289" s="122"/>
      <c r="EO289" s="122"/>
      <c r="EP289" s="122"/>
      <c r="EQ289" s="122"/>
      <c r="ER289" s="122"/>
      <c r="ES289" s="122"/>
      <c r="ET289" s="122"/>
      <c r="EU289" s="122"/>
      <c r="EV289" s="122"/>
      <c r="EW289" s="122"/>
      <c r="EX289" s="122"/>
      <c r="EY289" s="122"/>
      <c r="EZ289" s="122"/>
      <c r="FA289" s="122"/>
      <c r="FB289" s="122"/>
      <c r="FC289" s="122"/>
      <c r="FD289" s="122"/>
      <c r="FE289" s="122"/>
      <c r="FF289" s="122"/>
      <c r="FG289" s="122"/>
      <c r="FH289" s="122"/>
      <c r="FI289" s="122"/>
      <c r="FJ289" s="122"/>
      <c r="FK289" s="122"/>
      <c r="FL289" s="122"/>
      <c r="FM289" s="122"/>
      <c r="FN289" s="122"/>
      <c r="FO289" s="122"/>
      <c r="FP289" s="122"/>
      <c r="FQ289" s="122"/>
      <c r="FR289" s="122"/>
      <c r="FS289" s="122"/>
      <c r="FT289" s="122"/>
      <c r="FU289" s="122"/>
      <c r="FV289" s="122"/>
      <c r="FW289" s="122"/>
      <c r="FX289" s="122"/>
      <c r="FY289" s="122"/>
      <c r="FZ289" s="122"/>
      <c r="GA289" s="122"/>
      <c r="GB289" s="122"/>
      <c r="GC289" s="122"/>
      <c r="GD289" s="122"/>
      <c r="GE289" s="122"/>
      <c r="GF289" s="122"/>
      <c r="GG289" s="122"/>
      <c r="GH289" s="122"/>
      <c r="GI289" s="122"/>
      <c r="GJ289" s="122"/>
      <c r="GK289" s="122"/>
      <c r="GL289" s="122"/>
      <c r="GM289" s="122"/>
      <c r="GN289" s="122"/>
      <c r="GO289" s="122"/>
      <c r="GP289" s="122"/>
      <c r="GQ289" s="122"/>
      <c r="GR289" s="122"/>
      <c r="GS289" s="122"/>
      <c r="GT289" s="122"/>
      <c r="GU289" s="122"/>
      <c r="GV289" s="122"/>
      <c r="GW289" s="122"/>
      <c r="GX289" s="122"/>
      <c r="GY289" s="122"/>
      <c r="GZ289" s="122"/>
      <c r="HA289" s="122"/>
      <c r="HB289" s="122"/>
      <c r="HC289" s="122"/>
      <c r="HD289" s="122"/>
      <c r="HE289" s="122"/>
      <c r="HF289" s="122"/>
      <c r="HG289" s="122"/>
      <c r="HH289" s="122"/>
      <c r="HI289" s="122"/>
      <c r="HJ289" s="122"/>
      <c r="HK289" s="122"/>
      <c r="HL289" s="122"/>
      <c r="HM289" s="122"/>
      <c r="HN289" s="122"/>
      <c r="HO289" s="122"/>
      <c r="HP289" s="122"/>
      <c r="HQ289" s="122"/>
      <c r="HR289" s="122"/>
      <c r="HS289" s="122"/>
      <c r="HT289" s="122"/>
      <c r="HU289" s="122"/>
      <c r="HV289" s="122"/>
      <c r="HW289" s="122"/>
      <c r="HX289" s="122"/>
      <c r="HY289" s="122"/>
      <c r="HZ289" s="122"/>
      <c r="IA289" s="122"/>
      <c r="IB289" s="122"/>
      <c r="IC289" s="122"/>
      <c r="ID289" s="122"/>
      <c r="IE289" s="122"/>
      <c r="IF289" s="122"/>
      <c r="IG289" s="122"/>
      <c r="IH289" s="122"/>
      <c r="II289" s="122"/>
      <c r="IJ289" s="122"/>
      <c r="IK289" s="122"/>
      <c r="IL289" s="122"/>
      <c r="IM289" s="122"/>
      <c r="IN289" s="122"/>
      <c r="IO289" s="122"/>
      <c r="IP289" s="122"/>
      <c r="IQ289" s="122"/>
      <c r="IR289" s="122"/>
      <c r="IS289" s="122"/>
      <c r="IT289" s="122"/>
      <c r="IU289" s="122"/>
      <c r="IV289" s="122"/>
      <c r="IW289" s="122"/>
      <c r="IX289" s="122"/>
      <c r="IY289" s="122"/>
      <c r="IZ289" s="122"/>
      <c r="JA289" s="122"/>
      <c r="JB289" s="122"/>
      <c r="JC289" s="122"/>
      <c r="JD289" s="122"/>
      <c r="JE289" s="122"/>
      <c r="JF289" s="122"/>
      <c r="JG289" s="122"/>
      <c r="JH289" s="122"/>
      <c r="JI289" s="119"/>
      <c r="JJ289" s="2"/>
      <c r="JK289" s="122"/>
      <c r="JL289" s="125"/>
      <c r="JM289" s="125"/>
      <c r="JN289" s="125"/>
      <c r="JO289" s="125"/>
      <c r="JP289" s="125"/>
    </row>
    <row r="290" spans="1:276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  <c r="AP290" s="122"/>
      <c r="AQ290" s="122"/>
      <c r="AR290" s="122"/>
      <c r="AS290" s="122"/>
      <c r="AT290" s="122"/>
      <c r="AU290" s="122"/>
      <c r="AV290" s="122"/>
      <c r="AW290" s="122"/>
      <c r="AX290" s="122"/>
      <c r="AY290" s="122"/>
      <c r="AZ290" s="122"/>
      <c r="BA290" s="122"/>
      <c r="BB290" s="122"/>
      <c r="BC290" s="122"/>
      <c r="BD290" s="122"/>
      <c r="BE290" s="122"/>
      <c r="BF290" s="122"/>
      <c r="BG290" s="122"/>
      <c r="BH290" s="122"/>
      <c r="BI290" s="122"/>
      <c r="BJ290" s="122"/>
      <c r="BK290" s="122"/>
      <c r="BL290" s="122"/>
      <c r="BM290" s="122"/>
      <c r="BN290" s="122"/>
      <c r="BO290" s="122"/>
      <c r="BP290" s="122"/>
      <c r="BQ290" s="122"/>
      <c r="BR290" s="122"/>
      <c r="BS290" s="122"/>
      <c r="BT290" s="122"/>
      <c r="BU290" s="122"/>
      <c r="BV290" s="122"/>
      <c r="BW290" s="122"/>
      <c r="BX290" s="122"/>
      <c r="BY290" s="122"/>
      <c r="BZ290" s="122"/>
      <c r="CA290" s="122"/>
      <c r="CB290" s="122"/>
      <c r="CC290" s="122"/>
      <c r="CD290" s="122"/>
      <c r="CE290" s="122"/>
      <c r="CF290" s="122"/>
      <c r="CG290" s="122"/>
      <c r="CH290" s="122"/>
      <c r="CI290" s="122"/>
      <c r="CJ290" s="122"/>
      <c r="CK290" s="122"/>
      <c r="CL290" s="122"/>
      <c r="CM290" s="122"/>
      <c r="CN290" s="122"/>
      <c r="CO290" s="122"/>
      <c r="CP290" s="122"/>
      <c r="CQ290" s="122"/>
      <c r="CR290" s="122"/>
      <c r="CS290" s="122"/>
      <c r="CT290" s="122"/>
      <c r="CU290" s="122"/>
      <c r="CV290" s="122"/>
      <c r="CW290" s="122"/>
      <c r="CX290" s="122"/>
      <c r="CY290" s="122"/>
      <c r="CZ290" s="122"/>
      <c r="DA290" s="122"/>
      <c r="DB290" s="122"/>
      <c r="DC290" s="122"/>
      <c r="DD290" s="122"/>
      <c r="DE290" s="122"/>
      <c r="DF290" s="122"/>
      <c r="DG290" s="122"/>
      <c r="DH290" s="122"/>
      <c r="DI290" s="122"/>
      <c r="DJ290" s="122"/>
      <c r="DK290" s="122"/>
      <c r="DL290" s="122"/>
      <c r="DM290" s="122"/>
      <c r="DN290" s="122"/>
      <c r="DO290" s="122"/>
      <c r="DP290" s="122"/>
      <c r="DQ290" s="122"/>
      <c r="DR290" s="122"/>
      <c r="DS290" s="122"/>
      <c r="DT290" s="122"/>
      <c r="DU290" s="122"/>
      <c r="DV290" s="122"/>
      <c r="DW290" s="122"/>
      <c r="DX290" s="122"/>
      <c r="DY290" s="122"/>
      <c r="DZ290" s="122"/>
      <c r="EA290" s="122"/>
      <c r="EB290" s="122"/>
      <c r="EC290" s="122"/>
      <c r="ED290" s="122"/>
      <c r="EE290" s="122"/>
      <c r="EF290" s="122"/>
      <c r="EG290" s="122"/>
      <c r="EH290" s="122"/>
      <c r="EI290" s="122"/>
      <c r="EJ290" s="122"/>
      <c r="EK290" s="122"/>
      <c r="EL290" s="122"/>
      <c r="EM290" s="122"/>
      <c r="EN290" s="122"/>
      <c r="EO290" s="122"/>
      <c r="EP290" s="122"/>
      <c r="EQ290" s="122"/>
      <c r="ER290" s="122"/>
      <c r="ES290" s="122"/>
      <c r="ET290" s="122"/>
      <c r="EU290" s="122"/>
      <c r="EV290" s="122"/>
      <c r="EW290" s="122"/>
      <c r="EX290" s="122"/>
      <c r="EY290" s="122"/>
      <c r="EZ290" s="122"/>
      <c r="FA290" s="122"/>
      <c r="FB290" s="122"/>
      <c r="FC290" s="122"/>
      <c r="FD290" s="122"/>
      <c r="FE290" s="122"/>
      <c r="FF290" s="122"/>
      <c r="FG290" s="122"/>
      <c r="FH290" s="122"/>
      <c r="FI290" s="122"/>
      <c r="FJ290" s="122"/>
      <c r="FK290" s="122"/>
      <c r="FL290" s="122"/>
      <c r="FM290" s="122"/>
      <c r="FN290" s="122"/>
      <c r="FO290" s="122"/>
      <c r="FP290" s="122"/>
      <c r="FQ290" s="122"/>
      <c r="FR290" s="122"/>
      <c r="FS290" s="122"/>
      <c r="FT290" s="122"/>
      <c r="FU290" s="122"/>
      <c r="FV290" s="122"/>
      <c r="FW290" s="122"/>
      <c r="FX290" s="122"/>
      <c r="FY290" s="122"/>
      <c r="FZ290" s="122"/>
      <c r="GA290" s="122"/>
      <c r="GB290" s="122"/>
      <c r="GC290" s="122"/>
      <c r="GD290" s="122"/>
      <c r="GE290" s="122"/>
      <c r="GF290" s="122"/>
      <c r="GG290" s="122"/>
      <c r="GH290" s="122"/>
      <c r="GI290" s="122"/>
      <c r="GJ290" s="122"/>
      <c r="GK290" s="122"/>
      <c r="GL290" s="122"/>
      <c r="GM290" s="122"/>
      <c r="GN290" s="122"/>
      <c r="GO290" s="122"/>
      <c r="GP290" s="122"/>
      <c r="GQ290" s="122"/>
      <c r="GR290" s="122"/>
      <c r="GS290" s="122"/>
      <c r="GT290" s="122"/>
      <c r="GU290" s="122"/>
      <c r="GV290" s="122"/>
      <c r="GW290" s="122"/>
      <c r="GX290" s="122"/>
      <c r="GY290" s="122"/>
      <c r="GZ290" s="122"/>
      <c r="HA290" s="122"/>
      <c r="HB290" s="122"/>
      <c r="HC290" s="122"/>
      <c r="HD290" s="122"/>
      <c r="HE290" s="122"/>
      <c r="HF290" s="122"/>
      <c r="HG290" s="122"/>
      <c r="HH290" s="122"/>
      <c r="HI290" s="122"/>
      <c r="HJ290" s="122"/>
      <c r="HK290" s="122"/>
      <c r="HL290" s="122"/>
      <c r="HM290" s="122"/>
      <c r="HN290" s="122"/>
      <c r="HO290" s="122"/>
      <c r="HP290" s="122"/>
      <c r="HQ290" s="122"/>
      <c r="HR290" s="122"/>
      <c r="HS290" s="122"/>
      <c r="HT290" s="122"/>
      <c r="HU290" s="122"/>
      <c r="HV290" s="122"/>
      <c r="HW290" s="122"/>
      <c r="HX290" s="122"/>
      <c r="HY290" s="122"/>
      <c r="HZ290" s="122"/>
      <c r="IA290" s="122"/>
      <c r="IB290" s="122"/>
      <c r="IC290" s="122"/>
      <c r="ID290" s="122"/>
      <c r="IE290" s="122"/>
      <c r="IF290" s="122"/>
      <c r="IG290" s="122"/>
      <c r="IH290" s="122"/>
      <c r="II290" s="122"/>
      <c r="IJ290" s="122"/>
      <c r="IK290" s="122"/>
      <c r="IL290" s="122"/>
      <c r="IM290" s="122"/>
      <c r="IN290" s="122"/>
      <c r="IO290" s="122"/>
      <c r="IP290" s="122"/>
      <c r="IQ290" s="122"/>
      <c r="IR290" s="122"/>
      <c r="IS290" s="122"/>
      <c r="IT290" s="122"/>
      <c r="IU290" s="122"/>
      <c r="IV290" s="122"/>
      <c r="IW290" s="122"/>
      <c r="IX290" s="122"/>
      <c r="IY290" s="122"/>
      <c r="IZ290" s="122"/>
      <c r="JA290" s="122"/>
      <c r="JB290" s="122"/>
      <c r="JC290" s="122"/>
      <c r="JD290" s="122"/>
      <c r="JE290" s="122"/>
      <c r="JF290" s="122"/>
      <c r="JG290" s="122"/>
      <c r="JH290" s="122"/>
      <c r="JI290" s="119"/>
      <c r="JJ290" s="2"/>
      <c r="JK290" s="122"/>
      <c r="JL290" s="125"/>
      <c r="JM290" s="125"/>
      <c r="JN290" s="125"/>
      <c r="JO290" s="125"/>
      <c r="JP290" s="125"/>
    </row>
    <row r="291" spans="1:276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122"/>
      <c r="AQ291" s="122"/>
      <c r="AR291" s="122"/>
      <c r="AS291" s="122"/>
      <c r="AT291" s="122"/>
      <c r="AU291" s="122"/>
      <c r="AV291" s="122"/>
      <c r="AW291" s="122"/>
      <c r="AX291" s="122"/>
      <c r="AY291" s="122"/>
      <c r="AZ291" s="122"/>
      <c r="BA291" s="122"/>
      <c r="BB291" s="122"/>
      <c r="BC291" s="122"/>
      <c r="BD291" s="122"/>
      <c r="BE291" s="122"/>
      <c r="BF291" s="122"/>
      <c r="BG291" s="122"/>
      <c r="BH291" s="122"/>
      <c r="BI291" s="122"/>
      <c r="BJ291" s="122"/>
      <c r="BK291" s="122"/>
      <c r="BL291" s="122"/>
      <c r="BM291" s="122"/>
      <c r="BN291" s="122"/>
      <c r="BO291" s="122"/>
      <c r="BP291" s="122"/>
      <c r="BQ291" s="122"/>
      <c r="BR291" s="122"/>
      <c r="BS291" s="122"/>
      <c r="BT291" s="122"/>
      <c r="BU291" s="122"/>
      <c r="BV291" s="122"/>
      <c r="BW291" s="122"/>
      <c r="BX291" s="122"/>
      <c r="BY291" s="122"/>
      <c r="BZ291" s="122"/>
      <c r="CA291" s="122"/>
      <c r="CB291" s="122"/>
      <c r="CC291" s="122"/>
      <c r="CD291" s="122"/>
      <c r="CE291" s="122"/>
      <c r="CF291" s="122"/>
      <c r="CG291" s="122"/>
      <c r="CH291" s="122"/>
      <c r="CI291" s="122"/>
      <c r="CJ291" s="122"/>
      <c r="CK291" s="122"/>
      <c r="CL291" s="122"/>
      <c r="CM291" s="122"/>
      <c r="CN291" s="122"/>
      <c r="CO291" s="122"/>
      <c r="CP291" s="122"/>
      <c r="CQ291" s="122"/>
      <c r="CR291" s="122"/>
      <c r="CS291" s="122"/>
      <c r="CT291" s="122"/>
      <c r="CU291" s="122"/>
      <c r="CV291" s="122"/>
      <c r="CW291" s="122"/>
      <c r="CX291" s="122"/>
      <c r="CY291" s="122"/>
      <c r="CZ291" s="122"/>
      <c r="DA291" s="122"/>
      <c r="DB291" s="122"/>
      <c r="DC291" s="122"/>
      <c r="DD291" s="122"/>
      <c r="DE291" s="122"/>
      <c r="DF291" s="122"/>
      <c r="DG291" s="122"/>
      <c r="DH291" s="122"/>
      <c r="DI291" s="122"/>
      <c r="DJ291" s="122"/>
      <c r="DK291" s="122"/>
      <c r="DL291" s="122"/>
      <c r="DM291" s="122"/>
      <c r="DN291" s="122"/>
      <c r="DO291" s="122"/>
      <c r="DP291" s="122"/>
      <c r="DQ291" s="122"/>
      <c r="DR291" s="122"/>
      <c r="DS291" s="122"/>
      <c r="DT291" s="122"/>
      <c r="DU291" s="122"/>
      <c r="DV291" s="122"/>
      <c r="DW291" s="122"/>
      <c r="DX291" s="122"/>
      <c r="DY291" s="122"/>
      <c r="DZ291" s="122"/>
      <c r="EA291" s="122"/>
      <c r="EB291" s="122"/>
      <c r="EC291" s="122"/>
      <c r="ED291" s="122"/>
      <c r="EE291" s="122"/>
      <c r="EF291" s="122"/>
      <c r="EG291" s="122"/>
      <c r="EH291" s="122"/>
      <c r="EI291" s="122"/>
      <c r="EJ291" s="122"/>
      <c r="EK291" s="122"/>
      <c r="EL291" s="122"/>
      <c r="EM291" s="122"/>
      <c r="EN291" s="122"/>
      <c r="EO291" s="122"/>
      <c r="EP291" s="122"/>
      <c r="EQ291" s="122"/>
      <c r="ER291" s="122"/>
      <c r="ES291" s="122"/>
      <c r="ET291" s="122"/>
      <c r="EU291" s="122"/>
      <c r="EV291" s="122"/>
      <c r="EW291" s="122"/>
      <c r="EX291" s="122"/>
      <c r="EY291" s="122"/>
      <c r="EZ291" s="122"/>
      <c r="FA291" s="122"/>
      <c r="FB291" s="122"/>
      <c r="FC291" s="122"/>
      <c r="FD291" s="122"/>
      <c r="FE291" s="122"/>
      <c r="FF291" s="122"/>
      <c r="FG291" s="122"/>
      <c r="FH291" s="122"/>
      <c r="FI291" s="122"/>
      <c r="FJ291" s="122"/>
      <c r="FK291" s="122"/>
      <c r="FL291" s="122"/>
      <c r="FM291" s="122"/>
      <c r="FN291" s="122"/>
      <c r="FO291" s="122"/>
      <c r="FP291" s="122"/>
      <c r="FQ291" s="122"/>
      <c r="FR291" s="122"/>
      <c r="FS291" s="122"/>
      <c r="FT291" s="122"/>
      <c r="FU291" s="122"/>
      <c r="FV291" s="122"/>
      <c r="FW291" s="122"/>
      <c r="FX291" s="122"/>
      <c r="FY291" s="122"/>
      <c r="FZ291" s="122"/>
      <c r="GA291" s="122"/>
      <c r="GB291" s="122"/>
      <c r="GC291" s="122"/>
      <c r="GD291" s="122"/>
      <c r="GE291" s="122"/>
      <c r="GF291" s="122"/>
      <c r="GG291" s="122"/>
      <c r="GH291" s="122"/>
      <c r="GI291" s="122"/>
      <c r="GJ291" s="122"/>
      <c r="GK291" s="122"/>
      <c r="GL291" s="122"/>
      <c r="GM291" s="122"/>
      <c r="GN291" s="122"/>
      <c r="GO291" s="122"/>
      <c r="GP291" s="122"/>
      <c r="GQ291" s="122"/>
      <c r="GR291" s="122"/>
      <c r="GS291" s="122"/>
      <c r="GT291" s="122"/>
      <c r="GU291" s="122"/>
      <c r="GV291" s="122"/>
      <c r="GW291" s="122"/>
      <c r="GX291" s="122"/>
      <c r="GY291" s="122"/>
      <c r="GZ291" s="122"/>
      <c r="HA291" s="122"/>
      <c r="HB291" s="122"/>
      <c r="HC291" s="122"/>
      <c r="HD291" s="122"/>
      <c r="HE291" s="122"/>
      <c r="HF291" s="122"/>
      <c r="HG291" s="122"/>
      <c r="HH291" s="122"/>
      <c r="HI291" s="122"/>
      <c r="HJ291" s="122"/>
      <c r="HK291" s="122"/>
      <c r="HL291" s="122"/>
      <c r="HM291" s="122"/>
      <c r="HN291" s="122"/>
      <c r="HO291" s="122"/>
      <c r="HP291" s="122"/>
      <c r="HQ291" s="122"/>
      <c r="HR291" s="122"/>
      <c r="HS291" s="122"/>
      <c r="HT291" s="122"/>
      <c r="HU291" s="122"/>
      <c r="HV291" s="122"/>
      <c r="HW291" s="122"/>
      <c r="HX291" s="122"/>
      <c r="HY291" s="122"/>
      <c r="HZ291" s="122"/>
      <c r="IA291" s="122"/>
      <c r="IB291" s="122"/>
      <c r="IC291" s="122"/>
      <c r="ID291" s="122"/>
      <c r="IE291" s="122"/>
      <c r="IF291" s="122"/>
      <c r="IG291" s="122"/>
      <c r="IH291" s="122"/>
      <c r="II291" s="122"/>
      <c r="IJ291" s="122"/>
      <c r="IK291" s="122"/>
      <c r="IL291" s="122"/>
      <c r="IM291" s="122"/>
      <c r="IN291" s="122"/>
      <c r="IO291" s="122"/>
      <c r="IP291" s="122"/>
      <c r="IQ291" s="122"/>
      <c r="IR291" s="122"/>
      <c r="IS291" s="122"/>
      <c r="IT291" s="122"/>
      <c r="IU291" s="122"/>
      <c r="IV291" s="122"/>
      <c r="IW291" s="122"/>
      <c r="IX291" s="122"/>
      <c r="IY291" s="122"/>
      <c r="IZ291" s="122"/>
      <c r="JA291" s="122"/>
      <c r="JB291" s="122"/>
      <c r="JC291" s="122"/>
      <c r="JD291" s="122"/>
      <c r="JE291" s="122"/>
      <c r="JF291" s="122"/>
      <c r="JG291" s="122"/>
      <c r="JH291" s="122"/>
      <c r="JI291" s="119"/>
      <c r="JJ291" s="2"/>
      <c r="JK291" s="122"/>
      <c r="JL291" s="125"/>
      <c r="JM291" s="125"/>
      <c r="JN291" s="125"/>
      <c r="JO291" s="125"/>
      <c r="JP291" s="125"/>
    </row>
    <row r="292" spans="1:276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  <c r="AP292" s="122"/>
      <c r="AQ292" s="122"/>
      <c r="AR292" s="122"/>
      <c r="AS292" s="122"/>
      <c r="AT292" s="122"/>
      <c r="AU292" s="122"/>
      <c r="AV292" s="122"/>
      <c r="AW292" s="122"/>
      <c r="AX292" s="122"/>
      <c r="AY292" s="122"/>
      <c r="AZ292" s="122"/>
      <c r="BA292" s="122"/>
      <c r="BB292" s="122"/>
      <c r="BC292" s="122"/>
      <c r="BD292" s="122"/>
      <c r="BE292" s="122"/>
      <c r="BF292" s="122"/>
      <c r="BG292" s="122"/>
      <c r="BH292" s="122"/>
      <c r="BI292" s="122"/>
      <c r="BJ292" s="122"/>
      <c r="BK292" s="122"/>
      <c r="BL292" s="122"/>
      <c r="BM292" s="122"/>
      <c r="BN292" s="122"/>
      <c r="BO292" s="122"/>
      <c r="BP292" s="122"/>
      <c r="BQ292" s="122"/>
      <c r="BR292" s="122"/>
      <c r="BS292" s="122"/>
      <c r="BT292" s="122"/>
      <c r="BU292" s="122"/>
      <c r="BV292" s="122"/>
      <c r="BW292" s="122"/>
      <c r="BX292" s="122"/>
      <c r="BY292" s="122"/>
      <c r="BZ292" s="122"/>
      <c r="CA292" s="122"/>
      <c r="CB292" s="122"/>
      <c r="CC292" s="122"/>
      <c r="CD292" s="122"/>
      <c r="CE292" s="122"/>
      <c r="CF292" s="122"/>
      <c r="CG292" s="122"/>
      <c r="CH292" s="122"/>
      <c r="CI292" s="122"/>
      <c r="CJ292" s="122"/>
      <c r="CK292" s="122"/>
      <c r="CL292" s="122"/>
      <c r="CM292" s="122"/>
      <c r="CN292" s="122"/>
      <c r="CO292" s="122"/>
      <c r="CP292" s="122"/>
      <c r="CQ292" s="122"/>
      <c r="CR292" s="122"/>
      <c r="CS292" s="122"/>
      <c r="CT292" s="122"/>
      <c r="CU292" s="122"/>
      <c r="CV292" s="122"/>
      <c r="CW292" s="122"/>
      <c r="CX292" s="122"/>
      <c r="CY292" s="122"/>
      <c r="CZ292" s="122"/>
      <c r="DA292" s="122"/>
      <c r="DB292" s="122"/>
      <c r="DC292" s="122"/>
      <c r="DD292" s="122"/>
      <c r="DE292" s="122"/>
      <c r="DF292" s="122"/>
      <c r="DG292" s="122"/>
      <c r="DH292" s="122"/>
      <c r="DI292" s="122"/>
      <c r="DJ292" s="122"/>
      <c r="DK292" s="122"/>
      <c r="DL292" s="122"/>
      <c r="DM292" s="122"/>
      <c r="DN292" s="122"/>
      <c r="DO292" s="122"/>
      <c r="DP292" s="122"/>
      <c r="DQ292" s="122"/>
      <c r="DR292" s="122"/>
      <c r="DS292" s="122"/>
      <c r="DT292" s="122"/>
      <c r="DU292" s="122"/>
      <c r="DV292" s="122"/>
      <c r="DW292" s="122"/>
      <c r="DX292" s="122"/>
      <c r="DY292" s="122"/>
      <c r="DZ292" s="122"/>
      <c r="EA292" s="122"/>
      <c r="EB292" s="122"/>
      <c r="EC292" s="122"/>
      <c r="ED292" s="122"/>
      <c r="EE292" s="122"/>
      <c r="EF292" s="122"/>
      <c r="EG292" s="122"/>
      <c r="EH292" s="122"/>
      <c r="EI292" s="122"/>
      <c r="EJ292" s="122"/>
      <c r="EK292" s="122"/>
      <c r="EL292" s="122"/>
      <c r="EM292" s="122"/>
      <c r="EN292" s="122"/>
      <c r="EO292" s="122"/>
      <c r="EP292" s="122"/>
      <c r="EQ292" s="122"/>
      <c r="ER292" s="122"/>
      <c r="ES292" s="122"/>
      <c r="ET292" s="122"/>
      <c r="EU292" s="122"/>
      <c r="EV292" s="122"/>
      <c r="EW292" s="122"/>
      <c r="EX292" s="122"/>
      <c r="EY292" s="122"/>
      <c r="EZ292" s="122"/>
      <c r="FA292" s="122"/>
      <c r="FB292" s="122"/>
      <c r="FC292" s="122"/>
      <c r="FD292" s="122"/>
      <c r="FE292" s="122"/>
      <c r="FF292" s="122"/>
      <c r="FG292" s="122"/>
      <c r="FH292" s="122"/>
      <c r="FI292" s="122"/>
      <c r="FJ292" s="122"/>
      <c r="FK292" s="122"/>
      <c r="FL292" s="122"/>
      <c r="FM292" s="122"/>
      <c r="FN292" s="122"/>
      <c r="FO292" s="122"/>
      <c r="FP292" s="122"/>
      <c r="FQ292" s="122"/>
      <c r="FR292" s="122"/>
      <c r="FS292" s="122"/>
      <c r="FT292" s="122"/>
      <c r="FU292" s="122"/>
      <c r="FV292" s="122"/>
      <c r="FW292" s="122"/>
      <c r="FX292" s="122"/>
      <c r="FY292" s="122"/>
      <c r="FZ292" s="122"/>
      <c r="GA292" s="122"/>
      <c r="GB292" s="122"/>
      <c r="GC292" s="122"/>
      <c r="GD292" s="122"/>
      <c r="GE292" s="122"/>
      <c r="GF292" s="122"/>
      <c r="GG292" s="122"/>
      <c r="GH292" s="122"/>
      <c r="GI292" s="122"/>
      <c r="GJ292" s="122"/>
      <c r="GK292" s="122"/>
      <c r="GL292" s="122"/>
      <c r="GM292" s="122"/>
      <c r="GN292" s="122"/>
      <c r="GO292" s="122"/>
      <c r="GP292" s="122"/>
      <c r="GQ292" s="122"/>
      <c r="GR292" s="122"/>
      <c r="GS292" s="122"/>
      <c r="GT292" s="122"/>
      <c r="GU292" s="122"/>
      <c r="GV292" s="122"/>
      <c r="GW292" s="122"/>
      <c r="GX292" s="122"/>
      <c r="GY292" s="122"/>
      <c r="GZ292" s="122"/>
      <c r="HA292" s="122"/>
      <c r="HB292" s="122"/>
      <c r="HC292" s="122"/>
      <c r="HD292" s="122"/>
      <c r="HE292" s="122"/>
      <c r="HF292" s="122"/>
      <c r="HG292" s="122"/>
      <c r="HH292" s="122"/>
      <c r="HI292" s="122"/>
      <c r="HJ292" s="122"/>
      <c r="HK292" s="122"/>
      <c r="HL292" s="122"/>
      <c r="HM292" s="122"/>
      <c r="HN292" s="122"/>
      <c r="HO292" s="122"/>
      <c r="HP292" s="122"/>
      <c r="HQ292" s="122"/>
      <c r="HR292" s="122"/>
      <c r="HS292" s="122"/>
      <c r="HT292" s="122"/>
      <c r="HU292" s="122"/>
      <c r="HV292" s="122"/>
      <c r="HW292" s="122"/>
      <c r="HX292" s="122"/>
      <c r="HY292" s="122"/>
      <c r="HZ292" s="122"/>
      <c r="IA292" s="122"/>
      <c r="IB292" s="122"/>
      <c r="IC292" s="122"/>
      <c r="ID292" s="122"/>
      <c r="IE292" s="122"/>
      <c r="IF292" s="122"/>
      <c r="IG292" s="122"/>
      <c r="IH292" s="122"/>
      <c r="II292" s="122"/>
      <c r="IJ292" s="122"/>
      <c r="IK292" s="122"/>
      <c r="IL292" s="122"/>
      <c r="IM292" s="122"/>
      <c r="IN292" s="122"/>
      <c r="IO292" s="122"/>
      <c r="IP292" s="122"/>
      <c r="IQ292" s="122"/>
      <c r="IR292" s="122"/>
      <c r="IS292" s="122"/>
      <c r="IT292" s="122"/>
      <c r="IU292" s="122"/>
      <c r="IV292" s="122"/>
      <c r="IW292" s="122"/>
      <c r="IX292" s="122"/>
      <c r="IY292" s="122"/>
      <c r="IZ292" s="122"/>
      <c r="JA292" s="122"/>
      <c r="JB292" s="122"/>
      <c r="JC292" s="122"/>
      <c r="JD292" s="122"/>
      <c r="JE292" s="122"/>
      <c r="JF292" s="122"/>
      <c r="JG292" s="122"/>
      <c r="JH292" s="122"/>
      <c r="JI292" s="119"/>
      <c r="JJ292" s="2"/>
      <c r="JK292" s="122"/>
      <c r="JL292" s="125"/>
      <c r="JM292" s="125"/>
      <c r="JN292" s="125"/>
      <c r="JO292" s="125"/>
      <c r="JP292" s="125"/>
    </row>
    <row r="293" spans="1:276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122"/>
      <c r="AQ293" s="122"/>
      <c r="AR293" s="122"/>
      <c r="AS293" s="122"/>
      <c r="AT293" s="122"/>
      <c r="AU293" s="122"/>
      <c r="AV293" s="122"/>
      <c r="AW293" s="122"/>
      <c r="AX293" s="122"/>
      <c r="AY293" s="122"/>
      <c r="AZ293" s="122"/>
      <c r="BA293" s="122"/>
      <c r="BB293" s="122"/>
      <c r="BC293" s="122"/>
      <c r="BD293" s="122"/>
      <c r="BE293" s="122"/>
      <c r="BF293" s="122"/>
      <c r="BG293" s="122"/>
      <c r="BH293" s="122"/>
      <c r="BI293" s="122"/>
      <c r="BJ293" s="122"/>
      <c r="BK293" s="122"/>
      <c r="BL293" s="122"/>
      <c r="BM293" s="122"/>
      <c r="BN293" s="122"/>
      <c r="BO293" s="122"/>
      <c r="BP293" s="122"/>
      <c r="BQ293" s="122"/>
      <c r="BR293" s="122"/>
      <c r="BS293" s="122"/>
      <c r="BT293" s="122"/>
      <c r="BU293" s="122"/>
      <c r="BV293" s="122"/>
      <c r="BW293" s="122"/>
      <c r="BX293" s="122"/>
      <c r="BY293" s="122"/>
      <c r="BZ293" s="122"/>
      <c r="CA293" s="122"/>
      <c r="CB293" s="122"/>
      <c r="CC293" s="122"/>
      <c r="CD293" s="122"/>
      <c r="CE293" s="122"/>
      <c r="CF293" s="122"/>
      <c r="CG293" s="122"/>
      <c r="CH293" s="122"/>
      <c r="CI293" s="122"/>
      <c r="CJ293" s="122"/>
      <c r="CK293" s="122"/>
      <c r="CL293" s="122"/>
      <c r="CM293" s="122"/>
      <c r="CN293" s="122"/>
      <c r="CO293" s="122"/>
      <c r="CP293" s="122"/>
      <c r="CQ293" s="122"/>
      <c r="CR293" s="122"/>
      <c r="CS293" s="122"/>
      <c r="CT293" s="122"/>
      <c r="CU293" s="122"/>
      <c r="CV293" s="122"/>
      <c r="CW293" s="122"/>
      <c r="CX293" s="122"/>
      <c r="CY293" s="122"/>
      <c r="CZ293" s="122"/>
      <c r="DA293" s="122"/>
      <c r="DB293" s="122"/>
      <c r="DC293" s="122"/>
      <c r="DD293" s="122"/>
      <c r="DE293" s="122"/>
      <c r="DF293" s="122"/>
      <c r="DG293" s="122"/>
      <c r="DH293" s="122"/>
      <c r="DI293" s="122"/>
      <c r="DJ293" s="122"/>
      <c r="DK293" s="122"/>
      <c r="DL293" s="122"/>
      <c r="DM293" s="122"/>
      <c r="DN293" s="122"/>
      <c r="DO293" s="122"/>
      <c r="DP293" s="122"/>
      <c r="DQ293" s="122"/>
      <c r="DR293" s="122"/>
      <c r="DS293" s="122"/>
      <c r="DT293" s="122"/>
      <c r="DU293" s="122"/>
      <c r="DV293" s="122"/>
      <c r="DW293" s="122"/>
      <c r="DX293" s="122"/>
      <c r="DY293" s="122"/>
      <c r="DZ293" s="122"/>
      <c r="EA293" s="122"/>
      <c r="EB293" s="122"/>
      <c r="EC293" s="122"/>
      <c r="ED293" s="122"/>
      <c r="EE293" s="122"/>
      <c r="EF293" s="122"/>
      <c r="EG293" s="122"/>
      <c r="EH293" s="122"/>
      <c r="EI293" s="122"/>
      <c r="EJ293" s="122"/>
      <c r="EK293" s="122"/>
      <c r="EL293" s="122"/>
      <c r="EM293" s="122"/>
      <c r="EN293" s="122"/>
      <c r="EO293" s="122"/>
      <c r="EP293" s="122"/>
      <c r="EQ293" s="122"/>
      <c r="ER293" s="122"/>
      <c r="ES293" s="122"/>
      <c r="ET293" s="122"/>
      <c r="EU293" s="122"/>
      <c r="EV293" s="122"/>
      <c r="EW293" s="122"/>
      <c r="EX293" s="122"/>
      <c r="EY293" s="122"/>
      <c r="EZ293" s="122"/>
      <c r="FA293" s="122"/>
      <c r="FB293" s="122"/>
      <c r="FC293" s="122"/>
      <c r="FD293" s="122"/>
      <c r="FE293" s="122"/>
      <c r="FF293" s="122"/>
      <c r="FG293" s="122"/>
      <c r="FH293" s="122"/>
      <c r="FI293" s="122"/>
      <c r="FJ293" s="122"/>
      <c r="FK293" s="122"/>
      <c r="FL293" s="122"/>
      <c r="FM293" s="122"/>
      <c r="FN293" s="122"/>
      <c r="FO293" s="122"/>
      <c r="FP293" s="122"/>
      <c r="FQ293" s="122"/>
      <c r="FR293" s="122"/>
      <c r="FS293" s="122"/>
      <c r="FT293" s="122"/>
      <c r="FU293" s="122"/>
      <c r="FV293" s="122"/>
      <c r="FW293" s="122"/>
      <c r="FX293" s="122"/>
      <c r="FY293" s="122"/>
      <c r="FZ293" s="122"/>
      <c r="GA293" s="122"/>
      <c r="GB293" s="122"/>
      <c r="GC293" s="122"/>
      <c r="GD293" s="122"/>
      <c r="GE293" s="122"/>
      <c r="GF293" s="122"/>
      <c r="GG293" s="122"/>
      <c r="GH293" s="122"/>
      <c r="GI293" s="122"/>
      <c r="GJ293" s="122"/>
      <c r="GK293" s="122"/>
      <c r="GL293" s="122"/>
      <c r="GM293" s="122"/>
      <c r="GN293" s="122"/>
      <c r="GO293" s="122"/>
      <c r="GP293" s="122"/>
      <c r="GQ293" s="122"/>
      <c r="GR293" s="122"/>
      <c r="GS293" s="122"/>
      <c r="GT293" s="122"/>
      <c r="GU293" s="122"/>
      <c r="GV293" s="122"/>
      <c r="GW293" s="122"/>
      <c r="GX293" s="122"/>
      <c r="GY293" s="122"/>
      <c r="GZ293" s="122"/>
      <c r="HA293" s="122"/>
      <c r="HB293" s="122"/>
      <c r="HC293" s="122"/>
      <c r="HD293" s="122"/>
      <c r="HE293" s="122"/>
      <c r="HF293" s="122"/>
      <c r="HG293" s="122"/>
      <c r="HH293" s="122"/>
      <c r="HI293" s="122"/>
      <c r="HJ293" s="122"/>
      <c r="HK293" s="122"/>
      <c r="HL293" s="122"/>
      <c r="HM293" s="122"/>
      <c r="HN293" s="122"/>
      <c r="HO293" s="122"/>
      <c r="HP293" s="122"/>
      <c r="HQ293" s="122"/>
      <c r="HR293" s="122"/>
      <c r="HS293" s="122"/>
      <c r="HT293" s="122"/>
      <c r="HU293" s="122"/>
      <c r="HV293" s="122"/>
      <c r="HW293" s="122"/>
      <c r="HX293" s="122"/>
      <c r="HY293" s="122"/>
      <c r="HZ293" s="122"/>
      <c r="IA293" s="122"/>
      <c r="IB293" s="122"/>
      <c r="IC293" s="122"/>
      <c r="ID293" s="122"/>
      <c r="IE293" s="122"/>
      <c r="IF293" s="122"/>
      <c r="IG293" s="122"/>
      <c r="IH293" s="122"/>
      <c r="II293" s="122"/>
      <c r="IJ293" s="122"/>
      <c r="IK293" s="122"/>
      <c r="IL293" s="122"/>
      <c r="IM293" s="122"/>
      <c r="IN293" s="122"/>
      <c r="IO293" s="122"/>
      <c r="IP293" s="122"/>
      <c r="IQ293" s="122"/>
      <c r="IR293" s="122"/>
      <c r="IS293" s="122"/>
      <c r="IT293" s="122"/>
      <c r="IU293" s="122"/>
      <c r="IV293" s="122"/>
      <c r="IW293" s="122"/>
      <c r="IX293" s="122"/>
      <c r="IY293" s="122"/>
      <c r="IZ293" s="122"/>
      <c r="JA293" s="122"/>
      <c r="JB293" s="122"/>
      <c r="JC293" s="122"/>
      <c r="JD293" s="122"/>
      <c r="JE293" s="122"/>
      <c r="JF293" s="122"/>
      <c r="JG293" s="122"/>
      <c r="JH293" s="122"/>
      <c r="JI293" s="119"/>
      <c r="JJ293" s="2"/>
      <c r="JK293" s="122"/>
      <c r="JL293" s="125"/>
      <c r="JM293" s="125"/>
      <c r="JN293" s="125"/>
      <c r="JO293" s="125"/>
      <c r="JP293" s="125"/>
    </row>
    <row r="294" spans="1:276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  <c r="AP294" s="122"/>
      <c r="AQ294" s="122"/>
      <c r="AR294" s="122"/>
      <c r="AS294" s="122"/>
      <c r="AT294" s="122"/>
      <c r="AU294" s="122"/>
      <c r="AV294" s="122"/>
      <c r="AW294" s="122"/>
      <c r="AX294" s="122"/>
      <c r="AY294" s="122"/>
      <c r="AZ294" s="122"/>
      <c r="BA294" s="122"/>
      <c r="BB294" s="122"/>
      <c r="BC294" s="122"/>
      <c r="BD294" s="122"/>
      <c r="BE294" s="122"/>
      <c r="BF294" s="122"/>
      <c r="BG294" s="122"/>
      <c r="BH294" s="122"/>
      <c r="BI294" s="122"/>
      <c r="BJ294" s="122"/>
      <c r="BK294" s="122"/>
      <c r="BL294" s="122"/>
      <c r="BM294" s="122"/>
      <c r="BN294" s="122"/>
      <c r="BO294" s="122"/>
      <c r="BP294" s="122"/>
      <c r="BQ294" s="122"/>
      <c r="BR294" s="122"/>
      <c r="BS294" s="122"/>
      <c r="BT294" s="122"/>
      <c r="BU294" s="122"/>
      <c r="BV294" s="122"/>
      <c r="BW294" s="122"/>
      <c r="BX294" s="122"/>
      <c r="BY294" s="122"/>
      <c r="BZ294" s="122"/>
      <c r="CA294" s="122"/>
      <c r="CB294" s="122"/>
      <c r="CC294" s="122"/>
      <c r="CD294" s="122"/>
      <c r="CE294" s="122"/>
      <c r="CF294" s="122"/>
      <c r="CG294" s="122"/>
      <c r="CH294" s="122"/>
      <c r="CI294" s="122"/>
      <c r="CJ294" s="122"/>
      <c r="CK294" s="122"/>
      <c r="CL294" s="122"/>
      <c r="CM294" s="122"/>
      <c r="CN294" s="122"/>
      <c r="CO294" s="122"/>
      <c r="CP294" s="122"/>
      <c r="CQ294" s="122"/>
      <c r="CR294" s="122"/>
      <c r="CS294" s="122"/>
      <c r="CT294" s="122"/>
      <c r="CU294" s="122"/>
      <c r="CV294" s="122"/>
      <c r="CW294" s="122"/>
      <c r="CX294" s="122"/>
      <c r="CY294" s="122"/>
      <c r="CZ294" s="122"/>
      <c r="DA294" s="122"/>
      <c r="DB294" s="122"/>
      <c r="DC294" s="122"/>
      <c r="DD294" s="122"/>
      <c r="DE294" s="122"/>
      <c r="DF294" s="122"/>
      <c r="DG294" s="122"/>
      <c r="DH294" s="122"/>
      <c r="DI294" s="122"/>
      <c r="DJ294" s="122"/>
      <c r="DK294" s="122"/>
      <c r="DL294" s="122"/>
      <c r="DM294" s="122"/>
      <c r="DN294" s="122"/>
      <c r="DO294" s="122"/>
      <c r="DP294" s="122"/>
      <c r="DQ294" s="122"/>
      <c r="DR294" s="122"/>
      <c r="DS294" s="122"/>
      <c r="DT294" s="122"/>
      <c r="DU294" s="122"/>
      <c r="DV294" s="122"/>
      <c r="DW294" s="122"/>
      <c r="DX294" s="122"/>
      <c r="DY294" s="122"/>
      <c r="DZ294" s="122"/>
      <c r="EA294" s="122"/>
      <c r="EB294" s="122"/>
      <c r="EC294" s="122"/>
      <c r="ED294" s="122"/>
      <c r="EE294" s="122"/>
      <c r="EF294" s="122"/>
      <c r="EG294" s="122"/>
      <c r="EH294" s="122"/>
      <c r="EI294" s="122"/>
      <c r="EJ294" s="122"/>
      <c r="EK294" s="122"/>
      <c r="EL294" s="122"/>
      <c r="EM294" s="122"/>
      <c r="EN294" s="122"/>
      <c r="EO294" s="122"/>
      <c r="EP294" s="122"/>
      <c r="EQ294" s="122"/>
      <c r="ER294" s="122"/>
      <c r="ES294" s="122"/>
      <c r="ET294" s="122"/>
      <c r="EU294" s="122"/>
      <c r="EV294" s="122"/>
      <c r="EW294" s="122"/>
      <c r="EX294" s="122"/>
      <c r="EY294" s="122"/>
      <c r="EZ294" s="122"/>
      <c r="FA294" s="122"/>
      <c r="FB294" s="122"/>
      <c r="FC294" s="122"/>
      <c r="FD294" s="122"/>
      <c r="FE294" s="122"/>
      <c r="FF294" s="122"/>
      <c r="FG294" s="122"/>
      <c r="FH294" s="122"/>
      <c r="FI294" s="122"/>
      <c r="FJ294" s="122"/>
      <c r="FK294" s="122"/>
      <c r="FL294" s="122"/>
      <c r="FM294" s="122"/>
      <c r="FN294" s="122"/>
      <c r="FO294" s="122"/>
      <c r="FP294" s="122"/>
      <c r="FQ294" s="122"/>
      <c r="FR294" s="122"/>
      <c r="FS294" s="122"/>
      <c r="FT294" s="122"/>
      <c r="FU294" s="122"/>
      <c r="FV294" s="122"/>
      <c r="FW294" s="122"/>
      <c r="FX294" s="122"/>
      <c r="FY294" s="122"/>
      <c r="FZ294" s="122"/>
      <c r="GA294" s="122"/>
      <c r="GB294" s="122"/>
      <c r="GC294" s="122"/>
      <c r="GD294" s="122"/>
      <c r="GE294" s="122"/>
      <c r="GF294" s="122"/>
      <c r="GG294" s="122"/>
      <c r="GH294" s="122"/>
      <c r="GI294" s="122"/>
      <c r="GJ294" s="122"/>
      <c r="GK294" s="122"/>
      <c r="GL294" s="122"/>
      <c r="GM294" s="122"/>
      <c r="GN294" s="122"/>
      <c r="GO294" s="122"/>
      <c r="GP294" s="122"/>
      <c r="GQ294" s="122"/>
      <c r="GR294" s="122"/>
      <c r="GS294" s="122"/>
      <c r="GT294" s="122"/>
      <c r="GU294" s="122"/>
      <c r="GV294" s="122"/>
      <c r="GW294" s="122"/>
      <c r="GX294" s="122"/>
      <c r="GY294" s="122"/>
      <c r="GZ294" s="122"/>
      <c r="HA294" s="122"/>
      <c r="HB294" s="122"/>
      <c r="HC294" s="122"/>
      <c r="HD294" s="122"/>
      <c r="HE294" s="122"/>
      <c r="HF294" s="122"/>
      <c r="HG294" s="122"/>
      <c r="HH294" s="122"/>
      <c r="HI294" s="122"/>
      <c r="HJ294" s="122"/>
      <c r="HK294" s="122"/>
      <c r="HL294" s="122"/>
      <c r="HM294" s="122"/>
      <c r="HN294" s="122"/>
      <c r="HO294" s="122"/>
      <c r="HP294" s="122"/>
      <c r="HQ294" s="122"/>
      <c r="HR294" s="122"/>
      <c r="HS294" s="122"/>
      <c r="HT294" s="122"/>
      <c r="HU294" s="122"/>
      <c r="HV294" s="122"/>
      <c r="HW294" s="122"/>
      <c r="HX294" s="122"/>
      <c r="HY294" s="122"/>
      <c r="HZ294" s="122"/>
      <c r="IA294" s="122"/>
      <c r="IB294" s="122"/>
      <c r="IC294" s="122"/>
      <c r="ID294" s="122"/>
      <c r="IE294" s="122"/>
      <c r="IF294" s="122"/>
      <c r="IG294" s="122"/>
      <c r="IH294" s="122"/>
      <c r="II294" s="122"/>
      <c r="IJ294" s="122"/>
      <c r="IK294" s="122"/>
      <c r="IL294" s="122"/>
      <c r="IM294" s="122"/>
      <c r="IN294" s="122"/>
      <c r="IO294" s="122"/>
      <c r="IP294" s="122"/>
      <c r="IQ294" s="122"/>
      <c r="IR294" s="122"/>
      <c r="IS294" s="122"/>
      <c r="IT294" s="122"/>
      <c r="IU294" s="122"/>
      <c r="IV294" s="122"/>
      <c r="IW294" s="122"/>
      <c r="IX294" s="122"/>
      <c r="IY294" s="122"/>
      <c r="IZ294" s="122"/>
      <c r="JA294" s="122"/>
      <c r="JB294" s="122"/>
      <c r="JC294" s="122"/>
      <c r="JD294" s="122"/>
      <c r="JE294" s="122"/>
      <c r="JF294" s="122"/>
      <c r="JG294" s="122"/>
      <c r="JH294" s="122"/>
      <c r="JI294" s="119"/>
      <c r="JJ294" s="2"/>
      <c r="JK294" s="122"/>
      <c r="JL294" s="125"/>
      <c r="JM294" s="125"/>
      <c r="JN294" s="125"/>
      <c r="JO294" s="125"/>
      <c r="JP294" s="125"/>
    </row>
    <row r="295" spans="1:276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122"/>
      <c r="AQ295" s="122"/>
      <c r="AR295" s="122"/>
      <c r="AS295" s="122"/>
      <c r="AT295" s="122"/>
      <c r="AU295" s="122"/>
      <c r="AV295" s="122"/>
      <c r="AW295" s="122"/>
      <c r="AX295" s="122"/>
      <c r="AY295" s="122"/>
      <c r="AZ295" s="122"/>
      <c r="BA295" s="122"/>
      <c r="BB295" s="122"/>
      <c r="BC295" s="122"/>
      <c r="BD295" s="122"/>
      <c r="BE295" s="122"/>
      <c r="BF295" s="122"/>
      <c r="BG295" s="122"/>
      <c r="BH295" s="122"/>
      <c r="BI295" s="122"/>
      <c r="BJ295" s="122"/>
      <c r="BK295" s="122"/>
      <c r="BL295" s="122"/>
      <c r="BM295" s="122"/>
      <c r="BN295" s="122"/>
      <c r="BO295" s="122"/>
      <c r="BP295" s="122"/>
      <c r="BQ295" s="122"/>
      <c r="BR295" s="122"/>
      <c r="BS295" s="122"/>
      <c r="BT295" s="122"/>
      <c r="BU295" s="122"/>
      <c r="BV295" s="122"/>
      <c r="BW295" s="122"/>
      <c r="BX295" s="122"/>
      <c r="BY295" s="122"/>
      <c r="BZ295" s="122"/>
      <c r="CA295" s="122"/>
      <c r="CB295" s="122"/>
      <c r="CC295" s="122"/>
      <c r="CD295" s="122"/>
      <c r="CE295" s="122"/>
      <c r="CF295" s="122"/>
      <c r="CG295" s="122"/>
      <c r="CH295" s="122"/>
      <c r="CI295" s="122"/>
      <c r="CJ295" s="122"/>
      <c r="CK295" s="122"/>
      <c r="CL295" s="122"/>
      <c r="CM295" s="122"/>
      <c r="CN295" s="122"/>
      <c r="CO295" s="122"/>
      <c r="CP295" s="122"/>
      <c r="CQ295" s="122"/>
      <c r="CR295" s="122"/>
      <c r="CS295" s="122"/>
      <c r="CT295" s="122"/>
      <c r="CU295" s="122"/>
      <c r="CV295" s="122"/>
      <c r="CW295" s="122"/>
      <c r="CX295" s="122"/>
      <c r="CY295" s="122"/>
      <c r="CZ295" s="122"/>
      <c r="DA295" s="122"/>
      <c r="DB295" s="122"/>
      <c r="DC295" s="122"/>
      <c r="DD295" s="122"/>
      <c r="DE295" s="122"/>
      <c r="DF295" s="122"/>
      <c r="DG295" s="122"/>
      <c r="DH295" s="122"/>
      <c r="DI295" s="122"/>
      <c r="DJ295" s="122"/>
      <c r="DK295" s="122"/>
      <c r="DL295" s="122"/>
      <c r="DM295" s="122"/>
      <c r="DN295" s="122"/>
      <c r="DO295" s="122"/>
      <c r="DP295" s="122"/>
      <c r="DQ295" s="122"/>
      <c r="DR295" s="122"/>
      <c r="DS295" s="122"/>
      <c r="DT295" s="122"/>
      <c r="DU295" s="122"/>
      <c r="DV295" s="122"/>
      <c r="DW295" s="122"/>
      <c r="DX295" s="122"/>
      <c r="DY295" s="122"/>
      <c r="DZ295" s="122"/>
      <c r="EA295" s="122"/>
      <c r="EB295" s="122"/>
      <c r="EC295" s="122"/>
      <c r="ED295" s="122"/>
      <c r="EE295" s="122"/>
      <c r="EF295" s="122"/>
      <c r="EG295" s="122"/>
      <c r="EH295" s="122"/>
      <c r="EI295" s="122"/>
      <c r="EJ295" s="122"/>
      <c r="EK295" s="122"/>
      <c r="EL295" s="122"/>
      <c r="EM295" s="122"/>
      <c r="EN295" s="122"/>
      <c r="EO295" s="122"/>
      <c r="EP295" s="122"/>
      <c r="EQ295" s="122"/>
      <c r="ER295" s="122"/>
      <c r="ES295" s="122"/>
      <c r="ET295" s="122"/>
      <c r="EU295" s="122"/>
      <c r="EV295" s="122"/>
      <c r="EW295" s="122"/>
      <c r="EX295" s="122"/>
      <c r="EY295" s="122"/>
      <c r="EZ295" s="122"/>
      <c r="FA295" s="122"/>
      <c r="FB295" s="122"/>
      <c r="FC295" s="122"/>
      <c r="FD295" s="122"/>
      <c r="FE295" s="122"/>
      <c r="FF295" s="122"/>
      <c r="FG295" s="122"/>
      <c r="FH295" s="122"/>
      <c r="FI295" s="122"/>
      <c r="FJ295" s="122"/>
      <c r="FK295" s="122"/>
      <c r="FL295" s="122"/>
      <c r="FM295" s="122"/>
      <c r="FN295" s="122"/>
      <c r="FO295" s="122"/>
      <c r="FP295" s="122"/>
      <c r="FQ295" s="122"/>
      <c r="FR295" s="122"/>
      <c r="FS295" s="122"/>
      <c r="FT295" s="122"/>
      <c r="FU295" s="122"/>
      <c r="FV295" s="122"/>
      <c r="FW295" s="122"/>
      <c r="FX295" s="122"/>
      <c r="FY295" s="122"/>
      <c r="FZ295" s="122"/>
      <c r="GA295" s="122"/>
      <c r="GB295" s="122"/>
      <c r="GC295" s="122"/>
      <c r="GD295" s="122"/>
      <c r="GE295" s="122"/>
      <c r="GF295" s="122"/>
      <c r="GG295" s="122"/>
      <c r="GH295" s="122"/>
      <c r="GI295" s="122"/>
      <c r="GJ295" s="122"/>
      <c r="GK295" s="122"/>
      <c r="GL295" s="122"/>
      <c r="GM295" s="122"/>
      <c r="GN295" s="122"/>
      <c r="GO295" s="122"/>
      <c r="GP295" s="122"/>
      <c r="GQ295" s="122"/>
      <c r="GR295" s="122"/>
      <c r="GS295" s="122"/>
      <c r="GT295" s="122"/>
      <c r="GU295" s="122"/>
      <c r="GV295" s="122"/>
      <c r="GW295" s="122"/>
      <c r="GX295" s="122"/>
      <c r="GY295" s="122"/>
      <c r="GZ295" s="122"/>
      <c r="HA295" s="122"/>
      <c r="HB295" s="122"/>
      <c r="HC295" s="122"/>
      <c r="HD295" s="122"/>
      <c r="HE295" s="122"/>
      <c r="HF295" s="122"/>
      <c r="HG295" s="122"/>
      <c r="HH295" s="122"/>
      <c r="HI295" s="122"/>
      <c r="HJ295" s="122"/>
      <c r="HK295" s="122"/>
      <c r="HL295" s="122"/>
      <c r="HM295" s="122"/>
      <c r="HN295" s="122"/>
      <c r="HO295" s="122"/>
      <c r="HP295" s="122"/>
      <c r="HQ295" s="122"/>
      <c r="HR295" s="122"/>
      <c r="HS295" s="122"/>
      <c r="HT295" s="122"/>
      <c r="HU295" s="122"/>
      <c r="HV295" s="122"/>
      <c r="HW295" s="122"/>
      <c r="HX295" s="122"/>
      <c r="HY295" s="122"/>
      <c r="HZ295" s="122"/>
      <c r="IA295" s="122"/>
      <c r="IB295" s="122"/>
      <c r="IC295" s="122"/>
      <c r="ID295" s="122"/>
      <c r="IE295" s="122"/>
      <c r="IF295" s="122"/>
      <c r="IG295" s="122"/>
      <c r="IH295" s="122"/>
      <c r="II295" s="122"/>
      <c r="IJ295" s="122"/>
      <c r="IK295" s="122"/>
      <c r="IL295" s="122"/>
      <c r="IM295" s="122"/>
      <c r="IN295" s="122"/>
      <c r="IO295" s="122"/>
      <c r="IP295" s="122"/>
      <c r="IQ295" s="122"/>
      <c r="IR295" s="122"/>
      <c r="IS295" s="122"/>
      <c r="IT295" s="122"/>
      <c r="IU295" s="122"/>
      <c r="IV295" s="122"/>
      <c r="IW295" s="122"/>
      <c r="IX295" s="122"/>
      <c r="IY295" s="122"/>
      <c r="IZ295" s="122"/>
      <c r="JA295" s="122"/>
      <c r="JB295" s="122"/>
      <c r="JC295" s="122"/>
      <c r="JD295" s="122"/>
      <c r="JE295" s="122"/>
      <c r="JF295" s="122"/>
      <c r="JG295" s="122"/>
      <c r="JH295" s="122"/>
      <c r="JI295" s="119"/>
      <c r="JJ295" s="2"/>
      <c r="JK295" s="122"/>
      <c r="JL295" s="125"/>
      <c r="JM295" s="125"/>
      <c r="JN295" s="125"/>
      <c r="JO295" s="125"/>
      <c r="JP295" s="125"/>
    </row>
    <row r="296" spans="1:27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  <c r="AP296" s="122"/>
      <c r="AQ296" s="122"/>
      <c r="AR296" s="122"/>
      <c r="AS296" s="122"/>
      <c r="AT296" s="122"/>
      <c r="AU296" s="122"/>
      <c r="AV296" s="122"/>
      <c r="AW296" s="122"/>
      <c r="AX296" s="122"/>
      <c r="AY296" s="122"/>
      <c r="AZ296" s="122"/>
      <c r="BA296" s="122"/>
      <c r="BB296" s="122"/>
      <c r="BC296" s="122"/>
      <c r="BD296" s="122"/>
      <c r="BE296" s="122"/>
      <c r="BF296" s="122"/>
      <c r="BG296" s="122"/>
      <c r="BH296" s="122"/>
      <c r="BI296" s="122"/>
      <c r="BJ296" s="122"/>
      <c r="BK296" s="122"/>
      <c r="BL296" s="122"/>
      <c r="BM296" s="122"/>
      <c r="BN296" s="122"/>
      <c r="BO296" s="122"/>
      <c r="BP296" s="122"/>
      <c r="BQ296" s="122"/>
      <c r="BR296" s="122"/>
      <c r="BS296" s="122"/>
      <c r="BT296" s="122"/>
      <c r="BU296" s="122"/>
      <c r="BV296" s="122"/>
      <c r="BW296" s="122"/>
      <c r="BX296" s="122"/>
      <c r="BY296" s="122"/>
      <c r="BZ296" s="122"/>
      <c r="CA296" s="122"/>
      <c r="CB296" s="122"/>
      <c r="CC296" s="122"/>
      <c r="CD296" s="122"/>
      <c r="CE296" s="122"/>
      <c r="CF296" s="122"/>
      <c r="CG296" s="122"/>
      <c r="CH296" s="122"/>
      <c r="CI296" s="122"/>
      <c r="CJ296" s="122"/>
      <c r="CK296" s="122"/>
      <c r="CL296" s="122"/>
      <c r="CM296" s="122"/>
      <c r="CN296" s="122"/>
      <c r="CO296" s="122"/>
      <c r="CP296" s="122"/>
      <c r="CQ296" s="122"/>
      <c r="CR296" s="122"/>
      <c r="CS296" s="122"/>
      <c r="CT296" s="122"/>
      <c r="CU296" s="122"/>
      <c r="CV296" s="122"/>
      <c r="CW296" s="122"/>
      <c r="CX296" s="122"/>
      <c r="CY296" s="122"/>
      <c r="CZ296" s="122"/>
      <c r="DA296" s="122"/>
      <c r="DB296" s="122"/>
      <c r="DC296" s="122"/>
      <c r="DD296" s="122"/>
      <c r="DE296" s="122"/>
      <c r="DF296" s="122"/>
      <c r="DG296" s="122"/>
      <c r="DH296" s="122"/>
      <c r="DI296" s="122"/>
      <c r="DJ296" s="122"/>
      <c r="DK296" s="122"/>
      <c r="DL296" s="122"/>
      <c r="DM296" s="122"/>
      <c r="DN296" s="122"/>
      <c r="DO296" s="122"/>
      <c r="DP296" s="122"/>
      <c r="DQ296" s="122"/>
      <c r="DR296" s="122"/>
      <c r="DS296" s="122"/>
      <c r="DT296" s="122"/>
      <c r="DU296" s="122"/>
      <c r="DV296" s="122"/>
      <c r="DW296" s="122"/>
      <c r="DX296" s="122"/>
      <c r="DY296" s="122"/>
      <c r="DZ296" s="122"/>
      <c r="EA296" s="122"/>
      <c r="EB296" s="122"/>
      <c r="EC296" s="122"/>
      <c r="ED296" s="122"/>
      <c r="EE296" s="122"/>
      <c r="EF296" s="122"/>
      <c r="EG296" s="122"/>
      <c r="EH296" s="122"/>
      <c r="EI296" s="122"/>
      <c r="EJ296" s="122"/>
      <c r="EK296" s="122"/>
      <c r="EL296" s="122"/>
      <c r="EM296" s="122"/>
      <c r="EN296" s="122"/>
      <c r="EO296" s="122"/>
      <c r="EP296" s="122"/>
      <c r="EQ296" s="122"/>
      <c r="ER296" s="122"/>
      <c r="ES296" s="122"/>
      <c r="ET296" s="122"/>
      <c r="EU296" s="122"/>
      <c r="EV296" s="122"/>
      <c r="EW296" s="122"/>
      <c r="EX296" s="122"/>
      <c r="EY296" s="122"/>
      <c r="EZ296" s="122"/>
      <c r="FA296" s="122"/>
      <c r="FB296" s="122"/>
      <c r="FC296" s="122"/>
      <c r="FD296" s="122"/>
      <c r="FE296" s="122"/>
      <c r="FF296" s="122"/>
      <c r="FG296" s="122"/>
      <c r="FH296" s="122"/>
      <c r="FI296" s="122"/>
      <c r="FJ296" s="122"/>
      <c r="FK296" s="122"/>
      <c r="FL296" s="122"/>
      <c r="FM296" s="122"/>
      <c r="FN296" s="122"/>
      <c r="FO296" s="122"/>
      <c r="FP296" s="122"/>
      <c r="FQ296" s="122"/>
      <c r="FR296" s="122"/>
      <c r="FS296" s="122"/>
      <c r="FT296" s="122"/>
      <c r="FU296" s="122"/>
      <c r="FV296" s="122"/>
      <c r="FW296" s="122"/>
      <c r="FX296" s="122"/>
      <c r="FY296" s="122"/>
      <c r="FZ296" s="122"/>
      <c r="GA296" s="122"/>
      <c r="GB296" s="122"/>
      <c r="GC296" s="122"/>
      <c r="GD296" s="122"/>
      <c r="GE296" s="122"/>
      <c r="GF296" s="122"/>
      <c r="GG296" s="122"/>
      <c r="GH296" s="122"/>
      <c r="GI296" s="122"/>
      <c r="GJ296" s="122"/>
      <c r="GK296" s="122"/>
      <c r="GL296" s="122"/>
      <c r="GM296" s="122"/>
      <c r="GN296" s="122"/>
      <c r="GO296" s="122"/>
      <c r="GP296" s="122"/>
      <c r="GQ296" s="122"/>
      <c r="GR296" s="122"/>
      <c r="GS296" s="122"/>
      <c r="GT296" s="122"/>
      <c r="GU296" s="122"/>
      <c r="GV296" s="122"/>
      <c r="GW296" s="122"/>
      <c r="GX296" s="122"/>
      <c r="GY296" s="122"/>
      <c r="GZ296" s="122"/>
      <c r="HA296" s="122"/>
      <c r="HB296" s="122"/>
      <c r="HC296" s="122"/>
      <c r="HD296" s="122"/>
      <c r="HE296" s="122"/>
      <c r="HF296" s="122"/>
      <c r="HG296" s="122"/>
      <c r="HH296" s="122"/>
      <c r="HI296" s="122"/>
      <c r="HJ296" s="122"/>
      <c r="HK296" s="122"/>
      <c r="HL296" s="122"/>
      <c r="HM296" s="122"/>
      <c r="HN296" s="122"/>
      <c r="HO296" s="122"/>
      <c r="HP296" s="122"/>
      <c r="HQ296" s="122"/>
      <c r="HR296" s="122"/>
      <c r="HS296" s="122"/>
      <c r="HT296" s="122"/>
      <c r="HU296" s="122"/>
      <c r="HV296" s="122"/>
      <c r="HW296" s="122"/>
      <c r="HX296" s="122"/>
      <c r="HY296" s="122"/>
      <c r="HZ296" s="122"/>
      <c r="IA296" s="122"/>
      <c r="IB296" s="122"/>
      <c r="IC296" s="122"/>
      <c r="ID296" s="122"/>
      <c r="IE296" s="122"/>
      <c r="IF296" s="122"/>
      <c r="IG296" s="122"/>
      <c r="IH296" s="122"/>
      <c r="II296" s="122"/>
      <c r="IJ296" s="122"/>
      <c r="IK296" s="122"/>
      <c r="IL296" s="122"/>
      <c r="IM296" s="122"/>
      <c r="IN296" s="122"/>
      <c r="IO296" s="122"/>
      <c r="IP296" s="122"/>
      <c r="IQ296" s="122"/>
      <c r="IR296" s="122"/>
      <c r="IS296" s="122"/>
      <c r="IT296" s="122"/>
      <c r="IU296" s="122"/>
      <c r="IV296" s="122"/>
      <c r="IW296" s="122"/>
      <c r="IX296" s="122"/>
      <c r="IY296" s="122"/>
      <c r="IZ296" s="122"/>
      <c r="JA296" s="122"/>
      <c r="JB296" s="122"/>
      <c r="JC296" s="122"/>
      <c r="JD296" s="122"/>
      <c r="JE296" s="122"/>
      <c r="JF296" s="122"/>
      <c r="JG296" s="122"/>
      <c r="JH296" s="122"/>
      <c r="JI296" s="119"/>
      <c r="JJ296" s="2"/>
      <c r="JK296" s="122"/>
      <c r="JL296" s="125"/>
      <c r="JM296" s="125"/>
      <c r="JN296" s="125"/>
      <c r="JO296" s="125"/>
      <c r="JP296" s="125"/>
    </row>
    <row r="297" spans="1:276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122"/>
      <c r="AQ297" s="122"/>
      <c r="AR297" s="122"/>
      <c r="AS297" s="122"/>
      <c r="AT297" s="122"/>
      <c r="AU297" s="122"/>
      <c r="AV297" s="122"/>
      <c r="AW297" s="122"/>
      <c r="AX297" s="122"/>
      <c r="AY297" s="122"/>
      <c r="AZ297" s="122"/>
      <c r="BA297" s="122"/>
      <c r="BB297" s="122"/>
      <c r="BC297" s="122"/>
      <c r="BD297" s="122"/>
      <c r="BE297" s="122"/>
      <c r="BF297" s="122"/>
      <c r="BG297" s="122"/>
      <c r="BH297" s="122"/>
      <c r="BI297" s="122"/>
      <c r="BJ297" s="122"/>
      <c r="BK297" s="122"/>
      <c r="BL297" s="122"/>
      <c r="BM297" s="122"/>
      <c r="BN297" s="122"/>
      <c r="BO297" s="122"/>
      <c r="BP297" s="122"/>
      <c r="BQ297" s="122"/>
      <c r="BR297" s="122"/>
      <c r="BS297" s="122"/>
      <c r="BT297" s="122"/>
      <c r="BU297" s="122"/>
      <c r="BV297" s="122"/>
      <c r="BW297" s="122"/>
      <c r="BX297" s="122"/>
      <c r="BY297" s="122"/>
      <c r="BZ297" s="122"/>
      <c r="CA297" s="122"/>
      <c r="CB297" s="122"/>
      <c r="CC297" s="122"/>
      <c r="CD297" s="122"/>
      <c r="CE297" s="122"/>
      <c r="CF297" s="122"/>
      <c r="CG297" s="122"/>
      <c r="CH297" s="122"/>
      <c r="CI297" s="122"/>
      <c r="CJ297" s="122"/>
      <c r="CK297" s="122"/>
      <c r="CL297" s="122"/>
      <c r="CM297" s="122"/>
      <c r="CN297" s="122"/>
      <c r="CO297" s="122"/>
      <c r="CP297" s="122"/>
      <c r="CQ297" s="122"/>
      <c r="CR297" s="122"/>
      <c r="CS297" s="122"/>
      <c r="CT297" s="122"/>
      <c r="CU297" s="122"/>
      <c r="CV297" s="122"/>
      <c r="CW297" s="122"/>
      <c r="CX297" s="122"/>
      <c r="CY297" s="122"/>
      <c r="CZ297" s="122"/>
      <c r="DA297" s="122"/>
      <c r="DB297" s="122"/>
      <c r="DC297" s="122"/>
      <c r="DD297" s="122"/>
      <c r="DE297" s="122"/>
      <c r="DF297" s="122"/>
      <c r="DG297" s="122"/>
      <c r="DH297" s="122"/>
      <c r="DI297" s="122"/>
      <c r="DJ297" s="122"/>
      <c r="DK297" s="122"/>
      <c r="DL297" s="122"/>
      <c r="DM297" s="122"/>
      <c r="DN297" s="122"/>
      <c r="DO297" s="122"/>
      <c r="DP297" s="122"/>
      <c r="DQ297" s="122"/>
      <c r="DR297" s="122"/>
      <c r="DS297" s="122"/>
      <c r="DT297" s="122"/>
      <c r="DU297" s="122"/>
      <c r="DV297" s="122"/>
      <c r="DW297" s="122"/>
      <c r="DX297" s="122"/>
      <c r="DY297" s="122"/>
      <c r="DZ297" s="122"/>
      <c r="EA297" s="122"/>
      <c r="EB297" s="122"/>
      <c r="EC297" s="122"/>
      <c r="ED297" s="122"/>
      <c r="EE297" s="122"/>
      <c r="EF297" s="122"/>
      <c r="EG297" s="122"/>
      <c r="EH297" s="122"/>
      <c r="EI297" s="122"/>
      <c r="EJ297" s="122"/>
      <c r="EK297" s="122"/>
      <c r="EL297" s="122"/>
      <c r="EM297" s="122"/>
      <c r="EN297" s="122"/>
      <c r="EO297" s="122"/>
      <c r="EP297" s="122"/>
      <c r="EQ297" s="122"/>
      <c r="ER297" s="122"/>
      <c r="ES297" s="122"/>
      <c r="ET297" s="122"/>
      <c r="EU297" s="122"/>
      <c r="EV297" s="122"/>
      <c r="EW297" s="122"/>
      <c r="EX297" s="122"/>
      <c r="EY297" s="122"/>
      <c r="EZ297" s="122"/>
      <c r="FA297" s="122"/>
      <c r="FB297" s="122"/>
      <c r="FC297" s="122"/>
      <c r="FD297" s="122"/>
      <c r="FE297" s="122"/>
      <c r="FF297" s="122"/>
      <c r="FG297" s="122"/>
      <c r="FH297" s="122"/>
      <c r="FI297" s="122"/>
      <c r="FJ297" s="122"/>
      <c r="FK297" s="122"/>
      <c r="FL297" s="122"/>
      <c r="FM297" s="122"/>
      <c r="FN297" s="122"/>
      <c r="FO297" s="122"/>
      <c r="FP297" s="122"/>
      <c r="FQ297" s="122"/>
      <c r="FR297" s="122"/>
      <c r="FS297" s="122"/>
      <c r="FT297" s="122"/>
      <c r="FU297" s="122"/>
      <c r="FV297" s="122"/>
      <c r="FW297" s="122"/>
      <c r="FX297" s="122"/>
      <c r="FY297" s="122"/>
      <c r="FZ297" s="122"/>
      <c r="GA297" s="122"/>
      <c r="GB297" s="122"/>
      <c r="GC297" s="122"/>
      <c r="GD297" s="122"/>
      <c r="GE297" s="122"/>
      <c r="GF297" s="122"/>
      <c r="GG297" s="122"/>
      <c r="GH297" s="122"/>
      <c r="GI297" s="122"/>
      <c r="GJ297" s="122"/>
      <c r="GK297" s="122"/>
      <c r="GL297" s="122"/>
      <c r="GM297" s="122"/>
      <c r="GN297" s="122"/>
      <c r="GO297" s="122"/>
      <c r="GP297" s="122"/>
      <c r="GQ297" s="122"/>
      <c r="GR297" s="122"/>
      <c r="GS297" s="122"/>
      <c r="GT297" s="122"/>
      <c r="GU297" s="122"/>
      <c r="GV297" s="122"/>
      <c r="GW297" s="122"/>
      <c r="GX297" s="122"/>
      <c r="GY297" s="122"/>
      <c r="GZ297" s="122"/>
      <c r="HA297" s="122"/>
      <c r="HB297" s="122"/>
      <c r="HC297" s="122"/>
      <c r="HD297" s="122"/>
      <c r="HE297" s="122"/>
      <c r="HF297" s="122"/>
      <c r="HG297" s="122"/>
      <c r="HH297" s="122"/>
      <c r="HI297" s="122"/>
      <c r="HJ297" s="122"/>
      <c r="HK297" s="122"/>
      <c r="HL297" s="122"/>
      <c r="HM297" s="122"/>
      <c r="HN297" s="122"/>
      <c r="HO297" s="122"/>
      <c r="HP297" s="122"/>
      <c r="HQ297" s="122"/>
      <c r="HR297" s="122"/>
      <c r="HS297" s="122"/>
      <c r="HT297" s="122"/>
      <c r="HU297" s="122"/>
      <c r="HV297" s="122"/>
      <c r="HW297" s="122"/>
      <c r="HX297" s="122"/>
      <c r="HY297" s="122"/>
      <c r="HZ297" s="122"/>
      <c r="IA297" s="122"/>
      <c r="IB297" s="122"/>
      <c r="IC297" s="122"/>
      <c r="ID297" s="122"/>
      <c r="IE297" s="122"/>
      <c r="IF297" s="122"/>
      <c r="IG297" s="122"/>
      <c r="IH297" s="122"/>
      <c r="II297" s="122"/>
      <c r="IJ297" s="122"/>
      <c r="IK297" s="122"/>
      <c r="IL297" s="122"/>
      <c r="IM297" s="122"/>
      <c r="IN297" s="122"/>
      <c r="IO297" s="122"/>
      <c r="IP297" s="122"/>
      <c r="IQ297" s="122"/>
      <c r="IR297" s="122"/>
      <c r="IS297" s="122"/>
      <c r="IT297" s="122"/>
      <c r="IU297" s="122"/>
      <c r="IV297" s="122"/>
      <c r="IW297" s="122"/>
      <c r="IX297" s="122"/>
      <c r="IY297" s="122"/>
      <c r="IZ297" s="122"/>
      <c r="JA297" s="122"/>
      <c r="JB297" s="122"/>
      <c r="JC297" s="122"/>
      <c r="JD297" s="122"/>
      <c r="JE297" s="122"/>
      <c r="JF297" s="122"/>
      <c r="JG297" s="122"/>
      <c r="JH297" s="122"/>
      <c r="JI297" s="119"/>
      <c r="JJ297" s="2"/>
      <c r="JK297" s="122"/>
      <c r="JL297" s="125"/>
      <c r="JM297" s="125"/>
      <c r="JN297" s="125"/>
      <c r="JO297" s="125"/>
      <c r="JP297" s="125"/>
    </row>
    <row r="298" spans="1:276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  <c r="AO298" s="122"/>
      <c r="AP298" s="122"/>
      <c r="AQ298" s="122"/>
      <c r="AR298" s="122"/>
      <c r="AS298" s="122"/>
      <c r="AT298" s="122"/>
      <c r="AU298" s="122"/>
      <c r="AV298" s="122"/>
      <c r="AW298" s="122"/>
      <c r="AX298" s="122"/>
      <c r="AY298" s="122"/>
      <c r="AZ298" s="122"/>
      <c r="BA298" s="122"/>
      <c r="BB298" s="122"/>
      <c r="BC298" s="122"/>
      <c r="BD298" s="122"/>
      <c r="BE298" s="122"/>
      <c r="BF298" s="122"/>
      <c r="BG298" s="122"/>
      <c r="BH298" s="122"/>
      <c r="BI298" s="122"/>
      <c r="BJ298" s="122"/>
      <c r="BK298" s="122"/>
      <c r="BL298" s="122"/>
      <c r="BM298" s="122"/>
      <c r="BN298" s="122"/>
      <c r="BO298" s="122"/>
      <c r="BP298" s="122"/>
      <c r="BQ298" s="122"/>
      <c r="BR298" s="122"/>
      <c r="BS298" s="122"/>
      <c r="BT298" s="122"/>
      <c r="BU298" s="122"/>
      <c r="BV298" s="122"/>
      <c r="BW298" s="122"/>
      <c r="BX298" s="122"/>
      <c r="BY298" s="122"/>
      <c r="BZ298" s="122"/>
      <c r="CA298" s="122"/>
      <c r="CB298" s="122"/>
      <c r="CC298" s="122"/>
      <c r="CD298" s="122"/>
      <c r="CE298" s="122"/>
      <c r="CF298" s="122"/>
      <c r="CG298" s="122"/>
      <c r="CH298" s="122"/>
      <c r="CI298" s="122"/>
      <c r="CJ298" s="122"/>
      <c r="CK298" s="122"/>
      <c r="CL298" s="122"/>
      <c r="CM298" s="122"/>
      <c r="CN298" s="122"/>
      <c r="CO298" s="122"/>
      <c r="CP298" s="122"/>
      <c r="CQ298" s="122"/>
      <c r="CR298" s="122"/>
      <c r="CS298" s="122"/>
      <c r="CT298" s="122"/>
      <c r="CU298" s="122"/>
      <c r="CV298" s="122"/>
      <c r="CW298" s="122"/>
      <c r="CX298" s="122"/>
      <c r="CY298" s="122"/>
      <c r="CZ298" s="122"/>
      <c r="DA298" s="122"/>
      <c r="DB298" s="122"/>
      <c r="DC298" s="122"/>
      <c r="DD298" s="122"/>
      <c r="DE298" s="122"/>
      <c r="DF298" s="122"/>
      <c r="DG298" s="122"/>
      <c r="DH298" s="122"/>
      <c r="DI298" s="122"/>
      <c r="DJ298" s="122"/>
      <c r="DK298" s="122"/>
      <c r="DL298" s="122"/>
      <c r="DM298" s="122"/>
      <c r="DN298" s="122"/>
      <c r="DO298" s="122"/>
      <c r="DP298" s="122"/>
      <c r="DQ298" s="122"/>
      <c r="DR298" s="122"/>
      <c r="DS298" s="122"/>
      <c r="DT298" s="122"/>
      <c r="DU298" s="122"/>
      <c r="DV298" s="122"/>
      <c r="DW298" s="122"/>
      <c r="DX298" s="122"/>
      <c r="DY298" s="122"/>
      <c r="DZ298" s="122"/>
      <c r="EA298" s="122"/>
      <c r="EB298" s="122"/>
      <c r="EC298" s="122"/>
      <c r="ED298" s="122"/>
      <c r="EE298" s="122"/>
      <c r="EF298" s="122"/>
      <c r="EG298" s="122"/>
      <c r="EH298" s="122"/>
      <c r="EI298" s="122"/>
      <c r="EJ298" s="122"/>
      <c r="EK298" s="122"/>
      <c r="EL298" s="122"/>
      <c r="EM298" s="122"/>
      <c r="EN298" s="122"/>
      <c r="EO298" s="122"/>
      <c r="EP298" s="122"/>
      <c r="EQ298" s="122"/>
      <c r="ER298" s="122"/>
      <c r="ES298" s="122"/>
      <c r="ET298" s="122"/>
      <c r="EU298" s="122"/>
      <c r="EV298" s="122"/>
      <c r="EW298" s="122"/>
      <c r="EX298" s="122"/>
      <c r="EY298" s="122"/>
      <c r="EZ298" s="122"/>
      <c r="FA298" s="122"/>
      <c r="FB298" s="122"/>
      <c r="FC298" s="122"/>
      <c r="FD298" s="122"/>
      <c r="FE298" s="122"/>
      <c r="FF298" s="122"/>
      <c r="FG298" s="122"/>
      <c r="FH298" s="122"/>
      <c r="FI298" s="122"/>
      <c r="FJ298" s="122"/>
      <c r="FK298" s="122"/>
      <c r="FL298" s="122"/>
      <c r="FM298" s="122"/>
      <c r="FN298" s="122"/>
      <c r="FO298" s="122"/>
      <c r="FP298" s="122"/>
      <c r="FQ298" s="122"/>
      <c r="FR298" s="122"/>
      <c r="FS298" s="122"/>
      <c r="FT298" s="122"/>
      <c r="FU298" s="122"/>
      <c r="FV298" s="122"/>
      <c r="FW298" s="122"/>
      <c r="FX298" s="122"/>
      <c r="FY298" s="122"/>
      <c r="FZ298" s="122"/>
      <c r="GA298" s="122"/>
      <c r="GB298" s="122"/>
      <c r="GC298" s="122"/>
      <c r="GD298" s="122"/>
      <c r="GE298" s="122"/>
      <c r="GF298" s="122"/>
      <c r="GG298" s="122"/>
      <c r="GH298" s="122"/>
      <c r="GI298" s="122"/>
      <c r="GJ298" s="122"/>
      <c r="GK298" s="122"/>
      <c r="GL298" s="122"/>
      <c r="GM298" s="122"/>
      <c r="GN298" s="122"/>
      <c r="GO298" s="122"/>
      <c r="GP298" s="122"/>
      <c r="GQ298" s="122"/>
      <c r="GR298" s="122"/>
      <c r="GS298" s="122"/>
      <c r="GT298" s="122"/>
      <c r="GU298" s="122"/>
      <c r="GV298" s="122"/>
      <c r="GW298" s="122"/>
      <c r="GX298" s="122"/>
      <c r="GY298" s="122"/>
      <c r="GZ298" s="122"/>
      <c r="HA298" s="122"/>
      <c r="HB298" s="122"/>
      <c r="HC298" s="122"/>
      <c r="HD298" s="122"/>
      <c r="HE298" s="122"/>
      <c r="HF298" s="122"/>
      <c r="HG298" s="122"/>
      <c r="HH298" s="122"/>
      <c r="HI298" s="122"/>
      <c r="HJ298" s="122"/>
      <c r="HK298" s="122"/>
      <c r="HL298" s="122"/>
      <c r="HM298" s="122"/>
      <c r="HN298" s="122"/>
      <c r="HO298" s="122"/>
      <c r="HP298" s="122"/>
      <c r="HQ298" s="122"/>
      <c r="HR298" s="122"/>
      <c r="HS298" s="122"/>
      <c r="HT298" s="122"/>
      <c r="HU298" s="122"/>
      <c r="HV298" s="122"/>
      <c r="HW298" s="122"/>
      <c r="HX298" s="122"/>
      <c r="HY298" s="122"/>
      <c r="HZ298" s="122"/>
      <c r="IA298" s="122"/>
      <c r="IB298" s="122"/>
      <c r="IC298" s="122"/>
      <c r="ID298" s="122"/>
      <c r="IE298" s="122"/>
      <c r="IF298" s="122"/>
      <c r="IG298" s="122"/>
      <c r="IH298" s="122"/>
      <c r="II298" s="122"/>
      <c r="IJ298" s="122"/>
      <c r="IK298" s="122"/>
      <c r="IL298" s="122"/>
      <c r="IM298" s="122"/>
      <c r="IN298" s="122"/>
      <c r="IO298" s="122"/>
      <c r="IP298" s="122"/>
      <c r="IQ298" s="122"/>
      <c r="IR298" s="122"/>
      <c r="IS298" s="122"/>
      <c r="IT298" s="122"/>
      <c r="IU298" s="122"/>
      <c r="IV298" s="122"/>
      <c r="IW298" s="122"/>
      <c r="IX298" s="122"/>
      <c r="IY298" s="122"/>
      <c r="IZ298" s="122"/>
      <c r="JA298" s="122"/>
      <c r="JB298" s="122"/>
      <c r="JC298" s="122"/>
      <c r="JD298" s="122"/>
      <c r="JE298" s="122"/>
      <c r="JF298" s="122"/>
      <c r="JG298" s="122"/>
      <c r="JH298" s="122"/>
      <c r="JI298" s="119"/>
      <c r="JJ298" s="2"/>
      <c r="JK298" s="122"/>
      <c r="JL298" s="125"/>
      <c r="JM298" s="125"/>
      <c r="JN298" s="125"/>
      <c r="JO298" s="125"/>
      <c r="JP298" s="125"/>
    </row>
    <row r="299" spans="1:276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  <c r="AP299" s="122"/>
      <c r="AQ299" s="122"/>
      <c r="AR299" s="122"/>
      <c r="AS299" s="122"/>
      <c r="AT299" s="122"/>
      <c r="AU299" s="122"/>
      <c r="AV299" s="122"/>
      <c r="AW299" s="122"/>
      <c r="AX299" s="122"/>
      <c r="AY299" s="122"/>
      <c r="AZ299" s="122"/>
      <c r="BA299" s="122"/>
      <c r="BB299" s="122"/>
      <c r="BC299" s="122"/>
      <c r="BD299" s="122"/>
      <c r="BE299" s="122"/>
      <c r="BF299" s="122"/>
      <c r="BG299" s="122"/>
      <c r="BH299" s="122"/>
      <c r="BI299" s="122"/>
      <c r="BJ299" s="122"/>
      <c r="BK299" s="122"/>
      <c r="BL299" s="122"/>
      <c r="BM299" s="122"/>
      <c r="BN299" s="122"/>
      <c r="BO299" s="122"/>
      <c r="BP299" s="122"/>
      <c r="BQ299" s="122"/>
      <c r="BR299" s="122"/>
      <c r="BS299" s="122"/>
      <c r="BT299" s="122"/>
      <c r="BU299" s="122"/>
      <c r="BV299" s="122"/>
      <c r="BW299" s="122"/>
      <c r="BX299" s="122"/>
      <c r="BY299" s="122"/>
      <c r="BZ299" s="122"/>
      <c r="CA299" s="122"/>
      <c r="CB299" s="122"/>
      <c r="CC299" s="122"/>
      <c r="CD299" s="122"/>
      <c r="CE299" s="122"/>
      <c r="CF299" s="122"/>
      <c r="CG299" s="122"/>
      <c r="CH299" s="122"/>
      <c r="CI299" s="122"/>
      <c r="CJ299" s="122"/>
      <c r="CK299" s="122"/>
      <c r="CL299" s="122"/>
      <c r="CM299" s="122"/>
      <c r="CN299" s="122"/>
      <c r="CO299" s="122"/>
      <c r="CP299" s="122"/>
      <c r="CQ299" s="122"/>
      <c r="CR299" s="122"/>
      <c r="CS299" s="122"/>
      <c r="CT299" s="122"/>
      <c r="CU299" s="122"/>
      <c r="CV299" s="122"/>
      <c r="CW299" s="122"/>
      <c r="CX299" s="122"/>
      <c r="CY299" s="122"/>
      <c r="CZ299" s="122"/>
      <c r="DA299" s="122"/>
      <c r="DB299" s="122"/>
      <c r="DC299" s="122"/>
      <c r="DD299" s="122"/>
      <c r="DE299" s="122"/>
      <c r="DF299" s="122"/>
      <c r="DG299" s="122"/>
      <c r="DH299" s="122"/>
      <c r="DI299" s="122"/>
      <c r="DJ299" s="122"/>
      <c r="DK299" s="122"/>
      <c r="DL299" s="122"/>
      <c r="DM299" s="122"/>
      <c r="DN299" s="122"/>
      <c r="DO299" s="122"/>
      <c r="DP299" s="122"/>
      <c r="DQ299" s="122"/>
      <c r="DR299" s="122"/>
      <c r="DS299" s="122"/>
      <c r="DT299" s="122"/>
      <c r="DU299" s="122"/>
      <c r="DV299" s="122"/>
      <c r="DW299" s="122"/>
      <c r="DX299" s="122"/>
      <c r="DY299" s="122"/>
      <c r="DZ299" s="122"/>
      <c r="EA299" s="122"/>
      <c r="EB299" s="122"/>
      <c r="EC299" s="122"/>
      <c r="ED299" s="122"/>
      <c r="EE299" s="122"/>
      <c r="EF299" s="122"/>
      <c r="EG299" s="122"/>
      <c r="EH299" s="122"/>
      <c r="EI299" s="122"/>
      <c r="EJ299" s="122"/>
      <c r="EK299" s="122"/>
      <c r="EL299" s="122"/>
      <c r="EM299" s="122"/>
      <c r="EN299" s="122"/>
      <c r="EO299" s="122"/>
      <c r="EP299" s="122"/>
      <c r="EQ299" s="122"/>
      <c r="ER299" s="122"/>
      <c r="ES299" s="122"/>
      <c r="ET299" s="122"/>
      <c r="EU299" s="122"/>
      <c r="EV299" s="122"/>
      <c r="EW299" s="122"/>
      <c r="EX299" s="122"/>
      <c r="EY299" s="122"/>
      <c r="EZ299" s="122"/>
      <c r="FA299" s="122"/>
      <c r="FB299" s="122"/>
      <c r="FC299" s="122"/>
      <c r="FD299" s="122"/>
      <c r="FE299" s="122"/>
      <c r="FF299" s="122"/>
      <c r="FG299" s="122"/>
      <c r="FH299" s="122"/>
      <c r="FI299" s="122"/>
      <c r="FJ299" s="122"/>
      <c r="FK299" s="122"/>
      <c r="FL299" s="122"/>
      <c r="FM299" s="122"/>
      <c r="FN299" s="122"/>
      <c r="FO299" s="122"/>
      <c r="FP299" s="122"/>
      <c r="FQ299" s="122"/>
      <c r="FR299" s="122"/>
      <c r="FS299" s="122"/>
      <c r="FT299" s="122"/>
      <c r="FU299" s="122"/>
      <c r="FV299" s="122"/>
      <c r="FW299" s="122"/>
      <c r="FX299" s="122"/>
      <c r="FY299" s="122"/>
      <c r="FZ299" s="122"/>
      <c r="GA299" s="122"/>
      <c r="GB299" s="122"/>
      <c r="GC299" s="122"/>
      <c r="GD299" s="122"/>
      <c r="GE299" s="122"/>
      <c r="GF299" s="122"/>
      <c r="GG299" s="122"/>
      <c r="GH299" s="122"/>
      <c r="GI299" s="122"/>
      <c r="GJ299" s="122"/>
      <c r="GK299" s="122"/>
      <c r="GL299" s="122"/>
      <c r="GM299" s="122"/>
      <c r="GN299" s="122"/>
      <c r="GO299" s="122"/>
      <c r="GP299" s="122"/>
      <c r="GQ299" s="122"/>
      <c r="GR299" s="122"/>
      <c r="GS299" s="122"/>
      <c r="GT299" s="122"/>
      <c r="GU299" s="122"/>
      <c r="GV299" s="122"/>
      <c r="GW299" s="122"/>
      <c r="GX299" s="122"/>
      <c r="GY299" s="122"/>
      <c r="GZ299" s="122"/>
      <c r="HA299" s="122"/>
      <c r="HB299" s="122"/>
      <c r="HC299" s="122"/>
      <c r="HD299" s="122"/>
      <c r="HE299" s="122"/>
      <c r="HF299" s="122"/>
      <c r="HG299" s="122"/>
      <c r="HH299" s="122"/>
      <c r="HI299" s="122"/>
      <c r="HJ299" s="122"/>
      <c r="HK299" s="122"/>
      <c r="HL299" s="122"/>
      <c r="HM299" s="122"/>
      <c r="HN299" s="122"/>
      <c r="HO299" s="122"/>
      <c r="HP299" s="122"/>
      <c r="HQ299" s="122"/>
      <c r="HR299" s="122"/>
      <c r="HS299" s="122"/>
      <c r="HT299" s="122"/>
      <c r="HU299" s="122"/>
      <c r="HV299" s="122"/>
      <c r="HW299" s="122"/>
      <c r="HX299" s="122"/>
      <c r="HY299" s="122"/>
      <c r="HZ299" s="122"/>
      <c r="IA299" s="122"/>
      <c r="IB299" s="122"/>
      <c r="IC299" s="122"/>
      <c r="ID299" s="122"/>
      <c r="IE299" s="122"/>
      <c r="IF299" s="122"/>
      <c r="IG299" s="122"/>
      <c r="IH299" s="122"/>
      <c r="II299" s="122"/>
      <c r="IJ299" s="122"/>
      <c r="IK299" s="122"/>
      <c r="IL299" s="122"/>
      <c r="IM299" s="122"/>
      <c r="IN299" s="122"/>
      <c r="IO299" s="122"/>
      <c r="IP299" s="122"/>
      <c r="IQ299" s="122"/>
      <c r="IR299" s="122"/>
      <c r="IS299" s="122"/>
      <c r="IT299" s="122"/>
      <c r="IU299" s="122"/>
      <c r="IV299" s="122"/>
      <c r="IW299" s="122"/>
      <c r="IX299" s="122"/>
      <c r="IY299" s="122"/>
      <c r="IZ299" s="122"/>
      <c r="JA299" s="122"/>
      <c r="JB299" s="122"/>
      <c r="JC299" s="122"/>
      <c r="JD299" s="122"/>
      <c r="JE299" s="122"/>
      <c r="JF299" s="122"/>
      <c r="JG299" s="122"/>
      <c r="JH299" s="122"/>
      <c r="JI299" s="119"/>
      <c r="JJ299" s="2"/>
      <c r="JK299" s="122"/>
      <c r="JL299" s="125"/>
      <c r="JM299" s="125"/>
      <c r="JN299" s="125"/>
      <c r="JO299" s="125"/>
      <c r="JP299" s="125"/>
    </row>
    <row r="300" spans="1:276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  <c r="AO300" s="122"/>
      <c r="AP300" s="122"/>
      <c r="AQ300" s="122"/>
      <c r="AR300" s="122"/>
      <c r="AS300" s="122"/>
      <c r="AT300" s="122"/>
      <c r="AU300" s="122"/>
      <c r="AV300" s="122"/>
      <c r="AW300" s="122"/>
      <c r="AX300" s="122"/>
      <c r="AY300" s="122"/>
      <c r="AZ300" s="122"/>
      <c r="BA300" s="122"/>
      <c r="BB300" s="122"/>
      <c r="BC300" s="122"/>
      <c r="BD300" s="122"/>
      <c r="BE300" s="122"/>
      <c r="BF300" s="122"/>
      <c r="BG300" s="122"/>
      <c r="BH300" s="122"/>
      <c r="BI300" s="122"/>
      <c r="BJ300" s="122"/>
      <c r="BK300" s="122"/>
      <c r="BL300" s="122"/>
      <c r="BM300" s="122"/>
      <c r="BN300" s="122"/>
      <c r="BO300" s="122"/>
      <c r="BP300" s="122"/>
      <c r="BQ300" s="122"/>
      <c r="BR300" s="122"/>
      <c r="BS300" s="122"/>
      <c r="BT300" s="122"/>
      <c r="BU300" s="122"/>
      <c r="BV300" s="122"/>
      <c r="BW300" s="122"/>
      <c r="BX300" s="122"/>
      <c r="BY300" s="122"/>
      <c r="BZ300" s="122"/>
      <c r="CA300" s="122"/>
      <c r="CB300" s="122"/>
      <c r="CC300" s="122"/>
      <c r="CD300" s="122"/>
      <c r="CE300" s="122"/>
      <c r="CF300" s="122"/>
      <c r="CG300" s="122"/>
      <c r="CH300" s="122"/>
      <c r="CI300" s="122"/>
      <c r="CJ300" s="122"/>
      <c r="CK300" s="122"/>
      <c r="CL300" s="122"/>
      <c r="CM300" s="122"/>
      <c r="CN300" s="122"/>
      <c r="CO300" s="122"/>
      <c r="CP300" s="122"/>
      <c r="CQ300" s="122"/>
      <c r="CR300" s="122"/>
      <c r="CS300" s="122"/>
      <c r="CT300" s="122"/>
      <c r="CU300" s="122"/>
      <c r="CV300" s="122"/>
      <c r="CW300" s="122"/>
      <c r="CX300" s="122"/>
      <c r="CY300" s="122"/>
      <c r="CZ300" s="122"/>
      <c r="DA300" s="122"/>
      <c r="DB300" s="122"/>
      <c r="DC300" s="122"/>
      <c r="DD300" s="122"/>
      <c r="DE300" s="122"/>
      <c r="DF300" s="122"/>
      <c r="DG300" s="122"/>
      <c r="DH300" s="122"/>
      <c r="DI300" s="122"/>
      <c r="DJ300" s="122"/>
      <c r="DK300" s="122"/>
      <c r="DL300" s="122"/>
      <c r="DM300" s="122"/>
      <c r="DN300" s="122"/>
      <c r="DO300" s="122"/>
      <c r="DP300" s="122"/>
      <c r="DQ300" s="122"/>
      <c r="DR300" s="122"/>
      <c r="DS300" s="122"/>
      <c r="DT300" s="122"/>
      <c r="DU300" s="122"/>
      <c r="DV300" s="122"/>
      <c r="DW300" s="122"/>
      <c r="DX300" s="122"/>
      <c r="DY300" s="122"/>
      <c r="DZ300" s="122"/>
      <c r="EA300" s="122"/>
      <c r="EB300" s="122"/>
      <c r="EC300" s="122"/>
      <c r="ED300" s="122"/>
      <c r="EE300" s="122"/>
      <c r="EF300" s="122"/>
      <c r="EG300" s="122"/>
      <c r="EH300" s="122"/>
      <c r="EI300" s="122"/>
      <c r="EJ300" s="122"/>
      <c r="EK300" s="122"/>
      <c r="EL300" s="122"/>
      <c r="EM300" s="122"/>
      <c r="EN300" s="122"/>
      <c r="EO300" s="122"/>
      <c r="EP300" s="122"/>
      <c r="EQ300" s="122"/>
      <c r="ER300" s="122"/>
      <c r="ES300" s="122"/>
      <c r="ET300" s="122"/>
      <c r="EU300" s="122"/>
      <c r="EV300" s="122"/>
      <c r="EW300" s="122"/>
      <c r="EX300" s="122"/>
      <c r="EY300" s="122"/>
      <c r="EZ300" s="122"/>
      <c r="FA300" s="122"/>
      <c r="FB300" s="122"/>
      <c r="FC300" s="122"/>
      <c r="FD300" s="122"/>
      <c r="FE300" s="122"/>
      <c r="FF300" s="122"/>
      <c r="FG300" s="122"/>
      <c r="FH300" s="122"/>
      <c r="FI300" s="122"/>
      <c r="FJ300" s="122"/>
      <c r="FK300" s="122"/>
      <c r="FL300" s="122"/>
      <c r="FM300" s="122"/>
      <c r="FN300" s="122"/>
      <c r="FO300" s="122"/>
      <c r="FP300" s="122"/>
      <c r="FQ300" s="122"/>
      <c r="FR300" s="122"/>
      <c r="FS300" s="122"/>
      <c r="FT300" s="122"/>
      <c r="FU300" s="122"/>
      <c r="FV300" s="122"/>
      <c r="FW300" s="122"/>
      <c r="FX300" s="122"/>
      <c r="FY300" s="122"/>
      <c r="FZ300" s="122"/>
      <c r="GA300" s="122"/>
      <c r="GB300" s="122"/>
      <c r="GC300" s="122"/>
      <c r="GD300" s="122"/>
      <c r="GE300" s="122"/>
      <c r="GF300" s="122"/>
      <c r="GG300" s="122"/>
      <c r="GH300" s="122"/>
      <c r="GI300" s="122"/>
      <c r="GJ300" s="122"/>
      <c r="GK300" s="122"/>
      <c r="GL300" s="122"/>
      <c r="GM300" s="122"/>
      <c r="GN300" s="122"/>
      <c r="GO300" s="122"/>
      <c r="GP300" s="122"/>
      <c r="GQ300" s="122"/>
      <c r="GR300" s="122"/>
      <c r="GS300" s="122"/>
      <c r="GT300" s="122"/>
      <c r="GU300" s="122"/>
      <c r="GV300" s="122"/>
      <c r="GW300" s="122"/>
      <c r="GX300" s="122"/>
      <c r="GY300" s="122"/>
      <c r="GZ300" s="122"/>
      <c r="HA300" s="122"/>
      <c r="HB300" s="122"/>
      <c r="HC300" s="122"/>
      <c r="HD300" s="122"/>
      <c r="HE300" s="122"/>
      <c r="HF300" s="122"/>
      <c r="HG300" s="122"/>
      <c r="HH300" s="122"/>
      <c r="HI300" s="122"/>
      <c r="HJ300" s="122"/>
      <c r="HK300" s="122"/>
      <c r="HL300" s="122"/>
      <c r="HM300" s="122"/>
      <c r="HN300" s="122"/>
      <c r="HO300" s="122"/>
      <c r="HP300" s="122"/>
      <c r="HQ300" s="122"/>
      <c r="HR300" s="122"/>
      <c r="HS300" s="122"/>
      <c r="HT300" s="122"/>
      <c r="HU300" s="122"/>
      <c r="HV300" s="122"/>
      <c r="HW300" s="122"/>
      <c r="HX300" s="122"/>
      <c r="HY300" s="122"/>
      <c r="HZ300" s="122"/>
      <c r="IA300" s="122"/>
      <c r="IB300" s="122"/>
      <c r="IC300" s="122"/>
      <c r="ID300" s="122"/>
      <c r="IE300" s="122"/>
      <c r="IF300" s="122"/>
      <c r="IG300" s="122"/>
      <c r="IH300" s="122"/>
      <c r="II300" s="122"/>
      <c r="IJ300" s="122"/>
      <c r="IK300" s="122"/>
      <c r="IL300" s="122"/>
      <c r="IM300" s="122"/>
      <c r="IN300" s="122"/>
      <c r="IO300" s="122"/>
      <c r="IP300" s="122"/>
      <c r="IQ300" s="122"/>
      <c r="IR300" s="122"/>
      <c r="IS300" s="122"/>
      <c r="IT300" s="122"/>
      <c r="IU300" s="122"/>
      <c r="IV300" s="122"/>
      <c r="IW300" s="122"/>
      <c r="IX300" s="122"/>
      <c r="IY300" s="122"/>
      <c r="IZ300" s="122"/>
      <c r="JA300" s="122"/>
      <c r="JB300" s="122"/>
      <c r="JC300" s="122"/>
      <c r="JD300" s="122"/>
      <c r="JE300" s="122"/>
      <c r="JF300" s="122"/>
      <c r="JG300" s="122"/>
      <c r="JH300" s="122"/>
      <c r="JI300" s="119"/>
      <c r="JJ300" s="2"/>
      <c r="JK300" s="122"/>
      <c r="JL300" s="125"/>
      <c r="JM300" s="125"/>
      <c r="JN300" s="125"/>
      <c r="JO300" s="125"/>
      <c r="JP300" s="125"/>
    </row>
    <row r="301" spans="1:276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  <c r="AP301" s="122"/>
      <c r="AQ301" s="122"/>
      <c r="AR301" s="122"/>
      <c r="AS301" s="122"/>
      <c r="AT301" s="122"/>
      <c r="AU301" s="122"/>
      <c r="AV301" s="122"/>
      <c r="AW301" s="122"/>
      <c r="AX301" s="122"/>
      <c r="AY301" s="122"/>
      <c r="AZ301" s="122"/>
      <c r="BA301" s="122"/>
      <c r="BB301" s="122"/>
      <c r="BC301" s="122"/>
      <c r="BD301" s="122"/>
      <c r="BE301" s="122"/>
      <c r="BF301" s="122"/>
      <c r="BG301" s="122"/>
      <c r="BH301" s="122"/>
      <c r="BI301" s="122"/>
      <c r="BJ301" s="122"/>
      <c r="BK301" s="122"/>
      <c r="BL301" s="122"/>
      <c r="BM301" s="122"/>
      <c r="BN301" s="122"/>
      <c r="BO301" s="122"/>
      <c r="BP301" s="122"/>
      <c r="BQ301" s="122"/>
      <c r="BR301" s="122"/>
      <c r="BS301" s="122"/>
      <c r="BT301" s="122"/>
      <c r="BU301" s="122"/>
      <c r="BV301" s="122"/>
      <c r="BW301" s="122"/>
      <c r="BX301" s="122"/>
      <c r="BY301" s="122"/>
      <c r="BZ301" s="122"/>
      <c r="CA301" s="122"/>
      <c r="CB301" s="122"/>
      <c r="CC301" s="122"/>
      <c r="CD301" s="122"/>
      <c r="CE301" s="122"/>
      <c r="CF301" s="122"/>
      <c r="CG301" s="122"/>
      <c r="CH301" s="122"/>
      <c r="CI301" s="122"/>
      <c r="CJ301" s="122"/>
      <c r="CK301" s="122"/>
      <c r="CL301" s="122"/>
      <c r="CM301" s="122"/>
      <c r="CN301" s="122"/>
      <c r="CO301" s="122"/>
      <c r="CP301" s="122"/>
      <c r="CQ301" s="122"/>
      <c r="CR301" s="122"/>
      <c r="CS301" s="122"/>
      <c r="CT301" s="122"/>
      <c r="CU301" s="122"/>
      <c r="CV301" s="122"/>
      <c r="CW301" s="122"/>
      <c r="CX301" s="122"/>
      <c r="CY301" s="122"/>
      <c r="CZ301" s="122"/>
      <c r="DA301" s="122"/>
      <c r="DB301" s="122"/>
      <c r="DC301" s="122"/>
      <c r="DD301" s="122"/>
      <c r="DE301" s="122"/>
      <c r="DF301" s="122"/>
      <c r="DG301" s="122"/>
      <c r="DH301" s="122"/>
      <c r="DI301" s="122"/>
      <c r="DJ301" s="122"/>
      <c r="DK301" s="122"/>
      <c r="DL301" s="122"/>
      <c r="DM301" s="122"/>
      <c r="DN301" s="122"/>
      <c r="DO301" s="122"/>
      <c r="DP301" s="122"/>
      <c r="DQ301" s="122"/>
      <c r="DR301" s="122"/>
      <c r="DS301" s="122"/>
      <c r="DT301" s="122"/>
      <c r="DU301" s="122"/>
      <c r="DV301" s="122"/>
      <c r="DW301" s="122"/>
      <c r="DX301" s="122"/>
      <c r="DY301" s="122"/>
      <c r="DZ301" s="122"/>
      <c r="EA301" s="122"/>
      <c r="EB301" s="122"/>
      <c r="EC301" s="122"/>
      <c r="ED301" s="122"/>
      <c r="EE301" s="122"/>
      <c r="EF301" s="122"/>
      <c r="EG301" s="122"/>
      <c r="EH301" s="122"/>
      <c r="EI301" s="122"/>
      <c r="EJ301" s="122"/>
      <c r="EK301" s="122"/>
      <c r="EL301" s="122"/>
      <c r="EM301" s="122"/>
      <c r="EN301" s="122"/>
      <c r="EO301" s="122"/>
      <c r="EP301" s="122"/>
      <c r="EQ301" s="122"/>
      <c r="ER301" s="122"/>
      <c r="ES301" s="122"/>
      <c r="ET301" s="122"/>
      <c r="EU301" s="122"/>
      <c r="EV301" s="122"/>
      <c r="EW301" s="122"/>
      <c r="EX301" s="122"/>
      <c r="EY301" s="122"/>
      <c r="EZ301" s="122"/>
      <c r="FA301" s="122"/>
      <c r="FB301" s="122"/>
      <c r="FC301" s="122"/>
      <c r="FD301" s="122"/>
      <c r="FE301" s="122"/>
      <c r="FF301" s="122"/>
      <c r="FG301" s="122"/>
      <c r="FH301" s="122"/>
      <c r="FI301" s="122"/>
      <c r="FJ301" s="122"/>
      <c r="FK301" s="122"/>
      <c r="FL301" s="122"/>
      <c r="FM301" s="122"/>
      <c r="FN301" s="122"/>
      <c r="FO301" s="122"/>
      <c r="FP301" s="122"/>
      <c r="FQ301" s="122"/>
      <c r="FR301" s="122"/>
      <c r="FS301" s="122"/>
      <c r="FT301" s="122"/>
      <c r="FU301" s="122"/>
      <c r="FV301" s="122"/>
      <c r="FW301" s="122"/>
      <c r="FX301" s="122"/>
      <c r="FY301" s="122"/>
      <c r="FZ301" s="122"/>
      <c r="GA301" s="122"/>
      <c r="GB301" s="122"/>
      <c r="GC301" s="122"/>
      <c r="GD301" s="122"/>
      <c r="GE301" s="122"/>
      <c r="GF301" s="122"/>
      <c r="GG301" s="122"/>
      <c r="GH301" s="122"/>
      <c r="GI301" s="122"/>
      <c r="GJ301" s="122"/>
      <c r="GK301" s="122"/>
      <c r="GL301" s="122"/>
      <c r="GM301" s="122"/>
      <c r="GN301" s="122"/>
      <c r="GO301" s="122"/>
      <c r="GP301" s="122"/>
      <c r="GQ301" s="122"/>
      <c r="GR301" s="122"/>
      <c r="GS301" s="122"/>
      <c r="GT301" s="122"/>
      <c r="GU301" s="122"/>
      <c r="GV301" s="122"/>
      <c r="GW301" s="122"/>
      <c r="GX301" s="122"/>
      <c r="GY301" s="122"/>
      <c r="GZ301" s="122"/>
      <c r="HA301" s="122"/>
      <c r="HB301" s="122"/>
      <c r="HC301" s="122"/>
      <c r="HD301" s="122"/>
      <c r="HE301" s="122"/>
      <c r="HF301" s="122"/>
      <c r="HG301" s="122"/>
      <c r="HH301" s="122"/>
      <c r="HI301" s="122"/>
      <c r="HJ301" s="122"/>
      <c r="HK301" s="122"/>
      <c r="HL301" s="122"/>
      <c r="HM301" s="122"/>
      <c r="HN301" s="122"/>
      <c r="HO301" s="122"/>
      <c r="HP301" s="122"/>
      <c r="HQ301" s="122"/>
      <c r="HR301" s="122"/>
      <c r="HS301" s="122"/>
      <c r="HT301" s="122"/>
      <c r="HU301" s="122"/>
      <c r="HV301" s="122"/>
      <c r="HW301" s="122"/>
      <c r="HX301" s="122"/>
      <c r="HY301" s="122"/>
      <c r="HZ301" s="122"/>
      <c r="IA301" s="122"/>
      <c r="IB301" s="122"/>
      <c r="IC301" s="122"/>
      <c r="ID301" s="122"/>
      <c r="IE301" s="122"/>
      <c r="IF301" s="122"/>
      <c r="IG301" s="122"/>
      <c r="IH301" s="122"/>
      <c r="II301" s="122"/>
      <c r="IJ301" s="122"/>
      <c r="IK301" s="122"/>
      <c r="IL301" s="122"/>
      <c r="IM301" s="122"/>
      <c r="IN301" s="122"/>
      <c r="IO301" s="122"/>
      <c r="IP301" s="122"/>
      <c r="IQ301" s="122"/>
      <c r="IR301" s="122"/>
      <c r="IS301" s="122"/>
      <c r="IT301" s="122"/>
      <c r="IU301" s="122"/>
      <c r="IV301" s="122"/>
      <c r="IW301" s="122"/>
      <c r="IX301" s="122"/>
      <c r="IY301" s="122"/>
      <c r="IZ301" s="122"/>
      <c r="JA301" s="122"/>
      <c r="JB301" s="122"/>
      <c r="JC301" s="122"/>
      <c r="JD301" s="122"/>
      <c r="JE301" s="122"/>
      <c r="JF301" s="122"/>
      <c r="JG301" s="122"/>
      <c r="JH301" s="122"/>
      <c r="JI301" s="119"/>
      <c r="JJ301" s="2"/>
      <c r="JK301" s="122"/>
      <c r="JL301" s="125"/>
      <c r="JM301" s="125"/>
      <c r="JN301" s="125"/>
      <c r="JO301" s="125"/>
      <c r="JP301" s="125"/>
    </row>
    <row r="302" spans="1:276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  <c r="AO302" s="122"/>
      <c r="AP302" s="122"/>
      <c r="AQ302" s="122"/>
      <c r="AR302" s="122"/>
      <c r="AS302" s="122"/>
      <c r="AT302" s="122"/>
      <c r="AU302" s="122"/>
      <c r="AV302" s="122"/>
      <c r="AW302" s="122"/>
      <c r="AX302" s="122"/>
      <c r="AY302" s="122"/>
      <c r="AZ302" s="122"/>
      <c r="BA302" s="122"/>
      <c r="BB302" s="122"/>
      <c r="BC302" s="122"/>
      <c r="BD302" s="122"/>
      <c r="BE302" s="122"/>
      <c r="BF302" s="122"/>
      <c r="BG302" s="122"/>
      <c r="BH302" s="122"/>
      <c r="BI302" s="122"/>
      <c r="BJ302" s="122"/>
      <c r="BK302" s="122"/>
      <c r="BL302" s="122"/>
      <c r="BM302" s="122"/>
      <c r="BN302" s="122"/>
      <c r="BO302" s="122"/>
      <c r="BP302" s="122"/>
      <c r="BQ302" s="122"/>
      <c r="BR302" s="122"/>
      <c r="BS302" s="122"/>
      <c r="BT302" s="122"/>
      <c r="BU302" s="122"/>
      <c r="BV302" s="122"/>
      <c r="BW302" s="122"/>
      <c r="BX302" s="122"/>
      <c r="BY302" s="122"/>
      <c r="BZ302" s="122"/>
      <c r="CA302" s="122"/>
      <c r="CB302" s="122"/>
      <c r="CC302" s="122"/>
      <c r="CD302" s="122"/>
      <c r="CE302" s="122"/>
      <c r="CF302" s="122"/>
      <c r="CG302" s="122"/>
      <c r="CH302" s="122"/>
      <c r="CI302" s="122"/>
      <c r="CJ302" s="122"/>
      <c r="CK302" s="122"/>
      <c r="CL302" s="122"/>
      <c r="CM302" s="122"/>
      <c r="CN302" s="122"/>
      <c r="CO302" s="122"/>
      <c r="CP302" s="122"/>
      <c r="CQ302" s="122"/>
      <c r="CR302" s="122"/>
      <c r="CS302" s="122"/>
      <c r="CT302" s="122"/>
      <c r="CU302" s="122"/>
      <c r="CV302" s="122"/>
      <c r="CW302" s="122"/>
      <c r="CX302" s="122"/>
      <c r="CY302" s="122"/>
      <c r="CZ302" s="122"/>
      <c r="DA302" s="122"/>
      <c r="DB302" s="122"/>
      <c r="DC302" s="122"/>
      <c r="DD302" s="122"/>
      <c r="DE302" s="122"/>
      <c r="DF302" s="122"/>
      <c r="DG302" s="122"/>
      <c r="DH302" s="122"/>
      <c r="DI302" s="122"/>
      <c r="DJ302" s="122"/>
      <c r="DK302" s="122"/>
      <c r="DL302" s="122"/>
      <c r="DM302" s="122"/>
      <c r="DN302" s="122"/>
      <c r="DO302" s="122"/>
      <c r="DP302" s="122"/>
      <c r="DQ302" s="122"/>
      <c r="DR302" s="122"/>
      <c r="DS302" s="122"/>
      <c r="DT302" s="122"/>
      <c r="DU302" s="122"/>
      <c r="DV302" s="122"/>
      <c r="DW302" s="122"/>
      <c r="DX302" s="122"/>
      <c r="DY302" s="122"/>
      <c r="DZ302" s="122"/>
      <c r="EA302" s="122"/>
      <c r="EB302" s="122"/>
      <c r="EC302" s="122"/>
      <c r="ED302" s="122"/>
      <c r="EE302" s="122"/>
      <c r="EF302" s="122"/>
      <c r="EG302" s="122"/>
      <c r="EH302" s="122"/>
      <c r="EI302" s="122"/>
      <c r="EJ302" s="122"/>
      <c r="EK302" s="122"/>
      <c r="EL302" s="122"/>
      <c r="EM302" s="122"/>
      <c r="EN302" s="122"/>
      <c r="EO302" s="122"/>
      <c r="EP302" s="122"/>
      <c r="EQ302" s="122"/>
      <c r="ER302" s="122"/>
      <c r="ES302" s="122"/>
      <c r="ET302" s="122"/>
      <c r="EU302" s="122"/>
      <c r="EV302" s="122"/>
      <c r="EW302" s="122"/>
      <c r="EX302" s="122"/>
      <c r="EY302" s="122"/>
      <c r="EZ302" s="122"/>
      <c r="FA302" s="122"/>
      <c r="FB302" s="122"/>
      <c r="FC302" s="122"/>
      <c r="FD302" s="122"/>
      <c r="FE302" s="122"/>
      <c r="FF302" s="122"/>
      <c r="FG302" s="122"/>
      <c r="FH302" s="122"/>
      <c r="FI302" s="122"/>
      <c r="FJ302" s="122"/>
      <c r="FK302" s="122"/>
      <c r="FL302" s="122"/>
      <c r="FM302" s="122"/>
      <c r="FN302" s="122"/>
      <c r="FO302" s="122"/>
      <c r="FP302" s="122"/>
      <c r="FQ302" s="122"/>
      <c r="FR302" s="122"/>
      <c r="FS302" s="122"/>
      <c r="FT302" s="122"/>
      <c r="FU302" s="122"/>
      <c r="FV302" s="122"/>
      <c r="FW302" s="122"/>
      <c r="FX302" s="122"/>
      <c r="FY302" s="122"/>
      <c r="FZ302" s="122"/>
      <c r="GA302" s="122"/>
      <c r="GB302" s="122"/>
      <c r="GC302" s="122"/>
      <c r="GD302" s="122"/>
      <c r="GE302" s="122"/>
      <c r="GF302" s="122"/>
      <c r="GG302" s="122"/>
      <c r="GH302" s="122"/>
      <c r="GI302" s="122"/>
      <c r="GJ302" s="122"/>
      <c r="GK302" s="122"/>
      <c r="GL302" s="122"/>
      <c r="GM302" s="122"/>
      <c r="GN302" s="122"/>
      <c r="GO302" s="122"/>
      <c r="GP302" s="122"/>
      <c r="GQ302" s="122"/>
      <c r="GR302" s="122"/>
      <c r="GS302" s="122"/>
      <c r="GT302" s="122"/>
      <c r="GU302" s="122"/>
      <c r="GV302" s="122"/>
      <c r="GW302" s="122"/>
      <c r="GX302" s="122"/>
      <c r="GY302" s="122"/>
      <c r="GZ302" s="122"/>
      <c r="HA302" s="122"/>
      <c r="HB302" s="122"/>
      <c r="HC302" s="122"/>
      <c r="HD302" s="122"/>
      <c r="HE302" s="122"/>
      <c r="HF302" s="122"/>
      <c r="HG302" s="122"/>
      <c r="HH302" s="122"/>
      <c r="HI302" s="122"/>
      <c r="HJ302" s="122"/>
      <c r="HK302" s="122"/>
      <c r="HL302" s="122"/>
      <c r="HM302" s="122"/>
      <c r="HN302" s="122"/>
      <c r="HO302" s="122"/>
      <c r="HP302" s="122"/>
      <c r="HQ302" s="122"/>
      <c r="HR302" s="122"/>
      <c r="HS302" s="122"/>
      <c r="HT302" s="122"/>
      <c r="HU302" s="122"/>
      <c r="HV302" s="122"/>
      <c r="HW302" s="122"/>
      <c r="HX302" s="122"/>
      <c r="HY302" s="122"/>
      <c r="HZ302" s="122"/>
      <c r="IA302" s="122"/>
      <c r="IB302" s="122"/>
      <c r="IC302" s="122"/>
      <c r="ID302" s="122"/>
      <c r="IE302" s="122"/>
      <c r="IF302" s="122"/>
      <c r="IG302" s="122"/>
      <c r="IH302" s="122"/>
      <c r="II302" s="122"/>
      <c r="IJ302" s="122"/>
      <c r="IK302" s="122"/>
      <c r="IL302" s="122"/>
      <c r="IM302" s="122"/>
      <c r="IN302" s="122"/>
      <c r="IO302" s="122"/>
      <c r="IP302" s="122"/>
      <c r="IQ302" s="122"/>
      <c r="IR302" s="122"/>
      <c r="IS302" s="122"/>
      <c r="IT302" s="122"/>
      <c r="IU302" s="122"/>
      <c r="IV302" s="122"/>
      <c r="IW302" s="122"/>
      <c r="IX302" s="122"/>
      <c r="IY302" s="122"/>
      <c r="IZ302" s="122"/>
      <c r="JA302" s="122"/>
      <c r="JB302" s="122"/>
      <c r="JC302" s="122"/>
      <c r="JD302" s="122"/>
      <c r="JE302" s="122"/>
      <c r="JF302" s="122"/>
      <c r="JG302" s="122"/>
      <c r="JH302" s="122"/>
      <c r="JI302" s="119"/>
      <c r="JJ302" s="2"/>
      <c r="JK302" s="122"/>
      <c r="JL302" s="125"/>
      <c r="JM302" s="125"/>
      <c r="JN302" s="125"/>
      <c r="JO302" s="125"/>
      <c r="JP302" s="125"/>
    </row>
    <row r="303" spans="1:276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  <c r="AR303" s="122"/>
      <c r="AS303" s="122"/>
      <c r="AT303" s="122"/>
      <c r="AU303" s="122"/>
      <c r="AV303" s="122"/>
      <c r="AW303" s="122"/>
      <c r="AX303" s="122"/>
      <c r="AY303" s="122"/>
      <c r="AZ303" s="122"/>
      <c r="BA303" s="122"/>
      <c r="BB303" s="122"/>
      <c r="BC303" s="122"/>
      <c r="BD303" s="122"/>
      <c r="BE303" s="122"/>
      <c r="BF303" s="122"/>
      <c r="BG303" s="122"/>
      <c r="BH303" s="122"/>
      <c r="BI303" s="122"/>
      <c r="BJ303" s="122"/>
      <c r="BK303" s="122"/>
      <c r="BL303" s="122"/>
      <c r="BM303" s="122"/>
      <c r="BN303" s="122"/>
      <c r="BO303" s="122"/>
      <c r="BP303" s="122"/>
      <c r="BQ303" s="122"/>
      <c r="BR303" s="122"/>
      <c r="BS303" s="122"/>
      <c r="BT303" s="122"/>
      <c r="BU303" s="122"/>
      <c r="BV303" s="122"/>
      <c r="BW303" s="122"/>
      <c r="BX303" s="122"/>
      <c r="BY303" s="122"/>
      <c r="BZ303" s="122"/>
      <c r="CA303" s="122"/>
      <c r="CB303" s="122"/>
      <c r="CC303" s="122"/>
      <c r="CD303" s="122"/>
      <c r="CE303" s="122"/>
      <c r="CF303" s="122"/>
      <c r="CG303" s="122"/>
      <c r="CH303" s="122"/>
      <c r="CI303" s="122"/>
      <c r="CJ303" s="122"/>
      <c r="CK303" s="122"/>
      <c r="CL303" s="122"/>
      <c r="CM303" s="122"/>
      <c r="CN303" s="122"/>
      <c r="CO303" s="122"/>
      <c r="CP303" s="122"/>
      <c r="CQ303" s="122"/>
      <c r="CR303" s="122"/>
      <c r="CS303" s="122"/>
      <c r="CT303" s="122"/>
      <c r="CU303" s="122"/>
      <c r="CV303" s="122"/>
      <c r="CW303" s="122"/>
      <c r="CX303" s="122"/>
      <c r="CY303" s="122"/>
      <c r="CZ303" s="122"/>
      <c r="DA303" s="122"/>
      <c r="DB303" s="122"/>
      <c r="DC303" s="122"/>
      <c r="DD303" s="122"/>
      <c r="DE303" s="122"/>
      <c r="DF303" s="122"/>
      <c r="DG303" s="122"/>
      <c r="DH303" s="122"/>
      <c r="DI303" s="122"/>
      <c r="DJ303" s="122"/>
      <c r="DK303" s="122"/>
      <c r="DL303" s="122"/>
      <c r="DM303" s="122"/>
      <c r="DN303" s="122"/>
      <c r="DO303" s="122"/>
      <c r="DP303" s="122"/>
      <c r="DQ303" s="122"/>
      <c r="DR303" s="122"/>
      <c r="DS303" s="122"/>
      <c r="DT303" s="122"/>
      <c r="DU303" s="122"/>
      <c r="DV303" s="122"/>
      <c r="DW303" s="122"/>
      <c r="DX303" s="122"/>
      <c r="DY303" s="122"/>
      <c r="DZ303" s="122"/>
      <c r="EA303" s="122"/>
      <c r="EB303" s="122"/>
      <c r="EC303" s="122"/>
      <c r="ED303" s="122"/>
      <c r="EE303" s="122"/>
      <c r="EF303" s="122"/>
      <c r="EG303" s="122"/>
      <c r="EH303" s="122"/>
      <c r="EI303" s="122"/>
      <c r="EJ303" s="122"/>
      <c r="EK303" s="122"/>
      <c r="EL303" s="122"/>
      <c r="EM303" s="122"/>
      <c r="EN303" s="122"/>
      <c r="EO303" s="122"/>
      <c r="EP303" s="122"/>
      <c r="EQ303" s="122"/>
      <c r="ER303" s="122"/>
      <c r="ES303" s="122"/>
      <c r="ET303" s="122"/>
      <c r="EU303" s="122"/>
      <c r="EV303" s="122"/>
      <c r="EW303" s="122"/>
      <c r="EX303" s="122"/>
      <c r="EY303" s="122"/>
      <c r="EZ303" s="122"/>
      <c r="FA303" s="122"/>
      <c r="FB303" s="122"/>
      <c r="FC303" s="122"/>
      <c r="FD303" s="122"/>
      <c r="FE303" s="122"/>
      <c r="FF303" s="122"/>
      <c r="FG303" s="122"/>
      <c r="FH303" s="122"/>
      <c r="FI303" s="122"/>
      <c r="FJ303" s="122"/>
      <c r="FK303" s="122"/>
      <c r="FL303" s="122"/>
      <c r="FM303" s="122"/>
      <c r="FN303" s="122"/>
      <c r="FO303" s="122"/>
      <c r="FP303" s="122"/>
      <c r="FQ303" s="122"/>
      <c r="FR303" s="122"/>
      <c r="FS303" s="122"/>
      <c r="FT303" s="122"/>
      <c r="FU303" s="122"/>
      <c r="FV303" s="122"/>
      <c r="FW303" s="122"/>
      <c r="FX303" s="122"/>
      <c r="FY303" s="122"/>
      <c r="FZ303" s="122"/>
      <c r="GA303" s="122"/>
      <c r="GB303" s="122"/>
      <c r="GC303" s="122"/>
      <c r="GD303" s="122"/>
      <c r="GE303" s="122"/>
      <c r="GF303" s="122"/>
      <c r="GG303" s="122"/>
      <c r="GH303" s="122"/>
      <c r="GI303" s="122"/>
      <c r="GJ303" s="122"/>
      <c r="GK303" s="122"/>
      <c r="GL303" s="122"/>
      <c r="GM303" s="122"/>
      <c r="GN303" s="122"/>
      <c r="GO303" s="122"/>
      <c r="GP303" s="122"/>
      <c r="GQ303" s="122"/>
      <c r="GR303" s="122"/>
      <c r="GS303" s="122"/>
      <c r="GT303" s="122"/>
      <c r="GU303" s="122"/>
      <c r="GV303" s="122"/>
      <c r="GW303" s="122"/>
      <c r="GX303" s="122"/>
      <c r="GY303" s="122"/>
      <c r="GZ303" s="122"/>
      <c r="HA303" s="122"/>
      <c r="HB303" s="122"/>
      <c r="HC303" s="122"/>
      <c r="HD303" s="122"/>
      <c r="HE303" s="122"/>
      <c r="HF303" s="122"/>
      <c r="HG303" s="122"/>
      <c r="HH303" s="122"/>
      <c r="HI303" s="122"/>
      <c r="HJ303" s="122"/>
      <c r="HK303" s="122"/>
      <c r="HL303" s="122"/>
      <c r="HM303" s="122"/>
      <c r="HN303" s="122"/>
      <c r="HO303" s="122"/>
      <c r="HP303" s="122"/>
      <c r="HQ303" s="122"/>
      <c r="HR303" s="122"/>
      <c r="HS303" s="122"/>
      <c r="HT303" s="122"/>
      <c r="HU303" s="122"/>
      <c r="HV303" s="122"/>
      <c r="HW303" s="122"/>
      <c r="HX303" s="122"/>
      <c r="HY303" s="122"/>
      <c r="HZ303" s="122"/>
      <c r="IA303" s="122"/>
      <c r="IB303" s="122"/>
      <c r="IC303" s="122"/>
      <c r="ID303" s="122"/>
      <c r="IE303" s="122"/>
      <c r="IF303" s="122"/>
      <c r="IG303" s="122"/>
      <c r="IH303" s="122"/>
      <c r="II303" s="122"/>
      <c r="IJ303" s="122"/>
      <c r="IK303" s="122"/>
      <c r="IL303" s="122"/>
      <c r="IM303" s="122"/>
      <c r="IN303" s="122"/>
      <c r="IO303" s="122"/>
      <c r="IP303" s="122"/>
      <c r="IQ303" s="122"/>
      <c r="IR303" s="122"/>
      <c r="IS303" s="122"/>
      <c r="IT303" s="122"/>
      <c r="IU303" s="122"/>
      <c r="IV303" s="122"/>
      <c r="IW303" s="122"/>
      <c r="IX303" s="122"/>
      <c r="IY303" s="122"/>
      <c r="IZ303" s="122"/>
      <c r="JA303" s="122"/>
      <c r="JB303" s="122"/>
      <c r="JC303" s="122"/>
      <c r="JD303" s="122"/>
      <c r="JE303" s="122"/>
      <c r="JF303" s="122"/>
      <c r="JG303" s="122"/>
      <c r="JH303" s="122"/>
      <c r="JI303" s="119"/>
      <c r="JJ303" s="2"/>
      <c r="JK303" s="122"/>
      <c r="JL303" s="125"/>
      <c r="JM303" s="125"/>
      <c r="JN303" s="125"/>
      <c r="JO303" s="125"/>
      <c r="JP303" s="125"/>
    </row>
    <row r="304" spans="1:276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  <c r="AO304" s="122"/>
      <c r="AP304" s="122"/>
      <c r="AQ304" s="122"/>
      <c r="AR304" s="122"/>
      <c r="AS304" s="122"/>
      <c r="AT304" s="122"/>
      <c r="AU304" s="122"/>
      <c r="AV304" s="122"/>
      <c r="AW304" s="122"/>
      <c r="AX304" s="122"/>
      <c r="AY304" s="122"/>
      <c r="AZ304" s="122"/>
      <c r="BA304" s="122"/>
      <c r="BB304" s="122"/>
      <c r="BC304" s="122"/>
      <c r="BD304" s="122"/>
      <c r="BE304" s="122"/>
      <c r="BF304" s="122"/>
      <c r="BG304" s="122"/>
      <c r="BH304" s="122"/>
      <c r="BI304" s="122"/>
      <c r="BJ304" s="122"/>
      <c r="BK304" s="122"/>
      <c r="BL304" s="122"/>
      <c r="BM304" s="122"/>
      <c r="BN304" s="122"/>
      <c r="BO304" s="122"/>
      <c r="BP304" s="122"/>
      <c r="BQ304" s="122"/>
      <c r="BR304" s="122"/>
      <c r="BS304" s="122"/>
      <c r="BT304" s="122"/>
      <c r="BU304" s="122"/>
      <c r="BV304" s="122"/>
      <c r="BW304" s="122"/>
      <c r="BX304" s="122"/>
      <c r="BY304" s="122"/>
      <c r="BZ304" s="122"/>
      <c r="CA304" s="122"/>
      <c r="CB304" s="122"/>
      <c r="CC304" s="122"/>
      <c r="CD304" s="122"/>
      <c r="CE304" s="122"/>
      <c r="CF304" s="122"/>
      <c r="CG304" s="122"/>
      <c r="CH304" s="122"/>
      <c r="CI304" s="122"/>
      <c r="CJ304" s="122"/>
      <c r="CK304" s="122"/>
      <c r="CL304" s="122"/>
      <c r="CM304" s="122"/>
      <c r="CN304" s="122"/>
      <c r="CO304" s="122"/>
      <c r="CP304" s="122"/>
      <c r="CQ304" s="122"/>
      <c r="CR304" s="122"/>
      <c r="CS304" s="122"/>
      <c r="CT304" s="122"/>
      <c r="CU304" s="122"/>
      <c r="CV304" s="122"/>
      <c r="CW304" s="122"/>
      <c r="CX304" s="122"/>
      <c r="CY304" s="122"/>
      <c r="CZ304" s="122"/>
      <c r="DA304" s="122"/>
      <c r="DB304" s="122"/>
      <c r="DC304" s="122"/>
      <c r="DD304" s="122"/>
      <c r="DE304" s="122"/>
      <c r="DF304" s="122"/>
      <c r="DG304" s="122"/>
      <c r="DH304" s="122"/>
      <c r="DI304" s="122"/>
      <c r="DJ304" s="122"/>
      <c r="DK304" s="122"/>
      <c r="DL304" s="122"/>
      <c r="DM304" s="122"/>
      <c r="DN304" s="122"/>
      <c r="DO304" s="122"/>
      <c r="DP304" s="122"/>
      <c r="DQ304" s="122"/>
      <c r="DR304" s="122"/>
      <c r="DS304" s="122"/>
      <c r="DT304" s="122"/>
      <c r="DU304" s="122"/>
      <c r="DV304" s="122"/>
      <c r="DW304" s="122"/>
      <c r="DX304" s="122"/>
      <c r="DY304" s="122"/>
      <c r="DZ304" s="122"/>
      <c r="EA304" s="122"/>
      <c r="EB304" s="122"/>
      <c r="EC304" s="122"/>
      <c r="ED304" s="122"/>
      <c r="EE304" s="122"/>
      <c r="EF304" s="122"/>
      <c r="EG304" s="122"/>
      <c r="EH304" s="122"/>
      <c r="EI304" s="122"/>
      <c r="EJ304" s="122"/>
      <c r="EK304" s="122"/>
      <c r="EL304" s="122"/>
      <c r="EM304" s="122"/>
      <c r="EN304" s="122"/>
      <c r="EO304" s="122"/>
      <c r="EP304" s="122"/>
      <c r="EQ304" s="122"/>
      <c r="ER304" s="122"/>
      <c r="ES304" s="122"/>
      <c r="ET304" s="122"/>
      <c r="EU304" s="122"/>
      <c r="EV304" s="122"/>
      <c r="EW304" s="122"/>
      <c r="EX304" s="122"/>
      <c r="EY304" s="122"/>
      <c r="EZ304" s="122"/>
      <c r="FA304" s="122"/>
      <c r="FB304" s="122"/>
      <c r="FC304" s="122"/>
      <c r="FD304" s="122"/>
      <c r="FE304" s="122"/>
      <c r="FF304" s="122"/>
      <c r="FG304" s="122"/>
      <c r="FH304" s="122"/>
      <c r="FI304" s="122"/>
      <c r="FJ304" s="122"/>
      <c r="FK304" s="122"/>
      <c r="FL304" s="122"/>
      <c r="FM304" s="122"/>
      <c r="FN304" s="122"/>
      <c r="FO304" s="122"/>
      <c r="FP304" s="122"/>
      <c r="FQ304" s="122"/>
      <c r="FR304" s="122"/>
      <c r="FS304" s="122"/>
      <c r="FT304" s="122"/>
      <c r="FU304" s="122"/>
      <c r="FV304" s="122"/>
      <c r="FW304" s="122"/>
      <c r="FX304" s="122"/>
      <c r="FY304" s="122"/>
      <c r="FZ304" s="122"/>
      <c r="GA304" s="122"/>
      <c r="GB304" s="122"/>
      <c r="GC304" s="122"/>
      <c r="GD304" s="122"/>
      <c r="GE304" s="122"/>
      <c r="GF304" s="122"/>
      <c r="GG304" s="122"/>
      <c r="GH304" s="122"/>
      <c r="GI304" s="122"/>
      <c r="GJ304" s="122"/>
      <c r="GK304" s="122"/>
      <c r="GL304" s="122"/>
      <c r="GM304" s="122"/>
      <c r="GN304" s="122"/>
      <c r="GO304" s="122"/>
      <c r="GP304" s="122"/>
      <c r="GQ304" s="122"/>
      <c r="GR304" s="122"/>
      <c r="GS304" s="122"/>
      <c r="GT304" s="122"/>
      <c r="GU304" s="122"/>
      <c r="GV304" s="122"/>
      <c r="GW304" s="122"/>
      <c r="GX304" s="122"/>
      <c r="GY304" s="122"/>
      <c r="GZ304" s="122"/>
      <c r="HA304" s="122"/>
      <c r="HB304" s="122"/>
      <c r="HC304" s="122"/>
      <c r="HD304" s="122"/>
      <c r="HE304" s="122"/>
      <c r="HF304" s="122"/>
      <c r="HG304" s="122"/>
      <c r="HH304" s="122"/>
      <c r="HI304" s="122"/>
      <c r="HJ304" s="122"/>
      <c r="HK304" s="122"/>
      <c r="HL304" s="122"/>
      <c r="HM304" s="122"/>
      <c r="HN304" s="122"/>
      <c r="HO304" s="122"/>
      <c r="HP304" s="122"/>
      <c r="HQ304" s="122"/>
      <c r="HR304" s="122"/>
      <c r="HS304" s="122"/>
      <c r="HT304" s="122"/>
      <c r="HU304" s="122"/>
      <c r="HV304" s="122"/>
      <c r="HW304" s="122"/>
      <c r="HX304" s="122"/>
      <c r="HY304" s="122"/>
      <c r="HZ304" s="122"/>
      <c r="IA304" s="122"/>
      <c r="IB304" s="122"/>
      <c r="IC304" s="122"/>
      <c r="ID304" s="122"/>
      <c r="IE304" s="122"/>
      <c r="IF304" s="122"/>
      <c r="IG304" s="122"/>
      <c r="IH304" s="122"/>
      <c r="II304" s="122"/>
      <c r="IJ304" s="122"/>
      <c r="IK304" s="122"/>
      <c r="IL304" s="122"/>
      <c r="IM304" s="122"/>
      <c r="IN304" s="122"/>
      <c r="IO304" s="122"/>
      <c r="IP304" s="122"/>
      <c r="IQ304" s="122"/>
      <c r="IR304" s="122"/>
      <c r="IS304" s="122"/>
      <c r="IT304" s="122"/>
      <c r="IU304" s="122"/>
      <c r="IV304" s="122"/>
      <c r="IW304" s="122"/>
      <c r="IX304" s="122"/>
      <c r="IY304" s="122"/>
      <c r="IZ304" s="122"/>
      <c r="JA304" s="122"/>
      <c r="JB304" s="122"/>
      <c r="JC304" s="122"/>
      <c r="JD304" s="122"/>
      <c r="JE304" s="122"/>
      <c r="JF304" s="122"/>
      <c r="JG304" s="122"/>
      <c r="JH304" s="122"/>
      <c r="JI304" s="119"/>
      <c r="JJ304" s="2"/>
      <c r="JK304" s="122"/>
      <c r="JL304" s="125"/>
      <c r="JM304" s="125"/>
      <c r="JN304" s="125"/>
      <c r="JO304" s="125"/>
      <c r="JP304" s="125"/>
    </row>
    <row r="305" spans="1:276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122"/>
      <c r="AQ305" s="122"/>
      <c r="AR305" s="122"/>
      <c r="AS305" s="122"/>
      <c r="AT305" s="122"/>
      <c r="AU305" s="122"/>
      <c r="AV305" s="122"/>
      <c r="AW305" s="122"/>
      <c r="AX305" s="122"/>
      <c r="AY305" s="122"/>
      <c r="AZ305" s="122"/>
      <c r="BA305" s="122"/>
      <c r="BB305" s="122"/>
      <c r="BC305" s="122"/>
      <c r="BD305" s="122"/>
      <c r="BE305" s="122"/>
      <c r="BF305" s="122"/>
      <c r="BG305" s="122"/>
      <c r="BH305" s="122"/>
      <c r="BI305" s="122"/>
      <c r="BJ305" s="122"/>
      <c r="BK305" s="122"/>
      <c r="BL305" s="122"/>
      <c r="BM305" s="122"/>
      <c r="BN305" s="122"/>
      <c r="BO305" s="122"/>
      <c r="BP305" s="122"/>
      <c r="BQ305" s="122"/>
      <c r="BR305" s="122"/>
      <c r="BS305" s="122"/>
      <c r="BT305" s="122"/>
      <c r="BU305" s="122"/>
      <c r="BV305" s="122"/>
      <c r="BW305" s="122"/>
      <c r="BX305" s="122"/>
      <c r="BY305" s="122"/>
      <c r="BZ305" s="122"/>
      <c r="CA305" s="122"/>
      <c r="CB305" s="122"/>
      <c r="CC305" s="122"/>
      <c r="CD305" s="122"/>
      <c r="CE305" s="122"/>
      <c r="CF305" s="122"/>
      <c r="CG305" s="122"/>
      <c r="CH305" s="122"/>
      <c r="CI305" s="122"/>
      <c r="CJ305" s="122"/>
      <c r="CK305" s="122"/>
      <c r="CL305" s="122"/>
      <c r="CM305" s="122"/>
      <c r="CN305" s="122"/>
      <c r="CO305" s="122"/>
      <c r="CP305" s="122"/>
      <c r="CQ305" s="122"/>
      <c r="CR305" s="122"/>
      <c r="CS305" s="122"/>
      <c r="CT305" s="122"/>
      <c r="CU305" s="122"/>
      <c r="CV305" s="122"/>
      <c r="CW305" s="122"/>
      <c r="CX305" s="122"/>
      <c r="CY305" s="122"/>
      <c r="CZ305" s="122"/>
      <c r="DA305" s="122"/>
      <c r="DB305" s="122"/>
      <c r="DC305" s="122"/>
      <c r="DD305" s="122"/>
      <c r="DE305" s="122"/>
      <c r="DF305" s="122"/>
      <c r="DG305" s="122"/>
      <c r="DH305" s="122"/>
      <c r="DI305" s="122"/>
      <c r="DJ305" s="122"/>
      <c r="DK305" s="122"/>
      <c r="DL305" s="122"/>
      <c r="DM305" s="122"/>
      <c r="DN305" s="122"/>
      <c r="DO305" s="122"/>
      <c r="DP305" s="122"/>
      <c r="DQ305" s="122"/>
      <c r="DR305" s="122"/>
      <c r="DS305" s="122"/>
      <c r="DT305" s="122"/>
      <c r="DU305" s="122"/>
      <c r="DV305" s="122"/>
      <c r="DW305" s="122"/>
      <c r="DX305" s="122"/>
      <c r="DY305" s="122"/>
      <c r="DZ305" s="122"/>
      <c r="EA305" s="122"/>
      <c r="EB305" s="122"/>
      <c r="EC305" s="122"/>
      <c r="ED305" s="122"/>
      <c r="EE305" s="122"/>
      <c r="EF305" s="122"/>
      <c r="EG305" s="122"/>
      <c r="EH305" s="122"/>
      <c r="EI305" s="122"/>
      <c r="EJ305" s="122"/>
      <c r="EK305" s="122"/>
      <c r="EL305" s="122"/>
      <c r="EM305" s="122"/>
      <c r="EN305" s="122"/>
      <c r="EO305" s="122"/>
      <c r="EP305" s="122"/>
      <c r="EQ305" s="122"/>
      <c r="ER305" s="122"/>
      <c r="ES305" s="122"/>
      <c r="ET305" s="122"/>
      <c r="EU305" s="122"/>
      <c r="EV305" s="122"/>
      <c r="EW305" s="122"/>
      <c r="EX305" s="122"/>
      <c r="EY305" s="122"/>
      <c r="EZ305" s="122"/>
      <c r="FA305" s="122"/>
      <c r="FB305" s="122"/>
      <c r="FC305" s="122"/>
      <c r="FD305" s="122"/>
      <c r="FE305" s="122"/>
      <c r="FF305" s="122"/>
      <c r="FG305" s="122"/>
      <c r="FH305" s="122"/>
      <c r="FI305" s="122"/>
      <c r="FJ305" s="122"/>
      <c r="FK305" s="122"/>
      <c r="FL305" s="122"/>
      <c r="FM305" s="122"/>
      <c r="FN305" s="122"/>
      <c r="FO305" s="122"/>
      <c r="FP305" s="122"/>
      <c r="FQ305" s="122"/>
      <c r="FR305" s="122"/>
      <c r="FS305" s="122"/>
      <c r="FT305" s="122"/>
      <c r="FU305" s="122"/>
      <c r="FV305" s="122"/>
      <c r="FW305" s="122"/>
      <c r="FX305" s="122"/>
      <c r="FY305" s="122"/>
      <c r="FZ305" s="122"/>
      <c r="GA305" s="122"/>
      <c r="GB305" s="122"/>
      <c r="GC305" s="122"/>
      <c r="GD305" s="122"/>
      <c r="GE305" s="122"/>
      <c r="GF305" s="122"/>
      <c r="GG305" s="122"/>
      <c r="GH305" s="122"/>
      <c r="GI305" s="122"/>
      <c r="GJ305" s="122"/>
      <c r="GK305" s="122"/>
      <c r="GL305" s="122"/>
      <c r="GM305" s="122"/>
      <c r="GN305" s="122"/>
      <c r="GO305" s="122"/>
      <c r="GP305" s="122"/>
      <c r="GQ305" s="122"/>
      <c r="GR305" s="122"/>
      <c r="GS305" s="122"/>
      <c r="GT305" s="122"/>
      <c r="GU305" s="122"/>
      <c r="GV305" s="122"/>
      <c r="GW305" s="122"/>
      <c r="GX305" s="122"/>
      <c r="GY305" s="122"/>
      <c r="GZ305" s="122"/>
      <c r="HA305" s="122"/>
      <c r="HB305" s="122"/>
      <c r="HC305" s="122"/>
      <c r="HD305" s="122"/>
      <c r="HE305" s="122"/>
      <c r="HF305" s="122"/>
      <c r="HG305" s="122"/>
      <c r="HH305" s="122"/>
      <c r="HI305" s="122"/>
      <c r="HJ305" s="122"/>
      <c r="HK305" s="122"/>
      <c r="HL305" s="122"/>
      <c r="HM305" s="122"/>
      <c r="HN305" s="122"/>
      <c r="HO305" s="122"/>
      <c r="HP305" s="122"/>
      <c r="HQ305" s="122"/>
      <c r="HR305" s="122"/>
      <c r="HS305" s="122"/>
      <c r="HT305" s="122"/>
      <c r="HU305" s="122"/>
      <c r="HV305" s="122"/>
      <c r="HW305" s="122"/>
      <c r="HX305" s="122"/>
      <c r="HY305" s="122"/>
      <c r="HZ305" s="122"/>
      <c r="IA305" s="122"/>
      <c r="IB305" s="122"/>
      <c r="IC305" s="122"/>
      <c r="ID305" s="122"/>
      <c r="IE305" s="122"/>
      <c r="IF305" s="122"/>
      <c r="IG305" s="122"/>
      <c r="IH305" s="122"/>
      <c r="II305" s="122"/>
      <c r="IJ305" s="122"/>
      <c r="IK305" s="122"/>
      <c r="IL305" s="122"/>
      <c r="IM305" s="122"/>
      <c r="IN305" s="122"/>
      <c r="IO305" s="122"/>
      <c r="IP305" s="122"/>
      <c r="IQ305" s="122"/>
      <c r="IR305" s="122"/>
      <c r="IS305" s="122"/>
      <c r="IT305" s="122"/>
      <c r="IU305" s="122"/>
      <c r="IV305" s="122"/>
      <c r="IW305" s="122"/>
      <c r="IX305" s="122"/>
      <c r="IY305" s="122"/>
      <c r="IZ305" s="122"/>
      <c r="JA305" s="122"/>
      <c r="JB305" s="122"/>
      <c r="JC305" s="122"/>
      <c r="JD305" s="122"/>
      <c r="JE305" s="122"/>
      <c r="JF305" s="122"/>
      <c r="JG305" s="122"/>
      <c r="JH305" s="122"/>
      <c r="JI305" s="119"/>
      <c r="JJ305" s="2"/>
      <c r="JK305" s="122"/>
      <c r="JL305" s="125"/>
      <c r="JM305" s="125"/>
      <c r="JN305" s="125"/>
      <c r="JO305" s="125"/>
      <c r="JP305" s="125"/>
    </row>
    <row r="306" spans="1:27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  <c r="AO306" s="122"/>
      <c r="AP306" s="122"/>
      <c r="AQ306" s="122"/>
      <c r="AR306" s="122"/>
      <c r="AS306" s="122"/>
      <c r="AT306" s="122"/>
      <c r="AU306" s="122"/>
      <c r="AV306" s="122"/>
      <c r="AW306" s="122"/>
      <c r="AX306" s="122"/>
      <c r="AY306" s="122"/>
      <c r="AZ306" s="122"/>
      <c r="BA306" s="122"/>
      <c r="BB306" s="122"/>
      <c r="BC306" s="122"/>
      <c r="BD306" s="122"/>
      <c r="BE306" s="122"/>
      <c r="BF306" s="122"/>
      <c r="BG306" s="122"/>
      <c r="BH306" s="122"/>
      <c r="BI306" s="122"/>
      <c r="BJ306" s="122"/>
      <c r="BK306" s="122"/>
      <c r="BL306" s="122"/>
      <c r="BM306" s="122"/>
      <c r="BN306" s="122"/>
      <c r="BO306" s="122"/>
      <c r="BP306" s="122"/>
      <c r="BQ306" s="122"/>
      <c r="BR306" s="122"/>
      <c r="BS306" s="122"/>
      <c r="BT306" s="122"/>
      <c r="BU306" s="122"/>
      <c r="BV306" s="122"/>
      <c r="BW306" s="122"/>
      <c r="BX306" s="122"/>
      <c r="BY306" s="122"/>
      <c r="BZ306" s="122"/>
      <c r="CA306" s="122"/>
      <c r="CB306" s="122"/>
      <c r="CC306" s="122"/>
      <c r="CD306" s="122"/>
      <c r="CE306" s="122"/>
      <c r="CF306" s="122"/>
      <c r="CG306" s="122"/>
      <c r="CH306" s="122"/>
      <c r="CI306" s="122"/>
      <c r="CJ306" s="122"/>
      <c r="CK306" s="122"/>
      <c r="CL306" s="122"/>
      <c r="CM306" s="122"/>
      <c r="CN306" s="122"/>
      <c r="CO306" s="122"/>
      <c r="CP306" s="122"/>
      <c r="CQ306" s="122"/>
      <c r="CR306" s="122"/>
      <c r="CS306" s="122"/>
      <c r="CT306" s="122"/>
      <c r="CU306" s="122"/>
      <c r="CV306" s="122"/>
      <c r="CW306" s="122"/>
      <c r="CX306" s="122"/>
      <c r="CY306" s="122"/>
      <c r="CZ306" s="122"/>
      <c r="DA306" s="122"/>
      <c r="DB306" s="122"/>
      <c r="DC306" s="122"/>
      <c r="DD306" s="122"/>
      <c r="DE306" s="122"/>
      <c r="DF306" s="122"/>
      <c r="DG306" s="122"/>
      <c r="DH306" s="122"/>
      <c r="DI306" s="122"/>
      <c r="DJ306" s="122"/>
      <c r="DK306" s="122"/>
      <c r="DL306" s="122"/>
      <c r="DM306" s="122"/>
      <c r="DN306" s="122"/>
      <c r="DO306" s="122"/>
      <c r="DP306" s="122"/>
      <c r="DQ306" s="122"/>
      <c r="DR306" s="122"/>
      <c r="DS306" s="122"/>
      <c r="DT306" s="122"/>
      <c r="DU306" s="122"/>
      <c r="DV306" s="122"/>
      <c r="DW306" s="122"/>
      <c r="DX306" s="122"/>
      <c r="DY306" s="122"/>
      <c r="DZ306" s="122"/>
      <c r="EA306" s="122"/>
      <c r="EB306" s="122"/>
      <c r="EC306" s="122"/>
      <c r="ED306" s="122"/>
      <c r="EE306" s="122"/>
      <c r="EF306" s="122"/>
      <c r="EG306" s="122"/>
      <c r="EH306" s="122"/>
      <c r="EI306" s="122"/>
      <c r="EJ306" s="122"/>
      <c r="EK306" s="122"/>
      <c r="EL306" s="122"/>
      <c r="EM306" s="122"/>
      <c r="EN306" s="122"/>
      <c r="EO306" s="122"/>
      <c r="EP306" s="122"/>
      <c r="EQ306" s="122"/>
      <c r="ER306" s="122"/>
      <c r="ES306" s="122"/>
      <c r="ET306" s="122"/>
      <c r="EU306" s="122"/>
      <c r="EV306" s="122"/>
      <c r="EW306" s="122"/>
      <c r="EX306" s="122"/>
      <c r="EY306" s="122"/>
      <c r="EZ306" s="122"/>
      <c r="FA306" s="122"/>
      <c r="FB306" s="122"/>
      <c r="FC306" s="122"/>
      <c r="FD306" s="122"/>
      <c r="FE306" s="122"/>
      <c r="FF306" s="122"/>
      <c r="FG306" s="122"/>
      <c r="FH306" s="122"/>
      <c r="FI306" s="122"/>
      <c r="FJ306" s="122"/>
      <c r="FK306" s="122"/>
      <c r="FL306" s="122"/>
      <c r="FM306" s="122"/>
      <c r="FN306" s="122"/>
      <c r="FO306" s="122"/>
      <c r="FP306" s="122"/>
      <c r="FQ306" s="122"/>
      <c r="FR306" s="122"/>
      <c r="FS306" s="122"/>
      <c r="FT306" s="122"/>
      <c r="FU306" s="122"/>
      <c r="FV306" s="122"/>
      <c r="FW306" s="122"/>
      <c r="FX306" s="122"/>
      <c r="FY306" s="122"/>
      <c r="FZ306" s="122"/>
      <c r="GA306" s="122"/>
      <c r="GB306" s="122"/>
      <c r="GC306" s="122"/>
      <c r="GD306" s="122"/>
      <c r="GE306" s="122"/>
      <c r="GF306" s="122"/>
      <c r="GG306" s="122"/>
      <c r="GH306" s="122"/>
      <c r="GI306" s="122"/>
      <c r="GJ306" s="122"/>
      <c r="GK306" s="122"/>
      <c r="GL306" s="122"/>
      <c r="GM306" s="122"/>
      <c r="GN306" s="122"/>
      <c r="GO306" s="122"/>
      <c r="GP306" s="122"/>
      <c r="GQ306" s="122"/>
      <c r="GR306" s="122"/>
      <c r="GS306" s="122"/>
      <c r="GT306" s="122"/>
      <c r="GU306" s="122"/>
      <c r="GV306" s="122"/>
      <c r="GW306" s="122"/>
      <c r="GX306" s="122"/>
      <c r="GY306" s="122"/>
      <c r="GZ306" s="122"/>
      <c r="HA306" s="122"/>
      <c r="HB306" s="122"/>
      <c r="HC306" s="122"/>
      <c r="HD306" s="122"/>
      <c r="HE306" s="122"/>
      <c r="HF306" s="122"/>
      <c r="HG306" s="122"/>
      <c r="HH306" s="122"/>
      <c r="HI306" s="122"/>
      <c r="HJ306" s="122"/>
      <c r="HK306" s="122"/>
      <c r="HL306" s="122"/>
      <c r="HM306" s="122"/>
      <c r="HN306" s="122"/>
      <c r="HO306" s="122"/>
      <c r="HP306" s="122"/>
      <c r="HQ306" s="122"/>
      <c r="HR306" s="122"/>
      <c r="HS306" s="122"/>
      <c r="HT306" s="122"/>
      <c r="HU306" s="122"/>
      <c r="HV306" s="122"/>
      <c r="HW306" s="122"/>
      <c r="HX306" s="122"/>
      <c r="HY306" s="122"/>
      <c r="HZ306" s="122"/>
      <c r="IA306" s="122"/>
      <c r="IB306" s="122"/>
      <c r="IC306" s="122"/>
      <c r="ID306" s="122"/>
      <c r="IE306" s="122"/>
      <c r="IF306" s="122"/>
      <c r="IG306" s="122"/>
      <c r="IH306" s="122"/>
      <c r="II306" s="122"/>
      <c r="IJ306" s="122"/>
      <c r="IK306" s="122"/>
      <c r="IL306" s="122"/>
      <c r="IM306" s="122"/>
      <c r="IN306" s="122"/>
      <c r="IO306" s="122"/>
      <c r="IP306" s="122"/>
      <c r="IQ306" s="122"/>
      <c r="IR306" s="122"/>
      <c r="IS306" s="122"/>
      <c r="IT306" s="122"/>
      <c r="IU306" s="122"/>
      <c r="IV306" s="122"/>
      <c r="IW306" s="122"/>
      <c r="IX306" s="122"/>
      <c r="IY306" s="122"/>
      <c r="IZ306" s="122"/>
      <c r="JA306" s="122"/>
      <c r="JB306" s="122"/>
      <c r="JC306" s="122"/>
      <c r="JD306" s="122"/>
      <c r="JE306" s="122"/>
      <c r="JF306" s="122"/>
      <c r="JG306" s="122"/>
      <c r="JH306" s="122"/>
      <c r="JI306" s="119"/>
      <c r="JJ306" s="2"/>
      <c r="JK306" s="122"/>
      <c r="JL306" s="125"/>
      <c r="JM306" s="125"/>
      <c r="JN306" s="125"/>
      <c r="JO306" s="125"/>
      <c r="JP306" s="125"/>
    </row>
    <row r="307" spans="1:276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  <c r="AP307" s="122"/>
      <c r="AQ307" s="122"/>
      <c r="AR307" s="122"/>
      <c r="AS307" s="122"/>
      <c r="AT307" s="122"/>
      <c r="AU307" s="122"/>
      <c r="AV307" s="122"/>
      <c r="AW307" s="122"/>
      <c r="AX307" s="122"/>
      <c r="AY307" s="122"/>
      <c r="AZ307" s="122"/>
      <c r="BA307" s="122"/>
      <c r="BB307" s="122"/>
      <c r="BC307" s="122"/>
      <c r="BD307" s="122"/>
      <c r="BE307" s="122"/>
      <c r="BF307" s="122"/>
      <c r="BG307" s="122"/>
      <c r="BH307" s="122"/>
      <c r="BI307" s="122"/>
      <c r="BJ307" s="122"/>
      <c r="BK307" s="122"/>
      <c r="BL307" s="122"/>
      <c r="BM307" s="122"/>
      <c r="BN307" s="122"/>
      <c r="BO307" s="122"/>
      <c r="BP307" s="122"/>
      <c r="BQ307" s="122"/>
      <c r="BR307" s="122"/>
      <c r="BS307" s="122"/>
      <c r="BT307" s="122"/>
      <c r="BU307" s="122"/>
      <c r="BV307" s="122"/>
      <c r="BW307" s="122"/>
      <c r="BX307" s="122"/>
      <c r="BY307" s="122"/>
      <c r="BZ307" s="122"/>
      <c r="CA307" s="122"/>
      <c r="CB307" s="122"/>
      <c r="CC307" s="122"/>
      <c r="CD307" s="122"/>
      <c r="CE307" s="122"/>
      <c r="CF307" s="122"/>
      <c r="CG307" s="122"/>
      <c r="CH307" s="122"/>
      <c r="CI307" s="122"/>
      <c r="CJ307" s="122"/>
      <c r="CK307" s="122"/>
      <c r="CL307" s="122"/>
      <c r="CM307" s="122"/>
      <c r="CN307" s="122"/>
      <c r="CO307" s="122"/>
      <c r="CP307" s="122"/>
      <c r="CQ307" s="122"/>
      <c r="CR307" s="122"/>
      <c r="CS307" s="122"/>
      <c r="CT307" s="122"/>
      <c r="CU307" s="122"/>
      <c r="CV307" s="122"/>
      <c r="CW307" s="122"/>
      <c r="CX307" s="122"/>
      <c r="CY307" s="122"/>
      <c r="CZ307" s="122"/>
      <c r="DA307" s="122"/>
      <c r="DB307" s="122"/>
      <c r="DC307" s="122"/>
      <c r="DD307" s="122"/>
      <c r="DE307" s="122"/>
      <c r="DF307" s="122"/>
      <c r="DG307" s="122"/>
      <c r="DH307" s="122"/>
      <c r="DI307" s="122"/>
      <c r="DJ307" s="122"/>
      <c r="DK307" s="122"/>
      <c r="DL307" s="122"/>
      <c r="DM307" s="122"/>
      <c r="DN307" s="122"/>
      <c r="DO307" s="122"/>
      <c r="DP307" s="122"/>
      <c r="DQ307" s="122"/>
      <c r="DR307" s="122"/>
      <c r="DS307" s="122"/>
      <c r="DT307" s="122"/>
      <c r="DU307" s="122"/>
      <c r="DV307" s="122"/>
      <c r="DW307" s="122"/>
      <c r="DX307" s="122"/>
      <c r="DY307" s="122"/>
      <c r="DZ307" s="122"/>
      <c r="EA307" s="122"/>
      <c r="EB307" s="122"/>
      <c r="EC307" s="122"/>
      <c r="ED307" s="122"/>
      <c r="EE307" s="122"/>
      <c r="EF307" s="122"/>
      <c r="EG307" s="122"/>
      <c r="EH307" s="122"/>
      <c r="EI307" s="122"/>
      <c r="EJ307" s="122"/>
      <c r="EK307" s="122"/>
      <c r="EL307" s="122"/>
      <c r="EM307" s="122"/>
      <c r="EN307" s="122"/>
      <c r="EO307" s="122"/>
      <c r="EP307" s="122"/>
      <c r="EQ307" s="122"/>
      <c r="ER307" s="122"/>
      <c r="ES307" s="122"/>
      <c r="ET307" s="122"/>
      <c r="EU307" s="122"/>
      <c r="EV307" s="122"/>
      <c r="EW307" s="122"/>
      <c r="EX307" s="122"/>
      <c r="EY307" s="122"/>
      <c r="EZ307" s="122"/>
      <c r="FA307" s="122"/>
      <c r="FB307" s="122"/>
      <c r="FC307" s="122"/>
      <c r="FD307" s="122"/>
      <c r="FE307" s="122"/>
      <c r="FF307" s="122"/>
      <c r="FG307" s="122"/>
      <c r="FH307" s="122"/>
      <c r="FI307" s="122"/>
      <c r="FJ307" s="122"/>
      <c r="FK307" s="122"/>
      <c r="FL307" s="122"/>
      <c r="FM307" s="122"/>
      <c r="FN307" s="122"/>
      <c r="FO307" s="122"/>
      <c r="FP307" s="122"/>
      <c r="FQ307" s="122"/>
      <c r="FR307" s="122"/>
      <c r="FS307" s="122"/>
      <c r="FT307" s="122"/>
      <c r="FU307" s="122"/>
      <c r="FV307" s="122"/>
      <c r="FW307" s="122"/>
      <c r="FX307" s="122"/>
      <c r="FY307" s="122"/>
      <c r="FZ307" s="122"/>
      <c r="GA307" s="122"/>
      <c r="GB307" s="122"/>
      <c r="GC307" s="122"/>
      <c r="GD307" s="122"/>
      <c r="GE307" s="122"/>
      <c r="GF307" s="122"/>
      <c r="GG307" s="122"/>
      <c r="GH307" s="122"/>
      <c r="GI307" s="122"/>
      <c r="GJ307" s="122"/>
      <c r="GK307" s="122"/>
      <c r="GL307" s="122"/>
      <c r="GM307" s="122"/>
      <c r="GN307" s="122"/>
      <c r="GO307" s="122"/>
      <c r="GP307" s="122"/>
      <c r="GQ307" s="122"/>
      <c r="GR307" s="122"/>
      <c r="GS307" s="122"/>
      <c r="GT307" s="122"/>
      <c r="GU307" s="122"/>
      <c r="GV307" s="122"/>
      <c r="GW307" s="122"/>
      <c r="GX307" s="122"/>
      <c r="GY307" s="122"/>
      <c r="GZ307" s="122"/>
      <c r="HA307" s="122"/>
      <c r="HB307" s="122"/>
      <c r="HC307" s="122"/>
      <c r="HD307" s="122"/>
      <c r="HE307" s="122"/>
      <c r="HF307" s="122"/>
      <c r="HG307" s="122"/>
      <c r="HH307" s="122"/>
      <c r="HI307" s="122"/>
      <c r="HJ307" s="122"/>
      <c r="HK307" s="122"/>
      <c r="HL307" s="122"/>
      <c r="HM307" s="122"/>
      <c r="HN307" s="122"/>
      <c r="HO307" s="122"/>
      <c r="HP307" s="122"/>
      <c r="HQ307" s="122"/>
      <c r="HR307" s="122"/>
      <c r="HS307" s="122"/>
      <c r="HT307" s="122"/>
      <c r="HU307" s="122"/>
      <c r="HV307" s="122"/>
      <c r="HW307" s="122"/>
      <c r="HX307" s="122"/>
      <c r="HY307" s="122"/>
      <c r="HZ307" s="122"/>
      <c r="IA307" s="122"/>
      <c r="IB307" s="122"/>
      <c r="IC307" s="122"/>
      <c r="ID307" s="122"/>
      <c r="IE307" s="122"/>
      <c r="IF307" s="122"/>
      <c r="IG307" s="122"/>
      <c r="IH307" s="122"/>
      <c r="II307" s="122"/>
      <c r="IJ307" s="122"/>
      <c r="IK307" s="122"/>
      <c r="IL307" s="122"/>
      <c r="IM307" s="122"/>
      <c r="IN307" s="122"/>
      <c r="IO307" s="122"/>
      <c r="IP307" s="122"/>
      <c r="IQ307" s="122"/>
      <c r="IR307" s="122"/>
      <c r="IS307" s="122"/>
      <c r="IT307" s="122"/>
      <c r="IU307" s="122"/>
      <c r="IV307" s="122"/>
      <c r="IW307" s="122"/>
      <c r="IX307" s="122"/>
      <c r="IY307" s="122"/>
      <c r="IZ307" s="122"/>
      <c r="JA307" s="122"/>
      <c r="JB307" s="122"/>
      <c r="JC307" s="122"/>
      <c r="JD307" s="122"/>
      <c r="JE307" s="122"/>
      <c r="JF307" s="122"/>
      <c r="JG307" s="122"/>
      <c r="JH307" s="122"/>
      <c r="JI307" s="119"/>
      <c r="JJ307" s="2"/>
      <c r="JK307" s="122"/>
      <c r="JL307" s="125"/>
      <c r="JM307" s="125"/>
      <c r="JN307" s="125"/>
      <c r="JO307" s="125"/>
      <c r="JP307" s="125"/>
    </row>
    <row r="308" spans="1:276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  <c r="AO308" s="122"/>
      <c r="AP308" s="122"/>
      <c r="AQ308" s="122"/>
      <c r="AR308" s="122"/>
      <c r="AS308" s="122"/>
      <c r="AT308" s="122"/>
      <c r="AU308" s="122"/>
      <c r="AV308" s="122"/>
      <c r="AW308" s="122"/>
      <c r="AX308" s="122"/>
      <c r="AY308" s="122"/>
      <c r="AZ308" s="122"/>
      <c r="BA308" s="122"/>
      <c r="BB308" s="122"/>
      <c r="BC308" s="122"/>
      <c r="BD308" s="122"/>
      <c r="BE308" s="122"/>
      <c r="BF308" s="122"/>
      <c r="BG308" s="122"/>
      <c r="BH308" s="122"/>
      <c r="BI308" s="122"/>
      <c r="BJ308" s="122"/>
      <c r="BK308" s="122"/>
      <c r="BL308" s="122"/>
      <c r="BM308" s="122"/>
      <c r="BN308" s="122"/>
      <c r="BO308" s="122"/>
      <c r="BP308" s="122"/>
      <c r="BQ308" s="122"/>
      <c r="BR308" s="122"/>
      <c r="BS308" s="122"/>
      <c r="BT308" s="122"/>
      <c r="BU308" s="122"/>
      <c r="BV308" s="122"/>
      <c r="BW308" s="122"/>
      <c r="BX308" s="122"/>
      <c r="BY308" s="122"/>
      <c r="BZ308" s="122"/>
      <c r="CA308" s="122"/>
      <c r="CB308" s="122"/>
      <c r="CC308" s="122"/>
      <c r="CD308" s="122"/>
      <c r="CE308" s="122"/>
      <c r="CF308" s="122"/>
      <c r="CG308" s="122"/>
      <c r="CH308" s="122"/>
      <c r="CI308" s="122"/>
      <c r="CJ308" s="122"/>
      <c r="CK308" s="122"/>
      <c r="CL308" s="122"/>
      <c r="CM308" s="122"/>
      <c r="CN308" s="122"/>
      <c r="CO308" s="122"/>
      <c r="CP308" s="122"/>
      <c r="CQ308" s="122"/>
      <c r="CR308" s="122"/>
      <c r="CS308" s="122"/>
      <c r="CT308" s="122"/>
      <c r="CU308" s="122"/>
      <c r="CV308" s="122"/>
      <c r="CW308" s="122"/>
      <c r="CX308" s="122"/>
      <c r="CY308" s="122"/>
      <c r="CZ308" s="122"/>
      <c r="DA308" s="122"/>
      <c r="DB308" s="122"/>
      <c r="DC308" s="122"/>
      <c r="DD308" s="122"/>
      <c r="DE308" s="122"/>
      <c r="DF308" s="122"/>
      <c r="DG308" s="122"/>
      <c r="DH308" s="122"/>
      <c r="DI308" s="122"/>
      <c r="DJ308" s="122"/>
      <c r="DK308" s="122"/>
      <c r="DL308" s="122"/>
      <c r="DM308" s="122"/>
      <c r="DN308" s="122"/>
      <c r="DO308" s="122"/>
      <c r="DP308" s="122"/>
      <c r="DQ308" s="122"/>
      <c r="DR308" s="122"/>
      <c r="DS308" s="122"/>
      <c r="DT308" s="122"/>
      <c r="DU308" s="122"/>
      <c r="DV308" s="122"/>
      <c r="DW308" s="122"/>
      <c r="DX308" s="122"/>
      <c r="DY308" s="122"/>
      <c r="DZ308" s="122"/>
      <c r="EA308" s="122"/>
      <c r="EB308" s="122"/>
      <c r="EC308" s="122"/>
      <c r="ED308" s="122"/>
      <c r="EE308" s="122"/>
      <c r="EF308" s="122"/>
      <c r="EG308" s="122"/>
      <c r="EH308" s="122"/>
      <c r="EI308" s="122"/>
      <c r="EJ308" s="122"/>
      <c r="EK308" s="122"/>
      <c r="EL308" s="122"/>
      <c r="EM308" s="122"/>
      <c r="EN308" s="122"/>
      <c r="EO308" s="122"/>
      <c r="EP308" s="122"/>
      <c r="EQ308" s="122"/>
      <c r="ER308" s="122"/>
      <c r="ES308" s="122"/>
      <c r="ET308" s="122"/>
      <c r="EU308" s="122"/>
      <c r="EV308" s="122"/>
      <c r="EW308" s="122"/>
      <c r="EX308" s="122"/>
      <c r="EY308" s="122"/>
      <c r="EZ308" s="122"/>
      <c r="FA308" s="122"/>
      <c r="FB308" s="122"/>
      <c r="FC308" s="122"/>
      <c r="FD308" s="122"/>
      <c r="FE308" s="122"/>
      <c r="FF308" s="122"/>
      <c r="FG308" s="122"/>
      <c r="FH308" s="122"/>
      <c r="FI308" s="122"/>
      <c r="FJ308" s="122"/>
      <c r="FK308" s="122"/>
      <c r="FL308" s="122"/>
      <c r="FM308" s="122"/>
      <c r="FN308" s="122"/>
      <c r="FO308" s="122"/>
      <c r="FP308" s="122"/>
      <c r="FQ308" s="122"/>
      <c r="FR308" s="122"/>
      <c r="FS308" s="122"/>
      <c r="FT308" s="122"/>
      <c r="FU308" s="122"/>
      <c r="FV308" s="122"/>
      <c r="FW308" s="122"/>
      <c r="FX308" s="122"/>
      <c r="FY308" s="122"/>
      <c r="FZ308" s="122"/>
      <c r="GA308" s="122"/>
      <c r="GB308" s="122"/>
      <c r="GC308" s="122"/>
      <c r="GD308" s="122"/>
      <c r="GE308" s="122"/>
      <c r="GF308" s="122"/>
      <c r="GG308" s="122"/>
      <c r="GH308" s="122"/>
      <c r="GI308" s="122"/>
      <c r="GJ308" s="122"/>
      <c r="GK308" s="122"/>
      <c r="GL308" s="122"/>
      <c r="GM308" s="122"/>
      <c r="GN308" s="122"/>
      <c r="GO308" s="122"/>
      <c r="GP308" s="122"/>
      <c r="GQ308" s="122"/>
      <c r="GR308" s="122"/>
      <c r="GS308" s="122"/>
      <c r="GT308" s="122"/>
      <c r="GU308" s="122"/>
      <c r="GV308" s="122"/>
      <c r="GW308" s="122"/>
      <c r="GX308" s="122"/>
      <c r="GY308" s="122"/>
      <c r="GZ308" s="122"/>
      <c r="HA308" s="122"/>
      <c r="HB308" s="122"/>
      <c r="HC308" s="122"/>
      <c r="HD308" s="122"/>
      <c r="HE308" s="122"/>
      <c r="HF308" s="122"/>
      <c r="HG308" s="122"/>
      <c r="HH308" s="122"/>
      <c r="HI308" s="122"/>
      <c r="HJ308" s="122"/>
      <c r="HK308" s="122"/>
      <c r="HL308" s="122"/>
      <c r="HM308" s="122"/>
      <c r="HN308" s="122"/>
      <c r="HO308" s="122"/>
      <c r="HP308" s="122"/>
      <c r="HQ308" s="122"/>
      <c r="HR308" s="122"/>
      <c r="HS308" s="122"/>
      <c r="HT308" s="122"/>
      <c r="HU308" s="122"/>
      <c r="HV308" s="122"/>
      <c r="HW308" s="122"/>
      <c r="HX308" s="122"/>
      <c r="HY308" s="122"/>
      <c r="HZ308" s="122"/>
      <c r="IA308" s="122"/>
      <c r="IB308" s="122"/>
      <c r="IC308" s="122"/>
      <c r="ID308" s="122"/>
      <c r="IE308" s="122"/>
      <c r="IF308" s="122"/>
      <c r="IG308" s="122"/>
      <c r="IH308" s="122"/>
      <c r="II308" s="122"/>
      <c r="IJ308" s="122"/>
      <c r="IK308" s="122"/>
      <c r="IL308" s="122"/>
      <c r="IM308" s="122"/>
      <c r="IN308" s="122"/>
      <c r="IO308" s="122"/>
      <c r="IP308" s="122"/>
      <c r="IQ308" s="122"/>
      <c r="IR308" s="122"/>
      <c r="IS308" s="122"/>
      <c r="IT308" s="122"/>
      <c r="IU308" s="122"/>
      <c r="IV308" s="122"/>
      <c r="IW308" s="122"/>
      <c r="IX308" s="122"/>
      <c r="IY308" s="122"/>
      <c r="IZ308" s="122"/>
      <c r="JA308" s="122"/>
      <c r="JB308" s="122"/>
      <c r="JC308" s="122"/>
      <c r="JD308" s="122"/>
      <c r="JE308" s="122"/>
      <c r="JF308" s="122"/>
      <c r="JG308" s="122"/>
      <c r="JH308" s="122"/>
      <c r="JI308" s="119"/>
      <c r="JJ308" s="2"/>
      <c r="JK308" s="122"/>
      <c r="JL308" s="125"/>
      <c r="JM308" s="125"/>
      <c r="JN308" s="125"/>
      <c r="JO308" s="125"/>
      <c r="JP308" s="125"/>
    </row>
    <row r="309" spans="1:276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  <c r="AP309" s="122"/>
      <c r="AQ309" s="122"/>
      <c r="AR309" s="122"/>
      <c r="AS309" s="122"/>
      <c r="AT309" s="122"/>
      <c r="AU309" s="122"/>
      <c r="AV309" s="122"/>
      <c r="AW309" s="122"/>
      <c r="AX309" s="122"/>
      <c r="AY309" s="122"/>
      <c r="AZ309" s="122"/>
      <c r="BA309" s="122"/>
      <c r="BB309" s="122"/>
      <c r="BC309" s="122"/>
      <c r="BD309" s="122"/>
      <c r="BE309" s="122"/>
      <c r="BF309" s="122"/>
      <c r="BG309" s="122"/>
      <c r="BH309" s="122"/>
      <c r="BI309" s="122"/>
      <c r="BJ309" s="122"/>
      <c r="BK309" s="122"/>
      <c r="BL309" s="122"/>
      <c r="BM309" s="122"/>
      <c r="BN309" s="122"/>
      <c r="BO309" s="122"/>
      <c r="BP309" s="122"/>
      <c r="BQ309" s="122"/>
      <c r="BR309" s="122"/>
      <c r="BS309" s="122"/>
      <c r="BT309" s="122"/>
      <c r="BU309" s="122"/>
      <c r="BV309" s="122"/>
      <c r="BW309" s="122"/>
      <c r="BX309" s="122"/>
      <c r="BY309" s="122"/>
      <c r="BZ309" s="122"/>
      <c r="CA309" s="122"/>
      <c r="CB309" s="122"/>
      <c r="CC309" s="122"/>
      <c r="CD309" s="122"/>
      <c r="CE309" s="122"/>
      <c r="CF309" s="122"/>
      <c r="CG309" s="122"/>
      <c r="CH309" s="122"/>
      <c r="CI309" s="122"/>
      <c r="CJ309" s="122"/>
      <c r="CK309" s="122"/>
      <c r="CL309" s="122"/>
      <c r="CM309" s="122"/>
      <c r="CN309" s="122"/>
      <c r="CO309" s="122"/>
      <c r="CP309" s="122"/>
      <c r="CQ309" s="122"/>
      <c r="CR309" s="122"/>
      <c r="CS309" s="122"/>
      <c r="CT309" s="122"/>
      <c r="CU309" s="122"/>
      <c r="CV309" s="122"/>
      <c r="CW309" s="122"/>
      <c r="CX309" s="122"/>
      <c r="CY309" s="122"/>
      <c r="CZ309" s="122"/>
      <c r="DA309" s="122"/>
      <c r="DB309" s="122"/>
      <c r="DC309" s="122"/>
      <c r="DD309" s="122"/>
      <c r="DE309" s="122"/>
      <c r="DF309" s="122"/>
      <c r="DG309" s="122"/>
      <c r="DH309" s="122"/>
      <c r="DI309" s="122"/>
      <c r="DJ309" s="122"/>
      <c r="DK309" s="122"/>
      <c r="DL309" s="122"/>
      <c r="DM309" s="122"/>
      <c r="DN309" s="122"/>
      <c r="DO309" s="122"/>
      <c r="DP309" s="122"/>
      <c r="DQ309" s="122"/>
      <c r="DR309" s="122"/>
      <c r="DS309" s="122"/>
      <c r="DT309" s="122"/>
      <c r="DU309" s="122"/>
      <c r="DV309" s="122"/>
      <c r="DW309" s="122"/>
      <c r="DX309" s="122"/>
      <c r="DY309" s="122"/>
      <c r="DZ309" s="122"/>
      <c r="EA309" s="122"/>
      <c r="EB309" s="122"/>
      <c r="EC309" s="122"/>
      <c r="ED309" s="122"/>
      <c r="EE309" s="122"/>
      <c r="EF309" s="122"/>
      <c r="EG309" s="122"/>
      <c r="EH309" s="122"/>
      <c r="EI309" s="122"/>
      <c r="EJ309" s="122"/>
      <c r="EK309" s="122"/>
      <c r="EL309" s="122"/>
      <c r="EM309" s="122"/>
      <c r="EN309" s="122"/>
      <c r="EO309" s="122"/>
      <c r="EP309" s="122"/>
      <c r="EQ309" s="122"/>
      <c r="ER309" s="122"/>
      <c r="ES309" s="122"/>
      <c r="ET309" s="122"/>
      <c r="EU309" s="122"/>
      <c r="EV309" s="122"/>
      <c r="EW309" s="122"/>
      <c r="EX309" s="122"/>
      <c r="EY309" s="122"/>
      <c r="EZ309" s="122"/>
      <c r="FA309" s="122"/>
      <c r="FB309" s="122"/>
      <c r="FC309" s="122"/>
      <c r="FD309" s="122"/>
      <c r="FE309" s="122"/>
      <c r="FF309" s="122"/>
      <c r="FG309" s="122"/>
      <c r="FH309" s="122"/>
      <c r="FI309" s="122"/>
      <c r="FJ309" s="122"/>
      <c r="FK309" s="122"/>
      <c r="FL309" s="122"/>
      <c r="FM309" s="122"/>
      <c r="FN309" s="122"/>
      <c r="FO309" s="122"/>
      <c r="FP309" s="122"/>
      <c r="FQ309" s="122"/>
      <c r="FR309" s="122"/>
      <c r="FS309" s="122"/>
      <c r="FT309" s="122"/>
      <c r="FU309" s="122"/>
      <c r="FV309" s="122"/>
      <c r="FW309" s="122"/>
      <c r="FX309" s="122"/>
      <c r="FY309" s="122"/>
      <c r="FZ309" s="122"/>
      <c r="GA309" s="122"/>
      <c r="GB309" s="122"/>
      <c r="GC309" s="122"/>
      <c r="GD309" s="122"/>
      <c r="GE309" s="122"/>
      <c r="GF309" s="122"/>
      <c r="GG309" s="122"/>
      <c r="GH309" s="122"/>
      <c r="GI309" s="122"/>
      <c r="GJ309" s="122"/>
      <c r="GK309" s="122"/>
      <c r="GL309" s="122"/>
      <c r="GM309" s="122"/>
      <c r="GN309" s="122"/>
      <c r="GO309" s="122"/>
      <c r="GP309" s="122"/>
      <c r="GQ309" s="122"/>
      <c r="GR309" s="122"/>
      <c r="GS309" s="122"/>
      <c r="GT309" s="122"/>
      <c r="GU309" s="122"/>
      <c r="GV309" s="122"/>
      <c r="GW309" s="122"/>
      <c r="GX309" s="122"/>
      <c r="GY309" s="122"/>
      <c r="GZ309" s="122"/>
      <c r="HA309" s="122"/>
      <c r="HB309" s="122"/>
      <c r="HC309" s="122"/>
      <c r="HD309" s="122"/>
      <c r="HE309" s="122"/>
      <c r="HF309" s="122"/>
      <c r="HG309" s="122"/>
      <c r="HH309" s="122"/>
      <c r="HI309" s="122"/>
      <c r="HJ309" s="122"/>
      <c r="HK309" s="122"/>
      <c r="HL309" s="122"/>
      <c r="HM309" s="122"/>
      <c r="HN309" s="122"/>
      <c r="HO309" s="122"/>
      <c r="HP309" s="122"/>
      <c r="HQ309" s="122"/>
      <c r="HR309" s="122"/>
      <c r="HS309" s="122"/>
      <c r="HT309" s="122"/>
      <c r="HU309" s="122"/>
      <c r="HV309" s="122"/>
      <c r="HW309" s="122"/>
      <c r="HX309" s="122"/>
      <c r="HY309" s="122"/>
      <c r="HZ309" s="122"/>
      <c r="IA309" s="122"/>
      <c r="IB309" s="122"/>
      <c r="IC309" s="122"/>
      <c r="ID309" s="122"/>
      <c r="IE309" s="122"/>
      <c r="IF309" s="122"/>
      <c r="IG309" s="122"/>
      <c r="IH309" s="122"/>
      <c r="II309" s="122"/>
      <c r="IJ309" s="122"/>
      <c r="IK309" s="122"/>
      <c r="IL309" s="122"/>
      <c r="IM309" s="122"/>
      <c r="IN309" s="122"/>
      <c r="IO309" s="122"/>
      <c r="IP309" s="122"/>
      <c r="IQ309" s="122"/>
      <c r="IR309" s="122"/>
      <c r="IS309" s="122"/>
      <c r="IT309" s="122"/>
      <c r="IU309" s="122"/>
      <c r="IV309" s="122"/>
      <c r="IW309" s="122"/>
      <c r="IX309" s="122"/>
      <c r="IY309" s="122"/>
      <c r="IZ309" s="122"/>
      <c r="JA309" s="122"/>
      <c r="JB309" s="122"/>
      <c r="JC309" s="122"/>
      <c r="JD309" s="122"/>
      <c r="JE309" s="122"/>
      <c r="JF309" s="122"/>
      <c r="JG309" s="122"/>
      <c r="JH309" s="122"/>
      <c r="JI309" s="119"/>
      <c r="JJ309" s="2"/>
      <c r="JK309" s="122"/>
      <c r="JL309" s="125"/>
      <c r="JM309" s="125"/>
      <c r="JN309" s="125"/>
      <c r="JO309" s="125"/>
      <c r="JP309" s="125"/>
    </row>
    <row r="310" spans="1:276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  <c r="AO310" s="122"/>
      <c r="AP310" s="122"/>
      <c r="AQ310" s="122"/>
      <c r="AR310" s="122"/>
      <c r="AS310" s="122"/>
      <c r="AT310" s="122"/>
      <c r="AU310" s="122"/>
      <c r="AV310" s="122"/>
      <c r="AW310" s="122"/>
      <c r="AX310" s="122"/>
      <c r="AY310" s="122"/>
      <c r="AZ310" s="122"/>
      <c r="BA310" s="122"/>
      <c r="BB310" s="122"/>
      <c r="BC310" s="122"/>
      <c r="BD310" s="122"/>
      <c r="BE310" s="122"/>
      <c r="BF310" s="122"/>
      <c r="BG310" s="122"/>
      <c r="BH310" s="122"/>
      <c r="BI310" s="122"/>
      <c r="BJ310" s="122"/>
      <c r="BK310" s="122"/>
      <c r="BL310" s="122"/>
      <c r="BM310" s="122"/>
      <c r="BN310" s="122"/>
      <c r="BO310" s="122"/>
      <c r="BP310" s="122"/>
      <c r="BQ310" s="122"/>
      <c r="BR310" s="122"/>
      <c r="BS310" s="122"/>
      <c r="BT310" s="122"/>
      <c r="BU310" s="122"/>
      <c r="BV310" s="122"/>
      <c r="BW310" s="122"/>
      <c r="BX310" s="122"/>
      <c r="BY310" s="122"/>
      <c r="BZ310" s="122"/>
      <c r="CA310" s="122"/>
      <c r="CB310" s="122"/>
      <c r="CC310" s="122"/>
      <c r="CD310" s="122"/>
      <c r="CE310" s="122"/>
      <c r="CF310" s="122"/>
      <c r="CG310" s="122"/>
      <c r="CH310" s="122"/>
      <c r="CI310" s="122"/>
      <c r="CJ310" s="122"/>
      <c r="CK310" s="122"/>
      <c r="CL310" s="122"/>
      <c r="CM310" s="122"/>
      <c r="CN310" s="122"/>
      <c r="CO310" s="122"/>
      <c r="CP310" s="122"/>
      <c r="CQ310" s="122"/>
      <c r="CR310" s="122"/>
      <c r="CS310" s="122"/>
      <c r="CT310" s="122"/>
      <c r="CU310" s="122"/>
      <c r="CV310" s="122"/>
      <c r="CW310" s="122"/>
      <c r="CX310" s="122"/>
      <c r="CY310" s="122"/>
      <c r="CZ310" s="122"/>
      <c r="DA310" s="122"/>
      <c r="DB310" s="122"/>
      <c r="DC310" s="122"/>
      <c r="DD310" s="122"/>
      <c r="DE310" s="122"/>
      <c r="DF310" s="122"/>
      <c r="DG310" s="122"/>
      <c r="DH310" s="122"/>
      <c r="DI310" s="122"/>
      <c r="DJ310" s="122"/>
      <c r="DK310" s="122"/>
      <c r="DL310" s="122"/>
      <c r="DM310" s="122"/>
      <c r="DN310" s="122"/>
      <c r="DO310" s="122"/>
      <c r="DP310" s="122"/>
      <c r="DQ310" s="122"/>
      <c r="DR310" s="122"/>
      <c r="DS310" s="122"/>
      <c r="DT310" s="122"/>
      <c r="DU310" s="122"/>
      <c r="DV310" s="122"/>
      <c r="DW310" s="122"/>
      <c r="DX310" s="122"/>
      <c r="DY310" s="122"/>
      <c r="DZ310" s="122"/>
      <c r="EA310" s="122"/>
      <c r="EB310" s="122"/>
      <c r="EC310" s="122"/>
      <c r="ED310" s="122"/>
      <c r="EE310" s="122"/>
      <c r="EF310" s="122"/>
      <c r="EG310" s="122"/>
      <c r="EH310" s="122"/>
      <c r="EI310" s="122"/>
      <c r="EJ310" s="122"/>
      <c r="EK310" s="122"/>
      <c r="EL310" s="122"/>
      <c r="EM310" s="122"/>
      <c r="EN310" s="122"/>
      <c r="EO310" s="122"/>
      <c r="EP310" s="122"/>
      <c r="EQ310" s="122"/>
      <c r="ER310" s="122"/>
      <c r="ES310" s="122"/>
      <c r="ET310" s="122"/>
      <c r="EU310" s="122"/>
      <c r="EV310" s="122"/>
      <c r="EW310" s="122"/>
      <c r="EX310" s="122"/>
      <c r="EY310" s="122"/>
      <c r="EZ310" s="122"/>
      <c r="FA310" s="122"/>
      <c r="FB310" s="122"/>
      <c r="FC310" s="122"/>
      <c r="FD310" s="122"/>
      <c r="FE310" s="122"/>
      <c r="FF310" s="122"/>
      <c r="FG310" s="122"/>
      <c r="FH310" s="122"/>
      <c r="FI310" s="122"/>
      <c r="FJ310" s="122"/>
      <c r="FK310" s="122"/>
      <c r="FL310" s="122"/>
      <c r="FM310" s="122"/>
      <c r="FN310" s="122"/>
      <c r="FO310" s="122"/>
      <c r="FP310" s="122"/>
      <c r="FQ310" s="122"/>
      <c r="FR310" s="122"/>
      <c r="FS310" s="122"/>
      <c r="FT310" s="122"/>
      <c r="FU310" s="122"/>
      <c r="FV310" s="122"/>
      <c r="FW310" s="122"/>
      <c r="FX310" s="122"/>
      <c r="FY310" s="122"/>
      <c r="FZ310" s="122"/>
      <c r="GA310" s="122"/>
      <c r="GB310" s="122"/>
      <c r="GC310" s="122"/>
      <c r="GD310" s="122"/>
      <c r="GE310" s="122"/>
      <c r="GF310" s="122"/>
      <c r="GG310" s="122"/>
      <c r="GH310" s="122"/>
      <c r="GI310" s="122"/>
      <c r="GJ310" s="122"/>
      <c r="GK310" s="122"/>
      <c r="GL310" s="122"/>
      <c r="GM310" s="122"/>
      <c r="GN310" s="122"/>
      <c r="GO310" s="122"/>
      <c r="GP310" s="122"/>
      <c r="GQ310" s="122"/>
      <c r="GR310" s="122"/>
      <c r="GS310" s="122"/>
      <c r="GT310" s="122"/>
      <c r="GU310" s="122"/>
      <c r="GV310" s="122"/>
      <c r="GW310" s="122"/>
      <c r="GX310" s="122"/>
      <c r="GY310" s="122"/>
      <c r="GZ310" s="122"/>
      <c r="HA310" s="122"/>
      <c r="HB310" s="122"/>
      <c r="HC310" s="122"/>
      <c r="HD310" s="122"/>
      <c r="HE310" s="122"/>
      <c r="HF310" s="122"/>
      <c r="HG310" s="122"/>
      <c r="HH310" s="122"/>
      <c r="HI310" s="122"/>
      <c r="HJ310" s="122"/>
      <c r="HK310" s="122"/>
      <c r="HL310" s="122"/>
      <c r="HM310" s="122"/>
      <c r="HN310" s="122"/>
      <c r="HO310" s="122"/>
      <c r="HP310" s="122"/>
      <c r="HQ310" s="122"/>
      <c r="HR310" s="122"/>
      <c r="HS310" s="122"/>
      <c r="HT310" s="122"/>
      <c r="HU310" s="122"/>
      <c r="HV310" s="122"/>
      <c r="HW310" s="122"/>
      <c r="HX310" s="122"/>
      <c r="HY310" s="122"/>
      <c r="HZ310" s="122"/>
      <c r="IA310" s="122"/>
      <c r="IB310" s="122"/>
      <c r="IC310" s="122"/>
      <c r="ID310" s="122"/>
      <c r="IE310" s="122"/>
      <c r="IF310" s="122"/>
      <c r="IG310" s="122"/>
      <c r="IH310" s="122"/>
      <c r="II310" s="122"/>
      <c r="IJ310" s="122"/>
      <c r="IK310" s="122"/>
      <c r="IL310" s="122"/>
      <c r="IM310" s="122"/>
      <c r="IN310" s="122"/>
      <c r="IO310" s="122"/>
      <c r="IP310" s="122"/>
      <c r="IQ310" s="122"/>
      <c r="IR310" s="122"/>
      <c r="IS310" s="122"/>
      <c r="IT310" s="122"/>
      <c r="IU310" s="122"/>
      <c r="IV310" s="122"/>
      <c r="IW310" s="122"/>
      <c r="IX310" s="122"/>
      <c r="IY310" s="122"/>
      <c r="IZ310" s="122"/>
      <c r="JA310" s="122"/>
      <c r="JB310" s="122"/>
      <c r="JC310" s="122"/>
      <c r="JD310" s="122"/>
      <c r="JE310" s="122"/>
      <c r="JF310" s="122"/>
      <c r="JG310" s="122"/>
      <c r="JH310" s="122"/>
      <c r="JI310" s="119"/>
      <c r="JJ310" s="2"/>
      <c r="JK310" s="122"/>
      <c r="JL310" s="125"/>
      <c r="JM310" s="125"/>
      <c r="JN310" s="125"/>
      <c r="JO310" s="125"/>
      <c r="JP310" s="125"/>
    </row>
    <row r="311" spans="1:276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  <c r="AP311" s="122"/>
      <c r="AQ311" s="122"/>
      <c r="AR311" s="122"/>
      <c r="AS311" s="122"/>
      <c r="AT311" s="122"/>
      <c r="AU311" s="122"/>
      <c r="AV311" s="122"/>
      <c r="AW311" s="122"/>
      <c r="AX311" s="122"/>
      <c r="AY311" s="122"/>
      <c r="AZ311" s="122"/>
      <c r="BA311" s="122"/>
      <c r="BB311" s="122"/>
      <c r="BC311" s="122"/>
      <c r="BD311" s="122"/>
      <c r="BE311" s="122"/>
      <c r="BF311" s="122"/>
      <c r="BG311" s="122"/>
      <c r="BH311" s="122"/>
      <c r="BI311" s="122"/>
      <c r="BJ311" s="122"/>
      <c r="BK311" s="122"/>
      <c r="BL311" s="122"/>
      <c r="BM311" s="122"/>
      <c r="BN311" s="122"/>
      <c r="BO311" s="122"/>
      <c r="BP311" s="122"/>
      <c r="BQ311" s="122"/>
      <c r="BR311" s="122"/>
      <c r="BS311" s="122"/>
      <c r="BT311" s="122"/>
      <c r="BU311" s="122"/>
      <c r="BV311" s="122"/>
      <c r="BW311" s="122"/>
      <c r="BX311" s="122"/>
      <c r="BY311" s="122"/>
      <c r="BZ311" s="122"/>
      <c r="CA311" s="122"/>
      <c r="CB311" s="122"/>
      <c r="CC311" s="122"/>
      <c r="CD311" s="122"/>
      <c r="CE311" s="122"/>
      <c r="CF311" s="122"/>
      <c r="CG311" s="122"/>
      <c r="CH311" s="122"/>
      <c r="CI311" s="122"/>
      <c r="CJ311" s="122"/>
      <c r="CK311" s="122"/>
      <c r="CL311" s="122"/>
      <c r="CM311" s="122"/>
      <c r="CN311" s="122"/>
      <c r="CO311" s="122"/>
      <c r="CP311" s="122"/>
      <c r="CQ311" s="122"/>
      <c r="CR311" s="122"/>
      <c r="CS311" s="122"/>
      <c r="CT311" s="122"/>
      <c r="CU311" s="122"/>
      <c r="CV311" s="122"/>
      <c r="CW311" s="122"/>
      <c r="CX311" s="122"/>
      <c r="CY311" s="122"/>
      <c r="CZ311" s="122"/>
      <c r="DA311" s="122"/>
      <c r="DB311" s="122"/>
      <c r="DC311" s="122"/>
      <c r="DD311" s="122"/>
      <c r="DE311" s="122"/>
      <c r="DF311" s="122"/>
      <c r="DG311" s="122"/>
      <c r="DH311" s="122"/>
      <c r="DI311" s="122"/>
      <c r="DJ311" s="122"/>
      <c r="DK311" s="122"/>
      <c r="DL311" s="122"/>
      <c r="DM311" s="122"/>
      <c r="DN311" s="122"/>
      <c r="DO311" s="122"/>
      <c r="DP311" s="122"/>
      <c r="DQ311" s="122"/>
      <c r="DR311" s="122"/>
      <c r="DS311" s="122"/>
      <c r="DT311" s="122"/>
      <c r="DU311" s="122"/>
      <c r="DV311" s="122"/>
      <c r="DW311" s="122"/>
      <c r="DX311" s="122"/>
      <c r="DY311" s="122"/>
      <c r="DZ311" s="122"/>
      <c r="EA311" s="122"/>
      <c r="EB311" s="122"/>
      <c r="EC311" s="122"/>
      <c r="ED311" s="122"/>
      <c r="EE311" s="122"/>
      <c r="EF311" s="122"/>
      <c r="EG311" s="122"/>
      <c r="EH311" s="122"/>
      <c r="EI311" s="122"/>
      <c r="EJ311" s="122"/>
      <c r="EK311" s="122"/>
      <c r="EL311" s="122"/>
      <c r="EM311" s="122"/>
      <c r="EN311" s="122"/>
      <c r="EO311" s="122"/>
      <c r="EP311" s="122"/>
      <c r="EQ311" s="122"/>
      <c r="ER311" s="122"/>
      <c r="ES311" s="122"/>
      <c r="ET311" s="122"/>
      <c r="EU311" s="122"/>
      <c r="EV311" s="122"/>
      <c r="EW311" s="122"/>
      <c r="EX311" s="122"/>
      <c r="EY311" s="122"/>
      <c r="EZ311" s="122"/>
      <c r="FA311" s="122"/>
      <c r="FB311" s="122"/>
      <c r="FC311" s="122"/>
      <c r="FD311" s="122"/>
      <c r="FE311" s="122"/>
      <c r="FF311" s="122"/>
      <c r="FG311" s="122"/>
      <c r="FH311" s="122"/>
      <c r="FI311" s="122"/>
      <c r="FJ311" s="122"/>
      <c r="FK311" s="122"/>
      <c r="FL311" s="122"/>
      <c r="FM311" s="122"/>
      <c r="FN311" s="122"/>
      <c r="FO311" s="122"/>
      <c r="FP311" s="122"/>
      <c r="FQ311" s="122"/>
      <c r="FR311" s="122"/>
      <c r="FS311" s="122"/>
      <c r="FT311" s="122"/>
      <c r="FU311" s="122"/>
      <c r="FV311" s="122"/>
      <c r="FW311" s="122"/>
      <c r="FX311" s="122"/>
      <c r="FY311" s="122"/>
      <c r="FZ311" s="122"/>
      <c r="GA311" s="122"/>
      <c r="GB311" s="122"/>
      <c r="GC311" s="122"/>
      <c r="GD311" s="122"/>
      <c r="GE311" s="122"/>
      <c r="GF311" s="122"/>
      <c r="GG311" s="122"/>
      <c r="GH311" s="122"/>
      <c r="GI311" s="122"/>
      <c r="GJ311" s="122"/>
      <c r="GK311" s="122"/>
      <c r="GL311" s="122"/>
      <c r="GM311" s="122"/>
      <c r="GN311" s="122"/>
      <c r="GO311" s="122"/>
      <c r="GP311" s="122"/>
      <c r="GQ311" s="122"/>
      <c r="GR311" s="122"/>
      <c r="GS311" s="122"/>
      <c r="GT311" s="122"/>
      <c r="GU311" s="122"/>
      <c r="GV311" s="122"/>
      <c r="GW311" s="122"/>
      <c r="GX311" s="122"/>
      <c r="GY311" s="122"/>
      <c r="GZ311" s="122"/>
      <c r="HA311" s="122"/>
      <c r="HB311" s="122"/>
      <c r="HC311" s="122"/>
      <c r="HD311" s="122"/>
      <c r="HE311" s="122"/>
      <c r="HF311" s="122"/>
      <c r="HG311" s="122"/>
      <c r="HH311" s="122"/>
      <c r="HI311" s="122"/>
      <c r="HJ311" s="122"/>
      <c r="HK311" s="122"/>
      <c r="HL311" s="122"/>
      <c r="HM311" s="122"/>
      <c r="HN311" s="122"/>
      <c r="HO311" s="122"/>
      <c r="HP311" s="122"/>
      <c r="HQ311" s="122"/>
      <c r="HR311" s="122"/>
      <c r="HS311" s="122"/>
      <c r="HT311" s="122"/>
      <c r="HU311" s="122"/>
      <c r="HV311" s="122"/>
      <c r="HW311" s="122"/>
      <c r="HX311" s="122"/>
      <c r="HY311" s="122"/>
      <c r="HZ311" s="122"/>
      <c r="IA311" s="122"/>
      <c r="IB311" s="122"/>
      <c r="IC311" s="122"/>
      <c r="ID311" s="122"/>
      <c r="IE311" s="122"/>
      <c r="IF311" s="122"/>
      <c r="IG311" s="122"/>
      <c r="IH311" s="122"/>
      <c r="II311" s="122"/>
      <c r="IJ311" s="122"/>
      <c r="IK311" s="122"/>
      <c r="IL311" s="122"/>
      <c r="IM311" s="122"/>
      <c r="IN311" s="122"/>
      <c r="IO311" s="122"/>
      <c r="IP311" s="122"/>
      <c r="IQ311" s="122"/>
      <c r="IR311" s="122"/>
      <c r="IS311" s="122"/>
      <c r="IT311" s="122"/>
      <c r="IU311" s="122"/>
      <c r="IV311" s="122"/>
      <c r="IW311" s="122"/>
      <c r="IX311" s="122"/>
      <c r="IY311" s="122"/>
      <c r="IZ311" s="122"/>
      <c r="JA311" s="122"/>
      <c r="JB311" s="122"/>
      <c r="JC311" s="122"/>
      <c r="JD311" s="122"/>
      <c r="JE311" s="122"/>
      <c r="JF311" s="122"/>
      <c r="JG311" s="122"/>
      <c r="JH311" s="122"/>
      <c r="JI311" s="119"/>
      <c r="JJ311" s="2"/>
      <c r="JK311" s="122"/>
      <c r="JL311" s="125"/>
      <c r="JM311" s="125"/>
      <c r="JN311" s="125"/>
      <c r="JO311" s="125"/>
      <c r="JP311" s="125"/>
    </row>
    <row r="312" spans="1:276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  <c r="AP312" s="122"/>
      <c r="AQ312" s="122"/>
      <c r="AR312" s="122"/>
      <c r="AS312" s="122"/>
      <c r="AT312" s="122"/>
      <c r="AU312" s="122"/>
      <c r="AV312" s="122"/>
      <c r="AW312" s="122"/>
      <c r="AX312" s="122"/>
      <c r="AY312" s="122"/>
      <c r="AZ312" s="122"/>
      <c r="BA312" s="122"/>
      <c r="BB312" s="122"/>
      <c r="BC312" s="122"/>
      <c r="BD312" s="122"/>
      <c r="BE312" s="122"/>
      <c r="BF312" s="122"/>
      <c r="BG312" s="122"/>
      <c r="BH312" s="122"/>
      <c r="BI312" s="122"/>
      <c r="BJ312" s="122"/>
      <c r="BK312" s="122"/>
      <c r="BL312" s="122"/>
      <c r="BM312" s="122"/>
      <c r="BN312" s="122"/>
      <c r="BO312" s="122"/>
      <c r="BP312" s="122"/>
      <c r="BQ312" s="122"/>
      <c r="BR312" s="122"/>
      <c r="BS312" s="122"/>
      <c r="BT312" s="122"/>
      <c r="BU312" s="122"/>
      <c r="BV312" s="122"/>
      <c r="BW312" s="122"/>
      <c r="BX312" s="122"/>
      <c r="BY312" s="122"/>
      <c r="BZ312" s="122"/>
      <c r="CA312" s="122"/>
      <c r="CB312" s="122"/>
      <c r="CC312" s="122"/>
      <c r="CD312" s="122"/>
      <c r="CE312" s="122"/>
      <c r="CF312" s="122"/>
      <c r="CG312" s="122"/>
      <c r="CH312" s="122"/>
      <c r="CI312" s="122"/>
      <c r="CJ312" s="122"/>
      <c r="CK312" s="122"/>
      <c r="CL312" s="122"/>
      <c r="CM312" s="122"/>
      <c r="CN312" s="122"/>
      <c r="CO312" s="122"/>
      <c r="CP312" s="122"/>
      <c r="CQ312" s="122"/>
      <c r="CR312" s="122"/>
      <c r="CS312" s="122"/>
      <c r="CT312" s="122"/>
      <c r="CU312" s="122"/>
      <c r="CV312" s="122"/>
      <c r="CW312" s="122"/>
      <c r="CX312" s="122"/>
      <c r="CY312" s="122"/>
      <c r="CZ312" s="122"/>
      <c r="DA312" s="122"/>
      <c r="DB312" s="122"/>
      <c r="DC312" s="122"/>
      <c r="DD312" s="122"/>
      <c r="DE312" s="122"/>
      <c r="DF312" s="122"/>
      <c r="DG312" s="122"/>
      <c r="DH312" s="122"/>
      <c r="DI312" s="122"/>
      <c r="DJ312" s="122"/>
      <c r="DK312" s="122"/>
      <c r="DL312" s="122"/>
      <c r="DM312" s="122"/>
      <c r="DN312" s="122"/>
      <c r="DO312" s="122"/>
      <c r="DP312" s="122"/>
      <c r="DQ312" s="122"/>
      <c r="DR312" s="122"/>
      <c r="DS312" s="122"/>
      <c r="DT312" s="122"/>
      <c r="DU312" s="122"/>
      <c r="DV312" s="122"/>
      <c r="DW312" s="122"/>
      <c r="DX312" s="122"/>
      <c r="DY312" s="122"/>
      <c r="DZ312" s="122"/>
      <c r="EA312" s="122"/>
      <c r="EB312" s="122"/>
      <c r="EC312" s="122"/>
      <c r="ED312" s="122"/>
      <c r="EE312" s="122"/>
      <c r="EF312" s="122"/>
      <c r="EG312" s="122"/>
      <c r="EH312" s="122"/>
      <c r="EI312" s="122"/>
      <c r="EJ312" s="122"/>
      <c r="EK312" s="122"/>
      <c r="EL312" s="122"/>
      <c r="EM312" s="122"/>
      <c r="EN312" s="122"/>
      <c r="EO312" s="122"/>
      <c r="EP312" s="122"/>
      <c r="EQ312" s="122"/>
      <c r="ER312" s="122"/>
      <c r="ES312" s="122"/>
      <c r="ET312" s="122"/>
      <c r="EU312" s="122"/>
      <c r="EV312" s="122"/>
      <c r="EW312" s="122"/>
      <c r="EX312" s="122"/>
      <c r="EY312" s="122"/>
      <c r="EZ312" s="122"/>
      <c r="FA312" s="122"/>
      <c r="FB312" s="122"/>
      <c r="FC312" s="122"/>
      <c r="FD312" s="122"/>
      <c r="FE312" s="122"/>
      <c r="FF312" s="122"/>
      <c r="FG312" s="122"/>
      <c r="FH312" s="122"/>
      <c r="FI312" s="122"/>
      <c r="FJ312" s="122"/>
      <c r="FK312" s="122"/>
      <c r="FL312" s="122"/>
      <c r="FM312" s="122"/>
      <c r="FN312" s="122"/>
      <c r="FO312" s="122"/>
      <c r="FP312" s="122"/>
      <c r="FQ312" s="122"/>
      <c r="FR312" s="122"/>
      <c r="FS312" s="122"/>
      <c r="FT312" s="122"/>
      <c r="FU312" s="122"/>
      <c r="FV312" s="122"/>
      <c r="FW312" s="122"/>
      <c r="FX312" s="122"/>
      <c r="FY312" s="122"/>
      <c r="FZ312" s="122"/>
      <c r="GA312" s="122"/>
      <c r="GB312" s="122"/>
      <c r="GC312" s="122"/>
      <c r="GD312" s="122"/>
      <c r="GE312" s="122"/>
      <c r="GF312" s="122"/>
      <c r="GG312" s="122"/>
      <c r="GH312" s="122"/>
      <c r="GI312" s="122"/>
      <c r="GJ312" s="122"/>
      <c r="GK312" s="122"/>
      <c r="GL312" s="122"/>
      <c r="GM312" s="122"/>
      <c r="GN312" s="122"/>
      <c r="GO312" s="122"/>
      <c r="GP312" s="122"/>
      <c r="GQ312" s="122"/>
      <c r="GR312" s="122"/>
      <c r="GS312" s="122"/>
      <c r="GT312" s="122"/>
      <c r="GU312" s="122"/>
      <c r="GV312" s="122"/>
      <c r="GW312" s="122"/>
      <c r="GX312" s="122"/>
      <c r="GY312" s="122"/>
      <c r="GZ312" s="122"/>
      <c r="HA312" s="122"/>
      <c r="HB312" s="122"/>
      <c r="HC312" s="122"/>
      <c r="HD312" s="122"/>
      <c r="HE312" s="122"/>
      <c r="HF312" s="122"/>
      <c r="HG312" s="122"/>
      <c r="HH312" s="122"/>
      <c r="HI312" s="122"/>
      <c r="HJ312" s="122"/>
      <c r="HK312" s="122"/>
      <c r="HL312" s="122"/>
      <c r="HM312" s="122"/>
      <c r="HN312" s="122"/>
      <c r="HO312" s="122"/>
      <c r="HP312" s="122"/>
      <c r="HQ312" s="122"/>
      <c r="HR312" s="122"/>
      <c r="HS312" s="122"/>
      <c r="HT312" s="122"/>
      <c r="HU312" s="122"/>
      <c r="HV312" s="122"/>
      <c r="HW312" s="122"/>
      <c r="HX312" s="122"/>
      <c r="HY312" s="122"/>
      <c r="HZ312" s="122"/>
      <c r="IA312" s="122"/>
      <c r="IB312" s="122"/>
      <c r="IC312" s="122"/>
      <c r="ID312" s="122"/>
      <c r="IE312" s="122"/>
      <c r="IF312" s="122"/>
      <c r="IG312" s="122"/>
      <c r="IH312" s="122"/>
      <c r="II312" s="122"/>
      <c r="IJ312" s="122"/>
      <c r="IK312" s="122"/>
      <c r="IL312" s="122"/>
      <c r="IM312" s="122"/>
      <c r="IN312" s="122"/>
      <c r="IO312" s="122"/>
      <c r="IP312" s="122"/>
      <c r="IQ312" s="122"/>
      <c r="IR312" s="122"/>
      <c r="IS312" s="122"/>
      <c r="IT312" s="122"/>
      <c r="IU312" s="122"/>
      <c r="IV312" s="122"/>
      <c r="IW312" s="122"/>
      <c r="IX312" s="122"/>
      <c r="IY312" s="122"/>
      <c r="IZ312" s="122"/>
      <c r="JA312" s="122"/>
      <c r="JB312" s="122"/>
      <c r="JC312" s="122"/>
      <c r="JD312" s="122"/>
      <c r="JE312" s="122"/>
      <c r="JF312" s="122"/>
      <c r="JG312" s="122"/>
      <c r="JH312" s="122"/>
      <c r="JI312" s="119"/>
      <c r="JJ312" s="2"/>
      <c r="JK312" s="122"/>
      <c r="JL312" s="125"/>
      <c r="JM312" s="125"/>
      <c r="JN312" s="125"/>
      <c r="JO312" s="125"/>
      <c r="JP312" s="125"/>
    </row>
    <row r="313" spans="1:276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  <c r="AP313" s="122"/>
      <c r="AQ313" s="122"/>
      <c r="AR313" s="122"/>
      <c r="AS313" s="122"/>
      <c r="AT313" s="122"/>
      <c r="AU313" s="122"/>
      <c r="AV313" s="122"/>
      <c r="AW313" s="122"/>
      <c r="AX313" s="122"/>
      <c r="AY313" s="122"/>
      <c r="AZ313" s="122"/>
      <c r="BA313" s="122"/>
      <c r="BB313" s="122"/>
      <c r="BC313" s="122"/>
      <c r="BD313" s="122"/>
      <c r="BE313" s="122"/>
      <c r="BF313" s="122"/>
      <c r="BG313" s="122"/>
      <c r="BH313" s="122"/>
      <c r="BI313" s="122"/>
      <c r="BJ313" s="122"/>
      <c r="BK313" s="122"/>
      <c r="BL313" s="122"/>
      <c r="BM313" s="122"/>
      <c r="BN313" s="122"/>
      <c r="BO313" s="122"/>
      <c r="BP313" s="122"/>
      <c r="BQ313" s="122"/>
      <c r="BR313" s="122"/>
      <c r="BS313" s="122"/>
      <c r="BT313" s="122"/>
      <c r="BU313" s="122"/>
      <c r="BV313" s="122"/>
      <c r="BW313" s="122"/>
      <c r="BX313" s="122"/>
      <c r="BY313" s="122"/>
      <c r="BZ313" s="122"/>
      <c r="CA313" s="122"/>
      <c r="CB313" s="122"/>
      <c r="CC313" s="122"/>
      <c r="CD313" s="122"/>
      <c r="CE313" s="122"/>
      <c r="CF313" s="122"/>
      <c r="CG313" s="122"/>
      <c r="CH313" s="122"/>
      <c r="CI313" s="122"/>
      <c r="CJ313" s="122"/>
      <c r="CK313" s="122"/>
      <c r="CL313" s="122"/>
      <c r="CM313" s="122"/>
      <c r="CN313" s="122"/>
      <c r="CO313" s="122"/>
      <c r="CP313" s="122"/>
      <c r="CQ313" s="122"/>
      <c r="CR313" s="122"/>
      <c r="CS313" s="122"/>
      <c r="CT313" s="122"/>
      <c r="CU313" s="122"/>
      <c r="CV313" s="122"/>
      <c r="CW313" s="122"/>
      <c r="CX313" s="122"/>
      <c r="CY313" s="122"/>
      <c r="CZ313" s="122"/>
      <c r="DA313" s="122"/>
      <c r="DB313" s="122"/>
      <c r="DC313" s="122"/>
      <c r="DD313" s="122"/>
      <c r="DE313" s="122"/>
      <c r="DF313" s="122"/>
      <c r="DG313" s="122"/>
      <c r="DH313" s="122"/>
      <c r="DI313" s="122"/>
      <c r="DJ313" s="122"/>
      <c r="DK313" s="122"/>
      <c r="DL313" s="122"/>
      <c r="DM313" s="122"/>
      <c r="DN313" s="122"/>
      <c r="DO313" s="122"/>
      <c r="DP313" s="122"/>
      <c r="DQ313" s="122"/>
      <c r="DR313" s="122"/>
      <c r="DS313" s="122"/>
      <c r="DT313" s="122"/>
      <c r="DU313" s="122"/>
      <c r="DV313" s="122"/>
      <c r="DW313" s="122"/>
      <c r="DX313" s="122"/>
      <c r="DY313" s="122"/>
      <c r="DZ313" s="122"/>
      <c r="EA313" s="122"/>
      <c r="EB313" s="122"/>
      <c r="EC313" s="122"/>
      <c r="ED313" s="122"/>
      <c r="EE313" s="122"/>
      <c r="EF313" s="122"/>
      <c r="EG313" s="122"/>
      <c r="EH313" s="122"/>
      <c r="EI313" s="122"/>
      <c r="EJ313" s="122"/>
      <c r="EK313" s="122"/>
      <c r="EL313" s="122"/>
      <c r="EM313" s="122"/>
      <c r="EN313" s="122"/>
      <c r="EO313" s="122"/>
      <c r="EP313" s="122"/>
      <c r="EQ313" s="122"/>
      <c r="ER313" s="122"/>
      <c r="ES313" s="122"/>
      <c r="ET313" s="122"/>
      <c r="EU313" s="122"/>
      <c r="EV313" s="122"/>
      <c r="EW313" s="122"/>
      <c r="EX313" s="122"/>
      <c r="EY313" s="122"/>
      <c r="EZ313" s="122"/>
      <c r="FA313" s="122"/>
      <c r="FB313" s="122"/>
      <c r="FC313" s="122"/>
      <c r="FD313" s="122"/>
      <c r="FE313" s="122"/>
      <c r="FF313" s="122"/>
      <c r="FG313" s="122"/>
      <c r="FH313" s="122"/>
      <c r="FI313" s="122"/>
      <c r="FJ313" s="122"/>
      <c r="FK313" s="122"/>
      <c r="FL313" s="122"/>
      <c r="FM313" s="122"/>
      <c r="FN313" s="122"/>
      <c r="FO313" s="122"/>
      <c r="FP313" s="122"/>
      <c r="FQ313" s="122"/>
      <c r="FR313" s="122"/>
      <c r="FS313" s="122"/>
      <c r="FT313" s="122"/>
      <c r="FU313" s="122"/>
      <c r="FV313" s="122"/>
      <c r="FW313" s="122"/>
      <c r="FX313" s="122"/>
      <c r="FY313" s="122"/>
      <c r="FZ313" s="122"/>
      <c r="GA313" s="122"/>
      <c r="GB313" s="122"/>
      <c r="GC313" s="122"/>
      <c r="GD313" s="122"/>
      <c r="GE313" s="122"/>
      <c r="GF313" s="122"/>
      <c r="GG313" s="122"/>
      <c r="GH313" s="122"/>
      <c r="GI313" s="122"/>
      <c r="GJ313" s="122"/>
      <c r="GK313" s="122"/>
      <c r="GL313" s="122"/>
      <c r="GM313" s="122"/>
      <c r="GN313" s="122"/>
      <c r="GO313" s="122"/>
      <c r="GP313" s="122"/>
      <c r="GQ313" s="122"/>
      <c r="GR313" s="122"/>
      <c r="GS313" s="122"/>
      <c r="GT313" s="122"/>
      <c r="GU313" s="122"/>
      <c r="GV313" s="122"/>
      <c r="GW313" s="122"/>
      <c r="GX313" s="122"/>
      <c r="GY313" s="122"/>
      <c r="GZ313" s="122"/>
      <c r="HA313" s="122"/>
      <c r="HB313" s="122"/>
      <c r="HC313" s="122"/>
      <c r="HD313" s="122"/>
      <c r="HE313" s="122"/>
      <c r="HF313" s="122"/>
      <c r="HG313" s="122"/>
      <c r="HH313" s="122"/>
      <c r="HI313" s="122"/>
      <c r="HJ313" s="122"/>
      <c r="HK313" s="122"/>
      <c r="HL313" s="122"/>
      <c r="HM313" s="122"/>
      <c r="HN313" s="122"/>
      <c r="HO313" s="122"/>
      <c r="HP313" s="122"/>
      <c r="HQ313" s="122"/>
      <c r="HR313" s="122"/>
      <c r="HS313" s="122"/>
      <c r="HT313" s="122"/>
      <c r="HU313" s="122"/>
      <c r="HV313" s="122"/>
      <c r="HW313" s="122"/>
      <c r="HX313" s="122"/>
      <c r="HY313" s="122"/>
      <c r="HZ313" s="122"/>
      <c r="IA313" s="122"/>
      <c r="IB313" s="122"/>
      <c r="IC313" s="122"/>
      <c r="ID313" s="122"/>
      <c r="IE313" s="122"/>
      <c r="IF313" s="122"/>
      <c r="IG313" s="122"/>
      <c r="IH313" s="122"/>
      <c r="II313" s="122"/>
      <c r="IJ313" s="122"/>
      <c r="IK313" s="122"/>
      <c r="IL313" s="122"/>
      <c r="IM313" s="122"/>
      <c r="IN313" s="122"/>
      <c r="IO313" s="122"/>
      <c r="IP313" s="122"/>
      <c r="IQ313" s="122"/>
      <c r="IR313" s="122"/>
      <c r="IS313" s="122"/>
      <c r="IT313" s="122"/>
      <c r="IU313" s="122"/>
      <c r="IV313" s="122"/>
      <c r="IW313" s="122"/>
      <c r="IX313" s="122"/>
      <c r="IY313" s="122"/>
      <c r="IZ313" s="122"/>
      <c r="JA313" s="122"/>
      <c r="JB313" s="122"/>
      <c r="JC313" s="122"/>
      <c r="JD313" s="122"/>
      <c r="JE313" s="122"/>
      <c r="JF313" s="122"/>
      <c r="JG313" s="122"/>
      <c r="JH313" s="122"/>
      <c r="JI313" s="119"/>
      <c r="JJ313" s="2"/>
      <c r="JK313" s="122"/>
      <c r="JL313" s="125"/>
      <c r="JM313" s="125"/>
      <c r="JN313" s="125"/>
      <c r="JO313" s="125"/>
      <c r="JP313" s="125"/>
    </row>
    <row r="314" spans="1:276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  <c r="AP314" s="122"/>
      <c r="AQ314" s="122"/>
      <c r="AR314" s="122"/>
      <c r="AS314" s="122"/>
      <c r="AT314" s="122"/>
      <c r="AU314" s="122"/>
      <c r="AV314" s="122"/>
      <c r="AW314" s="122"/>
      <c r="AX314" s="122"/>
      <c r="AY314" s="122"/>
      <c r="AZ314" s="122"/>
      <c r="BA314" s="122"/>
      <c r="BB314" s="122"/>
      <c r="BC314" s="122"/>
      <c r="BD314" s="122"/>
      <c r="BE314" s="122"/>
      <c r="BF314" s="122"/>
      <c r="BG314" s="122"/>
      <c r="BH314" s="122"/>
      <c r="BI314" s="122"/>
      <c r="BJ314" s="122"/>
      <c r="BK314" s="122"/>
      <c r="BL314" s="122"/>
      <c r="BM314" s="122"/>
      <c r="BN314" s="122"/>
      <c r="BO314" s="122"/>
      <c r="BP314" s="122"/>
      <c r="BQ314" s="122"/>
      <c r="BR314" s="122"/>
      <c r="BS314" s="122"/>
      <c r="BT314" s="122"/>
      <c r="BU314" s="122"/>
      <c r="BV314" s="122"/>
      <c r="BW314" s="122"/>
      <c r="BX314" s="122"/>
      <c r="BY314" s="122"/>
      <c r="BZ314" s="122"/>
      <c r="CA314" s="122"/>
      <c r="CB314" s="122"/>
      <c r="CC314" s="122"/>
      <c r="CD314" s="122"/>
      <c r="CE314" s="122"/>
      <c r="CF314" s="122"/>
      <c r="CG314" s="122"/>
      <c r="CH314" s="122"/>
      <c r="CI314" s="122"/>
      <c r="CJ314" s="122"/>
      <c r="CK314" s="122"/>
      <c r="CL314" s="122"/>
      <c r="CM314" s="122"/>
      <c r="CN314" s="122"/>
      <c r="CO314" s="122"/>
      <c r="CP314" s="122"/>
      <c r="CQ314" s="122"/>
      <c r="CR314" s="122"/>
      <c r="CS314" s="122"/>
      <c r="CT314" s="122"/>
      <c r="CU314" s="122"/>
      <c r="CV314" s="122"/>
      <c r="CW314" s="122"/>
      <c r="CX314" s="122"/>
      <c r="CY314" s="122"/>
      <c r="CZ314" s="122"/>
      <c r="DA314" s="122"/>
      <c r="DB314" s="122"/>
      <c r="DC314" s="122"/>
      <c r="DD314" s="122"/>
      <c r="DE314" s="122"/>
      <c r="DF314" s="122"/>
      <c r="DG314" s="122"/>
      <c r="DH314" s="122"/>
      <c r="DI314" s="122"/>
      <c r="DJ314" s="122"/>
      <c r="DK314" s="122"/>
      <c r="DL314" s="122"/>
      <c r="DM314" s="122"/>
      <c r="DN314" s="122"/>
      <c r="DO314" s="122"/>
      <c r="DP314" s="122"/>
      <c r="DQ314" s="122"/>
      <c r="DR314" s="122"/>
      <c r="DS314" s="122"/>
      <c r="DT314" s="122"/>
      <c r="DU314" s="122"/>
      <c r="DV314" s="122"/>
      <c r="DW314" s="122"/>
      <c r="DX314" s="122"/>
      <c r="DY314" s="122"/>
      <c r="DZ314" s="122"/>
      <c r="EA314" s="122"/>
      <c r="EB314" s="122"/>
      <c r="EC314" s="122"/>
      <c r="ED314" s="122"/>
      <c r="EE314" s="122"/>
      <c r="EF314" s="122"/>
      <c r="EG314" s="122"/>
      <c r="EH314" s="122"/>
      <c r="EI314" s="122"/>
      <c r="EJ314" s="122"/>
      <c r="EK314" s="122"/>
      <c r="EL314" s="122"/>
      <c r="EM314" s="122"/>
      <c r="EN314" s="122"/>
      <c r="EO314" s="122"/>
      <c r="EP314" s="122"/>
      <c r="EQ314" s="122"/>
      <c r="ER314" s="122"/>
      <c r="ES314" s="122"/>
      <c r="ET314" s="122"/>
      <c r="EU314" s="122"/>
      <c r="EV314" s="122"/>
      <c r="EW314" s="122"/>
      <c r="EX314" s="122"/>
      <c r="EY314" s="122"/>
      <c r="EZ314" s="122"/>
      <c r="FA314" s="122"/>
      <c r="FB314" s="122"/>
      <c r="FC314" s="122"/>
      <c r="FD314" s="122"/>
      <c r="FE314" s="122"/>
      <c r="FF314" s="122"/>
      <c r="FG314" s="122"/>
      <c r="FH314" s="122"/>
      <c r="FI314" s="122"/>
      <c r="FJ314" s="122"/>
      <c r="FK314" s="122"/>
      <c r="FL314" s="122"/>
      <c r="FM314" s="122"/>
      <c r="FN314" s="122"/>
      <c r="FO314" s="122"/>
      <c r="FP314" s="122"/>
      <c r="FQ314" s="122"/>
      <c r="FR314" s="122"/>
      <c r="FS314" s="122"/>
      <c r="FT314" s="122"/>
      <c r="FU314" s="122"/>
      <c r="FV314" s="122"/>
      <c r="FW314" s="122"/>
      <c r="FX314" s="122"/>
      <c r="FY314" s="122"/>
      <c r="FZ314" s="122"/>
      <c r="GA314" s="122"/>
      <c r="GB314" s="122"/>
      <c r="GC314" s="122"/>
      <c r="GD314" s="122"/>
      <c r="GE314" s="122"/>
      <c r="GF314" s="122"/>
      <c r="GG314" s="122"/>
      <c r="GH314" s="122"/>
      <c r="GI314" s="122"/>
      <c r="GJ314" s="122"/>
      <c r="GK314" s="122"/>
      <c r="GL314" s="122"/>
      <c r="GM314" s="122"/>
      <c r="GN314" s="122"/>
      <c r="GO314" s="122"/>
      <c r="GP314" s="122"/>
      <c r="GQ314" s="122"/>
      <c r="GR314" s="122"/>
      <c r="GS314" s="122"/>
      <c r="GT314" s="122"/>
      <c r="GU314" s="122"/>
      <c r="GV314" s="122"/>
      <c r="GW314" s="122"/>
      <c r="GX314" s="122"/>
      <c r="GY314" s="122"/>
      <c r="GZ314" s="122"/>
      <c r="HA314" s="122"/>
      <c r="HB314" s="122"/>
      <c r="HC314" s="122"/>
      <c r="HD314" s="122"/>
      <c r="HE314" s="122"/>
      <c r="HF314" s="122"/>
      <c r="HG314" s="122"/>
      <c r="HH314" s="122"/>
      <c r="HI314" s="122"/>
      <c r="HJ314" s="122"/>
      <c r="HK314" s="122"/>
      <c r="HL314" s="122"/>
      <c r="HM314" s="122"/>
      <c r="HN314" s="122"/>
      <c r="HO314" s="122"/>
      <c r="HP314" s="122"/>
      <c r="HQ314" s="122"/>
      <c r="HR314" s="122"/>
      <c r="HS314" s="122"/>
      <c r="HT314" s="122"/>
      <c r="HU314" s="122"/>
      <c r="HV314" s="122"/>
      <c r="HW314" s="122"/>
      <c r="HX314" s="122"/>
      <c r="HY314" s="122"/>
      <c r="HZ314" s="122"/>
      <c r="IA314" s="122"/>
      <c r="IB314" s="122"/>
      <c r="IC314" s="122"/>
      <c r="ID314" s="122"/>
      <c r="IE314" s="122"/>
      <c r="IF314" s="122"/>
      <c r="IG314" s="122"/>
      <c r="IH314" s="122"/>
      <c r="II314" s="122"/>
      <c r="IJ314" s="122"/>
      <c r="IK314" s="122"/>
      <c r="IL314" s="122"/>
      <c r="IM314" s="122"/>
      <c r="IN314" s="122"/>
      <c r="IO314" s="122"/>
      <c r="IP314" s="122"/>
      <c r="IQ314" s="122"/>
      <c r="IR314" s="122"/>
      <c r="IS314" s="122"/>
      <c r="IT314" s="122"/>
      <c r="IU314" s="122"/>
      <c r="IV314" s="122"/>
      <c r="IW314" s="122"/>
      <c r="IX314" s="122"/>
      <c r="IY314" s="122"/>
      <c r="IZ314" s="122"/>
      <c r="JA314" s="122"/>
      <c r="JB314" s="122"/>
      <c r="JC314" s="122"/>
      <c r="JD314" s="122"/>
      <c r="JE314" s="122"/>
      <c r="JF314" s="122"/>
      <c r="JG314" s="122"/>
      <c r="JH314" s="122"/>
      <c r="JI314" s="119"/>
      <c r="JJ314" s="2"/>
      <c r="JK314" s="122"/>
      <c r="JL314" s="125"/>
      <c r="JM314" s="125"/>
      <c r="JN314" s="125"/>
      <c r="JO314" s="125"/>
      <c r="JP314" s="125"/>
    </row>
    <row r="315" spans="1:276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  <c r="AP315" s="122"/>
      <c r="AQ315" s="122"/>
      <c r="AR315" s="122"/>
      <c r="AS315" s="122"/>
      <c r="AT315" s="122"/>
      <c r="AU315" s="122"/>
      <c r="AV315" s="122"/>
      <c r="AW315" s="122"/>
      <c r="AX315" s="122"/>
      <c r="AY315" s="122"/>
      <c r="AZ315" s="122"/>
      <c r="BA315" s="122"/>
      <c r="BB315" s="122"/>
      <c r="BC315" s="122"/>
      <c r="BD315" s="122"/>
      <c r="BE315" s="122"/>
      <c r="BF315" s="122"/>
      <c r="BG315" s="122"/>
      <c r="BH315" s="122"/>
      <c r="BI315" s="122"/>
      <c r="BJ315" s="122"/>
      <c r="BK315" s="122"/>
      <c r="BL315" s="122"/>
      <c r="BM315" s="122"/>
      <c r="BN315" s="122"/>
      <c r="BO315" s="122"/>
      <c r="BP315" s="122"/>
      <c r="BQ315" s="122"/>
      <c r="BR315" s="122"/>
      <c r="BS315" s="122"/>
      <c r="BT315" s="122"/>
      <c r="BU315" s="122"/>
      <c r="BV315" s="122"/>
      <c r="BW315" s="122"/>
      <c r="BX315" s="122"/>
      <c r="BY315" s="122"/>
      <c r="BZ315" s="122"/>
      <c r="CA315" s="122"/>
      <c r="CB315" s="122"/>
      <c r="CC315" s="122"/>
      <c r="CD315" s="122"/>
      <c r="CE315" s="122"/>
      <c r="CF315" s="122"/>
      <c r="CG315" s="122"/>
      <c r="CH315" s="122"/>
      <c r="CI315" s="122"/>
      <c r="CJ315" s="122"/>
      <c r="CK315" s="122"/>
      <c r="CL315" s="122"/>
      <c r="CM315" s="122"/>
      <c r="CN315" s="122"/>
      <c r="CO315" s="122"/>
      <c r="CP315" s="122"/>
      <c r="CQ315" s="122"/>
      <c r="CR315" s="122"/>
      <c r="CS315" s="122"/>
      <c r="CT315" s="122"/>
      <c r="CU315" s="122"/>
      <c r="CV315" s="122"/>
      <c r="CW315" s="122"/>
      <c r="CX315" s="122"/>
      <c r="CY315" s="122"/>
      <c r="CZ315" s="122"/>
      <c r="DA315" s="122"/>
      <c r="DB315" s="122"/>
      <c r="DC315" s="122"/>
      <c r="DD315" s="122"/>
      <c r="DE315" s="122"/>
      <c r="DF315" s="122"/>
      <c r="DG315" s="122"/>
      <c r="DH315" s="122"/>
      <c r="DI315" s="122"/>
      <c r="DJ315" s="122"/>
      <c r="DK315" s="122"/>
      <c r="DL315" s="122"/>
      <c r="DM315" s="122"/>
      <c r="DN315" s="122"/>
      <c r="DO315" s="122"/>
      <c r="DP315" s="122"/>
      <c r="DQ315" s="122"/>
      <c r="DR315" s="122"/>
      <c r="DS315" s="122"/>
      <c r="DT315" s="122"/>
      <c r="DU315" s="122"/>
      <c r="DV315" s="122"/>
      <c r="DW315" s="122"/>
      <c r="DX315" s="122"/>
      <c r="DY315" s="122"/>
      <c r="DZ315" s="122"/>
      <c r="EA315" s="122"/>
      <c r="EB315" s="122"/>
      <c r="EC315" s="122"/>
      <c r="ED315" s="122"/>
      <c r="EE315" s="122"/>
      <c r="EF315" s="122"/>
      <c r="EG315" s="122"/>
      <c r="EH315" s="122"/>
      <c r="EI315" s="122"/>
      <c r="EJ315" s="122"/>
      <c r="EK315" s="122"/>
      <c r="EL315" s="122"/>
      <c r="EM315" s="122"/>
      <c r="EN315" s="122"/>
      <c r="EO315" s="122"/>
      <c r="EP315" s="122"/>
      <c r="EQ315" s="122"/>
      <c r="ER315" s="122"/>
      <c r="ES315" s="122"/>
      <c r="ET315" s="122"/>
      <c r="EU315" s="122"/>
      <c r="EV315" s="122"/>
      <c r="EW315" s="122"/>
      <c r="EX315" s="122"/>
      <c r="EY315" s="122"/>
      <c r="EZ315" s="122"/>
      <c r="FA315" s="122"/>
      <c r="FB315" s="122"/>
      <c r="FC315" s="122"/>
      <c r="FD315" s="122"/>
      <c r="FE315" s="122"/>
      <c r="FF315" s="122"/>
      <c r="FG315" s="122"/>
      <c r="FH315" s="122"/>
      <c r="FI315" s="122"/>
      <c r="FJ315" s="122"/>
      <c r="FK315" s="122"/>
      <c r="FL315" s="122"/>
      <c r="FM315" s="122"/>
      <c r="FN315" s="122"/>
      <c r="FO315" s="122"/>
      <c r="FP315" s="122"/>
      <c r="FQ315" s="122"/>
      <c r="FR315" s="122"/>
      <c r="FS315" s="122"/>
      <c r="FT315" s="122"/>
      <c r="FU315" s="122"/>
      <c r="FV315" s="122"/>
      <c r="FW315" s="122"/>
      <c r="FX315" s="122"/>
      <c r="FY315" s="122"/>
      <c r="FZ315" s="122"/>
      <c r="GA315" s="122"/>
      <c r="GB315" s="122"/>
      <c r="GC315" s="122"/>
      <c r="GD315" s="122"/>
      <c r="GE315" s="122"/>
      <c r="GF315" s="122"/>
      <c r="GG315" s="122"/>
      <c r="GH315" s="122"/>
      <c r="GI315" s="122"/>
      <c r="GJ315" s="122"/>
      <c r="GK315" s="122"/>
      <c r="GL315" s="122"/>
      <c r="GM315" s="122"/>
      <c r="GN315" s="122"/>
      <c r="GO315" s="122"/>
      <c r="GP315" s="122"/>
      <c r="GQ315" s="122"/>
      <c r="GR315" s="122"/>
      <c r="GS315" s="122"/>
      <c r="GT315" s="122"/>
      <c r="GU315" s="122"/>
      <c r="GV315" s="122"/>
      <c r="GW315" s="122"/>
      <c r="GX315" s="122"/>
      <c r="GY315" s="122"/>
      <c r="GZ315" s="122"/>
      <c r="HA315" s="122"/>
      <c r="HB315" s="122"/>
      <c r="HC315" s="122"/>
      <c r="HD315" s="122"/>
      <c r="HE315" s="122"/>
      <c r="HF315" s="122"/>
      <c r="HG315" s="122"/>
      <c r="HH315" s="122"/>
      <c r="HI315" s="122"/>
      <c r="HJ315" s="122"/>
      <c r="HK315" s="122"/>
      <c r="HL315" s="122"/>
      <c r="HM315" s="122"/>
      <c r="HN315" s="122"/>
      <c r="HO315" s="122"/>
      <c r="HP315" s="122"/>
      <c r="HQ315" s="122"/>
      <c r="HR315" s="122"/>
      <c r="HS315" s="122"/>
      <c r="HT315" s="122"/>
      <c r="HU315" s="122"/>
      <c r="HV315" s="122"/>
      <c r="HW315" s="122"/>
      <c r="HX315" s="122"/>
      <c r="HY315" s="122"/>
      <c r="HZ315" s="122"/>
      <c r="IA315" s="122"/>
      <c r="IB315" s="122"/>
      <c r="IC315" s="122"/>
      <c r="ID315" s="122"/>
      <c r="IE315" s="122"/>
      <c r="IF315" s="122"/>
      <c r="IG315" s="122"/>
      <c r="IH315" s="122"/>
      <c r="II315" s="122"/>
      <c r="IJ315" s="122"/>
      <c r="IK315" s="122"/>
      <c r="IL315" s="122"/>
      <c r="IM315" s="122"/>
      <c r="IN315" s="122"/>
      <c r="IO315" s="122"/>
      <c r="IP315" s="122"/>
      <c r="IQ315" s="122"/>
      <c r="IR315" s="122"/>
      <c r="IS315" s="122"/>
      <c r="IT315" s="122"/>
      <c r="IU315" s="122"/>
      <c r="IV315" s="122"/>
      <c r="IW315" s="122"/>
      <c r="IX315" s="122"/>
      <c r="IY315" s="122"/>
      <c r="IZ315" s="122"/>
      <c r="JA315" s="122"/>
      <c r="JB315" s="122"/>
      <c r="JC315" s="122"/>
      <c r="JD315" s="122"/>
      <c r="JE315" s="122"/>
      <c r="JF315" s="122"/>
      <c r="JG315" s="122"/>
      <c r="JH315" s="122"/>
      <c r="JI315" s="119"/>
      <c r="JJ315" s="2"/>
      <c r="JK315" s="122"/>
      <c r="JL315" s="125"/>
      <c r="JM315" s="125"/>
      <c r="JN315" s="125"/>
      <c r="JO315" s="125"/>
      <c r="JP315" s="125"/>
    </row>
    <row r="316" spans="1:27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  <c r="AP316" s="122"/>
      <c r="AQ316" s="122"/>
      <c r="AR316" s="122"/>
      <c r="AS316" s="122"/>
      <c r="AT316" s="122"/>
      <c r="AU316" s="122"/>
      <c r="AV316" s="122"/>
      <c r="AW316" s="122"/>
      <c r="AX316" s="122"/>
      <c r="AY316" s="122"/>
      <c r="AZ316" s="122"/>
      <c r="BA316" s="122"/>
      <c r="BB316" s="122"/>
      <c r="BC316" s="122"/>
      <c r="BD316" s="122"/>
      <c r="BE316" s="122"/>
      <c r="BF316" s="122"/>
      <c r="BG316" s="122"/>
      <c r="BH316" s="122"/>
      <c r="BI316" s="122"/>
      <c r="BJ316" s="122"/>
      <c r="BK316" s="122"/>
      <c r="BL316" s="122"/>
      <c r="BM316" s="122"/>
      <c r="BN316" s="122"/>
      <c r="BO316" s="122"/>
      <c r="BP316" s="122"/>
      <c r="BQ316" s="122"/>
      <c r="BR316" s="122"/>
      <c r="BS316" s="122"/>
      <c r="BT316" s="122"/>
      <c r="BU316" s="122"/>
      <c r="BV316" s="122"/>
      <c r="BW316" s="122"/>
      <c r="BX316" s="122"/>
      <c r="BY316" s="122"/>
      <c r="BZ316" s="122"/>
      <c r="CA316" s="122"/>
      <c r="CB316" s="122"/>
      <c r="CC316" s="122"/>
      <c r="CD316" s="122"/>
      <c r="CE316" s="122"/>
      <c r="CF316" s="122"/>
      <c r="CG316" s="122"/>
      <c r="CH316" s="122"/>
      <c r="CI316" s="122"/>
      <c r="CJ316" s="122"/>
      <c r="CK316" s="122"/>
      <c r="CL316" s="122"/>
      <c r="CM316" s="122"/>
      <c r="CN316" s="122"/>
      <c r="CO316" s="122"/>
      <c r="CP316" s="122"/>
      <c r="CQ316" s="122"/>
      <c r="CR316" s="122"/>
      <c r="CS316" s="122"/>
      <c r="CT316" s="122"/>
      <c r="CU316" s="122"/>
      <c r="CV316" s="122"/>
      <c r="CW316" s="122"/>
      <c r="CX316" s="122"/>
      <c r="CY316" s="122"/>
      <c r="CZ316" s="122"/>
      <c r="DA316" s="122"/>
      <c r="DB316" s="122"/>
      <c r="DC316" s="122"/>
      <c r="DD316" s="122"/>
      <c r="DE316" s="122"/>
      <c r="DF316" s="122"/>
      <c r="DG316" s="122"/>
      <c r="DH316" s="122"/>
      <c r="DI316" s="122"/>
      <c r="DJ316" s="122"/>
      <c r="DK316" s="122"/>
      <c r="DL316" s="122"/>
      <c r="DM316" s="122"/>
      <c r="DN316" s="122"/>
      <c r="DO316" s="122"/>
      <c r="DP316" s="122"/>
      <c r="DQ316" s="122"/>
      <c r="DR316" s="122"/>
      <c r="DS316" s="122"/>
      <c r="DT316" s="122"/>
      <c r="DU316" s="122"/>
      <c r="DV316" s="122"/>
      <c r="DW316" s="122"/>
      <c r="DX316" s="122"/>
      <c r="DY316" s="122"/>
      <c r="DZ316" s="122"/>
      <c r="EA316" s="122"/>
      <c r="EB316" s="122"/>
      <c r="EC316" s="122"/>
      <c r="ED316" s="122"/>
      <c r="EE316" s="122"/>
      <c r="EF316" s="122"/>
      <c r="EG316" s="122"/>
      <c r="EH316" s="122"/>
      <c r="EI316" s="122"/>
      <c r="EJ316" s="122"/>
      <c r="EK316" s="122"/>
      <c r="EL316" s="122"/>
      <c r="EM316" s="122"/>
      <c r="EN316" s="122"/>
      <c r="EO316" s="122"/>
      <c r="EP316" s="122"/>
      <c r="EQ316" s="122"/>
      <c r="ER316" s="122"/>
      <c r="ES316" s="122"/>
      <c r="ET316" s="122"/>
      <c r="EU316" s="122"/>
      <c r="EV316" s="122"/>
      <c r="EW316" s="122"/>
      <c r="EX316" s="122"/>
      <c r="EY316" s="122"/>
      <c r="EZ316" s="122"/>
      <c r="FA316" s="122"/>
      <c r="FB316" s="122"/>
      <c r="FC316" s="122"/>
      <c r="FD316" s="122"/>
      <c r="FE316" s="122"/>
      <c r="FF316" s="122"/>
      <c r="FG316" s="122"/>
      <c r="FH316" s="122"/>
      <c r="FI316" s="122"/>
      <c r="FJ316" s="122"/>
      <c r="FK316" s="122"/>
      <c r="FL316" s="122"/>
      <c r="FM316" s="122"/>
      <c r="FN316" s="122"/>
      <c r="FO316" s="122"/>
      <c r="FP316" s="122"/>
      <c r="FQ316" s="122"/>
      <c r="FR316" s="122"/>
      <c r="FS316" s="122"/>
      <c r="FT316" s="122"/>
      <c r="FU316" s="122"/>
      <c r="FV316" s="122"/>
      <c r="FW316" s="122"/>
      <c r="FX316" s="122"/>
      <c r="FY316" s="122"/>
      <c r="FZ316" s="122"/>
      <c r="GA316" s="122"/>
      <c r="GB316" s="122"/>
      <c r="GC316" s="122"/>
      <c r="GD316" s="122"/>
      <c r="GE316" s="122"/>
      <c r="GF316" s="122"/>
      <c r="GG316" s="122"/>
      <c r="GH316" s="122"/>
      <c r="GI316" s="122"/>
      <c r="GJ316" s="122"/>
      <c r="GK316" s="122"/>
      <c r="GL316" s="122"/>
      <c r="GM316" s="122"/>
      <c r="GN316" s="122"/>
      <c r="GO316" s="122"/>
      <c r="GP316" s="122"/>
      <c r="GQ316" s="122"/>
      <c r="GR316" s="122"/>
      <c r="GS316" s="122"/>
      <c r="GT316" s="122"/>
      <c r="GU316" s="122"/>
      <c r="GV316" s="122"/>
      <c r="GW316" s="122"/>
      <c r="GX316" s="122"/>
      <c r="GY316" s="122"/>
      <c r="GZ316" s="122"/>
      <c r="HA316" s="122"/>
      <c r="HB316" s="122"/>
      <c r="HC316" s="122"/>
      <c r="HD316" s="122"/>
      <c r="HE316" s="122"/>
      <c r="HF316" s="122"/>
      <c r="HG316" s="122"/>
      <c r="HH316" s="122"/>
      <c r="HI316" s="122"/>
      <c r="HJ316" s="122"/>
      <c r="HK316" s="122"/>
      <c r="HL316" s="122"/>
      <c r="HM316" s="122"/>
      <c r="HN316" s="122"/>
      <c r="HO316" s="122"/>
      <c r="HP316" s="122"/>
      <c r="HQ316" s="122"/>
      <c r="HR316" s="122"/>
      <c r="HS316" s="122"/>
      <c r="HT316" s="122"/>
      <c r="HU316" s="122"/>
      <c r="HV316" s="122"/>
      <c r="HW316" s="122"/>
      <c r="HX316" s="122"/>
      <c r="HY316" s="122"/>
      <c r="HZ316" s="122"/>
      <c r="IA316" s="122"/>
      <c r="IB316" s="122"/>
      <c r="IC316" s="122"/>
      <c r="ID316" s="122"/>
      <c r="IE316" s="122"/>
      <c r="IF316" s="122"/>
      <c r="IG316" s="122"/>
      <c r="IH316" s="122"/>
      <c r="II316" s="122"/>
      <c r="IJ316" s="122"/>
      <c r="IK316" s="122"/>
      <c r="IL316" s="122"/>
      <c r="IM316" s="122"/>
      <c r="IN316" s="122"/>
      <c r="IO316" s="122"/>
      <c r="IP316" s="122"/>
      <c r="IQ316" s="122"/>
      <c r="IR316" s="122"/>
      <c r="IS316" s="122"/>
      <c r="IT316" s="122"/>
      <c r="IU316" s="122"/>
      <c r="IV316" s="122"/>
      <c r="IW316" s="122"/>
      <c r="IX316" s="122"/>
      <c r="IY316" s="122"/>
      <c r="IZ316" s="122"/>
      <c r="JA316" s="122"/>
      <c r="JB316" s="122"/>
      <c r="JC316" s="122"/>
      <c r="JD316" s="122"/>
      <c r="JE316" s="122"/>
      <c r="JF316" s="122"/>
      <c r="JG316" s="122"/>
      <c r="JH316" s="122"/>
      <c r="JI316" s="119"/>
      <c r="JJ316" s="2"/>
      <c r="JK316" s="122"/>
      <c r="JL316" s="125"/>
      <c r="JM316" s="125"/>
      <c r="JN316" s="125"/>
      <c r="JO316" s="125"/>
      <c r="JP316" s="125"/>
    </row>
    <row r="317" spans="1:276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  <c r="AP317" s="122"/>
      <c r="AQ317" s="122"/>
      <c r="AR317" s="122"/>
      <c r="AS317" s="122"/>
      <c r="AT317" s="122"/>
      <c r="AU317" s="122"/>
      <c r="AV317" s="122"/>
      <c r="AW317" s="122"/>
      <c r="AX317" s="122"/>
      <c r="AY317" s="122"/>
      <c r="AZ317" s="122"/>
      <c r="BA317" s="122"/>
      <c r="BB317" s="122"/>
      <c r="BC317" s="122"/>
      <c r="BD317" s="122"/>
      <c r="BE317" s="122"/>
      <c r="BF317" s="122"/>
      <c r="BG317" s="122"/>
      <c r="BH317" s="122"/>
      <c r="BI317" s="122"/>
      <c r="BJ317" s="122"/>
      <c r="BK317" s="122"/>
      <c r="BL317" s="122"/>
      <c r="BM317" s="122"/>
      <c r="BN317" s="122"/>
      <c r="BO317" s="122"/>
      <c r="BP317" s="122"/>
      <c r="BQ317" s="122"/>
      <c r="BR317" s="122"/>
      <c r="BS317" s="122"/>
      <c r="BT317" s="122"/>
      <c r="BU317" s="122"/>
      <c r="BV317" s="122"/>
      <c r="BW317" s="122"/>
      <c r="BX317" s="122"/>
      <c r="BY317" s="122"/>
      <c r="BZ317" s="122"/>
      <c r="CA317" s="122"/>
      <c r="CB317" s="122"/>
      <c r="CC317" s="122"/>
      <c r="CD317" s="122"/>
      <c r="CE317" s="122"/>
      <c r="CF317" s="122"/>
      <c r="CG317" s="122"/>
      <c r="CH317" s="122"/>
      <c r="CI317" s="122"/>
      <c r="CJ317" s="122"/>
      <c r="CK317" s="122"/>
      <c r="CL317" s="122"/>
      <c r="CM317" s="122"/>
      <c r="CN317" s="122"/>
      <c r="CO317" s="122"/>
      <c r="CP317" s="122"/>
      <c r="CQ317" s="122"/>
      <c r="CR317" s="122"/>
      <c r="CS317" s="122"/>
      <c r="CT317" s="122"/>
      <c r="CU317" s="122"/>
      <c r="CV317" s="122"/>
      <c r="CW317" s="122"/>
      <c r="CX317" s="122"/>
      <c r="CY317" s="122"/>
      <c r="CZ317" s="122"/>
      <c r="DA317" s="122"/>
      <c r="DB317" s="122"/>
      <c r="DC317" s="122"/>
      <c r="DD317" s="122"/>
      <c r="DE317" s="122"/>
      <c r="DF317" s="122"/>
      <c r="DG317" s="122"/>
      <c r="DH317" s="122"/>
      <c r="DI317" s="122"/>
      <c r="DJ317" s="122"/>
      <c r="DK317" s="122"/>
      <c r="DL317" s="122"/>
      <c r="DM317" s="122"/>
      <c r="DN317" s="122"/>
      <c r="DO317" s="122"/>
      <c r="DP317" s="122"/>
      <c r="DQ317" s="122"/>
      <c r="DR317" s="122"/>
      <c r="DS317" s="122"/>
      <c r="DT317" s="122"/>
      <c r="DU317" s="122"/>
      <c r="DV317" s="122"/>
      <c r="DW317" s="122"/>
      <c r="DX317" s="122"/>
      <c r="DY317" s="122"/>
      <c r="DZ317" s="122"/>
      <c r="EA317" s="122"/>
      <c r="EB317" s="122"/>
      <c r="EC317" s="122"/>
      <c r="ED317" s="122"/>
      <c r="EE317" s="122"/>
      <c r="EF317" s="122"/>
      <c r="EG317" s="122"/>
      <c r="EH317" s="122"/>
      <c r="EI317" s="122"/>
      <c r="EJ317" s="122"/>
      <c r="EK317" s="122"/>
      <c r="EL317" s="122"/>
      <c r="EM317" s="122"/>
      <c r="EN317" s="122"/>
      <c r="EO317" s="122"/>
      <c r="EP317" s="122"/>
      <c r="EQ317" s="122"/>
      <c r="ER317" s="122"/>
      <c r="ES317" s="122"/>
      <c r="ET317" s="122"/>
      <c r="EU317" s="122"/>
      <c r="EV317" s="122"/>
      <c r="EW317" s="122"/>
      <c r="EX317" s="122"/>
      <c r="EY317" s="122"/>
      <c r="EZ317" s="122"/>
      <c r="FA317" s="122"/>
      <c r="FB317" s="122"/>
      <c r="FC317" s="122"/>
      <c r="FD317" s="122"/>
      <c r="FE317" s="122"/>
      <c r="FF317" s="122"/>
      <c r="FG317" s="122"/>
      <c r="FH317" s="122"/>
      <c r="FI317" s="122"/>
      <c r="FJ317" s="122"/>
      <c r="FK317" s="122"/>
      <c r="FL317" s="122"/>
      <c r="FM317" s="122"/>
      <c r="FN317" s="122"/>
      <c r="FO317" s="122"/>
      <c r="FP317" s="122"/>
      <c r="FQ317" s="122"/>
      <c r="FR317" s="122"/>
      <c r="FS317" s="122"/>
      <c r="FT317" s="122"/>
      <c r="FU317" s="122"/>
      <c r="FV317" s="122"/>
      <c r="FW317" s="122"/>
      <c r="FX317" s="122"/>
      <c r="FY317" s="122"/>
      <c r="FZ317" s="122"/>
      <c r="GA317" s="122"/>
      <c r="GB317" s="122"/>
      <c r="GC317" s="122"/>
      <c r="GD317" s="122"/>
      <c r="GE317" s="122"/>
      <c r="GF317" s="122"/>
      <c r="GG317" s="122"/>
      <c r="GH317" s="122"/>
      <c r="GI317" s="122"/>
      <c r="GJ317" s="122"/>
      <c r="GK317" s="122"/>
      <c r="GL317" s="122"/>
      <c r="GM317" s="122"/>
      <c r="GN317" s="122"/>
      <c r="GO317" s="122"/>
      <c r="GP317" s="122"/>
      <c r="GQ317" s="122"/>
      <c r="GR317" s="122"/>
      <c r="GS317" s="122"/>
      <c r="GT317" s="122"/>
      <c r="GU317" s="122"/>
      <c r="GV317" s="122"/>
      <c r="GW317" s="122"/>
      <c r="GX317" s="122"/>
      <c r="GY317" s="122"/>
      <c r="GZ317" s="122"/>
      <c r="HA317" s="122"/>
      <c r="HB317" s="122"/>
      <c r="HC317" s="122"/>
      <c r="HD317" s="122"/>
      <c r="HE317" s="122"/>
      <c r="HF317" s="122"/>
      <c r="HG317" s="122"/>
      <c r="HH317" s="122"/>
      <c r="HI317" s="122"/>
      <c r="HJ317" s="122"/>
      <c r="HK317" s="122"/>
      <c r="HL317" s="122"/>
      <c r="HM317" s="122"/>
      <c r="HN317" s="122"/>
      <c r="HO317" s="122"/>
      <c r="HP317" s="122"/>
      <c r="HQ317" s="122"/>
      <c r="HR317" s="122"/>
      <c r="HS317" s="122"/>
      <c r="HT317" s="122"/>
      <c r="HU317" s="122"/>
      <c r="HV317" s="122"/>
      <c r="HW317" s="122"/>
      <c r="HX317" s="122"/>
      <c r="HY317" s="122"/>
      <c r="HZ317" s="122"/>
      <c r="IA317" s="122"/>
      <c r="IB317" s="122"/>
      <c r="IC317" s="122"/>
      <c r="ID317" s="122"/>
      <c r="IE317" s="122"/>
      <c r="IF317" s="122"/>
      <c r="IG317" s="122"/>
      <c r="IH317" s="122"/>
      <c r="II317" s="122"/>
      <c r="IJ317" s="122"/>
      <c r="IK317" s="122"/>
      <c r="IL317" s="122"/>
      <c r="IM317" s="122"/>
      <c r="IN317" s="122"/>
      <c r="IO317" s="122"/>
      <c r="IP317" s="122"/>
      <c r="IQ317" s="122"/>
      <c r="IR317" s="122"/>
      <c r="IS317" s="122"/>
      <c r="IT317" s="122"/>
      <c r="IU317" s="122"/>
      <c r="IV317" s="122"/>
      <c r="IW317" s="122"/>
      <c r="IX317" s="122"/>
      <c r="IY317" s="122"/>
      <c r="IZ317" s="122"/>
      <c r="JA317" s="122"/>
      <c r="JB317" s="122"/>
      <c r="JC317" s="122"/>
      <c r="JD317" s="122"/>
      <c r="JE317" s="122"/>
      <c r="JF317" s="122"/>
      <c r="JG317" s="122"/>
      <c r="JH317" s="122"/>
      <c r="JI317" s="119"/>
      <c r="JJ317" s="2"/>
      <c r="JK317" s="122"/>
      <c r="JL317" s="125"/>
      <c r="JM317" s="125"/>
      <c r="JN317" s="125"/>
      <c r="JO317" s="125"/>
      <c r="JP317" s="125"/>
    </row>
    <row r="318" spans="1:276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  <c r="AP318" s="122"/>
      <c r="AQ318" s="122"/>
      <c r="AR318" s="122"/>
      <c r="AS318" s="122"/>
      <c r="AT318" s="122"/>
      <c r="AU318" s="122"/>
      <c r="AV318" s="122"/>
      <c r="AW318" s="122"/>
      <c r="AX318" s="122"/>
      <c r="AY318" s="122"/>
      <c r="AZ318" s="122"/>
      <c r="BA318" s="122"/>
      <c r="BB318" s="122"/>
      <c r="BC318" s="122"/>
      <c r="BD318" s="122"/>
      <c r="BE318" s="122"/>
      <c r="BF318" s="122"/>
      <c r="BG318" s="122"/>
      <c r="BH318" s="122"/>
      <c r="BI318" s="122"/>
      <c r="BJ318" s="122"/>
      <c r="BK318" s="122"/>
      <c r="BL318" s="122"/>
      <c r="BM318" s="122"/>
      <c r="BN318" s="122"/>
      <c r="BO318" s="122"/>
      <c r="BP318" s="122"/>
      <c r="BQ318" s="122"/>
      <c r="BR318" s="122"/>
      <c r="BS318" s="122"/>
      <c r="BT318" s="122"/>
      <c r="BU318" s="122"/>
      <c r="BV318" s="122"/>
      <c r="BW318" s="122"/>
      <c r="BX318" s="122"/>
      <c r="BY318" s="122"/>
      <c r="BZ318" s="122"/>
      <c r="CA318" s="122"/>
      <c r="CB318" s="122"/>
      <c r="CC318" s="122"/>
      <c r="CD318" s="122"/>
      <c r="CE318" s="122"/>
      <c r="CF318" s="122"/>
      <c r="CG318" s="122"/>
      <c r="CH318" s="122"/>
      <c r="CI318" s="122"/>
      <c r="CJ318" s="122"/>
      <c r="CK318" s="122"/>
      <c r="CL318" s="122"/>
      <c r="CM318" s="122"/>
      <c r="CN318" s="122"/>
      <c r="CO318" s="122"/>
      <c r="CP318" s="122"/>
      <c r="CQ318" s="122"/>
      <c r="CR318" s="122"/>
      <c r="CS318" s="122"/>
      <c r="CT318" s="122"/>
      <c r="CU318" s="122"/>
      <c r="CV318" s="122"/>
      <c r="CW318" s="122"/>
      <c r="CX318" s="122"/>
      <c r="CY318" s="122"/>
      <c r="CZ318" s="122"/>
      <c r="DA318" s="122"/>
      <c r="DB318" s="122"/>
      <c r="DC318" s="122"/>
      <c r="DD318" s="122"/>
      <c r="DE318" s="122"/>
      <c r="DF318" s="122"/>
      <c r="DG318" s="122"/>
      <c r="DH318" s="122"/>
      <c r="DI318" s="122"/>
      <c r="DJ318" s="122"/>
      <c r="DK318" s="122"/>
      <c r="DL318" s="122"/>
      <c r="DM318" s="122"/>
      <c r="DN318" s="122"/>
      <c r="DO318" s="122"/>
      <c r="DP318" s="122"/>
      <c r="DQ318" s="122"/>
      <c r="DR318" s="122"/>
      <c r="DS318" s="122"/>
      <c r="DT318" s="122"/>
      <c r="DU318" s="122"/>
      <c r="DV318" s="122"/>
      <c r="DW318" s="122"/>
      <c r="DX318" s="122"/>
      <c r="DY318" s="122"/>
      <c r="DZ318" s="122"/>
      <c r="EA318" s="122"/>
      <c r="EB318" s="122"/>
      <c r="EC318" s="122"/>
      <c r="ED318" s="122"/>
      <c r="EE318" s="122"/>
      <c r="EF318" s="122"/>
      <c r="EG318" s="122"/>
      <c r="EH318" s="122"/>
      <c r="EI318" s="122"/>
      <c r="EJ318" s="122"/>
      <c r="EK318" s="122"/>
      <c r="EL318" s="122"/>
      <c r="EM318" s="122"/>
      <c r="EN318" s="122"/>
      <c r="EO318" s="122"/>
      <c r="EP318" s="122"/>
      <c r="EQ318" s="122"/>
      <c r="ER318" s="122"/>
      <c r="ES318" s="122"/>
      <c r="ET318" s="122"/>
      <c r="EU318" s="122"/>
      <c r="EV318" s="122"/>
      <c r="EW318" s="122"/>
      <c r="EX318" s="122"/>
      <c r="EY318" s="122"/>
      <c r="EZ318" s="122"/>
      <c r="FA318" s="122"/>
      <c r="FB318" s="122"/>
      <c r="FC318" s="122"/>
      <c r="FD318" s="122"/>
      <c r="FE318" s="122"/>
      <c r="FF318" s="122"/>
      <c r="FG318" s="122"/>
      <c r="FH318" s="122"/>
      <c r="FI318" s="122"/>
      <c r="FJ318" s="122"/>
      <c r="FK318" s="122"/>
      <c r="FL318" s="122"/>
      <c r="FM318" s="122"/>
      <c r="FN318" s="122"/>
      <c r="FO318" s="122"/>
      <c r="FP318" s="122"/>
      <c r="FQ318" s="122"/>
      <c r="FR318" s="122"/>
      <c r="FS318" s="122"/>
      <c r="FT318" s="122"/>
      <c r="FU318" s="122"/>
      <c r="FV318" s="122"/>
      <c r="FW318" s="122"/>
      <c r="FX318" s="122"/>
      <c r="FY318" s="122"/>
      <c r="FZ318" s="122"/>
      <c r="GA318" s="122"/>
      <c r="GB318" s="122"/>
      <c r="GC318" s="122"/>
      <c r="GD318" s="122"/>
      <c r="GE318" s="122"/>
      <c r="GF318" s="122"/>
      <c r="GG318" s="122"/>
      <c r="GH318" s="122"/>
      <c r="GI318" s="122"/>
      <c r="GJ318" s="122"/>
      <c r="GK318" s="122"/>
      <c r="GL318" s="122"/>
      <c r="GM318" s="122"/>
      <c r="GN318" s="122"/>
      <c r="GO318" s="122"/>
      <c r="GP318" s="122"/>
      <c r="GQ318" s="122"/>
      <c r="GR318" s="122"/>
      <c r="GS318" s="122"/>
      <c r="GT318" s="122"/>
      <c r="GU318" s="122"/>
      <c r="GV318" s="122"/>
      <c r="GW318" s="122"/>
      <c r="GX318" s="122"/>
      <c r="GY318" s="122"/>
      <c r="GZ318" s="122"/>
      <c r="HA318" s="122"/>
      <c r="HB318" s="122"/>
      <c r="HC318" s="122"/>
      <c r="HD318" s="122"/>
      <c r="HE318" s="122"/>
      <c r="HF318" s="122"/>
      <c r="HG318" s="122"/>
      <c r="HH318" s="122"/>
      <c r="HI318" s="122"/>
      <c r="HJ318" s="122"/>
      <c r="HK318" s="122"/>
      <c r="HL318" s="122"/>
      <c r="HM318" s="122"/>
      <c r="HN318" s="122"/>
      <c r="HO318" s="122"/>
      <c r="HP318" s="122"/>
      <c r="HQ318" s="122"/>
      <c r="HR318" s="122"/>
      <c r="HS318" s="122"/>
      <c r="HT318" s="122"/>
      <c r="HU318" s="122"/>
      <c r="HV318" s="122"/>
      <c r="HW318" s="122"/>
      <c r="HX318" s="122"/>
      <c r="HY318" s="122"/>
      <c r="HZ318" s="122"/>
      <c r="IA318" s="122"/>
      <c r="IB318" s="122"/>
      <c r="IC318" s="122"/>
      <c r="ID318" s="122"/>
      <c r="IE318" s="122"/>
      <c r="IF318" s="122"/>
      <c r="IG318" s="122"/>
      <c r="IH318" s="122"/>
      <c r="II318" s="122"/>
      <c r="IJ318" s="122"/>
      <c r="IK318" s="122"/>
      <c r="IL318" s="122"/>
      <c r="IM318" s="122"/>
      <c r="IN318" s="122"/>
      <c r="IO318" s="122"/>
      <c r="IP318" s="122"/>
      <c r="IQ318" s="122"/>
      <c r="IR318" s="122"/>
      <c r="IS318" s="122"/>
      <c r="IT318" s="122"/>
      <c r="IU318" s="122"/>
      <c r="IV318" s="122"/>
      <c r="IW318" s="122"/>
      <c r="IX318" s="122"/>
      <c r="IY318" s="122"/>
      <c r="IZ318" s="122"/>
      <c r="JA318" s="122"/>
      <c r="JB318" s="122"/>
      <c r="JC318" s="122"/>
      <c r="JD318" s="122"/>
      <c r="JE318" s="122"/>
      <c r="JF318" s="122"/>
      <c r="JG318" s="122"/>
      <c r="JH318" s="122"/>
      <c r="JI318" s="119"/>
      <c r="JJ318" s="2"/>
      <c r="JK318" s="122"/>
      <c r="JL318" s="125"/>
      <c r="JM318" s="125"/>
      <c r="JN318" s="125"/>
      <c r="JO318" s="125"/>
      <c r="JP318" s="125"/>
    </row>
    <row r="319" spans="1:276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  <c r="AP319" s="122"/>
      <c r="AQ319" s="122"/>
      <c r="AR319" s="122"/>
      <c r="AS319" s="122"/>
      <c r="AT319" s="122"/>
      <c r="AU319" s="122"/>
      <c r="AV319" s="122"/>
      <c r="AW319" s="122"/>
      <c r="AX319" s="122"/>
      <c r="AY319" s="122"/>
      <c r="AZ319" s="122"/>
      <c r="BA319" s="122"/>
      <c r="BB319" s="122"/>
      <c r="BC319" s="122"/>
      <c r="BD319" s="122"/>
      <c r="BE319" s="122"/>
      <c r="BF319" s="122"/>
      <c r="BG319" s="122"/>
      <c r="BH319" s="122"/>
      <c r="BI319" s="122"/>
      <c r="BJ319" s="122"/>
      <c r="BK319" s="122"/>
      <c r="BL319" s="122"/>
      <c r="BM319" s="122"/>
      <c r="BN319" s="122"/>
      <c r="BO319" s="122"/>
      <c r="BP319" s="122"/>
      <c r="BQ319" s="122"/>
      <c r="BR319" s="122"/>
      <c r="BS319" s="122"/>
      <c r="BT319" s="122"/>
      <c r="BU319" s="122"/>
      <c r="BV319" s="122"/>
      <c r="BW319" s="122"/>
      <c r="BX319" s="122"/>
      <c r="BY319" s="122"/>
      <c r="BZ319" s="122"/>
      <c r="CA319" s="122"/>
      <c r="CB319" s="122"/>
      <c r="CC319" s="122"/>
      <c r="CD319" s="122"/>
      <c r="CE319" s="122"/>
      <c r="CF319" s="122"/>
      <c r="CG319" s="122"/>
      <c r="CH319" s="122"/>
      <c r="CI319" s="122"/>
      <c r="CJ319" s="122"/>
      <c r="CK319" s="122"/>
      <c r="CL319" s="122"/>
      <c r="CM319" s="122"/>
      <c r="CN319" s="122"/>
      <c r="CO319" s="122"/>
      <c r="CP319" s="122"/>
      <c r="CQ319" s="122"/>
      <c r="CR319" s="122"/>
      <c r="CS319" s="122"/>
      <c r="CT319" s="122"/>
      <c r="CU319" s="122"/>
      <c r="CV319" s="122"/>
      <c r="CW319" s="122"/>
      <c r="CX319" s="122"/>
      <c r="CY319" s="122"/>
      <c r="CZ319" s="122"/>
      <c r="DA319" s="122"/>
      <c r="DB319" s="122"/>
      <c r="DC319" s="122"/>
      <c r="DD319" s="122"/>
      <c r="DE319" s="122"/>
      <c r="DF319" s="122"/>
      <c r="DG319" s="122"/>
      <c r="DH319" s="122"/>
      <c r="DI319" s="122"/>
      <c r="DJ319" s="122"/>
      <c r="DK319" s="122"/>
      <c r="DL319" s="122"/>
      <c r="DM319" s="122"/>
      <c r="DN319" s="122"/>
      <c r="DO319" s="122"/>
      <c r="DP319" s="122"/>
      <c r="DQ319" s="122"/>
      <c r="DR319" s="122"/>
      <c r="DS319" s="122"/>
      <c r="DT319" s="122"/>
      <c r="DU319" s="122"/>
      <c r="DV319" s="122"/>
      <c r="DW319" s="122"/>
      <c r="DX319" s="122"/>
      <c r="DY319" s="122"/>
      <c r="DZ319" s="122"/>
      <c r="EA319" s="122"/>
      <c r="EB319" s="122"/>
      <c r="EC319" s="122"/>
      <c r="ED319" s="122"/>
      <c r="EE319" s="122"/>
      <c r="EF319" s="122"/>
      <c r="EG319" s="122"/>
      <c r="EH319" s="122"/>
      <c r="EI319" s="122"/>
      <c r="EJ319" s="122"/>
      <c r="EK319" s="122"/>
      <c r="EL319" s="122"/>
      <c r="EM319" s="122"/>
      <c r="EN319" s="122"/>
      <c r="EO319" s="122"/>
      <c r="EP319" s="122"/>
      <c r="EQ319" s="122"/>
      <c r="ER319" s="122"/>
      <c r="ES319" s="122"/>
      <c r="ET319" s="122"/>
      <c r="EU319" s="122"/>
      <c r="EV319" s="122"/>
      <c r="EW319" s="122"/>
      <c r="EX319" s="122"/>
      <c r="EY319" s="122"/>
      <c r="EZ319" s="122"/>
      <c r="FA319" s="122"/>
      <c r="FB319" s="122"/>
      <c r="FC319" s="122"/>
      <c r="FD319" s="122"/>
      <c r="FE319" s="122"/>
      <c r="FF319" s="122"/>
      <c r="FG319" s="122"/>
      <c r="FH319" s="122"/>
      <c r="FI319" s="122"/>
      <c r="FJ319" s="122"/>
      <c r="FK319" s="122"/>
      <c r="FL319" s="122"/>
      <c r="FM319" s="122"/>
      <c r="FN319" s="122"/>
      <c r="FO319" s="122"/>
      <c r="FP319" s="122"/>
      <c r="FQ319" s="122"/>
      <c r="FR319" s="122"/>
      <c r="FS319" s="122"/>
      <c r="FT319" s="122"/>
      <c r="FU319" s="122"/>
      <c r="FV319" s="122"/>
      <c r="FW319" s="122"/>
      <c r="FX319" s="122"/>
      <c r="FY319" s="122"/>
      <c r="FZ319" s="122"/>
      <c r="GA319" s="122"/>
      <c r="GB319" s="122"/>
      <c r="GC319" s="122"/>
      <c r="GD319" s="122"/>
      <c r="GE319" s="122"/>
      <c r="GF319" s="122"/>
      <c r="GG319" s="122"/>
      <c r="GH319" s="122"/>
      <c r="GI319" s="122"/>
      <c r="GJ319" s="122"/>
      <c r="GK319" s="122"/>
      <c r="GL319" s="122"/>
      <c r="GM319" s="122"/>
      <c r="GN319" s="122"/>
      <c r="GO319" s="122"/>
      <c r="GP319" s="122"/>
      <c r="GQ319" s="122"/>
      <c r="GR319" s="122"/>
      <c r="GS319" s="122"/>
      <c r="GT319" s="122"/>
      <c r="GU319" s="122"/>
      <c r="GV319" s="122"/>
      <c r="GW319" s="122"/>
      <c r="GX319" s="122"/>
      <c r="GY319" s="122"/>
      <c r="GZ319" s="122"/>
      <c r="HA319" s="122"/>
      <c r="HB319" s="122"/>
      <c r="HC319" s="122"/>
      <c r="HD319" s="122"/>
      <c r="HE319" s="122"/>
      <c r="HF319" s="122"/>
      <c r="HG319" s="122"/>
      <c r="HH319" s="122"/>
      <c r="HI319" s="122"/>
      <c r="HJ319" s="122"/>
      <c r="HK319" s="122"/>
      <c r="HL319" s="122"/>
      <c r="HM319" s="122"/>
      <c r="HN319" s="122"/>
      <c r="HO319" s="122"/>
      <c r="HP319" s="122"/>
      <c r="HQ319" s="122"/>
      <c r="HR319" s="122"/>
      <c r="HS319" s="122"/>
      <c r="HT319" s="122"/>
      <c r="HU319" s="122"/>
      <c r="HV319" s="122"/>
      <c r="HW319" s="122"/>
      <c r="HX319" s="122"/>
      <c r="HY319" s="122"/>
      <c r="HZ319" s="122"/>
      <c r="IA319" s="122"/>
      <c r="IB319" s="122"/>
      <c r="IC319" s="122"/>
      <c r="ID319" s="122"/>
      <c r="IE319" s="122"/>
      <c r="IF319" s="122"/>
      <c r="IG319" s="122"/>
      <c r="IH319" s="122"/>
      <c r="II319" s="122"/>
      <c r="IJ319" s="122"/>
      <c r="IK319" s="122"/>
      <c r="IL319" s="122"/>
      <c r="IM319" s="122"/>
      <c r="IN319" s="122"/>
      <c r="IO319" s="122"/>
      <c r="IP319" s="122"/>
      <c r="IQ319" s="122"/>
      <c r="IR319" s="122"/>
      <c r="IS319" s="122"/>
      <c r="IT319" s="122"/>
      <c r="IU319" s="122"/>
      <c r="IV319" s="122"/>
      <c r="IW319" s="122"/>
      <c r="IX319" s="122"/>
      <c r="IY319" s="122"/>
      <c r="IZ319" s="122"/>
      <c r="JA319" s="122"/>
      <c r="JB319" s="122"/>
      <c r="JC319" s="122"/>
      <c r="JD319" s="122"/>
      <c r="JE319" s="122"/>
      <c r="JF319" s="122"/>
      <c r="JG319" s="122"/>
      <c r="JH319" s="122"/>
      <c r="JI319" s="119"/>
      <c r="JJ319" s="2"/>
      <c r="JK319" s="122"/>
      <c r="JL319" s="125"/>
      <c r="JM319" s="125"/>
      <c r="JN319" s="125"/>
      <c r="JO319" s="125"/>
      <c r="JP319" s="125"/>
    </row>
    <row r="320" spans="1:276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  <c r="AP320" s="122"/>
      <c r="AQ320" s="122"/>
      <c r="AR320" s="122"/>
      <c r="AS320" s="122"/>
      <c r="AT320" s="122"/>
      <c r="AU320" s="122"/>
      <c r="AV320" s="122"/>
      <c r="AW320" s="122"/>
      <c r="AX320" s="122"/>
      <c r="AY320" s="122"/>
      <c r="AZ320" s="122"/>
      <c r="BA320" s="122"/>
      <c r="BB320" s="122"/>
      <c r="BC320" s="122"/>
      <c r="BD320" s="122"/>
      <c r="BE320" s="122"/>
      <c r="BF320" s="122"/>
      <c r="BG320" s="122"/>
      <c r="BH320" s="122"/>
      <c r="BI320" s="122"/>
      <c r="BJ320" s="122"/>
      <c r="BK320" s="122"/>
      <c r="BL320" s="122"/>
      <c r="BM320" s="122"/>
      <c r="BN320" s="122"/>
      <c r="BO320" s="122"/>
      <c r="BP320" s="122"/>
      <c r="BQ320" s="122"/>
      <c r="BR320" s="122"/>
      <c r="BS320" s="122"/>
      <c r="BT320" s="122"/>
      <c r="BU320" s="122"/>
      <c r="BV320" s="122"/>
      <c r="BW320" s="122"/>
      <c r="BX320" s="122"/>
      <c r="BY320" s="122"/>
      <c r="BZ320" s="122"/>
      <c r="CA320" s="122"/>
      <c r="CB320" s="122"/>
      <c r="CC320" s="122"/>
      <c r="CD320" s="122"/>
      <c r="CE320" s="122"/>
      <c r="CF320" s="122"/>
      <c r="CG320" s="122"/>
      <c r="CH320" s="122"/>
      <c r="CI320" s="122"/>
      <c r="CJ320" s="122"/>
      <c r="CK320" s="122"/>
      <c r="CL320" s="122"/>
      <c r="CM320" s="122"/>
      <c r="CN320" s="122"/>
      <c r="CO320" s="122"/>
      <c r="CP320" s="122"/>
      <c r="CQ320" s="122"/>
      <c r="CR320" s="122"/>
      <c r="CS320" s="122"/>
      <c r="CT320" s="122"/>
      <c r="CU320" s="122"/>
      <c r="CV320" s="122"/>
      <c r="CW320" s="122"/>
      <c r="CX320" s="122"/>
      <c r="CY320" s="122"/>
      <c r="CZ320" s="122"/>
      <c r="DA320" s="122"/>
      <c r="DB320" s="122"/>
      <c r="DC320" s="122"/>
      <c r="DD320" s="122"/>
      <c r="DE320" s="122"/>
      <c r="DF320" s="122"/>
      <c r="DG320" s="122"/>
      <c r="DH320" s="122"/>
      <c r="DI320" s="122"/>
      <c r="DJ320" s="122"/>
      <c r="DK320" s="122"/>
      <c r="DL320" s="122"/>
      <c r="DM320" s="122"/>
      <c r="DN320" s="122"/>
      <c r="DO320" s="122"/>
      <c r="DP320" s="122"/>
      <c r="DQ320" s="122"/>
      <c r="DR320" s="122"/>
      <c r="DS320" s="122"/>
      <c r="DT320" s="122"/>
      <c r="DU320" s="122"/>
      <c r="DV320" s="122"/>
      <c r="DW320" s="122"/>
      <c r="DX320" s="122"/>
      <c r="DY320" s="122"/>
      <c r="DZ320" s="122"/>
      <c r="EA320" s="122"/>
      <c r="EB320" s="122"/>
      <c r="EC320" s="122"/>
      <c r="ED320" s="122"/>
      <c r="EE320" s="122"/>
      <c r="EF320" s="122"/>
      <c r="EG320" s="122"/>
      <c r="EH320" s="122"/>
      <c r="EI320" s="122"/>
      <c r="EJ320" s="122"/>
      <c r="EK320" s="122"/>
      <c r="EL320" s="122"/>
      <c r="EM320" s="122"/>
      <c r="EN320" s="122"/>
      <c r="EO320" s="122"/>
      <c r="EP320" s="122"/>
      <c r="EQ320" s="122"/>
      <c r="ER320" s="122"/>
      <c r="ES320" s="122"/>
      <c r="ET320" s="122"/>
      <c r="EU320" s="122"/>
      <c r="EV320" s="122"/>
      <c r="EW320" s="122"/>
      <c r="EX320" s="122"/>
      <c r="EY320" s="122"/>
      <c r="EZ320" s="122"/>
      <c r="FA320" s="122"/>
      <c r="FB320" s="122"/>
      <c r="FC320" s="122"/>
      <c r="FD320" s="122"/>
      <c r="FE320" s="122"/>
      <c r="FF320" s="122"/>
      <c r="FG320" s="122"/>
      <c r="FH320" s="122"/>
      <c r="FI320" s="122"/>
      <c r="FJ320" s="122"/>
      <c r="FK320" s="122"/>
      <c r="FL320" s="122"/>
      <c r="FM320" s="122"/>
      <c r="FN320" s="122"/>
      <c r="FO320" s="122"/>
      <c r="FP320" s="122"/>
      <c r="FQ320" s="122"/>
      <c r="FR320" s="122"/>
      <c r="FS320" s="122"/>
      <c r="FT320" s="122"/>
      <c r="FU320" s="122"/>
      <c r="FV320" s="122"/>
      <c r="FW320" s="122"/>
      <c r="FX320" s="122"/>
      <c r="FY320" s="122"/>
      <c r="FZ320" s="122"/>
      <c r="GA320" s="122"/>
      <c r="GB320" s="122"/>
      <c r="GC320" s="122"/>
      <c r="GD320" s="122"/>
      <c r="GE320" s="122"/>
      <c r="GF320" s="122"/>
      <c r="GG320" s="122"/>
      <c r="GH320" s="122"/>
      <c r="GI320" s="122"/>
      <c r="GJ320" s="122"/>
      <c r="GK320" s="122"/>
      <c r="GL320" s="122"/>
      <c r="GM320" s="122"/>
      <c r="GN320" s="122"/>
      <c r="GO320" s="122"/>
      <c r="GP320" s="122"/>
      <c r="GQ320" s="122"/>
      <c r="GR320" s="122"/>
      <c r="GS320" s="122"/>
      <c r="GT320" s="122"/>
      <c r="GU320" s="122"/>
      <c r="GV320" s="122"/>
      <c r="GW320" s="122"/>
      <c r="GX320" s="122"/>
      <c r="GY320" s="122"/>
      <c r="GZ320" s="122"/>
      <c r="HA320" s="122"/>
      <c r="HB320" s="122"/>
      <c r="HC320" s="122"/>
      <c r="HD320" s="122"/>
      <c r="HE320" s="122"/>
      <c r="HF320" s="122"/>
      <c r="HG320" s="122"/>
      <c r="HH320" s="122"/>
      <c r="HI320" s="122"/>
      <c r="HJ320" s="122"/>
      <c r="HK320" s="122"/>
      <c r="HL320" s="122"/>
      <c r="HM320" s="122"/>
      <c r="HN320" s="122"/>
      <c r="HO320" s="122"/>
      <c r="HP320" s="122"/>
      <c r="HQ320" s="122"/>
      <c r="HR320" s="122"/>
      <c r="HS320" s="122"/>
      <c r="HT320" s="122"/>
      <c r="HU320" s="122"/>
      <c r="HV320" s="122"/>
      <c r="HW320" s="122"/>
      <c r="HX320" s="122"/>
      <c r="HY320" s="122"/>
      <c r="HZ320" s="122"/>
      <c r="IA320" s="122"/>
      <c r="IB320" s="122"/>
      <c r="IC320" s="122"/>
      <c r="ID320" s="122"/>
      <c r="IE320" s="122"/>
      <c r="IF320" s="122"/>
      <c r="IG320" s="122"/>
      <c r="IH320" s="122"/>
      <c r="II320" s="122"/>
      <c r="IJ320" s="122"/>
      <c r="IK320" s="122"/>
      <c r="IL320" s="122"/>
      <c r="IM320" s="122"/>
      <c r="IN320" s="122"/>
      <c r="IO320" s="122"/>
      <c r="IP320" s="122"/>
      <c r="IQ320" s="122"/>
      <c r="IR320" s="122"/>
      <c r="IS320" s="122"/>
      <c r="IT320" s="122"/>
      <c r="IU320" s="122"/>
      <c r="IV320" s="122"/>
      <c r="IW320" s="122"/>
      <c r="IX320" s="122"/>
      <c r="IY320" s="122"/>
      <c r="IZ320" s="122"/>
      <c r="JA320" s="122"/>
      <c r="JB320" s="122"/>
      <c r="JC320" s="122"/>
      <c r="JD320" s="122"/>
      <c r="JE320" s="122"/>
      <c r="JF320" s="122"/>
      <c r="JG320" s="122"/>
      <c r="JH320" s="122"/>
      <c r="JI320" s="119"/>
      <c r="JJ320" s="2"/>
      <c r="JK320" s="122"/>
      <c r="JL320" s="125"/>
      <c r="JM320" s="125"/>
      <c r="JN320" s="125"/>
      <c r="JO320" s="125"/>
      <c r="JP320" s="125"/>
    </row>
    <row r="321" spans="1:276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  <c r="AP321" s="122"/>
      <c r="AQ321" s="122"/>
      <c r="AR321" s="122"/>
      <c r="AS321" s="122"/>
      <c r="AT321" s="122"/>
      <c r="AU321" s="122"/>
      <c r="AV321" s="122"/>
      <c r="AW321" s="122"/>
      <c r="AX321" s="122"/>
      <c r="AY321" s="122"/>
      <c r="AZ321" s="122"/>
      <c r="BA321" s="122"/>
      <c r="BB321" s="122"/>
      <c r="BC321" s="122"/>
      <c r="BD321" s="122"/>
      <c r="BE321" s="122"/>
      <c r="BF321" s="122"/>
      <c r="BG321" s="122"/>
      <c r="BH321" s="122"/>
      <c r="BI321" s="122"/>
      <c r="BJ321" s="122"/>
      <c r="BK321" s="122"/>
      <c r="BL321" s="122"/>
      <c r="BM321" s="122"/>
      <c r="BN321" s="122"/>
      <c r="BO321" s="122"/>
      <c r="BP321" s="122"/>
      <c r="BQ321" s="122"/>
      <c r="BR321" s="122"/>
      <c r="BS321" s="122"/>
      <c r="BT321" s="122"/>
      <c r="BU321" s="122"/>
      <c r="BV321" s="122"/>
      <c r="BW321" s="122"/>
      <c r="BX321" s="122"/>
      <c r="BY321" s="122"/>
      <c r="BZ321" s="122"/>
      <c r="CA321" s="122"/>
      <c r="CB321" s="122"/>
      <c r="CC321" s="122"/>
      <c r="CD321" s="122"/>
      <c r="CE321" s="122"/>
      <c r="CF321" s="122"/>
      <c r="CG321" s="122"/>
      <c r="CH321" s="122"/>
      <c r="CI321" s="122"/>
      <c r="CJ321" s="122"/>
      <c r="CK321" s="122"/>
      <c r="CL321" s="122"/>
      <c r="CM321" s="122"/>
      <c r="CN321" s="122"/>
      <c r="CO321" s="122"/>
      <c r="CP321" s="122"/>
      <c r="CQ321" s="122"/>
      <c r="CR321" s="122"/>
      <c r="CS321" s="122"/>
      <c r="CT321" s="122"/>
      <c r="CU321" s="122"/>
      <c r="CV321" s="122"/>
      <c r="CW321" s="122"/>
      <c r="CX321" s="122"/>
      <c r="CY321" s="122"/>
      <c r="CZ321" s="122"/>
      <c r="DA321" s="122"/>
      <c r="DB321" s="122"/>
      <c r="DC321" s="122"/>
      <c r="DD321" s="122"/>
      <c r="DE321" s="122"/>
      <c r="DF321" s="122"/>
      <c r="DG321" s="122"/>
      <c r="DH321" s="122"/>
      <c r="DI321" s="122"/>
      <c r="DJ321" s="122"/>
      <c r="DK321" s="122"/>
      <c r="DL321" s="122"/>
      <c r="DM321" s="122"/>
      <c r="DN321" s="122"/>
      <c r="DO321" s="122"/>
      <c r="DP321" s="122"/>
      <c r="DQ321" s="122"/>
      <c r="DR321" s="122"/>
      <c r="DS321" s="122"/>
      <c r="DT321" s="122"/>
      <c r="DU321" s="122"/>
      <c r="DV321" s="122"/>
      <c r="DW321" s="122"/>
      <c r="DX321" s="122"/>
      <c r="DY321" s="122"/>
      <c r="DZ321" s="122"/>
      <c r="EA321" s="122"/>
      <c r="EB321" s="122"/>
      <c r="EC321" s="122"/>
      <c r="ED321" s="122"/>
      <c r="EE321" s="122"/>
      <c r="EF321" s="122"/>
      <c r="EG321" s="122"/>
      <c r="EH321" s="122"/>
      <c r="EI321" s="122"/>
      <c r="EJ321" s="122"/>
      <c r="EK321" s="122"/>
      <c r="EL321" s="122"/>
      <c r="EM321" s="122"/>
      <c r="EN321" s="122"/>
      <c r="EO321" s="122"/>
      <c r="EP321" s="122"/>
      <c r="EQ321" s="122"/>
      <c r="ER321" s="122"/>
      <c r="ES321" s="122"/>
      <c r="ET321" s="122"/>
      <c r="EU321" s="122"/>
      <c r="EV321" s="122"/>
      <c r="EW321" s="122"/>
      <c r="EX321" s="122"/>
      <c r="EY321" s="122"/>
      <c r="EZ321" s="122"/>
      <c r="FA321" s="122"/>
      <c r="FB321" s="122"/>
      <c r="FC321" s="122"/>
      <c r="FD321" s="122"/>
      <c r="FE321" s="122"/>
      <c r="FF321" s="122"/>
      <c r="FG321" s="122"/>
      <c r="FH321" s="122"/>
      <c r="FI321" s="122"/>
      <c r="FJ321" s="122"/>
      <c r="FK321" s="122"/>
      <c r="FL321" s="122"/>
      <c r="FM321" s="122"/>
      <c r="FN321" s="122"/>
      <c r="FO321" s="122"/>
      <c r="FP321" s="122"/>
      <c r="FQ321" s="122"/>
      <c r="FR321" s="122"/>
      <c r="FS321" s="122"/>
      <c r="FT321" s="122"/>
      <c r="FU321" s="122"/>
      <c r="FV321" s="122"/>
      <c r="FW321" s="122"/>
      <c r="FX321" s="122"/>
      <c r="FY321" s="122"/>
      <c r="FZ321" s="122"/>
      <c r="GA321" s="122"/>
      <c r="GB321" s="122"/>
      <c r="GC321" s="122"/>
      <c r="GD321" s="122"/>
      <c r="GE321" s="122"/>
      <c r="GF321" s="122"/>
      <c r="GG321" s="122"/>
      <c r="GH321" s="122"/>
      <c r="GI321" s="122"/>
      <c r="GJ321" s="122"/>
      <c r="GK321" s="122"/>
      <c r="GL321" s="122"/>
      <c r="GM321" s="122"/>
      <c r="GN321" s="122"/>
      <c r="GO321" s="122"/>
      <c r="GP321" s="122"/>
      <c r="GQ321" s="122"/>
      <c r="GR321" s="122"/>
      <c r="GS321" s="122"/>
      <c r="GT321" s="122"/>
      <c r="GU321" s="122"/>
      <c r="GV321" s="122"/>
      <c r="GW321" s="122"/>
      <c r="GX321" s="122"/>
      <c r="GY321" s="122"/>
      <c r="GZ321" s="122"/>
      <c r="HA321" s="122"/>
      <c r="HB321" s="122"/>
      <c r="HC321" s="122"/>
      <c r="HD321" s="122"/>
      <c r="HE321" s="122"/>
      <c r="HF321" s="122"/>
      <c r="HG321" s="122"/>
      <c r="HH321" s="122"/>
      <c r="HI321" s="122"/>
      <c r="HJ321" s="122"/>
      <c r="HK321" s="122"/>
      <c r="HL321" s="122"/>
      <c r="HM321" s="122"/>
      <c r="HN321" s="122"/>
      <c r="HO321" s="122"/>
      <c r="HP321" s="122"/>
      <c r="HQ321" s="122"/>
      <c r="HR321" s="122"/>
      <c r="HS321" s="122"/>
      <c r="HT321" s="122"/>
      <c r="HU321" s="122"/>
      <c r="HV321" s="122"/>
      <c r="HW321" s="122"/>
      <c r="HX321" s="122"/>
      <c r="HY321" s="122"/>
      <c r="HZ321" s="122"/>
      <c r="IA321" s="122"/>
      <c r="IB321" s="122"/>
      <c r="IC321" s="122"/>
      <c r="ID321" s="122"/>
      <c r="IE321" s="122"/>
      <c r="IF321" s="122"/>
      <c r="IG321" s="122"/>
      <c r="IH321" s="122"/>
      <c r="II321" s="122"/>
      <c r="IJ321" s="122"/>
      <c r="IK321" s="122"/>
      <c r="IL321" s="122"/>
      <c r="IM321" s="122"/>
      <c r="IN321" s="122"/>
      <c r="IO321" s="122"/>
      <c r="IP321" s="122"/>
      <c r="IQ321" s="122"/>
      <c r="IR321" s="122"/>
      <c r="IS321" s="122"/>
      <c r="IT321" s="122"/>
      <c r="IU321" s="122"/>
      <c r="IV321" s="122"/>
      <c r="IW321" s="122"/>
      <c r="IX321" s="122"/>
      <c r="IY321" s="122"/>
      <c r="IZ321" s="122"/>
      <c r="JA321" s="122"/>
      <c r="JB321" s="122"/>
      <c r="JC321" s="122"/>
      <c r="JD321" s="122"/>
      <c r="JE321" s="122"/>
      <c r="JF321" s="122"/>
      <c r="JG321" s="122"/>
      <c r="JH321" s="122"/>
      <c r="JI321" s="119"/>
      <c r="JJ321" s="2"/>
      <c r="JK321" s="122"/>
      <c r="JL321" s="125"/>
      <c r="JM321" s="125"/>
      <c r="JN321" s="125"/>
      <c r="JO321" s="125"/>
      <c r="JP321" s="125"/>
    </row>
    <row r="322" spans="1:276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  <c r="AO322" s="122"/>
      <c r="AP322" s="122"/>
      <c r="AQ322" s="122"/>
      <c r="AR322" s="122"/>
      <c r="AS322" s="122"/>
      <c r="AT322" s="122"/>
      <c r="AU322" s="122"/>
      <c r="AV322" s="122"/>
      <c r="AW322" s="122"/>
      <c r="AX322" s="122"/>
      <c r="AY322" s="122"/>
      <c r="AZ322" s="122"/>
      <c r="BA322" s="122"/>
      <c r="BB322" s="122"/>
      <c r="BC322" s="122"/>
      <c r="BD322" s="122"/>
      <c r="BE322" s="122"/>
      <c r="BF322" s="122"/>
      <c r="BG322" s="122"/>
      <c r="BH322" s="122"/>
      <c r="BI322" s="122"/>
      <c r="BJ322" s="122"/>
      <c r="BK322" s="122"/>
      <c r="BL322" s="122"/>
      <c r="BM322" s="122"/>
      <c r="BN322" s="122"/>
      <c r="BO322" s="122"/>
      <c r="BP322" s="122"/>
      <c r="BQ322" s="122"/>
      <c r="BR322" s="122"/>
      <c r="BS322" s="122"/>
      <c r="BT322" s="122"/>
      <c r="BU322" s="122"/>
      <c r="BV322" s="122"/>
      <c r="BW322" s="122"/>
      <c r="BX322" s="122"/>
      <c r="BY322" s="122"/>
      <c r="BZ322" s="122"/>
      <c r="CA322" s="122"/>
      <c r="CB322" s="122"/>
      <c r="CC322" s="122"/>
      <c r="CD322" s="122"/>
      <c r="CE322" s="122"/>
      <c r="CF322" s="122"/>
      <c r="CG322" s="122"/>
      <c r="CH322" s="122"/>
      <c r="CI322" s="122"/>
      <c r="CJ322" s="122"/>
      <c r="CK322" s="122"/>
      <c r="CL322" s="122"/>
      <c r="CM322" s="122"/>
      <c r="CN322" s="122"/>
      <c r="CO322" s="122"/>
      <c r="CP322" s="122"/>
      <c r="CQ322" s="122"/>
      <c r="CR322" s="122"/>
      <c r="CS322" s="122"/>
      <c r="CT322" s="122"/>
      <c r="CU322" s="122"/>
      <c r="CV322" s="122"/>
      <c r="CW322" s="122"/>
      <c r="CX322" s="122"/>
      <c r="CY322" s="122"/>
      <c r="CZ322" s="122"/>
      <c r="DA322" s="122"/>
      <c r="DB322" s="122"/>
      <c r="DC322" s="122"/>
      <c r="DD322" s="122"/>
      <c r="DE322" s="122"/>
      <c r="DF322" s="122"/>
      <c r="DG322" s="122"/>
      <c r="DH322" s="122"/>
      <c r="DI322" s="122"/>
      <c r="DJ322" s="122"/>
      <c r="DK322" s="122"/>
      <c r="DL322" s="122"/>
      <c r="DM322" s="122"/>
      <c r="DN322" s="122"/>
      <c r="DO322" s="122"/>
      <c r="DP322" s="122"/>
      <c r="DQ322" s="122"/>
      <c r="DR322" s="122"/>
      <c r="DS322" s="122"/>
      <c r="DT322" s="122"/>
      <c r="DU322" s="122"/>
      <c r="DV322" s="122"/>
      <c r="DW322" s="122"/>
      <c r="DX322" s="122"/>
      <c r="DY322" s="122"/>
      <c r="DZ322" s="122"/>
      <c r="EA322" s="122"/>
      <c r="EB322" s="122"/>
      <c r="EC322" s="122"/>
      <c r="ED322" s="122"/>
      <c r="EE322" s="122"/>
      <c r="EF322" s="122"/>
      <c r="EG322" s="122"/>
      <c r="EH322" s="122"/>
      <c r="EI322" s="122"/>
      <c r="EJ322" s="122"/>
      <c r="EK322" s="122"/>
      <c r="EL322" s="122"/>
      <c r="EM322" s="122"/>
      <c r="EN322" s="122"/>
      <c r="EO322" s="122"/>
      <c r="EP322" s="122"/>
      <c r="EQ322" s="122"/>
      <c r="ER322" s="122"/>
      <c r="ES322" s="122"/>
      <c r="ET322" s="122"/>
      <c r="EU322" s="122"/>
      <c r="EV322" s="122"/>
      <c r="EW322" s="122"/>
      <c r="EX322" s="122"/>
      <c r="EY322" s="122"/>
      <c r="EZ322" s="122"/>
      <c r="FA322" s="122"/>
      <c r="FB322" s="122"/>
      <c r="FC322" s="122"/>
      <c r="FD322" s="122"/>
      <c r="FE322" s="122"/>
      <c r="FF322" s="122"/>
      <c r="FG322" s="122"/>
      <c r="FH322" s="122"/>
      <c r="FI322" s="122"/>
      <c r="FJ322" s="122"/>
      <c r="FK322" s="122"/>
      <c r="FL322" s="122"/>
      <c r="FM322" s="122"/>
      <c r="FN322" s="122"/>
      <c r="FO322" s="122"/>
      <c r="FP322" s="122"/>
      <c r="FQ322" s="122"/>
      <c r="FR322" s="122"/>
      <c r="FS322" s="122"/>
      <c r="FT322" s="122"/>
      <c r="FU322" s="122"/>
      <c r="FV322" s="122"/>
      <c r="FW322" s="122"/>
      <c r="FX322" s="122"/>
      <c r="FY322" s="122"/>
      <c r="FZ322" s="122"/>
      <c r="GA322" s="122"/>
      <c r="GB322" s="122"/>
      <c r="GC322" s="122"/>
      <c r="GD322" s="122"/>
      <c r="GE322" s="122"/>
      <c r="GF322" s="122"/>
      <c r="GG322" s="122"/>
      <c r="GH322" s="122"/>
      <c r="GI322" s="122"/>
      <c r="GJ322" s="122"/>
      <c r="GK322" s="122"/>
      <c r="GL322" s="122"/>
      <c r="GM322" s="122"/>
      <c r="GN322" s="122"/>
      <c r="GO322" s="122"/>
      <c r="GP322" s="122"/>
      <c r="GQ322" s="122"/>
      <c r="GR322" s="122"/>
      <c r="GS322" s="122"/>
      <c r="GT322" s="122"/>
      <c r="GU322" s="122"/>
      <c r="GV322" s="122"/>
      <c r="GW322" s="122"/>
      <c r="GX322" s="122"/>
      <c r="GY322" s="122"/>
      <c r="GZ322" s="122"/>
      <c r="HA322" s="122"/>
      <c r="HB322" s="122"/>
      <c r="HC322" s="122"/>
      <c r="HD322" s="122"/>
      <c r="HE322" s="122"/>
      <c r="HF322" s="122"/>
      <c r="HG322" s="122"/>
      <c r="HH322" s="122"/>
      <c r="HI322" s="122"/>
      <c r="HJ322" s="122"/>
      <c r="HK322" s="122"/>
      <c r="HL322" s="122"/>
      <c r="HM322" s="122"/>
      <c r="HN322" s="122"/>
      <c r="HO322" s="122"/>
      <c r="HP322" s="122"/>
      <c r="HQ322" s="122"/>
      <c r="HR322" s="122"/>
      <c r="HS322" s="122"/>
      <c r="HT322" s="122"/>
      <c r="HU322" s="122"/>
      <c r="HV322" s="122"/>
      <c r="HW322" s="122"/>
      <c r="HX322" s="122"/>
      <c r="HY322" s="122"/>
      <c r="HZ322" s="122"/>
      <c r="IA322" s="122"/>
      <c r="IB322" s="122"/>
      <c r="IC322" s="122"/>
      <c r="ID322" s="122"/>
      <c r="IE322" s="122"/>
      <c r="IF322" s="122"/>
      <c r="IG322" s="122"/>
      <c r="IH322" s="122"/>
      <c r="II322" s="122"/>
      <c r="IJ322" s="122"/>
      <c r="IK322" s="122"/>
      <c r="IL322" s="122"/>
      <c r="IM322" s="122"/>
      <c r="IN322" s="122"/>
      <c r="IO322" s="122"/>
      <c r="IP322" s="122"/>
      <c r="IQ322" s="122"/>
      <c r="IR322" s="122"/>
      <c r="IS322" s="122"/>
      <c r="IT322" s="122"/>
      <c r="IU322" s="122"/>
      <c r="IV322" s="122"/>
      <c r="IW322" s="122"/>
      <c r="IX322" s="122"/>
      <c r="IY322" s="122"/>
      <c r="IZ322" s="122"/>
      <c r="JA322" s="122"/>
      <c r="JB322" s="122"/>
      <c r="JC322" s="122"/>
      <c r="JD322" s="122"/>
      <c r="JE322" s="122"/>
      <c r="JF322" s="122"/>
      <c r="JG322" s="122"/>
      <c r="JH322" s="122"/>
      <c r="JI322" s="119"/>
      <c r="JJ322" s="2"/>
      <c r="JK322" s="122"/>
      <c r="JL322" s="125"/>
      <c r="JM322" s="125"/>
      <c r="JN322" s="125"/>
      <c r="JO322" s="125"/>
      <c r="JP322" s="125"/>
    </row>
    <row r="323" spans="1:276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  <c r="AP323" s="122"/>
      <c r="AQ323" s="122"/>
      <c r="AR323" s="122"/>
      <c r="AS323" s="122"/>
      <c r="AT323" s="122"/>
      <c r="AU323" s="122"/>
      <c r="AV323" s="122"/>
      <c r="AW323" s="122"/>
      <c r="AX323" s="122"/>
      <c r="AY323" s="122"/>
      <c r="AZ323" s="122"/>
      <c r="BA323" s="122"/>
      <c r="BB323" s="122"/>
      <c r="BC323" s="122"/>
      <c r="BD323" s="122"/>
      <c r="BE323" s="122"/>
      <c r="BF323" s="122"/>
      <c r="BG323" s="122"/>
      <c r="BH323" s="122"/>
      <c r="BI323" s="122"/>
      <c r="BJ323" s="122"/>
      <c r="BK323" s="122"/>
      <c r="BL323" s="122"/>
      <c r="BM323" s="122"/>
      <c r="BN323" s="122"/>
      <c r="BO323" s="122"/>
      <c r="BP323" s="122"/>
      <c r="BQ323" s="122"/>
      <c r="BR323" s="122"/>
      <c r="BS323" s="122"/>
      <c r="BT323" s="122"/>
      <c r="BU323" s="122"/>
      <c r="BV323" s="122"/>
      <c r="BW323" s="122"/>
      <c r="BX323" s="122"/>
      <c r="BY323" s="122"/>
      <c r="BZ323" s="122"/>
      <c r="CA323" s="122"/>
      <c r="CB323" s="122"/>
      <c r="CC323" s="122"/>
      <c r="CD323" s="122"/>
      <c r="CE323" s="122"/>
      <c r="CF323" s="122"/>
      <c r="CG323" s="122"/>
      <c r="CH323" s="122"/>
      <c r="CI323" s="122"/>
      <c r="CJ323" s="122"/>
      <c r="CK323" s="122"/>
      <c r="CL323" s="122"/>
      <c r="CM323" s="122"/>
      <c r="CN323" s="122"/>
      <c r="CO323" s="122"/>
      <c r="CP323" s="122"/>
      <c r="CQ323" s="122"/>
      <c r="CR323" s="122"/>
      <c r="CS323" s="122"/>
      <c r="CT323" s="122"/>
      <c r="CU323" s="122"/>
      <c r="CV323" s="122"/>
      <c r="CW323" s="122"/>
      <c r="CX323" s="122"/>
      <c r="CY323" s="122"/>
      <c r="CZ323" s="122"/>
      <c r="DA323" s="122"/>
      <c r="DB323" s="122"/>
      <c r="DC323" s="122"/>
      <c r="DD323" s="122"/>
      <c r="DE323" s="122"/>
      <c r="DF323" s="122"/>
      <c r="DG323" s="122"/>
      <c r="DH323" s="122"/>
      <c r="DI323" s="122"/>
      <c r="DJ323" s="122"/>
      <c r="DK323" s="122"/>
      <c r="DL323" s="122"/>
      <c r="DM323" s="122"/>
      <c r="DN323" s="122"/>
      <c r="DO323" s="122"/>
      <c r="DP323" s="122"/>
      <c r="DQ323" s="122"/>
      <c r="DR323" s="122"/>
      <c r="DS323" s="122"/>
      <c r="DT323" s="122"/>
      <c r="DU323" s="122"/>
      <c r="DV323" s="122"/>
      <c r="DW323" s="122"/>
      <c r="DX323" s="122"/>
      <c r="DY323" s="122"/>
      <c r="DZ323" s="122"/>
      <c r="EA323" s="122"/>
      <c r="EB323" s="122"/>
      <c r="EC323" s="122"/>
      <c r="ED323" s="122"/>
      <c r="EE323" s="122"/>
      <c r="EF323" s="122"/>
      <c r="EG323" s="122"/>
      <c r="EH323" s="122"/>
      <c r="EI323" s="122"/>
      <c r="EJ323" s="122"/>
      <c r="EK323" s="122"/>
      <c r="EL323" s="122"/>
      <c r="EM323" s="122"/>
      <c r="EN323" s="122"/>
      <c r="EO323" s="122"/>
      <c r="EP323" s="122"/>
      <c r="EQ323" s="122"/>
      <c r="ER323" s="122"/>
      <c r="ES323" s="122"/>
      <c r="ET323" s="122"/>
      <c r="EU323" s="122"/>
      <c r="EV323" s="122"/>
      <c r="EW323" s="122"/>
      <c r="EX323" s="122"/>
      <c r="EY323" s="122"/>
      <c r="EZ323" s="122"/>
      <c r="FA323" s="122"/>
      <c r="FB323" s="122"/>
      <c r="FC323" s="122"/>
      <c r="FD323" s="122"/>
      <c r="FE323" s="122"/>
      <c r="FF323" s="122"/>
      <c r="FG323" s="122"/>
      <c r="FH323" s="122"/>
      <c r="FI323" s="122"/>
      <c r="FJ323" s="122"/>
      <c r="FK323" s="122"/>
      <c r="FL323" s="122"/>
      <c r="FM323" s="122"/>
      <c r="FN323" s="122"/>
      <c r="FO323" s="122"/>
      <c r="FP323" s="122"/>
      <c r="FQ323" s="122"/>
      <c r="FR323" s="122"/>
      <c r="FS323" s="122"/>
      <c r="FT323" s="122"/>
      <c r="FU323" s="122"/>
      <c r="FV323" s="122"/>
      <c r="FW323" s="122"/>
      <c r="FX323" s="122"/>
      <c r="FY323" s="122"/>
      <c r="FZ323" s="122"/>
      <c r="GA323" s="122"/>
      <c r="GB323" s="122"/>
      <c r="GC323" s="122"/>
      <c r="GD323" s="122"/>
      <c r="GE323" s="122"/>
      <c r="GF323" s="122"/>
      <c r="GG323" s="122"/>
      <c r="GH323" s="122"/>
      <c r="GI323" s="122"/>
      <c r="GJ323" s="122"/>
      <c r="GK323" s="122"/>
      <c r="GL323" s="122"/>
      <c r="GM323" s="122"/>
      <c r="GN323" s="122"/>
      <c r="GO323" s="122"/>
      <c r="GP323" s="122"/>
      <c r="GQ323" s="122"/>
      <c r="GR323" s="122"/>
      <c r="GS323" s="122"/>
      <c r="GT323" s="122"/>
      <c r="GU323" s="122"/>
      <c r="GV323" s="122"/>
      <c r="GW323" s="122"/>
      <c r="GX323" s="122"/>
      <c r="GY323" s="122"/>
      <c r="GZ323" s="122"/>
      <c r="HA323" s="122"/>
      <c r="HB323" s="122"/>
      <c r="HC323" s="122"/>
      <c r="HD323" s="122"/>
      <c r="HE323" s="122"/>
      <c r="HF323" s="122"/>
      <c r="HG323" s="122"/>
      <c r="HH323" s="122"/>
      <c r="HI323" s="122"/>
      <c r="HJ323" s="122"/>
      <c r="HK323" s="122"/>
      <c r="HL323" s="122"/>
      <c r="HM323" s="122"/>
      <c r="HN323" s="122"/>
      <c r="HO323" s="122"/>
      <c r="HP323" s="122"/>
      <c r="HQ323" s="122"/>
      <c r="HR323" s="122"/>
      <c r="HS323" s="122"/>
      <c r="HT323" s="122"/>
      <c r="HU323" s="122"/>
      <c r="HV323" s="122"/>
      <c r="HW323" s="122"/>
      <c r="HX323" s="122"/>
      <c r="HY323" s="122"/>
      <c r="HZ323" s="122"/>
      <c r="IA323" s="122"/>
      <c r="IB323" s="122"/>
      <c r="IC323" s="122"/>
      <c r="ID323" s="122"/>
      <c r="IE323" s="122"/>
      <c r="IF323" s="122"/>
      <c r="IG323" s="122"/>
      <c r="IH323" s="122"/>
      <c r="II323" s="122"/>
      <c r="IJ323" s="122"/>
      <c r="IK323" s="122"/>
      <c r="IL323" s="122"/>
      <c r="IM323" s="122"/>
      <c r="IN323" s="122"/>
      <c r="IO323" s="122"/>
      <c r="IP323" s="122"/>
      <c r="IQ323" s="122"/>
      <c r="IR323" s="122"/>
      <c r="IS323" s="122"/>
      <c r="IT323" s="122"/>
      <c r="IU323" s="122"/>
      <c r="IV323" s="122"/>
      <c r="IW323" s="122"/>
      <c r="IX323" s="122"/>
      <c r="IY323" s="122"/>
      <c r="IZ323" s="122"/>
      <c r="JA323" s="122"/>
      <c r="JB323" s="122"/>
      <c r="JC323" s="122"/>
      <c r="JD323" s="122"/>
      <c r="JE323" s="122"/>
      <c r="JF323" s="122"/>
      <c r="JG323" s="122"/>
      <c r="JH323" s="122"/>
      <c r="JI323" s="119"/>
      <c r="JJ323" s="2"/>
      <c r="JK323" s="122"/>
      <c r="JL323" s="125"/>
      <c r="JM323" s="125"/>
      <c r="JN323" s="125"/>
      <c r="JO323" s="125"/>
      <c r="JP323" s="125"/>
    </row>
    <row r="324" spans="1:276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  <c r="AO324" s="122"/>
      <c r="AP324" s="122"/>
      <c r="AQ324" s="122"/>
      <c r="AR324" s="122"/>
      <c r="AS324" s="122"/>
      <c r="AT324" s="122"/>
      <c r="AU324" s="122"/>
      <c r="AV324" s="122"/>
      <c r="AW324" s="122"/>
      <c r="AX324" s="122"/>
      <c r="AY324" s="122"/>
      <c r="AZ324" s="122"/>
      <c r="BA324" s="122"/>
      <c r="BB324" s="122"/>
      <c r="BC324" s="122"/>
      <c r="BD324" s="122"/>
      <c r="BE324" s="122"/>
      <c r="BF324" s="122"/>
      <c r="BG324" s="122"/>
      <c r="BH324" s="122"/>
      <c r="BI324" s="122"/>
      <c r="BJ324" s="122"/>
      <c r="BK324" s="122"/>
      <c r="BL324" s="122"/>
      <c r="BM324" s="122"/>
      <c r="BN324" s="122"/>
      <c r="BO324" s="122"/>
      <c r="BP324" s="122"/>
      <c r="BQ324" s="122"/>
      <c r="BR324" s="122"/>
      <c r="BS324" s="122"/>
      <c r="BT324" s="122"/>
      <c r="BU324" s="122"/>
      <c r="BV324" s="122"/>
      <c r="BW324" s="122"/>
      <c r="BX324" s="122"/>
      <c r="BY324" s="122"/>
      <c r="BZ324" s="122"/>
      <c r="CA324" s="122"/>
      <c r="CB324" s="122"/>
      <c r="CC324" s="122"/>
      <c r="CD324" s="122"/>
      <c r="CE324" s="122"/>
      <c r="CF324" s="122"/>
      <c r="CG324" s="122"/>
      <c r="CH324" s="122"/>
      <c r="CI324" s="122"/>
      <c r="CJ324" s="122"/>
      <c r="CK324" s="122"/>
      <c r="CL324" s="122"/>
      <c r="CM324" s="122"/>
      <c r="CN324" s="122"/>
      <c r="CO324" s="122"/>
      <c r="CP324" s="122"/>
      <c r="CQ324" s="122"/>
      <c r="CR324" s="122"/>
      <c r="CS324" s="122"/>
      <c r="CT324" s="122"/>
      <c r="CU324" s="122"/>
      <c r="CV324" s="122"/>
      <c r="CW324" s="122"/>
      <c r="CX324" s="122"/>
      <c r="CY324" s="122"/>
      <c r="CZ324" s="122"/>
      <c r="DA324" s="122"/>
      <c r="DB324" s="122"/>
      <c r="DC324" s="122"/>
      <c r="DD324" s="122"/>
      <c r="DE324" s="122"/>
      <c r="DF324" s="122"/>
      <c r="DG324" s="122"/>
      <c r="DH324" s="122"/>
      <c r="DI324" s="122"/>
      <c r="DJ324" s="122"/>
      <c r="DK324" s="122"/>
      <c r="DL324" s="122"/>
      <c r="DM324" s="122"/>
      <c r="DN324" s="122"/>
      <c r="DO324" s="122"/>
      <c r="DP324" s="122"/>
      <c r="DQ324" s="122"/>
      <c r="DR324" s="122"/>
      <c r="DS324" s="122"/>
      <c r="DT324" s="122"/>
      <c r="DU324" s="122"/>
      <c r="DV324" s="122"/>
      <c r="DW324" s="122"/>
      <c r="DX324" s="122"/>
      <c r="DY324" s="122"/>
      <c r="DZ324" s="122"/>
      <c r="EA324" s="122"/>
      <c r="EB324" s="122"/>
      <c r="EC324" s="122"/>
      <c r="ED324" s="122"/>
      <c r="EE324" s="122"/>
      <c r="EF324" s="122"/>
      <c r="EG324" s="122"/>
      <c r="EH324" s="122"/>
      <c r="EI324" s="122"/>
      <c r="EJ324" s="122"/>
      <c r="EK324" s="122"/>
      <c r="EL324" s="122"/>
      <c r="EM324" s="122"/>
      <c r="EN324" s="122"/>
      <c r="EO324" s="122"/>
      <c r="EP324" s="122"/>
      <c r="EQ324" s="122"/>
      <c r="ER324" s="122"/>
      <c r="ES324" s="122"/>
      <c r="ET324" s="122"/>
      <c r="EU324" s="122"/>
      <c r="EV324" s="122"/>
      <c r="EW324" s="122"/>
      <c r="EX324" s="122"/>
      <c r="EY324" s="122"/>
      <c r="EZ324" s="122"/>
      <c r="FA324" s="122"/>
      <c r="FB324" s="122"/>
      <c r="FC324" s="122"/>
      <c r="FD324" s="122"/>
      <c r="FE324" s="122"/>
      <c r="FF324" s="122"/>
      <c r="FG324" s="122"/>
      <c r="FH324" s="122"/>
      <c r="FI324" s="122"/>
      <c r="FJ324" s="122"/>
      <c r="FK324" s="122"/>
      <c r="FL324" s="122"/>
      <c r="FM324" s="122"/>
      <c r="FN324" s="122"/>
      <c r="FO324" s="122"/>
      <c r="FP324" s="122"/>
      <c r="FQ324" s="122"/>
      <c r="FR324" s="122"/>
      <c r="FS324" s="122"/>
      <c r="FT324" s="122"/>
      <c r="FU324" s="122"/>
      <c r="FV324" s="122"/>
      <c r="FW324" s="122"/>
      <c r="FX324" s="122"/>
      <c r="FY324" s="122"/>
      <c r="FZ324" s="122"/>
      <c r="GA324" s="122"/>
      <c r="GB324" s="122"/>
      <c r="GC324" s="122"/>
      <c r="GD324" s="122"/>
      <c r="GE324" s="122"/>
      <c r="GF324" s="122"/>
      <c r="GG324" s="122"/>
      <c r="GH324" s="122"/>
      <c r="GI324" s="122"/>
      <c r="GJ324" s="122"/>
      <c r="GK324" s="122"/>
      <c r="GL324" s="122"/>
      <c r="GM324" s="122"/>
      <c r="GN324" s="122"/>
      <c r="GO324" s="122"/>
      <c r="GP324" s="122"/>
      <c r="GQ324" s="122"/>
      <c r="GR324" s="122"/>
      <c r="GS324" s="122"/>
      <c r="GT324" s="122"/>
      <c r="GU324" s="122"/>
      <c r="GV324" s="122"/>
      <c r="GW324" s="122"/>
      <c r="GX324" s="122"/>
      <c r="GY324" s="122"/>
      <c r="GZ324" s="122"/>
      <c r="HA324" s="122"/>
      <c r="HB324" s="122"/>
      <c r="HC324" s="122"/>
      <c r="HD324" s="122"/>
      <c r="HE324" s="122"/>
      <c r="HF324" s="122"/>
      <c r="HG324" s="122"/>
      <c r="HH324" s="122"/>
      <c r="HI324" s="122"/>
      <c r="HJ324" s="122"/>
      <c r="HK324" s="122"/>
      <c r="HL324" s="122"/>
      <c r="HM324" s="122"/>
      <c r="HN324" s="122"/>
      <c r="HO324" s="122"/>
      <c r="HP324" s="122"/>
      <c r="HQ324" s="122"/>
      <c r="HR324" s="122"/>
      <c r="HS324" s="122"/>
      <c r="HT324" s="122"/>
      <c r="HU324" s="122"/>
      <c r="HV324" s="122"/>
      <c r="HW324" s="122"/>
      <c r="HX324" s="122"/>
      <c r="HY324" s="122"/>
      <c r="HZ324" s="122"/>
      <c r="IA324" s="122"/>
      <c r="IB324" s="122"/>
      <c r="IC324" s="122"/>
      <c r="ID324" s="122"/>
      <c r="IE324" s="122"/>
      <c r="IF324" s="122"/>
      <c r="IG324" s="122"/>
      <c r="IH324" s="122"/>
      <c r="II324" s="122"/>
      <c r="IJ324" s="122"/>
      <c r="IK324" s="122"/>
      <c r="IL324" s="122"/>
      <c r="IM324" s="122"/>
      <c r="IN324" s="122"/>
      <c r="IO324" s="122"/>
      <c r="IP324" s="122"/>
      <c r="IQ324" s="122"/>
      <c r="IR324" s="122"/>
      <c r="IS324" s="122"/>
      <c r="IT324" s="122"/>
      <c r="IU324" s="122"/>
      <c r="IV324" s="122"/>
      <c r="IW324" s="122"/>
      <c r="IX324" s="122"/>
      <c r="IY324" s="122"/>
      <c r="IZ324" s="122"/>
      <c r="JA324" s="122"/>
      <c r="JB324" s="122"/>
      <c r="JC324" s="122"/>
      <c r="JD324" s="122"/>
      <c r="JE324" s="122"/>
      <c r="JF324" s="122"/>
      <c r="JG324" s="122"/>
      <c r="JH324" s="122"/>
      <c r="JI324" s="119"/>
      <c r="JJ324" s="2"/>
      <c r="JK324" s="122"/>
      <c r="JL324" s="125"/>
      <c r="JM324" s="125"/>
      <c r="JN324" s="125"/>
      <c r="JO324" s="125"/>
      <c r="JP324" s="125"/>
    </row>
    <row r="325" spans="1:276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  <c r="AP325" s="122"/>
      <c r="AQ325" s="122"/>
      <c r="AR325" s="122"/>
      <c r="AS325" s="122"/>
      <c r="AT325" s="122"/>
      <c r="AU325" s="122"/>
      <c r="AV325" s="122"/>
      <c r="AW325" s="122"/>
      <c r="AX325" s="122"/>
      <c r="AY325" s="122"/>
      <c r="AZ325" s="122"/>
      <c r="BA325" s="122"/>
      <c r="BB325" s="122"/>
      <c r="BC325" s="122"/>
      <c r="BD325" s="122"/>
      <c r="BE325" s="122"/>
      <c r="BF325" s="122"/>
      <c r="BG325" s="122"/>
      <c r="BH325" s="122"/>
      <c r="BI325" s="122"/>
      <c r="BJ325" s="122"/>
      <c r="BK325" s="122"/>
      <c r="BL325" s="122"/>
      <c r="BM325" s="122"/>
      <c r="BN325" s="122"/>
      <c r="BO325" s="122"/>
      <c r="BP325" s="122"/>
      <c r="BQ325" s="122"/>
      <c r="BR325" s="122"/>
      <c r="BS325" s="122"/>
      <c r="BT325" s="122"/>
      <c r="BU325" s="122"/>
      <c r="BV325" s="122"/>
      <c r="BW325" s="122"/>
      <c r="BX325" s="122"/>
      <c r="BY325" s="122"/>
      <c r="BZ325" s="122"/>
      <c r="CA325" s="122"/>
      <c r="CB325" s="122"/>
      <c r="CC325" s="122"/>
      <c r="CD325" s="122"/>
      <c r="CE325" s="122"/>
      <c r="CF325" s="122"/>
      <c r="CG325" s="122"/>
      <c r="CH325" s="122"/>
      <c r="CI325" s="122"/>
      <c r="CJ325" s="122"/>
      <c r="CK325" s="122"/>
      <c r="CL325" s="122"/>
      <c r="CM325" s="122"/>
      <c r="CN325" s="122"/>
      <c r="CO325" s="122"/>
      <c r="CP325" s="122"/>
      <c r="CQ325" s="122"/>
      <c r="CR325" s="122"/>
      <c r="CS325" s="122"/>
      <c r="CT325" s="122"/>
      <c r="CU325" s="122"/>
      <c r="CV325" s="122"/>
      <c r="CW325" s="122"/>
      <c r="CX325" s="122"/>
      <c r="CY325" s="122"/>
      <c r="CZ325" s="122"/>
      <c r="DA325" s="122"/>
      <c r="DB325" s="122"/>
      <c r="DC325" s="122"/>
      <c r="DD325" s="122"/>
      <c r="DE325" s="122"/>
      <c r="DF325" s="122"/>
      <c r="DG325" s="122"/>
      <c r="DH325" s="122"/>
      <c r="DI325" s="122"/>
      <c r="DJ325" s="122"/>
      <c r="DK325" s="122"/>
      <c r="DL325" s="122"/>
      <c r="DM325" s="122"/>
      <c r="DN325" s="122"/>
      <c r="DO325" s="122"/>
      <c r="DP325" s="122"/>
      <c r="DQ325" s="122"/>
      <c r="DR325" s="122"/>
      <c r="DS325" s="122"/>
      <c r="DT325" s="122"/>
      <c r="DU325" s="122"/>
      <c r="DV325" s="122"/>
      <c r="DW325" s="122"/>
      <c r="DX325" s="122"/>
      <c r="DY325" s="122"/>
      <c r="DZ325" s="122"/>
      <c r="EA325" s="122"/>
      <c r="EB325" s="122"/>
      <c r="EC325" s="122"/>
      <c r="ED325" s="122"/>
      <c r="EE325" s="122"/>
      <c r="EF325" s="122"/>
      <c r="EG325" s="122"/>
      <c r="EH325" s="122"/>
      <c r="EI325" s="122"/>
      <c r="EJ325" s="122"/>
      <c r="EK325" s="122"/>
      <c r="EL325" s="122"/>
      <c r="EM325" s="122"/>
      <c r="EN325" s="122"/>
      <c r="EO325" s="122"/>
      <c r="EP325" s="122"/>
      <c r="EQ325" s="122"/>
      <c r="ER325" s="122"/>
      <c r="ES325" s="122"/>
      <c r="ET325" s="122"/>
      <c r="EU325" s="122"/>
      <c r="EV325" s="122"/>
      <c r="EW325" s="122"/>
      <c r="EX325" s="122"/>
      <c r="EY325" s="122"/>
      <c r="EZ325" s="122"/>
      <c r="FA325" s="122"/>
      <c r="FB325" s="122"/>
      <c r="FC325" s="122"/>
      <c r="FD325" s="122"/>
      <c r="FE325" s="122"/>
      <c r="FF325" s="122"/>
      <c r="FG325" s="122"/>
      <c r="FH325" s="122"/>
      <c r="FI325" s="122"/>
      <c r="FJ325" s="122"/>
      <c r="FK325" s="122"/>
      <c r="FL325" s="122"/>
      <c r="FM325" s="122"/>
      <c r="FN325" s="122"/>
      <c r="FO325" s="122"/>
      <c r="FP325" s="122"/>
      <c r="FQ325" s="122"/>
      <c r="FR325" s="122"/>
      <c r="FS325" s="122"/>
      <c r="FT325" s="122"/>
      <c r="FU325" s="122"/>
      <c r="FV325" s="122"/>
      <c r="FW325" s="122"/>
      <c r="FX325" s="122"/>
      <c r="FY325" s="122"/>
      <c r="FZ325" s="122"/>
      <c r="GA325" s="122"/>
      <c r="GB325" s="122"/>
      <c r="GC325" s="122"/>
      <c r="GD325" s="122"/>
      <c r="GE325" s="122"/>
      <c r="GF325" s="122"/>
      <c r="GG325" s="122"/>
      <c r="GH325" s="122"/>
      <c r="GI325" s="122"/>
      <c r="GJ325" s="122"/>
      <c r="GK325" s="122"/>
      <c r="GL325" s="122"/>
      <c r="GM325" s="122"/>
      <c r="GN325" s="122"/>
      <c r="GO325" s="122"/>
      <c r="GP325" s="122"/>
      <c r="GQ325" s="122"/>
      <c r="GR325" s="122"/>
      <c r="GS325" s="122"/>
      <c r="GT325" s="122"/>
      <c r="GU325" s="122"/>
      <c r="GV325" s="122"/>
      <c r="GW325" s="122"/>
      <c r="GX325" s="122"/>
      <c r="GY325" s="122"/>
      <c r="GZ325" s="122"/>
      <c r="HA325" s="122"/>
      <c r="HB325" s="122"/>
      <c r="HC325" s="122"/>
      <c r="HD325" s="122"/>
      <c r="HE325" s="122"/>
      <c r="HF325" s="122"/>
      <c r="HG325" s="122"/>
      <c r="HH325" s="122"/>
      <c r="HI325" s="122"/>
      <c r="HJ325" s="122"/>
      <c r="HK325" s="122"/>
      <c r="HL325" s="122"/>
      <c r="HM325" s="122"/>
      <c r="HN325" s="122"/>
      <c r="HO325" s="122"/>
      <c r="HP325" s="122"/>
      <c r="HQ325" s="122"/>
      <c r="HR325" s="122"/>
      <c r="HS325" s="122"/>
      <c r="HT325" s="122"/>
      <c r="HU325" s="122"/>
      <c r="HV325" s="122"/>
      <c r="HW325" s="122"/>
      <c r="HX325" s="122"/>
      <c r="HY325" s="122"/>
      <c r="HZ325" s="122"/>
      <c r="IA325" s="122"/>
      <c r="IB325" s="122"/>
      <c r="IC325" s="122"/>
      <c r="ID325" s="122"/>
      <c r="IE325" s="122"/>
      <c r="IF325" s="122"/>
      <c r="IG325" s="122"/>
      <c r="IH325" s="122"/>
      <c r="II325" s="122"/>
      <c r="IJ325" s="122"/>
      <c r="IK325" s="122"/>
      <c r="IL325" s="122"/>
      <c r="IM325" s="122"/>
      <c r="IN325" s="122"/>
      <c r="IO325" s="122"/>
      <c r="IP325" s="122"/>
      <c r="IQ325" s="122"/>
      <c r="IR325" s="122"/>
      <c r="IS325" s="122"/>
      <c r="IT325" s="122"/>
      <c r="IU325" s="122"/>
      <c r="IV325" s="122"/>
      <c r="IW325" s="122"/>
      <c r="IX325" s="122"/>
      <c r="IY325" s="122"/>
      <c r="IZ325" s="122"/>
      <c r="JA325" s="122"/>
      <c r="JB325" s="122"/>
      <c r="JC325" s="122"/>
      <c r="JD325" s="122"/>
      <c r="JE325" s="122"/>
      <c r="JF325" s="122"/>
      <c r="JG325" s="122"/>
      <c r="JH325" s="122"/>
      <c r="JI325" s="119"/>
      <c r="JJ325" s="2"/>
      <c r="JK325" s="122"/>
      <c r="JL325" s="125"/>
      <c r="JM325" s="125"/>
      <c r="JN325" s="125"/>
      <c r="JO325" s="125"/>
      <c r="JP325" s="125"/>
    </row>
    <row r="326" spans="1:27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  <c r="AO326" s="122"/>
      <c r="AP326" s="122"/>
      <c r="AQ326" s="122"/>
      <c r="AR326" s="122"/>
      <c r="AS326" s="122"/>
      <c r="AT326" s="122"/>
      <c r="AU326" s="122"/>
      <c r="AV326" s="122"/>
      <c r="AW326" s="122"/>
      <c r="AX326" s="122"/>
      <c r="AY326" s="122"/>
      <c r="AZ326" s="122"/>
      <c r="BA326" s="122"/>
      <c r="BB326" s="122"/>
      <c r="BC326" s="122"/>
      <c r="BD326" s="122"/>
      <c r="BE326" s="122"/>
      <c r="BF326" s="122"/>
      <c r="BG326" s="122"/>
      <c r="BH326" s="122"/>
      <c r="BI326" s="122"/>
      <c r="BJ326" s="122"/>
      <c r="BK326" s="122"/>
      <c r="BL326" s="122"/>
      <c r="BM326" s="122"/>
      <c r="BN326" s="122"/>
      <c r="BO326" s="122"/>
      <c r="BP326" s="122"/>
      <c r="BQ326" s="122"/>
      <c r="BR326" s="122"/>
      <c r="BS326" s="122"/>
      <c r="BT326" s="122"/>
      <c r="BU326" s="122"/>
      <c r="BV326" s="122"/>
      <c r="BW326" s="122"/>
      <c r="BX326" s="122"/>
      <c r="BY326" s="122"/>
      <c r="BZ326" s="122"/>
      <c r="CA326" s="122"/>
      <c r="CB326" s="122"/>
      <c r="CC326" s="122"/>
      <c r="CD326" s="122"/>
      <c r="CE326" s="122"/>
      <c r="CF326" s="122"/>
      <c r="CG326" s="122"/>
      <c r="CH326" s="122"/>
      <c r="CI326" s="122"/>
      <c r="CJ326" s="122"/>
      <c r="CK326" s="122"/>
      <c r="CL326" s="122"/>
      <c r="CM326" s="122"/>
      <c r="CN326" s="122"/>
      <c r="CO326" s="122"/>
      <c r="CP326" s="122"/>
      <c r="CQ326" s="122"/>
      <c r="CR326" s="122"/>
      <c r="CS326" s="122"/>
      <c r="CT326" s="122"/>
      <c r="CU326" s="122"/>
      <c r="CV326" s="122"/>
      <c r="CW326" s="122"/>
      <c r="CX326" s="122"/>
      <c r="CY326" s="122"/>
      <c r="CZ326" s="122"/>
      <c r="DA326" s="122"/>
      <c r="DB326" s="122"/>
      <c r="DC326" s="122"/>
      <c r="DD326" s="122"/>
      <c r="DE326" s="122"/>
      <c r="DF326" s="122"/>
      <c r="DG326" s="122"/>
      <c r="DH326" s="122"/>
      <c r="DI326" s="122"/>
      <c r="DJ326" s="122"/>
      <c r="DK326" s="122"/>
      <c r="DL326" s="122"/>
      <c r="DM326" s="122"/>
      <c r="DN326" s="122"/>
      <c r="DO326" s="122"/>
      <c r="DP326" s="122"/>
      <c r="DQ326" s="122"/>
      <c r="DR326" s="122"/>
      <c r="DS326" s="122"/>
      <c r="DT326" s="122"/>
      <c r="DU326" s="122"/>
      <c r="DV326" s="122"/>
      <c r="DW326" s="122"/>
      <c r="DX326" s="122"/>
      <c r="DY326" s="122"/>
      <c r="DZ326" s="122"/>
      <c r="EA326" s="122"/>
      <c r="EB326" s="122"/>
      <c r="EC326" s="122"/>
      <c r="ED326" s="122"/>
      <c r="EE326" s="122"/>
      <c r="EF326" s="122"/>
      <c r="EG326" s="122"/>
      <c r="EH326" s="122"/>
      <c r="EI326" s="122"/>
      <c r="EJ326" s="122"/>
      <c r="EK326" s="122"/>
      <c r="EL326" s="122"/>
      <c r="EM326" s="122"/>
      <c r="EN326" s="122"/>
      <c r="EO326" s="122"/>
      <c r="EP326" s="122"/>
      <c r="EQ326" s="122"/>
      <c r="ER326" s="122"/>
      <c r="ES326" s="122"/>
      <c r="ET326" s="122"/>
      <c r="EU326" s="122"/>
      <c r="EV326" s="122"/>
      <c r="EW326" s="122"/>
      <c r="EX326" s="122"/>
      <c r="EY326" s="122"/>
      <c r="EZ326" s="122"/>
      <c r="FA326" s="122"/>
      <c r="FB326" s="122"/>
      <c r="FC326" s="122"/>
      <c r="FD326" s="122"/>
      <c r="FE326" s="122"/>
      <c r="FF326" s="122"/>
      <c r="FG326" s="122"/>
      <c r="FH326" s="122"/>
      <c r="FI326" s="122"/>
      <c r="FJ326" s="122"/>
      <c r="FK326" s="122"/>
      <c r="FL326" s="122"/>
      <c r="FM326" s="122"/>
      <c r="FN326" s="122"/>
      <c r="FO326" s="122"/>
      <c r="FP326" s="122"/>
      <c r="FQ326" s="122"/>
      <c r="FR326" s="122"/>
      <c r="FS326" s="122"/>
      <c r="FT326" s="122"/>
      <c r="FU326" s="122"/>
      <c r="FV326" s="122"/>
      <c r="FW326" s="122"/>
      <c r="FX326" s="122"/>
      <c r="FY326" s="122"/>
      <c r="FZ326" s="122"/>
      <c r="GA326" s="122"/>
      <c r="GB326" s="122"/>
      <c r="GC326" s="122"/>
      <c r="GD326" s="122"/>
      <c r="GE326" s="122"/>
      <c r="GF326" s="122"/>
      <c r="GG326" s="122"/>
      <c r="GH326" s="122"/>
      <c r="GI326" s="122"/>
      <c r="GJ326" s="122"/>
      <c r="GK326" s="122"/>
      <c r="GL326" s="122"/>
      <c r="GM326" s="122"/>
      <c r="GN326" s="122"/>
      <c r="GO326" s="122"/>
      <c r="GP326" s="122"/>
      <c r="GQ326" s="122"/>
      <c r="GR326" s="122"/>
      <c r="GS326" s="122"/>
      <c r="GT326" s="122"/>
      <c r="GU326" s="122"/>
      <c r="GV326" s="122"/>
      <c r="GW326" s="122"/>
      <c r="GX326" s="122"/>
      <c r="GY326" s="122"/>
      <c r="GZ326" s="122"/>
      <c r="HA326" s="122"/>
      <c r="HB326" s="122"/>
      <c r="HC326" s="122"/>
      <c r="HD326" s="122"/>
      <c r="HE326" s="122"/>
      <c r="HF326" s="122"/>
      <c r="HG326" s="122"/>
      <c r="HH326" s="122"/>
      <c r="HI326" s="122"/>
      <c r="HJ326" s="122"/>
      <c r="HK326" s="122"/>
      <c r="HL326" s="122"/>
      <c r="HM326" s="122"/>
      <c r="HN326" s="122"/>
      <c r="HO326" s="122"/>
      <c r="HP326" s="122"/>
      <c r="HQ326" s="122"/>
      <c r="HR326" s="122"/>
      <c r="HS326" s="122"/>
      <c r="HT326" s="122"/>
      <c r="HU326" s="122"/>
      <c r="HV326" s="122"/>
      <c r="HW326" s="122"/>
      <c r="HX326" s="122"/>
      <c r="HY326" s="122"/>
      <c r="HZ326" s="122"/>
      <c r="IA326" s="122"/>
      <c r="IB326" s="122"/>
      <c r="IC326" s="122"/>
      <c r="ID326" s="122"/>
      <c r="IE326" s="122"/>
      <c r="IF326" s="122"/>
      <c r="IG326" s="122"/>
      <c r="IH326" s="122"/>
      <c r="II326" s="122"/>
      <c r="IJ326" s="122"/>
      <c r="IK326" s="122"/>
      <c r="IL326" s="122"/>
      <c r="IM326" s="122"/>
      <c r="IN326" s="122"/>
      <c r="IO326" s="122"/>
      <c r="IP326" s="122"/>
      <c r="IQ326" s="122"/>
      <c r="IR326" s="122"/>
      <c r="IS326" s="122"/>
      <c r="IT326" s="122"/>
      <c r="IU326" s="122"/>
      <c r="IV326" s="122"/>
      <c r="IW326" s="122"/>
      <c r="IX326" s="122"/>
      <c r="IY326" s="122"/>
      <c r="IZ326" s="122"/>
      <c r="JA326" s="122"/>
      <c r="JB326" s="122"/>
      <c r="JC326" s="122"/>
      <c r="JD326" s="122"/>
      <c r="JE326" s="122"/>
      <c r="JF326" s="122"/>
      <c r="JG326" s="122"/>
      <c r="JH326" s="122"/>
      <c r="JI326" s="119"/>
      <c r="JJ326" s="2"/>
      <c r="JK326" s="122"/>
      <c r="JL326" s="125"/>
      <c r="JM326" s="125"/>
      <c r="JN326" s="125"/>
      <c r="JO326" s="125"/>
      <c r="JP326" s="125"/>
    </row>
    <row r="327" spans="1:276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  <c r="AP327" s="122"/>
      <c r="AQ327" s="122"/>
      <c r="AR327" s="122"/>
      <c r="AS327" s="122"/>
      <c r="AT327" s="122"/>
      <c r="AU327" s="122"/>
      <c r="AV327" s="122"/>
      <c r="AW327" s="122"/>
      <c r="AX327" s="122"/>
      <c r="AY327" s="122"/>
      <c r="AZ327" s="122"/>
      <c r="BA327" s="122"/>
      <c r="BB327" s="122"/>
      <c r="BC327" s="122"/>
      <c r="BD327" s="122"/>
      <c r="BE327" s="122"/>
      <c r="BF327" s="122"/>
      <c r="BG327" s="122"/>
      <c r="BH327" s="122"/>
      <c r="BI327" s="122"/>
      <c r="BJ327" s="122"/>
      <c r="BK327" s="122"/>
      <c r="BL327" s="122"/>
      <c r="BM327" s="122"/>
      <c r="BN327" s="122"/>
      <c r="BO327" s="122"/>
      <c r="BP327" s="122"/>
      <c r="BQ327" s="122"/>
      <c r="BR327" s="122"/>
      <c r="BS327" s="122"/>
      <c r="BT327" s="122"/>
      <c r="BU327" s="122"/>
      <c r="BV327" s="122"/>
      <c r="BW327" s="122"/>
      <c r="BX327" s="122"/>
      <c r="BY327" s="122"/>
      <c r="BZ327" s="122"/>
      <c r="CA327" s="122"/>
      <c r="CB327" s="122"/>
      <c r="CC327" s="122"/>
      <c r="CD327" s="122"/>
      <c r="CE327" s="122"/>
      <c r="CF327" s="122"/>
      <c r="CG327" s="122"/>
      <c r="CH327" s="122"/>
      <c r="CI327" s="122"/>
      <c r="CJ327" s="122"/>
      <c r="CK327" s="122"/>
      <c r="CL327" s="122"/>
      <c r="CM327" s="122"/>
      <c r="CN327" s="122"/>
      <c r="CO327" s="122"/>
      <c r="CP327" s="122"/>
      <c r="CQ327" s="122"/>
      <c r="CR327" s="122"/>
      <c r="CS327" s="122"/>
      <c r="CT327" s="122"/>
      <c r="CU327" s="122"/>
      <c r="CV327" s="122"/>
      <c r="CW327" s="122"/>
      <c r="CX327" s="122"/>
      <c r="CY327" s="122"/>
      <c r="CZ327" s="122"/>
      <c r="DA327" s="122"/>
      <c r="DB327" s="122"/>
      <c r="DC327" s="122"/>
      <c r="DD327" s="122"/>
      <c r="DE327" s="122"/>
      <c r="DF327" s="122"/>
      <c r="DG327" s="122"/>
      <c r="DH327" s="122"/>
      <c r="DI327" s="122"/>
      <c r="DJ327" s="122"/>
      <c r="DK327" s="122"/>
      <c r="DL327" s="122"/>
      <c r="DM327" s="122"/>
      <c r="DN327" s="122"/>
      <c r="DO327" s="122"/>
      <c r="DP327" s="122"/>
      <c r="DQ327" s="122"/>
      <c r="DR327" s="122"/>
      <c r="DS327" s="122"/>
      <c r="DT327" s="122"/>
      <c r="DU327" s="122"/>
      <c r="DV327" s="122"/>
      <c r="DW327" s="122"/>
      <c r="DX327" s="122"/>
      <c r="DY327" s="122"/>
      <c r="DZ327" s="122"/>
      <c r="EA327" s="122"/>
      <c r="EB327" s="122"/>
      <c r="EC327" s="122"/>
      <c r="ED327" s="122"/>
      <c r="EE327" s="122"/>
      <c r="EF327" s="122"/>
      <c r="EG327" s="122"/>
      <c r="EH327" s="122"/>
      <c r="EI327" s="122"/>
      <c r="EJ327" s="122"/>
      <c r="EK327" s="122"/>
      <c r="EL327" s="122"/>
      <c r="EM327" s="122"/>
      <c r="EN327" s="122"/>
      <c r="EO327" s="122"/>
      <c r="EP327" s="122"/>
      <c r="EQ327" s="122"/>
      <c r="ER327" s="122"/>
      <c r="ES327" s="122"/>
      <c r="ET327" s="122"/>
      <c r="EU327" s="122"/>
      <c r="EV327" s="122"/>
      <c r="EW327" s="122"/>
      <c r="EX327" s="122"/>
      <c r="EY327" s="122"/>
      <c r="EZ327" s="122"/>
      <c r="FA327" s="122"/>
      <c r="FB327" s="122"/>
      <c r="FC327" s="122"/>
      <c r="FD327" s="122"/>
      <c r="FE327" s="122"/>
      <c r="FF327" s="122"/>
      <c r="FG327" s="122"/>
      <c r="FH327" s="122"/>
      <c r="FI327" s="122"/>
      <c r="FJ327" s="122"/>
      <c r="FK327" s="122"/>
      <c r="FL327" s="122"/>
      <c r="FM327" s="122"/>
      <c r="FN327" s="122"/>
      <c r="FO327" s="122"/>
      <c r="FP327" s="122"/>
      <c r="FQ327" s="122"/>
      <c r="FR327" s="122"/>
      <c r="FS327" s="122"/>
      <c r="FT327" s="122"/>
      <c r="FU327" s="122"/>
      <c r="FV327" s="122"/>
      <c r="FW327" s="122"/>
      <c r="FX327" s="122"/>
      <c r="FY327" s="122"/>
      <c r="FZ327" s="122"/>
      <c r="GA327" s="122"/>
      <c r="GB327" s="122"/>
      <c r="GC327" s="122"/>
      <c r="GD327" s="122"/>
      <c r="GE327" s="122"/>
      <c r="GF327" s="122"/>
      <c r="GG327" s="122"/>
      <c r="GH327" s="122"/>
      <c r="GI327" s="122"/>
      <c r="GJ327" s="122"/>
      <c r="GK327" s="122"/>
      <c r="GL327" s="122"/>
      <c r="GM327" s="122"/>
      <c r="GN327" s="122"/>
      <c r="GO327" s="122"/>
      <c r="GP327" s="122"/>
      <c r="GQ327" s="122"/>
      <c r="GR327" s="122"/>
      <c r="GS327" s="122"/>
      <c r="GT327" s="122"/>
      <c r="GU327" s="122"/>
      <c r="GV327" s="122"/>
      <c r="GW327" s="122"/>
      <c r="GX327" s="122"/>
      <c r="GY327" s="122"/>
      <c r="GZ327" s="122"/>
      <c r="HA327" s="122"/>
      <c r="HB327" s="122"/>
      <c r="HC327" s="122"/>
      <c r="HD327" s="122"/>
      <c r="HE327" s="122"/>
      <c r="HF327" s="122"/>
      <c r="HG327" s="122"/>
      <c r="HH327" s="122"/>
      <c r="HI327" s="122"/>
      <c r="HJ327" s="122"/>
      <c r="HK327" s="122"/>
      <c r="HL327" s="122"/>
      <c r="HM327" s="122"/>
      <c r="HN327" s="122"/>
      <c r="HO327" s="122"/>
      <c r="HP327" s="122"/>
      <c r="HQ327" s="122"/>
      <c r="HR327" s="122"/>
      <c r="HS327" s="122"/>
      <c r="HT327" s="122"/>
      <c r="HU327" s="122"/>
      <c r="HV327" s="122"/>
      <c r="HW327" s="122"/>
      <c r="HX327" s="122"/>
      <c r="HY327" s="122"/>
      <c r="HZ327" s="122"/>
      <c r="IA327" s="122"/>
      <c r="IB327" s="122"/>
      <c r="IC327" s="122"/>
      <c r="ID327" s="122"/>
      <c r="IE327" s="122"/>
      <c r="IF327" s="122"/>
      <c r="IG327" s="122"/>
      <c r="IH327" s="122"/>
      <c r="II327" s="122"/>
      <c r="IJ327" s="122"/>
      <c r="IK327" s="122"/>
      <c r="IL327" s="122"/>
      <c r="IM327" s="122"/>
      <c r="IN327" s="122"/>
      <c r="IO327" s="122"/>
      <c r="IP327" s="122"/>
      <c r="IQ327" s="122"/>
      <c r="IR327" s="122"/>
      <c r="IS327" s="122"/>
      <c r="IT327" s="122"/>
      <c r="IU327" s="122"/>
      <c r="IV327" s="122"/>
      <c r="IW327" s="122"/>
      <c r="IX327" s="122"/>
      <c r="IY327" s="122"/>
      <c r="IZ327" s="122"/>
      <c r="JA327" s="122"/>
      <c r="JB327" s="122"/>
      <c r="JC327" s="122"/>
      <c r="JD327" s="122"/>
      <c r="JE327" s="122"/>
      <c r="JF327" s="122"/>
      <c r="JG327" s="122"/>
      <c r="JH327" s="122"/>
      <c r="JI327" s="119"/>
      <c r="JJ327" s="2"/>
      <c r="JK327" s="122"/>
      <c r="JL327" s="125"/>
      <c r="JM327" s="125"/>
      <c r="JN327" s="125"/>
      <c r="JO327" s="125"/>
      <c r="JP327" s="125"/>
    </row>
    <row r="328" spans="1:276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  <c r="AO328" s="122"/>
      <c r="AP328" s="122"/>
      <c r="AQ328" s="122"/>
      <c r="AR328" s="122"/>
      <c r="AS328" s="122"/>
      <c r="AT328" s="122"/>
      <c r="AU328" s="122"/>
      <c r="AV328" s="122"/>
      <c r="AW328" s="122"/>
      <c r="AX328" s="122"/>
      <c r="AY328" s="122"/>
      <c r="AZ328" s="122"/>
      <c r="BA328" s="122"/>
      <c r="BB328" s="122"/>
      <c r="BC328" s="122"/>
      <c r="BD328" s="122"/>
      <c r="BE328" s="122"/>
      <c r="BF328" s="122"/>
      <c r="BG328" s="122"/>
      <c r="BH328" s="122"/>
      <c r="BI328" s="122"/>
      <c r="BJ328" s="122"/>
      <c r="BK328" s="122"/>
      <c r="BL328" s="122"/>
      <c r="BM328" s="122"/>
      <c r="BN328" s="122"/>
      <c r="BO328" s="122"/>
      <c r="BP328" s="122"/>
      <c r="BQ328" s="122"/>
      <c r="BR328" s="122"/>
      <c r="BS328" s="122"/>
      <c r="BT328" s="122"/>
      <c r="BU328" s="122"/>
      <c r="BV328" s="122"/>
      <c r="BW328" s="122"/>
      <c r="BX328" s="122"/>
      <c r="BY328" s="122"/>
      <c r="BZ328" s="122"/>
      <c r="CA328" s="122"/>
      <c r="CB328" s="122"/>
      <c r="CC328" s="122"/>
      <c r="CD328" s="122"/>
      <c r="CE328" s="122"/>
      <c r="CF328" s="122"/>
      <c r="CG328" s="122"/>
      <c r="CH328" s="122"/>
      <c r="CI328" s="122"/>
      <c r="CJ328" s="122"/>
      <c r="CK328" s="122"/>
      <c r="CL328" s="122"/>
      <c r="CM328" s="122"/>
      <c r="CN328" s="122"/>
      <c r="CO328" s="122"/>
      <c r="CP328" s="122"/>
      <c r="CQ328" s="122"/>
      <c r="CR328" s="122"/>
      <c r="CS328" s="122"/>
      <c r="CT328" s="122"/>
      <c r="CU328" s="122"/>
      <c r="CV328" s="122"/>
      <c r="CW328" s="122"/>
      <c r="CX328" s="122"/>
      <c r="CY328" s="122"/>
      <c r="CZ328" s="122"/>
      <c r="DA328" s="122"/>
      <c r="DB328" s="122"/>
      <c r="DC328" s="122"/>
      <c r="DD328" s="122"/>
      <c r="DE328" s="122"/>
      <c r="DF328" s="122"/>
      <c r="DG328" s="122"/>
      <c r="DH328" s="122"/>
      <c r="DI328" s="122"/>
      <c r="DJ328" s="122"/>
      <c r="DK328" s="122"/>
      <c r="DL328" s="122"/>
      <c r="DM328" s="122"/>
      <c r="DN328" s="122"/>
      <c r="DO328" s="122"/>
      <c r="DP328" s="122"/>
      <c r="DQ328" s="122"/>
      <c r="DR328" s="122"/>
      <c r="DS328" s="122"/>
      <c r="DT328" s="122"/>
      <c r="DU328" s="122"/>
      <c r="DV328" s="122"/>
      <c r="DW328" s="122"/>
      <c r="DX328" s="122"/>
      <c r="DY328" s="122"/>
      <c r="DZ328" s="122"/>
      <c r="EA328" s="122"/>
      <c r="EB328" s="122"/>
      <c r="EC328" s="122"/>
      <c r="ED328" s="122"/>
      <c r="EE328" s="122"/>
      <c r="EF328" s="122"/>
      <c r="EG328" s="122"/>
      <c r="EH328" s="122"/>
      <c r="EI328" s="122"/>
      <c r="EJ328" s="122"/>
      <c r="EK328" s="122"/>
      <c r="EL328" s="122"/>
      <c r="EM328" s="122"/>
      <c r="EN328" s="122"/>
      <c r="EO328" s="122"/>
      <c r="EP328" s="122"/>
      <c r="EQ328" s="122"/>
      <c r="ER328" s="122"/>
      <c r="ES328" s="122"/>
      <c r="ET328" s="122"/>
      <c r="EU328" s="122"/>
      <c r="EV328" s="122"/>
      <c r="EW328" s="122"/>
      <c r="EX328" s="122"/>
      <c r="EY328" s="122"/>
      <c r="EZ328" s="122"/>
      <c r="FA328" s="122"/>
      <c r="FB328" s="122"/>
      <c r="FC328" s="122"/>
      <c r="FD328" s="122"/>
      <c r="FE328" s="122"/>
      <c r="FF328" s="122"/>
      <c r="FG328" s="122"/>
      <c r="FH328" s="122"/>
      <c r="FI328" s="122"/>
      <c r="FJ328" s="122"/>
      <c r="FK328" s="122"/>
      <c r="FL328" s="122"/>
      <c r="FM328" s="122"/>
      <c r="FN328" s="122"/>
      <c r="FO328" s="122"/>
      <c r="FP328" s="122"/>
      <c r="FQ328" s="122"/>
      <c r="FR328" s="122"/>
      <c r="FS328" s="122"/>
      <c r="FT328" s="122"/>
      <c r="FU328" s="122"/>
      <c r="FV328" s="122"/>
      <c r="FW328" s="122"/>
      <c r="FX328" s="122"/>
      <c r="FY328" s="122"/>
      <c r="FZ328" s="122"/>
      <c r="GA328" s="122"/>
      <c r="GB328" s="122"/>
      <c r="GC328" s="122"/>
      <c r="GD328" s="122"/>
      <c r="GE328" s="122"/>
      <c r="GF328" s="122"/>
      <c r="GG328" s="122"/>
      <c r="GH328" s="122"/>
      <c r="GI328" s="122"/>
      <c r="GJ328" s="122"/>
      <c r="GK328" s="122"/>
      <c r="GL328" s="122"/>
      <c r="GM328" s="122"/>
      <c r="GN328" s="122"/>
      <c r="GO328" s="122"/>
      <c r="GP328" s="122"/>
      <c r="GQ328" s="122"/>
      <c r="GR328" s="122"/>
      <c r="GS328" s="122"/>
      <c r="GT328" s="122"/>
      <c r="GU328" s="122"/>
      <c r="GV328" s="122"/>
      <c r="GW328" s="122"/>
      <c r="GX328" s="122"/>
      <c r="GY328" s="122"/>
      <c r="GZ328" s="122"/>
      <c r="HA328" s="122"/>
      <c r="HB328" s="122"/>
      <c r="HC328" s="122"/>
      <c r="HD328" s="122"/>
      <c r="HE328" s="122"/>
      <c r="HF328" s="122"/>
      <c r="HG328" s="122"/>
      <c r="HH328" s="122"/>
      <c r="HI328" s="122"/>
      <c r="HJ328" s="122"/>
      <c r="HK328" s="122"/>
      <c r="HL328" s="122"/>
      <c r="HM328" s="122"/>
      <c r="HN328" s="122"/>
      <c r="HO328" s="122"/>
      <c r="HP328" s="122"/>
      <c r="HQ328" s="122"/>
      <c r="HR328" s="122"/>
      <c r="HS328" s="122"/>
      <c r="HT328" s="122"/>
      <c r="HU328" s="122"/>
      <c r="HV328" s="122"/>
      <c r="HW328" s="122"/>
      <c r="HX328" s="122"/>
      <c r="HY328" s="122"/>
      <c r="HZ328" s="122"/>
      <c r="IA328" s="122"/>
      <c r="IB328" s="122"/>
      <c r="IC328" s="122"/>
      <c r="ID328" s="122"/>
      <c r="IE328" s="122"/>
      <c r="IF328" s="122"/>
      <c r="IG328" s="122"/>
      <c r="IH328" s="122"/>
      <c r="II328" s="122"/>
      <c r="IJ328" s="122"/>
      <c r="IK328" s="122"/>
      <c r="IL328" s="122"/>
      <c r="IM328" s="122"/>
      <c r="IN328" s="122"/>
      <c r="IO328" s="122"/>
      <c r="IP328" s="122"/>
      <c r="IQ328" s="122"/>
      <c r="IR328" s="122"/>
      <c r="IS328" s="122"/>
      <c r="IT328" s="122"/>
      <c r="IU328" s="122"/>
      <c r="IV328" s="122"/>
      <c r="IW328" s="122"/>
      <c r="IX328" s="122"/>
      <c r="IY328" s="122"/>
      <c r="IZ328" s="122"/>
      <c r="JA328" s="122"/>
      <c r="JB328" s="122"/>
      <c r="JC328" s="122"/>
      <c r="JD328" s="122"/>
      <c r="JE328" s="122"/>
      <c r="JF328" s="122"/>
      <c r="JG328" s="122"/>
      <c r="JH328" s="122"/>
      <c r="JI328" s="119"/>
      <c r="JJ328" s="2"/>
      <c r="JK328" s="122"/>
      <c r="JL328" s="125"/>
      <c r="JM328" s="125"/>
      <c r="JN328" s="125"/>
      <c r="JO328" s="125"/>
      <c r="JP328" s="125"/>
    </row>
    <row r="329" spans="1:276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  <c r="AP329" s="122"/>
      <c r="AQ329" s="122"/>
      <c r="AR329" s="122"/>
      <c r="AS329" s="122"/>
      <c r="AT329" s="122"/>
      <c r="AU329" s="122"/>
      <c r="AV329" s="122"/>
      <c r="AW329" s="122"/>
      <c r="AX329" s="122"/>
      <c r="AY329" s="122"/>
      <c r="AZ329" s="122"/>
      <c r="BA329" s="122"/>
      <c r="BB329" s="122"/>
      <c r="BC329" s="122"/>
      <c r="BD329" s="122"/>
      <c r="BE329" s="122"/>
      <c r="BF329" s="122"/>
      <c r="BG329" s="122"/>
      <c r="BH329" s="122"/>
      <c r="BI329" s="122"/>
      <c r="BJ329" s="122"/>
      <c r="BK329" s="122"/>
      <c r="BL329" s="122"/>
      <c r="BM329" s="122"/>
      <c r="BN329" s="122"/>
      <c r="BO329" s="122"/>
      <c r="BP329" s="122"/>
      <c r="BQ329" s="122"/>
      <c r="BR329" s="122"/>
      <c r="BS329" s="122"/>
      <c r="BT329" s="122"/>
      <c r="BU329" s="122"/>
      <c r="BV329" s="122"/>
      <c r="BW329" s="122"/>
      <c r="BX329" s="122"/>
      <c r="BY329" s="122"/>
      <c r="BZ329" s="122"/>
      <c r="CA329" s="122"/>
      <c r="CB329" s="122"/>
      <c r="CC329" s="122"/>
      <c r="CD329" s="122"/>
      <c r="CE329" s="122"/>
      <c r="CF329" s="122"/>
      <c r="CG329" s="122"/>
      <c r="CH329" s="122"/>
      <c r="CI329" s="122"/>
      <c r="CJ329" s="122"/>
      <c r="CK329" s="122"/>
      <c r="CL329" s="122"/>
      <c r="CM329" s="122"/>
      <c r="CN329" s="122"/>
      <c r="CO329" s="122"/>
      <c r="CP329" s="122"/>
      <c r="CQ329" s="122"/>
      <c r="CR329" s="122"/>
      <c r="CS329" s="122"/>
      <c r="CT329" s="122"/>
      <c r="CU329" s="122"/>
      <c r="CV329" s="122"/>
      <c r="CW329" s="122"/>
      <c r="CX329" s="122"/>
      <c r="CY329" s="122"/>
      <c r="CZ329" s="122"/>
      <c r="DA329" s="122"/>
      <c r="DB329" s="122"/>
      <c r="DC329" s="122"/>
      <c r="DD329" s="122"/>
      <c r="DE329" s="122"/>
      <c r="DF329" s="122"/>
      <c r="DG329" s="122"/>
      <c r="DH329" s="122"/>
      <c r="DI329" s="122"/>
      <c r="DJ329" s="122"/>
      <c r="DK329" s="122"/>
      <c r="DL329" s="122"/>
      <c r="DM329" s="122"/>
      <c r="DN329" s="122"/>
      <c r="DO329" s="122"/>
      <c r="DP329" s="122"/>
      <c r="DQ329" s="122"/>
      <c r="DR329" s="122"/>
      <c r="DS329" s="122"/>
      <c r="DT329" s="122"/>
      <c r="DU329" s="122"/>
      <c r="DV329" s="122"/>
      <c r="DW329" s="122"/>
      <c r="DX329" s="122"/>
      <c r="DY329" s="122"/>
      <c r="DZ329" s="122"/>
      <c r="EA329" s="122"/>
      <c r="EB329" s="122"/>
      <c r="EC329" s="122"/>
      <c r="ED329" s="122"/>
      <c r="EE329" s="122"/>
      <c r="EF329" s="122"/>
      <c r="EG329" s="122"/>
      <c r="EH329" s="122"/>
      <c r="EI329" s="122"/>
      <c r="EJ329" s="122"/>
      <c r="EK329" s="122"/>
      <c r="EL329" s="122"/>
      <c r="EM329" s="122"/>
      <c r="EN329" s="122"/>
      <c r="EO329" s="122"/>
      <c r="EP329" s="122"/>
      <c r="EQ329" s="122"/>
      <c r="ER329" s="122"/>
      <c r="ES329" s="122"/>
      <c r="ET329" s="122"/>
      <c r="EU329" s="122"/>
      <c r="EV329" s="122"/>
      <c r="EW329" s="122"/>
      <c r="EX329" s="122"/>
      <c r="EY329" s="122"/>
      <c r="EZ329" s="122"/>
      <c r="FA329" s="122"/>
      <c r="FB329" s="122"/>
      <c r="FC329" s="122"/>
      <c r="FD329" s="122"/>
      <c r="FE329" s="122"/>
      <c r="FF329" s="122"/>
      <c r="FG329" s="122"/>
      <c r="FH329" s="122"/>
      <c r="FI329" s="122"/>
      <c r="FJ329" s="122"/>
      <c r="FK329" s="122"/>
      <c r="FL329" s="122"/>
      <c r="FM329" s="122"/>
      <c r="FN329" s="122"/>
      <c r="FO329" s="122"/>
      <c r="FP329" s="122"/>
      <c r="FQ329" s="122"/>
      <c r="FR329" s="122"/>
      <c r="FS329" s="122"/>
      <c r="FT329" s="122"/>
      <c r="FU329" s="122"/>
      <c r="FV329" s="122"/>
      <c r="FW329" s="122"/>
      <c r="FX329" s="122"/>
      <c r="FY329" s="122"/>
      <c r="FZ329" s="122"/>
      <c r="GA329" s="122"/>
      <c r="GB329" s="122"/>
      <c r="GC329" s="122"/>
      <c r="GD329" s="122"/>
      <c r="GE329" s="122"/>
      <c r="GF329" s="122"/>
      <c r="GG329" s="122"/>
      <c r="GH329" s="122"/>
      <c r="GI329" s="122"/>
      <c r="GJ329" s="122"/>
      <c r="GK329" s="122"/>
      <c r="GL329" s="122"/>
      <c r="GM329" s="122"/>
      <c r="GN329" s="122"/>
      <c r="GO329" s="122"/>
      <c r="GP329" s="122"/>
      <c r="GQ329" s="122"/>
      <c r="GR329" s="122"/>
      <c r="GS329" s="122"/>
      <c r="GT329" s="122"/>
      <c r="GU329" s="122"/>
      <c r="GV329" s="122"/>
      <c r="GW329" s="122"/>
      <c r="GX329" s="122"/>
      <c r="GY329" s="122"/>
      <c r="GZ329" s="122"/>
      <c r="HA329" s="122"/>
      <c r="HB329" s="122"/>
      <c r="HC329" s="122"/>
      <c r="HD329" s="122"/>
      <c r="HE329" s="122"/>
      <c r="HF329" s="122"/>
      <c r="HG329" s="122"/>
      <c r="HH329" s="122"/>
      <c r="HI329" s="122"/>
      <c r="HJ329" s="122"/>
      <c r="HK329" s="122"/>
      <c r="HL329" s="122"/>
      <c r="HM329" s="122"/>
      <c r="HN329" s="122"/>
      <c r="HO329" s="122"/>
      <c r="HP329" s="122"/>
      <c r="HQ329" s="122"/>
      <c r="HR329" s="122"/>
      <c r="HS329" s="122"/>
      <c r="HT329" s="122"/>
      <c r="HU329" s="122"/>
      <c r="HV329" s="122"/>
      <c r="HW329" s="122"/>
      <c r="HX329" s="122"/>
      <c r="HY329" s="122"/>
      <c r="HZ329" s="122"/>
      <c r="IA329" s="122"/>
      <c r="IB329" s="122"/>
      <c r="IC329" s="122"/>
      <c r="ID329" s="122"/>
      <c r="IE329" s="122"/>
      <c r="IF329" s="122"/>
      <c r="IG329" s="122"/>
      <c r="IH329" s="122"/>
      <c r="II329" s="122"/>
      <c r="IJ329" s="122"/>
      <c r="IK329" s="122"/>
      <c r="IL329" s="122"/>
      <c r="IM329" s="122"/>
      <c r="IN329" s="122"/>
      <c r="IO329" s="122"/>
      <c r="IP329" s="122"/>
      <c r="IQ329" s="122"/>
      <c r="IR329" s="122"/>
      <c r="IS329" s="122"/>
      <c r="IT329" s="122"/>
      <c r="IU329" s="122"/>
      <c r="IV329" s="122"/>
      <c r="IW329" s="122"/>
      <c r="IX329" s="122"/>
      <c r="IY329" s="122"/>
      <c r="IZ329" s="122"/>
      <c r="JA329" s="122"/>
      <c r="JB329" s="122"/>
      <c r="JC329" s="122"/>
      <c r="JD329" s="122"/>
      <c r="JE329" s="122"/>
      <c r="JF329" s="122"/>
      <c r="JG329" s="122"/>
      <c r="JH329" s="122"/>
      <c r="JI329" s="119"/>
      <c r="JJ329" s="2"/>
      <c r="JK329" s="122"/>
      <c r="JL329" s="125"/>
      <c r="JM329" s="125"/>
      <c r="JN329" s="125"/>
      <c r="JO329" s="125"/>
      <c r="JP329" s="125"/>
    </row>
    <row r="330" spans="1:276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122"/>
      <c r="AI330" s="122"/>
      <c r="AJ330" s="122"/>
      <c r="AK330" s="122"/>
      <c r="AL330" s="122"/>
      <c r="AM330" s="122"/>
      <c r="AN330" s="122"/>
      <c r="AO330" s="122"/>
      <c r="AP330" s="122"/>
      <c r="AQ330" s="122"/>
      <c r="AR330" s="122"/>
      <c r="AS330" s="122"/>
      <c r="AT330" s="122"/>
      <c r="AU330" s="122"/>
      <c r="AV330" s="122"/>
      <c r="AW330" s="122"/>
      <c r="AX330" s="122"/>
      <c r="AY330" s="122"/>
      <c r="AZ330" s="122"/>
      <c r="BA330" s="122"/>
      <c r="BB330" s="122"/>
      <c r="BC330" s="122"/>
      <c r="BD330" s="122"/>
      <c r="BE330" s="122"/>
      <c r="BF330" s="122"/>
      <c r="BG330" s="122"/>
      <c r="BH330" s="122"/>
      <c r="BI330" s="122"/>
      <c r="BJ330" s="122"/>
      <c r="BK330" s="122"/>
      <c r="BL330" s="122"/>
      <c r="BM330" s="122"/>
      <c r="BN330" s="122"/>
      <c r="BO330" s="122"/>
      <c r="BP330" s="122"/>
      <c r="BQ330" s="122"/>
      <c r="BR330" s="122"/>
      <c r="BS330" s="122"/>
      <c r="BT330" s="122"/>
      <c r="BU330" s="122"/>
      <c r="BV330" s="122"/>
      <c r="BW330" s="122"/>
      <c r="BX330" s="122"/>
      <c r="BY330" s="122"/>
      <c r="BZ330" s="122"/>
      <c r="CA330" s="122"/>
      <c r="CB330" s="122"/>
      <c r="CC330" s="122"/>
      <c r="CD330" s="122"/>
      <c r="CE330" s="122"/>
      <c r="CF330" s="122"/>
      <c r="CG330" s="122"/>
      <c r="CH330" s="122"/>
      <c r="CI330" s="122"/>
      <c r="CJ330" s="122"/>
      <c r="CK330" s="122"/>
      <c r="CL330" s="122"/>
      <c r="CM330" s="122"/>
      <c r="CN330" s="122"/>
      <c r="CO330" s="122"/>
      <c r="CP330" s="122"/>
      <c r="CQ330" s="122"/>
      <c r="CR330" s="122"/>
      <c r="CS330" s="122"/>
      <c r="CT330" s="122"/>
      <c r="CU330" s="122"/>
      <c r="CV330" s="122"/>
      <c r="CW330" s="122"/>
      <c r="CX330" s="122"/>
      <c r="CY330" s="122"/>
      <c r="CZ330" s="122"/>
      <c r="DA330" s="122"/>
      <c r="DB330" s="122"/>
      <c r="DC330" s="122"/>
      <c r="DD330" s="122"/>
      <c r="DE330" s="122"/>
      <c r="DF330" s="122"/>
      <c r="DG330" s="122"/>
      <c r="DH330" s="122"/>
      <c r="DI330" s="122"/>
      <c r="DJ330" s="122"/>
      <c r="DK330" s="122"/>
      <c r="DL330" s="122"/>
      <c r="DM330" s="122"/>
      <c r="DN330" s="122"/>
      <c r="DO330" s="122"/>
      <c r="DP330" s="122"/>
      <c r="DQ330" s="122"/>
      <c r="DR330" s="122"/>
      <c r="DS330" s="122"/>
      <c r="DT330" s="122"/>
      <c r="DU330" s="122"/>
      <c r="DV330" s="122"/>
      <c r="DW330" s="122"/>
      <c r="DX330" s="122"/>
      <c r="DY330" s="122"/>
      <c r="DZ330" s="122"/>
      <c r="EA330" s="122"/>
      <c r="EB330" s="122"/>
      <c r="EC330" s="122"/>
      <c r="ED330" s="122"/>
      <c r="EE330" s="122"/>
      <c r="EF330" s="122"/>
      <c r="EG330" s="122"/>
      <c r="EH330" s="122"/>
      <c r="EI330" s="122"/>
      <c r="EJ330" s="122"/>
      <c r="EK330" s="122"/>
      <c r="EL330" s="122"/>
      <c r="EM330" s="122"/>
      <c r="EN330" s="122"/>
      <c r="EO330" s="122"/>
      <c r="EP330" s="122"/>
      <c r="EQ330" s="122"/>
      <c r="ER330" s="122"/>
      <c r="ES330" s="122"/>
      <c r="ET330" s="122"/>
      <c r="EU330" s="122"/>
      <c r="EV330" s="122"/>
      <c r="EW330" s="122"/>
      <c r="EX330" s="122"/>
      <c r="EY330" s="122"/>
      <c r="EZ330" s="122"/>
      <c r="FA330" s="122"/>
      <c r="FB330" s="122"/>
      <c r="FC330" s="122"/>
      <c r="FD330" s="122"/>
      <c r="FE330" s="122"/>
      <c r="FF330" s="122"/>
      <c r="FG330" s="122"/>
      <c r="FH330" s="122"/>
      <c r="FI330" s="122"/>
      <c r="FJ330" s="122"/>
      <c r="FK330" s="122"/>
      <c r="FL330" s="122"/>
      <c r="FM330" s="122"/>
      <c r="FN330" s="122"/>
      <c r="FO330" s="122"/>
      <c r="FP330" s="122"/>
      <c r="FQ330" s="122"/>
      <c r="FR330" s="122"/>
      <c r="FS330" s="122"/>
      <c r="FT330" s="122"/>
      <c r="FU330" s="122"/>
      <c r="FV330" s="122"/>
      <c r="FW330" s="122"/>
      <c r="FX330" s="122"/>
      <c r="FY330" s="122"/>
      <c r="FZ330" s="122"/>
      <c r="GA330" s="122"/>
      <c r="GB330" s="122"/>
      <c r="GC330" s="122"/>
      <c r="GD330" s="122"/>
      <c r="GE330" s="122"/>
      <c r="GF330" s="122"/>
      <c r="GG330" s="122"/>
      <c r="GH330" s="122"/>
      <c r="GI330" s="122"/>
      <c r="GJ330" s="122"/>
      <c r="GK330" s="122"/>
      <c r="GL330" s="122"/>
      <c r="GM330" s="122"/>
      <c r="GN330" s="122"/>
      <c r="GO330" s="122"/>
      <c r="GP330" s="122"/>
      <c r="GQ330" s="122"/>
      <c r="GR330" s="122"/>
      <c r="GS330" s="122"/>
      <c r="GT330" s="122"/>
      <c r="GU330" s="122"/>
      <c r="GV330" s="122"/>
      <c r="GW330" s="122"/>
      <c r="GX330" s="122"/>
      <c r="GY330" s="122"/>
      <c r="GZ330" s="122"/>
      <c r="HA330" s="122"/>
      <c r="HB330" s="122"/>
      <c r="HC330" s="122"/>
      <c r="HD330" s="122"/>
      <c r="HE330" s="122"/>
      <c r="HF330" s="122"/>
      <c r="HG330" s="122"/>
      <c r="HH330" s="122"/>
      <c r="HI330" s="122"/>
      <c r="HJ330" s="122"/>
      <c r="HK330" s="122"/>
      <c r="HL330" s="122"/>
      <c r="HM330" s="122"/>
      <c r="HN330" s="122"/>
      <c r="HO330" s="122"/>
      <c r="HP330" s="122"/>
      <c r="HQ330" s="122"/>
      <c r="HR330" s="122"/>
      <c r="HS330" s="122"/>
      <c r="HT330" s="122"/>
      <c r="HU330" s="122"/>
      <c r="HV330" s="122"/>
      <c r="HW330" s="122"/>
      <c r="HX330" s="122"/>
      <c r="HY330" s="122"/>
      <c r="HZ330" s="122"/>
      <c r="IA330" s="122"/>
      <c r="IB330" s="122"/>
      <c r="IC330" s="122"/>
      <c r="ID330" s="122"/>
      <c r="IE330" s="122"/>
      <c r="IF330" s="122"/>
      <c r="IG330" s="122"/>
      <c r="IH330" s="122"/>
      <c r="II330" s="122"/>
      <c r="IJ330" s="122"/>
      <c r="IK330" s="122"/>
      <c r="IL330" s="122"/>
      <c r="IM330" s="122"/>
      <c r="IN330" s="122"/>
      <c r="IO330" s="122"/>
      <c r="IP330" s="122"/>
      <c r="IQ330" s="122"/>
      <c r="IR330" s="122"/>
      <c r="IS330" s="122"/>
      <c r="IT330" s="122"/>
      <c r="IU330" s="122"/>
      <c r="IV330" s="122"/>
      <c r="IW330" s="122"/>
      <c r="IX330" s="122"/>
      <c r="IY330" s="122"/>
      <c r="IZ330" s="122"/>
      <c r="JA330" s="122"/>
      <c r="JB330" s="122"/>
      <c r="JC330" s="122"/>
      <c r="JD330" s="122"/>
      <c r="JE330" s="122"/>
      <c r="JF330" s="122"/>
      <c r="JG330" s="122"/>
      <c r="JH330" s="122"/>
      <c r="JI330" s="119"/>
      <c r="JJ330" s="2"/>
      <c r="JK330" s="122"/>
      <c r="JL330" s="125"/>
      <c r="JM330" s="125"/>
      <c r="JN330" s="125"/>
      <c r="JO330" s="125"/>
      <c r="JP330" s="125"/>
    </row>
    <row r="331" spans="1:276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  <c r="AK331" s="122"/>
      <c r="AL331" s="122"/>
      <c r="AM331" s="122"/>
      <c r="AN331" s="122"/>
      <c r="AO331" s="122"/>
      <c r="AP331" s="122"/>
      <c r="AQ331" s="122"/>
      <c r="AR331" s="122"/>
      <c r="AS331" s="122"/>
      <c r="AT331" s="122"/>
      <c r="AU331" s="122"/>
      <c r="AV331" s="122"/>
      <c r="AW331" s="122"/>
      <c r="AX331" s="122"/>
      <c r="AY331" s="122"/>
      <c r="AZ331" s="122"/>
      <c r="BA331" s="122"/>
      <c r="BB331" s="122"/>
      <c r="BC331" s="122"/>
      <c r="BD331" s="122"/>
      <c r="BE331" s="122"/>
      <c r="BF331" s="122"/>
      <c r="BG331" s="122"/>
      <c r="BH331" s="122"/>
      <c r="BI331" s="122"/>
      <c r="BJ331" s="122"/>
      <c r="BK331" s="122"/>
      <c r="BL331" s="122"/>
      <c r="BM331" s="122"/>
      <c r="BN331" s="122"/>
      <c r="BO331" s="122"/>
      <c r="BP331" s="122"/>
      <c r="BQ331" s="122"/>
      <c r="BR331" s="122"/>
      <c r="BS331" s="122"/>
      <c r="BT331" s="122"/>
      <c r="BU331" s="122"/>
      <c r="BV331" s="122"/>
      <c r="BW331" s="122"/>
      <c r="BX331" s="122"/>
      <c r="BY331" s="122"/>
      <c r="BZ331" s="122"/>
      <c r="CA331" s="122"/>
      <c r="CB331" s="122"/>
      <c r="CC331" s="122"/>
      <c r="CD331" s="122"/>
      <c r="CE331" s="122"/>
      <c r="CF331" s="122"/>
      <c r="CG331" s="122"/>
      <c r="CH331" s="122"/>
      <c r="CI331" s="122"/>
      <c r="CJ331" s="122"/>
      <c r="CK331" s="122"/>
      <c r="CL331" s="122"/>
      <c r="CM331" s="122"/>
      <c r="CN331" s="122"/>
      <c r="CO331" s="122"/>
      <c r="CP331" s="122"/>
      <c r="CQ331" s="122"/>
      <c r="CR331" s="122"/>
      <c r="CS331" s="122"/>
      <c r="CT331" s="122"/>
      <c r="CU331" s="122"/>
      <c r="CV331" s="122"/>
      <c r="CW331" s="122"/>
      <c r="CX331" s="122"/>
      <c r="CY331" s="122"/>
      <c r="CZ331" s="122"/>
      <c r="DA331" s="122"/>
      <c r="DB331" s="122"/>
      <c r="DC331" s="122"/>
      <c r="DD331" s="122"/>
      <c r="DE331" s="122"/>
      <c r="DF331" s="122"/>
      <c r="DG331" s="122"/>
      <c r="DH331" s="122"/>
      <c r="DI331" s="122"/>
      <c r="DJ331" s="122"/>
      <c r="DK331" s="122"/>
      <c r="DL331" s="122"/>
      <c r="DM331" s="122"/>
      <c r="DN331" s="122"/>
      <c r="DO331" s="122"/>
      <c r="DP331" s="122"/>
      <c r="DQ331" s="122"/>
      <c r="DR331" s="122"/>
      <c r="DS331" s="122"/>
      <c r="DT331" s="122"/>
      <c r="DU331" s="122"/>
      <c r="DV331" s="122"/>
      <c r="DW331" s="122"/>
      <c r="DX331" s="122"/>
      <c r="DY331" s="122"/>
      <c r="DZ331" s="122"/>
      <c r="EA331" s="122"/>
      <c r="EB331" s="122"/>
      <c r="EC331" s="122"/>
      <c r="ED331" s="122"/>
      <c r="EE331" s="122"/>
      <c r="EF331" s="122"/>
      <c r="EG331" s="122"/>
      <c r="EH331" s="122"/>
      <c r="EI331" s="122"/>
      <c r="EJ331" s="122"/>
      <c r="EK331" s="122"/>
      <c r="EL331" s="122"/>
      <c r="EM331" s="122"/>
      <c r="EN331" s="122"/>
      <c r="EO331" s="122"/>
      <c r="EP331" s="122"/>
      <c r="EQ331" s="122"/>
      <c r="ER331" s="122"/>
      <c r="ES331" s="122"/>
      <c r="ET331" s="122"/>
      <c r="EU331" s="122"/>
      <c r="EV331" s="122"/>
      <c r="EW331" s="122"/>
      <c r="EX331" s="122"/>
      <c r="EY331" s="122"/>
      <c r="EZ331" s="122"/>
      <c r="FA331" s="122"/>
      <c r="FB331" s="122"/>
      <c r="FC331" s="122"/>
      <c r="FD331" s="122"/>
      <c r="FE331" s="122"/>
      <c r="FF331" s="122"/>
      <c r="FG331" s="122"/>
      <c r="FH331" s="122"/>
      <c r="FI331" s="122"/>
      <c r="FJ331" s="122"/>
      <c r="FK331" s="122"/>
      <c r="FL331" s="122"/>
      <c r="FM331" s="122"/>
      <c r="FN331" s="122"/>
      <c r="FO331" s="122"/>
      <c r="FP331" s="122"/>
      <c r="FQ331" s="122"/>
      <c r="FR331" s="122"/>
      <c r="FS331" s="122"/>
      <c r="FT331" s="122"/>
      <c r="FU331" s="122"/>
      <c r="FV331" s="122"/>
      <c r="FW331" s="122"/>
      <c r="FX331" s="122"/>
      <c r="FY331" s="122"/>
      <c r="FZ331" s="122"/>
      <c r="GA331" s="122"/>
      <c r="GB331" s="122"/>
      <c r="GC331" s="122"/>
      <c r="GD331" s="122"/>
      <c r="GE331" s="122"/>
      <c r="GF331" s="122"/>
      <c r="GG331" s="122"/>
      <c r="GH331" s="122"/>
      <c r="GI331" s="122"/>
      <c r="GJ331" s="122"/>
      <c r="GK331" s="122"/>
      <c r="GL331" s="122"/>
      <c r="GM331" s="122"/>
      <c r="GN331" s="122"/>
      <c r="GO331" s="122"/>
      <c r="GP331" s="122"/>
      <c r="GQ331" s="122"/>
      <c r="GR331" s="122"/>
      <c r="GS331" s="122"/>
      <c r="GT331" s="122"/>
      <c r="GU331" s="122"/>
      <c r="GV331" s="122"/>
      <c r="GW331" s="122"/>
      <c r="GX331" s="122"/>
      <c r="GY331" s="122"/>
      <c r="GZ331" s="122"/>
      <c r="HA331" s="122"/>
      <c r="HB331" s="122"/>
      <c r="HC331" s="122"/>
      <c r="HD331" s="122"/>
      <c r="HE331" s="122"/>
      <c r="HF331" s="122"/>
      <c r="HG331" s="122"/>
      <c r="HH331" s="122"/>
      <c r="HI331" s="122"/>
      <c r="HJ331" s="122"/>
      <c r="HK331" s="122"/>
      <c r="HL331" s="122"/>
      <c r="HM331" s="122"/>
      <c r="HN331" s="122"/>
      <c r="HO331" s="122"/>
      <c r="HP331" s="122"/>
      <c r="HQ331" s="122"/>
      <c r="HR331" s="122"/>
      <c r="HS331" s="122"/>
      <c r="HT331" s="122"/>
      <c r="HU331" s="122"/>
      <c r="HV331" s="122"/>
      <c r="HW331" s="122"/>
      <c r="HX331" s="122"/>
      <c r="HY331" s="122"/>
      <c r="HZ331" s="122"/>
      <c r="IA331" s="122"/>
      <c r="IB331" s="122"/>
      <c r="IC331" s="122"/>
      <c r="ID331" s="122"/>
      <c r="IE331" s="122"/>
      <c r="IF331" s="122"/>
      <c r="IG331" s="122"/>
      <c r="IH331" s="122"/>
      <c r="II331" s="122"/>
      <c r="IJ331" s="122"/>
      <c r="IK331" s="122"/>
      <c r="IL331" s="122"/>
      <c r="IM331" s="122"/>
      <c r="IN331" s="122"/>
      <c r="IO331" s="122"/>
      <c r="IP331" s="122"/>
      <c r="IQ331" s="122"/>
      <c r="IR331" s="122"/>
      <c r="IS331" s="122"/>
      <c r="IT331" s="122"/>
      <c r="IU331" s="122"/>
      <c r="IV331" s="122"/>
      <c r="IW331" s="122"/>
      <c r="IX331" s="122"/>
      <c r="IY331" s="122"/>
      <c r="IZ331" s="122"/>
      <c r="JA331" s="122"/>
      <c r="JB331" s="122"/>
      <c r="JC331" s="122"/>
      <c r="JD331" s="122"/>
      <c r="JE331" s="122"/>
      <c r="JF331" s="122"/>
      <c r="JG331" s="122"/>
      <c r="JH331" s="122"/>
      <c r="JI331" s="119"/>
      <c r="JJ331" s="2"/>
      <c r="JK331" s="122"/>
      <c r="JL331" s="125"/>
      <c r="JM331" s="125"/>
      <c r="JN331" s="125"/>
      <c r="JO331" s="125"/>
      <c r="JP331" s="125"/>
    </row>
    <row r="332" spans="1:276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122"/>
      <c r="AI332" s="122"/>
      <c r="AJ332" s="122"/>
      <c r="AK332" s="122"/>
      <c r="AL332" s="122"/>
      <c r="AM332" s="122"/>
      <c r="AN332" s="122"/>
      <c r="AO332" s="122"/>
      <c r="AP332" s="122"/>
      <c r="AQ332" s="122"/>
      <c r="AR332" s="122"/>
      <c r="AS332" s="122"/>
      <c r="AT332" s="122"/>
      <c r="AU332" s="122"/>
      <c r="AV332" s="122"/>
      <c r="AW332" s="122"/>
      <c r="AX332" s="122"/>
      <c r="AY332" s="122"/>
      <c r="AZ332" s="122"/>
      <c r="BA332" s="122"/>
      <c r="BB332" s="122"/>
      <c r="BC332" s="122"/>
      <c r="BD332" s="122"/>
      <c r="BE332" s="122"/>
      <c r="BF332" s="122"/>
      <c r="BG332" s="122"/>
      <c r="BH332" s="122"/>
      <c r="BI332" s="122"/>
      <c r="BJ332" s="122"/>
      <c r="BK332" s="122"/>
      <c r="BL332" s="122"/>
      <c r="BM332" s="122"/>
      <c r="BN332" s="122"/>
      <c r="BO332" s="122"/>
      <c r="BP332" s="122"/>
      <c r="BQ332" s="122"/>
      <c r="BR332" s="122"/>
      <c r="BS332" s="122"/>
      <c r="BT332" s="122"/>
      <c r="BU332" s="122"/>
      <c r="BV332" s="122"/>
      <c r="BW332" s="122"/>
      <c r="BX332" s="122"/>
      <c r="BY332" s="122"/>
      <c r="BZ332" s="122"/>
      <c r="CA332" s="122"/>
      <c r="CB332" s="122"/>
      <c r="CC332" s="122"/>
      <c r="CD332" s="122"/>
      <c r="CE332" s="122"/>
      <c r="CF332" s="122"/>
      <c r="CG332" s="122"/>
      <c r="CH332" s="122"/>
      <c r="CI332" s="122"/>
      <c r="CJ332" s="122"/>
      <c r="CK332" s="122"/>
      <c r="CL332" s="122"/>
      <c r="CM332" s="122"/>
      <c r="CN332" s="122"/>
      <c r="CO332" s="122"/>
      <c r="CP332" s="122"/>
      <c r="CQ332" s="122"/>
      <c r="CR332" s="122"/>
      <c r="CS332" s="122"/>
      <c r="CT332" s="122"/>
      <c r="CU332" s="122"/>
      <c r="CV332" s="122"/>
      <c r="CW332" s="122"/>
      <c r="CX332" s="122"/>
      <c r="CY332" s="122"/>
      <c r="CZ332" s="122"/>
      <c r="DA332" s="122"/>
      <c r="DB332" s="122"/>
      <c r="DC332" s="122"/>
      <c r="DD332" s="122"/>
      <c r="DE332" s="122"/>
      <c r="DF332" s="122"/>
      <c r="DG332" s="122"/>
      <c r="DH332" s="122"/>
      <c r="DI332" s="122"/>
      <c r="DJ332" s="122"/>
      <c r="DK332" s="122"/>
      <c r="DL332" s="122"/>
      <c r="DM332" s="122"/>
      <c r="DN332" s="122"/>
      <c r="DO332" s="122"/>
      <c r="DP332" s="122"/>
      <c r="DQ332" s="122"/>
      <c r="DR332" s="122"/>
      <c r="DS332" s="122"/>
      <c r="DT332" s="122"/>
      <c r="DU332" s="122"/>
      <c r="DV332" s="122"/>
      <c r="DW332" s="122"/>
      <c r="DX332" s="122"/>
      <c r="DY332" s="122"/>
      <c r="DZ332" s="122"/>
      <c r="EA332" s="122"/>
      <c r="EB332" s="122"/>
      <c r="EC332" s="122"/>
      <c r="ED332" s="122"/>
      <c r="EE332" s="122"/>
      <c r="EF332" s="122"/>
      <c r="EG332" s="122"/>
      <c r="EH332" s="122"/>
      <c r="EI332" s="122"/>
      <c r="EJ332" s="122"/>
      <c r="EK332" s="122"/>
      <c r="EL332" s="122"/>
      <c r="EM332" s="122"/>
      <c r="EN332" s="122"/>
      <c r="EO332" s="122"/>
      <c r="EP332" s="122"/>
      <c r="EQ332" s="122"/>
      <c r="ER332" s="122"/>
      <c r="ES332" s="122"/>
      <c r="ET332" s="122"/>
      <c r="EU332" s="122"/>
      <c r="EV332" s="122"/>
      <c r="EW332" s="122"/>
      <c r="EX332" s="122"/>
      <c r="EY332" s="122"/>
      <c r="EZ332" s="122"/>
      <c r="FA332" s="122"/>
      <c r="FB332" s="122"/>
      <c r="FC332" s="122"/>
      <c r="FD332" s="122"/>
      <c r="FE332" s="122"/>
      <c r="FF332" s="122"/>
      <c r="FG332" s="122"/>
      <c r="FH332" s="122"/>
      <c r="FI332" s="122"/>
      <c r="FJ332" s="122"/>
      <c r="FK332" s="122"/>
      <c r="FL332" s="122"/>
      <c r="FM332" s="122"/>
      <c r="FN332" s="122"/>
      <c r="FO332" s="122"/>
      <c r="FP332" s="122"/>
      <c r="FQ332" s="122"/>
      <c r="FR332" s="122"/>
      <c r="FS332" s="122"/>
      <c r="FT332" s="122"/>
      <c r="FU332" s="122"/>
      <c r="FV332" s="122"/>
      <c r="FW332" s="122"/>
      <c r="FX332" s="122"/>
      <c r="FY332" s="122"/>
      <c r="FZ332" s="122"/>
      <c r="GA332" s="122"/>
      <c r="GB332" s="122"/>
      <c r="GC332" s="122"/>
      <c r="GD332" s="122"/>
      <c r="GE332" s="122"/>
      <c r="GF332" s="122"/>
      <c r="GG332" s="122"/>
      <c r="GH332" s="122"/>
      <c r="GI332" s="122"/>
      <c r="GJ332" s="122"/>
      <c r="GK332" s="122"/>
      <c r="GL332" s="122"/>
      <c r="GM332" s="122"/>
      <c r="GN332" s="122"/>
      <c r="GO332" s="122"/>
      <c r="GP332" s="122"/>
      <c r="GQ332" s="122"/>
      <c r="GR332" s="122"/>
      <c r="GS332" s="122"/>
      <c r="GT332" s="122"/>
      <c r="GU332" s="122"/>
      <c r="GV332" s="122"/>
      <c r="GW332" s="122"/>
      <c r="GX332" s="122"/>
      <c r="GY332" s="122"/>
      <c r="GZ332" s="122"/>
      <c r="HA332" s="122"/>
      <c r="HB332" s="122"/>
      <c r="HC332" s="122"/>
      <c r="HD332" s="122"/>
      <c r="HE332" s="122"/>
      <c r="HF332" s="122"/>
      <c r="HG332" s="122"/>
      <c r="HH332" s="122"/>
      <c r="HI332" s="122"/>
      <c r="HJ332" s="122"/>
      <c r="HK332" s="122"/>
      <c r="HL332" s="122"/>
      <c r="HM332" s="122"/>
      <c r="HN332" s="122"/>
      <c r="HO332" s="122"/>
      <c r="HP332" s="122"/>
      <c r="HQ332" s="122"/>
      <c r="HR332" s="122"/>
      <c r="HS332" s="122"/>
      <c r="HT332" s="122"/>
      <c r="HU332" s="122"/>
      <c r="HV332" s="122"/>
      <c r="HW332" s="122"/>
      <c r="HX332" s="122"/>
      <c r="HY332" s="122"/>
      <c r="HZ332" s="122"/>
      <c r="IA332" s="122"/>
      <c r="IB332" s="122"/>
      <c r="IC332" s="122"/>
      <c r="ID332" s="122"/>
      <c r="IE332" s="122"/>
      <c r="IF332" s="122"/>
      <c r="IG332" s="122"/>
      <c r="IH332" s="122"/>
      <c r="II332" s="122"/>
      <c r="IJ332" s="122"/>
      <c r="IK332" s="122"/>
      <c r="IL332" s="122"/>
      <c r="IM332" s="122"/>
      <c r="IN332" s="122"/>
      <c r="IO332" s="122"/>
      <c r="IP332" s="122"/>
      <c r="IQ332" s="122"/>
      <c r="IR332" s="122"/>
      <c r="IS332" s="122"/>
      <c r="IT332" s="122"/>
      <c r="IU332" s="122"/>
      <c r="IV332" s="122"/>
      <c r="IW332" s="122"/>
      <c r="IX332" s="122"/>
      <c r="IY332" s="122"/>
      <c r="IZ332" s="122"/>
      <c r="JA332" s="122"/>
      <c r="JB332" s="122"/>
      <c r="JC332" s="122"/>
      <c r="JD332" s="122"/>
      <c r="JE332" s="122"/>
      <c r="JF332" s="122"/>
      <c r="JG332" s="122"/>
      <c r="JH332" s="122"/>
      <c r="JI332" s="119"/>
      <c r="JJ332" s="2"/>
      <c r="JK332" s="122"/>
      <c r="JL332" s="125"/>
      <c r="JM332" s="125"/>
      <c r="JN332" s="125"/>
      <c r="JO332" s="125"/>
      <c r="JP332" s="125"/>
    </row>
    <row r="333" spans="1:276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  <c r="AP333" s="122"/>
      <c r="AQ333" s="122"/>
      <c r="AR333" s="122"/>
      <c r="AS333" s="122"/>
      <c r="AT333" s="122"/>
      <c r="AU333" s="122"/>
      <c r="AV333" s="122"/>
      <c r="AW333" s="122"/>
      <c r="AX333" s="122"/>
      <c r="AY333" s="122"/>
      <c r="AZ333" s="122"/>
      <c r="BA333" s="122"/>
      <c r="BB333" s="122"/>
      <c r="BC333" s="122"/>
      <c r="BD333" s="122"/>
      <c r="BE333" s="122"/>
      <c r="BF333" s="122"/>
      <c r="BG333" s="122"/>
      <c r="BH333" s="122"/>
      <c r="BI333" s="122"/>
      <c r="BJ333" s="122"/>
      <c r="BK333" s="122"/>
      <c r="BL333" s="122"/>
      <c r="BM333" s="122"/>
      <c r="BN333" s="122"/>
      <c r="BO333" s="122"/>
      <c r="BP333" s="122"/>
      <c r="BQ333" s="122"/>
      <c r="BR333" s="122"/>
      <c r="BS333" s="122"/>
      <c r="BT333" s="122"/>
      <c r="BU333" s="122"/>
      <c r="BV333" s="122"/>
      <c r="BW333" s="122"/>
      <c r="BX333" s="122"/>
      <c r="BY333" s="122"/>
      <c r="BZ333" s="122"/>
      <c r="CA333" s="122"/>
      <c r="CB333" s="122"/>
      <c r="CC333" s="122"/>
      <c r="CD333" s="122"/>
      <c r="CE333" s="122"/>
      <c r="CF333" s="122"/>
      <c r="CG333" s="122"/>
      <c r="CH333" s="122"/>
      <c r="CI333" s="122"/>
      <c r="CJ333" s="122"/>
      <c r="CK333" s="122"/>
      <c r="CL333" s="122"/>
      <c r="CM333" s="122"/>
      <c r="CN333" s="122"/>
      <c r="CO333" s="122"/>
      <c r="CP333" s="122"/>
      <c r="CQ333" s="122"/>
      <c r="CR333" s="122"/>
      <c r="CS333" s="122"/>
      <c r="CT333" s="122"/>
      <c r="CU333" s="122"/>
      <c r="CV333" s="122"/>
      <c r="CW333" s="122"/>
      <c r="CX333" s="122"/>
      <c r="CY333" s="122"/>
      <c r="CZ333" s="122"/>
      <c r="DA333" s="122"/>
      <c r="DB333" s="122"/>
      <c r="DC333" s="122"/>
      <c r="DD333" s="122"/>
      <c r="DE333" s="122"/>
      <c r="DF333" s="122"/>
      <c r="DG333" s="122"/>
      <c r="DH333" s="122"/>
      <c r="DI333" s="122"/>
      <c r="DJ333" s="122"/>
      <c r="DK333" s="122"/>
      <c r="DL333" s="122"/>
      <c r="DM333" s="122"/>
      <c r="DN333" s="122"/>
      <c r="DO333" s="122"/>
      <c r="DP333" s="122"/>
      <c r="DQ333" s="122"/>
      <c r="DR333" s="122"/>
      <c r="DS333" s="122"/>
      <c r="DT333" s="122"/>
      <c r="DU333" s="122"/>
      <c r="DV333" s="122"/>
      <c r="DW333" s="122"/>
      <c r="DX333" s="122"/>
      <c r="DY333" s="122"/>
      <c r="DZ333" s="122"/>
      <c r="EA333" s="122"/>
      <c r="EB333" s="122"/>
      <c r="EC333" s="122"/>
      <c r="ED333" s="122"/>
      <c r="EE333" s="122"/>
      <c r="EF333" s="122"/>
      <c r="EG333" s="122"/>
      <c r="EH333" s="122"/>
      <c r="EI333" s="122"/>
      <c r="EJ333" s="122"/>
      <c r="EK333" s="122"/>
      <c r="EL333" s="122"/>
      <c r="EM333" s="122"/>
      <c r="EN333" s="122"/>
      <c r="EO333" s="122"/>
      <c r="EP333" s="122"/>
      <c r="EQ333" s="122"/>
      <c r="ER333" s="122"/>
      <c r="ES333" s="122"/>
      <c r="ET333" s="122"/>
      <c r="EU333" s="122"/>
      <c r="EV333" s="122"/>
      <c r="EW333" s="122"/>
      <c r="EX333" s="122"/>
      <c r="EY333" s="122"/>
      <c r="EZ333" s="122"/>
      <c r="FA333" s="122"/>
      <c r="FB333" s="122"/>
      <c r="FC333" s="122"/>
      <c r="FD333" s="122"/>
      <c r="FE333" s="122"/>
      <c r="FF333" s="122"/>
      <c r="FG333" s="122"/>
      <c r="FH333" s="122"/>
      <c r="FI333" s="122"/>
      <c r="FJ333" s="122"/>
      <c r="FK333" s="122"/>
      <c r="FL333" s="122"/>
      <c r="FM333" s="122"/>
      <c r="FN333" s="122"/>
      <c r="FO333" s="122"/>
      <c r="FP333" s="122"/>
      <c r="FQ333" s="122"/>
      <c r="FR333" s="122"/>
      <c r="FS333" s="122"/>
      <c r="FT333" s="122"/>
      <c r="FU333" s="122"/>
      <c r="FV333" s="122"/>
      <c r="FW333" s="122"/>
      <c r="FX333" s="122"/>
      <c r="FY333" s="122"/>
      <c r="FZ333" s="122"/>
      <c r="GA333" s="122"/>
      <c r="GB333" s="122"/>
      <c r="GC333" s="122"/>
      <c r="GD333" s="122"/>
      <c r="GE333" s="122"/>
      <c r="GF333" s="122"/>
      <c r="GG333" s="122"/>
      <c r="GH333" s="122"/>
      <c r="GI333" s="122"/>
      <c r="GJ333" s="122"/>
      <c r="GK333" s="122"/>
      <c r="GL333" s="122"/>
      <c r="GM333" s="122"/>
      <c r="GN333" s="122"/>
      <c r="GO333" s="122"/>
      <c r="GP333" s="122"/>
      <c r="GQ333" s="122"/>
      <c r="GR333" s="122"/>
      <c r="GS333" s="122"/>
      <c r="GT333" s="122"/>
      <c r="GU333" s="122"/>
      <c r="GV333" s="122"/>
      <c r="GW333" s="122"/>
      <c r="GX333" s="122"/>
      <c r="GY333" s="122"/>
      <c r="GZ333" s="122"/>
      <c r="HA333" s="122"/>
      <c r="HB333" s="122"/>
      <c r="HC333" s="122"/>
      <c r="HD333" s="122"/>
      <c r="HE333" s="122"/>
      <c r="HF333" s="122"/>
      <c r="HG333" s="122"/>
      <c r="HH333" s="122"/>
      <c r="HI333" s="122"/>
      <c r="HJ333" s="122"/>
      <c r="HK333" s="122"/>
      <c r="HL333" s="122"/>
      <c r="HM333" s="122"/>
      <c r="HN333" s="122"/>
      <c r="HO333" s="122"/>
      <c r="HP333" s="122"/>
      <c r="HQ333" s="122"/>
      <c r="HR333" s="122"/>
      <c r="HS333" s="122"/>
      <c r="HT333" s="122"/>
      <c r="HU333" s="122"/>
      <c r="HV333" s="122"/>
      <c r="HW333" s="122"/>
      <c r="HX333" s="122"/>
      <c r="HY333" s="122"/>
      <c r="HZ333" s="122"/>
      <c r="IA333" s="122"/>
      <c r="IB333" s="122"/>
      <c r="IC333" s="122"/>
      <c r="ID333" s="122"/>
      <c r="IE333" s="122"/>
      <c r="IF333" s="122"/>
      <c r="IG333" s="122"/>
      <c r="IH333" s="122"/>
      <c r="II333" s="122"/>
      <c r="IJ333" s="122"/>
      <c r="IK333" s="122"/>
      <c r="IL333" s="122"/>
      <c r="IM333" s="122"/>
      <c r="IN333" s="122"/>
      <c r="IO333" s="122"/>
      <c r="IP333" s="122"/>
      <c r="IQ333" s="122"/>
      <c r="IR333" s="122"/>
      <c r="IS333" s="122"/>
      <c r="IT333" s="122"/>
      <c r="IU333" s="122"/>
      <c r="IV333" s="122"/>
      <c r="IW333" s="122"/>
      <c r="IX333" s="122"/>
      <c r="IY333" s="122"/>
      <c r="IZ333" s="122"/>
      <c r="JA333" s="122"/>
      <c r="JB333" s="122"/>
      <c r="JC333" s="122"/>
      <c r="JD333" s="122"/>
      <c r="JE333" s="122"/>
      <c r="JF333" s="122"/>
      <c r="JG333" s="122"/>
      <c r="JH333" s="122"/>
      <c r="JI333" s="119"/>
      <c r="JJ333" s="2"/>
      <c r="JK333" s="122"/>
      <c r="JL333" s="125"/>
      <c r="JM333" s="125"/>
      <c r="JN333" s="125"/>
      <c r="JO333" s="125"/>
      <c r="JP333" s="125"/>
    </row>
    <row r="334" spans="1:276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122"/>
      <c r="AI334" s="122"/>
      <c r="AJ334" s="122"/>
      <c r="AK334" s="122"/>
      <c r="AL334" s="122"/>
      <c r="AM334" s="122"/>
      <c r="AN334" s="122"/>
      <c r="AO334" s="122"/>
      <c r="AP334" s="122"/>
      <c r="AQ334" s="122"/>
      <c r="AR334" s="122"/>
      <c r="AS334" s="122"/>
      <c r="AT334" s="122"/>
      <c r="AU334" s="122"/>
      <c r="AV334" s="122"/>
      <c r="AW334" s="122"/>
      <c r="AX334" s="122"/>
      <c r="AY334" s="122"/>
      <c r="AZ334" s="122"/>
      <c r="BA334" s="122"/>
      <c r="BB334" s="122"/>
      <c r="BC334" s="122"/>
      <c r="BD334" s="122"/>
      <c r="BE334" s="122"/>
      <c r="BF334" s="122"/>
      <c r="BG334" s="122"/>
      <c r="BH334" s="122"/>
      <c r="BI334" s="122"/>
      <c r="BJ334" s="122"/>
      <c r="BK334" s="122"/>
      <c r="BL334" s="122"/>
      <c r="BM334" s="122"/>
      <c r="BN334" s="122"/>
      <c r="BO334" s="122"/>
      <c r="BP334" s="122"/>
      <c r="BQ334" s="122"/>
      <c r="BR334" s="122"/>
      <c r="BS334" s="122"/>
      <c r="BT334" s="122"/>
      <c r="BU334" s="122"/>
      <c r="BV334" s="122"/>
      <c r="BW334" s="122"/>
      <c r="BX334" s="122"/>
      <c r="BY334" s="122"/>
      <c r="BZ334" s="122"/>
      <c r="CA334" s="122"/>
      <c r="CB334" s="122"/>
      <c r="CC334" s="122"/>
      <c r="CD334" s="122"/>
      <c r="CE334" s="122"/>
      <c r="CF334" s="122"/>
      <c r="CG334" s="122"/>
      <c r="CH334" s="122"/>
      <c r="CI334" s="122"/>
      <c r="CJ334" s="122"/>
      <c r="CK334" s="122"/>
      <c r="CL334" s="122"/>
      <c r="CM334" s="122"/>
      <c r="CN334" s="122"/>
      <c r="CO334" s="122"/>
      <c r="CP334" s="122"/>
      <c r="CQ334" s="122"/>
      <c r="CR334" s="122"/>
      <c r="CS334" s="122"/>
      <c r="CT334" s="122"/>
      <c r="CU334" s="122"/>
      <c r="CV334" s="122"/>
      <c r="CW334" s="122"/>
      <c r="CX334" s="122"/>
      <c r="CY334" s="122"/>
      <c r="CZ334" s="122"/>
      <c r="DA334" s="122"/>
      <c r="DB334" s="122"/>
      <c r="DC334" s="122"/>
      <c r="DD334" s="122"/>
      <c r="DE334" s="122"/>
      <c r="DF334" s="122"/>
      <c r="DG334" s="122"/>
      <c r="DH334" s="122"/>
      <c r="DI334" s="122"/>
      <c r="DJ334" s="122"/>
      <c r="DK334" s="122"/>
      <c r="DL334" s="122"/>
      <c r="DM334" s="122"/>
      <c r="DN334" s="122"/>
      <c r="DO334" s="122"/>
      <c r="DP334" s="122"/>
      <c r="DQ334" s="122"/>
      <c r="DR334" s="122"/>
      <c r="DS334" s="122"/>
      <c r="DT334" s="122"/>
      <c r="DU334" s="122"/>
      <c r="DV334" s="122"/>
      <c r="DW334" s="122"/>
      <c r="DX334" s="122"/>
      <c r="DY334" s="122"/>
      <c r="DZ334" s="122"/>
      <c r="EA334" s="122"/>
      <c r="EB334" s="122"/>
      <c r="EC334" s="122"/>
      <c r="ED334" s="122"/>
      <c r="EE334" s="122"/>
      <c r="EF334" s="122"/>
      <c r="EG334" s="122"/>
      <c r="EH334" s="122"/>
      <c r="EI334" s="122"/>
      <c r="EJ334" s="122"/>
      <c r="EK334" s="122"/>
      <c r="EL334" s="122"/>
      <c r="EM334" s="122"/>
      <c r="EN334" s="122"/>
      <c r="EO334" s="122"/>
      <c r="EP334" s="122"/>
      <c r="EQ334" s="122"/>
      <c r="ER334" s="122"/>
      <c r="ES334" s="122"/>
      <c r="ET334" s="122"/>
      <c r="EU334" s="122"/>
      <c r="EV334" s="122"/>
      <c r="EW334" s="122"/>
      <c r="EX334" s="122"/>
      <c r="EY334" s="122"/>
      <c r="EZ334" s="122"/>
      <c r="FA334" s="122"/>
      <c r="FB334" s="122"/>
      <c r="FC334" s="122"/>
      <c r="FD334" s="122"/>
      <c r="FE334" s="122"/>
      <c r="FF334" s="122"/>
      <c r="FG334" s="122"/>
      <c r="FH334" s="122"/>
      <c r="FI334" s="122"/>
      <c r="FJ334" s="122"/>
      <c r="FK334" s="122"/>
      <c r="FL334" s="122"/>
      <c r="FM334" s="122"/>
      <c r="FN334" s="122"/>
      <c r="FO334" s="122"/>
      <c r="FP334" s="122"/>
      <c r="FQ334" s="122"/>
      <c r="FR334" s="122"/>
      <c r="FS334" s="122"/>
      <c r="FT334" s="122"/>
      <c r="FU334" s="122"/>
      <c r="FV334" s="122"/>
      <c r="FW334" s="122"/>
      <c r="FX334" s="122"/>
      <c r="FY334" s="122"/>
      <c r="FZ334" s="122"/>
      <c r="GA334" s="122"/>
      <c r="GB334" s="122"/>
      <c r="GC334" s="122"/>
      <c r="GD334" s="122"/>
      <c r="GE334" s="122"/>
      <c r="GF334" s="122"/>
      <c r="GG334" s="122"/>
      <c r="GH334" s="122"/>
      <c r="GI334" s="122"/>
      <c r="GJ334" s="122"/>
      <c r="GK334" s="122"/>
      <c r="GL334" s="122"/>
      <c r="GM334" s="122"/>
      <c r="GN334" s="122"/>
      <c r="GO334" s="122"/>
      <c r="GP334" s="122"/>
      <c r="GQ334" s="122"/>
      <c r="GR334" s="122"/>
      <c r="GS334" s="122"/>
      <c r="GT334" s="122"/>
      <c r="GU334" s="122"/>
      <c r="GV334" s="122"/>
      <c r="GW334" s="122"/>
      <c r="GX334" s="122"/>
      <c r="GY334" s="122"/>
      <c r="GZ334" s="122"/>
      <c r="HA334" s="122"/>
      <c r="HB334" s="122"/>
      <c r="HC334" s="122"/>
      <c r="HD334" s="122"/>
      <c r="HE334" s="122"/>
      <c r="HF334" s="122"/>
      <c r="HG334" s="122"/>
      <c r="HH334" s="122"/>
      <c r="HI334" s="122"/>
      <c r="HJ334" s="122"/>
      <c r="HK334" s="122"/>
      <c r="HL334" s="122"/>
      <c r="HM334" s="122"/>
      <c r="HN334" s="122"/>
      <c r="HO334" s="122"/>
      <c r="HP334" s="122"/>
      <c r="HQ334" s="122"/>
      <c r="HR334" s="122"/>
      <c r="HS334" s="122"/>
      <c r="HT334" s="122"/>
      <c r="HU334" s="122"/>
      <c r="HV334" s="122"/>
      <c r="HW334" s="122"/>
      <c r="HX334" s="122"/>
      <c r="HY334" s="122"/>
      <c r="HZ334" s="122"/>
      <c r="IA334" s="122"/>
      <c r="IB334" s="122"/>
      <c r="IC334" s="122"/>
      <c r="ID334" s="122"/>
      <c r="IE334" s="122"/>
      <c r="IF334" s="122"/>
      <c r="IG334" s="122"/>
      <c r="IH334" s="122"/>
      <c r="II334" s="122"/>
      <c r="IJ334" s="122"/>
      <c r="IK334" s="122"/>
      <c r="IL334" s="122"/>
      <c r="IM334" s="122"/>
      <c r="IN334" s="122"/>
      <c r="IO334" s="122"/>
      <c r="IP334" s="122"/>
      <c r="IQ334" s="122"/>
      <c r="IR334" s="122"/>
      <c r="IS334" s="122"/>
      <c r="IT334" s="122"/>
      <c r="IU334" s="122"/>
      <c r="IV334" s="122"/>
      <c r="IW334" s="122"/>
      <c r="IX334" s="122"/>
      <c r="IY334" s="122"/>
      <c r="IZ334" s="122"/>
      <c r="JA334" s="122"/>
      <c r="JB334" s="122"/>
      <c r="JC334" s="122"/>
      <c r="JD334" s="122"/>
      <c r="JE334" s="122"/>
      <c r="JF334" s="122"/>
      <c r="JG334" s="122"/>
      <c r="JH334" s="122"/>
      <c r="JI334" s="119"/>
      <c r="JJ334" s="2"/>
      <c r="JK334" s="122"/>
      <c r="JL334" s="125"/>
      <c r="JM334" s="125"/>
      <c r="JN334" s="125"/>
      <c r="JO334" s="125"/>
      <c r="JP334" s="125"/>
    </row>
    <row r="335" spans="1:276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  <c r="AP335" s="122"/>
      <c r="AQ335" s="122"/>
      <c r="AR335" s="122"/>
      <c r="AS335" s="122"/>
      <c r="AT335" s="122"/>
      <c r="AU335" s="122"/>
      <c r="AV335" s="122"/>
      <c r="AW335" s="122"/>
      <c r="AX335" s="122"/>
      <c r="AY335" s="122"/>
      <c r="AZ335" s="122"/>
      <c r="BA335" s="122"/>
      <c r="BB335" s="122"/>
      <c r="BC335" s="122"/>
      <c r="BD335" s="122"/>
      <c r="BE335" s="122"/>
      <c r="BF335" s="122"/>
      <c r="BG335" s="122"/>
      <c r="BH335" s="122"/>
      <c r="BI335" s="122"/>
      <c r="BJ335" s="122"/>
      <c r="BK335" s="122"/>
      <c r="BL335" s="122"/>
      <c r="BM335" s="122"/>
      <c r="BN335" s="122"/>
      <c r="BO335" s="122"/>
      <c r="BP335" s="122"/>
      <c r="BQ335" s="122"/>
      <c r="BR335" s="122"/>
      <c r="BS335" s="122"/>
      <c r="BT335" s="122"/>
      <c r="BU335" s="122"/>
      <c r="BV335" s="122"/>
      <c r="BW335" s="122"/>
      <c r="BX335" s="122"/>
      <c r="BY335" s="122"/>
      <c r="BZ335" s="122"/>
      <c r="CA335" s="122"/>
      <c r="CB335" s="122"/>
      <c r="CC335" s="122"/>
      <c r="CD335" s="122"/>
      <c r="CE335" s="122"/>
      <c r="CF335" s="122"/>
      <c r="CG335" s="122"/>
      <c r="CH335" s="122"/>
      <c r="CI335" s="122"/>
      <c r="CJ335" s="122"/>
      <c r="CK335" s="122"/>
      <c r="CL335" s="122"/>
      <c r="CM335" s="122"/>
      <c r="CN335" s="122"/>
      <c r="CO335" s="122"/>
      <c r="CP335" s="122"/>
      <c r="CQ335" s="122"/>
      <c r="CR335" s="122"/>
      <c r="CS335" s="122"/>
      <c r="CT335" s="122"/>
      <c r="CU335" s="122"/>
      <c r="CV335" s="122"/>
      <c r="CW335" s="122"/>
      <c r="CX335" s="122"/>
      <c r="CY335" s="122"/>
      <c r="CZ335" s="122"/>
      <c r="DA335" s="122"/>
      <c r="DB335" s="122"/>
      <c r="DC335" s="122"/>
      <c r="DD335" s="122"/>
      <c r="DE335" s="122"/>
      <c r="DF335" s="122"/>
      <c r="DG335" s="122"/>
      <c r="DH335" s="122"/>
      <c r="DI335" s="122"/>
      <c r="DJ335" s="122"/>
      <c r="DK335" s="122"/>
      <c r="DL335" s="122"/>
      <c r="DM335" s="122"/>
      <c r="DN335" s="122"/>
      <c r="DO335" s="122"/>
      <c r="DP335" s="122"/>
      <c r="DQ335" s="122"/>
      <c r="DR335" s="122"/>
      <c r="DS335" s="122"/>
      <c r="DT335" s="122"/>
      <c r="DU335" s="122"/>
      <c r="DV335" s="122"/>
      <c r="DW335" s="122"/>
      <c r="DX335" s="122"/>
      <c r="DY335" s="122"/>
      <c r="DZ335" s="122"/>
      <c r="EA335" s="122"/>
      <c r="EB335" s="122"/>
      <c r="EC335" s="122"/>
      <c r="ED335" s="122"/>
      <c r="EE335" s="122"/>
      <c r="EF335" s="122"/>
      <c r="EG335" s="122"/>
      <c r="EH335" s="122"/>
      <c r="EI335" s="122"/>
      <c r="EJ335" s="122"/>
      <c r="EK335" s="122"/>
      <c r="EL335" s="122"/>
      <c r="EM335" s="122"/>
      <c r="EN335" s="122"/>
      <c r="EO335" s="122"/>
      <c r="EP335" s="122"/>
      <c r="EQ335" s="122"/>
      <c r="ER335" s="122"/>
      <c r="ES335" s="122"/>
      <c r="ET335" s="122"/>
      <c r="EU335" s="122"/>
      <c r="EV335" s="122"/>
      <c r="EW335" s="122"/>
      <c r="EX335" s="122"/>
      <c r="EY335" s="122"/>
      <c r="EZ335" s="122"/>
      <c r="FA335" s="122"/>
      <c r="FB335" s="122"/>
      <c r="FC335" s="122"/>
      <c r="FD335" s="122"/>
      <c r="FE335" s="122"/>
      <c r="FF335" s="122"/>
      <c r="FG335" s="122"/>
      <c r="FH335" s="122"/>
      <c r="FI335" s="122"/>
      <c r="FJ335" s="122"/>
      <c r="FK335" s="122"/>
      <c r="FL335" s="122"/>
      <c r="FM335" s="122"/>
      <c r="FN335" s="122"/>
      <c r="FO335" s="122"/>
      <c r="FP335" s="122"/>
      <c r="FQ335" s="122"/>
      <c r="FR335" s="122"/>
      <c r="FS335" s="122"/>
      <c r="FT335" s="122"/>
      <c r="FU335" s="122"/>
      <c r="FV335" s="122"/>
      <c r="FW335" s="122"/>
      <c r="FX335" s="122"/>
      <c r="FY335" s="122"/>
      <c r="FZ335" s="122"/>
      <c r="GA335" s="122"/>
      <c r="GB335" s="122"/>
      <c r="GC335" s="122"/>
      <c r="GD335" s="122"/>
      <c r="GE335" s="122"/>
      <c r="GF335" s="122"/>
      <c r="GG335" s="122"/>
      <c r="GH335" s="122"/>
      <c r="GI335" s="122"/>
      <c r="GJ335" s="122"/>
      <c r="GK335" s="122"/>
      <c r="GL335" s="122"/>
      <c r="GM335" s="122"/>
      <c r="GN335" s="122"/>
      <c r="GO335" s="122"/>
      <c r="GP335" s="122"/>
      <c r="GQ335" s="122"/>
      <c r="GR335" s="122"/>
      <c r="GS335" s="122"/>
      <c r="GT335" s="122"/>
      <c r="GU335" s="122"/>
      <c r="GV335" s="122"/>
      <c r="GW335" s="122"/>
      <c r="GX335" s="122"/>
      <c r="GY335" s="122"/>
      <c r="GZ335" s="122"/>
      <c r="HA335" s="122"/>
      <c r="HB335" s="122"/>
      <c r="HC335" s="122"/>
      <c r="HD335" s="122"/>
      <c r="HE335" s="122"/>
      <c r="HF335" s="122"/>
      <c r="HG335" s="122"/>
      <c r="HH335" s="122"/>
      <c r="HI335" s="122"/>
      <c r="HJ335" s="122"/>
      <c r="HK335" s="122"/>
      <c r="HL335" s="122"/>
      <c r="HM335" s="122"/>
      <c r="HN335" s="122"/>
      <c r="HO335" s="122"/>
      <c r="HP335" s="122"/>
      <c r="HQ335" s="122"/>
      <c r="HR335" s="122"/>
      <c r="HS335" s="122"/>
      <c r="HT335" s="122"/>
      <c r="HU335" s="122"/>
      <c r="HV335" s="122"/>
      <c r="HW335" s="122"/>
      <c r="HX335" s="122"/>
      <c r="HY335" s="122"/>
      <c r="HZ335" s="122"/>
      <c r="IA335" s="122"/>
      <c r="IB335" s="122"/>
      <c r="IC335" s="122"/>
      <c r="ID335" s="122"/>
      <c r="IE335" s="122"/>
      <c r="IF335" s="122"/>
      <c r="IG335" s="122"/>
      <c r="IH335" s="122"/>
      <c r="II335" s="122"/>
      <c r="IJ335" s="122"/>
      <c r="IK335" s="122"/>
      <c r="IL335" s="122"/>
      <c r="IM335" s="122"/>
      <c r="IN335" s="122"/>
      <c r="IO335" s="122"/>
      <c r="IP335" s="122"/>
      <c r="IQ335" s="122"/>
      <c r="IR335" s="122"/>
      <c r="IS335" s="122"/>
      <c r="IT335" s="122"/>
      <c r="IU335" s="122"/>
      <c r="IV335" s="122"/>
      <c r="IW335" s="122"/>
      <c r="IX335" s="122"/>
      <c r="IY335" s="122"/>
      <c r="IZ335" s="122"/>
      <c r="JA335" s="122"/>
      <c r="JB335" s="122"/>
      <c r="JC335" s="122"/>
      <c r="JD335" s="122"/>
      <c r="JE335" s="122"/>
      <c r="JF335" s="122"/>
      <c r="JG335" s="122"/>
      <c r="JH335" s="122"/>
      <c r="JI335" s="119"/>
      <c r="JJ335" s="2"/>
      <c r="JK335" s="122"/>
      <c r="JL335" s="125"/>
      <c r="JM335" s="125"/>
      <c r="JN335" s="125"/>
      <c r="JO335" s="125"/>
      <c r="JP335" s="125"/>
    </row>
    <row r="336" spans="1:27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  <c r="AI336" s="122"/>
      <c r="AJ336" s="122"/>
      <c r="AK336" s="122"/>
      <c r="AL336" s="122"/>
      <c r="AM336" s="122"/>
      <c r="AN336" s="122"/>
      <c r="AO336" s="122"/>
      <c r="AP336" s="122"/>
      <c r="AQ336" s="122"/>
      <c r="AR336" s="122"/>
      <c r="AS336" s="122"/>
      <c r="AT336" s="122"/>
      <c r="AU336" s="122"/>
      <c r="AV336" s="122"/>
      <c r="AW336" s="122"/>
      <c r="AX336" s="122"/>
      <c r="AY336" s="122"/>
      <c r="AZ336" s="122"/>
      <c r="BA336" s="122"/>
      <c r="BB336" s="122"/>
      <c r="BC336" s="122"/>
      <c r="BD336" s="122"/>
      <c r="BE336" s="122"/>
      <c r="BF336" s="122"/>
      <c r="BG336" s="122"/>
      <c r="BH336" s="122"/>
      <c r="BI336" s="122"/>
      <c r="BJ336" s="122"/>
      <c r="BK336" s="122"/>
      <c r="BL336" s="122"/>
      <c r="BM336" s="122"/>
      <c r="BN336" s="122"/>
      <c r="BO336" s="122"/>
      <c r="BP336" s="122"/>
      <c r="BQ336" s="122"/>
      <c r="BR336" s="122"/>
      <c r="BS336" s="122"/>
      <c r="BT336" s="122"/>
      <c r="BU336" s="122"/>
      <c r="BV336" s="122"/>
      <c r="BW336" s="122"/>
      <c r="BX336" s="122"/>
      <c r="BY336" s="122"/>
      <c r="BZ336" s="122"/>
      <c r="CA336" s="122"/>
      <c r="CB336" s="122"/>
      <c r="CC336" s="122"/>
      <c r="CD336" s="122"/>
      <c r="CE336" s="122"/>
      <c r="CF336" s="122"/>
      <c r="CG336" s="122"/>
      <c r="CH336" s="122"/>
      <c r="CI336" s="122"/>
      <c r="CJ336" s="122"/>
      <c r="CK336" s="122"/>
      <c r="CL336" s="122"/>
      <c r="CM336" s="122"/>
      <c r="CN336" s="122"/>
      <c r="CO336" s="122"/>
      <c r="CP336" s="122"/>
      <c r="CQ336" s="122"/>
      <c r="CR336" s="122"/>
      <c r="CS336" s="122"/>
      <c r="CT336" s="122"/>
      <c r="CU336" s="122"/>
      <c r="CV336" s="122"/>
      <c r="CW336" s="122"/>
      <c r="CX336" s="122"/>
      <c r="CY336" s="122"/>
      <c r="CZ336" s="122"/>
      <c r="DA336" s="122"/>
      <c r="DB336" s="122"/>
      <c r="DC336" s="122"/>
      <c r="DD336" s="122"/>
      <c r="DE336" s="122"/>
      <c r="DF336" s="122"/>
      <c r="DG336" s="122"/>
      <c r="DH336" s="122"/>
      <c r="DI336" s="122"/>
      <c r="DJ336" s="122"/>
      <c r="DK336" s="122"/>
      <c r="DL336" s="122"/>
      <c r="DM336" s="122"/>
      <c r="DN336" s="122"/>
      <c r="DO336" s="122"/>
      <c r="DP336" s="122"/>
      <c r="DQ336" s="122"/>
      <c r="DR336" s="122"/>
      <c r="DS336" s="122"/>
      <c r="DT336" s="122"/>
      <c r="DU336" s="122"/>
      <c r="DV336" s="122"/>
      <c r="DW336" s="122"/>
      <c r="DX336" s="122"/>
      <c r="DY336" s="122"/>
      <c r="DZ336" s="122"/>
      <c r="EA336" s="122"/>
      <c r="EB336" s="122"/>
      <c r="EC336" s="122"/>
      <c r="ED336" s="122"/>
      <c r="EE336" s="122"/>
      <c r="EF336" s="122"/>
      <c r="EG336" s="122"/>
      <c r="EH336" s="122"/>
      <c r="EI336" s="122"/>
      <c r="EJ336" s="122"/>
      <c r="EK336" s="122"/>
      <c r="EL336" s="122"/>
      <c r="EM336" s="122"/>
      <c r="EN336" s="122"/>
      <c r="EO336" s="122"/>
      <c r="EP336" s="122"/>
      <c r="EQ336" s="122"/>
      <c r="ER336" s="122"/>
      <c r="ES336" s="122"/>
      <c r="ET336" s="122"/>
      <c r="EU336" s="122"/>
      <c r="EV336" s="122"/>
      <c r="EW336" s="122"/>
      <c r="EX336" s="122"/>
      <c r="EY336" s="122"/>
      <c r="EZ336" s="122"/>
      <c r="FA336" s="122"/>
      <c r="FB336" s="122"/>
      <c r="FC336" s="122"/>
      <c r="FD336" s="122"/>
      <c r="FE336" s="122"/>
      <c r="FF336" s="122"/>
      <c r="FG336" s="122"/>
      <c r="FH336" s="122"/>
      <c r="FI336" s="122"/>
      <c r="FJ336" s="122"/>
      <c r="FK336" s="122"/>
      <c r="FL336" s="122"/>
      <c r="FM336" s="122"/>
      <c r="FN336" s="122"/>
      <c r="FO336" s="122"/>
      <c r="FP336" s="122"/>
      <c r="FQ336" s="122"/>
      <c r="FR336" s="122"/>
      <c r="FS336" s="122"/>
      <c r="FT336" s="122"/>
      <c r="FU336" s="122"/>
      <c r="FV336" s="122"/>
      <c r="FW336" s="122"/>
      <c r="FX336" s="122"/>
      <c r="FY336" s="122"/>
      <c r="FZ336" s="122"/>
      <c r="GA336" s="122"/>
      <c r="GB336" s="122"/>
      <c r="GC336" s="122"/>
      <c r="GD336" s="122"/>
      <c r="GE336" s="122"/>
      <c r="GF336" s="122"/>
      <c r="GG336" s="122"/>
      <c r="GH336" s="122"/>
      <c r="GI336" s="122"/>
      <c r="GJ336" s="122"/>
      <c r="GK336" s="122"/>
      <c r="GL336" s="122"/>
      <c r="GM336" s="122"/>
      <c r="GN336" s="122"/>
      <c r="GO336" s="122"/>
      <c r="GP336" s="122"/>
      <c r="GQ336" s="122"/>
      <c r="GR336" s="122"/>
      <c r="GS336" s="122"/>
      <c r="GT336" s="122"/>
      <c r="GU336" s="122"/>
      <c r="GV336" s="122"/>
      <c r="GW336" s="122"/>
      <c r="GX336" s="122"/>
      <c r="GY336" s="122"/>
      <c r="GZ336" s="122"/>
      <c r="HA336" s="122"/>
      <c r="HB336" s="122"/>
      <c r="HC336" s="122"/>
      <c r="HD336" s="122"/>
      <c r="HE336" s="122"/>
      <c r="HF336" s="122"/>
      <c r="HG336" s="122"/>
      <c r="HH336" s="122"/>
      <c r="HI336" s="122"/>
      <c r="HJ336" s="122"/>
      <c r="HK336" s="122"/>
      <c r="HL336" s="122"/>
      <c r="HM336" s="122"/>
      <c r="HN336" s="122"/>
      <c r="HO336" s="122"/>
      <c r="HP336" s="122"/>
      <c r="HQ336" s="122"/>
      <c r="HR336" s="122"/>
      <c r="HS336" s="122"/>
      <c r="HT336" s="122"/>
      <c r="HU336" s="122"/>
      <c r="HV336" s="122"/>
      <c r="HW336" s="122"/>
      <c r="HX336" s="122"/>
      <c r="HY336" s="122"/>
      <c r="HZ336" s="122"/>
      <c r="IA336" s="122"/>
      <c r="IB336" s="122"/>
      <c r="IC336" s="122"/>
      <c r="ID336" s="122"/>
      <c r="IE336" s="122"/>
      <c r="IF336" s="122"/>
      <c r="IG336" s="122"/>
      <c r="IH336" s="122"/>
      <c r="II336" s="122"/>
      <c r="IJ336" s="122"/>
      <c r="IK336" s="122"/>
      <c r="IL336" s="122"/>
      <c r="IM336" s="122"/>
      <c r="IN336" s="122"/>
      <c r="IO336" s="122"/>
      <c r="IP336" s="122"/>
      <c r="IQ336" s="122"/>
      <c r="IR336" s="122"/>
      <c r="IS336" s="122"/>
      <c r="IT336" s="122"/>
      <c r="IU336" s="122"/>
      <c r="IV336" s="122"/>
      <c r="IW336" s="122"/>
      <c r="IX336" s="122"/>
      <c r="IY336" s="122"/>
      <c r="IZ336" s="122"/>
      <c r="JA336" s="122"/>
      <c r="JB336" s="122"/>
      <c r="JC336" s="122"/>
      <c r="JD336" s="122"/>
      <c r="JE336" s="122"/>
      <c r="JF336" s="122"/>
      <c r="JG336" s="122"/>
      <c r="JH336" s="122"/>
      <c r="JI336" s="119"/>
      <c r="JJ336" s="2"/>
      <c r="JK336" s="122"/>
      <c r="JL336" s="125"/>
      <c r="JM336" s="125"/>
      <c r="JN336" s="125"/>
      <c r="JO336" s="125"/>
      <c r="JP336" s="125"/>
    </row>
    <row r="337" spans="1:276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  <c r="AP337" s="122"/>
      <c r="AQ337" s="122"/>
      <c r="AR337" s="122"/>
      <c r="AS337" s="122"/>
      <c r="AT337" s="122"/>
      <c r="AU337" s="122"/>
      <c r="AV337" s="122"/>
      <c r="AW337" s="122"/>
      <c r="AX337" s="122"/>
      <c r="AY337" s="122"/>
      <c r="AZ337" s="122"/>
      <c r="BA337" s="122"/>
      <c r="BB337" s="122"/>
      <c r="BC337" s="122"/>
      <c r="BD337" s="122"/>
      <c r="BE337" s="122"/>
      <c r="BF337" s="122"/>
      <c r="BG337" s="122"/>
      <c r="BH337" s="122"/>
      <c r="BI337" s="122"/>
      <c r="BJ337" s="122"/>
      <c r="BK337" s="122"/>
      <c r="BL337" s="122"/>
      <c r="BM337" s="122"/>
      <c r="BN337" s="122"/>
      <c r="BO337" s="122"/>
      <c r="BP337" s="122"/>
      <c r="BQ337" s="122"/>
      <c r="BR337" s="122"/>
      <c r="BS337" s="122"/>
      <c r="BT337" s="122"/>
      <c r="BU337" s="122"/>
      <c r="BV337" s="122"/>
      <c r="BW337" s="122"/>
      <c r="BX337" s="122"/>
      <c r="BY337" s="122"/>
      <c r="BZ337" s="122"/>
      <c r="CA337" s="122"/>
      <c r="CB337" s="122"/>
      <c r="CC337" s="122"/>
      <c r="CD337" s="122"/>
      <c r="CE337" s="122"/>
      <c r="CF337" s="122"/>
      <c r="CG337" s="122"/>
      <c r="CH337" s="122"/>
      <c r="CI337" s="122"/>
      <c r="CJ337" s="122"/>
      <c r="CK337" s="122"/>
      <c r="CL337" s="122"/>
      <c r="CM337" s="122"/>
      <c r="CN337" s="122"/>
      <c r="CO337" s="122"/>
      <c r="CP337" s="122"/>
      <c r="CQ337" s="122"/>
      <c r="CR337" s="122"/>
      <c r="CS337" s="122"/>
      <c r="CT337" s="122"/>
      <c r="CU337" s="122"/>
      <c r="CV337" s="122"/>
      <c r="CW337" s="122"/>
      <c r="CX337" s="122"/>
      <c r="CY337" s="122"/>
      <c r="CZ337" s="122"/>
      <c r="DA337" s="122"/>
      <c r="DB337" s="122"/>
      <c r="DC337" s="122"/>
      <c r="DD337" s="122"/>
      <c r="DE337" s="122"/>
      <c r="DF337" s="122"/>
      <c r="DG337" s="122"/>
      <c r="DH337" s="122"/>
      <c r="DI337" s="122"/>
      <c r="DJ337" s="122"/>
      <c r="DK337" s="122"/>
      <c r="DL337" s="122"/>
      <c r="DM337" s="122"/>
      <c r="DN337" s="122"/>
      <c r="DO337" s="122"/>
      <c r="DP337" s="122"/>
      <c r="DQ337" s="122"/>
      <c r="DR337" s="122"/>
      <c r="DS337" s="122"/>
      <c r="DT337" s="122"/>
      <c r="DU337" s="122"/>
      <c r="DV337" s="122"/>
      <c r="DW337" s="122"/>
      <c r="DX337" s="122"/>
      <c r="DY337" s="122"/>
      <c r="DZ337" s="122"/>
      <c r="EA337" s="122"/>
      <c r="EB337" s="122"/>
      <c r="EC337" s="122"/>
      <c r="ED337" s="122"/>
      <c r="EE337" s="122"/>
      <c r="EF337" s="122"/>
      <c r="EG337" s="122"/>
      <c r="EH337" s="122"/>
      <c r="EI337" s="122"/>
      <c r="EJ337" s="122"/>
      <c r="EK337" s="122"/>
      <c r="EL337" s="122"/>
      <c r="EM337" s="122"/>
      <c r="EN337" s="122"/>
      <c r="EO337" s="122"/>
      <c r="EP337" s="122"/>
      <c r="EQ337" s="122"/>
      <c r="ER337" s="122"/>
      <c r="ES337" s="122"/>
      <c r="ET337" s="122"/>
      <c r="EU337" s="122"/>
      <c r="EV337" s="122"/>
      <c r="EW337" s="122"/>
      <c r="EX337" s="122"/>
      <c r="EY337" s="122"/>
      <c r="EZ337" s="122"/>
      <c r="FA337" s="122"/>
      <c r="FB337" s="122"/>
      <c r="FC337" s="122"/>
      <c r="FD337" s="122"/>
      <c r="FE337" s="122"/>
      <c r="FF337" s="122"/>
      <c r="FG337" s="122"/>
      <c r="FH337" s="122"/>
      <c r="FI337" s="122"/>
      <c r="FJ337" s="122"/>
      <c r="FK337" s="122"/>
      <c r="FL337" s="122"/>
      <c r="FM337" s="122"/>
      <c r="FN337" s="122"/>
      <c r="FO337" s="122"/>
      <c r="FP337" s="122"/>
      <c r="FQ337" s="122"/>
      <c r="FR337" s="122"/>
      <c r="FS337" s="122"/>
      <c r="FT337" s="122"/>
      <c r="FU337" s="122"/>
      <c r="FV337" s="122"/>
      <c r="FW337" s="122"/>
      <c r="FX337" s="122"/>
      <c r="FY337" s="122"/>
      <c r="FZ337" s="122"/>
      <c r="GA337" s="122"/>
      <c r="GB337" s="122"/>
      <c r="GC337" s="122"/>
      <c r="GD337" s="122"/>
      <c r="GE337" s="122"/>
      <c r="GF337" s="122"/>
      <c r="GG337" s="122"/>
      <c r="GH337" s="122"/>
      <c r="GI337" s="122"/>
      <c r="GJ337" s="122"/>
      <c r="GK337" s="122"/>
      <c r="GL337" s="122"/>
      <c r="GM337" s="122"/>
      <c r="GN337" s="122"/>
      <c r="GO337" s="122"/>
      <c r="GP337" s="122"/>
      <c r="GQ337" s="122"/>
      <c r="GR337" s="122"/>
      <c r="GS337" s="122"/>
      <c r="GT337" s="122"/>
      <c r="GU337" s="122"/>
      <c r="GV337" s="122"/>
      <c r="GW337" s="122"/>
      <c r="GX337" s="122"/>
      <c r="GY337" s="122"/>
      <c r="GZ337" s="122"/>
      <c r="HA337" s="122"/>
      <c r="HB337" s="122"/>
      <c r="HC337" s="122"/>
      <c r="HD337" s="122"/>
      <c r="HE337" s="122"/>
      <c r="HF337" s="122"/>
      <c r="HG337" s="122"/>
      <c r="HH337" s="122"/>
      <c r="HI337" s="122"/>
      <c r="HJ337" s="122"/>
      <c r="HK337" s="122"/>
      <c r="HL337" s="122"/>
      <c r="HM337" s="122"/>
      <c r="HN337" s="122"/>
      <c r="HO337" s="122"/>
      <c r="HP337" s="122"/>
      <c r="HQ337" s="122"/>
      <c r="HR337" s="122"/>
      <c r="HS337" s="122"/>
      <c r="HT337" s="122"/>
      <c r="HU337" s="122"/>
      <c r="HV337" s="122"/>
      <c r="HW337" s="122"/>
      <c r="HX337" s="122"/>
      <c r="HY337" s="122"/>
      <c r="HZ337" s="122"/>
      <c r="IA337" s="122"/>
      <c r="IB337" s="122"/>
      <c r="IC337" s="122"/>
      <c r="ID337" s="122"/>
      <c r="IE337" s="122"/>
      <c r="IF337" s="122"/>
      <c r="IG337" s="122"/>
      <c r="IH337" s="122"/>
      <c r="II337" s="122"/>
      <c r="IJ337" s="122"/>
      <c r="IK337" s="122"/>
      <c r="IL337" s="122"/>
      <c r="IM337" s="122"/>
      <c r="IN337" s="122"/>
      <c r="IO337" s="122"/>
      <c r="IP337" s="122"/>
      <c r="IQ337" s="122"/>
      <c r="IR337" s="122"/>
      <c r="IS337" s="122"/>
      <c r="IT337" s="122"/>
      <c r="IU337" s="122"/>
      <c r="IV337" s="122"/>
      <c r="IW337" s="122"/>
      <c r="IX337" s="122"/>
      <c r="IY337" s="122"/>
      <c r="IZ337" s="122"/>
      <c r="JA337" s="122"/>
      <c r="JB337" s="122"/>
      <c r="JC337" s="122"/>
      <c r="JD337" s="122"/>
      <c r="JE337" s="122"/>
      <c r="JF337" s="122"/>
      <c r="JG337" s="122"/>
      <c r="JH337" s="122"/>
      <c r="JI337" s="119"/>
      <c r="JJ337" s="2"/>
      <c r="JK337" s="122"/>
      <c r="JL337" s="125"/>
      <c r="JM337" s="125"/>
      <c r="JN337" s="125"/>
      <c r="JO337" s="125"/>
      <c r="JP337" s="125"/>
    </row>
    <row r="338" spans="1:276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  <c r="AI338" s="122"/>
      <c r="AJ338" s="122"/>
      <c r="AK338" s="122"/>
      <c r="AL338" s="122"/>
      <c r="AM338" s="122"/>
      <c r="AN338" s="122"/>
      <c r="AO338" s="122"/>
      <c r="AP338" s="122"/>
      <c r="AQ338" s="122"/>
      <c r="AR338" s="122"/>
      <c r="AS338" s="122"/>
      <c r="AT338" s="122"/>
      <c r="AU338" s="122"/>
      <c r="AV338" s="122"/>
      <c r="AW338" s="122"/>
      <c r="AX338" s="122"/>
      <c r="AY338" s="122"/>
      <c r="AZ338" s="122"/>
      <c r="BA338" s="122"/>
      <c r="BB338" s="122"/>
      <c r="BC338" s="122"/>
      <c r="BD338" s="122"/>
      <c r="BE338" s="122"/>
      <c r="BF338" s="122"/>
      <c r="BG338" s="122"/>
      <c r="BH338" s="122"/>
      <c r="BI338" s="122"/>
      <c r="BJ338" s="122"/>
      <c r="BK338" s="122"/>
      <c r="BL338" s="122"/>
      <c r="BM338" s="122"/>
      <c r="BN338" s="122"/>
      <c r="BO338" s="122"/>
      <c r="BP338" s="122"/>
      <c r="BQ338" s="122"/>
      <c r="BR338" s="122"/>
      <c r="BS338" s="122"/>
      <c r="BT338" s="122"/>
      <c r="BU338" s="122"/>
      <c r="BV338" s="122"/>
      <c r="BW338" s="122"/>
      <c r="BX338" s="122"/>
      <c r="BY338" s="122"/>
      <c r="BZ338" s="122"/>
      <c r="CA338" s="122"/>
      <c r="CB338" s="122"/>
      <c r="CC338" s="122"/>
      <c r="CD338" s="122"/>
      <c r="CE338" s="122"/>
      <c r="CF338" s="122"/>
      <c r="CG338" s="122"/>
      <c r="CH338" s="122"/>
      <c r="CI338" s="122"/>
      <c r="CJ338" s="122"/>
      <c r="CK338" s="122"/>
      <c r="CL338" s="122"/>
      <c r="CM338" s="122"/>
      <c r="CN338" s="122"/>
      <c r="CO338" s="122"/>
      <c r="CP338" s="122"/>
      <c r="CQ338" s="122"/>
      <c r="CR338" s="122"/>
      <c r="CS338" s="122"/>
      <c r="CT338" s="122"/>
      <c r="CU338" s="122"/>
      <c r="CV338" s="122"/>
      <c r="CW338" s="122"/>
      <c r="CX338" s="122"/>
      <c r="CY338" s="122"/>
      <c r="CZ338" s="122"/>
      <c r="DA338" s="122"/>
      <c r="DB338" s="122"/>
      <c r="DC338" s="122"/>
      <c r="DD338" s="122"/>
      <c r="DE338" s="122"/>
      <c r="DF338" s="122"/>
      <c r="DG338" s="122"/>
      <c r="DH338" s="122"/>
      <c r="DI338" s="122"/>
      <c r="DJ338" s="122"/>
      <c r="DK338" s="122"/>
      <c r="DL338" s="122"/>
      <c r="DM338" s="122"/>
      <c r="DN338" s="122"/>
      <c r="DO338" s="122"/>
      <c r="DP338" s="122"/>
      <c r="DQ338" s="122"/>
      <c r="DR338" s="122"/>
      <c r="DS338" s="122"/>
      <c r="DT338" s="122"/>
      <c r="DU338" s="122"/>
      <c r="DV338" s="122"/>
      <c r="DW338" s="122"/>
      <c r="DX338" s="122"/>
      <c r="DY338" s="122"/>
      <c r="DZ338" s="122"/>
      <c r="EA338" s="122"/>
      <c r="EB338" s="122"/>
      <c r="EC338" s="122"/>
      <c r="ED338" s="122"/>
      <c r="EE338" s="122"/>
      <c r="EF338" s="122"/>
      <c r="EG338" s="122"/>
      <c r="EH338" s="122"/>
      <c r="EI338" s="122"/>
      <c r="EJ338" s="122"/>
      <c r="EK338" s="122"/>
      <c r="EL338" s="122"/>
      <c r="EM338" s="122"/>
      <c r="EN338" s="122"/>
      <c r="EO338" s="122"/>
      <c r="EP338" s="122"/>
      <c r="EQ338" s="122"/>
      <c r="ER338" s="122"/>
      <c r="ES338" s="122"/>
      <c r="ET338" s="122"/>
      <c r="EU338" s="122"/>
      <c r="EV338" s="122"/>
      <c r="EW338" s="122"/>
      <c r="EX338" s="122"/>
      <c r="EY338" s="122"/>
      <c r="EZ338" s="122"/>
      <c r="FA338" s="122"/>
      <c r="FB338" s="122"/>
      <c r="FC338" s="122"/>
      <c r="FD338" s="122"/>
      <c r="FE338" s="122"/>
      <c r="FF338" s="122"/>
      <c r="FG338" s="122"/>
      <c r="FH338" s="122"/>
      <c r="FI338" s="122"/>
      <c r="FJ338" s="122"/>
      <c r="FK338" s="122"/>
      <c r="FL338" s="122"/>
      <c r="FM338" s="122"/>
      <c r="FN338" s="122"/>
      <c r="FO338" s="122"/>
      <c r="FP338" s="122"/>
      <c r="FQ338" s="122"/>
      <c r="FR338" s="122"/>
      <c r="FS338" s="122"/>
      <c r="FT338" s="122"/>
      <c r="FU338" s="122"/>
      <c r="FV338" s="122"/>
      <c r="FW338" s="122"/>
      <c r="FX338" s="122"/>
      <c r="FY338" s="122"/>
      <c r="FZ338" s="122"/>
      <c r="GA338" s="122"/>
      <c r="GB338" s="122"/>
      <c r="GC338" s="122"/>
      <c r="GD338" s="122"/>
      <c r="GE338" s="122"/>
      <c r="GF338" s="122"/>
      <c r="GG338" s="122"/>
      <c r="GH338" s="122"/>
      <c r="GI338" s="122"/>
      <c r="GJ338" s="122"/>
      <c r="GK338" s="122"/>
      <c r="GL338" s="122"/>
      <c r="GM338" s="122"/>
      <c r="GN338" s="122"/>
      <c r="GO338" s="122"/>
      <c r="GP338" s="122"/>
      <c r="GQ338" s="122"/>
      <c r="GR338" s="122"/>
      <c r="GS338" s="122"/>
      <c r="GT338" s="122"/>
      <c r="GU338" s="122"/>
      <c r="GV338" s="122"/>
      <c r="GW338" s="122"/>
      <c r="GX338" s="122"/>
      <c r="GY338" s="122"/>
      <c r="GZ338" s="122"/>
      <c r="HA338" s="122"/>
      <c r="HB338" s="122"/>
      <c r="HC338" s="122"/>
      <c r="HD338" s="122"/>
      <c r="HE338" s="122"/>
      <c r="HF338" s="122"/>
      <c r="HG338" s="122"/>
      <c r="HH338" s="122"/>
      <c r="HI338" s="122"/>
      <c r="HJ338" s="122"/>
      <c r="HK338" s="122"/>
      <c r="HL338" s="122"/>
      <c r="HM338" s="122"/>
      <c r="HN338" s="122"/>
      <c r="HO338" s="122"/>
      <c r="HP338" s="122"/>
      <c r="HQ338" s="122"/>
      <c r="HR338" s="122"/>
      <c r="HS338" s="122"/>
      <c r="HT338" s="122"/>
      <c r="HU338" s="122"/>
      <c r="HV338" s="122"/>
      <c r="HW338" s="122"/>
      <c r="HX338" s="122"/>
      <c r="HY338" s="122"/>
      <c r="HZ338" s="122"/>
      <c r="IA338" s="122"/>
      <c r="IB338" s="122"/>
      <c r="IC338" s="122"/>
      <c r="ID338" s="122"/>
      <c r="IE338" s="122"/>
      <c r="IF338" s="122"/>
      <c r="IG338" s="122"/>
      <c r="IH338" s="122"/>
      <c r="II338" s="122"/>
      <c r="IJ338" s="122"/>
      <c r="IK338" s="122"/>
      <c r="IL338" s="122"/>
      <c r="IM338" s="122"/>
      <c r="IN338" s="122"/>
      <c r="IO338" s="122"/>
      <c r="IP338" s="122"/>
      <c r="IQ338" s="122"/>
      <c r="IR338" s="122"/>
      <c r="IS338" s="122"/>
      <c r="IT338" s="122"/>
      <c r="IU338" s="122"/>
      <c r="IV338" s="122"/>
      <c r="IW338" s="122"/>
      <c r="IX338" s="122"/>
      <c r="IY338" s="122"/>
      <c r="IZ338" s="122"/>
      <c r="JA338" s="122"/>
      <c r="JB338" s="122"/>
      <c r="JC338" s="122"/>
      <c r="JD338" s="122"/>
      <c r="JE338" s="122"/>
      <c r="JF338" s="122"/>
      <c r="JG338" s="122"/>
      <c r="JH338" s="122"/>
      <c r="JI338" s="119"/>
      <c r="JJ338" s="2"/>
      <c r="JK338" s="122"/>
      <c r="JL338" s="125"/>
      <c r="JM338" s="125"/>
      <c r="JN338" s="125"/>
      <c r="JO338" s="125"/>
      <c r="JP338" s="125"/>
    </row>
    <row r="339" spans="1:276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122"/>
      <c r="AJ339" s="122"/>
      <c r="AK339" s="122"/>
      <c r="AL339" s="122"/>
      <c r="AM339" s="122"/>
      <c r="AN339" s="122"/>
      <c r="AO339" s="122"/>
      <c r="AP339" s="122"/>
      <c r="AQ339" s="122"/>
      <c r="AR339" s="122"/>
      <c r="AS339" s="122"/>
      <c r="AT339" s="122"/>
      <c r="AU339" s="122"/>
      <c r="AV339" s="122"/>
      <c r="AW339" s="122"/>
      <c r="AX339" s="122"/>
      <c r="AY339" s="122"/>
      <c r="AZ339" s="122"/>
      <c r="BA339" s="122"/>
      <c r="BB339" s="122"/>
      <c r="BC339" s="122"/>
      <c r="BD339" s="122"/>
      <c r="BE339" s="122"/>
      <c r="BF339" s="122"/>
      <c r="BG339" s="122"/>
      <c r="BH339" s="122"/>
      <c r="BI339" s="122"/>
      <c r="BJ339" s="122"/>
      <c r="BK339" s="122"/>
      <c r="BL339" s="122"/>
      <c r="BM339" s="122"/>
      <c r="BN339" s="122"/>
      <c r="BO339" s="122"/>
      <c r="BP339" s="122"/>
      <c r="BQ339" s="122"/>
      <c r="BR339" s="122"/>
      <c r="BS339" s="122"/>
      <c r="BT339" s="122"/>
      <c r="BU339" s="122"/>
      <c r="BV339" s="122"/>
      <c r="BW339" s="122"/>
      <c r="BX339" s="122"/>
      <c r="BY339" s="122"/>
      <c r="BZ339" s="122"/>
      <c r="CA339" s="122"/>
      <c r="CB339" s="122"/>
      <c r="CC339" s="122"/>
      <c r="CD339" s="122"/>
      <c r="CE339" s="122"/>
      <c r="CF339" s="122"/>
      <c r="CG339" s="122"/>
      <c r="CH339" s="122"/>
      <c r="CI339" s="122"/>
      <c r="CJ339" s="122"/>
      <c r="CK339" s="122"/>
      <c r="CL339" s="122"/>
      <c r="CM339" s="122"/>
      <c r="CN339" s="122"/>
      <c r="CO339" s="122"/>
      <c r="CP339" s="122"/>
      <c r="CQ339" s="122"/>
      <c r="CR339" s="122"/>
      <c r="CS339" s="122"/>
      <c r="CT339" s="122"/>
      <c r="CU339" s="122"/>
      <c r="CV339" s="122"/>
      <c r="CW339" s="122"/>
      <c r="CX339" s="122"/>
      <c r="CY339" s="122"/>
      <c r="CZ339" s="122"/>
      <c r="DA339" s="122"/>
      <c r="DB339" s="122"/>
      <c r="DC339" s="122"/>
      <c r="DD339" s="122"/>
      <c r="DE339" s="122"/>
      <c r="DF339" s="122"/>
      <c r="DG339" s="122"/>
      <c r="DH339" s="122"/>
      <c r="DI339" s="122"/>
      <c r="DJ339" s="122"/>
      <c r="DK339" s="122"/>
      <c r="DL339" s="122"/>
      <c r="DM339" s="122"/>
      <c r="DN339" s="122"/>
      <c r="DO339" s="122"/>
      <c r="DP339" s="122"/>
      <c r="DQ339" s="122"/>
      <c r="DR339" s="122"/>
      <c r="DS339" s="122"/>
      <c r="DT339" s="122"/>
      <c r="DU339" s="122"/>
      <c r="DV339" s="122"/>
      <c r="DW339" s="122"/>
      <c r="DX339" s="122"/>
      <c r="DY339" s="122"/>
      <c r="DZ339" s="122"/>
      <c r="EA339" s="122"/>
      <c r="EB339" s="122"/>
      <c r="EC339" s="122"/>
      <c r="ED339" s="122"/>
      <c r="EE339" s="122"/>
      <c r="EF339" s="122"/>
      <c r="EG339" s="122"/>
      <c r="EH339" s="122"/>
      <c r="EI339" s="122"/>
      <c r="EJ339" s="122"/>
      <c r="EK339" s="122"/>
      <c r="EL339" s="122"/>
      <c r="EM339" s="122"/>
      <c r="EN339" s="122"/>
      <c r="EO339" s="122"/>
      <c r="EP339" s="122"/>
      <c r="EQ339" s="122"/>
      <c r="ER339" s="122"/>
      <c r="ES339" s="122"/>
      <c r="ET339" s="122"/>
      <c r="EU339" s="122"/>
      <c r="EV339" s="122"/>
      <c r="EW339" s="122"/>
      <c r="EX339" s="122"/>
      <c r="EY339" s="122"/>
      <c r="EZ339" s="122"/>
      <c r="FA339" s="122"/>
      <c r="FB339" s="122"/>
      <c r="FC339" s="122"/>
      <c r="FD339" s="122"/>
      <c r="FE339" s="122"/>
      <c r="FF339" s="122"/>
      <c r="FG339" s="122"/>
      <c r="FH339" s="122"/>
      <c r="FI339" s="122"/>
      <c r="FJ339" s="122"/>
      <c r="FK339" s="122"/>
      <c r="FL339" s="122"/>
      <c r="FM339" s="122"/>
      <c r="FN339" s="122"/>
      <c r="FO339" s="122"/>
      <c r="FP339" s="122"/>
      <c r="FQ339" s="122"/>
      <c r="FR339" s="122"/>
      <c r="FS339" s="122"/>
      <c r="FT339" s="122"/>
      <c r="FU339" s="122"/>
      <c r="FV339" s="122"/>
      <c r="FW339" s="122"/>
      <c r="FX339" s="122"/>
      <c r="FY339" s="122"/>
      <c r="FZ339" s="122"/>
      <c r="GA339" s="122"/>
      <c r="GB339" s="122"/>
      <c r="GC339" s="122"/>
      <c r="GD339" s="122"/>
      <c r="GE339" s="122"/>
      <c r="GF339" s="122"/>
      <c r="GG339" s="122"/>
      <c r="GH339" s="122"/>
      <c r="GI339" s="122"/>
      <c r="GJ339" s="122"/>
      <c r="GK339" s="122"/>
      <c r="GL339" s="122"/>
      <c r="GM339" s="122"/>
      <c r="GN339" s="122"/>
      <c r="GO339" s="122"/>
      <c r="GP339" s="122"/>
      <c r="GQ339" s="122"/>
      <c r="GR339" s="122"/>
      <c r="GS339" s="122"/>
      <c r="GT339" s="122"/>
      <c r="GU339" s="122"/>
      <c r="GV339" s="122"/>
      <c r="GW339" s="122"/>
      <c r="GX339" s="122"/>
      <c r="GY339" s="122"/>
      <c r="GZ339" s="122"/>
      <c r="HA339" s="122"/>
      <c r="HB339" s="122"/>
      <c r="HC339" s="122"/>
      <c r="HD339" s="122"/>
      <c r="HE339" s="122"/>
      <c r="HF339" s="122"/>
      <c r="HG339" s="122"/>
      <c r="HH339" s="122"/>
      <c r="HI339" s="122"/>
      <c r="HJ339" s="122"/>
      <c r="HK339" s="122"/>
      <c r="HL339" s="122"/>
      <c r="HM339" s="122"/>
      <c r="HN339" s="122"/>
      <c r="HO339" s="122"/>
      <c r="HP339" s="122"/>
      <c r="HQ339" s="122"/>
      <c r="HR339" s="122"/>
      <c r="HS339" s="122"/>
      <c r="HT339" s="122"/>
      <c r="HU339" s="122"/>
      <c r="HV339" s="122"/>
      <c r="HW339" s="122"/>
      <c r="HX339" s="122"/>
      <c r="HY339" s="122"/>
      <c r="HZ339" s="122"/>
      <c r="IA339" s="122"/>
      <c r="IB339" s="122"/>
      <c r="IC339" s="122"/>
      <c r="ID339" s="122"/>
      <c r="IE339" s="122"/>
      <c r="IF339" s="122"/>
      <c r="IG339" s="122"/>
      <c r="IH339" s="122"/>
      <c r="II339" s="122"/>
      <c r="IJ339" s="122"/>
      <c r="IK339" s="122"/>
      <c r="IL339" s="122"/>
      <c r="IM339" s="122"/>
      <c r="IN339" s="122"/>
      <c r="IO339" s="122"/>
      <c r="IP339" s="122"/>
      <c r="IQ339" s="122"/>
      <c r="IR339" s="122"/>
      <c r="IS339" s="122"/>
      <c r="IT339" s="122"/>
      <c r="IU339" s="122"/>
      <c r="IV339" s="122"/>
      <c r="IW339" s="122"/>
      <c r="IX339" s="122"/>
      <c r="IY339" s="122"/>
      <c r="IZ339" s="122"/>
      <c r="JA339" s="122"/>
      <c r="JB339" s="122"/>
      <c r="JC339" s="122"/>
      <c r="JD339" s="122"/>
      <c r="JE339" s="122"/>
      <c r="JF339" s="122"/>
      <c r="JG339" s="122"/>
      <c r="JH339" s="122"/>
      <c r="JI339" s="119"/>
      <c r="JJ339" s="2"/>
      <c r="JK339" s="122"/>
      <c r="JL339" s="125"/>
      <c r="JM339" s="125"/>
      <c r="JN339" s="125"/>
      <c r="JO339" s="125"/>
      <c r="JP339" s="125"/>
    </row>
    <row r="340" spans="1:276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122"/>
      <c r="AI340" s="122"/>
      <c r="AJ340" s="122"/>
      <c r="AK340" s="122"/>
      <c r="AL340" s="122"/>
      <c r="AM340" s="122"/>
      <c r="AN340" s="122"/>
      <c r="AO340" s="122"/>
      <c r="AP340" s="122"/>
      <c r="AQ340" s="122"/>
      <c r="AR340" s="122"/>
      <c r="AS340" s="122"/>
      <c r="AT340" s="122"/>
      <c r="AU340" s="122"/>
      <c r="AV340" s="122"/>
      <c r="AW340" s="122"/>
      <c r="AX340" s="122"/>
      <c r="AY340" s="122"/>
      <c r="AZ340" s="122"/>
      <c r="BA340" s="122"/>
      <c r="BB340" s="122"/>
      <c r="BC340" s="122"/>
      <c r="BD340" s="122"/>
      <c r="BE340" s="122"/>
      <c r="BF340" s="122"/>
      <c r="BG340" s="122"/>
      <c r="BH340" s="122"/>
      <c r="BI340" s="122"/>
      <c r="BJ340" s="122"/>
      <c r="BK340" s="122"/>
      <c r="BL340" s="122"/>
      <c r="BM340" s="122"/>
      <c r="BN340" s="122"/>
      <c r="BO340" s="122"/>
      <c r="BP340" s="122"/>
      <c r="BQ340" s="122"/>
      <c r="BR340" s="122"/>
      <c r="BS340" s="122"/>
      <c r="BT340" s="122"/>
      <c r="BU340" s="122"/>
      <c r="BV340" s="122"/>
      <c r="BW340" s="122"/>
      <c r="BX340" s="122"/>
      <c r="BY340" s="122"/>
      <c r="BZ340" s="122"/>
      <c r="CA340" s="122"/>
      <c r="CB340" s="122"/>
      <c r="CC340" s="122"/>
      <c r="CD340" s="122"/>
      <c r="CE340" s="122"/>
      <c r="CF340" s="122"/>
      <c r="CG340" s="122"/>
      <c r="CH340" s="122"/>
      <c r="CI340" s="122"/>
      <c r="CJ340" s="122"/>
      <c r="CK340" s="122"/>
      <c r="CL340" s="122"/>
      <c r="CM340" s="122"/>
      <c r="CN340" s="122"/>
      <c r="CO340" s="122"/>
      <c r="CP340" s="122"/>
      <c r="CQ340" s="122"/>
      <c r="CR340" s="122"/>
      <c r="CS340" s="122"/>
      <c r="CT340" s="122"/>
      <c r="CU340" s="122"/>
      <c r="CV340" s="122"/>
      <c r="CW340" s="122"/>
      <c r="CX340" s="122"/>
      <c r="CY340" s="122"/>
      <c r="CZ340" s="122"/>
      <c r="DA340" s="122"/>
      <c r="DB340" s="122"/>
      <c r="DC340" s="122"/>
      <c r="DD340" s="122"/>
      <c r="DE340" s="122"/>
      <c r="DF340" s="122"/>
      <c r="DG340" s="122"/>
      <c r="DH340" s="122"/>
      <c r="DI340" s="122"/>
      <c r="DJ340" s="122"/>
      <c r="DK340" s="122"/>
      <c r="DL340" s="122"/>
      <c r="DM340" s="122"/>
      <c r="DN340" s="122"/>
      <c r="DO340" s="122"/>
      <c r="DP340" s="122"/>
      <c r="DQ340" s="122"/>
      <c r="DR340" s="122"/>
      <c r="DS340" s="122"/>
      <c r="DT340" s="122"/>
      <c r="DU340" s="122"/>
      <c r="DV340" s="122"/>
      <c r="DW340" s="122"/>
      <c r="DX340" s="122"/>
      <c r="DY340" s="122"/>
      <c r="DZ340" s="122"/>
      <c r="EA340" s="122"/>
      <c r="EB340" s="122"/>
      <c r="EC340" s="122"/>
      <c r="ED340" s="122"/>
      <c r="EE340" s="122"/>
      <c r="EF340" s="122"/>
      <c r="EG340" s="122"/>
      <c r="EH340" s="122"/>
      <c r="EI340" s="122"/>
      <c r="EJ340" s="122"/>
      <c r="EK340" s="122"/>
      <c r="EL340" s="122"/>
      <c r="EM340" s="122"/>
      <c r="EN340" s="122"/>
      <c r="EO340" s="122"/>
      <c r="EP340" s="122"/>
      <c r="EQ340" s="122"/>
      <c r="ER340" s="122"/>
      <c r="ES340" s="122"/>
      <c r="ET340" s="122"/>
      <c r="EU340" s="122"/>
      <c r="EV340" s="122"/>
      <c r="EW340" s="122"/>
      <c r="EX340" s="122"/>
      <c r="EY340" s="122"/>
      <c r="EZ340" s="122"/>
      <c r="FA340" s="122"/>
      <c r="FB340" s="122"/>
      <c r="FC340" s="122"/>
      <c r="FD340" s="122"/>
      <c r="FE340" s="122"/>
      <c r="FF340" s="122"/>
      <c r="FG340" s="122"/>
      <c r="FH340" s="122"/>
      <c r="FI340" s="122"/>
      <c r="FJ340" s="122"/>
      <c r="FK340" s="122"/>
      <c r="FL340" s="122"/>
      <c r="FM340" s="122"/>
      <c r="FN340" s="122"/>
      <c r="FO340" s="122"/>
      <c r="FP340" s="122"/>
      <c r="FQ340" s="122"/>
      <c r="FR340" s="122"/>
      <c r="FS340" s="122"/>
      <c r="FT340" s="122"/>
      <c r="FU340" s="122"/>
      <c r="FV340" s="122"/>
      <c r="FW340" s="122"/>
      <c r="FX340" s="122"/>
      <c r="FY340" s="122"/>
      <c r="FZ340" s="122"/>
      <c r="GA340" s="122"/>
      <c r="GB340" s="122"/>
      <c r="GC340" s="122"/>
      <c r="GD340" s="122"/>
      <c r="GE340" s="122"/>
      <c r="GF340" s="122"/>
      <c r="GG340" s="122"/>
      <c r="GH340" s="122"/>
      <c r="GI340" s="122"/>
      <c r="GJ340" s="122"/>
      <c r="GK340" s="122"/>
      <c r="GL340" s="122"/>
      <c r="GM340" s="122"/>
      <c r="GN340" s="122"/>
      <c r="GO340" s="122"/>
      <c r="GP340" s="122"/>
      <c r="GQ340" s="122"/>
      <c r="GR340" s="122"/>
      <c r="GS340" s="122"/>
      <c r="GT340" s="122"/>
      <c r="GU340" s="122"/>
      <c r="GV340" s="122"/>
      <c r="GW340" s="122"/>
      <c r="GX340" s="122"/>
      <c r="GY340" s="122"/>
      <c r="GZ340" s="122"/>
      <c r="HA340" s="122"/>
      <c r="HB340" s="122"/>
      <c r="HC340" s="122"/>
      <c r="HD340" s="122"/>
      <c r="HE340" s="122"/>
      <c r="HF340" s="122"/>
      <c r="HG340" s="122"/>
      <c r="HH340" s="122"/>
      <c r="HI340" s="122"/>
      <c r="HJ340" s="122"/>
      <c r="HK340" s="122"/>
      <c r="HL340" s="122"/>
      <c r="HM340" s="122"/>
      <c r="HN340" s="122"/>
      <c r="HO340" s="122"/>
      <c r="HP340" s="122"/>
      <c r="HQ340" s="122"/>
      <c r="HR340" s="122"/>
      <c r="HS340" s="122"/>
      <c r="HT340" s="122"/>
      <c r="HU340" s="122"/>
      <c r="HV340" s="122"/>
      <c r="HW340" s="122"/>
      <c r="HX340" s="122"/>
      <c r="HY340" s="122"/>
      <c r="HZ340" s="122"/>
      <c r="IA340" s="122"/>
      <c r="IB340" s="122"/>
      <c r="IC340" s="122"/>
      <c r="ID340" s="122"/>
      <c r="IE340" s="122"/>
      <c r="IF340" s="122"/>
      <c r="IG340" s="122"/>
      <c r="IH340" s="122"/>
      <c r="II340" s="122"/>
      <c r="IJ340" s="122"/>
      <c r="IK340" s="122"/>
      <c r="IL340" s="122"/>
      <c r="IM340" s="122"/>
      <c r="IN340" s="122"/>
      <c r="IO340" s="122"/>
      <c r="IP340" s="122"/>
      <c r="IQ340" s="122"/>
      <c r="IR340" s="122"/>
      <c r="IS340" s="122"/>
      <c r="IT340" s="122"/>
      <c r="IU340" s="122"/>
      <c r="IV340" s="122"/>
      <c r="IW340" s="122"/>
      <c r="IX340" s="122"/>
      <c r="IY340" s="122"/>
      <c r="IZ340" s="122"/>
      <c r="JA340" s="122"/>
      <c r="JB340" s="122"/>
      <c r="JC340" s="122"/>
      <c r="JD340" s="122"/>
      <c r="JE340" s="122"/>
      <c r="JF340" s="122"/>
      <c r="JG340" s="122"/>
      <c r="JH340" s="122"/>
      <c r="JI340" s="119"/>
      <c r="JJ340" s="2"/>
      <c r="JK340" s="122"/>
      <c r="JL340" s="125"/>
      <c r="JM340" s="125"/>
      <c r="JN340" s="125"/>
      <c r="JO340" s="125"/>
      <c r="JP340" s="125"/>
    </row>
    <row r="341" spans="1:276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122"/>
      <c r="AJ341" s="122"/>
      <c r="AK341" s="122"/>
      <c r="AL341" s="122"/>
      <c r="AM341" s="122"/>
      <c r="AN341" s="122"/>
      <c r="AO341" s="122"/>
      <c r="AP341" s="122"/>
      <c r="AQ341" s="122"/>
      <c r="AR341" s="122"/>
      <c r="AS341" s="122"/>
      <c r="AT341" s="122"/>
      <c r="AU341" s="122"/>
      <c r="AV341" s="122"/>
      <c r="AW341" s="122"/>
      <c r="AX341" s="122"/>
      <c r="AY341" s="122"/>
      <c r="AZ341" s="122"/>
      <c r="BA341" s="122"/>
      <c r="BB341" s="122"/>
      <c r="BC341" s="122"/>
      <c r="BD341" s="122"/>
      <c r="BE341" s="122"/>
      <c r="BF341" s="122"/>
      <c r="BG341" s="122"/>
      <c r="BH341" s="122"/>
      <c r="BI341" s="122"/>
      <c r="BJ341" s="122"/>
      <c r="BK341" s="122"/>
      <c r="BL341" s="122"/>
      <c r="BM341" s="122"/>
      <c r="BN341" s="122"/>
      <c r="BO341" s="122"/>
      <c r="BP341" s="122"/>
      <c r="BQ341" s="122"/>
      <c r="BR341" s="122"/>
      <c r="BS341" s="122"/>
      <c r="BT341" s="122"/>
      <c r="BU341" s="122"/>
      <c r="BV341" s="122"/>
      <c r="BW341" s="122"/>
      <c r="BX341" s="122"/>
      <c r="BY341" s="122"/>
      <c r="BZ341" s="122"/>
      <c r="CA341" s="122"/>
      <c r="CB341" s="122"/>
      <c r="CC341" s="122"/>
      <c r="CD341" s="122"/>
      <c r="CE341" s="122"/>
      <c r="CF341" s="122"/>
      <c r="CG341" s="122"/>
      <c r="CH341" s="122"/>
      <c r="CI341" s="122"/>
      <c r="CJ341" s="122"/>
      <c r="CK341" s="122"/>
      <c r="CL341" s="122"/>
      <c r="CM341" s="122"/>
      <c r="CN341" s="122"/>
      <c r="CO341" s="122"/>
      <c r="CP341" s="122"/>
      <c r="CQ341" s="122"/>
      <c r="CR341" s="122"/>
      <c r="CS341" s="122"/>
      <c r="CT341" s="122"/>
      <c r="CU341" s="122"/>
      <c r="CV341" s="122"/>
      <c r="CW341" s="122"/>
      <c r="CX341" s="122"/>
      <c r="CY341" s="122"/>
      <c r="CZ341" s="122"/>
      <c r="DA341" s="122"/>
      <c r="DB341" s="122"/>
      <c r="DC341" s="122"/>
      <c r="DD341" s="122"/>
      <c r="DE341" s="122"/>
      <c r="DF341" s="122"/>
      <c r="DG341" s="122"/>
      <c r="DH341" s="122"/>
      <c r="DI341" s="122"/>
      <c r="DJ341" s="122"/>
      <c r="DK341" s="122"/>
      <c r="DL341" s="122"/>
      <c r="DM341" s="122"/>
      <c r="DN341" s="122"/>
      <c r="DO341" s="122"/>
      <c r="DP341" s="122"/>
      <c r="DQ341" s="122"/>
      <c r="DR341" s="122"/>
      <c r="DS341" s="122"/>
      <c r="DT341" s="122"/>
      <c r="DU341" s="122"/>
      <c r="DV341" s="122"/>
      <c r="DW341" s="122"/>
      <c r="DX341" s="122"/>
      <c r="DY341" s="122"/>
      <c r="DZ341" s="122"/>
      <c r="EA341" s="122"/>
      <c r="EB341" s="122"/>
      <c r="EC341" s="122"/>
      <c r="ED341" s="122"/>
      <c r="EE341" s="122"/>
      <c r="EF341" s="122"/>
      <c r="EG341" s="122"/>
      <c r="EH341" s="122"/>
      <c r="EI341" s="122"/>
      <c r="EJ341" s="122"/>
      <c r="EK341" s="122"/>
      <c r="EL341" s="122"/>
      <c r="EM341" s="122"/>
      <c r="EN341" s="122"/>
      <c r="EO341" s="122"/>
      <c r="EP341" s="122"/>
      <c r="EQ341" s="122"/>
      <c r="ER341" s="122"/>
      <c r="ES341" s="122"/>
      <c r="ET341" s="122"/>
      <c r="EU341" s="122"/>
      <c r="EV341" s="122"/>
      <c r="EW341" s="122"/>
      <c r="EX341" s="122"/>
      <c r="EY341" s="122"/>
      <c r="EZ341" s="122"/>
      <c r="FA341" s="122"/>
      <c r="FB341" s="122"/>
      <c r="FC341" s="122"/>
      <c r="FD341" s="122"/>
      <c r="FE341" s="122"/>
      <c r="FF341" s="122"/>
      <c r="FG341" s="122"/>
      <c r="FH341" s="122"/>
      <c r="FI341" s="122"/>
      <c r="FJ341" s="122"/>
      <c r="FK341" s="122"/>
      <c r="FL341" s="122"/>
      <c r="FM341" s="122"/>
      <c r="FN341" s="122"/>
      <c r="FO341" s="122"/>
      <c r="FP341" s="122"/>
      <c r="FQ341" s="122"/>
      <c r="FR341" s="122"/>
      <c r="FS341" s="122"/>
      <c r="FT341" s="122"/>
      <c r="FU341" s="122"/>
      <c r="FV341" s="122"/>
      <c r="FW341" s="122"/>
      <c r="FX341" s="122"/>
      <c r="FY341" s="122"/>
      <c r="FZ341" s="122"/>
      <c r="GA341" s="122"/>
      <c r="GB341" s="122"/>
      <c r="GC341" s="122"/>
      <c r="GD341" s="122"/>
      <c r="GE341" s="122"/>
      <c r="GF341" s="122"/>
      <c r="GG341" s="122"/>
      <c r="GH341" s="122"/>
      <c r="GI341" s="122"/>
      <c r="GJ341" s="122"/>
      <c r="GK341" s="122"/>
      <c r="GL341" s="122"/>
      <c r="GM341" s="122"/>
      <c r="GN341" s="122"/>
      <c r="GO341" s="122"/>
      <c r="GP341" s="122"/>
      <c r="GQ341" s="122"/>
      <c r="GR341" s="122"/>
      <c r="GS341" s="122"/>
      <c r="GT341" s="122"/>
      <c r="GU341" s="122"/>
      <c r="GV341" s="122"/>
      <c r="GW341" s="122"/>
      <c r="GX341" s="122"/>
      <c r="GY341" s="122"/>
      <c r="GZ341" s="122"/>
      <c r="HA341" s="122"/>
      <c r="HB341" s="122"/>
      <c r="HC341" s="122"/>
      <c r="HD341" s="122"/>
      <c r="HE341" s="122"/>
      <c r="HF341" s="122"/>
      <c r="HG341" s="122"/>
      <c r="HH341" s="122"/>
      <c r="HI341" s="122"/>
      <c r="HJ341" s="122"/>
      <c r="HK341" s="122"/>
      <c r="HL341" s="122"/>
      <c r="HM341" s="122"/>
      <c r="HN341" s="122"/>
      <c r="HO341" s="122"/>
      <c r="HP341" s="122"/>
      <c r="HQ341" s="122"/>
      <c r="HR341" s="122"/>
      <c r="HS341" s="122"/>
      <c r="HT341" s="122"/>
      <c r="HU341" s="122"/>
      <c r="HV341" s="122"/>
      <c r="HW341" s="122"/>
      <c r="HX341" s="122"/>
      <c r="HY341" s="122"/>
      <c r="HZ341" s="122"/>
      <c r="IA341" s="122"/>
      <c r="IB341" s="122"/>
      <c r="IC341" s="122"/>
      <c r="ID341" s="122"/>
      <c r="IE341" s="122"/>
      <c r="IF341" s="122"/>
      <c r="IG341" s="122"/>
      <c r="IH341" s="122"/>
      <c r="II341" s="122"/>
      <c r="IJ341" s="122"/>
      <c r="IK341" s="122"/>
      <c r="IL341" s="122"/>
      <c r="IM341" s="122"/>
      <c r="IN341" s="122"/>
      <c r="IO341" s="122"/>
      <c r="IP341" s="122"/>
      <c r="IQ341" s="122"/>
      <c r="IR341" s="122"/>
      <c r="IS341" s="122"/>
      <c r="IT341" s="122"/>
      <c r="IU341" s="122"/>
      <c r="IV341" s="122"/>
      <c r="IW341" s="122"/>
      <c r="IX341" s="122"/>
      <c r="IY341" s="122"/>
      <c r="IZ341" s="122"/>
      <c r="JA341" s="122"/>
      <c r="JB341" s="122"/>
      <c r="JC341" s="122"/>
      <c r="JD341" s="122"/>
      <c r="JE341" s="122"/>
      <c r="JF341" s="122"/>
      <c r="JG341" s="122"/>
      <c r="JH341" s="122"/>
      <c r="JI341" s="119"/>
      <c r="JJ341" s="2"/>
      <c r="JK341" s="122"/>
      <c r="JL341" s="125"/>
      <c r="JM341" s="125"/>
      <c r="JN341" s="125"/>
      <c r="JO341" s="125"/>
      <c r="JP341" s="125"/>
    </row>
    <row r="342" spans="1:276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122"/>
      <c r="AI342" s="122"/>
      <c r="AJ342" s="122"/>
      <c r="AK342" s="122"/>
      <c r="AL342" s="122"/>
      <c r="AM342" s="122"/>
      <c r="AN342" s="122"/>
      <c r="AO342" s="122"/>
      <c r="AP342" s="122"/>
      <c r="AQ342" s="122"/>
      <c r="AR342" s="122"/>
      <c r="AS342" s="122"/>
      <c r="AT342" s="122"/>
      <c r="AU342" s="122"/>
      <c r="AV342" s="122"/>
      <c r="AW342" s="122"/>
      <c r="AX342" s="122"/>
      <c r="AY342" s="122"/>
      <c r="AZ342" s="122"/>
      <c r="BA342" s="122"/>
      <c r="BB342" s="122"/>
      <c r="BC342" s="122"/>
      <c r="BD342" s="122"/>
      <c r="BE342" s="122"/>
      <c r="BF342" s="122"/>
      <c r="BG342" s="122"/>
      <c r="BH342" s="122"/>
      <c r="BI342" s="122"/>
      <c r="BJ342" s="122"/>
      <c r="BK342" s="122"/>
      <c r="BL342" s="122"/>
      <c r="BM342" s="122"/>
      <c r="BN342" s="122"/>
      <c r="BO342" s="122"/>
      <c r="BP342" s="122"/>
      <c r="BQ342" s="122"/>
      <c r="BR342" s="122"/>
      <c r="BS342" s="122"/>
      <c r="BT342" s="122"/>
      <c r="BU342" s="122"/>
      <c r="BV342" s="122"/>
      <c r="BW342" s="122"/>
      <c r="BX342" s="122"/>
      <c r="BY342" s="122"/>
      <c r="BZ342" s="122"/>
      <c r="CA342" s="122"/>
      <c r="CB342" s="122"/>
      <c r="CC342" s="122"/>
      <c r="CD342" s="122"/>
      <c r="CE342" s="122"/>
      <c r="CF342" s="122"/>
      <c r="CG342" s="122"/>
      <c r="CH342" s="122"/>
      <c r="CI342" s="122"/>
      <c r="CJ342" s="122"/>
      <c r="CK342" s="122"/>
      <c r="CL342" s="122"/>
      <c r="CM342" s="122"/>
      <c r="CN342" s="122"/>
      <c r="CO342" s="122"/>
      <c r="CP342" s="122"/>
      <c r="CQ342" s="122"/>
      <c r="CR342" s="122"/>
      <c r="CS342" s="122"/>
      <c r="CT342" s="122"/>
      <c r="CU342" s="122"/>
      <c r="CV342" s="122"/>
      <c r="CW342" s="122"/>
      <c r="CX342" s="122"/>
      <c r="CY342" s="122"/>
      <c r="CZ342" s="122"/>
      <c r="DA342" s="122"/>
      <c r="DB342" s="122"/>
      <c r="DC342" s="122"/>
      <c r="DD342" s="122"/>
      <c r="DE342" s="122"/>
      <c r="DF342" s="122"/>
      <c r="DG342" s="122"/>
      <c r="DH342" s="122"/>
      <c r="DI342" s="122"/>
      <c r="DJ342" s="122"/>
      <c r="DK342" s="122"/>
      <c r="DL342" s="122"/>
      <c r="DM342" s="122"/>
      <c r="DN342" s="122"/>
      <c r="DO342" s="122"/>
      <c r="DP342" s="122"/>
      <c r="DQ342" s="122"/>
      <c r="DR342" s="122"/>
      <c r="DS342" s="122"/>
      <c r="DT342" s="122"/>
      <c r="DU342" s="122"/>
      <c r="DV342" s="122"/>
      <c r="DW342" s="122"/>
      <c r="DX342" s="122"/>
      <c r="DY342" s="122"/>
      <c r="DZ342" s="122"/>
      <c r="EA342" s="122"/>
      <c r="EB342" s="122"/>
      <c r="EC342" s="122"/>
      <c r="ED342" s="122"/>
      <c r="EE342" s="122"/>
      <c r="EF342" s="122"/>
      <c r="EG342" s="122"/>
      <c r="EH342" s="122"/>
      <c r="EI342" s="122"/>
      <c r="EJ342" s="122"/>
      <c r="EK342" s="122"/>
      <c r="EL342" s="122"/>
      <c r="EM342" s="122"/>
      <c r="EN342" s="122"/>
      <c r="EO342" s="122"/>
      <c r="EP342" s="122"/>
      <c r="EQ342" s="122"/>
      <c r="ER342" s="122"/>
      <c r="ES342" s="122"/>
      <c r="ET342" s="122"/>
      <c r="EU342" s="122"/>
      <c r="EV342" s="122"/>
      <c r="EW342" s="122"/>
      <c r="EX342" s="122"/>
      <c r="EY342" s="122"/>
      <c r="EZ342" s="122"/>
      <c r="FA342" s="122"/>
      <c r="FB342" s="122"/>
      <c r="FC342" s="122"/>
      <c r="FD342" s="122"/>
      <c r="FE342" s="122"/>
      <c r="FF342" s="122"/>
      <c r="FG342" s="122"/>
      <c r="FH342" s="122"/>
      <c r="FI342" s="122"/>
      <c r="FJ342" s="122"/>
      <c r="FK342" s="122"/>
      <c r="FL342" s="122"/>
      <c r="FM342" s="122"/>
      <c r="FN342" s="122"/>
      <c r="FO342" s="122"/>
      <c r="FP342" s="122"/>
      <c r="FQ342" s="122"/>
      <c r="FR342" s="122"/>
      <c r="FS342" s="122"/>
      <c r="FT342" s="122"/>
      <c r="FU342" s="122"/>
      <c r="FV342" s="122"/>
      <c r="FW342" s="122"/>
      <c r="FX342" s="122"/>
      <c r="FY342" s="122"/>
      <c r="FZ342" s="122"/>
      <c r="GA342" s="122"/>
      <c r="GB342" s="122"/>
      <c r="GC342" s="122"/>
      <c r="GD342" s="122"/>
      <c r="GE342" s="122"/>
      <c r="GF342" s="122"/>
      <c r="GG342" s="122"/>
      <c r="GH342" s="122"/>
      <c r="GI342" s="122"/>
      <c r="GJ342" s="122"/>
      <c r="GK342" s="122"/>
      <c r="GL342" s="122"/>
      <c r="GM342" s="122"/>
      <c r="GN342" s="122"/>
      <c r="GO342" s="122"/>
      <c r="GP342" s="122"/>
      <c r="GQ342" s="122"/>
      <c r="GR342" s="122"/>
      <c r="GS342" s="122"/>
      <c r="GT342" s="122"/>
      <c r="GU342" s="122"/>
      <c r="GV342" s="122"/>
      <c r="GW342" s="122"/>
      <c r="GX342" s="122"/>
      <c r="GY342" s="122"/>
      <c r="GZ342" s="122"/>
      <c r="HA342" s="122"/>
      <c r="HB342" s="122"/>
      <c r="HC342" s="122"/>
      <c r="HD342" s="122"/>
      <c r="HE342" s="122"/>
      <c r="HF342" s="122"/>
      <c r="HG342" s="122"/>
      <c r="HH342" s="122"/>
      <c r="HI342" s="122"/>
      <c r="HJ342" s="122"/>
      <c r="HK342" s="122"/>
      <c r="HL342" s="122"/>
      <c r="HM342" s="122"/>
      <c r="HN342" s="122"/>
      <c r="HO342" s="122"/>
      <c r="HP342" s="122"/>
      <c r="HQ342" s="122"/>
      <c r="HR342" s="122"/>
      <c r="HS342" s="122"/>
      <c r="HT342" s="122"/>
      <c r="HU342" s="122"/>
      <c r="HV342" s="122"/>
      <c r="HW342" s="122"/>
      <c r="HX342" s="122"/>
      <c r="HY342" s="122"/>
      <c r="HZ342" s="122"/>
      <c r="IA342" s="122"/>
      <c r="IB342" s="122"/>
      <c r="IC342" s="122"/>
      <c r="ID342" s="122"/>
      <c r="IE342" s="122"/>
      <c r="IF342" s="122"/>
      <c r="IG342" s="122"/>
      <c r="IH342" s="122"/>
      <c r="II342" s="122"/>
      <c r="IJ342" s="122"/>
      <c r="IK342" s="122"/>
      <c r="IL342" s="122"/>
      <c r="IM342" s="122"/>
      <c r="IN342" s="122"/>
      <c r="IO342" s="122"/>
      <c r="IP342" s="122"/>
      <c r="IQ342" s="122"/>
      <c r="IR342" s="122"/>
      <c r="IS342" s="122"/>
      <c r="IT342" s="122"/>
      <c r="IU342" s="122"/>
      <c r="IV342" s="122"/>
      <c r="IW342" s="122"/>
      <c r="IX342" s="122"/>
      <c r="IY342" s="122"/>
      <c r="IZ342" s="122"/>
      <c r="JA342" s="122"/>
      <c r="JB342" s="122"/>
      <c r="JC342" s="122"/>
      <c r="JD342" s="122"/>
      <c r="JE342" s="122"/>
      <c r="JF342" s="122"/>
      <c r="JG342" s="122"/>
      <c r="JH342" s="122"/>
      <c r="JI342" s="119"/>
      <c r="JJ342" s="2"/>
      <c r="JK342" s="122"/>
      <c r="JL342" s="125"/>
      <c r="JM342" s="125"/>
      <c r="JN342" s="125"/>
      <c r="JO342" s="125"/>
      <c r="JP342" s="125"/>
    </row>
    <row r="343" spans="1:276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122"/>
      <c r="AJ343" s="122"/>
      <c r="AK343" s="122"/>
      <c r="AL343" s="122"/>
      <c r="AM343" s="122"/>
      <c r="AN343" s="122"/>
      <c r="AO343" s="122"/>
      <c r="AP343" s="122"/>
      <c r="AQ343" s="122"/>
      <c r="AR343" s="122"/>
      <c r="AS343" s="122"/>
      <c r="AT343" s="122"/>
      <c r="AU343" s="122"/>
      <c r="AV343" s="122"/>
      <c r="AW343" s="122"/>
      <c r="AX343" s="122"/>
      <c r="AY343" s="122"/>
      <c r="AZ343" s="122"/>
      <c r="BA343" s="122"/>
      <c r="BB343" s="122"/>
      <c r="BC343" s="122"/>
      <c r="BD343" s="122"/>
      <c r="BE343" s="122"/>
      <c r="BF343" s="122"/>
      <c r="BG343" s="122"/>
      <c r="BH343" s="122"/>
      <c r="BI343" s="122"/>
      <c r="BJ343" s="122"/>
      <c r="BK343" s="122"/>
      <c r="BL343" s="122"/>
      <c r="BM343" s="122"/>
      <c r="BN343" s="122"/>
      <c r="BO343" s="122"/>
      <c r="BP343" s="122"/>
      <c r="BQ343" s="122"/>
      <c r="BR343" s="122"/>
      <c r="BS343" s="122"/>
      <c r="BT343" s="122"/>
      <c r="BU343" s="122"/>
      <c r="BV343" s="122"/>
      <c r="BW343" s="122"/>
      <c r="BX343" s="122"/>
      <c r="BY343" s="122"/>
      <c r="BZ343" s="122"/>
      <c r="CA343" s="122"/>
      <c r="CB343" s="122"/>
      <c r="CC343" s="122"/>
      <c r="CD343" s="122"/>
      <c r="CE343" s="122"/>
      <c r="CF343" s="122"/>
      <c r="CG343" s="122"/>
      <c r="CH343" s="122"/>
      <c r="CI343" s="122"/>
      <c r="CJ343" s="122"/>
      <c r="CK343" s="122"/>
      <c r="CL343" s="122"/>
      <c r="CM343" s="122"/>
      <c r="CN343" s="122"/>
      <c r="CO343" s="122"/>
      <c r="CP343" s="122"/>
      <c r="CQ343" s="122"/>
      <c r="CR343" s="122"/>
      <c r="CS343" s="122"/>
      <c r="CT343" s="122"/>
      <c r="CU343" s="122"/>
      <c r="CV343" s="122"/>
      <c r="CW343" s="122"/>
      <c r="CX343" s="122"/>
      <c r="CY343" s="122"/>
      <c r="CZ343" s="122"/>
      <c r="DA343" s="122"/>
      <c r="DB343" s="122"/>
      <c r="DC343" s="122"/>
      <c r="DD343" s="122"/>
      <c r="DE343" s="122"/>
      <c r="DF343" s="122"/>
      <c r="DG343" s="122"/>
      <c r="DH343" s="122"/>
      <c r="DI343" s="122"/>
      <c r="DJ343" s="122"/>
      <c r="DK343" s="122"/>
      <c r="DL343" s="122"/>
      <c r="DM343" s="122"/>
      <c r="DN343" s="122"/>
      <c r="DO343" s="122"/>
      <c r="DP343" s="122"/>
      <c r="DQ343" s="122"/>
      <c r="DR343" s="122"/>
      <c r="DS343" s="122"/>
      <c r="DT343" s="122"/>
      <c r="DU343" s="122"/>
      <c r="DV343" s="122"/>
      <c r="DW343" s="122"/>
      <c r="DX343" s="122"/>
      <c r="DY343" s="122"/>
      <c r="DZ343" s="122"/>
      <c r="EA343" s="122"/>
      <c r="EB343" s="122"/>
      <c r="EC343" s="122"/>
      <c r="ED343" s="122"/>
      <c r="EE343" s="122"/>
      <c r="EF343" s="122"/>
      <c r="EG343" s="122"/>
      <c r="EH343" s="122"/>
      <c r="EI343" s="122"/>
      <c r="EJ343" s="122"/>
      <c r="EK343" s="122"/>
      <c r="EL343" s="122"/>
      <c r="EM343" s="122"/>
      <c r="EN343" s="122"/>
      <c r="EO343" s="122"/>
      <c r="EP343" s="122"/>
      <c r="EQ343" s="122"/>
      <c r="ER343" s="122"/>
      <c r="ES343" s="122"/>
      <c r="ET343" s="122"/>
      <c r="EU343" s="122"/>
      <c r="EV343" s="122"/>
      <c r="EW343" s="122"/>
      <c r="EX343" s="122"/>
      <c r="EY343" s="122"/>
      <c r="EZ343" s="122"/>
      <c r="FA343" s="122"/>
      <c r="FB343" s="122"/>
      <c r="FC343" s="122"/>
      <c r="FD343" s="122"/>
      <c r="FE343" s="122"/>
      <c r="FF343" s="122"/>
      <c r="FG343" s="122"/>
      <c r="FH343" s="122"/>
      <c r="FI343" s="122"/>
      <c r="FJ343" s="122"/>
      <c r="FK343" s="122"/>
      <c r="FL343" s="122"/>
      <c r="FM343" s="122"/>
      <c r="FN343" s="122"/>
      <c r="FO343" s="122"/>
      <c r="FP343" s="122"/>
      <c r="FQ343" s="122"/>
      <c r="FR343" s="122"/>
      <c r="FS343" s="122"/>
      <c r="FT343" s="122"/>
      <c r="FU343" s="122"/>
      <c r="FV343" s="122"/>
      <c r="FW343" s="122"/>
      <c r="FX343" s="122"/>
      <c r="FY343" s="122"/>
      <c r="FZ343" s="122"/>
      <c r="GA343" s="122"/>
      <c r="GB343" s="122"/>
      <c r="GC343" s="122"/>
      <c r="GD343" s="122"/>
      <c r="GE343" s="122"/>
      <c r="GF343" s="122"/>
      <c r="GG343" s="122"/>
      <c r="GH343" s="122"/>
      <c r="GI343" s="122"/>
      <c r="GJ343" s="122"/>
      <c r="GK343" s="122"/>
      <c r="GL343" s="122"/>
      <c r="GM343" s="122"/>
      <c r="GN343" s="122"/>
      <c r="GO343" s="122"/>
      <c r="GP343" s="122"/>
      <c r="GQ343" s="122"/>
      <c r="GR343" s="122"/>
      <c r="GS343" s="122"/>
      <c r="GT343" s="122"/>
      <c r="GU343" s="122"/>
      <c r="GV343" s="122"/>
      <c r="GW343" s="122"/>
      <c r="GX343" s="122"/>
      <c r="GY343" s="122"/>
      <c r="GZ343" s="122"/>
      <c r="HA343" s="122"/>
      <c r="HB343" s="122"/>
      <c r="HC343" s="122"/>
      <c r="HD343" s="122"/>
      <c r="HE343" s="122"/>
      <c r="HF343" s="122"/>
      <c r="HG343" s="122"/>
      <c r="HH343" s="122"/>
      <c r="HI343" s="122"/>
      <c r="HJ343" s="122"/>
      <c r="HK343" s="122"/>
      <c r="HL343" s="122"/>
      <c r="HM343" s="122"/>
      <c r="HN343" s="122"/>
      <c r="HO343" s="122"/>
      <c r="HP343" s="122"/>
      <c r="HQ343" s="122"/>
      <c r="HR343" s="122"/>
      <c r="HS343" s="122"/>
      <c r="HT343" s="122"/>
      <c r="HU343" s="122"/>
      <c r="HV343" s="122"/>
      <c r="HW343" s="122"/>
      <c r="HX343" s="122"/>
      <c r="HY343" s="122"/>
      <c r="HZ343" s="122"/>
      <c r="IA343" s="122"/>
      <c r="IB343" s="122"/>
      <c r="IC343" s="122"/>
      <c r="ID343" s="122"/>
      <c r="IE343" s="122"/>
      <c r="IF343" s="122"/>
      <c r="IG343" s="122"/>
      <c r="IH343" s="122"/>
      <c r="II343" s="122"/>
      <c r="IJ343" s="122"/>
      <c r="IK343" s="122"/>
      <c r="IL343" s="122"/>
      <c r="IM343" s="122"/>
      <c r="IN343" s="122"/>
      <c r="IO343" s="122"/>
      <c r="IP343" s="122"/>
      <c r="IQ343" s="122"/>
      <c r="IR343" s="122"/>
      <c r="IS343" s="122"/>
      <c r="IT343" s="122"/>
      <c r="IU343" s="122"/>
      <c r="IV343" s="122"/>
      <c r="IW343" s="122"/>
      <c r="IX343" s="122"/>
      <c r="IY343" s="122"/>
      <c r="IZ343" s="122"/>
      <c r="JA343" s="122"/>
      <c r="JB343" s="122"/>
      <c r="JC343" s="122"/>
      <c r="JD343" s="122"/>
      <c r="JE343" s="122"/>
      <c r="JF343" s="122"/>
      <c r="JG343" s="122"/>
      <c r="JH343" s="122"/>
      <c r="JI343" s="119"/>
      <c r="JJ343" s="2"/>
      <c r="JK343" s="122"/>
      <c r="JL343" s="125"/>
      <c r="JM343" s="125"/>
      <c r="JN343" s="125"/>
      <c r="JO343" s="125"/>
      <c r="JP343" s="125"/>
    </row>
    <row r="344" spans="1:276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  <c r="AF344" s="122"/>
      <c r="AG344" s="122"/>
      <c r="AH344" s="122"/>
      <c r="AI344" s="122"/>
      <c r="AJ344" s="122"/>
      <c r="AK344" s="122"/>
      <c r="AL344" s="122"/>
      <c r="AM344" s="122"/>
      <c r="AN344" s="122"/>
      <c r="AO344" s="122"/>
      <c r="AP344" s="122"/>
      <c r="AQ344" s="122"/>
      <c r="AR344" s="122"/>
      <c r="AS344" s="122"/>
      <c r="AT344" s="122"/>
      <c r="AU344" s="122"/>
      <c r="AV344" s="122"/>
      <c r="AW344" s="122"/>
      <c r="AX344" s="122"/>
      <c r="AY344" s="122"/>
      <c r="AZ344" s="122"/>
      <c r="BA344" s="122"/>
      <c r="BB344" s="122"/>
      <c r="BC344" s="122"/>
      <c r="BD344" s="122"/>
      <c r="BE344" s="122"/>
      <c r="BF344" s="122"/>
      <c r="BG344" s="122"/>
      <c r="BH344" s="122"/>
      <c r="BI344" s="122"/>
      <c r="BJ344" s="122"/>
      <c r="BK344" s="122"/>
      <c r="BL344" s="122"/>
      <c r="BM344" s="122"/>
      <c r="BN344" s="122"/>
      <c r="BO344" s="122"/>
      <c r="BP344" s="122"/>
      <c r="BQ344" s="122"/>
      <c r="BR344" s="122"/>
      <c r="BS344" s="122"/>
      <c r="BT344" s="122"/>
      <c r="BU344" s="122"/>
      <c r="BV344" s="122"/>
      <c r="BW344" s="122"/>
      <c r="BX344" s="122"/>
      <c r="BY344" s="122"/>
      <c r="BZ344" s="122"/>
      <c r="CA344" s="122"/>
      <c r="CB344" s="122"/>
      <c r="CC344" s="122"/>
      <c r="CD344" s="122"/>
      <c r="CE344" s="122"/>
      <c r="CF344" s="122"/>
      <c r="CG344" s="122"/>
      <c r="CH344" s="122"/>
      <c r="CI344" s="122"/>
      <c r="CJ344" s="122"/>
      <c r="CK344" s="122"/>
      <c r="CL344" s="122"/>
      <c r="CM344" s="122"/>
      <c r="CN344" s="122"/>
      <c r="CO344" s="122"/>
      <c r="CP344" s="122"/>
      <c r="CQ344" s="122"/>
      <c r="CR344" s="122"/>
      <c r="CS344" s="122"/>
      <c r="CT344" s="122"/>
      <c r="CU344" s="122"/>
      <c r="CV344" s="122"/>
      <c r="CW344" s="122"/>
      <c r="CX344" s="122"/>
      <c r="CY344" s="122"/>
      <c r="CZ344" s="122"/>
      <c r="DA344" s="122"/>
      <c r="DB344" s="122"/>
      <c r="DC344" s="122"/>
      <c r="DD344" s="122"/>
      <c r="DE344" s="122"/>
      <c r="DF344" s="122"/>
      <c r="DG344" s="122"/>
      <c r="DH344" s="122"/>
      <c r="DI344" s="122"/>
      <c r="DJ344" s="122"/>
      <c r="DK344" s="122"/>
      <c r="DL344" s="122"/>
      <c r="DM344" s="122"/>
      <c r="DN344" s="122"/>
      <c r="DO344" s="122"/>
      <c r="DP344" s="122"/>
      <c r="DQ344" s="122"/>
      <c r="DR344" s="122"/>
      <c r="DS344" s="122"/>
      <c r="DT344" s="122"/>
      <c r="DU344" s="122"/>
      <c r="DV344" s="122"/>
      <c r="DW344" s="122"/>
      <c r="DX344" s="122"/>
      <c r="DY344" s="122"/>
      <c r="DZ344" s="122"/>
      <c r="EA344" s="122"/>
      <c r="EB344" s="122"/>
      <c r="EC344" s="122"/>
      <c r="ED344" s="122"/>
      <c r="EE344" s="122"/>
      <c r="EF344" s="122"/>
      <c r="EG344" s="122"/>
      <c r="EH344" s="122"/>
      <c r="EI344" s="122"/>
      <c r="EJ344" s="122"/>
      <c r="EK344" s="122"/>
      <c r="EL344" s="122"/>
      <c r="EM344" s="122"/>
      <c r="EN344" s="122"/>
      <c r="EO344" s="122"/>
      <c r="EP344" s="122"/>
      <c r="EQ344" s="122"/>
      <c r="ER344" s="122"/>
      <c r="ES344" s="122"/>
      <c r="ET344" s="122"/>
      <c r="EU344" s="122"/>
      <c r="EV344" s="122"/>
      <c r="EW344" s="122"/>
      <c r="EX344" s="122"/>
      <c r="EY344" s="122"/>
      <c r="EZ344" s="122"/>
      <c r="FA344" s="122"/>
      <c r="FB344" s="122"/>
      <c r="FC344" s="122"/>
      <c r="FD344" s="122"/>
      <c r="FE344" s="122"/>
      <c r="FF344" s="122"/>
      <c r="FG344" s="122"/>
      <c r="FH344" s="122"/>
      <c r="FI344" s="122"/>
      <c r="FJ344" s="122"/>
      <c r="FK344" s="122"/>
      <c r="FL344" s="122"/>
      <c r="FM344" s="122"/>
      <c r="FN344" s="122"/>
      <c r="FO344" s="122"/>
      <c r="FP344" s="122"/>
      <c r="FQ344" s="122"/>
      <c r="FR344" s="122"/>
      <c r="FS344" s="122"/>
      <c r="FT344" s="122"/>
      <c r="FU344" s="122"/>
      <c r="FV344" s="122"/>
      <c r="FW344" s="122"/>
      <c r="FX344" s="122"/>
      <c r="FY344" s="122"/>
      <c r="FZ344" s="122"/>
      <c r="GA344" s="122"/>
      <c r="GB344" s="122"/>
      <c r="GC344" s="122"/>
      <c r="GD344" s="122"/>
      <c r="GE344" s="122"/>
      <c r="GF344" s="122"/>
      <c r="GG344" s="122"/>
      <c r="GH344" s="122"/>
      <c r="GI344" s="122"/>
      <c r="GJ344" s="122"/>
      <c r="GK344" s="122"/>
      <c r="GL344" s="122"/>
      <c r="GM344" s="122"/>
      <c r="GN344" s="122"/>
      <c r="GO344" s="122"/>
      <c r="GP344" s="122"/>
      <c r="GQ344" s="122"/>
      <c r="GR344" s="122"/>
      <c r="GS344" s="122"/>
      <c r="GT344" s="122"/>
      <c r="GU344" s="122"/>
      <c r="GV344" s="122"/>
      <c r="GW344" s="122"/>
      <c r="GX344" s="122"/>
      <c r="GY344" s="122"/>
      <c r="GZ344" s="122"/>
      <c r="HA344" s="122"/>
      <c r="HB344" s="122"/>
      <c r="HC344" s="122"/>
      <c r="HD344" s="122"/>
      <c r="HE344" s="122"/>
      <c r="HF344" s="122"/>
      <c r="HG344" s="122"/>
      <c r="HH344" s="122"/>
      <c r="HI344" s="122"/>
      <c r="HJ344" s="122"/>
      <c r="HK344" s="122"/>
      <c r="HL344" s="122"/>
      <c r="HM344" s="122"/>
      <c r="HN344" s="122"/>
      <c r="HO344" s="122"/>
      <c r="HP344" s="122"/>
      <c r="HQ344" s="122"/>
      <c r="HR344" s="122"/>
      <c r="HS344" s="122"/>
      <c r="HT344" s="122"/>
      <c r="HU344" s="122"/>
      <c r="HV344" s="122"/>
      <c r="HW344" s="122"/>
      <c r="HX344" s="122"/>
      <c r="HY344" s="122"/>
      <c r="HZ344" s="122"/>
      <c r="IA344" s="122"/>
      <c r="IB344" s="122"/>
      <c r="IC344" s="122"/>
      <c r="ID344" s="122"/>
      <c r="IE344" s="122"/>
      <c r="IF344" s="122"/>
      <c r="IG344" s="122"/>
      <c r="IH344" s="122"/>
      <c r="II344" s="122"/>
      <c r="IJ344" s="122"/>
      <c r="IK344" s="122"/>
      <c r="IL344" s="122"/>
      <c r="IM344" s="122"/>
      <c r="IN344" s="122"/>
      <c r="IO344" s="122"/>
      <c r="IP344" s="122"/>
      <c r="IQ344" s="122"/>
      <c r="IR344" s="122"/>
      <c r="IS344" s="122"/>
      <c r="IT344" s="122"/>
      <c r="IU344" s="122"/>
      <c r="IV344" s="122"/>
      <c r="IW344" s="122"/>
      <c r="IX344" s="122"/>
      <c r="IY344" s="122"/>
      <c r="IZ344" s="122"/>
      <c r="JA344" s="122"/>
      <c r="JB344" s="122"/>
      <c r="JC344" s="122"/>
      <c r="JD344" s="122"/>
      <c r="JE344" s="122"/>
      <c r="JF344" s="122"/>
      <c r="JG344" s="122"/>
      <c r="JH344" s="122"/>
      <c r="JI344" s="119"/>
      <c r="JJ344" s="2"/>
      <c r="JK344" s="122"/>
      <c r="JL344" s="125"/>
      <c r="JM344" s="125"/>
      <c r="JN344" s="125"/>
      <c r="JO344" s="125"/>
      <c r="JP344" s="125"/>
    </row>
    <row r="345" spans="1:276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  <c r="AK345" s="122"/>
      <c r="AL345" s="122"/>
      <c r="AM345" s="122"/>
      <c r="AN345" s="122"/>
      <c r="AO345" s="122"/>
      <c r="AP345" s="122"/>
      <c r="AQ345" s="122"/>
      <c r="AR345" s="122"/>
      <c r="AS345" s="122"/>
      <c r="AT345" s="122"/>
      <c r="AU345" s="122"/>
      <c r="AV345" s="122"/>
      <c r="AW345" s="122"/>
      <c r="AX345" s="122"/>
      <c r="AY345" s="122"/>
      <c r="AZ345" s="122"/>
      <c r="BA345" s="122"/>
      <c r="BB345" s="122"/>
      <c r="BC345" s="122"/>
      <c r="BD345" s="122"/>
      <c r="BE345" s="122"/>
      <c r="BF345" s="122"/>
      <c r="BG345" s="122"/>
      <c r="BH345" s="122"/>
      <c r="BI345" s="122"/>
      <c r="BJ345" s="122"/>
      <c r="BK345" s="122"/>
      <c r="BL345" s="122"/>
      <c r="BM345" s="122"/>
      <c r="BN345" s="122"/>
      <c r="BO345" s="122"/>
      <c r="BP345" s="122"/>
      <c r="BQ345" s="122"/>
      <c r="BR345" s="122"/>
      <c r="BS345" s="122"/>
      <c r="BT345" s="122"/>
      <c r="BU345" s="122"/>
      <c r="BV345" s="122"/>
      <c r="BW345" s="122"/>
      <c r="BX345" s="122"/>
      <c r="BY345" s="122"/>
      <c r="BZ345" s="122"/>
      <c r="CA345" s="122"/>
      <c r="CB345" s="122"/>
      <c r="CC345" s="122"/>
      <c r="CD345" s="122"/>
      <c r="CE345" s="122"/>
      <c r="CF345" s="122"/>
      <c r="CG345" s="122"/>
      <c r="CH345" s="122"/>
      <c r="CI345" s="122"/>
      <c r="CJ345" s="122"/>
      <c r="CK345" s="122"/>
      <c r="CL345" s="122"/>
      <c r="CM345" s="122"/>
      <c r="CN345" s="122"/>
      <c r="CO345" s="122"/>
      <c r="CP345" s="122"/>
      <c r="CQ345" s="122"/>
      <c r="CR345" s="122"/>
      <c r="CS345" s="122"/>
      <c r="CT345" s="122"/>
      <c r="CU345" s="122"/>
      <c r="CV345" s="122"/>
      <c r="CW345" s="122"/>
      <c r="CX345" s="122"/>
      <c r="CY345" s="122"/>
      <c r="CZ345" s="122"/>
      <c r="DA345" s="122"/>
      <c r="DB345" s="122"/>
      <c r="DC345" s="122"/>
      <c r="DD345" s="122"/>
      <c r="DE345" s="122"/>
      <c r="DF345" s="122"/>
      <c r="DG345" s="122"/>
      <c r="DH345" s="122"/>
      <c r="DI345" s="122"/>
      <c r="DJ345" s="122"/>
      <c r="DK345" s="122"/>
      <c r="DL345" s="122"/>
      <c r="DM345" s="122"/>
      <c r="DN345" s="122"/>
      <c r="DO345" s="122"/>
      <c r="DP345" s="122"/>
      <c r="DQ345" s="122"/>
      <c r="DR345" s="122"/>
      <c r="DS345" s="122"/>
      <c r="DT345" s="122"/>
      <c r="DU345" s="122"/>
      <c r="DV345" s="122"/>
      <c r="DW345" s="122"/>
      <c r="DX345" s="122"/>
      <c r="DY345" s="122"/>
      <c r="DZ345" s="122"/>
      <c r="EA345" s="122"/>
      <c r="EB345" s="122"/>
      <c r="EC345" s="122"/>
      <c r="ED345" s="122"/>
      <c r="EE345" s="122"/>
      <c r="EF345" s="122"/>
      <c r="EG345" s="122"/>
      <c r="EH345" s="122"/>
      <c r="EI345" s="122"/>
      <c r="EJ345" s="122"/>
      <c r="EK345" s="122"/>
      <c r="EL345" s="122"/>
      <c r="EM345" s="122"/>
      <c r="EN345" s="122"/>
      <c r="EO345" s="122"/>
      <c r="EP345" s="122"/>
      <c r="EQ345" s="122"/>
      <c r="ER345" s="122"/>
      <c r="ES345" s="122"/>
      <c r="ET345" s="122"/>
      <c r="EU345" s="122"/>
      <c r="EV345" s="122"/>
      <c r="EW345" s="122"/>
      <c r="EX345" s="122"/>
      <c r="EY345" s="122"/>
      <c r="EZ345" s="122"/>
      <c r="FA345" s="122"/>
      <c r="FB345" s="122"/>
      <c r="FC345" s="122"/>
      <c r="FD345" s="122"/>
      <c r="FE345" s="122"/>
      <c r="FF345" s="122"/>
      <c r="FG345" s="122"/>
      <c r="FH345" s="122"/>
      <c r="FI345" s="122"/>
      <c r="FJ345" s="122"/>
      <c r="FK345" s="122"/>
      <c r="FL345" s="122"/>
      <c r="FM345" s="122"/>
      <c r="FN345" s="122"/>
      <c r="FO345" s="122"/>
      <c r="FP345" s="122"/>
      <c r="FQ345" s="122"/>
      <c r="FR345" s="122"/>
      <c r="FS345" s="122"/>
      <c r="FT345" s="122"/>
      <c r="FU345" s="122"/>
      <c r="FV345" s="122"/>
      <c r="FW345" s="122"/>
      <c r="FX345" s="122"/>
      <c r="FY345" s="122"/>
      <c r="FZ345" s="122"/>
      <c r="GA345" s="122"/>
      <c r="GB345" s="122"/>
      <c r="GC345" s="122"/>
      <c r="GD345" s="122"/>
      <c r="GE345" s="122"/>
      <c r="GF345" s="122"/>
      <c r="GG345" s="122"/>
      <c r="GH345" s="122"/>
      <c r="GI345" s="122"/>
      <c r="GJ345" s="122"/>
      <c r="GK345" s="122"/>
      <c r="GL345" s="122"/>
      <c r="GM345" s="122"/>
      <c r="GN345" s="122"/>
      <c r="GO345" s="122"/>
      <c r="GP345" s="122"/>
      <c r="GQ345" s="122"/>
      <c r="GR345" s="122"/>
      <c r="GS345" s="122"/>
      <c r="GT345" s="122"/>
      <c r="GU345" s="122"/>
      <c r="GV345" s="122"/>
      <c r="GW345" s="122"/>
      <c r="GX345" s="122"/>
      <c r="GY345" s="122"/>
      <c r="GZ345" s="122"/>
      <c r="HA345" s="122"/>
      <c r="HB345" s="122"/>
      <c r="HC345" s="122"/>
      <c r="HD345" s="122"/>
      <c r="HE345" s="122"/>
      <c r="HF345" s="122"/>
      <c r="HG345" s="122"/>
      <c r="HH345" s="122"/>
      <c r="HI345" s="122"/>
      <c r="HJ345" s="122"/>
      <c r="HK345" s="122"/>
      <c r="HL345" s="122"/>
      <c r="HM345" s="122"/>
      <c r="HN345" s="122"/>
      <c r="HO345" s="122"/>
      <c r="HP345" s="122"/>
      <c r="HQ345" s="122"/>
      <c r="HR345" s="122"/>
      <c r="HS345" s="122"/>
      <c r="HT345" s="122"/>
      <c r="HU345" s="122"/>
      <c r="HV345" s="122"/>
      <c r="HW345" s="122"/>
      <c r="HX345" s="122"/>
      <c r="HY345" s="122"/>
      <c r="HZ345" s="122"/>
      <c r="IA345" s="122"/>
      <c r="IB345" s="122"/>
      <c r="IC345" s="122"/>
      <c r="ID345" s="122"/>
      <c r="IE345" s="122"/>
      <c r="IF345" s="122"/>
      <c r="IG345" s="122"/>
      <c r="IH345" s="122"/>
      <c r="II345" s="122"/>
      <c r="IJ345" s="122"/>
      <c r="IK345" s="122"/>
      <c r="IL345" s="122"/>
      <c r="IM345" s="122"/>
      <c r="IN345" s="122"/>
      <c r="IO345" s="122"/>
      <c r="IP345" s="122"/>
      <c r="IQ345" s="122"/>
      <c r="IR345" s="122"/>
      <c r="IS345" s="122"/>
      <c r="IT345" s="122"/>
      <c r="IU345" s="122"/>
      <c r="IV345" s="122"/>
      <c r="IW345" s="122"/>
      <c r="IX345" s="122"/>
      <c r="IY345" s="122"/>
      <c r="IZ345" s="122"/>
      <c r="JA345" s="122"/>
      <c r="JB345" s="122"/>
      <c r="JC345" s="122"/>
      <c r="JD345" s="122"/>
      <c r="JE345" s="122"/>
      <c r="JF345" s="122"/>
      <c r="JG345" s="122"/>
      <c r="JH345" s="122"/>
      <c r="JI345" s="119"/>
      <c r="JJ345" s="2"/>
      <c r="JK345" s="122"/>
      <c r="JL345" s="125"/>
      <c r="JM345" s="125"/>
      <c r="JN345" s="125"/>
      <c r="JO345" s="125"/>
      <c r="JP345" s="125"/>
    </row>
    <row r="346" spans="1:27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122"/>
      <c r="AI346" s="122"/>
      <c r="AJ346" s="122"/>
      <c r="AK346" s="122"/>
      <c r="AL346" s="122"/>
      <c r="AM346" s="122"/>
      <c r="AN346" s="122"/>
      <c r="AO346" s="122"/>
      <c r="AP346" s="122"/>
      <c r="AQ346" s="122"/>
      <c r="AR346" s="122"/>
      <c r="AS346" s="122"/>
      <c r="AT346" s="122"/>
      <c r="AU346" s="122"/>
      <c r="AV346" s="122"/>
      <c r="AW346" s="122"/>
      <c r="AX346" s="122"/>
      <c r="AY346" s="122"/>
      <c r="AZ346" s="122"/>
      <c r="BA346" s="122"/>
      <c r="BB346" s="122"/>
      <c r="BC346" s="122"/>
      <c r="BD346" s="122"/>
      <c r="BE346" s="122"/>
      <c r="BF346" s="122"/>
      <c r="BG346" s="122"/>
      <c r="BH346" s="122"/>
      <c r="BI346" s="122"/>
      <c r="BJ346" s="122"/>
      <c r="BK346" s="122"/>
      <c r="BL346" s="122"/>
      <c r="BM346" s="122"/>
      <c r="BN346" s="122"/>
      <c r="BO346" s="122"/>
      <c r="BP346" s="122"/>
      <c r="BQ346" s="122"/>
      <c r="BR346" s="122"/>
      <c r="BS346" s="122"/>
      <c r="BT346" s="122"/>
      <c r="BU346" s="122"/>
      <c r="BV346" s="122"/>
      <c r="BW346" s="122"/>
      <c r="BX346" s="122"/>
      <c r="BY346" s="122"/>
      <c r="BZ346" s="122"/>
      <c r="CA346" s="122"/>
      <c r="CB346" s="122"/>
      <c r="CC346" s="122"/>
      <c r="CD346" s="122"/>
      <c r="CE346" s="122"/>
      <c r="CF346" s="122"/>
      <c r="CG346" s="122"/>
      <c r="CH346" s="122"/>
      <c r="CI346" s="122"/>
      <c r="CJ346" s="122"/>
      <c r="CK346" s="122"/>
      <c r="CL346" s="122"/>
      <c r="CM346" s="122"/>
      <c r="CN346" s="122"/>
      <c r="CO346" s="122"/>
      <c r="CP346" s="122"/>
      <c r="CQ346" s="122"/>
      <c r="CR346" s="122"/>
      <c r="CS346" s="122"/>
      <c r="CT346" s="122"/>
      <c r="CU346" s="122"/>
      <c r="CV346" s="122"/>
      <c r="CW346" s="122"/>
      <c r="CX346" s="122"/>
      <c r="CY346" s="122"/>
      <c r="CZ346" s="122"/>
      <c r="DA346" s="122"/>
      <c r="DB346" s="122"/>
      <c r="DC346" s="122"/>
      <c r="DD346" s="122"/>
      <c r="DE346" s="122"/>
      <c r="DF346" s="122"/>
      <c r="DG346" s="122"/>
      <c r="DH346" s="122"/>
      <c r="DI346" s="122"/>
      <c r="DJ346" s="122"/>
      <c r="DK346" s="122"/>
      <c r="DL346" s="122"/>
      <c r="DM346" s="122"/>
      <c r="DN346" s="122"/>
      <c r="DO346" s="122"/>
      <c r="DP346" s="122"/>
      <c r="DQ346" s="122"/>
      <c r="DR346" s="122"/>
      <c r="DS346" s="122"/>
      <c r="DT346" s="122"/>
      <c r="DU346" s="122"/>
      <c r="DV346" s="122"/>
      <c r="DW346" s="122"/>
      <c r="DX346" s="122"/>
      <c r="DY346" s="122"/>
      <c r="DZ346" s="122"/>
      <c r="EA346" s="122"/>
      <c r="EB346" s="122"/>
      <c r="EC346" s="122"/>
      <c r="ED346" s="122"/>
      <c r="EE346" s="122"/>
      <c r="EF346" s="122"/>
      <c r="EG346" s="122"/>
      <c r="EH346" s="122"/>
      <c r="EI346" s="122"/>
      <c r="EJ346" s="122"/>
      <c r="EK346" s="122"/>
      <c r="EL346" s="122"/>
      <c r="EM346" s="122"/>
      <c r="EN346" s="122"/>
      <c r="EO346" s="122"/>
      <c r="EP346" s="122"/>
      <c r="EQ346" s="122"/>
      <c r="ER346" s="122"/>
      <c r="ES346" s="122"/>
      <c r="ET346" s="122"/>
      <c r="EU346" s="122"/>
      <c r="EV346" s="122"/>
      <c r="EW346" s="122"/>
      <c r="EX346" s="122"/>
      <c r="EY346" s="122"/>
      <c r="EZ346" s="122"/>
      <c r="FA346" s="122"/>
      <c r="FB346" s="122"/>
      <c r="FC346" s="122"/>
      <c r="FD346" s="122"/>
      <c r="FE346" s="122"/>
      <c r="FF346" s="122"/>
      <c r="FG346" s="122"/>
      <c r="FH346" s="122"/>
      <c r="FI346" s="122"/>
      <c r="FJ346" s="122"/>
      <c r="FK346" s="122"/>
      <c r="FL346" s="122"/>
      <c r="FM346" s="122"/>
      <c r="FN346" s="122"/>
      <c r="FO346" s="122"/>
      <c r="FP346" s="122"/>
      <c r="FQ346" s="122"/>
      <c r="FR346" s="122"/>
      <c r="FS346" s="122"/>
      <c r="FT346" s="122"/>
      <c r="FU346" s="122"/>
      <c r="FV346" s="122"/>
      <c r="FW346" s="122"/>
      <c r="FX346" s="122"/>
      <c r="FY346" s="122"/>
      <c r="FZ346" s="122"/>
      <c r="GA346" s="122"/>
      <c r="GB346" s="122"/>
      <c r="GC346" s="122"/>
      <c r="GD346" s="122"/>
      <c r="GE346" s="122"/>
      <c r="GF346" s="122"/>
      <c r="GG346" s="122"/>
      <c r="GH346" s="122"/>
      <c r="GI346" s="122"/>
      <c r="GJ346" s="122"/>
      <c r="GK346" s="122"/>
      <c r="GL346" s="122"/>
      <c r="GM346" s="122"/>
      <c r="GN346" s="122"/>
      <c r="GO346" s="122"/>
      <c r="GP346" s="122"/>
      <c r="GQ346" s="122"/>
      <c r="GR346" s="122"/>
      <c r="GS346" s="122"/>
      <c r="GT346" s="122"/>
      <c r="GU346" s="122"/>
      <c r="GV346" s="122"/>
      <c r="GW346" s="122"/>
      <c r="GX346" s="122"/>
      <c r="GY346" s="122"/>
      <c r="GZ346" s="122"/>
      <c r="HA346" s="122"/>
      <c r="HB346" s="122"/>
      <c r="HC346" s="122"/>
      <c r="HD346" s="122"/>
      <c r="HE346" s="122"/>
      <c r="HF346" s="122"/>
      <c r="HG346" s="122"/>
      <c r="HH346" s="122"/>
      <c r="HI346" s="122"/>
      <c r="HJ346" s="122"/>
      <c r="HK346" s="122"/>
      <c r="HL346" s="122"/>
      <c r="HM346" s="122"/>
      <c r="HN346" s="122"/>
      <c r="HO346" s="122"/>
      <c r="HP346" s="122"/>
      <c r="HQ346" s="122"/>
      <c r="HR346" s="122"/>
      <c r="HS346" s="122"/>
      <c r="HT346" s="122"/>
      <c r="HU346" s="122"/>
      <c r="HV346" s="122"/>
      <c r="HW346" s="122"/>
      <c r="HX346" s="122"/>
      <c r="HY346" s="122"/>
      <c r="HZ346" s="122"/>
      <c r="IA346" s="122"/>
      <c r="IB346" s="122"/>
      <c r="IC346" s="122"/>
      <c r="ID346" s="122"/>
      <c r="IE346" s="122"/>
      <c r="IF346" s="122"/>
      <c r="IG346" s="122"/>
      <c r="IH346" s="122"/>
      <c r="II346" s="122"/>
      <c r="IJ346" s="122"/>
      <c r="IK346" s="122"/>
      <c r="IL346" s="122"/>
      <c r="IM346" s="122"/>
      <c r="IN346" s="122"/>
      <c r="IO346" s="122"/>
      <c r="IP346" s="122"/>
      <c r="IQ346" s="122"/>
      <c r="IR346" s="122"/>
      <c r="IS346" s="122"/>
      <c r="IT346" s="122"/>
      <c r="IU346" s="122"/>
      <c r="IV346" s="122"/>
      <c r="IW346" s="122"/>
      <c r="IX346" s="122"/>
      <c r="IY346" s="122"/>
      <c r="IZ346" s="122"/>
      <c r="JA346" s="122"/>
      <c r="JB346" s="122"/>
      <c r="JC346" s="122"/>
      <c r="JD346" s="122"/>
      <c r="JE346" s="122"/>
      <c r="JF346" s="122"/>
      <c r="JG346" s="122"/>
      <c r="JH346" s="122"/>
      <c r="JI346" s="119"/>
      <c r="JJ346" s="2"/>
      <c r="JK346" s="122"/>
      <c r="JL346" s="125"/>
      <c r="JM346" s="125"/>
      <c r="JN346" s="125"/>
      <c r="JO346" s="125"/>
      <c r="JP346" s="125"/>
    </row>
    <row r="347" spans="1:276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122"/>
      <c r="AJ347" s="122"/>
      <c r="AK347" s="122"/>
      <c r="AL347" s="122"/>
      <c r="AM347" s="122"/>
      <c r="AN347" s="122"/>
      <c r="AO347" s="122"/>
      <c r="AP347" s="122"/>
      <c r="AQ347" s="122"/>
      <c r="AR347" s="122"/>
      <c r="AS347" s="122"/>
      <c r="AT347" s="122"/>
      <c r="AU347" s="122"/>
      <c r="AV347" s="122"/>
      <c r="AW347" s="122"/>
      <c r="AX347" s="122"/>
      <c r="AY347" s="122"/>
      <c r="AZ347" s="122"/>
      <c r="BA347" s="122"/>
      <c r="BB347" s="122"/>
      <c r="BC347" s="122"/>
      <c r="BD347" s="122"/>
      <c r="BE347" s="122"/>
      <c r="BF347" s="122"/>
      <c r="BG347" s="122"/>
      <c r="BH347" s="122"/>
      <c r="BI347" s="122"/>
      <c r="BJ347" s="122"/>
      <c r="BK347" s="122"/>
      <c r="BL347" s="122"/>
      <c r="BM347" s="122"/>
      <c r="BN347" s="122"/>
      <c r="BO347" s="122"/>
      <c r="BP347" s="122"/>
      <c r="BQ347" s="122"/>
      <c r="BR347" s="122"/>
      <c r="BS347" s="122"/>
      <c r="BT347" s="122"/>
      <c r="BU347" s="122"/>
      <c r="BV347" s="122"/>
      <c r="BW347" s="122"/>
      <c r="BX347" s="122"/>
      <c r="BY347" s="122"/>
      <c r="BZ347" s="122"/>
      <c r="CA347" s="122"/>
      <c r="CB347" s="122"/>
      <c r="CC347" s="122"/>
      <c r="CD347" s="122"/>
      <c r="CE347" s="122"/>
      <c r="CF347" s="122"/>
      <c r="CG347" s="122"/>
      <c r="CH347" s="122"/>
      <c r="CI347" s="122"/>
      <c r="CJ347" s="122"/>
      <c r="CK347" s="122"/>
      <c r="CL347" s="122"/>
      <c r="CM347" s="122"/>
      <c r="CN347" s="122"/>
      <c r="CO347" s="122"/>
      <c r="CP347" s="122"/>
      <c r="CQ347" s="122"/>
      <c r="CR347" s="122"/>
      <c r="CS347" s="122"/>
      <c r="CT347" s="122"/>
      <c r="CU347" s="122"/>
      <c r="CV347" s="122"/>
      <c r="CW347" s="122"/>
      <c r="CX347" s="122"/>
      <c r="CY347" s="122"/>
      <c r="CZ347" s="122"/>
      <c r="DA347" s="122"/>
      <c r="DB347" s="122"/>
      <c r="DC347" s="122"/>
      <c r="DD347" s="122"/>
      <c r="DE347" s="122"/>
      <c r="DF347" s="122"/>
      <c r="DG347" s="122"/>
      <c r="DH347" s="122"/>
      <c r="DI347" s="122"/>
      <c r="DJ347" s="122"/>
      <c r="DK347" s="122"/>
      <c r="DL347" s="122"/>
      <c r="DM347" s="122"/>
      <c r="DN347" s="122"/>
      <c r="DO347" s="122"/>
      <c r="DP347" s="122"/>
      <c r="DQ347" s="122"/>
      <c r="DR347" s="122"/>
      <c r="DS347" s="122"/>
      <c r="DT347" s="122"/>
      <c r="DU347" s="122"/>
      <c r="DV347" s="122"/>
      <c r="DW347" s="122"/>
      <c r="DX347" s="122"/>
      <c r="DY347" s="122"/>
      <c r="DZ347" s="122"/>
      <c r="EA347" s="122"/>
      <c r="EB347" s="122"/>
      <c r="EC347" s="122"/>
      <c r="ED347" s="122"/>
      <c r="EE347" s="122"/>
      <c r="EF347" s="122"/>
      <c r="EG347" s="122"/>
      <c r="EH347" s="122"/>
      <c r="EI347" s="122"/>
      <c r="EJ347" s="122"/>
      <c r="EK347" s="122"/>
      <c r="EL347" s="122"/>
      <c r="EM347" s="122"/>
      <c r="EN347" s="122"/>
      <c r="EO347" s="122"/>
      <c r="EP347" s="122"/>
      <c r="EQ347" s="122"/>
      <c r="ER347" s="122"/>
      <c r="ES347" s="122"/>
      <c r="ET347" s="122"/>
      <c r="EU347" s="122"/>
      <c r="EV347" s="122"/>
      <c r="EW347" s="122"/>
      <c r="EX347" s="122"/>
      <c r="EY347" s="122"/>
      <c r="EZ347" s="122"/>
      <c r="FA347" s="122"/>
      <c r="FB347" s="122"/>
      <c r="FC347" s="122"/>
      <c r="FD347" s="122"/>
      <c r="FE347" s="122"/>
      <c r="FF347" s="122"/>
      <c r="FG347" s="122"/>
      <c r="FH347" s="122"/>
      <c r="FI347" s="122"/>
      <c r="FJ347" s="122"/>
      <c r="FK347" s="122"/>
      <c r="FL347" s="122"/>
      <c r="FM347" s="122"/>
      <c r="FN347" s="122"/>
      <c r="FO347" s="122"/>
      <c r="FP347" s="122"/>
      <c r="FQ347" s="122"/>
      <c r="FR347" s="122"/>
      <c r="FS347" s="122"/>
      <c r="FT347" s="122"/>
      <c r="FU347" s="122"/>
      <c r="FV347" s="122"/>
      <c r="FW347" s="122"/>
      <c r="FX347" s="122"/>
      <c r="FY347" s="122"/>
      <c r="FZ347" s="122"/>
      <c r="GA347" s="122"/>
      <c r="GB347" s="122"/>
      <c r="GC347" s="122"/>
      <c r="GD347" s="122"/>
      <c r="GE347" s="122"/>
      <c r="GF347" s="122"/>
      <c r="GG347" s="122"/>
      <c r="GH347" s="122"/>
      <c r="GI347" s="122"/>
      <c r="GJ347" s="122"/>
      <c r="GK347" s="122"/>
      <c r="GL347" s="122"/>
      <c r="GM347" s="122"/>
      <c r="GN347" s="122"/>
      <c r="GO347" s="122"/>
      <c r="GP347" s="122"/>
      <c r="GQ347" s="122"/>
      <c r="GR347" s="122"/>
      <c r="GS347" s="122"/>
      <c r="GT347" s="122"/>
      <c r="GU347" s="122"/>
      <c r="GV347" s="122"/>
      <c r="GW347" s="122"/>
      <c r="GX347" s="122"/>
      <c r="GY347" s="122"/>
      <c r="GZ347" s="122"/>
      <c r="HA347" s="122"/>
      <c r="HB347" s="122"/>
      <c r="HC347" s="122"/>
      <c r="HD347" s="122"/>
      <c r="HE347" s="122"/>
      <c r="HF347" s="122"/>
      <c r="HG347" s="122"/>
      <c r="HH347" s="122"/>
      <c r="HI347" s="122"/>
      <c r="HJ347" s="122"/>
      <c r="HK347" s="122"/>
      <c r="HL347" s="122"/>
      <c r="HM347" s="122"/>
      <c r="HN347" s="122"/>
      <c r="HO347" s="122"/>
      <c r="HP347" s="122"/>
      <c r="HQ347" s="122"/>
      <c r="HR347" s="122"/>
      <c r="HS347" s="122"/>
      <c r="HT347" s="122"/>
      <c r="HU347" s="122"/>
      <c r="HV347" s="122"/>
      <c r="HW347" s="122"/>
      <c r="HX347" s="122"/>
      <c r="HY347" s="122"/>
      <c r="HZ347" s="122"/>
      <c r="IA347" s="122"/>
      <c r="IB347" s="122"/>
      <c r="IC347" s="122"/>
      <c r="ID347" s="122"/>
      <c r="IE347" s="122"/>
      <c r="IF347" s="122"/>
      <c r="IG347" s="122"/>
      <c r="IH347" s="122"/>
      <c r="II347" s="122"/>
      <c r="IJ347" s="122"/>
      <c r="IK347" s="122"/>
      <c r="IL347" s="122"/>
      <c r="IM347" s="122"/>
      <c r="IN347" s="122"/>
      <c r="IO347" s="122"/>
      <c r="IP347" s="122"/>
      <c r="IQ347" s="122"/>
      <c r="IR347" s="122"/>
      <c r="IS347" s="122"/>
      <c r="IT347" s="122"/>
      <c r="IU347" s="122"/>
      <c r="IV347" s="122"/>
      <c r="IW347" s="122"/>
      <c r="IX347" s="122"/>
      <c r="IY347" s="122"/>
      <c r="IZ347" s="122"/>
      <c r="JA347" s="122"/>
      <c r="JB347" s="122"/>
      <c r="JC347" s="122"/>
      <c r="JD347" s="122"/>
      <c r="JE347" s="122"/>
      <c r="JF347" s="122"/>
      <c r="JG347" s="122"/>
      <c r="JH347" s="122"/>
      <c r="JI347" s="119"/>
      <c r="JJ347" s="2"/>
      <c r="JK347" s="122"/>
      <c r="JL347" s="125"/>
      <c r="JM347" s="125"/>
      <c r="JN347" s="125"/>
      <c r="JO347" s="125"/>
      <c r="JP347" s="125"/>
    </row>
    <row r="348" spans="1:276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122"/>
      <c r="AI348" s="122"/>
      <c r="AJ348" s="122"/>
      <c r="AK348" s="122"/>
      <c r="AL348" s="122"/>
      <c r="AM348" s="122"/>
      <c r="AN348" s="122"/>
      <c r="AO348" s="122"/>
      <c r="AP348" s="122"/>
      <c r="AQ348" s="122"/>
      <c r="AR348" s="122"/>
      <c r="AS348" s="122"/>
      <c r="AT348" s="122"/>
      <c r="AU348" s="122"/>
      <c r="AV348" s="122"/>
      <c r="AW348" s="122"/>
      <c r="AX348" s="122"/>
      <c r="AY348" s="122"/>
      <c r="AZ348" s="122"/>
      <c r="BA348" s="122"/>
      <c r="BB348" s="122"/>
      <c r="BC348" s="122"/>
      <c r="BD348" s="122"/>
      <c r="BE348" s="122"/>
      <c r="BF348" s="122"/>
      <c r="BG348" s="122"/>
      <c r="BH348" s="122"/>
      <c r="BI348" s="122"/>
      <c r="BJ348" s="122"/>
      <c r="BK348" s="122"/>
      <c r="BL348" s="122"/>
      <c r="BM348" s="122"/>
      <c r="BN348" s="122"/>
      <c r="BO348" s="122"/>
      <c r="BP348" s="122"/>
      <c r="BQ348" s="122"/>
      <c r="BR348" s="122"/>
      <c r="BS348" s="122"/>
      <c r="BT348" s="122"/>
      <c r="BU348" s="122"/>
      <c r="BV348" s="122"/>
      <c r="BW348" s="122"/>
      <c r="BX348" s="122"/>
      <c r="BY348" s="122"/>
      <c r="BZ348" s="122"/>
      <c r="CA348" s="122"/>
      <c r="CB348" s="122"/>
      <c r="CC348" s="122"/>
      <c r="CD348" s="122"/>
      <c r="CE348" s="122"/>
      <c r="CF348" s="122"/>
      <c r="CG348" s="122"/>
      <c r="CH348" s="122"/>
      <c r="CI348" s="122"/>
      <c r="CJ348" s="122"/>
      <c r="CK348" s="122"/>
      <c r="CL348" s="122"/>
      <c r="CM348" s="122"/>
      <c r="CN348" s="122"/>
      <c r="CO348" s="122"/>
      <c r="CP348" s="122"/>
      <c r="CQ348" s="122"/>
      <c r="CR348" s="122"/>
      <c r="CS348" s="122"/>
      <c r="CT348" s="122"/>
      <c r="CU348" s="122"/>
      <c r="CV348" s="122"/>
      <c r="CW348" s="122"/>
      <c r="CX348" s="122"/>
      <c r="CY348" s="122"/>
      <c r="CZ348" s="122"/>
      <c r="DA348" s="122"/>
      <c r="DB348" s="122"/>
      <c r="DC348" s="122"/>
      <c r="DD348" s="122"/>
      <c r="DE348" s="122"/>
      <c r="DF348" s="122"/>
      <c r="DG348" s="122"/>
      <c r="DH348" s="122"/>
      <c r="DI348" s="122"/>
      <c r="DJ348" s="122"/>
      <c r="DK348" s="122"/>
      <c r="DL348" s="122"/>
      <c r="DM348" s="122"/>
      <c r="DN348" s="122"/>
      <c r="DO348" s="122"/>
      <c r="DP348" s="122"/>
      <c r="DQ348" s="122"/>
      <c r="DR348" s="122"/>
      <c r="DS348" s="122"/>
      <c r="DT348" s="122"/>
      <c r="DU348" s="122"/>
      <c r="DV348" s="122"/>
      <c r="DW348" s="122"/>
      <c r="DX348" s="122"/>
      <c r="DY348" s="122"/>
      <c r="DZ348" s="122"/>
      <c r="EA348" s="122"/>
      <c r="EB348" s="122"/>
      <c r="EC348" s="122"/>
      <c r="ED348" s="122"/>
      <c r="EE348" s="122"/>
      <c r="EF348" s="122"/>
      <c r="EG348" s="122"/>
      <c r="EH348" s="122"/>
      <c r="EI348" s="122"/>
      <c r="EJ348" s="122"/>
      <c r="EK348" s="122"/>
      <c r="EL348" s="122"/>
      <c r="EM348" s="122"/>
      <c r="EN348" s="122"/>
      <c r="EO348" s="122"/>
      <c r="EP348" s="122"/>
      <c r="EQ348" s="122"/>
      <c r="ER348" s="122"/>
      <c r="ES348" s="122"/>
      <c r="ET348" s="122"/>
      <c r="EU348" s="122"/>
      <c r="EV348" s="122"/>
      <c r="EW348" s="122"/>
      <c r="EX348" s="122"/>
      <c r="EY348" s="122"/>
      <c r="EZ348" s="122"/>
      <c r="FA348" s="122"/>
      <c r="FB348" s="122"/>
      <c r="FC348" s="122"/>
      <c r="FD348" s="122"/>
      <c r="FE348" s="122"/>
      <c r="FF348" s="122"/>
      <c r="FG348" s="122"/>
      <c r="FH348" s="122"/>
      <c r="FI348" s="122"/>
      <c r="FJ348" s="122"/>
      <c r="FK348" s="122"/>
      <c r="FL348" s="122"/>
      <c r="FM348" s="122"/>
      <c r="FN348" s="122"/>
      <c r="FO348" s="122"/>
      <c r="FP348" s="122"/>
      <c r="FQ348" s="122"/>
      <c r="FR348" s="122"/>
      <c r="FS348" s="122"/>
      <c r="FT348" s="122"/>
      <c r="FU348" s="122"/>
      <c r="FV348" s="122"/>
      <c r="FW348" s="122"/>
      <c r="FX348" s="122"/>
      <c r="FY348" s="122"/>
      <c r="FZ348" s="122"/>
      <c r="GA348" s="122"/>
      <c r="GB348" s="122"/>
      <c r="GC348" s="122"/>
      <c r="GD348" s="122"/>
      <c r="GE348" s="122"/>
      <c r="GF348" s="122"/>
      <c r="GG348" s="122"/>
      <c r="GH348" s="122"/>
      <c r="GI348" s="122"/>
      <c r="GJ348" s="122"/>
      <c r="GK348" s="122"/>
      <c r="GL348" s="122"/>
      <c r="GM348" s="122"/>
      <c r="GN348" s="122"/>
      <c r="GO348" s="122"/>
      <c r="GP348" s="122"/>
      <c r="GQ348" s="122"/>
      <c r="GR348" s="122"/>
      <c r="GS348" s="122"/>
      <c r="GT348" s="122"/>
      <c r="GU348" s="122"/>
      <c r="GV348" s="122"/>
      <c r="GW348" s="122"/>
      <c r="GX348" s="122"/>
      <c r="GY348" s="122"/>
      <c r="GZ348" s="122"/>
      <c r="HA348" s="122"/>
      <c r="HB348" s="122"/>
      <c r="HC348" s="122"/>
      <c r="HD348" s="122"/>
      <c r="HE348" s="122"/>
      <c r="HF348" s="122"/>
      <c r="HG348" s="122"/>
      <c r="HH348" s="122"/>
      <c r="HI348" s="122"/>
      <c r="HJ348" s="122"/>
      <c r="HK348" s="122"/>
      <c r="HL348" s="122"/>
      <c r="HM348" s="122"/>
      <c r="HN348" s="122"/>
      <c r="HO348" s="122"/>
      <c r="HP348" s="122"/>
      <c r="HQ348" s="122"/>
      <c r="HR348" s="122"/>
      <c r="HS348" s="122"/>
      <c r="HT348" s="122"/>
      <c r="HU348" s="122"/>
      <c r="HV348" s="122"/>
      <c r="HW348" s="122"/>
      <c r="HX348" s="122"/>
      <c r="HY348" s="122"/>
      <c r="HZ348" s="122"/>
      <c r="IA348" s="122"/>
      <c r="IB348" s="122"/>
      <c r="IC348" s="122"/>
      <c r="ID348" s="122"/>
      <c r="IE348" s="122"/>
      <c r="IF348" s="122"/>
      <c r="IG348" s="122"/>
      <c r="IH348" s="122"/>
      <c r="II348" s="122"/>
      <c r="IJ348" s="122"/>
      <c r="IK348" s="122"/>
      <c r="IL348" s="122"/>
      <c r="IM348" s="122"/>
      <c r="IN348" s="122"/>
      <c r="IO348" s="122"/>
      <c r="IP348" s="122"/>
      <c r="IQ348" s="122"/>
      <c r="IR348" s="122"/>
      <c r="IS348" s="122"/>
      <c r="IT348" s="122"/>
      <c r="IU348" s="122"/>
      <c r="IV348" s="122"/>
      <c r="IW348" s="122"/>
      <c r="IX348" s="122"/>
      <c r="IY348" s="122"/>
      <c r="IZ348" s="122"/>
      <c r="JA348" s="122"/>
      <c r="JB348" s="122"/>
      <c r="JC348" s="122"/>
      <c r="JD348" s="122"/>
      <c r="JE348" s="122"/>
      <c r="JF348" s="122"/>
      <c r="JG348" s="122"/>
      <c r="JH348" s="122"/>
      <c r="JI348" s="119"/>
      <c r="JJ348" s="2"/>
      <c r="JK348" s="122"/>
      <c r="JL348" s="125"/>
      <c r="JM348" s="125"/>
      <c r="JN348" s="125"/>
      <c r="JO348" s="125"/>
      <c r="JP348" s="125"/>
    </row>
    <row r="349" spans="1:276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  <c r="AK349" s="122"/>
      <c r="AL349" s="122"/>
      <c r="AM349" s="122"/>
      <c r="AN349" s="122"/>
      <c r="AO349" s="122"/>
      <c r="AP349" s="122"/>
      <c r="AQ349" s="122"/>
      <c r="AR349" s="122"/>
      <c r="AS349" s="122"/>
      <c r="AT349" s="122"/>
      <c r="AU349" s="122"/>
      <c r="AV349" s="122"/>
      <c r="AW349" s="122"/>
      <c r="AX349" s="122"/>
      <c r="AY349" s="122"/>
      <c r="AZ349" s="122"/>
      <c r="BA349" s="122"/>
      <c r="BB349" s="122"/>
      <c r="BC349" s="122"/>
      <c r="BD349" s="122"/>
      <c r="BE349" s="122"/>
      <c r="BF349" s="122"/>
      <c r="BG349" s="122"/>
      <c r="BH349" s="122"/>
      <c r="BI349" s="122"/>
      <c r="BJ349" s="122"/>
      <c r="BK349" s="122"/>
      <c r="BL349" s="122"/>
      <c r="BM349" s="122"/>
      <c r="BN349" s="122"/>
      <c r="BO349" s="122"/>
      <c r="BP349" s="122"/>
      <c r="BQ349" s="122"/>
      <c r="BR349" s="122"/>
      <c r="BS349" s="122"/>
      <c r="BT349" s="122"/>
      <c r="BU349" s="122"/>
      <c r="BV349" s="122"/>
      <c r="BW349" s="122"/>
      <c r="BX349" s="122"/>
      <c r="BY349" s="122"/>
      <c r="BZ349" s="122"/>
      <c r="CA349" s="122"/>
      <c r="CB349" s="122"/>
      <c r="CC349" s="122"/>
      <c r="CD349" s="122"/>
      <c r="CE349" s="122"/>
      <c r="CF349" s="122"/>
      <c r="CG349" s="122"/>
      <c r="CH349" s="122"/>
      <c r="CI349" s="122"/>
      <c r="CJ349" s="122"/>
      <c r="CK349" s="122"/>
      <c r="CL349" s="122"/>
      <c r="CM349" s="122"/>
      <c r="CN349" s="122"/>
      <c r="CO349" s="122"/>
      <c r="CP349" s="122"/>
      <c r="CQ349" s="122"/>
      <c r="CR349" s="122"/>
      <c r="CS349" s="122"/>
      <c r="CT349" s="122"/>
      <c r="CU349" s="122"/>
      <c r="CV349" s="122"/>
      <c r="CW349" s="122"/>
      <c r="CX349" s="122"/>
      <c r="CY349" s="122"/>
      <c r="CZ349" s="122"/>
      <c r="DA349" s="122"/>
      <c r="DB349" s="122"/>
      <c r="DC349" s="122"/>
      <c r="DD349" s="122"/>
      <c r="DE349" s="122"/>
      <c r="DF349" s="122"/>
      <c r="DG349" s="122"/>
      <c r="DH349" s="122"/>
      <c r="DI349" s="122"/>
      <c r="DJ349" s="122"/>
      <c r="DK349" s="122"/>
      <c r="DL349" s="122"/>
      <c r="DM349" s="122"/>
      <c r="DN349" s="122"/>
      <c r="DO349" s="122"/>
      <c r="DP349" s="122"/>
      <c r="DQ349" s="122"/>
      <c r="DR349" s="122"/>
      <c r="DS349" s="122"/>
      <c r="DT349" s="122"/>
      <c r="DU349" s="122"/>
      <c r="DV349" s="122"/>
      <c r="DW349" s="122"/>
      <c r="DX349" s="122"/>
      <c r="DY349" s="122"/>
      <c r="DZ349" s="122"/>
      <c r="EA349" s="122"/>
      <c r="EB349" s="122"/>
      <c r="EC349" s="122"/>
      <c r="ED349" s="122"/>
      <c r="EE349" s="122"/>
      <c r="EF349" s="122"/>
      <c r="EG349" s="122"/>
      <c r="EH349" s="122"/>
      <c r="EI349" s="122"/>
      <c r="EJ349" s="122"/>
      <c r="EK349" s="122"/>
      <c r="EL349" s="122"/>
      <c r="EM349" s="122"/>
      <c r="EN349" s="122"/>
      <c r="EO349" s="122"/>
      <c r="EP349" s="122"/>
      <c r="EQ349" s="122"/>
      <c r="ER349" s="122"/>
      <c r="ES349" s="122"/>
      <c r="ET349" s="122"/>
      <c r="EU349" s="122"/>
      <c r="EV349" s="122"/>
      <c r="EW349" s="122"/>
      <c r="EX349" s="122"/>
      <c r="EY349" s="122"/>
      <c r="EZ349" s="122"/>
      <c r="FA349" s="122"/>
      <c r="FB349" s="122"/>
      <c r="FC349" s="122"/>
      <c r="FD349" s="122"/>
      <c r="FE349" s="122"/>
      <c r="FF349" s="122"/>
      <c r="FG349" s="122"/>
      <c r="FH349" s="122"/>
      <c r="FI349" s="122"/>
      <c r="FJ349" s="122"/>
      <c r="FK349" s="122"/>
      <c r="FL349" s="122"/>
      <c r="FM349" s="122"/>
      <c r="FN349" s="122"/>
      <c r="FO349" s="122"/>
      <c r="FP349" s="122"/>
      <c r="FQ349" s="122"/>
      <c r="FR349" s="122"/>
      <c r="FS349" s="122"/>
      <c r="FT349" s="122"/>
      <c r="FU349" s="122"/>
      <c r="FV349" s="122"/>
      <c r="FW349" s="122"/>
      <c r="FX349" s="122"/>
      <c r="FY349" s="122"/>
      <c r="FZ349" s="122"/>
      <c r="GA349" s="122"/>
      <c r="GB349" s="122"/>
      <c r="GC349" s="122"/>
      <c r="GD349" s="122"/>
      <c r="GE349" s="122"/>
      <c r="GF349" s="122"/>
      <c r="GG349" s="122"/>
      <c r="GH349" s="122"/>
      <c r="GI349" s="122"/>
      <c r="GJ349" s="122"/>
      <c r="GK349" s="122"/>
      <c r="GL349" s="122"/>
      <c r="GM349" s="122"/>
      <c r="GN349" s="122"/>
      <c r="GO349" s="122"/>
      <c r="GP349" s="122"/>
      <c r="GQ349" s="122"/>
      <c r="GR349" s="122"/>
      <c r="GS349" s="122"/>
      <c r="GT349" s="122"/>
      <c r="GU349" s="122"/>
      <c r="GV349" s="122"/>
      <c r="GW349" s="122"/>
      <c r="GX349" s="122"/>
      <c r="GY349" s="122"/>
      <c r="GZ349" s="122"/>
      <c r="HA349" s="122"/>
      <c r="HB349" s="122"/>
      <c r="HC349" s="122"/>
      <c r="HD349" s="122"/>
      <c r="HE349" s="122"/>
      <c r="HF349" s="122"/>
      <c r="HG349" s="122"/>
      <c r="HH349" s="122"/>
      <c r="HI349" s="122"/>
      <c r="HJ349" s="122"/>
      <c r="HK349" s="122"/>
      <c r="HL349" s="122"/>
      <c r="HM349" s="122"/>
      <c r="HN349" s="122"/>
      <c r="HO349" s="122"/>
      <c r="HP349" s="122"/>
      <c r="HQ349" s="122"/>
      <c r="HR349" s="122"/>
      <c r="HS349" s="122"/>
      <c r="HT349" s="122"/>
      <c r="HU349" s="122"/>
      <c r="HV349" s="122"/>
      <c r="HW349" s="122"/>
      <c r="HX349" s="122"/>
      <c r="HY349" s="122"/>
      <c r="HZ349" s="122"/>
      <c r="IA349" s="122"/>
      <c r="IB349" s="122"/>
      <c r="IC349" s="122"/>
      <c r="ID349" s="122"/>
      <c r="IE349" s="122"/>
      <c r="IF349" s="122"/>
      <c r="IG349" s="122"/>
      <c r="IH349" s="122"/>
      <c r="II349" s="122"/>
      <c r="IJ349" s="122"/>
      <c r="IK349" s="122"/>
      <c r="IL349" s="122"/>
      <c r="IM349" s="122"/>
      <c r="IN349" s="122"/>
      <c r="IO349" s="122"/>
      <c r="IP349" s="122"/>
      <c r="IQ349" s="122"/>
      <c r="IR349" s="122"/>
      <c r="IS349" s="122"/>
      <c r="IT349" s="122"/>
      <c r="IU349" s="122"/>
      <c r="IV349" s="122"/>
      <c r="IW349" s="122"/>
      <c r="IX349" s="122"/>
      <c r="IY349" s="122"/>
      <c r="IZ349" s="122"/>
      <c r="JA349" s="122"/>
      <c r="JB349" s="122"/>
      <c r="JC349" s="122"/>
      <c r="JD349" s="122"/>
      <c r="JE349" s="122"/>
      <c r="JF349" s="122"/>
      <c r="JG349" s="122"/>
      <c r="JH349" s="122"/>
      <c r="JI349" s="119"/>
      <c r="JJ349" s="2"/>
      <c r="JK349" s="122"/>
      <c r="JL349" s="125"/>
      <c r="JM349" s="125"/>
      <c r="JN349" s="125"/>
      <c r="JO349" s="125"/>
      <c r="JP349" s="125"/>
    </row>
    <row r="350" spans="1:276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122"/>
      <c r="AI350" s="122"/>
      <c r="AJ350" s="122"/>
      <c r="AK350" s="122"/>
      <c r="AL350" s="122"/>
      <c r="AM350" s="122"/>
      <c r="AN350" s="122"/>
      <c r="AO350" s="122"/>
      <c r="AP350" s="122"/>
      <c r="AQ350" s="122"/>
      <c r="AR350" s="122"/>
      <c r="AS350" s="122"/>
      <c r="AT350" s="122"/>
      <c r="AU350" s="122"/>
      <c r="AV350" s="122"/>
      <c r="AW350" s="122"/>
      <c r="AX350" s="122"/>
      <c r="AY350" s="122"/>
      <c r="AZ350" s="122"/>
      <c r="BA350" s="122"/>
      <c r="BB350" s="122"/>
      <c r="BC350" s="122"/>
      <c r="BD350" s="122"/>
      <c r="BE350" s="122"/>
      <c r="BF350" s="122"/>
      <c r="BG350" s="122"/>
      <c r="BH350" s="122"/>
      <c r="BI350" s="122"/>
      <c r="BJ350" s="122"/>
      <c r="BK350" s="122"/>
      <c r="BL350" s="122"/>
      <c r="BM350" s="122"/>
      <c r="BN350" s="122"/>
      <c r="BO350" s="122"/>
      <c r="BP350" s="122"/>
      <c r="BQ350" s="122"/>
      <c r="BR350" s="122"/>
      <c r="BS350" s="122"/>
      <c r="BT350" s="122"/>
      <c r="BU350" s="122"/>
      <c r="BV350" s="122"/>
      <c r="BW350" s="122"/>
      <c r="BX350" s="122"/>
      <c r="BY350" s="122"/>
      <c r="BZ350" s="122"/>
      <c r="CA350" s="122"/>
      <c r="CB350" s="122"/>
      <c r="CC350" s="122"/>
      <c r="CD350" s="122"/>
      <c r="CE350" s="122"/>
      <c r="CF350" s="122"/>
      <c r="CG350" s="122"/>
      <c r="CH350" s="122"/>
      <c r="CI350" s="122"/>
      <c r="CJ350" s="122"/>
      <c r="CK350" s="122"/>
      <c r="CL350" s="122"/>
      <c r="CM350" s="122"/>
      <c r="CN350" s="122"/>
      <c r="CO350" s="122"/>
      <c r="CP350" s="122"/>
      <c r="CQ350" s="122"/>
      <c r="CR350" s="122"/>
      <c r="CS350" s="122"/>
      <c r="CT350" s="122"/>
      <c r="CU350" s="122"/>
      <c r="CV350" s="122"/>
      <c r="CW350" s="122"/>
      <c r="CX350" s="122"/>
      <c r="CY350" s="122"/>
      <c r="CZ350" s="122"/>
      <c r="DA350" s="122"/>
      <c r="DB350" s="122"/>
      <c r="DC350" s="122"/>
      <c r="DD350" s="122"/>
      <c r="DE350" s="122"/>
      <c r="DF350" s="122"/>
      <c r="DG350" s="122"/>
      <c r="DH350" s="122"/>
      <c r="DI350" s="122"/>
      <c r="DJ350" s="122"/>
      <c r="DK350" s="122"/>
      <c r="DL350" s="122"/>
      <c r="DM350" s="122"/>
      <c r="DN350" s="122"/>
      <c r="DO350" s="122"/>
      <c r="DP350" s="122"/>
      <c r="DQ350" s="122"/>
      <c r="DR350" s="122"/>
      <c r="DS350" s="122"/>
      <c r="DT350" s="122"/>
      <c r="DU350" s="122"/>
      <c r="DV350" s="122"/>
      <c r="DW350" s="122"/>
      <c r="DX350" s="122"/>
      <c r="DY350" s="122"/>
      <c r="DZ350" s="122"/>
      <c r="EA350" s="122"/>
      <c r="EB350" s="122"/>
      <c r="EC350" s="122"/>
      <c r="ED350" s="122"/>
      <c r="EE350" s="122"/>
      <c r="EF350" s="122"/>
      <c r="EG350" s="122"/>
      <c r="EH350" s="122"/>
      <c r="EI350" s="122"/>
      <c r="EJ350" s="122"/>
      <c r="EK350" s="122"/>
      <c r="EL350" s="122"/>
      <c r="EM350" s="122"/>
      <c r="EN350" s="122"/>
      <c r="EO350" s="122"/>
      <c r="EP350" s="122"/>
      <c r="EQ350" s="122"/>
      <c r="ER350" s="122"/>
      <c r="ES350" s="122"/>
      <c r="ET350" s="122"/>
      <c r="EU350" s="122"/>
      <c r="EV350" s="122"/>
      <c r="EW350" s="122"/>
      <c r="EX350" s="122"/>
      <c r="EY350" s="122"/>
      <c r="EZ350" s="122"/>
      <c r="FA350" s="122"/>
      <c r="FB350" s="122"/>
      <c r="FC350" s="122"/>
      <c r="FD350" s="122"/>
      <c r="FE350" s="122"/>
      <c r="FF350" s="122"/>
      <c r="FG350" s="122"/>
      <c r="FH350" s="122"/>
      <c r="FI350" s="122"/>
      <c r="FJ350" s="122"/>
      <c r="FK350" s="122"/>
      <c r="FL350" s="122"/>
      <c r="FM350" s="122"/>
      <c r="FN350" s="122"/>
      <c r="FO350" s="122"/>
      <c r="FP350" s="122"/>
      <c r="FQ350" s="122"/>
      <c r="FR350" s="122"/>
      <c r="FS350" s="122"/>
      <c r="FT350" s="122"/>
      <c r="FU350" s="122"/>
      <c r="FV350" s="122"/>
      <c r="FW350" s="122"/>
      <c r="FX350" s="122"/>
      <c r="FY350" s="122"/>
      <c r="FZ350" s="122"/>
      <c r="GA350" s="122"/>
      <c r="GB350" s="122"/>
      <c r="GC350" s="122"/>
      <c r="GD350" s="122"/>
      <c r="GE350" s="122"/>
      <c r="GF350" s="122"/>
      <c r="GG350" s="122"/>
      <c r="GH350" s="122"/>
      <c r="GI350" s="122"/>
      <c r="GJ350" s="122"/>
      <c r="GK350" s="122"/>
      <c r="GL350" s="122"/>
      <c r="GM350" s="122"/>
      <c r="GN350" s="122"/>
      <c r="GO350" s="122"/>
      <c r="GP350" s="122"/>
      <c r="GQ350" s="122"/>
      <c r="GR350" s="122"/>
      <c r="GS350" s="122"/>
      <c r="GT350" s="122"/>
      <c r="GU350" s="122"/>
      <c r="GV350" s="122"/>
      <c r="GW350" s="122"/>
      <c r="GX350" s="122"/>
      <c r="GY350" s="122"/>
      <c r="GZ350" s="122"/>
      <c r="HA350" s="122"/>
      <c r="HB350" s="122"/>
      <c r="HC350" s="122"/>
      <c r="HD350" s="122"/>
      <c r="HE350" s="122"/>
      <c r="HF350" s="122"/>
      <c r="HG350" s="122"/>
      <c r="HH350" s="122"/>
      <c r="HI350" s="122"/>
      <c r="HJ350" s="122"/>
      <c r="HK350" s="122"/>
      <c r="HL350" s="122"/>
      <c r="HM350" s="122"/>
      <c r="HN350" s="122"/>
      <c r="HO350" s="122"/>
      <c r="HP350" s="122"/>
      <c r="HQ350" s="122"/>
      <c r="HR350" s="122"/>
      <c r="HS350" s="122"/>
      <c r="HT350" s="122"/>
      <c r="HU350" s="122"/>
      <c r="HV350" s="122"/>
      <c r="HW350" s="122"/>
      <c r="HX350" s="122"/>
      <c r="HY350" s="122"/>
      <c r="HZ350" s="122"/>
      <c r="IA350" s="122"/>
      <c r="IB350" s="122"/>
      <c r="IC350" s="122"/>
      <c r="ID350" s="122"/>
      <c r="IE350" s="122"/>
      <c r="IF350" s="122"/>
      <c r="IG350" s="122"/>
      <c r="IH350" s="122"/>
      <c r="II350" s="122"/>
      <c r="IJ350" s="122"/>
      <c r="IK350" s="122"/>
      <c r="IL350" s="122"/>
      <c r="IM350" s="122"/>
      <c r="IN350" s="122"/>
      <c r="IO350" s="122"/>
      <c r="IP350" s="122"/>
      <c r="IQ350" s="122"/>
      <c r="IR350" s="122"/>
      <c r="IS350" s="122"/>
      <c r="IT350" s="122"/>
      <c r="IU350" s="122"/>
      <c r="IV350" s="122"/>
      <c r="IW350" s="122"/>
      <c r="IX350" s="122"/>
      <c r="IY350" s="122"/>
      <c r="IZ350" s="122"/>
      <c r="JA350" s="122"/>
      <c r="JB350" s="122"/>
      <c r="JC350" s="122"/>
      <c r="JD350" s="122"/>
      <c r="JE350" s="122"/>
      <c r="JF350" s="122"/>
      <c r="JG350" s="122"/>
      <c r="JH350" s="122"/>
      <c r="JI350" s="119"/>
      <c r="JJ350" s="2"/>
      <c r="JK350" s="122"/>
      <c r="JL350" s="125"/>
      <c r="JM350" s="125"/>
      <c r="JN350" s="125"/>
      <c r="JO350" s="125"/>
      <c r="JP350" s="125"/>
    </row>
    <row r="351" spans="1:276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122"/>
      <c r="AJ351" s="122"/>
      <c r="AK351" s="122"/>
      <c r="AL351" s="122"/>
      <c r="AM351" s="122"/>
      <c r="AN351" s="122"/>
      <c r="AO351" s="122"/>
      <c r="AP351" s="122"/>
      <c r="AQ351" s="122"/>
      <c r="AR351" s="122"/>
      <c r="AS351" s="122"/>
      <c r="AT351" s="122"/>
      <c r="AU351" s="122"/>
      <c r="AV351" s="122"/>
      <c r="AW351" s="122"/>
      <c r="AX351" s="122"/>
      <c r="AY351" s="122"/>
      <c r="AZ351" s="122"/>
      <c r="BA351" s="122"/>
      <c r="BB351" s="122"/>
      <c r="BC351" s="122"/>
      <c r="BD351" s="122"/>
      <c r="BE351" s="122"/>
      <c r="BF351" s="122"/>
      <c r="BG351" s="122"/>
      <c r="BH351" s="122"/>
      <c r="BI351" s="122"/>
      <c r="BJ351" s="122"/>
      <c r="BK351" s="122"/>
      <c r="BL351" s="122"/>
      <c r="BM351" s="122"/>
      <c r="BN351" s="122"/>
      <c r="BO351" s="122"/>
      <c r="BP351" s="122"/>
      <c r="BQ351" s="122"/>
      <c r="BR351" s="122"/>
      <c r="BS351" s="122"/>
      <c r="BT351" s="122"/>
      <c r="BU351" s="122"/>
      <c r="BV351" s="122"/>
      <c r="BW351" s="122"/>
      <c r="BX351" s="122"/>
      <c r="BY351" s="122"/>
      <c r="BZ351" s="122"/>
      <c r="CA351" s="122"/>
      <c r="CB351" s="122"/>
      <c r="CC351" s="122"/>
      <c r="CD351" s="122"/>
      <c r="CE351" s="122"/>
      <c r="CF351" s="122"/>
      <c r="CG351" s="122"/>
      <c r="CH351" s="122"/>
      <c r="CI351" s="122"/>
      <c r="CJ351" s="122"/>
      <c r="CK351" s="122"/>
      <c r="CL351" s="122"/>
      <c r="CM351" s="122"/>
      <c r="CN351" s="122"/>
      <c r="CO351" s="122"/>
      <c r="CP351" s="122"/>
      <c r="CQ351" s="122"/>
      <c r="CR351" s="122"/>
      <c r="CS351" s="122"/>
      <c r="CT351" s="122"/>
      <c r="CU351" s="122"/>
      <c r="CV351" s="122"/>
      <c r="CW351" s="122"/>
      <c r="CX351" s="122"/>
      <c r="CY351" s="122"/>
      <c r="CZ351" s="122"/>
      <c r="DA351" s="122"/>
      <c r="DB351" s="122"/>
      <c r="DC351" s="122"/>
      <c r="DD351" s="122"/>
      <c r="DE351" s="122"/>
      <c r="DF351" s="122"/>
      <c r="DG351" s="122"/>
      <c r="DH351" s="122"/>
      <c r="DI351" s="122"/>
      <c r="DJ351" s="122"/>
      <c r="DK351" s="122"/>
      <c r="DL351" s="122"/>
      <c r="DM351" s="122"/>
      <c r="DN351" s="122"/>
      <c r="DO351" s="122"/>
      <c r="DP351" s="122"/>
      <c r="DQ351" s="122"/>
      <c r="DR351" s="122"/>
      <c r="DS351" s="122"/>
      <c r="DT351" s="122"/>
      <c r="DU351" s="122"/>
      <c r="DV351" s="122"/>
      <c r="DW351" s="122"/>
      <c r="DX351" s="122"/>
      <c r="DY351" s="122"/>
      <c r="DZ351" s="122"/>
      <c r="EA351" s="122"/>
      <c r="EB351" s="122"/>
      <c r="EC351" s="122"/>
      <c r="ED351" s="122"/>
      <c r="EE351" s="122"/>
      <c r="EF351" s="122"/>
      <c r="EG351" s="122"/>
      <c r="EH351" s="122"/>
      <c r="EI351" s="122"/>
      <c r="EJ351" s="122"/>
      <c r="EK351" s="122"/>
      <c r="EL351" s="122"/>
      <c r="EM351" s="122"/>
      <c r="EN351" s="122"/>
      <c r="EO351" s="122"/>
      <c r="EP351" s="122"/>
      <c r="EQ351" s="122"/>
      <c r="ER351" s="122"/>
      <c r="ES351" s="122"/>
      <c r="ET351" s="122"/>
      <c r="EU351" s="122"/>
      <c r="EV351" s="122"/>
      <c r="EW351" s="122"/>
      <c r="EX351" s="122"/>
      <c r="EY351" s="122"/>
      <c r="EZ351" s="122"/>
      <c r="FA351" s="122"/>
      <c r="FB351" s="122"/>
      <c r="FC351" s="122"/>
      <c r="FD351" s="122"/>
      <c r="FE351" s="122"/>
      <c r="FF351" s="122"/>
      <c r="FG351" s="122"/>
      <c r="FH351" s="122"/>
      <c r="FI351" s="122"/>
      <c r="FJ351" s="122"/>
      <c r="FK351" s="122"/>
      <c r="FL351" s="122"/>
      <c r="FM351" s="122"/>
      <c r="FN351" s="122"/>
      <c r="FO351" s="122"/>
      <c r="FP351" s="122"/>
      <c r="FQ351" s="122"/>
      <c r="FR351" s="122"/>
      <c r="FS351" s="122"/>
      <c r="FT351" s="122"/>
      <c r="FU351" s="122"/>
      <c r="FV351" s="122"/>
      <c r="FW351" s="122"/>
      <c r="FX351" s="122"/>
      <c r="FY351" s="122"/>
      <c r="FZ351" s="122"/>
      <c r="GA351" s="122"/>
      <c r="GB351" s="122"/>
      <c r="GC351" s="122"/>
      <c r="GD351" s="122"/>
      <c r="GE351" s="122"/>
      <c r="GF351" s="122"/>
      <c r="GG351" s="122"/>
      <c r="GH351" s="122"/>
      <c r="GI351" s="122"/>
      <c r="GJ351" s="122"/>
      <c r="GK351" s="122"/>
      <c r="GL351" s="122"/>
      <c r="GM351" s="122"/>
      <c r="GN351" s="122"/>
      <c r="GO351" s="122"/>
      <c r="GP351" s="122"/>
      <c r="GQ351" s="122"/>
      <c r="GR351" s="122"/>
      <c r="GS351" s="122"/>
      <c r="GT351" s="122"/>
      <c r="GU351" s="122"/>
      <c r="GV351" s="122"/>
      <c r="GW351" s="122"/>
      <c r="GX351" s="122"/>
      <c r="GY351" s="122"/>
      <c r="GZ351" s="122"/>
      <c r="HA351" s="122"/>
      <c r="HB351" s="122"/>
      <c r="HC351" s="122"/>
      <c r="HD351" s="122"/>
      <c r="HE351" s="122"/>
      <c r="HF351" s="122"/>
      <c r="HG351" s="122"/>
      <c r="HH351" s="122"/>
      <c r="HI351" s="122"/>
      <c r="HJ351" s="122"/>
      <c r="HK351" s="122"/>
      <c r="HL351" s="122"/>
      <c r="HM351" s="122"/>
      <c r="HN351" s="122"/>
      <c r="HO351" s="122"/>
      <c r="HP351" s="122"/>
      <c r="HQ351" s="122"/>
      <c r="HR351" s="122"/>
      <c r="HS351" s="122"/>
      <c r="HT351" s="122"/>
      <c r="HU351" s="122"/>
      <c r="HV351" s="122"/>
      <c r="HW351" s="122"/>
      <c r="HX351" s="122"/>
      <c r="HY351" s="122"/>
      <c r="HZ351" s="122"/>
      <c r="IA351" s="122"/>
      <c r="IB351" s="122"/>
      <c r="IC351" s="122"/>
      <c r="ID351" s="122"/>
      <c r="IE351" s="122"/>
      <c r="IF351" s="122"/>
      <c r="IG351" s="122"/>
      <c r="IH351" s="122"/>
      <c r="II351" s="122"/>
      <c r="IJ351" s="122"/>
      <c r="IK351" s="122"/>
      <c r="IL351" s="122"/>
      <c r="IM351" s="122"/>
      <c r="IN351" s="122"/>
      <c r="IO351" s="122"/>
      <c r="IP351" s="122"/>
      <c r="IQ351" s="122"/>
      <c r="IR351" s="122"/>
      <c r="IS351" s="122"/>
      <c r="IT351" s="122"/>
      <c r="IU351" s="122"/>
      <c r="IV351" s="122"/>
      <c r="IW351" s="122"/>
      <c r="IX351" s="122"/>
      <c r="IY351" s="122"/>
      <c r="IZ351" s="122"/>
      <c r="JA351" s="122"/>
      <c r="JB351" s="122"/>
      <c r="JC351" s="122"/>
      <c r="JD351" s="122"/>
      <c r="JE351" s="122"/>
      <c r="JF351" s="122"/>
      <c r="JG351" s="122"/>
      <c r="JH351" s="122"/>
      <c r="JI351" s="119"/>
      <c r="JJ351" s="2"/>
      <c r="JK351" s="122"/>
      <c r="JL351" s="125"/>
      <c r="JM351" s="125"/>
      <c r="JN351" s="125"/>
      <c r="JO351" s="125"/>
      <c r="JP351" s="125"/>
    </row>
    <row r="352" spans="1:276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122"/>
      <c r="AI352" s="122"/>
      <c r="AJ352" s="122"/>
      <c r="AK352" s="122"/>
      <c r="AL352" s="122"/>
      <c r="AM352" s="122"/>
      <c r="AN352" s="122"/>
      <c r="AO352" s="122"/>
      <c r="AP352" s="122"/>
      <c r="AQ352" s="122"/>
      <c r="AR352" s="122"/>
      <c r="AS352" s="122"/>
      <c r="AT352" s="122"/>
      <c r="AU352" s="122"/>
      <c r="AV352" s="122"/>
      <c r="AW352" s="122"/>
      <c r="AX352" s="122"/>
      <c r="AY352" s="122"/>
      <c r="AZ352" s="122"/>
      <c r="BA352" s="122"/>
      <c r="BB352" s="122"/>
      <c r="BC352" s="122"/>
      <c r="BD352" s="122"/>
      <c r="BE352" s="122"/>
      <c r="BF352" s="122"/>
      <c r="BG352" s="122"/>
      <c r="BH352" s="122"/>
      <c r="BI352" s="122"/>
      <c r="BJ352" s="122"/>
      <c r="BK352" s="122"/>
      <c r="BL352" s="122"/>
      <c r="BM352" s="122"/>
      <c r="BN352" s="122"/>
      <c r="BO352" s="122"/>
      <c r="BP352" s="122"/>
      <c r="BQ352" s="122"/>
      <c r="BR352" s="122"/>
      <c r="BS352" s="122"/>
      <c r="BT352" s="122"/>
      <c r="BU352" s="122"/>
      <c r="BV352" s="122"/>
      <c r="BW352" s="122"/>
      <c r="BX352" s="122"/>
      <c r="BY352" s="122"/>
      <c r="BZ352" s="122"/>
      <c r="CA352" s="122"/>
      <c r="CB352" s="122"/>
      <c r="CC352" s="122"/>
      <c r="CD352" s="122"/>
      <c r="CE352" s="122"/>
      <c r="CF352" s="122"/>
      <c r="CG352" s="122"/>
      <c r="CH352" s="122"/>
      <c r="CI352" s="122"/>
      <c r="CJ352" s="122"/>
      <c r="CK352" s="122"/>
      <c r="CL352" s="122"/>
      <c r="CM352" s="122"/>
      <c r="CN352" s="122"/>
      <c r="CO352" s="122"/>
      <c r="CP352" s="122"/>
      <c r="CQ352" s="122"/>
      <c r="CR352" s="122"/>
      <c r="CS352" s="122"/>
      <c r="CT352" s="122"/>
      <c r="CU352" s="122"/>
      <c r="CV352" s="122"/>
      <c r="CW352" s="122"/>
      <c r="CX352" s="122"/>
      <c r="CY352" s="122"/>
      <c r="CZ352" s="122"/>
      <c r="DA352" s="122"/>
      <c r="DB352" s="122"/>
      <c r="DC352" s="122"/>
      <c r="DD352" s="122"/>
      <c r="DE352" s="122"/>
      <c r="DF352" s="122"/>
      <c r="DG352" s="122"/>
      <c r="DH352" s="122"/>
      <c r="DI352" s="122"/>
      <c r="DJ352" s="122"/>
      <c r="DK352" s="122"/>
      <c r="DL352" s="122"/>
      <c r="DM352" s="122"/>
      <c r="DN352" s="122"/>
      <c r="DO352" s="122"/>
      <c r="DP352" s="122"/>
      <c r="DQ352" s="122"/>
      <c r="DR352" s="122"/>
      <c r="DS352" s="122"/>
      <c r="DT352" s="122"/>
      <c r="DU352" s="122"/>
      <c r="DV352" s="122"/>
      <c r="DW352" s="122"/>
      <c r="DX352" s="122"/>
      <c r="DY352" s="122"/>
      <c r="DZ352" s="122"/>
      <c r="EA352" s="122"/>
      <c r="EB352" s="122"/>
      <c r="EC352" s="122"/>
      <c r="ED352" s="122"/>
      <c r="EE352" s="122"/>
      <c r="EF352" s="122"/>
      <c r="EG352" s="122"/>
      <c r="EH352" s="122"/>
      <c r="EI352" s="122"/>
      <c r="EJ352" s="122"/>
      <c r="EK352" s="122"/>
      <c r="EL352" s="122"/>
      <c r="EM352" s="122"/>
      <c r="EN352" s="122"/>
      <c r="EO352" s="122"/>
      <c r="EP352" s="122"/>
      <c r="EQ352" s="122"/>
      <c r="ER352" s="122"/>
      <c r="ES352" s="122"/>
      <c r="ET352" s="122"/>
      <c r="EU352" s="122"/>
      <c r="EV352" s="122"/>
      <c r="EW352" s="122"/>
      <c r="EX352" s="122"/>
      <c r="EY352" s="122"/>
      <c r="EZ352" s="122"/>
      <c r="FA352" s="122"/>
      <c r="FB352" s="122"/>
      <c r="FC352" s="122"/>
      <c r="FD352" s="122"/>
      <c r="FE352" s="122"/>
      <c r="FF352" s="122"/>
      <c r="FG352" s="122"/>
      <c r="FH352" s="122"/>
      <c r="FI352" s="122"/>
      <c r="FJ352" s="122"/>
      <c r="FK352" s="122"/>
      <c r="FL352" s="122"/>
      <c r="FM352" s="122"/>
      <c r="FN352" s="122"/>
      <c r="FO352" s="122"/>
      <c r="FP352" s="122"/>
      <c r="FQ352" s="122"/>
      <c r="FR352" s="122"/>
      <c r="FS352" s="122"/>
      <c r="FT352" s="122"/>
      <c r="FU352" s="122"/>
      <c r="FV352" s="122"/>
      <c r="FW352" s="122"/>
      <c r="FX352" s="122"/>
      <c r="FY352" s="122"/>
      <c r="FZ352" s="122"/>
      <c r="GA352" s="122"/>
      <c r="GB352" s="122"/>
      <c r="GC352" s="122"/>
      <c r="GD352" s="122"/>
      <c r="GE352" s="122"/>
      <c r="GF352" s="122"/>
      <c r="GG352" s="122"/>
      <c r="GH352" s="122"/>
      <c r="GI352" s="122"/>
      <c r="GJ352" s="122"/>
      <c r="GK352" s="122"/>
      <c r="GL352" s="122"/>
      <c r="GM352" s="122"/>
      <c r="GN352" s="122"/>
      <c r="GO352" s="122"/>
      <c r="GP352" s="122"/>
      <c r="GQ352" s="122"/>
      <c r="GR352" s="122"/>
      <c r="GS352" s="122"/>
      <c r="GT352" s="122"/>
      <c r="GU352" s="122"/>
      <c r="GV352" s="122"/>
      <c r="GW352" s="122"/>
      <c r="GX352" s="122"/>
      <c r="GY352" s="122"/>
      <c r="GZ352" s="122"/>
      <c r="HA352" s="122"/>
      <c r="HB352" s="122"/>
      <c r="HC352" s="122"/>
      <c r="HD352" s="122"/>
      <c r="HE352" s="122"/>
      <c r="HF352" s="122"/>
      <c r="HG352" s="122"/>
      <c r="HH352" s="122"/>
      <c r="HI352" s="122"/>
      <c r="HJ352" s="122"/>
      <c r="HK352" s="122"/>
      <c r="HL352" s="122"/>
      <c r="HM352" s="122"/>
      <c r="HN352" s="122"/>
      <c r="HO352" s="122"/>
      <c r="HP352" s="122"/>
      <c r="HQ352" s="122"/>
      <c r="HR352" s="122"/>
      <c r="HS352" s="122"/>
      <c r="HT352" s="122"/>
      <c r="HU352" s="122"/>
      <c r="HV352" s="122"/>
      <c r="HW352" s="122"/>
      <c r="HX352" s="122"/>
      <c r="HY352" s="122"/>
      <c r="HZ352" s="122"/>
      <c r="IA352" s="122"/>
      <c r="IB352" s="122"/>
      <c r="IC352" s="122"/>
      <c r="ID352" s="122"/>
      <c r="IE352" s="122"/>
      <c r="IF352" s="122"/>
      <c r="IG352" s="122"/>
      <c r="IH352" s="122"/>
      <c r="II352" s="122"/>
      <c r="IJ352" s="122"/>
      <c r="IK352" s="122"/>
      <c r="IL352" s="122"/>
      <c r="IM352" s="122"/>
      <c r="IN352" s="122"/>
      <c r="IO352" s="122"/>
      <c r="IP352" s="122"/>
      <c r="IQ352" s="122"/>
      <c r="IR352" s="122"/>
      <c r="IS352" s="122"/>
      <c r="IT352" s="122"/>
      <c r="IU352" s="122"/>
      <c r="IV352" s="122"/>
      <c r="IW352" s="122"/>
      <c r="IX352" s="122"/>
      <c r="IY352" s="122"/>
      <c r="IZ352" s="122"/>
      <c r="JA352" s="122"/>
      <c r="JB352" s="122"/>
      <c r="JC352" s="122"/>
      <c r="JD352" s="122"/>
      <c r="JE352" s="122"/>
      <c r="JF352" s="122"/>
      <c r="JG352" s="122"/>
      <c r="JH352" s="122"/>
      <c r="JI352" s="119"/>
      <c r="JJ352" s="2"/>
      <c r="JK352" s="122"/>
      <c r="JL352" s="125"/>
      <c r="JM352" s="125"/>
      <c r="JN352" s="125"/>
      <c r="JO352" s="125"/>
      <c r="JP352" s="125"/>
    </row>
    <row r="353" spans="1:276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  <c r="AK353" s="122"/>
      <c r="AL353" s="122"/>
      <c r="AM353" s="122"/>
      <c r="AN353" s="122"/>
      <c r="AO353" s="122"/>
      <c r="AP353" s="122"/>
      <c r="AQ353" s="122"/>
      <c r="AR353" s="122"/>
      <c r="AS353" s="122"/>
      <c r="AT353" s="122"/>
      <c r="AU353" s="122"/>
      <c r="AV353" s="122"/>
      <c r="AW353" s="122"/>
      <c r="AX353" s="122"/>
      <c r="AY353" s="122"/>
      <c r="AZ353" s="122"/>
      <c r="BA353" s="122"/>
      <c r="BB353" s="122"/>
      <c r="BC353" s="122"/>
      <c r="BD353" s="122"/>
      <c r="BE353" s="122"/>
      <c r="BF353" s="122"/>
      <c r="BG353" s="122"/>
      <c r="BH353" s="122"/>
      <c r="BI353" s="122"/>
      <c r="BJ353" s="122"/>
      <c r="BK353" s="122"/>
      <c r="BL353" s="122"/>
      <c r="BM353" s="122"/>
      <c r="BN353" s="122"/>
      <c r="BO353" s="122"/>
      <c r="BP353" s="122"/>
      <c r="BQ353" s="122"/>
      <c r="BR353" s="122"/>
      <c r="BS353" s="122"/>
      <c r="BT353" s="122"/>
      <c r="BU353" s="122"/>
      <c r="BV353" s="122"/>
      <c r="BW353" s="122"/>
      <c r="BX353" s="122"/>
      <c r="BY353" s="122"/>
      <c r="BZ353" s="122"/>
      <c r="CA353" s="122"/>
      <c r="CB353" s="122"/>
      <c r="CC353" s="122"/>
      <c r="CD353" s="122"/>
      <c r="CE353" s="122"/>
      <c r="CF353" s="122"/>
      <c r="CG353" s="122"/>
      <c r="CH353" s="122"/>
      <c r="CI353" s="122"/>
      <c r="CJ353" s="122"/>
      <c r="CK353" s="122"/>
      <c r="CL353" s="122"/>
      <c r="CM353" s="122"/>
      <c r="CN353" s="122"/>
      <c r="CO353" s="122"/>
      <c r="CP353" s="122"/>
      <c r="CQ353" s="122"/>
      <c r="CR353" s="122"/>
      <c r="CS353" s="122"/>
      <c r="CT353" s="122"/>
      <c r="CU353" s="122"/>
      <c r="CV353" s="122"/>
      <c r="CW353" s="122"/>
      <c r="CX353" s="122"/>
      <c r="CY353" s="122"/>
      <c r="CZ353" s="122"/>
      <c r="DA353" s="122"/>
      <c r="DB353" s="122"/>
      <c r="DC353" s="122"/>
      <c r="DD353" s="122"/>
      <c r="DE353" s="122"/>
      <c r="DF353" s="122"/>
      <c r="DG353" s="122"/>
      <c r="DH353" s="122"/>
      <c r="DI353" s="122"/>
      <c r="DJ353" s="122"/>
      <c r="DK353" s="122"/>
      <c r="DL353" s="122"/>
      <c r="DM353" s="122"/>
      <c r="DN353" s="122"/>
      <c r="DO353" s="122"/>
      <c r="DP353" s="122"/>
      <c r="DQ353" s="122"/>
      <c r="DR353" s="122"/>
      <c r="DS353" s="122"/>
      <c r="DT353" s="122"/>
      <c r="DU353" s="122"/>
      <c r="DV353" s="122"/>
      <c r="DW353" s="122"/>
      <c r="DX353" s="122"/>
      <c r="DY353" s="122"/>
      <c r="DZ353" s="122"/>
      <c r="EA353" s="122"/>
      <c r="EB353" s="122"/>
      <c r="EC353" s="122"/>
      <c r="ED353" s="122"/>
      <c r="EE353" s="122"/>
      <c r="EF353" s="122"/>
      <c r="EG353" s="122"/>
      <c r="EH353" s="122"/>
      <c r="EI353" s="122"/>
      <c r="EJ353" s="122"/>
      <c r="EK353" s="122"/>
      <c r="EL353" s="122"/>
      <c r="EM353" s="122"/>
      <c r="EN353" s="122"/>
      <c r="EO353" s="122"/>
      <c r="EP353" s="122"/>
      <c r="EQ353" s="122"/>
      <c r="ER353" s="122"/>
      <c r="ES353" s="122"/>
      <c r="ET353" s="122"/>
      <c r="EU353" s="122"/>
      <c r="EV353" s="122"/>
      <c r="EW353" s="122"/>
      <c r="EX353" s="122"/>
      <c r="EY353" s="122"/>
      <c r="EZ353" s="122"/>
      <c r="FA353" s="122"/>
      <c r="FB353" s="122"/>
      <c r="FC353" s="122"/>
      <c r="FD353" s="122"/>
      <c r="FE353" s="122"/>
      <c r="FF353" s="122"/>
      <c r="FG353" s="122"/>
      <c r="FH353" s="122"/>
      <c r="FI353" s="122"/>
      <c r="FJ353" s="122"/>
      <c r="FK353" s="122"/>
      <c r="FL353" s="122"/>
      <c r="FM353" s="122"/>
      <c r="FN353" s="122"/>
      <c r="FO353" s="122"/>
      <c r="FP353" s="122"/>
      <c r="FQ353" s="122"/>
      <c r="FR353" s="122"/>
      <c r="FS353" s="122"/>
      <c r="FT353" s="122"/>
      <c r="FU353" s="122"/>
      <c r="FV353" s="122"/>
      <c r="FW353" s="122"/>
      <c r="FX353" s="122"/>
      <c r="FY353" s="122"/>
      <c r="FZ353" s="122"/>
      <c r="GA353" s="122"/>
      <c r="GB353" s="122"/>
      <c r="GC353" s="122"/>
      <c r="GD353" s="122"/>
      <c r="GE353" s="122"/>
      <c r="GF353" s="122"/>
      <c r="GG353" s="122"/>
      <c r="GH353" s="122"/>
      <c r="GI353" s="122"/>
      <c r="GJ353" s="122"/>
      <c r="GK353" s="122"/>
      <c r="GL353" s="122"/>
      <c r="GM353" s="122"/>
      <c r="GN353" s="122"/>
      <c r="GO353" s="122"/>
      <c r="GP353" s="122"/>
      <c r="GQ353" s="122"/>
      <c r="GR353" s="122"/>
      <c r="GS353" s="122"/>
      <c r="GT353" s="122"/>
      <c r="GU353" s="122"/>
      <c r="GV353" s="122"/>
      <c r="GW353" s="122"/>
      <c r="GX353" s="122"/>
      <c r="GY353" s="122"/>
      <c r="GZ353" s="122"/>
      <c r="HA353" s="122"/>
      <c r="HB353" s="122"/>
      <c r="HC353" s="122"/>
      <c r="HD353" s="122"/>
      <c r="HE353" s="122"/>
      <c r="HF353" s="122"/>
      <c r="HG353" s="122"/>
      <c r="HH353" s="122"/>
      <c r="HI353" s="122"/>
      <c r="HJ353" s="122"/>
      <c r="HK353" s="122"/>
      <c r="HL353" s="122"/>
      <c r="HM353" s="122"/>
      <c r="HN353" s="122"/>
      <c r="HO353" s="122"/>
      <c r="HP353" s="122"/>
      <c r="HQ353" s="122"/>
      <c r="HR353" s="122"/>
      <c r="HS353" s="122"/>
      <c r="HT353" s="122"/>
      <c r="HU353" s="122"/>
      <c r="HV353" s="122"/>
      <c r="HW353" s="122"/>
      <c r="HX353" s="122"/>
      <c r="HY353" s="122"/>
      <c r="HZ353" s="122"/>
      <c r="IA353" s="122"/>
      <c r="IB353" s="122"/>
      <c r="IC353" s="122"/>
      <c r="ID353" s="122"/>
      <c r="IE353" s="122"/>
      <c r="IF353" s="122"/>
      <c r="IG353" s="122"/>
      <c r="IH353" s="122"/>
      <c r="II353" s="122"/>
      <c r="IJ353" s="122"/>
      <c r="IK353" s="122"/>
      <c r="IL353" s="122"/>
      <c r="IM353" s="122"/>
      <c r="IN353" s="122"/>
      <c r="IO353" s="122"/>
      <c r="IP353" s="122"/>
      <c r="IQ353" s="122"/>
      <c r="IR353" s="122"/>
      <c r="IS353" s="122"/>
      <c r="IT353" s="122"/>
      <c r="IU353" s="122"/>
      <c r="IV353" s="122"/>
      <c r="IW353" s="122"/>
      <c r="IX353" s="122"/>
      <c r="IY353" s="122"/>
      <c r="IZ353" s="122"/>
      <c r="JA353" s="122"/>
      <c r="JB353" s="122"/>
      <c r="JC353" s="122"/>
      <c r="JD353" s="122"/>
      <c r="JE353" s="122"/>
      <c r="JF353" s="122"/>
      <c r="JG353" s="122"/>
      <c r="JH353" s="122"/>
      <c r="JI353" s="119"/>
      <c r="JJ353" s="2"/>
      <c r="JK353" s="122"/>
      <c r="JL353" s="125"/>
      <c r="JM353" s="125"/>
      <c r="JN353" s="125"/>
      <c r="JO353" s="125"/>
      <c r="JP353" s="125"/>
    </row>
    <row r="354" spans="1:276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  <c r="AI354" s="122"/>
      <c r="AJ354" s="122"/>
      <c r="AK354" s="122"/>
      <c r="AL354" s="122"/>
      <c r="AM354" s="122"/>
      <c r="AN354" s="122"/>
      <c r="AO354" s="122"/>
      <c r="AP354" s="122"/>
      <c r="AQ354" s="122"/>
      <c r="AR354" s="122"/>
      <c r="AS354" s="122"/>
      <c r="AT354" s="122"/>
      <c r="AU354" s="122"/>
      <c r="AV354" s="122"/>
      <c r="AW354" s="122"/>
      <c r="AX354" s="122"/>
      <c r="AY354" s="122"/>
      <c r="AZ354" s="122"/>
      <c r="BA354" s="122"/>
      <c r="BB354" s="122"/>
      <c r="BC354" s="122"/>
      <c r="BD354" s="122"/>
      <c r="BE354" s="122"/>
      <c r="BF354" s="122"/>
      <c r="BG354" s="122"/>
      <c r="BH354" s="122"/>
      <c r="BI354" s="122"/>
      <c r="BJ354" s="122"/>
      <c r="BK354" s="122"/>
      <c r="BL354" s="122"/>
      <c r="BM354" s="122"/>
      <c r="BN354" s="122"/>
      <c r="BO354" s="122"/>
      <c r="BP354" s="122"/>
      <c r="BQ354" s="122"/>
      <c r="BR354" s="122"/>
      <c r="BS354" s="122"/>
      <c r="BT354" s="122"/>
      <c r="BU354" s="122"/>
      <c r="BV354" s="122"/>
      <c r="BW354" s="122"/>
      <c r="BX354" s="122"/>
      <c r="BY354" s="122"/>
      <c r="BZ354" s="122"/>
      <c r="CA354" s="122"/>
      <c r="CB354" s="122"/>
      <c r="CC354" s="122"/>
      <c r="CD354" s="122"/>
      <c r="CE354" s="122"/>
      <c r="CF354" s="122"/>
      <c r="CG354" s="122"/>
      <c r="CH354" s="122"/>
      <c r="CI354" s="122"/>
      <c r="CJ354" s="122"/>
      <c r="CK354" s="122"/>
      <c r="CL354" s="122"/>
      <c r="CM354" s="122"/>
      <c r="CN354" s="122"/>
      <c r="CO354" s="122"/>
      <c r="CP354" s="122"/>
      <c r="CQ354" s="122"/>
      <c r="CR354" s="122"/>
      <c r="CS354" s="122"/>
      <c r="CT354" s="122"/>
      <c r="CU354" s="122"/>
      <c r="CV354" s="122"/>
      <c r="CW354" s="122"/>
      <c r="CX354" s="122"/>
      <c r="CY354" s="122"/>
      <c r="CZ354" s="122"/>
      <c r="DA354" s="122"/>
      <c r="DB354" s="122"/>
      <c r="DC354" s="122"/>
      <c r="DD354" s="122"/>
      <c r="DE354" s="122"/>
      <c r="DF354" s="122"/>
      <c r="DG354" s="122"/>
      <c r="DH354" s="122"/>
      <c r="DI354" s="122"/>
      <c r="DJ354" s="122"/>
      <c r="DK354" s="122"/>
      <c r="DL354" s="122"/>
      <c r="DM354" s="122"/>
      <c r="DN354" s="122"/>
      <c r="DO354" s="122"/>
      <c r="DP354" s="122"/>
      <c r="DQ354" s="122"/>
      <c r="DR354" s="122"/>
      <c r="DS354" s="122"/>
      <c r="DT354" s="122"/>
      <c r="DU354" s="122"/>
      <c r="DV354" s="122"/>
      <c r="DW354" s="122"/>
      <c r="DX354" s="122"/>
      <c r="DY354" s="122"/>
      <c r="DZ354" s="122"/>
      <c r="EA354" s="122"/>
      <c r="EB354" s="122"/>
      <c r="EC354" s="122"/>
      <c r="ED354" s="122"/>
      <c r="EE354" s="122"/>
      <c r="EF354" s="122"/>
      <c r="EG354" s="122"/>
      <c r="EH354" s="122"/>
      <c r="EI354" s="122"/>
      <c r="EJ354" s="122"/>
      <c r="EK354" s="122"/>
      <c r="EL354" s="122"/>
      <c r="EM354" s="122"/>
      <c r="EN354" s="122"/>
      <c r="EO354" s="122"/>
      <c r="EP354" s="122"/>
      <c r="EQ354" s="122"/>
      <c r="ER354" s="122"/>
      <c r="ES354" s="122"/>
      <c r="ET354" s="122"/>
      <c r="EU354" s="122"/>
      <c r="EV354" s="122"/>
      <c r="EW354" s="122"/>
      <c r="EX354" s="122"/>
      <c r="EY354" s="122"/>
      <c r="EZ354" s="122"/>
      <c r="FA354" s="122"/>
      <c r="FB354" s="122"/>
      <c r="FC354" s="122"/>
      <c r="FD354" s="122"/>
      <c r="FE354" s="122"/>
      <c r="FF354" s="122"/>
      <c r="FG354" s="122"/>
      <c r="FH354" s="122"/>
      <c r="FI354" s="122"/>
      <c r="FJ354" s="122"/>
      <c r="FK354" s="122"/>
      <c r="FL354" s="122"/>
      <c r="FM354" s="122"/>
      <c r="FN354" s="122"/>
      <c r="FO354" s="122"/>
      <c r="FP354" s="122"/>
      <c r="FQ354" s="122"/>
      <c r="FR354" s="122"/>
      <c r="FS354" s="122"/>
      <c r="FT354" s="122"/>
      <c r="FU354" s="122"/>
      <c r="FV354" s="122"/>
      <c r="FW354" s="122"/>
      <c r="FX354" s="122"/>
      <c r="FY354" s="122"/>
      <c r="FZ354" s="122"/>
      <c r="GA354" s="122"/>
      <c r="GB354" s="122"/>
      <c r="GC354" s="122"/>
      <c r="GD354" s="122"/>
      <c r="GE354" s="122"/>
      <c r="GF354" s="122"/>
      <c r="GG354" s="122"/>
      <c r="GH354" s="122"/>
      <c r="GI354" s="122"/>
      <c r="GJ354" s="122"/>
      <c r="GK354" s="122"/>
      <c r="GL354" s="122"/>
      <c r="GM354" s="122"/>
      <c r="GN354" s="122"/>
      <c r="GO354" s="122"/>
      <c r="GP354" s="122"/>
      <c r="GQ354" s="122"/>
      <c r="GR354" s="122"/>
      <c r="GS354" s="122"/>
      <c r="GT354" s="122"/>
      <c r="GU354" s="122"/>
      <c r="GV354" s="122"/>
      <c r="GW354" s="122"/>
      <c r="GX354" s="122"/>
      <c r="GY354" s="122"/>
      <c r="GZ354" s="122"/>
      <c r="HA354" s="122"/>
      <c r="HB354" s="122"/>
      <c r="HC354" s="122"/>
      <c r="HD354" s="122"/>
      <c r="HE354" s="122"/>
      <c r="HF354" s="122"/>
      <c r="HG354" s="122"/>
      <c r="HH354" s="122"/>
      <c r="HI354" s="122"/>
      <c r="HJ354" s="122"/>
      <c r="HK354" s="122"/>
      <c r="HL354" s="122"/>
      <c r="HM354" s="122"/>
      <c r="HN354" s="122"/>
      <c r="HO354" s="122"/>
      <c r="HP354" s="122"/>
      <c r="HQ354" s="122"/>
      <c r="HR354" s="122"/>
      <c r="HS354" s="122"/>
      <c r="HT354" s="122"/>
      <c r="HU354" s="122"/>
      <c r="HV354" s="122"/>
      <c r="HW354" s="122"/>
      <c r="HX354" s="122"/>
      <c r="HY354" s="122"/>
      <c r="HZ354" s="122"/>
      <c r="IA354" s="122"/>
      <c r="IB354" s="122"/>
      <c r="IC354" s="122"/>
      <c r="ID354" s="122"/>
      <c r="IE354" s="122"/>
      <c r="IF354" s="122"/>
      <c r="IG354" s="122"/>
      <c r="IH354" s="122"/>
      <c r="II354" s="122"/>
      <c r="IJ354" s="122"/>
      <c r="IK354" s="122"/>
      <c r="IL354" s="122"/>
      <c r="IM354" s="122"/>
      <c r="IN354" s="122"/>
      <c r="IO354" s="122"/>
      <c r="IP354" s="122"/>
      <c r="IQ354" s="122"/>
      <c r="IR354" s="122"/>
      <c r="IS354" s="122"/>
      <c r="IT354" s="122"/>
      <c r="IU354" s="122"/>
      <c r="IV354" s="122"/>
      <c r="IW354" s="122"/>
      <c r="IX354" s="122"/>
      <c r="IY354" s="122"/>
      <c r="IZ354" s="122"/>
      <c r="JA354" s="122"/>
      <c r="JB354" s="122"/>
      <c r="JC354" s="122"/>
      <c r="JD354" s="122"/>
      <c r="JE354" s="122"/>
      <c r="JF354" s="122"/>
      <c r="JG354" s="122"/>
      <c r="JH354" s="122"/>
      <c r="JI354" s="119"/>
      <c r="JJ354" s="2"/>
      <c r="JK354" s="122"/>
      <c r="JL354" s="125"/>
      <c r="JM354" s="125"/>
      <c r="JN354" s="125"/>
      <c r="JO354" s="125"/>
      <c r="JP354" s="125"/>
    </row>
    <row r="355" spans="1:276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/>
      <c r="AJ355" s="122"/>
      <c r="AK355" s="122"/>
      <c r="AL355" s="122"/>
      <c r="AM355" s="122"/>
      <c r="AN355" s="122"/>
      <c r="AO355" s="122"/>
      <c r="AP355" s="122"/>
      <c r="AQ355" s="122"/>
      <c r="AR355" s="122"/>
      <c r="AS355" s="122"/>
      <c r="AT355" s="122"/>
      <c r="AU355" s="122"/>
      <c r="AV355" s="122"/>
      <c r="AW355" s="122"/>
      <c r="AX355" s="122"/>
      <c r="AY355" s="122"/>
      <c r="AZ355" s="122"/>
      <c r="BA355" s="122"/>
      <c r="BB355" s="122"/>
      <c r="BC355" s="122"/>
      <c r="BD355" s="122"/>
      <c r="BE355" s="122"/>
      <c r="BF355" s="122"/>
      <c r="BG355" s="122"/>
      <c r="BH355" s="122"/>
      <c r="BI355" s="122"/>
      <c r="BJ355" s="122"/>
      <c r="BK355" s="122"/>
      <c r="BL355" s="122"/>
      <c r="BM355" s="122"/>
      <c r="BN355" s="122"/>
      <c r="BO355" s="122"/>
      <c r="BP355" s="122"/>
      <c r="BQ355" s="122"/>
      <c r="BR355" s="122"/>
      <c r="BS355" s="122"/>
      <c r="BT355" s="122"/>
      <c r="BU355" s="122"/>
      <c r="BV355" s="122"/>
      <c r="BW355" s="122"/>
      <c r="BX355" s="122"/>
      <c r="BY355" s="122"/>
      <c r="BZ355" s="122"/>
      <c r="CA355" s="122"/>
      <c r="CB355" s="122"/>
      <c r="CC355" s="122"/>
      <c r="CD355" s="122"/>
      <c r="CE355" s="122"/>
      <c r="CF355" s="122"/>
      <c r="CG355" s="122"/>
      <c r="CH355" s="122"/>
      <c r="CI355" s="122"/>
      <c r="CJ355" s="122"/>
      <c r="CK355" s="122"/>
      <c r="CL355" s="122"/>
      <c r="CM355" s="122"/>
      <c r="CN355" s="122"/>
      <c r="CO355" s="122"/>
      <c r="CP355" s="122"/>
      <c r="CQ355" s="122"/>
      <c r="CR355" s="122"/>
      <c r="CS355" s="122"/>
      <c r="CT355" s="122"/>
      <c r="CU355" s="122"/>
      <c r="CV355" s="122"/>
      <c r="CW355" s="122"/>
      <c r="CX355" s="122"/>
      <c r="CY355" s="122"/>
      <c r="CZ355" s="122"/>
      <c r="DA355" s="122"/>
      <c r="DB355" s="122"/>
      <c r="DC355" s="122"/>
      <c r="DD355" s="122"/>
      <c r="DE355" s="122"/>
      <c r="DF355" s="122"/>
      <c r="DG355" s="122"/>
      <c r="DH355" s="122"/>
      <c r="DI355" s="122"/>
      <c r="DJ355" s="122"/>
      <c r="DK355" s="122"/>
      <c r="DL355" s="122"/>
      <c r="DM355" s="122"/>
      <c r="DN355" s="122"/>
      <c r="DO355" s="122"/>
      <c r="DP355" s="122"/>
      <c r="DQ355" s="122"/>
      <c r="DR355" s="122"/>
      <c r="DS355" s="122"/>
      <c r="DT355" s="122"/>
      <c r="DU355" s="122"/>
      <c r="DV355" s="122"/>
      <c r="DW355" s="122"/>
      <c r="DX355" s="122"/>
      <c r="DY355" s="122"/>
      <c r="DZ355" s="122"/>
      <c r="EA355" s="122"/>
      <c r="EB355" s="122"/>
      <c r="EC355" s="122"/>
      <c r="ED355" s="122"/>
      <c r="EE355" s="122"/>
      <c r="EF355" s="122"/>
      <c r="EG355" s="122"/>
      <c r="EH355" s="122"/>
      <c r="EI355" s="122"/>
      <c r="EJ355" s="122"/>
      <c r="EK355" s="122"/>
      <c r="EL355" s="122"/>
      <c r="EM355" s="122"/>
      <c r="EN355" s="122"/>
      <c r="EO355" s="122"/>
      <c r="EP355" s="122"/>
      <c r="EQ355" s="122"/>
      <c r="ER355" s="122"/>
      <c r="ES355" s="122"/>
      <c r="ET355" s="122"/>
      <c r="EU355" s="122"/>
      <c r="EV355" s="122"/>
      <c r="EW355" s="122"/>
      <c r="EX355" s="122"/>
      <c r="EY355" s="122"/>
      <c r="EZ355" s="122"/>
      <c r="FA355" s="122"/>
      <c r="FB355" s="122"/>
      <c r="FC355" s="122"/>
      <c r="FD355" s="122"/>
      <c r="FE355" s="122"/>
      <c r="FF355" s="122"/>
      <c r="FG355" s="122"/>
      <c r="FH355" s="122"/>
      <c r="FI355" s="122"/>
      <c r="FJ355" s="122"/>
      <c r="FK355" s="122"/>
      <c r="FL355" s="122"/>
      <c r="FM355" s="122"/>
      <c r="FN355" s="122"/>
      <c r="FO355" s="122"/>
      <c r="FP355" s="122"/>
      <c r="FQ355" s="122"/>
      <c r="FR355" s="122"/>
      <c r="FS355" s="122"/>
      <c r="FT355" s="122"/>
      <c r="FU355" s="122"/>
      <c r="FV355" s="122"/>
      <c r="FW355" s="122"/>
      <c r="FX355" s="122"/>
      <c r="FY355" s="122"/>
      <c r="FZ355" s="122"/>
      <c r="GA355" s="122"/>
      <c r="GB355" s="122"/>
      <c r="GC355" s="122"/>
      <c r="GD355" s="122"/>
      <c r="GE355" s="122"/>
      <c r="GF355" s="122"/>
      <c r="GG355" s="122"/>
      <c r="GH355" s="122"/>
      <c r="GI355" s="122"/>
      <c r="GJ355" s="122"/>
      <c r="GK355" s="122"/>
      <c r="GL355" s="122"/>
      <c r="GM355" s="122"/>
      <c r="GN355" s="122"/>
      <c r="GO355" s="122"/>
      <c r="GP355" s="122"/>
      <c r="GQ355" s="122"/>
      <c r="GR355" s="122"/>
      <c r="GS355" s="122"/>
      <c r="GT355" s="122"/>
      <c r="GU355" s="122"/>
      <c r="GV355" s="122"/>
      <c r="GW355" s="122"/>
      <c r="GX355" s="122"/>
      <c r="GY355" s="122"/>
      <c r="GZ355" s="122"/>
      <c r="HA355" s="122"/>
      <c r="HB355" s="122"/>
      <c r="HC355" s="122"/>
      <c r="HD355" s="122"/>
      <c r="HE355" s="122"/>
      <c r="HF355" s="122"/>
      <c r="HG355" s="122"/>
      <c r="HH355" s="122"/>
      <c r="HI355" s="122"/>
      <c r="HJ355" s="122"/>
      <c r="HK355" s="122"/>
      <c r="HL355" s="122"/>
      <c r="HM355" s="122"/>
      <c r="HN355" s="122"/>
      <c r="HO355" s="122"/>
      <c r="HP355" s="122"/>
      <c r="HQ355" s="122"/>
      <c r="HR355" s="122"/>
      <c r="HS355" s="122"/>
      <c r="HT355" s="122"/>
      <c r="HU355" s="122"/>
      <c r="HV355" s="122"/>
      <c r="HW355" s="122"/>
      <c r="HX355" s="122"/>
      <c r="HY355" s="122"/>
      <c r="HZ355" s="122"/>
      <c r="IA355" s="122"/>
      <c r="IB355" s="122"/>
      <c r="IC355" s="122"/>
      <c r="ID355" s="122"/>
      <c r="IE355" s="122"/>
      <c r="IF355" s="122"/>
      <c r="IG355" s="122"/>
      <c r="IH355" s="122"/>
      <c r="II355" s="122"/>
      <c r="IJ355" s="122"/>
      <c r="IK355" s="122"/>
      <c r="IL355" s="122"/>
      <c r="IM355" s="122"/>
      <c r="IN355" s="122"/>
      <c r="IO355" s="122"/>
      <c r="IP355" s="122"/>
      <c r="IQ355" s="122"/>
      <c r="IR355" s="122"/>
      <c r="IS355" s="122"/>
      <c r="IT355" s="122"/>
      <c r="IU355" s="122"/>
      <c r="IV355" s="122"/>
      <c r="IW355" s="122"/>
      <c r="IX355" s="122"/>
      <c r="IY355" s="122"/>
      <c r="IZ355" s="122"/>
      <c r="JA355" s="122"/>
      <c r="JB355" s="122"/>
      <c r="JC355" s="122"/>
      <c r="JD355" s="122"/>
      <c r="JE355" s="122"/>
      <c r="JF355" s="122"/>
      <c r="JG355" s="122"/>
      <c r="JH355" s="122"/>
      <c r="JI355" s="119"/>
      <c r="JJ355" s="2"/>
      <c r="JK355" s="122"/>
      <c r="JL355" s="125"/>
      <c r="JM355" s="125"/>
      <c r="JN355" s="125"/>
      <c r="JO355" s="125"/>
      <c r="JP355" s="125"/>
    </row>
    <row r="356" spans="1:27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122"/>
      <c r="AI356" s="122"/>
      <c r="AJ356" s="122"/>
      <c r="AK356" s="122"/>
      <c r="AL356" s="122"/>
      <c r="AM356" s="122"/>
      <c r="AN356" s="122"/>
      <c r="AO356" s="122"/>
      <c r="AP356" s="122"/>
      <c r="AQ356" s="122"/>
      <c r="AR356" s="122"/>
      <c r="AS356" s="122"/>
      <c r="AT356" s="122"/>
      <c r="AU356" s="122"/>
      <c r="AV356" s="122"/>
      <c r="AW356" s="122"/>
      <c r="AX356" s="122"/>
      <c r="AY356" s="122"/>
      <c r="AZ356" s="122"/>
      <c r="BA356" s="122"/>
      <c r="BB356" s="122"/>
      <c r="BC356" s="122"/>
      <c r="BD356" s="122"/>
      <c r="BE356" s="122"/>
      <c r="BF356" s="122"/>
      <c r="BG356" s="122"/>
      <c r="BH356" s="122"/>
      <c r="BI356" s="122"/>
      <c r="BJ356" s="122"/>
      <c r="BK356" s="122"/>
      <c r="BL356" s="122"/>
      <c r="BM356" s="122"/>
      <c r="BN356" s="122"/>
      <c r="BO356" s="122"/>
      <c r="BP356" s="122"/>
      <c r="BQ356" s="122"/>
      <c r="BR356" s="122"/>
      <c r="BS356" s="122"/>
      <c r="BT356" s="122"/>
      <c r="BU356" s="122"/>
      <c r="BV356" s="122"/>
      <c r="BW356" s="122"/>
      <c r="BX356" s="122"/>
      <c r="BY356" s="122"/>
      <c r="BZ356" s="122"/>
      <c r="CA356" s="122"/>
      <c r="CB356" s="122"/>
      <c r="CC356" s="122"/>
      <c r="CD356" s="122"/>
      <c r="CE356" s="122"/>
      <c r="CF356" s="122"/>
      <c r="CG356" s="122"/>
      <c r="CH356" s="122"/>
      <c r="CI356" s="122"/>
      <c r="CJ356" s="122"/>
      <c r="CK356" s="122"/>
      <c r="CL356" s="122"/>
      <c r="CM356" s="122"/>
      <c r="CN356" s="122"/>
      <c r="CO356" s="122"/>
      <c r="CP356" s="122"/>
      <c r="CQ356" s="122"/>
      <c r="CR356" s="122"/>
      <c r="CS356" s="122"/>
      <c r="CT356" s="122"/>
      <c r="CU356" s="122"/>
      <c r="CV356" s="122"/>
      <c r="CW356" s="122"/>
      <c r="CX356" s="122"/>
      <c r="CY356" s="122"/>
      <c r="CZ356" s="122"/>
      <c r="DA356" s="122"/>
      <c r="DB356" s="122"/>
      <c r="DC356" s="122"/>
      <c r="DD356" s="122"/>
      <c r="DE356" s="122"/>
      <c r="DF356" s="122"/>
      <c r="DG356" s="122"/>
      <c r="DH356" s="122"/>
      <c r="DI356" s="122"/>
      <c r="DJ356" s="122"/>
      <c r="DK356" s="122"/>
      <c r="DL356" s="122"/>
      <c r="DM356" s="122"/>
      <c r="DN356" s="122"/>
      <c r="DO356" s="122"/>
      <c r="DP356" s="122"/>
      <c r="DQ356" s="122"/>
      <c r="DR356" s="122"/>
      <c r="DS356" s="122"/>
      <c r="DT356" s="122"/>
      <c r="DU356" s="122"/>
      <c r="DV356" s="122"/>
      <c r="DW356" s="122"/>
      <c r="DX356" s="122"/>
      <c r="DY356" s="122"/>
      <c r="DZ356" s="122"/>
      <c r="EA356" s="122"/>
      <c r="EB356" s="122"/>
      <c r="EC356" s="122"/>
      <c r="ED356" s="122"/>
      <c r="EE356" s="122"/>
      <c r="EF356" s="122"/>
      <c r="EG356" s="122"/>
      <c r="EH356" s="122"/>
      <c r="EI356" s="122"/>
      <c r="EJ356" s="122"/>
      <c r="EK356" s="122"/>
      <c r="EL356" s="122"/>
      <c r="EM356" s="122"/>
      <c r="EN356" s="122"/>
      <c r="EO356" s="122"/>
      <c r="EP356" s="122"/>
      <c r="EQ356" s="122"/>
      <c r="ER356" s="122"/>
      <c r="ES356" s="122"/>
      <c r="ET356" s="122"/>
      <c r="EU356" s="122"/>
      <c r="EV356" s="122"/>
      <c r="EW356" s="122"/>
      <c r="EX356" s="122"/>
      <c r="EY356" s="122"/>
      <c r="EZ356" s="122"/>
      <c r="FA356" s="122"/>
      <c r="FB356" s="122"/>
      <c r="FC356" s="122"/>
      <c r="FD356" s="122"/>
      <c r="FE356" s="122"/>
      <c r="FF356" s="122"/>
      <c r="FG356" s="122"/>
      <c r="FH356" s="122"/>
      <c r="FI356" s="122"/>
      <c r="FJ356" s="122"/>
      <c r="FK356" s="122"/>
      <c r="FL356" s="122"/>
      <c r="FM356" s="122"/>
      <c r="FN356" s="122"/>
      <c r="FO356" s="122"/>
      <c r="FP356" s="122"/>
      <c r="FQ356" s="122"/>
      <c r="FR356" s="122"/>
      <c r="FS356" s="122"/>
      <c r="FT356" s="122"/>
      <c r="FU356" s="122"/>
      <c r="FV356" s="122"/>
      <c r="FW356" s="122"/>
      <c r="FX356" s="122"/>
      <c r="FY356" s="122"/>
      <c r="FZ356" s="122"/>
      <c r="GA356" s="122"/>
      <c r="GB356" s="122"/>
      <c r="GC356" s="122"/>
      <c r="GD356" s="122"/>
      <c r="GE356" s="122"/>
      <c r="GF356" s="122"/>
      <c r="GG356" s="122"/>
      <c r="GH356" s="122"/>
      <c r="GI356" s="122"/>
      <c r="GJ356" s="122"/>
      <c r="GK356" s="122"/>
      <c r="GL356" s="122"/>
      <c r="GM356" s="122"/>
      <c r="GN356" s="122"/>
      <c r="GO356" s="122"/>
      <c r="GP356" s="122"/>
      <c r="GQ356" s="122"/>
      <c r="GR356" s="122"/>
      <c r="GS356" s="122"/>
      <c r="GT356" s="122"/>
      <c r="GU356" s="122"/>
      <c r="GV356" s="122"/>
      <c r="GW356" s="122"/>
      <c r="GX356" s="122"/>
      <c r="GY356" s="122"/>
      <c r="GZ356" s="122"/>
      <c r="HA356" s="122"/>
      <c r="HB356" s="122"/>
      <c r="HC356" s="122"/>
      <c r="HD356" s="122"/>
      <c r="HE356" s="122"/>
      <c r="HF356" s="122"/>
      <c r="HG356" s="122"/>
      <c r="HH356" s="122"/>
      <c r="HI356" s="122"/>
      <c r="HJ356" s="122"/>
      <c r="HK356" s="122"/>
      <c r="HL356" s="122"/>
      <c r="HM356" s="122"/>
      <c r="HN356" s="122"/>
      <c r="HO356" s="122"/>
      <c r="HP356" s="122"/>
      <c r="HQ356" s="122"/>
      <c r="HR356" s="122"/>
      <c r="HS356" s="122"/>
      <c r="HT356" s="122"/>
      <c r="HU356" s="122"/>
      <c r="HV356" s="122"/>
      <c r="HW356" s="122"/>
      <c r="HX356" s="122"/>
      <c r="HY356" s="122"/>
      <c r="HZ356" s="122"/>
      <c r="IA356" s="122"/>
      <c r="IB356" s="122"/>
      <c r="IC356" s="122"/>
      <c r="ID356" s="122"/>
      <c r="IE356" s="122"/>
      <c r="IF356" s="122"/>
      <c r="IG356" s="122"/>
      <c r="IH356" s="122"/>
      <c r="II356" s="122"/>
      <c r="IJ356" s="122"/>
      <c r="IK356" s="122"/>
      <c r="IL356" s="122"/>
      <c r="IM356" s="122"/>
      <c r="IN356" s="122"/>
      <c r="IO356" s="122"/>
      <c r="IP356" s="122"/>
      <c r="IQ356" s="122"/>
      <c r="IR356" s="122"/>
      <c r="IS356" s="122"/>
      <c r="IT356" s="122"/>
      <c r="IU356" s="122"/>
      <c r="IV356" s="122"/>
      <c r="IW356" s="122"/>
      <c r="IX356" s="122"/>
      <c r="IY356" s="122"/>
      <c r="IZ356" s="122"/>
      <c r="JA356" s="122"/>
      <c r="JB356" s="122"/>
      <c r="JC356" s="122"/>
      <c r="JD356" s="122"/>
      <c r="JE356" s="122"/>
      <c r="JF356" s="122"/>
      <c r="JG356" s="122"/>
      <c r="JH356" s="122"/>
      <c r="JI356" s="119"/>
      <c r="JJ356" s="2"/>
      <c r="JK356" s="122"/>
      <c r="JL356" s="125"/>
      <c r="JM356" s="125"/>
      <c r="JN356" s="125"/>
      <c r="JO356" s="125"/>
      <c r="JP356" s="125"/>
    </row>
    <row r="357" spans="1:276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/>
      <c r="AJ357" s="122"/>
      <c r="AK357" s="122"/>
      <c r="AL357" s="122"/>
      <c r="AM357" s="122"/>
      <c r="AN357" s="122"/>
      <c r="AO357" s="122"/>
      <c r="AP357" s="122"/>
      <c r="AQ357" s="122"/>
      <c r="AR357" s="122"/>
      <c r="AS357" s="122"/>
      <c r="AT357" s="122"/>
      <c r="AU357" s="122"/>
      <c r="AV357" s="122"/>
      <c r="AW357" s="122"/>
      <c r="AX357" s="122"/>
      <c r="AY357" s="122"/>
      <c r="AZ357" s="122"/>
      <c r="BA357" s="122"/>
      <c r="BB357" s="122"/>
      <c r="BC357" s="122"/>
      <c r="BD357" s="122"/>
      <c r="BE357" s="122"/>
      <c r="BF357" s="122"/>
      <c r="BG357" s="122"/>
      <c r="BH357" s="122"/>
      <c r="BI357" s="122"/>
      <c r="BJ357" s="122"/>
      <c r="BK357" s="122"/>
      <c r="BL357" s="122"/>
      <c r="BM357" s="122"/>
      <c r="BN357" s="122"/>
      <c r="BO357" s="122"/>
      <c r="BP357" s="122"/>
      <c r="BQ357" s="122"/>
      <c r="BR357" s="122"/>
      <c r="BS357" s="122"/>
      <c r="BT357" s="122"/>
      <c r="BU357" s="122"/>
      <c r="BV357" s="122"/>
      <c r="BW357" s="122"/>
      <c r="BX357" s="122"/>
      <c r="BY357" s="122"/>
      <c r="BZ357" s="122"/>
      <c r="CA357" s="122"/>
      <c r="CB357" s="122"/>
      <c r="CC357" s="122"/>
      <c r="CD357" s="122"/>
      <c r="CE357" s="122"/>
      <c r="CF357" s="122"/>
      <c r="CG357" s="122"/>
      <c r="CH357" s="122"/>
      <c r="CI357" s="122"/>
      <c r="CJ357" s="122"/>
      <c r="CK357" s="122"/>
      <c r="CL357" s="122"/>
      <c r="CM357" s="122"/>
      <c r="CN357" s="122"/>
      <c r="CO357" s="122"/>
      <c r="CP357" s="122"/>
      <c r="CQ357" s="122"/>
      <c r="CR357" s="122"/>
      <c r="CS357" s="122"/>
      <c r="CT357" s="122"/>
      <c r="CU357" s="122"/>
      <c r="CV357" s="122"/>
      <c r="CW357" s="122"/>
      <c r="CX357" s="122"/>
      <c r="CY357" s="122"/>
      <c r="CZ357" s="122"/>
      <c r="DA357" s="122"/>
      <c r="DB357" s="122"/>
      <c r="DC357" s="122"/>
      <c r="DD357" s="122"/>
      <c r="DE357" s="122"/>
      <c r="DF357" s="122"/>
      <c r="DG357" s="122"/>
      <c r="DH357" s="122"/>
      <c r="DI357" s="122"/>
      <c r="DJ357" s="122"/>
      <c r="DK357" s="122"/>
      <c r="DL357" s="122"/>
      <c r="DM357" s="122"/>
      <c r="DN357" s="122"/>
      <c r="DO357" s="122"/>
      <c r="DP357" s="122"/>
      <c r="DQ357" s="122"/>
      <c r="DR357" s="122"/>
      <c r="DS357" s="122"/>
      <c r="DT357" s="122"/>
      <c r="DU357" s="122"/>
      <c r="DV357" s="122"/>
      <c r="DW357" s="122"/>
      <c r="DX357" s="122"/>
      <c r="DY357" s="122"/>
      <c r="DZ357" s="122"/>
      <c r="EA357" s="122"/>
      <c r="EB357" s="122"/>
      <c r="EC357" s="122"/>
      <c r="ED357" s="122"/>
      <c r="EE357" s="122"/>
      <c r="EF357" s="122"/>
      <c r="EG357" s="122"/>
      <c r="EH357" s="122"/>
      <c r="EI357" s="122"/>
      <c r="EJ357" s="122"/>
      <c r="EK357" s="122"/>
      <c r="EL357" s="122"/>
      <c r="EM357" s="122"/>
      <c r="EN357" s="122"/>
      <c r="EO357" s="122"/>
      <c r="EP357" s="122"/>
      <c r="EQ357" s="122"/>
      <c r="ER357" s="122"/>
      <c r="ES357" s="122"/>
      <c r="ET357" s="122"/>
      <c r="EU357" s="122"/>
      <c r="EV357" s="122"/>
      <c r="EW357" s="122"/>
      <c r="EX357" s="122"/>
      <c r="EY357" s="122"/>
      <c r="EZ357" s="122"/>
      <c r="FA357" s="122"/>
      <c r="FB357" s="122"/>
      <c r="FC357" s="122"/>
      <c r="FD357" s="122"/>
      <c r="FE357" s="122"/>
      <c r="FF357" s="122"/>
      <c r="FG357" s="122"/>
      <c r="FH357" s="122"/>
      <c r="FI357" s="122"/>
      <c r="FJ357" s="122"/>
      <c r="FK357" s="122"/>
      <c r="FL357" s="122"/>
      <c r="FM357" s="122"/>
      <c r="FN357" s="122"/>
      <c r="FO357" s="122"/>
      <c r="FP357" s="122"/>
      <c r="FQ357" s="122"/>
      <c r="FR357" s="122"/>
      <c r="FS357" s="122"/>
      <c r="FT357" s="122"/>
      <c r="FU357" s="122"/>
      <c r="FV357" s="122"/>
      <c r="FW357" s="122"/>
      <c r="FX357" s="122"/>
      <c r="FY357" s="122"/>
      <c r="FZ357" s="122"/>
      <c r="GA357" s="122"/>
      <c r="GB357" s="122"/>
      <c r="GC357" s="122"/>
      <c r="GD357" s="122"/>
      <c r="GE357" s="122"/>
      <c r="GF357" s="122"/>
      <c r="GG357" s="122"/>
      <c r="GH357" s="122"/>
      <c r="GI357" s="122"/>
      <c r="GJ357" s="122"/>
      <c r="GK357" s="122"/>
      <c r="GL357" s="122"/>
      <c r="GM357" s="122"/>
      <c r="GN357" s="122"/>
      <c r="GO357" s="122"/>
      <c r="GP357" s="122"/>
      <c r="GQ357" s="122"/>
      <c r="GR357" s="122"/>
      <c r="GS357" s="122"/>
      <c r="GT357" s="122"/>
      <c r="GU357" s="122"/>
      <c r="GV357" s="122"/>
      <c r="GW357" s="122"/>
      <c r="GX357" s="122"/>
      <c r="GY357" s="122"/>
      <c r="GZ357" s="122"/>
      <c r="HA357" s="122"/>
      <c r="HB357" s="122"/>
      <c r="HC357" s="122"/>
      <c r="HD357" s="122"/>
      <c r="HE357" s="122"/>
      <c r="HF357" s="122"/>
      <c r="HG357" s="122"/>
      <c r="HH357" s="122"/>
      <c r="HI357" s="122"/>
      <c r="HJ357" s="122"/>
      <c r="HK357" s="122"/>
      <c r="HL357" s="122"/>
      <c r="HM357" s="122"/>
      <c r="HN357" s="122"/>
      <c r="HO357" s="122"/>
      <c r="HP357" s="122"/>
      <c r="HQ357" s="122"/>
      <c r="HR357" s="122"/>
      <c r="HS357" s="122"/>
      <c r="HT357" s="122"/>
      <c r="HU357" s="122"/>
      <c r="HV357" s="122"/>
      <c r="HW357" s="122"/>
      <c r="HX357" s="122"/>
      <c r="HY357" s="122"/>
      <c r="HZ357" s="122"/>
      <c r="IA357" s="122"/>
      <c r="IB357" s="122"/>
      <c r="IC357" s="122"/>
      <c r="ID357" s="122"/>
      <c r="IE357" s="122"/>
      <c r="IF357" s="122"/>
      <c r="IG357" s="122"/>
      <c r="IH357" s="122"/>
      <c r="II357" s="122"/>
      <c r="IJ357" s="122"/>
      <c r="IK357" s="122"/>
      <c r="IL357" s="122"/>
      <c r="IM357" s="122"/>
      <c r="IN357" s="122"/>
      <c r="IO357" s="122"/>
      <c r="IP357" s="122"/>
      <c r="IQ357" s="122"/>
      <c r="IR357" s="122"/>
      <c r="IS357" s="122"/>
      <c r="IT357" s="122"/>
      <c r="IU357" s="122"/>
      <c r="IV357" s="122"/>
      <c r="IW357" s="122"/>
      <c r="IX357" s="122"/>
      <c r="IY357" s="122"/>
      <c r="IZ357" s="122"/>
      <c r="JA357" s="122"/>
      <c r="JB357" s="122"/>
      <c r="JC357" s="122"/>
      <c r="JD357" s="122"/>
      <c r="JE357" s="122"/>
      <c r="JF357" s="122"/>
      <c r="JG357" s="122"/>
      <c r="JH357" s="122"/>
      <c r="JI357" s="119"/>
      <c r="JJ357" s="2"/>
      <c r="JK357" s="122"/>
      <c r="JL357" s="125"/>
      <c r="JM357" s="125"/>
      <c r="JN357" s="125"/>
      <c r="JO357" s="125"/>
      <c r="JP357" s="125"/>
    </row>
    <row r="358" spans="1:276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122"/>
      <c r="AI358" s="122"/>
      <c r="AJ358" s="122"/>
      <c r="AK358" s="122"/>
      <c r="AL358" s="122"/>
      <c r="AM358" s="122"/>
      <c r="AN358" s="122"/>
      <c r="AO358" s="122"/>
      <c r="AP358" s="122"/>
      <c r="AQ358" s="122"/>
      <c r="AR358" s="122"/>
      <c r="AS358" s="122"/>
      <c r="AT358" s="122"/>
      <c r="AU358" s="122"/>
      <c r="AV358" s="122"/>
      <c r="AW358" s="122"/>
      <c r="AX358" s="122"/>
      <c r="AY358" s="122"/>
      <c r="AZ358" s="122"/>
      <c r="BA358" s="122"/>
      <c r="BB358" s="122"/>
      <c r="BC358" s="122"/>
      <c r="BD358" s="122"/>
      <c r="BE358" s="122"/>
      <c r="BF358" s="122"/>
      <c r="BG358" s="122"/>
      <c r="BH358" s="122"/>
      <c r="BI358" s="122"/>
      <c r="BJ358" s="122"/>
      <c r="BK358" s="122"/>
      <c r="BL358" s="122"/>
      <c r="BM358" s="122"/>
      <c r="BN358" s="122"/>
      <c r="BO358" s="122"/>
      <c r="BP358" s="122"/>
      <c r="BQ358" s="122"/>
      <c r="BR358" s="122"/>
      <c r="BS358" s="122"/>
      <c r="BT358" s="122"/>
      <c r="BU358" s="122"/>
      <c r="BV358" s="122"/>
      <c r="BW358" s="122"/>
      <c r="BX358" s="122"/>
      <c r="BY358" s="122"/>
      <c r="BZ358" s="122"/>
      <c r="CA358" s="122"/>
      <c r="CB358" s="122"/>
      <c r="CC358" s="122"/>
      <c r="CD358" s="122"/>
      <c r="CE358" s="122"/>
      <c r="CF358" s="122"/>
      <c r="CG358" s="122"/>
      <c r="CH358" s="122"/>
      <c r="CI358" s="122"/>
      <c r="CJ358" s="122"/>
      <c r="CK358" s="122"/>
      <c r="CL358" s="122"/>
      <c r="CM358" s="122"/>
      <c r="CN358" s="122"/>
      <c r="CO358" s="122"/>
      <c r="CP358" s="122"/>
      <c r="CQ358" s="122"/>
      <c r="CR358" s="122"/>
      <c r="CS358" s="122"/>
      <c r="CT358" s="122"/>
      <c r="CU358" s="122"/>
      <c r="CV358" s="122"/>
      <c r="CW358" s="122"/>
      <c r="CX358" s="122"/>
      <c r="CY358" s="122"/>
      <c r="CZ358" s="122"/>
      <c r="DA358" s="122"/>
      <c r="DB358" s="122"/>
      <c r="DC358" s="122"/>
      <c r="DD358" s="122"/>
      <c r="DE358" s="122"/>
      <c r="DF358" s="122"/>
      <c r="DG358" s="122"/>
      <c r="DH358" s="122"/>
      <c r="DI358" s="122"/>
      <c r="DJ358" s="122"/>
      <c r="DK358" s="122"/>
      <c r="DL358" s="122"/>
      <c r="DM358" s="122"/>
      <c r="DN358" s="122"/>
      <c r="DO358" s="122"/>
      <c r="DP358" s="122"/>
      <c r="DQ358" s="122"/>
      <c r="DR358" s="122"/>
      <c r="DS358" s="122"/>
      <c r="DT358" s="122"/>
      <c r="DU358" s="122"/>
      <c r="DV358" s="122"/>
      <c r="DW358" s="122"/>
      <c r="DX358" s="122"/>
      <c r="DY358" s="122"/>
      <c r="DZ358" s="122"/>
      <c r="EA358" s="122"/>
      <c r="EB358" s="122"/>
      <c r="EC358" s="122"/>
      <c r="ED358" s="122"/>
      <c r="EE358" s="122"/>
      <c r="EF358" s="122"/>
      <c r="EG358" s="122"/>
      <c r="EH358" s="122"/>
      <c r="EI358" s="122"/>
      <c r="EJ358" s="122"/>
      <c r="EK358" s="122"/>
      <c r="EL358" s="122"/>
      <c r="EM358" s="122"/>
      <c r="EN358" s="122"/>
      <c r="EO358" s="122"/>
      <c r="EP358" s="122"/>
      <c r="EQ358" s="122"/>
      <c r="ER358" s="122"/>
      <c r="ES358" s="122"/>
      <c r="ET358" s="122"/>
      <c r="EU358" s="122"/>
      <c r="EV358" s="122"/>
      <c r="EW358" s="122"/>
      <c r="EX358" s="122"/>
      <c r="EY358" s="122"/>
      <c r="EZ358" s="122"/>
      <c r="FA358" s="122"/>
      <c r="FB358" s="122"/>
      <c r="FC358" s="122"/>
      <c r="FD358" s="122"/>
      <c r="FE358" s="122"/>
      <c r="FF358" s="122"/>
      <c r="FG358" s="122"/>
      <c r="FH358" s="122"/>
      <c r="FI358" s="122"/>
      <c r="FJ358" s="122"/>
      <c r="FK358" s="122"/>
      <c r="FL358" s="122"/>
      <c r="FM358" s="122"/>
      <c r="FN358" s="122"/>
      <c r="FO358" s="122"/>
      <c r="FP358" s="122"/>
      <c r="FQ358" s="122"/>
      <c r="FR358" s="122"/>
      <c r="FS358" s="122"/>
      <c r="FT358" s="122"/>
      <c r="FU358" s="122"/>
      <c r="FV358" s="122"/>
      <c r="FW358" s="122"/>
      <c r="FX358" s="122"/>
      <c r="FY358" s="122"/>
      <c r="FZ358" s="122"/>
      <c r="GA358" s="122"/>
      <c r="GB358" s="122"/>
      <c r="GC358" s="122"/>
      <c r="GD358" s="122"/>
      <c r="GE358" s="122"/>
      <c r="GF358" s="122"/>
      <c r="GG358" s="122"/>
      <c r="GH358" s="122"/>
      <c r="GI358" s="122"/>
      <c r="GJ358" s="122"/>
      <c r="GK358" s="122"/>
      <c r="GL358" s="122"/>
      <c r="GM358" s="122"/>
      <c r="GN358" s="122"/>
      <c r="GO358" s="122"/>
      <c r="GP358" s="122"/>
      <c r="GQ358" s="122"/>
      <c r="GR358" s="122"/>
      <c r="GS358" s="122"/>
      <c r="GT358" s="122"/>
      <c r="GU358" s="122"/>
      <c r="GV358" s="122"/>
      <c r="GW358" s="122"/>
      <c r="GX358" s="122"/>
      <c r="GY358" s="122"/>
      <c r="GZ358" s="122"/>
      <c r="HA358" s="122"/>
      <c r="HB358" s="122"/>
      <c r="HC358" s="122"/>
      <c r="HD358" s="122"/>
      <c r="HE358" s="122"/>
      <c r="HF358" s="122"/>
      <c r="HG358" s="122"/>
      <c r="HH358" s="122"/>
      <c r="HI358" s="122"/>
      <c r="HJ358" s="122"/>
      <c r="HK358" s="122"/>
      <c r="HL358" s="122"/>
      <c r="HM358" s="122"/>
      <c r="HN358" s="122"/>
      <c r="HO358" s="122"/>
      <c r="HP358" s="122"/>
      <c r="HQ358" s="122"/>
      <c r="HR358" s="122"/>
      <c r="HS358" s="122"/>
      <c r="HT358" s="122"/>
      <c r="HU358" s="122"/>
      <c r="HV358" s="122"/>
      <c r="HW358" s="122"/>
      <c r="HX358" s="122"/>
      <c r="HY358" s="122"/>
      <c r="HZ358" s="122"/>
      <c r="IA358" s="122"/>
      <c r="IB358" s="122"/>
      <c r="IC358" s="122"/>
      <c r="ID358" s="122"/>
      <c r="IE358" s="122"/>
      <c r="IF358" s="122"/>
      <c r="IG358" s="122"/>
      <c r="IH358" s="122"/>
      <c r="II358" s="122"/>
      <c r="IJ358" s="122"/>
      <c r="IK358" s="122"/>
      <c r="IL358" s="122"/>
      <c r="IM358" s="122"/>
      <c r="IN358" s="122"/>
      <c r="IO358" s="122"/>
      <c r="IP358" s="122"/>
      <c r="IQ358" s="122"/>
      <c r="IR358" s="122"/>
      <c r="IS358" s="122"/>
      <c r="IT358" s="122"/>
      <c r="IU358" s="122"/>
      <c r="IV358" s="122"/>
      <c r="IW358" s="122"/>
      <c r="IX358" s="122"/>
      <c r="IY358" s="122"/>
      <c r="IZ358" s="122"/>
      <c r="JA358" s="122"/>
      <c r="JB358" s="122"/>
      <c r="JC358" s="122"/>
      <c r="JD358" s="122"/>
      <c r="JE358" s="122"/>
      <c r="JF358" s="122"/>
      <c r="JG358" s="122"/>
      <c r="JH358" s="122"/>
      <c r="JI358" s="119"/>
      <c r="JJ358" s="2"/>
      <c r="JK358" s="122"/>
      <c r="JL358" s="125"/>
      <c r="JM358" s="125"/>
      <c r="JN358" s="125"/>
      <c r="JO358" s="125"/>
      <c r="JP358" s="125"/>
    </row>
    <row r="359" spans="1:276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122"/>
      <c r="AJ359" s="122"/>
      <c r="AK359" s="122"/>
      <c r="AL359" s="122"/>
      <c r="AM359" s="122"/>
      <c r="AN359" s="122"/>
      <c r="AO359" s="122"/>
      <c r="AP359" s="122"/>
      <c r="AQ359" s="122"/>
      <c r="AR359" s="122"/>
      <c r="AS359" s="122"/>
      <c r="AT359" s="122"/>
      <c r="AU359" s="122"/>
      <c r="AV359" s="122"/>
      <c r="AW359" s="122"/>
      <c r="AX359" s="122"/>
      <c r="AY359" s="122"/>
      <c r="AZ359" s="122"/>
      <c r="BA359" s="122"/>
      <c r="BB359" s="122"/>
      <c r="BC359" s="122"/>
      <c r="BD359" s="122"/>
      <c r="BE359" s="122"/>
      <c r="BF359" s="122"/>
      <c r="BG359" s="122"/>
      <c r="BH359" s="122"/>
      <c r="BI359" s="122"/>
      <c r="BJ359" s="122"/>
      <c r="BK359" s="122"/>
      <c r="BL359" s="122"/>
      <c r="BM359" s="122"/>
      <c r="BN359" s="122"/>
      <c r="BO359" s="122"/>
      <c r="BP359" s="122"/>
      <c r="BQ359" s="122"/>
      <c r="BR359" s="122"/>
      <c r="BS359" s="122"/>
      <c r="BT359" s="122"/>
      <c r="BU359" s="122"/>
      <c r="BV359" s="122"/>
      <c r="BW359" s="122"/>
      <c r="BX359" s="122"/>
      <c r="BY359" s="122"/>
      <c r="BZ359" s="122"/>
      <c r="CA359" s="122"/>
      <c r="CB359" s="122"/>
      <c r="CC359" s="122"/>
      <c r="CD359" s="122"/>
      <c r="CE359" s="122"/>
      <c r="CF359" s="122"/>
      <c r="CG359" s="122"/>
      <c r="CH359" s="122"/>
      <c r="CI359" s="122"/>
      <c r="CJ359" s="122"/>
      <c r="CK359" s="122"/>
      <c r="CL359" s="122"/>
      <c r="CM359" s="122"/>
      <c r="CN359" s="122"/>
      <c r="CO359" s="122"/>
      <c r="CP359" s="122"/>
      <c r="CQ359" s="122"/>
      <c r="CR359" s="122"/>
      <c r="CS359" s="122"/>
      <c r="CT359" s="122"/>
      <c r="CU359" s="122"/>
      <c r="CV359" s="122"/>
      <c r="CW359" s="122"/>
      <c r="CX359" s="122"/>
      <c r="CY359" s="122"/>
      <c r="CZ359" s="122"/>
      <c r="DA359" s="122"/>
      <c r="DB359" s="122"/>
      <c r="DC359" s="122"/>
      <c r="DD359" s="122"/>
      <c r="DE359" s="122"/>
      <c r="DF359" s="122"/>
      <c r="DG359" s="122"/>
      <c r="DH359" s="122"/>
      <c r="DI359" s="122"/>
      <c r="DJ359" s="122"/>
      <c r="DK359" s="122"/>
      <c r="DL359" s="122"/>
      <c r="DM359" s="122"/>
      <c r="DN359" s="122"/>
      <c r="DO359" s="122"/>
      <c r="DP359" s="122"/>
      <c r="DQ359" s="122"/>
      <c r="DR359" s="122"/>
      <c r="DS359" s="122"/>
      <c r="DT359" s="122"/>
      <c r="DU359" s="122"/>
      <c r="DV359" s="122"/>
      <c r="DW359" s="122"/>
      <c r="DX359" s="122"/>
      <c r="DY359" s="122"/>
      <c r="DZ359" s="122"/>
      <c r="EA359" s="122"/>
      <c r="EB359" s="122"/>
      <c r="EC359" s="122"/>
      <c r="ED359" s="122"/>
      <c r="EE359" s="122"/>
      <c r="EF359" s="122"/>
      <c r="EG359" s="122"/>
      <c r="EH359" s="122"/>
      <c r="EI359" s="122"/>
      <c r="EJ359" s="122"/>
      <c r="EK359" s="122"/>
      <c r="EL359" s="122"/>
      <c r="EM359" s="122"/>
      <c r="EN359" s="122"/>
      <c r="EO359" s="122"/>
      <c r="EP359" s="122"/>
      <c r="EQ359" s="122"/>
      <c r="ER359" s="122"/>
      <c r="ES359" s="122"/>
      <c r="ET359" s="122"/>
      <c r="EU359" s="122"/>
      <c r="EV359" s="122"/>
      <c r="EW359" s="122"/>
      <c r="EX359" s="122"/>
      <c r="EY359" s="122"/>
      <c r="EZ359" s="122"/>
      <c r="FA359" s="122"/>
      <c r="FB359" s="122"/>
      <c r="FC359" s="122"/>
      <c r="FD359" s="122"/>
      <c r="FE359" s="122"/>
      <c r="FF359" s="122"/>
      <c r="FG359" s="122"/>
      <c r="FH359" s="122"/>
      <c r="FI359" s="122"/>
      <c r="FJ359" s="122"/>
      <c r="FK359" s="122"/>
      <c r="FL359" s="122"/>
      <c r="FM359" s="122"/>
      <c r="FN359" s="122"/>
      <c r="FO359" s="122"/>
      <c r="FP359" s="122"/>
      <c r="FQ359" s="122"/>
      <c r="FR359" s="122"/>
      <c r="FS359" s="122"/>
      <c r="FT359" s="122"/>
      <c r="FU359" s="122"/>
      <c r="FV359" s="122"/>
      <c r="FW359" s="122"/>
      <c r="FX359" s="122"/>
      <c r="FY359" s="122"/>
      <c r="FZ359" s="122"/>
      <c r="GA359" s="122"/>
      <c r="GB359" s="122"/>
      <c r="GC359" s="122"/>
      <c r="GD359" s="122"/>
      <c r="GE359" s="122"/>
      <c r="GF359" s="122"/>
      <c r="GG359" s="122"/>
      <c r="GH359" s="122"/>
      <c r="GI359" s="122"/>
      <c r="GJ359" s="122"/>
      <c r="GK359" s="122"/>
      <c r="GL359" s="122"/>
      <c r="GM359" s="122"/>
      <c r="GN359" s="122"/>
      <c r="GO359" s="122"/>
      <c r="GP359" s="122"/>
      <c r="GQ359" s="122"/>
      <c r="GR359" s="122"/>
      <c r="GS359" s="122"/>
      <c r="GT359" s="122"/>
      <c r="GU359" s="122"/>
      <c r="GV359" s="122"/>
      <c r="GW359" s="122"/>
      <c r="GX359" s="122"/>
      <c r="GY359" s="122"/>
      <c r="GZ359" s="122"/>
      <c r="HA359" s="122"/>
      <c r="HB359" s="122"/>
      <c r="HC359" s="122"/>
      <c r="HD359" s="122"/>
      <c r="HE359" s="122"/>
      <c r="HF359" s="122"/>
      <c r="HG359" s="122"/>
      <c r="HH359" s="122"/>
      <c r="HI359" s="122"/>
      <c r="HJ359" s="122"/>
      <c r="HK359" s="122"/>
      <c r="HL359" s="122"/>
      <c r="HM359" s="122"/>
      <c r="HN359" s="122"/>
      <c r="HO359" s="122"/>
      <c r="HP359" s="122"/>
      <c r="HQ359" s="122"/>
      <c r="HR359" s="122"/>
      <c r="HS359" s="122"/>
      <c r="HT359" s="122"/>
      <c r="HU359" s="122"/>
      <c r="HV359" s="122"/>
      <c r="HW359" s="122"/>
      <c r="HX359" s="122"/>
      <c r="HY359" s="122"/>
      <c r="HZ359" s="122"/>
      <c r="IA359" s="122"/>
      <c r="IB359" s="122"/>
      <c r="IC359" s="122"/>
      <c r="ID359" s="122"/>
      <c r="IE359" s="122"/>
      <c r="IF359" s="122"/>
      <c r="IG359" s="122"/>
      <c r="IH359" s="122"/>
      <c r="II359" s="122"/>
      <c r="IJ359" s="122"/>
      <c r="IK359" s="122"/>
      <c r="IL359" s="122"/>
      <c r="IM359" s="122"/>
      <c r="IN359" s="122"/>
      <c r="IO359" s="122"/>
      <c r="IP359" s="122"/>
      <c r="IQ359" s="122"/>
      <c r="IR359" s="122"/>
      <c r="IS359" s="122"/>
      <c r="IT359" s="122"/>
      <c r="IU359" s="122"/>
      <c r="IV359" s="122"/>
      <c r="IW359" s="122"/>
      <c r="IX359" s="122"/>
      <c r="IY359" s="122"/>
      <c r="IZ359" s="122"/>
      <c r="JA359" s="122"/>
      <c r="JB359" s="122"/>
      <c r="JC359" s="122"/>
      <c r="JD359" s="122"/>
      <c r="JE359" s="122"/>
      <c r="JF359" s="122"/>
      <c r="JG359" s="122"/>
      <c r="JH359" s="122"/>
      <c r="JI359" s="119"/>
      <c r="JJ359" s="2"/>
      <c r="JK359" s="122"/>
      <c r="JL359" s="125"/>
      <c r="JM359" s="125"/>
      <c r="JN359" s="125"/>
      <c r="JO359" s="125"/>
      <c r="JP359" s="125"/>
    </row>
    <row r="360" spans="1:276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  <c r="AI360" s="122"/>
      <c r="AJ360" s="122"/>
      <c r="AK360" s="122"/>
      <c r="AL360" s="122"/>
      <c r="AM360" s="122"/>
      <c r="AN360" s="122"/>
      <c r="AO360" s="122"/>
      <c r="AP360" s="122"/>
      <c r="AQ360" s="122"/>
      <c r="AR360" s="122"/>
      <c r="AS360" s="122"/>
      <c r="AT360" s="122"/>
      <c r="AU360" s="122"/>
      <c r="AV360" s="122"/>
      <c r="AW360" s="122"/>
      <c r="AX360" s="122"/>
      <c r="AY360" s="122"/>
      <c r="AZ360" s="122"/>
      <c r="BA360" s="122"/>
      <c r="BB360" s="122"/>
      <c r="BC360" s="122"/>
      <c r="BD360" s="122"/>
      <c r="BE360" s="122"/>
      <c r="BF360" s="122"/>
      <c r="BG360" s="122"/>
      <c r="BH360" s="122"/>
      <c r="BI360" s="122"/>
      <c r="BJ360" s="122"/>
      <c r="BK360" s="122"/>
      <c r="BL360" s="122"/>
      <c r="BM360" s="122"/>
      <c r="BN360" s="122"/>
      <c r="BO360" s="122"/>
      <c r="BP360" s="122"/>
      <c r="BQ360" s="122"/>
      <c r="BR360" s="122"/>
      <c r="BS360" s="122"/>
      <c r="BT360" s="122"/>
      <c r="BU360" s="122"/>
      <c r="BV360" s="122"/>
      <c r="BW360" s="122"/>
      <c r="BX360" s="122"/>
      <c r="BY360" s="122"/>
      <c r="BZ360" s="122"/>
      <c r="CA360" s="122"/>
      <c r="CB360" s="122"/>
      <c r="CC360" s="122"/>
      <c r="CD360" s="122"/>
      <c r="CE360" s="122"/>
      <c r="CF360" s="122"/>
      <c r="CG360" s="122"/>
      <c r="CH360" s="122"/>
      <c r="CI360" s="122"/>
      <c r="CJ360" s="122"/>
      <c r="CK360" s="122"/>
      <c r="CL360" s="122"/>
      <c r="CM360" s="122"/>
      <c r="CN360" s="122"/>
      <c r="CO360" s="122"/>
      <c r="CP360" s="122"/>
      <c r="CQ360" s="122"/>
      <c r="CR360" s="122"/>
      <c r="CS360" s="122"/>
      <c r="CT360" s="122"/>
      <c r="CU360" s="122"/>
      <c r="CV360" s="122"/>
      <c r="CW360" s="122"/>
      <c r="CX360" s="122"/>
      <c r="CY360" s="122"/>
      <c r="CZ360" s="122"/>
      <c r="DA360" s="122"/>
      <c r="DB360" s="122"/>
      <c r="DC360" s="122"/>
      <c r="DD360" s="122"/>
      <c r="DE360" s="122"/>
      <c r="DF360" s="122"/>
      <c r="DG360" s="122"/>
      <c r="DH360" s="122"/>
      <c r="DI360" s="122"/>
      <c r="DJ360" s="122"/>
      <c r="DK360" s="122"/>
      <c r="DL360" s="122"/>
      <c r="DM360" s="122"/>
      <c r="DN360" s="122"/>
      <c r="DO360" s="122"/>
      <c r="DP360" s="122"/>
      <c r="DQ360" s="122"/>
      <c r="DR360" s="122"/>
      <c r="DS360" s="122"/>
      <c r="DT360" s="122"/>
      <c r="DU360" s="122"/>
      <c r="DV360" s="122"/>
      <c r="DW360" s="122"/>
      <c r="DX360" s="122"/>
      <c r="DY360" s="122"/>
      <c r="DZ360" s="122"/>
      <c r="EA360" s="122"/>
      <c r="EB360" s="122"/>
      <c r="EC360" s="122"/>
      <c r="ED360" s="122"/>
      <c r="EE360" s="122"/>
      <c r="EF360" s="122"/>
      <c r="EG360" s="122"/>
      <c r="EH360" s="122"/>
      <c r="EI360" s="122"/>
      <c r="EJ360" s="122"/>
      <c r="EK360" s="122"/>
      <c r="EL360" s="122"/>
      <c r="EM360" s="122"/>
      <c r="EN360" s="122"/>
      <c r="EO360" s="122"/>
      <c r="EP360" s="122"/>
      <c r="EQ360" s="122"/>
      <c r="ER360" s="122"/>
      <c r="ES360" s="122"/>
      <c r="ET360" s="122"/>
      <c r="EU360" s="122"/>
      <c r="EV360" s="122"/>
      <c r="EW360" s="122"/>
      <c r="EX360" s="122"/>
      <c r="EY360" s="122"/>
      <c r="EZ360" s="122"/>
      <c r="FA360" s="122"/>
      <c r="FB360" s="122"/>
      <c r="FC360" s="122"/>
      <c r="FD360" s="122"/>
      <c r="FE360" s="122"/>
      <c r="FF360" s="122"/>
      <c r="FG360" s="122"/>
      <c r="FH360" s="122"/>
      <c r="FI360" s="122"/>
      <c r="FJ360" s="122"/>
      <c r="FK360" s="122"/>
      <c r="FL360" s="122"/>
      <c r="FM360" s="122"/>
      <c r="FN360" s="122"/>
      <c r="FO360" s="122"/>
      <c r="FP360" s="122"/>
      <c r="FQ360" s="122"/>
      <c r="FR360" s="122"/>
      <c r="FS360" s="122"/>
      <c r="FT360" s="122"/>
      <c r="FU360" s="122"/>
      <c r="FV360" s="122"/>
      <c r="FW360" s="122"/>
      <c r="FX360" s="122"/>
      <c r="FY360" s="122"/>
      <c r="FZ360" s="122"/>
      <c r="GA360" s="122"/>
      <c r="GB360" s="122"/>
      <c r="GC360" s="122"/>
      <c r="GD360" s="122"/>
      <c r="GE360" s="122"/>
      <c r="GF360" s="122"/>
      <c r="GG360" s="122"/>
      <c r="GH360" s="122"/>
      <c r="GI360" s="122"/>
      <c r="GJ360" s="122"/>
      <c r="GK360" s="122"/>
      <c r="GL360" s="122"/>
      <c r="GM360" s="122"/>
      <c r="GN360" s="122"/>
      <c r="GO360" s="122"/>
      <c r="GP360" s="122"/>
      <c r="GQ360" s="122"/>
      <c r="GR360" s="122"/>
      <c r="GS360" s="122"/>
      <c r="GT360" s="122"/>
      <c r="GU360" s="122"/>
      <c r="GV360" s="122"/>
      <c r="GW360" s="122"/>
      <c r="GX360" s="122"/>
      <c r="GY360" s="122"/>
      <c r="GZ360" s="122"/>
      <c r="HA360" s="122"/>
      <c r="HB360" s="122"/>
      <c r="HC360" s="122"/>
      <c r="HD360" s="122"/>
      <c r="HE360" s="122"/>
      <c r="HF360" s="122"/>
      <c r="HG360" s="122"/>
      <c r="HH360" s="122"/>
      <c r="HI360" s="122"/>
      <c r="HJ360" s="122"/>
      <c r="HK360" s="122"/>
      <c r="HL360" s="122"/>
      <c r="HM360" s="122"/>
      <c r="HN360" s="122"/>
      <c r="HO360" s="122"/>
      <c r="HP360" s="122"/>
      <c r="HQ360" s="122"/>
      <c r="HR360" s="122"/>
      <c r="HS360" s="122"/>
      <c r="HT360" s="122"/>
      <c r="HU360" s="122"/>
      <c r="HV360" s="122"/>
      <c r="HW360" s="122"/>
      <c r="HX360" s="122"/>
      <c r="HY360" s="122"/>
      <c r="HZ360" s="122"/>
      <c r="IA360" s="122"/>
      <c r="IB360" s="122"/>
      <c r="IC360" s="122"/>
      <c r="ID360" s="122"/>
      <c r="IE360" s="122"/>
      <c r="IF360" s="122"/>
      <c r="IG360" s="122"/>
      <c r="IH360" s="122"/>
      <c r="II360" s="122"/>
      <c r="IJ360" s="122"/>
      <c r="IK360" s="122"/>
      <c r="IL360" s="122"/>
      <c r="IM360" s="122"/>
      <c r="IN360" s="122"/>
      <c r="IO360" s="122"/>
      <c r="IP360" s="122"/>
      <c r="IQ360" s="122"/>
      <c r="IR360" s="122"/>
      <c r="IS360" s="122"/>
      <c r="IT360" s="122"/>
      <c r="IU360" s="122"/>
      <c r="IV360" s="122"/>
      <c r="IW360" s="122"/>
      <c r="IX360" s="122"/>
      <c r="IY360" s="122"/>
      <c r="IZ360" s="122"/>
      <c r="JA360" s="122"/>
      <c r="JB360" s="122"/>
      <c r="JC360" s="122"/>
      <c r="JD360" s="122"/>
      <c r="JE360" s="122"/>
      <c r="JF360" s="122"/>
      <c r="JG360" s="122"/>
      <c r="JH360" s="122"/>
      <c r="JI360" s="119"/>
      <c r="JJ360" s="2"/>
      <c r="JK360" s="122"/>
      <c r="JL360" s="125"/>
      <c r="JM360" s="125"/>
      <c r="JN360" s="125"/>
      <c r="JO360" s="125"/>
      <c r="JP360" s="125"/>
    </row>
    <row r="361" spans="1:276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122"/>
      <c r="AJ361" s="122"/>
      <c r="AK361" s="122"/>
      <c r="AL361" s="122"/>
      <c r="AM361" s="122"/>
      <c r="AN361" s="122"/>
      <c r="AO361" s="122"/>
      <c r="AP361" s="122"/>
      <c r="AQ361" s="122"/>
      <c r="AR361" s="122"/>
      <c r="AS361" s="122"/>
      <c r="AT361" s="122"/>
      <c r="AU361" s="122"/>
      <c r="AV361" s="122"/>
      <c r="AW361" s="122"/>
      <c r="AX361" s="122"/>
      <c r="AY361" s="122"/>
      <c r="AZ361" s="122"/>
      <c r="BA361" s="122"/>
      <c r="BB361" s="122"/>
      <c r="BC361" s="122"/>
      <c r="BD361" s="122"/>
      <c r="BE361" s="122"/>
      <c r="BF361" s="122"/>
      <c r="BG361" s="122"/>
      <c r="BH361" s="122"/>
      <c r="BI361" s="122"/>
      <c r="BJ361" s="122"/>
      <c r="BK361" s="122"/>
      <c r="BL361" s="122"/>
      <c r="BM361" s="122"/>
      <c r="BN361" s="122"/>
      <c r="BO361" s="122"/>
      <c r="BP361" s="122"/>
      <c r="BQ361" s="122"/>
      <c r="BR361" s="122"/>
      <c r="BS361" s="122"/>
      <c r="BT361" s="122"/>
      <c r="BU361" s="122"/>
      <c r="BV361" s="122"/>
      <c r="BW361" s="122"/>
      <c r="BX361" s="122"/>
      <c r="BY361" s="122"/>
      <c r="BZ361" s="122"/>
      <c r="CA361" s="122"/>
      <c r="CB361" s="122"/>
      <c r="CC361" s="122"/>
      <c r="CD361" s="122"/>
      <c r="CE361" s="122"/>
      <c r="CF361" s="122"/>
      <c r="CG361" s="122"/>
      <c r="CH361" s="122"/>
      <c r="CI361" s="122"/>
      <c r="CJ361" s="122"/>
      <c r="CK361" s="122"/>
      <c r="CL361" s="122"/>
      <c r="CM361" s="122"/>
      <c r="CN361" s="122"/>
      <c r="CO361" s="122"/>
      <c r="CP361" s="122"/>
      <c r="CQ361" s="122"/>
      <c r="CR361" s="122"/>
      <c r="CS361" s="122"/>
      <c r="CT361" s="122"/>
      <c r="CU361" s="122"/>
      <c r="CV361" s="122"/>
      <c r="CW361" s="122"/>
      <c r="CX361" s="122"/>
      <c r="CY361" s="122"/>
      <c r="CZ361" s="122"/>
      <c r="DA361" s="122"/>
      <c r="DB361" s="122"/>
      <c r="DC361" s="122"/>
      <c r="DD361" s="122"/>
      <c r="DE361" s="122"/>
      <c r="DF361" s="122"/>
      <c r="DG361" s="122"/>
      <c r="DH361" s="122"/>
      <c r="DI361" s="122"/>
      <c r="DJ361" s="122"/>
      <c r="DK361" s="122"/>
      <c r="DL361" s="122"/>
      <c r="DM361" s="122"/>
      <c r="DN361" s="122"/>
      <c r="DO361" s="122"/>
      <c r="DP361" s="122"/>
      <c r="DQ361" s="122"/>
      <c r="DR361" s="122"/>
      <c r="DS361" s="122"/>
      <c r="DT361" s="122"/>
      <c r="DU361" s="122"/>
      <c r="DV361" s="122"/>
      <c r="DW361" s="122"/>
      <c r="DX361" s="122"/>
      <c r="DY361" s="122"/>
      <c r="DZ361" s="122"/>
      <c r="EA361" s="122"/>
      <c r="EB361" s="122"/>
      <c r="EC361" s="122"/>
      <c r="ED361" s="122"/>
      <c r="EE361" s="122"/>
      <c r="EF361" s="122"/>
      <c r="EG361" s="122"/>
      <c r="EH361" s="122"/>
      <c r="EI361" s="122"/>
      <c r="EJ361" s="122"/>
      <c r="EK361" s="122"/>
      <c r="EL361" s="122"/>
      <c r="EM361" s="122"/>
      <c r="EN361" s="122"/>
      <c r="EO361" s="122"/>
      <c r="EP361" s="122"/>
      <c r="EQ361" s="122"/>
      <c r="ER361" s="122"/>
      <c r="ES361" s="122"/>
      <c r="ET361" s="122"/>
      <c r="EU361" s="122"/>
      <c r="EV361" s="122"/>
      <c r="EW361" s="122"/>
      <c r="EX361" s="122"/>
      <c r="EY361" s="122"/>
      <c r="EZ361" s="122"/>
      <c r="FA361" s="122"/>
      <c r="FB361" s="122"/>
      <c r="FC361" s="122"/>
      <c r="FD361" s="122"/>
      <c r="FE361" s="122"/>
      <c r="FF361" s="122"/>
      <c r="FG361" s="122"/>
      <c r="FH361" s="122"/>
      <c r="FI361" s="122"/>
      <c r="FJ361" s="122"/>
      <c r="FK361" s="122"/>
      <c r="FL361" s="122"/>
      <c r="FM361" s="122"/>
      <c r="FN361" s="122"/>
      <c r="FO361" s="122"/>
      <c r="FP361" s="122"/>
      <c r="FQ361" s="122"/>
      <c r="FR361" s="122"/>
      <c r="FS361" s="122"/>
      <c r="FT361" s="122"/>
      <c r="FU361" s="122"/>
      <c r="FV361" s="122"/>
      <c r="FW361" s="122"/>
      <c r="FX361" s="122"/>
      <c r="FY361" s="122"/>
      <c r="FZ361" s="122"/>
      <c r="GA361" s="122"/>
      <c r="GB361" s="122"/>
      <c r="GC361" s="122"/>
      <c r="GD361" s="122"/>
      <c r="GE361" s="122"/>
      <c r="GF361" s="122"/>
      <c r="GG361" s="122"/>
      <c r="GH361" s="122"/>
      <c r="GI361" s="122"/>
      <c r="GJ361" s="122"/>
      <c r="GK361" s="122"/>
      <c r="GL361" s="122"/>
      <c r="GM361" s="122"/>
      <c r="GN361" s="122"/>
      <c r="GO361" s="122"/>
      <c r="GP361" s="122"/>
      <c r="GQ361" s="122"/>
      <c r="GR361" s="122"/>
      <c r="GS361" s="122"/>
      <c r="GT361" s="122"/>
      <c r="GU361" s="122"/>
      <c r="GV361" s="122"/>
      <c r="GW361" s="122"/>
      <c r="GX361" s="122"/>
      <c r="GY361" s="122"/>
      <c r="GZ361" s="122"/>
      <c r="HA361" s="122"/>
      <c r="HB361" s="122"/>
      <c r="HC361" s="122"/>
      <c r="HD361" s="122"/>
      <c r="HE361" s="122"/>
      <c r="HF361" s="122"/>
      <c r="HG361" s="122"/>
      <c r="HH361" s="122"/>
      <c r="HI361" s="122"/>
      <c r="HJ361" s="122"/>
      <c r="HK361" s="122"/>
      <c r="HL361" s="122"/>
      <c r="HM361" s="122"/>
      <c r="HN361" s="122"/>
      <c r="HO361" s="122"/>
      <c r="HP361" s="122"/>
      <c r="HQ361" s="122"/>
      <c r="HR361" s="122"/>
      <c r="HS361" s="122"/>
      <c r="HT361" s="122"/>
      <c r="HU361" s="122"/>
      <c r="HV361" s="122"/>
      <c r="HW361" s="122"/>
      <c r="HX361" s="122"/>
      <c r="HY361" s="122"/>
      <c r="HZ361" s="122"/>
      <c r="IA361" s="122"/>
      <c r="IB361" s="122"/>
      <c r="IC361" s="122"/>
      <c r="ID361" s="122"/>
      <c r="IE361" s="122"/>
      <c r="IF361" s="122"/>
      <c r="IG361" s="122"/>
      <c r="IH361" s="122"/>
      <c r="II361" s="122"/>
      <c r="IJ361" s="122"/>
      <c r="IK361" s="122"/>
      <c r="IL361" s="122"/>
      <c r="IM361" s="122"/>
      <c r="IN361" s="122"/>
      <c r="IO361" s="122"/>
      <c r="IP361" s="122"/>
      <c r="IQ361" s="122"/>
      <c r="IR361" s="122"/>
      <c r="IS361" s="122"/>
      <c r="IT361" s="122"/>
      <c r="IU361" s="122"/>
      <c r="IV361" s="122"/>
      <c r="IW361" s="122"/>
      <c r="IX361" s="122"/>
      <c r="IY361" s="122"/>
      <c r="IZ361" s="122"/>
      <c r="JA361" s="122"/>
      <c r="JB361" s="122"/>
      <c r="JC361" s="122"/>
      <c r="JD361" s="122"/>
      <c r="JE361" s="122"/>
      <c r="JF361" s="122"/>
      <c r="JG361" s="122"/>
      <c r="JH361" s="122"/>
      <c r="JI361" s="119"/>
      <c r="JJ361" s="2"/>
      <c r="JK361" s="122"/>
      <c r="JL361" s="125"/>
      <c r="JM361" s="125"/>
      <c r="JN361" s="125"/>
      <c r="JO361" s="125"/>
      <c r="JP361" s="125"/>
    </row>
    <row r="362" spans="1:276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122"/>
      <c r="AI362" s="122"/>
      <c r="AJ362" s="122"/>
      <c r="AK362" s="122"/>
      <c r="AL362" s="122"/>
      <c r="AM362" s="122"/>
      <c r="AN362" s="122"/>
      <c r="AO362" s="122"/>
      <c r="AP362" s="122"/>
      <c r="AQ362" s="122"/>
      <c r="AR362" s="122"/>
      <c r="AS362" s="122"/>
      <c r="AT362" s="122"/>
      <c r="AU362" s="122"/>
      <c r="AV362" s="122"/>
      <c r="AW362" s="122"/>
      <c r="AX362" s="122"/>
      <c r="AY362" s="122"/>
      <c r="AZ362" s="122"/>
      <c r="BA362" s="122"/>
      <c r="BB362" s="122"/>
      <c r="BC362" s="122"/>
      <c r="BD362" s="122"/>
      <c r="BE362" s="122"/>
      <c r="BF362" s="122"/>
      <c r="BG362" s="122"/>
      <c r="BH362" s="122"/>
      <c r="BI362" s="122"/>
      <c r="BJ362" s="122"/>
      <c r="BK362" s="122"/>
      <c r="BL362" s="122"/>
      <c r="BM362" s="122"/>
      <c r="BN362" s="122"/>
      <c r="BO362" s="122"/>
      <c r="BP362" s="122"/>
      <c r="BQ362" s="122"/>
      <c r="BR362" s="122"/>
      <c r="BS362" s="122"/>
      <c r="BT362" s="122"/>
      <c r="BU362" s="122"/>
      <c r="BV362" s="122"/>
      <c r="BW362" s="122"/>
      <c r="BX362" s="122"/>
      <c r="BY362" s="122"/>
      <c r="BZ362" s="122"/>
      <c r="CA362" s="122"/>
      <c r="CB362" s="122"/>
      <c r="CC362" s="122"/>
      <c r="CD362" s="122"/>
      <c r="CE362" s="122"/>
      <c r="CF362" s="122"/>
      <c r="CG362" s="122"/>
      <c r="CH362" s="122"/>
      <c r="CI362" s="122"/>
      <c r="CJ362" s="122"/>
      <c r="CK362" s="122"/>
      <c r="CL362" s="122"/>
      <c r="CM362" s="122"/>
      <c r="CN362" s="122"/>
      <c r="CO362" s="122"/>
      <c r="CP362" s="122"/>
      <c r="CQ362" s="122"/>
      <c r="CR362" s="122"/>
      <c r="CS362" s="122"/>
      <c r="CT362" s="122"/>
      <c r="CU362" s="122"/>
      <c r="CV362" s="122"/>
      <c r="CW362" s="122"/>
      <c r="CX362" s="122"/>
      <c r="CY362" s="122"/>
      <c r="CZ362" s="122"/>
      <c r="DA362" s="122"/>
      <c r="DB362" s="122"/>
      <c r="DC362" s="122"/>
      <c r="DD362" s="122"/>
      <c r="DE362" s="122"/>
      <c r="DF362" s="122"/>
      <c r="DG362" s="122"/>
      <c r="DH362" s="122"/>
      <c r="DI362" s="122"/>
      <c r="DJ362" s="122"/>
      <c r="DK362" s="122"/>
      <c r="DL362" s="122"/>
      <c r="DM362" s="122"/>
      <c r="DN362" s="122"/>
      <c r="DO362" s="122"/>
      <c r="DP362" s="122"/>
      <c r="DQ362" s="122"/>
      <c r="DR362" s="122"/>
      <c r="DS362" s="122"/>
      <c r="DT362" s="122"/>
      <c r="DU362" s="122"/>
      <c r="DV362" s="122"/>
      <c r="DW362" s="122"/>
      <c r="DX362" s="122"/>
      <c r="DY362" s="122"/>
      <c r="DZ362" s="122"/>
      <c r="EA362" s="122"/>
      <c r="EB362" s="122"/>
      <c r="EC362" s="122"/>
      <c r="ED362" s="122"/>
      <c r="EE362" s="122"/>
      <c r="EF362" s="122"/>
      <c r="EG362" s="122"/>
      <c r="EH362" s="122"/>
      <c r="EI362" s="122"/>
      <c r="EJ362" s="122"/>
      <c r="EK362" s="122"/>
      <c r="EL362" s="122"/>
      <c r="EM362" s="122"/>
      <c r="EN362" s="122"/>
      <c r="EO362" s="122"/>
      <c r="EP362" s="122"/>
      <c r="EQ362" s="122"/>
      <c r="ER362" s="122"/>
      <c r="ES362" s="122"/>
      <c r="ET362" s="122"/>
      <c r="EU362" s="122"/>
      <c r="EV362" s="122"/>
      <c r="EW362" s="122"/>
      <c r="EX362" s="122"/>
      <c r="EY362" s="122"/>
      <c r="EZ362" s="122"/>
      <c r="FA362" s="122"/>
      <c r="FB362" s="122"/>
      <c r="FC362" s="122"/>
      <c r="FD362" s="122"/>
      <c r="FE362" s="122"/>
      <c r="FF362" s="122"/>
      <c r="FG362" s="122"/>
      <c r="FH362" s="122"/>
      <c r="FI362" s="122"/>
      <c r="FJ362" s="122"/>
      <c r="FK362" s="122"/>
      <c r="FL362" s="122"/>
      <c r="FM362" s="122"/>
      <c r="FN362" s="122"/>
      <c r="FO362" s="122"/>
      <c r="FP362" s="122"/>
      <c r="FQ362" s="122"/>
      <c r="FR362" s="122"/>
      <c r="FS362" s="122"/>
      <c r="FT362" s="122"/>
      <c r="FU362" s="122"/>
      <c r="FV362" s="122"/>
      <c r="FW362" s="122"/>
      <c r="FX362" s="122"/>
      <c r="FY362" s="122"/>
      <c r="FZ362" s="122"/>
      <c r="GA362" s="122"/>
      <c r="GB362" s="122"/>
      <c r="GC362" s="122"/>
      <c r="GD362" s="122"/>
      <c r="GE362" s="122"/>
      <c r="GF362" s="122"/>
      <c r="GG362" s="122"/>
      <c r="GH362" s="122"/>
      <c r="GI362" s="122"/>
      <c r="GJ362" s="122"/>
      <c r="GK362" s="122"/>
      <c r="GL362" s="122"/>
      <c r="GM362" s="122"/>
      <c r="GN362" s="122"/>
      <c r="GO362" s="122"/>
      <c r="GP362" s="122"/>
      <c r="GQ362" s="122"/>
      <c r="GR362" s="122"/>
      <c r="GS362" s="122"/>
      <c r="GT362" s="122"/>
      <c r="GU362" s="122"/>
      <c r="GV362" s="122"/>
      <c r="GW362" s="122"/>
      <c r="GX362" s="122"/>
      <c r="GY362" s="122"/>
      <c r="GZ362" s="122"/>
      <c r="HA362" s="122"/>
      <c r="HB362" s="122"/>
      <c r="HC362" s="122"/>
      <c r="HD362" s="122"/>
      <c r="HE362" s="122"/>
      <c r="HF362" s="122"/>
      <c r="HG362" s="122"/>
      <c r="HH362" s="122"/>
      <c r="HI362" s="122"/>
      <c r="HJ362" s="122"/>
      <c r="HK362" s="122"/>
      <c r="HL362" s="122"/>
      <c r="HM362" s="122"/>
      <c r="HN362" s="122"/>
      <c r="HO362" s="122"/>
      <c r="HP362" s="122"/>
      <c r="HQ362" s="122"/>
      <c r="HR362" s="122"/>
      <c r="HS362" s="122"/>
      <c r="HT362" s="122"/>
      <c r="HU362" s="122"/>
      <c r="HV362" s="122"/>
      <c r="HW362" s="122"/>
      <c r="HX362" s="122"/>
      <c r="HY362" s="122"/>
      <c r="HZ362" s="122"/>
      <c r="IA362" s="122"/>
      <c r="IB362" s="122"/>
      <c r="IC362" s="122"/>
      <c r="ID362" s="122"/>
      <c r="IE362" s="122"/>
      <c r="IF362" s="122"/>
      <c r="IG362" s="122"/>
      <c r="IH362" s="122"/>
      <c r="II362" s="122"/>
      <c r="IJ362" s="122"/>
      <c r="IK362" s="122"/>
      <c r="IL362" s="122"/>
      <c r="IM362" s="122"/>
      <c r="IN362" s="122"/>
      <c r="IO362" s="122"/>
      <c r="IP362" s="122"/>
      <c r="IQ362" s="122"/>
      <c r="IR362" s="122"/>
      <c r="IS362" s="122"/>
      <c r="IT362" s="122"/>
      <c r="IU362" s="122"/>
      <c r="IV362" s="122"/>
      <c r="IW362" s="122"/>
      <c r="IX362" s="122"/>
      <c r="IY362" s="122"/>
      <c r="IZ362" s="122"/>
      <c r="JA362" s="122"/>
      <c r="JB362" s="122"/>
      <c r="JC362" s="122"/>
      <c r="JD362" s="122"/>
      <c r="JE362" s="122"/>
      <c r="JF362" s="122"/>
      <c r="JG362" s="122"/>
      <c r="JH362" s="122"/>
      <c r="JI362" s="119"/>
      <c r="JJ362" s="2"/>
      <c r="JK362" s="122"/>
      <c r="JL362" s="125"/>
      <c r="JM362" s="125"/>
      <c r="JN362" s="125"/>
      <c r="JO362" s="125"/>
      <c r="JP362" s="125"/>
    </row>
    <row r="363" spans="1:276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122"/>
      <c r="AJ363" s="122"/>
      <c r="AK363" s="122"/>
      <c r="AL363" s="122"/>
      <c r="AM363" s="122"/>
      <c r="AN363" s="122"/>
      <c r="AO363" s="122"/>
      <c r="AP363" s="122"/>
      <c r="AQ363" s="122"/>
      <c r="AR363" s="122"/>
      <c r="AS363" s="122"/>
      <c r="AT363" s="122"/>
      <c r="AU363" s="122"/>
      <c r="AV363" s="122"/>
      <c r="AW363" s="122"/>
      <c r="AX363" s="122"/>
      <c r="AY363" s="122"/>
      <c r="AZ363" s="122"/>
      <c r="BA363" s="122"/>
      <c r="BB363" s="122"/>
      <c r="BC363" s="122"/>
      <c r="BD363" s="122"/>
      <c r="BE363" s="122"/>
      <c r="BF363" s="122"/>
      <c r="BG363" s="122"/>
      <c r="BH363" s="122"/>
      <c r="BI363" s="122"/>
      <c r="BJ363" s="122"/>
      <c r="BK363" s="122"/>
      <c r="BL363" s="122"/>
      <c r="BM363" s="122"/>
      <c r="BN363" s="122"/>
      <c r="BO363" s="122"/>
      <c r="BP363" s="122"/>
      <c r="BQ363" s="122"/>
      <c r="BR363" s="122"/>
      <c r="BS363" s="122"/>
      <c r="BT363" s="122"/>
      <c r="BU363" s="122"/>
      <c r="BV363" s="122"/>
      <c r="BW363" s="122"/>
      <c r="BX363" s="122"/>
      <c r="BY363" s="122"/>
      <c r="BZ363" s="122"/>
      <c r="CA363" s="122"/>
      <c r="CB363" s="122"/>
      <c r="CC363" s="122"/>
      <c r="CD363" s="122"/>
      <c r="CE363" s="122"/>
      <c r="CF363" s="122"/>
      <c r="CG363" s="122"/>
      <c r="CH363" s="122"/>
      <c r="CI363" s="122"/>
      <c r="CJ363" s="122"/>
      <c r="CK363" s="122"/>
      <c r="CL363" s="122"/>
      <c r="CM363" s="122"/>
      <c r="CN363" s="122"/>
      <c r="CO363" s="122"/>
      <c r="CP363" s="122"/>
      <c r="CQ363" s="122"/>
      <c r="CR363" s="122"/>
      <c r="CS363" s="122"/>
      <c r="CT363" s="122"/>
      <c r="CU363" s="122"/>
      <c r="CV363" s="122"/>
      <c r="CW363" s="122"/>
      <c r="CX363" s="122"/>
      <c r="CY363" s="122"/>
      <c r="CZ363" s="122"/>
      <c r="DA363" s="122"/>
      <c r="DB363" s="122"/>
      <c r="DC363" s="122"/>
      <c r="DD363" s="122"/>
      <c r="DE363" s="122"/>
      <c r="DF363" s="122"/>
      <c r="DG363" s="122"/>
      <c r="DH363" s="122"/>
      <c r="DI363" s="122"/>
      <c r="DJ363" s="122"/>
      <c r="DK363" s="122"/>
      <c r="DL363" s="122"/>
      <c r="DM363" s="122"/>
      <c r="DN363" s="122"/>
      <c r="DO363" s="122"/>
      <c r="DP363" s="122"/>
      <c r="DQ363" s="122"/>
      <c r="DR363" s="122"/>
      <c r="DS363" s="122"/>
      <c r="DT363" s="122"/>
      <c r="DU363" s="122"/>
      <c r="DV363" s="122"/>
      <c r="DW363" s="122"/>
      <c r="DX363" s="122"/>
      <c r="DY363" s="122"/>
      <c r="DZ363" s="122"/>
      <c r="EA363" s="122"/>
      <c r="EB363" s="122"/>
      <c r="EC363" s="122"/>
      <c r="ED363" s="122"/>
      <c r="EE363" s="122"/>
      <c r="EF363" s="122"/>
      <c r="EG363" s="122"/>
      <c r="EH363" s="122"/>
      <c r="EI363" s="122"/>
      <c r="EJ363" s="122"/>
      <c r="EK363" s="122"/>
      <c r="EL363" s="122"/>
      <c r="EM363" s="122"/>
      <c r="EN363" s="122"/>
      <c r="EO363" s="122"/>
      <c r="EP363" s="122"/>
      <c r="EQ363" s="122"/>
      <c r="ER363" s="122"/>
      <c r="ES363" s="122"/>
      <c r="ET363" s="122"/>
      <c r="EU363" s="122"/>
      <c r="EV363" s="122"/>
      <c r="EW363" s="122"/>
      <c r="EX363" s="122"/>
      <c r="EY363" s="122"/>
      <c r="EZ363" s="122"/>
      <c r="FA363" s="122"/>
      <c r="FB363" s="122"/>
      <c r="FC363" s="122"/>
      <c r="FD363" s="122"/>
      <c r="FE363" s="122"/>
      <c r="FF363" s="122"/>
      <c r="FG363" s="122"/>
      <c r="FH363" s="122"/>
      <c r="FI363" s="122"/>
      <c r="FJ363" s="122"/>
      <c r="FK363" s="122"/>
      <c r="FL363" s="122"/>
      <c r="FM363" s="122"/>
      <c r="FN363" s="122"/>
      <c r="FO363" s="122"/>
      <c r="FP363" s="122"/>
      <c r="FQ363" s="122"/>
      <c r="FR363" s="122"/>
      <c r="FS363" s="122"/>
      <c r="FT363" s="122"/>
      <c r="FU363" s="122"/>
      <c r="FV363" s="122"/>
      <c r="FW363" s="122"/>
      <c r="FX363" s="122"/>
      <c r="FY363" s="122"/>
      <c r="FZ363" s="122"/>
      <c r="GA363" s="122"/>
      <c r="GB363" s="122"/>
      <c r="GC363" s="122"/>
      <c r="GD363" s="122"/>
      <c r="GE363" s="122"/>
      <c r="GF363" s="122"/>
      <c r="GG363" s="122"/>
      <c r="GH363" s="122"/>
      <c r="GI363" s="122"/>
      <c r="GJ363" s="122"/>
      <c r="GK363" s="122"/>
      <c r="GL363" s="122"/>
      <c r="GM363" s="122"/>
      <c r="GN363" s="122"/>
      <c r="GO363" s="122"/>
      <c r="GP363" s="122"/>
      <c r="GQ363" s="122"/>
      <c r="GR363" s="122"/>
      <c r="GS363" s="122"/>
      <c r="GT363" s="122"/>
      <c r="GU363" s="122"/>
      <c r="GV363" s="122"/>
      <c r="GW363" s="122"/>
      <c r="GX363" s="122"/>
      <c r="GY363" s="122"/>
      <c r="GZ363" s="122"/>
      <c r="HA363" s="122"/>
      <c r="HB363" s="122"/>
      <c r="HC363" s="122"/>
      <c r="HD363" s="122"/>
      <c r="HE363" s="122"/>
      <c r="HF363" s="122"/>
      <c r="HG363" s="122"/>
      <c r="HH363" s="122"/>
      <c r="HI363" s="122"/>
      <c r="HJ363" s="122"/>
      <c r="HK363" s="122"/>
      <c r="HL363" s="122"/>
      <c r="HM363" s="122"/>
      <c r="HN363" s="122"/>
      <c r="HO363" s="122"/>
      <c r="HP363" s="122"/>
      <c r="HQ363" s="122"/>
      <c r="HR363" s="122"/>
      <c r="HS363" s="122"/>
      <c r="HT363" s="122"/>
      <c r="HU363" s="122"/>
      <c r="HV363" s="122"/>
      <c r="HW363" s="122"/>
      <c r="HX363" s="122"/>
      <c r="HY363" s="122"/>
      <c r="HZ363" s="122"/>
      <c r="IA363" s="122"/>
      <c r="IB363" s="122"/>
      <c r="IC363" s="122"/>
      <c r="ID363" s="122"/>
      <c r="IE363" s="122"/>
      <c r="IF363" s="122"/>
      <c r="IG363" s="122"/>
      <c r="IH363" s="122"/>
      <c r="II363" s="122"/>
      <c r="IJ363" s="122"/>
      <c r="IK363" s="122"/>
      <c r="IL363" s="122"/>
      <c r="IM363" s="122"/>
      <c r="IN363" s="122"/>
      <c r="IO363" s="122"/>
      <c r="IP363" s="122"/>
      <c r="IQ363" s="122"/>
      <c r="IR363" s="122"/>
      <c r="IS363" s="122"/>
      <c r="IT363" s="122"/>
      <c r="IU363" s="122"/>
      <c r="IV363" s="122"/>
      <c r="IW363" s="122"/>
      <c r="IX363" s="122"/>
      <c r="IY363" s="122"/>
      <c r="IZ363" s="122"/>
      <c r="JA363" s="122"/>
      <c r="JB363" s="122"/>
      <c r="JC363" s="122"/>
      <c r="JD363" s="122"/>
      <c r="JE363" s="122"/>
      <c r="JF363" s="122"/>
      <c r="JG363" s="122"/>
      <c r="JH363" s="122"/>
      <c r="JI363" s="119"/>
      <c r="JJ363" s="2"/>
      <c r="JK363" s="122"/>
      <c r="JL363" s="125"/>
      <c r="JM363" s="125"/>
      <c r="JN363" s="125"/>
      <c r="JO363" s="125"/>
      <c r="JP363" s="125"/>
    </row>
    <row r="364" spans="1:276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  <c r="AI364" s="122"/>
      <c r="AJ364" s="122"/>
      <c r="AK364" s="122"/>
      <c r="AL364" s="122"/>
      <c r="AM364" s="122"/>
      <c r="AN364" s="122"/>
      <c r="AO364" s="122"/>
      <c r="AP364" s="122"/>
      <c r="AQ364" s="122"/>
      <c r="AR364" s="122"/>
      <c r="AS364" s="122"/>
      <c r="AT364" s="122"/>
      <c r="AU364" s="122"/>
      <c r="AV364" s="122"/>
      <c r="AW364" s="122"/>
      <c r="AX364" s="122"/>
      <c r="AY364" s="122"/>
      <c r="AZ364" s="122"/>
      <c r="BA364" s="122"/>
      <c r="BB364" s="122"/>
      <c r="BC364" s="122"/>
      <c r="BD364" s="122"/>
      <c r="BE364" s="122"/>
      <c r="BF364" s="122"/>
      <c r="BG364" s="122"/>
      <c r="BH364" s="122"/>
      <c r="BI364" s="122"/>
      <c r="BJ364" s="122"/>
      <c r="BK364" s="122"/>
      <c r="BL364" s="122"/>
      <c r="BM364" s="122"/>
      <c r="BN364" s="122"/>
      <c r="BO364" s="122"/>
      <c r="BP364" s="122"/>
      <c r="BQ364" s="122"/>
      <c r="BR364" s="122"/>
      <c r="BS364" s="122"/>
      <c r="BT364" s="122"/>
      <c r="BU364" s="122"/>
      <c r="BV364" s="122"/>
      <c r="BW364" s="122"/>
      <c r="BX364" s="122"/>
      <c r="BY364" s="122"/>
      <c r="BZ364" s="122"/>
      <c r="CA364" s="122"/>
      <c r="CB364" s="122"/>
      <c r="CC364" s="122"/>
      <c r="CD364" s="122"/>
      <c r="CE364" s="122"/>
      <c r="CF364" s="122"/>
      <c r="CG364" s="122"/>
      <c r="CH364" s="122"/>
      <c r="CI364" s="122"/>
      <c r="CJ364" s="122"/>
      <c r="CK364" s="122"/>
      <c r="CL364" s="122"/>
      <c r="CM364" s="122"/>
      <c r="CN364" s="122"/>
      <c r="CO364" s="122"/>
      <c r="CP364" s="122"/>
      <c r="CQ364" s="122"/>
      <c r="CR364" s="122"/>
      <c r="CS364" s="122"/>
      <c r="CT364" s="122"/>
      <c r="CU364" s="122"/>
      <c r="CV364" s="122"/>
      <c r="CW364" s="122"/>
      <c r="CX364" s="122"/>
      <c r="CY364" s="122"/>
      <c r="CZ364" s="122"/>
      <c r="DA364" s="122"/>
      <c r="DB364" s="122"/>
      <c r="DC364" s="122"/>
      <c r="DD364" s="122"/>
      <c r="DE364" s="122"/>
      <c r="DF364" s="122"/>
      <c r="DG364" s="122"/>
      <c r="DH364" s="122"/>
      <c r="DI364" s="122"/>
      <c r="DJ364" s="122"/>
      <c r="DK364" s="122"/>
      <c r="DL364" s="122"/>
      <c r="DM364" s="122"/>
      <c r="DN364" s="122"/>
      <c r="DO364" s="122"/>
      <c r="DP364" s="122"/>
      <c r="DQ364" s="122"/>
      <c r="DR364" s="122"/>
      <c r="DS364" s="122"/>
      <c r="DT364" s="122"/>
      <c r="DU364" s="122"/>
      <c r="DV364" s="122"/>
      <c r="DW364" s="122"/>
      <c r="DX364" s="122"/>
      <c r="DY364" s="122"/>
      <c r="DZ364" s="122"/>
      <c r="EA364" s="122"/>
      <c r="EB364" s="122"/>
      <c r="EC364" s="122"/>
      <c r="ED364" s="122"/>
      <c r="EE364" s="122"/>
      <c r="EF364" s="122"/>
      <c r="EG364" s="122"/>
      <c r="EH364" s="122"/>
      <c r="EI364" s="122"/>
      <c r="EJ364" s="122"/>
      <c r="EK364" s="122"/>
      <c r="EL364" s="122"/>
      <c r="EM364" s="122"/>
      <c r="EN364" s="122"/>
      <c r="EO364" s="122"/>
      <c r="EP364" s="122"/>
      <c r="EQ364" s="122"/>
      <c r="ER364" s="122"/>
      <c r="ES364" s="122"/>
      <c r="ET364" s="122"/>
      <c r="EU364" s="122"/>
      <c r="EV364" s="122"/>
      <c r="EW364" s="122"/>
      <c r="EX364" s="122"/>
      <c r="EY364" s="122"/>
      <c r="EZ364" s="122"/>
      <c r="FA364" s="122"/>
      <c r="FB364" s="122"/>
      <c r="FC364" s="122"/>
      <c r="FD364" s="122"/>
      <c r="FE364" s="122"/>
      <c r="FF364" s="122"/>
      <c r="FG364" s="122"/>
      <c r="FH364" s="122"/>
      <c r="FI364" s="122"/>
      <c r="FJ364" s="122"/>
      <c r="FK364" s="122"/>
      <c r="FL364" s="122"/>
      <c r="FM364" s="122"/>
      <c r="FN364" s="122"/>
      <c r="FO364" s="122"/>
      <c r="FP364" s="122"/>
      <c r="FQ364" s="122"/>
      <c r="FR364" s="122"/>
      <c r="FS364" s="122"/>
      <c r="FT364" s="122"/>
      <c r="FU364" s="122"/>
      <c r="FV364" s="122"/>
      <c r="FW364" s="122"/>
      <c r="FX364" s="122"/>
      <c r="FY364" s="122"/>
      <c r="FZ364" s="122"/>
      <c r="GA364" s="122"/>
      <c r="GB364" s="122"/>
      <c r="GC364" s="122"/>
      <c r="GD364" s="122"/>
      <c r="GE364" s="122"/>
      <c r="GF364" s="122"/>
      <c r="GG364" s="122"/>
      <c r="GH364" s="122"/>
      <c r="GI364" s="122"/>
      <c r="GJ364" s="122"/>
      <c r="GK364" s="122"/>
      <c r="GL364" s="122"/>
      <c r="GM364" s="122"/>
      <c r="GN364" s="122"/>
      <c r="GO364" s="122"/>
      <c r="GP364" s="122"/>
      <c r="GQ364" s="122"/>
      <c r="GR364" s="122"/>
      <c r="GS364" s="122"/>
      <c r="GT364" s="122"/>
      <c r="GU364" s="122"/>
      <c r="GV364" s="122"/>
      <c r="GW364" s="122"/>
      <c r="GX364" s="122"/>
      <c r="GY364" s="122"/>
      <c r="GZ364" s="122"/>
      <c r="HA364" s="122"/>
      <c r="HB364" s="122"/>
      <c r="HC364" s="122"/>
      <c r="HD364" s="122"/>
      <c r="HE364" s="122"/>
      <c r="HF364" s="122"/>
      <c r="HG364" s="122"/>
      <c r="HH364" s="122"/>
      <c r="HI364" s="122"/>
      <c r="HJ364" s="122"/>
      <c r="HK364" s="122"/>
      <c r="HL364" s="122"/>
      <c r="HM364" s="122"/>
      <c r="HN364" s="122"/>
      <c r="HO364" s="122"/>
      <c r="HP364" s="122"/>
      <c r="HQ364" s="122"/>
      <c r="HR364" s="122"/>
      <c r="HS364" s="122"/>
      <c r="HT364" s="122"/>
      <c r="HU364" s="122"/>
      <c r="HV364" s="122"/>
      <c r="HW364" s="122"/>
      <c r="HX364" s="122"/>
      <c r="HY364" s="122"/>
      <c r="HZ364" s="122"/>
      <c r="IA364" s="122"/>
      <c r="IB364" s="122"/>
      <c r="IC364" s="122"/>
      <c r="ID364" s="122"/>
      <c r="IE364" s="122"/>
      <c r="IF364" s="122"/>
      <c r="IG364" s="122"/>
      <c r="IH364" s="122"/>
      <c r="II364" s="122"/>
      <c r="IJ364" s="122"/>
      <c r="IK364" s="122"/>
      <c r="IL364" s="122"/>
      <c r="IM364" s="122"/>
      <c r="IN364" s="122"/>
      <c r="IO364" s="122"/>
      <c r="IP364" s="122"/>
      <c r="IQ364" s="122"/>
      <c r="IR364" s="122"/>
      <c r="IS364" s="122"/>
      <c r="IT364" s="122"/>
      <c r="IU364" s="122"/>
      <c r="IV364" s="122"/>
      <c r="IW364" s="122"/>
      <c r="IX364" s="122"/>
      <c r="IY364" s="122"/>
      <c r="IZ364" s="122"/>
      <c r="JA364" s="122"/>
      <c r="JB364" s="122"/>
      <c r="JC364" s="122"/>
      <c r="JD364" s="122"/>
      <c r="JE364" s="122"/>
      <c r="JF364" s="122"/>
      <c r="JG364" s="122"/>
      <c r="JH364" s="122"/>
      <c r="JI364" s="119"/>
      <c r="JJ364" s="2"/>
      <c r="JK364" s="122"/>
      <c r="JL364" s="125"/>
      <c r="JM364" s="125"/>
      <c r="JN364" s="125"/>
      <c r="JO364" s="125"/>
      <c r="JP364" s="125"/>
    </row>
    <row r="365" spans="1:276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  <c r="AK365" s="122"/>
      <c r="AL365" s="122"/>
      <c r="AM365" s="122"/>
      <c r="AN365" s="122"/>
      <c r="AO365" s="122"/>
      <c r="AP365" s="122"/>
      <c r="AQ365" s="122"/>
      <c r="AR365" s="122"/>
      <c r="AS365" s="122"/>
      <c r="AT365" s="122"/>
      <c r="AU365" s="122"/>
      <c r="AV365" s="122"/>
      <c r="AW365" s="122"/>
      <c r="AX365" s="122"/>
      <c r="AY365" s="122"/>
      <c r="AZ365" s="122"/>
      <c r="BA365" s="122"/>
      <c r="BB365" s="122"/>
      <c r="BC365" s="122"/>
      <c r="BD365" s="122"/>
      <c r="BE365" s="122"/>
      <c r="BF365" s="122"/>
      <c r="BG365" s="122"/>
      <c r="BH365" s="122"/>
      <c r="BI365" s="122"/>
      <c r="BJ365" s="122"/>
      <c r="BK365" s="122"/>
      <c r="BL365" s="122"/>
      <c r="BM365" s="122"/>
      <c r="BN365" s="122"/>
      <c r="BO365" s="122"/>
      <c r="BP365" s="122"/>
      <c r="BQ365" s="122"/>
      <c r="BR365" s="122"/>
      <c r="BS365" s="122"/>
      <c r="BT365" s="122"/>
      <c r="BU365" s="122"/>
      <c r="BV365" s="122"/>
      <c r="BW365" s="122"/>
      <c r="BX365" s="122"/>
      <c r="BY365" s="122"/>
      <c r="BZ365" s="122"/>
      <c r="CA365" s="122"/>
      <c r="CB365" s="122"/>
      <c r="CC365" s="122"/>
      <c r="CD365" s="122"/>
      <c r="CE365" s="122"/>
      <c r="CF365" s="122"/>
      <c r="CG365" s="122"/>
      <c r="CH365" s="122"/>
      <c r="CI365" s="122"/>
      <c r="CJ365" s="122"/>
      <c r="CK365" s="122"/>
      <c r="CL365" s="122"/>
      <c r="CM365" s="122"/>
      <c r="CN365" s="122"/>
      <c r="CO365" s="122"/>
      <c r="CP365" s="122"/>
      <c r="CQ365" s="122"/>
      <c r="CR365" s="122"/>
      <c r="CS365" s="122"/>
      <c r="CT365" s="122"/>
      <c r="CU365" s="122"/>
      <c r="CV365" s="122"/>
      <c r="CW365" s="122"/>
      <c r="CX365" s="122"/>
      <c r="CY365" s="122"/>
      <c r="CZ365" s="122"/>
      <c r="DA365" s="122"/>
      <c r="DB365" s="122"/>
      <c r="DC365" s="122"/>
      <c r="DD365" s="122"/>
      <c r="DE365" s="122"/>
      <c r="DF365" s="122"/>
      <c r="DG365" s="122"/>
      <c r="DH365" s="122"/>
      <c r="DI365" s="122"/>
      <c r="DJ365" s="122"/>
      <c r="DK365" s="122"/>
      <c r="DL365" s="122"/>
      <c r="DM365" s="122"/>
      <c r="DN365" s="122"/>
      <c r="DO365" s="122"/>
      <c r="DP365" s="122"/>
      <c r="DQ365" s="122"/>
      <c r="DR365" s="122"/>
      <c r="DS365" s="122"/>
      <c r="DT365" s="122"/>
      <c r="DU365" s="122"/>
      <c r="DV365" s="122"/>
      <c r="DW365" s="122"/>
      <c r="DX365" s="122"/>
      <c r="DY365" s="122"/>
      <c r="DZ365" s="122"/>
      <c r="EA365" s="122"/>
      <c r="EB365" s="122"/>
      <c r="EC365" s="122"/>
      <c r="ED365" s="122"/>
      <c r="EE365" s="122"/>
      <c r="EF365" s="122"/>
      <c r="EG365" s="122"/>
      <c r="EH365" s="122"/>
      <c r="EI365" s="122"/>
      <c r="EJ365" s="122"/>
      <c r="EK365" s="122"/>
      <c r="EL365" s="122"/>
      <c r="EM365" s="122"/>
      <c r="EN365" s="122"/>
      <c r="EO365" s="122"/>
      <c r="EP365" s="122"/>
      <c r="EQ365" s="122"/>
      <c r="ER365" s="122"/>
      <c r="ES365" s="122"/>
      <c r="ET365" s="122"/>
      <c r="EU365" s="122"/>
      <c r="EV365" s="122"/>
      <c r="EW365" s="122"/>
      <c r="EX365" s="122"/>
      <c r="EY365" s="122"/>
      <c r="EZ365" s="122"/>
      <c r="FA365" s="122"/>
      <c r="FB365" s="122"/>
      <c r="FC365" s="122"/>
      <c r="FD365" s="122"/>
      <c r="FE365" s="122"/>
      <c r="FF365" s="122"/>
      <c r="FG365" s="122"/>
      <c r="FH365" s="122"/>
      <c r="FI365" s="122"/>
      <c r="FJ365" s="122"/>
      <c r="FK365" s="122"/>
      <c r="FL365" s="122"/>
      <c r="FM365" s="122"/>
      <c r="FN365" s="122"/>
      <c r="FO365" s="122"/>
      <c r="FP365" s="122"/>
      <c r="FQ365" s="122"/>
      <c r="FR365" s="122"/>
      <c r="FS365" s="122"/>
      <c r="FT365" s="122"/>
      <c r="FU365" s="122"/>
      <c r="FV365" s="122"/>
      <c r="FW365" s="122"/>
      <c r="FX365" s="122"/>
      <c r="FY365" s="122"/>
      <c r="FZ365" s="122"/>
      <c r="GA365" s="122"/>
      <c r="GB365" s="122"/>
      <c r="GC365" s="122"/>
      <c r="GD365" s="122"/>
      <c r="GE365" s="122"/>
      <c r="GF365" s="122"/>
      <c r="GG365" s="122"/>
      <c r="GH365" s="122"/>
      <c r="GI365" s="122"/>
      <c r="GJ365" s="122"/>
      <c r="GK365" s="122"/>
      <c r="GL365" s="122"/>
      <c r="GM365" s="122"/>
      <c r="GN365" s="122"/>
      <c r="GO365" s="122"/>
      <c r="GP365" s="122"/>
      <c r="GQ365" s="122"/>
      <c r="GR365" s="122"/>
      <c r="GS365" s="122"/>
      <c r="GT365" s="122"/>
      <c r="GU365" s="122"/>
      <c r="GV365" s="122"/>
      <c r="GW365" s="122"/>
      <c r="GX365" s="122"/>
      <c r="GY365" s="122"/>
      <c r="GZ365" s="122"/>
      <c r="HA365" s="122"/>
      <c r="HB365" s="122"/>
      <c r="HC365" s="122"/>
      <c r="HD365" s="122"/>
      <c r="HE365" s="122"/>
      <c r="HF365" s="122"/>
      <c r="HG365" s="122"/>
      <c r="HH365" s="122"/>
      <c r="HI365" s="122"/>
      <c r="HJ365" s="122"/>
      <c r="HK365" s="122"/>
      <c r="HL365" s="122"/>
      <c r="HM365" s="122"/>
      <c r="HN365" s="122"/>
      <c r="HO365" s="122"/>
      <c r="HP365" s="122"/>
      <c r="HQ365" s="122"/>
      <c r="HR365" s="122"/>
      <c r="HS365" s="122"/>
      <c r="HT365" s="122"/>
      <c r="HU365" s="122"/>
      <c r="HV365" s="122"/>
      <c r="HW365" s="122"/>
      <c r="HX365" s="122"/>
      <c r="HY365" s="122"/>
      <c r="HZ365" s="122"/>
      <c r="IA365" s="122"/>
      <c r="IB365" s="122"/>
      <c r="IC365" s="122"/>
      <c r="ID365" s="122"/>
      <c r="IE365" s="122"/>
      <c r="IF365" s="122"/>
      <c r="IG365" s="122"/>
      <c r="IH365" s="122"/>
      <c r="II365" s="122"/>
      <c r="IJ365" s="122"/>
      <c r="IK365" s="122"/>
      <c r="IL365" s="122"/>
      <c r="IM365" s="122"/>
      <c r="IN365" s="122"/>
      <c r="IO365" s="122"/>
      <c r="IP365" s="122"/>
      <c r="IQ365" s="122"/>
      <c r="IR365" s="122"/>
      <c r="IS365" s="122"/>
      <c r="IT365" s="122"/>
      <c r="IU365" s="122"/>
      <c r="IV365" s="122"/>
      <c r="IW365" s="122"/>
      <c r="IX365" s="122"/>
      <c r="IY365" s="122"/>
      <c r="IZ365" s="122"/>
      <c r="JA365" s="122"/>
      <c r="JB365" s="122"/>
      <c r="JC365" s="122"/>
      <c r="JD365" s="122"/>
      <c r="JE365" s="122"/>
      <c r="JF365" s="122"/>
      <c r="JG365" s="122"/>
      <c r="JH365" s="122"/>
      <c r="JI365" s="119"/>
      <c r="JJ365" s="2"/>
      <c r="JK365" s="122"/>
      <c r="JL365" s="125"/>
      <c r="JM365" s="125"/>
      <c r="JN365" s="125"/>
      <c r="JO365" s="125"/>
      <c r="JP365" s="125"/>
    </row>
    <row r="366" spans="1:27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122"/>
      <c r="AI366" s="122"/>
      <c r="AJ366" s="122"/>
      <c r="AK366" s="122"/>
      <c r="AL366" s="122"/>
      <c r="AM366" s="122"/>
      <c r="AN366" s="122"/>
      <c r="AO366" s="122"/>
      <c r="AP366" s="122"/>
      <c r="AQ366" s="122"/>
      <c r="AR366" s="122"/>
      <c r="AS366" s="122"/>
      <c r="AT366" s="122"/>
      <c r="AU366" s="122"/>
      <c r="AV366" s="122"/>
      <c r="AW366" s="122"/>
      <c r="AX366" s="122"/>
      <c r="AY366" s="122"/>
      <c r="AZ366" s="122"/>
      <c r="BA366" s="122"/>
      <c r="BB366" s="122"/>
      <c r="BC366" s="122"/>
      <c r="BD366" s="122"/>
      <c r="BE366" s="122"/>
      <c r="BF366" s="122"/>
      <c r="BG366" s="122"/>
      <c r="BH366" s="122"/>
      <c r="BI366" s="122"/>
      <c r="BJ366" s="122"/>
      <c r="BK366" s="122"/>
      <c r="BL366" s="122"/>
      <c r="BM366" s="122"/>
      <c r="BN366" s="122"/>
      <c r="BO366" s="122"/>
      <c r="BP366" s="122"/>
      <c r="BQ366" s="122"/>
      <c r="BR366" s="122"/>
      <c r="BS366" s="122"/>
      <c r="BT366" s="122"/>
      <c r="BU366" s="122"/>
      <c r="BV366" s="122"/>
      <c r="BW366" s="122"/>
      <c r="BX366" s="122"/>
      <c r="BY366" s="122"/>
      <c r="BZ366" s="122"/>
      <c r="CA366" s="122"/>
      <c r="CB366" s="122"/>
      <c r="CC366" s="122"/>
      <c r="CD366" s="122"/>
      <c r="CE366" s="122"/>
      <c r="CF366" s="122"/>
      <c r="CG366" s="122"/>
      <c r="CH366" s="122"/>
      <c r="CI366" s="122"/>
      <c r="CJ366" s="122"/>
      <c r="CK366" s="122"/>
      <c r="CL366" s="122"/>
      <c r="CM366" s="122"/>
      <c r="CN366" s="122"/>
      <c r="CO366" s="122"/>
      <c r="CP366" s="122"/>
      <c r="CQ366" s="122"/>
      <c r="CR366" s="122"/>
      <c r="CS366" s="122"/>
      <c r="CT366" s="122"/>
      <c r="CU366" s="122"/>
      <c r="CV366" s="122"/>
      <c r="CW366" s="122"/>
      <c r="CX366" s="122"/>
      <c r="CY366" s="122"/>
      <c r="CZ366" s="122"/>
      <c r="DA366" s="122"/>
      <c r="DB366" s="122"/>
      <c r="DC366" s="122"/>
      <c r="DD366" s="122"/>
      <c r="DE366" s="122"/>
      <c r="DF366" s="122"/>
      <c r="DG366" s="122"/>
      <c r="DH366" s="122"/>
      <c r="DI366" s="122"/>
      <c r="DJ366" s="122"/>
      <c r="DK366" s="122"/>
      <c r="DL366" s="122"/>
      <c r="DM366" s="122"/>
      <c r="DN366" s="122"/>
      <c r="DO366" s="122"/>
      <c r="DP366" s="122"/>
      <c r="DQ366" s="122"/>
      <c r="DR366" s="122"/>
      <c r="DS366" s="122"/>
      <c r="DT366" s="122"/>
      <c r="DU366" s="122"/>
      <c r="DV366" s="122"/>
      <c r="DW366" s="122"/>
      <c r="DX366" s="122"/>
      <c r="DY366" s="122"/>
      <c r="DZ366" s="122"/>
      <c r="EA366" s="122"/>
      <c r="EB366" s="122"/>
      <c r="EC366" s="122"/>
      <c r="ED366" s="122"/>
      <c r="EE366" s="122"/>
      <c r="EF366" s="122"/>
      <c r="EG366" s="122"/>
      <c r="EH366" s="122"/>
      <c r="EI366" s="122"/>
      <c r="EJ366" s="122"/>
      <c r="EK366" s="122"/>
      <c r="EL366" s="122"/>
      <c r="EM366" s="122"/>
      <c r="EN366" s="122"/>
      <c r="EO366" s="122"/>
      <c r="EP366" s="122"/>
      <c r="EQ366" s="122"/>
      <c r="ER366" s="122"/>
      <c r="ES366" s="122"/>
      <c r="ET366" s="122"/>
      <c r="EU366" s="122"/>
      <c r="EV366" s="122"/>
      <c r="EW366" s="122"/>
      <c r="EX366" s="122"/>
      <c r="EY366" s="122"/>
      <c r="EZ366" s="122"/>
      <c r="FA366" s="122"/>
      <c r="FB366" s="122"/>
      <c r="FC366" s="122"/>
      <c r="FD366" s="122"/>
      <c r="FE366" s="122"/>
      <c r="FF366" s="122"/>
      <c r="FG366" s="122"/>
      <c r="FH366" s="122"/>
      <c r="FI366" s="122"/>
      <c r="FJ366" s="122"/>
      <c r="FK366" s="122"/>
      <c r="FL366" s="122"/>
      <c r="FM366" s="122"/>
      <c r="FN366" s="122"/>
      <c r="FO366" s="122"/>
      <c r="FP366" s="122"/>
      <c r="FQ366" s="122"/>
      <c r="FR366" s="122"/>
      <c r="FS366" s="122"/>
      <c r="FT366" s="122"/>
      <c r="FU366" s="122"/>
      <c r="FV366" s="122"/>
      <c r="FW366" s="122"/>
      <c r="FX366" s="122"/>
      <c r="FY366" s="122"/>
      <c r="FZ366" s="122"/>
      <c r="GA366" s="122"/>
      <c r="GB366" s="122"/>
      <c r="GC366" s="122"/>
      <c r="GD366" s="122"/>
      <c r="GE366" s="122"/>
      <c r="GF366" s="122"/>
      <c r="GG366" s="122"/>
      <c r="GH366" s="122"/>
      <c r="GI366" s="122"/>
      <c r="GJ366" s="122"/>
      <c r="GK366" s="122"/>
      <c r="GL366" s="122"/>
      <c r="GM366" s="122"/>
      <c r="GN366" s="122"/>
      <c r="GO366" s="122"/>
      <c r="GP366" s="122"/>
      <c r="GQ366" s="122"/>
      <c r="GR366" s="122"/>
      <c r="GS366" s="122"/>
      <c r="GT366" s="122"/>
      <c r="GU366" s="122"/>
      <c r="GV366" s="122"/>
      <c r="GW366" s="122"/>
      <c r="GX366" s="122"/>
      <c r="GY366" s="122"/>
      <c r="GZ366" s="122"/>
      <c r="HA366" s="122"/>
      <c r="HB366" s="122"/>
      <c r="HC366" s="122"/>
      <c r="HD366" s="122"/>
      <c r="HE366" s="122"/>
      <c r="HF366" s="122"/>
      <c r="HG366" s="122"/>
      <c r="HH366" s="122"/>
      <c r="HI366" s="122"/>
      <c r="HJ366" s="122"/>
      <c r="HK366" s="122"/>
      <c r="HL366" s="122"/>
      <c r="HM366" s="122"/>
      <c r="HN366" s="122"/>
      <c r="HO366" s="122"/>
      <c r="HP366" s="122"/>
      <c r="HQ366" s="122"/>
      <c r="HR366" s="122"/>
      <c r="HS366" s="122"/>
      <c r="HT366" s="122"/>
      <c r="HU366" s="122"/>
      <c r="HV366" s="122"/>
      <c r="HW366" s="122"/>
      <c r="HX366" s="122"/>
      <c r="HY366" s="122"/>
      <c r="HZ366" s="122"/>
      <c r="IA366" s="122"/>
      <c r="IB366" s="122"/>
      <c r="IC366" s="122"/>
      <c r="ID366" s="122"/>
      <c r="IE366" s="122"/>
      <c r="IF366" s="122"/>
      <c r="IG366" s="122"/>
      <c r="IH366" s="122"/>
      <c r="II366" s="122"/>
      <c r="IJ366" s="122"/>
      <c r="IK366" s="122"/>
      <c r="IL366" s="122"/>
      <c r="IM366" s="122"/>
      <c r="IN366" s="122"/>
      <c r="IO366" s="122"/>
      <c r="IP366" s="122"/>
      <c r="IQ366" s="122"/>
      <c r="IR366" s="122"/>
      <c r="IS366" s="122"/>
      <c r="IT366" s="122"/>
      <c r="IU366" s="122"/>
      <c r="IV366" s="122"/>
      <c r="IW366" s="122"/>
      <c r="IX366" s="122"/>
      <c r="IY366" s="122"/>
      <c r="IZ366" s="122"/>
      <c r="JA366" s="122"/>
      <c r="JB366" s="122"/>
      <c r="JC366" s="122"/>
      <c r="JD366" s="122"/>
      <c r="JE366" s="122"/>
      <c r="JF366" s="122"/>
      <c r="JG366" s="122"/>
      <c r="JH366" s="122"/>
      <c r="JI366" s="119"/>
      <c r="JJ366" s="2"/>
      <c r="JK366" s="122"/>
      <c r="JL366" s="125"/>
      <c r="JM366" s="125"/>
      <c r="JN366" s="125"/>
      <c r="JO366" s="125"/>
      <c r="JP366" s="125"/>
    </row>
    <row r="367" spans="1:276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122"/>
      <c r="AJ367" s="122"/>
      <c r="AK367" s="122"/>
      <c r="AL367" s="122"/>
      <c r="AM367" s="122"/>
      <c r="AN367" s="122"/>
      <c r="AO367" s="122"/>
      <c r="AP367" s="122"/>
      <c r="AQ367" s="122"/>
      <c r="AR367" s="122"/>
      <c r="AS367" s="122"/>
      <c r="AT367" s="122"/>
      <c r="AU367" s="122"/>
      <c r="AV367" s="122"/>
      <c r="AW367" s="122"/>
      <c r="AX367" s="122"/>
      <c r="AY367" s="122"/>
      <c r="AZ367" s="122"/>
      <c r="BA367" s="122"/>
      <c r="BB367" s="122"/>
      <c r="BC367" s="122"/>
      <c r="BD367" s="122"/>
      <c r="BE367" s="122"/>
      <c r="BF367" s="122"/>
      <c r="BG367" s="122"/>
      <c r="BH367" s="122"/>
      <c r="BI367" s="122"/>
      <c r="BJ367" s="122"/>
      <c r="BK367" s="122"/>
      <c r="BL367" s="122"/>
      <c r="BM367" s="122"/>
      <c r="BN367" s="122"/>
      <c r="BO367" s="122"/>
      <c r="BP367" s="122"/>
      <c r="BQ367" s="122"/>
      <c r="BR367" s="122"/>
      <c r="BS367" s="122"/>
      <c r="BT367" s="122"/>
      <c r="BU367" s="122"/>
      <c r="BV367" s="122"/>
      <c r="BW367" s="122"/>
      <c r="BX367" s="122"/>
      <c r="BY367" s="122"/>
      <c r="BZ367" s="122"/>
      <c r="CA367" s="122"/>
      <c r="CB367" s="122"/>
      <c r="CC367" s="122"/>
      <c r="CD367" s="122"/>
      <c r="CE367" s="122"/>
      <c r="CF367" s="122"/>
      <c r="CG367" s="122"/>
      <c r="CH367" s="122"/>
      <c r="CI367" s="122"/>
      <c r="CJ367" s="122"/>
      <c r="CK367" s="122"/>
      <c r="CL367" s="122"/>
      <c r="CM367" s="122"/>
      <c r="CN367" s="122"/>
      <c r="CO367" s="122"/>
      <c r="CP367" s="122"/>
      <c r="CQ367" s="122"/>
      <c r="CR367" s="122"/>
      <c r="CS367" s="122"/>
      <c r="CT367" s="122"/>
      <c r="CU367" s="122"/>
      <c r="CV367" s="122"/>
      <c r="CW367" s="122"/>
      <c r="CX367" s="122"/>
      <c r="CY367" s="122"/>
      <c r="CZ367" s="122"/>
      <c r="DA367" s="122"/>
      <c r="DB367" s="122"/>
      <c r="DC367" s="122"/>
      <c r="DD367" s="122"/>
      <c r="DE367" s="122"/>
      <c r="DF367" s="122"/>
      <c r="DG367" s="122"/>
      <c r="DH367" s="122"/>
      <c r="DI367" s="122"/>
      <c r="DJ367" s="122"/>
      <c r="DK367" s="122"/>
      <c r="DL367" s="122"/>
      <c r="DM367" s="122"/>
      <c r="DN367" s="122"/>
      <c r="DO367" s="122"/>
      <c r="DP367" s="122"/>
      <c r="DQ367" s="122"/>
      <c r="DR367" s="122"/>
      <c r="DS367" s="122"/>
      <c r="DT367" s="122"/>
      <c r="DU367" s="122"/>
      <c r="DV367" s="122"/>
      <c r="DW367" s="122"/>
      <c r="DX367" s="122"/>
      <c r="DY367" s="122"/>
      <c r="DZ367" s="122"/>
      <c r="EA367" s="122"/>
      <c r="EB367" s="122"/>
      <c r="EC367" s="122"/>
      <c r="ED367" s="122"/>
      <c r="EE367" s="122"/>
      <c r="EF367" s="122"/>
      <c r="EG367" s="122"/>
      <c r="EH367" s="122"/>
      <c r="EI367" s="122"/>
      <c r="EJ367" s="122"/>
      <c r="EK367" s="122"/>
      <c r="EL367" s="122"/>
      <c r="EM367" s="122"/>
      <c r="EN367" s="122"/>
      <c r="EO367" s="122"/>
      <c r="EP367" s="122"/>
      <c r="EQ367" s="122"/>
      <c r="ER367" s="122"/>
      <c r="ES367" s="122"/>
      <c r="ET367" s="122"/>
      <c r="EU367" s="122"/>
      <c r="EV367" s="122"/>
      <c r="EW367" s="122"/>
      <c r="EX367" s="122"/>
      <c r="EY367" s="122"/>
      <c r="EZ367" s="122"/>
      <c r="FA367" s="122"/>
      <c r="FB367" s="122"/>
      <c r="FC367" s="122"/>
      <c r="FD367" s="122"/>
      <c r="FE367" s="122"/>
      <c r="FF367" s="122"/>
      <c r="FG367" s="122"/>
      <c r="FH367" s="122"/>
      <c r="FI367" s="122"/>
      <c r="FJ367" s="122"/>
      <c r="FK367" s="122"/>
      <c r="FL367" s="122"/>
      <c r="FM367" s="122"/>
      <c r="FN367" s="122"/>
      <c r="FO367" s="122"/>
      <c r="FP367" s="122"/>
      <c r="FQ367" s="122"/>
      <c r="FR367" s="122"/>
      <c r="FS367" s="122"/>
      <c r="FT367" s="122"/>
      <c r="FU367" s="122"/>
      <c r="FV367" s="122"/>
      <c r="FW367" s="122"/>
      <c r="FX367" s="122"/>
      <c r="FY367" s="122"/>
      <c r="FZ367" s="122"/>
      <c r="GA367" s="122"/>
      <c r="GB367" s="122"/>
      <c r="GC367" s="122"/>
      <c r="GD367" s="122"/>
      <c r="GE367" s="122"/>
      <c r="GF367" s="122"/>
      <c r="GG367" s="122"/>
      <c r="GH367" s="122"/>
      <c r="GI367" s="122"/>
      <c r="GJ367" s="122"/>
      <c r="GK367" s="122"/>
      <c r="GL367" s="122"/>
      <c r="GM367" s="122"/>
      <c r="GN367" s="122"/>
      <c r="GO367" s="122"/>
      <c r="GP367" s="122"/>
      <c r="GQ367" s="122"/>
      <c r="GR367" s="122"/>
      <c r="GS367" s="122"/>
      <c r="GT367" s="122"/>
      <c r="GU367" s="122"/>
      <c r="GV367" s="122"/>
      <c r="GW367" s="122"/>
      <c r="GX367" s="122"/>
      <c r="GY367" s="122"/>
      <c r="GZ367" s="122"/>
      <c r="HA367" s="122"/>
      <c r="HB367" s="122"/>
      <c r="HC367" s="122"/>
      <c r="HD367" s="122"/>
      <c r="HE367" s="122"/>
      <c r="HF367" s="122"/>
      <c r="HG367" s="122"/>
      <c r="HH367" s="122"/>
      <c r="HI367" s="122"/>
      <c r="HJ367" s="122"/>
      <c r="HK367" s="122"/>
      <c r="HL367" s="122"/>
      <c r="HM367" s="122"/>
      <c r="HN367" s="122"/>
      <c r="HO367" s="122"/>
      <c r="HP367" s="122"/>
      <c r="HQ367" s="122"/>
      <c r="HR367" s="122"/>
      <c r="HS367" s="122"/>
      <c r="HT367" s="122"/>
      <c r="HU367" s="122"/>
      <c r="HV367" s="122"/>
      <c r="HW367" s="122"/>
      <c r="HX367" s="122"/>
      <c r="HY367" s="122"/>
      <c r="HZ367" s="122"/>
      <c r="IA367" s="122"/>
      <c r="IB367" s="122"/>
      <c r="IC367" s="122"/>
      <c r="ID367" s="122"/>
      <c r="IE367" s="122"/>
      <c r="IF367" s="122"/>
      <c r="IG367" s="122"/>
      <c r="IH367" s="122"/>
      <c r="II367" s="122"/>
      <c r="IJ367" s="122"/>
      <c r="IK367" s="122"/>
      <c r="IL367" s="122"/>
      <c r="IM367" s="122"/>
      <c r="IN367" s="122"/>
      <c r="IO367" s="122"/>
      <c r="IP367" s="122"/>
      <c r="IQ367" s="122"/>
      <c r="IR367" s="122"/>
      <c r="IS367" s="122"/>
      <c r="IT367" s="122"/>
      <c r="IU367" s="122"/>
      <c r="IV367" s="122"/>
      <c r="IW367" s="122"/>
      <c r="IX367" s="122"/>
      <c r="IY367" s="122"/>
      <c r="IZ367" s="122"/>
      <c r="JA367" s="122"/>
      <c r="JB367" s="122"/>
      <c r="JC367" s="122"/>
      <c r="JD367" s="122"/>
      <c r="JE367" s="122"/>
      <c r="JF367" s="122"/>
      <c r="JG367" s="122"/>
      <c r="JH367" s="122"/>
      <c r="JI367" s="119"/>
      <c r="JJ367" s="2"/>
      <c r="JK367" s="122"/>
      <c r="JL367" s="125"/>
      <c r="JM367" s="125"/>
      <c r="JN367" s="125"/>
      <c r="JO367" s="125"/>
      <c r="JP367" s="125"/>
    </row>
    <row r="368" spans="1:276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122"/>
      <c r="AI368" s="122"/>
      <c r="AJ368" s="122"/>
      <c r="AK368" s="122"/>
      <c r="AL368" s="122"/>
      <c r="AM368" s="122"/>
      <c r="AN368" s="122"/>
      <c r="AO368" s="122"/>
      <c r="AP368" s="122"/>
      <c r="AQ368" s="122"/>
      <c r="AR368" s="122"/>
      <c r="AS368" s="122"/>
      <c r="AT368" s="122"/>
      <c r="AU368" s="122"/>
      <c r="AV368" s="122"/>
      <c r="AW368" s="122"/>
      <c r="AX368" s="122"/>
      <c r="AY368" s="122"/>
      <c r="AZ368" s="122"/>
      <c r="BA368" s="122"/>
      <c r="BB368" s="122"/>
      <c r="BC368" s="122"/>
      <c r="BD368" s="122"/>
      <c r="BE368" s="122"/>
      <c r="BF368" s="122"/>
      <c r="BG368" s="122"/>
      <c r="BH368" s="122"/>
      <c r="BI368" s="122"/>
      <c r="BJ368" s="122"/>
      <c r="BK368" s="122"/>
      <c r="BL368" s="122"/>
      <c r="BM368" s="122"/>
      <c r="BN368" s="122"/>
      <c r="BO368" s="122"/>
      <c r="BP368" s="122"/>
      <c r="BQ368" s="122"/>
      <c r="BR368" s="122"/>
      <c r="BS368" s="122"/>
      <c r="BT368" s="122"/>
      <c r="BU368" s="122"/>
      <c r="BV368" s="122"/>
      <c r="BW368" s="122"/>
      <c r="BX368" s="122"/>
      <c r="BY368" s="122"/>
      <c r="BZ368" s="122"/>
      <c r="CA368" s="122"/>
      <c r="CB368" s="122"/>
      <c r="CC368" s="122"/>
      <c r="CD368" s="122"/>
      <c r="CE368" s="122"/>
      <c r="CF368" s="122"/>
      <c r="CG368" s="122"/>
      <c r="CH368" s="122"/>
      <c r="CI368" s="122"/>
      <c r="CJ368" s="122"/>
      <c r="CK368" s="122"/>
      <c r="CL368" s="122"/>
      <c r="CM368" s="122"/>
      <c r="CN368" s="122"/>
      <c r="CO368" s="122"/>
      <c r="CP368" s="122"/>
      <c r="CQ368" s="122"/>
      <c r="CR368" s="122"/>
      <c r="CS368" s="122"/>
      <c r="CT368" s="122"/>
      <c r="CU368" s="122"/>
      <c r="CV368" s="122"/>
      <c r="CW368" s="122"/>
      <c r="CX368" s="122"/>
      <c r="CY368" s="122"/>
      <c r="CZ368" s="122"/>
      <c r="DA368" s="122"/>
      <c r="DB368" s="122"/>
      <c r="DC368" s="122"/>
      <c r="DD368" s="122"/>
      <c r="DE368" s="122"/>
      <c r="DF368" s="122"/>
      <c r="DG368" s="122"/>
      <c r="DH368" s="122"/>
      <c r="DI368" s="122"/>
      <c r="DJ368" s="122"/>
      <c r="DK368" s="122"/>
      <c r="DL368" s="122"/>
      <c r="DM368" s="122"/>
      <c r="DN368" s="122"/>
      <c r="DO368" s="122"/>
      <c r="DP368" s="122"/>
      <c r="DQ368" s="122"/>
      <c r="DR368" s="122"/>
      <c r="DS368" s="122"/>
      <c r="DT368" s="122"/>
      <c r="DU368" s="122"/>
      <c r="DV368" s="122"/>
      <c r="DW368" s="122"/>
      <c r="DX368" s="122"/>
      <c r="DY368" s="122"/>
      <c r="DZ368" s="122"/>
      <c r="EA368" s="122"/>
      <c r="EB368" s="122"/>
      <c r="EC368" s="122"/>
      <c r="ED368" s="122"/>
      <c r="EE368" s="122"/>
      <c r="EF368" s="122"/>
      <c r="EG368" s="122"/>
      <c r="EH368" s="122"/>
      <c r="EI368" s="122"/>
      <c r="EJ368" s="122"/>
      <c r="EK368" s="122"/>
      <c r="EL368" s="122"/>
      <c r="EM368" s="122"/>
      <c r="EN368" s="122"/>
      <c r="EO368" s="122"/>
      <c r="EP368" s="122"/>
      <c r="EQ368" s="122"/>
      <c r="ER368" s="122"/>
      <c r="ES368" s="122"/>
      <c r="ET368" s="122"/>
      <c r="EU368" s="122"/>
      <c r="EV368" s="122"/>
      <c r="EW368" s="122"/>
      <c r="EX368" s="122"/>
      <c r="EY368" s="122"/>
      <c r="EZ368" s="122"/>
      <c r="FA368" s="122"/>
      <c r="FB368" s="122"/>
      <c r="FC368" s="122"/>
      <c r="FD368" s="122"/>
      <c r="FE368" s="122"/>
      <c r="FF368" s="122"/>
      <c r="FG368" s="122"/>
      <c r="FH368" s="122"/>
      <c r="FI368" s="122"/>
      <c r="FJ368" s="122"/>
      <c r="FK368" s="122"/>
      <c r="FL368" s="122"/>
      <c r="FM368" s="122"/>
      <c r="FN368" s="122"/>
      <c r="FO368" s="122"/>
      <c r="FP368" s="122"/>
      <c r="FQ368" s="122"/>
      <c r="FR368" s="122"/>
      <c r="FS368" s="122"/>
      <c r="FT368" s="122"/>
      <c r="FU368" s="122"/>
      <c r="FV368" s="122"/>
      <c r="FW368" s="122"/>
      <c r="FX368" s="122"/>
      <c r="FY368" s="122"/>
      <c r="FZ368" s="122"/>
      <c r="GA368" s="122"/>
      <c r="GB368" s="122"/>
      <c r="GC368" s="122"/>
      <c r="GD368" s="122"/>
      <c r="GE368" s="122"/>
      <c r="GF368" s="122"/>
      <c r="GG368" s="122"/>
      <c r="GH368" s="122"/>
      <c r="GI368" s="122"/>
      <c r="GJ368" s="122"/>
      <c r="GK368" s="122"/>
      <c r="GL368" s="122"/>
      <c r="GM368" s="122"/>
      <c r="GN368" s="122"/>
      <c r="GO368" s="122"/>
      <c r="GP368" s="122"/>
      <c r="GQ368" s="122"/>
      <c r="GR368" s="122"/>
      <c r="GS368" s="122"/>
      <c r="GT368" s="122"/>
      <c r="GU368" s="122"/>
      <c r="GV368" s="122"/>
      <c r="GW368" s="122"/>
      <c r="GX368" s="122"/>
      <c r="GY368" s="122"/>
      <c r="GZ368" s="122"/>
      <c r="HA368" s="122"/>
      <c r="HB368" s="122"/>
      <c r="HC368" s="122"/>
      <c r="HD368" s="122"/>
      <c r="HE368" s="122"/>
      <c r="HF368" s="122"/>
      <c r="HG368" s="122"/>
      <c r="HH368" s="122"/>
      <c r="HI368" s="122"/>
      <c r="HJ368" s="122"/>
      <c r="HK368" s="122"/>
      <c r="HL368" s="122"/>
      <c r="HM368" s="122"/>
      <c r="HN368" s="122"/>
      <c r="HO368" s="122"/>
      <c r="HP368" s="122"/>
      <c r="HQ368" s="122"/>
      <c r="HR368" s="122"/>
      <c r="HS368" s="122"/>
      <c r="HT368" s="122"/>
      <c r="HU368" s="122"/>
      <c r="HV368" s="122"/>
      <c r="HW368" s="122"/>
      <c r="HX368" s="122"/>
      <c r="HY368" s="122"/>
      <c r="HZ368" s="122"/>
      <c r="IA368" s="122"/>
      <c r="IB368" s="122"/>
      <c r="IC368" s="122"/>
      <c r="ID368" s="122"/>
      <c r="IE368" s="122"/>
      <c r="IF368" s="122"/>
      <c r="IG368" s="122"/>
      <c r="IH368" s="122"/>
      <c r="II368" s="122"/>
      <c r="IJ368" s="122"/>
      <c r="IK368" s="122"/>
      <c r="IL368" s="122"/>
      <c r="IM368" s="122"/>
      <c r="IN368" s="122"/>
      <c r="IO368" s="122"/>
      <c r="IP368" s="122"/>
      <c r="IQ368" s="122"/>
      <c r="IR368" s="122"/>
      <c r="IS368" s="122"/>
      <c r="IT368" s="122"/>
      <c r="IU368" s="122"/>
      <c r="IV368" s="122"/>
      <c r="IW368" s="122"/>
      <c r="IX368" s="122"/>
      <c r="IY368" s="122"/>
      <c r="IZ368" s="122"/>
      <c r="JA368" s="122"/>
      <c r="JB368" s="122"/>
      <c r="JC368" s="122"/>
      <c r="JD368" s="122"/>
      <c r="JE368" s="122"/>
      <c r="JF368" s="122"/>
      <c r="JG368" s="122"/>
      <c r="JH368" s="122"/>
      <c r="JI368" s="119"/>
      <c r="JJ368" s="2"/>
      <c r="JK368" s="122"/>
      <c r="JL368" s="125"/>
      <c r="JM368" s="125"/>
      <c r="JN368" s="125"/>
      <c r="JO368" s="125"/>
      <c r="JP368" s="125"/>
    </row>
    <row r="369" spans="1:276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122"/>
      <c r="AJ369" s="122"/>
      <c r="AK369" s="122"/>
      <c r="AL369" s="122"/>
      <c r="AM369" s="122"/>
      <c r="AN369" s="122"/>
      <c r="AO369" s="122"/>
      <c r="AP369" s="122"/>
      <c r="AQ369" s="122"/>
      <c r="AR369" s="122"/>
      <c r="AS369" s="122"/>
      <c r="AT369" s="122"/>
      <c r="AU369" s="122"/>
      <c r="AV369" s="122"/>
      <c r="AW369" s="122"/>
      <c r="AX369" s="122"/>
      <c r="AY369" s="122"/>
      <c r="AZ369" s="122"/>
      <c r="BA369" s="122"/>
      <c r="BB369" s="122"/>
      <c r="BC369" s="122"/>
      <c r="BD369" s="122"/>
      <c r="BE369" s="122"/>
      <c r="BF369" s="122"/>
      <c r="BG369" s="122"/>
      <c r="BH369" s="122"/>
      <c r="BI369" s="122"/>
      <c r="BJ369" s="122"/>
      <c r="BK369" s="122"/>
      <c r="BL369" s="122"/>
      <c r="BM369" s="122"/>
      <c r="BN369" s="122"/>
      <c r="BO369" s="122"/>
      <c r="BP369" s="122"/>
      <c r="BQ369" s="122"/>
      <c r="BR369" s="122"/>
      <c r="BS369" s="122"/>
      <c r="BT369" s="122"/>
      <c r="BU369" s="122"/>
      <c r="BV369" s="122"/>
      <c r="BW369" s="122"/>
      <c r="BX369" s="122"/>
      <c r="BY369" s="122"/>
      <c r="BZ369" s="122"/>
      <c r="CA369" s="122"/>
      <c r="CB369" s="122"/>
      <c r="CC369" s="122"/>
      <c r="CD369" s="122"/>
      <c r="CE369" s="122"/>
      <c r="CF369" s="122"/>
      <c r="CG369" s="122"/>
      <c r="CH369" s="122"/>
      <c r="CI369" s="122"/>
      <c r="CJ369" s="122"/>
      <c r="CK369" s="122"/>
      <c r="CL369" s="122"/>
      <c r="CM369" s="122"/>
      <c r="CN369" s="122"/>
      <c r="CO369" s="122"/>
      <c r="CP369" s="122"/>
      <c r="CQ369" s="122"/>
      <c r="CR369" s="122"/>
      <c r="CS369" s="122"/>
      <c r="CT369" s="122"/>
      <c r="CU369" s="122"/>
      <c r="CV369" s="122"/>
      <c r="CW369" s="122"/>
      <c r="CX369" s="122"/>
      <c r="CY369" s="122"/>
      <c r="CZ369" s="122"/>
      <c r="DA369" s="122"/>
      <c r="DB369" s="122"/>
      <c r="DC369" s="122"/>
      <c r="DD369" s="122"/>
      <c r="DE369" s="122"/>
      <c r="DF369" s="122"/>
      <c r="DG369" s="122"/>
      <c r="DH369" s="122"/>
      <c r="DI369" s="122"/>
      <c r="DJ369" s="122"/>
      <c r="DK369" s="122"/>
      <c r="DL369" s="122"/>
      <c r="DM369" s="122"/>
      <c r="DN369" s="122"/>
      <c r="DO369" s="122"/>
      <c r="DP369" s="122"/>
      <c r="DQ369" s="122"/>
      <c r="DR369" s="122"/>
      <c r="DS369" s="122"/>
      <c r="DT369" s="122"/>
      <c r="DU369" s="122"/>
      <c r="DV369" s="122"/>
      <c r="DW369" s="122"/>
      <c r="DX369" s="122"/>
      <c r="DY369" s="122"/>
      <c r="DZ369" s="122"/>
      <c r="EA369" s="122"/>
      <c r="EB369" s="122"/>
      <c r="EC369" s="122"/>
      <c r="ED369" s="122"/>
      <c r="EE369" s="122"/>
      <c r="EF369" s="122"/>
      <c r="EG369" s="122"/>
      <c r="EH369" s="122"/>
      <c r="EI369" s="122"/>
      <c r="EJ369" s="122"/>
      <c r="EK369" s="122"/>
      <c r="EL369" s="122"/>
      <c r="EM369" s="122"/>
      <c r="EN369" s="122"/>
      <c r="EO369" s="122"/>
      <c r="EP369" s="122"/>
      <c r="EQ369" s="122"/>
      <c r="ER369" s="122"/>
      <c r="ES369" s="122"/>
      <c r="ET369" s="122"/>
      <c r="EU369" s="122"/>
      <c r="EV369" s="122"/>
      <c r="EW369" s="122"/>
      <c r="EX369" s="122"/>
      <c r="EY369" s="122"/>
      <c r="EZ369" s="122"/>
      <c r="FA369" s="122"/>
      <c r="FB369" s="122"/>
      <c r="FC369" s="122"/>
      <c r="FD369" s="122"/>
      <c r="FE369" s="122"/>
      <c r="FF369" s="122"/>
      <c r="FG369" s="122"/>
      <c r="FH369" s="122"/>
      <c r="FI369" s="122"/>
      <c r="FJ369" s="122"/>
      <c r="FK369" s="122"/>
      <c r="FL369" s="122"/>
      <c r="FM369" s="122"/>
      <c r="FN369" s="122"/>
      <c r="FO369" s="122"/>
      <c r="FP369" s="122"/>
      <c r="FQ369" s="122"/>
      <c r="FR369" s="122"/>
      <c r="FS369" s="122"/>
      <c r="FT369" s="122"/>
      <c r="FU369" s="122"/>
      <c r="FV369" s="122"/>
      <c r="FW369" s="122"/>
      <c r="FX369" s="122"/>
      <c r="FY369" s="122"/>
      <c r="FZ369" s="122"/>
      <c r="GA369" s="122"/>
      <c r="GB369" s="122"/>
      <c r="GC369" s="122"/>
      <c r="GD369" s="122"/>
      <c r="GE369" s="122"/>
      <c r="GF369" s="122"/>
      <c r="GG369" s="122"/>
      <c r="GH369" s="122"/>
      <c r="GI369" s="122"/>
      <c r="GJ369" s="122"/>
      <c r="GK369" s="122"/>
      <c r="GL369" s="122"/>
      <c r="GM369" s="122"/>
      <c r="GN369" s="122"/>
      <c r="GO369" s="122"/>
      <c r="GP369" s="122"/>
      <c r="GQ369" s="122"/>
      <c r="GR369" s="122"/>
      <c r="GS369" s="122"/>
      <c r="GT369" s="122"/>
      <c r="GU369" s="122"/>
      <c r="GV369" s="122"/>
      <c r="GW369" s="122"/>
      <c r="GX369" s="122"/>
      <c r="GY369" s="122"/>
      <c r="GZ369" s="122"/>
      <c r="HA369" s="122"/>
      <c r="HB369" s="122"/>
      <c r="HC369" s="122"/>
      <c r="HD369" s="122"/>
      <c r="HE369" s="122"/>
      <c r="HF369" s="122"/>
      <c r="HG369" s="122"/>
      <c r="HH369" s="122"/>
      <c r="HI369" s="122"/>
      <c r="HJ369" s="122"/>
      <c r="HK369" s="122"/>
      <c r="HL369" s="122"/>
      <c r="HM369" s="122"/>
      <c r="HN369" s="122"/>
      <c r="HO369" s="122"/>
      <c r="HP369" s="122"/>
      <c r="HQ369" s="122"/>
      <c r="HR369" s="122"/>
      <c r="HS369" s="122"/>
      <c r="HT369" s="122"/>
      <c r="HU369" s="122"/>
      <c r="HV369" s="122"/>
      <c r="HW369" s="122"/>
      <c r="HX369" s="122"/>
      <c r="HY369" s="122"/>
      <c r="HZ369" s="122"/>
      <c r="IA369" s="122"/>
      <c r="IB369" s="122"/>
      <c r="IC369" s="122"/>
      <c r="ID369" s="122"/>
      <c r="IE369" s="122"/>
      <c r="IF369" s="122"/>
      <c r="IG369" s="122"/>
      <c r="IH369" s="122"/>
      <c r="II369" s="122"/>
      <c r="IJ369" s="122"/>
      <c r="IK369" s="122"/>
      <c r="IL369" s="122"/>
      <c r="IM369" s="122"/>
      <c r="IN369" s="122"/>
      <c r="IO369" s="122"/>
      <c r="IP369" s="122"/>
      <c r="IQ369" s="122"/>
      <c r="IR369" s="122"/>
      <c r="IS369" s="122"/>
      <c r="IT369" s="122"/>
      <c r="IU369" s="122"/>
      <c r="IV369" s="122"/>
      <c r="IW369" s="122"/>
      <c r="IX369" s="122"/>
      <c r="IY369" s="122"/>
      <c r="IZ369" s="122"/>
      <c r="JA369" s="122"/>
      <c r="JB369" s="122"/>
      <c r="JC369" s="122"/>
      <c r="JD369" s="122"/>
      <c r="JE369" s="122"/>
      <c r="JF369" s="122"/>
      <c r="JG369" s="122"/>
      <c r="JH369" s="122"/>
      <c r="JI369" s="119"/>
      <c r="JJ369" s="2"/>
      <c r="JK369" s="122"/>
      <c r="JL369" s="125"/>
      <c r="JM369" s="125"/>
      <c r="JN369" s="125"/>
      <c r="JO369" s="125"/>
      <c r="JP369" s="125"/>
    </row>
    <row r="370" spans="1:276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  <c r="AI370" s="122"/>
      <c r="AJ370" s="122"/>
      <c r="AK370" s="122"/>
      <c r="AL370" s="122"/>
      <c r="AM370" s="122"/>
      <c r="AN370" s="122"/>
      <c r="AO370" s="122"/>
      <c r="AP370" s="122"/>
      <c r="AQ370" s="122"/>
      <c r="AR370" s="122"/>
      <c r="AS370" s="122"/>
      <c r="AT370" s="122"/>
      <c r="AU370" s="122"/>
      <c r="AV370" s="122"/>
      <c r="AW370" s="122"/>
      <c r="AX370" s="122"/>
      <c r="AY370" s="122"/>
      <c r="AZ370" s="122"/>
      <c r="BA370" s="122"/>
      <c r="BB370" s="122"/>
      <c r="BC370" s="122"/>
      <c r="BD370" s="122"/>
      <c r="BE370" s="122"/>
      <c r="BF370" s="122"/>
      <c r="BG370" s="122"/>
      <c r="BH370" s="122"/>
      <c r="BI370" s="122"/>
      <c r="BJ370" s="122"/>
      <c r="BK370" s="122"/>
      <c r="BL370" s="122"/>
      <c r="BM370" s="122"/>
      <c r="BN370" s="122"/>
      <c r="BO370" s="122"/>
      <c r="BP370" s="122"/>
      <c r="BQ370" s="122"/>
      <c r="BR370" s="122"/>
      <c r="BS370" s="122"/>
      <c r="BT370" s="122"/>
      <c r="BU370" s="122"/>
      <c r="BV370" s="122"/>
      <c r="BW370" s="122"/>
      <c r="BX370" s="122"/>
      <c r="BY370" s="122"/>
      <c r="BZ370" s="122"/>
      <c r="CA370" s="122"/>
      <c r="CB370" s="122"/>
      <c r="CC370" s="122"/>
      <c r="CD370" s="122"/>
      <c r="CE370" s="122"/>
      <c r="CF370" s="122"/>
      <c r="CG370" s="122"/>
      <c r="CH370" s="122"/>
      <c r="CI370" s="122"/>
      <c r="CJ370" s="122"/>
      <c r="CK370" s="122"/>
      <c r="CL370" s="122"/>
      <c r="CM370" s="122"/>
      <c r="CN370" s="122"/>
      <c r="CO370" s="122"/>
      <c r="CP370" s="122"/>
      <c r="CQ370" s="122"/>
      <c r="CR370" s="122"/>
      <c r="CS370" s="122"/>
      <c r="CT370" s="122"/>
      <c r="CU370" s="122"/>
      <c r="CV370" s="122"/>
      <c r="CW370" s="122"/>
      <c r="CX370" s="122"/>
      <c r="CY370" s="122"/>
      <c r="CZ370" s="122"/>
      <c r="DA370" s="122"/>
      <c r="DB370" s="122"/>
      <c r="DC370" s="122"/>
      <c r="DD370" s="122"/>
      <c r="DE370" s="122"/>
      <c r="DF370" s="122"/>
      <c r="DG370" s="122"/>
      <c r="DH370" s="122"/>
      <c r="DI370" s="122"/>
      <c r="DJ370" s="122"/>
      <c r="DK370" s="122"/>
      <c r="DL370" s="122"/>
      <c r="DM370" s="122"/>
      <c r="DN370" s="122"/>
      <c r="DO370" s="122"/>
      <c r="DP370" s="122"/>
      <c r="DQ370" s="122"/>
      <c r="DR370" s="122"/>
      <c r="DS370" s="122"/>
      <c r="DT370" s="122"/>
      <c r="DU370" s="122"/>
      <c r="DV370" s="122"/>
      <c r="DW370" s="122"/>
      <c r="DX370" s="122"/>
      <c r="DY370" s="122"/>
      <c r="DZ370" s="122"/>
      <c r="EA370" s="122"/>
      <c r="EB370" s="122"/>
      <c r="EC370" s="122"/>
      <c r="ED370" s="122"/>
      <c r="EE370" s="122"/>
      <c r="EF370" s="122"/>
      <c r="EG370" s="122"/>
      <c r="EH370" s="122"/>
      <c r="EI370" s="122"/>
      <c r="EJ370" s="122"/>
      <c r="EK370" s="122"/>
      <c r="EL370" s="122"/>
      <c r="EM370" s="122"/>
      <c r="EN370" s="122"/>
      <c r="EO370" s="122"/>
      <c r="EP370" s="122"/>
      <c r="EQ370" s="122"/>
      <c r="ER370" s="122"/>
      <c r="ES370" s="122"/>
      <c r="ET370" s="122"/>
      <c r="EU370" s="122"/>
      <c r="EV370" s="122"/>
      <c r="EW370" s="122"/>
      <c r="EX370" s="122"/>
      <c r="EY370" s="122"/>
      <c r="EZ370" s="122"/>
      <c r="FA370" s="122"/>
      <c r="FB370" s="122"/>
      <c r="FC370" s="122"/>
      <c r="FD370" s="122"/>
      <c r="FE370" s="122"/>
      <c r="FF370" s="122"/>
      <c r="FG370" s="122"/>
      <c r="FH370" s="122"/>
      <c r="FI370" s="122"/>
      <c r="FJ370" s="122"/>
      <c r="FK370" s="122"/>
      <c r="FL370" s="122"/>
      <c r="FM370" s="122"/>
      <c r="FN370" s="122"/>
      <c r="FO370" s="122"/>
      <c r="FP370" s="122"/>
      <c r="FQ370" s="122"/>
      <c r="FR370" s="122"/>
      <c r="FS370" s="122"/>
      <c r="FT370" s="122"/>
      <c r="FU370" s="122"/>
      <c r="FV370" s="122"/>
      <c r="FW370" s="122"/>
      <c r="FX370" s="122"/>
      <c r="FY370" s="122"/>
      <c r="FZ370" s="122"/>
      <c r="GA370" s="122"/>
      <c r="GB370" s="122"/>
      <c r="GC370" s="122"/>
      <c r="GD370" s="122"/>
      <c r="GE370" s="122"/>
      <c r="GF370" s="122"/>
      <c r="GG370" s="122"/>
      <c r="GH370" s="122"/>
      <c r="GI370" s="122"/>
      <c r="GJ370" s="122"/>
      <c r="GK370" s="122"/>
      <c r="GL370" s="122"/>
      <c r="GM370" s="122"/>
      <c r="GN370" s="122"/>
      <c r="GO370" s="122"/>
      <c r="GP370" s="122"/>
      <c r="GQ370" s="122"/>
      <c r="GR370" s="122"/>
      <c r="GS370" s="122"/>
      <c r="GT370" s="122"/>
      <c r="GU370" s="122"/>
      <c r="GV370" s="122"/>
      <c r="GW370" s="122"/>
      <c r="GX370" s="122"/>
      <c r="GY370" s="122"/>
      <c r="GZ370" s="122"/>
      <c r="HA370" s="122"/>
      <c r="HB370" s="122"/>
      <c r="HC370" s="122"/>
      <c r="HD370" s="122"/>
      <c r="HE370" s="122"/>
      <c r="HF370" s="122"/>
      <c r="HG370" s="122"/>
      <c r="HH370" s="122"/>
      <c r="HI370" s="122"/>
      <c r="HJ370" s="122"/>
      <c r="HK370" s="122"/>
      <c r="HL370" s="122"/>
      <c r="HM370" s="122"/>
      <c r="HN370" s="122"/>
      <c r="HO370" s="122"/>
      <c r="HP370" s="122"/>
      <c r="HQ370" s="122"/>
      <c r="HR370" s="122"/>
      <c r="HS370" s="122"/>
      <c r="HT370" s="122"/>
      <c r="HU370" s="122"/>
      <c r="HV370" s="122"/>
      <c r="HW370" s="122"/>
      <c r="HX370" s="122"/>
      <c r="HY370" s="122"/>
      <c r="HZ370" s="122"/>
      <c r="IA370" s="122"/>
      <c r="IB370" s="122"/>
      <c r="IC370" s="122"/>
      <c r="ID370" s="122"/>
      <c r="IE370" s="122"/>
      <c r="IF370" s="122"/>
      <c r="IG370" s="122"/>
      <c r="IH370" s="122"/>
      <c r="II370" s="122"/>
      <c r="IJ370" s="122"/>
      <c r="IK370" s="122"/>
      <c r="IL370" s="122"/>
      <c r="IM370" s="122"/>
      <c r="IN370" s="122"/>
      <c r="IO370" s="122"/>
      <c r="IP370" s="122"/>
      <c r="IQ370" s="122"/>
      <c r="IR370" s="122"/>
      <c r="IS370" s="122"/>
      <c r="IT370" s="122"/>
      <c r="IU370" s="122"/>
      <c r="IV370" s="122"/>
      <c r="IW370" s="122"/>
      <c r="IX370" s="122"/>
      <c r="IY370" s="122"/>
      <c r="IZ370" s="122"/>
      <c r="JA370" s="122"/>
      <c r="JB370" s="122"/>
      <c r="JC370" s="122"/>
      <c r="JD370" s="122"/>
      <c r="JE370" s="122"/>
      <c r="JF370" s="122"/>
      <c r="JG370" s="122"/>
      <c r="JH370" s="122"/>
      <c r="JI370" s="119"/>
      <c r="JJ370" s="2"/>
      <c r="JK370" s="122"/>
      <c r="JL370" s="125"/>
      <c r="JM370" s="125"/>
      <c r="JN370" s="125"/>
      <c r="JO370" s="125"/>
      <c r="JP370" s="125"/>
    </row>
    <row r="371" spans="1:276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  <c r="AK371" s="122"/>
      <c r="AL371" s="122"/>
      <c r="AM371" s="122"/>
      <c r="AN371" s="122"/>
      <c r="AO371" s="122"/>
      <c r="AP371" s="122"/>
      <c r="AQ371" s="122"/>
      <c r="AR371" s="122"/>
      <c r="AS371" s="122"/>
      <c r="AT371" s="122"/>
      <c r="AU371" s="122"/>
      <c r="AV371" s="122"/>
      <c r="AW371" s="122"/>
      <c r="AX371" s="122"/>
      <c r="AY371" s="122"/>
      <c r="AZ371" s="122"/>
      <c r="BA371" s="122"/>
      <c r="BB371" s="122"/>
      <c r="BC371" s="122"/>
      <c r="BD371" s="122"/>
      <c r="BE371" s="122"/>
      <c r="BF371" s="122"/>
      <c r="BG371" s="122"/>
      <c r="BH371" s="122"/>
      <c r="BI371" s="122"/>
      <c r="BJ371" s="122"/>
      <c r="BK371" s="122"/>
      <c r="BL371" s="122"/>
      <c r="BM371" s="122"/>
      <c r="BN371" s="122"/>
      <c r="BO371" s="122"/>
      <c r="BP371" s="122"/>
      <c r="BQ371" s="122"/>
      <c r="BR371" s="122"/>
      <c r="BS371" s="122"/>
      <c r="BT371" s="122"/>
      <c r="BU371" s="122"/>
      <c r="BV371" s="122"/>
      <c r="BW371" s="122"/>
      <c r="BX371" s="122"/>
      <c r="BY371" s="122"/>
      <c r="BZ371" s="122"/>
      <c r="CA371" s="122"/>
      <c r="CB371" s="122"/>
      <c r="CC371" s="122"/>
      <c r="CD371" s="122"/>
      <c r="CE371" s="122"/>
      <c r="CF371" s="122"/>
      <c r="CG371" s="122"/>
      <c r="CH371" s="122"/>
      <c r="CI371" s="122"/>
      <c r="CJ371" s="122"/>
      <c r="CK371" s="122"/>
      <c r="CL371" s="122"/>
      <c r="CM371" s="122"/>
      <c r="CN371" s="122"/>
      <c r="CO371" s="122"/>
      <c r="CP371" s="122"/>
      <c r="CQ371" s="122"/>
      <c r="CR371" s="122"/>
      <c r="CS371" s="122"/>
      <c r="CT371" s="122"/>
      <c r="CU371" s="122"/>
      <c r="CV371" s="122"/>
      <c r="CW371" s="122"/>
      <c r="CX371" s="122"/>
      <c r="CY371" s="122"/>
      <c r="CZ371" s="122"/>
      <c r="DA371" s="122"/>
      <c r="DB371" s="122"/>
      <c r="DC371" s="122"/>
      <c r="DD371" s="122"/>
      <c r="DE371" s="122"/>
      <c r="DF371" s="122"/>
      <c r="DG371" s="122"/>
      <c r="DH371" s="122"/>
      <c r="DI371" s="122"/>
      <c r="DJ371" s="122"/>
      <c r="DK371" s="122"/>
      <c r="DL371" s="122"/>
      <c r="DM371" s="122"/>
      <c r="DN371" s="122"/>
      <c r="DO371" s="122"/>
      <c r="DP371" s="122"/>
      <c r="DQ371" s="122"/>
      <c r="DR371" s="122"/>
      <c r="DS371" s="122"/>
      <c r="DT371" s="122"/>
      <c r="DU371" s="122"/>
      <c r="DV371" s="122"/>
      <c r="DW371" s="122"/>
      <c r="DX371" s="122"/>
      <c r="DY371" s="122"/>
      <c r="DZ371" s="122"/>
      <c r="EA371" s="122"/>
      <c r="EB371" s="122"/>
      <c r="EC371" s="122"/>
      <c r="ED371" s="122"/>
      <c r="EE371" s="122"/>
      <c r="EF371" s="122"/>
      <c r="EG371" s="122"/>
      <c r="EH371" s="122"/>
      <c r="EI371" s="122"/>
      <c r="EJ371" s="122"/>
      <c r="EK371" s="122"/>
      <c r="EL371" s="122"/>
      <c r="EM371" s="122"/>
      <c r="EN371" s="122"/>
      <c r="EO371" s="122"/>
      <c r="EP371" s="122"/>
      <c r="EQ371" s="122"/>
      <c r="ER371" s="122"/>
      <c r="ES371" s="122"/>
      <c r="ET371" s="122"/>
      <c r="EU371" s="122"/>
      <c r="EV371" s="122"/>
      <c r="EW371" s="122"/>
      <c r="EX371" s="122"/>
      <c r="EY371" s="122"/>
      <c r="EZ371" s="122"/>
      <c r="FA371" s="122"/>
      <c r="FB371" s="122"/>
      <c r="FC371" s="122"/>
      <c r="FD371" s="122"/>
      <c r="FE371" s="122"/>
      <c r="FF371" s="122"/>
      <c r="FG371" s="122"/>
      <c r="FH371" s="122"/>
      <c r="FI371" s="122"/>
      <c r="FJ371" s="122"/>
      <c r="FK371" s="122"/>
      <c r="FL371" s="122"/>
      <c r="FM371" s="122"/>
      <c r="FN371" s="122"/>
      <c r="FO371" s="122"/>
      <c r="FP371" s="122"/>
      <c r="FQ371" s="122"/>
      <c r="FR371" s="122"/>
      <c r="FS371" s="122"/>
      <c r="FT371" s="122"/>
      <c r="FU371" s="122"/>
      <c r="FV371" s="122"/>
      <c r="FW371" s="122"/>
      <c r="FX371" s="122"/>
      <c r="FY371" s="122"/>
      <c r="FZ371" s="122"/>
      <c r="GA371" s="122"/>
      <c r="GB371" s="122"/>
      <c r="GC371" s="122"/>
      <c r="GD371" s="122"/>
      <c r="GE371" s="122"/>
      <c r="GF371" s="122"/>
      <c r="GG371" s="122"/>
      <c r="GH371" s="122"/>
      <c r="GI371" s="122"/>
      <c r="GJ371" s="122"/>
      <c r="GK371" s="122"/>
      <c r="GL371" s="122"/>
      <c r="GM371" s="122"/>
      <c r="GN371" s="122"/>
      <c r="GO371" s="122"/>
      <c r="GP371" s="122"/>
      <c r="GQ371" s="122"/>
      <c r="GR371" s="122"/>
      <c r="GS371" s="122"/>
      <c r="GT371" s="122"/>
      <c r="GU371" s="122"/>
      <c r="GV371" s="122"/>
      <c r="GW371" s="122"/>
      <c r="GX371" s="122"/>
      <c r="GY371" s="122"/>
      <c r="GZ371" s="122"/>
      <c r="HA371" s="122"/>
      <c r="HB371" s="122"/>
      <c r="HC371" s="122"/>
      <c r="HD371" s="122"/>
      <c r="HE371" s="122"/>
      <c r="HF371" s="122"/>
      <c r="HG371" s="122"/>
      <c r="HH371" s="122"/>
      <c r="HI371" s="122"/>
      <c r="HJ371" s="122"/>
      <c r="HK371" s="122"/>
      <c r="HL371" s="122"/>
      <c r="HM371" s="122"/>
      <c r="HN371" s="122"/>
      <c r="HO371" s="122"/>
      <c r="HP371" s="122"/>
      <c r="HQ371" s="122"/>
      <c r="HR371" s="122"/>
      <c r="HS371" s="122"/>
      <c r="HT371" s="122"/>
      <c r="HU371" s="122"/>
      <c r="HV371" s="122"/>
      <c r="HW371" s="122"/>
      <c r="HX371" s="122"/>
      <c r="HY371" s="122"/>
      <c r="HZ371" s="122"/>
      <c r="IA371" s="122"/>
      <c r="IB371" s="122"/>
      <c r="IC371" s="122"/>
      <c r="ID371" s="122"/>
      <c r="IE371" s="122"/>
      <c r="IF371" s="122"/>
      <c r="IG371" s="122"/>
      <c r="IH371" s="122"/>
      <c r="II371" s="122"/>
      <c r="IJ371" s="122"/>
      <c r="IK371" s="122"/>
      <c r="IL371" s="122"/>
      <c r="IM371" s="122"/>
      <c r="IN371" s="122"/>
      <c r="IO371" s="122"/>
      <c r="IP371" s="122"/>
      <c r="IQ371" s="122"/>
      <c r="IR371" s="122"/>
      <c r="IS371" s="122"/>
      <c r="IT371" s="122"/>
      <c r="IU371" s="122"/>
      <c r="IV371" s="122"/>
      <c r="IW371" s="122"/>
      <c r="IX371" s="122"/>
      <c r="IY371" s="122"/>
      <c r="IZ371" s="122"/>
      <c r="JA371" s="122"/>
      <c r="JB371" s="122"/>
      <c r="JC371" s="122"/>
      <c r="JD371" s="122"/>
      <c r="JE371" s="122"/>
      <c r="JF371" s="122"/>
      <c r="JG371" s="122"/>
      <c r="JH371" s="122"/>
      <c r="JI371" s="119"/>
      <c r="JJ371" s="2"/>
      <c r="JK371" s="122"/>
      <c r="JL371" s="125"/>
      <c r="JM371" s="125"/>
      <c r="JN371" s="125"/>
      <c r="JO371" s="125"/>
      <c r="JP371" s="125"/>
    </row>
    <row r="372" spans="1:276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122"/>
      <c r="AI372" s="122"/>
      <c r="AJ372" s="122"/>
      <c r="AK372" s="122"/>
      <c r="AL372" s="122"/>
      <c r="AM372" s="122"/>
      <c r="AN372" s="122"/>
      <c r="AO372" s="122"/>
      <c r="AP372" s="122"/>
      <c r="AQ372" s="122"/>
      <c r="AR372" s="122"/>
      <c r="AS372" s="122"/>
      <c r="AT372" s="122"/>
      <c r="AU372" s="122"/>
      <c r="AV372" s="122"/>
      <c r="AW372" s="122"/>
      <c r="AX372" s="122"/>
      <c r="AY372" s="122"/>
      <c r="AZ372" s="122"/>
      <c r="BA372" s="122"/>
      <c r="BB372" s="122"/>
      <c r="BC372" s="122"/>
      <c r="BD372" s="122"/>
      <c r="BE372" s="122"/>
      <c r="BF372" s="122"/>
      <c r="BG372" s="122"/>
      <c r="BH372" s="122"/>
      <c r="BI372" s="122"/>
      <c r="BJ372" s="122"/>
      <c r="BK372" s="122"/>
      <c r="BL372" s="122"/>
      <c r="BM372" s="122"/>
      <c r="BN372" s="122"/>
      <c r="BO372" s="122"/>
      <c r="BP372" s="122"/>
      <c r="BQ372" s="122"/>
      <c r="BR372" s="122"/>
      <c r="BS372" s="122"/>
      <c r="BT372" s="122"/>
      <c r="BU372" s="122"/>
      <c r="BV372" s="122"/>
      <c r="BW372" s="122"/>
      <c r="BX372" s="122"/>
      <c r="BY372" s="122"/>
      <c r="BZ372" s="122"/>
      <c r="CA372" s="122"/>
      <c r="CB372" s="122"/>
      <c r="CC372" s="122"/>
      <c r="CD372" s="122"/>
      <c r="CE372" s="122"/>
      <c r="CF372" s="122"/>
      <c r="CG372" s="122"/>
      <c r="CH372" s="122"/>
      <c r="CI372" s="122"/>
      <c r="CJ372" s="122"/>
      <c r="CK372" s="122"/>
      <c r="CL372" s="122"/>
      <c r="CM372" s="122"/>
      <c r="CN372" s="122"/>
      <c r="CO372" s="122"/>
      <c r="CP372" s="122"/>
      <c r="CQ372" s="122"/>
      <c r="CR372" s="122"/>
      <c r="CS372" s="122"/>
      <c r="CT372" s="122"/>
      <c r="CU372" s="122"/>
      <c r="CV372" s="122"/>
      <c r="CW372" s="122"/>
      <c r="CX372" s="122"/>
      <c r="CY372" s="122"/>
      <c r="CZ372" s="122"/>
      <c r="DA372" s="122"/>
      <c r="DB372" s="122"/>
      <c r="DC372" s="122"/>
      <c r="DD372" s="122"/>
      <c r="DE372" s="122"/>
      <c r="DF372" s="122"/>
      <c r="DG372" s="122"/>
      <c r="DH372" s="122"/>
      <c r="DI372" s="122"/>
      <c r="DJ372" s="122"/>
      <c r="DK372" s="122"/>
      <c r="DL372" s="122"/>
      <c r="DM372" s="122"/>
      <c r="DN372" s="122"/>
      <c r="DO372" s="122"/>
      <c r="DP372" s="122"/>
      <c r="DQ372" s="122"/>
      <c r="DR372" s="122"/>
      <c r="DS372" s="122"/>
      <c r="DT372" s="122"/>
      <c r="DU372" s="122"/>
      <c r="DV372" s="122"/>
      <c r="DW372" s="122"/>
      <c r="DX372" s="122"/>
      <c r="DY372" s="122"/>
      <c r="DZ372" s="122"/>
      <c r="EA372" s="122"/>
      <c r="EB372" s="122"/>
      <c r="EC372" s="122"/>
      <c r="ED372" s="122"/>
      <c r="EE372" s="122"/>
      <c r="EF372" s="122"/>
      <c r="EG372" s="122"/>
      <c r="EH372" s="122"/>
      <c r="EI372" s="122"/>
      <c r="EJ372" s="122"/>
      <c r="EK372" s="122"/>
      <c r="EL372" s="122"/>
      <c r="EM372" s="122"/>
      <c r="EN372" s="122"/>
      <c r="EO372" s="122"/>
      <c r="EP372" s="122"/>
      <c r="EQ372" s="122"/>
      <c r="ER372" s="122"/>
      <c r="ES372" s="122"/>
      <c r="ET372" s="122"/>
      <c r="EU372" s="122"/>
      <c r="EV372" s="122"/>
      <c r="EW372" s="122"/>
      <c r="EX372" s="122"/>
      <c r="EY372" s="122"/>
      <c r="EZ372" s="122"/>
      <c r="FA372" s="122"/>
      <c r="FB372" s="122"/>
      <c r="FC372" s="122"/>
      <c r="FD372" s="122"/>
      <c r="FE372" s="122"/>
      <c r="FF372" s="122"/>
      <c r="FG372" s="122"/>
      <c r="FH372" s="122"/>
      <c r="FI372" s="122"/>
      <c r="FJ372" s="122"/>
      <c r="FK372" s="122"/>
      <c r="FL372" s="122"/>
      <c r="FM372" s="122"/>
      <c r="FN372" s="122"/>
      <c r="FO372" s="122"/>
      <c r="FP372" s="122"/>
      <c r="FQ372" s="122"/>
      <c r="FR372" s="122"/>
      <c r="FS372" s="122"/>
      <c r="FT372" s="122"/>
      <c r="FU372" s="122"/>
      <c r="FV372" s="122"/>
      <c r="FW372" s="122"/>
      <c r="FX372" s="122"/>
      <c r="FY372" s="122"/>
      <c r="FZ372" s="122"/>
      <c r="GA372" s="122"/>
      <c r="GB372" s="122"/>
      <c r="GC372" s="122"/>
      <c r="GD372" s="122"/>
      <c r="GE372" s="122"/>
      <c r="GF372" s="122"/>
      <c r="GG372" s="122"/>
      <c r="GH372" s="122"/>
      <c r="GI372" s="122"/>
      <c r="GJ372" s="122"/>
      <c r="GK372" s="122"/>
      <c r="GL372" s="122"/>
      <c r="GM372" s="122"/>
      <c r="GN372" s="122"/>
      <c r="GO372" s="122"/>
      <c r="GP372" s="122"/>
      <c r="GQ372" s="122"/>
      <c r="GR372" s="122"/>
      <c r="GS372" s="122"/>
      <c r="GT372" s="122"/>
      <c r="GU372" s="122"/>
      <c r="GV372" s="122"/>
      <c r="GW372" s="122"/>
      <c r="GX372" s="122"/>
      <c r="GY372" s="122"/>
      <c r="GZ372" s="122"/>
      <c r="HA372" s="122"/>
      <c r="HB372" s="122"/>
      <c r="HC372" s="122"/>
      <c r="HD372" s="122"/>
      <c r="HE372" s="122"/>
      <c r="HF372" s="122"/>
      <c r="HG372" s="122"/>
      <c r="HH372" s="122"/>
      <c r="HI372" s="122"/>
      <c r="HJ372" s="122"/>
      <c r="HK372" s="122"/>
      <c r="HL372" s="122"/>
      <c r="HM372" s="122"/>
      <c r="HN372" s="122"/>
      <c r="HO372" s="122"/>
      <c r="HP372" s="122"/>
      <c r="HQ372" s="122"/>
      <c r="HR372" s="122"/>
      <c r="HS372" s="122"/>
      <c r="HT372" s="122"/>
      <c r="HU372" s="122"/>
      <c r="HV372" s="122"/>
      <c r="HW372" s="122"/>
      <c r="HX372" s="122"/>
      <c r="HY372" s="122"/>
      <c r="HZ372" s="122"/>
      <c r="IA372" s="122"/>
      <c r="IB372" s="122"/>
      <c r="IC372" s="122"/>
      <c r="ID372" s="122"/>
      <c r="IE372" s="122"/>
      <c r="IF372" s="122"/>
      <c r="IG372" s="122"/>
      <c r="IH372" s="122"/>
      <c r="II372" s="122"/>
      <c r="IJ372" s="122"/>
      <c r="IK372" s="122"/>
      <c r="IL372" s="122"/>
      <c r="IM372" s="122"/>
      <c r="IN372" s="122"/>
      <c r="IO372" s="122"/>
      <c r="IP372" s="122"/>
      <c r="IQ372" s="122"/>
      <c r="IR372" s="122"/>
      <c r="IS372" s="122"/>
      <c r="IT372" s="122"/>
      <c r="IU372" s="122"/>
      <c r="IV372" s="122"/>
      <c r="IW372" s="122"/>
      <c r="IX372" s="122"/>
      <c r="IY372" s="122"/>
      <c r="IZ372" s="122"/>
      <c r="JA372" s="122"/>
      <c r="JB372" s="122"/>
      <c r="JC372" s="122"/>
      <c r="JD372" s="122"/>
      <c r="JE372" s="122"/>
      <c r="JF372" s="122"/>
      <c r="JG372" s="122"/>
      <c r="JH372" s="122"/>
      <c r="JI372" s="119"/>
      <c r="JJ372" s="2"/>
      <c r="JK372" s="122"/>
      <c r="JL372" s="125"/>
      <c r="JM372" s="125"/>
      <c r="JN372" s="125"/>
      <c r="JO372" s="125"/>
      <c r="JP372" s="125"/>
    </row>
    <row r="373" spans="1:276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  <c r="AP373" s="122"/>
      <c r="AQ373" s="122"/>
      <c r="AR373" s="122"/>
      <c r="AS373" s="122"/>
      <c r="AT373" s="122"/>
      <c r="AU373" s="122"/>
      <c r="AV373" s="122"/>
      <c r="AW373" s="122"/>
      <c r="AX373" s="122"/>
      <c r="AY373" s="122"/>
      <c r="AZ373" s="122"/>
      <c r="BA373" s="122"/>
      <c r="BB373" s="122"/>
      <c r="BC373" s="122"/>
      <c r="BD373" s="122"/>
      <c r="BE373" s="122"/>
      <c r="BF373" s="122"/>
      <c r="BG373" s="122"/>
      <c r="BH373" s="122"/>
      <c r="BI373" s="122"/>
      <c r="BJ373" s="122"/>
      <c r="BK373" s="122"/>
      <c r="BL373" s="122"/>
      <c r="BM373" s="122"/>
      <c r="BN373" s="122"/>
      <c r="BO373" s="122"/>
      <c r="BP373" s="122"/>
      <c r="BQ373" s="122"/>
      <c r="BR373" s="122"/>
      <c r="BS373" s="122"/>
      <c r="BT373" s="122"/>
      <c r="BU373" s="122"/>
      <c r="BV373" s="122"/>
      <c r="BW373" s="122"/>
      <c r="BX373" s="122"/>
      <c r="BY373" s="122"/>
      <c r="BZ373" s="122"/>
      <c r="CA373" s="122"/>
      <c r="CB373" s="122"/>
      <c r="CC373" s="122"/>
      <c r="CD373" s="122"/>
      <c r="CE373" s="122"/>
      <c r="CF373" s="122"/>
      <c r="CG373" s="122"/>
      <c r="CH373" s="122"/>
      <c r="CI373" s="122"/>
      <c r="CJ373" s="122"/>
      <c r="CK373" s="122"/>
      <c r="CL373" s="122"/>
      <c r="CM373" s="122"/>
      <c r="CN373" s="122"/>
      <c r="CO373" s="122"/>
      <c r="CP373" s="122"/>
      <c r="CQ373" s="122"/>
      <c r="CR373" s="122"/>
      <c r="CS373" s="122"/>
      <c r="CT373" s="122"/>
      <c r="CU373" s="122"/>
      <c r="CV373" s="122"/>
      <c r="CW373" s="122"/>
      <c r="CX373" s="122"/>
      <c r="CY373" s="122"/>
      <c r="CZ373" s="122"/>
      <c r="DA373" s="122"/>
      <c r="DB373" s="122"/>
      <c r="DC373" s="122"/>
      <c r="DD373" s="122"/>
      <c r="DE373" s="122"/>
      <c r="DF373" s="122"/>
      <c r="DG373" s="122"/>
      <c r="DH373" s="122"/>
      <c r="DI373" s="122"/>
      <c r="DJ373" s="122"/>
      <c r="DK373" s="122"/>
      <c r="DL373" s="122"/>
      <c r="DM373" s="122"/>
      <c r="DN373" s="122"/>
      <c r="DO373" s="122"/>
      <c r="DP373" s="122"/>
      <c r="DQ373" s="122"/>
      <c r="DR373" s="122"/>
      <c r="DS373" s="122"/>
      <c r="DT373" s="122"/>
      <c r="DU373" s="122"/>
      <c r="DV373" s="122"/>
      <c r="DW373" s="122"/>
      <c r="DX373" s="122"/>
      <c r="DY373" s="122"/>
      <c r="DZ373" s="122"/>
      <c r="EA373" s="122"/>
      <c r="EB373" s="122"/>
      <c r="EC373" s="122"/>
      <c r="ED373" s="122"/>
      <c r="EE373" s="122"/>
      <c r="EF373" s="122"/>
      <c r="EG373" s="122"/>
      <c r="EH373" s="122"/>
      <c r="EI373" s="122"/>
      <c r="EJ373" s="122"/>
      <c r="EK373" s="122"/>
      <c r="EL373" s="122"/>
      <c r="EM373" s="122"/>
      <c r="EN373" s="122"/>
      <c r="EO373" s="122"/>
      <c r="EP373" s="122"/>
      <c r="EQ373" s="122"/>
      <c r="ER373" s="122"/>
      <c r="ES373" s="122"/>
      <c r="ET373" s="122"/>
      <c r="EU373" s="122"/>
      <c r="EV373" s="122"/>
      <c r="EW373" s="122"/>
      <c r="EX373" s="122"/>
      <c r="EY373" s="122"/>
      <c r="EZ373" s="122"/>
      <c r="FA373" s="122"/>
      <c r="FB373" s="122"/>
      <c r="FC373" s="122"/>
      <c r="FD373" s="122"/>
      <c r="FE373" s="122"/>
      <c r="FF373" s="122"/>
      <c r="FG373" s="122"/>
      <c r="FH373" s="122"/>
      <c r="FI373" s="122"/>
      <c r="FJ373" s="122"/>
      <c r="FK373" s="122"/>
      <c r="FL373" s="122"/>
      <c r="FM373" s="122"/>
      <c r="FN373" s="122"/>
      <c r="FO373" s="122"/>
      <c r="FP373" s="122"/>
      <c r="FQ373" s="122"/>
      <c r="FR373" s="122"/>
      <c r="FS373" s="122"/>
      <c r="FT373" s="122"/>
      <c r="FU373" s="122"/>
      <c r="FV373" s="122"/>
      <c r="FW373" s="122"/>
      <c r="FX373" s="122"/>
      <c r="FY373" s="122"/>
      <c r="FZ373" s="122"/>
      <c r="GA373" s="122"/>
      <c r="GB373" s="122"/>
      <c r="GC373" s="122"/>
      <c r="GD373" s="122"/>
      <c r="GE373" s="122"/>
      <c r="GF373" s="122"/>
      <c r="GG373" s="122"/>
      <c r="GH373" s="122"/>
      <c r="GI373" s="122"/>
      <c r="GJ373" s="122"/>
      <c r="GK373" s="122"/>
      <c r="GL373" s="122"/>
      <c r="GM373" s="122"/>
      <c r="GN373" s="122"/>
      <c r="GO373" s="122"/>
      <c r="GP373" s="122"/>
      <c r="GQ373" s="122"/>
      <c r="GR373" s="122"/>
      <c r="GS373" s="122"/>
      <c r="GT373" s="122"/>
      <c r="GU373" s="122"/>
      <c r="GV373" s="122"/>
      <c r="GW373" s="122"/>
      <c r="GX373" s="122"/>
      <c r="GY373" s="122"/>
      <c r="GZ373" s="122"/>
      <c r="HA373" s="122"/>
      <c r="HB373" s="122"/>
      <c r="HC373" s="122"/>
      <c r="HD373" s="122"/>
      <c r="HE373" s="122"/>
      <c r="HF373" s="122"/>
      <c r="HG373" s="122"/>
      <c r="HH373" s="122"/>
      <c r="HI373" s="122"/>
      <c r="HJ373" s="122"/>
      <c r="HK373" s="122"/>
      <c r="HL373" s="122"/>
      <c r="HM373" s="122"/>
      <c r="HN373" s="122"/>
      <c r="HO373" s="122"/>
      <c r="HP373" s="122"/>
      <c r="HQ373" s="122"/>
      <c r="HR373" s="122"/>
      <c r="HS373" s="122"/>
      <c r="HT373" s="122"/>
      <c r="HU373" s="122"/>
      <c r="HV373" s="122"/>
      <c r="HW373" s="122"/>
      <c r="HX373" s="122"/>
      <c r="HY373" s="122"/>
      <c r="HZ373" s="122"/>
      <c r="IA373" s="122"/>
      <c r="IB373" s="122"/>
      <c r="IC373" s="122"/>
      <c r="ID373" s="122"/>
      <c r="IE373" s="122"/>
      <c r="IF373" s="122"/>
      <c r="IG373" s="122"/>
      <c r="IH373" s="122"/>
      <c r="II373" s="122"/>
      <c r="IJ373" s="122"/>
      <c r="IK373" s="122"/>
      <c r="IL373" s="122"/>
      <c r="IM373" s="122"/>
      <c r="IN373" s="122"/>
      <c r="IO373" s="122"/>
      <c r="IP373" s="122"/>
      <c r="IQ373" s="122"/>
      <c r="IR373" s="122"/>
      <c r="IS373" s="122"/>
      <c r="IT373" s="122"/>
      <c r="IU373" s="122"/>
      <c r="IV373" s="122"/>
      <c r="IW373" s="122"/>
      <c r="IX373" s="122"/>
      <c r="IY373" s="122"/>
      <c r="IZ373" s="122"/>
      <c r="JA373" s="122"/>
      <c r="JB373" s="122"/>
      <c r="JC373" s="122"/>
      <c r="JD373" s="122"/>
      <c r="JE373" s="122"/>
      <c r="JF373" s="122"/>
      <c r="JG373" s="122"/>
      <c r="JH373" s="122"/>
      <c r="JI373" s="119"/>
      <c r="JJ373" s="2"/>
      <c r="JK373" s="122"/>
      <c r="JL373" s="125"/>
      <c r="JM373" s="125"/>
      <c r="JN373" s="125"/>
      <c r="JO373" s="125"/>
      <c r="JP373" s="125"/>
    </row>
    <row r="374" spans="1:276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122"/>
      <c r="AI374" s="122"/>
      <c r="AJ374" s="122"/>
      <c r="AK374" s="122"/>
      <c r="AL374" s="122"/>
      <c r="AM374" s="122"/>
      <c r="AN374" s="122"/>
      <c r="AO374" s="122"/>
      <c r="AP374" s="122"/>
      <c r="AQ374" s="122"/>
      <c r="AR374" s="122"/>
      <c r="AS374" s="122"/>
      <c r="AT374" s="122"/>
      <c r="AU374" s="122"/>
      <c r="AV374" s="122"/>
      <c r="AW374" s="122"/>
      <c r="AX374" s="122"/>
      <c r="AY374" s="122"/>
      <c r="AZ374" s="122"/>
      <c r="BA374" s="122"/>
      <c r="BB374" s="122"/>
      <c r="BC374" s="122"/>
      <c r="BD374" s="122"/>
      <c r="BE374" s="122"/>
      <c r="BF374" s="122"/>
      <c r="BG374" s="122"/>
      <c r="BH374" s="122"/>
      <c r="BI374" s="122"/>
      <c r="BJ374" s="122"/>
      <c r="BK374" s="122"/>
      <c r="BL374" s="122"/>
      <c r="BM374" s="122"/>
      <c r="BN374" s="122"/>
      <c r="BO374" s="122"/>
      <c r="BP374" s="122"/>
      <c r="BQ374" s="122"/>
      <c r="BR374" s="122"/>
      <c r="BS374" s="122"/>
      <c r="BT374" s="122"/>
      <c r="BU374" s="122"/>
      <c r="BV374" s="122"/>
      <c r="BW374" s="122"/>
      <c r="BX374" s="122"/>
      <c r="BY374" s="122"/>
      <c r="BZ374" s="122"/>
      <c r="CA374" s="122"/>
      <c r="CB374" s="122"/>
      <c r="CC374" s="122"/>
      <c r="CD374" s="122"/>
      <c r="CE374" s="122"/>
      <c r="CF374" s="122"/>
      <c r="CG374" s="122"/>
      <c r="CH374" s="122"/>
      <c r="CI374" s="122"/>
      <c r="CJ374" s="122"/>
      <c r="CK374" s="122"/>
      <c r="CL374" s="122"/>
      <c r="CM374" s="122"/>
      <c r="CN374" s="122"/>
      <c r="CO374" s="122"/>
      <c r="CP374" s="122"/>
      <c r="CQ374" s="122"/>
      <c r="CR374" s="122"/>
      <c r="CS374" s="122"/>
      <c r="CT374" s="122"/>
      <c r="CU374" s="122"/>
      <c r="CV374" s="122"/>
      <c r="CW374" s="122"/>
      <c r="CX374" s="122"/>
      <c r="CY374" s="122"/>
      <c r="CZ374" s="122"/>
      <c r="DA374" s="122"/>
      <c r="DB374" s="122"/>
      <c r="DC374" s="122"/>
      <c r="DD374" s="122"/>
      <c r="DE374" s="122"/>
      <c r="DF374" s="122"/>
      <c r="DG374" s="122"/>
      <c r="DH374" s="122"/>
      <c r="DI374" s="122"/>
      <c r="DJ374" s="122"/>
      <c r="DK374" s="122"/>
      <c r="DL374" s="122"/>
      <c r="DM374" s="122"/>
      <c r="DN374" s="122"/>
      <c r="DO374" s="122"/>
      <c r="DP374" s="122"/>
      <c r="DQ374" s="122"/>
      <c r="DR374" s="122"/>
      <c r="DS374" s="122"/>
      <c r="DT374" s="122"/>
      <c r="DU374" s="122"/>
      <c r="DV374" s="122"/>
      <c r="DW374" s="122"/>
      <c r="DX374" s="122"/>
      <c r="DY374" s="122"/>
      <c r="DZ374" s="122"/>
      <c r="EA374" s="122"/>
      <c r="EB374" s="122"/>
      <c r="EC374" s="122"/>
      <c r="ED374" s="122"/>
      <c r="EE374" s="122"/>
      <c r="EF374" s="122"/>
      <c r="EG374" s="122"/>
      <c r="EH374" s="122"/>
      <c r="EI374" s="122"/>
      <c r="EJ374" s="122"/>
      <c r="EK374" s="122"/>
      <c r="EL374" s="122"/>
      <c r="EM374" s="122"/>
      <c r="EN374" s="122"/>
      <c r="EO374" s="122"/>
      <c r="EP374" s="122"/>
      <c r="EQ374" s="122"/>
      <c r="ER374" s="122"/>
      <c r="ES374" s="122"/>
      <c r="ET374" s="122"/>
      <c r="EU374" s="122"/>
      <c r="EV374" s="122"/>
      <c r="EW374" s="122"/>
      <c r="EX374" s="122"/>
      <c r="EY374" s="122"/>
      <c r="EZ374" s="122"/>
      <c r="FA374" s="122"/>
      <c r="FB374" s="122"/>
      <c r="FC374" s="122"/>
      <c r="FD374" s="122"/>
      <c r="FE374" s="122"/>
      <c r="FF374" s="122"/>
      <c r="FG374" s="122"/>
      <c r="FH374" s="122"/>
      <c r="FI374" s="122"/>
      <c r="FJ374" s="122"/>
      <c r="FK374" s="122"/>
      <c r="FL374" s="122"/>
      <c r="FM374" s="122"/>
      <c r="FN374" s="122"/>
      <c r="FO374" s="122"/>
      <c r="FP374" s="122"/>
      <c r="FQ374" s="122"/>
      <c r="FR374" s="122"/>
      <c r="FS374" s="122"/>
      <c r="FT374" s="122"/>
      <c r="FU374" s="122"/>
      <c r="FV374" s="122"/>
      <c r="FW374" s="122"/>
      <c r="FX374" s="122"/>
      <c r="FY374" s="122"/>
      <c r="FZ374" s="122"/>
      <c r="GA374" s="122"/>
      <c r="GB374" s="122"/>
      <c r="GC374" s="122"/>
      <c r="GD374" s="122"/>
      <c r="GE374" s="122"/>
      <c r="GF374" s="122"/>
      <c r="GG374" s="122"/>
      <c r="GH374" s="122"/>
      <c r="GI374" s="122"/>
      <c r="GJ374" s="122"/>
      <c r="GK374" s="122"/>
      <c r="GL374" s="122"/>
      <c r="GM374" s="122"/>
      <c r="GN374" s="122"/>
      <c r="GO374" s="122"/>
      <c r="GP374" s="122"/>
      <c r="GQ374" s="122"/>
      <c r="GR374" s="122"/>
      <c r="GS374" s="122"/>
      <c r="GT374" s="122"/>
      <c r="GU374" s="122"/>
      <c r="GV374" s="122"/>
      <c r="GW374" s="122"/>
      <c r="GX374" s="122"/>
      <c r="GY374" s="122"/>
      <c r="GZ374" s="122"/>
      <c r="HA374" s="122"/>
      <c r="HB374" s="122"/>
      <c r="HC374" s="122"/>
      <c r="HD374" s="122"/>
      <c r="HE374" s="122"/>
      <c r="HF374" s="122"/>
      <c r="HG374" s="122"/>
      <c r="HH374" s="122"/>
      <c r="HI374" s="122"/>
      <c r="HJ374" s="122"/>
      <c r="HK374" s="122"/>
      <c r="HL374" s="122"/>
      <c r="HM374" s="122"/>
      <c r="HN374" s="122"/>
      <c r="HO374" s="122"/>
      <c r="HP374" s="122"/>
      <c r="HQ374" s="122"/>
      <c r="HR374" s="122"/>
      <c r="HS374" s="122"/>
      <c r="HT374" s="122"/>
      <c r="HU374" s="122"/>
      <c r="HV374" s="122"/>
      <c r="HW374" s="122"/>
      <c r="HX374" s="122"/>
      <c r="HY374" s="122"/>
      <c r="HZ374" s="122"/>
      <c r="IA374" s="122"/>
      <c r="IB374" s="122"/>
      <c r="IC374" s="122"/>
      <c r="ID374" s="122"/>
      <c r="IE374" s="122"/>
      <c r="IF374" s="122"/>
      <c r="IG374" s="122"/>
      <c r="IH374" s="122"/>
      <c r="II374" s="122"/>
      <c r="IJ374" s="122"/>
      <c r="IK374" s="122"/>
      <c r="IL374" s="122"/>
      <c r="IM374" s="122"/>
      <c r="IN374" s="122"/>
      <c r="IO374" s="122"/>
      <c r="IP374" s="122"/>
      <c r="IQ374" s="122"/>
      <c r="IR374" s="122"/>
      <c r="IS374" s="122"/>
      <c r="IT374" s="122"/>
      <c r="IU374" s="122"/>
      <c r="IV374" s="122"/>
      <c r="IW374" s="122"/>
      <c r="IX374" s="122"/>
      <c r="IY374" s="122"/>
      <c r="IZ374" s="122"/>
      <c r="JA374" s="122"/>
      <c r="JB374" s="122"/>
      <c r="JC374" s="122"/>
      <c r="JD374" s="122"/>
      <c r="JE374" s="122"/>
      <c r="JF374" s="122"/>
      <c r="JG374" s="122"/>
      <c r="JH374" s="122"/>
      <c r="JI374" s="119"/>
      <c r="JJ374" s="2"/>
      <c r="JK374" s="122"/>
      <c r="JL374" s="125"/>
      <c r="JM374" s="125"/>
      <c r="JN374" s="125"/>
      <c r="JO374" s="125"/>
      <c r="JP374" s="125"/>
    </row>
    <row r="375" spans="1:276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  <c r="AK375" s="122"/>
      <c r="AL375" s="122"/>
      <c r="AM375" s="122"/>
      <c r="AN375" s="122"/>
      <c r="AO375" s="122"/>
      <c r="AP375" s="122"/>
      <c r="AQ375" s="122"/>
      <c r="AR375" s="122"/>
      <c r="AS375" s="122"/>
      <c r="AT375" s="122"/>
      <c r="AU375" s="122"/>
      <c r="AV375" s="122"/>
      <c r="AW375" s="122"/>
      <c r="AX375" s="122"/>
      <c r="AY375" s="122"/>
      <c r="AZ375" s="122"/>
      <c r="BA375" s="122"/>
      <c r="BB375" s="122"/>
      <c r="BC375" s="122"/>
      <c r="BD375" s="122"/>
      <c r="BE375" s="122"/>
      <c r="BF375" s="122"/>
      <c r="BG375" s="122"/>
      <c r="BH375" s="122"/>
      <c r="BI375" s="122"/>
      <c r="BJ375" s="122"/>
      <c r="BK375" s="122"/>
      <c r="BL375" s="122"/>
      <c r="BM375" s="122"/>
      <c r="BN375" s="122"/>
      <c r="BO375" s="122"/>
      <c r="BP375" s="122"/>
      <c r="BQ375" s="122"/>
      <c r="BR375" s="122"/>
      <c r="BS375" s="122"/>
      <c r="BT375" s="122"/>
      <c r="BU375" s="122"/>
      <c r="BV375" s="122"/>
      <c r="BW375" s="122"/>
      <c r="BX375" s="122"/>
      <c r="BY375" s="122"/>
      <c r="BZ375" s="122"/>
      <c r="CA375" s="122"/>
      <c r="CB375" s="122"/>
      <c r="CC375" s="122"/>
      <c r="CD375" s="122"/>
      <c r="CE375" s="122"/>
      <c r="CF375" s="122"/>
      <c r="CG375" s="122"/>
      <c r="CH375" s="122"/>
      <c r="CI375" s="122"/>
      <c r="CJ375" s="122"/>
      <c r="CK375" s="122"/>
      <c r="CL375" s="122"/>
      <c r="CM375" s="122"/>
      <c r="CN375" s="122"/>
      <c r="CO375" s="122"/>
      <c r="CP375" s="122"/>
      <c r="CQ375" s="122"/>
      <c r="CR375" s="122"/>
      <c r="CS375" s="122"/>
      <c r="CT375" s="122"/>
      <c r="CU375" s="122"/>
      <c r="CV375" s="122"/>
      <c r="CW375" s="122"/>
      <c r="CX375" s="122"/>
      <c r="CY375" s="122"/>
      <c r="CZ375" s="122"/>
      <c r="DA375" s="122"/>
      <c r="DB375" s="122"/>
      <c r="DC375" s="122"/>
      <c r="DD375" s="122"/>
      <c r="DE375" s="122"/>
      <c r="DF375" s="122"/>
      <c r="DG375" s="122"/>
      <c r="DH375" s="122"/>
      <c r="DI375" s="122"/>
      <c r="DJ375" s="122"/>
      <c r="DK375" s="122"/>
      <c r="DL375" s="122"/>
      <c r="DM375" s="122"/>
      <c r="DN375" s="122"/>
      <c r="DO375" s="122"/>
      <c r="DP375" s="122"/>
      <c r="DQ375" s="122"/>
      <c r="DR375" s="122"/>
      <c r="DS375" s="122"/>
      <c r="DT375" s="122"/>
      <c r="DU375" s="122"/>
      <c r="DV375" s="122"/>
      <c r="DW375" s="122"/>
      <c r="DX375" s="122"/>
      <c r="DY375" s="122"/>
      <c r="DZ375" s="122"/>
      <c r="EA375" s="122"/>
      <c r="EB375" s="122"/>
      <c r="EC375" s="122"/>
      <c r="ED375" s="122"/>
      <c r="EE375" s="122"/>
      <c r="EF375" s="122"/>
      <c r="EG375" s="122"/>
      <c r="EH375" s="122"/>
      <c r="EI375" s="122"/>
      <c r="EJ375" s="122"/>
      <c r="EK375" s="122"/>
      <c r="EL375" s="122"/>
      <c r="EM375" s="122"/>
      <c r="EN375" s="122"/>
      <c r="EO375" s="122"/>
      <c r="EP375" s="122"/>
      <c r="EQ375" s="122"/>
      <c r="ER375" s="122"/>
      <c r="ES375" s="122"/>
      <c r="ET375" s="122"/>
      <c r="EU375" s="122"/>
      <c r="EV375" s="122"/>
      <c r="EW375" s="122"/>
      <c r="EX375" s="122"/>
      <c r="EY375" s="122"/>
      <c r="EZ375" s="122"/>
      <c r="FA375" s="122"/>
      <c r="FB375" s="122"/>
      <c r="FC375" s="122"/>
      <c r="FD375" s="122"/>
      <c r="FE375" s="122"/>
      <c r="FF375" s="122"/>
      <c r="FG375" s="122"/>
      <c r="FH375" s="122"/>
      <c r="FI375" s="122"/>
      <c r="FJ375" s="122"/>
      <c r="FK375" s="122"/>
      <c r="FL375" s="122"/>
      <c r="FM375" s="122"/>
      <c r="FN375" s="122"/>
      <c r="FO375" s="122"/>
      <c r="FP375" s="122"/>
      <c r="FQ375" s="122"/>
      <c r="FR375" s="122"/>
      <c r="FS375" s="122"/>
      <c r="FT375" s="122"/>
      <c r="FU375" s="122"/>
      <c r="FV375" s="122"/>
      <c r="FW375" s="122"/>
      <c r="FX375" s="122"/>
      <c r="FY375" s="122"/>
      <c r="FZ375" s="122"/>
      <c r="GA375" s="122"/>
      <c r="GB375" s="122"/>
      <c r="GC375" s="122"/>
      <c r="GD375" s="122"/>
      <c r="GE375" s="122"/>
      <c r="GF375" s="122"/>
      <c r="GG375" s="122"/>
      <c r="GH375" s="122"/>
      <c r="GI375" s="122"/>
      <c r="GJ375" s="122"/>
      <c r="GK375" s="122"/>
      <c r="GL375" s="122"/>
      <c r="GM375" s="122"/>
      <c r="GN375" s="122"/>
      <c r="GO375" s="122"/>
      <c r="GP375" s="122"/>
      <c r="GQ375" s="122"/>
      <c r="GR375" s="122"/>
      <c r="GS375" s="122"/>
      <c r="GT375" s="122"/>
      <c r="GU375" s="122"/>
      <c r="GV375" s="122"/>
      <c r="GW375" s="122"/>
      <c r="GX375" s="122"/>
      <c r="GY375" s="122"/>
      <c r="GZ375" s="122"/>
      <c r="HA375" s="122"/>
      <c r="HB375" s="122"/>
      <c r="HC375" s="122"/>
      <c r="HD375" s="122"/>
      <c r="HE375" s="122"/>
      <c r="HF375" s="122"/>
      <c r="HG375" s="122"/>
      <c r="HH375" s="122"/>
      <c r="HI375" s="122"/>
      <c r="HJ375" s="122"/>
      <c r="HK375" s="122"/>
      <c r="HL375" s="122"/>
      <c r="HM375" s="122"/>
      <c r="HN375" s="122"/>
      <c r="HO375" s="122"/>
      <c r="HP375" s="122"/>
      <c r="HQ375" s="122"/>
      <c r="HR375" s="122"/>
      <c r="HS375" s="122"/>
      <c r="HT375" s="122"/>
      <c r="HU375" s="122"/>
      <c r="HV375" s="122"/>
      <c r="HW375" s="122"/>
      <c r="HX375" s="122"/>
      <c r="HY375" s="122"/>
      <c r="HZ375" s="122"/>
      <c r="IA375" s="122"/>
      <c r="IB375" s="122"/>
      <c r="IC375" s="122"/>
      <c r="ID375" s="122"/>
      <c r="IE375" s="122"/>
      <c r="IF375" s="122"/>
      <c r="IG375" s="122"/>
      <c r="IH375" s="122"/>
      <c r="II375" s="122"/>
      <c r="IJ375" s="122"/>
      <c r="IK375" s="122"/>
      <c r="IL375" s="122"/>
      <c r="IM375" s="122"/>
      <c r="IN375" s="122"/>
      <c r="IO375" s="122"/>
      <c r="IP375" s="122"/>
      <c r="IQ375" s="122"/>
      <c r="IR375" s="122"/>
      <c r="IS375" s="122"/>
      <c r="IT375" s="122"/>
      <c r="IU375" s="122"/>
      <c r="IV375" s="122"/>
      <c r="IW375" s="122"/>
      <c r="IX375" s="122"/>
      <c r="IY375" s="122"/>
      <c r="IZ375" s="122"/>
      <c r="JA375" s="122"/>
      <c r="JB375" s="122"/>
      <c r="JC375" s="122"/>
      <c r="JD375" s="122"/>
      <c r="JE375" s="122"/>
      <c r="JF375" s="122"/>
      <c r="JG375" s="122"/>
      <c r="JH375" s="122"/>
      <c r="JI375" s="119"/>
      <c r="JJ375" s="2"/>
      <c r="JK375" s="122"/>
      <c r="JL375" s="125"/>
      <c r="JM375" s="125"/>
      <c r="JN375" s="125"/>
      <c r="JO375" s="125"/>
      <c r="JP375" s="125"/>
    </row>
    <row r="376" spans="1:2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122"/>
      <c r="AI376" s="122"/>
      <c r="AJ376" s="122"/>
      <c r="AK376" s="122"/>
      <c r="AL376" s="122"/>
      <c r="AM376" s="122"/>
      <c r="AN376" s="122"/>
      <c r="AO376" s="122"/>
      <c r="AP376" s="122"/>
      <c r="AQ376" s="122"/>
      <c r="AR376" s="122"/>
      <c r="AS376" s="122"/>
      <c r="AT376" s="122"/>
      <c r="AU376" s="122"/>
      <c r="AV376" s="122"/>
      <c r="AW376" s="122"/>
      <c r="AX376" s="122"/>
      <c r="AY376" s="122"/>
      <c r="AZ376" s="122"/>
      <c r="BA376" s="122"/>
      <c r="BB376" s="122"/>
      <c r="BC376" s="122"/>
      <c r="BD376" s="122"/>
      <c r="BE376" s="122"/>
      <c r="BF376" s="122"/>
      <c r="BG376" s="122"/>
      <c r="BH376" s="122"/>
      <c r="BI376" s="122"/>
      <c r="BJ376" s="122"/>
      <c r="BK376" s="122"/>
      <c r="BL376" s="122"/>
      <c r="BM376" s="122"/>
      <c r="BN376" s="122"/>
      <c r="BO376" s="122"/>
      <c r="BP376" s="122"/>
      <c r="BQ376" s="122"/>
      <c r="BR376" s="122"/>
      <c r="BS376" s="122"/>
      <c r="BT376" s="122"/>
      <c r="BU376" s="122"/>
      <c r="BV376" s="122"/>
      <c r="BW376" s="122"/>
      <c r="BX376" s="122"/>
      <c r="BY376" s="122"/>
      <c r="BZ376" s="122"/>
      <c r="CA376" s="122"/>
      <c r="CB376" s="122"/>
      <c r="CC376" s="122"/>
      <c r="CD376" s="122"/>
      <c r="CE376" s="122"/>
      <c r="CF376" s="122"/>
      <c r="CG376" s="122"/>
      <c r="CH376" s="122"/>
      <c r="CI376" s="122"/>
      <c r="CJ376" s="122"/>
      <c r="CK376" s="122"/>
      <c r="CL376" s="122"/>
      <c r="CM376" s="122"/>
      <c r="CN376" s="122"/>
      <c r="CO376" s="122"/>
      <c r="CP376" s="122"/>
      <c r="CQ376" s="122"/>
      <c r="CR376" s="122"/>
      <c r="CS376" s="122"/>
      <c r="CT376" s="122"/>
      <c r="CU376" s="122"/>
      <c r="CV376" s="122"/>
      <c r="CW376" s="122"/>
      <c r="CX376" s="122"/>
      <c r="CY376" s="122"/>
      <c r="CZ376" s="122"/>
      <c r="DA376" s="122"/>
      <c r="DB376" s="122"/>
      <c r="DC376" s="122"/>
      <c r="DD376" s="122"/>
      <c r="DE376" s="122"/>
      <c r="DF376" s="122"/>
      <c r="DG376" s="122"/>
      <c r="DH376" s="122"/>
      <c r="DI376" s="122"/>
      <c r="DJ376" s="122"/>
      <c r="DK376" s="122"/>
      <c r="DL376" s="122"/>
      <c r="DM376" s="122"/>
      <c r="DN376" s="122"/>
      <c r="DO376" s="122"/>
      <c r="DP376" s="122"/>
      <c r="DQ376" s="122"/>
      <c r="DR376" s="122"/>
      <c r="DS376" s="122"/>
      <c r="DT376" s="122"/>
      <c r="DU376" s="122"/>
      <c r="DV376" s="122"/>
      <c r="DW376" s="122"/>
      <c r="DX376" s="122"/>
      <c r="DY376" s="122"/>
      <c r="DZ376" s="122"/>
      <c r="EA376" s="122"/>
      <c r="EB376" s="122"/>
      <c r="EC376" s="122"/>
      <c r="ED376" s="122"/>
      <c r="EE376" s="122"/>
      <c r="EF376" s="122"/>
      <c r="EG376" s="122"/>
      <c r="EH376" s="122"/>
      <c r="EI376" s="122"/>
      <c r="EJ376" s="122"/>
      <c r="EK376" s="122"/>
      <c r="EL376" s="122"/>
      <c r="EM376" s="122"/>
      <c r="EN376" s="122"/>
      <c r="EO376" s="122"/>
      <c r="EP376" s="122"/>
      <c r="EQ376" s="122"/>
      <c r="ER376" s="122"/>
      <c r="ES376" s="122"/>
      <c r="ET376" s="122"/>
      <c r="EU376" s="122"/>
      <c r="EV376" s="122"/>
      <c r="EW376" s="122"/>
      <c r="EX376" s="122"/>
      <c r="EY376" s="122"/>
      <c r="EZ376" s="122"/>
      <c r="FA376" s="122"/>
      <c r="FB376" s="122"/>
      <c r="FC376" s="122"/>
      <c r="FD376" s="122"/>
      <c r="FE376" s="122"/>
      <c r="FF376" s="122"/>
      <c r="FG376" s="122"/>
      <c r="FH376" s="122"/>
      <c r="FI376" s="122"/>
      <c r="FJ376" s="122"/>
      <c r="FK376" s="122"/>
      <c r="FL376" s="122"/>
      <c r="FM376" s="122"/>
      <c r="FN376" s="122"/>
      <c r="FO376" s="122"/>
      <c r="FP376" s="122"/>
      <c r="FQ376" s="122"/>
      <c r="FR376" s="122"/>
      <c r="FS376" s="122"/>
      <c r="FT376" s="122"/>
      <c r="FU376" s="122"/>
      <c r="FV376" s="122"/>
      <c r="FW376" s="122"/>
      <c r="FX376" s="122"/>
      <c r="FY376" s="122"/>
      <c r="FZ376" s="122"/>
      <c r="GA376" s="122"/>
      <c r="GB376" s="122"/>
      <c r="GC376" s="122"/>
      <c r="GD376" s="122"/>
      <c r="GE376" s="122"/>
      <c r="GF376" s="122"/>
      <c r="GG376" s="122"/>
      <c r="GH376" s="122"/>
      <c r="GI376" s="122"/>
      <c r="GJ376" s="122"/>
      <c r="GK376" s="122"/>
      <c r="GL376" s="122"/>
      <c r="GM376" s="122"/>
      <c r="GN376" s="122"/>
      <c r="GO376" s="122"/>
      <c r="GP376" s="122"/>
      <c r="GQ376" s="122"/>
      <c r="GR376" s="122"/>
      <c r="GS376" s="122"/>
      <c r="GT376" s="122"/>
      <c r="GU376" s="122"/>
      <c r="GV376" s="122"/>
      <c r="GW376" s="122"/>
      <c r="GX376" s="122"/>
      <c r="GY376" s="122"/>
      <c r="GZ376" s="122"/>
      <c r="HA376" s="122"/>
      <c r="HB376" s="122"/>
      <c r="HC376" s="122"/>
      <c r="HD376" s="122"/>
      <c r="HE376" s="122"/>
      <c r="HF376" s="122"/>
      <c r="HG376" s="122"/>
      <c r="HH376" s="122"/>
      <c r="HI376" s="122"/>
      <c r="HJ376" s="122"/>
      <c r="HK376" s="122"/>
      <c r="HL376" s="122"/>
      <c r="HM376" s="122"/>
      <c r="HN376" s="122"/>
      <c r="HO376" s="122"/>
      <c r="HP376" s="122"/>
      <c r="HQ376" s="122"/>
      <c r="HR376" s="122"/>
      <c r="HS376" s="122"/>
      <c r="HT376" s="122"/>
      <c r="HU376" s="122"/>
      <c r="HV376" s="122"/>
      <c r="HW376" s="122"/>
      <c r="HX376" s="122"/>
      <c r="HY376" s="122"/>
      <c r="HZ376" s="122"/>
      <c r="IA376" s="122"/>
      <c r="IB376" s="122"/>
      <c r="IC376" s="122"/>
      <c r="ID376" s="122"/>
      <c r="IE376" s="122"/>
      <c r="IF376" s="122"/>
      <c r="IG376" s="122"/>
      <c r="IH376" s="122"/>
      <c r="II376" s="122"/>
      <c r="IJ376" s="122"/>
      <c r="IK376" s="122"/>
      <c r="IL376" s="122"/>
      <c r="IM376" s="122"/>
      <c r="IN376" s="122"/>
      <c r="IO376" s="122"/>
      <c r="IP376" s="122"/>
      <c r="IQ376" s="122"/>
      <c r="IR376" s="122"/>
      <c r="IS376" s="122"/>
      <c r="IT376" s="122"/>
      <c r="IU376" s="122"/>
      <c r="IV376" s="122"/>
      <c r="IW376" s="122"/>
      <c r="IX376" s="122"/>
      <c r="IY376" s="122"/>
      <c r="IZ376" s="122"/>
      <c r="JA376" s="122"/>
      <c r="JB376" s="122"/>
      <c r="JC376" s="122"/>
      <c r="JD376" s="122"/>
      <c r="JE376" s="122"/>
      <c r="JF376" s="122"/>
      <c r="JG376" s="122"/>
      <c r="JH376" s="122"/>
      <c r="JI376" s="119"/>
      <c r="JJ376" s="2"/>
      <c r="JK376" s="122"/>
      <c r="JL376" s="125"/>
      <c r="JM376" s="125"/>
      <c r="JN376" s="125"/>
      <c r="JO376" s="125"/>
      <c r="JP376" s="125"/>
    </row>
    <row r="377" spans="1:276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122"/>
      <c r="AJ377" s="122"/>
      <c r="AK377" s="122"/>
      <c r="AL377" s="122"/>
      <c r="AM377" s="122"/>
      <c r="AN377" s="122"/>
      <c r="AO377" s="122"/>
      <c r="AP377" s="122"/>
      <c r="AQ377" s="122"/>
      <c r="AR377" s="122"/>
      <c r="AS377" s="122"/>
      <c r="AT377" s="122"/>
      <c r="AU377" s="122"/>
      <c r="AV377" s="122"/>
      <c r="AW377" s="122"/>
      <c r="AX377" s="122"/>
      <c r="AY377" s="122"/>
      <c r="AZ377" s="122"/>
      <c r="BA377" s="122"/>
      <c r="BB377" s="122"/>
      <c r="BC377" s="122"/>
      <c r="BD377" s="122"/>
      <c r="BE377" s="122"/>
      <c r="BF377" s="122"/>
      <c r="BG377" s="122"/>
      <c r="BH377" s="122"/>
      <c r="BI377" s="122"/>
      <c r="BJ377" s="122"/>
      <c r="BK377" s="122"/>
      <c r="BL377" s="122"/>
      <c r="BM377" s="122"/>
      <c r="BN377" s="122"/>
      <c r="BO377" s="122"/>
      <c r="BP377" s="122"/>
      <c r="BQ377" s="122"/>
      <c r="BR377" s="122"/>
      <c r="BS377" s="122"/>
      <c r="BT377" s="122"/>
      <c r="BU377" s="122"/>
      <c r="BV377" s="122"/>
      <c r="BW377" s="122"/>
      <c r="BX377" s="122"/>
      <c r="BY377" s="122"/>
      <c r="BZ377" s="122"/>
      <c r="CA377" s="122"/>
      <c r="CB377" s="122"/>
      <c r="CC377" s="122"/>
      <c r="CD377" s="122"/>
      <c r="CE377" s="122"/>
      <c r="CF377" s="122"/>
      <c r="CG377" s="122"/>
      <c r="CH377" s="122"/>
      <c r="CI377" s="122"/>
      <c r="CJ377" s="122"/>
      <c r="CK377" s="122"/>
      <c r="CL377" s="122"/>
      <c r="CM377" s="122"/>
      <c r="CN377" s="122"/>
      <c r="CO377" s="122"/>
      <c r="CP377" s="122"/>
      <c r="CQ377" s="122"/>
      <c r="CR377" s="122"/>
      <c r="CS377" s="122"/>
      <c r="CT377" s="122"/>
      <c r="CU377" s="122"/>
      <c r="CV377" s="122"/>
      <c r="CW377" s="122"/>
      <c r="CX377" s="122"/>
      <c r="CY377" s="122"/>
      <c r="CZ377" s="122"/>
      <c r="DA377" s="122"/>
      <c r="DB377" s="122"/>
      <c r="DC377" s="122"/>
      <c r="DD377" s="122"/>
      <c r="DE377" s="122"/>
      <c r="DF377" s="122"/>
      <c r="DG377" s="122"/>
      <c r="DH377" s="122"/>
      <c r="DI377" s="122"/>
      <c r="DJ377" s="122"/>
      <c r="DK377" s="122"/>
      <c r="DL377" s="122"/>
      <c r="DM377" s="122"/>
      <c r="DN377" s="122"/>
      <c r="DO377" s="122"/>
      <c r="DP377" s="122"/>
      <c r="DQ377" s="122"/>
      <c r="DR377" s="122"/>
      <c r="DS377" s="122"/>
      <c r="DT377" s="122"/>
      <c r="DU377" s="122"/>
      <c r="DV377" s="122"/>
      <c r="DW377" s="122"/>
      <c r="DX377" s="122"/>
      <c r="DY377" s="122"/>
      <c r="DZ377" s="122"/>
      <c r="EA377" s="122"/>
      <c r="EB377" s="122"/>
      <c r="EC377" s="122"/>
      <c r="ED377" s="122"/>
      <c r="EE377" s="122"/>
      <c r="EF377" s="122"/>
      <c r="EG377" s="122"/>
      <c r="EH377" s="122"/>
      <c r="EI377" s="122"/>
      <c r="EJ377" s="122"/>
      <c r="EK377" s="122"/>
      <c r="EL377" s="122"/>
      <c r="EM377" s="122"/>
      <c r="EN377" s="122"/>
      <c r="EO377" s="122"/>
      <c r="EP377" s="122"/>
      <c r="EQ377" s="122"/>
      <c r="ER377" s="122"/>
      <c r="ES377" s="122"/>
      <c r="ET377" s="122"/>
      <c r="EU377" s="122"/>
      <c r="EV377" s="122"/>
      <c r="EW377" s="122"/>
      <c r="EX377" s="122"/>
      <c r="EY377" s="122"/>
      <c r="EZ377" s="122"/>
      <c r="FA377" s="122"/>
      <c r="FB377" s="122"/>
      <c r="FC377" s="122"/>
      <c r="FD377" s="122"/>
      <c r="FE377" s="122"/>
      <c r="FF377" s="122"/>
      <c r="FG377" s="122"/>
      <c r="FH377" s="122"/>
      <c r="FI377" s="122"/>
      <c r="FJ377" s="122"/>
      <c r="FK377" s="122"/>
      <c r="FL377" s="122"/>
      <c r="FM377" s="122"/>
      <c r="FN377" s="122"/>
      <c r="FO377" s="122"/>
      <c r="FP377" s="122"/>
      <c r="FQ377" s="122"/>
      <c r="FR377" s="122"/>
      <c r="FS377" s="122"/>
      <c r="FT377" s="122"/>
      <c r="FU377" s="122"/>
      <c r="FV377" s="122"/>
      <c r="FW377" s="122"/>
      <c r="FX377" s="122"/>
      <c r="FY377" s="122"/>
      <c r="FZ377" s="122"/>
      <c r="GA377" s="122"/>
      <c r="GB377" s="122"/>
      <c r="GC377" s="122"/>
      <c r="GD377" s="122"/>
      <c r="GE377" s="122"/>
      <c r="GF377" s="122"/>
      <c r="GG377" s="122"/>
      <c r="GH377" s="122"/>
      <c r="GI377" s="122"/>
      <c r="GJ377" s="122"/>
      <c r="GK377" s="122"/>
      <c r="GL377" s="122"/>
      <c r="GM377" s="122"/>
      <c r="GN377" s="122"/>
      <c r="GO377" s="122"/>
      <c r="GP377" s="122"/>
      <c r="GQ377" s="122"/>
      <c r="GR377" s="122"/>
      <c r="GS377" s="122"/>
      <c r="GT377" s="122"/>
      <c r="GU377" s="122"/>
      <c r="GV377" s="122"/>
      <c r="GW377" s="122"/>
      <c r="GX377" s="122"/>
      <c r="GY377" s="122"/>
      <c r="GZ377" s="122"/>
      <c r="HA377" s="122"/>
      <c r="HB377" s="122"/>
      <c r="HC377" s="122"/>
      <c r="HD377" s="122"/>
      <c r="HE377" s="122"/>
      <c r="HF377" s="122"/>
      <c r="HG377" s="122"/>
      <c r="HH377" s="122"/>
      <c r="HI377" s="122"/>
      <c r="HJ377" s="122"/>
      <c r="HK377" s="122"/>
      <c r="HL377" s="122"/>
      <c r="HM377" s="122"/>
      <c r="HN377" s="122"/>
      <c r="HO377" s="122"/>
      <c r="HP377" s="122"/>
      <c r="HQ377" s="122"/>
      <c r="HR377" s="122"/>
      <c r="HS377" s="122"/>
      <c r="HT377" s="122"/>
      <c r="HU377" s="122"/>
      <c r="HV377" s="122"/>
      <c r="HW377" s="122"/>
      <c r="HX377" s="122"/>
      <c r="HY377" s="122"/>
      <c r="HZ377" s="122"/>
      <c r="IA377" s="122"/>
      <c r="IB377" s="122"/>
      <c r="IC377" s="122"/>
      <c r="ID377" s="122"/>
      <c r="IE377" s="122"/>
      <c r="IF377" s="122"/>
      <c r="IG377" s="122"/>
      <c r="IH377" s="122"/>
      <c r="II377" s="122"/>
      <c r="IJ377" s="122"/>
      <c r="IK377" s="122"/>
      <c r="IL377" s="122"/>
      <c r="IM377" s="122"/>
      <c r="IN377" s="122"/>
      <c r="IO377" s="122"/>
      <c r="IP377" s="122"/>
      <c r="IQ377" s="122"/>
      <c r="IR377" s="122"/>
      <c r="IS377" s="122"/>
      <c r="IT377" s="122"/>
      <c r="IU377" s="122"/>
      <c r="IV377" s="122"/>
      <c r="IW377" s="122"/>
      <c r="IX377" s="122"/>
      <c r="IY377" s="122"/>
      <c r="IZ377" s="122"/>
      <c r="JA377" s="122"/>
      <c r="JB377" s="122"/>
      <c r="JC377" s="122"/>
      <c r="JD377" s="122"/>
      <c r="JE377" s="122"/>
      <c r="JF377" s="122"/>
      <c r="JG377" s="122"/>
      <c r="JH377" s="122"/>
      <c r="JI377" s="119"/>
      <c r="JJ377" s="2"/>
      <c r="JK377" s="122"/>
      <c r="JL377" s="125"/>
      <c r="JM377" s="125"/>
      <c r="JN377" s="125"/>
      <c r="JO377" s="125"/>
      <c r="JP377" s="125"/>
    </row>
    <row r="378" spans="1:276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122"/>
      <c r="AI378" s="122"/>
      <c r="AJ378" s="122"/>
      <c r="AK378" s="122"/>
      <c r="AL378" s="122"/>
      <c r="AM378" s="122"/>
      <c r="AN378" s="122"/>
      <c r="AO378" s="122"/>
      <c r="AP378" s="122"/>
      <c r="AQ378" s="122"/>
      <c r="AR378" s="122"/>
      <c r="AS378" s="122"/>
      <c r="AT378" s="122"/>
      <c r="AU378" s="122"/>
      <c r="AV378" s="122"/>
      <c r="AW378" s="122"/>
      <c r="AX378" s="122"/>
      <c r="AY378" s="122"/>
      <c r="AZ378" s="122"/>
      <c r="BA378" s="122"/>
      <c r="BB378" s="122"/>
      <c r="BC378" s="122"/>
      <c r="BD378" s="122"/>
      <c r="BE378" s="122"/>
      <c r="BF378" s="122"/>
      <c r="BG378" s="122"/>
      <c r="BH378" s="122"/>
      <c r="BI378" s="122"/>
      <c r="BJ378" s="122"/>
      <c r="BK378" s="122"/>
      <c r="BL378" s="122"/>
      <c r="BM378" s="122"/>
      <c r="BN378" s="122"/>
      <c r="BO378" s="122"/>
      <c r="BP378" s="122"/>
      <c r="BQ378" s="122"/>
      <c r="BR378" s="122"/>
      <c r="BS378" s="122"/>
      <c r="BT378" s="122"/>
      <c r="BU378" s="122"/>
      <c r="BV378" s="122"/>
      <c r="BW378" s="122"/>
      <c r="BX378" s="122"/>
      <c r="BY378" s="122"/>
      <c r="BZ378" s="122"/>
      <c r="CA378" s="122"/>
      <c r="CB378" s="122"/>
      <c r="CC378" s="122"/>
      <c r="CD378" s="122"/>
      <c r="CE378" s="122"/>
      <c r="CF378" s="122"/>
      <c r="CG378" s="122"/>
      <c r="CH378" s="122"/>
      <c r="CI378" s="122"/>
      <c r="CJ378" s="122"/>
      <c r="CK378" s="122"/>
      <c r="CL378" s="122"/>
      <c r="CM378" s="122"/>
      <c r="CN378" s="122"/>
      <c r="CO378" s="122"/>
      <c r="CP378" s="122"/>
      <c r="CQ378" s="122"/>
      <c r="CR378" s="122"/>
      <c r="CS378" s="122"/>
      <c r="CT378" s="122"/>
      <c r="CU378" s="122"/>
      <c r="CV378" s="122"/>
      <c r="CW378" s="122"/>
      <c r="CX378" s="122"/>
      <c r="CY378" s="122"/>
      <c r="CZ378" s="122"/>
      <c r="DA378" s="122"/>
      <c r="DB378" s="122"/>
      <c r="DC378" s="122"/>
      <c r="DD378" s="122"/>
      <c r="DE378" s="122"/>
      <c r="DF378" s="122"/>
      <c r="DG378" s="122"/>
      <c r="DH378" s="122"/>
      <c r="DI378" s="122"/>
      <c r="DJ378" s="122"/>
      <c r="DK378" s="122"/>
      <c r="DL378" s="122"/>
      <c r="DM378" s="122"/>
      <c r="DN378" s="122"/>
      <c r="DO378" s="122"/>
      <c r="DP378" s="122"/>
      <c r="DQ378" s="122"/>
      <c r="DR378" s="122"/>
      <c r="DS378" s="122"/>
      <c r="DT378" s="122"/>
      <c r="DU378" s="122"/>
      <c r="DV378" s="122"/>
      <c r="DW378" s="122"/>
      <c r="DX378" s="122"/>
      <c r="DY378" s="122"/>
      <c r="DZ378" s="122"/>
      <c r="EA378" s="122"/>
      <c r="EB378" s="122"/>
      <c r="EC378" s="122"/>
      <c r="ED378" s="122"/>
      <c r="EE378" s="122"/>
      <c r="EF378" s="122"/>
      <c r="EG378" s="122"/>
      <c r="EH378" s="122"/>
      <c r="EI378" s="122"/>
      <c r="EJ378" s="122"/>
      <c r="EK378" s="122"/>
      <c r="EL378" s="122"/>
      <c r="EM378" s="122"/>
      <c r="EN378" s="122"/>
      <c r="EO378" s="122"/>
      <c r="EP378" s="122"/>
      <c r="EQ378" s="122"/>
      <c r="ER378" s="122"/>
      <c r="ES378" s="122"/>
      <c r="ET378" s="122"/>
      <c r="EU378" s="122"/>
      <c r="EV378" s="122"/>
      <c r="EW378" s="122"/>
      <c r="EX378" s="122"/>
      <c r="EY378" s="122"/>
      <c r="EZ378" s="122"/>
      <c r="FA378" s="122"/>
      <c r="FB378" s="122"/>
      <c r="FC378" s="122"/>
      <c r="FD378" s="122"/>
      <c r="FE378" s="122"/>
      <c r="FF378" s="122"/>
      <c r="FG378" s="122"/>
      <c r="FH378" s="122"/>
      <c r="FI378" s="122"/>
      <c r="FJ378" s="122"/>
      <c r="FK378" s="122"/>
      <c r="FL378" s="122"/>
      <c r="FM378" s="122"/>
      <c r="FN378" s="122"/>
      <c r="FO378" s="122"/>
      <c r="FP378" s="122"/>
      <c r="FQ378" s="122"/>
      <c r="FR378" s="122"/>
      <c r="FS378" s="122"/>
      <c r="FT378" s="122"/>
      <c r="FU378" s="122"/>
      <c r="FV378" s="122"/>
      <c r="FW378" s="122"/>
      <c r="FX378" s="122"/>
      <c r="FY378" s="122"/>
      <c r="FZ378" s="122"/>
      <c r="GA378" s="122"/>
      <c r="GB378" s="122"/>
      <c r="GC378" s="122"/>
      <c r="GD378" s="122"/>
      <c r="GE378" s="122"/>
      <c r="GF378" s="122"/>
      <c r="GG378" s="122"/>
      <c r="GH378" s="122"/>
      <c r="GI378" s="122"/>
      <c r="GJ378" s="122"/>
      <c r="GK378" s="122"/>
      <c r="GL378" s="122"/>
      <c r="GM378" s="122"/>
      <c r="GN378" s="122"/>
      <c r="GO378" s="122"/>
      <c r="GP378" s="122"/>
      <c r="GQ378" s="122"/>
      <c r="GR378" s="122"/>
      <c r="GS378" s="122"/>
      <c r="GT378" s="122"/>
      <c r="GU378" s="122"/>
      <c r="GV378" s="122"/>
      <c r="GW378" s="122"/>
      <c r="GX378" s="122"/>
      <c r="GY378" s="122"/>
      <c r="GZ378" s="122"/>
      <c r="HA378" s="122"/>
      <c r="HB378" s="122"/>
      <c r="HC378" s="122"/>
      <c r="HD378" s="122"/>
      <c r="HE378" s="122"/>
      <c r="HF378" s="122"/>
      <c r="HG378" s="122"/>
      <c r="HH378" s="122"/>
      <c r="HI378" s="122"/>
      <c r="HJ378" s="122"/>
      <c r="HK378" s="122"/>
      <c r="HL378" s="122"/>
      <c r="HM378" s="122"/>
      <c r="HN378" s="122"/>
      <c r="HO378" s="122"/>
      <c r="HP378" s="122"/>
      <c r="HQ378" s="122"/>
      <c r="HR378" s="122"/>
      <c r="HS378" s="122"/>
      <c r="HT378" s="122"/>
      <c r="HU378" s="122"/>
      <c r="HV378" s="122"/>
      <c r="HW378" s="122"/>
      <c r="HX378" s="122"/>
      <c r="HY378" s="122"/>
      <c r="HZ378" s="122"/>
      <c r="IA378" s="122"/>
      <c r="IB378" s="122"/>
      <c r="IC378" s="122"/>
      <c r="ID378" s="122"/>
      <c r="IE378" s="122"/>
      <c r="IF378" s="122"/>
      <c r="IG378" s="122"/>
      <c r="IH378" s="122"/>
      <c r="II378" s="122"/>
      <c r="IJ378" s="122"/>
      <c r="IK378" s="122"/>
      <c r="IL378" s="122"/>
      <c r="IM378" s="122"/>
      <c r="IN378" s="122"/>
      <c r="IO378" s="122"/>
      <c r="IP378" s="122"/>
      <c r="IQ378" s="122"/>
      <c r="IR378" s="122"/>
      <c r="IS378" s="122"/>
      <c r="IT378" s="122"/>
      <c r="IU378" s="122"/>
      <c r="IV378" s="122"/>
      <c r="IW378" s="122"/>
      <c r="IX378" s="122"/>
      <c r="IY378" s="122"/>
      <c r="IZ378" s="122"/>
      <c r="JA378" s="122"/>
      <c r="JB378" s="122"/>
      <c r="JC378" s="122"/>
      <c r="JD378" s="122"/>
      <c r="JE378" s="122"/>
      <c r="JF378" s="122"/>
      <c r="JG378" s="122"/>
      <c r="JH378" s="122"/>
      <c r="JI378" s="119"/>
      <c r="JJ378" s="2"/>
      <c r="JK378" s="122"/>
      <c r="JL378" s="125"/>
      <c r="JM378" s="125"/>
      <c r="JN378" s="125"/>
      <c r="JO378" s="125"/>
      <c r="JP378" s="125"/>
    </row>
    <row r="379" spans="1:276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122"/>
      <c r="AJ379" s="122"/>
      <c r="AK379" s="122"/>
      <c r="AL379" s="122"/>
      <c r="AM379" s="122"/>
      <c r="AN379" s="122"/>
      <c r="AO379" s="122"/>
      <c r="AP379" s="122"/>
      <c r="AQ379" s="122"/>
      <c r="AR379" s="122"/>
      <c r="AS379" s="122"/>
      <c r="AT379" s="122"/>
      <c r="AU379" s="122"/>
      <c r="AV379" s="122"/>
      <c r="AW379" s="122"/>
      <c r="AX379" s="122"/>
      <c r="AY379" s="122"/>
      <c r="AZ379" s="122"/>
      <c r="BA379" s="122"/>
      <c r="BB379" s="122"/>
      <c r="BC379" s="122"/>
      <c r="BD379" s="122"/>
      <c r="BE379" s="122"/>
      <c r="BF379" s="122"/>
      <c r="BG379" s="122"/>
      <c r="BH379" s="122"/>
      <c r="BI379" s="122"/>
      <c r="BJ379" s="122"/>
      <c r="BK379" s="122"/>
      <c r="BL379" s="122"/>
      <c r="BM379" s="122"/>
      <c r="BN379" s="122"/>
      <c r="BO379" s="122"/>
      <c r="BP379" s="122"/>
      <c r="BQ379" s="122"/>
      <c r="BR379" s="122"/>
      <c r="BS379" s="122"/>
      <c r="BT379" s="122"/>
      <c r="BU379" s="122"/>
      <c r="BV379" s="122"/>
      <c r="BW379" s="122"/>
      <c r="BX379" s="122"/>
      <c r="BY379" s="122"/>
      <c r="BZ379" s="122"/>
      <c r="CA379" s="122"/>
      <c r="CB379" s="122"/>
      <c r="CC379" s="122"/>
      <c r="CD379" s="122"/>
      <c r="CE379" s="122"/>
      <c r="CF379" s="122"/>
      <c r="CG379" s="122"/>
      <c r="CH379" s="122"/>
      <c r="CI379" s="122"/>
      <c r="CJ379" s="122"/>
      <c r="CK379" s="122"/>
      <c r="CL379" s="122"/>
      <c r="CM379" s="122"/>
      <c r="CN379" s="122"/>
      <c r="CO379" s="122"/>
      <c r="CP379" s="122"/>
      <c r="CQ379" s="122"/>
      <c r="CR379" s="122"/>
      <c r="CS379" s="122"/>
      <c r="CT379" s="122"/>
      <c r="CU379" s="122"/>
      <c r="CV379" s="122"/>
      <c r="CW379" s="122"/>
      <c r="CX379" s="122"/>
      <c r="CY379" s="122"/>
      <c r="CZ379" s="122"/>
      <c r="DA379" s="122"/>
      <c r="DB379" s="122"/>
      <c r="DC379" s="122"/>
      <c r="DD379" s="122"/>
      <c r="DE379" s="122"/>
      <c r="DF379" s="122"/>
      <c r="DG379" s="122"/>
      <c r="DH379" s="122"/>
      <c r="DI379" s="122"/>
      <c r="DJ379" s="122"/>
      <c r="DK379" s="122"/>
      <c r="DL379" s="122"/>
      <c r="DM379" s="122"/>
      <c r="DN379" s="122"/>
      <c r="DO379" s="122"/>
      <c r="DP379" s="122"/>
      <c r="DQ379" s="122"/>
      <c r="DR379" s="122"/>
      <c r="DS379" s="122"/>
      <c r="DT379" s="122"/>
      <c r="DU379" s="122"/>
      <c r="DV379" s="122"/>
      <c r="DW379" s="122"/>
      <c r="DX379" s="122"/>
      <c r="DY379" s="122"/>
      <c r="DZ379" s="122"/>
      <c r="EA379" s="122"/>
      <c r="EB379" s="122"/>
      <c r="EC379" s="122"/>
      <c r="ED379" s="122"/>
      <c r="EE379" s="122"/>
      <c r="EF379" s="122"/>
      <c r="EG379" s="122"/>
      <c r="EH379" s="122"/>
      <c r="EI379" s="122"/>
      <c r="EJ379" s="122"/>
      <c r="EK379" s="122"/>
      <c r="EL379" s="122"/>
      <c r="EM379" s="122"/>
      <c r="EN379" s="122"/>
      <c r="EO379" s="122"/>
      <c r="EP379" s="122"/>
      <c r="EQ379" s="122"/>
      <c r="ER379" s="122"/>
      <c r="ES379" s="122"/>
      <c r="ET379" s="122"/>
      <c r="EU379" s="122"/>
      <c r="EV379" s="122"/>
      <c r="EW379" s="122"/>
      <c r="EX379" s="122"/>
      <c r="EY379" s="122"/>
      <c r="EZ379" s="122"/>
      <c r="FA379" s="122"/>
      <c r="FB379" s="122"/>
      <c r="FC379" s="122"/>
      <c r="FD379" s="122"/>
      <c r="FE379" s="122"/>
      <c r="FF379" s="122"/>
      <c r="FG379" s="122"/>
      <c r="FH379" s="122"/>
      <c r="FI379" s="122"/>
      <c r="FJ379" s="122"/>
      <c r="FK379" s="122"/>
      <c r="FL379" s="122"/>
      <c r="FM379" s="122"/>
      <c r="FN379" s="122"/>
      <c r="FO379" s="122"/>
      <c r="FP379" s="122"/>
      <c r="FQ379" s="122"/>
      <c r="FR379" s="122"/>
      <c r="FS379" s="122"/>
      <c r="FT379" s="122"/>
      <c r="FU379" s="122"/>
      <c r="FV379" s="122"/>
      <c r="FW379" s="122"/>
      <c r="FX379" s="122"/>
      <c r="FY379" s="122"/>
      <c r="FZ379" s="122"/>
      <c r="GA379" s="122"/>
      <c r="GB379" s="122"/>
      <c r="GC379" s="122"/>
      <c r="GD379" s="122"/>
      <c r="GE379" s="122"/>
      <c r="GF379" s="122"/>
      <c r="GG379" s="122"/>
      <c r="GH379" s="122"/>
      <c r="GI379" s="122"/>
      <c r="GJ379" s="122"/>
      <c r="GK379" s="122"/>
      <c r="GL379" s="122"/>
      <c r="GM379" s="122"/>
      <c r="GN379" s="122"/>
      <c r="GO379" s="122"/>
      <c r="GP379" s="122"/>
      <c r="GQ379" s="122"/>
      <c r="GR379" s="122"/>
      <c r="GS379" s="122"/>
      <c r="GT379" s="122"/>
      <c r="GU379" s="122"/>
      <c r="GV379" s="122"/>
      <c r="GW379" s="122"/>
      <c r="GX379" s="122"/>
      <c r="GY379" s="122"/>
      <c r="GZ379" s="122"/>
      <c r="HA379" s="122"/>
      <c r="HB379" s="122"/>
      <c r="HC379" s="122"/>
      <c r="HD379" s="122"/>
      <c r="HE379" s="122"/>
      <c r="HF379" s="122"/>
      <c r="HG379" s="122"/>
      <c r="HH379" s="122"/>
      <c r="HI379" s="122"/>
      <c r="HJ379" s="122"/>
      <c r="HK379" s="122"/>
      <c r="HL379" s="122"/>
      <c r="HM379" s="122"/>
      <c r="HN379" s="122"/>
      <c r="HO379" s="122"/>
      <c r="HP379" s="122"/>
      <c r="HQ379" s="122"/>
      <c r="HR379" s="122"/>
      <c r="HS379" s="122"/>
      <c r="HT379" s="122"/>
      <c r="HU379" s="122"/>
      <c r="HV379" s="122"/>
      <c r="HW379" s="122"/>
      <c r="HX379" s="122"/>
      <c r="HY379" s="122"/>
      <c r="HZ379" s="122"/>
      <c r="IA379" s="122"/>
      <c r="IB379" s="122"/>
      <c r="IC379" s="122"/>
      <c r="ID379" s="122"/>
      <c r="IE379" s="122"/>
      <c r="IF379" s="122"/>
      <c r="IG379" s="122"/>
      <c r="IH379" s="122"/>
      <c r="II379" s="122"/>
      <c r="IJ379" s="122"/>
      <c r="IK379" s="122"/>
      <c r="IL379" s="122"/>
      <c r="IM379" s="122"/>
      <c r="IN379" s="122"/>
      <c r="IO379" s="122"/>
      <c r="IP379" s="122"/>
      <c r="IQ379" s="122"/>
      <c r="IR379" s="122"/>
      <c r="IS379" s="122"/>
      <c r="IT379" s="122"/>
      <c r="IU379" s="122"/>
      <c r="IV379" s="122"/>
      <c r="IW379" s="122"/>
      <c r="IX379" s="122"/>
      <c r="IY379" s="122"/>
      <c r="IZ379" s="122"/>
      <c r="JA379" s="122"/>
      <c r="JB379" s="122"/>
      <c r="JC379" s="122"/>
      <c r="JD379" s="122"/>
      <c r="JE379" s="122"/>
      <c r="JF379" s="122"/>
      <c r="JG379" s="122"/>
      <c r="JH379" s="122"/>
      <c r="JI379" s="119"/>
      <c r="JJ379" s="2"/>
      <c r="JK379" s="122"/>
      <c r="JL379" s="125"/>
      <c r="JM379" s="125"/>
      <c r="JN379" s="125"/>
      <c r="JO379" s="125"/>
      <c r="JP379" s="125"/>
    </row>
    <row r="380" spans="1:276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  <c r="AI380" s="122"/>
      <c r="AJ380" s="122"/>
      <c r="AK380" s="122"/>
      <c r="AL380" s="122"/>
      <c r="AM380" s="122"/>
      <c r="AN380" s="122"/>
      <c r="AO380" s="122"/>
      <c r="AP380" s="122"/>
      <c r="AQ380" s="122"/>
      <c r="AR380" s="122"/>
      <c r="AS380" s="122"/>
      <c r="AT380" s="122"/>
      <c r="AU380" s="122"/>
      <c r="AV380" s="122"/>
      <c r="AW380" s="122"/>
      <c r="AX380" s="122"/>
      <c r="AY380" s="122"/>
      <c r="AZ380" s="122"/>
      <c r="BA380" s="122"/>
      <c r="BB380" s="122"/>
      <c r="BC380" s="122"/>
      <c r="BD380" s="122"/>
      <c r="BE380" s="122"/>
      <c r="BF380" s="122"/>
      <c r="BG380" s="122"/>
      <c r="BH380" s="122"/>
      <c r="BI380" s="122"/>
      <c r="BJ380" s="122"/>
      <c r="BK380" s="122"/>
      <c r="BL380" s="122"/>
      <c r="BM380" s="122"/>
      <c r="BN380" s="122"/>
      <c r="BO380" s="122"/>
      <c r="BP380" s="122"/>
      <c r="BQ380" s="122"/>
      <c r="BR380" s="122"/>
      <c r="BS380" s="122"/>
      <c r="BT380" s="122"/>
      <c r="BU380" s="122"/>
      <c r="BV380" s="122"/>
      <c r="BW380" s="122"/>
      <c r="BX380" s="122"/>
      <c r="BY380" s="122"/>
      <c r="BZ380" s="122"/>
      <c r="CA380" s="122"/>
      <c r="CB380" s="122"/>
      <c r="CC380" s="122"/>
      <c r="CD380" s="122"/>
      <c r="CE380" s="122"/>
      <c r="CF380" s="122"/>
      <c r="CG380" s="122"/>
      <c r="CH380" s="122"/>
      <c r="CI380" s="122"/>
      <c r="CJ380" s="122"/>
      <c r="CK380" s="122"/>
      <c r="CL380" s="122"/>
      <c r="CM380" s="122"/>
      <c r="CN380" s="122"/>
      <c r="CO380" s="122"/>
      <c r="CP380" s="122"/>
      <c r="CQ380" s="122"/>
      <c r="CR380" s="122"/>
      <c r="CS380" s="122"/>
      <c r="CT380" s="122"/>
      <c r="CU380" s="122"/>
      <c r="CV380" s="122"/>
      <c r="CW380" s="122"/>
      <c r="CX380" s="122"/>
      <c r="CY380" s="122"/>
      <c r="CZ380" s="122"/>
      <c r="DA380" s="122"/>
      <c r="DB380" s="122"/>
      <c r="DC380" s="122"/>
      <c r="DD380" s="122"/>
      <c r="DE380" s="122"/>
      <c r="DF380" s="122"/>
      <c r="DG380" s="122"/>
      <c r="DH380" s="122"/>
      <c r="DI380" s="122"/>
      <c r="DJ380" s="122"/>
      <c r="DK380" s="122"/>
      <c r="DL380" s="122"/>
      <c r="DM380" s="122"/>
      <c r="DN380" s="122"/>
      <c r="DO380" s="122"/>
      <c r="DP380" s="122"/>
      <c r="DQ380" s="122"/>
      <c r="DR380" s="122"/>
      <c r="DS380" s="122"/>
      <c r="DT380" s="122"/>
      <c r="DU380" s="122"/>
      <c r="DV380" s="122"/>
      <c r="DW380" s="122"/>
      <c r="DX380" s="122"/>
      <c r="DY380" s="122"/>
      <c r="DZ380" s="122"/>
      <c r="EA380" s="122"/>
      <c r="EB380" s="122"/>
      <c r="EC380" s="122"/>
      <c r="ED380" s="122"/>
      <c r="EE380" s="122"/>
      <c r="EF380" s="122"/>
      <c r="EG380" s="122"/>
      <c r="EH380" s="122"/>
      <c r="EI380" s="122"/>
      <c r="EJ380" s="122"/>
      <c r="EK380" s="122"/>
      <c r="EL380" s="122"/>
      <c r="EM380" s="122"/>
      <c r="EN380" s="122"/>
      <c r="EO380" s="122"/>
      <c r="EP380" s="122"/>
      <c r="EQ380" s="122"/>
      <c r="ER380" s="122"/>
      <c r="ES380" s="122"/>
      <c r="ET380" s="122"/>
      <c r="EU380" s="122"/>
      <c r="EV380" s="122"/>
      <c r="EW380" s="122"/>
      <c r="EX380" s="122"/>
      <c r="EY380" s="122"/>
      <c r="EZ380" s="122"/>
      <c r="FA380" s="122"/>
      <c r="FB380" s="122"/>
      <c r="FC380" s="122"/>
      <c r="FD380" s="122"/>
      <c r="FE380" s="122"/>
      <c r="FF380" s="122"/>
      <c r="FG380" s="122"/>
      <c r="FH380" s="122"/>
      <c r="FI380" s="122"/>
      <c r="FJ380" s="122"/>
      <c r="FK380" s="122"/>
      <c r="FL380" s="122"/>
      <c r="FM380" s="122"/>
      <c r="FN380" s="122"/>
      <c r="FO380" s="122"/>
      <c r="FP380" s="122"/>
      <c r="FQ380" s="122"/>
      <c r="FR380" s="122"/>
      <c r="FS380" s="122"/>
      <c r="FT380" s="122"/>
      <c r="FU380" s="122"/>
      <c r="FV380" s="122"/>
      <c r="FW380" s="122"/>
      <c r="FX380" s="122"/>
      <c r="FY380" s="122"/>
      <c r="FZ380" s="122"/>
      <c r="GA380" s="122"/>
      <c r="GB380" s="122"/>
      <c r="GC380" s="122"/>
      <c r="GD380" s="122"/>
      <c r="GE380" s="122"/>
      <c r="GF380" s="122"/>
      <c r="GG380" s="122"/>
      <c r="GH380" s="122"/>
      <c r="GI380" s="122"/>
      <c r="GJ380" s="122"/>
      <c r="GK380" s="122"/>
      <c r="GL380" s="122"/>
      <c r="GM380" s="122"/>
      <c r="GN380" s="122"/>
      <c r="GO380" s="122"/>
      <c r="GP380" s="122"/>
      <c r="GQ380" s="122"/>
      <c r="GR380" s="122"/>
      <c r="GS380" s="122"/>
      <c r="GT380" s="122"/>
      <c r="GU380" s="122"/>
      <c r="GV380" s="122"/>
      <c r="GW380" s="122"/>
      <c r="GX380" s="122"/>
      <c r="GY380" s="122"/>
      <c r="GZ380" s="122"/>
      <c r="HA380" s="122"/>
      <c r="HB380" s="122"/>
      <c r="HC380" s="122"/>
      <c r="HD380" s="122"/>
      <c r="HE380" s="122"/>
      <c r="HF380" s="122"/>
      <c r="HG380" s="122"/>
      <c r="HH380" s="122"/>
      <c r="HI380" s="122"/>
      <c r="HJ380" s="122"/>
      <c r="HK380" s="122"/>
      <c r="HL380" s="122"/>
      <c r="HM380" s="122"/>
      <c r="HN380" s="122"/>
      <c r="HO380" s="122"/>
      <c r="HP380" s="122"/>
      <c r="HQ380" s="122"/>
      <c r="HR380" s="122"/>
      <c r="HS380" s="122"/>
      <c r="HT380" s="122"/>
      <c r="HU380" s="122"/>
      <c r="HV380" s="122"/>
      <c r="HW380" s="122"/>
      <c r="HX380" s="122"/>
      <c r="HY380" s="122"/>
      <c r="HZ380" s="122"/>
      <c r="IA380" s="122"/>
      <c r="IB380" s="122"/>
      <c r="IC380" s="122"/>
      <c r="ID380" s="122"/>
      <c r="IE380" s="122"/>
      <c r="IF380" s="122"/>
      <c r="IG380" s="122"/>
      <c r="IH380" s="122"/>
      <c r="II380" s="122"/>
      <c r="IJ380" s="122"/>
      <c r="IK380" s="122"/>
      <c r="IL380" s="122"/>
      <c r="IM380" s="122"/>
      <c r="IN380" s="122"/>
      <c r="IO380" s="122"/>
      <c r="IP380" s="122"/>
      <c r="IQ380" s="122"/>
      <c r="IR380" s="122"/>
      <c r="IS380" s="122"/>
      <c r="IT380" s="122"/>
      <c r="IU380" s="122"/>
      <c r="IV380" s="122"/>
      <c r="IW380" s="122"/>
      <c r="IX380" s="122"/>
      <c r="IY380" s="122"/>
      <c r="IZ380" s="122"/>
      <c r="JA380" s="122"/>
      <c r="JB380" s="122"/>
      <c r="JC380" s="122"/>
      <c r="JD380" s="122"/>
      <c r="JE380" s="122"/>
      <c r="JF380" s="122"/>
      <c r="JG380" s="122"/>
      <c r="JH380" s="122"/>
      <c r="JI380" s="119"/>
      <c r="JJ380" s="2"/>
      <c r="JK380" s="122"/>
      <c r="JL380" s="125"/>
      <c r="JM380" s="125"/>
      <c r="JN380" s="125"/>
      <c r="JO380" s="125"/>
      <c r="JP380" s="125"/>
    </row>
    <row r="381" spans="1:276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122"/>
      <c r="AJ381" s="122"/>
      <c r="AK381" s="122"/>
      <c r="AL381" s="122"/>
      <c r="AM381" s="122"/>
      <c r="AN381" s="122"/>
      <c r="AO381" s="122"/>
      <c r="AP381" s="122"/>
      <c r="AQ381" s="122"/>
      <c r="AR381" s="122"/>
      <c r="AS381" s="122"/>
      <c r="AT381" s="122"/>
      <c r="AU381" s="122"/>
      <c r="AV381" s="122"/>
      <c r="AW381" s="122"/>
      <c r="AX381" s="122"/>
      <c r="AY381" s="122"/>
      <c r="AZ381" s="122"/>
      <c r="BA381" s="122"/>
      <c r="BB381" s="122"/>
      <c r="BC381" s="122"/>
      <c r="BD381" s="122"/>
      <c r="BE381" s="122"/>
      <c r="BF381" s="122"/>
      <c r="BG381" s="122"/>
      <c r="BH381" s="122"/>
      <c r="BI381" s="122"/>
      <c r="BJ381" s="122"/>
      <c r="BK381" s="122"/>
      <c r="BL381" s="122"/>
      <c r="BM381" s="122"/>
      <c r="BN381" s="122"/>
      <c r="BO381" s="122"/>
      <c r="BP381" s="122"/>
      <c r="BQ381" s="122"/>
      <c r="BR381" s="122"/>
      <c r="BS381" s="122"/>
      <c r="BT381" s="122"/>
      <c r="BU381" s="122"/>
      <c r="BV381" s="122"/>
      <c r="BW381" s="122"/>
      <c r="BX381" s="122"/>
      <c r="BY381" s="122"/>
      <c r="BZ381" s="122"/>
      <c r="CA381" s="122"/>
      <c r="CB381" s="122"/>
      <c r="CC381" s="122"/>
      <c r="CD381" s="122"/>
      <c r="CE381" s="122"/>
      <c r="CF381" s="122"/>
      <c r="CG381" s="122"/>
      <c r="CH381" s="122"/>
      <c r="CI381" s="122"/>
      <c r="CJ381" s="122"/>
      <c r="CK381" s="122"/>
      <c r="CL381" s="122"/>
      <c r="CM381" s="122"/>
      <c r="CN381" s="122"/>
      <c r="CO381" s="122"/>
      <c r="CP381" s="122"/>
      <c r="CQ381" s="122"/>
      <c r="CR381" s="122"/>
      <c r="CS381" s="122"/>
      <c r="CT381" s="122"/>
      <c r="CU381" s="122"/>
      <c r="CV381" s="122"/>
      <c r="CW381" s="122"/>
      <c r="CX381" s="122"/>
      <c r="CY381" s="122"/>
      <c r="CZ381" s="122"/>
      <c r="DA381" s="122"/>
      <c r="DB381" s="122"/>
      <c r="DC381" s="122"/>
      <c r="DD381" s="122"/>
      <c r="DE381" s="122"/>
      <c r="DF381" s="122"/>
      <c r="DG381" s="122"/>
      <c r="DH381" s="122"/>
      <c r="DI381" s="122"/>
      <c r="DJ381" s="122"/>
      <c r="DK381" s="122"/>
      <c r="DL381" s="122"/>
      <c r="DM381" s="122"/>
      <c r="DN381" s="122"/>
      <c r="DO381" s="122"/>
      <c r="DP381" s="122"/>
      <c r="DQ381" s="122"/>
      <c r="DR381" s="122"/>
      <c r="DS381" s="122"/>
      <c r="DT381" s="122"/>
      <c r="DU381" s="122"/>
      <c r="DV381" s="122"/>
      <c r="DW381" s="122"/>
      <c r="DX381" s="122"/>
      <c r="DY381" s="122"/>
      <c r="DZ381" s="122"/>
      <c r="EA381" s="122"/>
      <c r="EB381" s="122"/>
      <c r="EC381" s="122"/>
      <c r="ED381" s="122"/>
      <c r="EE381" s="122"/>
      <c r="EF381" s="122"/>
      <c r="EG381" s="122"/>
      <c r="EH381" s="122"/>
      <c r="EI381" s="122"/>
      <c r="EJ381" s="122"/>
      <c r="EK381" s="122"/>
      <c r="EL381" s="122"/>
      <c r="EM381" s="122"/>
      <c r="EN381" s="122"/>
      <c r="EO381" s="122"/>
      <c r="EP381" s="122"/>
      <c r="EQ381" s="122"/>
      <c r="ER381" s="122"/>
      <c r="ES381" s="122"/>
      <c r="ET381" s="122"/>
      <c r="EU381" s="122"/>
      <c r="EV381" s="122"/>
      <c r="EW381" s="122"/>
      <c r="EX381" s="122"/>
      <c r="EY381" s="122"/>
      <c r="EZ381" s="122"/>
      <c r="FA381" s="122"/>
      <c r="FB381" s="122"/>
      <c r="FC381" s="122"/>
      <c r="FD381" s="122"/>
      <c r="FE381" s="122"/>
      <c r="FF381" s="122"/>
      <c r="FG381" s="122"/>
      <c r="FH381" s="122"/>
      <c r="FI381" s="122"/>
      <c r="FJ381" s="122"/>
      <c r="FK381" s="122"/>
      <c r="FL381" s="122"/>
      <c r="FM381" s="122"/>
      <c r="FN381" s="122"/>
      <c r="FO381" s="122"/>
      <c r="FP381" s="122"/>
      <c r="FQ381" s="122"/>
      <c r="FR381" s="122"/>
      <c r="FS381" s="122"/>
      <c r="FT381" s="122"/>
      <c r="FU381" s="122"/>
      <c r="FV381" s="122"/>
      <c r="FW381" s="122"/>
      <c r="FX381" s="122"/>
      <c r="FY381" s="122"/>
      <c r="FZ381" s="122"/>
      <c r="GA381" s="122"/>
      <c r="GB381" s="122"/>
      <c r="GC381" s="122"/>
      <c r="GD381" s="122"/>
      <c r="GE381" s="122"/>
      <c r="GF381" s="122"/>
      <c r="GG381" s="122"/>
      <c r="GH381" s="122"/>
      <c r="GI381" s="122"/>
      <c r="GJ381" s="122"/>
      <c r="GK381" s="122"/>
      <c r="GL381" s="122"/>
      <c r="GM381" s="122"/>
      <c r="GN381" s="122"/>
      <c r="GO381" s="122"/>
      <c r="GP381" s="122"/>
      <c r="GQ381" s="122"/>
      <c r="GR381" s="122"/>
      <c r="GS381" s="122"/>
      <c r="GT381" s="122"/>
      <c r="GU381" s="122"/>
      <c r="GV381" s="122"/>
      <c r="GW381" s="122"/>
      <c r="GX381" s="122"/>
      <c r="GY381" s="122"/>
      <c r="GZ381" s="122"/>
      <c r="HA381" s="122"/>
      <c r="HB381" s="122"/>
      <c r="HC381" s="122"/>
      <c r="HD381" s="122"/>
      <c r="HE381" s="122"/>
      <c r="HF381" s="122"/>
      <c r="HG381" s="122"/>
      <c r="HH381" s="122"/>
      <c r="HI381" s="122"/>
      <c r="HJ381" s="122"/>
      <c r="HK381" s="122"/>
      <c r="HL381" s="122"/>
      <c r="HM381" s="122"/>
      <c r="HN381" s="122"/>
      <c r="HO381" s="122"/>
      <c r="HP381" s="122"/>
      <c r="HQ381" s="122"/>
      <c r="HR381" s="122"/>
      <c r="HS381" s="122"/>
      <c r="HT381" s="122"/>
      <c r="HU381" s="122"/>
      <c r="HV381" s="122"/>
      <c r="HW381" s="122"/>
      <c r="HX381" s="122"/>
      <c r="HY381" s="122"/>
      <c r="HZ381" s="122"/>
      <c r="IA381" s="122"/>
      <c r="IB381" s="122"/>
      <c r="IC381" s="122"/>
      <c r="ID381" s="122"/>
      <c r="IE381" s="122"/>
      <c r="IF381" s="122"/>
      <c r="IG381" s="122"/>
      <c r="IH381" s="122"/>
      <c r="II381" s="122"/>
      <c r="IJ381" s="122"/>
      <c r="IK381" s="122"/>
      <c r="IL381" s="122"/>
      <c r="IM381" s="122"/>
      <c r="IN381" s="122"/>
      <c r="IO381" s="122"/>
      <c r="IP381" s="122"/>
      <c r="IQ381" s="122"/>
      <c r="IR381" s="122"/>
      <c r="IS381" s="122"/>
      <c r="IT381" s="122"/>
      <c r="IU381" s="122"/>
      <c r="IV381" s="122"/>
      <c r="IW381" s="122"/>
      <c r="IX381" s="122"/>
      <c r="IY381" s="122"/>
      <c r="IZ381" s="122"/>
      <c r="JA381" s="122"/>
      <c r="JB381" s="122"/>
      <c r="JC381" s="122"/>
      <c r="JD381" s="122"/>
      <c r="JE381" s="122"/>
      <c r="JF381" s="122"/>
      <c r="JG381" s="122"/>
      <c r="JH381" s="122"/>
      <c r="JI381" s="119"/>
      <c r="JJ381" s="2"/>
      <c r="JK381" s="122"/>
      <c r="JL381" s="125"/>
      <c r="JM381" s="125"/>
      <c r="JN381" s="125"/>
      <c r="JO381" s="125"/>
      <c r="JP381" s="125"/>
    </row>
    <row r="382" spans="1:276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  <c r="AI382" s="122"/>
      <c r="AJ382" s="122"/>
      <c r="AK382" s="122"/>
      <c r="AL382" s="122"/>
      <c r="AM382" s="122"/>
      <c r="AN382" s="122"/>
      <c r="AO382" s="122"/>
      <c r="AP382" s="122"/>
      <c r="AQ382" s="122"/>
      <c r="AR382" s="122"/>
      <c r="AS382" s="122"/>
      <c r="AT382" s="122"/>
      <c r="AU382" s="122"/>
      <c r="AV382" s="122"/>
      <c r="AW382" s="122"/>
      <c r="AX382" s="122"/>
      <c r="AY382" s="122"/>
      <c r="AZ382" s="122"/>
      <c r="BA382" s="122"/>
      <c r="BB382" s="122"/>
      <c r="BC382" s="122"/>
      <c r="BD382" s="122"/>
      <c r="BE382" s="122"/>
      <c r="BF382" s="122"/>
      <c r="BG382" s="122"/>
      <c r="BH382" s="122"/>
      <c r="BI382" s="122"/>
      <c r="BJ382" s="122"/>
      <c r="BK382" s="122"/>
      <c r="BL382" s="122"/>
      <c r="BM382" s="122"/>
      <c r="BN382" s="122"/>
      <c r="BO382" s="122"/>
      <c r="BP382" s="122"/>
      <c r="BQ382" s="122"/>
      <c r="BR382" s="122"/>
      <c r="BS382" s="122"/>
      <c r="BT382" s="122"/>
      <c r="BU382" s="122"/>
      <c r="BV382" s="122"/>
      <c r="BW382" s="122"/>
      <c r="BX382" s="122"/>
      <c r="BY382" s="122"/>
      <c r="BZ382" s="122"/>
      <c r="CA382" s="122"/>
      <c r="CB382" s="122"/>
      <c r="CC382" s="122"/>
      <c r="CD382" s="122"/>
      <c r="CE382" s="122"/>
      <c r="CF382" s="122"/>
      <c r="CG382" s="122"/>
      <c r="CH382" s="122"/>
      <c r="CI382" s="122"/>
      <c r="CJ382" s="122"/>
      <c r="CK382" s="122"/>
      <c r="CL382" s="122"/>
      <c r="CM382" s="122"/>
      <c r="CN382" s="122"/>
      <c r="CO382" s="122"/>
      <c r="CP382" s="122"/>
      <c r="CQ382" s="122"/>
      <c r="CR382" s="122"/>
      <c r="CS382" s="122"/>
      <c r="CT382" s="122"/>
      <c r="CU382" s="122"/>
      <c r="CV382" s="122"/>
      <c r="CW382" s="122"/>
      <c r="CX382" s="122"/>
      <c r="CY382" s="122"/>
      <c r="CZ382" s="122"/>
      <c r="DA382" s="122"/>
      <c r="DB382" s="122"/>
      <c r="DC382" s="122"/>
      <c r="DD382" s="122"/>
      <c r="DE382" s="122"/>
      <c r="DF382" s="122"/>
      <c r="DG382" s="122"/>
      <c r="DH382" s="122"/>
      <c r="DI382" s="122"/>
      <c r="DJ382" s="122"/>
      <c r="DK382" s="122"/>
      <c r="DL382" s="122"/>
      <c r="DM382" s="122"/>
      <c r="DN382" s="122"/>
      <c r="DO382" s="122"/>
      <c r="DP382" s="122"/>
      <c r="DQ382" s="122"/>
      <c r="DR382" s="122"/>
      <c r="DS382" s="122"/>
      <c r="DT382" s="122"/>
      <c r="DU382" s="122"/>
      <c r="DV382" s="122"/>
      <c r="DW382" s="122"/>
      <c r="DX382" s="122"/>
      <c r="DY382" s="122"/>
      <c r="DZ382" s="122"/>
      <c r="EA382" s="122"/>
      <c r="EB382" s="122"/>
      <c r="EC382" s="122"/>
      <c r="ED382" s="122"/>
      <c r="EE382" s="122"/>
      <c r="EF382" s="122"/>
      <c r="EG382" s="122"/>
      <c r="EH382" s="122"/>
      <c r="EI382" s="122"/>
      <c r="EJ382" s="122"/>
      <c r="EK382" s="122"/>
      <c r="EL382" s="122"/>
      <c r="EM382" s="122"/>
      <c r="EN382" s="122"/>
      <c r="EO382" s="122"/>
      <c r="EP382" s="122"/>
      <c r="EQ382" s="122"/>
      <c r="ER382" s="122"/>
      <c r="ES382" s="122"/>
      <c r="ET382" s="122"/>
      <c r="EU382" s="122"/>
      <c r="EV382" s="122"/>
      <c r="EW382" s="122"/>
      <c r="EX382" s="122"/>
      <c r="EY382" s="122"/>
      <c r="EZ382" s="122"/>
      <c r="FA382" s="122"/>
      <c r="FB382" s="122"/>
      <c r="FC382" s="122"/>
      <c r="FD382" s="122"/>
      <c r="FE382" s="122"/>
      <c r="FF382" s="122"/>
      <c r="FG382" s="122"/>
      <c r="FH382" s="122"/>
      <c r="FI382" s="122"/>
      <c r="FJ382" s="122"/>
      <c r="FK382" s="122"/>
      <c r="FL382" s="122"/>
      <c r="FM382" s="122"/>
      <c r="FN382" s="122"/>
      <c r="FO382" s="122"/>
      <c r="FP382" s="122"/>
      <c r="FQ382" s="122"/>
      <c r="FR382" s="122"/>
      <c r="FS382" s="122"/>
      <c r="FT382" s="122"/>
      <c r="FU382" s="122"/>
      <c r="FV382" s="122"/>
      <c r="FW382" s="122"/>
      <c r="FX382" s="122"/>
      <c r="FY382" s="122"/>
      <c r="FZ382" s="122"/>
      <c r="GA382" s="122"/>
      <c r="GB382" s="122"/>
      <c r="GC382" s="122"/>
      <c r="GD382" s="122"/>
      <c r="GE382" s="122"/>
      <c r="GF382" s="122"/>
      <c r="GG382" s="122"/>
      <c r="GH382" s="122"/>
      <c r="GI382" s="122"/>
      <c r="GJ382" s="122"/>
      <c r="GK382" s="122"/>
      <c r="GL382" s="122"/>
      <c r="GM382" s="122"/>
      <c r="GN382" s="122"/>
      <c r="GO382" s="122"/>
      <c r="GP382" s="122"/>
      <c r="GQ382" s="122"/>
      <c r="GR382" s="122"/>
      <c r="GS382" s="122"/>
      <c r="GT382" s="122"/>
      <c r="GU382" s="122"/>
      <c r="GV382" s="122"/>
      <c r="GW382" s="122"/>
      <c r="GX382" s="122"/>
      <c r="GY382" s="122"/>
      <c r="GZ382" s="122"/>
      <c r="HA382" s="122"/>
      <c r="HB382" s="122"/>
      <c r="HC382" s="122"/>
      <c r="HD382" s="122"/>
      <c r="HE382" s="122"/>
      <c r="HF382" s="122"/>
      <c r="HG382" s="122"/>
      <c r="HH382" s="122"/>
      <c r="HI382" s="122"/>
      <c r="HJ382" s="122"/>
      <c r="HK382" s="122"/>
      <c r="HL382" s="122"/>
      <c r="HM382" s="122"/>
      <c r="HN382" s="122"/>
      <c r="HO382" s="122"/>
      <c r="HP382" s="122"/>
      <c r="HQ382" s="122"/>
      <c r="HR382" s="122"/>
      <c r="HS382" s="122"/>
      <c r="HT382" s="122"/>
      <c r="HU382" s="122"/>
      <c r="HV382" s="122"/>
      <c r="HW382" s="122"/>
      <c r="HX382" s="122"/>
      <c r="HY382" s="122"/>
      <c r="HZ382" s="122"/>
      <c r="IA382" s="122"/>
      <c r="IB382" s="122"/>
      <c r="IC382" s="122"/>
      <c r="ID382" s="122"/>
      <c r="IE382" s="122"/>
      <c r="IF382" s="122"/>
      <c r="IG382" s="122"/>
      <c r="IH382" s="122"/>
      <c r="II382" s="122"/>
      <c r="IJ382" s="122"/>
      <c r="IK382" s="122"/>
      <c r="IL382" s="122"/>
      <c r="IM382" s="122"/>
      <c r="IN382" s="122"/>
      <c r="IO382" s="122"/>
      <c r="IP382" s="122"/>
      <c r="IQ382" s="122"/>
      <c r="IR382" s="122"/>
      <c r="IS382" s="122"/>
      <c r="IT382" s="122"/>
      <c r="IU382" s="122"/>
      <c r="IV382" s="122"/>
      <c r="IW382" s="122"/>
      <c r="IX382" s="122"/>
      <c r="IY382" s="122"/>
      <c r="IZ382" s="122"/>
      <c r="JA382" s="122"/>
      <c r="JB382" s="122"/>
      <c r="JC382" s="122"/>
      <c r="JD382" s="122"/>
      <c r="JE382" s="122"/>
      <c r="JF382" s="122"/>
      <c r="JG382" s="122"/>
      <c r="JH382" s="122"/>
      <c r="JI382" s="119"/>
      <c r="JJ382" s="2"/>
      <c r="JK382" s="122"/>
      <c r="JL382" s="125"/>
      <c r="JM382" s="125"/>
      <c r="JN382" s="125"/>
      <c r="JO382" s="125"/>
      <c r="JP382" s="125"/>
    </row>
    <row r="383" spans="1:276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  <c r="AK383" s="122"/>
      <c r="AL383" s="122"/>
      <c r="AM383" s="122"/>
      <c r="AN383" s="122"/>
      <c r="AO383" s="122"/>
      <c r="AP383" s="122"/>
      <c r="AQ383" s="122"/>
      <c r="AR383" s="122"/>
      <c r="AS383" s="122"/>
      <c r="AT383" s="122"/>
      <c r="AU383" s="122"/>
      <c r="AV383" s="122"/>
      <c r="AW383" s="122"/>
      <c r="AX383" s="122"/>
      <c r="AY383" s="122"/>
      <c r="AZ383" s="122"/>
      <c r="BA383" s="122"/>
      <c r="BB383" s="122"/>
      <c r="BC383" s="122"/>
      <c r="BD383" s="122"/>
      <c r="BE383" s="122"/>
      <c r="BF383" s="122"/>
      <c r="BG383" s="122"/>
      <c r="BH383" s="122"/>
      <c r="BI383" s="122"/>
      <c r="BJ383" s="122"/>
      <c r="BK383" s="122"/>
      <c r="BL383" s="122"/>
      <c r="BM383" s="122"/>
      <c r="BN383" s="122"/>
      <c r="BO383" s="122"/>
      <c r="BP383" s="122"/>
      <c r="BQ383" s="122"/>
      <c r="BR383" s="122"/>
      <c r="BS383" s="122"/>
      <c r="BT383" s="122"/>
      <c r="BU383" s="122"/>
      <c r="BV383" s="122"/>
      <c r="BW383" s="122"/>
      <c r="BX383" s="122"/>
      <c r="BY383" s="122"/>
      <c r="BZ383" s="122"/>
      <c r="CA383" s="122"/>
      <c r="CB383" s="122"/>
      <c r="CC383" s="122"/>
      <c r="CD383" s="122"/>
      <c r="CE383" s="122"/>
      <c r="CF383" s="122"/>
      <c r="CG383" s="122"/>
      <c r="CH383" s="122"/>
      <c r="CI383" s="122"/>
      <c r="CJ383" s="122"/>
      <c r="CK383" s="122"/>
      <c r="CL383" s="122"/>
      <c r="CM383" s="122"/>
      <c r="CN383" s="122"/>
      <c r="CO383" s="122"/>
      <c r="CP383" s="122"/>
      <c r="CQ383" s="122"/>
      <c r="CR383" s="122"/>
      <c r="CS383" s="122"/>
      <c r="CT383" s="122"/>
      <c r="CU383" s="122"/>
      <c r="CV383" s="122"/>
      <c r="CW383" s="122"/>
      <c r="CX383" s="122"/>
      <c r="CY383" s="122"/>
      <c r="CZ383" s="122"/>
      <c r="DA383" s="122"/>
      <c r="DB383" s="122"/>
      <c r="DC383" s="122"/>
      <c r="DD383" s="122"/>
      <c r="DE383" s="122"/>
      <c r="DF383" s="122"/>
      <c r="DG383" s="122"/>
      <c r="DH383" s="122"/>
      <c r="DI383" s="122"/>
      <c r="DJ383" s="122"/>
      <c r="DK383" s="122"/>
      <c r="DL383" s="122"/>
      <c r="DM383" s="122"/>
      <c r="DN383" s="122"/>
      <c r="DO383" s="122"/>
      <c r="DP383" s="122"/>
      <c r="DQ383" s="122"/>
      <c r="DR383" s="122"/>
      <c r="DS383" s="122"/>
      <c r="DT383" s="122"/>
      <c r="DU383" s="122"/>
      <c r="DV383" s="122"/>
      <c r="DW383" s="122"/>
      <c r="DX383" s="122"/>
      <c r="DY383" s="122"/>
      <c r="DZ383" s="122"/>
      <c r="EA383" s="122"/>
      <c r="EB383" s="122"/>
      <c r="EC383" s="122"/>
      <c r="ED383" s="122"/>
      <c r="EE383" s="122"/>
      <c r="EF383" s="122"/>
      <c r="EG383" s="122"/>
      <c r="EH383" s="122"/>
      <c r="EI383" s="122"/>
      <c r="EJ383" s="122"/>
      <c r="EK383" s="122"/>
      <c r="EL383" s="122"/>
      <c r="EM383" s="122"/>
      <c r="EN383" s="122"/>
      <c r="EO383" s="122"/>
      <c r="EP383" s="122"/>
      <c r="EQ383" s="122"/>
      <c r="ER383" s="122"/>
      <c r="ES383" s="122"/>
      <c r="ET383" s="122"/>
      <c r="EU383" s="122"/>
      <c r="EV383" s="122"/>
      <c r="EW383" s="122"/>
      <c r="EX383" s="122"/>
      <c r="EY383" s="122"/>
      <c r="EZ383" s="122"/>
      <c r="FA383" s="122"/>
      <c r="FB383" s="122"/>
      <c r="FC383" s="122"/>
      <c r="FD383" s="122"/>
      <c r="FE383" s="122"/>
      <c r="FF383" s="122"/>
      <c r="FG383" s="122"/>
      <c r="FH383" s="122"/>
      <c r="FI383" s="122"/>
      <c r="FJ383" s="122"/>
      <c r="FK383" s="122"/>
      <c r="FL383" s="122"/>
      <c r="FM383" s="122"/>
      <c r="FN383" s="122"/>
      <c r="FO383" s="122"/>
      <c r="FP383" s="122"/>
      <c r="FQ383" s="122"/>
      <c r="FR383" s="122"/>
      <c r="FS383" s="122"/>
      <c r="FT383" s="122"/>
      <c r="FU383" s="122"/>
      <c r="FV383" s="122"/>
      <c r="FW383" s="122"/>
      <c r="FX383" s="122"/>
      <c r="FY383" s="122"/>
      <c r="FZ383" s="122"/>
      <c r="GA383" s="122"/>
      <c r="GB383" s="122"/>
      <c r="GC383" s="122"/>
      <c r="GD383" s="122"/>
      <c r="GE383" s="122"/>
      <c r="GF383" s="122"/>
      <c r="GG383" s="122"/>
      <c r="GH383" s="122"/>
      <c r="GI383" s="122"/>
      <c r="GJ383" s="122"/>
      <c r="GK383" s="122"/>
      <c r="GL383" s="122"/>
      <c r="GM383" s="122"/>
      <c r="GN383" s="122"/>
      <c r="GO383" s="122"/>
      <c r="GP383" s="122"/>
      <c r="GQ383" s="122"/>
      <c r="GR383" s="122"/>
      <c r="GS383" s="122"/>
      <c r="GT383" s="122"/>
      <c r="GU383" s="122"/>
      <c r="GV383" s="122"/>
      <c r="GW383" s="122"/>
      <c r="GX383" s="122"/>
      <c r="GY383" s="122"/>
      <c r="GZ383" s="122"/>
      <c r="HA383" s="122"/>
      <c r="HB383" s="122"/>
      <c r="HC383" s="122"/>
      <c r="HD383" s="122"/>
      <c r="HE383" s="122"/>
      <c r="HF383" s="122"/>
      <c r="HG383" s="122"/>
      <c r="HH383" s="122"/>
      <c r="HI383" s="122"/>
      <c r="HJ383" s="122"/>
      <c r="HK383" s="122"/>
      <c r="HL383" s="122"/>
      <c r="HM383" s="122"/>
      <c r="HN383" s="122"/>
      <c r="HO383" s="122"/>
      <c r="HP383" s="122"/>
      <c r="HQ383" s="122"/>
      <c r="HR383" s="122"/>
      <c r="HS383" s="122"/>
      <c r="HT383" s="122"/>
      <c r="HU383" s="122"/>
      <c r="HV383" s="122"/>
      <c r="HW383" s="122"/>
      <c r="HX383" s="122"/>
      <c r="HY383" s="122"/>
      <c r="HZ383" s="122"/>
      <c r="IA383" s="122"/>
      <c r="IB383" s="122"/>
      <c r="IC383" s="122"/>
      <c r="ID383" s="122"/>
      <c r="IE383" s="122"/>
      <c r="IF383" s="122"/>
      <c r="IG383" s="122"/>
      <c r="IH383" s="122"/>
      <c r="II383" s="122"/>
      <c r="IJ383" s="122"/>
      <c r="IK383" s="122"/>
      <c r="IL383" s="122"/>
      <c r="IM383" s="122"/>
      <c r="IN383" s="122"/>
      <c r="IO383" s="122"/>
      <c r="IP383" s="122"/>
      <c r="IQ383" s="122"/>
      <c r="IR383" s="122"/>
      <c r="IS383" s="122"/>
      <c r="IT383" s="122"/>
      <c r="IU383" s="122"/>
      <c r="IV383" s="122"/>
      <c r="IW383" s="122"/>
      <c r="IX383" s="122"/>
      <c r="IY383" s="122"/>
      <c r="IZ383" s="122"/>
      <c r="JA383" s="122"/>
      <c r="JB383" s="122"/>
      <c r="JC383" s="122"/>
      <c r="JD383" s="122"/>
      <c r="JE383" s="122"/>
      <c r="JF383" s="122"/>
      <c r="JG383" s="122"/>
      <c r="JH383" s="122"/>
      <c r="JI383" s="119"/>
      <c r="JJ383" s="2"/>
      <c r="JK383" s="122"/>
      <c r="JL383" s="125"/>
      <c r="JM383" s="125"/>
      <c r="JN383" s="125"/>
      <c r="JO383" s="125"/>
      <c r="JP383" s="125"/>
    </row>
    <row r="384" spans="1:276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  <c r="AI384" s="122"/>
      <c r="AJ384" s="122"/>
      <c r="AK384" s="122"/>
      <c r="AL384" s="122"/>
      <c r="AM384" s="122"/>
      <c r="AN384" s="122"/>
      <c r="AO384" s="122"/>
      <c r="AP384" s="122"/>
      <c r="AQ384" s="122"/>
      <c r="AR384" s="122"/>
      <c r="AS384" s="122"/>
      <c r="AT384" s="122"/>
      <c r="AU384" s="122"/>
      <c r="AV384" s="122"/>
      <c r="AW384" s="122"/>
      <c r="AX384" s="122"/>
      <c r="AY384" s="122"/>
      <c r="AZ384" s="122"/>
      <c r="BA384" s="122"/>
      <c r="BB384" s="122"/>
      <c r="BC384" s="122"/>
      <c r="BD384" s="122"/>
      <c r="BE384" s="122"/>
      <c r="BF384" s="122"/>
      <c r="BG384" s="122"/>
      <c r="BH384" s="122"/>
      <c r="BI384" s="122"/>
      <c r="BJ384" s="122"/>
      <c r="BK384" s="122"/>
      <c r="BL384" s="122"/>
      <c r="BM384" s="122"/>
      <c r="BN384" s="122"/>
      <c r="BO384" s="122"/>
      <c r="BP384" s="122"/>
      <c r="BQ384" s="122"/>
      <c r="BR384" s="122"/>
      <c r="BS384" s="122"/>
      <c r="BT384" s="122"/>
      <c r="BU384" s="122"/>
      <c r="BV384" s="122"/>
      <c r="BW384" s="122"/>
      <c r="BX384" s="122"/>
      <c r="BY384" s="122"/>
      <c r="BZ384" s="122"/>
      <c r="CA384" s="122"/>
      <c r="CB384" s="122"/>
      <c r="CC384" s="122"/>
      <c r="CD384" s="122"/>
      <c r="CE384" s="122"/>
      <c r="CF384" s="122"/>
      <c r="CG384" s="122"/>
      <c r="CH384" s="122"/>
      <c r="CI384" s="122"/>
      <c r="CJ384" s="122"/>
      <c r="CK384" s="122"/>
      <c r="CL384" s="122"/>
      <c r="CM384" s="122"/>
      <c r="CN384" s="122"/>
      <c r="CO384" s="122"/>
      <c r="CP384" s="122"/>
      <c r="CQ384" s="122"/>
      <c r="CR384" s="122"/>
      <c r="CS384" s="122"/>
      <c r="CT384" s="122"/>
      <c r="CU384" s="122"/>
      <c r="CV384" s="122"/>
      <c r="CW384" s="122"/>
      <c r="CX384" s="122"/>
      <c r="CY384" s="122"/>
      <c r="CZ384" s="122"/>
      <c r="DA384" s="122"/>
      <c r="DB384" s="122"/>
      <c r="DC384" s="122"/>
      <c r="DD384" s="122"/>
      <c r="DE384" s="122"/>
      <c r="DF384" s="122"/>
      <c r="DG384" s="122"/>
      <c r="DH384" s="122"/>
      <c r="DI384" s="122"/>
      <c r="DJ384" s="122"/>
      <c r="DK384" s="122"/>
      <c r="DL384" s="122"/>
      <c r="DM384" s="122"/>
      <c r="DN384" s="122"/>
      <c r="DO384" s="122"/>
      <c r="DP384" s="122"/>
      <c r="DQ384" s="122"/>
      <c r="DR384" s="122"/>
      <c r="DS384" s="122"/>
      <c r="DT384" s="122"/>
      <c r="DU384" s="122"/>
      <c r="DV384" s="122"/>
      <c r="DW384" s="122"/>
      <c r="DX384" s="122"/>
      <c r="DY384" s="122"/>
      <c r="DZ384" s="122"/>
      <c r="EA384" s="122"/>
      <c r="EB384" s="122"/>
      <c r="EC384" s="122"/>
      <c r="ED384" s="122"/>
      <c r="EE384" s="122"/>
      <c r="EF384" s="122"/>
      <c r="EG384" s="122"/>
      <c r="EH384" s="122"/>
      <c r="EI384" s="122"/>
      <c r="EJ384" s="122"/>
      <c r="EK384" s="122"/>
      <c r="EL384" s="122"/>
      <c r="EM384" s="122"/>
      <c r="EN384" s="122"/>
      <c r="EO384" s="122"/>
      <c r="EP384" s="122"/>
      <c r="EQ384" s="122"/>
      <c r="ER384" s="122"/>
      <c r="ES384" s="122"/>
      <c r="ET384" s="122"/>
      <c r="EU384" s="122"/>
      <c r="EV384" s="122"/>
      <c r="EW384" s="122"/>
      <c r="EX384" s="122"/>
      <c r="EY384" s="122"/>
      <c r="EZ384" s="122"/>
      <c r="FA384" s="122"/>
      <c r="FB384" s="122"/>
      <c r="FC384" s="122"/>
      <c r="FD384" s="122"/>
      <c r="FE384" s="122"/>
      <c r="FF384" s="122"/>
      <c r="FG384" s="122"/>
      <c r="FH384" s="122"/>
      <c r="FI384" s="122"/>
      <c r="FJ384" s="122"/>
      <c r="FK384" s="122"/>
      <c r="FL384" s="122"/>
      <c r="FM384" s="122"/>
      <c r="FN384" s="122"/>
      <c r="FO384" s="122"/>
      <c r="FP384" s="122"/>
      <c r="FQ384" s="122"/>
      <c r="FR384" s="122"/>
      <c r="FS384" s="122"/>
      <c r="FT384" s="122"/>
      <c r="FU384" s="122"/>
      <c r="FV384" s="122"/>
      <c r="FW384" s="122"/>
      <c r="FX384" s="122"/>
      <c r="FY384" s="122"/>
      <c r="FZ384" s="122"/>
      <c r="GA384" s="122"/>
      <c r="GB384" s="122"/>
      <c r="GC384" s="122"/>
      <c r="GD384" s="122"/>
      <c r="GE384" s="122"/>
      <c r="GF384" s="122"/>
      <c r="GG384" s="122"/>
      <c r="GH384" s="122"/>
      <c r="GI384" s="122"/>
      <c r="GJ384" s="122"/>
      <c r="GK384" s="122"/>
      <c r="GL384" s="122"/>
      <c r="GM384" s="122"/>
      <c r="GN384" s="122"/>
      <c r="GO384" s="122"/>
      <c r="GP384" s="122"/>
      <c r="GQ384" s="122"/>
      <c r="GR384" s="122"/>
      <c r="GS384" s="122"/>
      <c r="GT384" s="122"/>
      <c r="GU384" s="122"/>
      <c r="GV384" s="122"/>
      <c r="GW384" s="122"/>
      <c r="GX384" s="122"/>
      <c r="GY384" s="122"/>
      <c r="GZ384" s="122"/>
      <c r="HA384" s="122"/>
      <c r="HB384" s="122"/>
      <c r="HC384" s="122"/>
      <c r="HD384" s="122"/>
      <c r="HE384" s="122"/>
      <c r="HF384" s="122"/>
      <c r="HG384" s="122"/>
      <c r="HH384" s="122"/>
      <c r="HI384" s="122"/>
      <c r="HJ384" s="122"/>
      <c r="HK384" s="122"/>
      <c r="HL384" s="122"/>
      <c r="HM384" s="122"/>
      <c r="HN384" s="122"/>
      <c r="HO384" s="122"/>
      <c r="HP384" s="122"/>
      <c r="HQ384" s="122"/>
      <c r="HR384" s="122"/>
      <c r="HS384" s="122"/>
      <c r="HT384" s="122"/>
      <c r="HU384" s="122"/>
      <c r="HV384" s="122"/>
      <c r="HW384" s="122"/>
      <c r="HX384" s="122"/>
      <c r="HY384" s="122"/>
      <c r="HZ384" s="122"/>
      <c r="IA384" s="122"/>
      <c r="IB384" s="122"/>
      <c r="IC384" s="122"/>
      <c r="ID384" s="122"/>
      <c r="IE384" s="122"/>
      <c r="IF384" s="122"/>
      <c r="IG384" s="122"/>
      <c r="IH384" s="122"/>
      <c r="II384" s="122"/>
      <c r="IJ384" s="122"/>
      <c r="IK384" s="122"/>
      <c r="IL384" s="122"/>
      <c r="IM384" s="122"/>
      <c r="IN384" s="122"/>
      <c r="IO384" s="122"/>
      <c r="IP384" s="122"/>
      <c r="IQ384" s="122"/>
      <c r="IR384" s="122"/>
      <c r="IS384" s="122"/>
      <c r="IT384" s="122"/>
      <c r="IU384" s="122"/>
      <c r="IV384" s="122"/>
      <c r="IW384" s="122"/>
      <c r="IX384" s="122"/>
      <c r="IY384" s="122"/>
      <c r="IZ384" s="122"/>
      <c r="JA384" s="122"/>
      <c r="JB384" s="122"/>
      <c r="JC384" s="122"/>
      <c r="JD384" s="122"/>
      <c r="JE384" s="122"/>
      <c r="JF384" s="122"/>
      <c r="JG384" s="122"/>
      <c r="JH384" s="122"/>
      <c r="JI384" s="119"/>
      <c r="JJ384" s="2"/>
      <c r="JK384" s="122"/>
      <c r="JL384" s="125"/>
      <c r="JM384" s="125"/>
      <c r="JN384" s="125"/>
      <c r="JO384" s="125"/>
      <c r="JP384" s="125"/>
    </row>
    <row r="385" spans="1:276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22"/>
      <c r="AM385" s="122"/>
      <c r="AN385" s="122"/>
      <c r="AO385" s="122"/>
      <c r="AP385" s="122"/>
      <c r="AQ385" s="122"/>
      <c r="AR385" s="122"/>
      <c r="AS385" s="122"/>
      <c r="AT385" s="122"/>
      <c r="AU385" s="122"/>
      <c r="AV385" s="122"/>
      <c r="AW385" s="122"/>
      <c r="AX385" s="122"/>
      <c r="AY385" s="122"/>
      <c r="AZ385" s="122"/>
      <c r="BA385" s="122"/>
      <c r="BB385" s="122"/>
      <c r="BC385" s="122"/>
      <c r="BD385" s="122"/>
      <c r="BE385" s="122"/>
      <c r="BF385" s="122"/>
      <c r="BG385" s="122"/>
      <c r="BH385" s="122"/>
      <c r="BI385" s="122"/>
      <c r="BJ385" s="122"/>
      <c r="BK385" s="122"/>
      <c r="BL385" s="122"/>
      <c r="BM385" s="122"/>
      <c r="BN385" s="122"/>
      <c r="BO385" s="122"/>
      <c r="BP385" s="122"/>
      <c r="BQ385" s="122"/>
      <c r="BR385" s="122"/>
      <c r="BS385" s="122"/>
      <c r="BT385" s="122"/>
      <c r="BU385" s="122"/>
      <c r="BV385" s="122"/>
      <c r="BW385" s="122"/>
      <c r="BX385" s="122"/>
      <c r="BY385" s="122"/>
      <c r="BZ385" s="122"/>
      <c r="CA385" s="122"/>
      <c r="CB385" s="122"/>
      <c r="CC385" s="122"/>
      <c r="CD385" s="122"/>
      <c r="CE385" s="122"/>
      <c r="CF385" s="122"/>
      <c r="CG385" s="122"/>
      <c r="CH385" s="122"/>
      <c r="CI385" s="122"/>
      <c r="CJ385" s="122"/>
      <c r="CK385" s="122"/>
      <c r="CL385" s="122"/>
      <c r="CM385" s="122"/>
      <c r="CN385" s="122"/>
      <c r="CO385" s="122"/>
      <c r="CP385" s="122"/>
      <c r="CQ385" s="122"/>
      <c r="CR385" s="122"/>
      <c r="CS385" s="122"/>
      <c r="CT385" s="122"/>
      <c r="CU385" s="122"/>
      <c r="CV385" s="122"/>
      <c r="CW385" s="122"/>
      <c r="CX385" s="122"/>
      <c r="CY385" s="122"/>
      <c r="CZ385" s="122"/>
      <c r="DA385" s="122"/>
      <c r="DB385" s="122"/>
      <c r="DC385" s="122"/>
      <c r="DD385" s="122"/>
      <c r="DE385" s="122"/>
      <c r="DF385" s="122"/>
      <c r="DG385" s="122"/>
      <c r="DH385" s="122"/>
      <c r="DI385" s="122"/>
      <c r="DJ385" s="122"/>
      <c r="DK385" s="122"/>
      <c r="DL385" s="122"/>
      <c r="DM385" s="122"/>
      <c r="DN385" s="122"/>
      <c r="DO385" s="122"/>
      <c r="DP385" s="122"/>
      <c r="DQ385" s="122"/>
      <c r="DR385" s="122"/>
      <c r="DS385" s="122"/>
      <c r="DT385" s="122"/>
      <c r="DU385" s="122"/>
      <c r="DV385" s="122"/>
      <c r="DW385" s="122"/>
      <c r="DX385" s="122"/>
      <c r="DY385" s="122"/>
      <c r="DZ385" s="122"/>
      <c r="EA385" s="122"/>
      <c r="EB385" s="122"/>
      <c r="EC385" s="122"/>
      <c r="ED385" s="122"/>
      <c r="EE385" s="122"/>
      <c r="EF385" s="122"/>
      <c r="EG385" s="122"/>
      <c r="EH385" s="122"/>
      <c r="EI385" s="122"/>
      <c r="EJ385" s="122"/>
      <c r="EK385" s="122"/>
      <c r="EL385" s="122"/>
      <c r="EM385" s="122"/>
      <c r="EN385" s="122"/>
      <c r="EO385" s="122"/>
      <c r="EP385" s="122"/>
      <c r="EQ385" s="122"/>
      <c r="ER385" s="122"/>
      <c r="ES385" s="122"/>
      <c r="ET385" s="122"/>
      <c r="EU385" s="122"/>
      <c r="EV385" s="122"/>
      <c r="EW385" s="122"/>
      <c r="EX385" s="122"/>
      <c r="EY385" s="122"/>
      <c r="EZ385" s="122"/>
      <c r="FA385" s="122"/>
      <c r="FB385" s="122"/>
      <c r="FC385" s="122"/>
      <c r="FD385" s="122"/>
      <c r="FE385" s="122"/>
      <c r="FF385" s="122"/>
      <c r="FG385" s="122"/>
      <c r="FH385" s="122"/>
      <c r="FI385" s="122"/>
      <c r="FJ385" s="122"/>
      <c r="FK385" s="122"/>
      <c r="FL385" s="122"/>
      <c r="FM385" s="122"/>
      <c r="FN385" s="122"/>
      <c r="FO385" s="122"/>
      <c r="FP385" s="122"/>
      <c r="FQ385" s="122"/>
      <c r="FR385" s="122"/>
      <c r="FS385" s="122"/>
      <c r="FT385" s="122"/>
      <c r="FU385" s="122"/>
      <c r="FV385" s="122"/>
      <c r="FW385" s="122"/>
      <c r="FX385" s="122"/>
      <c r="FY385" s="122"/>
      <c r="FZ385" s="122"/>
      <c r="GA385" s="122"/>
      <c r="GB385" s="122"/>
      <c r="GC385" s="122"/>
      <c r="GD385" s="122"/>
      <c r="GE385" s="122"/>
      <c r="GF385" s="122"/>
      <c r="GG385" s="122"/>
      <c r="GH385" s="122"/>
      <c r="GI385" s="122"/>
      <c r="GJ385" s="122"/>
      <c r="GK385" s="122"/>
      <c r="GL385" s="122"/>
      <c r="GM385" s="122"/>
      <c r="GN385" s="122"/>
      <c r="GO385" s="122"/>
      <c r="GP385" s="122"/>
      <c r="GQ385" s="122"/>
      <c r="GR385" s="122"/>
      <c r="GS385" s="122"/>
      <c r="GT385" s="122"/>
      <c r="GU385" s="122"/>
      <c r="GV385" s="122"/>
      <c r="GW385" s="122"/>
      <c r="GX385" s="122"/>
      <c r="GY385" s="122"/>
      <c r="GZ385" s="122"/>
      <c r="HA385" s="122"/>
      <c r="HB385" s="122"/>
      <c r="HC385" s="122"/>
      <c r="HD385" s="122"/>
      <c r="HE385" s="122"/>
      <c r="HF385" s="122"/>
      <c r="HG385" s="122"/>
      <c r="HH385" s="122"/>
      <c r="HI385" s="122"/>
      <c r="HJ385" s="122"/>
      <c r="HK385" s="122"/>
      <c r="HL385" s="122"/>
      <c r="HM385" s="122"/>
      <c r="HN385" s="122"/>
      <c r="HO385" s="122"/>
      <c r="HP385" s="122"/>
      <c r="HQ385" s="122"/>
      <c r="HR385" s="122"/>
      <c r="HS385" s="122"/>
      <c r="HT385" s="122"/>
      <c r="HU385" s="122"/>
      <c r="HV385" s="122"/>
      <c r="HW385" s="122"/>
      <c r="HX385" s="122"/>
      <c r="HY385" s="122"/>
      <c r="HZ385" s="122"/>
      <c r="IA385" s="122"/>
      <c r="IB385" s="122"/>
      <c r="IC385" s="122"/>
      <c r="ID385" s="122"/>
      <c r="IE385" s="122"/>
      <c r="IF385" s="122"/>
      <c r="IG385" s="122"/>
      <c r="IH385" s="122"/>
      <c r="II385" s="122"/>
      <c r="IJ385" s="122"/>
      <c r="IK385" s="122"/>
      <c r="IL385" s="122"/>
      <c r="IM385" s="122"/>
      <c r="IN385" s="122"/>
      <c r="IO385" s="122"/>
      <c r="IP385" s="122"/>
      <c r="IQ385" s="122"/>
      <c r="IR385" s="122"/>
      <c r="IS385" s="122"/>
      <c r="IT385" s="122"/>
      <c r="IU385" s="122"/>
      <c r="IV385" s="122"/>
      <c r="IW385" s="122"/>
      <c r="IX385" s="122"/>
      <c r="IY385" s="122"/>
      <c r="IZ385" s="122"/>
      <c r="JA385" s="122"/>
      <c r="JB385" s="122"/>
      <c r="JC385" s="122"/>
      <c r="JD385" s="122"/>
      <c r="JE385" s="122"/>
      <c r="JF385" s="122"/>
      <c r="JG385" s="122"/>
      <c r="JH385" s="122"/>
      <c r="JI385" s="119"/>
      <c r="JJ385" s="2"/>
      <c r="JK385" s="122"/>
      <c r="JL385" s="125"/>
      <c r="JM385" s="125"/>
      <c r="JN385" s="125"/>
      <c r="JO385" s="125"/>
      <c r="JP385" s="125"/>
    </row>
    <row r="386" spans="1:27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  <c r="AI386" s="122"/>
      <c r="AJ386" s="122"/>
      <c r="AK386" s="122"/>
      <c r="AL386" s="122"/>
      <c r="AM386" s="122"/>
      <c r="AN386" s="122"/>
      <c r="AO386" s="122"/>
      <c r="AP386" s="122"/>
      <c r="AQ386" s="122"/>
      <c r="AR386" s="122"/>
      <c r="AS386" s="122"/>
      <c r="AT386" s="122"/>
      <c r="AU386" s="122"/>
      <c r="AV386" s="122"/>
      <c r="AW386" s="122"/>
      <c r="AX386" s="122"/>
      <c r="AY386" s="122"/>
      <c r="AZ386" s="122"/>
      <c r="BA386" s="122"/>
      <c r="BB386" s="122"/>
      <c r="BC386" s="122"/>
      <c r="BD386" s="122"/>
      <c r="BE386" s="122"/>
      <c r="BF386" s="122"/>
      <c r="BG386" s="122"/>
      <c r="BH386" s="122"/>
      <c r="BI386" s="122"/>
      <c r="BJ386" s="122"/>
      <c r="BK386" s="122"/>
      <c r="BL386" s="122"/>
      <c r="BM386" s="122"/>
      <c r="BN386" s="122"/>
      <c r="BO386" s="122"/>
      <c r="BP386" s="122"/>
      <c r="BQ386" s="122"/>
      <c r="BR386" s="122"/>
      <c r="BS386" s="122"/>
      <c r="BT386" s="122"/>
      <c r="BU386" s="122"/>
      <c r="BV386" s="122"/>
      <c r="BW386" s="122"/>
      <c r="BX386" s="122"/>
      <c r="BY386" s="122"/>
      <c r="BZ386" s="122"/>
      <c r="CA386" s="122"/>
      <c r="CB386" s="122"/>
      <c r="CC386" s="122"/>
      <c r="CD386" s="122"/>
      <c r="CE386" s="122"/>
      <c r="CF386" s="122"/>
      <c r="CG386" s="122"/>
      <c r="CH386" s="122"/>
      <c r="CI386" s="122"/>
      <c r="CJ386" s="122"/>
      <c r="CK386" s="122"/>
      <c r="CL386" s="122"/>
      <c r="CM386" s="122"/>
      <c r="CN386" s="122"/>
      <c r="CO386" s="122"/>
      <c r="CP386" s="122"/>
      <c r="CQ386" s="122"/>
      <c r="CR386" s="122"/>
      <c r="CS386" s="122"/>
      <c r="CT386" s="122"/>
      <c r="CU386" s="122"/>
      <c r="CV386" s="122"/>
      <c r="CW386" s="122"/>
      <c r="CX386" s="122"/>
      <c r="CY386" s="122"/>
      <c r="CZ386" s="122"/>
      <c r="DA386" s="122"/>
      <c r="DB386" s="122"/>
      <c r="DC386" s="122"/>
      <c r="DD386" s="122"/>
      <c r="DE386" s="122"/>
      <c r="DF386" s="122"/>
      <c r="DG386" s="122"/>
      <c r="DH386" s="122"/>
      <c r="DI386" s="122"/>
      <c r="DJ386" s="122"/>
      <c r="DK386" s="122"/>
      <c r="DL386" s="122"/>
      <c r="DM386" s="122"/>
      <c r="DN386" s="122"/>
      <c r="DO386" s="122"/>
      <c r="DP386" s="122"/>
      <c r="DQ386" s="122"/>
      <c r="DR386" s="122"/>
      <c r="DS386" s="122"/>
      <c r="DT386" s="122"/>
      <c r="DU386" s="122"/>
      <c r="DV386" s="122"/>
      <c r="DW386" s="122"/>
      <c r="DX386" s="122"/>
      <c r="DY386" s="122"/>
      <c r="DZ386" s="122"/>
      <c r="EA386" s="122"/>
      <c r="EB386" s="122"/>
      <c r="EC386" s="122"/>
      <c r="ED386" s="122"/>
      <c r="EE386" s="122"/>
      <c r="EF386" s="122"/>
      <c r="EG386" s="122"/>
      <c r="EH386" s="122"/>
      <c r="EI386" s="122"/>
      <c r="EJ386" s="122"/>
      <c r="EK386" s="122"/>
      <c r="EL386" s="122"/>
      <c r="EM386" s="122"/>
      <c r="EN386" s="122"/>
      <c r="EO386" s="122"/>
      <c r="EP386" s="122"/>
      <c r="EQ386" s="122"/>
      <c r="ER386" s="122"/>
      <c r="ES386" s="122"/>
      <c r="ET386" s="122"/>
      <c r="EU386" s="122"/>
      <c r="EV386" s="122"/>
      <c r="EW386" s="122"/>
      <c r="EX386" s="122"/>
      <c r="EY386" s="122"/>
      <c r="EZ386" s="122"/>
      <c r="FA386" s="122"/>
      <c r="FB386" s="122"/>
      <c r="FC386" s="122"/>
      <c r="FD386" s="122"/>
      <c r="FE386" s="122"/>
      <c r="FF386" s="122"/>
      <c r="FG386" s="122"/>
      <c r="FH386" s="122"/>
      <c r="FI386" s="122"/>
      <c r="FJ386" s="122"/>
      <c r="FK386" s="122"/>
      <c r="FL386" s="122"/>
      <c r="FM386" s="122"/>
      <c r="FN386" s="122"/>
      <c r="FO386" s="122"/>
      <c r="FP386" s="122"/>
      <c r="FQ386" s="122"/>
      <c r="FR386" s="122"/>
      <c r="FS386" s="122"/>
      <c r="FT386" s="122"/>
      <c r="FU386" s="122"/>
      <c r="FV386" s="122"/>
      <c r="FW386" s="122"/>
      <c r="FX386" s="122"/>
      <c r="FY386" s="122"/>
      <c r="FZ386" s="122"/>
      <c r="GA386" s="122"/>
      <c r="GB386" s="122"/>
      <c r="GC386" s="122"/>
      <c r="GD386" s="122"/>
      <c r="GE386" s="122"/>
      <c r="GF386" s="122"/>
      <c r="GG386" s="122"/>
      <c r="GH386" s="122"/>
      <c r="GI386" s="122"/>
      <c r="GJ386" s="122"/>
      <c r="GK386" s="122"/>
      <c r="GL386" s="122"/>
      <c r="GM386" s="122"/>
      <c r="GN386" s="122"/>
      <c r="GO386" s="122"/>
      <c r="GP386" s="122"/>
      <c r="GQ386" s="122"/>
      <c r="GR386" s="122"/>
      <c r="GS386" s="122"/>
      <c r="GT386" s="122"/>
      <c r="GU386" s="122"/>
      <c r="GV386" s="122"/>
      <c r="GW386" s="122"/>
      <c r="GX386" s="122"/>
      <c r="GY386" s="122"/>
      <c r="GZ386" s="122"/>
      <c r="HA386" s="122"/>
      <c r="HB386" s="122"/>
      <c r="HC386" s="122"/>
      <c r="HD386" s="122"/>
      <c r="HE386" s="122"/>
      <c r="HF386" s="122"/>
      <c r="HG386" s="122"/>
      <c r="HH386" s="122"/>
      <c r="HI386" s="122"/>
      <c r="HJ386" s="122"/>
      <c r="HK386" s="122"/>
      <c r="HL386" s="122"/>
      <c r="HM386" s="122"/>
      <c r="HN386" s="122"/>
      <c r="HO386" s="122"/>
      <c r="HP386" s="122"/>
      <c r="HQ386" s="122"/>
      <c r="HR386" s="122"/>
      <c r="HS386" s="122"/>
      <c r="HT386" s="122"/>
      <c r="HU386" s="122"/>
      <c r="HV386" s="122"/>
      <c r="HW386" s="122"/>
      <c r="HX386" s="122"/>
      <c r="HY386" s="122"/>
      <c r="HZ386" s="122"/>
      <c r="IA386" s="122"/>
      <c r="IB386" s="122"/>
      <c r="IC386" s="122"/>
      <c r="ID386" s="122"/>
      <c r="IE386" s="122"/>
      <c r="IF386" s="122"/>
      <c r="IG386" s="122"/>
      <c r="IH386" s="122"/>
      <c r="II386" s="122"/>
      <c r="IJ386" s="122"/>
      <c r="IK386" s="122"/>
      <c r="IL386" s="122"/>
      <c r="IM386" s="122"/>
      <c r="IN386" s="122"/>
      <c r="IO386" s="122"/>
      <c r="IP386" s="122"/>
      <c r="IQ386" s="122"/>
      <c r="IR386" s="122"/>
      <c r="IS386" s="122"/>
      <c r="IT386" s="122"/>
      <c r="IU386" s="122"/>
      <c r="IV386" s="122"/>
      <c r="IW386" s="122"/>
      <c r="IX386" s="122"/>
      <c r="IY386" s="122"/>
      <c r="IZ386" s="122"/>
      <c r="JA386" s="122"/>
      <c r="JB386" s="122"/>
      <c r="JC386" s="122"/>
      <c r="JD386" s="122"/>
      <c r="JE386" s="122"/>
      <c r="JF386" s="122"/>
      <c r="JG386" s="122"/>
      <c r="JH386" s="122"/>
      <c r="JI386" s="119"/>
      <c r="JJ386" s="2"/>
      <c r="JK386" s="122"/>
      <c r="JL386" s="125"/>
      <c r="JM386" s="125"/>
      <c r="JN386" s="125"/>
      <c r="JO386" s="125"/>
      <c r="JP386" s="125"/>
    </row>
    <row r="387" spans="1:276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  <c r="AK387" s="122"/>
      <c r="AL387" s="122"/>
      <c r="AM387" s="122"/>
      <c r="AN387" s="122"/>
      <c r="AO387" s="122"/>
      <c r="AP387" s="122"/>
      <c r="AQ387" s="122"/>
      <c r="AR387" s="122"/>
      <c r="AS387" s="122"/>
      <c r="AT387" s="122"/>
      <c r="AU387" s="122"/>
      <c r="AV387" s="122"/>
      <c r="AW387" s="122"/>
      <c r="AX387" s="122"/>
      <c r="AY387" s="122"/>
      <c r="AZ387" s="122"/>
      <c r="BA387" s="122"/>
      <c r="BB387" s="122"/>
      <c r="BC387" s="122"/>
      <c r="BD387" s="122"/>
      <c r="BE387" s="122"/>
      <c r="BF387" s="122"/>
      <c r="BG387" s="122"/>
      <c r="BH387" s="122"/>
      <c r="BI387" s="122"/>
      <c r="BJ387" s="122"/>
      <c r="BK387" s="122"/>
      <c r="BL387" s="122"/>
      <c r="BM387" s="122"/>
      <c r="BN387" s="122"/>
      <c r="BO387" s="122"/>
      <c r="BP387" s="122"/>
      <c r="BQ387" s="122"/>
      <c r="BR387" s="122"/>
      <c r="BS387" s="122"/>
      <c r="BT387" s="122"/>
      <c r="BU387" s="122"/>
      <c r="BV387" s="122"/>
      <c r="BW387" s="122"/>
      <c r="BX387" s="122"/>
      <c r="BY387" s="122"/>
      <c r="BZ387" s="122"/>
      <c r="CA387" s="122"/>
      <c r="CB387" s="122"/>
      <c r="CC387" s="122"/>
      <c r="CD387" s="122"/>
      <c r="CE387" s="122"/>
      <c r="CF387" s="122"/>
      <c r="CG387" s="122"/>
      <c r="CH387" s="122"/>
      <c r="CI387" s="122"/>
      <c r="CJ387" s="122"/>
      <c r="CK387" s="122"/>
      <c r="CL387" s="122"/>
      <c r="CM387" s="122"/>
      <c r="CN387" s="122"/>
      <c r="CO387" s="122"/>
      <c r="CP387" s="122"/>
      <c r="CQ387" s="122"/>
      <c r="CR387" s="122"/>
      <c r="CS387" s="122"/>
      <c r="CT387" s="122"/>
      <c r="CU387" s="122"/>
      <c r="CV387" s="122"/>
      <c r="CW387" s="122"/>
      <c r="CX387" s="122"/>
      <c r="CY387" s="122"/>
      <c r="CZ387" s="122"/>
      <c r="DA387" s="122"/>
      <c r="DB387" s="122"/>
      <c r="DC387" s="122"/>
      <c r="DD387" s="122"/>
      <c r="DE387" s="122"/>
      <c r="DF387" s="122"/>
      <c r="DG387" s="122"/>
      <c r="DH387" s="122"/>
      <c r="DI387" s="122"/>
      <c r="DJ387" s="122"/>
      <c r="DK387" s="122"/>
      <c r="DL387" s="122"/>
      <c r="DM387" s="122"/>
      <c r="DN387" s="122"/>
      <c r="DO387" s="122"/>
      <c r="DP387" s="122"/>
      <c r="DQ387" s="122"/>
      <c r="DR387" s="122"/>
      <c r="DS387" s="122"/>
      <c r="DT387" s="122"/>
      <c r="DU387" s="122"/>
      <c r="DV387" s="122"/>
      <c r="DW387" s="122"/>
      <c r="DX387" s="122"/>
      <c r="DY387" s="122"/>
      <c r="DZ387" s="122"/>
      <c r="EA387" s="122"/>
      <c r="EB387" s="122"/>
      <c r="EC387" s="122"/>
      <c r="ED387" s="122"/>
      <c r="EE387" s="122"/>
      <c r="EF387" s="122"/>
      <c r="EG387" s="122"/>
      <c r="EH387" s="122"/>
      <c r="EI387" s="122"/>
      <c r="EJ387" s="122"/>
      <c r="EK387" s="122"/>
      <c r="EL387" s="122"/>
      <c r="EM387" s="122"/>
      <c r="EN387" s="122"/>
      <c r="EO387" s="122"/>
      <c r="EP387" s="122"/>
      <c r="EQ387" s="122"/>
      <c r="ER387" s="122"/>
      <c r="ES387" s="122"/>
      <c r="ET387" s="122"/>
      <c r="EU387" s="122"/>
      <c r="EV387" s="122"/>
      <c r="EW387" s="122"/>
      <c r="EX387" s="122"/>
      <c r="EY387" s="122"/>
      <c r="EZ387" s="122"/>
      <c r="FA387" s="122"/>
      <c r="FB387" s="122"/>
      <c r="FC387" s="122"/>
      <c r="FD387" s="122"/>
      <c r="FE387" s="122"/>
      <c r="FF387" s="122"/>
      <c r="FG387" s="122"/>
      <c r="FH387" s="122"/>
      <c r="FI387" s="122"/>
      <c r="FJ387" s="122"/>
      <c r="FK387" s="122"/>
      <c r="FL387" s="122"/>
      <c r="FM387" s="122"/>
      <c r="FN387" s="122"/>
      <c r="FO387" s="122"/>
      <c r="FP387" s="122"/>
      <c r="FQ387" s="122"/>
      <c r="FR387" s="122"/>
      <c r="FS387" s="122"/>
      <c r="FT387" s="122"/>
      <c r="FU387" s="122"/>
      <c r="FV387" s="122"/>
      <c r="FW387" s="122"/>
      <c r="FX387" s="122"/>
      <c r="FY387" s="122"/>
      <c r="FZ387" s="122"/>
      <c r="GA387" s="122"/>
      <c r="GB387" s="122"/>
      <c r="GC387" s="122"/>
      <c r="GD387" s="122"/>
      <c r="GE387" s="122"/>
      <c r="GF387" s="122"/>
      <c r="GG387" s="122"/>
      <c r="GH387" s="122"/>
      <c r="GI387" s="122"/>
      <c r="GJ387" s="122"/>
      <c r="GK387" s="122"/>
      <c r="GL387" s="122"/>
      <c r="GM387" s="122"/>
      <c r="GN387" s="122"/>
      <c r="GO387" s="122"/>
      <c r="GP387" s="122"/>
      <c r="GQ387" s="122"/>
      <c r="GR387" s="122"/>
      <c r="GS387" s="122"/>
      <c r="GT387" s="122"/>
      <c r="GU387" s="122"/>
      <c r="GV387" s="122"/>
      <c r="GW387" s="122"/>
      <c r="GX387" s="122"/>
      <c r="GY387" s="122"/>
      <c r="GZ387" s="122"/>
      <c r="HA387" s="122"/>
      <c r="HB387" s="122"/>
      <c r="HC387" s="122"/>
      <c r="HD387" s="122"/>
      <c r="HE387" s="122"/>
      <c r="HF387" s="122"/>
      <c r="HG387" s="122"/>
      <c r="HH387" s="122"/>
      <c r="HI387" s="122"/>
      <c r="HJ387" s="122"/>
      <c r="HK387" s="122"/>
      <c r="HL387" s="122"/>
      <c r="HM387" s="122"/>
      <c r="HN387" s="122"/>
      <c r="HO387" s="122"/>
      <c r="HP387" s="122"/>
      <c r="HQ387" s="122"/>
      <c r="HR387" s="122"/>
      <c r="HS387" s="122"/>
      <c r="HT387" s="122"/>
      <c r="HU387" s="122"/>
      <c r="HV387" s="122"/>
      <c r="HW387" s="122"/>
      <c r="HX387" s="122"/>
      <c r="HY387" s="122"/>
      <c r="HZ387" s="122"/>
      <c r="IA387" s="122"/>
      <c r="IB387" s="122"/>
      <c r="IC387" s="122"/>
      <c r="ID387" s="122"/>
      <c r="IE387" s="122"/>
      <c r="IF387" s="122"/>
      <c r="IG387" s="122"/>
      <c r="IH387" s="122"/>
      <c r="II387" s="122"/>
      <c r="IJ387" s="122"/>
      <c r="IK387" s="122"/>
      <c r="IL387" s="122"/>
      <c r="IM387" s="122"/>
      <c r="IN387" s="122"/>
      <c r="IO387" s="122"/>
      <c r="IP387" s="122"/>
      <c r="IQ387" s="122"/>
      <c r="IR387" s="122"/>
      <c r="IS387" s="122"/>
      <c r="IT387" s="122"/>
      <c r="IU387" s="122"/>
      <c r="IV387" s="122"/>
      <c r="IW387" s="122"/>
      <c r="IX387" s="122"/>
      <c r="IY387" s="122"/>
      <c r="IZ387" s="122"/>
      <c r="JA387" s="122"/>
      <c r="JB387" s="122"/>
      <c r="JC387" s="122"/>
      <c r="JD387" s="122"/>
      <c r="JE387" s="122"/>
      <c r="JF387" s="122"/>
      <c r="JG387" s="122"/>
      <c r="JH387" s="122"/>
      <c r="JI387" s="119"/>
      <c r="JJ387" s="2"/>
      <c r="JK387" s="122"/>
      <c r="JL387" s="125"/>
      <c r="JM387" s="125"/>
      <c r="JN387" s="125"/>
      <c r="JO387" s="125"/>
      <c r="JP387" s="125"/>
    </row>
    <row r="388" spans="1:276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  <c r="AI388" s="122"/>
      <c r="AJ388" s="122"/>
      <c r="AK388" s="122"/>
      <c r="AL388" s="122"/>
      <c r="AM388" s="122"/>
      <c r="AN388" s="122"/>
      <c r="AO388" s="122"/>
      <c r="AP388" s="122"/>
      <c r="AQ388" s="122"/>
      <c r="AR388" s="122"/>
      <c r="AS388" s="122"/>
      <c r="AT388" s="122"/>
      <c r="AU388" s="122"/>
      <c r="AV388" s="122"/>
      <c r="AW388" s="122"/>
      <c r="AX388" s="122"/>
      <c r="AY388" s="122"/>
      <c r="AZ388" s="122"/>
      <c r="BA388" s="122"/>
      <c r="BB388" s="122"/>
      <c r="BC388" s="122"/>
      <c r="BD388" s="122"/>
      <c r="BE388" s="122"/>
      <c r="BF388" s="122"/>
      <c r="BG388" s="122"/>
      <c r="BH388" s="122"/>
      <c r="BI388" s="122"/>
      <c r="BJ388" s="122"/>
      <c r="BK388" s="122"/>
      <c r="BL388" s="122"/>
      <c r="BM388" s="122"/>
      <c r="BN388" s="122"/>
      <c r="BO388" s="122"/>
      <c r="BP388" s="122"/>
      <c r="BQ388" s="122"/>
      <c r="BR388" s="122"/>
      <c r="BS388" s="122"/>
      <c r="BT388" s="122"/>
      <c r="BU388" s="122"/>
      <c r="BV388" s="122"/>
      <c r="BW388" s="122"/>
      <c r="BX388" s="122"/>
      <c r="BY388" s="122"/>
      <c r="BZ388" s="122"/>
      <c r="CA388" s="122"/>
      <c r="CB388" s="122"/>
      <c r="CC388" s="122"/>
      <c r="CD388" s="122"/>
      <c r="CE388" s="122"/>
      <c r="CF388" s="122"/>
      <c r="CG388" s="122"/>
      <c r="CH388" s="122"/>
      <c r="CI388" s="122"/>
      <c r="CJ388" s="122"/>
      <c r="CK388" s="122"/>
      <c r="CL388" s="122"/>
      <c r="CM388" s="122"/>
      <c r="CN388" s="122"/>
      <c r="CO388" s="122"/>
      <c r="CP388" s="122"/>
      <c r="CQ388" s="122"/>
      <c r="CR388" s="122"/>
      <c r="CS388" s="122"/>
      <c r="CT388" s="122"/>
      <c r="CU388" s="122"/>
      <c r="CV388" s="122"/>
      <c r="CW388" s="122"/>
      <c r="CX388" s="122"/>
      <c r="CY388" s="122"/>
      <c r="CZ388" s="122"/>
      <c r="DA388" s="122"/>
      <c r="DB388" s="122"/>
      <c r="DC388" s="122"/>
      <c r="DD388" s="122"/>
      <c r="DE388" s="122"/>
      <c r="DF388" s="122"/>
      <c r="DG388" s="122"/>
      <c r="DH388" s="122"/>
      <c r="DI388" s="122"/>
      <c r="DJ388" s="122"/>
      <c r="DK388" s="122"/>
      <c r="DL388" s="122"/>
      <c r="DM388" s="122"/>
      <c r="DN388" s="122"/>
      <c r="DO388" s="122"/>
      <c r="DP388" s="122"/>
      <c r="DQ388" s="122"/>
      <c r="DR388" s="122"/>
      <c r="DS388" s="122"/>
      <c r="DT388" s="122"/>
      <c r="DU388" s="122"/>
      <c r="DV388" s="122"/>
      <c r="DW388" s="122"/>
      <c r="DX388" s="122"/>
      <c r="DY388" s="122"/>
      <c r="DZ388" s="122"/>
      <c r="EA388" s="122"/>
      <c r="EB388" s="122"/>
      <c r="EC388" s="122"/>
      <c r="ED388" s="122"/>
      <c r="EE388" s="122"/>
      <c r="EF388" s="122"/>
      <c r="EG388" s="122"/>
      <c r="EH388" s="122"/>
      <c r="EI388" s="122"/>
      <c r="EJ388" s="122"/>
      <c r="EK388" s="122"/>
      <c r="EL388" s="122"/>
      <c r="EM388" s="122"/>
      <c r="EN388" s="122"/>
      <c r="EO388" s="122"/>
      <c r="EP388" s="122"/>
      <c r="EQ388" s="122"/>
      <c r="ER388" s="122"/>
      <c r="ES388" s="122"/>
      <c r="ET388" s="122"/>
      <c r="EU388" s="122"/>
      <c r="EV388" s="122"/>
      <c r="EW388" s="122"/>
      <c r="EX388" s="122"/>
      <c r="EY388" s="122"/>
      <c r="EZ388" s="122"/>
      <c r="FA388" s="122"/>
      <c r="FB388" s="122"/>
      <c r="FC388" s="122"/>
      <c r="FD388" s="122"/>
      <c r="FE388" s="122"/>
      <c r="FF388" s="122"/>
      <c r="FG388" s="122"/>
      <c r="FH388" s="122"/>
      <c r="FI388" s="122"/>
      <c r="FJ388" s="122"/>
      <c r="FK388" s="122"/>
      <c r="FL388" s="122"/>
      <c r="FM388" s="122"/>
      <c r="FN388" s="122"/>
      <c r="FO388" s="122"/>
      <c r="FP388" s="122"/>
      <c r="FQ388" s="122"/>
      <c r="FR388" s="122"/>
      <c r="FS388" s="122"/>
      <c r="FT388" s="122"/>
      <c r="FU388" s="122"/>
      <c r="FV388" s="122"/>
      <c r="FW388" s="122"/>
      <c r="FX388" s="122"/>
      <c r="FY388" s="122"/>
      <c r="FZ388" s="122"/>
      <c r="GA388" s="122"/>
      <c r="GB388" s="122"/>
      <c r="GC388" s="122"/>
      <c r="GD388" s="122"/>
      <c r="GE388" s="122"/>
      <c r="GF388" s="122"/>
      <c r="GG388" s="122"/>
      <c r="GH388" s="122"/>
      <c r="GI388" s="122"/>
      <c r="GJ388" s="122"/>
      <c r="GK388" s="122"/>
      <c r="GL388" s="122"/>
      <c r="GM388" s="122"/>
      <c r="GN388" s="122"/>
      <c r="GO388" s="122"/>
      <c r="GP388" s="122"/>
      <c r="GQ388" s="122"/>
      <c r="GR388" s="122"/>
      <c r="GS388" s="122"/>
      <c r="GT388" s="122"/>
      <c r="GU388" s="122"/>
      <c r="GV388" s="122"/>
      <c r="GW388" s="122"/>
      <c r="GX388" s="122"/>
      <c r="GY388" s="122"/>
      <c r="GZ388" s="122"/>
      <c r="HA388" s="122"/>
      <c r="HB388" s="122"/>
      <c r="HC388" s="122"/>
      <c r="HD388" s="122"/>
      <c r="HE388" s="122"/>
      <c r="HF388" s="122"/>
      <c r="HG388" s="122"/>
      <c r="HH388" s="122"/>
      <c r="HI388" s="122"/>
      <c r="HJ388" s="122"/>
      <c r="HK388" s="122"/>
      <c r="HL388" s="122"/>
      <c r="HM388" s="122"/>
      <c r="HN388" s="122"/>
      <c r="HO388" s="122"/>
      <c r="HP388" s="122"/>
      <c r="HQ388" s="122"/>
      <c r="HR388" s="122"/>
      <c r="HS388" s="122"/>
      <c r="HT388" s="122"/>
      <c r="HU388" s="122"/>
      <c r="HV388" s="122"/>
      <c r="HW388" s="122"/>
      <c r="HX388" s="122"/>
      <c r="HY388" s="122"/>
      <c r="HZ388" s="122"/>
      <c r="IA388" s="122"/>
      <c r="IB388" s="122"/>
      <c r="IC388" s="122"/>
      <c r="ID388" s="122"/>
      <c r="IE388" s="122"/>
      <c r="IF388" s="122"/>
      <c r="IG388" s="122"/>
      <c r="IH388" s="122"/>
      <c r="II388" s="122"/>
      <c r="IJ388" s="122"/>
      <c r="IK388" s="122"/>
      <c r="IL388" s="122"/>
      <c r="IM388" s="122"/>
      <c r="IN388" s="122"/>
      <c r="IO388" s="122"/>
      <c r="IP388" s="122"/>
      <c r="IQ388" s="122"/>
      <c r="IR388" s="122"/>
      <c r="IS388" s="122"/>
      <c r="IT388" s="122"/>
      <c r="IU388" s="122"/>
      <c r="IV388" s="122"/>
      <c r="IW388" s="122"/>
      <c r="IX388" s="122"/>
      <c r="IY388" s="122"/>
      <c r="IZ388" s="122"/>
      <c r="JA388" s="122"/>
      <c r="JB388" s="122"/>
      <c r="JC388" s="122"/>
      <c r="JD388" s="122"/>
      <c r="JE388" s="122"/>
      <c r="JF388" s="122"/>
      <c r="JG388" s="122"/>
      <c r="JH388" s="122"/>
      <c r="JI388" s="119"/>
      <c r="JJ388" s="2"/>
      <c r="JK388" s="122"/>
      <c r="JL388" s="125"/>
      <c r="JM388" s="125"/>
      <c r="JN388" s="125"/>
      <c r="JO388" s="125"/>
      <c r="JP388" s="125"/>
    </row>
    <row r="389" spans="1:276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22"/>
      <c r="AM389" s="122"/>
      <c r="AN389" s="122"/>
      <c r="AO389" s="122"/>
      <c r="AP389" s="122"/>
      <c r="AQ389" s="122"/>
      <c r="AR389" s="122"/>
      <c r="AS389" s="122"/>
      <c r="AT389" s="122"/>
      <c r="AU389" s="122"/>
      <c r="AV389" s="122"/>
      <c r="AW389" s="122"/>
      <c r="AX389" s="122"/>
      <c r="AY389" s="122"/>
      <c r="AZ389" s="122"/>
      <c r="BA389" s="122"/>
      <c r="BB389" s="122"/>
      <c r="BC389" s="122"/>
      <c r="BD389" s="122"/>
      <c r="BE389" s="122"/>
      <c r="BF389" s="122"/>
      <c r="BG389" s="122"/>
      <c r="BH389" s="122"/>
      <c r="BI389" s="122"/>
      <c r="BJ389" s="122"/>
      <c r="BK389" s="122"/>
      <c r="BL389" s="122"/>
      <c r="BM389" s="122"/>
      <c r="BN389" s="122"/>
      <c r="BO389" s="122"/>
      <c r="BP389" s="122"/>
      <c r="BQ389" s="122"/>
      <c r="BR389" s="122"/>
      <c r="BS389" s="122"/>
      <c r="BT389" s="122"/>
      <c r="BU389" s="122"/>
      <c r="BV389" s="122"/>
      <c r="BW389" s="122"/>
      <c r="BX389" s="122"/>
      <c r="BY389" s="122"/>
      <c r="BZ389" s="122"/>
      <c r="CA389" s="122"/>
      <c r="CB389" s="122"/>
      <c r="CC389" s="122"/>
      <c r="CD389" s="122"/>
      <c r="CE389" s="122"/>
      <c r="CF389" s="122"/>
      <c r="CG389" s="122"/>
      <c r="CH389" s="122"/>
      <c r="CI389" s="122"/>
      <c r="CJ389" s="122"/>
      <c r="CK389" s="122"/>
      <c r="CL389" s="122"/>
      <c r="CM389" s="122"/>
      <c r="CN389" s="122"/>
      <c r="CO389" s="122"/>
      <c r="CP389" s="122"/>
      <c r="CQ389" s="122"/>
      <c r="CR389" s="122"/>
      <c r="CS389" s="122"/>
      <c r="CT389" s="122"/>
      <c r="CU389" s="122"/>
      <c r="CV389" s="122"/>
      <c r="CW389" s="122"/>
      <c r="CX389" s="122"/>
      <c r="CY389" s="122"/>
      <c r="CZ389" s="122"/>
      <c r="DA389" s="122"/>
      <c r="DB389" s="122"/>
      <c r="DC389" s="122"/>
      <c r="DD389" s="122"/>
      <c r="DE389" s="122"/>
      <c r="DF389" s="122"/>
      <c r="DG389" s="122"/>
      <c r="DH389" s="122"/>
      <c r="DI389" s="122"/>
      <c r="DJ389" s="122"/>
      <c r="DK389" s="122"/>
      <c r="DL389" s="122"/>
      <c r="DM389" s="122"/>
      <c r="DN389" s="122"/>
      <c r="DO389" s="122"/>
      <c r="DP389" s="122"/>
      <c r="DQ389" s="122"/>
      <c r="DR389" s="122"/>
      <c r="DS389" s="122"/>
      <c r="DT389" s="122"/>
      <c r="DU389" s="122"/>
      <c r="DV389" s="122"/>
      <c r="DW389" s="122"/>
      <c r="DX389" s="122"/>
      <c r="DY389" s="122"/>
      <c r="DZ389" s="122"/>
      <c r="EA389" s="122"/>
      <c r="EB389" s="122"/>
      <c r="EC389" s="122"/>
      <c r="ED389" s="122"/>
      <c r="EE389" s="122"/>
      <c r="EF389" s="122"/>
      <c r="EG389" s="122"/>
      <c r="EH389" s="122"/>
      <c r="EI389" s="122"/>
      <c r="EJ389" s="122"/>
      <c r="EK389" s="122"/>
      <c r="EL389" s="122"/>
      <c r="EM389" s="122"/>
      <c r="EN389" s="122"/>
      <c r="EO389" s="122"/>
      <c r="EP389" s="122"/>
      <c r="EQ389" s="122"/>
      <c r="ER389" s="122"/>
      <c r="ES389" s="122"/>
      <c r="ET389" s="122"/>
      <c r="EU389" s="122"/>
      <c r="EV389" s="122"/>
      <c r="EW389" s="122"/>
      <c r="EX389" s="122"/>
      <c r="EY389" s="122"/>
      <c r="EZ389" s="122"/>
      <c r="FA389" s="122"/>
      <c r="FB389" s="122"/>
      <c r="FC389" s="122"/>
      <c r="FD389" s="122"/>
      <c r="FE389" s="122"/>
      <c r="FF389" s="122"/>
      <c r="FG389" s="122"/>
      <c r="FH389" s="122"/>
      <c r="FI389" s="122"/>
      <c r="FJ389" s="122"/>
      <c r="FK389" s="122"/>
      <c r="FL389" s="122"/>
      <c r="FM389" s="122"/>
      <c r="FN389" s="122"/>
      <c r="FO389" s="122"/>
      <c r="FP389" s="122"/>
      <c r="FQ389" s="122"/>
      <c r="FR389" s="122"/>
      <c r="FS389" s="122"/>
      <c r="FT389" s="122"/>
      <c r="FU389" s="122"/>
      <c r="FV389" s="122"/>
      <c r="FW389" s="122"/>
      <c r="FX389" s="122"/>
      <c r="FY389" s="122"/>
      <c r="FZ389" s="122"/>
      <c r="GA389" s="122"/>
      <c r="GB389" s="122"/>
      <c r="GC389" s="122"/>
      <c r="GD389" s="122"/>
      <c r="GE389" s="122"/>
      <c r="GF389" s="122"/>
      <c r="GG389" s="122"/>
      <c r="GH389" s="122"/>
      <c r="GI389" s="122"/>
      <c r="GJ389" s="122"/>
      <c r="GK389" s="122"/>
      <c r="GL389" s="122"/>
      <c r="GM389" s="122"/>
      <c r="GN389" s="122"/>
      <c r="GO389" s="122"/>
      <c r="GP389" s="122"/>
      <c r="GQ389" s="122"/>
      <c r="GR389" s="122"/>
      <c r="GS389" s="122"/>
      <c r="GT389" s="122"/>
      <c r="GU389" s="122"/>
      <c r="GV389" s="122"/>
      <c r="GW389" s="122"/>
      <c r="GX389" s="122"/>
      <c r="GY389" s="122"/>
      <c r="GZ389" s="122"/>
      <c r="HA389" s="122"/>
      <c r="HB389" s="122"/>
      <c r="HC389" s="122"/>
      <c r="HD389" s="122"/>
      <c r="HE389" s="122"/>
      <c r="HF389" s="122"/>
      <c r="HG389" s="122"/>
      <c r="HH389" s="122"/>
      <c r="HI389" s="122"/>
      <c r="HJ389" s="122"/>
      <c r="HK389" s="122"/>
      <c r="HL389" s="122"/>
      <c r="HM389" s="122"/>
      <c r="HN389" s="122"/>
      <c r="HO389" s="122"/>
      <c r="HP389" s="122"/>
      <c r="HQ389" s="122"/>
      <c r="HR389" s="122"/>
      <c r="HS389" s="122"/>
      <c r="HT389" s="122"/>
      <c r="HU389" s="122"/>
      <c r="HV389" s="122"/>
      <c r="HW389" s="122"/>
      <c r="HX389" s="122"/>
      <c r="HY389" s="122"/>
      <c r="HZ389" s="122"/>
      <c r="IA389" s="122"/>
      <c r="IB389" s="122"/>
      <c r="IC389" s="122"/>
      <c r="ID389" s="122"/>
      <c r="IE389" s="122"/>
      <c r="IF389" s="122"/>
      <c r="IG389" s="122"/>
      <c r="IH389" s="122"/>
      <c r="II389" s="122"/>
      <c r="IJ389" s="122"/>
      <c r="IK389" s="122"/>
      <c r="IL389" s="122"/>
      <c r="IM389" s="122"/>
      <c r="IN389" s="122"/>
      <c r="IO389" s="122"/>
      <c r="IP389" s="122"/>
      <c r="IQ389" s="122"/>
      <c r="IR389" s="122"/>
      <c r="IS389" s="122"/>
      <c r="IT389" s="122"/>
      <c r="IU389" s="122"/>
      <c r="IV389" s="122"/>
      <c r="IW389" s="122"/>
      <c r="IX389" s="122"/>
      <c r="IY389" s="122"/>
      <c r="IZ389" s="122"/>
      <c r="JA389" s="122"/>
      <c r="JB389" s="122"/>
      <c r="JC389" s="122"/>
      <c r="JD389" s="122"/>
      <c r="JE389" s="122"/>
      <c r="JF389" s="122"/>
      <c r="JG389" s="122"/>
      <c r="JH389" s="122"/>
      <c r="JI389" s="119"/>
      <c r="JJ389" s="2"/>
      <c r="JK389" s="122"/>
      <c r="JL389" s="125"/>
      <c r="JM389" s="125"/>
      <c r="JN389" s="125"/>
      <c r="JO389" s="125"/>
      <c r="JP389" s="125"/>
    </row>
    <row r="390" spans="1:276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  <c r="AI390" s="122"/>
      <c r="AJ390" s="122"/>
      <c r="AK390" s="122"/>
      <c r="AL390" s="122"/>
      <c r="AM390" s="122"/>
      <c r="AN390" s="122"/>
      <c r="AO390" s="122"/>
      <c r="AP390" s="122"/>
      <c r="AQ390" s="122"/>
      <c r="AR390" s="122"/>
      <c r="AS390" s="122"/>
      <c r="AT390" s="122"/>
      <c r="AU390" s="122"/>
      <c r="AV390" s="122"/>
      <c r="AW390" s="122"/>
      <c r="AX390" s="122"/>
      <c r="AY390" s="122"/>
      <c r="AZ390" s="122"/>
      <c r="BA390" s="122"/>
      <c r="BB390" s="122"/>
      <c r="BC390" s="122"/>
      <c r="BD390" s="122"/>
      <c r="BE390" s="122"/>
      <c r="BF390" s="122"/>
      <c r="BG390" s="122"/>
      <c r="BH390" s="122"/>
      <c r="BI390" s="122"/>
      <c r="BJ390" s="122"/>
      <c r="BK390" s="122"/>
      <c r="BL390" s="122"/>
      <c r="BM390" s="122"/>
      <c r="BN390" s="122"/>
      <c r="BO390" s="122"/>
      <c r="BP390" s="122"/>
      <c r="BQ390" s="122"/>
      <c r="BR390" s="122"/>
      <c r="BS390" s="122"/>
      <c r="BT390" s="122"/>
      <c r="BU390" s="122"/>
      <c r="BV390" s="122"/>
      <c r="BW390" s="122"/>
      <c r="BX390" s="122"/>
      <c r="BY390" s="122"/>
      <c r="BZ390" s="122"/>
      <c r="CA390" s="122"/>
      <c r="CB390" s="122"/>
      <c r="CC390" s="122"/>
      <c r="CD390" s="122"/>
      <c r="CE390" s="122"/>
      <c r="CF390" s="122"/>
      <c r="CG390" s="122"/>
      <c r="CH390" s="122"/>
      <c r="CI390" s="122"/>
      <c r="CJ390" s="122"/>
      <c r="CK390" s="122"/>
      <c r="CL390" s="122"/>
      <c r="CM390" s="122"/>
      <c r="CN390" s="122"/>
      <c r="CO390" s="122"/>
      <c r="CP390" s="122"/>
      <c r="CQ390" s="122"/>
      <c r="CR390" s="122"/>
      <c r="CS390" s="122"/>
      <c r="CT390" s="122"/>
      <c r="CU390" s="122"/>
      <c r="CV390" s="122"/>
      <c r="CW390" s="122"/>
      <c r="CX390" s="122"/>
      <c r="CY390" s="122"/>
      <c r="CZ390" s="122"/>
      <c r="DA390" s="122"/>
      <c r="DB390" s="122"/>
      <c r="DC390" s="122"/>
      <c r="DD390" s="122"/>
      <c r="DE390" s="122"/>
      <c r="DF390" s="122"/>
      <c r="DG390" s="122"/>
      <c r="DH390" s="122"/>
      <c r="DI390" s="122"/>
      <c r="DJ390" s="122"/>
      <c r="DK390" s="122"/>
      <c r="DL390" s="122"/>
      <c r="DM390" s="122"/>
      <c r="DN390" s="122"/>
      <c r="DO390" s="122"/>
      <c r="DP390" s="122"/>
      <c r="DQ390" s="122"/>
      <c r="DR390" s="122"/>
      <c r="DS390" s="122"/>
      <c r="DT390" s="122"/>
      <c r="DU390" s="122"/>
      <c r="DV390" s="122"/>
      <c r="DW390" s="122"/>
      <c r="DX390" s="122"/>
      <c r="DY390" s="122"/>
      <c r="DZ390" s="122"/>
      <c r="EA390" s="122"/>
      <c r="EB390" s="122"/>
      <c r="EC390" s="122"/>
      <c r="ED390" s="122"/>
      <c r="EE390" s="122"/>
      <c r="EF390" s="122"/>
      <c r="EG390" s="122"/>
      <c r="EH390" s="122"/>
      <c r="EI390" s="122"/>
      <c r="EJ390" s="122"/>
      <c r="EK390" s="122"/>
      <c r="EL390" s="122"/>
      <c r="EM390" s="122"/>
      <c r="EN390" s="122"/>
      <c r="EO390" s="122"/>
      <c r="EP390" s="122"/>
      <c r="EQ390" s="122"/>
      <c r="ER390" s="122"/>
      <c r="ES390" s="122"/>
      <c r="ET390" s="122"/>
      <c r="EU390" s="122"/>
      <c r="EV390" s="122"/>
      <c r="EW390" s="122"/>
      <c r="EX390" s="122"/>
      <c r="EY390" s="122"/>
      <c r="EZ390" s="122"/>
      <c r="FA390" s="122"/>
      <c r="FB390" s="122"/>
      <c r="FC390" s="122"/>
      <c r="FD390" s="122"/>
      <c r="FE390" s="122"/>
      <c r="FF390" s="122"/>
      <c r="FG390" s="122"/>
      <c r="FH390" s="122"/>
      <c r="FI390" s="122"/>
      <c r="FJ390" s="122"/>
      <c r="FK390" s="122"/>
      <c r="FL390" s="122"/>
      <c r="FM390" s="122"/>
      <c r="FN390" s="122"/>
      <c r="FO390" s="122"/>
      <c r="FP390" s="122"/>
      <c r="FQ390" s="122"/>
      <c r="FR390" s="122"/>
      <c r="FS390" s="122"/>
      <c r="FT390" s="122"/>
      <c r="FU390" s="122"/>
      <c r="FV390" s="122"/>
      <c r="FW390" s="122"/>
      <c r="FX390" s="122"/>
      <c r="FY390" s="122"/>
      <c r="FZ390" s="122"/>
      <c r="GA390" s="122"/>
      <c r="GB390" s="122"/>
      <c r="GC390" s="122"/>
      <c r="GD390" s="122"/>
      <c r="GE390" s="122"/>
      <c r="GF390" s="122"/>
      <c r="GG390" s="122"/>
      <c r="GH390" s="122"/>
      <c r="GI390" s="122"/>
      <c r="GJ390" s="122"/>
      <c r="GK390" s="122"/>
      <c r="GL390" s="122"/>
      <c r="GM390" s="122"/>
      <c r="GN390" s="122"/>
      <c r="GO390" s="122"/>
      <c r="GP390" s="122"/>
      <c r="GQ390" s="122"/>
      <c r="GR390" s="122"/>
      <c r="GS390" s="122"/>
      <c r="GT390" s="122"/>
      <c r="GU390" s="122"/>
      <c r="GV390" s="122"/>
      <c r="GW390" s="122"/>
      <c r="GX390" s="122"/>
      <c r="GY390" s="122"/>
      <c r="GZ390" s="122"/>
      <c r="HA390" s="122"/>
      <c r="HB390" s="122"/>
      <c r="HC390" s="122"/>
      <c r="HD390" s="122"/>
      <c r="HE390" s="122"/>
      <c r="HF390" s="122"/>
      <c r="HG390" s="122"/>
      <c r="HH390" s="122"/>
      <c r="HI390" s="122"/>
      <c r="HJ390" s="122"/>
      <c r="HK390" s="122"/>
      <c r="HL390" s="122"/>
      <c r="HM390" s="122"/>
      <c r="HN390" s="122"/>
      <c r="HO390" s="122"/>
      <c r="HP390" s="122"/>
      <c r="HQ390" s="122"/>
      <c r="HR390" s="122"/>
      <c r="HS390" s="122"/>
      <c r="HT390" s="122"/>
      <c r="HU390" s="122"/>
      <c r="HV390" s="122"/>
      <c r="HW390" s="122"/>
      <c r="HX390" s="122"/>
      <c r="HY390" s="122"/>
      <c r="HZ390" s="122"/>
      <c r="IA390" s="122"/>
      <c r="IB390" s="122"/>
      <c r="IC390" s="122"/>
      <c r="ID390" s="122"/>
      <c r="IE390" s="122"/>
      <c r="IF390" s="122"/>
      <c r="IG390" s="122"/>
      <c r="IH390" s="122"/>
      <c r="II390" s="122"/>
      <c r="IJ390" s="122"/>
      <c r="IK390" s="122"/>
      <c r="IL390" s="122"/>
      <c r="IM390" s="122"/>
      <c r="IN390" s="122"/>
      <c r="IO390" s="122"/>
      <c r="IP390" s="122"/>
      <c r="IQ390" s="122"/>
      <c r="IR390" s="122"/>
      <c r="IS390" s="122"/>
      <c r="IT390" s="122"/>
      <c r="IU390" s="122"/>
      <c r="IV390" s="122"/>
      <c r="IW390" s="122"/>
      <c r="IX390" s="122"/>
      <c r="IY390" s="122"/>
      <c r="IZ390" s="122"/>
      <c r="JA390" s="122"/>
      <c r="JB390" s="122"/>
      <c r="JC390" s="122"/>
      <c r="JD390" s="122"/>
      <c r="JE390" s="122"/>
      <c r="JF390" s="122"/>
      <c r="JG390" s="122"/>
      <c r="JH390" s="122"/>
      <c r="JI390" s="119"/>
      <c r="JJ390" s="2"/>
      <c r="JK390" s="122"/>
      <c r="JL390" s="125"/>
      <c r="JM390" s="125"/>
      <c r="JN390" s="125"/>
      <c r="JO390" s="125"/>
      <c r="JP390" s="125"/>
    </row>
    <row r="391" spans="1:276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  <c r="AK391" s="122"/>
      <c r="AL391" s="122"/>
      <c r="AM391" s="122"/>
      <c r="AN391" s="122"/>
      <c r="AO391" s="122"/>
      <c r="AP391" s="122"/>
      <c r="AQ391" s="122"/>
      <c r="AR391" s="122"/>
      <c r="AS391" s="122"/>
      <c r="AT391" s="122"/>
      <c r="AU391" s="122"/>
      <c r="AV391" s="122"/>
      <c r="AW391" s="122"/>
      <c r="AX391" s="122"/>
      <c r="AY391" s="122"/>
      <c r="AZ391" s="122"/>
      <c r="BA391" s="122"/>
      <c r="BB391" s="122"/>
      <c r="BC391" s="122"/>
      <c r="BD391" s="122"/>
      <c r="BE391" s="122"/>
      <c r="BF391" s="122"/>
      <c r="BG391" s="122"/>
      <c r="BH391" s="122"/>
      <c r="BI391" s="122"/>
      <c r="BJ391" s="122"/>
      <c r="BK391" s="122"/>
      <c r="BL391" s="122"/>
      <c r="BM391" s="122"/>
      <c r="BN391" s="122"/>
      <c r="BO391" s="122"/>
      <c r="BP391" s="122"/>
      <c r="BQ391" s="122"/>
      <c r="BR391" s="122"/>
      <c r="BS391" s="122"/>
      <c r="BT391" s="122"/>
      <c r="BU391" s="122"/>
      <c r="BV391" s="122"/>
      <c r="BW391" s="122"/>
      <c r="BX391" s="122"/>
      <c r="BY391" s="122"/>
      <c r="BZ391" s="122"/>
      <c r="CA391" s="122"/>
      <c r="CB391" s="122"/>
      <c r="CC391" s="122"/>
      <c r="CD391" s="122"/>
      <c r="CE391" s="122"/>
      <c r="CF391" s="122"/>
      <c r="CG391" s="122"/>
      <c r="CH391" s="122"/>
      <c r="CI391" s="122"/>
      <c r="CJ391" s="122"/>
      <c r="CK391" s="122"/>
      <c r="CL391" s="122"/>
      <c r="CM391" s="122"/>
      <c r="CN391" s="122"/>
      <c r="CO391" s="122"/>
      <c r="CP391" s="122"/>
      <c r="CQ391" s="122"/>
      <c r="CR391" s="122"/>
      <c r="CS391" s="122"/>
      <c r="CT391" s="122"/>
      <c r="CU391" s="122"/>
      <c r="CV391" s="122"/>
      <c r="CW391" s="122"/>
      <c r="CX391" s="122"/>
      <c r="CY391" s="122"/>
      <c r="CZ391" s="122"/>
      <c r="DA391" s="122"/>
      <c r="DB391" s="122"/>
      <c r="DC391" s="122"/>
      <c r="DD391" s="122"/>
      <c r="DE391" s="122"/>
      <c r="DF391" s="122"/>
      <c r="DG391" s="122"/>
      <c r="DH391" s="122"/>
      <c r="DI391" s="122"/>
      <c r="DJ391" s="122"/>
      <c r="DK391" s="122"/>
      <c r="DL391" s="122"/>
      <c r="DM391" s="122"/>
      <c r="DN391" s="122"/>
      <c r="DO391" s="122"/>
      <c r="DP391" s="122"/>
      <c r="DQ391" s="122"/>
      <c r="DR391" s="122"/>
      <c r="DS391" s="122"/>
      <c r="DT391" s="122"/>
      <c r="DU391" s="122"/>
      <c r="DV391" s="122"/>
      <c r="DW391" s="122"/>
      <c r="DX391" s="122"/>
      <c r="DY391" s="122"/>
      <c r="DZ391" s="122"/>
      <c r="EA391" s="122"/>
      <c r="EB391" s="122"/>
      <c r="EC391" s="122"/>
      <c r="ED391" s="122"/>
      <c r="EE391" s="122"/>
      <c r="EF391" s="122"/>
      <c r="EG391" s="122"/>
      <c r="EH391" s="122"/>
      <c r="EI391" s="122"/>
      <c r="EJ391" s="122"/>
      <c r="EK391" s="122"/>
      <c r="EL391" s="122"/>
      <c r="EM391" s="122"/>
      <c r="EN391" s="122"/>
      <c r="EO391" s="122"/>
      <c r="EP391" s="122"/>
      <c r="EQ391" s="122"/>
      <c r="ER391" s="122"/>
      <c r="ES391" s="122"/>
      <c r="ET391" s="122"/>
      <c r="EU391" s="122"/>
      <c r="EV391" s="122"/>
      <c r="EW391" s="122"/>
      <c r="EX391" s="122"/>
      <c r="EY391" s="122"/>
      <c r="EZ391" s="122"/>
      <c r="FA391" s="122"/>
      <c r="FB391" s="122"/>
      <c r="FC391" s="122"/>
      <c r="FD391" s="122"/>
      <c r="FE391" s="122"/>
      <c r="FF391" s="122"/>
      <c r="FG391" s="122"/>
      <c r="FH391" s="122"/>
      <c r="FI391" s="122"/>
      <c r="FJ391" s="122"/>
      <c r="FK391" s="122"/>
      <c r="FL391" s="122"/>
      <c r="FM391" s="122"/>
      <c r="FN391" s="122"/>
      <c r="FO391" s="122"/>
      <c r="FP391" s="122"/>
      <c r="FQ391" s="122"/>
      <c r="FR391" s="122"/>
      <c r="FS391" s="122"/>
      <c r="FT391" s="122"/>
      <c r="FU391" s="122"/>
      <c r="FV391" s="122"/>
      <c r="FW391" s="122"/>
      <c r="FX391" s="122"/>
      <c r="FY391" s="122"/>
      <c r="FZ391" s="122"/>
      <c r="GA391" s="122"/>
      <c r="GB391" s="122"/>
      <c r="GC391" s="122"/>
      <c r="GD391" s="122"/>
      <c r="GE391" s="122"/>
      <c r="GF391" s="122"/>
      <c r="GG391" s="122"/>
      <c r="GH391" s="122"/>
      <c r="GI391" s="122"/>
      <c r="GJ391" s="122"/>
      <c r="GK391" s="122"/>
      <c r="GL391" s="122"/>
      <c r="GM391" s="122"/>
      <c r="GN391" s="122"/>
      <c r="GO391" s="122"/>
      <c r="GP391" s="122"/>
      <c r="GQ391" s="122"/>
      <c r="GR391" s="122"/>
      <c r="GS391" s="122"/>
      <c r="GT391" s="122"/>
      <c r="GU391" s="122"/>
      <c r="GV391" s="122"/>
      <c r="GW391" s="122"/>
      <c r="GX391" s="122"/>
      <c r="GY391" s="122"/>
      <c r="GZ391" s="122"/>
      <c r="HA391" s="122"/>
      <c r="HB391" s="122"/>
      <c r="HC391" s="122"/>
      <c r="HD391" s="122"/>
      <c r="HE391" s="122"/>
      <c r="HF391" s="122"/>
      <c r="HG391" s="122"/>
      <c r="HH391" s="122"/>
      <c r="HI391" s="122"/>
      <c r="HJ391" s="122"/>
      <c r="HK391" s="122"/>
      <c r="HL391" s="122"/>
      <c r="HM391" s="122"/>
      <c r="HN391" s="122"/>
      <c r="HO391" s="122"/>
      <c r="HP391" s="122"/>
      <c r="HQ391" s="122"/>
      <c r="HR391" s="122"/>
      <c r="HS391" s="122"/>
      <c r="HT391" s="122"/>
      <c r="HU391" s="122"/>
      <c r="HV391" s="122"/>
      <c r="HW391" s="122"/>
      <c r="HX391" s="122"/>
      <c r="HY391" s="122"/>
      <c r="HZ391" s="122"/>
      <c r="IA391" s="122"/>
      <c r="IB391" s="122"/>
      <c r="IC391" s="122"/>
      <c r="ID391" s="122"/>
      <c r="IE391" s="122"/>
      <c r="IF391" s="122"/>
      <c r="IG391" s="122"/>
      <c r="IH391" s="122"/>
      <c r="II391" s="122"/>
      <c r="IJ391" s="122"/>
      <c r="IK391" s="122"/>
      <c r="IL391" s="122"/>
      <c r="IM391" s="122"/>
      <c r="IN391" s="122"/>
      <c r="IO391" s="122"/>
      <c r="IP391" s="122"/>
      <c r="IQ391" s="122"/>
      <c r="IR391" s="122"/>
      <c r="IS391" s="122"/>
      <c r="IT391" s="122"/>
      <c r="IU391" s="122"/>
      <c r="IV391" s="122"/>
      <c r="IW391" s="122"/>
      <c r="IX391" s="122"/>
      <c r="IY391" s="122"/>
      <c r="IZ391" s="122"/>
      <c r="JA391" s="122"/>
      <c r="JB391" s="122"/>
      <c r="JC391" s="122"/>
      <c r="JD391" s="122"/>
      <c r="JE391" s="122"/>
      <c r="JF391" s="122"/>
      <c r="JG391" s="122"/>
      <c r="JH391" s="122"/>
      <c r="JI391" s="119"/>
      <c r="JJ391" s="2"/>
      <c r="JK391" s="122"/>
      <c r="JL391" s="125"/>
      <c r="JM391" s="125"/>
      <c r="JN391" s="125"/>
      <c r="JO391" s="125"/>
      <c r="JP391" s="125"/>
    </row>
    <row r="392" spans="1:276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  <c r="AI392" s="122"/>
      <c r="AJ392" s="122"/>
      <c r="AK392" s="122"/>
      <c r="AL392" s="122"/>
      <c r="AM392" s="122"/>
      <c r="AN392" s="122"/>
      <c r="AO392" s="122"/>
      <c r="AP392" s="122"/>
      <c r="AQ392" s="122"/>
      <c r="AR392" s="122"/>
      <c r="AS392" s="122"/>
      <c r="AT392" s="122"/>
      <c r="AU392" s="122"/>
      <c r="AV392" s="122"/>
      <c r="AW392" s="122"/>
      <c r="AX392" s="122"/>
      <c r="AY392" s="122"/>
      <c r="AZ392" s="122"/>
      <c r="BA392" s="122"/>
      <c r="BB392" s="122"/>
      <c r="BC392" s="122"/>
      <c r="BD392" s="122"/>
      <c r="BE392" s="122"/>
      <c r="BF392" s="122"/>
      <c r="BG392" s="122"/>
      <c r="BH392" s="122"/>
      <c r="BI392" s="122"/>
      <c r="BJ392" s="122"/>
      <c r="BK392" s="122"/>
      <c r="BL392" s="122"/>
      <c r="BM392" s="122"/>
      <c r="BN392" s="122"/>
      <c r="BO392" s="122"/>
      <c r="BP392" s="122"/>
      <c r="BQ392" s="122"/>
      <c r="BR392" s="122"/>
      <c r="BS392" s="122"/>
      <c r="BT392" s="122"/>
      <c r="BU392" s="122"/>
      <c r="BV392" s="122"/>
      <c r="BW392" s="122"/>
      <c r="BX392" s="122"/>
      <c r="BY392" s="122"/>
      <c r="BZ392" s="122"/>
      <c r="CA392" s="122"/>
      <c r="CB392" s="122"/>
      <c r="CC392" s="122"/>
      <c r="CD392" s="122"/>
      <c r="CE392" s="122"/>
      <c r="CF392" s="122"/>
      <c r="CG392" s="122"/>
      <c r="CH392" s="122"/>
      <c r="CI392" s="122"/>
      <c r="CJ392" s="122"/>
      <c r="CK392" s="122"/>
      <c r="CL392" s="122"/>
      <c r="CM392" s="122"/>
      <c r="CN392" s="122"/>
      <c r="CO392" s="122"/>
      <c r="CP392" s="122"/>
      <c r="CQ392" s="122"/>
      <c r="CR392" s="122"/>
      <c r="CS392" s="122"/>
      <c r="CT392" s="122"/>
      <c r="CU392" s="122"/>
      <c r="CV392" s="122"/>
      <c r="CW392" s="122"/>
      <c r="CX392" s="122"/>
      <c r="CY392" s="122"/>
      <c r="CZ392" s="122"/>
      <c r="DA392" s="122"/>
      <c r="DB392" s="122"/>
      <c r="DC392" s="122"/>
      <c r="DD392" s="122"/>
      <c r="DE392" s="122"/>
      <c r="DF392" s="122"/>
      <c r="DG392" s="122"/>
      <c r="DH392" s="122"/>
      <c r="DI392" s="122"/>
      <c r="DJ392" s="122"/>
      <c r="DK392" s="122"/>
      <c r="DL392" s="122"/>
      <c r="DM392" s="122"/>
      <c r="DN392" s="122"/>
      <c r="DO392" s="122"/>
      <c r="DP392" s="122"/>
      <c r="DQ392" s="122"/>
      <c r="DR392" s="122"/>
      <c r="DS392" s="122"/>
      <c r="DT392" s="122"/>
      <c r="DU392" s="122"/>
      <c r="DV392" s="122"/>
      <c r="DW392" s="122"/>
      <c r="DX392" s="122"/>
      <c r="DY392" s="122"/>
      <c r="DZ392" s="122"/>
      <c r="EA392" s="122"/>
      <c r="EB392" s="122"/>
      <c r="EC392" s="122"/>
      <c r="ED392" s="122"/>
      <c r="EE392" s="122"/>
      <c r="EF392" s="122"/>
      <c r="EG392" s="122"/>
      <c r="EH392" s="122"/>
      <c r="EI392" s="122"/>
      <c r="EJ392" s="122"/>
      <c r="EK392" s="122"/>
      <c r="EL392" s="122"/>
      <c r="EM392" s="122"/>
      <c r="EN392" s="122"/>
      <c r="EO392" s="122"/>
      <c r="EP392" s="122"/>
      <c r="EQ392" s="122"/>
      <c r="ER392" s="122"/>
      <c r="ES392" s="122"/>
      <c r="ET392" s="122"/>
      <c r="EU392" s="122"/>
      <c r="EV392" s="122"/>
      <c r="EW392" s="122"/>
      <c r="EX392" s="122"/>
      <c r="EY392" s="122"/>
      <c r="EZ392" s="122"/>
      <c r="FA392" s="122"/>
      <c r="FB392" s="122"/>
      <c r="FC392" s="122"/>
      <c r="FD392" s="122"/>
      <c r="FE392" s="122"/>
      <c r="FF392" s="122"/>
      <c r="FG392" s="122"/>
      <c r="FH392" s="122"/>
      <c r="FI392" s="122"/>
      <c r="FJ392" s="122"/>
      <c r="FK392" s="122"/>
      <c r="FL392" s="122"/>
      <c r="FM392" s="122"/>
      <c r="FN392" s="122"/>
      <c r="FO392" s="122"/>
      <c r="FP392" s="122"/>
      <c r="FQ392" s="122"/>
      <c r="FR392" s="122"/>
      <c r="FS392" s="122"/>
      <c r="FT392" s="122"/>
      <c r="FU392" s="122"/>
      <c r="FV392" s="122"/>
      <c r="FW392" s="122"/>
      <c r="FX392" s="122"/>
      <c r="FY392" s="122"/>
      <c r="FZ392" s="122"/>
      <c r="GA392" s="122"/>
      <c r="GB392" s="122"/>
      <c r="GC392" s="122"/>
      <c r="GD392" s="122"/>
      <c r="GE392" s="122"/>
      <c r="GF392" s="122"/>
      <c r="GG392" s="122"/>
      <c r="GH392" s="122"/>
      <c r="GI392" s="122"/>
      <c r="GJ392" s="122"/>
      <c r="GK392" s="122"/>
      <c r="GL392" s="122"/>
      <c r="GM392" s="122"/>
      <c r="GN392" s="122"/>
      <c r="GO392" s="122"/>
      <c r="GP392" s="122"/>
      <c r="GQ392" s="122"/>
      <c r="GR392" s="122"/>
      <c r="GS392" s="122"/>
      <c r="GT392" s="122"/>
      <c r="GU392" s="122"/>
      <c r="GV392" s="122"/>
      <c r="GW392" s="122"/>
      <c r="GX392" s="122"/>
      <c r="GY392" s="122"/>
      <c r="GZ392" s="122"/>
      <c r="HA392" s="122"/>
      <c r="HB392" s="122"/>
      <c r="HC392" s="122"/>
      <c r="HD392" s="122"/>
      <c r="HE392" s="122"/>
      <c r="HF392" s="122"/>
      <c r="HG392" s="122"/>
      <c r="HH392" s="122"/>
      <c r="HI392" s="122"/>
      <c r="HJ392" s="122"/>
      <c r="HK392" s="122"/>
      <c r="HL392" s="122"/>
      <c r="HM392" s="122"/>
      <c r="HN392" s="122"/>
      <c r="HO392" s="122"/>
      <c r="HP392" s="122"/>
      <c r="HQ392" s="122"/>
      <c r="HR392" s="122"/>
      <c r="HS392" s="122"/>
      <c r="HT392" s="122"/>
      <c r="HU392" s="122"/>
      <c r="HV392" s="122"/>
      <c r="HW392" s="122"/>
      <c r="HX392" s="122"/>
      <c r="HY392" s="122"/>
      <c r="HZ392" s="122"/>
      <c r="IA392" s="122"/>
      <c r="IB392" s="122"/>
      <c r="IC392" s="122"/>
      <c r="ID392" s="122"/>
      <c r="IE392" s="122"/>
      <c r="IF392" s="122"/>
      <c r="IG392" s="122"/>
      <c r="IH392" s="122"/>
      <c r="II392" s="122"/>
      <c r="IJ392" s="122"/>
      <c r="IK392" s="122"/>
      <c r="IL392" s="122"/>
      <c r="IM392" s="122"/>
      <c r="IN392" s="122"/>
      <c r="IO392" s="122"/>
      <c r="IP392" s="122"/>
      <c r="IQ392" s="122"/>
      <c r="IR392" s="122"/>
      <c r="IS392" s="122"/>
      <c r="IT392" s="122"/>
      <c r="IU392" s="122"/>
      <c r="IV392" s="122"/>
      <c r="IW392" s="122"/>
      <c r="IX392" s="122"/>
      <c r="IY392" s="122"/>
      <c r="IZ392" s="122"/>
      <c r="JA392" s="122"/>
      <c r="JB392" s="122"/>
      <c r="JC392" s="122"/>
      <c r="JD392" s="122"/>
      <c r="JE392" s="122"/>
      <c r="JF392" s="122"/>
      <c r="JG392" s="122"/>
      <c r="JH392" s="122"/>
      <c r="JI392" s="119"/>
      <c r="JJ392" s="2"/>
      <c r="JK392" s="122"/>
      <c r="JL392" s="125"/>
      <c r="JM392" s="125"/>
      <c r="JN392" s="125"/>
      <c r="JO392" s="125"/>
      <c r="JP392" s="125"/>
    </row>
    <row r="393" spans="1:276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  <c r="AK393" s="122"/>
      <c r="AL393" s="122"/>
      <c r="AM393" s="122"/>
      <c r="AN393" s="122"/>
      <c r="AO393" s="122"/>
      <c r="AP393" s="122"/>
      <c r="AQ393" s="122"/>
      <c r="AR393" s="122"/>
      <c r="AS393" s="122"/>
      <c r="AT393" s="122"/>
      <c r="AU393" s="122"/>
      <c r="AV393" s="122"/>
      <c r="AW393" s="122"/>
      <c r="AX393" s="122"/>
      <c r="AY393" s="122"/>
      <c r="AZ393" s="122"/>
      <c r="BA393" s="122"/>
      <c r="BB393" s="122"/>
      <c r="BC393" s="122"/>
      <c r="BD393" s="122"/>
      <c r="BE393" s="122"/>
      <c r="BF393" s="122"/>
      <c r="BG393" s="122"/>
      <c r="BH393" s="122"/>
      <c r="BI393" s="122"/>
      <c r="BJ393" s="122"/>
      <c r="BK393" s="122"/>
      <c r="BL393" s="122"/>
      <c r="BM393" s="122"/>
      <c r="BN393" s="122"/>
      <c r="BO393" s="122"/>
      <c r="BP393" s="122"/>
      <c r="BQ393" s="122"/>
      <c r="BR393" s="122"/>
      <c r="BS393" s="122"/>
      <c r="BT393" s="122"/>
      <c r="BU393" s="122"/>
      <c r="BV393" s="122"/>
      <c r="BW393" s="122"/>
      <c r="BX393" s="122"/>
      <c r="BY393" s="122"/>
      <c r="BZ393" s="122"/>
      <c r="CA393" s="122"/>
      <c r="CB393" s="122"/>
      <c r="CC393" s="122"/>
      <c r="CD393" s="122"/>
      <c r="CE393" s="122"/>
      <c r="CF393" s="122"/>
      <c r="CG393" s="122"/>
      <c r="CH393" s="122"/>
      <c r="CI393" s="122"/>
      <c r="CJ393" s="122"/>
      <c r="CK393" s="122"/>
      <c r="CL393" s="122"/>
      <c r="CM393" s="122"/>
      <c r="CN393" s="122"/>
      <c r="CO393" s="122"/>
      <c r="CP393" s="122"/>
      <c r="CQ393" s="122"/>
      <c r="CR393" s="122"/>
      <c r="CS393" s="122"/>
      <c r="CT393" s="122"/>
      <c r="CU393" s="122"/>
      <c r="CV393" s="122"/>
      <c r="CW393" s="122"/>
      <c r="CX393" s="122"/>
      <c r="CY393" s="122"/>
      <c r="CZ393" s="122"/>
      <c r="DA393" s="122"/>
      <c r="DB393" s="122"/>
      <c r="DC393" s="122"/>
      <c r="DD393" s="122"/>
      <c r="DE393" s="122"/>
      <c r="DF393" s="122"/>
      <c r="DG393" s="122"/>
      <c r="DH393" s="122"/>
      <c r="DI393" s="122"/>
      <c r="DJ393" s="122"/>
      <c r="DK393" s="122"/>
      <c r="DL393" s="122"/>
      <c r="DM393" s="122"/>
      <c r="DN393" s="122"/>
      <c r="DO393" s="122"/>
      <c r="DP393" s="122"/>
      <c r="DQ393" s="122"/>
      <c r="DR393" s="122"/>
      <c r="DS393" s="122"/>
      <c r="DT393" s="122"/>
      <c r="DU393" s="122"/>
      <c r="DV393" s="122"/>
      <c r="DW393" s="122"/>
      <c r="DX393" s="122"/>
      <c r="DY393" s="122"/>
      <c r="DZ393" s="122"/>
      <c r="EA393" s="122"/>
      <c r="EB393" s="122"/>
      <c r="EC393" s="122"/>
      <c r="ED393" s="122"/>
      <c r="EE393" s="122"/>
      <c r="EF393" s="122"/>
      <c r="EG393" s="122"/>
      <c r="EH393" s="122"/>
      <c r="EI393" s="122"/>
      <c r="EJ393" s="122"/>
      <c r="EK393" s="122"/>
      <c r="EL393" s="122"/>
      <c r="EM393" s="122"/>
      <c r="EN393" s="122"/>
      <c r="EO393" s="122"/>
      <c r="EP393" s="122"/>
      <c r="EQ393" s="122"/>
      <c r="ER393" s="122"/>
      <c r="ES393" s="122"/>
      <c r="ET393" s="122"/>
      <c r="EU393" s="122"/>
      <c r="EV393" s="122"/>
      <c r="EW393" s="122"/>
      <c r="EX393" s="122"/>
      <c r="EY393" s="122"/>
      <c r="EZ393" s="122"/>
      <c r="FA393" s="122"/>
      <c r="FB393" s="122"/>
      <c r="FC393" s="122"/>
      <c r="FD393" s="122"/>
      <c r="FE393" s="122"/>
      <c r="FF393" s="122"/>
      <c r="FG393" s="122"/>
      <c r="FH393" s="122"/>
      <c r="FI393" s="122"/>
      <c r="FJ393" s="122"/>
      <c r="FK393" s="122"/>
      <c r="FL393" s="122"/>
      <c r="FM393" s="122"/>
      <c r="FN393" s="122"/>
      <c r="FO393" s="122"/>
      <c r="FP393" s="122"/>
      <c r="FQ393" s="122"/>
      <c r="FR393" s="122"/>
      <c r="FS393" s="122"/>
      <c r="FT393" s="122"/>
      <c r="FU393" s="122"/>
      <c r="FV393" s="122"/>
      <c r="FW393" s="122"/>
      <c r="FX393" s="122"/>
      <c r="FY393" s="122"/>
      <c r="FZ393" s="122"/>
      <c r="GA393" s="122"/>
      <c r="GB393" s="122"/>
      <c r="GC393" s="122"/>
      <c r="GD393" s="122"/>
      <c r="GE393" s="122"/>
      <c r="GF393" s="122"/>
      <c r="GG393" s="122"/>
      <c r="GH393" s="122"/>
      <c r="GI393" s="122"/>
      <c r="GJ393" s="122"/>
      <c r="GK393" s="122"/>
      <c r="GL393" s="122"/>
      <c r="GM393" s="122"/>
      <c r="GN393" s="122"/>
      <c r="GO393" s="122"/>
      <c r="GP393" s="122"/>
      <c r="GQ393" s="122"/>
      <c r="GR393" s="122"/>
      <c r="GS393" s="122"/>
      <c r="GT393" s="122"/>
      <c r="GU393" s="122"/>
      <c r="GV393" s="122"/>
      <c r="GW393" s="122"/>
      <c r="GX393" s="122"/>
      <c r="GY393" s="122"/>
      <c r="GZ393" s="122"/>
      <c r="HA393" s="122"/>
      <c r="HB393" s="122"/>
      <c r="HC393" s="122"/>
      <c r="HD393" s="122"/>
      <c r="HE393" s="122"/>
      <c r="HF393" s="122"/>
      <c r="HG393" s="122"/>
      <c r="HH393" s="122"/>
      <c r="HI393" s="122"/>
      <c r="HJ393" s="122"/>
      <c r="HK393" s="122"/>
      <c r="HL393" s="122"/>
      <c r="HM393" s="122"/>
      <c r="HN393" s="122"/>
      <c r="HO393" s="122"/>
      <c r="HP393" s="122"/>
      <c r="HQ393" s="122"/>
      <c r="HR393" s="122"/>
      <c r="HS393" s="122"/>
      <c r="HT393" s="122"/>
      <c r="HU393" s="122"/>
      <c r="HV393" s="122"/>
      <c r="HW393" s="122"/>
      <c r="HX393" s="122"/>
      <c r="HY393" s="122"/>
      <c r="HZ393" s="122"/>
      <c r="IA393" s="122"/>
      <c r="IB393" s="122"/>
      <c r="IC393" s="122"/>
      <c r="ID393" s="122"/>
      <c r="IE393" s="122"/>
      <c r="IF393" s="122"/>
      <c r="IG393" s="122"/>
      <c r="IH393" s="122"/>
      <c r="II393" s="122"/>
      <c r="IJ393" s="122"/>
      <c r="IK393" s="122"/>
      <c r="IL393" s="122"/>
      <c r="IM393" s="122"/>
      <c r="IN393" s="122"/>
      <c r="IO393" s="122"/>
      <c r="IP393" s="122"/>
      <c r="IQ393" s="122"/>
      <c r="IR393" s="122"/>
      <c r="IS393" s="122"/>
      <c r="IT393" s="122"/>
      <c r="IU393" s="122"/>
      <c r="IV393" s="122"/>
      <c r="IW393" s="122"/>
      <c r="IX393" s="122"/>
      <c r="IY393" s="122"/>
      <c r="IZ393" s="122"/>
      <c r="JA393" s="122"/>
      <c r="JB393" s="122"/>
      <c r="JC393" s="122"/>
      <c r="JD393" s="122"/>
      <c r="JE393" s="122"/>
      <c r="JF393" s="122"/>
      <c r="JG393" s="122"/>
      <c r="JH393" s="122"/>
      <c r="JI393" s="119"/>
      <c r="JJ393" s="2"/>
      <c r="JK393" s="122"/>
      <c r="JL393" s="125"/>
      <c r="JM393" s="125"/>
      <c r="JN393" s="125"/>
      <c r="JO393" s="125"/>
      <c r="JP393" s="125"/>
    </row>
    <row r="394" spans="1:276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  <c r="AI394" s="122"/>
      <c r="AJ394" s="122"/>
      <c r="AK394" s="122"/>
      <c r="AL394" s="122"/>
      <c r="AM394" s="122"/>
      <c r="AN394" s="122"/>
      <c r="AO394" s="122"/>
      <c r="AP394" s="122"/>
      <c r="AQ394" s="122"/>
      <c r="AR394" s="122"/>
      <c r="AS394" s="122"/>
      <c r="AT394" s="122"/>
      <c r="AU394" s="122"/>
      <c r="AV394" s="122"/>
      <c r="AW394" s="122"/>
      <c r="AX394" s="122"/>
      <c r="AY394" s="122"/>
      <c r="AZ394" s="122"/>
      <c r="BA394" s="122"/>
      <c r="BB394" s="122"/>
      <c r="BC394" s="122"/>
      <c r="BD394" s="122"/>
      <c r="BE394" s="122"/>
      <c r="BF394" s="122"/>
      <c r="BG394" s="122"/>
      <c r="BH394" s="122"/>
      <c r="BI394" s="122"/>
      <c r="BJ394" s="122"/>
      <c r="BK394" s="122"/>
      <c r="BL394" s="122"/>
      <c r="BM394" s="122"/>
      <c r="BN394" s="122"/>
      <c r="BO394" s="122"/>
      <c r="BP394" s="122"/>
      <c r="BQ394" s="122"/>
      <c r="BR394" s="122"/>
      <c r="BS394" s="122"/>
      <c r="BT394" s="122"/>
      <c r="BU394" s="122"/>
      <c r="BV394" s="122"/>
      <c r="BW394" s="122"/>
      <c r="BX394" s="122"/>
      <c r="BY394" s="122"/>
      <c r="BZ394" s="122"/>
      <c r="CA394" s="122"/>
      <c r="CB394" s="122"/>
      <c r="CC394" s="122"/>
      <c r="CD394" s="122"/>
      <c r="CE394" s="122"/>
      <c r="CF394" s="122"/>
      <c r="CG394" s="122"/>
      <c r="CH394" s="122"/>
      <c r="CI394" s="122"/>
      <c r="CJ394" s="122"/>
      <c r="CK394" s="122"/>
      <c r="CL394" s="122"/>
      <c r="CM394" s="122"/>
      <c r="CN394" s="122"/>
      <c r="CO394" s="122"/>
      <c r="CP394" s="122"/>
      <c r="CQ394" s="122"/>
      <c r="CR394" s="122"/>
      <c r="CS394" s="122"/>
      <c r="CT394" s="122"/>
      <c r="CU394" s="122"/>
      <c r="CV394" s="122"/>
      <c r="CW394" s="122"/>
      <c r="CX394" s="122"/>
      <c r="CY394" s="122"/>
      <c r="CZ394" s="122"/>
      <c r="DA394" s="122"/>
      <c r="DB394" s="122"/>
      <c r="DC394" s="122"/>
      <c r="DD394" s="122"/>
      <c r="DE394" s="122"/>
      <c r="DF394" s="122"/>
      <c r="DG394" s="122"/>
      <c r="DH394" s="122"/>
      <c r="DI394" s="122"/>
      <c r="DJ394" s="122"/>
      <c r="DK394" s="122"/>
      <c r="DL394" s="122"/>
      <c r="DM394" s="122"/>
      <c r="DN394" s="122"/>
      <c r="DO394" s="122"/>
      <c r="DP394" s="122"/>
      <c r="DQ394" s="122"/>
      <c r="DR394" s="122"/>
      <c r="DS394" s="122"/>
      <c r="DT394" s="122"/>
      <c r="DU394" s="122"/>
      <c r="DV394" s="122"/>
      <c r="DW394" s="122"/>
      <c r="DX394" s="122"/>
      <c r="DY394" s="122"/>
      <c r="DZ394" s="122"/>
      <c r="EA394" s="122"/>
      <c r="EB394" s="122"/>
      <c r="EC394" s="122"/>
      <c r="ED394" s="122"/>
      <c r="EE394" s="122"/>
      <c r="EF394" s="122"/>
      <c r="EG394" s="122"/>
      <c r="EH394" s="122"/>
      <c r="EI394" s="122"/>
      <c r="EJ394" s="122"/>
      <c r="EK394" s="122"/>
      <c r="EL394" s="122"/>
      <c r="EM394" s="122"/>
      <c r="EN394" s="122"/>
      <c r="EO394" s="122"/>
      <c r="EP394" s="122"/>
      <c r="EQ394" s="122"/>
      <c r="ER394" s="122"/>
      <c r="ES394" s="122"/>
      <c r="ET394" s="122"/>
      <c r="EU394" s="122"/>
      <c r="EV394" s="122"/>
      <c r="EW394" s="122"/>
      <c r="EX394" s="122"/>
      <c r="EY394" s="122"/>
      <c r="EZ394" s="122"/>
      <c r="FA394" s="122"/>
      <c r="FB394" s="122"/>
      <c r="FC394" s="122"/>
      <c r="FD394" s="122"/>
      <c r="FE394" s="122"/>
      <c r="FF394" s="122"/>
      <c r="FG394" s="122"/>
      <c r="FH394" s="122"/>
      <c r="FI394" s="122"/>
      <c r="FJ394" s="122"/>
      <c r="FK394" s="122"/>
      <c r="FL394" s="122"/>
      <c r="FM394" s="122"/>
      <c r="FN394" s="122"/>
      <c r="FO394" s="122"/>
      <c r="FP394" s="122"/>
      <c r="FQ394" s="122"/>
      <c r="FR394" s="122"/>
      <c r="FS394" s="122"/>
      <c r="FT394" s="122"/>
      <c r="FU394" s="122"/>
      <c r="FV394" s="122"/>
      <c r="FW394" s="122"/>
      <c r="FX394" s="122"/>
      <c r="FY394" s="122"/>
      <c r="FZ394" s="122"/>
      <c r="GA394" s="122"/>
      <c r="GB394" s="122"/>
      <c r="GC394" s="122"/>
      <c r="GD394" s="122"/>
      <c r="GE394" s="122"/>
      <c r="GF394" s="122"/>
      <c r="GG394" s="122"/>
      <c r="GH394" s="122"/>
      <c r="GI394" s="122"/>
      <c r="GJ394" s="122"/>
      <c r="GK394" s="122"/>
      <c r="GL394" s="122"/>
      <c r="GM394" s="122"/>
      <c r="GN394" s="122"/>
      <c r="GO394" s="122"/>
      <c r="GP394" s="122"/>
      <c r="GQ394" s="122"/>
      <c r="GR394" s="122"/>
      <c r="GS394" s="122"/>
      <c r="GT394" s="122"/>
      <c r="GU394" s="122"/>
      <c r="GV394" s="122"/>
      <c r="GW394" s="122"/>
      <c r="GX394" s="122"/>
      <c r="GY394" s="122"/>
      <c r="GZ394" s="122"/>
      <c r="HA394" s="122"/>
      <c r="HB394" s="122"/>
      <c r="HC394" s="122"/>
      <c r="HD394" s="122"/>
      <c r="HE394" s="122"/>
      <c r="HF394" s="122"/>
      <c r="HG394" s="122"/>
      <c r="HH394" s="122"/>
      <c r="HI394" s="122"/>
      <c r="HJ394" s="122"/>
      <c r="HK394" s="122"/>
      <c r="HL394" s="122"/>
      <c r="HM394" s="122"/>
      <c r="HN394" s="122"/>
      <c r="HO394" s="122"/>
      <c r="HP394" s="122"/>
      <c r="HQ394" s="122"/>
      <c r="HR394" s="122"/>
      <c r="HS394" s="122"/>
      <c r="HT394" s="122"/>
      <c r="HU394" s="122"/>
      <c r="HV394" s="122"/>
      <c r="HW394" s="122"/>
      <c r="HX394" s="122"/>
      <c r="HY394" s="122"/>
      <c r="HZ394" s="122"/>
      <c r="IA394" s="122"/>
      <c r="IB394" s="122"/>
      <c r="IC394" s="122"/>
      <c r="ID394" s="122"/>
      <c r="IE394" s="122"/>
      <c r="IF394" s="122"/>
      <c r="IG394" s="122"/>
      <c r="IH394" s="122"/>
      <c r="II394" s="122"/>
      <c r="IJ394" s="122"/>
      <c r="IK394" s="122"/>
      <c r="IL394" s="122"/>
      <c r="IM394" s="122"/>
      <c r="IN394" s="122"/>
      <c r="IO394" s="122"/>
      <c r="IP394" s="122"/>
      <c r="IQ394" s="122"/>
      <c r="IR394" s="122"/>
      <c r="IS394" s="122"/>
      <c r="IT394" s="122"/>
      <c r="IU394" s="122"/>
      <c r="IV394" s="122"/>
      <c r="IW394" s="122"/>
      <c r="IX394" s="122"/>
      <c r="IY394" s="122"/>
      <c r="IZ394" s="122"/>
      <c r="JA394" s="122"/>
      <c r="JB394" s="122"/>
      <c r="JC394" s="122"/>
      <c r="JD394" s="122"/>
      <c r="JE394" s="122"/>
      <c r="JF394" s="122"/>
      <c r="JG394" s="122"/>
      <c r="JH394" s="122"/>
      <c r="JI394" s="119"/>
      <c r="JJ394" s="2"/>
      <c r="JK394" s="122"/>
      <c r="JL394" s="125"/>
      <c r="JM394" s="125"/>
      <c r="JN394" s="125"/>
      <c r="JO394" s="125"/>
      <c r="JP394" s="125"/>
    </row>
    <row r="395" spans="1:276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  <c r="AK395" s="122"/>
      <c r="AL395" s="122"/>
      <c r="AM395" s="122"/>
      <c r="AN395" s="122"/>
      <c r="AO395" s="122"/>
      <c r="AP395" s="122"/>
      <c r="AQ395" s="122"/>
      <c r="AR395" s="122"/>
      <c r="AS395" s="122"/>
      <c r="AT395" s="122"/>
      <c r="AU395" s="122"/>
      <c r="AV395" s="122"/>
      <c r="AW395" s="122"/>
      <c r="AX395" s="122"/>
      <c r="AY395" s="122"/>
      <c r="AZ395" s="122"/>
      <c r="BA395" s="122"/>
      <c r="BB395" s="122"/>
      <c r="BC395" s="122"/>
      <c r="BD395" s="122"/>
      <c r="BE395" s="122"/>
      <c r="BF395" s="122"/>
      <c r="BG395" s="122"/>
      <c r="BH395" s="122"/>
      <c r="BI395" s="122"/>
      <c r="BJ395" s="122"/>
      <c r="BK395" s="122"/>
      <c r="BL395" s="122"/>
      <c r="BM395" s="122"/>
      <c r="BN395" s="122"/>
      <c r="BO395" s="122"/>
      <c r="BP395" s="122"/>
      <c r="BQ395" s="122"/>
      <c r="BR395" s="122"/>
      <c r="BS395" s="122"/>
      <c r="BT395" s="122"/>
      <c r="BU395" s="122"/>
      <c r="BV395" s="122"/>
      <c r="BW395" s="122"/>
      <c r="BX395" s="122"/>
      <c r="BY395" s="122"/>
      <c r="BZ395" s="122"/>
      <c r="CA395" s="122"/>
      <c r="CB395" s="122"/>
      <c r="CC395" s="122"/>
      <c r="CD395" s="122"/>
      <c r="CE395" s="122"/>
      <c r="CF395" s="122"/>
      <c r="CG395" s="122"/>
      <c r="CH395" s="122"/>
      <c r="CI395" s="122"/>
      <c r="CJ395" s="122"/>
      <c r="CK395" s="122"/>
      <c r="CL395" s="122"/>
      <c r="CM395" s="122"/>
      <c r="CN395" s="122"/>
      <c r="CO395" s="122"/>
      <c r="CP395" s="122"/>
      <c r="CQ395" s="122"/>
      <c r="CR395" s="122"/>
      <c r="CS395" s="122"/>
      <c r="CT395" s="122"/>
      <c r="CU395" s="122"/>
      <c r="CV395" s="122"/>
      <c r="CW395" s="122"/>
      <c r="CX395" s="122"/>
      <c r="CY395" s="122"/>
      <c r="CZ395" s="122"/>
      <c r="DA395" s="122"/>
      <c r="DB395" s="122"/>
      <c r="DC395" s="122"/>
      <c r="DD395" s="122"/>
      <c r="DE395" s="122"/>
      <c r="DF395" s="122"/>
      <c r="DG395" s="122"/>
      <c r="DH395" s="122"/>
      <c r="DI395" s="122"/>
      <c r="DJ395" s="122"/>
      <c r="DK395" s="122"/>
      <c r="DL395" s="122"/>
      <c r="DM395" s="122"/>
      <c r="DN395" s="122"/>
      <c r="DO395" s="122"/>
      <c r="DP395" s="122"/>
      <c r="DQ395" s="122"/>
      <c r="DR395" s="122"/>
      <c r="DS395" s="122"/>
      <c r="DT395" s="122"/>
      <c r="DU395" s="122"/>
      <c r="DV395" s="122"/>
      <c r="DW395" s="122"/>
      <c r="DX395" s="122"/>
      <c r="DY395" s="122"/>
      <c r="DZ395" s="122"/>
      <c r="EA395" s="122"/>
      <c r="EB395" s="122"/>
      <c r="EC395" s="122"/>
      <c r="ED395" s="122"/>
      <c r="EE395" s="122"/>
      <c r="EF395" s="122"/>
      <c r="EG395" s="122"/>
      <c r="EH395" s="122"/>
      <c r="EI395" s="122"/>
      <c r="EJ395" s="122"/>
      <c r="EK395" s="122"/>
      <c r="EL395" s="122"/>
      <c r="EM395" s="122"/>
      <c r="EN395" s="122"/>
      <c r="EO395" s="122"/>
      <c r="EP395" s="122"/>
      <c r="EQ395" s="122"/>
      <c r="ER395" s="122"/>
      <c r="ES395" s="122"/>
      <c r="ET395" s="122"/>
      <c r="EU395" s="122"/>
      <c r="EV395" s="122"/>
      <c r="EW395" s="122"/>
      <c r="EX395" s="122"/>
      <c r="EY395" s="122"/>
      <c r="EZ395" s="122"/>
      <c r="FA395" s="122"/>
      <c r="FB395" s="122"/>
      <c r="FC395" s="122"/>
      <c r="FD395" s="122"/>
      <c r="FE395" s="122"/>
      <c r="FF395" s="122"/>
      <c r="FG395" s="122"/>
      <c r="FH395" s="122"/>
      <c r="FI395" s="122"/>
      <c r="FJ395" s="122"/>
      <c r="FK395" s="122"/>
      <c r="FL395" s="122"/>
      <c r="FM395" s="122"/>
      <c r="FN395" s="122"/>
      <c r="FO395" s="122"/>
      <c r="FP395" s="122"/>
      <c r="FQ395" s="122"/>
      <c r="FR395" s="122"/>
      <c r="FS395" s="122"/>
      <c r="FT395" s="122"/>
      <c r="FU395" s="122"/>
      <c r="FV395" s="122"/>
      <c r="FW395" s="122"/>
      <c r="FX395" s="122"/>
      <c r="FY395" s="122"/>
      <c r="FZ395" s="122"/>
      <c r="GA395" s="122"/>
      <c r="GB395" s="122"/>
      <c r="GC395" s="122"/>
      <c r="GD395" s="122"/>
      <c r="GE395" s="122"/>
      <c r="GF395" s="122"/>
      <c r="GG395" s="122"/>
      <c r="GH395" s="122"/>
      <c r="GI395" s="122"/>
      <c r="GJ395" s="122"/>
      <c r="GK395" s="122"/>
      <c r="GL395" s="122"/>
      <c r="GM395" s="122"/>
      <c r="GN395" s="122"/>
      <c r="GO395" s="122"/>
      <c r="GP395" s="122"/>
      <c r="GQ395" s="122"/>
      <c r="GR395" s="122"/>
      <c r="GS395" s="122"/>
      <c r="GT395" s="122"/>
      <c r="GU395" s="122"/>
      <c r="GV395" s="122"/>
      <c r="GW395" s="122"/>
      <c r="GX395" s="122"/>
      <c r="GY395" s="122"/>
      <c r="GZ395" s="122"/>
      <c r="HA395" s="122"/>
      <c r="HB395" s="122"/>
      <c r="HC395" s="122"/>
      <c r="HD395" s="122"/>
      <c r="HE395" s="122"/>
      <c r="HF395" s="122"/>
      <c r="HG395" s="122"/>
      <c r="HH395" s="122"/>
      <c r="HI395" s="122"/>
      <c r="HJ395" s="122"/>
      <c r="HK395" s="122"/>
      <c r="HL395" s="122"/>
      <c r="HM395" s="122"/>
      <c r="HN395" s="122"/>
      <c r="HO395" s="122"/>
      <c r="HP395" s="122"/>
      <c r="HQ395" s="122"/>
      <c r="HR395" s="122"/>
      <c r="HS395" s="122"/>
      <c r="HT395" s="122"/>
      <c r="HU395" s="122"/>
      <c r="HV395" s="122"/>
      <c r="HW395" s="122"/>
      <c r="HX395" s="122"/>
      <c r="HY395" s="122"/>
      <c r="HZ395" s="122"/>
      <c r="IA395" s="122"/>
      <c r="IB395" s="122"/>
      <c r="IC395" s="122"/>
      <c r="ID395" s="122"/>
      <c r="IE395" s="122"/>
      <c r="IF395" s="122"/>
      <c r="IG395" s="122"/>
      <c r="IH395" s="122"/>
      <c r="II395" s="122"/>
      <c r="IJ395" s="122"/>
      <c r="IK395" s="122"/>
      <c r="IL395" s="122"/>
      <c r="IM395" s="122"/>
      <c r="IN395" s="122"/>
      <c r="IO395" s="122"/>
      <c r="IP395" s="122"/>
      <c r="IQ395" s="122"/>
      <c r="IR395" s="122"/>
      <c r="IS395" s="122"/>
      <c r="IT395" s="122"/>
      <c r="IU395" s="122"/>
      <c r="IV395" s="122"/>
      <c r="IW395" s="122"/>
      <c r="IX395" s="122"/>
      <c r="IY395" s="122"/>
      <c r="IZ395" s="122"/>
      <c r="JA395" s="122"/>
      <c r="JB395" s="122"/>
      <c r="JC395" s="122"/>
      <c r="JD395" s="122"/>
      <c r="JE395" s="122"/>
      <c r="JF395" s="122"/>
      <c r="JG395" s="122"/>
      <c r="JH395" s="122"/>
      <c r="JI395" s="119"/>
      <c r="JJ395" s="2"/>
      <c r="JK395" s="122"/>
      <c r="JL395" s="125"/>
      <c r="JM395" s="125"/>
      <c r="JN395" s="125"/>
      <c r="JO395" s="125"/>
      <c r="JP395" s="125"/>
    </row>
    <row r="396" spans="1:27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  <c r="AI396" s="122"/>
      <c r="AJ396" s="122"/>
      <c r="AK396" s="122"/>
      <c r="AL396" s="122"/>
      <c r="AM396" s="122"/>
      <c r="AN396" s="122"/>
      <c r="AO396" s="122"/>
      <c r="AP396" s="122"/>
      <c r="AQ396" s="122"/>
      <c r="AR396" s="122"/>
      <c r="AS396" s="122"/>
      <c r="AT396" s="122"/>
      <c r="AU396" s="122"/>
      <c r="AV396" s="122"/>
      <c r="AW396" s="122"/>
      <c r="AX396" s="122"/>
      <c r="AY396" s="122"/>
      <c r="AZ396" s="122"/>
      <c r="BA396" s="122"/>
      <c r="BB396" s="122"/>
      <c r="BC396" s="122"/>
      <c r="BD396" s="122"/>
      <c r="BE396" s="122"/>
      <c r="BF396" s="122"/>
      <c r="BG396" s="122"/>
      <c r="BH396" s="122"/>
      <c r="BI396" s="122"/>
      <c r="BJ396" s="122"/>
      <c r="BK396" s="122"/>
      <c r="BL396" s="122"/>
      <c r="BM396" s="122"/>
      <c r="BN396" s="122"/>
      <c r="BO396" s="122"/>
      <c r="BP396" s="122"/>
      <c r="BQ396" s="122"/>
      <c r="BR396" s="122"/>
      <c r="BS396" s="122"/>
      <c r="BT396" s="122"/>
      <c r="BU396" s="122"/>
      <c r="BV396" s="122"/>
      <c r="BW396" s="122"/>
      <c r="BX396" s="122"/>
      <c r="BY396" s="122"/>
      <c r="BZ396" s="122"/>
      <c r="CA396" s="122"/>
      <c r="CB396" s="122"/>
      <c r="CC396" s="122"/>
      <c r="CD396" s="122"/>
      <c r="CE396" s="122"/>
      <c r="CF396" s="122"/>
      <c r="CG396" s="122"/>
      <c r="CH396" s="122"/>
      <c r="CI396" s="122"/>
      <c r="CJ396" s="122"/>
      <c r="CK396" s="122"/>
      <c r="CL396" s="122"/>
      <c r="CM396" s="122"/>
      <c r="CN396" s="122"/>
      <c r="CO396" s="122"/>
      <c r="CP396" s="122"/>
      <c r="CQ396" s="122"/>
      <c r="CR396" s="122"/>
      <c r="CS396" s="122"/>
      <c r="CT396" s="122"/>
      <c r="CU396" s="122"/>
      <c r="CV396" s="122"/>
      <c r="CW396" s="122"/>
      <c r="CX396" s="122"/>
      <c r="CY396" s="122"/>
      <c r="CZ396" s="122"/>
      <c r="DA396" s="122"/>
      <c r="DB396" s="122"/>
      <c r="DC396" s="122"/>
      <c r="DD396" s="122"/>
      <c r="DE396" s="122"/>
      <c r="DF396" s="122"/>
      <c r="DG396" s="122"/>
      <c r="DH396" s="122"/>
      <c r="DI396" s="122"/>
      <c r="DJ396" s="122"/>
      <c r="DK396" s="122"/>
      <c r="DL396" s="122"/>
      <c r="DM396" s="122"/>
      <c r="DN396" s="122"/>
      <c r="DO396" s="122"/>
      <c r="DP396" s="122"/>
      <c r="DQ396" s="122"/>
      <c r="DR396" s="122"/>
      <c r="DS396" s="122"/>
      <c r="DT396" s="122"/>
      <c r="DU396" s="122"/>
      <c r="DV396" s="122"/>
      <c r="DW396" s="122"/>
      <c r="DX396" s="122"/>
      <c r="DY396" s="122"/>
      <c r="DZ396" s="122"/>
      <c r="EA396" s="122"/>
      <c r="EB396" s="122"/>
      <c r="EC396" s="122"/>
      <c r="ED396" s="122"/>
      <c r="EE396" s="122"/>
      <c r="EF396" s="122"/>
      <c r="EG396" s="122"/>
      <c r="EH396" s="122"/>
      <c r="EI396" s="122"/>
      <c r="EJ396" s="122"/>
      <c r="EK396" s="122"/>
      <c r="EL396" s="122"/>
      <c r="EM396" s="122"/>
      <c r="EN396" s="122"/>
      <c r="EO396" s="122"/>
      <c r="EP396" s="122"/>
      <c r="EQ396" s="122"/>
      <c r="ER396" s="122"/>
      <c r="ES396" s="122"/>
      <c r="ET396" s="122"/>
      <c r="EU396" s="122"/>
      <c r="EV396" s="122"/>
      <c r="EW396" s="122"/>
      <c r="EX396" s="122"/>
      <c r="EY396" s="122"/>
      <c r="EZ396" s="122"/>
      <c r="FA396" s="122"/>
      <c r="FB396" s="122"/>
      <c r="FC396" s="122"/>
      <c r="FD396" s="122"/>
      <c r="FE396" s="122"/>
      <c r="FF396" s="122"/>
      <c r="FG396" s="122"/>
      <c r="FH396" s="122"/>
      <c r="FI396" s="122"/>
      <c r="FJ396" s="122"/>
      <c r="FK396" s="122"/>
      <c r="FL396" s="122"/>
      <c r="FM396" s="122"/>
      <c r="FN396" s="122"/>
      <c r="FO396" s="122"/>
      <c r="FP396" s="122"/>
      <c r="FQ396" s="122"/>
      <c r="FR396" s="122"/>
      <c r="FS396" s="122"/>
      <c r="FT396" s="122"/>
      <c r="FU396" s="122"/>
      <c r="FV396" s="122"/>
      <c r="FW396" s="122"/>
      <c r="FX396" s="122"/>
      <c r="FY396" s="122"/>
      <c r="FZ396" s="122"/>
      <c r="GA396" s="122"/>
      <c r="GB396" s="122"/>
      <c r="GC396" s="122"/>
      <c r="GD396" s="122"/>
      <c r="GE396" s="122"/>
      <c r="GF396" s="122"/>
      <c r="GG396" s="122"/>
      <c r="GH396" s="122"/>
      <c r="GI396" s="122"/>
      <c r="GJ396" s="122"/>
      <c r="GK396" s="122"/>
      <c r="GL396" s="122"/>
      <c r="GM396" s="122"/>
      <c r="GN396" s="122"/>
      <c r="GO396" s="122"/>
      <c r="GP396" s="122"/>
      <c r="GQ396" s="122"/>
      <c r="GR396" s="122"/>
      <c r="GS396" s="122"/>
      <c r="GT396" s="122"/>
      <c r="GU396" s="122"/>
      <c r="GV396" s="122"/>
      <c r="GW396" s="122"/>
      <c r="GX396" s="122"/>
      <c r="GY396" s="122"/>
      <c r="GZ396" s="122"/>
      <c r="HA396" s="122"/>
      <c r="HB396" s="122"/>
      <c r="HC396" s="122"/>
      <c r="HD396" s="122"/>
      <c r="HE396" s="122"/>
      <c r="HF396" s="122"/>
      <c r="HG396" s="122"/>
      <c r="HH396" s="122"/>
      <c r="HI396" s="122"/>
      <c r="HJ396" s="122"/>
      <c r="HK396" s="122"/>
      <c r="HL396" s="122"/>
      <c r="HM396" s="122"/>
      <c r="HN396" s="122"/>
      <c r="HO396" s="122"/>
      <c r="HP396" s="122"/>
      <c r="HQ396" s="122"/>
      <c r="HR396" s="122"/>
      <c r="HS396" s="122"/>
      <c r="HT396" s="122"/>
      <c r="HU396" s="122"/>
      <c r="HV396" s="122"/>
      <c r="HW396" s="122"/>
      <c r="HX396" s="122"/>
      <c r="HY396" s="122"/>
      <c r="HZ396" s="122"/>
      <c r="IA396" s="122"/>
      <c r="IB396" s="122"/>
      <c r="IC396" s="122"/>
      <c r="ID396" s="122"/>
      <c r="IE396" s="122"/>
      <c r="IF396" s="122"/>
      <c r="IG396" s="122"/>
      <c r="IH396" s="122"/>
      <c r="II396" s="122"/>
      <c r="IJ396" s="122"/>
      <c r="IK396" s="122"/>
      <c r="IL396" s="122"/>
      <c r="IM396" s="122"/>
      <c r="IN396" s="122"/>
      <c r="IO396" s="122"/>
      <c r="IP396" s="122"/>
      <c r="IQ396" s="122"/>
      <c r="IR396" s="122"/>
      <c r="IS396" s="122"/>
      <c r="IT396" s="122"/>
      <c r="IU396" s="122"/>
      <c r="IV396" s="122"/>
      <c r="IW396" s="122"/>
      <c r="IX396" s="122"/>
      <c r="IY396" s="122"/>
      <c r="IZ396" s="122"/>
      <c r="JA396" s="122"/>
      <c r="JB396" s="122"/>
      <c r="JC396" s="122"/>
      <c r="JD396" s="122"/>
      <c r="JE396" s="122"/>
      <c r="JF396" s="122"/>
      <c r="JG396" s="122"/>
      <c r="JH396" s="122"/>
      <c r="JI396" s="119"/>
      <c r="JJ396" s="2"/>
      <c r="JK396" s="122"/>
      <c r="JL396" s="125"/>
      <c r="JM396" s="125"/>
      <c r="JN396" s="125"/>
      <c r="JO396" s="125"/>
      <c r="JP396" s="125"/>
    </row>
    <row r="397" spans="1:276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122"/>
      <c r="AQ397" s="122"/>
      <c r="AR397" s="122"/>
      <c r="AS397" s="122"/>
      <c r="AT397" s="122"/>
      <c r="AU397" s="122"/>
      <c r="AV397" s="122"/>
      <c r="AW397" s="122"/>
      <c r="AX397" s="122"/>
      <c r="AY397" s="122"/>
      <c r="AZ397" s="122"/>
      <c r="BA397" s="122"/>
      <c r="BB397" s="122"/>
      <c r="BC397" s="122"/>
      <c r="BD397" s="122"/>
      <c r="BE397" s="122"/>
      <c r="BF397" s="122"/>
      <c r="BG397" s="122"/>
      <c r="BH397" s="122"/>
      <c r="BI397" s="122"/>
      <c r="BJ397" s="122"/>
      <c r="BK397" s="122"/>
      <c r="BL397" s="122"/>
      <c r="BM397" s="122"/>
      <c r="BN397" s="122"/>
      <c r="BO397" s="122"/>
      <c r="BP397" s="122"/>
      <c r="BQ397" s="122"/>
      <c r="BR397" s="122"/>
      <c r="BS397" s="122"/>
      <c r="BT397" s="122"/>
      <c r="BU397" s="122"/>
      <c r="BV397" s="122"/>
      <c r="BW397" s="122"/>
      <c r="BX397" s="122"/>
      <c r="BY397" s="122"/>
      <c r="BZ397" s="122"/>
      <c r="CA397" s="122"/>
      <c r="CB397" s="122"/>
      <c r="CC397" s="122"/>
      <c r="CD397" s="122"/>
      <c r="CE397" s="122"/>
      <c r="CF397" s="122"/>
      <c r="CG397" s="122"/>
      <c r="CH397" s="122"/>
      <c r="CI397" s="122"/>
      <c r="CJ397" s="122"/>
      <c r="CK397" s="122"/>
      <c r="CL397" s="122"/>
      <c r="CM397" s="122"/>
      <c r="CN397" s="122"/>
      <c r="CO397" s="122"/>
      <c r="CP397" s="122"/>
      <c r="CQ397" s="122"/>
      <c r="CR397" s="122"/>
      <c r="CS397" s="122"/>
      <c r="CT397" s="122"/>
      <c r="CU397" s="122"/>
      <c r="CV397" s="122"/>
      <c r="CW397" s="122"/>
      <c r="CX397" s="122"/>
      <c r="CY397" s="122"/>
      <c r="CZ397" s="122"/>
      <c r="DA397" s="122"/>
      <c r="DB397" s="122"/>
      <c r="DC397" s="122"/>
      <c r="DD397" s="122"/>
      <c r="DE397" s="122"/>
      <c r="DF397" s="122"/>
      <c r="DG397" s="122"/>
      <c r="DH397" s="122"/>
      <c r="DI397" s="122"/>
      <c r="DJ397" s="122"/>
      <c r="DK397" s="122"/>
      <c r="DL397" s="122"/>
      <c r="DM397" s="122"/>
      <c r="DN397" s="122"/>
      <c r="DO397" s="122"/>
      <c r="DP397" s="122"/>
      <c r="DQ397" s="122"/>
      <c r="DR397" s="122"/>
      <c r="DS397" s="122"/>
      <c r="DT397" s="122"/>
      <c r="DU397" s="122"/>
      <c r="DV397" s="122"/>
      <c r="DW397" s="122"/>
      <c r="DX397" s="122"/>
      <c r="DY397" s="122"/>
      <c r="DZ397" s="122"/>
      <c r="EA397" s="122"/>
      <c r="EB397" s="122"/>
      <c r="EC397" s="122"/>
      <c r="ED397" s="122"/>
      <c r="EE397" s="122"/>
      <c r="EF397" s="122"/>
      <c r="EG397" s="122"/>
      <c r="EH397" s="122"/>
      <c r="EI397" s="122"/>
      <c r="EJ397" s="122"/>
      <c r="EK397" s="122"/>
      <c r="EL397" s="122"/>
      <c r="EM397" s="122"/>
      <c r="EN397" s="122"/>
      <c r="EO397" s="122"/>
      <c r="EP397" s="122"/>
      <c r="EQ397" s="122"/>
      <c r="ER397" s="122"/>
      <c r="ES397" s="122"/>
      <c r="ET397" s="122"/>
      <c r="EU397" s="122"/>
      <c r="EV397" s="122"/>
      <c r="EW397" s="122"/>
      <c r="EX397" s="122"/>
      <c r="EY397" s="122"/>
      <c r="EZ397" s="122"/>
      <c r="FA397" s="122"/>
      <c r="FB397" s="122"/>
      <c r="FC397" s="122"/>
      <c r="FD397" s="122"/>
      <c r="FE397" s="122"/>
      <c r="FF397" s="122"/>
      <c r="FG397" s="122"/>
      <c r="FH397" s="122"/>
      <c r="FI397" s="122"/>
      <c r="FJ397" s="122"/>
      <c r="FK397" s="122"/>
      <c r="FL397" s="122"/>
      <c r="FM397" s="122"/>
      <c r="FN397" s="122"/>
      <c r="FO397" s="122"/>
      <c r="FP397" s="122"/>
      <c r="FQ397" s="122"/>
      <c r="FR397" s="122"/>
      <c r="FS397" s="122"/>
      <c r="FT397" s="122"/>
      <c r="FU397" s="122"/>
      <c r="FV397" s="122"/>
      <c r="FW397" s="122"/>
      <c r="FX397" s="122"/>
      <c r="FY397" s="122"/>
      <c r="FZ397" s="122"/>
      <c r="GA397" s="122"/>
      <c r="GB397" s="122"/>
      <c r="GC397" s="122"/>
      <c r="GD397" s="122"/>
      <c r="GE397" s="122"/>
      <c r="GF397" s="122"/>
      <c r="GG397" s="122"/>
      <c r="GH397" s="122"/>
      <c r="GI397" s="122"/>
      <c r="GJ397" s="122"/>
      <c r="GK397" s="122"/>
      <c r="GL397" s="122"/>
      <c r="GM397" s="122"/>
      <c r="GN397" s="122"/>
      <c r="GO397" s="122"/>
      <c r="GP397" s="122"/>
      <c r="GQ397" s="122"/>
      <c r="GR397" s="122"/>
      <c r="GS397" s="122"/>
      <c r="GT397" s="122"/>
      <c r="GU397" s="122"/>
      <c r="GV397" s="122"/>
      <c r="GW397" s="122"/>
      <c r="GX397" s="122"/>
      <c r="GY397" s="122"/>
      <c r="GZ397" s="122"/>
      <c r="HA397" s="122"/>
      <c r="HB397" s="122"/>
      <c r="HC397" s="122"/>
      <c r="HD397" s="122"/>
      <c r="HE397" s="122"/>
      <c r="HF397" s="122"/>
      <c r="HG397" s="122"/>
      <c r="HH397" s="122"/>
      <c r="HI397" s="122"/>
      <c r="HJ397" s="122"/>
      <c r="HK397" s="122"/>
      <c r="HL397" s="122"/>
      <c r="HM397" s="122"/>
      <c r="HN397" s="122"/>
      <c r="HO397" s="122"/>
      <c r="HP397" s="122"/>
      <c r="HQ397" s="122"/>
      <c r="HR397" s="122"/>
      <c r="HS397" s="122"/>
      <c r="HT397" s="122"/>
      <c r="HU397" s="122"/>
      <c r="HV397" s="122"/>
      <c r="HW397" s="122"/>
      <c r="HX397" s="122"/>
      <c r="HY397" s="122"/>
      <c r="HZ397" s="122"/>
      <c r="IA397" s="122"/>
      <c r="IB397" s="122"/>
      <c r="IC397" s="122"/>
      <c r="ID397" s="122"/>
      <c r="IE397" s="122"/>
      <c r="IF397" s="122"/>
      <c r="IG397" s="122"/>
      <c r="IH397" s="122"/>
      <c r="II397" s="122"/>
      <c r="IJ397" s="122"/>
      <c r="IK397" s="122"/>
      <c r="IL397" s="122"/>
      <c r="IM397" s="122"/>
      <c r="IN397" s="122"/>
      <c r="IO397" s="122"/>
      <c r="IP397" s="122"/>
      <c r="IQ397" s="122"/>
      <c r="IR397" s="122"/>
      <c r="IS397" s="122"/>
      <c r="IT397" s="122"/>
      <c r="IU397" s="122"/>
      <c r="IV397" s="122"/>
      <c r="IW397" s="122"/>
      <c r="IX397" s="122"/>
      <c r="IY397" s="122"/>
      <c r="IZ397" s="122"/>
      <c r="JA397" s="122"/>
      <c r="JB397" s="122"/>
      <c r="JC397" s="122"/>
      <c r="JD397" s="122"/>
      <c r="JE397" s="122"/>
      <c r="JF397" s="122"/>
      <c r="JG397" s="122"/>
      <c r="JH397" s="122"/>
      <c r="JI397" s="119"/>
      <c r="JJ397" s="2"/>
      <c r="JK397" s="122"/>
      <c r="JL397" s="125"/>
      <c r="JM397" s="125"/>
      <c r="JN397" s="125"/>
      <c r="JO397" s="125"/>
      <c r="JP397" s="125"/>
    </row>
    <row r="398" spans="1:276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  <c r="AI398" s="122"/>
      <c r="AJ398" s="122"/>
      <c r="AK398" s="122"/>
      <c r="AL398" s="122"/>
      <c r="AM398" s="122"/>
      <c r="AN398" s="122"/>
      <c r="AO398" s="122"/>
      <c r="AP398" s="122"/>
      <c r="AQ398" s="122"/>
      <c r="AR398" s="122"/>
      <c r="AS398" s="122"/>
      <c r="AT398" s="122"/>
      <c r="AU398" s="122"/>
      <c r="AV398" s="122"/>
      <c r="AW398" s="122"/>
      <c r="AX398" s="122"/>
      <c r="AY398" s="122"/>
      <c r="AZ398" s="122"/>
      <c r="BA398" s="122"/>
      <c r="BB398" s="122"/>
      <c r="BC398" s="122"/>
      <c r="BD398" s="122"/>
      <c r="BE398" s="122"/>
      <c r="BF398" s="122"/>
      <c r="BG398" s="122"/>
      <c r="BH398" s="122"/>
      <c r="BI398" s="122"/>
      <c r="BJ398" s="122"/>
      <c r="BK398" s="122"/>
      <c r="BL398" s="122"/>
      <c r="BM398" s="122"/>
      <c r="BN398" s="122"/>
      <c r="BO398" s="122"/>
      <c r="BP398" s="122"/>
      <c r="BQ398" s="122"/>
      <c r="BR398" s="122"/>
      <c r="BS398" s="122"/>
      <c r="BT398" s="122"/>
      <c r="BU398" s="122"/>
      <c r="BV398" s="122"/>
      <c r="BW398" s="122"/>
      <c r="BX398" s="122"/>
      <c r="BY398" s="122"/>
      <c r="BZ398" s="122"/>
      <c r="CA398" s="122"/>
      <c r="CB398" s="122"/>
      <c r="CC398" s="122"/>
      <c r="CD398" s="122"/>
      <c r="CE398" s="122"/>
      <c r="CF398" s="122"/>
      <c r="CG398" s="122"/>
      <c r="CH398" s="122"/>
      <c r="CI398" s="122"/>
      <c r="CJ398" s="122"/>
      <c r="CK398" s="122"/>
      <c r="CL398" s="122"/>
      <c r="CM398" s="122"/>
      <c r="CN398" s="122"/>
      <c r="CO398" s="122"/>
      <c r="CP398" s="122"/>
      <c r="CQ398" s="122"/>
      <c r="CR398" s="122"/>
      <c r="CS398" s="122"/>
      <c r="CT398" s="122"/>
      <c r="CU398" s="122"/>
      <c r="CV398" s="122"/>
      <c r="CW398" s="122"/>
      <c r="CX398" s="122"/>
      <c r="CY398" s="122"/>
      <c r="CZ398" s="122"/>
      <c r="DA398" s="122"/>
      <c r="DB398" s="122"/>
      <c r="DC398" s="122"/>
      <c r="DD398" s="122"/>
      <c r="DE398" s="122"/>
      <c r="DF398" s="122"/>
      <c r="DG398" s="122"/>
      <c r="DH398" s="122"/>
      <c r="DI398" s="122"/>
      <c r="DJ398" s="122"/>
      <c r="DK398" s="122"/>
      <c r="DL398" s="122"/>
      <c r="DM398" s="122"/>
      <c r="DN398" s="122"/>
      <c r="DO398" s="122"/>
      <c r="DP398" s="122"/>
      <c r="DQ398" s="122"/>
      <c r="DR398" s="122"/>
      <c r="DS398" s="122"/>
      <c r="DT398" s="122"/>
      <c r="DU398" s="122"/>
      <c r="DV398" s="122"/>
      <c r="DW398" s="122"/>
      <c r="DX398" s="122"/>
      <c r="DY398" s="122"/>
      <c r="DZ398" s="122"/>
      <c r="EA398" s="122"/>
      <c r="EB398" s="122"/>
      <c r="EC398" s="122"/>
      <c r="ED398" s="122"/>
      <c r="EE398" s="122"/>
      <c r="EF398" s="122"/>
      <c r="EG398" s="122"/>
      <c r="EH398" s="122"/>
      <c r="EI398" s="122"/>
      <c r="EJ398" s="122"/>
      <c r="EK398" s="122"/>
      <c r="EL398" s="122"/>
      <c r="EM398" s="122"/>
      <c r="EN398" s="122"/>
      <c r="EO398" s="122"/>
      <c r="EP398" s="122"/>
      <c r="EQ398" s="122"/>
      <c r="ER398" s="122"/>
      <c r="ES398" s="122"/>
      <c r="ET398" s="122"/>
      <c r="EU398" s="122"/>
      <c r="EV398" s="122"/>
      <c r="EW398" s="122"/>
      <c r="EX398" s="122"/>
      <c r="EY398" s="122"/>
      <c r="EZ398" s="122"/>
      <c r="FA398" s="122"/>
      <c r="FB398" s="122"/>
      <c r="FC398" s="122"/>
      <c r="FD398" s="122"/>
      <c r="FE398" s="122"/>
      <c r="FF398" s="122"/>
      <c r="FG398" s="122"/>
      <c r="FH398" s="122"/>
      <c r="FI398" s="122"/>
      <c r="FJ398" s="122"/>
      <c r="FK398" s="122"/>
      <c r="FL398" s="122"/>
      <c r="FM398" s="122"/>
      <c r="FN398" s="122"/>
      <c r="FO398" s="122"/>
      <c r="FP398" s="122"/>
      <c r="FQ398" s="122"/>
      <c r="FR398" s="122"/>
      <c r="FS398" s="122"/>
      <c r="FT398" s="122"/>
      <c r="FU398" s="122"/>
      <c r="FV398" s="122"/>
      <c r="FW398" s="122"/>
      <c r="FX398" s="122"/>
      <c r="FY398" s="122"/>
      <c r="FZ398" s="122"/>
      <c r="GA398" s="122"/>
      <c r="GB398" s="122"/>
      <c r="GC398" s="122"/>
      <c r="GD398" s="122"/>
      <c r="GE398" s="122"/>
      <c r="GF398" s="122"/>
      <c r="GG398" s="122"/>
      <c r="GH398" s="122"/>
      <c r="GI398" s="122"/>
      <c r="GJ398" s="122"/>
      <c r="GK398" s="122"/>
      <c r="GL398" s="122"/>
      <c r="GM398" s="122"/>
      <c r="GN398" s="122"/>
      <c r="GO398" s="122"/>
      <c r="GP398" s="122"/>
      <c r="GQ398" s="122"/>
      <c r="GR398" s="122"/>
      <c r="GS398" s="122"/>
      <c r="GT398" s="122"/>
      <c r="GU398" s="122"/>
      <c r="GV398" s="122"/>
      <c r="GW398" s="122"/>
      <c r="GX398" s="122"/>
      <c r="GY398" s="122"/>
      <c r="GZ398" s="122"/>
      <c r="HA398" s="122"/>
      <c r="HB398" s="122"/>
      <c r="HC398" s="122"/>
      <c r="HD398" s="122"/>
      <c r="HE398" s="122"/>
      <c r="HF398" s="122"/>
      <c r="HG398" s="122"/>
      <c r="HH398" s="122"/>
      <c r="HI398" s="122"/>
      <c r="HJ398" s="122"/>
      <c r="HK398" s="122"/>
      <c r="HL398" s="122"/>
      <c r="HM398" s="122"/>
      <c r="HN398" s="122"/>
      <c r="HO398" s="122"/>
      <c r="HP398" s="122"/>
      <c r="HQ398" s="122"/>
      <c r="HR398" s="122"/>
      <c r="HS398" s="122"/>
      <c r="HT398" s="122"/>
      <c r="HU398" s="122"/>
      <c r="HV398" s="122"/>
      <c r="HW398" s="122"/>
      <c r="HX398" s="122"/>
      <c r="HY398" s="122"/>
      <c r="HZ398" s="122"/>
      <c r="IA398" s="122"/>
      <c r="IB398" s="122"/>
      <c r="IC398" s="122"/>
      <c r="ID398" s="122"/>
      <c r="IE398" s="122"/>
      <c r="IF398" s="122"/>
      <c r="IG398" s="122"/>
      <c r="IH398" s="122"/>
      <c r="II398" s="122"/>
      <c r="IJ398" s="122"/>
      <c r="IK398" s="122"/>
      <c r="IL398" s="122"/>
      <c r="IM398" s="122"/>
      <c r="IN398" s="122"/>
      <c r="IO398" s="122"/>
      <c r="IP398" s="122"/>
      <c r="IQ398" s="122"/>
      <c r="IR398" s="122"/>
      <c r="IS398" s="122"/>
      <c r="IT398" s="122"/>
      <c r="IU398" s="122"/>
      <c r="IV398" s="122"/>
      <c r="IW398" s="122"/>
      <c r="IX398" s="122"/>
      <c r="IY398" s="122"/>
      <c r="IZ398" s="122"/>
      <c r="JA398" s="122"/>
      <c r="JB398" s="122"/>
      <c r="JC398" s="122"/>
      <c r="JD398" s="122"/>
      <c r="JE398" s="122"/>
      <c r="JF398" s="122"/>
      <c r="JG398" s="122"/>
      <c r="JH398" s="122"/>
      <c r="JI398" s="119"/>
      <c r="JJ398" s="2"/>
      <c r="JK398" s="122"/>
      <c r="JL398" s="125"/>
      <c r="JM398" s="125"/>
      <c r="JN398" s="125"/>
      <c r="JO398" s="125"/>
      <c r="JP398" s="125"/>
    </row>
    <row r="399" spans="1:276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22"/>
      <c r="AM399" s="122"/>
      <c r="AN399" s="122"/>
      <c r="AO399" s="122"/>
      <c r="AP399" s="122"/>
      <c r="AQ399" s="122"/>
      <c r="AR399" s="122"/>
      <c r="AS399" s="122"/>
      <c r="AT399" s="122"/>
      <c r="AU399" s="122"/>
      <c r="AV399" s="122"/>
      <c r="AW399" s="122"/>
      <c r="AX399" s="122"/>
      <c r="AY399" s="122"/>
      <c r="AZ399" s="122"/>
      <c r="BA399" s="122"/>
      <c r="BB399" s="122"/>
      <c r="BC399" s="122"/>
      <c r="BD399" s="122"/>
      <c r="BE399" s="122"/>
      <c r="BF399" s="122"/>
      <c r="BG399" s="122"/>
      <c r="BH399" s="122"/>
      <c r="BI399" s="122"/>
      <c r="BJ399" s="122"/>
      <c r="BK399" s="122"/>
      <c r="BL399" s="122"/>
      <c r="BM399" s="122"/>
      <c r="BN399" s="122"/>
      <c r="BO399" s="122"/>
      <c r="BP399" s="122"/>
      <c r="BQ399" s="122"/>
      <c r="BR399" s="122"/>
      <c r="BS399" s="122"/>
      <c r="BT399" s="122"/>
      <c r="BU399" s="122"/>
      <c r="BV399" s="122"/>
      <c r="BW399" s="122"/>
      <c r="BX399" s="122"/>
      <c r="BY399" s="122"/>
      <c r="BZ399" s="122"/>
      <c r="CA399" s="122"/>
      <c r="CB399" s="122"/>
      <c r="CC399" s="122"/>
      <c r="CD399" s="122"/>
      <c r="CE399" s="122"/>
      <c r="CF399" s="122"/>
      <c r="CG399" s="122"/>
      <c r="CH399" s="122"/>
      <c r="CI399" s="122"/>
      <c r="CJ399" s="122"/>
      <c r="CK399" s="122"/>
      <c r="CL399" s="122"/>
      <c r="CM399" s="122"/>
      <c r="CN399" s="122"/>
      <c r="CO399" s="122"/>
      <c r="CP399" s="122"/>
      <c r="CQ399" s="122"/>
      <c r="CR399" s="122"/>
      <c r="CS399" s="122"/>
      <c r="CT399" s="122"/>
      <c r="CU399" s="122"/>
      <c r="CV399" s="122"/>
      <c r="CW399" s="122"/>
      <c r="CX399" s="122"/>
      <c r="CY399" s="122"/>
      <c r="CZ399" s="122"/>
      <c r="DA399" s="122"/>
      <c r="DB399" s="122"/>
      <c r="DC399" s="122"/>
      <c r="DD399" s="122"/>
      <c r="DE399" s="122"/>
      <c r="DF399" s="122"/>
      <c r="DG399" s="122"/>
      <c r="DH399" s="122"/>
      <c r="DI399" s="122"/>
      <c r="DJ399" s="122"/>
      <c r="DK399" s="122"/>
      <c r="DL399" s="122"/>
      <c r="DM399" s="122"/>
      <c r="DN399" s="122"/>
      <c r="DO399" s="122"/>
      <c r="DP399" s="122"/>
      <c r="DQ399" s="122"/>
      <c r="DR399" s="122"/>
      <c r="DS399" s="122"/>
      <c r="DT399" s="122"/>
      <c r="DU399" s="122"/>
      <c r="DV399" s="122"/>
      <c r="DW399" s="122"/>
      <c r="DX399" s="122"/>
      <c r="DY399" s="122"/>
      <c r="DZ399" s="122"/>
      <c r="EA399" s="122"/>
      <c r="EB399" s="122"/>
      <c r="EC399" s="122"/>
      <c r="ED399" s="122"/>
      <c r="EE399" s="122"/>
      <c r="EF399" s="122"/>
      <c r="EG399" s="122"/>
      <c r="EH399" s="122"/>
      <c r="EI399" s="122"/>
      <c r="EJ399" s="122"/>
      <c r="EK399" s="122"/>
      <c r="EL399" s="122"/>
      <c r="EM399" s="122"/>
      <c r="EN399" s="122"/>
      <c r="EO399" s="122"/>
      <c r="EP399" s="122"/>
      <c r="EQ399" s="122"/>
      <c r="ER399" s="122"/>
      <c r="ES399" s="122"/>
      <c r="ET399" s="122"/>
      <c r="EU399" s="122"/>
      <c r="EV399" s="122"/>
      <c r="EW399" s="122"/>
      <c r="EX399" s="122"/>
      <c r="EY399" s="122"/>
      <c r="EZ399" s="122"/>
      <c r="FA399" s="122"/>
      <c r="FB399" s="122"/>
      <c r="FC399" s="122"/>
      <c r="FD399" s="122"/>
      <c r="FE399" s="122"/>
      <c r="FF399" s="122"/>
      <c r="FG399" s="122"/>
      <c r="FH399" s="122"/>
      <c r="FI399" s="122"/>
      <c r="FJ399" s="122"/>
      <c r="FK399" s="122"/>
      <c r="FL399" s="122"/>
      <c r="FM399" s="122"/>
      <c r="FN399" s="122"/>
      <c r="FO399" s="122"/>
      <c r="FP399" s="122"/>
      <c r="FQ399" s="122"/>
      <c r="FR399" s="122"/>
      <c r="FS399" s="122"/>
      <c r="FT399" s="122"/>
      <c r="FU399" s="122"/>
      <c r="FV399" s="122"/>
      <c r="FW399" s="122"/>
      <c r="FX399" s="122"/>
      <c r="FY399" s="122"/>
      <c r="FZ399" s="122"/>
      <c r="GA399" s="122"/>
      <c r="GB399" s="122"/>
      <c r="GC399" s="122"/>
      <c r="GD399" s="122"/>
      <c r="GE399" s="122"/>
      <c r="GF399" s="122"/>
      <c r="GG399" s="122"/>
      <c r="GH399" s="122"/>
      <c r="GI399" s="122"/>
      <c r="GJ399" s="122"/>
      <c r="GK399" s="122"/>
      <c r="GL399" s="122"/>
      <c r="GM399" s="122"/>
      <c r="GN399" s="122"/>
      <c r="GO399" s="122"/>
      <c r="GP399" s="122"/>
      <c r="GQ399" s="122"/>
      <c r="GR399" s="122"/>
      <c r="GS399" s="122"/>
      <c r="GT399" s="122"/>
      <c r="GU399" s="122"/>
      <c r="GV399" s="122"/>
      <c r="GW399" s="122"/>
      <c r="GX399" s="122"/>
      <c r="GY399" s="122"/>
      <c r="GZ399" s="122"/>
      <c r="HA399" s="122"/>
      <c r="HB399" s="122"/>
      <c r="HC399" s="122"/>
      <c r="HD399" s="122"/>
      <c r="HE399" s="122"/>
      <c r="HF399" s="122"/>
      <c r="HG399" s="122"/>
      <c r="HH399" s="122"/>
      <c r="HI399" s="122"/>
      <c r="HJ399" s="122"/>
      <c r="HK399" s="122"/>
      <c r="HL399" s="122"/>
      <c r="HM399" s="122"/>
      <c r="HN399" s="122"/>
      <c r="HO399" s="122"/>
      <c r="HP399" s="122"/>
      <c r="HQ399" s="122"/>
      <c r="HR399" s="122"/>
      <c r="HS399" s="122"/>
      <c r="HT399" s="122"/>
      <c r="HU399" s="122"/>
      <c r="HV399" s="122"/>
      <c r="HW399" s="122"/>
      <c r="HX399" s="122"/>
      <c r="HY399" s="122"/>
      <c r="HZ399" s="122"/>
      <c r="IA399" s="122"/>
      <c r="IB399" s="122"/>
      <c r="IC399" s="122"/>
      <c r="ID399" s="122"/>
      <c r="IE399" s="122"/>
      <c r="IF399" s="122"/>
      <c r="IG399" s="122"/>
      <c r="IH399" s="122"/>
      <c r="II399" s="122"/>
      <c r="IJ399" s="122"/>
      <c r="IK399" s="122"/>
      <c r="IL399" s="122"/>
      <c r="IM399" s="122"/>
      <c r="IN399" s="122"/>
      <c r="IO399" s="122"/>
      <c r="IP399" s="122"/>
      <c r="IQ399" s="122"/>
      <c r="IR399" s="122"/>
      <c r="IS399" s="122"/>
      <c r="IT399" s="122"/>
      <c r="IU399" s="122"/>
      <c r="IV399" s="122"/>
      <c r="IW399" s="122"/>
      <c r="IX399" s="122"/>
      <c r="IY399" s="122"/>
      <c r="IZ399" s="122"/>
      <c r="JA399" s="122"/>
      <c r="JB399" s="122"/>
      <c r="JC399" s="122"/>
      <c r="JD399" s="122"/>
      <c r="JE399" s="122"/>
      <c r="JF399" s="122"/>
      <c r="JG399" s="122"/>
      <c r="JH399" s="122"/>
      <c r="JI399" s="119"/>
      <c r="JJ399" s="2"/>
      <c r="JK399" s="122"/>
      <c r="JL399" s="125"/>
      <c r="JM399" s="125"/>
      <c r="JN399" s="125"/>
      <c r="JO399" s="125"/>
      <c r="JP399" s="125"/>
    </row>
    <row r="400" spans="1:276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  <c r="AI400" s="122"/>
      <c r="AJ400" s="122"/>
      <c r="AK400" s="122"/>
      <c r="AL400" s="122"/>
      <c r="AM400" s="122"/>
      <c r="AN400" s="122"/>
      <c r="AO400" s="122"/>
      <c r="AP400" s="122"/>
      <c r="AQ400" s="122"/>
      <c r="AR400" s="122"/>
      <c r="AS400" s="122"/>
      <c r="AT400" s="122"/>
      <c r="AU400" s="122"/>
      <c r="AV400" s="122"/>
      <c r="AW400" s="122"/>
      <c r="AX400" s="122"/>
      <c r="AY400" s="122"/>
      <c r="AZ400" s="122"/>
      <c r="BA400" s="122"/>
      <c r="BB400" s="122"/>
      <c r="BC400" s="122"/>
      <c r="BD400" s="122"/>
      <c r="BE400" s="122"/>
      <c r="BF400" s="122"/>
      <c r="BG400" s="122"/>
      <c r="BH400" s="122"/>
      <c r="BI400" s="122"/>
      <c r="BJ400" s="122"/>
      <c r="BK400" s="122"/>
      <c r="BL400" s="122"/>
      <c r="BM400" s="122"/>
      <c r="BN400" s="122"/>
      <c r="BO400" s="122"/>
      <c r="BP400" s="122"/>
      <c r="BQ400" s="122"/>
      <c r="BR400" s="122"/>
      <c r="BS400" s="122"/>
      <c r="BT400" s="122"/>
      <c r="BU400" s="122"/>
      <c r="BV400" s="122"/>
      <c r="BW400" s="122"/>
      <c r="BX400" s="122"/>
      <c r="BY400" s="122"/>
      <c r="BZ400" s="122"/>
      <c r="CA400" s="122"/>
      <c r="CB400" s="122"/>
      <c r="CC400" s="122"/>
      <c r="CD400" s="122"/>
      <c r="CE400" s="122"/>
      <c r="CF400" s="122"/>
      <c r="CG400" s="122"/>
      <c r="CH400" s="122"/>
      <c r="CI400" s="122"/>
      <c r="CJ400" s="122"/>
      <c r="CK400" s="122"/>
      <c r="CL400" s="122"/>
      <c r="CM400" s="122"/>
      <c r="CN400" s="122"/>
      <c r="CO400" s="122"/>
      <c r="CP400" s="122"/>
      <c r="CQ400" s="122"/>
      <c r="CR400" s="122"/>
      <c r="CS400" s="122"/>
      <c r="CT400" s="122"/>
      <c r="CU400" s="122"/>
      <c r="CV400" s="122"/>
      <c r="CW400" s="122"/>
      <c r="CX400" s="122"/>
      <c r="CY400" s="122"/>
      <c r="CZ400" s="122"/>
      <c r="DA400" s="122"/>
      <c r="DB400" s="122"/>
      <c r="DC400" s="122"/>
      <c r="DD400" s="122"/>
      <c r="DE400" s="122"/>
      <c r="DF400" s="122"/>
      <c r="DG400" s="122"/>
      <c r="DH400" s="122"/>
      <c r="DI400" s="122"/>
      <c r="DJ400" s="122"/>
      <c r="DK400" s="122"/>
      <c r="DL400" s="122"/>
      <c r="DM400" s="122"/>
      <c r="DN400" s="122"/>
      <c r="DO400" s="122"/>
      <c r="DP400" s="122"/>
      <c r="DQ400" s="122"/>
      <c r="DR400" s="122"/>
      <c r="DS400" s="122"/>
      <c r="DT400" s="122"/>
      <c r="DU400" s="122"/>
      <c r="DV400" s="122"/>
      <c r="DW400" s="122"/>
      <c r="DX400" s="122"/>
      <c r="DY400" s="122"/>
      <c r="DZ400" s="122"/>
      <c r="EA400" s="122"/>
      <c r="EB400" s="122"/>
      <c r="EC400" s="122"/>
      <c r="ED400" s="122"/>
      <c r="EE400" s="122"/>
      <c r="EF400" s="122"/>
      <c r="EG400" s="122"/>
      <c r="EH400" s="122"/>
      <c r="EI400" s="122"/>
      <c r="EJ400" s="122"/>
      <c r="EK400" s="122"/>
      <c r="EL400" s="122"/>
      <c r="EM400" s="122"/>
      <c r="EN400" s="122"/>
      <c r="EO400" s="122"/>
      <c r="EP400" s="122"/>
      <c r="EQ400" s="122"/>
      <c r="ER400" s="122"/>
      <c r="ES400" s="122"/>
      <c r="ET400" s="122"/>
      <c r="EU400" s="122"/>
      <c r="EV400" s="122"/>
      <c r="EW400" s="122"/>
      <c r="EX400" s="122"/>
      <c r="EY400" s="122"/>
      <c r="EZ400" s="122"/>
      <c r="FA400" s="122"/>
      <c r="FB400" s="122"/>
      <c r="FC400" s="122"/>
      <c r="FD400" s="122"/>
      <c r="FE400" s="122"/>
      <c r="FF400" s="122"/>
      <c r="FG400" s="122"/>
      <c r="FH400" s="122"/>
      <c r="FI400" s="122"/>
      <c r="FJ400" s="122"/>
      <c r="FK400" s="122"/>
      <c r="FL400" s="122"/>
      <c r="FM400" s="122"/>
      <c r="FN400" s="122"/>
      <c r="FO400" s="122"/>
      <c r="FP400" s="122"/>
      <c r="FQ400" s="122"/>
      <c r="FR400" s="122"/>
      <c r="FS400" s="122"/>
      <c r="FT400" s="122"/>
      <c r="FU400" s="122"/>
      <c r="FV400" s="122"/>
      <c r="FW400" s="122"/>
      <c r="FX400" s="122"/>
      <c r="FY400" s="122"/>
      <c r="FZ400" s="122"/>
      <c r="GA400" s="122"/>
      <c r="GB400" s="122"/>
      <c r="GC400" s="122"/>
      <c r="GD400" s="122"/>
      <c r="GE400" s="122"/>
      <c r="GF400" s="122"/>
      <c r="GG400" s="122"/>
      <c r="GH400" s="122"/>
      <c r="GI400" s="122"/>
      <c r="GJ400" s="122"/>
      <c r="GK400" s="122"/>
      <c r="GL400" s="122"/>
      <c r="GM400" s="122"/>
      <c r="GN400" s="122"/>
      <c r="GO400" s="122"/>
      <c r="GP400" s="122"/>
      <c r="GQ400" s="122"/>
      <c r="GR400" s="122"/>
      <c r="GS400" s="122"/>
      <c r="GT400" s="122"/>
      <c r="GU400" s="122"/>
      <c r="GV400" s="122"/>
      <c r="GW400" s="122"/>
      <c r="GX400" s="122"/>
      <c r="GY400" s="122"/>
      <c r="GZ400" s="122"/>
      <c r="HA400" s="122"/>
      <c r="HB400" s="122"/>
      <c r="HC400" s="122"/>
      <c r="HD400" s="122"/>
      <c r="HE400" s="122"/>
      <c r="HF400" s="122"/>
      <c r="HG400" s="122"/>
      <c r="HH400" s="122"/>
      <c r="HI400" s="122"/>
      <c r="HJ400" s="122"/>
      <c r="HK400" s="122"/>
      <c r="HL400" s="122"/>
      <c r="HM400" s="122"/>
      <c r="HN400" s="122"/>
      <c r="HO400" s="122"/>
      <c r="HP400" s="122"/>
      <c r="HQ400" s="122"/>
      <c r="HR400" s="122"/>
      <c r="HS400" s="122"/>
      <c r="HT400" s="122"/>
      <c r="HU400" s="122"/>
      <c r="HV400" s="122"/>
      <c r="HW400" s="122"/>
      <c r="HX400" s="122"/>
      <c r="HY400" s="122"/>
      <c r="HZ400" s="122"/>
      <c r="IA400" s="122"/>
      <c r="IB400" s="122"/>
      <c r="IC400" s="122"/>
      <c r="ID400" s="122"/>
      <c r="IE400" s="122"/>
      <c r="IF400" s="122"/>
      <c r="IG400" s="122"/>
      <c r="IH400" s="122"/>
      <c r="II400" s="122"/>
      <c r="IJ400" s="122"/>
      <c r="IK400" s="122"/>
      <c r="IL400" s="122"/>
      <c r="IM400" s="122"/>
      <c r="IN400" s="122"/>
      <c r="IO400" s="122"/>
      <c r="IP400" s="122"/>
      <c r="IQ400" s="122"/>
      <c r="IR400" s="122"/>
      <c r="IS400" s="122"/>
      <c r="IT400" s="122"/>
      <c r="IU400" s="122"/>
      <c r="IV400" s="122"/>
      <c r="IW400" s="122"/>
      <c r="IX400" s="122"/>
      <c r="IY400" s="122"/>
      <c r="IZ400" s="122"/>
      <c r="JA400" s="122"/>
      <c r="JB400" s="122"/>
      <c r="JC400" s="122"/>
      <c r="JD400" s="122"/>
      <c r="JE400" s="122"/>
      <c r="JF400" s="122"/>
      <c r="JG400" s="122"/>
      <c r="JH400" s="122"/>
      <c r="JI400" s="119"/>
      <c r="JJ400" s="2"/>
      <c r="JK400" s="122"/>
      <c r="JL400" s="125"/>
      <c r="JM400" s="125"/>
      <c r="JN400" s="125"/>
      <c r="JO400" s="125"/>
      <c r="JP400" s="125"/>
    </row>
    <row r="401" spans="1:276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  <c r="AK401" s="122"/>
      <c r="AL401" s="122"/>
      <c r="AM401" s="122"/>
      <c r="AN401" s="122"/>
      <c r="AO401" s="122"/>
      <c r="AP401" s="122"/>
      <c r="AQ401" s="122"/>
      <c r="AR401" s="122"/>
      <c r="AS401" s="122"/>
      <c r="AT401" s="122"/>
      <c r="AU401" s="122"/>
      <c r="AV401" s="122"/>
      <c r="AW401" s="122"/>
      <c r="AX401" s="122"/>
      <c r="AY401" s="122"/>
      <c r="AZ401" s="122"/>
      <c r="BA401" s="122"/>
      <c r="BB401" s="122"/>
      <c r="BC401" s="122"/>
      <c r="BD401" s="122"/>
      <c r="BE401" s="122"/>
      <c r="BF401" s="122"/>
      <c r="BG401" s="122"/>
      <c r="BH401" s="122"/>
      <c r="BI401" s="122"/>
      <c r="BJ401" s="122"/>
      <c r="BK401" s="122"/>
      <c r="BL401" s="122"/>
      <c r="BM401" s="122"/>
      <c r="BN401" s="122"/>
      <c r="BO401" s="122"/>
      <c r="BP401" s="122"/>
      <c r="BQ401" s="122"/>
      <c r="BR401" s="122"/>
      <c r="BS401" s="122"/>
      <c r="BT401" s="122"/>
      <c r="BU401" s="122"/>
      <c r="BV401" s="122"/>
      <c r="BW401" s="122"/>
      <c r="BX401" s="122"/>
      <c r="BY401" s="122"/>
      <c r="BZ401" s="122"/>
      <c r="CA401" s="122"/>
      <c r="CB401" s="122"/>
      <c r="CC401" s="122"/>
      <c r="CD401" s="122"/>
      <c r="CE401" s="122"/>
      <c r="CF401" s="122"/>
      <c r="CG401" s="122"/>
      <c r="CH401" s="122"/>
      <c r="CI401" s="122"/>
      <c r="CJ401" s="122"/>
      <c r="CK401" s="122"/>
      <c r="CL401" s="122"/>
      <c r="CM401" s="122"/>
      <c r="CN401" s="122"/>
      <c r="CO401" s="122"/>
      <c r="CP401" s="122"/>
      <c r="CQ401" s="122"/>
      <c r="CR401" s="122"/>
      <c r="CS401" s="122"/>
      <c r="CT401" s="122"/>
      <c r="CU401" s="122"/>
      <c r="CV401" s="122"/>
      <c r="CW401" s="122"/>
      <c r="CX401" s="122"/>
      <c r="CY401" s="122"/>
      <c r="CZ401" s="122"/>
      <c r="DA401" s="122"/>
      <c r="DB401" s="122"/>
      <c r="DC401" s="122"/>
      <c r="DD401" s="122"/>
      <c r="DE401" s="122"/>
      <c r="DF401" s="122"/>
      <c r="DG401" s="122"/>
      <c r="DH401" s="122"/>
      <c r="DI401" s="122"/>
      <c r="DJ401" s="122"/>
      <c r="DK401" s="122"/>
      <c r="DL401" s="122"/>
      <c r="DM401" s="122"/>
      <c r="DN401" s="122"/>
      <c r="DO401" s="122"/>
      <c r="DP401" s="122"/>
      <c r="DQ401" s="122"/>
      <c r="DR401" s="122"/>
      <c r="DS401" s="122"/>
      <c r="DT401" s="122"/>
      <c r="DU401" s="122"/>
      <c r="DV401" s="122"/>
      <c r="DW401" s="122"/>
      <c r="DX401" s="122"/>
      <c r="DY401" s="122"/>
      <c r="DZ401" s="122"/>
      <c r="EA401" s="122"/>
      <c r="EB401" s="122"/>
      <c r="EC401" s="122"/>
      <c r="ED401" s="122"/>
      <c r="EE401" s="122"/>
      <c r="EF401" s="122"/>
      <c r="EG401" s="122"/>
      <c r="EH401" s="122"/>
      <c r="EI401" s="122"/>
      <c r="EJ401" s="122"/>
      <c r="EK401" s="122"/>
      <c r="EL401" s="122"/>
      <c r="EM401" s="122"/>
      <c r="EN401" s="122"/>
      <c r="EO401" s="122"/>
      <c r="EP401" s="122"/>
      <c r="EQ401" s="122"/>
      <c r="ER401" s="122"/>
      <c r="ES401" s="122"/>
      <c r="ET401" s="122"/>
      <c r="EU401" s="122"/>
      <c r="EV401" s="122"/>
      <c r="EW401" s="122"/>
      <c r="EX401" s="122"/>
      <c r="EY401" s="122"/>
      <c r="EZ401" s="122"/>
      <c r="FA401" s="122"/>
      <c r="FB401" s="122"/>
      <c r="FC401" s="122"/>
      <c r="FD401" s="122"/>
      <c r="FE401" s="122"/>
      <c r="FF401" s="122"/>
      <c r="FG401" s="122"/>
      <c r="FH401" s="122"/>
      <c r="FI401" s="122"/>
      <c r="FJ401" s="122"/>
      <c r="FK401" s="122"/>
      <c r="FL401" s="122"/>
      <c r="FM401" s="122"/>
      <c r="FN401" s="122"/>
      <c r="FO401" s="122"/>
      <c r="FP401" s="122"/>
      <c r="FQ401" s="122"/>
      <c r="FR401" s="122"/>
      <c r="FS401" s="122"/>
      <c r="FT401" s="122"/>
      <c r="FU401" s="122"/>
      <c r="FV401" s="122"/>
      <c r="FW401" s="122"/>
      <c r="FX401" s="122"/>
      <c r="FY401" s="122"/>
      <c r="FZ401" s="122"/>
      <c r="GA401" s="122"/>
      <c r="GB401" s="122"/>
      <c r="GC401" s="122"/>
      <c r="GD401" s="122"/>
      <c r="GE401" s="122"/>
      <c r="GF401" s="122"/>
      <c r="GG401" s="122"/>
      <c r="GH401" s="122"/>
      <c r="GI401" s="122"/>
      <c r="GJ401" s="122"/>
      <c r="GK401" s="122"/>
      <c r="GL401" s="122"/>
      <c r="GM401" s="122"/>
      <c r="GN401" s="122"/>
      <c r="GO401" s="122"/>
      <c r="GP401" s="122"/>
      <c r="GQ401" s="122"/>
      <c r="GR401" s="122"/>
      <c r="GS401" s="122"/>
      <c r="GT401" s="122"/>
      <c r="GU401" s="122"/>
      <c r="GV401" s="122"/>
      <c r="GW401" s="122"/>
      <c r="GX401" s="122"/>
      <c r="GY401" s="122"/>
      <c r="GZ401" s="122"/>
      <c r="HA401" s="122"/>
      <c r="HB401" s="122"/>
      <c r="HC401" s="122"/>
      <c r="HD401" s="122"/>
      <c r="HE401" s="122"/>
      <c r="HF401" s="122"/>
      <c r="HG401" s="122"/>
      <c r="HH401" s="122"/>
      <c r="HI401" s="122"/>
      <c r="HJ401" s="122"/>
      <c r="HK401" s="122"/>
      <c r="HL401" s="122"/>
      <c r="HM401" s="122"/>
      <c r="HN401" s="122"/>
      <c r="HO401" s="122"/>
      <c r="HP401" s="122"/>
      <c r="HQ401" s="122"/>
      <c r="HR401" s="122"/>
      <c r="HS401" s="122"/>
      <c r="HT401" s="122"/>
      <c r="HU401" s="122"/>
      <c r="HV401" s="122"/>
      <c r="HW401" s="122"/>
      <c r="HX401" s="122"/>
      <c r="HY401" s="122"/>
      <c r="HZ401" s="122"/>
      <c r="IA401" s="122"/>
      <c r="IB401" s="122"/>
      <c r="IC401" s="122"/>
      <c r="ID401" s="122"/>
      <c r="IE401" s="122"/>
      <c r="IF401" s="122"/>
      <c r="IG401" s="122"/>
      <c r="IH401" s="122"/>
      <c r="II401" s="122"/>
      <c r="IJ401" s="122"/>
      <c r="IK401" s="122"/>
      <c r="IL401" s="122"/>
      <c r="IM401" s="122"/>
      <c r="IN401" s="122"/>
      <c r="IO401" s="122"/>
      <c r="IP401" s="122"/>
      <c r="IQ401" s="122"/>
      <c r="IR401" s="122"/>
      <c r="IS401" s="122"/>
      <c r="IT401" s="122"/>
      <c r="IU401" s="122"/>
      <c r="IV401" s="122"/>
      <c r="IW401" s="122"/>
      <c r="IX401" s="122"/>
      <c r="IY401" s="122"/>
      <c r="IZ401" s="122"/>
      <c r="JA401" s="122"/>
      <c r="JB401" s="122"/>
      <c r="JC401" s="122"/>
      <c r="JD401" s="122"/>
      <c r="JE401" s="122"/>
      <c r="JF401" s="122"/>
      <c r="JG401" s="122"/>
      <c r="JH401" s="122"/>
      <c r="JI401" s="119"/>
      <c r="JJ401" s="2"/>
      <c r="JK401" s="122"/>
      <c r="JL401" s="125"/>
      <c r="JM401" s="125"/>
      <c r="JN401" s="125"/>
      <c r="JO401" s="125"/>
      <c r="JP401" s="125"/>
    </row>
    <row r="402" spans="1:276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  <c r="AI402" s="122"/>
      <c r="AJ402" s="122"/>
      <c r="AK402" s="122"/>
      <c r="AL402" s="122"/>
      <c r="AM402" s="122"/>
      <c r="AN402" s="122"/>
      <c r="AO402" s="122"/>
      <c r="AP402" s="122"/>
      <c r="AQ402" s="122"/>
      <c r="AR402" s="122"/>
      <c r="AS402" s="122"/>
      <c r="AT402" s="122"/>
      <c r="AU402" s="122"/>
      <c r="AV402" s="122"/>
      <c r="AW402" s="122"/>
      <c r="AX402" s="122"/>
      <c r="AY402" s="122"/>
      <c r="AZ402" s="122"/>
      <c r="BA402" s="122"/>
      <c r="BB402" s="122"/>
      <c r="BC402" s="122"/>
      <c r="BD402" s="122"/>
      <c r="BE402" s="122"/>
      <c r="BF402" s="122"/>
      <c r="BG402" s="122"/>
      <c r="BH402" s="122"/>
      <c r="BI402" s="122"/>
      <c r="BJ402" s="122"/>
      <c r="BK402" s="122"/>
      <c r="BL402" s="122"/>
      <c r="BM402" s="122"/>
      <c r="BN402" s="122"/>
      <c r="BO402" s="122"/>
      <c r="BP402" s="122"/>
      <c r="BQ402" s="122"/>
      <c r="BR402" s="122"/>
      <c r="BS402" s="122"/>
      <c r="BT402" s="122"/>
      <c r="BU402" s="122"/>
      <c r="BV402" s="122"/>
      <c r="BW402" s="122"/>
      <c r="BX402" s="122"/>
      <c r="BY402" s="122"/>
      <c r="BZ402" s="122"/>
      <c r="CA402" s="122"/>
      <c r="CB402" s="122"/>
      <c r="CC402" s="122"/>
      <c r="CD402" s="122"/>
      <c r="CE402" s="122"/>
      <c r="CF402" s="122"/>
      <c r="CG402" s="122"/>
      <c r="CH402" s="122"/>
      <c r="CI402" s="122"/>
      <c r="CJ402" s="122"/>
      <c r="CK402" s="122"/>
      <c r="CL402" s="122"/>
      <c r="CM402" s="122"/>
      <c r="CN402" s="122"/>
      <c r="CO402" s="122"/>
      <c r="CP402" s="122"/>
      <c r="CQ402" s="122"/>
      <c r="CR402" s="122"/>
      <c r="CS402" s="122"/>
      <c r="CT402" s="122"/>
      <c r="CU402" s="122"/>
      <c r="CV402" s="122"/>
      <c r="CW402" s="122"/>
      <c r="CX402" s="122"/>
      <c r="CY402" s="122"/>
      <c r="CZ402" s="122"/>
      <c r="DA402" s="122"/>
      <c r="DB402" s="122"/>
      <c r="DC402" s="122"/>
      <c r="DD402" s="122"/>
      <c r="DE402" s="122"/>
      <c r="DF402" s="122"/>
      <c r="DG402" s="122"/>
      <c r="DH402" s="122"/>
      <c r="DI402" s="122"/>
      <c r="DJ402" s="122"/>
      <c r="DK402" s="122"/>
      <c r="DL402" s="122"/>
      <c r="DM402" s="122"/>
      <c r="DN402" s="122"/>
      <c r="DO402" s="122"/>
      <c r="DP402" s="122"/>
      <c r="DQ402" s="122"/>
      <c r="DR402" s="122"/>
      <c r="DS402" s="122"/>
      <c r="DT402" s="122"/>
      <c r="DU402" s="122"/>
      <c r="DV402" s="122"/>
      <c r="DW402" s="122"/>
      <c r="DX402" s="122"/>
      <c r="DY402" s="122"/>
      <c r="DZ402" s="122"/>
      <c r="EA402" s="122"/>
      <c r="EB402" s="122"/>
      <c r="EC402" s="122"/>
      <c r="ED402" s="122"/>
      <c r="EE402" s="122"/>
      <c r="EF402" s="122"/>
      <c r="EG402" s="122"/>
      <c r="EH402" s="122"/>
      <c r="EI402" s="122"/>
      <c r="EJ402" s="122"/>
      <c r="EK402" s="122"/>
      <c r="EL402" s="122"/>
      <c r="EM402" s="122"/>
      <c r="EN402" s="122"/>
      <c r="EO402" s="122"/>
      <c r="EP402" s="122"/>
      <c r="EQ402" s="122"/>
      <c r="ER402" s="122"/>
      <c r="ES402" s="122"/>
      <c r="ET402" s="122"/>
      <c r="EU402" s="122"/>
      <c r="EV402" s="122"/>
      <c r="EW402" s="122"/>
      <c r="EX402" s="122"/>
      <c r="EY402" s="122"/>
      <c r="EZ402" s="122"/>
      <c r="FA402" s="122"/>
      <c r="FB402" s="122"/>
      <c r="FC402" s="122"/>
      <c r="FD402" s="122"/>
      <c r="FE402" s="122"/>
      <c r="FF402" s="122"/>
      <c r="FG402" s="122"/>
      <c r="FH402" s="122"/>
      <c r="FI402" s="122"/>
      <c r="FJ402" s="122"/>
      <c r="FK402" s="122"/>
      <c r="FL402" s="122"/>
      <c r="FM402" s="122"/>
      <c r="FN402" s="122"/>
      <c r="FO402" s="122"/>
      <c r="FP402" s="122"/>
      <c r="FQ402" s="122"/>
      <c r="FR402" s="122"/>
      <c r="FS402" s="122"/>
      <c r="FT402" s="122"/>
      <c r="FU402" s="122"/>
      <c r="FV402" s="122"/>
      <c r="FW402" s="122"/>
      <c r="FX402" s="122"/>
      <c r="FY402" s="122"/>
      <c r="FZ402" s="122"/>
      <c r="GA402" s="122"/>
      <c r="GB402" s="122"/>
      <c r="GC402" s="122"/>
      <c r="GD402" s="122"/>
      <c r="GE402" s="122"/>
      <c r="GF402" s="122"/>
      <c r="GG402" s="122"/>
      <c r="GH402" s="122"/>
      <c r="GI402" s="122"/>
      <c r="GJ402" s="122"/>
      <c r="GK402" s="122"/>
      <c r="GL402" s="122"/>
      <c r="GM402" s="122"/>
      <c r="GN402" s="122"/>
      <c r="GO402" s="122"/>
      <c r="GP402" s="122"/>
      <c r="GQ402" s="122"/>
      <c r="GR402" s="122"/>
      <c r="GS402" s="122"/>
      <c r="GT402" s="122"/>
      <c r="GU402" s="122"/>
      <c r="GV402" s="122"/>
      <c r="GW402" s="122"/>
      <c r="GX402" s="122"/>
      <c r="GY402" s="122"/>
      <c r="GZ402" s="122"/>
      <c r="HA402" s="122"/>
      <c r="HB402" s="122"/>
      <c r="HC402" s="122"/>
      <c r="HD402" s="122"/>
      <c r="HE402" s="122"/>
      <c r="HF402" s="122"/>
      <c r="HG402" s="122"/>
      <c r="HH402" s="122"/>
      <c r="HI402" s="122"/>
      <c r="HJ402" s="122"/>
      <c r="HK402" s="122"/>
      <c r="HL402" s="122"/>
      <c r="HM402" s="122"/>
      <c r="HN402" s="122"/>
      <c r="HO402" s="122"/>
      <c r="HP402" s="122"/>
      <c r="HQ402" s="122"/>
      <c r="HR402" s="122"/>
      <c r="HS402" s="122"/>
      <c r="HT402" s="122"/>
      <c r="HU402" s="122"/>
      <c r="HV402" s="122"/>
      <c r="HW402" s="122"/>
      <c r="HX402" s="122"/>
      <c r="HY402" s="122"/>
      <c r="HZ402" s="122"/>
      <c r="IA402" s="122"/>
      <c r="IB402" s="122"/>
      <c r="IC402" s="122"/>
      <c r="ID402" s="122"/>
      <c r="IE402" s="122"/>
      <c r="IF402" s="122"/>
      <c r="IG402" s="122"/>
      <c r="IH402" s="122"/>
      <c r="II402" s="122"/>
      <c r="IJ402" s="122"/>
      <c r="IK402" s="122"/>
      <c r="IL402" s="122"/>
      <c r="IM402" s="122"/>
      <c r="IN402" s="122"/>
      <c r="IO402" s="122"/>
      <c r="IP402" s="122"/>
      <c r="IQ402" s="122"/>
      <c r="IR402" s="122"/>
      <c r="IS402" s="122"/>
      <c r="IT402" s="122"/>
      <c r="IU402" s="122"/>
      <c r="IV402" s="122"/>
      <c r="IW402" s="122"/>
      <c r="IX402" s="122"/>
      <c r="IY402" s="122"/>
      <c r="IZ402" s="122"/>
      <c r="JA402" s="122"/>
      <c r="JB402" s="122"/>
      <c r="JC402" s="122"/>
      <c r="JD402" s="122"/>
      <c r="JE402" s="122"/>
      <c r="JF402" s="122"/>
      <c r="JG402" s="122"/>
      <c r="JH402" s="122"/>
      <c r="JI402" s="119"/>
      <c r="JJ402" s="2"/>
      <c r="JK402" s="122"/>
      <c r="JL402" s="125"/>
      <c r="JM402" s="125"/>
      <c r="JN402" s="125"/>
      <c r="JO402" s="125"/>
      <c r="JP402" s="125"/>
    </row>
    <row r="403" spans="1:276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  <c r="AK403" s="122"/>
      <c r="AL403" s="122"/>
      <c r="AM403" s="122"/>
      <c r="AN403" s="122"/>
      <c r="AO403" s="122"/>
      <c r="AP403" s="122"/>
      <c r="AQ403" s="122"/>
      <c r="AR403" s="122"/>
      <c r="AS403" s="122"/>
      <c r="AT403" s="122"/>
      <c r="AU403" s="122"/>
      <c r="AV403" s="122"/>
      <c r="AW403" s="122"/>
      <c r="AX403" s="122"/>
      <c r="AY403" s="122"/>
      <c r="AZ403" s="122"/>
      <c r="BA403" s="122"/>
      <c r="BB403" s="122"/>
      <c r="BC403" s="122"/>
      <c r="BD403" s="122"/>
      <c r="BE403" s="122"/>
      <c r="BF403" s="122"/>
      <c r="BG403" s="122"/>
      <c r="BH403" s="122"/>
      <c r="BI403" s="122"/>
      <c r="BJ403" s="122"/>
      <c r="BK403" s="122"/>
      <c r="BL403" s="122"/>
      <c r="BM403" s="122"/>
      <c r="BN403" s="122"/>
      <c r="BO403" s="122"/>
      <c r="BP403" s="122"/>
      <c r="BQ403" s="122"/>
      <c r="BR403" s="122"/>
      <c r="BS403" s="122"/>
      <c r="BT403" s="122"/>
      <c r="BU403" s="122"/>
      <c r="BV403" s="122"/>
      <c r="BW403" s="122"/>
      <c r="BX403" s="122"/>
      <c r="BY403" s="122"/>
      <c r="BZ403" s="122"/>
      <c r="CA403" s="122"/>
      <c r="CB403" s="122"/>
      <c r="CC403" s="122"/>
      <c r="CD403" s="122"/>
      <c r="CE403" s="122"/>
      <c r="CF403" s="122"/>
      <c r="CG403" s="122"/>
      <c r="CH403" s="122"/>
      <c r="CI403" s="122"/>
      <c r="CJ403" s="122"/>
      <c r="CK403" s="122"/>
      <c r="CL403" s="122"/>
      <c r="CM403" s="122"/>
      <c r="CN403" s="122"/>
      <c r="CO403" s="122"/>
      <c r="CP403" s="122"/>
      <c r="CQ403" s="122"/>
      <c r="CR403" s="122"/>
      <c r="CS403" s="122"/>
      <c r="CT403" s="122"/>
      <c r="CU403" s="122"/>
      <c r="CV403" s="122"/>
      <c r="CW403" s="122"/>
      <c r="CX403" s="122"/>
      <c r="CY403" s="122"/>
      <c r="CZ403" s="122"/>
      <c r="DA403" s="122"/>
      <c r="DB403" s="122"/>
      <c r="DC403" s="122"/>
      <c r="DD403" s="122"/>
      <c r="DE403" s="122"/>
      <c r="DF403" s="122"/>
      <c r="DG403" s="122"/>
      <c r="DH403" s="122"/>
      <c r="DI403" s="122"/>
      <c r="DJ403" s="122"/>
      <c r="DK403" s="122"/>
      <c r="DL403" s="122"/>
      <c r="DM403" s="122"/>
      <c r="DN403" s="122"/>
      <c r="DO403" s="122"/>
      <c r="DP403" s="122"/>
      <c r="DQ403" s="122"/>
      <c r="DR403" s="122"/>
      <c r="DS403" s="122"/>
      <c r="DT403" s="122"/>
      <c r="DU403" s="122"/>
      <c r="DV403" s="122"/>
      <c r="DW403" s="122"/>
      <c r="DX403" s="122"/>
      <c r="DY403" s="122"/>
      <c r="DZ403" s="122"/>
      <c r="EA403" s="122"/>
      <c r="EB403" s="122"/>
      <c r="EC403" s="122"/>
      <c r="ED403" s="122"/>
      <c r="EE403" s="122"/>
      <c r="EF403" s="122"/>
      <c r="EG403" s="122"/>
      <c r="EH403" s="122"/>
      <c r="EI403" s="122"/>
      <c r="EJ403" s="122"/>
      <c r="EK403" s="122"/>
      <c r="EL403" s="122"/>
      <c r="EM403" s="122"/>
      <c r="EN403" s="122"/>
      <c r="EO403" s="122"/>
      <c r="EP403" s="122"/>
      <c r="EQ403" s="122"/>
      <c r="ER403" s="122"/>
      <c r="ES403" s="122"/>
      <c r="ET403" s="122"/>
      <c r="EU403" s="122"/>
      <c r="EV403" s="122"/>
      <c r="EW403" s="122"/>
      <c r="EX403" s="122"/>
      <c r="EY403" s="122"/>
      <c r="EZ403" s="122"/>
      <c r="FA403" s="122"/>
      <c r="FB403" s="122"/>
      <c r="FC403" s="122"/>
      <c r="FD403" s="122"/>
      <c r="FE403" s="122"/>
      <c r="FF403" s="122"/>
      <c r="FG403" s="122"/>
      <c r="FH403" s="122"/>
      <c r="FI403" s="122"/>
      <c r="FJ403" s="122"/>
      <c r="FK403" s="122"/>
      <c r="FL403" s="122"/>
      <c r="FM403" s="122"/>
      <c r="FN403" s="122"/>
      <c r="FO403" s="122"/>
      <c r="FP403" s="122"/>
      <c r="FQ403" s="122"/>
      <c r="FR403" s="122"/>
      <c r="FS403" s="122"/>
      <c r="FT403" s="122"/>
      <c r="FU403" s="122"/>
      <c r="FV403" s="122"/>
      <c r="FW403" s="122"/>
      <c r="FX403" s="122"/>
      <c r="FY403" s="122"/>
      <c r="FZ403" s="122"/>
      <c r="GA403" s="122"/>
      <c r="GB403" s="122"/>
      <c r="GC403" s="122"/>
      <c r="GD403" s="122"/>
      <c r="GE403" s="122"/>
      <c r="GF403" s="122"/>
      <c r="GG403" s="122"/>
      <c r="GH403" s="122"/>
      <c r="GI403" s="122"/>
      <c r="GJ403" s="122"/>
      <c r="GK403" s="122"/>
      <c r="GL403" s="122"/>
      <c r="GM403" s="122"/>
      <c r="GN403" s="122"/>
      <c r="GO403" s="122"/>
      <c r="GP403" s="122"/>
      <c r="GQ403" s="122"/>
      <c r="GR403" s="122"/>
      <c r="GS403" s="122"/>
      <c r="GT403" s="122"/>
      <c r="GU403" s="122"/>
      <c r="GV403" s="122"/>
      <c r="GW403" s="122"/>
      <c r="GX403" s="122"/>
      <c r="GY403" s="122"/>
      <c r="GZ403" s="122"/>
      <c r="HA403" s="122"/>
      <c r="HB403" s="122"/>
      <c r="HC403" s="122"/>
      <c r="HD403" s="122"/>
      <c r="HE403" s="122"/>
      <c r="HF403" s="122"/>
      <c r="HG403" s="122"/>
      <c r="HH403" s="122"/>
      <c r="HI403" s="122"/>
      <c r="HJ403" s="122"/>
      <c r="HK403" s="122"/>
      <c r="HL403" s="122"/>
      <c r="HM403" s="122"/>
      <c r="HN403" s="122"/>
      <c r="HO403" s="122"/>
      <c r="HP403" s="122"/>
      <c r="HQ403" s="122"/>
      <c r="HR403" s="122"/>
      <c r="HS403" s="122"/>
      <c r="HT403" s="122"/>
      <c r="HU403" s="122"/>
      <c r="HV403" s="122"/>
      <c r="HW403" s="122"/>
      <c r="HX403" s="122"/>
      <c r="HY403" s="122"/>
      <c r="HZ403" s="122"/>
      <c r="IA403" s="122"/>
      <c r="IB403" s="122"/>
      <c r="IC403" s="122"/>
      <c r="ID403" s="122"/>
      <c r="IE403" s="122"/>
      <c r="IF403" s="122"/>
      <c r="IG403" s="122"/>
      <c r="IH403" s="122"/>
      <c r="II403" s="122"/>
      <c r="IJ403" s="122"/>
      <c r="IK403" s="122"/>
      <c r="IL403" s="122"/>
      <c r="IM403" s="122"/>
      <c r="IN403" s="122"/>
      <c r="IO403" s="122"/>
      <c r="IP403" s="122"/>
      <c r="IQ403" s="122"/>
      <c r="IR403" s="122"/>
      <c r="IS403" s="122"/>
      <c r="IT403" s="122"/>
      <c r="IU403" s="122"/>
      <c r="IV403" s="122"/>
      <c r="IW403" s="122"/>
      <c r="IX403" s="122"/>
      <c r="IY403" s="122"/>
      <c r="IZ403" s="122"/>
      <c r="JA403" s="122"/>
      <c r="JB403" s="122"/>
      <c r="JC403" s="122"/>
      <c r="JD403" s="122"/>
      <c r="JE403" s="122"/>
      <c r="JF403" s="122"/>
      <c r="JG403" s="122"/>
      <c r="JH403" s="122"/>
      <c r="JI403" s="119"/>
      <c r="JJ403" s="2"/>
      <c r="JK403" s="122"/>
      <c r="JL403" s="125"/>
      <c r="JM403" s="125"/>
      <c r="JN403" s="125"/>
      <c r="JO403" s="125"/>
      <c r="JP403" s="125"/>
    </row>
    <row r="404" spans="1:276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  <c r="AI404" s="122"/>
      <c r="AJ404" s="122"/>
      <c r="AK404" s="122"/>
      <c r="AL404" s="122"/>
      <c r="AM404" s="122"/>
      <c r="AN404" s="122"/>
      <c r="AO404" s="122"/>
      <c r="AP404" s="122"/>
      <c r="AQ404" s="122"/>
      <c r="AR404" s="122"/>
      <c r="AS404" s="122"/>
      <c r="AT404" s="122"/>
      <c r="AU404" s="122"/>
      <c r="AV404" s="122"/>
      <c r="AW404" s="122"/>
      <c r="AX404" s="122"/>
      <c r="AY404" s="122"/>
      <c r="AZ404" s="122"/>
      <c r="BA404" s="122"/>
      <c r="BB404" s="122"/>
      <c r="BC404" s="122"/>
      <c r="BD404" s="122"/>
      <c r="BE404" s="122"/>
      <c r="BF404" s="122"/>
      <c r="BG404" s="122"/>
      <c r="BH404" s="122"/>
      <c r="BI404" s="122"/>
      <c r="BJ404" s="122"/>
      <c r="BK404" s="122"/>
      <c r="BL404" s="122"/>
      <c r="BM404" s="122"/>
      <c r="BN404" s="122"/>
      <c r="BO404" s="122"/>
      <c r="BP404" s="122"/>
      <c r="BQ404" s="122"/>
      <c r="BR404" s="122"/>
      <c r="BS404" s="122"/>
      <c r="BT404" s="122"/>
      <c r="BU404" s="122"/>
      <c r="BV404" s="122"/>
      <c r="BW404" s="122"/>
      <c r="BX404" s="122"/>
      <c r="BY404" s="122"/>
      <c r="BZ404" s="122"/>
      <c r="CA404" s="122"/>
      <c r="CB404" s="122"/>
      <c r="CC404" s="122"/>
      <c r="CD404" s="122"/>
      <c r="CE404" s="122"/>
      <c r="CF404" s="122"/>
      <c r="CG404" s="122"/>
      <c r="CH404" s="122"/>
      <c r="CI404" s="122"/>
      <c r="CJ404" s="122"/>
      <c r="CK404" s="122"/>
      <c r="CL404" s="122"/>
      <c r="CM404" s="122"/>
      <c r="CN404" s="122"/>
      <c r="CO404" s="122"/>
      <c r="CP404" s="122"/>
      <c r="CQ404" s="122"/>
      <c r="CR404" s="122"/>
      <c r="CS404" s="122"/>
      <c r="CT404" s="122"/>
      <c r="CU404" s="122"/>
      <c r="CV404" s="122"/>
      <c r="CW404" s="122"/>
      <c r="CX404" s="122"/>
      <c r="CY404" s="122"/>
      <c r="CZ404" s="122"/>
      <c r="DA404" s="122"/>
      <c r="DB404" s="122"/>
      <c r="DC404" s="122"/>
      <c r="DD404" s="122"/>
      <c r="DE404" s="122"/>
      <c r="DF404" s="122"/>
      <c r="DG404" s="122"/>
      <c r="DH404" s="122"/>
      <c r="DI404" s="122"/>
      <c r="DJ404" s="122"/>
      <c r="DK404" s="122"/>
      <c r="DL404" s="122"/>
      <c r="DM404" s="122"/>
      <c r="DN404" s="122"/>
      <c r="DO404" s="122"/>
      <c r="DP404" s="122"/>
      <c r="DQ404" s="122"/>
      <c r="DR404" s="122"/>
      <c r="DS404" s="122"/>
      <c r="DT404" s="122"/>
      <c r="DU404" s="122"/>
      <c r="DV404" s="122"/>
      <c r="DW404" s="122"/>
      <c r="DX404" s="122"/>
      <c r="DY404" s="122"/>
      <c r="DZ404" s="122"/>
      <c r="EA404" s="122"/>
      <c r="EB404" s="122"/>
      <c r="EC404" s="122"/>
      <c r="ED404" s="122"/>
      <c r="EE404" s="122"/>
      <c r="EF404" s="122"/>
      <c r="EG404" s="122"/>
      <c r="EH404" s="122"/>
      <c r="EI404" s="122"/>
      <c r="EJ404" s="122"/>
      <c r="EK404" s="122"/>
      <c r="EL404" s="122"/>
      <c r="EM404" s="122"/>
      <c r="EN404" s="122"/>
      <c r="EO404" s="122"/>
      <c r="EP404" s="122"/>
      <c r="EQ404" s="122"/>
      <c r="ER404" s="122"/>
      <c r="ES404" s="122"/>
      <c r="ET404" s="122"/>
      <c r="EU404" s="122"/>
      <c r="EV404" s="122"/>
      <c r="EW404" s="122"/>
      <c r="EX404" s="122"/>
      <c r="EY404" s="122"/>
      <c r="EZ404" s="122"/>
      <c r="FA404" s="122"/>
      <c r="FB404" s="122"/>
      <c r="FC404" s="122"/>
      <c r="FD404" s="122"/>
      <c r="FE404" s="122"/>
      <c r="FF404" s="122"/>
      <c r="FG404" s="122"/>
      <c r="FH404" s="122"/>
      <c r="FI404" s="122"/>
      <c r="FJ404" s="122"/>
      <c r="FK404" s="122"/>
      <c r="FL404" s="122"/>
      <c r="FM404" s="122"/>
      <c r="FN404" s="122"/>
      <c r="FO404" s="122"/>
      <c r="FP404" s="122"/>
      <c r="FQ404" s="122"/>
      <c r="FR404" s="122"/>
      <c r="FS404" s="122"/>
      <c r="FT404" s="122"/>
      <c r="FU404" s="122"/>
      <c r="FV404" s="122"/>
      <c r="FW404" s="122"/>
      <c r="FX404" s="122"/>
      <c r="FY404" s="122"/>
      <c r="FZ404" s="122"/>
      <c r="GA404" s="122"/>
      <c r="GB404" s="122"/>
      <c r="GC404" s="122"/>
      <c r="GD404" s="122"/>
      <c r="GE404" s="122"/>
      <c r="GF404" s="122"/>
      <c r="GG404" s="122"/>
      <c r="GH404" s="122"/>
      <c r="GI404" s="122"/>
      <c r="GJ404" s="122"/>
      <c r="GK404" s="122"/>
      <c r="GL404" s="122"/>
      <c r="GM404" s="122"/>
      <c r="GN404" s="122"/>
      <c r="GO404" s="122"/>
      <c r="GP404" s="122"/>
      <c r="GQ404" s="122"/>
      <c r="GR404" s="122"/>
      <c r="GS404" s="122"/>
      <c r="GT404" s="122"/>
      <c r="GU404" s="122"/>
      <c r="GV404" s="122"/>
      <c r="GW404" s="122"/>
      <c r="GX404" s="122"/>
      <c r="GY404" s="122"/>
      <c r="GZ404" s="122"/>
      <c r="HA404" s="122"/>
      <c r="HB404" s="122"/>
      <c r="HC404" s="122"/>
      <c r="HD404" s="122"/>
      <c r="HE404" s="122"/>
      <c r="HF404" s="122"/>
      <c r="HG404" s="122"/>
      <c r="HH404" s="122"/>
      <c r="HI404" s="122"/>
      <c r="HJ404" s="122"/>
      <c r="HK404" s="122"/>
      <c r="HL404" s="122"/>
      <c r="HM404" s="122"/>
      <c r="HN404" s="122"/>
      <c r="HO404" s="122"/>
      <c r="HP404" s="122"/>
      <c r="HQ404" s="122"/>
      <c r="HR404" s="122"/>
      <c r="HS404" s="122"/>
      <c r="HT404" s="122"/>
      <c r="HU404" s="122"/>
      <c r="HV404" s="122"/>
      <c r="HW404" s="122"/>
      <c r="HX404" s="122"/>
      <c r="HY404" s="122"/>
      <c r="HZ404" s="122"/>
      <c r="IA404" s="122"/>
      <c r="IB404" s="122"/>
      <c r="IC404" s="122"/>
      <c r="ID404" s="122"/>
      <c r="IE404" s="122"/>
      <c r="IF404" s="122"/>
      <c r="IG404" s="122"/>
      <c r="IH404" s="122"/>
      <c r="II404" s="122"/>
      <c r="IJ404" s="122"/>
      <c r="IK404" s="122"/>
      <c r="IL404" s="122"/>
      <c r="IM404" s="122"/>
      <c r="IN404" s="122"/>
      <c r="IO404" s="122"/>
      <c r="IP404" s="122"/>
      <c r="IQ404" s="122"/>
      <c r="IR404" s="122"/>
      <c r="IS404" s="122"/>
      <c r="IT404" s="122"/>
      <c r="IU404" s="122"/>
      <c r="IV404" s="122"/>
      <c r="IW404" s="122"/>
      <c r="IX404" s="122"/>
      <c r="IY404" s="122"/>
      <c r="IZ404" s="122"/>
      <c r="JA404" s="122"/>
      <c r="JB404" s="122"/>
      <c r="JC404" s="122"/>
      <c r="JD404" s="122"/>
      <c r="JE404" s="122"/>
      <c r="JF404" s="122"/>
      <c r="JG404" s="122"/>
      <c r="JH404" s="122"/>
      <c r="JI404" s="119"/>
      <c r="JJ404" s="2"/>
      <c r="JK404" s="122"/>
      <c r="JL404" s="125"/>
      <c r="JM404" s="125"/>
      <c r="JN404" s="125"/>
      <c r="JO404" s="125"/>
      <c r="JP404" s="125"/>
    </row>
    <row r="405" spans="1:276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  <c r="AK405" s="122"/>
      <c r="AL405" s="122"/>
      <c r="AM405" s="122"/>
      <c r="AN405" s="122"/>
      <c r="AO405" s="122"/>
      <c r="AP405" s="122"/>
      <c r="AQ405" s="122"/>
      <c r="AR405" s="122"/>
      <c r="AS405" s="122"/>
      <c r="AT405" s="122"/>
      <c r="AU405" s="122"/>
      <c r="AV405" s="122"/>
      <c r="AW405" s="122"/>
      <c r="AX405" s="122"/>
      <c r="AY405" s="122"/>
      <c r="AZ405" s="122"/>
      <c r="BA405" s="122"/>
      <c r="BB405" s="122"/>
      <c r="BC405" s="122"/>
      <c r="BD405" s="122"/>
      <c r="BE405" s="122"/>
      <c r="BF405" s="122"/>
      <c r="BG405" s="122"/>
      <c r="BH405" s="122"/>
      <c r="BI405" s="122"/>
      <c r="BJ405" s="122"/>
      <c r="BK405" s="122"/>
      <c r="BL405" s="122"/>
      <c r="BM405" s="122"/>
      <c r="BN405" s="122"/>
      <c r="BO405" s="122"/>
      <c r="BP405" s="122"/>
      <c r="BQ405" s="122"/>
      <c r="BR405" s="122"/>
      <c r="BS405" s="122"/>
      <c r="BT405" s="122"/>
      <c r="BU405" s="122"/>
      <c r="BV405" s="122"/>
      <c r="BW405" s="122"/>
      <c r="BX405" s="122"/>
      <c r="BY405" s="122"/>
      <c r="BZ405" s="122"/>
      <c r="CA405" s="122"/>
      <c r="CB405" s="122"/>
      <c r="CC405" s="122"/>
      <c r="CD405" s="122"/>
      <c r="CE405" s="122"/>
      <c r="CF405" s="122"/>
      <c r="CG405" s="122"/>
      <c r="CH405" s="122"/>
      <c r="CI405" s="122"/>
      <c r="CJ405" s="122"/>
      <c r="CK405" s="122"/>
      <c r="CL405" s="122"/>
      <c r="CM405" s="122"/>
      <c r="CN405" s="122"/>
      <c r="CO405" s="122"/>
      <c r="CP405" s="122"/>
      <c r="CQ405" s="122"/>
      <c r="CR405" s="122"/>
      <c r="CS405" s="122"/>
      <c r="CT405" s="122"/>
      <c r="CU405" s="122"/>
      <c r="CV405" s="122"/>
      <c r="CW405" s="122"/>
      <c r="CX405" s="122"/>
      <c r="CY405" s="122"/>
      <c r="CZ405" s="122"/>
      <c r="DA405" s="122"/>
      <c r="DB405" s="122"/>
      <c r="DC405" s="122"/>
      <c r="DD405" s="122"/>
      <c r="DE405" s="122"/>
      <c r="DF405" s="122"/>
      <c r="DG405" s="122"/>
      <c r="DH405" s="122"/>
      <c r="DI405" s="122"/>
      <c r="DJ405" s="122"/>
      <c r="DK405" s="122"/>
      <c r="DL405" s="122"/>
      <c r="DM405" s="122"/>
      <c r="DN405" s="122"/>
      <c r="DO405" s="122"/>
      <c r="DP405" s="122"/>
      <c r="DQ405" s="122"/>
      <c r="DR405" s="122"/>
      <c r="DS405" s="122"/>
      <c r="DT405" s="122"/>
      <c r="DU405" s="122"/>
      <c r="DV405" s="122"/>
      <c r="DW405" s="122"/>
      <c r="DX405" s="122"/>
      <c r="DY405" s="122"/>
      <c r="DZ405" s="122"/>
      <c r="EA405" s="122"/>
      <c r="EB405" s="122"/>
      <c r="EC405" s="122"/>
      <c r="ED405" s="122"/>
      <c r="EE405" s="122"/>
      <c r="EF405" s="122"/>
      <c r="EG405" s="122"/>
      <c r="EH405" s="122"/>
      <c r="EI405" s="122"/>
      <c r="EJ405" s="122"/>
      <c r="EK405" s="122"/>
      <c r="EL405" s="122"/>
      <c r="EM405" s="122"/>
      <c r="EN405" s="122"/>
      <c r="EO405" s="122"/>
      <c r="EP405" s="122"/>
      <c r="EQ405" s="122"/>
      <c r="ER405" s="122"/>
      <c r="ES405" s="122"/>
      <c r="ET405" s="122"/>
      <c r="EU405" s="122"/>
      <c r="EV405" s="122"/>
      <c r="EW405" s="122"/>
      <c r="EX405" s="122"/>
      <c r="EY405" s="122"/>
      <c r="EZ405" s="122"/>
      <c r="FA405" s="122"/>
      <c r="FB405" s="122"/>
      <c r="FC405" s="122"/>
      <c r="FD405" s="122"/>
      <c r="FE405" s="122"/>
      <c r="FF405" s="122"/>
      <c r="FG405" s="122"/>
      <c r="FH405" s="122"/>
      <c r="FI405" s="122"/>
      <c r="FJ405" s="122"/>
      <c r="FK405" s="122"/>
      <c r="FL405" s="122"/>
      <c r="FM405" s="122"/>
      <c r="FN405" s="122"/>
      <c r="FO405" s="122"/>
      <c r="FP405" s="122"/>
      <c r="FQ405" s="122"/>
      <c r="FR405" s="122"/>
      <c r="FS405" s="122"/>
      <c r="FT405" s="122"/>
      <c r="FU405" s="122"/>
      <c r="FV405" s="122"/>
      <c r="FW405" s="122"/>
      <c r="FX405" s="122"/>
      <c r="FY405" s="122"/>
      <c r="FZ405" s="122"/>
      <c r="GA405" s="122"/>
      <c r="GB405" s="122"/>
      <c r="GC405" s="122"/>
      <c r="GD405" s="122"/>
      <c r="GE405" s="122"/>
      <c r="GF405" s="122"/>
      <c r="GG405" s="122"/>
      <c r="GH405" s="122"/>
      <c r="GI405" s="122"/>
      <c r="GJ405" s="122"/>
      <c r="GK405" s="122"/>
      <c r="GL405" s="122"/>
      <c r="GM405" s="122"/>
      <c r="GN405" s="122"/>
      <c r="GO405" s="122"/>
      <c r="GP405" s="122"/>
      <c r="GQ405" s="122"/>
      <c r="GR405" s="122"/>
      <c r="GS405" s="122"/>
      <c r="GT405" s="122"/>
      <c r="GU405" s="122"/>
      <c r="GV405" s="122"/>
      <c r="GW405" s="122"/>
      <c r="GX405" s="122"/>
      <c r="GY405" s="122"/>
      <c r="GZ405" s="122"/>
      <c r="HA405" s="122"/>
      <c r="HB405" s="122"/>
      <c r="HC405" s="122"/>
      <c r="HD405" s="122"/>
      <c r="HE405" s="122"/>
      <c r="HF405" s="122"/>
      <c r="HG405" s="122"/>
      <c r="HH405" s="122"/>
      <c r="HI405" s="122"/>
      <c r="HJ405" s="122"/>
      <c r="HK405" s="122"/>
      <c r="HL405" s="122"/>
      <c r="HM405" s="122"/>
      <c r="HN405" s="122"/>
      <c r="HO405" s="122"/>
      <c r="HP405" s="122"/>
      <c r="HQ405" s="122"/>
      <c r="HR405" s="122"/>
      <c r="HS405" s="122"/>
      <c r="HT405" s="122"/>
      <c r="HU405" s="122"/>
      <c r="HV405" s="122"/>
      <c r="HW405" s="122"/>
      <c r="HX405" s="122"/>
      <c r="HY405" s="122"/>
      <c r="HZ405" s="122"/>
      <c r="IA405" s="122"/>
      <c r="IB405" s="122"/>
      <c r="IC405" s="122"/>
      <c r="ID405" s="122"/>
      <c r="IE405" s="122"/>
      <c r="IF405" s="122"/>
      <c r="IG405" s="122"/>
      <c r="IH405" s="122"/>
      <c r="II405" s="122"/>
      <c r="IJ405" s="122"/>
      <c r="IK405" s="122"/>
      <c r="IL405" s="122"/>
      <c r="IM405" s="122"/>
      <c r="IN405" s="122"/>
      <c r="IO405" s="122"/>
      <c r="IP405" s="122"/>
      <c r="IQ405" s="122"/>
      <c r="IR405" s="122"/>
      <c r="IS405" s="122"/>
      <c r="IT405" s="122"/>
      <c r="IU405" s="122"/>
      <c r="IV405" s="122"/>
      <c r="IW405" s="122"/>
      <c r="IX405" s="122"/>
      <c r="IY405" s="122"/>
      <c r="IZ405" s="122"/>
      <c r="JA405" s="122"/>
      <c r="JB405" s="122"/>
      <c r="JC405" s="122"/>
      <c r="JD405" s="122"/>
      <c r="JE405" s="122"/>
      <c r="JF405" s="122"/>
      <c r="JG405" s="122"/>
      <c r="JH405" s="122"/>
      <c r="JI405" s="119"/>
      <c r="JJ405" s="2"/>
      <c r="JK405" s="122"/>
      <c r="JL405" s="125"/>
      <c r="JM405" s="125"/>
      <c r="JN405" s="125"/>
      <c r="JO405" s="125"/>
      <c r="JP405" s="125"/>
    </row>
    <row r="406" spans="1:27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  <c r="AI406" s="122"/>
      <c r="AJ406" s="122"/>
      <c r="AK406" s="122"/>
      <c r="AL406" s="122"/>
      <c r="AM406" s="122"/>
      <c r="AN406" s="122"/>
      <c r="AO406" s="122"/>
      <c r="AP406" s="122"/>
      <c r="AQ406" s="122"/>
      <c r="AR406" s="122"/>
      <c r="AS406" s="122"/>
      <c r="AT406" s="122"/>
      <c r="AU406" s="122"/>
      <c r="AV406" s="122"/>
      <c r="AW406" s="122"/>
      <c r="AX406" s="122"/>
      <c r="AY406" s="122"/>
      <c r="AZ406" s="122"/>
      <c r="BA406" s="122"/>
      <c r="BB406" s="122"/>
      <c r="BC406" s="122"/>
      <c r="BD406" s="122"/>
      <c r="BE406" s="122"/>
      <c r="BF406" s="122"/>
      <c r="BG406" s="122"/>
      <c r="BH406" s="122"/>
      <c r="BI406" s="122"/>
      <c r="BJ406" s="122"/>
      <c r="BK406" s="122"/>
      <c r="BL406" s="122"/>
      <c r="BM406" s="122"/>
      <c r="BN406" s="122"/>
      <c r="BO406" s="122"/>
      <c r="BP406" s="122"/>
      <c r="BQ406" s="122"/>
      <c r="BR406" s="122"/>
      <c r="BS406" s="122"/>
      <c r="BT406" s="122"/>
      <c r="BU406" s="122"/>
      <c r="BV406" s="122"/>
      <c r="BW406" s="122"/>
      <c r="BX406" s="122"/>
      <c r="BY406" s="122"/>
      <c r="BZ406" s="122"/>
      <c r="CA406" s="122"/>
      <c r="CB406" s="122"/>
      <c r="CC406" s="122"/>
      <c r="CD406" s="122"/>
      <c r="CE406" s="122"/>
      <c r="CF406" s="122"/>
      <c r="CG406" s="122"/>
      <c r="CH406" s="122"/>
      <c r="CI406" s="122"/>
      <c r="CJ406" s="122"/>
      <c r="CK406" s="122"/>
      <c r="CL406" s="122"/>
      <c r="CM406" s="122"/>
      <c r="CN406" s="122"/>
      <c r="CO406" s="122"/>
      <c r="CP406" s="122"/>
      <c r="CQ406" s="122"/>
      <c r="CR406" s="122"/>
      <c r="CS406" s="122"/>
      <c r="CT406" s="122"/>
      <c r="CU406" s="122"/>
      <c r="CV406" s="122"/>
      <c r="CW406" s="122"/>
      <c r="CX406" s="122"/>
      <c r="CY406" s="122"/>
      <c r="CZ406" s="122"/>
      <c r="DA406" s="122"/>
      <c r="DB406" s="122"/>
      <c r="DC406" s="122"/>
      <c r="DD406" s="122"/>
      <c r="DE406" s="122"/>
      <c r="DF406" s="122"/>
      <c r="DG406" s="122"/>
      <c r="DH406" s="122"/>
      <c r="DI406" s="122"/>
      <c r="DJ406" s="122"/>
      <c r="DK406" s="122"/>
      <c r="DL406" s="122"/>
      <c r="DM406" s="122"/>
      <c r="DN406" s="122"/>
      <c r="DO406" s="122"/>
      <c r="DP406" s="122"/>
      <c r="DQ406" s="122"/>
      <c r="DR406" s="122"/>
      <c r="DS406" s="122"/>
      <c r="DT406" s="122"/>
      <c r="DU406" s="122"/>
      <c r="DV406" s="122"/>
      <c r="DW406" s="122"/>
      <c r="DX406" s="122"/>
      <c r="DY406" s="122"/>
      <c r="DZ406" s="122"/>
      <c r="EA406" s="122"/>
      <c r="EB406" s="122"/>
      <c r="EC406" s="122"/>
      <c r="ED406" s="122"/>
      <c r="EE406" s="122"/>
      <c r="EF406" s="122"/>
      <c r="EG406" s="122"/>
      <c r="EH406" s="122"/>
      <c r="EI406" s="122"/>
      <c r="EJ406" s="122"/>
      <c r="EK406" s="122"/>
      <c r="EL406" s="122"/>
      <c r="EM406" s="122"/>
      <c r="EN406" s="122"/>
      <c r="EO406" s="122"/>
      <c r="EP406" s="122"/>
      <c r="EQ406" s="122"/>
      <c r="ER406" s="122"/>
      <c r="ES406" s="122"/>
      <c r="ET406" s="122"/>
      <c r="EU406" s="122"/>
      <c r="EV406" s="122"/>
      <c r="EW406" s="122"/>
      <c r="EX406" s="122"/>
      <c r="EY406" s="122"/>
      <c r="EZ406" s="122"/>
      <c r="FA406" s="122"/>
      <c r="FB406" s="122"/>
      <c r="FC406" s="122"/>
      <c r="FD406" s="122"/>
      <c r="FE406" s="122"/>
      <c r="FF406" s="122"/>
      <c r="FG406" s="122"/>
      <c r="FH406" s="122"/>
      <c r="FI406" s="122"/>
      <c r="FJ406" s="122"/>
      <c r="FK406" s="122"/>
      <c r="FL406" s="122"/>
      <c r="FM406" s="122"/>
      <c r="FN406" s="122"/>
      <c r="FO406" s="122"/>
      <c r="FP406" s="122"/>
      <c r="FQ406" s="122"/>
      <c r="FR406" s="122"/>
      <c r="FS406" s="122"/>
      <c r="FT406" s="122"/>
      <c r="FU406" s="122"/>
      <c r="FV406" s="122"/>
      <c r="FW406" s="122"/>
      <c r="FX406" s="122"/>
      <c r="FY406" s="122"/>
      <c r="FZ406" s="122"/>
      <c r="GA406" s="122"/>
      <c r="GB406" s="122"/>
      <c r="GC406" s="122"/>
      <c r="GD406" s="122"/>
      <c r="GE406" s="122"/>
      <c r="GF406" s="122"/>
      <c r="GG406" s="122"/>
      <c r="GH406" s="122"/>
      <c r="GI406" s="122"/>
      <c r="GJ406" s="122"/>
      <c r="GK406" s="122"/>
      <c r="GL406" s="122"/>
      <c r="GM406" s="122"/>
      <c r="GN406" s="122"/>
      <c r="GO406" s="122"/>
      <c r="GP406" s="122"/>
      <c r="GQ406" s="122"/>
      <c r="GR406" s="122"/>
      <c r="GS406" s="122"/>
      <c r="GT406" s="122"/>
      <c r="GU406" s="122"/>
      <c r="GV406" s="122"/>
      <c r="GW406" s="122"/>
      <c r="GX406" s="122"/>
      <c r="GY406" s="122"/>
      <c r="GZ406" s="122"/>
      <c r="HA406" s="122"/>
      <c r="HB406" s="122"/>
      <c r="HC406" s="122"/>
      <c r="HD406" s="122"/>
      <c r="HE406" s="122"/>
      <c r="HF406" s="122"/>
      <c r="HG406" s="122"/>
      <c r="HH406" s="122"/>
      <c r="HI406" s="122"/>
      <c r="HJ406" s="122"/>
      <c r="HK406" s="122"/>
      <c r="HL406" s="122"/>
      <c r="HM406" s="122"/>
      <c r="HN406" s="122"/>
      <c r="HO406" s="122"/>
      <c r="HP406" s="122"/>
      <c r="HQ406" s="122"/>
      <c r="HR406" s="122"/>
      <c r="HS406" s="122"/>
      <c r="HT406" s="122"/>
      <c r="HU406" s="122"/>
      <c r="HV406" s="122"/>
      <c r="HW406" s="122"/>
      <c r="HX406" s="122"/>
      <c r="HY406" s="122"/>
      <c r="HZ406" s="122"/>
      <c r="IA406" s="122"/>
      <c r="IB406" s="122"/>
      <c r="IC406" s="122"/>
      <c r="ID406" s="122"/>
      <c r="IE406" s="122"/>
      <c r="IF406" s="122"/>
      <c r="IG406" s="122"/>
      <c r="IH406" s="122"/>
      <c r="II406" s="122"/>
      <c r="IJ406" s="122"/>
      <c r="IK406" s="122"/>
      <c r="IL406" s="122"/>
      <c r="IM406" s="122"/>
      <c r="IN406" s="122"/>
      <c r="IO406" s="122"/>
      <c r="IP406" s="122"/>
      <c r="IQ406" s="122"/>
      <c r="IR406" s="122"/>
      <c r="IS406" s="122"/>
      <c r="IT406" s="122"/>
      <c r="IU406" s="122"/>
      <c r="IV406" s="122"/>
      <c r="IW406" s="122"/>
      <c r="IX406" s="122"/>
      <c r="IY406" s="122"/>
      <c r="IZ406" s="122"/>
      <c r="JA406" s="122"/>
      <c r="JB406" s="122"/>
      <c r="JC406" s="122"/>
      <c r="JD406" s="122"/>
      <c r="JE406" s="122"/>
      <c r="JF406" s="122"/>
      <c r="JG406" s="122"/>
      <c r="JH406" s="122"/>
      <c r="JI406" s="119"/>
      <c r="JJ406" s="2"/>
      <c r="JK406" s="122"/>
      <c r="JL406" s="125"/>
      <c r="JM406" s="125"/>
      <c r="JN406" s="125"/>
      <c r="JO406" s="125"/>
      <c r="JP406" s="125"/>
    </row>
    <row r="407" spans="1:276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122"/>
      <c r="AJ407" s="122"/>
      <c r="AK407" s="122"/>
      <c r="AL407" s="122"/>
      <c r="AM407" s="122"/>
      <c r="AN407" s="122"/>
      <c r="AO407" s="122"/>
      <c r="AP407" s="122"/>
      <c r="AQ407" s="122"/>
      <c r="AR407" s="122"/>
      <c r="AS407" s="122"/>
      <c r="AT407" s="122"/>
      <c r="AU407" s="122"/>
      <c r="AV407" s="122"/>
      <c r="AW407" s="122"/>
      <c r="AX407" s="122"/>
      <c r="AY407" s="122"/>
      <c r="AZ407" s="122"/>
      <c r="BA407" s="122"/>
      <c r="BB407" s="122"/>
      <c r="BC407" s="122"/>
      <c r="BD407" s="122"/>
      <c r="BE407" s="122"/>
      <c r="BF407" s="122"/>
      <c r="BG407" s="122"/>
      <c r="BH407" s="122"/>
      <c r="BI407" s="122"/>
      <c r="BJ407" s="122"/>
      <c r="BK407" s="122"/>
      <c r="BL407" s="122"/>
      <c r="BM407" s="122"/>
      <c r="BN407" s="122"/>
      <c r="BO407" s="122"/>
      <c r="BP407" s="122"/>
      <c r="BQ407" s="122"/>
      <c r="BR407" s="122"/>
      <c r="BS407" s="122"/>
      <c r="BT407" s="122"/>
      <c r="BU407" s="122"/>
      <c r="BV407" s="122"/>
      <c r="BW407" s="122"/>
      <c r="BX407" s="122"/>
      <c r="BY407" s="122"/>
      <c r="BZ407" s="122"/>
      <c r="CA407" s="122"/>
      <c r="CB407" s="122"/>
      <c r="CC407" s="122"/>
      <c r="CD407" s="122"/>
      <c r="CE407" s="122"/>
      <c r="CF407" s="122"/>
      <c r="CG407" s="122"/>
      <c r="CH407" s="122"/>
      <c r="CI407" s="122"/>
      <c r="CJ407" s="122"/>
      <c r="CK407" s="122"/>
      <c r="CL407" s="122"/>
      <c r="CM407" s="122"/>
      <c r="CN407" s="122"/>
      <c r="CO407" s="122"/>
      <c r="CP407" s="122"/>
      <c r="CQ407" s="122"/>
      <c r="CR407" s="122"/>
      <c r="CS407" s="122"/>
      <c r="CT407" s="122"/>
      <c r="CU407" s="122"/>
      <c r="CV407" s="122"/>
      <c r="CW407" s="122"/>
      <c r="CX407" s="122"/>
      <c r="CY407" s="122"/>
      <c r="CZ407" s="122"/>
      <c r="DA407" s="122"/>
      <c r="DB407" s="122"/>
      <c r="DC407" s="122"/>
      <c r="DD407" s="122"/>
      <c r="DE407" s="122"/>
      <c r="DF407" s="122"/>
      <c r="DG407" s="122"/>
      <c r="DH407" s="122"/>
      <c r="DI407" s="122"/>
      <c r="DJ407" s="122"/>
      <c r="DK407" s="122"/>
      <c r="DL407" s="122"/>
      <c r="DM407" s="122"/>
      <c r="DN407" s="122"/>
      <c r="DO407" s="122"/>
      <c r="DP407" s="122"/>
      <c r="DQ407" s="122"/>
      <c r="DR407" s="122"/>
      <c r="DS407" s="122"/>
      <c r="DT407" s="122"/>
      <c r="DU407" s="122"/>
      <c r="DV407" s="122"/>
      <c r="DW407" s="122"/>
      <c r="DX407" s="122"/>
      <c r="DY407" s="122"/>
      <c r="DZ407" s="122"/>
      <c r="EA407" s="122"/>
      <c r="EB407" s="122"/>
      <c r="EC407" s="122"/>
      <c r="ED407" s="122"/>
      <c r="EE407" s="122"/>
      <c r="EF407" s="122"/>
      <c r="EG407" s="122"/>
      <c r="EH407" s="122"/>
      <c r="EI407" s="122"/>
      <c r="EJ407" s="122"/>
      <c r="EK407" s="122"/>
      <c r="EL407" s="122"/>
      <c r="EM407" s="122"/>
      <c r="EN407" s="122"/>
      <c r="EO407" s="122"/>
      <c r="EP407" s="122"/>
      <c r="EQ407" s="122"/>
      <c r="ER407" s="122"/>
      <c r="ES407" s="122"/>
      <c r="ET407" s="122"/>
      <c r="EU407" s="122"/>
      <c r="EV407" s="122"/>
      <c r="EW407" s="122"/>
      <c r="EX407" s="122"/>
      <c r="EY407" s="122"/>
      <c r="EZ407" s="122"/>
      <c r="FA407" s="122"/>
      <c r="FB407" s="122"/>
      <c r="FC407" s="122"/>
      <c r="FD407" s="122"/>
      <c r="FE407" s="122"/>
      <c r="FF407" s="122"/>
      <c r="FG407" s="122"/>
      <c r="FH407" s="122"/>
      <c r="FI407" s="122"/>
      <c r="FJ407" s="122"/>
      <c r="FK407" s="122"/>
      <c r="FL407" s="122"/>
      <c r="FM407" s="122"/>
      <c r="FN407" s="122"/>
      <c r="FO407" s="122"/>
      <c r="FP407" s="122"/>
      <c r="FQ407" s="122"/>
      <c r="FR407" s="122"/>
      <c r="FS407" s="122"/>
      <c r="FT407" s="122"/>
      <c r="FU407" s="122"/>
      <c r="FV407" s="122"/>
      <c r="FW407" s="122"/>
      <c r="FX407" s="122"/>
      <c r="FY407" s="122"/>
      <c r="FZ407" s="122"/>
      <c r="GA407" s="122"/>
      <c r="GB407" s="122"/>
      <c r="GC407" s="122"/>
      <c r="GD407" s="122"/>
      <c r="GE407" s="122"/>
      <c r="GF407" s="122"/>
      <c r="GG407" s="122"/>
      <c r="GH407" s="122"/>
      <c r="GI407" s="122"/>
      <c r="GJ407" s="122"/>
      <c r="GK407" s="122"/>
      <c r="GL407" s="122"/>
      <c r="GM407" s="122"/>
      <c r="GN407" s="122"/>
      <c r="GO407" s="122"/>
      <c r="GP407" s="122"/>
      <c r="GQ407" s="122"/>
      <c r="GR407" s="122"/>
      <c r="GS407" s="122"/>
      <c r="GT407" s="122"/>
      <c r="GU407" s="122"/>
      <c r="GV407" s="122"/>
      <c r="GW407" s="122"/>
      <c r="GX407" s="122"/>
      <c r="GY407" s="122"/>
      <c r="GZ407" s="122"/>
      <c r="HA407" s="122"/>
      <c r="HB407" s="122"/>
      <c r="HC407" s="122"/>
      <c r="HD407" s="122"/>
      <c r="HE407" s="122"/>
      <c r="HF407" s="122"/>
      <c r="HG407" s="122"/>
      <c r="HH407" s="122"/>
      <c r="HI407" s="122"/>
      <c r="HJ407" s="122"/>
      <c r="HK407" s="122"/>
      <c r="HL407" s="122"/>
      <c r="HM407" s="122"/>
      <c r="HN407" s="122"/>
      <c r="HO407" s="122"/>
      <c r="HP407" s="122"/>
      <c r="HQ407" s="122"/>
      <c r="HR407" s="122"/>
      <c r="HS407" s="122"/>
      <c r="HT407" s="122"/>
      <c r="HU407" s="122"/>
      <c r="HV407" s="122"/>
      <c r="HW407" s="122"/>
      <c r="HX407" s="122"/>
      <c r="HY407" s="122"/>
      <c r="HZ407" s="122"/>
      <c r="IA407" s="122"/>
      <c r="IB407" s="122"/>
      <c r="IC407" s="122"/>
      <c r="ID407" s="122"/>
      <c r="IE407" s="122"/>
      <c r="IF407" s="122"/>
      <c r="IG407" s="122"/>
      <c r="IH407" s="122"/>
      <c r="II407" s="122"/>
      <c r="IJ407" s="122"/>
      <c r="IK407" s="122"/>
      <c r="IL407" s="122"/>
      <c r="IM407" s="122"/>
      <c r="IN407" s="122"/>
      <c r="IO407" s="122"/>
      <c r="IP407" s="122"/>
      <c r="IQ407" s="122"/>
      <c r="IR407" s="122"/>
      <c r="IS407" s="122"/>
      <c r="IT407" s="122"/>
      <c r="IU407" s="122"/>
      <c r="IV407" s="122"/>
      <c r="IW407" s="122"/>
      <c r="IX407" s="122"/>
      <c r="IY407" s="122"/>
      <c r="IZ407" s="122"/>
      <c r="JA407" s="122"/>
      <c r="JB407" s="122"/>
      <c r="JC407" s="122"/>
      <c r="JD407" s="122"/>
      <c r="JE407" s="122"/>
      <c r="JF407" s="122"/>
      <c r="JG407" s="122"/>
      <c r="JH407" s="122"/>
      <c r="JI407" s="119"/>
      <c r="JJ407" s="2"/>
      <c r="JK407" s="122"/>
      <c r="JL407" s="125"/>
      <c r="JM407" s="125"/>
      <c r="JN407" s="125"/>
      <c r="JO407" s="125"/>
      <c r="JP407" s="125"/>
    </row>
    <row r="408" spans="1:276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  <c r="AI408" s="122"/>
      <c r="AJ408" s="122"/>
      <c r="AK408" s="122"/>
      <c r="AL408" s="122"/>
      <c r="AM408" s="122"/>
      <c r="AN408" s="122"/>
      <c r="AO408" s="122"/>
      <c r="AP408" s="122"/>
      <c r="AQ408" s="122"/>
      <c r="AR408" s="122"/>
      <c r="AS408" s="122"/>
      <c r="AT408" s="122"/>
      <c r="AU408" s="122"/>
      <c r="AV408" s="122"/>
      <c r="AW408" s="122"/>
      <c r="AX408" s="122"/>
      <c r="AY408" s="122"/>
      <c r="AZ408" s="122"/>
      <c r="BA408" s="122"/>
      <c r="BB408" s="122"/>
      <c r="BC408" s="122"/>
      <c r="BD408" s="122"/>
      <c r="BE408" s="122"/>
      <c r="BF408" s="122"/>
      <c r="BG408" s="122"/>
      <c r="BH408" s="122"/>
      <c r="BI408" s="122"/>
      <c r="BJ408" s="122"/>
      <c r="BK408" s="122"/>
      <c r="BL408" s="122"/>
      <c r="BM408" s="122"/>
      <c r="BN408" s="122"/>
      <c r="BO408" s="122"/>
      <c r="BP408" s="122"/>
      <c r="BQ408" s="122"/>
      <c r="BR408" s="122"/>
      <c r="BS408" s="122"/>
      <c r="BT408" s="122"/>
      <c r="BU408" s="122"/>
      <c r="BV408" s="122"/>
      <c r="BW408" s="122"/>
      <c r="BX408" s="122"/>
      <c r="BY408" s="122"/>
      <c r="BZ408" s="122"/>
      <c r="CA408" s="122"/>
      <c r="CB408" s="122"/>
      <c r="CC408" s="122"/>
      <c r="CD408" s="122"/>
      <c r="CE408" s="122"/>
      <c r="CF408" s="122"/>
      <c r="CG408" s="122"/>
      <c r="CH408" s="122"/>
      <c r="CI408" s="122"/>
      <c r="CJ408" s="122"/>
      <c r="CK408" s="122"/>
      <c r="CL408" s="122"/>
      <c r="CM408" s="122"/>
      <c r="CN408" s="122"/>
      <c r="CO408" s="122"/>
      <c r="CP408" s="122"/>
      <c r="CQ408" s="122"/>
      <c r="CR408" s="122"/>
      <c r="CS408" s="122"/>
      <c r="CT408" s="122"/>
      <c r="CU408" s="122"/>
      <c r="CV408" s="122"/>
      <c r="CW408" s="122"/>
      <c r="CX408" s="122"/>
      <c r="CY408" s="122"/>
      <c r="CZ408" s="122"/>
      <c r="DA408" s="122"/>
      <c r="DB408" s="122"/>
      <c r="DC408" s="122"/>
      <c r="DD408" s="122"/>
      <c r="DE408" s="122"/>
      <c r="DF408" s="122"/>
      <c r="DG408" s="122"/>
      <c r="DH408" s="122"/>
      <c r="DI408" s="122"/>
      <c r="DJ408" s="122"/>
      <c r="DK408" s="122"/>
      <c r="DL408" s="122"/>
      <c r="DM408" s="122"/>
      <c r="DN408" s="122"/>
      <c r="DO408" s="122"/>
      <c r="DP408" s="122"/>
      <c r="DQ408" s="122"/>
      <c r="DR408" s="122"/>
      <c r="DS408" s="122"/>
      <c r="DT408" s="122"/>
      <c r="DU408" s="122"/>
      <c r="DV408" s="122"/>
      <c r="DW408" s="122"/>
      <c r="DX408" s="122"/>
      <c r="DY408" s="122"/>
      <c r="DZ408" s="122"/>
      <c r="EA408" s="122"/>
      <c r="EB408" s="122"/>
      <c r="EC408" s="122"/>
      <c r="ED408" s="122"/>
      <c r="EE408" s="122"/>
      <c r="EF408" s="122"/>
      <c r="EG408" s="122"/>
      <c r="EH408" s="122"/>
      <c r="EI408" s="122"/>
      <c r="EJ408" s="122"/>
      <c r="EK408" s="122"/>
      <c r="EL408" s="122"/>
      <c r="EM408" s="122"/>
      <c r="EN408" s="122"/>
      <c r="EO408" s="122"/>
      <c r="EP408" s="122"/>
      <c r="EQ408" s="122"/>
      <c r="ER408" s="122"/>
      <c r="ES408" s="122"/>
      <c r="ET408" s="122"/>
      <c r="EU408" s="122"/>
      <c r="EV408" s="122"/>
      <c r="EW408" s="122"/>
      <c r="EX408" s="122"/>
      <c r="EY408" s="122"/>
      <c r="EZ408" s="122"/>
      <c r="FA408" s="122"/>
      <c r="FB408" s="122"/>
      <c r="FC408" s="122"/>
      <c r="FD408" s="122"/>
      <c r="FE408" s="122"/>
      <c r="FF408" s="122"/>
      <c r="FG408" s="122"/>
      <c r="FH408" s="122"/>
      <c r="FI408" s="122"/>
      <c r="FJ408" s="122"/>
      <c r="FK408" s="122"/>
      <c r="FL408" s="122"/>
      <c r="FM408" s="122"/>
      <c r="FN408" s="122"/>
      <c r="FO408" s="122"/>
      <c r="FP408" s="122"/>
      <c r="FQ408" s="122"/>
      <c r="FR408" s="122"/>
      <c r="FS408" s="122"/>
      <c r="FT408" s="122"/>
      <c r="FU408" s="122"/>
      <c r="FV408" s="122"/>
      <c r="FW408" s="122"/>
      <c r="FX408" s="122"/>
      <c r="FY408" s="122"/>
      <c r="FZ408" s="122"/>
      <c r="GA408" s="122"/>
      <c r="GB408" s="122"/>
      <c r="GC408" s="122"/>
      <c r="GD408" s="122"/>
      <c r="GE408" s="122"/>
      <c r="GF408" s="122"/>
      <c r="GG408" s="122"/>
      <c r="GH408" s="122"/>
      <c r="GI408" s="122"/>
      <c r="GJ408" s="122"/>
      <c r="GK408" s="122"/>
      <c r="GL408" s="122"/>
      <c r="GM408" s="122"/>
      <c r="GN408" s="122"/>
      <c r="GO408" s="122"/>
      <c r="GP408" s="122"/>
      <c r="GQ408" s="122"/>
      <c r="GR408" s="122"/>
      <c r="GS408" s="122"/>
      <c r="GT408" s="122"/>
      <c r="GU408" s="122"/>
      <c r="GV408" s="122"/>
      <c r="GW408" s="122"/>
      <c r="GX408" s="122"/>
      <c r="GY408" s="122"/>
      <c r="GZ408" s="122"/>
      <c r="HA408" s="122"/>
      <c r="HB408" s="122"/>
      <c r="HC408" s="122"/>
      <c r="HD408" s="122"/>
      <c r="HE408" s="122"/>
      <c r="HF408" s="122"/>
      <c r="HG408" s="122"/>
      <c r="HH408" s="122"/>
      <c r="HI408" s="122"/>
      <c r="HJ408" s="122"/>
      <c r="HK408" s="122"/>
      <c r="HL408" s="122"/>
      <c r="HM408" s="122"/>
      <c r="HN408" s="122"/>
      <c r="HO408" s="122"/>
      <c r="HP408" s="122"/>
      <c r="HQ408" s="122"/>
      <c r="HR408" s="122"/>
      <c r="HS408" s="122"/>
      <c r="HT408" s="122"/>
      <c r="HU408" s="122"/>
      <c r="HV408" s="122"/>
      <c r="HW408" s="122"/>
      <c r="HX408" s="122"/>
      <c r="HY408" s="122"/>
      <c r="HZ408" s="122"/>
      <c r="IA408" s="122"/>
      <c r="IB408" s="122"/>
      <c r="IC408" s="122"/>
      <c r="ID408" s="122"/>
      <c r="IE408" s="122"/>
      <c r="IF408" s="122"/>
      <c r="IG408" s="122"/>
      <c r="IH408" s="122"/>
      <c r="II408" s="122"/>
      <c r="IJ408" s="122"/>
      <c r="IK408" s="122"/>
      <c r="IL408" s="122"/>
      <c r="IM408" s="122"/>
      <c r="IN408" s="122"/>
      <c r="IO408" s="122"/>
      <c r="IP408" s="122"/>
      <c r="IQ408" s="122"/>
      <c r="IR408" s="122"/>
      <c r="IS408" s="122"/>
      <c r="IT408" s="122"/>
      <c r="IU408" s="122"/>
      <c r="IV408" s="122"/>
      <c r="IW408" s="122"/>
      <c r="IX408" s="122"/>
      <c r="IY408" s="122"/>
      <c r="IZ408" s="122"/>
      <c r="JA408" s="122"/>
      <c r="JB408" s="122"/>
      <c r="JC408" s="122"/>
      <c r="JD408" s="122"/>
      <c r="JE408" s="122"/>
      <c r="JF408" s="122"/>
      <c r="JG408" s="122"/>
      <c r="JH408" s="122"/>
      <c r="JI408" s="119"/>
      <c r="JJ408" s="2"/>
      <c r="JK408" s="122"/>
      <c r="JL408" s="125"/>
      <c r="JM408" s="125"/>
      <c r="JN408" s="125"/>
      <c r="JO408" s="125"/>
      <c r="JP408" s="125"/>
    </row>
    <row r="409" spans="1:276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  <c r="AK409" s="122"/>
      <c r="AL409" s="122"/>
      <c r="AM409" s="122"/>
      <c r="AN409" s="122"/>
      <c r="AO409" s="122"/>
      <c r="AP409" s="122"/>
      <c r="AQ409" s="122"/>
      <c r="AR409" s="122"/>
      <c r="AS409" s="122"/>
      <c r="AT409" s="122"/>
      <c r="AU409" s="122"/>
      <c r="AV409" s="122"/>
      <c r="AW409" s="122"/>
      <c r="AX409" s="122"/>
      <c r="AY409" s="122"/>
      <c r="AZ409" s="122"/>
      <c r="BA409" s="122"/>
      <c r="BB409" s="122"/>
      <c r="BC409" s="122"/>
      <c r="BD409" s="122"/>
      <c r="BE409" s="122"/>
      <c r="BF409" s="122"/>
      <c r="BG409" s="122"/>
      <c r="BH409" s="122"/>
      <c r="BI409" s="122"/>
      <c r="BJ409" s="122"/>
      <c r="BK409" s="122"/>
      <c r="BL409" s="122"/>
      <c r="BM409" s="122"/>
      <c r="BN409" s="122"/>
      <c r="BO409" s="122"/>
      <c r="BP409" s="122"/>
      <c r="BQ409" s="122"/>
      <c r="BR409" s="122"/>
      <c r="BS409" s="122"/>
      <c r="BT409" s="122"/>
      <c r="BU409" s="122"/>
      <c r="BV409" s="122"/>
      <c r="BW409" s="122"/>
      <c r="BX409" s="122"/>
      <c r="BY409" s="122"/>
      <c r="BZ409" s="122"/>
      <c r="CA409" s="122"/>
      <c r="CB409" s="122"/>
      <c r="CC409" s="122"/>
      <c r="CD409" s="122"/>
      <c r="CE409" s="122"/>
      <c r="CF409" s="122"/>
      <c r="CG409" s="122"/>
      <c r="CH409" s="122"/>
      <c r="CI409" s="122"/>
      <c r="CJ409" s="122"/>
      <c r="CK409" s="122"/>
      <c r="CL409" s="122"/>
      <c r="CM409" s="122"/>
      <c r="CN409" s="122"/>
      <c r="CO409" s="122"/>
      <c r="CP409" s="122"/>
      <c r="CQ409" s="122"/>
      <c r="CR409" s="122"/>
      <c r="CS409" s="122"/>
      <c r="CT409" s="122"/>
      <c r="CU409" s="122"/>
      <c r="CV409" s="122"/>
      <c r="CW409" s="122"/>
      <c r="CX409" s="122"/>
      <c r="CY409" s="122"/>
      <c r="CZ409" s="122"/>
      <c r="DA409" s="122"/>
      <c r="DB409" s="122"/>
      <c r="DC409" s="122"/>
      <c r="DD409" s="122"/>
      <c r="DE409" s="122"/>
      <c r="DF409" s="122"/>
      <c r="DG409" s="122"/>
      <c r="DH409" s="122"/>
      <c r="DI409" s="122"/>
      <c r="DJ409" s="122"/>
      <c r="DK409" s="122"/>
      <c r="DL409" s="122"/>
      <c r="DM409" s="122"/>
      <c r="DN409" s="122"/>
      <c r="DO409" s="122"/>
      <c r="DP409" s="122"/>
      <c r="DQ409" s="122"/>
      <c r="DR409" s="122"/>
      <c r="DS409" s="122"/>
      <c r="DT409" s="122"/>
      <c r="DU409" s="122"/>
      <c r="DV409" s="122"/>
      <c r="DW409" s="122"/>
      <c r="DX409" s="122"/>
      <c r="DY409" s="122"/>
      <c r="DZ409" s="122"/>
      <c r="EA409" s="122"/>
      <c r="EB409" s="122"/>
      <c r="EC409" s="122"/>
      <c r="ED409" s="122"/>
      <c r="EE409" s="122"/>
      <c r="EF409" s="122"/>
      <c r="EG409" s="122"/>
      <c r="EH409" s="122"/>
      <c r="EI409" s="122"/>
      <c r="EJ409" s="122"/>
      <c r="EK409" s="122"/>
      <c r="EL409" s="122"/>
      <c r="EM409" s="122"/>
      <c r="EN409" s="122"/>
      <c r="EO409" s="122"/>
      <c r="EP409" s="122"/>
      <c r="EQ409" s="122"/>
      <c r="ER409" s="122"/>
      <c r="ES409" s="122"/>
      <c r="ET409" s="122"/>
      <c r="EU409" s="122"/>
      <c r="EV409" s="122"/>
      <c r="EW409" s="122"/>
      <c r="EX409" s="122"/>
      <c r="EY409" s="122"/>
      <c r="EZ409" s="122"/>
      <c r="FA409" s="122"/>
      <c r="FB409" s="122"/>
      <c r="FC409" s="122"/>
      <c r="FD409" s="122"/>
      <c r="FE409" s="122"/>
      <c r="FF409" s="122"/>
      <c r="FG409" s="122"/>
      <c r="FH409" s="122"/>
      <c r="FI409" s="122"/>
      <c r="FJ409" s="122"/>
      <c r="FK409" s="122"/>
      <c r="FL409" s="122"/>
      <c r="FM409" s="122"/>
      <c r="FN409" s="122"/>
      <c r="FO409" s="122"/>
      <c r="FP409" s="122"/>
      <c r="FQ409" s="122"/>
      <c r="FR409" s="122"/>
      <c r="FS409" s="122"/>
      <c r="FT409" s="122"/>
      <c r="FU409" s="122"/>
      <c r="FV409" s="122"/>
      <c r="FW409" s="122"/>
      <c r="FX409" s="122"/>
      <c r="FY409" s="122"/>
      <c r="FZ409" s="122"/>
      <c r="GA409" s="122"/>
      <c r="GB409" s="122"/>
      <c r="GC409" s="122"/>
      <c r="GD409" s="122"/>
      <c r="GE409" s="122"/>
      <c r="GF409" s="122"/>
      <c r="GG409" s="122"/>
      <c r="GH409" s="122"/>
      <c r="GI409" s="122"/>
      <c r="GJ409" s="122"/>
      <c r="GK409" s="122"/>
      <c r="GL409" s="122"/>
      <c r="GM409" s="122"/>
      <c r="GN409" s="122"/>
      <c r="GO409" s="122"/>
      <c r="GP409" s="122"/>
      <c r="GQ409" s="122"/>
      <c r="GR409" s="122"/>
      <c r="GS409" s="122"/>
      <c r="GT409" s="122"/>
      <c r="GU409" s="122"/>
      <c r="GV409" s="122"/>
      <c r="GW409" s="122"/>
      <c r="GX409" s="122"/>
      <c r="GY409" s="122"/>
      <c r="GZ409" s="122"/>
      <c r="HA409" s="122"/>
      <c r="HB409" s="122"/>
      <c r="HC409" s="122"/>
      <c r="HD409" s="122"/>
      <c r="HE409" s="122"/>
      <c r="HF409" s="122"/>
      <c r="HG409" s="122"/>
      <c r="HH409" s="122"/>
      <c r="HI409" s="122"/>
      <c r="HJ409" s="122"/>
      <c r="HK409" s="122"/>
      <c r="HL409" s="122"/>
      <c r="HM409" s="122"/>
      <c r="HN409" s="122"/>
      <c r="HO409" s="122"/>
      <c r="HP409" s="122"/>
      <c r="HQ409" s="122"/>
      <c r="HR409" s="122"/>
      <c r="HS409" s="122"/>
      <c r="HT409" s="122"/>
      <c r="HU409" s="122"/>
      <c r="HV409" s="122"/>
      <c r="HW409" s="122"/>
      <c r="HX409" s="122"/>
      <c r="HY409" s="122"/>
      <c r="HZ409" s="122"/>
      <c r="IA409" s="122"/>
      <c r="IB409" s="122"/>
      <c r="IC409" s="122"/>
      <c r="ID409" s="122"/>
      <c r="IE409" s="122"/>
      <c r="IF409" s="122"/>
      <c r="IG409" s="122"/>
      <c r="IH409" s="122"/>
      <c r="II409" s="122"/>
      <c r="IJ409" s="122"/>
      <c r="IK409" s="122"/>
      <c r="IL409" s="122"/>
      <c r="IM409" s="122"/>
      <c r="IN409" s="122"/>
      <c r="IO409" s="122"/>
      <c r="IP409" s="122"/>
      <c r="IQ409" s="122"/>
      <c r="IR409" s="122"/>
      <c r="IS409" s="122"/>
      <c r="IT409" s="122"/>
      <c r="IU409" s="122"/>
      <c r="IV409" s="122"/>
      <c r="IW409" s="122"/>
      <c r="IX409" s="122"/>
      <c r="IY409" s="122"/>
      <c r="IZ409" s="122"/>
      <c r="JA409" s="122"/>
      <c r="JB409" s="122"/>
      <c r="JC409" s="122"/>
      <c r="JD409" s="122"/>
      <c r="JE409" s="122"/>
      <c r="JF409" s="122"/>
      <c r="JG409" s="122"/>
      <c r="JH409" s="122"/>
      <c r="JI409" s="119"/>
      <c r="JJ409" s="2"/>
      <c r="JK409" s="122"/>
      <c r="JL409" s="125"/>
      <c r="JM409" s="125"/>
      <c r="JN409" s="125"/>
      <c r="JO409" s="125"/>
      <c r="JP409" s="125"/>
    </row>
    <row r="410" spans="1:276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  <c r="AI410" s="122"/>
      <c r="AJ410" s="122"/>
      <c r="AK410" s="122"/>
      <c r="AL410" s="122"/>
      <c r="AM410" s="122"/>
      <c r="AN410" s="122"/>
      <c r="AO410" s="122"/>
      <c r="AP410" s="122"/>
      <c r="AQ410" s="122"/>
      <c r="AR410" s="122"/>
      <c r="AS410" s="122"/>
      <c r="AT410" s="122"/>
      <c r="AU410" s="122"/>
      <c r="AV410" s="122"/>
      <c r="AW410" s="122"/>
      <c r="AX410" s="122"/>
      <c r="AY410" s="122"/>
      <c r="AZ410" s="122"/>
      <c r="BA410" s="122"/>
      <c r="BB410" s="122"/>
      <c r="BC410" s="122"/>
      <c r="BD410" s="122"/>
      <c r="BE410" s="122"/>
      <c r="BF410" s="122"/>
      <c r="BG410" s="122"/>
      <c r="BH410" s="122"/>
      <c r="BI410" s="122"/>
      <c r="BJ410" s="122"/>
      <c r="BK410" s="122"/>
      <c r="BL410" s="122"/>
      <c r="BM410" s="122"/>
      <c r="BN410" s="122"/>
      <c r="BO410" s="122"/>
      <c r="BP410" s="122"/>
      <c r="BQ410" s="122"/>
      <c r="BR410" s="122"/>
      <c r="BS410" s="122"/>
      <c r="BT410" s="122"/>
      <c r="BU410" s="122"/>
      <c r="BV410" s="122"/>
      <c r="BW410" s="122"/>
      <c r="BX410" s="122"/>
      <c r="BY410" s="122"/>
      <c r="BZ410" s="122"/>
      <c r="CA410" s="122"/>
      <c r="CB410" s="122"/>
      <c r="CC410" s="122"/>
      <c r="CD410" s="122"/>
      <c r="CE410" s="122"/>
      <c r="CF410" s="122"/>
      <c r="CG410" s="122"/>
      <c r="CH410" s="122"/>
      <c r="CI410" s="122"/>
      <c r="CJ410" s="122"/>
      <c r="CK410" s="122"/>
      <c r="CL410" s="122"/>
      <c r="CM410" s="122"/>
      <c r="CN410" s="122"/>
      <c r="CO410" s="122"/>
      <c r="CP410" s="122"/>
      <c r="CQ410" s="122"/>
      <c r="CR410" s="122"/>
      <c r="CS410" s="122"/>
      <c r="CT410" s="122"/>
      <c r="CU410" s="122"/>
      <c r="CV410" s="122"/>
      <c r="CW410" s="122"/>
      <c r="CX410" s="122"/>
      <c r="CY410" s="122"/>
      <c r="CZ410" s="122"/>
      <c r="DA410" s="122"/>
      <c r="DB410" s="122"/>
      <c r="DC410" s="122"/>
      <c r="DD410" s="122"/>
      <c r="DE410" s="122"/>
      <c r="DF410" s="122"/>
      <c r="DG410" s="122"/>
      <c r="DH410" s="122"/>
      <c r="DI410" s="122"/>
      <c r="DJ410" s="122"/>
      <c r="DK410" s="122"/>
      <c r="DL410" s="122"/>
      <c r="DM410" s="122"/>
      <c r="DN410" s="122"/>
      <c r="DO410" s="122"/>
      <c r="DP410" s="122"/>
      <c r="DQ410" s="122"/>
      <c r="DR410" s="122"/>
      <c r="DS410" s="122"/>
      <c r="DT410" s="122"/>
      <c r="DU410" s="122"/>
      <c r="DV410" s="122"/>
      <c r="DW410" s="122"/>
      <c r="DX410" s="122"/>
      <c r="DY410" s="122"/>
      <c r="DZ410" s="122"/>
      <c r="EA410" s="122"/>
      <c r="EB410" s="122"/>
      <c r="EC410" s="122"/>
      <c r="ED410" s="122"/>
      <c r="EE410" s="122"/>
      <c r="EF410" s="122"/>
      <c r="EG410" s="122"/>
      <c r="EH410" s="122"/>
      <c r="EI410" s="122"/>
      <c r="EJ410" s="122"/>
      <c r="EK410" s="122"/>
      <c r="EL410" s="122"/>
      <c r="EM410" s="122"/>
      <c r="EN410" s="122"/>
      <c r="EO410" s="122"/>
      <c r="EP410" s="122"/>
      <c r="EQ410" s="122"/>
      <c r="ER410" s="122"/>
      <c r="ES410" s="122"/>
      <c r="ET410" s="122"/>
      <c r="EU410" s="122"/>
      <c r="EV410" s="122"/>
      <c r="EW410" s="122"/>
      <c r="EX410" s="122"/>
      <c r="EY410" s="122"/>
      <c r="EZ410" s="122"/>
      <c r="FA410" s="122"/>
      <c r="FB410" s="122"/>
      <c r="FC410" s="122"/>
      <c r="FD410" s="122"/>
      <c r="FE410" s="122"/>
      <c r="FF410" s="122"/>
      <c r="FG410" s="122"/>
      <c r="FH410" s="122"/>
      <c r="FI410" s="122"/>
      <c r="FJ410" s="122"/>
      <c r="FK410" s="122"/>
      <c r="FL410" s="122"/>
      <c r="FM410" s="122"/>
      <c r="FN410" s="122"/>
      <c r="FO410" s="122"/>
      <c r="FP410" s="122"/>
      <c r="FQ410" s="122"/>
      <c r="FR410" s="122"/>
      <c r="FS410" s="122"/>
      <c r="FT410" s="122"/>
      <c r="FU410" s="122"/>
      <c r="FV410" s="122"/>
      <c r="FW410" s="122"/>
      <c r="FX410" s="122"/>
      <c r="FY410" s="122"/>
      <c r="FZ410" s="122"/>
      <c r="GA410" s="122"/>
      <c r="GB410" s="122"/>
      <c r="GC410" s="122"/>
      <c r="GD410" s="122"/>
      <c r="GE410" s="122"/>
      <c r="GF410" s="122"/>
      <c r="GG410" s="122"/>
      <c r="GH410" s="122"/>
      <c r="GI410" s="122"/>
      <c r="GJ410" s="122"/>
      <c r="GK410" s="122"/>
      <c r="GL410" s="122"/>
      <c r="GM410" s="122"/>
      <c r="GN410" s="122"/>
      <c r="GO410" s="122"/>
      <c r="GP410" s="122"/>
      <c r="GQ410" s="122"/>
      <c r="GR410" s="122"/>
      <c r="GS410" s="122"/>
      <c r="GT410" s="122"/>
      <c r="GU410" s="122"/>
      <c r="GV410" s="122"/>
      <c r="GW410" s="122"/>
      <c r="GX410" s="122"/>
      <c r="GY410" s="122"/>
      <c r="GZ410" s="122"/>
      <c r="HA410" s="122"/>
      <c r="HB410" s="122"/>
      <c r="HC410" s="122"/>
      <c r="HD410" s="122"/>
      <c r="HE410" s="122"/>
      <c r="HF410" s="122"/>
      <c r="HG410" s="122"/>
      <c r="HH410" s="122"/>
      <c r="HI410" s="122"/>
      <c r="HJ410" s="122"/>
      <c r="HK410" s="122"/>
      <c r="HL410" s="122"/>
      <c r="HM410" s="122"/>
      <c r="HN410" s="122"/>
      <c r="HO410" s="122"/>
      <c r="HP410" s="122"/>
      <c r="HQ410" s="122"/>
      <c r="HR410" s="122"/>
      <c r="HS410" s="122"/>
      <c r="HT410" s="122"/>
      <c r="HU410" s="122"/>
      <c r="HV410" s="122"/>
      <c r="HW410" s="122"/>
      <c r="HX410" s="122"/>
      <c r="HY410" s="122"/>
      <c r="HZ410" s="122"/>
      <c r="IA410" s="122"/>
      <c r="IB410" s="122"/>
      <c r="IC410" s="122"/>
      <c r="ID410" s="122"/>
      <c r="IE410" s="122"/>
      <c r="IF410" s="122"/>
      <c r="IG410" s="122"/>
      <c r="IH410" s="122"/>
      <c r="II410" s="122"/>
      <c r="IJ410" s="122"/>
      <c r="IK410" s="122"/>
      <c r="IL410" s="122"/>
      <c r="IM410" s="122"/>
      <c r="IN410" s="122"/>
      <c r="IO410" s="122"/>
      <c r="IP410" s="122"/>
      <c r="IQ410" s="122"/>
      <c r="IR410" s="122"/>
      <c r="IS410" s="122"/>
      <c r="IT410" s="122"/>
      <c r="IU410" s="122"/>
      <c r="IV410" s="122"/>
      <c r="IW410" s="122"/>
      <c r="IX410" s="122"/>
      <c r="IY410" s="122"/>
      <c r="IZ410" s="122"/>
      <c r="JA410" s="122"/>
      <c r="JB410" s="122"/>
      <c r="JC410" s="122"/>
      <c r="JD410" s="122"/>
      <c r="JE410" s="122"/>
      <c r="JF410" s="122"/>
      <c r="JG410" s="122"/>
      <c r="JH410" s="122"/>
      <c r="JI410" s="119"/>
      <c r="JJ410" s="2"/>
      <c r="JK410" s="122"/>
      <c r="JL410" s="125"/>
      <c r="JM410" s="125"/>
      <c r="JN410" s="125"/>
      <c r="JO410" s="125"/>
      <c r="JP410" s="125"/>
    </row>
    <row r="411" spans="1:276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  <c r="AK411" s="122"/>
      <c r="AL411" s="122"/>
      <c r="AM411" s="122"/>
      <c r="AN411" s="122"/>
      <c r="AO411" s="122"/>
      <c r="AP411" s="122"/>
      <c r="AQ411" s="122"/>
      <c r="AR411" s="122"/>
      <c r="AS411" s="122"/>
      <c r="AT411" s="122"/>
      <c r="AU411" s="122"/>
      <c r="AV411" s="122"/>
      <c r="AW411" s="122"/>
      <c r="AX411" s="122"/>
      <c r="AY411" s="122"/>
      <c r="AZ411" s="122"/>
      <c r="BA411" s="122"/>
      <c r="BB411" s="122"/>
      <c r="BC411" s="122"/>
      <c r="BD411" s="122"/>
      <c r="BE411" s="122"/>
      <c r="BF411" s="122"/>
      <c r="BG411" s="122"/>
      <c r="BH411" s="122"/>
      <c r="BI411" s="122"/>
      <c r="BJ411" s="122"/>
      <c r="BK411" s="122"/>
      <c r="BL411" s="122"/>
      <c r="BM411" s="122"/>
      <c r="BN411" s="122"/>
      <c r="BO411" s="122"/>
      <c r="BP411" s="122"/>
      <c r="BQ411" s="122"/>
      <c r="BR411" s="122"/>
      <c r="BS411" s="122"/>
      <c r="BT411" s="122"/>
      <c r="BU411" s="122"/>
      <c r="BV411" s="122"/>
      <c r="BW411" s="122"/>
      <c r="BX411" s="122"/>
      <c r="BY411" s="122"/>
      <c r="BZ411" s="122"/>
      <c r="CA411" s="122"/>
      <c r="CB411" s="122"/>
      <c r="CC411" s="122"/>
      <c r="CD411" s="122"/>
      <c r="CE411" s="122"/>
      <c r="CF411" s="122"/>
      <c r="CG411" s="122"/>
      <c r="CH411" s="122"/>
      <c r="CI411" s="122"/>
      <c r="CJ411" s="122"/>
      <c r="CK411" s="122"/>
      <c r="CL411" s="122"/>
      <c r="CM411" s="122"/>
      <c r="CN411" s="122"/>
      <c r="CO411" s="122"/>
      <c r="CP411" s="122"/>
      <c r="CQ411" s="122"/>
      <c r="CR411" s="122"/>
      <c r="CS411" s="122"/>
      <c r="CT411" s="122"/>
      <c r="CU411" s="122"/>
      <c r="CV411" s="122"/>
      <c r="CW411" s="122"/>
      <c r="CX411" s="122"/>
      <c r="CY411" s="122"/>
      <c r="CZ411" s="122"/>
      <c r="DA411" s="122"/>
      <c r="DB411" s="122"/>
      <c r="DC411" s="122"/>
      <c r="DD411" s="122"/>
      <c r="DE411" s="122"/>
      <c r="DF411" s="122"/>
      <c r="DG411" s="122"/>
      <c r="DH411" s="122"/>
      <c r="DI411" s="122"/>
      <c r="DJ411" s="122"/>
      <c r="DK411" s="122"/>
      <c r="DL411" s="122"/>
      <c r="DM411" s="122"/>
      <c r="DN411" s="122"/>
      <c r="DO411" s="122"/>
      <c r="DP411" s="122"/>
      <c r="DQ411" s="122"/>
      <c r="DR411" s="122"/>
      <c r="DS411" s="122"/>
      <c r="DT411" s="122"/>
      <c r="DU411" s="122"/>
      <c r="DV411" s="122"/>
      <c r="DW411" s="122"/>
      <c r="DX411" s="122"/>
      <c r="DY411" s="122"/>
      <c r="DZ411" s="122"/>
      <c r="EA411" s="122"/>
      <c r="EB411" s="122"/>
      <c r="EC411" s="122"/>
      <c r="ED411" s="122"/>
      <c r="EE411" s="122"/>
      <c r="EF411" s="122"/>
      <c r="EG411" s="122"/>
      <c r="EH411" s="122"/>
      <c r="EI411" s="122"/>
      <c r="EJ411" s="122"/>
      <c r="EK411" s="122"/>
      <c r="EL411" s="122"/>
      <c r="EM411" s="122"/>
      <c r="EN411" s="122"/>
      <c r="EO411" s="122"/>
      <c r="EP411" s="122"/>
      <c r="EQ411" s="122"/>
      <c r="ER411" s="122"/>
      <c r="ES411" s="122"/>
      <c r="ET411" s="122"/>
      <c r="EU411" s="122"/>
      <c r="EV411" s="122"/>
      <c r="EW411" s="122"/>
      <c r="EX411" s="122"/>
      <c r="EY411" s="122"/>
      <c r="EZ411" s="122"/>
      <c r="FA411" s="122"/>
      <c r="FB411" s="122"/>
      <c r="FC411" s="122"/>
      <c r="FD411" s="122"/>
      <c r="FE411" s="122"/>
      <c r="FF411" s="122"/>
      <c r="FG411" s="122"/>
      <c r="FH411" s="122"/>
      <c r="FI411" s="122"/>
      <c r="FJ411" s="122"/>
      <c r="FK411" s="122"/>
      <c r="FL411" s="122"/>
      <c r="FM411" s="122"/>
      <c r="FN411" s="122"/>
      <c r="FO411" s="122"/>
      <c r="FP411" s="122"/>
      <c r="FQ411" s="122"/>
      <c r="FR411" s="122"/>
      <c r="FS411" s="122"/>
      <c r="FT411" s="122"/>
      <c r="FU411" s="122"/>
      <c r="FV411" s="122"/>
      <c r="FW411" s="122"/>
      <c r="FX411" s="122"/>
      <c r="FY411" s="122"/>
      <c r="FZ411" s="122"/>
      <c r="GA411" s="122"/>
      <c r="GB411" s="122"/>
      <c r="GC411" s="122"/>
      <c r="GD411" s="122"/>
      <c r="GE411" s="122"/>
      <c r="GF411" s="122"/>
      <c r="GG411" s="122"/>
      <c r="GH411" s="122"/>
      <c r="GI411" s="122"/>
      <c r="GJ411" s="122"/>
      <c r="GK411" s="122"/>
      <c r="GL411" s="122"/>
      <c r="GM411" s="122"/>
      <c r="GN411" s="122"/>
      <c r="GO411" s="122"/>
      <c r="GP411" s="122"/>
      <c r="GQ411" s="122"/>
      <c r="GR411" s="122"/>
      <c r="GS411" s="122"/>
      <c r="GT411" s="122"/>
      <c r="GU411" s="122"/>
      <c r="GV411" s="122"/>
      <c r="GW411" s="122"/>
      <c r="GX411" s="122"/>
      <c r="GY411" s="122"/>
      <c r="GZ411" s="122"/>
      <c r="HA411" s="122"/>
      <c r="HB411" s="122"/>
      <c r="HC411" s="122"/>
      <c r="HD411" s="122"/>
      <c r="HE411" s="122"/>
      <c r="HF411" s="122"/>
      <c r="HG411" s="122"/>
      <c r="HH411" s="122"/>
      <c r="HI411" s="122"/>
      <c r="HJ411" s="122"/>
      <c r="HK411" s="122"/>
      <c r="HL411" s="122"/>
      <c r="HM411" s="122"/>
      <c r="HN411" s="122"/>
      <c r="HO411" s="122"/>
      <c r="HP411" s="122"/>
      <c r="HQ411" s="122"/>
      <c r="HR411" s="122"/>
      <c r="HS411" s="122"/>
      <c r="HT411" s="122"/>
      <c r="HU411" s="122"/>
      <c r="HV411" s="122"/>
      <c r="HW411" s="122"/>
      <c r="HX411" s="122"/>
      <c r="HY411" s="122"/>
      <c r="HZ411" s="122"/>
      <c r="IA411" s="122"/>
      <c r="IB411" s="122"/>
      <c r="IC411" s="122"/>
      <c r="ID411" s="122"/>
      <c r="IE411" s="122"/>
      <c r="IF411" s="122"/>
      <c r="IG411" s="122"/>
      <c r="IH411" s="122"/>
      <c r="II411" s="122"/>
      <c r="IJ411" s="122"/>
      <c r="IK411" s="122"/>
      <c r="IL411" s="122"/>
      <c r="IM411" s="122"/>
      <c r="IN411" s="122"/>
      <c r="IO411" s="122"/>
      <c r="IP411" s="122"/>
      <c r="IQ411" s="122"/>
      <c r="IR411" s="122"/>
      <c r="IS411" s="122"/>
      <c r="IT411" s="122"/>
      <c r="IU411" s="122"/>
      <c r="IV411" s="122"/>
      <c r="IW411" s="122"/>
      <c r="IX411" s="122"/>
      <c r="IY411" s="122"/>
      <c r="IZ411" s="122"/>
      <c r="JA411" s="122"/>
      <c r="JB411" s="122"/>
      <c r="JC411" s="122"/>
      <c r="JD411" s="122"/>
      <c r="JE411" s="122"/>
      <c r="JF411" s="122"/>
      <c r="JG411" s="122"/>
      <c r="JH411" s="122"/>
      <c r="JI411" s="119"/>
      <c r="JJ411" s="2"/>
      <c r="JK411" s="122"/>
      <c r="JL411" s="125"/>
      <c r="JM411" s="125"/>
      <c r="JN411" s="125"/>
      <c r="JO411" s="125"/>
      <c r="JP411" s="125"/>
    </row>
    <row r="412" spans="1:276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122"/>
      <c r="AI412" s="122"/>
      <c r="AJ412" s="122"/>
      <c r="AK412" s="122"/>
      <c r="AL412" s="122"/>
      <c r="AM412" s="122"/>
      <c r="AN412" s="122"/>
      <c r="AO412" s="122"/>
      <c r="AP412" s="122"/>
      <c r="AQ412" s="122"/>
      <c r="AR412" s="122"/>
      <c r="AS412" s="122"/>
      <c r="AT412" s="122"/>
      <c r="AU412" s="122"/>
      <c r="AV412" s="122"/>
      <c r="AW412" s="122"/>
      <c r="AX412" s="122"/>
      <c r="AY412" s="122"/>
      <c r="AZ412" s="122"/>
      <c r="BA412" s="122"/>
      <c r="BB412" s="122"/>
      <c r="BC412" s="122"/>
      <c r="BD412" s="122"/>
      <c r="BE412" s="122"/>
      <c r="BF412" s="122"/>
      <c r="BG412" s="122"/>
      <c r="BH412" s="122"/>
      <c r="BI412" s="122"/>
      <c r="BJ412" s="122"/>
      <c r="BK412" s="122"/>
      <c r="BL412" s="122"/>
      <c r="BM412" s="122"/>
      <c r="BN412" s="122"/>
      <c r="BO412" s="122"/>
      <c r="BP412" s="122"/>
      <c r="BQ412" s="122"/>
      <c r="BR412" s="122"/>
      <c r="BS412" s="122"/>
      <c r="BT412" s="122"/>
      <c r="BU412" s="122"/>
      <c r="BV412" s="122"/>
      <c r="BW412" s="122"/>
      <c r="BX412" s="122"/>
      <c r="BY412" s="122"/>
      <c r="BZ412" s="122"/>
      <c r="CA412" s="122"/>
      <c r="CB412" s="122"/>
      <c r="CC412" s="122"/>
      <c r="CD412" s="122"/>
      <c r="CE412" s="122"/>
      <c r="CF412" s="122"/>
      <c r="CG412" s="122"/>
      <c r="CH412" s="122"/>
      <c r="CI412" s="122"/>
      <c r="CJ412" s="122"/>
      <c r="CK412" s="122"/>
      <c r="CL412" s="122"/>
      <c r="CM412" s="122"/>
      <c r="CN412" s="122"/>
      <c r="CO412" s="122"/>
      <c r="CP412" s="122"/>
      <c r="CQ412" s="122"/>
      <c r="CR412" s="122"/>
      <c r="CS412" s="122"/>
      <c r="CT412" s="122"/>
      <c r="CU412" s="122"/>
      <c r="CV412" s="122"/>
      <c r="CW412" s="122"/>
      <c r="CX412" s="122"/>
      <c r="CY412" s="122"/>
      <c r="CZ412" s="122"/>
      <c r="DA412" s="122"/>
      <c r="DB412" s="122"/>
      <c r="DC412" s="122"/>
      <c r="DD412" s="122"/>
      <c r="DE412" s="122"/>
      <c r="DF412" s="122"/>
      <c r="DG412" s="122"/>
      <c r="DH412" s="122"/>
      <c r="DI412" s="122"/>
      <c r="DJ412" s="122"/>
      <c r="DK412" s="122"/>
      <c r="DL412" s="122"/>
      <c r="DM412" s="122"/>
      <c r="DN412" s="122"/>
      <c r="DO412" s="122"/>
      <c r="DP412" s="122"/>
      <c r="DQ412" s="122"/>
      <c r="DR412" s="122"/>
      <c r="DS412" s="122"/>
      <c r="DT412" s="122"/>
      <c r="DU412" s="122"/>
      <c r="DV412" s="122"/>
      <c r="DW412" s="122"/>
      <c r="DX412" s="122"/>
      <c r="DY412" s="122"/>
      <c r="DZ412" s="122"/>
      <c r="EA412" s="122"/>
      <c r="EB412" s="122"/>
      <c r="EC412" s="122"/>
      <c r="ED412" s="122"/>
      <c r="EE412" s="122"/>
      <c r="EF412" s="122"/>
      <c r="EG412" s="122"/>
      <c r="EH412" s="122"/>
      <c r="EI412" s="122"/>
      <c r="EJ412" s="122"/>
      <c r="EK412" s="122"/>
      <c r="EL412" s="122"/>
      <c r="EM412" s="122"/>
      <c r="EN412" s="122"/>
      <c r="EO412" s="122"/>
      <c r="EP412" s="122"/>
      <c r="EQ412" s="122"/>
      <c r="ER412" s="122"/>
      <c r="ES412" s="122"/>
      <c r="ET412" s="122"/>
      <c r="EU412" s="122"/>
      <c r="EV412" s="122"/>
      <c r="EW412" s="122"/>
      <c r="EX412" s="122"/>
      <c r="EY412" s="122"/>
      <c r="EZ412" s="122"/>
      <c r="FA412" s="122"/>
      <c r="FB412" s="122"/>
      <c r="FC412" s="122"/>
      <c r="FD412" s="122"/>
      <c r="FE412" s="122"/>
      <c r="FF412" s="122"/>
      <c r="FG412" s="122"/>
      <c r="FH412" s="122"/>
      <c r="FI412" s="122"/>
      <c r="FJ412" s="122"/>
      <c r="FK412" s="122"/>
      <c r="FL412" s="122"/>
      <c r="FM412" s="122"/>
      <c r="FN412" s="122"/>
      <c r="FO412" s="122"/>
      <c r="FP412" s="122"/>
      <c r="FQ412" s="122"/>
      <c r="FR412" s="122"/>
      <c r="FS412" s="122"/>
      <c r="FT412" s="122"/>
      <c r="FU412" s="122"/>
      <c r="FV412" s="122"/>
      <c r="FW412" s="122"/>
      <c r="FX412" s="122"/>
      <c r="FY412" s="122"/>
      <c r="FZ412" s="122"/>
      <c r="GA412" s="122"/>
      <c r="GB412" s="122"/>
      <c r="GC412" s="122"/>
      <c r="GD412" s="122"/>
      <c r="GE412" s="122"/>
      <c r="GF412" s="122"/>
      <c r="GG412" s="122"/>
      <c r="GH412" s="122"/>
      <c r="GI412" s="122"/>
      <c r="GJ412" s="122"/>
      <c r="GK412" s="122"/>
      <c r="GL412" s="122"/>
      <c r="GM412" s="122"/>
      <c r="GN412" s="122"/>
      <c r="GO412" s="122"/>
      <c r="GP412" s="122"/>
      <c r="GQ412" s="122"/>
      <c r="GR412" s="122"/>
      <c r="GS412" s="122"/>
      <c r="GT412" s="122"/>
      <c r="GU412" s="122"/>
      <c r="GV412" s="122"/>
      <c r="GW412" s="122"/>
      <c r="GX412" s="122"/>
      <c r="GY412" s="122"/>
      <c r="GZ412" s="122"/>
      <c r="HA412" s="122"/>
      <c r="HB412" s="122"/>
      <c r="HC412" s="122"/>
      <c r="HD412" s="122"/>
      <c r="HE412" s="122"/>
      <c r="HF412" s="122"/>
      <c r="HG412" s="122"/>
      <c r="HH412" s="122"/>
      <c r="HI412" s="122"/>
      <c r="HJ412" s="122"/>
      <c r="HK412" s="122"/>
      <c r="HL412" s="122"/>
      <c r="HM412" s="122"/>
      <c r="HN412" s="122"/>
      <c r="HO412" s="122"/>
      <c r="HP412" s="122"/>
      <c r="HQ412" s="122"/>
      <c r="HR412" s="122"/>
      <c r="HS412" s="122"/>
      <c r="HT412" s="122"/>
      <c r="HU412" s="122"/>
      <c r="HV412" s="122"/>
      <c r="HW412" s="122"/>
      <c r="HX412" s="122"/>
      <c r="HY412" s="122"/>
      <c r="HZ412" s="122"/>
      <c r="IA412" s="122"/>
      <c r="IB412" s="122"/>
      <c r="IC412" s="122"/>
      <c r="ID412" s="122"/>
      <c r="IE412" s="122"/>
      <c r="IF412" s="122"/>
      <c r="IG412" s="122"/>
      <c r="IH412" s="122"/>
      <c r="II412" s="122"/>
      <c r="IJ412" s="122"/>
      <c r="IK412" s="122"/>
      <c r="IL412" s="122"/>
      <c r="IM412" s="122"/>
      <c r="IN412" s="122"/>
      <c r="IO412" s="122"/>
      <c r="IP412" s="122"/>
      <c r="IQ412" s="122"/>
      <c r="IR412" s="122"/>
      <c r="IS412" s="122"/>
      <c r="IT412" s="122"/>
      <c r="IU412" s="122"/>
      <c r="IV412" s="122"/>
      <c r="IW412" s="122"/>
      <c r="IX412" s="122"/>
      <c r="IY412" s="122"/>
      <c r="IZ412" s="122"/>
      <c r="JA412" s="122"/>
      <c r="JB412" s="122"/>
      <c r="JC412" s="122"/>
      <c r="JD412" s="122"/>
      <c r="JE412" s="122"/>
      <c r="JF412" s="122"/>
      <c r="JG412" s="122"/>
      <c r="JH412" s="122"/>
      <c r="JI412" s="119"/>
      <c r="JJ412" s="2"/>
      <c r="JK412" s="122"/>
      <c r="JL412" s="125"/>
      <c r="JM412" s="125"/>
      <c r="JN412" s="125"/>
      <c r="JO412" s="125"/>
      <c r="JP412" s="125"/>
    </row>
    <row r="413" spans="1:276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122"/>
      <c r="AJ413" s="122"/>
      <c r="AK413" s="122"/>
      <c r="AL413" s="122"/>
      <c r="AM413" s="122"/>
      <c r="AN413" s="122"/>
      <c r="AO413" s="122"/>
      <c r="AP413" s="122"/>
      <c r="AQ413" s="122"/>
      <c r="AR413" s="122"/>
      <c r="AS413" s="122"/>
      <c r="AT413" s="122"/>
      <c r="AU413" s="122"/>
      <c r="AV413" s="122"/>
      <c r="AW413" s="122"/>
      <c r="AX413" s="122"/>
      <c r="AY413" s="122"/>
      <c r="AZ413" s="122"/>
      <c r="BA413" s="122"/>
      <c r="BB413" s="122"/>
      <c r="BC413" s="122"/>
      <c r="BD413" s="122"/>
      <c r="BE413" s="122"/>
      <c r="BF413" s="122"/>
      <c r="BG413" s="122"/>
      <c r="BH413" s="122"/>
      <c r="BI413" s="122"/>
      <c r="BJ413" s="122"/>
      <c r="BK413" s="122"/>
      <c r="BL413" s="122"/>
      <c r="BM413" s="122"/>
      <c r="BN413" s="122"/>
      <c r="BO413" s="122"/>
      <c r="BP413" s="122"/>
      <c r="BQ413" s="122"/>
      <c r="BR413" s="122"/>
      <c r="BS413" s="122"/>
      <c r="BT413" s="122"/>
      <c r="BU413" s="122"/>
      <c r="BV413" s="122"/>
      <c r="BW413" s="122"/>
      <c r="BX413" s="122"/>
      <c r="BY413" s="122"/>
      <c r="BZ413" s="122"/>
      <c r="CA413" s="122"/>
      <c r="CB413" s="122"/>
      <c r="CC413" s="122"/>
      <c r="CD413" s="122"/>
      <c r="CE413" s="122"/>
      <c r="CF413" s="122"/>
      <c r="CG413" s="122"/>
      <c r="CH413" s="122"/>
      <c r="CI413" s="122"/>
      <c r="CJ413" s="122"/>
      <c r="CK413" s="122"/>
      <c r="CL413" s="122"/>
      <c r="CM413" s="122"/>
      <c r="CN413" s="122"/>
      <c r="CO413" s="122"/>
      <c r="CP413" s="122"/>
      <c r="CQ413" s="122"/>
      <c r="CR413" s="122"/>
      <c r="CS413" s="122"/>
      <c r="CT413" s="122"/>
      <c r="CU413" s="122"/>
      <c r="CV413" s="122"/>
      <c r="CW413" s="122"/>
      <c r="CX413" s="122"/>
      <c r="CY413" s="122"/>
      <c r="CZ413" s="122"/>
      <c r="DA413" s="122"/>
      <c r="DB413" s="122"/>
      <c r="DC413" s="122"/>
      <c r="DD413" s="122"/>
      <c r="DE413" s="122"/>
      <c r="DF413" s="122"/>
      <c r="DG413" s="122"/>
      <c r="DH413" s="122"/>
      <c r="DI413" s="122"/>
      <c r="DJ413" s="122"/>
      <c r="DK413" s="122"/>
      <c r="DL413" s="122"/>
      <c r="DM413" s="122"/>
      <c r="DN413" s="122"/>
      <c r="DO413" s="122"/>
      <c r="DP413" s="122"/>
      <c r="DQ413" s="122"/>
      <c r="DR413" s="122"/>
      <c r="DS413" s="122"/>
      <c r="DT413" s="122"/>
      <c r="DU413" s="122"/>
      <c r="DV413" s="122"/>
      <c r="DW413" s="122"/>
      <c r="DX413" s="122"/>
      <c r="DY413" s="122"/>
      <c r="DZ413" s="122"/>
      <c r="EA413" s="122"/>
      <c r="EB413" s="122"/>
      <c r="EC413" s="122"/>
      <c r="ED413" s="122"/>
      <c r="EE413" s="122"/>
      <c r="EF413" s="122"/>
      <c r="EG413" s="122"/>
      <c r="EH413" s="122"/>
      <c r="EI413" s="122"/>
      <c r="EJ413" s="122"/>
      <c r="EK413" s="122"/>
      <c r="EL413" s="122"/>
      <c r="EM413" s="122"/>
      <c r="EN413" s="122"/>
      <c r="EO413" s="122"/>
      <c r="EP413" s="122"/>
      <c r="EQ413" s="122"/>
      <c r="ER413" s="122"/>
      <c r="ES413" s="122"/>
      <c r="ET413" s="122"/>
      <c r="EU413" s="122"/>
      <c r="EV413" s="122"/>
      <c r="EW413" s="122"/>
      <c r="EX413" s="122"/>
      <c r="EY413" s="122"/>
      <c r="EZ413" s="122"/>
      <c r="FA413" s="122"/>
      <c r="FB413" s="122"/>
      <c r="FC413" s="122"/>
      <c r="FD413" s="122"/>
      <c r="FE413" s="122"/>
      <c r="FF413" s="122"/>
      <c r="FG413" s="122"/>
      <c r="FH413" s="122"/>
      <c r="FI413" s="122"/>
      <c r="FJ413" s="122"/>
      <c r="FK413" s="122"/>
      <c r="FL413" s="122"/>
      <c r="FM413" s="122"/>
      <c r="FN413" s="122"/>
      <c r="FO413" s="122"/>
      <c r="FP413" s="122"/>
      <c r="FQ413" s="122"/>
      <c r="FR413" s="122"/>
      <c r="FS413" s="122"/>
      <c r="FT413" s="122"/>
      <c r="FU413" s="122"/>
      <c r="FV413" s="122"/>
      <c r="FW413" s="122"/>
      <c r="FX413" s="122"/>
      <c r="FY413" s="122"/>
      <c r="FZ413" s="122"/>
      <c r="GA413" s="122"/>
      <c r="GB413" s="122"/>
      <c r="GC413" s="122"/>
      <c r="GD413" s="122"/>
      <c r="GE413" s="122"/>
      <c r="GF413" s="122"/>
      <c r="GG413" s="122"/>
      <c r="GH413" s="122"/>
      <c r="GI413" s="122"/>
      <c r="GJ413" s="122"/>
      <c r="GK413" s="122"/>
      <c r="GL413" s="122"/>
      <c r="GM413" s="122"/>
      <c r="GN413" s="122"/>
      <c r="GO413" s="122"/>
      <c r="GP413" s="122"/>
      <c r="GQ413" s="122"/>
      <c r="GR413" s="122"/>
      <c r="GS413" s="122"/>
      <c r="GT413" s="122"/>
      <c r="GU413" s="122"/>
      <c r="GV413" s="122"/>
      <c r="GW413" s="122"/>
      <c r="GX413" s="122"/>
      <c r="GY413" s="122"/>
      <c r="GZ413" s="122"/>
      <c r="HA413" s="122"/>
      <c r="HB413" s="122"/>
      <c r="HC413" s="122"/>
      <c r="HD413" s="122"/>
      <c r="HE413" s="122"/>
      <c r="HF413" s="122"/>
      <c r="HG413" s="122"/>
      <c r="HH413" s="122"/>
      <c r="HI413" s="122"/>
      <c r="HJ413" s="122"/>
      <c r="HK413" s="122"/>
      <c r="HL413" s="122"/>
      <c r="HM413" s="122"/>
      <c r="HN413" s="122"/>
      <c r="HO413" s="122"/>
      <c r="HP413" s="122"/>
      <c r="HQ413" s="122"/>
      <c r="HR413" s="122"/>
      <c r="HS413" s="122"/>
      <c r="HT413" s="122"/>
      <c r="HU413" s="122"/>
      <c r="HV413" s="122"/>
      <c r="HW413" s="122"/>
      <c r="HX413" s="122"/>
      <c r="HY413" s="122"/>
      <c r="HZ413" s="122"/>
      <c r="IA413" s="122"/>
      <c r="IB413" s="122"/>
      <c r="IC413" s="122"/>
      <c r="ID413" s="122"/>
      <c r="IE413" s="122"/>
      <c r="IF413" s="122"/>
      <c r="IG413" s="122"/>
      <c r="IH413" s="122"/>
      <c r="II413" s="122"/>
      <c r="IJ413" s="122"/>
      <c r="IK413" s="122"/>
      <c r="IL413" s="122"/>
      <c r="IM413" s="122"/>
      <c r="IN413" s="122"/>
      <c r="IO413" s="122"/>
      <c r="IP413" s="122"/>
      <c r="IQ413" s="122"/>
      <c r="IR413" s="122"/>
      <c r="IS413" s="122"/>
      <c r="IT413" s="122"/>
      <c r="IU413" s="122"/>
      <c r="IV413" s="122"/>
      <c r="IW413" s="122"/>
      <c r="IX413" s="122"/>
      <c r="IY413" s="122"/>
      <c r="IZ413" s="122"/>
      <c r="JA413" s="122"/>
      <c r="JB413" s="122"/>
      <c r="JC413" s="122"/>
      <c r="JD413" s="122"/>
      <c r="JE413" s="122"/>
      <c r="JF413" s="122"/>
      <c r="JG413" s="122"/>
      <c r="JH413" s="122"/>
      <c r="JI413" s="119"/>
      <c r="JJ413" s="2"/>
      <c r="JK413" s="122"/>
      <c r="JL413" s="125"/>
      <c r="JM413" s="125"/>
      <c r="JN413" s="125"/>
      <c r="JO413" s="125"/>
      <c r="JP413" s="125"/>
    </row>
    <row r="414" spans="1:276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  <c r="AI414" s="122"/>
      <c r="AJ414" s="122"/>
      <c r="AK414" s="122"/>
      <c r="AL414" s="122"/>
      <c r="AM414" s="122"/>
      <c r="AN414" s="122"/>
      <c r="AO414" s="122"/>
      <c r="AP414" s="122"/>
      <c r="AQ414" s="122"/>
      <c r="AR414" s="122"/>
      <c r="AS414" s="122"/>
      <c r="AT414" s="122"/>
      <c r="AU414" s="122"/>
      <c r="AV414" s="122"/>
      <c r="AW414" s="122"/>
      <c r="AX414" s="122"/>
      <c r="AY414" s="122"/>
      <c r="AZ414" s="122"/>
      <c r="BA414" s="122"/>
      <c r="BB414" s="122"/>
      <c r="BC414" s="122"/>
      <c r="BD414" s="122"/>
      <c r="BE414" s="122"/>
      <c r="BF414" s="122"/>
      <c r="BG414" s="122"/>
      <c r="BH414" s="122"/>
      <c r="BI414" s="122"/>
      <c r="BJ414" s="122"/>
      <c r="BK414" s="122"/>
      <c r="BL414" s="122"/>
      <c r="BM414" s="122"/>
      <c r="BN414" s="122"/>
      <c r="BO414" s="122"/>
      <c r="BP414" s="122"/>
      <c r="BQ414" s="122"/>
      <c r="BR414" s="122"/>
      <c r="BS414" s="122"/>
      <c r="BT414" s="122"/>
      <c r="BU414" s="122"/>
      <c r="BV414" s="122"/>
      <c r="BW414" s="122"/>
      <c r="BX414" s="122"/>
      <c r="BY414" s="122"/>
      <c r="BZ414" s="122"/>
      <c r="CA414" s="122"/>
      <c r="CB414" s="122"/>
      <c r="CC414" s="122"/>
      <c r="CD414" s="122"/>
      <c r="CE414" s="122"/>
      <c r="CF414" s="122"/>
      <c r="CG414" s="122"/>
      <c r="CH414" s="122"/>
      <c r="CI414" s="122"/>
      <c r="CJ414" s="122"/>
      <c r="CK414" s="122"/>
      <c r="CL414" s="122"/>
      <c r="CM414" s="122"/>
      <c r="CN414" s="122"/>
      <c r="CO414" s="122"/>
      <c r="CP414" s="122"/>
      <c r="CQ414" s="122"/>
      <c r="CR414" s="122"/>
      <c r="CS414" s="122"/>
      <c r="CT414" s="122"/>
      <c r="CU414" s="122"/>
      <c r="CV414" s="122"/>
      <c r="CW414" s="122"/>
      <c r="CX414" s="122"/>
      <c r="CY414" s="122"/>
      <c r="CZ414" s="122"/>
      <c r="DA414" s="122"/>
      <c r="DB414" s="122"/>
      <c r="DC414" s="122"/>
      <c r="DD414" s="122"/>
      <c r="DE414" s="122"/>
      <c r="DF414" s="122"/>
      <c r="DG414" s="122"/>
      <c r="DH414" s="122"/>
      <c r="DI414" s="122"/>
      <c r="DJ414" s="122"/>
      <c r="DK414" s="122"/>
      <c r="DL414" s="122"/>
      <c r="DM414" s="122"/>
      <c r="DN414" s="122"/>
      <c r="DO414" s="122"/>
      <c r="DP414" s="122"/>
      <c r="DQ414" s="122"/>
      <c r="DR414" s="122"/>
      <c r="DS414" s="122"/>
      <c r="DT414" s="122"/>
      <c r="DU414" s="122"/>
      <c r="DV414" s="122"/>
      <c r="DW414" s="122"/>
      <c r="DX414" s="122"/>
      <c r="DY414" s="122"/>
      <c r="DZ414" s="122"/>
      <c r="EA414" s="122"/>
      <c r="EB414" s="122"/>
      <c r="EC414" s="122"/>
      <c r="ED414" s="122"/>
      <c r="EE414" s="122"/>
      <c r="EF414" s="122"/>
      <c r="EG414" s="122"/>
      <c r="EH414" s="122"/>
      <c r="EI414" s="122"/>
      <c r="EJ414" s="122"/>
      <c r="EK414" s="122"/>
      <c r="EL414" s="122"/>
      <c r="EM414" s="122"/>
      <c r="EN414" s="122"/>
      <c r="EO414" s="122"/>
      <c r="EP414" s="122"/>
      <c r="EQ414" s="122"/>
      <c r="ER414" s="122"/>
      <c r="ES414" s="122"/>
      <c r="ET414" s="122"/>
      <c r="EU414" s="122"/>
      <c r="EV414" s="122"/>
      <c r="EW414" s="122"/>
      <c r="EX414" s="122"/>
      <c r="EY414" s="122"/>
      <c r="EZ414" s="122"/>
      <c r="FA414" s="122"/>
      <c r="FB414" s="122"/>
      <c r="FC414" s="122"/>
      <c r="FD414" s="122"/>
      <c r="FE414" s="122"/>
      <c r="FF414" s="122"/>
      <c r="FG414" s="122"/>
      <c r="FH414" s="122"/>
      <c r="FI414" s="122"/>
      <c r="FJ414" s="122"/>
      <c r="FK414" s="122"/>
      <c r="FL414" s="122"/>
      <c r="FM414" s="122"/>
      <c r="FN414" s="122"/>
      <c r="FO414" s="122"/>
      <c r="FP414" s="122"/>
      <c r="FQ414" s="122"/>
      <c r="FR414" s="122"/>
      <c r="FS414" s="122"/>
      <c r="FT414" s="122"/>
      <c r="FU414" s="122"/>
      <c r="FV414" s="122"/>
      <c r="FW414" s="122"/>
      <c r="FX414" s="122"/>
      <c r="FY414" s="122"/>
      <c r="FZ414" s="122"/>
      <c r="GA414" s="122"/>
      <c r="GB414" s="122"/>
      <c r="GC414" s="122"/>
      <c r="GD414" s="122"/>
      <c r="GE414" s="122"/>
      <c r="GF414" s="122"/>
      <c r="GG414" s="122"/>
      <c r="GH414" s="122"/>
      <c r="GI414" s="122"/>
      <c r="GJ414" s="122"/>
      <c r="GK414" s="122"/>
      <c r="GL414" s="122"/>
      <c r="GM414" s="122"/>
      <c r="GN414" s="122"/>
      <c r="GO414" s="122"/>
      <c r="GP414" s="122"/>
      <c r="GQ414" s="122"/>
      <c r="GR414" s="122"/>
      <c r="GS414" s="122"/>
      <c r="GT414" s="122"/>
      <c r="GU414" s="122"/>
      <c r="GV414" s="122"/>
      <c r="GW414" s="122"/>
      <c r="GX414" s="122"/>
      <c r="GY414" s="122"/>
      <c r="GZ414" s="122"/>
      <c r="HA414" s="122"/>
      <c r="HB414" s="122"/>
      <c r="HC414" s="122"/>
      <c r="HD414" s="122"/>
      <c r="HE414" s="122"/>
      <c r="HF414" s="122"/>
      <c r="HG414" s="122"/>
      <c r="HH414" s="122"/>
      <c r="HI414" s="122"/>
      <c r="HJ414" s="122"/>
      <c r="HK414" s="122"/>
      <c r="HL414" s="122"/>
      <c r="HM414" s="122"/>
      <c r="HN414" s="122"/>
      <c r="HO414" s="122"/>
      <c r="HP414" s="122"/>
      <c r="HQ414" s="122"/>
      <c r="HR414" s="122"/>
      <c r="HS414" s="122"/>
      <c r="HT414" s="122"/>
      <c r="HU414" s="122"/>
      <c r="HV414" s="122"/>
      <c r="HW414" s="122"/>
      <c r="HX414" s="122"/>
      <c r="HY414" s="122"/>
      <c r="HZ414" s="122"/>
      <c r="IA414" s="122"/>
      <c r="IB414" s="122"/>
      <c r="IC414" s="122"/>
      <c r="ID414" s="122"/>
      <c r="IE414" s="122"/>
      <c r="IF414" s="122"/>
      <c r="IG414" s="122"/>
      <c r="IH414" s="122"/>
      <c r="II414" s="122"/>
      <c r="IJ414" s="122"/>
      <c r="IK414" s="122"/>
      <c r="IL414" s="122"/>
      <c r="IM414" s="122"/>
      <c r="IN414" s="122"/>
      <c r="IO414" s="122"/>
      <c r="IP414" s="122"/>
      <c r="IQ414" s="122"/>
      <c r="IR414" s="122"/>
      <c r="IS414" s="122"/>
      <c r="IT414" s="122"/>
      <c r="IU414" s="122"/>
      <c r="IV414" s="122"/>
      <c r="IW414" s="122"/>
      <c r="IX414" s="122"/>
      <c r="IY414" s="122"/>
      <c r="IZ414" s="122"/>
      <c r="JA414" s="122"/>
      <c r="JB414" s="122"/>
      <c r="JC414" s="122"/>
      <c r="JD414" s="122"/>
      <c r="JE414" s="122"/>
      <c r="JF414" s="122"/>
      <c r="JG414" s="122"/>
      <c r="JH414" s="122"/>
      <c r="JI414" s="119"/>
      <c r="JJ414" s="2"/>
      <c r="JK414" s="122"/>
      <c r="JL414" s="125"/>
      <c r="JM414" s="125"/>
      <c r="JN414" s="125"/>
      <c r="JO414" s="125"/>
      <c r="JP414" s="125"/>
    </row>
    <row r="415" spans="1:276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122"/>
      <c r="AJ415" s="122"/>
      <c r="AK415" s="122"/>
      <c r="AL415" s="122"/>
      <c r="AM415" s="122"/>
      <c r="AN415" s="122"/>
      <c r="AO415" s="122"/>
      <c r="AP415" s="122"/>
      <c r="AQ415" s="122"/>
      <c r="AR415" s="122"/>
      <c r="AS415" s="122"/>
      <c r="AT415" s="122"/>
      <c r="AU415" s="122"/>
      <c r="AV415" s="122"/>
      <c r="AW415" s="122"/>
      <c r="AX415" s="122"/>
      <c r="AY415" s="122"/>
      <c r="AZ415" s="122"/>
      <c r="BA415" s="122"/>
      <c r="BB415" s="122"/>
      <c r="BC415" s="122"/>
      <c r="BD415" s="122"/>
      <c r="BE415" s="122"/>
      <c r="BF415" s="122"/>
      <c r="BG415" s="122"/>
      <c r="BH415" s="122"/>
      <c r="BI415" s="122"/>
      <c r="BJ415" s="122"/>
      <c r="BK415" s="122"/>
      <c r="BL415" s="122"/>
      <c r="BM415" s="122"/>
      <c r="BN415" s="122"/>
      <c r="BO415" s="122"/>
      <c r="BP415" s="122"/>
      <c r="BQ415" s="122"/>
      <c r="BR415" s="122"/>
      <c r="BS415" s="122"/>
      <c r="BT415" s="122"/>
      <c r="BU415" s="122"/>
      <c r="BV415" s="122"/>
      <c r="BW415" s="122"/>
      <c r="BX415" s="122"/>
      <c r="BY415" s="122"/>
      <c r="BZ415" s="122"/>
      <c r="CA415" s="122"/>
      <c r="CB415" s="122"/>
      <c r="CC415" s="122"/>
      <c r="CD415" s="122"/>
      <c r="CE415" s="122"/>
      <c r="CF415" s="122"/>
      <c r="CG415" s="122"/>
      <c r="CH415" s="122"/>
      <c r="CI415" s="122"/>
      <c r="CJ415" s="122"/>
      <c r="CK415" s="122"/>
      <c r="CL415" s="122"/>
      <c r="CM415" s="122"/>
      <c r="CN415" s="122"/>
      <c r="CO415" s="122"/>
      <c r="CP415" s="122"/>
      <c r="CQ415" s="122"/>
      <c r="CR415" s="122"/>
      <c r="CS415" s="122"/>
      <c r="CT415" s="122"/>
      <c r="CU415" s="122"/>
      <c r="CV415" s="122"/>
      <c r="CW415" s="122"/>
      <c r="CX415" s="122"/>
      <c r="CY415" s="122"/>
      <c r="CZ415" s="122"/>
      <c r="DA415" s="122"/>
      <c r="DB415" s="122"/>
      <c r="DC415" s="122"/>
      <c r="DD415" s="122"/>
      <c r="DE415" s="122"/>
      <c r="DF415" s="122"/>
      <c r="DG415" s="122"/>
      <c r="DH415" s="122"/>
      <c r="DI415" s="122"/>
      <c r="DJ415" s="122"/>
      <c r="DK415" s="122"/>
      <c r="DL415" s="122"/>
      <c r="DM415" s="122"/>
      <c r="DN415" s="122"/>
      <c r="DO415" s="122"/>
      <c r="DP415" s="122"/>
      <c r="DQ415" s="122"/>
      <c r="DR415" s="122"/>
      <c r="DS415" s="122"/>
      <c r="DT415" s="122"/>
      <c r="DU415" s="122"/>
      <c r="DV415" s="122"/>
      <c r="DW415" s="122"/>
      <c r="DX415" s="122"/>
      <c r="DY415" s="122"/>
      <c r="DZ415" s="122"/>
      <c r="EA415" s="122"/>
      <c r="EB415" s="122"/>
      <c r="EC415" s="122"/>
      <c r="ED415" s="122"/>
      <c r="EE415" s="122"/>
      <c r="EF415" s="122"/>
      <c r="EG415" s="122"/>
      <c r="EH415" s="122"/>
      <c r="EI415" s="122"/>
      <c r="EJ415" s="122"/>
      <c r="EK415" s="122"/>
      <c r="EL415" s="122"/>
      <c r="EM415" s="122"/>
      <c r="EN415" s="122"/>
      <c r="EO415" s="122"/>
      <c r="EP415" s="122"/>
      <c r="EQ415" s="122"/>
      <c r="ER415" s="122"/>
      <c r="ES415" s="122"/>
      <c r="ET415" s="122"/>
      <c r="EU415" s="122"/>
      <c r="EV415" s="122"/>
      <c r="EW415" s="122"/>
      <c r="EX415" s="122"/>
      <c r="EY415" s="122"/>
      <c r="EZ415" s="122"/>
      <c r="FA415" s="122"/>
      <c r="FB415" s="122"/>
      <c r="FC415" s="122"/>
      <c r="FD415" s="122"/>
      <c r="FE415" s="122"/>
      <c r="FF415" s="122"/>
      <c r="FG415" s="122"/>
      <c r="FH415" s="122"/>
      <c r="FI415" s="122"/>
      <c r="FJ415" s="122"/>
      <c r="FK415" s="122"/>
      <c r="FL415" s="122"/>
      <c r="FM415" s="122"/>
      <c r="FN415" s="122"/>
      <c r="FO415" s="122"/>
      <c r="FP415" s="122"/>
      <c r="FQ415" s="122"/>
      <c r="FR415" s="122"/>
      <c r="FS415" s="122"/>
      <c r="FT415" s="122"/>
      <c r="FU415" s="122"/>
      <c r="FV415" s="122"/>
      <c r="FW415" s="122"/>
      <c r="FX415" s="122"/>
      <c r="FY415" s="122"/>
      <c r="FZ415" s="122"/>
      <c r="GA415" s="122"/>
      <c r="GB415" s="122"/>
      <c r="GC415" s="122"/>
      <c r="GD415" s="122"/>
      <c r="GE415" s="122"/>
      <c r="GF415" s="122"/>
      <c r="GG415" s="122"/>
      <c r="GH415" s="122"/>
      <c r="GI415" s="122"/>
      <c r="GJ415" s="122"/>
      <c r="GK415" s="122"/>
      <c r="GL415" s="122"/>
      <c r="GM415" s="122"/>
      <c r="GN415" s="122"/>
      <c r="GO415" s="122"/>
      <c r="GP415" s="122"/>
      <c r="GQ415" s="122"/>
      <c r="GR415" s="122"/>
      <c r="GS415" s="122"/>
      <c r="GT415" s="122"/>
      <c r="GU415" s="122"/>
      <c r="GV415" s="122"/>
      <c r="GW415" s="122"/>
      <c r="GX415" s="122"/>
      <c r="GY415" s="122"/>
      <c r="GZ415" s="122"/>
      <c r="HA415" s="122"/>
      <c r="HB415" s="122"/>
      <c r="HC415" s="122"/>
      <c r="HD415" s="122"/>
      <c r="HE415" s="122"/>
      <c r="HF415" s="122"/>
      <c r="HG415" s="122"/>
      <c r="HH415" s="122"/>
      <c r="HI415" s="122"/>
      <c r="HJ415" s="122"/>
      <c r="HK415" s="122"/>
      <c r="HL415" s="122"/>
      <c r="HM415" s="122"/>
      <c r="HN415" s="122"/>
      <c r="HO415" s="122"/>
      <c r="HP415" s="122"/>
      <c r="HQ415" s="122"/>
      <c r="HR415" s="122"/>
      <c r="HS415" s="122"/>
      <c r="HT415" s="122"/>
      <c r="HU415" s="122"/>
      <c r="HV415" s="122"/>
      <c r="HW415" s="122"/>
      <c r="HX415" s="122"/>
      <c r="HY415" s="122"/>
      <c r="HZ415" s="122"/>
      <c r="IA415" s="122"/>
      <c r="IB415" s="122"/>
      <c r="IC415" s="122"/>
      <c r="ID415" s="122"/>
      <c r="IE415" s="122"/>
      <c r="IF415" s="122"/>
      <c r="IG415" s="122"/>
      <c r="IH415" s="122"/>
      <c r="II415" s="122"/>
      <c r="IJ415" s="122"/>
      <c r="IK415" s="122"/>
      <c r="IL415" s="122"/>
      <c r="IM415" s="122"/>
      <c r="IN415" s="122"/>
      <c r="IO415" s="122"/>
      <c r="IP415" s="122"/>
      <c r="IQ415" s="122"/>
      <c r="IR415" s="122"/>
      <c r="IS415" s="122"/>
      <c r="IT415" s="122"/>
      <c r="IU415" s="122"/>
      <c r="IV415" s="122"/>
      <c r="IW415" s="122"/>
      <c r="IX415" s="122"/>
      <c r="IY415" s="122"/>
      <c r="IZ415" s="122"/>
      <c r="JA415" s="122"/>
      <c r="JB415" s="122"/>
      <c r="JC415" s="122"/>
      <c r="JD415" s="122"/>
      <c r="JE415" s="122"/>
      <c r="JF415" s="122"/>
      <c r="JG415" s="122"/>
      <c r="JH415" s="122"/>
      <c r="JI415" s="119"/>
      <c r="JJ415" s="2"/>
      <c r="JK415" s="122"/>
      <c r="JL415" s="125"/>
      <c r="JM415" s="125"/>
      <c r="JN415" s="125"/>
      <c r="JO415" s="125"/>
      <c r="JP415" s="125"/>
    </row>
    <row r="416" spans="1:27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122"/>
      <c r="AI416" s="122"/>
      <c r="AJ416" s="122"/>
      <c r="AK416" s="122"/>
      <c r="AL416" s="122"/>
      <c r="AM416" s="122"/>
      <c r="AN416" s="122"/>
      <c r="AO416" s="122"/>
      <c r="AP416" s="122"/>
      <c r="AQ416" s="122"/>
      <c r="AR416" s="122"/>
      <c r="AS416" s="122"/>
      <c r="AT416" s="122"/>
      <c r="AU416" s="122"/>
      <c r="AV416" s="122"/>
      <c r="AW416" s="122"/>
      <c r="AX416" s="122"/>
      <c r="AY416" s="122"/>
      <c r="AZ416" s="122"/>
      <c r="BA416" s="122"/>
      <c r="BB416" s="122"/>
      <c r="BC416" s="122"/>
      <c r="BD416" s="122"/>
      <c r="BE416" s="122"/>
      <c r="BF416" s="122"/>
      <c r="BG416" s="122"/>
      <c r="BH416" s="122"/>
      <c r="BI416" s="122"/>
      <c r="BJ416" s="122"/>
      <c r="BK416" s="122"/>
      <c r="BL416" s="122"/>
      <c r="BM416" s="122"/>
      <c r="BN416" s="122"/>
      <c r="BO416" s="122"/>
      <c r="BP416" s="122"/>
      <c r="BQ416" s="122"/>
      <c r="BR416" s="122"/>
      <c r="BS416" s="122"/>
      <c r="BT416" s="122"/>
      <c r="BU416" s="122"/>
      <c r="BV416" s="122"/>
      <c r="BW416" s="122"/>
      <c r="BX416" s="122"/>
      <c r="BY416" s="122"/>
      <c r="BZ416" s="122"/>
      <c r="CA416" s="122"/>
      <c r="CB416" s="122"/>
      <c r="CC416" s="122"/>
      <c r="CD416" s="122"/>
      <c r="CE416" s="122"/>
      <c r="CF416" s="122"/>
      <c r="CG416" s="122"/>
      <c r="CH416" s="122"/>
      <c r="CI416" s="122"/>
      <c r="CJ416" s="122"/>
      <c r="CK416" s="122"/>
      <c r="CL416" s="122"/>
      <c r="CM416" s="122"/>
      <c r="CN416" s="122"/>
      <c r="CO416" s="122"/>
      <c r="CP416" s="122"/>
      <c r="CQ416" s="122"/>
      <c r="CR416" s="122"/>
      <c r="CS416" s="122"/>
      <c r="CT416" s="122"/>
      <c r="CU416" s="122"/>
      <c r="CV416" s="122"/>
      <c r="CW416" s="122"/>
      <c r="CX416" s="122"/>
      <c r="CY416" s="122"/>
      <c r="CZ416" s="122"/>
      <c r="DA416" s="122"/>
      <c r="DB416" s="122"/>
      <c r="DC416" s="122"/>
      <c r="DD416" s="122"/>
      <c r="DE416" s="122"/>
      <c r="DF416" s="122"/>
      <c r="DG416" s="122"/>
      <c r="DH416" s="122"/>
      <c r="DI416" s="122"/>
      <c r="DJ416" s="122"/>
      <c r="DK416" s="122"/>
      <c r="DL416" s="122"/>
      <c r="DM416" s="122"/>
      <c r="DN416" s="122"/>
      <c r="DO416" s="122"/>
      <c r="DP416" s="122"/>
      <c r="DQ416" s="122"/>
      <c r="DR416" s="122"/>
      <c r="DS416" s="122"/>
      <c r="DT416" s="122"/>
      <c r="DU416" s="122"/>
      <c r="DV416" s="122"/>
      <c r="DW416" s="122"/>
      <c r="DX416" s="122"/>
      <c r="DY416" s="122"/>
      <c r="DZ416" s="122"/>
      <c r="EA416" s="122"/>
      <c r="EB416" s="122"/>
      <c r="EC416" s="122"/>
      <c r="ED416" s="122"/>
      <c r="EE416" s="122"/>
      <c r="EF416" s="122"/>
      <c r="EG416" s="122"/>
      <c r="EH416" s="122"/>
      <c r="EI416" s="122"/>
      <c r="EJ416" s="122"/>
      <c r="EK416" s="122"/>
      <c r="EL416" s="122"/>
      <c r="EM416" s="122"/>
      <c r="EN416" s="122"/>
      <c r="EO416" s="122"/>
      <c r="EP416" s="122"/>
      <c r="EQ416" s="122"/>
      <c r="ER416" s="122"/>
      <c r="ES416" s="122"/>
      <c r="ET416" s="122"/>
      <c r="EU416" s="122"/>
      <c r="EV416" s="122"/>
      <c r="EW416" s="122"/>
      <c r="EX416" s="122"/>
      <c r="EY416" s="122"/>
      <c r="EZ416" s="122"/>
      <c r="FA416" s="122"/>
      <c r="FB416" s="122"/>
      <c r="FC416" s="122"/>
      <c r="FD416" s="122"/>
      <c r="FE416" s="122"/>
      <c r="FF416" s="122"/>
      <c r="FG416" s="122"/>
      <c r="FH416" s="122"/>
      <c r="FI416" s="122"/>
      <c r="FJ416" s="122"/>
      <c r="FK416" s="122"/>
      <c r="FL416" s="122"/>
      <c r="FM416" s="122"/>
      <c r="FN416" s="122"/>
      <c r="FO416" s="122"/>
      <c r="FP416" s="122"/>
      <c r="FQ416" s="122"/>
      <c r="FR416" s="122"/>
      <c r="FS416" s="122"/>
      <c r="FT416" s="122"/>
      <c r="FU416" s="122"/>
      <c r="FV416" s="122"/>
      <c r="FW416" s="122"/>
      <c r="FX416" s="122"/>
      <c r="FY416" s="122"/>
      <c r="FZ416" s="122"/>
      <c r="GA416" s="122"/>
      <c r="GB416" s="122"/>
      <c r="GC416" s="122"/>
      <c r="GD416" s="122"/>
      <c r="GE416" s="122"/>
      <c r="GF416" s="122"/>
      <c r="GG416" s="122"/>
      <c r="GH416" s="122"/>
      <c r="GI416" s="122"/>
      <c r="GJ416" s="122"/>
      <c r="GK416" s="122"/>
      <c r="GL416" s="122"/>
      <c r="GM416" s="122"/>
      <c r="GN416" s="122"/>
      <c r="GO416" s="122"/>
      <c r="GP416" s="122"/>
      <c r="GQ416" s="122"/>
      <c r="GR416" s="122"/>
      <c r="GS416" s="122"/>
      <c r="GT416" s="122"/>
      <c r="GU416" s="122"/>
      <c r="GV416" s="122"/>
      <c r="GW416" s="122"/>
      <c r="GX416" s="122"/>
      <c r="GY416" s="122"/>
      <c r="GZ416" s="122"/>
      <c r="HA416" s="122"/>
      <c r="HB416" s="122"/>
      <c r="HC416" s="122"/>
      <c r="HD416" s="122"/>
      <c r="HE416" s="122"/>
      <c r="HF416" s="122"/>
      <c r="HG416" s="122"/>
      <c r="HH416" s="122"/>
      <c r="HI416" s="122"/>
      <c r="HJ416" s="122"/>
      <c r="HK416" s="122"/>
      <c r="HL416" s="122"/>
      <c r="HM416" s="122"/>
      <c r="HN416" s="122"/>
      <c r="HO416" s="122"/>
      <c r="HP416" s="122"/>
      <c r="HQ416" s="122"/>
      <c r="HR416" s="122"/>
      <c r="HS416" s="122"/>
      <c r="HT416" s="122"/>
      <c r="HU416" s="122"/>
      <c r="HV416" s="122"/>
      <c r="HW416" s="122"/>
      <c r="HX416" s="122"/>
      <c r="HY416" s="122"/>
      <c r="HZ416" s="122"/>
      <c r="IA416" s="122"/>
      <c r="IB416" s="122"/>
      <c r="IC416" s="122"/>
      <c r="ID416" s="122"/>
      <c r="IE416" s="122"/>
      <c r="IF416" s="122"/>
      <c r="IG416" s="122"/>
      <c r="IH416" s="122"/>
      <c r="II416" s="122"/>
      <c r="IJ416" s="122"/>
      <c r="IK416" s="122"/>
      <c r="IL416" s="122"/>
      <c r="IM416" s="122"/>
      <c r="IN416" s="122"/>
      <c r="IO416" s="122"/>
      <c r="IP416" s="122"/>
      <c r="IQ416" s="122"/>
      <c r="IR416" s="122"/>
      <c r="IS416" s="122"/>
      <c r="IT416" s="122"/>
      <c r="IU416" s="122"/>
      <c r="IV416" s="122"/>
      <c r="IW416" s="122"/>
      <c r="IX416" s="122"/>
      <c r="IY416" s="122"/>
      <c r="IZ416" s="122"/>
      <c r="JA416" s="122"/>
      <c r="JB416" s="122"/>
      <c r="JC416" s="122"/>
      <c r="JD416" s="122"/>
      <c r="JE416" s="122"/>
      <c r="JF416" s="122"/>
      <c r="JG416" s="122"/>
      <c r="JH416" s="122"/>
      <c r="JI416" s="119"/>
      <c r="JJ416" s="2"/>
      <c r="JK416" s="122"/>
      <c r="JL416" s="125"/>
      <c r="JM416" s="125"/>
      <c r="JN416" s="125"/>
      <c r="JO416" s="125"/>
      <c r="JP416" s="125"/>
    </row>
    <row r="417" spans="1:276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122"/>
      <c r="AJ417" s="122"/>
      <c r="AK417" s="122"/>
      <c r="AL417" s="122"/>
      <c r="AM417" s="122"/>
      <c r="AN417" s="122"/>
      <c r="AO417" s="122"/>
      <c r="AP417" s="122"/>
      <c r="AQ417" s="122"/>
      <c r="AR417" s="122"/>
      <c r="AS417" s="122"/>
      <c r="AT417" s="122"/>
      <c r="AU417" s="122"/>
      <c r="AV417" s="122"/>
      <c r="AW417" s="122"/>
      <c r="AX417" s="122"/>
      <c r="AY417" s="122"/>
      <c r="AZ417" s="122"/>
      <c r="BA417" s="122"/>
      <c r="BB417" s="122"/>
      <c r="BC417" s="122"/>
      <c r="BD417" s="122"/>
      <c r="BE417" s="122"/>
      <c r="BF417" s="122"/>
      <c r="BG417" s="122"/>
      <c r="BH417" s="122"/>
      <c r="BI417" s="122"/>
      <c r="BJ417" s="122"/>
      <c r="BK417" s="122"/>
      <c r="BL417" s="122"/>
      <c r="BM417" s="122"/>
      <c r="BN417" s="122"/>
      <c r="BO417" s="122"/>
      <c r="BP417" s="122"/>
      <c r="BQ417" s="122"/>
      <c r="BR417" s="122"/>
      <c r="BS417" s="122"/>
      <c r="BT417" s="122"/>
      <c r="BU417" s="122"/>
      <c r="BV417" s="122"/>
      <c r="BW417" s="122"/>
      <c r="BX417" s="122"/>
      <c r="BY417" s="122"/>
      <c r="BZ417" s="122"/>
      <c r="CA417" s="122"/>
      <c r="CB417" s="122"/>
      <c r="CC417" s="122"/>
      <c r="CD417" s="122"/>
      <c r="CE417" s="122"/>
      <c r="CF417" s="122"/>
      <c r="CG417" s="122"/>
      <c r="CH417" s="122"/>
      <c r="CI417" s="122"/>
      <c r="CJ417" s="122"/>
      <c r="CK417" s="122"/>
      <c r="CL417" s="122"/>
      <c r="CM417" s="122"/>
      <c r="CN417" s="122"/>
      <c r="CO417" s="122"/>
      <c r="CP417" s="122"/>
      <c r="CQ417" s="122"/>
      <c r="CR417" s="122"/>
      <c r="CS417" s="122"/>
      <c r="CT417" s="122"/>
      <c r="CU417" s="122"/>
      <c r="CV417" s="122"/>
      <c r="CW417" s="122"/>
      <c r="CX417" s="122"/>
      <c r="CY417" s="122"/>
      <c r="CZ417" s="122"/>
      <c r="DA417" s="122"/>
      <c r="DB417" s="122"/>
      <c r="DC417" s="122"/>
      <c r="DD417" s="122"/>
      <c r="DE417" s="122"/>
      <c r="DF417" s="122"/>
      <c r="DG417" s="122"/>
      <c r="DH417" s="122"/>
      <c r="DI417" s="122"/>
      <c r="DJ417" s="122"/>
      <c r="DK417" s="122"/>
      <c r="DL417" s="122"/>
      <c r="DM417" s="122"/>
      <c r="DN417" s="122"/>
      <c r="DO417" s="122"/>
      <c r="DP417" s="122"/>
      <c r="DQ417" s="122"/>
      <c r="DR417" s="122"/>
      <c r="DS417" s="122"/>
      <c r="DT417" s="122"/>
      <c r="DU417" s="122"/>
      <c r="DV417" s="122"/>
      <c r="DW417" s="122"/>
      <c r="DX417" s="122"/>
      <c r="DY417" s="122"/>
      <c r="DZ417" s="122"/>
      <c r="EA417" s="122"/>
      <c r="EB417" s="122"/>
      <c r="EC417" s="122"/>
      <c r="ED417" s="122"/>
      <c r="EE417" s="122"/>
      <c r="EF417" s="122"/>
      <c r="EG417" s="122"/>
      <c r="EH417" s="122"/>
      <c r="EI417" s="122"/>
      <c r="EJ417" s="122"/>
      <c r="EK417" s="122"/>
      <c r="EL417" s="122"/>
      <c r="EM417" s="122"/>
      <c r="EN417" s="122"/>
      <c r="EO417" s="122"/>
      <c r="EP417" s="122"/>
      <c r="EQ417" s="122"/>
      <c r="ER417" s="122"/>
      <c r="ES417" s="122"/>
      <c r="ET417" s="122"/>
      <c r="EU417" s="122"/>
      <c r="EV417" s="122"/>
      <c r="EW417" s="122"/>
      <c r="EX417" s="122"/>
      <c r="EY417" s="122"/>
      <c r="EZ417" s="122"/>
      <c r="FA417" s="122"/>
      <c r="FB417" s="122"/>
      <c r="FC417" s="122"/>
      <c r="FD417" s="122"/>
      <c r="FE417" s="122"/>
      <c r="FF417" s="122"/>
      <c r="FG417" s="122"/>
      <c r="FH417" s="122"/>
      <c r="FI417" s="122"/>
      <c r="FJ417" s="122"/>
      <c r="FK417" s="122"/>
      <c r="FL417" s="122"/>
      <c r="FM417" s="122"/>
      <c r="FN417" s="122"/>
      <c r="FO417" s="122"/>
      <c r="FP417" s="122"/>
      <c r="FQ417" s="122"/>
      <c r="FR417" s="122"/>
      <c r="FS417" s="122"/>
      <c r="FT417" s="122"/>
      <c r="FU417" s="122"/>
      <c r="FV417" s="122"/>
      <c r="FW417" s="122"/>
      <c r="FX417" s="122"/>
      <c r="FY417" s="122"/>
      <c r="FZ417" s="122"/>
      <c r="GA417" s="122"/>
      <c r="GB417" s="122"/>
      <c r="GC417" s="122"/>
      <c r="GD417" s="122"/>
      <c r="GE417" s="122"/>
      <c r="GF417" s="122"/>
      <c r="GG417" s="122"/>
      <c r="GH417" s="122"/>
      <c r="GI417" s="122"/>
      <c r="GJ417" s="122"/>
      <c r="GK417" s="122"/>
      <c r="GL417" s="122"/>
      <c r="GM417" s="122"/>
      <c r="GN417" s="122"/>
      <c r="GO417" s="122"/>
      <c r="GP417" s="122"/>
      <c r="GQ417" s="122"/>
      <c r="GR417" s="122"/>
      <c r="GS417" s="122"/>
      <c r="GT417" s="122"/>
      <c r="GU417" s="122"/>
      <c r="GV417" s="122"/>
      <c r="GW417" s="122"/>
      <c r="GX417" s="122"/>
      <c r="GY417" s="122"/>
      <c r="GZ417" s="122"/>
      <c r="HA417" s="122"/>
      <c r="HB417" s="122"/>
      <c r="HC417" s="122"/>
      <c r="HD417" s="122"/>
      <c r="HE417" s="122"/>
      <c r="HF417" s="122"/>
      <c r="HG417" s="122"/>
      <c r="HH417" s="122"/>
      <c r="HI417" s="122"/>
      <c r="HJ417" s="122"/>
      <c r="HK417" s="122"/>
      <c r="HL417" s="122"/>
      <c r="HM417" s="122"/>
      <c r="HN417" s="122"/>
      <c r="HO417" s="122"/>
      <c r="HP417" s="122"/>
      <c r="HQ417" s="122"/>
      <c r="HR417" s="122"/>
      <c r="HS417" s="122"/>
      <c r="HT417" s="122"/>
      <c r="HU417" s="122"/>
      <c r="HV417" s="122"/>
      <c r="HW417" s="122"/>
      <c r="HX417" s="122"/>
      <c r="HY417" s="122"/>
      <c r="HZ417" s="122"/>
      <c r="IA417" s="122"/>
      <c r="IB417" s="122"/>
      <c r="IC417" s="122"/>
      <c r="ID417" s="122"/>
      <c r="IE417" s="122"/>
      <c r="IF417" s="122"/>
      <c r="IG417" s="122"/>
      <c r="IH417" s="122"/>
      <c r="II417" s="122"/>
      <c r="IJ417" s="122"/>
      <c r="IK417" s="122"/>
      <c r="IL417" s="122"/>
      <c r="IM417" s="122"/>
      <c r="IN417" s="122"/>
      <c r="IO417" s="122"/>
      <c r="IP417" s="122"/>
      <c r="IQ417" s="122"/>
      <c r="IR417" s="122"/>
      <c r="IS417" s="122"/>
      <c r="IT417" s="122"/>
      <c r="IU417" s="122"/>
      <c r="IV417" s="122"/>
      <c r="IW417" s="122"/>
      <c r="IX417" s="122"/>
      <c r="IY417" s="122"/>
      <c r="IZ417" s="122"/>
      <c r="JA417" s="122"/>
      <c r="JB417" s="122"/>
      <c r="JC417" s="122"/>
      <c r="JD417" s="122"/>
      <c r="JE417" s="122"/>
      <c r="JF417" s="122"/>
      <c r="JG417" s="122"/>
      <c r="JH417" s="122"/>
      <c r="JI417" s="119"/>
      <c r="JJ417" s="2"/>
      <c r="JK417" s="122"/>
      <c r="JL417" s="125"/>
      <c r="JM417" s="125"/>
      <c r="JN417" s="125"/>
      <c r="JO417" s="125"/>
      <c r="JP417" s="125"/>
    </row>
    <row r="418" spans="1:276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122"/>
      <c r="AI418" s="122"/>
      <c r="AJ418" s="122"/>
      <c r="AK418" s="122"/>
      <c r="AL418" s="122"/>
      <c r="AM418" s="122"/>
      <c r="AN418" s="122"/>
      <c r="AO418" s="122"/>
      <c r="AP418" s="122"/>
      <c r="AQ418" s="122"/>
      <c r="AR418" s="122"/>
      <c r="AS418" s="122"/>
      <c r="AT418" s="122"/>
      <c r="AU418" s="122"/>
      <c r="AV418" s="122"/>
      <c r="AW418" s="122"/>
      <c r="AX418" s="122"/>
      <c r="AY418" s="122"/>
      <c r="AZ418" s="122"/>
      <c r="BA418" s="122"/>
      <c r="BB418" s="122"/>
      <c r="BC418" s="122"/>
      <c r="BD418" s="122"/>
      <c r="BE418" s="122"/>
      <c r="BF418" s="122"/>
      <c r="BG418" s="122"/>
      <c r="BH418" s="122"/>
      <c r="BI418" s="122"/>
      <c r="BJ418" s="122"/>
      <c r="BK418" s="122"/>
      <c r="BL418" s="122"/>
      <c r="BM418" s="122"/>
      <c r="BN418" s="122"/>
      <c r="BO418" s="122"/>
      <c r="BP418" s="122"/>
      <c r="BQ418" s="122"/>
      <c r="BR418" s="122"/>
      <c r="BS418" s="122"/>
      <c r="BT418" s="122"/>
      <c r="BU418" s="122"/>
      <c r="BV418" s="122"/>
      <c r="BW418" s="122"/>
      <c r="BX418" s="122"/>
      <c r="BY418" s="122"/>
      <c r="BZ418" s="122"/>
      <c r="CA418" s="122"/>
      <c r="CB418" s="122"/>
      <c r="CC418" s="122"/>
      <c r="CD418" s="122"/>
      <c r="CE418" s="122"/>
      <c r="CF418" s="122"/>
      <c r="CG418" s="122"/>
      <c r="CH418" s="122"/>
      <c r="CI418" s="122"/>
      <c r="CJ418" s="122"/>
      <c r="CK418" s="122"/>
      <c r="CL418" s="122"/>
      <c r="CM418" s="122"/>
      <c r="CN418" s="122"/>
      <c r="CO418" s="122"/>
      <c r="CP418" s="122"/>
      <c r="CQ418" s="122"/>
      <c r="CR418" s="122"/>
      <c r="CS418" s="122"/>
      <c r="CT418" s="122"/>
      <c r="CU418" s="122"/>
      <c r="CV418" s="122"/>
      <c r="CW418" s="122"/>
      <c r="CX418" s="122"/>
      <c r="CY418" s="122"/>
      <c r="CZ418" s="122"/>
      <c r="DA418" s="122"/>
      <c r="DB418" s="122"/>
      <c r="DC418" s="122"/>
      <c r="DD418" s="122"/>
      <c r="DE418" s="122"/>
      <c r="DF418" s="122"/>
      <c r="DG418" s="122"/>
      <c r="DH418" s="122"/>
      <c r="DI418" s="122"/>
      <c r="DJ418" s="122"/>
      <c r="DK418" s="122"/>
      <c r="DL418" s="122"/>
      <c r="DM418" s="122"/>
      <c r="DN418" s="122"/>
      <c r="DO418" s="122"/>
      <c r="DP418" s="122"/>
      <c r="DQ418" s="122"/>
      <c r="DR418" s="122"/>
      <c r="DS418" s="122"/>
      <c r="DT418" s="122"/>
      <c r="DU418" s="122"/>
      <c r="DV418" s="122"/>
      <c r="DW418" s="122"/>
      <c r="DX418" s="122"/>
      <c r="DY418" s="122"/>
      <c r="DZ418" s="122"/>
      <c r="EA418" s="122"/>
      <c r="EB418" s="122"/>
      <c r="EC418" s="122"/>
      <c r="ED418" s="122"/>
      <c r="EE418" s="122"/>
      <c r="EF418" s="122"/>
      <c r="EG418" s="122"/>
      <c r="EH418" s="122"/>
      <c r="EI418" s="122"/>
      <c r="EJ418" s="122"/>
      <c r="EK418" s="122"/>
      <c r="EL418" s="122"/>
      <c r="EM418" s="122"/>
      <c r="EN418" s="122"/>
      <c r="EO418" s="122"/>
      <c r="EP418" s="122"/>
      <c r="EQ418" s="122"/>
      <c r="ER418" s="122"/>
      <c r="ES418" s="122"/>
      <c r="ET418" s="122"/>
      <c r="EU418" s="122"/>
      <c r="EV418" s="122"/>
      <c r="EW418" s="122"/>
      <c r="EX418" s="122"/>
      <c r="EY418" s="122"/>
      <c r="EZ418" s="122"/>
      <c r="FA418" s="122"/>
      <c r="FB418" s="122"/>
      <c r="FC418" s="122"/>
      <c r="FD418" s="122"/>
      <c r="FE418" s="122"/>
      <c r="FF418" s="122"/>
      <c r="FG418" s="122"/>
      <c r="FH418" s="122"/>
      <c r="FI418" s="122"/>
      <c r="FJ418" s="122"/>
      <c r="FK418" s="122"/>
      <c r="FL418" s="122"/>
      <c r="FM418" s="122"/>
      <c r="FN418" s="122"/>
      <c r="FO418" s="122"/>
      <c r="FP418" s="122"/>
      <c r="FQ418" s="122"/>
      <c r="FR418" s="122"/>
      <c r="FS418" s="122"/>
      <c r="FT418" s="122"/>
      <c r="FU418" s="122"/>
      <c r="FV418" s="122"/>
      <c r="FW418" s="122"/>
      <c r="FX418" s="122"/>
      <c r="FY418" s="122"/>
      <c r="FZ418" s="122"/>
      <c r="GA418" s="122"/>
      <c r="GB418" s="122"/>
      <c r="GC418" s="122"/>
      <c r="GD418" s="122"/>
      <c r="GE418" s="122"/>
      <c r="GF418" s="122"/>
      <c r="GG418" s="122"/>
      <c r="GH418" s="122"/>
      <c r="GI418" s="122"/>
      <c r="GJ418" s="122"/>
      <c r="GK418" s="122"/>
      <c r="GL418" s="122"/>
      <c r="GM418" s="122"/>
      <c r="GN418" s="122"/>
      <c r="GO418" s="122"/>
      <c r="GP418" s="122"/>
      <c r="GQ418" s="122"/>
      <c r="GR418" s="122"/>
      <c r="GS418" s="122"/>
      <c r="GT418" s="122"/>
      <c r="GU418" s="122"/>
      <c r="GV418" s="122"/>
      <c r="GW418" s="122"/>
      <c r="GX418" s="122"/>
      <c r="GY418" s="122"/>
      <c r="GZ418" s="122"/>
      <c r="HA418" s="122"/>
      <c r="HB418" s="122"/>
      <c r="HC418" s="122"/>
      <c r="HD418" s="122"/>
      <c r="HE418" s="122"/>
      <c r="HF418" s="122"/>
      <c r="HG418" s="122"/>
      <c r="HH418" s="122"/>
      <c r="HI418" s="122"/>
      <c r="HJ418" s="122"/>
      <c r="HK418" s="122"/>
      <c r="HL418" s="122"/>
      <c r="HM418" s="122"/>
      <c r="HN418" s="122"/>
      <c r="HO418" s="122"/>
      <c r="HP418" s="122"/>
      <c r="HQ418" s="122"/>
      <c r="HR418" s="122"/>
      <c r="HS418" s="122"/>
      <c r="HT418" s="122"/>
      <c r="HU418" s="122"/>
      <c r="HV418" s="122"/>
      <c r="HW418" s="122"/>
      <c r="HX418" s="122"/>
      <c r="HY418" s="122"/>
      <c r="HZ418" s="122"/>
      <c r="IA418" s="122"/>
      <c r="IB418" s="122"/>
      <c r="IC418" s="122"/>
      <c r="ID418" s="122"/>
      <c r="IE418" s="122"/>
      <c r="IF418" s="122"/>
      <c r="IG418" s="122"/>
      <c r="IH418" s="122"/>
      <c r="II418" s="122"/>
      <c r="IJ418" s="122"/>
      <c r="IK418" s="122"/>
      <c r="IL418" s="122"/>
      <c r="IM418" s="122"/>
      <c r="IN418" s="122"/>
      <c r="IO418" s="122"/>
      <c r="IP418" s="122"/>
      <c r="IQ418" s="122"/>
      <c r="IR418" s="122"/>
      <c r="IS418" s="122"/>
      <c r="IT418" s="122"/>
      <c r="IU418" s="122"/>
      <c r="IV418" s="122"/>
      <c r="IW418" s="122"/>
      <c r="IX418" s="122"/>
      <c r="IY418" s="122"/>
      <c r="IZ418" s="122"/>
      <c r="JA418" s="122"/>
      <c r="JB418" s="122"/>
      <c r="JC418" s="122"/>
      <c r="JD418" s="122"/>
      <c r="JE418" s="122"/>
      <c r="JF418" s="122"/>
      <c r="JG418" s="122"/>
      <c r="JH418" s="122"/>
      <c r="JI418" s="119"/>
      <c r="JJ418" s="2"/>
      <c r="JK418" s="122"/>
      <c r="JL418" s="125"/>
      <c r="JM418" s="125"/>
      <c r="JN418" s="125"/>
      <c r="JO418" s="125"/>
      <c r="JP418" s="125"/>
    </row>
    <row r="419" spans="1:276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  <c r="AK419" s="122"/>
      <c r="AL419" s="122"/>
      <c r="AM419" s="122"/>
      <c r="AN419" s="122"/>
      <c r="AO419" s="122"/>
      <c r="AP419" s="122"/>
      <c r="AQ419" s="122"/>
      <c r="AR419" s="122"/>
      <c r="AS419" s="122"/>
      <c r="AT419" s="122"/>
      <c r="AU419" s="122"/>
      <c r="AV419" s="122"/>
      <c r="AW419" s="122"/>
      <c r="AX419" s="122"/>
      <c r="AY419" s="122"/>
      <c r="AZ419" s="122"/>
      <c r="BA419" s="122"/>
      <c r="BB419" s="122"/>
      <c r="BC419" s="122"/>
      <c r="BD419" s="122"/>
      <c r="BE419" s="122"/>
      <c r="BF419" s="122"/>
      <c r="BG419" s="122"/>
      <c r="BH419" s="122"/>
      <c r="BI419" s="122"/>
      <c r="BJ419" s="122"/>
      <c r="BK419" s="122"/>
      <c r="BL419" s="122"/>
      <c r="BM419" s="122"/>
      <c r="BN419" s="122"/>
      <c r="BO419" s="122"/>
      <c r="BP419" s="122"/>
      <c r="BQ419" s="122"/>
      <c r="BR419" s="122"/>
      <c r="BS419" s="122"/>
      <c r="BT419" s="122"/>
      <c r="BU419" s="122"/>
      <c r="BV419" s="122"/>
      <c r="BW419" s="122"/>
      <c r="BX419" s="122"/>
      <c r="BY419" s="122"/>
      <c r="BZ419" s="122"/>
      <c r="CA419" s="122"/>
      <c r="CB419" s="122"/>
      <c r="CC419" s="122"/>
      <c r="CD419" s="122"/>
      <c r="CE419" s="122"/>
      <c r="CF419" s="122"/>
      <c r="CG419" s="122"/>
      <c r="CH419" s="122"/>
      <c r="CI419" s="122"/>
      <c r="CJ419" s="122"/>
      <c r="CK419" s="122"/>
      <c r="CL419" s="122"/>
      <c r="CM419" s="122"/>
      <c r="CN419" s="122"/>
      <c r="CO419" s="122"/>
      <c r="CP419" s="122"/>
      <c r="CQ419" s="122"/>
      <c r="CR419" s="122"/>
      <c r="CS419" s="122"/>
      <c r="CT419" s="122"/>
      <c r="CU419" s="122"/>
      <c r="CV419" s="122"/>
      <c r="CW419" s="122"/>
      <c r="CX419" s="122"/>
      <c r="CY419" s="122"/>
      <c r="CZ419" s="122"/>
      <c r="DA419" s="122"/>
      <c r="DB419" s="122"/>
      <c r="DC419" s="122"/>
      <c r="DD419" s="122"/>
      <c r="DE419" s="122"/>
      <c r="DF419" s="122"/>
      <c r="DG419" s="122"/>
      <c r="DH419" s="122"/>
      <c r="DI419" s="122"/>
      <c r="DJ419" s="122"/>
      <c r="DK419" s="122"/>
      <c r="DL419" s="122"/>
      <c r="DM419" s="122"/>
      <c r="DN419" s="122"/>
      <c r="DO419" s="122"/>
      <c r="DP419" s="122"/>
      <c r="DQ419" s="122"/>
      <c r="DR419" s="122"/>
      <c r="DS419" s="122"/>
      <c r="DT419" s="122"/>
      <c r="DU419" s="122"/>
      <c r="DV419" s="122"/>
      <c r="DW419" s="122"/>
      <c r="DX419" s="122"/>
      <c r="DY419" s="122"/>
      <c r="DZ419" s="122"/>
      <c r="EA419" s="122"/>
      <c r="EB419" s="122"/>
      <c r="EC419" s="122"/>
      <c r="ED419" s="122"/>
      <c r="EE419" s="122"/>
      <c r="EF419" s="122"/>
      <c r="EG419" s="122"/>
      <c r="EH419" s="122"/>
      <c r="EI419" s="122"/>
      <c r="EJ419" s="122"/>
      <c r="EK419" s="122"/>
      <c r="EL419" s="122"/>
      <c r="EM419" s="122"/>
      <c r="EN419" s="122"/>
      <c r="EO419" s="122"/>
      <c r="EP419" s="122"/>
      <c r="EQ419" s="122"/>
      <c r="ER419" s="122"/>
      <c r="ES419" s="122"/>
      <c r="ET419" s="122"/>
      <c r="EU419" s="122"/>
      <c r="EV419" s="122"/>
      <c r="EW419" s="122"/>
      <c r="EX419" s="122"/>
      <c r="EY419" s="122"/>
      <c r="EZ419" s="122"/>
      <c r="FA419" s="122"/>
      <c r="FB419" s="122"/>
      <c r="FC419" s="122"/>
      <c r="FD419" s="122"/>
      <c r="FE419" s="122"/>
      <c r="FF419" s="122"/>
      <c r="FG419" s="122"/>
      <c r="FH419" s="122"/>
      <c r="FI419" s="122"/>
      <c r="FJ419" s="122"/>
      <c r="FK419" s="122"/>
      <c r="FL419" s="122"/>
      <c r="FM419" s="122"/>
      <c r="FN419" s="122"/>
      <c r="FO419" s="122"/>
      <c r="FP419" s="122"/>
      <c r="FQ419" s="122"/>
      <c r="FR419" s="122"/>
      <c r="FS419" s="122"/>
      <c r="FT419" s="122"/>
      <c r="FU419" s="122"/>
      <c r="FV419" s="122"/>
      <c r="FW419" s="122"/>
      <c r="FX419" s="122"/>
      <c r="FY419" s="122"/>
      <c r="FZ419" s="122"/>
      <c r="GA419" s="122"/>
      <c r="GB419" s="122"/>
      <c r="GC419" s="122"/>
      <c r="GD419" s="122"/>
      <c r="GE419" s="122"/>
      <c r="GF419" s="122"/>
      <c r="GG419" s="122"/>
      <c r="GH419" s="122"/>
      <c r="GI419" s="122"/>
      <c r="GJ419" s="122"/>
      <c r="GK419" s="122"/>
      <c r="GL419" s="122"/>
      <c r="GM419" s="122"/>
      <c r="GN419" s="122"/>
      <c r="GO419" s="122"/>
      <c r="GP419" s="122"/>
      <c r="GQ419" s="122"/>
      <c r="GR419" s="122"/>
      <c r="GS419" s="122"/>
      <c r="GT419" s="122"/>
      <c r="GU419" s="122"/>
      <c r="GV419" s="122"/>
      <c r="GW419" s="122"/>
      <c r="GX419" s="122"/>
      <c r="GY419" s="122"/>
      <c r="GZ419" s="122"/>
      <c r="HA419" s="122"/>
      <c r="HB419" s="122"/>
      <c r="HC419" s="122"/>
      <c r="HD419" s="122"/>
      <c r="HE419" s="122"/>
      <c r="HF419" s="122"/>
      <c r="HG419" s="122"/>
      <c r="HH419" s="122"/>
      <c r="HI419" s="122"/>
      <c r="HJ419" s="122"/>
      <c r="HK419" s="122"/>
      <c r="HL419" s="122"/>
      <c r="HM419" s="122"/>
      <c r="HN419" s="122"/>
      <c r="HO419" s="122"/>
      <c r="HP419" s="122"/>
      <c r="HQ419" s="122"/>
      <c r="HR419" s="122"/>
      <c r="HS419" s="122"/>
      <c r="HT419" s="122"/>
      <c r="HU419" s="122"/>
      <c r="HV419" s="122"/>
      <c r="HW419" s="122"/>
      <c r="HX419" s="122"/>
      <c r="HY419" s="122"/>
      <c r="HZ419" s="122"/>
      <c r="IA419" s="122"/>
      <c r="IB419" s="122"/>
      <c r="IC419" s="122"/>
      <c r="ID419" s="122"/>
      <c r="IE419" s="122"/>
      <c r="IF419" s="122"/>
      <c r="IG419" s="122"/>
      <c r="IH419" s="122"/>
      <c r="II419" s="122"/>
      <c r="IJ419" s="122"/>
      <c r="IK419" s="122"/>
      <c r="IL419" s="122"/>
      <c r="IM419" s="122"/>
      <c r="IN419" s="122"/>
      <c r="IO419" s="122"/>
      <c r="IP419" s="122"/>
      <c r="IQ419" s="122"/>
      <c r="IR419" s="122"/>
      <c r="IS419" s="122"/>
      <c r="IT419" s="122"/>
      <c r="IU419" s="122"/>
      <c r="IV419" s="122"/>
      <c r="IW419" s="122"/>
      <c r="IX419" s="122"/>
      <c r="IY419" s="122"/>
      <c r="IZ419" s="122"/>
      <c r="JA419" s="122"/>
      <c r="JB419" s="122"/>
      <c r="JC419" s="122"/>
      <c r="JD419" s="122"/>
      <c r="JE419" s="122"/>
      <c r="JF419" s="122"/>
      <c r="JG419" s="122"/>
      <c r="JH419" s="122"/>
      <c r="JI419" s="119"/>
      <c r="JJ419" s="2"/>
      <c r="JK419" s="122"/>
      <c r="JL419" s="125"/>
      <c r="JM419" s="125"/>
      <c r="JN419" s="125"/>
      <c r="JO419" s="125"/>
      <c r="JP419" s="125"/>
    </row>
    <row r="420" spans="1:276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122"/>
      <c r="AI420" s="122"/>
      <c r="AJ420" s="122"/>
      <c r="AK420" s="122"/>
      <c r="AL420" s="122"/>
      <c r="AM420" s="122"/>
      <c r="AN420" s="122"/>
      <c r="AO420" s="122"/>
      <c r="AP420" s="122"/>
      <c r="AQ420" s="122"/>
      <c r="AR420" s="122"/>
      <c r="AS420" s="122"/>
      <c r="AT420" s="122"/>
      <c r="AU420" s="122"/>
      <c r="AV420" s="122"/>
      <c r="AW420" s="122"/>
      <c r="AX420" s="122"/>
      <c r="AY420" s="122"/>
      <c r="AZ420" s="122"/>
      <c r="BA420" s="122"/>
      <c r="BB420" s="122"/>
      <c r="BC420" s="122"/>
      <c r="BD420" s="122"/>
      <c r="BE420" s="122"/>
      <c r="BF420" s="122"/>
      <c r="BG420" s="122"/>
      <c r="BH420" s="122"/>
      <c r="BI420" s="122"/>
      <c r="BJ420" s="122"/>
      <c r="BK420" s="122"/>
      <c r="BL420" s="122"/>
      <c r="BM420" s="122"/>
      <c r="BN420" s="122"/>
      <c r="BO420" s="122"/>
      <c r="BP420" s="122"/>
      <c r="BQ420" s="122"/>
      <c r="BR420" s="122"/>
      <c r="BS420" s="122"/>
      <c r="BT420" s="122"/>
      <c r="BU420" s="122"/>
      <c r="BV420" s="122"/>
      <c r="BW420" s="122"/>
      <c r="BX420" s="122"/>
      <c r="BY420" s="122"/>
      <c r="BZ420" s="122"/>
      <c r="CA420" s="122"/>
      <c r="CB420" s="122"/>
      <c r="CC420" s="122"/>
      <c r="CD420" s="122"/>
      <c r="CE420" s="122"/>
      <c r="CF420" s="122"/>
      <c r="CG420" s="122"/>
      <c r="CH420" s="122"/>
      <c r="CI420" s="122"/>
      <c r="CJ420" s="122"/>
      <c r="CK420" s="122"/>
      <c r="CL420" s="122"/>
      <c r="CM420" s="122"/>
      <c r="CN420" s="122"/>
      <c r="CO420" s="122"/>
      <c r="CP420" s="122"/>
      <c r="CQ420" s="122"/>
      <c r="CR420" s="122"/>
      <c r="CS420" s="122"/>
      <c r="CT420" s="122"/>
      <c r="CU420" s="122"/>
      <c r="CV420" s="122"/>
      <c r="CW420" s="122"/>
      <c r="CX420" s="122"/>
      <c r="CY420" s="122"/>
      <c r="CZ420" s="122"/>
      <c r="DA420" s="122"/>
      <c r="DB420" s="122"/>
      <c r="DC420" s="122"/>
      <c r="DD420" s="122"/>
      <c r="DE420" s="122"/>
      <c r="DF420" s="122"/>
      <c r="DG420" s="122"/>
      <c r="DH420" s="122"/>
      <c r="DI420" s="122"/>
      <c r="DJ420" s="122"/>
      <c r="DK420" s="122"/>
      <c r="DL420" s="122"/>
      <c r="DM420" s="122"/>
      <c r="DN420" s="122"/>
      <c r="DO420" s="122"/>
      <c r="DP420" s="122"/>
      <c r="DQ420" s="122"/>
      <c r="DR420" s="122"/>
      <c r="DS420" s="122"/>
      <c r="DT420" s="122"/>
      <c r="DU420" s="122"/>
      <c r="DV420" s="122"/>
      <c r="DW420" s="122"/>
      <c r="DX420" s="122"/>
      <c r="DY420" s="122"/>
      <c r="DZ420" s="122"/>
      <c r="EA420" s="122"/>
      <c r="EB420" s="122"/>
      <c r="EC420" s="122"/>
      <c r="ED420" s="122"/>
      <c r="EE420" s="122"/>
      <c r="EF420" s="122"/>
      <c r="EG420" s="122"/>
      <c r="EH420" s="122"/>
      <c r="EI420" s="122"/>
      <c r="EJ420" s="122"/>
      <c r="EK420" s="122"/>
      <c r="EL420" s="122"/>
      <c r="EM420" s="122"/>
      <c r="EN420" s="122"/>
      <c r="EO420" s="122"/>
      <c r="EP420" s="122"/>
      <c r="EQ420" s="122"/>
      <c r="ER420" s="122"/>
      <c r="ES420" s="122"/>
      <c r="ET420" s="122"/>
      <c r="EU420" s="122"/>
      <c r="EV420" s="122"/>
      <c r="EW420" s="122"/>
      <c r="EX420" s="122"/>
      <c r="EY420" s="122"/>
      <c r="EZ420" s="122"/>
      <c r="FA420" s="122"/>
      <c r="FB420" s="122"/>
      <c r="FC420" s="122"/>
      <c r="FD420" s="122"/>
      <c r="FE420" s="122"/>
      <c r="FF420" s="122"/>
      <c r="FG420" s="122"/>
      <c r="FH420" s="122"/>
      <c r="FI420" s="122"/>
      <c r="FJ420" s="122"/>
      <c r="FK420" s="122"/>
      <c r="FL420" s="122"/>
      <c r="FM420" s="122"/>
      <c r="FN420" s="122"/>
      <c r="FO420" s="122"/>
      <c r="FP420" s="122"/>
      <c r="FQ420" s="122"/>
      <c r="FR420" s="122"/>
      <c r="FS420" s="122"/>
      <c r="FT420" s="122"/>
      <c r="FU420" s="122"/>
      <c r="FV420" s="122"/>
      <c r="FW420" s="122"/>
      <c r="FX420" s="122"/>
      <c r="FY420" s="122"/>
      <c r="FZ420" s="122"/>
      <c r="GA420" s="122"/>
      <c r="GB420" s="122"/>
      <c r="GC420" s="122"/>
      <c r="GD420" s="122"/>
      <c r="GE420" s="122"/>
      <c r="GF420" s="122"/>
      <c r="GG420" s="122"/>
      <c r="GH420" s="122"/>
      <c r="GI420" s="122"/>
      <c r="GJ420" s="122"/>
      <c r="GK420" s="122"/>
      <c r="GL420" s="122"/>
      <c r="GM420" s="122"/>
      <c r="GN420" s="122"/>
      <c r="GO420" s="122"/>
      <c r="GP420" s="122"/>
      <c r="GQ420" s="122"/>
      <c r="GR420" s="122"/>
      <c r="GS420" s="122"/>
      <c r="GT420" s="122"/>
      <c r="GU420" s="122"/>
      <c r="GV420" s="122"/>
      <c r="GW420" s="122"/>
      <c r="GX420" s="122"/>
      <c r="GY420" s="122"/>
      <c r="GZ420" s="122"/>
      <c r="HA420" s="122"/>
      <c r="HB420" s="122"/>
      <c r="HC420" s="122"/>
      <c r="HD420" s="122"/>
      <c r="HE420" s="122"/>
      <c r="HF420" s="122"/>
      <c r="HG420" s="122"/>
      <c r="HH420" s="122"/>
      <c r="HI420" s="122"/>
      <c r="HJ420" s="122"/>
      <c r="HK420" s="122"/>
      <c r="HL420" s="122"/>
      <c r="HM420" s="122"/>
      <c r="HN420" s="122"/>
      <c r="HO420" s="122"/>
      <c r="HP420" s="122"/>
      <c r="HQ420" s="122"/>
      <c r="HR420" s="122"/>
      <c r="HS420" s="122"/>
      <c r="HT420" s="122"/>
      <c r="HU420" s="122"/>
      <c r="HV420" s="122"/>
      <c r="HW420" s="122"/>
      <c r="HX420" s="122"/>
      <c r="HY420" s="122"/>
      <c r="HZ420" s="122"/>
      <c r="IA420" s="122"/>
      <c r="IB420" s="122"/>
      <c r="IC420" s="122"/>
      <c r="ID420" s="122"/>
      <c r="IE420" s="122"/>
      <c r="IF420" s="122"/>
      <c r="IG420" s="122"/>
      <c r="IH420" s="122"/>
      <c r="II420" s="122"/>
      <c r="IJ420" s="122"/>
      <c r="IK420" s="122"/>
      <c r="IL420" s="122"/>
      <c r="IM420" s="122"/>
      <c r="IN420" s="122"/>
      <c r="IO420" s="122"/>
      <c r="IP420" s="122"/>
      <c r="IQ420" s="122"/>
      <c r="IR420" s="122"/>
      <c r="IS420" s="122"/>
      <c r="IT420" s="122"/>
      <c r="IU420" s="122"/>
      <c r="IV420" s="122"/>
      <c r="IW420" s="122"/>
      <c r="IX420" s="122"/>
      <c r="IY420" s="122"/>
      <c r="IZ420" s="122"/>
      <c r="JA420" s="122"/>
      <c r="JB420" s="122"/>
      <c r="JC420" s="122"/>
      <c r="JD420" s="122"/>
      <c r="JE420" s="122"/>
      <c r="JF420" s="122"/>
      <c r="JG420" s="122"/>
      <c r="JH420" s="122"/>
      <c r="JI420" s="119"/>
      <c r="JJ420" s="2"/>
      <c r="JK420" s="122"/>
      <c r="JL420" s="125"/>
      <c r="JM420" s="125"/>
      <c r="JN420" s="125"/>
      <c r="JO420" s="125"/>
      <c r="JP420" s="125"/>
    </row>
    <row r="421" spans="1:276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122"/>
      <c r="AJ421" s="122"/>
      <c r="AK421" s="122"/>
      <c r="AL421" s="122"/>
      <c r="AM421" s="122"/>
      <c r="AN421" s="122"/>
      <c r="AO421" s="122"/>
      <c r="AP421" s="122"/>
      <c r="AQ421" s="122"/>
      <c r="AR421" s="122"/>
      <c r="AS421" s="122"/>
      <c r="AT421" s="122"/>
      <c r="AU421" s="122"/>
      <c r="AV421" s="122"/>
      <c r="AW421" s="122"/>
      <c r="AX421" s="122"/>
      <c r="AY421" s="122"/>
      <c r="AZ421" s="122"/>
      <c r="BA421" s="122"/>
      <c r="BB421" s="122"/>
      <c r="BC421" s="122"/>
      <c r="BD421" s="122"/>
      <c r="BE421" s="122"/>
      <c r="BF421" s="122"/>
      <c r="BG421" s="122"/>
      <c r="BH421" s="122"/>
      <c r="BI421" s="122"/>
      <c r="BJ421" s="122"/>
      <c r="BK421" s="122"/>
      <c r="BL421" s="122"/>
      <c r="BM421" s="122"/>
      <c r="BN421" s="122"/>
      <c r="BO421" s="122"/>
      <c r="BP421" s="122"/>
      <c r="BQ421" s="122"/>
      <c r="BR421" s="122"/>
      <c r="BS421" s="122"/>
      <c r="BT421" s="122"/>
      <c r="BU421" s="122"/>
      <c r="BV421" s="122"/>
      <c r="BW421" s="122"/>
      <c r="BX421" s="122"/>
      <c r="BY421" s="122"/>
      <c r="BZ421" s="122"/>
      <c r="CA421" s="122"/>
      <c r="CB421" s="122"/>
      <c r="CC421" s="122"/>
      <c r="CD421" s="122"/>
      <c r="CE421" s="122"/>
      <c r="CF421" s="122"/>
      <c r="CG421" s="122"/>
      <c r="CH421" s="122"/>
      <c r="CI421" s="122"/>
      <c r="CJ421" s="122"/>
      <c r="CK421" s="122"/>
      <c r="CL421" s="122"/>
      <c r="CM421" s="122"/>
      <c r="CN421" s="122"/>
      <c r="CO421" s="122"/>
      <c r="CP421" s="122"/>
      <c r="CQ421" s="122"/>
      <c r="CR421" s="122"/>
      <c r="CS421" s="122"/>
      <c r="CT421" s="122"/>
      <c r="CU421" s="122"/>
      <c r="CV421" s="122"/>
      <c r="CW421" s="122"/>
      <c r="CX421" s="122"/>
      <c r="CY421" s="122"/>
      <c r="CZ421" s="122"/>
      <c r="DA421" s="122"/>
      <c r="DB421" s="122"/>
      <c r="DC421" s="122"/>
      <c r="DD421" s="122"/>
      <c r="DE421" s="122"/>
      <c r="DF421" s="122"/>
      <c r="DG421" s="122"/>
      <c r="DH421" s="122"/>
      <c r="DI421" s="122"/>
      <c r="DJ421" s="122"/>
      <c r="DK421" s="122"/>
      <c r="DL421" s="122"/>
      <c r="DM421" s="122"/>
      <c r="DN421" s="122"/>
      <c r="DO421" s="122"/>
      <c r="DP421" s="122"/>
      <c r="DQ421" s="122"/>
      <c r="DR421" s="122"/>
      <c r="DS421" s="122"/>
      <c r="DT421" s="122"/>
      <c r="DU421" s="122"/>
      <c r="DV421" s="122"/>
      <c r="DW421" s="122"/>
      <c r="DX421" s="122"/>
      <c r="DY421" s="122"/>
      <c r="DZ421" s="122"/>
      <c r="EA421" s="122"/>
      <c r="EB421" s="122"/>
      <c r="EC421" s="122"/>
      <c r="ED421" s="122"/>
      <c r="EE421" s="122"/>
      <c r="EF421" s="122"/>
      <c r="EG421" s="122"/>
      <c r="EH421" s="122"/>
      <c r="EI421" s="122"/>
      <c r="EJ421" s="122"/>
      <c r="EK421" s="122"/>
      <c r="EL421" s="122"/>
      <c r="EM421" s="122"/>
      <c r="EN421" s="122"/>
      <c r="EO421" s="122"/>
      <c r="EP421" s="122"/>
      <c r="EQ421" s="122"/>
      <c r="ER421" s="122"/>
      <c r="ES421" s="122"/>
      <c r="ET421" s="122"/>
      <c r="EU421" s="122"/>
      <c r="EV421" s="122"/>
      <c r="EW421" s="122"/>
      <c r="EX421" s="122"/>
      <c r="EY421" s="122"/>
      <c r="EZ421" s="122"/>
      <c r="FA421" s="122"/>
      <c r="FB421" s="122"/>
      <c r="FC421" s="122"/>
      <c r="FD421" s="122"/>
      <c r="FE421" s="122"/>
      <c r="FF421" s="122"/>
      <c r="FG421" s="122"/>
      <c r="FH421" s="122"/>
      <c r="FI421" s="122"/>
      <c r="FJ421" s="122"/>
      <c r="FK421" s="122"/>
      <c r="FL421" s="122"/>
      <c r="FM421" s="122"/>
      <c r="FN421" s="122"/>
      <c r="FO421" s="122"/>
      <c r="FP421" s="122"/>
      <c r="FQ421" s="122"/>
      <c r="FR421" s="122"/>
      <c r="FS421" s="122"/>
      <c r="FT421" s="122"/>
      <c r="FU421" s="122"/>
      <c r="FV421" s="122"/>
      <c r="FW421" s="122"/>
      <c r="FX421" s="122"/>
      <c r="FY421" s="122"/>
      <c r="FZ421" s="122"/>
      <c r="GA421" s="122"/>
      <c r="GB421" s="122"/>
      <c r="GC421" s="122"/>
      <c r="GD421" s="122"/>
      <c r="GE421" s="122"/>
      <c r="GF421" s="122"/>
      <c r="GG421" s="122"/>
      <c r="GH421" s="122"/>
      <c r="GI421" s="122"/>
      <c r="GJ421" s="122"/>
      <c r="GK421" s="122"/>
      <c r="GL421" s="122"/>
      <c r="GM421" s="122"/>
      <c r="GN421" s="122"/>
      <c r="GO421" s="122"/>
      <c r="GP421" s="122"/>
      <c r="GQ421" s="122"/>
      <c r="GR421" s="122"/>
      <c r="GS421" s="122"/>
      <c r="GT421" s="122"/>
      <c r="GU421" s="122"/>
      <c r="GV421" s="122"/>
      <c r="GW421" s="122"/>
      <c r="GX421" s="122"/>
      <c r="GY421" s="122"/>
      <c r="GZ421" s="122"/>
      <c r="HA421" s="122"/>
      <c r="HB421" s="122"/>
      <c r="HC421" s="122"/>
      <c r="HD421" s="122"/>
      <c r="HE421" s="122"/>
      <c r="HF421" s="122"/>
      <c r="HG421" s="122"/>
      <c r="HH421" s="122"/>
      <c r="HI421" s="122"/>
      <c r="HJ421" s="122"/>
      <c r="HK421" s="122"/>
      <c r="HL421" s="122"/>
      <c r="HM421" s="122"/>
      <c r="HN421" s="122"/>
      <c r="HO421" s="122"/>
      <c r="HP421" s="122"/>
      <c r="HQ421" s="122"/>
      <c r="HR421" s="122"/>
      <c r="HS421" s="122"/>
      <c r="HT421" s="122"/>
      <c r="HU421" s="122"/>
      <c r="HV421" s="122"/>
      <c r="HW421" s="122"/>
      <c r="HX421" s="122"/>
      <c r="HY421" s="122"/>
      <c r="HZ421" s="122"/>
      <c r="IA421" s="122"/>
      <c r="IB421" s="122"/>
      <c r="IC421" s="122"/>
      <c r="ID421" s="122"/>
      <c r="IE421" s="122"/>
      <c r="IF421" s="122"/>
      <c r="IG421" s="122"/>
      <c r="IH421" s="122"/>
      <c r="II421" s="122"/>
      <c r="IJ421" s="122"/>
      <c r="IK421" s="122"/>
      <c r="IL421" s="122"/>
      <c r="IM421" s="122"/>
      <c r="IN421" s="122"/>
      <c r="IO421" s="122"/>
      <c r="IP421" s="122"/>
      <c r="IQ421" s="122"/>
      <c r="IR421" s="122"/>
      <c r="IS421" s="122"/>
      <c r="IT421" s="122"/>
      <c r="IU421" s="122"/>
      <c r="IV421" s="122"/>
      <c r="IW421" s="122"/>
      <c r="IX421" s="122"/>
      <c r="IY421" s="122"/>
      <c r="IZ421" s="122"/>
      <c r="JA421" s="122"/>
      <c r="JB421" s="122"/>
      <c r="JC421" s="122"/>
      <c r="JD421" s="122"/>
      <c r="JE421" s="122"/>
      <c r="JF421" s="122"/>
      <c r="JG421" s="122"/>
      <c r="JH421" s="122"/>
      <c r="JI421" s="119"/>
      <c r="JJ421" s="2"/>
      <c r="JK421" s="122"/>
      <c r="JL421" s="125"/>
      <c r="JM421" s="125"/>
      <c r="JN421" s="125"/>
      <c r="JO421" s="125"/>
      <c r="JP421" s="125"/>
    </row>
    <row r="422" spans="1:276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122"/>
      <c r="AI422" s="122"/>
      <c r="AJ422" s="122"/>
      <c r="AK422" s="122"/>
      <c r="AL422" s="122"/>
      <c r="AM422" s="122"/>
      <c r="AN422" s="122"/>
      <c r="AO422" s="122"/>
      <c r="AP422" s="122"/>
      <c r="AQ422" s="122"/>
      <c r="AR422" s="122"/>
      <c r="AS422" s="122"/>
      <c r="AT422" s="122"/>
      <c r="AU422" s="122"/>
      <c r="AV422" s="122"/>
      <c r="AW422" s="122"/>
      <c r="AX422" s="122"/>
      <c r="AY422" s="122"/>
      <c r="AZ422" s="122"/>
      <c r="BA422" s="122"/>
      <c r="BB422" s="122"/>
      <c r="BC422" s="122"/>
      <c r="BD422" s="122"/>
      <c r="BE422" s="122"/>
      <c r="BF422" s="122"/>
      <c r="BG422" s="122"/>
      <c r="BH422" s="122"/>
      <c r="BI422" s="122"/>
      <c r="BJ422" s="122"/>
      <c r="BK422" s="122"/>
      <c r="BL422" s="122"/>
      <c r="BM422" s="122"/>
      <c r="BN422" s="122"/>
      <c r="BO422" s="122"/>
      <c r="BP422" s="122"/>
      <c r="BQ422" s="122"/>
      <c r="BR422" s="122"/>
      <c r="BS422" s="122"/>
      <c r="BT422" s="122"/>
      <c r="BU422" s="122"/>
      <c r="BV422" s="122"/>
      <c r="BW422" s="122"/>
      <c r="BX422" s="122"/>
      <c r="BY422" s="122"/>
      <c r="BZ422" s="122"/>
      <c r="CA422" s="122"/>
      <c r="CB422" s="122"/>
      <c r="CC422" s="122"/>
      <c r="CD422" s="122"/>
      <c r="CE422" s="122"/>
      <c r="CF422" s="122"/>
      <c r="CG422" s="122"/>
      <c r="CH422" s="122"/>
      <c r="CI422" s="122"/>
      <c r="CJ422" s="122"/>
      <c r="CK422" s="122"/>
      <c r="CL422" s="122"/>
      <c r="CM422" s="122"/>
      <c r="CN422" s="122"/>
      <c r="CO422" s="122"/>
      <c r="CP422" s="122"/>
      <c r="CQ422" s="122"/>
      <c r="CR422" s="122"/>
      <c r="CS422" s="122"/>
      <c r="CT422" s="122"/>
      <c r="CU422" s="122"/>
      <c r="CV422" s="122"/>
      <c r="CW422" s="122"/>
      <c r="CX422" s="122"/>
      <c r="CY422" s="122"/>
      <c r="CZ422" s="122"/>
      <c r="DA422" s="122"/>
      <c r="DB422" s="122"/>
      <c r="DC422" s="122"/>
      <c r="DD422" s="122"/>
      <c r="DE422" s="122"/>
      <c r="DF422" s="122"/>
      <c r="DG422" s="122"/>
      <c r="DH422" s="122"/>
      <c r="DI422" s="122"/>
      <c r="DJ422" s="122"/>
      <c r="DK422" s="122"/>
      <c r="DL422" s="122"/>
      <c r="DM422" s="122"/>
      <c r="DN422" s="122"/>
      <c r="DO422" s="122"/>
      <c r="DP422" s="122"/>
      <c r="DQ422" s="122"/>
      <c r="DR422" s="122"/>
      <c r="DS422" s="122"/>
      <c r="DT422" s="122"/>
      <c r="DU422" s="122"/>
      <c r="DV422" s="122"/>
      <c r="DW422" s="122"/>
      <c r="DX422" s="122"/>
      <c r="DY422" s="122"/>
      <c r="DZ422" s="122"/>
      <c r="EA422" s="122"/>
      <c r="EB422" s="122"/>
      <c r="EC422" s="122"/>
      <c r="ED422" s="122"/>
      <c r="EE422" s="122"/>
      <c r="EF422" s="122"/>
      <c r="EG422" s="122"/>
      <c r="EH422" s="122"/>
      <c r="EI422" s="122"/>
      <c r="EJ422" s="122"/>
      <c r="EK422" s="122"/>
      <c r="EL422" s="122"/>
      <c r="EM422" s="122"/>
      <c r="EN422" s="122"/>
      <c r="EO422" s="122"/>
      <c r="EP422" s="122"/>
      <c r="EQ422" s="122"/>
      <c r="ER422" s="122"/>
      <c r="ES422" s="122"/>
      <c r="ET422" s="122"/>
      <c r="EU422" s="122"/>
      <c r="EV422" s="122"/>
      <c r="EW422" s="122"/>
      <c r="EX422" s="122"/>
      <c r="EY422" s="122"/>
      <c r="EZ422" s="122"/>
      <c r="FA422" s="122"/>
      <c r="FB422" s="122"/>
      <c r="FC422" s="122"/>
      <c r="FD422" s="122"/>
      <c r="FE422" s="122"/>
      <c r="FF422" s="122"/>
      <c r="FG422" s="122"/>
      <c r="FH422" s="122"/>
      <c r="FI422" s="122"/>
      <c r="FJ422" s="122"/>
      <c r="FK422" s="122"/>
      <c r="FL422" s="122"/>
      <c r="FM422" s="122"/>
      <c r="FN422" s="122"/>
      <c r="FO422" s="122"/>
      <c r="FP422" s="122"/>
      <c r="FQ422" s="122"/>
      <c r="FR422" s="122"/>
      <c r="FS422" s="122"/>
      <c r="FT422" s="122"/>
      <c r="FU422" s="122"/>
      <c r="FV422" s="122"/>
      <c r="FW422" s="122"/>
      <c r="FX422" s="122"/>
      <c r="FY422" s="122"/>
      <c r="FZ422" s="122"/>
      <c r="GA422" s="122"/>
      <c r="GB422" s="122"/>
      <c r="GC422" s="122"/>
      <c r="GD422" s="122"/>
      <c r="GE422" s="122"/>
      <c r="GF422" s="122"/>
      <c r="GG422" s="122"/>
      <c r="GH422" s="122"/>
      <c r="GI422" s="122"/>
      <c r="GJ422" s="122"/>
      <c r="GK422" s="122"/>
      <c r="GL422" s="122"/>
      <c r="GM422" s="122"/>
      <c r="GN422" s="122"/>
      <c r="GO422" s="122"/>
      <c r="GP422" s="122"/>
      <c r="GQ422" s="122"/>
      <c r="GR422" s="122"/>
      <c r="GS422" s="122"/>
      <c r="GT422" s="122"/>
      <c r="GU422" s="122"/>
      <c r="GV422" s="122"/>
      <c r="GW422" s="122"/>
      <c r="GX422" s="122"/>
      <c r="GY422" s="122"/>
      <c r="GZ422" s="122"/>
      <c r="HA422" s="122"/>
      <c r="HB422" s="122"/>
      <c r="HC422" s="122"/>
      <c r="HD422" s="122"/>
      <c r="HE422" s="122"/>
      <c r="HF422" s="122"/>
      <c r="HG422" s="122"/>
      <c r="HH422" s="122"/>
      <c r="HI422" s="122"/>
      <c r="HJ422" s="122"/>
      <c r="HK422" s="122"/>
      <c r="HL422" s="122"/>
      <c r="HM422" s="122"/>
      <c r="HN422" s="122"/>
      <c r="HO422" s="122"/>
      <c r="HP422" s="122"/>
      <c r="HQ422" s="122"/>
      <c r="HR422" s="122"/>
      <c r="HS422" s="122"/>
      <c r="HT422" s="122"/>
      <c r="HU422" s="122"/>
      <c r="HV422" s="122"/>
      <c r="HW422" s="122"/>
      <c r="HX422" s="122"/>
      <c r="HY422" s="122"/>
      <c r="HZ422" s="122"/>
      <c r="IA422" s="122"/>
      <c r="IB422" s="122"/>
      <c r="IC422" s="122"/>
      <c r="ID422" s="122"/>
      <c r="IE422" s="122"/>
      <c r="IF422" s="122"/>
      <c r="IG422" s="122"/>
      <c r="IH422" s="122"/>
      <c r="II422" s="122"/>
      <c r="IJ422" s="122"/>
      <c r="IK422" s="122"/>
      <c r="IL422" s="122"/>
      <c r="IM422" s="122"/>
      <c r="IN422" s="122"/>
      <c r="IO422" s="122"/>
      <c r="IP422" s="122"/>
      <c r="IQ422" s="122"/>
      <c r="IR422" s="122"/>
      <c r="IS422" s="122"/>
      <c r="IT422" s="122"/>
      <c r="IU422" s="122"/>
      <c r="IV422" s="122"/>
      <c r="IW422" s="122"/>
      <c r="IX422" s="122"/>
      <c r="IY422" s="122"/>
      <c r="IZ422" s="122"/>
      <c r="JA422" s="122"/>
      <c r="JB422" s="122"/>
      <c r="JC422" s="122"/>
      <c r="JD422" s="122"/>
      <c r="JE422" s="122"/>
      <c r="JF422" s="122"/>
      <c r="JG422" s="122"/>
      <c r="JH422" s="122"/>
      <c r="JI422" s="119"/>
      <c r="JJ422" s="2"/>
      <c r="JK422" s="122"/>
      <c r="JL422" s="125"/>
      <c r="JM422" s="125"/>
      <c r="JN422" s="125"/>
      <c r="JO422" s="125"/>
      <c r="JP422" s="125"/>
    </row>
    <row r="423" spans="1:276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122"/>
      <c r="AJ423" s="122"/>
      <c r="AK423" s="122"/>
      <c r="AL423" s="122"/>
      <c r="AM423" s="122"/>
      <c r="AN423" s="122"/>
      <c r="AO423" s="122"/>
      <c r="AP423" s="122"/>
      <c r="AQ423" s="122"/>
      <c r="AR423" s="122"/>
      <c r="AS423" s="122"/>
      <c r="AT423" s="122"/>
      <c r="AU423" s="122"/>
      <c r="AV423" s="122"/>
      <c r="AW423" s="122"/>
      <c r="AX423" s="122"/>
      <c r="AY423" s="122"/>
      <c r="AZ423" s="122"/>
      <c r="BA423" s="122"/>
      <c r="BB423" s="122"/>
      <c r="BC423" s="122"/>
      <c r="BD423" s="122"/>
      <c r="BE423" s="122"/>
      <c r="BF423" s="122"/>
      <c r="BG423" s="122"/>
      <c r="BH423" s="122"/>
      <c r="BI423" s="122"/>
      <c r="BJ423" s="122"/>
      <c r="BK423" s="122"/>
      <c r="BL423" s="122"/>
      <c r="BM423" s="122"/>
      <c r="BN423" s="122"/>
      <c r="BO423" s="122"/>
      <c r="BP423" s="122"/>
      <c r="BQ423" s="122"/>
      <c r="BR423" s="122"/>
      <c r="BS423" s="122"/>
      <c r="BT423" s="122"/>
      <c r="BU423" s="122"/>
      <c r="BV423" s="122"/>
      <c r="BW423" s="122"/>
      <c r="BX423" s="122"/>
      <c r="BY423" s="122"/>
      <c r="BZ423" s="122"/>
      <c r="CA423" s="122"/>
      <c r="CB423" s="122"/>
      <c r="CC423" s="122"/>
      <c r="CD423" s="122"/>
      <c r="CE423" s="122"/>
      <c r="CF423" s="122"/>
      <c r="CG423" s="122"/>
      <c r="CH423" s="122"/>
      <c r="CI423" s="122"/>
      <c r="CJ423" s="122"/>
      <c r="CK423" s="122"/>
      <c r="CL423" s="122"/>
      <c r="CM423" s="122"/>
      <c r="CN423" s="122"/>
      <c r="CO423" s="122"/>
      <c r="CP423" s="122"/>
      <c r="CQ423" s="122"/>
      <c r="CR423" s="122"/>
      <c r="CS423" s="122"/>
      <c r="CT423" s="122"/>
      <c r="CU423" s="122"/>
      <c r="CV423" s="122"/>
      <c r="CW423" s="122"/>
      <c r="CX423" s="122"/>
      <c r="CY423" s="122"/>
      <c r="CZ423" s="122"/>
      <c r="DA423" s="122"/>
      <c r="DB423" s="122"/>
      <c r="DC423" s="122"/>
      <c r="DD423" s="122"/>
      <c r="DE423" s="122"/>
      <c r="DF423" s="122"/>
      <c r="DG423" s="122"/>
      <c r="DH423" s="122"/>
      <c r="DI423" s="122"/>
      <c r="DJ423" s="122"/>
      <c r="DK423" s="122"/>
      <c r="DL423" s="122"/>
      <c r="DM423" s="122"/>
      <c r="DN423" s="122"/>
      <c r="DO423" s="122"/>
      <c r="DP423" s="122"/>
      <c r="DQ423" s="122"/>
      <c r="DR423" s="122"/>
      <c r="DS423" s="122"/>
      <c r="DT423" s="122"/>
      <c r="DU423" s="122"/>
      <c r="DV423" s="122"/>
      <c r="DW423" s="122"/>
      <c r="DX423" s="122"/>
      <c r="DY423" s="122"/>
      <c r="DZ423" s="122"/>
      <c r="EA423" s="122"/>
      <c r="EB423" s="122"/>
      <c r="EC423" s="122"/>
      <c r="ED423" s="122"/>
      <c r="EE423" s="122"/>
      <c r="EF423" s="122"/>
      <c r="EG423" s="122"/>
      <c r="EH423" s="122"/>
      <c r="EI423" s="122"/>
      <c r="EJ423" s="122"/>
      <c r="EK423" s="122"/>
      <c r="EL423" s="122"/>
      <c r="EM423" s="122"/>
      <c r="EN423" s="122"/>
      <c r="EO423" s="122"/>
      <c r="EP423" s="122"/>
      <c r="EQ423" s="122"/>
      <c r="ER423" s="122"/>
      <c r="ES423" s="122"/>
      <c r="ET423" s="122"/>
      <c r="EU423" s="122"/>
      <c r="EV423" s="122"/>
      <c r="EW423" s="122"/>
      <c r="EX423" s="122"/>
      <c r="EY423" s="122"/>
      <c r="EZ423" s="122"/>
      <c r="FA423" s="122"/>
      <c r="FB423" s="122"/>
      <c r="FC423" s="122"/>
      <c r="FD423" s="122"/>
      <c r="FE423" s="122"/>
      <c r="FF423" s="122"/>
      <c r="FG423" s="122"/>
      <c r="FH423" s="122"/>
      <c r="FI423" s="122"/>
      <c r="FJ423" s="122"/>
      <c r="FK423" s="122"/>
      <c r="FL423" s="122"/>
      <c r="FM423" s="122"/>
      <c r="FN423" s="122"/>
      <c r="FO423" s="122"/>
      <c r="FP423" s="122"/>
      <c r="FQ423" s="122"/>
      <c r="FR423" s="122"/>
      <c r="FS423" s="122"/>
      <c r="FT423" s="122"/>
      <c r="FU423" s="122"/>
      <c r="FV423" s="122"/>
      <c r="FW423" s="122"/>
      <c r="FX423" s="122"/>
      <c r="FY423" s="122"/>
      <c r="FZ423" s="122"/>
      <c r="GA423" s="122"/>
      <c r="GB423" s="122"/>
      <c r="GC423" s="122"/>
      <c r="GD423" s="122"/>
      <c r="GE423" s="122"/>
      <c r="GF423" s="122"/>
      <c r="GG423" s="122"/>
      <c r="GH423" s="122"/>
      <c r="GI423" s="122"/>
      <c r="GJ423" s="122"/>
      <c r="GK423" s="122"/>
      <c r="GL423" s="122"/>
      <c r="GM423" s="122"/>
      <c r="GN423" s="122"/>
      <c r="GO423" s="122"/>
      <c r="GP423" s="122"/>
      <c r="GQ423" s="122"/>
      <c r="GR423" s="122"/>
      <c r="GS423" s="122"/>
      <c r="GT423" s="122"/>
      <c r="GU423" s="122"/>
      <c r="GV423" s="122"/>
      <c r="GW423" s="122"/>
      <c r="GX423" s="122"/>
      <c r="GY423" s="122"/>
      <c r="GZ423" s="122"/>
      <c r="HA423" s="122"/>
      <c r="HB423" s="122"/>
      <c r="HC423" s="122"/>
      <c r="HD423" s="122"/>
      <c r="HE423" s="122"/>
      <c r="HF423" s="122"/>
      <c r="HG423" s="122"/>
      <c r="HH423" s="122"/>
      <c r="HI423" s="122"/>
      <c r="HJ423" s="122"/>
      <c r="HK423" s="122"/>
      <c r="HL423" s="122"/>
      <c r="HM423" s="122"/>
      <c r="HN423" s="122"/>
      <c r="HO423" s="122"/>
      <c r="HP423" s="122"/>
      <c r="HQ423" s="122"/>
      <c r="HR423" s="122"/>
      <c r="HS423" s="122"/>
      <c r="HT423" s="122"/>
      <c r="HU423" s="122"/>
      <c r="HV423" s="122"/>
      <c r="HW423" s="122"/>
      <c r="HX423" s="122"/>
      <c r="HY423" s="122"/>
      <c r="HZ423" s="122"/>
      <c r="IA423" s="122"/>
      <c r="IB423" s="122"/>
      <c r="IC423" s="122"/>
      <c r="ID423" s="122"/>
      <c r="IE423" s="122"/>
      <c r="IF423" s="122"/>
      <c r="IG423" s="122"/>
      <c r="IH423" s="122"/>
      <c r="II423" s="122"/>
      <c r="IJ423" s="122"/>
      <c r="IK423" s="122"/>
      <c r="IL423" s="122"/>
      <c r="IM423" s="122"/>
      <c r="IN423" s="122"/>
      <c r="IO423" s="122"/>
      <c r="IP423" s="122"/>
      <c r="IQ423" s="122"/>
      <c r="IR423" s="122"/>
      <c r="IS423" s="122"/>
      <c r="IT423" s="122"/>
      <c r="IU423" s="122"/>
      <c r="IV423" s="122"/>
      <c r="IW423" s="122"/>
      <c r="IX423" s="122"/>
      <c r="IY423" s="122"/>
      <c r="IZ423" s="122"/>
      <c r="JA423" s="122"/>
      <c r="JB423" s="122"/>
      <c r="JC423" s="122"/>
      <c r="JD423" s="122"/>
      <c r="JE423" s="122"/>
      <c r="JF423" s="122"/>
      <c r="JG423" s="122"/>
      <c r="JH423" s="122"/>
      <c r="JI423" s="119"/>
      <c r="JJ423" s="2"/>
      <c r="JK423" s="122"/>
      <c r="JL423" s="125"/>
      <c r="JM423" s="125"/>
      <c r="JN423" s="125"/>
      <c r="JO423" s="125"/>
      <c r="JP423" s="125"/>
    </row>
    <row r="424" spans="1:276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122"/>
      <c r="AI424" s="122"/>
      <c r="AJ424" s="122"/>
      <c r="AK424" s="122"/>
      <c r="AL424" s="122"/>
      <c r="AM424" s="122"/>
      <c r="AN424" s="122"/>
      <c r="AO424" s="122"/>
      <c r="AP424" s="122"/>
      <c r="AQ424" s="122"/>
      <c r="AR424" s="122"/>
      <c r="AS424" s="122"/>
      <c r="AT424" s="122"/>
      <c r="AU424" s="122"/>
      <c r="AV424" s="122"/>
      <c r="AW424" s="122"/>
      <c r="AX424" s="122"/>
      <c r="AY424" s="122"/>
      <c r="AZ424" s="122"/>
      <c r="BA424" s="122"/>
      <c r="BB424" s="122"/>
      <c r="BC424" s="122"/>
      <c r="BD424" s="122"/>
      <c r="BE424" s="122"/>
      <c r="BF424" s="122"/>
      <c r="BG424" s="122"/>
      <c r="BH424" s="122"/>
      <c r="BI424" s="122"/>
      <c r="BJ424" s="122"/>
      <c r="BK424" s="122"/>
      <c r="BL424" s="122"/>
      <c r="BM424" s="122"/>
      <c r="BN424" s="122"/>
      <c r="BO424" s="122"/>
      <c r="BP424" s="122"/>
      <c r="BQ424" s="122"/>
      <c r="BR424" s="122"/>
      <c r="BS424" s="122"/>
      <c r="BT424" s="122"/>
      <c r="BU424" s="122"/>
      <c r="BV424" s="122"/>
      <c r="BW424" s="122"/>
      <c r="BX424" s="122"/>
      <c r="BY424" s="122"/>
      <c r="BZ424" s="122"/>
      <c r="CA424" s="122"/>
      <c r="CB424" s="122"/>
      <c r="CC424" s="122"/>
      <c r="CD424" s="122"/>
      <c r="CE424" s="122"/>
      <c r="CF424" s="122"/>
      <c r="CG424" s="122"/>
      <c r="CH424" s="122"/>
      <c r="CI424" s="122"/>
      <c r="CJ424" s="122"/>
      <c r="CK424" s="122"/>
      <c r="CL424" s="122"/>
      <c r="CM424" s="122"/>
      <c r="CN424" s="122"/>
      <c r="CO424" s="122"/>
      <c r="CP424" s="122"/>
      <c r="CQ424" s="122"/>
      <c r="CR424" s="122"/>
      <c r="CS424" s="122"/>
      <c r="CT424" s="122"/>
      <c r="CU424" s="122"/>
      <c r="CV424" s="122"/>
      <c r="CW424" s="122"/>
      <c r="CX424" s="122"/>
      <c r="CY424" s="122"/>
      <c r="CZ424" s="122"/>
      <c r="DA424" s="122"/>
      <c r="DB424" s="122"/>
      <c r="DC424" s="122"/>
      <c r="DD424" s="122"/>
      <c r="DE424" s="122"/>
      <c r="DF424" s="122"/>
      <c r="DG424" s="122"/>
      <c r="DH424" s="122"/>
      <c r="DI424" s="122"/>
      <c r="DJ424" s="122"/>
      <c r="DK424" s="122"/>
      <c r="DL424" s="122"/>
      <c r="DM424" s="122"/>
      <c r="DN424" s="122"/>
      <c r="DO424" s="122"/>
      <c r="DP424" s="122"/>
      <c r="DQ424" s="122"/>
      <c r="DR424" s="122"/>
      <c r="DS424" s="122"/>
      <c r="DT424" s="122"/>
      <c r="DU424" s="122"/>
      <c r="DV424" s="122"/>
      <c r="DW424" s="122"/>
      <c r="DX424" s="122"/>
      <c r="DY424" s="122"/>
      <c r="DZ424" s="122"/>
      <c r="EA424" s="122"/>
      <c r="EB424" s="122"/>
      <c r="EC424" s="122"/>
      <c r="ED424" s="122"/>
      <c r="EE424" s="122"/>
      <c r="EF424" s="122"/>
      <c r="EG424" s="122"/>
      <c r="EH424" s="122"/>
      <c r="EI424" s="122"/>
      <c r="EJ424" s="122"/>
      <c r="EK424" s="122"/>
      <c r="EL424" s="122"/>
      <c r="EM424" s="122"/>
      <c r="EN424" s="122"/>
      <c r="EO424" s="122"/>
      <c r="EP424" s="122"/>
      <c r="EQ424" s="122"/>
      <c r="ER424" s="122"/>
      <c r="ES424" s="122"/>
      <c r="ET424" s="122"/>
      <c r="EU424" s="122"/>
      <c r="EV424" s="122"/>
      <c r="EW424" s="122"/>
      <c r="EX424" s="122"/>
      <c r="EY424" s="122"/>
      <c r="EZ424" s="122"/>
      <c r="FA424" s="122"/>
      <c r="FB424" s="122"/>
      <c r="FC424" s="122"/>
      <c r="FD424" s="122"/>
      <c r="FE424" s="122"/>
      <c r="FF424" s="122"/>
      <c r="FG424" s="122"/>
      <c r="FH424" s="122"/>
      <c r="FI424" s="122"/>
      <c r="FJ424" s="122"/>
      <c r="FK424" s="122"/>
      <c r="FL424" s="122"/>
      <c r="FM424" s="122"/>
      <c r="FN424" s="122"/>
      <c r="FO424" s="122"/>
      <c r="FP424" s="122"/>
      <c r="FQ424" s="122"/>
      <c r="FR424" s="122"/>
      <c r="FS424" s="122"/>
      <c r="FT424" s="122"/>
      <c r="FU424" s="122"/>
      <c r="FV424" s="122"/>
      <c r="FW424" s="122"/>
      <c r="FX424" s="122"/>
      <c r="FY424" s="122"/>
      <c r="FZ424" s="122"/>
      <c r="GA424" s="122"/>
      <c r="GB424" s="122"/>
      <c r="GC424" s="122"/>
      <c r="GD424" s="122"/>
      <c r="GE424" s="122"/>
      <c r="GF424" s="122"/>
      <c r="GG424" s="122"/>
      <c r="GH424" s="122"/>
      <c r="GI424" s="122"/>
      <c r="GJ424" s="122"/>
      <c r="GK424" s="122"/>
      <c r="GL424" s="122"/>
      <c r="GM424" s="122"/>
      <c r="GN424" s="122"/>
      <c r="GO424" s="122"/>
      <c r="GP424" s="122"/>
      <c r="GQ424" s="122"/>
      <c r="GR424" s="122"/>
      <c r="GS424" s="122"/>
      <c r="GT424" s="122"/>
      <c r="GU424" s="122"/>
      <c r="GV424" s="122"/>
      <c r="GW424" s="122"/>
      <c r="GX424" s="122"/>
      <c r="GY424" s="122"/>
      <c r="GZ424" s="122"/>
      <c r="HA424" s="122"/>
      <c r="HB424" s="122"/>
      <c r="HC424" s="122"/>
      <c r="HD424" s="122"/>
      <c r="HE424" s="122"/>
      <c r="HF424" s="122"/>
      <c r="HG424" s="122"/>
      <c r="HH424" s="122"/>
      <c r="HI424" s="122"/>
      <c r="HJ424" s="122"/>
      <c r="HK424" s="122"/>
      <c r="HL424" s="122"/>
      <c r="HM424" s="122"/>
      <c r="HN424" s="122"/>
      <c r="HO424" s="122"/>
      <c r="HP424" s="122"/>
      <c r="HQ424" s="122"/>
      <c r="HR424" s="122"/>
      <c r="HS424" s="122"/>
      <c r="HT424" s="122"/>
      <c r="HU424" s="122"/>
      <c r="HV424" s="122"/>
      <c r="HW424" s="122"/>
      <c r="HX424" s="122"/>
      <c r="HY424" s="122"/>
      <c r="HZ424" s="122"/>
      <c r="IA424" s="122"/>
      <c r="IB424" s="122"/>
      <c r="IC424" s="122"/>
      <c r="ID424" s="122"/>
      <c r="IE424" s="122"/>
      <c r="IF424" s="122"/>
      <c r="IG424" s="122"/>
      <c r="IH424" s="122"/>
      <c r="II424" s="122"/>
      <c r="IJ424" s="122"/>
      <c r="IK424" s="122"/>
      <c r="IL424" s="122"/>
      <c r="IM424" s="122"/>
      <c r="IN424" s="122"/>
      <c r="IO424" s="122"/>
      <c r="IP424" s="122"/>
      <c r="IQ424" s="122"/>
      <c r="IR424" s="122"/>
      <c r="IS424" s="122"/>
      <c r="IT424" s="122"/>
      <c r="IU424" s="122"/>
      <c r="IV424" s="122"/>
      <c r="IW424" s="122"/>
      <c r="IX424" s="122"/>
      <c r="IY424" s="122"/>
      <c r="IZ424" s="122"/>
      <c r="JA424" s="122"/>
      <c r="JB424" s="122"/>
      <c r="JC424" s="122"/>
      <c r="JD424" s="122"/>
      <c r="JE424" s="122"/>
      <c r="JF424" s="122"/>
      <c r="JG424" s="122"/>
      <c r="JH424" s="122"/>
      <c r="JI424" s="119"/>
      <c r="JJ424" s="2"/>
      <c r="JK424" s="122"/>
      <c r="JL424" s="125"/>
      <c r="JM424" s="125"/>
      <c r="JN424" s="125"/>
      <c r="JO424" s="125"/>
      <c r="JP424" s="125"/>
    </row>
    <row r="425" spans="1:276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  <c r="AK425" s="122"/>
      <c r="AL425" s="122"/>
      <c r="AM425" s="122"/>
      <c r="AN425" s="122"/>
      <c r="AO425" s="122"/>
      <c r="AP425" s="122"/>
      <c r="AQ425" s="122"/>
      <c r="AR425" s="122"/>
      <c r="AS425" s="122"/>
      <c r="AT425" s="122"/>
      <c r="AU425" s="122"/>
      <c r="AV425" s="122"/>
      <c r="AW425" s="122"/>
      <c r="AX425" s="122"/>
      <c r="AY425" s="122"/>
      <c r="AZ425" s="122"/>
      <c r="BA425" s="122"/>
      <c r="BB425" s="122"/>
      <c r="BC425" s="122"/>
      <c r="BD425" s="122"/>
      <c r="BE425" s="122"/>
      <c r="BF425" s="122"/>
      <c r="BG425" s="122"/>
      <c r="BH425" s="122"/>
      <c r="BI425" s="122"/>
      <c r="BJ425" s="122"/>
      <c r="BK425" s="122"/>
      <c r="BL425" s="122"/>
      <c r="BM425" s="122"/>
      <c r="BN425" s="122"/>
      <c r="BO425" s="122"/>
      <c r="BP425" s="122"/>
      <c r="BQ425" s="122"/>
      <c r="BR425" s="122"/>
      <c r="BS425" s="122"/>
      <c r="BT425" s="122"/>
      <c r="BU425" s="122"/>
      <c r="BV425" s="122"/>
      <c r="BW425" s="122"/>
      <c r="BX425" s="122"/>
      <c r="BY425" s="122"/>
      <c r="BZ425" s="122"/>
      <c r="CA425" s="122"/>
      <c r="CB425" s="122"/>
      <c r="CC425" s="122"/>
      <c r="CD425" s="122"/>
      <c r="CE425" s="122"/>
      <c r="CF425" s="122"/>
      <c r="CG425" s="122"/>
      <c r="CH425" s="122"/>
      <c r="CI425" s="122"/>
      <c r="CJ425" s="122"/>
      <c r="CK425" s="122"/>
      <c r="CL425" s="122"/>
      <c r="CM425" s="122"/>
      <c r="CN425" s="122"/>
      <c r="CO425" s="122"/>
      <c r="CP425" s="122"/>
      <c r="CQ425" s="122"/>
      <c r="CR425" s="122"/>
      <c r="CS425" s="122"/>
      <c r="CT425" s="122"/>
      <c r="CU425" s="122"/>
      <c r="CV425" s="122"/>
      <c r="CW425" s="122"/>
      <c r="CX425" s="122"/>
      <c r="CY425" s="122"/>
      <c r="CZ425" s="122"/>
      <c r="DA425" s="122"/>
      <c r="DB425" s="122"/>
      <c r="DC425" s="122"/>
      <c r="DD425" s="122"/>
      <c r="DE425" s="122"/>
      <c r="DF425" s="122"/>
      <c r="DG425" s="122"/>
      <c r="DH425" s="122"/>
      <c r="DI425" s="122"/>
      <c r="DJ425" s="122"/>
      <c r="DK425" s="122"/>
      <c r="DL425" s="122"/>
      <c r="DM425" s="122"/>
      <c r="DN425" s="122"/>
      <c r="DO425" s="122"/>
      <c r="DP425" s="122"/>
      <c r="DQ425" s="122"/>
      <c r="DR425" s="122"/>
      <c r="DS425" s="122"/>
      <c r="DT425" s="122"/>
      <c r="DU425" s="122"/>
      <c r="DV425" s="122"/>
      <c r="DW425" s="122"/>
      <c r="DX425" s="122"/>
      <c r="DY425" s="122"/>
      <c r="DZ425" s="122"/>
      <c r="EA425" s="122"/>
      <c r="EB425" s="122"/>
      <c r="EC425" s="122"/>
      <c r="ED425" s="122"/>
      <c r="EE425" s="122"/>
      <c r="EF425" s="122"/>
      <c r="EG425" s="122"/>
      <c r="EH425" s="122"/>
      <c r="EI425" s="122"/>
      <c r="EJ425" s="122"/>
      <c r="EK425" s="122"/>
      <c r="EL425" s="122"/>
      <c r="EM425" s="122"/>
      <c r="EN425" s="122"/>
      <c r="EO425" s="122"/>
      <c r="EP425" s="122"/>
      <c r="EQ425" s="122"/>
      <c r="ER425" s="122"/>
      <c r="ES425" s="122"/>
      <c r="ET425" s="122"/>
      <c r="EU425" s="122"/>
      <c r="EV425" s="122"/>
      <c r="EW425" s="122"/>
      <c r="EX425" s="122"/>
      <c r="EY425" s="122"/>
      <c r="EZ425" s="122"/>
      <c r="FA425" s="122"/>
      <c r="FB425" s="122"/>
      <c r="FC425" s="122"/>
      <c r="FD425" s="122"/>
      <c r="FE425" s="122"/>
      <c r="FF425" s="122"/>
      <c r="FG425" s="122"/>
      <c r="FH425" s="122"/>
      <c r="FI425" s="122"/>
      <c r="FJ425" s="122"/>
      <c r="FK425" s="122"/>
      <c r="FL425" s="122"/>
      <c r="FM425" s="122"/>
      <c r="FN425" s="122"/>
      <c r="FO425" s="122"/>
      <c r="FP425" s="122"/>
      <c r="FQ425" s="122"/>
      <c r="FR425" s="122"/>
      <c r="FS425" s="122"/>
      <c r="FT425" s="122"/>
      <c r="FU425" s="122"/>
      <c r="FV425" s="122"/>
      <c r="FW425" s="122"/>
      <c r="FX425" s="122"/>
      <c r="FY425" s="122"/>
      <c r="FZ425" s="122"/>
      <c r="GA425" s="122"/>
      <c r="GB425" s="122"/>
      <c r="GC425" s="122"/>
      <c r="GD425" s="122"/>
      <c r="GE425" s="122"/>
      <c r="GF425" s="122"/>
      <c r="GG425" s="122"/>
      <c r="GH425" s="122"/>
      <c r="GI425" s="122"/>
      <c r="GJ425" s="122"/>
      <c r="GK425" s="122"/>
      <c r="GL425" s="122"/>
      <c r="GM425" s="122"/>
      <c r="GN425" s="122"/>
      <c r="GO425" s="122"/>
      <c r="GP425" s="122"/>
      <c r="GQ425" s="122"/>
      <c r="GR425" s="122"/>
      <c r="GS425" s="122"/>
      <c r="GT425" s="122"/>
      <c r="GU425" s="122"/>
      <c r="GV425" s="122"/>
      <c r="GW425" s="122"/>
      <c r="GX425" s="122"/>
      <c r="GY425" s="122"/>
      <c r="GZ425" s="122"/>
      <c r="HA425" s="122"/>
      <c r="HB425" s="122"/>
      <c r="HC425" s="122"/>
      <c r="HD425" s="122"/>
      <c r="HE425" s="122"/>
      <c r="HF425" s="122"/>
      <c r="HG425" s="122"/>
      <c r="HH425" s="122"/>
      <c r="HI425" s="122"/>
      <c r="HJ425" s="122"/>
      <c r="HK425" s="122"/>
      <c r="HL425" s="122"/>
      <c r="HM425" s="122"/>
      <c r="HN425" s="122"/>
      <c r="HO425" s="122"/>
      <c r="HP425" s="122"/>
      <c r="HQ425" s="122"/>
      <c r="HR425" s="122"/>
      <c r="HS425" s="122"/>
      <c r="HT425" s="122"/>
      <c r="HU425" s="122"/>
      <c r="HV425" s="122"/>
      <c r="HW425" s="122"/>
      <c r="HX425" s="122"/>
      <c r="HY425" s="122"/>
      <c r="HZ425" s="122"/>
      <c r="IA425" s="122"/>
      <c r="IB425" s="122"/>
      <c r="IC425" s="122"/>
      <c r="ID425" s="122"/>
      <c r="IE425" s="122"/>
      <c r="IF425" s="122"/>
      <c r="IG425" s="122"/>
      <c r="IH425" s="122"/>
      <c r="II425" s="122"/>
      <c r="IJ425" s="122"/>
      <c r="IK425" s="122"/>
      <c r="IL425" s="122"/>
      <c r="IM425" s="122"/>
      <c r="IN425" s="122"/>
      <c r="IO425" s="122"/>
      <c r="IP425" s="122"/>
      <c r="IQ425" s="122"/>
      <c r="IR425" s="122"/>
      <c r="IS425" s="122"/>
      <c r="IT425" s="122"/>
      <c r="IU425" s="122"/>
      <c r="IV425" s="122"/>
      <c r="IW425" s="122"/>
      <c r="IX425" s="122"/>
      <c r="IY425" s="122"/>
      <c r="IZ425" s="122"/>
      <c r="JA425" s="122"/>
      <c r="JB425" s="122"/>
      <c r="JC425" s="122"/>
      <c r="JD425" s="122"/>
      <c r="JE425" s="122"/>
      <c r="JF425" s="122"/>
      <c r="JG425" s="122"/>
      <c r="JH425" s="122"/>
      <c r="JI425" s="119"/>
      <c r="JJ425" s="2"/>
      <c r="JK425" s="122"/>
      <c r="JL425" s="125"/>
      <c r="JM425" s="125"/>
      <c r="JN425" s="125"/>
      <c r="JO425" s="125"/>
      <c r="JP425" s="125"/>
    </row>
    <row r="426" spans="1:27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122"/>
      <c r="AI426" s="122"/>
      <c r="AJ426" s="122"/>
      <c r="AK426" s="122"/>
      <c r="AL426" s="122"/>
      <c r="AM426" s="122"/>
      <c r="AN426" s="122"/>
      <c r="AO426" s="122"/>
      <c r="AP426" s="122"/>
      <c r="AQ426" s="122"/>
      <c r="AR426" s="122"/>
      <c r="AS426" s="122"/>
      <c r="AT426" s="122"/>
      <c r="AU426" s="122"/>
      <c r="AV426" s="122"/>
      <c r="AW426" s="122"/>
      <c r="AX426" s="122"/>
      <c r="AY426" s="122"/>
      <c r="AZ426" s="122"/>
      <c r="BA426" s="122"/>
      <c r="BB426" s="122"/>
      <c r="BC426" s="122"/>
      <c r="BD426" s="122"/>
      <c r="BE426" s="122"/>
      <c r="BF426" s="122"/>
      <c r="BG426" s="122"/>
      <c r="BH426" s="122"/>
      <c r="BI426" s="122"/>
      <c r="BJ426" s="122"/>
      <c r="BK426" s="122"/>
      <c r="BL426" s="122"/>
      <c r="BM426" s="122"/>
      <c r="BN426" s="122"/>
      <c r="BO426" s="122"/>
      <c r="BP426" s="122"/>
      <c r="BQ426" s="122"/>
      <c r="BR426" s="122"/>
      <c r="BS426" s="122"/>
      <c r="BT426" s="122"/>
      <c r="BU426" s="122"/>
      <c r="BV426" s="122"/>
      <c r="BW426" s="122"/>
      <c r="BX426" s="122"/>
      <c r="BY426" s="122"/>
      <c r="BZ426" s="122"/>
      <c r="CA426" s="122"/>
      <c r="CB426" s="122"/>
      <c r="CC426" s="122"/>
      <c r="CD426" s="122"/>
      <c r="CE426" s="122"/>
      <c r="CF426" s="122"/>
      <c r="CG426" s="122"/>
      <c r="CH426" s="122"/>
      <c r="CI426" s="122"/>
      <c r="CJ426" s="122"/>
      <c r="CK426" s="122"/>
      <c r="CL426" s="122"/>
      <c r="CM426" s="122"/>
      <c r="CN426" s="122"/>
      <c r="CO426" s="122"/>
      <c r="CP426" s="122"/>
      <c r="CQ426" s="122"/>
      <c r="CR426" s="122"/>
      <c r="CS426" s="122"/>
      <c r="CT426" s="122"/>
      <c r="CU426" s="122"/>
      <c r="CV426" s="122"/>
      <c r="CW426" s="122"/>
      <c r="CX426" s="122"/>
      <c r="CY426" s="122"/>
      <c r="CZ426" s="122"/>
      <c r="DA426" s="122"/>
      <c r="DB426" s="122"/>
      <c r="DC426" s="122"/>
      <c r="DD426" s="122"/>
      <c r="DE426" s="122"/>
      <c r="DF426" s="122"/>
      <c r="DG426" s="122"/>
      <c r="DH426" s="122"/>
      <c r="DI426" s="122"/>
      <c r="DJ426" s="122"/>
      <c r="DK426" s="122"/>
      <c r="DL426" s="122"/>
      <c r="DM426" s="122"/>
      <c r="DN426" s="122"/>
      <c r="DO426" s="122"/>
      <c r="DP426" s="122"/>
      <c r="DQ426" s="122"/>
      <c r="DR426" s="122"/>
      <c r="DS426" s="122"/>
      <c r="DT426" s="122"/>
      <c r="DU426" s="122"/>
      <c r="DV426" s="122"/>
      <c r="DW426" s="122"/>
      <c r="DX426" s="122"/>
      <c r="DY426" s="122"/>
      <c r="DZ426" s="122"/>
      <c r="EA426" s="122"/>
      <c r="EB426" s="122"/>
      <c r="EC426" s="122"/>
      <c r="ED426" s="122"/>
      <c r="EE426" s="122"/>
      <c r="EF426" s="122"/>
      <c r="EG426" s="122"/>
      <c r="EH426" s="122"/>
      <c r="EI426" s="122"/>
      <c r="EJ426" s="122"/>
      <c r="EK426" s="122"/>
      <c r="EL426" s="122"/>
      <c r="EM426" s="122"/>
      <c r="EN426" s="122"/>
      <c r="EO426" s="122"/>
      <c r="EP426" s="122"/>
      <c r="EQ426" s="122"/>
      <c r="ER426" s="122"/>
      <c r="ES426" s="122"/>
      <c r="ET426" s="122"/>
      <c r="EU426" s="122"/>
      <c r="EV426" s="122"/>
      <c r="EW426" s="122"/>
      <c r="EX426" s="122"/>
      <c r="EY426" s="122"/>
      <c r="EZ426" s="122"/>
      <c r="FA426" s="122"/>
      <c r="FB426" s="122"/>
      <c r="FC426" s="122"/>
      <c r="FD426" s="122"/>
      <c r="FE426" s="122"/>
      <c r="FF426" s="122"/>
      <c r="FG426" s="122"/>
      <c r="FH426" s="122"/>
      <c r="FI426" s="122"/>
      <c r="FJ426" s="122"/>
      <c r="FK426" s="122"/>
      <c r="FL426" s="122"/>
      <c r="FM426" s="122"/>
      <c r="FN426" s="122"/>
      <c r="FO426" s="122"/>
      <c r="FP426" s="122"/>
      <c r="FQ426" s="122"/>
      <c r="FR426" s="122"/>
      <c r="FS426" s="122"/>
      <c r="FT426" s="122"/>
      <c r="FU426" s="122"/>
      <c r="FV426" s="122"/>
      <c r="FW426" s="122"/>
      <c r="FX426" s="122"/>
      <c r="FY426" s="122"/>
      <c r="FZ426" s="122"/>
      <c r="GA426" s="122"/>
      <c r="GB426" s="122"/>
      <c r="GC426" s="122"/>
      <c r="GD426" s="122"/>
      <c r="GE426" s="122"/>
      <c r="GF426" s="122"/>
      <c r="GG426" s="122"/>
      <c r="GH426" s="122"/>
      <c r="GI426" s="122"/>
      <c r="GJ426" s="122"/>
      <c r="GK426" s="122"/>
      <c r="GL426" s="122"/>
      <c r="GM426" s="122"/>
      <c r="GN426" s="122"/>
      <c r="GO426" s="122"/>
      <c r="GP426" s="122"/>
      <c r="GQ426" s="122"/>
      <c r="GR426" s="122"/>
      <c r="GS426" s="122"/>
      <c r="GT426" s="122"/>
      <c r="GU426" s="122"/>
      <c r="GV426" s="122"/>
      <c r="GW426" s="122"/>
      <c r="GX426" s="122"/>
      <c r="GY426" s="122"/>
      <c r="GZ426" s="122"/>
      <c r="HA426" s="122"/>
      <c r="HB426" s="122"/>
      <c r="HC426" s="122"/>
      <c r="HD426" s="122"/>
      <c r="HE426" s="122"/>
      <c r="HF426" s="122"/>
      <c r="HG426" s="122"/>
      <c r="HH426" s="122"/>
      <c r="HI426" s="122"/>
      <c r="HJ426" s="122"/>
      <c r="HK426" s="122"/>
      <c r="HL426" s="122"/>
      <c r="HM426" s="122"/>
      <c r="HN426" s="122"/>
      <c r="HO426" s="122"/>
      <c r="HP426" s="122"/>
      <c r="HQ426" s="122"/>
      <c r="HR426" s="122"/>
      <c r="HS426" s="122"/>
      <c r="HT426" s="122"/>
      <c r="HU426" s="122"/>
      <c r="HV426" s="122"/>
      <c r="HW426" s="122"/>
      <c r="HX426" s="122"/>
      <c r="HY426" s="122"/>
      <c r="HZ426" s="122"/>
      <c r="IA426" s="122"/>
      <c r="IB426" s="122"/>
      <c r="IC426" s="122"/>
      <c r="ID426" s="122"/>
      <c r="IE426" s="122"/>
      <c r="IF426" s="122"/>
      <c r="IG426" s="122"/>
      <c r="IH426" s="122"/>
      <c r="II426" s="122"/>
      <c r="IJ426" s="122"/>
      <c r="IK426" s="122"/>
      <c r="IL426" s="122"/>
      <c r="IM426" s="122"/>
      <c r="IN426" s="122"/>
      <c r="IO426" s="122"/>
      <c r="IP426" s="122"/>
      <c r="IQ426" s="122"/>
      <c r="IR426" s="122"/>
      <c r="IS426" s="122"/>
      <c r="IT426" s="122"/>
      <c r="IU426" s="122"/>
      <c r="IV426" s="122"/>
      <c r="IW426" s="122"/>
      <c r="IX426" s="122"/>
      <c r="IY426" s="122"/>
      <c r="IZ426" s="122"/>
      <c r="JA426" s="122"/>
      <c r="JB426" s="122"/>
      <c r="JC426" s="122"/>
      <c r="JD426" s="122"/>
      <c r="JE426" s="122"/>
      <c r="JF426" s="122"/>
      <c r="JG426" s="122"/>
      <c r="JH426" s="122"/>
      <c r="JI426" s="119"/>
      <c r="JJ426" s="2"/>
      <c r="JK426" s="122"/>
      <c r="JL426" s="125"/>
      <c r="JM426" s="125"/>
      <c r="JN426" s="125"/>
      <c r="JO426" s="125"/>
      <c r="JP426" s="125"/>
    </row>
    <row r="427" spans="1:276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  <c r="AK427" s="122"/>
      <c r="AL427" s="122"/>
      <c r="AM427" s="122"/>
      <c r="AN427" s="122"/>
      <c r="AO427" s="122"/>
      <c r="AP427" s="122"/>
      <c r="AQ427" s="122"/>
      <c r="AR427" s="122"/>
      <c r="AS427" s="122"/>
      <c r="AT427" s="122"/>
      <c r="AU427" s="122"/>
      <c r="AV427" s="122"/>
      <c r="AW427" s="122"/>
      <c r="AX427" s="122"/>
      <c r="AY427" s="122"/>
      <c r="AZ427" s="122"/>
      <c r="BA427" s="122"/>
      <c r="BB427" s="122"/>
      <c r="BC427" s="122"/>
      <c r="BD427" s="122"/>
      <c r="BE427" s="122"/>
      <c r="BF427" s="122"/>
      <c r="BG427" s="122"/>
      <c r="BH427" s="122"/>
      <c r="BI427" s="122"/>
      <c r="BJ427" s="122"/>
      <c r="BK427" s="122"/>
      <c r="BL427" s="122"/>
      <c r="BM427" s="122"/>
      <c r="BN427" s="122"/>
      <c r="BO427" s="122"/>
      <c r="BP427" s="122"/>
      <c r="BQ427" s="122"/>
      <c r="BR427" s="122"/>
      <c r="BS427" s="122"/>
      <c r="BT427" s="122"/>
      <c r="BU427" s="122"/>
      <c r="BV427" s="122"/>
      <c r="BW427" s="122"/>
      <c r="BX427" s="122"/>
      <c r="BY427" s="122"/>
      <c r="BZ427" s="122"/>
      <c r="CA427" s="122"/>
      <c r="CB427" s="122"/>
      <c r="CC427" s="122"/>
      <c r="CD427" s="122"/>
      <c r="CE427" s="122"/>
      <c r="CF427" s="122"/>
      <c r="CG427" s="122"/>
      <c r="CH427" s="122"/>
      <c r="CI427" s="122"/>
      <c r="CJ427" s="122"/>
      <c r="CK427" s="122"/>
      <c r="CL427" s="122"/>
      <c r="CM427" s="122"/>
      <c r="CN427" s="122"/>
      <c r="CO427" s="122"/>
      <c r="CP427" s="122"/>
      <c r="CQ427" s="122"/>
      <c r="CR427" s="122"/>
      <c r="CS427" s="122"/>
      <c r="CT427" s="122"/>
      <c r="CU427" s="122"/>
      <c r="CV427" s="122"/>
      <c r="CW427" s="122"/>
      <c r="CX427" s="122"/>
      <c r="CY427" s="122"/>
      <c r="CZ427" s="122"/>
      <c r="DA427" s="122"/>
      <c r="DB427" s="122"/>
      <c r="DC427" s="122"/>
      <c r="DD427" s="122"/>
      <c r="DE427" s="122"/>
      <c r="DF427" s="122"/>
      <c r="DG427" s="122"/>
      <c r="DH427" s="122"/>
      <c r="DI427" s="122"/>
      <c r="DJ427" s="122"/>
      <c r="DK427" s="122"/>
      <c r="DL427" s="122"/>
      <c r="DM427" s="122"/>
      <c r="DN427" s="122"/>
      <c r="DO427" s="122"/>
      <c r="DP427" s="122"/>
      <c r="DQ427" s="122"/>
      <c r="DR427" s="122"/>
      <c r="DS427" s="122"/>
      <c r="DT427" s="122"/>
      <c r="DU427" s="122"/>
      <c r="DV427" s="122"/>
      <c r="DW427" s="122"/>
      <c r="DX427" s="122"/>
      <c r="DY427" s="122"/>
      <c r="DZ427" s="122"/>
      <c r="EA427" s="122"/>
      <c r="EB427" s="122"/>
      <c r="EC427" s="122"/>
      <c r="ED427" s="122"/>
      <c r="EE427" s="122"/>
      <c r="EF427" s="122"/>
      <c r="EG427" s="122"/>
      <c r="EH427" s="122"/>
      <c r="EI427" s="122"/>
      <c r="EJ427" s="122"/>
      <c r="EK427" s="122"/>
      <c r="EL427" s="122"/>
      <c r="EM427" s="122"/>
      <c r="EN427" s="122"/>
      <c r="EO427" s="122"/>
      <c r="EP427" s="122"/>
      <c r="EQ427" s="122"/>
      <c r="ER427" s="122"/>
      <c r="ES427" s="122"/>
      <c r="ET427" s="122"/>
      <c r="EU427" s="122"/>
      <c r="EV427" s="122"/>
      <c r="EW427" s="122"/>
      <c r="EX427" s="122"/>
      <c r="EY427" s="122"/>
      <c r="EZ427" s="122"/>
      <c r="FA427" s="122"/>
      <c r="FB427" s="122"/>
      <c r="FC427" s="122"/>
      <c r="FD427" s="122"/>
      <c r="FE427" s="122"/>
      <c r="FF427" s="122"/>
      <c r="FG427" s="122"/>
      <c r="FH427" s="122"/>
      <c r="FI427" s="122"/>
      <c r="FJ427" s="122"/>
      <c r="FK427" s="122"/>
      <c r="FL427" s="122"/>
      <c r="FM427" s="122"/>
      <c r="FN427" s="122"/>
      <c r="FO427" s="122"/>
      <c r="FP427" s="122"/>
      <c r="FQ427" s="122"/>
      <c r="FR427" s="122"/>
      <c r="FS427" s="122"/>
      <c r="FT427" s="122"/>
      <c r="FU427" s="122"/>
      <c r="FV427" s="122"/>
      <c r="FW427" s="122"/>
      <c r="FX427" s="122"/>
      <c r="FY427" s="122"/>
      <c r="FZ427" s="122"/>
      <c r="GA427" s="122"/>
      <c r="GB427" s="122"/>
      <c r="GC427" s="122"/>
      <c r="GD427" s="122"/>
      <c r="GE427" s="122"/>
      <c r="GF427" s="122"/>
      <c r="GG427" s="122"/>
      <c r="GH427" s="122"/>
      <c r="GI427" s="122"/>
      <c r="GJ427" s="122"/>
      <c r="GK427" s="122"/>
      <c r="GL427" s="122"/>
      <c r="GM427" s="122"/>
      <c r="GN427" s="122"/>
      <c r="GO427" s="122"/>
      <c r="GP427" s="122"/>
      <c r="GQ427" s="122"/>
      <c r="GR427" s="122"/>
      <c r="GS427" s="122"/>
      <c r="GT427" s="122"/>
      <c r="GU427" s="122"/>
      <c r="GV427" s="122"/>
      <c r="GW427" s="122"/>
      <c r="GX427" s="122"/>
      <c r="GY427" s="122"/>
      <c r="GZ427" s="122"/>
      <c r="HA427" s="122"/>
      <c r="HB427" s="122"/>
      <c r="HC427" s="122"/>
      <c r="HD427" s="122"/>
      <c r="HE427" s="122"/>
      <c r="HF427" s="122"/>
      <c r="HG427" s="122"/>
      <c r="HH427" s="122"/>
      <c r="HI427" s="122"/>
      <c r="HJ427" s="122"/>
      <c r="HK427" s="122"/>
      <c r="HL427" s="122"/>
      <c r="HM427" s="122"/>
      <c r="HN427" s="122"/>
      <c r="HO427" s="122"/>
      <c r="HP427" s="122"/>
      <c r="HQ427" s="122"/>
      <c r="HR427" s="122"/>
      <c r="HS427" s="122"/>
      <c r="HT427" s="122"/>
      <c r="HU427" s="122"/>
      <c r="HV427" s="122"/>
      <c r="HW427" s="122"/>
      <c r="HX427" s="122"/>
      <c r="HY427" s="122"/>
      <c r="HZ427" s="122"/>
      <c r="IA427" s="122"/>
      <c r="IB427" s="122"/>
      <c r="IC427" s="122"/>
      <c r="ID427" s="122"/>
      <c r="IE427" s="122"/>
      <c r="IF427" s="122"/>
      <c r="IG427" s="122"/>
      <c r="IH427" s="122"/>
      <c r="II427" s="122"/>
      <c r="IJ427" s="122"/>
      <c r="IK427" s="122"/>
      <c r="IL427" s="122"/>
      <c r="IM427" s="122"/>
      <c r="IN427" s="122"/>
      <c r="IO427" s="122"/>
      <c r="IP427" s="122"/>
      <c r="IQ427" s="122"/>
      <c r="IR427" s="122"/>
      <c r="IS427" s="122"/>
      <c r="IT427" s="122"/>
      <c r="IU427" s="122"/>
      <c r="IV427" s="122"/>
      <c r="IW427" s="122"/>
      <c r="IX427" s="122"/>
      <c r="IY427" s="122"/>
      <c r="IZ427" s="122"/>
      <c r="JA427" s="122"/>
      <c r="JB427" s="122"/>
      <c r="JC427" s="122"/>
      <c r="JD427" s="122"/>
      <c r="JE427" s="122"/>
      <c r="JF427" s="122"/>
      <c r="JG427" s="122"/>
      <c r="JH427" s="122"/>
      <c r="JI427" s="119"/>
      <c r="JJ427" s="2"/>
      <c r="JK427" s="122"/>
      <c r="JL427" s="125"/>
      <c r="JM427" s="125"/>
      <c r="JN427" s="125"/>
      <c r="JO427" s="125"/>
      <c r="JP427" s="125"/>
    </row>
    <row r="428" spans="1:276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122"/>
      <c r="AI428" s="122"/>
      <c r="AJ428" s="122"/>
      <c r="AK428" s="122"/>
      <c r="AL428" s="122"/>
      <c r="AM428" s="122"/>
      <c r="AN428" s="122"/>
      <c r="AO428" s="122"/>
      <c r="AP428" s="122"/>
      <c r="AQ428" s="122"/>
      <c r="AR428" s="122"/>
      <c r="AS428" s="122"/>
      <c r="AT428" s="122"/>
      <c r="AU428" s="122"/>
      <c r="AV428" s="122"/>
      <c r="AW428" s="122"/>
      <c r="AX428" s="122"/>
      <c r="AY428" s="122"/>
      <c r="AZ428" s="122"/>
      <c r="BA428" s="122"/>
      <c r="BB428" s="122"/>
      <c r="BC428" s="122"/>
      <c r="BD428" s="122"/>
      <c r="BE428" s="122"/>
      <c r="BF428" s="122"/>
      <c r="BG428" s="122"/>
      <c r="BH428" s="122"/>
      <c r="BI428" s="122"/>
      <c r="BJ428" s="122"/>
      <c r="BK428" s="122"/>
      <c r="BL428" s="122"/>
      <c r="BM428" s="122"/>
      <c r="BN428" s="122"/>
      <c r="BO428" s="122"/>
      <c r="BP428" s="122"/>
      <c r="BQ428" s="122"/>
      <c r="BR428" s="122"/>
      <c r="BS428" s="122"/>
      <c r="BT428" s="122"/>
      <c r="BU428" s="122"/>
      <c r="BV428" s="122"/>
      <c r="BW428" s="122"/>
      <c r="BX428" s="122"/>
      <c r="BY428" s="122"/>
      <c r="BZ428" s="122"/>
      <c r="CA428" s="122"/>
      <c r="CB428" s="122"/>
      <c r="CC428" s="122"/>
      <c r="CD428" s="122"/>
      <c r="CE428" s="122"/>
      <c r="CF428" s="122"/>
      <c r="CG428" s="122"/>
      <c r="CH428" s="122"/>
      <c r="CI428" s="122"/>
      <c r="CJ428" s="122"/>
      <c r="CK428" s="122"/>
      <c r="CL428" s="122"/>
      <c r="CM428" s="122"/>
      <c r="CN428" s="122"/>
      <c r="CO428" s="122"/>
      <c r="CP428" s="122"/>
      <c r="CQ428" s="122"/>
      <c r="CR428" s="122"/>
      <c r="CS428" s="122"/>
      <c r="CT428" s="122"/>
      <c r="CU428" s="122"/>
      <c r="CV428" s="122"/>
      <c r="CW428" s="122"/>
      <c r="CX428" s="122"/>
      <c r="CY428" s="122"/>
      <c r="CZ428" s="122"/>
      <c r="DA428" s="122"/>
      <c r="DB428" s="122"/>
      <c r="DC428" s="122"/>
      <c r="DD428" s="122"/>
      <c r="DE428" s="122"/>
      <c r="DF428" s="122"/>
      <c r="DG428" s="122"/>
      <c r="DH428" s="122"/>
      <c r="DI428" s="122"/>
      <c r="DJ428" s="122"/>
      <c r="DK428" s="122"/>
      <c r="DL428" s="122"/>
      <c r="DM428" s="122"/>
      <c r="DN428" s="122"/>
      <c r="DO428" s="122"/>
      <c r="DP428" s="122"/>
      <c r="DQ428" s="122"/>
      <c r="DR428" s="122"/>
      <c r="DS428" s="122"/>
      <c r="DT428" s="122"/>
      <c r="DU428" s="122"/>
      <c r="DV428" s="122"/>
      <c r="DW428" s="122"/>
      <c r="DX428" s="122"/>
      <c r="DY428" s="122"/>
      <c r="DZ428" s="122"/>
      <c r="EA428" s="122"/>
      <c r="EB428" s="122"/>
      <c r="EC428" s="122"/>
      <c r="ED428" s="122"/>
      <c r="EE428" s="122"/>
      <c r="EF428" s="122"/>
      <c r="EG428" s="122"/>
      <c r="EH428" s="122"/>
      <c r="EI428" s="122"/>
      <c r="EJ428" s="122"/>
      <c r="EK428" s="122"/>
      <c r="EL428" s="122"/>
      <c r="EM428" s="122"/>
      <c r="EN428" s="122"/>
      <c r="EO428" s="122"/>
      <c r="EP428" s="122"/>
      <c r="EQ428" s="122"/>
      <c r="ER428" s="122"/>
      <c r="ES428" s="122"/>
      <c r="ET428" s="122"/>
      <c r="EU428" s="122"/>
      <c r="EV428" s="122"/>
      <c r="EW428" s="122"/>
      <c r="EX428" s="122"/>
      <c r="EY428" s="122"/>
      <c r="EZ428" s="122"/>
      <c r="FA428" s="122"/>
      <c r="FB428" s="122"/>
      <c r="FC428" s="122"/>
      <c r="FD428" s="122"/>
      <c r="FE428" s="122"/>
      <c r="FF428" s="122"/>
      <c r="FG428" s="122"/>
      <c r="FH428" s="122"/>
      <c r="FI428" s="122"/>
      <c r="FJ428" s="122"/>
      <c r="FK428" s="122"/>
      <c r="FL428" s="122"/>
      <c r="FM428" s="122"/>
      <c r="FN428" s="122"/>
      <c r="FO428" s="122"/>
      <c r="FP428" s="122"/>
      <c r="FQ428" s="122"/>
      <c r="FR428" s="122"/>
      <c r="FS428" s="122"/>
      <c r="FT428" s="122"/>
      <c r="FU428" s="122"/>
      <c r="FV428" s="122"/>
      <c r="FW428" s="122"/>
      <c r="FX428" s="122"/>
      <c r="FY428" s="122"/>
      <c r="FZ428" s="122"/>
      <c r="GA428" s="122"/>
      <c r="GB428" s="122"/>
      <c r="GC428" s="122"/>
      <c r="GD428" s="122"/>
      <c r="GE428" s="122"/>
      <c r="GF428" s="122"/>
      <c r="GG428" s="122"/>
      <c r="GH428" s="122"/>
      <c r="GI428" s="122"/>
      <c r="GJ428" s="122"/>
      <c r="GK428" s="122"/>
      <c r="GL428" s="122"/>
      <c r="GM428" s="122"/>
      <c r="GN428" s="122"/>
      <c r="GO428" s="122"/>
      <c r="GP428" s="122"/>
      <c r="GQ428" s="122"/>
      <c r="GR428" s="122"/>
      <c r="GS428" s="122"/>
      <c r="GT428" s="122"/>
      <c r="GU428" s="122"/>
      <c r="GV428" s="122"/>
      <c r="GW428" s="122"/>
      <c r="GX428" s="122"/>
      <c r="GY428" s="122"/>
      <c r="GZ428" s="122"/>
      <c r="HA428" s="122"/>
      <c r="HB428" s="122"/>
      <c r="HC428" s="122"/>
      <c r="HD428" s="122"/>
      <c r="HE428" s="122"/>
      <c r="HF428" s="122"/>
      <c r="HG428" s="122"/>
      <c r="HH428" s="122"/>
      <c r="HI428" s="122"/>
      <c r="HJ428" s="122"/>
      <c r="HK428" s="122"/>
      <c r="HL428" s="122"/>
      <c r="HM428" s="122"/>
      <c r="HN428" s="122"/>
      <c r="HO428" s="122"/>
      <c r="HP428" s="122"/>
      <c r="HQ428" s="122"/>
      <c r="HR428" s="122"/>
      <c r="HS428" s="122"/>
      <c r="HT428" s="122"/>
      <c r="HU428" s="122"/>
      <c r="HV428" s="122"/>
      <c r="HW428" s="122"/>
      <c r="HX428" s="122"/>
      <c r="HY428" s="122"/>
      <c r="HZ428" s="122"/>
      <c r="IA428" s="122"/>
      <c r="IB428" s="122"/>
      <c r="IC428" s="122"/>
      <c r="ID428" s="122"/>
      <c r="IE428" s="122"/>
      <c r="IF428" s="122"/>
      <c r="IG428" s="122"/>
      <c r="IH428" s="122"/>
      <c r="II428" s="122"/>
      <c r="IJ428" s="122"/>
      <c r="IK428" s="122"/>
      <c r="IL428" s="122"/>
      <c r="IM428" s="122"/>
      <c r="IN428" s="122"/>
      <c r="IO428" s="122"/>
      <c r="IP428" s="122"/>
      <c r="IQ428" s="122"/>
      <c r="IR428" s="122"/>
      <c r="IS428" s="122"/>
      <c r="IT428" s="122"/>
      <c r="IU428" s="122"/>
      <c r="IV428" s="122"/>
      <c r="IW428" s="122"/>
      <c r="IX428" s="122"/>
      <c r="IY428" s="122"/>
      <c r="IZ428" s="122"/>
      <c r="JA428" s="122"/>
      <c r="JB428" s="122"/>
      <c r="JC428" s="122"/>
      <c r="JD428" s="122"/>
      <c r="JE428" s="122"/>
      <c r="JF428" s="122"/>
      <c r="JG428" s="122"/>
      <c r="JH428" s="122"/>
      <c r="JI428" s="119"/>
      <c r="JJ428" s="2"/>
      <c r="JK428" s="122"/>
      <c r="JL428" s="125"/>
      <c r="JM428" s="125"/>
      <c r="JN428" s="125"/>
      <c r="JO428" s="125"/>
      <c r="JP428" s="125"/>
    </row>
    <row r="429" spans="1:276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  <c r="AK429" s="122"/>
      <c r="AL429" s="122"/>
      <c r="AM429" s="122"/>
      <c r="AN429" s="122"/>
      <c r="AO429" s="122"/>
      <c r="AP429" s="122"/>
      <c r="AQ429" s="122"/>
      <c r="AR429" s="122"/>
      <c r="AS429" s="122"/>
      <c r="AT429" s="122"/>
      <c r="AU429" s="122"/>
      <c r="AV429" s="122"/>
      <c r="AW429" s="122"/>
      <c r="AX429" s="122"/>
      <c r="AY429" s="122"/>
      <c r="AZ429" s="122"/>
      <c r="BA429" s="122"/>
      <c r="BB429" s="122"/>
      <c r="BC429" s="122"/>
      <c r="BD429" s="122"/>
      <c r="BE429" s="122"/>
      <c r="BF429" s="122"/>
      <c r="BG429" s="122"/>
      <c r="BH429" s="122"/>
      <c r="BI429" s="122"/>
      <c r="BJ429" s="122"/>
      <c r="BK429" s="122"/>
      <c r="BL429" s="122"/>
      <c r="BM429" s="122"/>
      <c r="BN429" s="122"/>
      <c r="BO429" s="122"/>
      <c r="BP429" s="122"/>
      <c r="BQ429" s="122"/>
      <c r="BR429" s="122"/>
      <c r="BS429" s="122"/>
      <c r="BT429" s="122"/>
      <c r="BU429" s="122"/>
      <c r="BV429" s="122"/>
      <c r="BW429" s="122"/>
      <c r="BX429" s="122"/>
      <c r="BY429" s="122"/>
      <c r="BZ429" s="122"/>
      <c r="CA429" s="122"/>
      <c r="CB429" s="122"/>
      <c r="CC429" s="122"/>
      <c r="CD429" s="122"/>
      <c r="CE429" s="122"/>
      <c r="CF429" s="122"/>
      <c r="CG429" s="122"/>
      <c r="CH429" s="122"/>
      <c r="CI429" s="122"/>
      <c r="CJ429" s="122"/>
      <c r="CK429" s="122"/>
      <c r="CL429" s="122"/>
      <c r="CM429" s="122"/>
      <c r="CN429" s="122"/>
      <c r="CO429" s="122"/>
      <c r="CP429" s="122"/>
      <c r="CQ429" s="122"/>
      <c r="CR429" s="122"/>
      <c r="CS429" s="122"/>
      <c r="CT429" s="122"/>
      <c r="CU429" s="122"/>
      <c r="CV429" s="122"/>
      <c r="CW429" s="122"/>
      <c r="CX429" s="122"/>
      <c r="CY429" s="122"/>
      <c r="CZ429" s="122"/>
      <c r="DA429" s="122"/>
      <c r="DB429" s="122"/>
      <c r="DC429" s="122"/>
      <c r="DD429" s="122"/>
      <c r="DE429" s="122"/>
      <c r="DF429" s="122"/>
      <c r="DG429" s="122"/>
      <c r="DH429" s="122"/>
      <c r="DI429" s="122"/>
      <c r="DJ429" s="122"/>
      <c r="DK429" s="122"/>
      <c r="DL429" s="122"/>
      <c r="DM429" s="122"/>
      <c r="DN429" s="122"/>
      <c r="DO429" s="122"/>
      <c r="DP429" s="122"/>
      <c r="DQ429" s="122"/>
      <c r="DR429" s="122"/>
      <c r="DS429" s="122"/>
      <c r="DT429" s="122"/>
      <c r="DU429" s="122"/>
      <c r="DV429" s="122"/>
      <c r="DW429" s="122"/>
      <c r="DX429" s="122"/>
      <c r="DY429" s="122"/>
      <c r="DZ429" s="122"/>
      <c r="EA429" s="122"/>
      <c r="EB429" s="122"/>
      <c r="EC429" s="122"/>
      <c r="ED429" s="122"/>
      <c r="EE429" s="122"/>
      <c r="EF429" s="122"/>
      <c r="EG429" s="122"/>
      <c r="EH429" s="122"/>
      <c r="EI429" s="122"/>
      <c r="EJ429" s="122"/>
      <c r="EK429" s="122"/>
      <c r="EL429" s="122"/>
      <c r="EM429" s="122"/>
      <c r="EN429" s="122"/>
      <c r="EO429" s="122"/>
      <c r="EP429" s="122"/>
      <c r="EQ429" s="122"/>
      <c r="ER429" s="122"/>
      <c r="ES429" s="122"/>
      <c r="ET429" s="122"/>
      <c r="EU429" s="122"/>
      <c r="EV429" s="122"/>
      <c r="EW429" s="122"/>
      <c r="EX429" s="122"/>
      <c r="EY429" s="122"/>
      <c r="EZ429" s="122"/>
      <c r="FA429" s="122"/>
      <c r="FB429" s="122"/>
      <c r="FC429" s="122"/>
      <c r="FD429" s="122"/>
      <c r="FE429" s="122"/>
      <c r="FF429" s="122"/>
      <c r="FG429" s="122"/>
      <c r="FH429" s="122"/>
      <c r="FI429" s="122"/>
      <c r="FJ429" s="122"/>
      <c r="FK429" s="122"/>
      <c r="FL429" s="122"/>
      <c r="FM429" s="122"/>
      <c r="FN429" s="122"/>
      <c r="FO429" s="122"/>
      <c r="FP429" s="122"/>
      <c r="FQ429" s="122"/>
      <c r="FR429" s="122"/>
      <c r="FS429" s="122"/>
      <c r="FT429" s="122"/>
      <c r="FU429" s="122"/>
      <c r="FV429" s="122"/>
      <c r="FW429" s="122"/>
      <c r="FX429" s="122"/>
      <c r="FY429" s="122"/>
      <c r="FZ429" s="122"/>
      <c r="GA429" s="122"/>
      <c r="GB429" s="122"/>
      <c r="GC429" s="122"/>
      <c r="GD429" s="122"/>
      <c r="GE429" s="122"/>
      <c r="GF429" s="122"/>
      <c r="GG429" s="122"/>
      <c r="GH429" s="122"/>
      <c r="GI429" s="122"/>
      <c r="GJ429" s="122"/>
      <c r="GK429" s="122"/>
      <c r="GL429" s="122"/>
      <c r="GM429" s="122"/>
      <c r="GN429" s="122"/>
      <c r="GO429" s="122"/>
      <c r="GP429" s="122"/>
      <c r="GQ429" s="122"/>
      <c r="GR429" s="122"/>
      <c r="GS429" s="122"/>
      <c r="GT429" s="122"/>
      <c r="GU429" s="122"/>
      <c r="GV429" s="122"/>
      <c r="GW429" s="122"/>
      <c r="GX429" s="122"/>
      <c r="GY429" s="122"/>
      <c r="GZ429" s="122"/>
      <c r="HA429" s="122"/>
      <c r="HB429" s="122"/>
      <c r="HC429" s="122"/>
      <c r="HD429" s="122"/>
      <c r="HE429" s="122"/>
      <c r="HF429" s="122"/>
      <c r="HG429" s="122"/>
      <c r="HH429" s="122"/>
      <c r="HI429" s="122"/>
      <c r="HJ429" s="122"/>
      <c r="HK429" s="122"/>
      <c r="HL429" s="122"/>
      <c r="HM429" s="122"/>
      <c r="HN429" s="122"/>
      <c r="HO429" s="122"/>
      <c r="HP429" s="122"/>
      <c r="HQ429" s="122"/>
      <c r="HR429" s="122"/>
      <c r="HS429" s="122"/>
      <c r="HT429" s="122"/>
      <c r="HU429" s="122"/>
      <c r="HV429" s="122"/>
      <c r="HW429" s="122"/>
      <c r="HX429" s="122"/>
      <c r="HY429" s="122"/>
      <c r="HZ429" s="122"/>
      <c r="IA429" s="122"/>
      <c r="IB429" s="122"/>
      <c r="IC429" s="122"/>
      <c r="ID429" s="122"/>
      <c r="IE429" s="122"/>
      <c r="IF429" s="122"/>
      <c r="IG429" s="122"/>
      <c r="IH429" s="122"/>
      <c r="II429" s="122"/>
      <c r="IJ429" s="122"/>
      <c r="IK429" s="122"/>
      <c r="IL429" s="122"/>
      <c r="IM429" s="122"/>
      <c r="IN429" s="122"/>
      <c r="IO429" s="122"/>
      <c r="IP429" s="122"/>
      <c r="IQ429" s="122"/>
      <c r="IR429" s="122"/>
      <c r="IS429" s="122"/>
      <c r="IT429" s="122"/>
      <c r="IU429" s="122"/>
      <c r="IV429" s="122"/>
      <c r="IW429" s="122"/>
      <c r="IX429" s="122"/>
      <c r="IY429" s="122"/>
      <c r="IZ429" s="122"/>
      <c r="JA429" s="122"/>
      <c r="JB429" s="122"/>
      <c r="JC429" s="122"/>
      <c r="JD429" s="122"/>
      <c r="JE429" s="122"/>
      <c r="JF429" s="122"/>
      <c r="JG429" s="122"/>
      <c r="JH429" s="122"/>
      <c r="JI429" s="119"/>
      <c r="JJ429" s="2"/>
      <c r="JK429" s="122"/>
      <c r="JL429" s="125"/>
      <c r="JM429" s="125"/>
      <c r="JN429" s="125"/>
      <c r="JO429" s="125"/>
      <c r="JP429" s="125"/>
    </row>
    <row r="430" spans="1:276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122"/>
      <c r="AI430" s="122"/>
      <c r="AJ430" s="122"/>
      <c r="AK430" s="122"/>
      <c r="AL430" s="122"/>
      <c r="AM430" s="122"/>
      <c r="AN430" s="122"/>
      <c r="AO430" s="122"/>
      <c r="AP430" s="122"/>
      <c r="AQ430" s="122"/>
      <c r="AR430" s="122"/>
      <c r="AS430" s="122"/>
      <c r="AT430" s="122"/>
      <c r="AU430" s="122"/>
      <c r="AV430" s="122"/>
      <c r="AW430" s="122"/>
      <c r="AX430" s="122"/>
      <c r="AY430" s="122"/>
      <c r="AZ430" s="122"/>
      <c r="BA430" s="122"/>
      <c r="BB430" s="122"/>
      <c r="BC430" s="122"/>
      <c r="BD430" s="122"/>
      <c r="BE430" s="122"/>
      <c r="BF430" s="122"/>
      <c r="BG430" s="122"/>
      <c r="BH430" s="122"/>
      <c r="BI430" s="122"/>
      <c r="BJ430" s="122"/>
      <c r="BK430" s="122"/>
      <c r="BL430" s="122"/>
      <c r="BM430" s="122"/>
      <c r="BN430" s="122"/>
      <c r="BO430" s="122"/>
      <c r="BP430" s="122"/>
      <c r="BQ430" s="122"/>
      <c r="BR430" s="122"/>
      <c r="BS430" s="122"/>
      <c r="BT430" s="122"/>
      <c r="BU430" s="122"/>
      <c r="BV430" s="122"/>
      <c r="BW430" s="122"/>
      <c r="BX430" s="122"/>
      <c r="BY430" s="122"/>
      <c r="BZ430" s="122"/>
      <c r="CA430" s="122"/>
      <c r="CB430" s="122"/>
      <c r="CC430" s="122"/>
      <c r="CD430" s="122"/>
      <c r="CE430" s="122"/>
      <c r="CF430" s="122"/>
      <c r="CG430" s="122"/>
      <c r="CH430" s="122"/>
      <c r="CI430" s="122"/>
      <c r="CJ430" s="122"/>
      <c r="CK430" s="122"/>
      <c r="CL430" s="122"/>
      <c r="CM430" s="122"/>
      <c r="CN430" s="122"/>
      <c r="CO430" s="122"/>
      <c r="CP430" s="122"/>
      <c r="CQ430" s="122"/>
      <c r="CR430" s="122"/>
      <c r="CS430" s="122"/>
      <c r="CT430" s="122"/>
      <c r="CU430" s="122"/>
      <c r="CV430" s="122"/>
      <c r="CW430" s="122"/>
      <c r="CX430" s="122"/>
      <c r="CY430" s="122"/>
      <c r="CZ430" s="122"/>
      <c r="DA430" s="122"/>
      <c r="DB430" s="122"/>
      <c r="DC430" s="122"/>
      <c r="DD430" s="122"/>
      <c r="DE430" s="122"/>
      <c r="DF430" s="122"/>
      <c r="DG430" s="122"/>
      <c r="DH430" s="122"/>
      <c r="DI430" s="122"/>
      <c r="DJ430" s="122"/>
      <c r="DK430" s="122"/>
      <c r="DL430" s="122"/>
      <c r="DM430" s="122"/>
      <c r="DN430" s="122"/>
      <c r="DO430" s="122"/>
      <c r="DP430" s="122"/>
      <c r="DQ430" s="122"/>
      <c r="DR430" s="122"/>
      <c r="DS430" s="122"/>
      <c r="DT430" s="122"/>
      <c r="DU430" s="122"/>
      <c r="DV430" s="122"/>
      <c r="DW430" s="122"/>
      <c r="DX430" s="122"/>
      <c r="DY430" s="122"/>
      <c r="DZ430" s="122"/>
      <c r="EA430" s="122"/>
      <c r="EB430" s="122"/>
      <c r="EC430" s="122"/>
      <c r="ED430" s="122"/>
      <c r="EE430" s="122"/>
      <c r="EF430" s="122"/>
      <c r="EG430" s="122"/>
      <c r="EH430" s="122"/>
      <c r="EI430" s="122"/>
      <c r="EJ430" s="122"/>
      <c r="EK430" s="122"/>
      <c r="EL430" s="122"/>
      <c r="EM430" s="122"/>
      <c r="EN430" s="122"/>
      <c r="EO430" s="122"/>
      <c r="EP430" s="122"/>
      <c r="EQ430" s="122"/>
      <c r="ER430" s="122"/>
      <c r="ES430" s="122"/>
      <c r="ET430" s="122"/>
      <c r="EU430" s="122"/>
      <c r="EV430" s="122"/>
      <c r="EW430" s="122"/>
      <c r="EX430" s="122"/>
      <c r="EY430" s="122"/>
      <c r="EZ430" s="122"/>
      <c r="FA430" s="122"/>
      <c r="FB430" s="122"/>
      <c r="FC430" s="122"/>
      <c r="FD430" s="122"/>
      <c r="FE430" s="122"/>
      <c r="FF430" s="122"/>
      <c r="FG430" s="122"/>
      <c r="FH430" s="122"/>
      <c r="FI430" s="122"/>
      <c r="FJ430" s="122"/>
      <c r="FK430" s="122"/>
      <c r="FL430" s="122"/>
      <c r="FM430" s="122"/>
      <c r="FN430" s="122"/>
      <c r="FO430" s="122"/>
      <c r="FP430" s="122"/>
      <c r="FQ430" s="122"/>
      <c r="FR430" s="122"/>
      <c r="FS430" s="122"/>
      <c r="FT430" s="122"/>
      <c r="FU430" s="122"/>
      <c r="FV430" s="122"/>
      <c r="FW430" s="122"/>
      <c r="FX430" s="122"/>
      <c r="FY430" s="122"/>
      <c r="FZ430" s="122"/>
      <c r="GA430" s="122"/>
      <c r="GB430" s="122"/>
      <c r="GC430" s="122"/>
      <c r="GD430" s="122"/>
      <c r="GE430" s="122"/>
      <c r="GF430" s="122"/>
      <c r="GG430" s="122"/>
      <c r="GH430" s="122"/>
      <c r="GI430" s="122"/>
      <c r="GJ430" s="122"/>
      <c r="GK430" s="122"/>
      <c r="GL430" s="122"/>
      <c r="GM430" s="122"/>
      <c r="GN430" s="122"/>
      <c r="GO430" s="122"/>
      <c r="GP430" s="122"/>
      <c r="GQ430" s="122"/>
      <c r="GR430" s="122"/>
      <c r="GS430" s="122"/>
      <c r="GT430" s="122"/>
      <c r="GU430" s="122"/>
      <c r="GV430" s="122"/>
      <c r="GW430" s="122"/>
      <c r="GX430" s="122"/>
      <c r="GY430" s="122"/>
      <c r="GZ430" s="122"/>
      <c r="HA430" s="122"/>
      <c r="HB430" s="122"/>
      <c r="HC430" s="122"/>
      <c r="HD430" s="122"/>
      <c r="HE430" s="122"/>
      <c r="HF430" s="122"/>
      <c r="HG430" s="122"/>
      <c r="HH430" s="122"/>
      <c r="HI430" s="122"/>
      <c r="HJ430" s="122"/>
      <c r="HK430" s="122"/>
      <c r="HL430" s="122"/>
      <c r="HM430" s="122"/>
      <c r="HN430" s="122"/>
      <c r="HO430" s="122"/>
      <c r="HP430" s="122"/>
      <c r="HQ430" s="122"/>
      <c r="HR430" s="122"/>
      <c r="HS430" s="122"/>
      <c r="HT430" s="122"/>
      <c r="HU430" s="122"/>
      <c r="HV430" s="122"/>
      <c r="HW430" s="122"/>
      <c r="HX430" s="122"/>
      <c r="HY430" s="122"/>
      <c r="HZ430" s="122"/>
      <c r="IA430" s="122"/>
      <c r="IB430" s="122"/>
      <c r="IC430" s="122"/>
      <c r="ID430" s="122"/>
      <c r="IE430" s="122"/>
      <c r="IF430" s="122"/>
      <c r="IG430" s="122"/>
      <c r="IH430" s="122"/>
      <c r="II430" s="122"/>
      <c r="IJ430" s="122"/>
      <c r="IK430" s="122"/>
      <c r="IL430" s="122"/>
      <c r="IM430" s="122"/>
      <c r="IN430" s="122"/>
      <c r="IO430" s="122"/>
      <c r="IP430" s="122"/>
      <c r="IQ430" s="122"/>
      <c r="IR430" s="122"/>
      <c r="IS430" s="122"/>
      <c r="IT430" s="122"/>
      <c r="IU430" s="122"/>
      <c r="IV430" s="122"/>
      <c r="IW430" s="122"/>
      <c r="IX430" s="122"/>
      <c r="IY430" s="122"/>
      <c r="IZ430" s="122"/>
      <c r="JA430" s="122"/>
      <c r="JB430" s="122"/>
      <c r="JC430" s="122"/>
      <c r="JD430" s="122"/>
      <c r="JE430" s="122"/>
      <c r="JF430" s="122"/>
      <c r="JG430" s="122"/>
      <c r="JH430" s="122"/>
      <c r="JI430" s="119"/>
      <c r="JJ430" s="2"/>
      <c r="JK430" s="122"/>
      <c r="JL430" s="125"/>
      <c r="JM430" s="125"/>
      <c r="JN430" s="125"/>
      <c r="JO430" s="125"/>
      <c r="JP430" s="125"/>
    </row>
    <row r="431" spans="1:276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122"/>
      <c r="AJ431" s="122"/>
      <c r="AK431" s="122"/>
      <c r="AL431" s="122"/>
      <c r="AM431" s="122"/>
      <c r="AN431" s="122"/>
      <c r="AO431" s="122"/>
      <c r="AP431" s="122"/>
      <c r="AQ431" s="122"/>
      <c r="AR431" s="122"/>
      <c r="AS431" s="122"/>
      <c r="AT431" s="122"/>
      <c r="AU431" s="122"/>
      <c r="AV431" s="122"/>
      <c r="AW431" s="122"/>
      <c r="AX431" s="122"/>
      <c r="AY431" s="122"/>
      <c r="AZ431" s="122"/>
      <c r="BA431" s="122"/>
      <c r="BB431" s="122"/>
      <c r="BC431" s="122"/>
      <c r="BD431" s="122"/>
      <c r="BE431" s="122"/>
      <c r="BF431" s="122"/>
      <c r="BG431" s="122"/>
      <c r="BH431" s="122"/>
      <c r="BI431" s="122"/>
      <c r="BJ431" s="122"/>
      <c r="BK431" s="122"/>
      <c r="BL431" s="122"/>
      <c r="BM431" s="122"/>
      <c r="BN431" s="122"/>
      <c r="BO431" s="122"/>
      <c r="BP431" s="122"/>
      <c r="BQ431" s="122"/>
      <c r="BR431" s="122"/>
      <c r="BS431" s="122"/>
      <c r="BT431" s="122"/>
      <c r="BU431" s="122"/>
      <c r="BV431" s="122"/>
      <c r="BW431" s="122"/>
      <c r="BX431" s="122"/>
      <c r="BY431" s="122"/>
      <c r="BZ431" s="122"/>
      <c r="CA431" s="122"/>
      <c r="CB431" s="122"/>
      <c r="CC431" s="122"/>
      <c r="CD431" s="122"/>
      <c r="CE431" s="122"/>
      <c r="CF431" s="122"/>
      <c r="CG431" s="122"/>
      <c r="CH431" s="122"/>
      <c r="CI431" s="122"/>
      <c r="CJ431" s="122"/>
      <c r="CK431" s="122"/>
      <c r="CL431" s="122"/>
      <c r="CM431" s="122"/>
      <c r="CN431" s="122"/>
      <c r="CO431" s="122"/>
      <c r="CP431" s="122"/>
      <c r="CQ431" s="122"/>
      <c r="CR431" s="122"/>
      <c r="CS431" s="122"/>
      <c r="CT431" s="122"/>
      <c r="CU431" s="122"/>
      <c r="CV431" s="122"/>
      <c r="CW431" s="122"/>
      <c r="CX431" s="122"/>
      <c r="CY431" s="122"/>
      <c r="CZ431" s="122"/>
      <c r="DA431" s="122"/>
      <c r="DB431" s="122"/>
      <c r="DC431" s="122"/>
      <c r="DD431" s="122"/>
      <c r="DE431" s="122"/>
      <c r="DF431" s="122"/>
      <c r="DG431" s="122"/>
      <c r="DH431" s="122"/>
      <c r="DI431" s="122"/>
      <c r="DJ431" s="122"/>
      <c r="DK431" s="122"/>
      <c r="DL431" s="122"/>
      <c r="DM431" s="122"/>
      <c r="DN431" s="122"/>
      <c r="DO431" s="122"/>
      <c r="DP431" s="122"/>
      <c r="DQ431" s="122"/>
      <c r="DR431" s="122"/>
      <c r="DS431" s="122"/>
      <c r="DT431" s="122"/>
      <c r="DU431" s="122"/>
      <c r="DV431" s="122"/>
      <c r="DW431" s="122"/>
      <c r="DX431" s="122"/>
      <c r="DY431" s="122"/>
      <c r="DZ431" s="122"/>
      <c r="EA431" s="122"/>
      <c r="EB431" s="122"/>
      <c r="EC431" s="122"/>
      <c r="ED431" s="122"/>
      <c r="EE431" s="122"/>
      <c r="EF431" s="122"/>
      <c r="EG431" s="122"/>
      <c r="EH431" s="122"/>
      <c r="EI431" s="122"/>
      <c r="EJ431" s="122"/>
      <c r="EK431" s="122"/>
      <c r="EL431" s="122"/>
      <c r="EM431" s="122"/>
      <c r="EN431" s="122"/>
      <c r="EO431" s="122"/>
      <c r="EP431" s="122"/>
      <c r="EQ431" s="122"/>
      <c r="ER431" s="122"/>
      <c r="ES431" s="122"/>
      <c r="ET431" s="122"/>
      <c r="EU431" s="122"/>
      <c r="EV431" s="122"/>
      <c r="EW431" s="122"/>
      <c r="EX431" s="122"/>
      <c r="EY431" s="122"/>
      <c r="EZ431" s="122"/>
      <c r="FA431" s="122"/>
      <c r="FB431" s="122"/>
      <c r="FC431" s="122"/>
      <c r="FD431" s="122"/>
      <c r="FE431" s="122"/>
      <c r="FF431" s="122"/>
      <c r="FG431" s="122"/>
      <c r="FH431" s="122"/>
      <c r="FI431" s="122"/>
      <c r="FJ431" s="122"/>
      <c r="FK431" s="122"/>
      <c r="FL431" s="122"/>
      <c r="FM431" s="122"/>
      <c r="FN431" s="122"/>
      <c r="FO431" s="122"/>
      <c r="FP431" s="122"/>
      <c r="FQ431" s="122"/>
      <c r="FR431" s="122"/>
      <c r="FS431" s="122"/>
      <c r="FT431" s="122"/>
      <c r="FU431" s="122"/>
      <c r="FV431" s="122"/>
      <c r="FW431" s="122"/>
      <c r="FX431" s="122"/>
      <c r="FY431" s="122"/>
      <c r="FZ431" s="122"/>
      <c r="GA431" s="122"/>
      <c r="GB431" s="122"/>
      <c r="GC431" s="122"/>
      <c r="GD431" s="122"/>
      <c r="GE431" s="122"/>
      <c r="GF431" s="122"/>
      <c r="GG431" s="122"/>
      <c r="GH431" s="122"/>
      <c r="GI431" s="122"/>
      <c r="GJ431" s="122"/>
      <c r="GK431" s="122"/>
      <c r="GL431" s="122"/>
      <c r="GM431" s="122"/>
      <c r="GN431" s="122"/>
      <c r="GO431" s="122"/>
      <c r="GP431" s="122"/>
      <c r="GQ431" s="122"/>
      <c r="GR431" s="122"/>
      <c r="GS431" s="122"/>
      <c r="GT431" s="122"/>
      <c r="GU431" s="122"/>
      <c r="GV431" s="122"/>
      <c r="GW431" s="122"/>
      <c r="GX431" s="122"/>
      <c r="GY431" s="122"/>
      <c r="GZ431" s="122"/>
      <c r="HA431" s="122"/>
      <c r="HB431" s="122"/>
      <c r="HC431" s="122"/>
      <c r="HD431" s="122"/>
      <c r="HE431" s="122"/>
      <c r="HF431" s="122"/>
      <c r="HG431" s="122"/>
      <c r="HH431" s="122"/>
      <c r="HI431" s="122"/>
      <c r="HJ431" s="122"/>
      <c r="HK431" s="122"/>
      <c r="HL431" s="122"/>
      <c r="HM431" s="122"/>
      <c r="HN431" s="122"/>
      <c r="HO431" s="122"/>
      <c r="HP431" s="122"/>
      <c r="HQ431" s="122"/>
      <c r="HR431" s="122"/>
      <c r="HS431" s="122"/>
      <c r="HT431" s="122"/>
      <c r="HU431" s="122"/>
      <c r="HV431" s="122"/>
      <c r="HW431" s="122"/>
      <c r="HX431" s="122"/>
      <c r="HY431" s="122"/>
      <c r="HZ431" s="122"/>
      <c r="IA431" s="122"/>
      <c r="IB431" s="122"/>
      <c r="IC431" s="122"/>
      <c r="ID431" s="122"/>
      <c r="IE431" s="122"/>
      <c r="IF431" s="122"/>
      <c r="IG431" s="122"/>
      <c r="IH431" s="122"/>
      <c r="II431" s="122"/>
      <c r="IJ431" s="122"/>
      <c r="IK431" s="122"/>
      <c r="IL431" s="122"/>
      <c r="IM431" s="122"/>
      <c r="IN431" s="122"/>
      <c r="IO431" s="122"/>
      <c r="IP431" s="122"/>
      <c r="IQ431" s="122"/>
      <c r="IR431" s="122"/>
      <c r="IS431" s="122"/>
      <c r="IT431" s="122"/>
      <c r="IU431" s="122"/>
      <c r="IV431" s="122"/>
      <c r="IW431" s="122"/>
      <c r="IX431" s="122"/>
      <c r="IY431" s="122"/>
      <c r="IZ431" s="122"/>
      <c r="JA431" s="122"/>
      <c r="JB431" s="122"/>
      <c r="JC431" s="122"/>
      <c r="JD431" s="122"/>
      <c r="JE431" s="122"/>
      <c r="JF431" s="122"/>
      <c r="JG431" s="122"/>
      <c r="JH431" s="122"/>
      <c r="JI431" s="119"/>
      <c r="JJ431" s="2"/>
      <c r="JK431" s="122"/>
      <c r="JL431" s="125"/>
      <c r="JM431" s="125"/>
      <c r="JN431" s="125"/>
      <c r="JO431" s="125"/>
      <c r="JP431" s="125"/>
    </row>
    <row r="432" spans="1:276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122"/>
      <c r="AI432" s="122"/>
      <c r="AJ432" s="122"/>
      <c r="AK432" s="122"/>
      <c r="AL432" s="122"/>
      <c r="AM432" s="122"/>
      <c r="AN432" s="122"/>
      <c r="AO432" s="122"/>
      <c r="AP432" s="122"/>
      <c r="AQ432" s="122"/>
      <c r="AR432" s="122"/>
      <c r="AS432" s="122"/>
      <c r="AT432" s="122"/>
      <c r="AU432" s="122"/>
      <c r="AV432" s="122"/>
      <c r="AW432" s="122"/>
      <c r="AX432" s="122"/>
      <c r="AY432" s="122"/>
      <c r="AZ432" s="122"/>
      <c r="BA432" s="122"/>
      <c r="BB432" s="122"/>
      <c r="BC432" s="122"/>
      <c r="BD432" s="122"/>
      <c r="BE432" s="122"/>
      <c r="BF432" s="122"/>
      <c r="BG432" s="122"/>
      <c r="BH432" s="122"/>
      <c r="BI432" s="122"/>
      <c r="BJ432" s="122"/>
      <c r="BK432" s="122"/>
      <c r="BL432" s="122"/>
      <c r="BM432" s="122"/>
      <c r="BN432" s="122"/>
      <c r="BO432" s="122"/>
      <c r="BP432" s="122"/>
      <c r="BQ432" s="122"/>
      <c r="BR432" s="122"/>
      <c r="BS432" s="122"/>
      <c r="BT432" s="122"/>
      <c r="BU432" s="122"/>
      <c r="BV432" s="122"/>
      <c r="BW432" s="122"/>
      <c r="BX432" s="122"/>
      <c r="BY432" s="122"/>
      <c r="BZ432" s="122"/>
      <c r="CA432" s="122"/>
      <c r="CB432" s="122"/>
      <c r="CC432" s="122"/>
      <c r="CD432" s="122"/>
      <c r="CE432" s="122"/>
      <c r="CF432" s="122"/>
      <c r="CG432" s="122"/>
      <c r="CH432" s="122"/>
      <c r="CI432" s="122"/>
      <c r="CJ432" s="122"/>
      <c r="CK432" s="122"/>
      <c r="CL432" s="122"/>
      <c r="CM432" s="122"/>
      <c r="CN432" s="122"/>
      <c r="CO432" s="122"/>
      <c r="CP432" s="122"/>
      <c r="CQ432" s="122"/>
      <c r="CR432" s="122"/>
      <c r="CS432" s="122"/>
      <c r="CT432" s="122"/>
      <c r="CU432" s="122"/>
      <c r="CV432" s="122"/>
      <c r="CW432" s="122"/>
      <c r="CX432" s="122"/>
      <c r="CY432" s="122"/>
      <c r="CZ432" s="122"/>
      <c r="DA432" s="122"/>
      <c r="DB432" s="122"/>
      <c r="DC432" s="122"/>
      <c r="DD432" s="122"/>
      <c r="DE432" s="122"/>
      <c r="DF432" s="122"/>
      <c r="DG432" s="122"/>
      <c r="DH432" s="122"/>
      <c r="DI432" s="122"/>
      <c r="DJ432" s="122"/>
      <c r="DK432" s="122"/>
      <c r="DL432" s="122"/>
      <c r="DM432" s="122"/>
      <c r="DN432" s="122"/>
      <c r="DO432" s="122"/>
      <c r="DP432" s="122"/>
      <c r="DQ432" s="122"/>
      <c r="DR432" s="122"/>
      <c r="DS432" s="122"/>
      <c r="DT432" s="122"/>
      <c r="DU432" s="122"/>
      <c r="DV432" s="122"/>
      <c r="DW432" s="122"/>
      <c r="DX432" s="122"/>
      <c r="DY432" s="122"/>
      <c r="DZ432" s="122"/>
      <c r="EA432" s="122"/>
      <c r="EB432" s="122"/>
      <c r="EC432" s="122"/>
      <c r="ED432" s="122"/>
      <c r="EE432" s="122"/>
      <c r="EF432" s="122"/>
      <c r="EG432" s="122"/>
      <c r="EH432" s="122"/>
      <c r="EI432" s="122"/>
      <c r="EJ432" s="122"/>
      <c r="EK432" s="122"/>
      <c r="EL432" s="122"/>
      <c r="EM432" s="122"/>
      <c r="EN432" s="122"/>
      <c r="EO432" s="122"/>
      <c r="EP432" s="122"/>
      <c r="EQ432" s="122"/>
      <c r="ER432" s="122"/>
      <c r="ES432" s="122"/>
      <c r="ET432" s="122"/>
      <c r="EU432" s="122"/>
      <c r="EV432" s="122"/>
      <c r="EW432" s="122"/>
      <c r="EX432" s="122"/>
      <c r="EY432" s="122"/>
      <c r="EZ432" s="122"/>
      <c r="FA432" s="122"/>
      <c r="FB432" s="122"/>
      <c r="FC432" s="122"/>
      <c r="FD432" s="122"/>
      <c r="FE432" s="122"/>
      <c r="FF432" s="122"/>
      <c r="FG432" s="122"/>
      <c r="FH432" s="122"/>
      <c r="FI432" s="122"/>
      <c r="FJ432" s="122"/>
      <c r="FK432" s="122"/>
      <c r="FL432" s="122"/>
      <c r="FM432" s="122"/>
      <c r="FN432" s="122"/>
      <c r="FO432" s="122"/>
      <c r="FP432" s="122"/>
      <c r="FQ432" s="122"/>
      <c r="FR432" s="122"/>
      <c r="FS432" s="122"/>
      <c r="FT432" s="122"/>
      <c r="FU432" s="122"/>
      <c r="FV432" s="122"/>
      <c r="FW432" s="122"/>
      <c r="FX432" s="122"/>
      <c r="FY432" s="122"/>
      <c r="FZ432" s="122"/>
      <c r="GA432" s="122"/>
      <c r="GB432" s="122"/>
      <c r="GC432" s="122"/>
      <c r="GD432" s="122"/>
      <c r="GE432" s="122"/>
      <c r="GF432" s="122"/>
      <c r="GG432" s="122"/>
      <c r="GH432" s="122"/>
      <c r="GI432" s="122"/>
      <c r="GJ432" s="122"/>
      <c r="GK432" s="122"/>
      <c r="GL432" s="122"/>
      <c r="GM432" s="122"/>
      <c r="GN432" s="122"/>
      <c r="GO432" s="122"/>
      <c r="GP432" s="122"/>
      <c r="GQ432" s="122"/>
      <c r="GR432" s="122"/>
      <c r="GS432" s="122"/>
      <c r="GT432" s="122"/>
      <c r="GU432" s="122"/>
      <c r="GV432" s="122"/>
      <c r="GW432" s="122"/>
      <c r="GX432" s="122"/>
      <c r="GY432" s="122"/>
      <c r="GZ432" s="122"/>
      <c r="HA432" s="122"/>
      <c r="HB432" s="122"/>
      <c r="HC432" s="122"/>
      <c r="HD432" s="122"/>
      <c r="HE432" s="122"/>
      <c r="HF432" s="122"/>
      <c r="HG432" s="122"/>
      <c r="HH432" s="122"/>
      <c r="HI432" s="122"/>
      <c r="HJ432" s="122"/>
      <c r="HK432" s="122"/>
      <c r="HL432" s="122"/>
      <c r="HM432" s="122"/>
      <c r="HN432" s="122"/>
      <c r="HO432" s="122"/>
      <c r="HP432" s="122"/>
      <c r="HQ432" s="122"/>
      <c r="HR432" s="122"/>
      <c r="HS432" s="122"/>
      <c r="HT432" s="122"/>
      <c r="HU432" s="122"/>
      <c r="HV432" s="122"/>
      <c r="HW432" s="122"/>
      <c r="HX432" s="122"/>
      <c r="HY432" s="122"/>
      <c r="HZ432" s="122"/>
      <c r="IA432" s="122"/>
      <c r="IB432" s="122"/>
      <c r="IC432" s="122"/>
      <c r="ID432" s="122"/>
      <c r="IE432" s="122"/>
      <c r="IF432" s="122"/>
      <c r="IG432" s="122"/>
      <c r="IH432" s="122"/>
      <c r="II432" s="122"/>
      <c r="IJ432" s="122"/>
      <c r="IK432" s="122"/>
      <c r="IL432" s="122"/>
      <c r="IM432" s="122"/>
      <c r="IN432" s="122"/>
      <c r="IO432" s="122"/>
      <c r="IP432" s="122"/>
      <c r="IQ432" s="122"/>
      <c r="IR432" s="122"/>
      <c r="IS432" s="122"/>
      <c r="IT432" s="122"/>
      <c r="IU432" s="122"/>
      <c r="IV432" s="122"/>
      <c r="IW432" s="122"/>
      <c r="IX432" s="122"/>
      <c r="IY432" s="122"/>
      <c r="IZ432" s="122"/>
      <c r="JA432" s="122"/>
      <c r="JB432" s="122"/>
      <c r="JC432" s="122"/>
      <c r="JD432" s="122"/>
      <c r="JE432" s="122"/>
      <c r="JF432" s="122"/>
      <c r="JG432" s="122"/>
      <c r="JH432" s="122"/>
      <c r="JI432" s="119"/>
      <c r="JJ432" s="2"/>
      <c r="JK432" s="122"/>
      <c r="JL432" s="125"/>
      <c r="JM432" s="125"/>
      <c r="JN432" s="125"/>
      <c r="JO432" s="125"/>
      <c r="JP432" s="125"/>
    </row>
    <row r="433" spans="1:276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  <c r="AK433" s="122"/>
      <c r="AL433" s="122"/>
      <c r="AM433" s="122"/>
      <c r="AN433" s="122"/>
      <c r="AO433" s="122"/>
      <c r="AP433" s="122"/>
      <c r="AQ433" s="122"/>
      <c r="AR433" s="122"/>
      <c r="AS433" s="122"/>
      <c r="AT433" s="122"/>
      <c r="AU433" s="122"/>
      <c r="AV433" s="122"/>
      <c r="AW433" s="122"/>
      <c r="AX433" s="122"/>
      <c r="AY433" s="122"/>
      <c r="AZ433" s="122"/>
      <c r="BA433" s="122"/>
      <c r="BB433" s="122"/>
      <c r="BC433" s="122"/>
      <c r="BD433" s="122"/>
      <c r="BE433" s="122"/>
      <c r="BF433" s="122"/>
      <c r="BG433" s="122"/>
      <c r="BH433" s="122"/>
      <c r="BI433" s="122"/>
      <c r="BJ433" s="122"/>
      <c r="BK433" s="122"/>
      <c r="BL433" s="122"/>
      <c r="BM433" s="122"/>
      <c r="BN433" s="122"/>
      <c r="BO433" s="122"/>
      <c r="BP433" s="122"/>
      <c r="BQ433" s="122"/>
      <c r="BR433" s="122"/>
      <c r="BS433" s="122"/>
      <c r="BT433" s="122"/>
      <c r="BU433" s="122"/>
      <c r="BV433" s="122"/>
      <c r="BW433" s="122"/>
      <c r="BX433" s="122"/>
      <c r="BY433" s="122"/>
      <c r="BZ433" s="122"/>
      <c r="CA433" s="122"/>
      <c r="CB433" s="122"/>
      <c r="CC433" s="122"/>
      <c r="CD433" s="122"/>
      <c r="CE433" s="122"/>
      <c r="CF433" s="122"/>
      <c r="CG433" s="122"/>
      <c r="CH433" s="122"/>
      <c r="CI433" s="122"/>
      <c r="CJ433" s="122"/>
      <c r="CK433" s="122"/>
      <c r="CL433" s="122"/>
      <c r="CM433" s="122"/>
      <c r="CN433" s="122"/>
      <c r="CO433" s="122"/>
      <c r="CP433" s="122"/>
      <c r="CQ433" s="122"/>
      <c r="CR433" s="122"/>
      <c r="CS433" s="122"/>
      <c r="CT433" s="122"/>
      <c r="CU433" s="122"/>
      <c r="CV433" s="122"/>
      <c r="CW433" s="122"/>
      <c r="CX433" s="122"/>
      <c r="CY433" s="122"/>
      <c r="CZ433" s="122"/>
      <c r="DA433" s="122"/>
      <c r="DB433" s="122"/>
      <c r="DC433" s="122"/>
      <c r="DD433" s="122"/>
      <c r="DE433" s="122"/>
      <c r="DF433" s="122"/>
      <c r="DG433" s="122"/>
      <c r="DH433" s="122"/>
      <c r="DI433" s="122"/>
      <c r="DJ433" s="122"/>
      <c r="DK433" s="122"/>
      <c r="DL433" s="122"/>
      <c r="DM433" s="122"/>
      <c r="DN433" s="122"/>
      <c r="DO433" s="122"/>
      <c r="DP433" s="122"/>
      <c r="DQ433" s="122"/>
      <c r="DR433" s="122"/>
      <c r="DS433" s="122"/>
      <c r="DT433" s="122"/>
      <c r="DU433" s="122"/>
      <c r="DV433" s="122"/>
      <c r="DW433" s="122"/>
      <c r="DX433" s="122"/>
      <c r="DY433" s="122"/>
      <c r="DZ433" s="122"/>
      <c r="EA433" s="122"/>
      <c r="EB433" s="122"/>
      <c r="EC433" s="122"/>
      <c r="ED433" s="122"/>
      <c r="EE433" s="122"/>
      <c r="EF433" s="122"/>
      <c r="EG433" s="122"/>
      <c r="EH433" s="122"/>
      <c r="EI433" s="122"/>
      <c r="EJ433" s="122"/>
      <c r="EK433" s="122"/>
      <c r="EL433" s="122"/>
      <c r="EM433" s="122"/>
      <c r="EN433" s="122"/>
      <c r="EO433" s="122"/>
      <c r="EP433" s="122"/>
      <c r="EQ433" s="122"/>
      <c r="ER433" s="122"/>
      <c r="ES433" s="122"/>
      <c r="ET433" s="122"/>
      <c r="EU433" s="122"/>
      <c r="EV433" s="122"/>
      <c r="EW433" s="122"/>
      <c r="EX433" s="122"/>
      <c r="EY433" s="122"/>
      <c r="EZ433" s="122"/>
      <c r="FA433" s="122"/>
      <c r="FB433" s="122"/>
      <c r="FC433" s="122"/>
      <c r="FD433" s="122"/>
      <c r="FE433" s="122"/>
      <c r="FF433" s="122"/>
      <c r="FG433" s="122"/>
      <c r="FH433" s="122"/>
      <c r="FI433" s="122"/>
      <c r="FJ433" s="122"/>
      <c r="FK433" s="122"/>
      <c r="FL433" s="122"/>
      <c r="FM433" s="122"/>
      <c r="FN433" s="122"/>
      <c r="FO433" s="122"/>
      <c r="FP433" s="122"/>
      <c r="FQ433" s="122"/>
      <c r="FR433" s="122"/>
      <c r="FS433" s="122"/>
      <c r="FT433" s="122"/>
      <c r="FU433" s="122"/>
      <c r="FV433" s="122"/>
      <c r="FW433" s="122"/>
      <c r="FX433" s="122"/>
      <c r="FY433" s="122"/>
      <c r="FZ433" s="122"/>
      <c r="GA433" s="122"/>
      <c r="GB433" s="122"/>
      <c r="GC433" s="122"/>
      <c r="GD433" s="122"/>
      <c r="GE433" s="122"/>
      <c r="GF433" s="122"/>
      <c r="GG433" s="122"/>
      <c r="GH433" s="122"/>
      <c r="GI433" s="122"/>
      <c r="GJ433" s="122"/>
      <c r="GK433" s="122"/>
      <c r="GL433" s="122"/>
      <c r="GM433" s="122"/>
      <c r="GN433" s="122"/>
      <c r="GO433" s="122"/>
      <c r="GP433" s="122"/>
      <c r="GQ433" s="122"/>
      <c r="GR433" s="122"/>
      <c r="GS433" s="122"/>
      <c r="GT433" s="122"/>
      <c r="GU433" s="122"/>
      <c r="GV433" s="122"/>
      <c r="GW433" s="122"/>
      <c r="GX433" s="122"/>
      <c r="GY433" s="122"/>
      <c r="GZ433" s="122"/>
      <c r="HA433" s="122"/>
      <c r="HB433" s="122"/>
      <c r="HC433" s="122"/>
      <c r="HD433" s="122"/>
      <c r="HE433" s="122"/>
      <c r="HF433" s="122"/>
      <c r="HG433" s="122"/>
      <c r="HH433" s="122"/>
      <c r="HI433" s="122"/>
      <c r="HJ433" s="122"/>
      <c r="HK433" s="122"/>
      <c r="HL433" s="122"/>
      <c r="HM433" s="122"/>
      <c r="HN433" s="122"/>
      <c r="HO433" s="122"/>
      <c r="HP433" s="122"/>
      <c r="HQ433" s="122"/>
      <c r="HR433" s="122"/>
      <c r="HS433" s="122"/>
      <c r="HT433" s="122"/>
      <c r="HU433" s="122"/>
      <c r="HV433" s="122"/>
      <c r="HW433" s="122"/>
      <c r="HX433" s="122"/>
      <c r="HY433" s="122"/>
      <c r="HZ433" s="122"/>
      <c r="IA433" s="122"/>
      <c r="IB433" s="122"/>
      <c r="IC433" s="122"/>
      <c r="ID433" s="122"/>
      <c r="IE433" s="122"/>
      <c r="IF433" s="122"/>
      <c r="IG433" s="122"/>
      <c r="IH433" s="122"/>
      <c r="II433" s="122"/>
      <c r="IJ433" s="122"/>
      <c r="IK433" s="122"/>
      <c r="IL433" s="122"/>
      <c r="IM433" s="122"/>
      <c r="IN433" s="122"/>
      <c r="IO433" s="122"/>
      <c r="IP433" s="122"/>
      <c r="IQ433" s="122"/>
      <c r="IR433" s="122"/>
      <c r="IS433" s="122"/>
      <c r="IT433" s="122"/>
      <c r="IU433" s="122"/>
      <c r="IV433" s="122"/>
      <c r="IW433" s="122"/>
      <c r="IX433" s="122"/>
      <c r="IY433" s="122"/>
      <c r="IZ433" s="122"/>
      <c r="JA433" s="122"/>
      <c r="JB433" s="122"/>
      <c r="JC433" s="122"/>
      <c r="JD433" s="122"/>
      <c r="JE433" s="122"/>
      <c r="JF433" s="122"/>
      <c r="JG433" s="122"/>
      <c r="JH433" s="122"/>
      <c r="JI433" s="119"/>
      <c r="JJ433" s="2"/>
      <c r="JK433" s="122"/>
      <c r="JL433" s="125"/>
      <c r="JM433" s="125"/>
      <c r="JN433" s="125"/>
      <c r="JO433" s="125"/>
      <c r="JP433" s="125"/>
    </row>
    <row r="434" spans="1:276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122"/>
      <c r="AI434" s="122"/>
      <c r="AJ434" s="122"/>
      <c r="AK434" s="122"/>
      <c r="AL434" s="122"/>
      <c r="AM434" s="122"/>
      <c r="AN434" s="122"/>
      <c r="AO434" s="122"/>
      <c r="AP434" s="122"/>
      <c r="AQ434" s="122"/>
      <c r="AR434" s="122"/>
      <c r="AS434" s="122"/>
      <c r="AT434" s="122"/>
      <c r="AU434" s="122"/>
      <c r="AV434" s="122"/>
      <c r="AW434" s="122"/>
      <c r="AX434" s="122"/>
      <c r="AY434" s="122"/>
      <c r="AZ434" s="122"/>
      <c r="BA434" s="122"/>
      <c r="BB434" s="122"/>
      <c r="BC434" s="122"/>
      <c r="BD434" s="122"/>
      <c r="BE434" s="122"/>
      <c r="BF434" s="122"/>
      <c r="BG434" s="122"/>
      <c r="BH434" s="122"/>
      <c r="BI434" s="122"/>
      <c r="BJ434" s="122"/>
      <c r="BK434" s="122"/>
      <c r="BL434" s="122"/>
      <c r="BM434" s="122"/>
      <c r="BN434" s="122"/>
      <c r="BO434" s="122"/>
      <c r="BP434" s="122"/>
      <c r="BQ434" s="122"/>
      <c r="BR434" s="122"/>
      <c r="BS434" s="122"/>
      <c r="BT434" s="122"/>
      <c r="BU434" s="122"/>
      <c r="BV434" s="122"/>
      <c r="BW434" s="122"/>
      <c r="BX434" s="122"/>
      <c r="BY434" s="122"/>
      <c r="BZ434" s="122"/>
      <c r="CA434" s="122"/>
      <c r="CB434" s="122"/>
      <c r="CC434" s="122"/>
      <c r="CD434" s="122"/>
      <c r="CE434" s="122"/>
      <c r="CF434" s="122"/>
      <c r="CG434" s="122"/>
      <c r="CH434" s="122"/>
      <c r="CI434" s="122"/>
      <c r="CJ434" s="122"/>
      <c r="CK434" s="122"/>
      <c r="CL434" s="122"/>
      <c r="CM434" s="122"/>
      <c r="CN434" s="122"/>
      <c r="CO434" s="122"/>
      <c r="CP434" s="122"/>
      <c r="CQ434" s="122"/>
      <c r="CR434" s="122"/>
      <c r="CS434" s="122"/>
      <c r="CT434" s="122"/>
      <c r="CU434" s="122"/>
      <c r="CV434" s="122"/>
      <c r="CW434" s="122"/>
      <c r="CX434" s="122"/>
      <c r="CY434" s="122"/>
      <c r="CZ434" s="122"/>
      <c r="DA434" s="122"/>
      <c r="DB434" s="122"/>
      <c r="DC434" s="122"/>
      <c r="DD434" s="122"/>
      <c r="DE434" s="122"/>
      <c r="DF434" s="122"/>
      <c r="DG434" s="122"/>
      <c r="DH434" s="122"/>
      <c r="DI434" s="122"/>
      <c r="DJ434" s="122"/>
      <c r="DK434" s="122"/>
      <c r="DL434" s="122"/>
      <c r="DM434" s="122"/>
      <c r="DN434" s="122"/>
      <c r="DO434" s="122"/>
      <c r="DP434" s="122"/>
      <c r="DQ434" s="122"/>
      <c r="DR434" s="122"/>
      <c r="DS434" s="122"/>
      <c r="DT434" s="122"/>
      <c r="DU434" s="122"/>
      <c r="DV434" s="122"/>
      <c r="DW434" s="122"/>
      <c r="DX434" s="122"/>
      <c r="DY434" s="122"/>
      <c r="DZ434" s="122"/>
      <c r="EA434" s="122"/>
      <c r="EB434" s="122"/>
      <c r="EC434" s="122"/>
      <c r="ED434" s="122"/>
      <c r="EE434" s="122"/>
      <c r="EF434" s="122"/>
      <c r="EG434" s="122"/>
      <c r="EH434" s="122"/>
      <c r="EI434" s="122"/>
      <c r="EJ434" s="122"/>
      <c r="EK434" s="122"/>
      <c r="EL434" s="122"/>
      <c r="EM434" s="122"/>
      <c r="EN434" s="122"/>
      <c r="EO434" s="122"/>
      <c r="EP434" s="122"/>
      <c r="EQ434" s="122"/>
      <c r="ER434" s="122"/>
      <c r="ES434" s="122"/>
      <c r="ET434" s="122"/>
      <c r="EU434" s="122"/>
      <c r="EV434" s="122"/>
      <c r="EW434" s="122"/>
      <c r="EX434" s="122"/>
      <c r="EY434" s="122"/>
      <c r="EZ434" s="122"/>
      <c r="FA434" s="122"/>
      <c r="FB434" s="122"/>
      <c r="FC434" s="122"/>
      <c r="FD434" s="122"/>
      <c r="FE434" s="122"/>
      <c r="FF434" s="122"/>
      <c r="FG434" s="122"/>
      <c r="FH434" s="122"/>
      <c r="FI434" s="122"/>
      <c r="FJ434" s="122"/>
      <c r="FK434" s="122"/>
      <c r="FL434" s="122"/>
      <c r="FM434" s="122"/>
      <c r="FN434" s="122"/>
      <c r="FO434" s="122"/>
      <c r="FP434" s="122"/>
      <c r="FQ434" s="122"/>
      <c r="FR434" s="122"/>
      <c r="FS434" s="122"/>
      <c r="FT434" s="122"/>
      <c r="FU434" s="122"/>
      <c r="FV434" s="122"/>
      <c r="FW434" s="122"/>
      <c r="FX434" s="122"/>
      <c r="FY434" s="122"/>
      <c r="FZ434" s="122"/>
      <c r="GA434" s="122"/>
      <c r="GB434" s="122"/>
      <c r="GC434" s="122"/>
      <c r="GD434" s="122"/>
      <c r="GE434" s="122"/>
      <c r="GF434" s="122"/>
      <c r="GG434" s="122"/>
      <c r="GH434" s="122"/>
      <c r="GI434" s="122"/>
      <c r="GJ434" s="122"/>
      <c r="GK434" s="122"/>
      <c r="GL434" s="122"/>
      <c r="GM434" s="122"/>
      <c r="GN434" s="122"/>
      <c r="GO434" s="122"/>
      <c r="GP434" s="122"/>
      <c r="GQ434" s="122"/>
      <c r="GR434" s="122"/>
      <c r="GS434" s="122"/>
      <c r="GT434" s="122"/>
      <c r="GU434" s="122"/>
      <c r="GV434" s="122"/>
      <c r="GW434" s="122"/>
      <c r="GX434" s="122"/>
      <c r="GY434" s="122"/>
      <c r="GZ434" s="122"/>
      <c r="HA434" s="122"/>
      <c r="HB434" s="122"/>
      <c r="HC434" s="122"/>
      <c r="HD434" s="122"/>
      <c r="HE434" s="122"/>
      <c r="HF434" s="122"/>
      <c r="HG434" s="122"/>
      <c r="HH434" s="122"/>
      <c r="HI434" s="122"/>
      <c r="HJ434" s="122"/>
      <c r="HK434" s="122"/>
      <c r="HL434" s="122"/>
      <c r="HM434" s="122"/>
      <c r="HN434" s="122"/>
      <c r="HO434" s="122"/>
      <c r="HP434" s="122"/>
      <c r="HQ434" s="122"/>
      <c r="HR434" s="122"/>
      <c r="HS434" s="122"/>
      <c r="HT434" s="122"/>
      <c r="HU434" s="122"/>
      <c r="HV434" s="122"/>
      <c r="HW434" s="122"/>
      <c r="HX434" s="122"/>
      <c r="HY434" s="122"/>
      <c r="HZ434" s="122"/>
      <c r="IA434" s="122"/>
      <c r="IB434" s="122"/>
      <c r="IC434" s="122"/>
      <c r="ID434" s="122"/>
      <c r="IE434" s="122"/>
      <c r="IF434" s="122"/>
      <c r="IG434" s="122"/>
      <c r="IH434" s="122"/>
      <c r="II434" s="122"/>
      <c r="IJ434" s="122"/>
      <c r="IK434" s="122"/>
      <c r="IL434" s="122"/>
      <c r="IM434" s="122"/>
      <c r="IN434" s="122"/>
      <c r="IO434" s="122"/>
      <c r="IP434" s="122"/>
      <c r="IQ434" s="122"/>
      <c r="IR434" s="122"/>
      <c r="IS434" s="122"/>
      <c r="IT434" s="122"/>
      <c r="IU434" s="122"/>
      <c r="IV434" s="122"/>
      <c r="IW434" s="122"/>
      <c r="IX434" s="122"/>
      <c r="IY434" s="122"/>
      <c r="IZ434" s="122"/>
      <c r="JA434" s="122"/>
      <c r="JB434" s="122"/>
      <c r="JC434" s="122"/>
      <c r="JD434" s="122"/>
      <c r="JE434" s="122"/>
      <c r="JF434" s="122"/>
      <c r="JG434" s="122"/>
      <c r="JH434" s="122"/>
      <c r="JI434" s="119"/>
      <c r="JJ434" s="2"/>
      <c r="JK434" s="122"/>
      <c r="JL434" s="125"/>
      <c r="JM434" s="125"/>
      <c r="JN434" s="125"/>
      <c r="JO434" s="125"/>
      <c r="JP434" s="125"/>
    </row>
    <row r="435" spans="1:276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  <c r="AK435" s="122"/>
      <c r="AL435" s="122"/>
      <c r="AM435" s="122"/>
      <c r="AN435" s="122"/>
      <c r="AO435" s="122"/>
      <c r="AP435" s="122"/>
      <c r="AQ435" s="122"/>
      <c r="AR435" s="122"/>
      <c r="AS435" s="122"/>
      <c r="AT435" s="122"/>
      <c r="AU435" s="122"/>
      <c r="AV435" s="122"/>
      <c r="AW435" s="122"/>
      <c r="AX435" s="122"/>
      <c r="AY435" s="122"/>
      <c r="AZ435" s="122"/>
      <c r="BA435" s="122"/>
      <c r="BB435" s="122"/>
      <c r="BC435" s="122"/>
      <c r="BD435" s="122"/>
      <c r="BE435" s="122"/>
      <c r="BF435" s="122"/>
      <c r="BG435" s="122"/>
      <c r="BH435" s="122"/>
      <c r="BI435" s="122"/>
      <c r="BJ435" s="122"/>
      <c r="BK435" s="122"/>
      <c r="BL435" s="122"/>
      <c r="BM435" s="122"/>
      <c r="BN435" s="122"/>
      <c r="BO435" s="122"/>
      <c r="BP435" s="122"/>
      <c r="BQ435" s="122"/>
      <c r="BR435" s="122"/>
      <c r="BS435" s="122"/>
      <c r="BT435" s="122"/>
      <c r="BU435" s="122"/>
      <c r="BV435" s="122"/>
      <c r="BW435" s="122"/>
      <c r="BX435" s="122"/>
      <c r="BY435" s="122"/>
      <c r="BZ435" s="122"/>
      <c r="CA435" s="122"/>
      <c r="CB435" s="122"/>
      <c r="CC435" s="122"/>
      <c r="CD435" s="122"/>
      <c r="CE435" s="122"/>
      <c r="CF435" s="122"/>
      <c r="CG435" s="122"/>
      <c r="CH435" s="122"/>
      <c r="CI435" s="122"/>
      <c r="CJ435" s="122"/>
      <c r="CK435" s="122"/>
      <c r="CL435" s="122"/>
      <c r="CM435" s="122"/>
      <c r="CN435" s="122"/>
      <c r="CO435" s="122"/>
      <c r="CP435" s="122"/>
      <c r="CQ435" s="122"/>
      <c r="CR435" s="122"/>
      <c r="CS435" s="122"/>
      <c r="CT435" s="122"/>
      <c r="CU435" s="122"/>
      <c r="CV435" s="122"/>
      <c r="CW435" s="122"/>
      <c r="CX435" s="122"/>
      <c r="CY435" s="122"/>
      <c r="CZ435" s="122"/>
      <c r="DA435" s="122"/>
      <c r="DB435" s="122"/>
      <c r="DC435" s="122"/>
      <c r="DD435" s="122"/>
      <c r="DE435" s="122"/>
      <c r="DF435" s="122"/>
      <c r="DG435" s="122"/>
      <c r="DH435" s="122"/>
      <c r="DI435" s="122"/>
      <c r="DJ435" s="122"/>
      <c r="DK435" s="122"/>
      <c r="DL435" s="122"/>
      <c r="DM435" s="122"/>
      <c r="DN435" s="122"/>
      <c r="DO435" s="122"/>
      <c r="DP435" s="122"/>
      <c r="DQ435" s="122"/>
      <c r="DR435" s="122"/>
      <c r="DS435" s="122"/>
      <c r="DT435" s="122"/>
      <c r="DU435" s="122"/>
      <c r="DV435" s="122"/>
      <c r="DW435" s="122"/>
      <c r="DX435" s="122"/>
      <c r="DY435" s="122"/>
      <c r="DZ435" s="122"/>
      <c r="EA435" s="122"/>
      <c r="EB435" s="122"/>
      <c r="EC435" s="122"/>
      <c r="ED435" s="122"/>
      <c r="EE435" s="122"/>
      <c r="EF435" s="122"/>
      <c r="EG435" s="122"/>
      <c r="EH435" s="122"/>
      <c r="EI435" s="122"/>
      <c r="EJ435" s="122"/>
      <c r="EK435" s="122"/>
      <c r="EL435" s="122"/>
      <c r="EM435" s="122"/>
      <c r="EN435" s="122"/>
      <c r="EO435" s="122"/>
      <c r="EP435" s="122"/>
      <c r="EQ435" s="122"/>
      <c r="ER435" s="122"/>
      <c r="ES435" s="122"/>
      <c r="ET435" s="122"/>
      <c r="EU435" s="122"/>
      <c r="EV435" s="122"/>
      <c r="EW435" s="122"/>
      <c r="EX435" s="122"/>
      <c r="EY435" s="122"/>
      <c r="EZ435" s="122"/>
      <c r="FA435" s="122"/>
      <c r="FB435" s="122"/>
      <c r="FC435" s="122"/>
      <c r="FD435" s="122"/>
      <c r="FE435" s="122"/>
      <c r="FF435" s="122"/>
      <c r="FG435" s="122"/>
      <c r="FH435" s="122"/>
      <c r="FI435" s="122"/>
      <c r="FJ435" s="122"/>
      <c r="FK435" s="122"/>
      <c r="FL435" s="122"/>
      <c r="FM435" s="122"/>
      <c r="FN435" s="122"/>
      <c r="FO435" s="122"/>
      <c r="FP435" s="122"/>
      <c r="FQ435" s="122"/>
      <c r="FR435" s="122"/>
      <c r="FS435" s="122"/>
      <c r="FT435" s="122"/>
      <c r="FU435" s="122"/>
      <c r="FV435" s="122"/>
      <c r="FW435" s="122"/>
      <c r="FX435" s="122"/>
      <c r="FY435" s="122"/>
      <c r="FZ435" s="122"/>
      <c r="GA435" s="122"/>
      <c r="GB435" s="122"/>
      <c r="GC435" s="122"/>
      <c r="GD435" s="122"/>
      <c r="GE435" s="122"/>
      <c r="GF435" s="122"/>
      <c r="GG435" s="122"/>
      <c r="GH435" s="122"/>
      <c r="GI435" s="122"/>
      <c r="GJ435" s="122"/>
      <c r="GK435" s="122"/>
      <c r="GL435" s="122"/>
      <c r="GM435" s="122"/>
      <c r="GN435" s="122"/>
      <c r="GO435" s="122"/>
      <c r="GP435" s="122"/>
      <c r="GQ435" s="122"/>
      <c r="GR435" s="122"/>
      <c r="GS435" s="122"/>
      <c r="GT435" s="122"/>
      <c r="GU435" s="122"/>
      <c r="GV435" s="122"/>
      <c r="GW435" s="122"/>
      <c r="GX435" s="122"/>
      <c r="GY435" s="122"/>
      <c r="GZ435" s="122"/>
      <c r="HA435" s="122"/>
      <c r="HB435" s="122"/>
      <c r="HC435" s="122"/>
      <c r="HD435" s="122"/>
      <c r="HE435" s="122"/>
      <c r="HF435" s="122"/>
      <c r="HG435" s="122"/>
      <c r="HH435" s="122"/>
      <c r="HI435" s="122"/>
      <c r="HJ435" s="122"/>
      <c r="HK435" s="122"/>
      <c r="HL435" s="122"/>
      <c r="HM435" s="122"/>
      <c r="HN435" s="122"/>
      <c r="HO435" s="122"/>
      <c r="HP435" s="122"/>
      <c r="HQ435" s="122"/>
      <c r="HR435" s="122"/>
      <c r="HS435" s="122"/>
      <c r="HT435" s="122"/>
      <c r="HU435" s="122"/>
      <c r="HV435" s="122"/>
      <c r="HW435" s="122"/>
      <c r="HX435" s="122"/>
      <c r="HY435" s="122"/>
      <c r="HZ435" s="122"/>
      <c r="IA435" s="122"/>
      <c r="IB435" s="122"/>
      <c r="IC435" s="122"/>
      <c r="ID435" s="122"/>
      <c r="IE435" s="122"/>
      <c r="IF435" s="122"/>
      <c r="IG435" s="122"/>
      <c r="IH435" s="122"/>
      <c r="II435" s="122"/>
      <c r="IJ435" s="122"/>
      <c r="IK435" s="122"/>
      <c r="IL435" s="122"/>
      <c r="IM435" s="122"/>
      <c r="IN435" s="122"/>
      <c r="IO435" s="122"/>
      <c r="IP435" s="122"/>
      <c r="IQ435" s="122"/>
      <c r="IR435" s="122"/>
      <c r="IS435" s="122"/>
      <c r="IT435" s="122"/>
      <c r="IU435" s="122"/>
      <c r="IV435" s="122"/>
      <c r="IW435" s="122"/>
      <c r="IX435" s="122"/>
      <c r="IY435" s="122"/>
      <c r="IZ435" s="122"/>
      <c r="JA435" s="122"/>
      <c r="JB435" s="122"/>
      <c r="JC435" s="122"/>
      <c r="JD435" s="122"/>
      <c r="JE435" s="122"/>
      <c r="JF435" s="122"/>
      <c r="JG435" s="122"/>
      <c r="JH435" s="122"/>
      <c r="JI435" s="119"/>
      <c r="JJ435" s="2"/>
      <c r="JK435" s="122"/>
      <c r="JL435" s="125"/>
      <c r="JM435" s="125"/>
      <c r="JN435" s="125"/>
      <c r="JO435" s="125"/>
      <c r="JP435" s="125"/>
    </row>
    <row r="436" spans="1:27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/>
      <c r="AI436" s="122"/>
      <c r="AJ436" s="122"/>
      <c r="AK436" s="122"/>
      <c r="AL436" s="122"/>
      <c r="AM436" s="122"/>
      <c r="AN436" s="122"/>
      <c r="AO436" s="122"/>
      <c r="AP436" s="122"/>
      <c r="AQ436" s="122"/>
      <c r="AR436" s="122"/>
      <c r="AS436" s="122"/>
      <c r="AT436" s="122"/>
      <c r="AU436" s="122"/>
      <c r="AV436" s="122"/>
      <c r="AW436" s="122"/>
      <c r="AX436" s="122"/>
      <c r="AY436" s="122"/>
      <c r="AZ436" s="122"/>
      <c r="BA436" s="122"/>
      <c r="BB436" s="122"/>
      <c r="BC436" s="122"/>
      <c r="BD436" s="122"/>
      <c r="BE436" s="122"/>
      <c r="BF436" s="122"/>
      <c r="BG436" s="122"/>
      <c r="BH436" s="122"/>
      <c r="BI436" s="122"/>
      <c r="BJ436" s="122"/>
      <c r="BK436" s="122"/>
      <c r="BL436" s="122"/>
      <c r="BM436" s="122"/>
      <c r="BN436" s="122"/>
      <c r="BO436" s="122"/>
      <c r="BP436" s="122"/>
      <c r="BQ436" s="122"/>
      <c r="BR436" s="122"/>
      <c r="BS436" s="122"/>
      <c r="BT436" s="122"/>
      <c r="BU436" s="122"/>
      <c r="BV436" s="122"/>
      <c r="BW436" s="122"/>
      <c r="BX436" s="122"/>
      <c r="BY436" s="122"/>
      <c r="BZ436" s="122"/>
      <c r="CA436" s="122"/>
      <c r="CB436" s="122"/>
      <c r="CC436" s="122"/>
      <c r="CD436" s="122"/>
      <c r="CE436" s="122"/>
      <c r="CF436" s="122"/>
      <c r="CG436" s="122"/>
      <c r="CH436" s="122"/>
      <c r="CI436" s="122"/>
      <c r="CJ436" s="122"/>
      <c r="CK436" s="122"/>
      <c r="CL436" s="122"/>
      <c r="CM436" s="122"/>
      <c r="CN436" s="122"/>
      <c r="CO436" s="122"/>
      <c r="CP436" s="122"/>
      <c r="CQ436" s="122"/>
      <c r="CR436" s="122"/>
      <c r="CS436" s="122"/>
      <c r="CT436" s="122"/>
      <c r="CU436" s="122"/>
      <c r="CV436" s="122"/>
      <c r="CW436" s="122"/>
      <c r="CX436" s="122"/>
      <c r="CY436" s="122"/>
      <c r="CZ436" s="122"/>
      <c r="DA436" s="122"/>
      <c r="DB436" s="122"/>
      <c r="DC436" s="122"/>
      <c r="DD436" s="122"/>
      <c r="DE436" s="122"/>
      <c r="DF436" s="122"/>
      <c r="DG436" s="122"/>
      <c r="DH436" s="122"/>
      <c r="DI436" s="122"/>
      <c r="DJ436" s="122"/>
      <c r="DK436" s="122"/>
      <c r="DL436" s="122"/>
      <c r="DM436" s="122"/>
      <c r="DN436" s="122"/>
      <c r="DO436" s="122"/>
      <c r="DP436" s="122"/>
      <c r="DQ436" s="122"/>
      <c r="DR436" s="122"/>
      <c r="DS436" s="122"/>
      <c r="DT436" s="122"/>
      <c r="DU436" s="122"/>
      <c r="DV436" s="122"/>
      <c r="DW436" s="122"/>
      <c r="DX436" s="122"/>
      <c r="DY436" s="122"/>
      <c r="DZ436" s="122"/>
      <c r="EA436" s="122"/>
      <c r="EB436" s="122"/>
      <c r="EC436" s="122"/>
      <c r="ED436" s="122"/>
      <c r="EE436" s="122"/>
      <c r="EF436" s="122"/>
      <c r="EG436" s="122"/>
      <c r="EH436" s="122"/>
      <c r="EI436" s="122"/>
      <c r="EJ436" s="122"/>
      <c r="EK436" s="122"/>
      <c r="EL436" s="122"/>
      <c r="EM436" s="122"/>
      <c r="EN436" s="122"/>
      <c r="EO436" s="122"/>
      <c r="EP436" s="122"/>
      <c r="EQ436" s="122"/>
      <c r="ER436" s="122"/>
      <c r="ES436" s="122"/>
      <c r="ET436" s="122"/>
      <c r="EU436" s="122"/>
      <c r="EV436" s="122"/>
      <c r="EW436" s="122"/>
      <c r="EX436" s="122"/>
      <c r="EY436" s="122"/>
      <c r="EZ436" s="122"/>
      <c r="FA436" s="122"/>
      <c r="FB436" s="122"/>
      <c r="FC436" s="122"/>
      <c r="FD436" s="122"/>
      <c r="FE436" s="122"/>
      <c r="FF436" s="122"/>
      <c r="FG436" s="122"/>
      <c r="FH436" s="122"/>
      <c r="FI436" s="122"/>
      <c r="FJ436" s="122"/>
      <c r="FK436" s="122"/>
      <c r="FL436" s="122"/>
      <c r="FM436" s="122"/>
      <c r="FN436" s="122"/>
      <c r="FO436" s="122"/>
      <c r="FP436" s="122"/>
      <c r="FQ436" s="122"/>
      <c r="FR436" s="122"/>
      <c r="FS436" s="122"/>
      <c r="FT436" s="122"/>
      <c r="FU436" s="122"/>
      <c r="FV436" s="122"/>
      <c r="FW436" s="122"/>
      <c r="FX436" s="122"/>
      <c r="FY436" s="122"/>
      <c r="FZ436" s="122"/>
      <c r="GA436" s="122"/>
      <c r="GB436" s="122"/>
      <c r="GC436" s="122"/>
      <c r="GD436" s="122"/>
      <c r="GE436" s="122"/>
      <c r="GF436" s="122"/>
      <c r="GG436" s="122"/>
      <c r="GH436" s="122"/>
      <c r="GI436" s="122"/>
      <c r="GJ436" s="122"/>
      <c r="GK436" s="122"/>
      <c r="GL436" s="122"/>
      <c r="GM436" s="122"/>
      <c r="GN436" s="122"/>
      <c r="GO436" s="122"/>
      <c r="GP436" s="122"/>
      <c r="GQ436" s="122"/>
      <c r="GR436" s="122"/>
      <c r="GS436" s="122"/>
      <c r="GT436" s="122"/>
      <c r="GU436" s="122"/>
      <c r="GV436" s="122"/>
      <c r="GW436" s="122"/>
      <c r="GX436" s="122"/>
      <c r="GY436" s="122"/>
      <c r="GZ436" s="122"/>
      <c r="HA436" s="122"/>
      <c r="HB436" s="122"/>
      <c r="HC436" s="122"/>
      <c r="HD436" s="122"/>
      <c r="HE436" s="122"/>
      <c r="HF436" s="122"/>
      <c r="HG436" s="122"/>
      <c r="HH436" s="122"/>
      <c r="HI436" s="122"/>
      <c r="HJ436" s="122"/>
      <c r="HK436" s="122"/>
      <c r="HL436" s="122"/>
      <c r="HM436" s="122"/>
      <c r="HN436" s="122"/>
      <c r="HO436" s="122"/>
      <c r="HP436" s="122"/>
      <c r="HQ436" s="122"/>
      <c r="HR436" s="122"/>
      <c r="HS436" s="122"/>
      <c r="HT436" s="122"/>
      <c r="HU436" s="122"/>
      <c r="HV436" s="122"/>
      <c r="HW436" s="122"/>
      <c r="HX436" s="122"/>
      <c r="HY436" s="122"/>
      <c r="HZ436" s="122"/>
      <c r="IA436" s="122"/>
      <c r="IB436" s="122"/>
      <c r="IC436" s="122"/>
      <c r="ID436" s="122"/>
      <c r="IE436" s="122"/>
      <c r="IF436" s="122"/>
      <c r="IG436" s="122"/>
      <c r="IH436" s="122"/>
      <c r="II436" s="122"/>
      <c r="IJ436" s="122"/>
      <c r="IK436" s="122"/>
      <c r="IL436" s="122"/>
      <c r="IM436" s="122"/>
      <c r="IN436" s="122"/>
      <c r="IO436" s="122"/>
      <c r="IP436" s="122"/>
      <c r="IQ436" s="122"/>
      <c r="IR436" s="122"/>
      <c r="IS436" s="122"/>
      <c r="IT436" s="122"/>
      <c r="IU436" s="122"/>
      <c r="IV436" s="122"/>
      <c r="IW436" s="122"/>
      <c r="IX436" s="122"/>
      <c r="IY436" s="122"/>
      <c r="IZ436" s="122"/>
      <c r="JA436" s="122"/>
      <c r="JB436" s="122"/>
      <c r="JC436" s="122"/>
      <c r="JD436" s="122"/>
      <c r="JE436" s="122"/>
      <c r="JF436" s="122"/>
      <c r="JG436" s="122"/>
      <c r="JH436" s="122"/>
      <c r="JI436" s="119"/>
      <c r="JJ436" s="2"/>
      <c r="JK436" s="122"/>
      <c r="JL436" s="125"/>
      <c r="JM436" s="125"/>
      <c r="JN436" s="125"/>
      <c r="JO436" s="125"/>
      <c r="JP436" s="125"/>
    </row>
    <row r="437" spans="1:276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  <c r="AK437" s="122"/>
      <c r="AL437" s="122"/>
      <c r="AM437" s="122"/>
      <c r="AN437" s="122"/>
      <c r="AO437" s="122"/>
      <c r="AP437" s="122"/>
      <c r="AQ437" s="122"/>
      <c r="AR437" s="122"/>
      <c r="AS437" s="122"/>
      <c r="AT437" s="122"/>
      <c r="AU437" s="122"/>
      <c r="AV437" s="122"/>
      <c r="AW437" s="122"/>
      <c r="AX437" s="122"/>
      <c r="AY437" s="122"/>
      <c r="AZ437" s="122"/>
      <c r="BA437" s="122"/>
      <c r="BB437" s="122"/>
      <c r="BC437" s="122"/>
      <c r="BD437" s="122"/>
      <c r="BE437" s="122"/>
      <c r="BF437" s="122"/>
      <c r="BG437" s="122"/>
      <c r="BH437" s="122"/>
      <c r="BI437" s="122"/>
      <c r="BJ437" s="122"/>
      <c r="BK437" s="122"/>
      <c r="BL437" s="122"/>
      <c r="BM437" s="122"/>
      <c r="BN437" s="122"/>
      <c r="BO437" s="122"/>
      <c r="BP437" s="122"/>
      <c r="BQ437" s="122"/>
      <c r="BR437" s="122"/>
      <c r="BS437" s="122"/>
      <c r="BT437" s="122"/>
      <c r="BU437" s="122"/>
      <c r="BV437" s="122"/>
      <c r="BW437" s="122"/>
      <c r="BX437" s="122"/>
      <c r="BY437" s="122"/>
      <c r="BZ437" s="122"/>
      <c r="CA437" s="122"/>
      <c r="CB437" s="122"/>
      <c r="CC437" s="122"/>
      <c r="CD437" s="122"/>
      <c r="CE437" s="122"/>
      <c r="CF437" s="122"/>
      <c r="CG437" s="122"/>
      <c r="CH437" s="122"/>
      <c r="CI437" s="122"/>
      <c r="CJ437" s="122"/>
      <c r="CK437" s="122"/>
      <c r="CL437" s="122"/>
      <c r="CM437" s="122"/>
      <c r="CN437" s="122"/>
      <c r="CO437" s="122"/>
      <c r="CP437" s="122"/>
      <c r="CQ437" s="122"/>
      <c r="CR437" s="122"/>
      <c r="CS437" s="122"/>
      <c r="CT437" s="122"/>
      <c r="CU437" s="122"/>
      <c r="CV437" s="122"/>
      <c r="CW437" s="122"/>
      <c r="CX437" s="122"/>
      <c r="CY437" s="122"/>
      <c r="CZ437" s="122"/>
      <c r="DA437" s="122"/>
      <c r="DB437" s="122"/>
      <c r="DC437" s="122"/>
      <c r="DD437" s="122"/>
      <c r="DE437" s="122"/>
      <c r="DF437" s="122"/>
      <c r="DG437" s="122"/>
      <c r="DH437" s="122"/>
      <c r="DI437" s="122"/>
      <c r="DJ437" s="122"/>
      <c r="DK437" s="122"/>
      <c r="DL437" s="122"/>
      <c r="DM437" s="122"/>
      <c r="DN437" s="122"/>
      <c r="DO437" s="122"/>
      <c r="DP437" s="122"/>
      <c r="DQ437" s="122"/>
      <c r="DR437" s="122"/>
      <c r="DS437" s="122"/>
      <c r="DT437" s="122"/>
      <c r="DU437" s="122"/>
      <c r="DV437" s="122"/>
      <c r="DW437" s="122"/>
      <c r="DX437" s="122"/>
      <c r="DY437" s="122"/>
      <c r="DZ437" s="122"/>
      <c r="EA437" s="122"/>
      <c r="EB437" s="122"/>
      <c r="EC437" s="122"/>
      <c r="ED437" s="122"/>
      <c r="EE437" s="122"/>
      <c r="EF437" s="122"/>
      <c r="EG437" s="122"/>
      <c r="EH437" s="122"/>
      <c r="EI437" s="122"/>
      <c r="EJ437" s="122"/>
      <c r="EK437" s="122"/>
      <c r="EL437" s="122"/>
      <c r="EM437" s="122"/>
      <c r="EN437" s="122"/>
      <c r="EO437" s="122"/>
      <c r="EP437" s="122"/>
      <c r="EQ437" s="122"/>
      <c r="ER437" s="122"/>
      <c r="ES437" s="122"/>
      <c r="ET437" s="122"/>
      <c r="EU437" s="122"/>
      <c r="EV437" s="122"/>
      <c r="EW437" s="122"/>
      <c r="EX437" s="122"/>
      <c r="EY437" s="122"/>
      <c r="EZ437" s="122"/>
      <c r="FA437" s="122"/>
      <c r="FB437" s="122"/>
      <c r="FC437" s="122"/>
      <c r="FD437" s="122"/>
      <c r="FE437" s="122"/>
      <c r="FF437" s="122"/>
      <c r="FG437" s="122"/>
      <c r="FH437" s="122"/>
      <c r="FI437" s="122"/>
      <c r="FJ437" s="122"/>
      <c r="FK437" s="122"/>
      <c r="FL437" s="122"/>
      <c r="FM437" s="122"/>
      <c r="FN437" s="122"/>
      <c r="FO437" s="122"/>
      <c r="FP437" s="122"/>
      <c r="FQ437" s="122"/>
      <c r="FR437" s="122"/>
      <c r="FS437" s="122"/>
      <c r="FT437" s="122"/>
      <c r="FU437" s="122"/>
      <c r="FV437" s="122"/>
      <c r="FW437" s="122"/>
      <c r="FX437" s="122"/>
      <c r="FY437" s="122"/>
      <c r="FZ437" s="122"/>
      <c r="GA437" s="122"/>
      <c r="GB437" s="122"/>
      <c r="GC437" s="122"/>
      <c r="GD437" s="122"/>
      <c r="GE437" s="122"/>
      <c r="GF437" s="122"/>
      <c r="GG437" s="122"/>
      <c r="GH437" s="122"/>
      <c r="GI437" s="122"/>
      <c r="GJ437" s="122"/>
      <c r="GK437" s="122"/>
      <c r="GL437" s="122"/>
      <c r="GM437" s="122"/>
      <c r="GN437" s="122"/>
      <c r="GO437" s="122"/>
      <c r="GP437" s="122"/>
      <c r="GQ437" s="122"/>
      <c r="GR437" s="122"/>
      <c r="GS437" s="122"/>
      <c r="GT437" s="122"/>
      <c r="GU437" s="122"/>
      <c r="GV437" s="122"/>
      <c r="GW437" s="122"/>
      <c r="GX437" s="122"/>
      <c r="GY437" s="122"/>
      <c r="GZ437" s="122"/>
      <c r="HA437" s="122"/>
      <c r="HB437" s="122"/>
      <c r="HC437" s="122"/>
      <c r="HD437" s="122"/>
      <c r="HE437" s="122"/>
      <c r="HF437" s="122"/>
      <c r="HG437" s="122"/>
      <c r="HH437" s="122"/>
      <c r="HI437" s="122"/>
      <c r="HJ437" s="122"/>
      <c r="HK437" s="122"/>
      <c r="HL437" s="122"/>
      <c r="HM437" s="122"/>
      <c r="HN437" s="122"/>
      <c r="HO437" s="122"/>
      <c r="HP437" s="122"/>
      <c r="HQ437" s="122"/>
      <c r="HR437" s="122"/>
      <c r="HS437" s="122"/>
      <c r="HT437" s="122"/>
      <c r="HU437" s="122"/>
      <c r="HV437" s="122"/>
      <c r="HW437" s="122"/>
      <c r="HX437" s="122"/>
      <c r="HY437" s="122"/>
      <c r="HZ437" s="122"/>
      <c r="IA437" s="122"/>
      <c r="IB437" s="122"/>
      <c r="IC437" s="122"/>
      <c r="ID437" s="122"/>
      <c r="IE437" s="122"/>
      <c r="IF437" s="122"/>
      <c r="IG437" s="122"/>
      <c r="IH437" s="122"/>
      <c r="II437" s="122"/>
      <c r="IJ437" s="122"/>
      <c r="IK437" s="122"/>
      <c r="IL437" s="122"/>
      <c r="IM437" s="122"/>
      <c r="IN437" s="122"/>
      <c r="IO437" s="122"/>
      <c r="IP437" s="122"/>
      <c r="IQ437" s="122"/>
      <c r="IR437" s="122"/>
      <c r="IS437" s="122"/>
      <c r="IT437" s="122"/>
      <c r="IU437" s="122"/>
      <c r="IV437" s="122"/>
      <c r="IW437" s="122"/>
      <c r="IX437" s="122"/>
      <c r="IY437" s="122"/>
      <c r="IZ437" s="122"/>
      <c r="JA437" s="122"/>
      <c r="JB437" s="122"/>
      <c r="JC437" s="122"/>
      <c r="JD437" s="122"/>
      <c r="JE437" s="122"/>
      <c r="JF437" s="122"/>
      <c r="JG437" s="122"/>
      <c r="JH437" s="122"/>
      <c r="JI437" s="119"/>
      <c r="JJ437" s="2"/>
      <c r="JK437" s="122"/>
      <c r="JL437" s="125"/>
      <c r="JM437" s="125"/>
      <c r="JN437" s="125"/>
      <c r="JO437" s="125"/>
      <c r="JP437" s="125"/>
    </row>
    <row r="438" spans="1:276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122"/>
      <c r="AI438" s="122"/>
      <c r="AJ438" s="122"/>
      <c r="AK438" s="122"/>
      <c r="AL438" s="122"/>
      <c r="AM438" s="122"/>
      <c r="AN438" s="122"/>
      <c r="AO438" s="122"/>
      <c r="AP438" s="122"/>
      <c r="AQ438" s="122"/>
      <c r="AR438" s="122"/>
      <c r="AS438" s="122"/>
      <c r="AT438" s="122"/>
      <c r="AU438" s="122"/>
      <c r="AV438" s="122"/>
      <c r="AW438" s="122"/>
      <c r="AX438" s="122"/>
      <c r="AY438" s="122"/>
      <c r="AZ438" s="122"/>
      <c r="BA438" s="122"/>
      <c r="BB438" s="122"/>
      <c r="BC438" s="122"/>
      <c r="BD438" s="122"/>
      <c r="BE438" s="122"/>
      <c r="BF438" s="122"/>
      <c r="BG438" s="122"/>
      <c r="BH438" s="122"/>
      <c r="BI438" s="122"/>
      <c r="BJ438" s="122"/>
      <c r="BK438" s="122"/>
      <c r="BL438" s="122"/>
      <c r="BM438" s="122"/>
      <c r="BN438" s="122"/>
      <c r="BO438" s="122"/>
      <c r="BP438" s="122"/>
      <c r="BQ438" s="122"/>
      <c r="BR438" s="122"/>
      <c r="BS438" s="122"/>
      <c r="BT438" s="122"/>
      <c r="BU438" s="122"/>
      <c r="BV438" s="122"/>
      <c r="BW438" s="122"/>
      <c r="BX438" s="122"/>
      <c r="BY438" s="122"/>
      <c r="BZ438" s="122"/>
      <c r="CA438" s="122"/>
      <c r="CB438" s="122"/>
      <c r="CC438" s="122"/>
      <c r="CD438" s="122"/>
      <c r="CE438" s="122"/>
      <c r="CF438" s="122"/>
      <c r="CG438" s="122"/>
      <c r="CH438" s="122"/>
      <c r="CI438" s="122"/>
      <c r="CJ438" s="122"/>
      <c r="CK438" s="122"/>
      <c r="CL438" s="122"/>
      <c r="CM438" s="122"/>
      <c r="CN438" s="122"/>
      <c r="CO438" s="122"/>
      <c r="CP438" s="122"/>
      <c r="CQ438" s="122"/>
      <c r="CR438" s="122"/>
      <c r="CS438" s="122"/>
      <c r="CT438" s="122"/>
      <c r="CU438" s="122"/>
      <c r="CV438" s="122"/>
      <c r="CW438" s="122"/>
      <c r="CX438" s="122"/>
      <c r="CY438" s="122"/>
      <c r="CZ438" s="122"/>
      <c r="DA438" s="122"/>
      <c r="DB438" s="122"/>
      <c r="DC438" s="122"/>
      <c r="DD438" s="122"/>
      <c r="DE438" s="122"/>
      <c r="DF438" s="122"/>
      <c r="DG438" s="122"/>
      <c r="DH438" s="122"/>
      <c r="DI438" s="122"/>
      <c r="DJ438" s="122"/>
      <c r="DK438" s="122"/>
      <c r="DL438" s="122"/>
      <c r="DM438" s="122"/>
      <c r="DN438" s="122"/>
      <c r="DO438" s="122"/>
      <c r="DP438" s="122"/>
      <c r="DQ438" s="122"/>
      <c r="DR438" s="122"/>
      <c r="DS438" s="122"/>
      <c r="DT438" s="122"/>
      <c r="DU438" s="122"/>
      <c r="DV438" s="122"/>
      <c r="DW438" s="122"/>
      <c r="DX438" s="122"/>
      <c r="DY438" s="122"/>
      <c r="DZ438" s="122"/>
      <c r="EA438" s="122"/>
      <c r="EB438" s="122"/>
      <c r="EC438" s="122"/>
      <c r="ED438" s="122"/>
      <c r="EE438" s="122"/>
      <c r="EF438" s="122"/>
      <c r="EG438" s="122"/>
      <c r="EH438" s="122"/>
      <c r="EI438" s="122"/>
      <c r="EJ438" s="122"/>
      <c r="EK438" s="122"/>
      <c r="EL438" s="122"/>
      <c r="EM438" s="122"/>
      <c r="EN438" s="122"/>
      <c r="EO438" s="122"/>
      <c r="EP438" s="122"/>
      <c r="EQ438" s="122"/>
      <c r="ER438" s="122"/>
      <c r="ES438" s="122"/>
      <c r="ET438" s="122"/>
      <c r="EU438" s="122"/>
      <c r="EV438" s="122"/>
      <c r="EW438" s="122"/>
      <c r="EX438" s="122"/>
      <c r="EY438" s="122"/>
      <c r="EZ438" s="122"/>
      <c r="FA438" s="122"/>
      <c r="FB438" s="122"/>
      <c r="FC438" s="122"/>
      <c r="FD438" s="122"/>
      <c r="FE438" s="122"/>
      <c r="FF438" s="122"/>
      <c r="FG438" s="122"/>
      <c r="FH438" s="122"/>
      <c r="FI438" s="122"/>
      <c r="FJ438" s="122"/>
      <c r="FK438" s="122"/>
      <c r="FL438" s="122"/>
      <c r="FM438" s="122"/>
      <c r="FN438" s="122"/>
      <c r="FO438" s="122"/>
      <c r="FP438" s="122"/>
      <c r="FQ438" s="122"/>
      <c r="FR438" s="122"/>
      <c r="FS438" s="122"/>
      <c r="FT438" s="122"/>
      <c r="FU438" s="122"/>
      <c r="FV438" s="122"/>
      <c r="FW438" s="122"/>
      <c r="FX438" s="122"/>
      <c r="FY438" s="122"/>
      <c r="FZ438" s="122"/>
      <c r="GA438" s="122"/>
      <c r="GB438" s="122"/>
      <c r="GC438" s="122"/>
      <c r="GD438" s="122"/>
      <c r="GE438" s="122"/>
      <c r="GF438" s="122"/>
      <c r="GG438" s="122"/>
      <c r="GH438" s="122"/>
      <c r="GI438" s="122"/>
      <c r="GJ438" s="122"/>
      <c r="GK438" s="122"/>
      <c r="GL438" s="122"/>
      <c r="GM438" s="122"/>
      <c r="GN438" s="122"/>
      <c r="GO438" s="122"/>
      <c r="GP438" s="122"/>
      <c r="GQ438" s="122"/>
      <c r="GR438" s="122"/>
      <c r="GS438" s="122"/>
      <c r="GT438" s="122"/>
      <c r="GU438" s="122"/>
      <c r="GV438" s="122"/>
      <c r="GW438" s="122"/>
      <c r="GX438" s="122"/>
      <c r="GY438" s="122"/>
      <c r="GZ438" s="122"/>
      <c r="HA438" s="122"/>
      <c r="HB438" s="122"/>
      <c r="HC438" s="122"/>
      <c r="HD438" s="122"/>
      <c r="HE438" s="122"/>
      <c r="HF438" s="122"/>
      <c r="HG438" s="122"/>
      <c r="HH438" s="122"/>
      <c r="HI438" s="122"/>
      <c r="HJ438" s="122"/>
      <c r="HK438" s="122"/>
      <c r="HL438" s="122"/>
      <c r="HM438" s="122"/>
      <c r="HN438" s="122"/>
      <c r="HO438" s="122"/>
      <c r="HP438" s="122"/>
      <c r="HQ438" s="122"/>
      <c r="HR438" s="122"/>
      <c r="HS438" s="122"/>
      <c r="HT438" s="122"/>
      <c r="HU438" s="122"/>
      <c r="HV438" s="122"/>
      <c r="HW438" s="122"/>
      <c r="HX438" s="122"/>
      <c r="HY438" s="122"/>
      <c r="HZ438" s="122"/>
      <c r="IA438" s="122"/>
      <c r="IB438" s="122"/>
      <c r="IC438" s="122"/>
      <c r="ID438" s="122"/>
      <c r="IE438" s="122"/>
      <c r="IF438" s="122"/>
      <c r="IG438" s="122"/>
      <c r="IH438" s="122"/>
      <c r="II438" s="122"/>
      <c r="IJ438" s="122"/>
      <c r="IK438" s="122"/>
      <c r="IL438" s="122"/>
      <c r="IM438" s="122"/>
      <c r="IN438" s="122"/>
      <c r="IO438" s="122"/>
      <c r="IP438" s="122"/>
      <c r="IQ438" s="122"/>
      <c r="IR438" s="122"/>
      <c r="IS438" s="122"/>
      <c r="IT438" s="122"/>
      <c r="IU438" s="122"/>
      <c r="IV438" s="122"/>
      <c r="IW438" s="122"/>
      <c r="IX438" s="122"/>
      <c r="IY438" s="122"/>
      <c r="IZ438" s="122"/>
      <c r="JA438" s="122"/>
      <c r="JB438" s="122"/>
      <c r="JC438" s="122"/>
      <c r="JD438" s="122"/>
      <c r="JE438" s="122"/>
      <c r="JF438" s="122"/>
      <c r="JG438" s="122"/>
      <c r="JH438" s="122"/>
      <c r="JI438" s="119"/>
      <c r="JJ438" s="2"/>
      <c r="JK438" s="122"/>
      <c r="JL438" s="125"/>
      <c r="JM438" s="125"/>
      <c r="JN438" s="125"/>
      <c r="JO438" s="125"/>
      <c r="JP438" s="125"/>
    </row>
    <row r="439" spans="1:276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122"/>
      <c r="AJ439" s="122"/>
      <c r="AK439" s="122"/>
      <c r="AL439" s="122"/>
      <c r="AM439" s="122"/>
      <c r="AN439" s="122"/>
      <c r="AO439" s="122"/>
      <c r="AP439" s="122"/>
      <c r="AQ439" s="122"/>
      <c r="AR439" s="122"/>
      <c r="AS439" s="122"/>
      <c r="AT439" s="122"/>
      <c r="AU439" s="122"/>
      <c r="AV439" s="122"/>
      <c r="AW439" s="122"/>
      <c r="AX439" s="122"/>
      <c r="AY439" s="122"/>
      <c r="AZ439" s="122"/>
      <c r="BA439" s="122"/>
      <c r="BB439" s="122"/>
      <c r="BC439" s="122"/>
      <c r="BD439" s="122"/>
      <c r="BE439" s="122"/>
      <c r="BF439" s="122"/>
      <c r="BG439" s="122"/>
      <c r="BH439" s="122"/>
      <c r="BI439" s="122"/>
      <c r="BJ439" s="122"/>
      <c r="BK439" s="122"/>
      <c r="BL439" s="122"/>
      <c r="BM439" s="122"/>
      <c r="BN439" s="122"/>
      <c r="BO439" s="122"/>
      <c r="BP439" s="122"/>
      <c r="BQ439" s="122"/>
      <c r="BR439" s="122"/>
      <c r="BS439" s="122"/>
      <c r="BT439" s="122"/>
      <c r="BU439" s="122"/>
      <c r="BV439" s="122"/>
      <c r="BW439" s="122"/>
      <c r="BX439" s="122"/>
      <c r="BY439" s="122"/>
      <c r="BZ439" s="122"/>
      <c r="CA439" s="122"/>
      <c r="CB439" s="122"/>
      <c r="CC439" s="122"/>
      <c r="CD439" s="122"/>
      <c r="CE439" s="122"/>
      <c r="CF439" s="122"/>
      <c r="CG439" s="122"/>
      <c r="CH439" s="122"/>
      <c r="CI439" s="122"/>
      <c r="CJ439" s="122"/>
      <c r="CK439" s="122"/>
      <c r="CL439" s="122"/>
      <c r="CM439" s="122"/>
      <c r="CN439" s="122"/>
      <c r="CO439" s="122"/>
      <c r="CP439" s="122"/>
      <c r="CQ439" s="122"/>
      <c r="CR439" s="122"/>
      <c r="CS439" s="122"/>
      <c r="CT439" s="122"/>
      <c r="CU439" s="122"/>
      <c r="CV439" s="122"/>
      <c r="CW439" s="122"/>
      <c r="CX439" s="122"/>
      <c r="CY439" s="122"/>
      <c r="CZ439" s="122"/>
      <c r="DA439" s="122"/>
      <c r="DB439" s="122"/>
      <c r="DC439" s="122"/>
      <c r="DD439" s="122"/>
      <c r="DE439" s="122"/>
      <c r="DF439" s="122"/>
      <c r="DG439" s="122"/>
      <c r="DH439" s="122"/>
      <c r="DI439" s="122"/>
      <c r="DJ439" s="122"/>
      <c r="DK439" s="122"/>
      <c r="DL439" s="122"/>
      <c r="DM439" s="122"/>
      <c r="DN439" s="122"/>
      <c r="DO439" s="122"/>
      <c r="DP439" s="122"/>
      <c r="DQ439" s="122"/>
      <c r="DR439" s="122"/>
      <c r="DS439" s="122"/>
      <c r="DT439" s="122"/>
      <c r="DU439" s="122"/>
      <c r="DV439" s="122"/>
      <c r="DW439" s="122"/>
      <c r="DX439" s="122"/>
      <c r="DY439" s="122"/>
      <c r="DZ439" s="122"/>
      <c r="EA439" s="122"/>
      <c r="EB439" s="122"/>
      <c r="EC439" s="122"/>
      <c r="ED439" s="122"/>
      <c r="EE439" s="122"/>
      <c r="EF439" s="122"/>
      <c r="EG439" s="122"/>
      <c r="EH439" s="122"/>
      <c r="EI439" s="122"/>
      <c r="EJ439" s="122"/>
      <c r="EK439" s="122"/>
      <c r="EL439" s="122"/>
      <c r="EM439" s="122"/>
      <c r="EN439" s="122"/>
      <c r="EO439" s="122"/>
      <c r="EP439" s="122"/>
      <c r="EQ439" s="122"/>
      <c r="ER439" s="122"/>
      <c r="ES439" s="122"/>
      <c r="ET439" s="122"/>
      <c r="EU439" s="122"/>
      <c r="EV439" s="122"/>
      <c r="EW439" s="122"/>
      <c r="EX439" s="122"/>
      <c r="EY439" s="122"/>
      <c r="EZ439" s="122"/>
      <c r="FA439" s="122"/>
      <c r="FB439" s="122"/>
      <c r="FC439" s="122"/>
      <c r="FD439" s="122"/>
      <c r="FE439" s="122"/>
      <c r="FF439" s="122"/>
      <c r="FG439" s="122"/>
      <c r="FH439" s="122"/>
      <c r="FI439" s="122"/>
      <c r="FJ439" s="122"/>
      <c r="FK439" s="122"/>
      <c r="FL439" s="122"/>
      <c r="FM439" s="122"/>
      <c r="FN439" s="122"/>
      <c r="FO439" s="122"/>
      <c r="FP439" s="122"/>
      <c r="FQ439" s="122"/>
      <c r="FR439" s="122"/>
      <c r="FS439" s="122"/>
      <c r="FT439" s="122"/>
      <c r="FU439" s="122"/>
      <c r="FV439" s="122"/>
      <c r="FW439" s="122"/>
      <c r="FX439" s="122"/>
      <c r="FY439" s="122"/>
      <c r="FZ439" s="122"/>
      <c r="GA439" s="122"/>
      <c r="GB439" s="122"/>
      <c r="GC439" s="122"/>
      <c r="GD439" s="122"/>
      <c r="GE439" s="122"/>
      <c r="GF439" s="122"/>
      <c r="GG439" s="122"/>
      <c r="GH439" s="122"/>
      <c r="GI439" s="122"/>
      <c r="GJ439" s="122"/>
      <c r="GK439" s="122"/>
      <c r="GL439" s="122"/>
      <c r="GM439" s="122"/>
      <c r="GN439" s="122"/>
      <c r="GO439" s="122"/>
      <c r="GP439" s="122"/>
      <c r="GQ439" s="122"/>
      <c r="GR439" s="122"/>
      <c r="GS439" s="122"/>
      <c r="GT439" s="122"/>
      <c r="GU439" s="122"/>
      <c r="GV439" s="122"/>
      <c r="GW439" s="122"/>
      <c r="GX439" s="122"/>
      <c r="GY439" s="122"/>
      <c r="GZ439" s="122"/>
      <c r="HA439" s="122"/>
      <c r="HB439" s="122"/>
      <c r="HC439" s="122"/>
      <c r="HD439" s="122"/>
      <c r="HE439" s="122"/>
      <c r="HF439" s="122"/>
      <c r="HG439" s="122"/>
      <c r="HH439" s="122"/>
      <c r="HI439" s="122"/>
      <c r="HJ439" s="122"/>
      <c r="HK439" s="122"/>
      <c r="HL439" s="122"/>
      <c r="HM439" s="122"/>
      <c r="HN439" s="122"/>
      <c r="HO439" s="122"/>
      <c r="HP439" s="122"/>
      <c r="HQ439" s="122"/>
      <c r="HR439" s="122"/>
      <c r="HS439" s="122"/>
      <c r="HT439" s="122"/>
      <c r="HU439" s="122"/>
      <c r="HV439" s="122"/>
      <c r="HW439" s="122"/>
      <c r="HX439" s="122"/>
      <c r="HY439" s="122"/>
      <c r="HZ439" s="122"/>
      <c r="IA439" s="122"/>
      <c r="IB439" s="122"/>
      <c r="IC439" s="122"/>
      <c r="ID439" s="122"/>
      <c r="IE439" s="122"/>
      <c r="IF439" s="122"/>
      <c r="IG439" s="122"/>
      <c r="IH439" s="122"/>
      <c r="II439" s="122"/>
      <c r="IJ439" s="122"/>
      <c r="IK439" s="122"/>
      <c r="IL439" s="122"/>
      <c r="IM439" s="122"/>
      <c r="IN439" s="122"/>
      <c r="IO439" s="122"/>
      <c r="IP439" s="122"/>
      <c r="IQ439" s="122"/>
      <c r="IR439" s="122"/>
      <c r="IS439" s="122"/>
      <c r="IT439" s="122"/>
      <c r="IU439" s="122"/>
      <c r="IV439" s="122"/>
      <c r="IW439" s="122"/>
      <c r="IX439" s="122"/>
      <c r="IY439" s="122"/>
      <c r="IZ439" s="122"/>
      <c r="JA439" s="122"/>
      <c r="JB439" s="122"/>
      <c r="JC439" s="122"/>
      <c r="JD439" s="122"/>
      <c r="JE439" s="122"/>
      <c r="JF439" s="122"/>
      <c r="JG439" s="122"/>
      <c r="JH439" s="122"/>
      <c r="JI439" s="119"/>
      <c r="JJ439" s="2"/>
      <c r="JK439" s="122"/>
      <c r="JL439" s="125"/>
      <c r="JM439" s="125"/>
      <c r="JN439" s="125"/>
      <c r="JO439" s="125"/>
      <c r="JP439" s="125"/>
    </row>
    <row r="440" spans="1:276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122"/>
      <c r="AI440" s="122"/>
      <c r="AJ440" s="122"/>
      <c r="AK440" s="122"/>
      <c r="AL440" s="122"/>
      <c r="AM440" s="122"/>
      <c r="AN440" s="122"/>
      <c r="AO440" s="122"/>
      <c r="AP440" s="122"/>
      <c r="AQ440" s="122"/>
      <c r="AR440" s="122"/>
      <c r="AS440" s="122"/>
      <c r="AT440" s="122"/>
      <c r="AU440" s="122"/>
      <c r="AV440" s="122"/>
      <c r="AW440" s="122"/>
      <c r="AX440" s="122"/>
      <c r="AY440" s="122"/>
      <c r="AZ440" s="122"/>
      <c r="BA440" s="122"/>
      <c r="BB440" s="122"/>
      <c r="BC440" s="122"/>
      <c r="BD440" s="122"/>
      <c r="BE440" s="122"/>
      <c r="BF440" s="122"/>
      <c r="BG440" s="122"/>
      <c r="BH440" s="122"/>
      <c r="BI440" s="122"/>
      <c r="BJ440" s="122"/>
      <c r="BK440" s="122"/>
      <c r="BL440" s="122"/>
      <c r="BM440" s="122"/>
      <c r="BN440" s="122"/>
      <c r="BO440" s="122"/>
      <c r="BP440" s="122"/>
      <c r="BQ440" s="122"/>
      <c r="BR440" s="122"/>
      <c r="BS440" s="122"/>
      <c r="BT440" s="122"/>
      <c r="BU440" s="122"/>
      <c r="BV440" s="122"/>
      <c r="BW440" s="122"/>
      <c r="BX440" s="122"/>
      <c r="BY440" s="122"/>
      <c r="BZ440" s="122"/>
      <c r="CA440" s="122"/>
      <c r="CB440" s="122"/>
      <c r="CC440" s="122"/>
      <c r="CD440" s="122"/>
      <c r="CE440" s="122"/>
      <c r="CF440" s="122"/>
      <c r="CG440" s="122"/>
      <c r="CH440" s="122"/>
      <c r="CI440" s="122"/>
      <c r="CJ440" s="122"/>
      <c r="CK440" s="122"/>
      <c r="CL440" s="122"/>
      <c r="CM440" s="122"/>
      <c r="CN440" s="122"/>
      <c r="CO440" s="122"/>
      <c r="CP440" s="122"/>
      <c r="CQ440" s="122"/>
      <c r="CR440" s="122"/>
      <c r="CS440" s="122"/>
      <c r="CT440" s="122"/>
      <c r="CU440" s="122"/>
      <c r="CV440" s="122"/>
      <c r="CW440" s="122"/>
      <c r="CX440" s="122"/>
      <c r="CY440" s="122"/>
      <c r="CZ440" s="122"/>
      <c r="DA440" s="122"/>
      <c r="DB440" s="122"/>
      <c r="DC440" s="122"/>
      <c r="DD440" s="122"/>
      <c r="DE440" s="122"/>
      <c r="DF440" s="122"/>
      <c r="DG440" s="122"/>
      <c r="DH440" s="122"/>
      <c r="DI440" s="122"/>
      <c r="DJ440" s="122"/>
      <c r="DK440" s="122"/>
      <c r="DL440" s="122"/>
      <c r="DM440" s="122"/>
      <c r="DN440" s="122"/>
      <c r="DO440" s="122"/>
      <c r="DP440" s="122"/>
      <c r="DQ440" s="122"/>
      <c r="DR440" s="122"/>
      <c r="DS440" s="122"/>
      <c r="DT440" s="122"/>
      <c r="DU440" s="122"/>
      <c r="DV440" s="122"/>
      <c r="DW440" s="122"/>
      <c r="DX440" s="122"/>
      <c r="DY440" s="122"/>
      <c r="DZ440" s="122"/>
      <c r="EA440" s="122"/>
      <c r="EB440" s="122"/>
      <c r="EC440" s="122"/>
      <c r="ED440" s="122"/>
      <c r="EE440" s="122"/>
      <c r="EF440" s="122"/>
      <c r="EG440" s="122"/>
      <c r="EH440" s="122"/>
      <c r="EI440" s="122"/>
      <c r="EJ440" s="122"/>
      <c r="EK440" s="122"/>
      <c r="EL440" s="122"/>
      <c r="EM440" s="122"/>
      <c r="EN440" s="122"/>
      <c r="EO440" s="122"/>
      <c r="EP440" s="122"/>
      <c r="EQ440" s="122"/>
      <c r="ER440" s="122"/>
      <c r="ES440" s="122"/>
      <c r="ET440" s="122"/>
      <c r="EU440" s="122"/>
      <c r="EV440" s="122"/>
      <c r="EW440" s="122"/>
      <c r="EX440" s="122"/>
      <c r="EY440" s="122"/>
      <c r="EZ440" s="122"/>
      <c r="FA440" s="122"/>
      <c r="FB440" s="122"/>
      <c r="FC440" s="122"/>
      <c r="FD440" s="122"/>
      <c r="FE440" s="122"/>
      <c r="FF440" s="122"/>
      <c r="FG440" s="122"/>
      <c r="FH440" s="122"/>
      <c r="FI440" s="122"/>
      <c r="FJ440" s="122"/>
      <c r="FK440" s="122"/>
      <c r="FL440" s="122"/>
      <c r="FM440" s="122"/>
      <c r="FN440" s="122"/>
      <c r="FO440" s="122"/>
      <c r="FP440" s="122"/>
      <c r="FQ440" s="122"/>
      <c r="FR440" s="122"/>
      <c r="FS440" s="122"/>
      <c r="FT440" s="122"/>
      <c r="FU440" s="122"/>
      <c r="FV440" s="122"/>
      <c r="FW440" s="122"/>
      <c r="FX440" s="122"/>
      <c r="FY440" s="122"/>
      <c r="FZ440" s="122"/>
      <c r="GA440" s="122"/>
      <c r="GB440" s="122"/>
      <c r="GC440" s="122"/>
      <c r="GD440" s="122"/>
      <c r="GE440" s="122"/>
      <c r="GF440" s="122"/>
      <c r="GG440" s="122"/>
      <c r="GH440" s="122"/>
      <c r="GI440" s="122"/>
      <c r="GJ440" s="122"/>
      <c r="GK440" s="122"/>
      <c r="GL440" s="122"/>
      <c r="GM440" s="122"/>
      <c r="GN440" s="122"/>
      <c r="GO440" s="122"/>
      <c r="GP440" s="122"/>
      <c r="GQ440" s="122"/>
      <c r="GR440" s="122"/>
      <c r="GS440" s="122"/>
      <c r="GT440" s="122"/>
      <c r="GU440" s="122"/>
      <c r="GV440" s="122"/>
      <c r="GW440" s="122"/>
      <c r="GX440" s="122"/>
      <c r="GY440" s="122"/>
      <c r="GZ440" s="122"/>
      <c r="HA440" s="122"/>
      <c r="HB440" s="122"/>
      <c r="HC440" s="122"/>
      <c r="HD440" s="122"/>
      <c r="HE440" s="122"/>
      <c r="HF440" s="122"/>
      <c r="HG440" s="122"/>
      <c r="HH440" s="122"/>
      <c r="HI440" s="122"/>
      <c r="HJ440" s="122"/>
      <c r="HK440" s="122"/>
      <c r="HL440" s="122"/>
      <c r="HM440" s="122"/>
      <c r="HN440" s="122"/>
      <c r="HO440" s="122"/>
      <c r="HP440" s="122"/>
      <c r="HQ440" s="122"/>
      <c r="HR440" s="122"/>
      <c r="HS440" s="122"/>
      <c r="HT440" s="122"/>
      <c r="HU440" s="122"/>
      <c r="HV440" s="122"/>
      <c r="HW440" s="122"/>
      <c r="HX440" s="122"/>
      <c r="HY440" s="122"/>
      <c r="HZ440" s="122"/>
      <c r="IA440" s="122"/>
      <c r="IB440" s="122"/>
      <c r="IC440" s="122"/>
      <c r="ID440" s="122"/>
      <c r="IE440" s="122"/>
      <c r="IF440" s="122"/>
      <c r="IG440" s="122"/>
      <c r="IH440" s="122"/>
      <c r="II440" s="122"/>
      <c r="IJ440" s="122"/>
      <c r="IK440" s="122"/>
      <c r="IL440" s="122"/>
      <c r="IM440" s="122"/>
      <c r="IN440" s="122"/>
      <c r="IO440" s="122"/>
      <c r="IP440" s="122"/>
      <c r="IQ440" s="122"/>
      <c r="IR440" s="122"/>
      <c r="IS440" s="122"/>
      <c r="IT440" s="122"/>
      <c r="IU440" s="122"/>
      <c r="IV440" s="122"/>
      <c r="IW440" s="122"/>
      <c r="IX440" s="122"/>
      <c r="IY440" s="122"/>
      <c r="IZ440" s="122"/>
      <c r="JA440" s="122"/>
      <c r="JB440" s="122"/>
      <c r="JC440" s="122"/>
      <c r="JD440" s="122"/>
      <c r="JE440" s="122"/>
      <c r="JF440" s="122"/>
      <c r="JG440" s="122"/>
      <c r="JH440" s="122"/>
      <c r="JI440" s="119"/>
      <c r="JJ440" s="2"/>
      <c r="JK440" s="122"/>
      <c r="JL440" s="125"/>
      <c r="JM440" s="125"/>
      <c r="JN440" s="125"/>
      <c r="JO440" s="125"/>
      <c r="JP440" s="125"/>
    </row>
    <row r="441" spans="1:276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  <c r="AK441" s="122"/>
      <c r="AL441" s="122"/>
      <c r="AM441" s="122"/>
      <c r="AN441" s="122"/>
      <c r="AO441" s="122"/>
      <c r="AP441" s="122"/>
      <c r="AQ441" s="122"/>
      <c r="AR441" s="122"/>
      <c r="AS441" s="122"/>
      <c r="AT441" s="122"/>
      <c r="AU441" s="122"/>
      <c r="AV441" s="122"/>
      <c r="AW441" s="122"/>
      <c r="AX441" s="122"/>
      <c r="AY441" s="122"/>
      <c r="AZ441" s="122"/>
      <c r="BA441" s="122"/>
      <c r="BB441" s="122"/>
      <c r="BC441" s="122"/>
      <c r="BD441" s="122"/>
      <c r="BE441" s="122"/>
      <c r="BF441" s="122"/>
      <c r="BG441" s="122"/>
      <c r="BH441" s="122"/>
      <c r="BI441" s="122"/>
      <c r="BJ441" s="122"/>
      <c r="BK441" s="122"/>
      <c r="BL441" s="122"/>
      <c r="BM441" s="122"/>
      <c r="BN441" s="122"/>
      <c r="BO441" s="122"/>
      <c r="BP441" s="122"/>
      <c r="BQ441" s="122"/>
      <c r="BR441" s="122"/>
      <c r="BS441" s="122"/>
      <c r="BT441" s="122"/>
      <c r="BU441" s="122"/>
      <c r="BV441" s="122"/>
      <c r="BW441" s="122"/>
      <c r="BX441" s="122"/>
      <c r="BY441" s="122"/>
      <c r="BZ441" s="122"/>
      <c r="CA441" s="122"/>
      <c r="CB441" s="122"/>
      <c r="CC441" s="122"/>
      <c r="CD441" s="122"/>
      <c r="CE441" s="122"/>
      <c r="CF441" s="122"/>
      <c r="CG441" s="122"/>
      <c r="CH441" s="122"/>
      <c r="CI441" s="122"/>
      <c r="CJ441" s="122"/>
      <c r="CK441" s="122"/>
      <c r="CL441" s="122"/>
      <c r="CM441" s="122"/>
      <c r="CN441" s="122"/>
      <c r="CO441" s="122"/>
      <c r="CP441" s="122"/>
      <c r="CQ441" s="122"/>
      <c r="CR441" s="122"/>
      <c r="CS441" s="122"/>
      <c r="CT441" s="122"/>
      <c r="CU441" s="122"/>
      <c r="CV441" s="122"/>
      <c r="CW441" s="122"/>
      <c r="CX441" s="122"/>
      <c r="CY441" s="122"/>
      <c r="CZ441" s="122"/>
      <c r="DA441" s="122"/>
      <c r="DB441" s="122"/>
      <c r="DC441" s="122"/>
      <c r="DD441" s="122"/>
      <c r="DE441" s="122"/>
      <c r="DF441" s="122"/>
      <c r="DG441" s="122"/>
      <c r="DH441" s="122"/>
      <c r="DI441" s="122"/>
      <c r="DJ441" s="122"/>
      <c r="DK441" s="122"/>
      <c r="DL441" s="122"/>
      <c r="DM441" s="122"/>
      <c r="DN441" s="122"/>
      <c r="DO441" s="122"/>
      <c r="DP441" s="122"/>
      <c r="DQ441" s="122"/>
      <c r="DR441" s="122"/>
      <c r="DS441" s="122"/>
      <c r="DT441" s="122"/>
      <c r="DU441" s="122"/>
      <c r="DV441" s="122"/>
      <c r="DW441" s="122"/>
      <c r="DX441" s="122"/>
      <c r="DY441" s="122"/>
      <c r="DZ441" s="122"/>
      <c r="EA441" s="122"/>
      <c r="EB441" s="122"/>
      <c r="EC441" s="122"/>
      <c r="ED441" s="122"/>
      <c r="EE441" s="122"/>
      <c r="EF441" s="122"/>
      <c r="EG441" s="122"/>
      <c r="EH441" s="122"/>
      <c r="EI441" s="122"/>
      <c r="EJ441" s="122"/>
      <c r="EK441" s="122"/>
      <c r="EL441" s="122"/>
      <c r="EM441" s="122"/>
      <c r="EN441" s="122"/>
      <c r="EO441" s="122"/>
      <c r="EP441" s="122"/>
      <c r="EQ441" s="122"/>
      <c r="ER441" s="122"/>
      <c r="ES441" s="122"/>
      <c r="ET441" s="122"/>
      <c r="EU441" s="122"/>
      <c r="EV441" s="122"/>
      <c r="EW441" s="122"/>
      <c r="EX441" s="122"/>
      <c r="EY441" s="122"/>
      <c r="EZ441" s="122"/>
      <c r="FA441" s="122"/>
      <c r="FB441" s="122"/>
      <c r="FC441" s="122"/>
      <c r="FD441" s="122"/>
      <c r="FE441" s="122"/>
      <c r="FF441" s="122"/>
      <c r="FG441" s="122"/>
      <c r="FH441" s="122"/>
      <c r="FI441" s="122"/>
      <c r="FJ441" s="122"/>
      <c r="FK441" s="122"/>
      <c r="FL441" s="122"/>
      <c r="FM441" s="122"/>
      <c r="FN441" s="122"/>
      <c r="FO441" s="122"/>
      <c r="FP441" s="122"/>
      <c r="FQ441" s="122"/>
      <c r="FR441" s="122"/>
      <c r="FS441" s="122"/>
      <c r="FT441" s="122"/>
      <c r="FU441" s="122"/>
      <c r="FV441" s="122"/>
      <c r="FW441" s="122"/>
      <c r="FX441" s="122"/>
      <c r="FY441" s="122"/>
      <c r="FZ441" s="122"/>
      <c r="GA441" s="122"/>
      <c r="GB441" s="122"/>
      <c r="GC441" s="122"/>
      <c r="GD441" s="122"/>
      <c r="GE441" s="122"/>
      <c r="GF441" s="122"/>
      <c r="GG441" s="122"/>
      <c r="GH441" s="122"/>
      <c r="GI441" s="122"/>
      <c r="GJ441" s="122"/>
      <c r="GK441" s="122"/>
      <c r="GL441" s="122"/>
      <c r="GM441" s="122"/>
      <c r="GN441" s="122"/>
      <c r="GO441" s="122"/>
      <c r="GP441" s="122"/>
      <c r="GQ441" s="122"/>
      <c r="GR441" s="122"/>
      <c r="GS441" s="122"/>
      <c r="GT441" s="122"/>
      <c r="GU441" s="122"/>
      <c r="GV441" s="122"/>
      <c r="GW441" s="122"/>
      <c r="GX441" s="122"/>
      <c r="GY441" s="122"/>
      <c r="GZ441" s="122"/>
      <c r="HA441" s="122"/>
      <c r="HB441" s="122"/>
      <c r="HC441" s="122"/>
      <c r="HD441" s="122"/>
      <c r="HE441" s="122"/>
      <c r="HF441" s="122"/>
      <c r="HG441" s="122"/>
      <c r="HH441" s="122"/>
      <c r="HI441" s="122"/>
      <c r="HJ441" s="122"/>
      <c r="HK441" s="122"/>
      <c r="HL441" s="122"/>
      <c r="HM441" s="122"/>
      <c r="HN441" s="122"/>
      <c r="HO441" s="122"/>
      <c r="HP441" s="122"/>
      <c r="HQ441" s="122"/>
      <c r="HR441" s="122"/>
      <c r="HS441" s="122"/>
      <c r="HT441" s="122"/>
      <c r="HU441" s="122"/>
      <c r="HV441" s="122"/>
      <c r="HW441" s="122"/>
      <c r="HX441" s="122"/>
      <c r="HY441" s="122"/>
      <c r="HZ441" s="122"/>
      <c r="IA441" s="122"/>
      <c r="IB441" s="122"/>
      <c r="IC441" s="122"/>
      <c r="ID441" s="122"/>
      <c r="IE441" s="122"/>
      <c r="IF441" s="122"/>
      <c r="IG441" s="122"/>
      <c r="IH441" s="122"/>
      <c r="II441" s="122"/>
      <c r="IJ441" s="122"/>
      <c r="IK441" s="122"/>
      <c r="IL441" s="122"/>
      <c r="IM441" s="122"/>
      <c r="IN441" s="122"/>
      <c r="IO441" s="122"/>
      <c r="IP441" s="122"/>
      <c r="IQ441" s="122"/>
      <c r="IR441" s="122"/>
      <c r="IS441" s="122"/>
      <c r="IT441" s="122"/>
      <c r="IU441" s="122"/>
      <c r="IV441" s="122"/>
      <c r="IW441" s="122"/>
      <c r="IX441" s="122"/>
      <c r="IY441" s="122"/>
      <c r="IZ441" s="122"/>
      <c r="JA441" s="122"/>
      <c r="JB441" s="122"/>
      <c r="JC441" s="122"/>
      <c r="JD441" s="122"/>
      <c r="JE441" s="122"/>
      <c r="JF441" s="122"/>
      <c r="JG441" s="122"/>
      <c r="JH441" s="122"/>
      <c r="JI441" s="119"/>
      <c r="JJ441" s="2"/>
      <c r="JK441" s="122"/>
      <c r="JL441" s="125"/>
      <c r="JM441" s="125"/>
      <c r="JN441" s="125"/>
      <c r="JO441" s="125"/>
      <c r="JP441" s="125"/>
    </row>
    <row r="442" spans="1:276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  <c r="AI442" s="122"/>
      <c r="AJ442" s="122"/>
      <c r="AK442" s="122"/>
      <c r="AL442" s="122"/>
      <c r="AM442" s="122"/>
      <c r="AN442" s="122"/>
      <c r="AO442" s="122"/>
      <c r="AP442" s="122"/>
      <c r="AQ442" s="122"/>
      <c r="AR442" s="122"/>
      <c r="AS442" s="122"/>
      <c r="AT442" s="122"/>
      <c r="AU442" s="122"/>
      <c r="AV442" s="122"/>
      <c r="AW442" s="122"/>
      <c r="AX442" s="122"/>
      <c r="AY442" s="122"/>
      <c r="AZ442" s="122"/>
      <c r="BA442" s="122"/>
      <c r="BB442" s="122"/>
      <c r="BC442" s="122"/>
      <c r="BD442" s="122"/>
      <c r="BE442" s="122"/>
      <c r="BF442" s="122"/>
      <c r="BG442" s="122"/>
      <c r="BH442" s="122"/>
      <c r="BI442" s="122"/>
      <c r="BJ442" s="122"/>
      <c r="BK442" s="122"/>
      <c r="BL442" s="122"/>
      <c r="BM442" s="122"/>
      <c r="BN442" s="122"/>
      <c r="BO442" s="122"/>
      <c r="BP442" s="122"/>
      <c r="BQ442" s="122"/>
      <c r="BR442" s="122"/>
      <c r="BS442" s="122"/>
      <c r="BT442" s="122"/>
      <c r="BU442" s="122"/>
      <c r="BV442" s="122"/>
      <c r="BW442" s="122"/>
      <c r="BX442" s="122"/>
      <c r="BY442" s="122"/>
      <c r="BZ442" s="122"/>
      <c r="CA442" s="122"/>
      <c r="CB442" s="122"/>
      <c r="CC442" s="122"/>
      <c r="CD442" s="122"/>
      <c r="CE442" s="122"/>
      <c r="CF442" s="122"/>
      <c r="CG442" s="122"/>
      <c r="CH442" s="122"/>
      <c r="CI442" s="122"/>
      <c r="CJ442" s="122"/>
      <c r="CK442" s="122"/>
      <c r="CL442" s="122"/>
      <c r="CM442" s="122"/>
      <c r="CN442" s="122"/>
      <c r="CO442" s="122"/>
      <c r="CP442" s="122"/>
      <c r="CQ442" s="122"/>
      <c r="CR442" s="122"/>
      <c r="CS442" s="122"/>
      <c r="CT442" s="122"/>
      <c r="CU442" s="122"/>
      <c r="CV442" s="122"/>
      <c r="CW442" s="122"/>
      <c r="CX442" s="122"/>
      <c r="CY442" s="122"/>
      <c r="CZ442" s="122"/>
      <c r="DA442" s="122"/>
      <c r="DB442" s="122"/>
      <c r="DC442" s="122"/>
      <c r="DD442" s="122"/>
      <c r="DE442" s="122"/>
      <c r="DF442" s="122"/>
      <c r="DG442" s="122"/>
      <c r="DH442" s="122"/>
      <c r="DI442" s="122"/>
      <c r="DJ442" s="122"/>
      <c r="DK442" s="122"/>
      <c r="DL442" s="122"/>
      <c r="DM442" s="122"/>
      <c r="DN442" s="122"/>
      <c r="DO442" s="122"/>
      <c r="DP442" s="122"/>
      <c r="DQ442" s="122"/>
      <c r="DR442" s="122"/>
      <c r="DS442" s="122"/>
      <c r="DT442" s="122"/>
      <c r="DU442" s="122"/>
      <c r="DV442" s="122"/>
      <c r="DW442" s="122"/>
      <c r="DX442" s="122"/>
      <c r="DY442" s="122"/>
      <c r="DZ442" s="122"/>
      <c r="EA442" s="122"/>
      <c r="EB442" s="122"/>
      <c r="EC442" s="122"/>
      <c r="ED442" s="122"/>
      <c r="EE442" s="122"/>
      <c r="EF442" s="122"/>
      <c r="EG442" s="122"/>
      <c r="EH442" s="122"/>
      <c r="EI442" s="122"/>
      <c r="EJ442" s="122"/>
      <c r="EK442" s="122"/>
      <c r="EL442" s="122"/>
      <c r="EM442" s="122"/>
      <c r="EN442" s="122"/>
      <c r="EO442" s="122"/>
      <c r="EP442" s="122"/>
      <c r="EQ442" s="122"/>
      <c r="ER442" s="122"/>
      <c r="ES442" s="122"/>
      <c r="ET442" s="122"/>
      <c r="EU442" s="122"/>
      <c r="EV442" s="122"/>
      <c r="EW442" s="122"/>
      <c r="EX442" s="122"/>
      <c r="EY442" s="122"/>
      <c r="EZ442" s="122"/>
      <c r="FA442" s="122"/>
      <c r="FB442" s="122"/>
      <c r="FC442" s="122"/>
      <c r="FD442" s="122"/>
      <c r="FE442" s="122"/>
      <c r="FF442" s="122"/>
      <c r="FG442" s="122"/>
      <c r="FH442" s="122"/>
      <c r="FI442" s="122"/>
      <c r="FJ442" s="122"/>
      <c r="FK442" s="122"/>
      <c r="FL442" s="122"/>
      <c r="FM442" s="122"/>
      <c r="FN442" s="122"/>
      <c r="FO442" s="122"/>
      <c r="FP442" s="122"/>
      <c r="FQ442" s="122"/>
      <c r="FR442" s="122"/>
      <c r="FS442" s="122"/>
      <c r="FT442" s="122"/>
      <c r="FU442" s="122"/>
      <c r="FV442" s="122"/>
      <c r="FW442" s="122"/>
      <c r="FX442" s="122"/>
      <c r="FY442" s="122"/>
      <c r="FZ442" s="122"/>
      <c r="GA442" s="122"/>
      <c r="GB442" s="122"/>
      <c r="GC442" s="122"/>
      <c r="GD442" s="122"/>
      <c r="GE442" s="122"/>
      <c r="GF442" s="122"/>
      <c r="GG442" s="122"/>
      <c r="GH442" s="122"/>
      <c r="GI442" s="122"/>
      <c r="GJ442" s="122"/>
      <c r="GK442" s="122"/>
      <c r="GL442" s="122"/>
      <c r="GM442" s="122"/>
      <c r="GN442" s="122"/>
      <c r="GO442" s="122"/>
      <c r="GP442" s="122"/>
      <c r="GQ442" s="122"/>
      <c r="GR442" s="122"/>
      <c r="GS442" s="122"/>
      <c r="GT442" s="122"/>
      <c r="GU442" s="122"/>
      <c r="GV442" s="122"/>
      <c r="GW442" s="122"/>
      <c r="GX442" s="122"/>
      <c r="GY442" s="122"/>
      <c r="GZ442" s="122"/>
      <c r="HA442" s="122"/>
      <c r="HB442" s="122"/>
      <c r="HC442" s="122"/>
      <c r="HD442" s="122"/>
      <c r="HE442" s="122"/>
      <c r="HF442" s="122"/>
      <c r="HG442" s="122"/>
      <c r="HH442" s="122"/>
      <c r="HI442" s="122"/>
      <c r="HJ442" s="122"/>
      <c r="HK442" s="122"/>
      <c r="HL442" s="122"/>
      <c r="HM442" s="122"/>
      <c r="HN442" s="122"/>
      <c r="HO442" s="122"/>
      <c r="HP442" s="122"/>
      <c r="HQ442" s="122"/>
      <c r="HR442" s="122"/>
      <c r="HS442" s="122"/>
      <c r="HT442" s="122"/>
      <c r="HU442" s="122"/>
      <c r="HV442" s="122"/>
      <c r="HW442" s="122"/>
      <c r="HX442" s="122"/>
      <c r="HY442" s="122"/>
      <c r="HZ442" s="122"/>
      <c r="IA442" s="122"/>
      <c r="IB442" s="122"/>
      <c r="IC442" s="122"/>
      <c r="ID442" s="122"/>
      <c r="IE442" s="122"/>
      <c r="IF442" s="122"/>
      <c r="IG442" s="122"/>
      <c r="IH442" s="122"/>
      <c r="II442" s="122"/>
      <c r="IJ442" s="122"/>
      <c r="IK442" s="122"/>
      <c r="IL442" s="122"/>
      <c r="IM442" s="122"/>
      <c r="IN442" s="122"/>
      <c r="IO442" s="122"/>
      <c r="IP442" s="122"/>
      <c r="IQ442" s="122"/>
      <c r="IR442" s="122"/>
      <c r="IS442" s="122"/>
      <c r="IT442" s="122"/>
      <c r="IU442" s="122"/>
      <c r="IV442" s="122"/>
      <c r="IW442" s="122"/>
      <c r="IX442" s="122"/>
      <c r="IY442" s="122"/>
      <c r="IZ442" s="122"/>
      <c r="JA442" s="122"/>
      <c r="JB442" s="122"/>
      <c r="JC442" s="122"/>
      <c r="JD442" s="122"/>
      <c r="JE442" s="122"/>
      <c r="JF442" s="122"/>
      <c r="JG442" s="122"/>
      <c r="JH442" s="122"/>
      <c r="JI442" s="119"/>
      <c r="JJ442" s="2"/>
      <c r="JK442" s="122"/>
      <c r="JL442" s="125"/>
      <c r="JM442" s="125"/>
      <c r="JN442" s="125"/>
      <c r="JO442" s="125"/>
      <c r="JP442" s="125"/>
    </row>
    <row r="443" spans="1:276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122"/>
      <c r="AJ443" s="122"/>
      <c r="AK443" s="122"/>
      <c r="AL443" s="122"/>
      <c r="AM443" s="122"/>
      <c r="AN443" s="122"/>
      <c r="AO443" s="122"/>
      <c r="AP443" s="122"/>
      <c r="AQ443" s="122"/>
      <c r="AR443" s="122"/>
      <c r="AS443" s="122"/>
      <c r="AT443" s="122"/>
      <c r="AU443" s="122"/>
      <c r="AV443" s="122"/>
      <c r="AW443" s="122"/>
      <c r="AX443" s="122"/>
      <c r="AY443" s="122"/>
      <c r="AZ443" s="122"/>
      <c r="BA443" s="122"/>
      <c r="BB443" s="122"/>
      <c r="BC443" s="122"/>
      <c r="BD443" s="122"/>
      <c r="BE443" s="122"/>
      <c r="BF443" s="122"/>
      <c r="BG443" s="122"/>
      <c r="BH443" s="122"/>
      <c r="BI443" s="122"/>
      <c r="BJ443" s="122"/>
      <c r="BK443" s="122"/>
      <c r="BL443" s="122"/>
      <c r="BM443" s="122"/>
      <c r="BN443" s="122"/>
      <c r="BO443" s="122"/>
      <c r="BP443" s="122"/>
      <c r="BQ443" s="122"/>
      <c r="BR443" s="122"/>
      <c r="BS443" s="122"/>
      <c r="BT443" s="122"/>
      <c r="BU443" s="122"/>
      <c r="BV443" s="122"/>
      <c r="BW443" s="122"/>
      <c r="BX443" s="122"/>
      <c r="BY443" s="122"/>
      <c r="BZ443" s="122"/>
      <c r="CA443" s="122"/>
      <c r="CB443" s="122"/>
      <c r="CC443" s="122"/>
      <c r="CD443" s="122"/>
      <c r="CE443" s="122"/>
      <c r="CF443" s="122"/>
      <c r="CG443" s="122"/>
      <c r="CH443" s="122"/>
      <c r="CI443" s="122"/>
      <c r="CJ443" s="122"/>
      <c r="CK443" s="122"/>
      <c r="CL443" s="122"/>
      <c r="CM443" s="122"/>
      <c r="CN443" s="122"/>
      <c r="CO443" s="122"/>
      <c r="CP443" s="122"/>
      <c r="CQ443" s="122"/>
      <c r="CR443" s="122"/>
      <c r="CS443" s="122"/>
      <c r="CT443" s="122"/>
      <c r="CU443" s="122"/>
      <c r="CV443" s="122"/>
      <c r="CW443" s="122"/>
      <c r="CX443" s="122"/>
      <c r="CY443" s="122"/>
      <c r="CZ443" s="122"/>
      <c r="DA443" s="122"/>
      <c r="DB443" s="122"/>
      <c r="DC443" s="122"/>
      <c r="DD443" s="122"/>
      <c r="DE443" s="122"/>
      <c r="DF443" s="122"/>
      <c r="DG443" s="122"/>
      <c r="DH443" s="122"/>
      <c r="DI443" s="122"/>
      <c r="DJ443" s="122"/>
      <c r="DK443" s="122"/>
      <c r="DL443" s="122"/>
      <c r="DM443" s="122"/>
      <c r="DN443" s="122"/>
      <c r="DO443" s="122"/>
      <c r="DP443" s="122"/>
      <c r="DQ443" s="122"/>
      <c r="DR443" s="122"/>
      <c r="DS443" s="122"/>
      <c r="DT443" s="122"/>
      <c r="DU443" s="122"/>
      <c r="DV443" s="122"/>
      <c r="DW443" s="122"/>
      <c r="DX443" s="122"/>
      <c r="DY443" s="122"/>
      <c r="DZ443" s="122"/>
      <c r="EA443" s="122"/>
      <c r="EB443" s="122"/>
      <c r="EC443" s="122"/>
      <c r="ED443" s="122"/>
      <c r="EE443" s="122"/>
      <c r="EF443" s="122"/>
      <c r="EG443" s="122"/>
      <c r="EH443" s="122"/>
      <c r="EI443" s="122"/>
      <c r="EJ443" s="122"/>
      <c r="EK443" s="122"/>
      <c r="EL443" s="122"/>
      <c r="EM443" s="122"/>
      <c r="EN443" s="122"/>
      <c r="EO443" s="122"/>
      <c r="EP443" s="122"/>
      <c r="EQ443" s="122"/>
      <c r="ER443" s="122"/>
      <c r="ES443" s="122"/>
      <c r="ET443" s="122"/>
      <c r="EU443" s="122"/>
      <c r="EV443" s="122"/>
      <c r="EW443" s="122"/>
      <c r="EX443" s="122"/>
      <c r="EY443" s="122"/>
      <c r="EZ443" s="122"/>
      <c r="FA443" s="122"/>
      <c r="FB443" s="122"/>
      <c r="FC443" s="122"/>
      <c r="FD443" s="122"/>
      <c r="FE443" s="122"/>
      <c r="FF443" s="122"/>
      <c r="FG443" s="122"/>
      <c r="FH443" s="122"/>
      <c r="FI443" s="122"/>
      <c r="FJ443" s="122"/>
      <c r="FK443" s="122"/>
      <c r="FL443" s="122"/>
      <c r="FM443" s="122"/>
      <c r="FN443" s="122"/>
      <c r="FO443" s="122"/>
      <c r="FP443" s="122"/>
      <c r="FQ443" s="122"/>
      <c r="FR443" s="122"/>
      <c r="FS443" s="122"/>
      <c r="FT443" s="122"/>
      <c r="FU443" s="122"/>
      <c r="FV443" s="122"/>
      <c r="FW443" s="122"/>
      <c r="FX443" s="122"/>
      <c r="FY443" s="122"/>
      <c r="FZ443" s="122"/>
      <c r="GA443" s="122"/>
      <c r="GB443" s="122"/>
      <c r="GC443" s="122"/>
      <c r="GD443" s="122"/>
      <c r="GE443" s="122"/>
      <c r="GF443" s="122"/>
      <c r="GG443" s="122"/>
      <c r="GH443" s="122"/>
      <c r="GI443" s="122"/>
      <c r="GJ443" s="122"/>
      <c r="GK443" s="122"/>
      <c r="GL443" s="122"/>
      <c r="GM443" s="122"/>
      <c r="GN443" s="122"/>
      <c r="GO443" s="122"/>
      <c r="GP443" s="122"/>
      <c r="GQ443" s="122"/>
      <c r="GR443" s="122"/>
      <c r="GS443" s="122"/>
      <c r="GT443" s="122"/>
      <c r="GU443" s="122"/>
      <c r="GV443" s="122"/>
      <c r="GW443" s="122"/>
      <c r="GX443" s="122"/>
      <c r="GY443" s="122"/>
      <c r="GZ443" s="122"/>
      <c r="HA443" s="122"/>
      <c r="HB443" s="122"/>
      <c r="HC443" s="122"/>
      <c r="HD443" s="122"/>
      <c r="HE443" s="122"/>
      <c r="HF443" s="122"/>
      <c r="HG443" s="122"/>
      <c r="HH443" s="122"/>
      <c r="HI443" s="122"/>
      <c r="HJ443" s="122"/>
      <c r="HK443" s="122"/>
      <c r="HL443" s="122"/>
      <c r="HM443" s="122"/>
      <c r="HN443" s="122"/>
      <c r="HO443" s="122"/>
      <c r="HP443" s="122"/>
      <c r="HQ443" s="122"/>
      <c r="HR443" s="122"/>
      <c r="HS443" s="122"/>
      <c r="HT443" s="122"/>
      <c r="HU443" s="122"/>
      <c r="HV443" s="122"/>
      <c r="HW443" s="122"/>
      <c r="HX443" s="122"/>
      <c r="HY443" s="122"/>
      <c r="HZ443" s="122"/>
      <c r="IA443" s="122"/>
      <c r="IB443" s="122"/>
      <c r="IC443" s="122"/>
      <c r="ID443" s="122"/>
      <c r="IE443" s="122"/>
      <c r="IF443" s="122"/>
      <c r="IG443" s="122"/>
      <c r="IH443" s="122"/>
      <c r="II443" s="122"/>
      <c r="IJ443" s="122"/>
      <c r="IK443" s="122"/>
      <c r="IL443" s="122"/>
      <c r="IM443" s="122"/>
      <c r="IN443" s="122"/>
      <c r="IO443" s="122"/>
      <c r="IP443" s="122"/>
      <c r="IQ443" s="122"/>
      <c r="IR443" s="122"/>
      <c r="IS443" s="122"/>
      <c r="IT443" s="122"/>
      <c r="IU443" s="122"/>
      <c r="IV443" s="122"/>
      <c r="IW443" s="122"/>
      <c r="IX443" s="122"/>
      <c r="IY443" s="122"/>
      <c r="IZ443" s="122"/>
      <c r="JA443" s="122"/>
      <c r="JB443" s="122"/>
      <c r="JC443" s="122"/>
      <c r="JD443" s="122"/>
      <c r="JE443" s="122"/>
      <c r="JF443" s="122"/>
      <c r="JG443" s="122"/>
      <c r="JH443" s="122"/>
      <c r="JI443" s="119"/>
      <c r="JJ443" s="2"/>
      <c r="JK443" s="122"/>
      <c r="JL443" s="125"/>
      <c r="JM443" s="125"/>
      <c r="JN443" s="125"/>
      <c r="JO443" s="125"/>
      <c r="JP443" s="125"/>
    </row>
    <row r="444" spans="1:276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122"/>
      <c r="AI444" s="122"/>
      <c r="AJ444" s="122"/>
      <c r="AK444" s="122"/>
      <c r="AL444" s="122"/>
      <c r="AM444" s="122"/>
      <c r="AN444" s="122"/>
      <c r="AO444" s="122"/>
      <c r="AP444" s="122"/>
      <c r="AQ444" s="122"/>
      <c r="AR444" s="122"/>
      <c r="AS444" s="122"/>
      <c r="AT444" s="122"/>
      <c r="AU444" s="122"/>
      <c r="AV444" s="122"/>
      <c r="AW444" s="122"/>
      <c r="AX444" s="122"/>
      <c r="AY444" s="122"/>
      <c r="AZ444" s="122"/>
      <c r="BA444" s="122"/>
      <c r="BB444" s="122"/>
      <c r="BC444" s="122"/>
      <c r="BD444" s="122"/>
      <c r="BE444" s="122"/>
      <c r="BF444" s="122"/>
      <c r="BG444" s="122"/>
      <c r="BH444" s="122"/>
      <c r="BI444" s="122"/>
      <c r="BJ444" s="122"/>
      <c r="BK444" s="122"/>
      <c r="BL444" s="122"/>
      <c r="BM444" s="122"/>
      <c r="BN444" s="122"/>
      <c r="BO444" s="122"/>
      <c r="BP444" s="122"/>
      <c r="BQ444" s="122"/>
      <c r="BR444" s="122"/>
      <c r="BS444" s="122"/>
      <c r="BT444" s="122"/>
      <c r="BU444" s="122"/>
      <c r="BV444" s="122"/>
      <c r="BW444" s="122"/>
      <c r="BX444" s="122"/>
      <c r="BY444" s="122"/>
      <c r="BZ444" s="122"/>
      <c r="CA444" s="122"/>
      <c r="CB444" s="122"/>
      <c r="CC444" s="122"/>
      <c r="CD444" s="122"/>
      <c r="CE444" s="122"/>
      <c r="CF444" s="122"/>
      <c r="CG444" s="122"/>
      <c r="CH444" s="122"/>
      <c r="CI444" s="122"/>
      <c r="CJ444" s="122"/>
      <c r="CK444" s="122"/>
      <c r="CL444" s="122"/>
      <c r="CM444" s="122"/>
      <c r="CN444" s="122"/>
      <c r="CO444" s="122"/>
      <c r="CP444" s="122"/>
      <c r="CQ444" s="122"/>
      <c r="CR444" s="122"/>
      <c r="CS444" s="122"/>
      <c r="CT444" s="122"/>
      <c r="CU444" s="122"/>
      <c r="CV444" s="122"/>
      <c r="CW444" s="122"/>
      <c r="CX444" s="122"/>
      <c r="CY444" s="122"/>
      <c r="CZ444" s="122"/>
      <c r="DA444" s="122"/>
      <c r="DB444" s="122"/>
      <c r="DC444" s="122"/>
      <c r="DD444" s="122"/>
      <c r="DE444" s="122"/>
      <c r="DF444" s="122"/>
      <c r="DG444" s="122"/>
      <c r="DH444" s="122"/>
      <c r="DI444" s="122"/>
      <c r="DJ444" s="122"/>
      <c r="DK444" s="122"/>
      <c r="DL444" s="122"/>
      <c r="DM444" s="122"/>
      <c r="DN444" s="122"/>
      <c r="DO444" s="122"/>
      <c r="DP444" s="122"/>
      <c r="DQ444" s="122"/>
      <c r="DR444" s="122"/>
      <c r="DS444" s="122"/>
      <c r="DT444" s="122"/>
      <c r="DU444" s="122"/>
      <c r="DV444" s="122"/>
      <c r="DW444" s="122"/>
      <c r="DX444" s="122"/>
      <c r="DY444" s="122"/>
      <c r="DZ444" s="122"/>
      <c r="EA444" s="122"/>
      <c r="EB444" s="122"/>
      <c r="EC444" s="122"/>
      <c r="ED444" s="122"/>
      <c r="EE444" s="122"/>
      <c r="EF444" s="122"/>
      <c r="EG444" s="122"/>
      <c r="EH444" s="122"/>
      <c r="EI444" s="122"/>
      <c r="EJ444" s="122"/>
      <c r="EK444" s="122"/>
      <c r="EL444" s="122"/>
      <c r="EM444" s="122"/>
      <c r="EN444" s="122"/>
      <c r="EO444" s="122"/>
      <c r="EP444" s="122"/>
      <c r="EQ444" s="122"/>
      <c r="ER444" s="122"/>
      <c r="ES444" s="122"/>
      <c r="ET444" s="122"/>
      <c r="EU444" s="122"/>
      <c r="EV444" s="122"/>
      <c r="EW444" s="122"/>
      <c r="EX444" s="122"/>
      <c r="EY444" s="122"/>
      <c r="EZ444" s="122"/>
      <c r="FA444" s="122"/>
      <c r="FB444" s="122"/>
      <c r="FC444" s="122"/>
      <c r="FD444" s="122"/>
      <c r="FE444" s="122"/>
      <c r="FF444" s="122"/>
      <c r="FG444" s="122"/>
      <c r="FH444" s="122"/>
      <c r="FI444" s="122"/>
      <c r="FJ444" s="122"/>
      <c r="FK444" s="122"/>
      <c r="FL444" s="122"/>
      <c r="FM444" s="122"/>
      <c r="FN444" s="122"/>
      <c r="FO444" s="122"/>
      <c r="FP444" s="122"/>
      <c r="FQ444" s="122"/>
      <c r="FR444" s="122"/>
      <c r="FS444" s="122"/>
      <c r="FT444" s="122"/>
      <c r="FU444" s="122"/>
      <c r="FV444" s="122"/>
      <c r="FW444" s="122"/>
      <c r="FX444" s="122"/>
      <c r="FY444" s="122"/>
      <c r="FZ444" s="122"/>
      <c r="GA444" s="122"/>
      <c r="GB444" s="122"/>
      <c r="GC444" s="122"/>
      <c r="GD444" s="122"/>
      <c r="GE444" s="122"/>
      <c r="GF444" s="122"/>
      <c r="GG444" s="122"/>
      <c r="GH444" s="122"/>
      <c r="GI444" s="122"/>
      <c r="GJ444" s="122"/>
      <c r="GK444" s="122"/>
      <c r="GL444" s="122"/>
      <c r="GM444" s="122"/>
      <c r="GN444" s="122"/>
      <c r="GO444" s="122"/>
      <c r="GP444" s="122"/>
      <c r="GQ444" s="122"/>
      <c r="GR444" s="122"/>
      <c r="GS444" s="122"/>
      <c r="GT444" s="122"/>
      <c r="GU444" s="122"/>
      <c r="GV444" s="122"/>
      <c r="GW444" s="122"/>
      <c r="GX444" s="122"/>
      <c r="GY444" s="122"/>
      <c r="GZ444" s="122"/>
      <c r="HA444" s="122"/>
      <c r="HB444" s="122"/>
      <c r="HC444" s="122"/>
      <c r="HD444" s="122"/>
      <c r="HE444" s="122"/>
      <c r="HF444" s="122"/>
      <c r="HG444" s="122"/>
      <c r="HH444" s="122"/>
      <c r="HI444" s="122"/>
      <c r="HJ444" s="122"/>
      <c r="HK444" s="122"/>
      <c r="HL444" s="122"/>
      <c r="HM444" s="122"/>
      <c r="HN444" s="122"/>
      <c r="HO444" s="122"/>
      <c r="HP444" s="122"/>
      <c r="HQ444" s="122"/>
      <c r="HR444" s="122"/>
      <c r="HS444" s="122"/>
      <c r="HT444" s="122"/>
      <c r="HU444" s="122"/>
      <c r="HV444" s="122"/>
      <c r="HW444" s="122"/>
      <c r="HX444" s="122"/>
      <c r="HY444" s="122"/>
      <c r="HZ444" s="122"/>
      <c r="IA444" s="122"/>
      <c r="IB444" s="122"/>
      <c r="IC444" s="122"/>
      <c r="ID444" s="122"/>
      <c r="IE444" s="122"/>
      <c r="IF444" s="122"/>
      <c r="IG444" s="122"/>
      <c r="IH444" s="122"/>
      <c r="II444" s="122"/>
      <c r="IJ444" s="122"/>
      <c r="IK444" s="122"/>
      <c r="IL444" s="122"/>
      <c r="IM444" s="122"/>
      <c r="IN444" s="122"/>
      <c r="IO444" s="122"/>
      <c r="IP444" s="122"/>
      <c r="IQ444" s="122"/>
      <c r="IR444" s="122"/>
      <c r="IS444" s="122"/>
      <c r="IT444" s="122"/>
      <c r="IU444" s="122"/>
      <c r="IV444" s="122"/>
      <c r="IW444" s="122"/>
      <c r="IX444" s="122"/>
      <c r="IY444" s="122"/>
      <c r="IZ444" s="122"/>
      <c r="JA444" s="122"/>
      <c r="JB444" s="122"/>
      <c r="JC444" s="122"/>
      <c r="JD444" s="122"/>
      <c r="JE444" s="122"/>
      <c r="JF444" s="122"/>
      <c r="JG444" s="122"/>
      <c r="JH444" s="122"/>
      <c r="JI444" s="119"/>
      <c r="JJ444" s="2"/>
      <c r="JK444" s="122"/>
      <c r="JL444" s="125"/>
      <c r="JM444" s="125"/>
      <c r="JN444" s="125"/>
      <c r="JO444" s="125"/>
      <c r="JP444" s="125"/>
    </row>
    <row r="445" spans="1:276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122"/>
      <c r="AJ445" s="122"/>
      <c r="AK445" s="122"/>
      <c r="AL445" s="122"/>
      <c r="AM445" s="122"/>
      <c r="AN445" s="122"/>
      <c r="AO445" s="122"/>
      <c r="AP445" s="122"/>
      <c r="AQ445" s="122"/>
      <c r="AR445" s="122"/>
      <c r="AS445" s="122"/>
      <c r="AT445" s="122"/>
      <c r="AU445" s="122"/>
      <c r="AV445" s="122"/>
      <c r="AW445" s="122"/>
      <c r="AX445" s="122"/>
      <c r="AY445" s="122"/>
      <c r="AZ445" s="122"/>
      <c r="BA445" s="122"/>
      <c r="BB445" s="122"/>
      <c r="BC445" s="122"/>
      <c r="BD445" s="122"/>
      <c r="BE445" s="122"/>
      <c r="BF445" s="122"/>
      <c r="BG445" s="122"/>
      <c r="BH445" s="122"/>
      <c r="BI445" s="122"/>
      <c r="BJ445" s="122"/>
      <c r="BK445" s="122"/>
      <c r="BL445" s="122"/>
      <c r="BM445" s="122"/>
      <c r="BN445" s="122"/>
      <c r="BO445" s="122"/>
      <c r="BP445" s="122"/>
      <c r="BQ445" s="122"/>
      <c r="BR445" s="122"/>
      <c r="BS445" s="122"/>
      <c r="BT445" s="122"/>
      <c r="BU445" s="122"/>
      <c r="BV445" s="122"/>
      <c r="BW445" s="122"/>
      <c r="BX445" s="122"/>
      <c r="BY445" s="122"/>
      <c r="BZ445" s="122"/>
      <c r="CA445" s="122"/>
      <c r="CB445" s="122"/>
      <c r="CC445" s="122"/>
      <c r="CD445" s="122"/>
      <c r="CE445" s="122"/>
      <c r="CF445" s="122"/>
      <c r="CG445" s="122"/>
      <c r="CH445" s="122"/>
      <c r="CI445" s="122"/>
      <c r="CJ445" s="122"/>
      <c r="CK445" s="122"/>
      <c r="CL445" s="122"/>
      <c r="CM445" s="122"/>
      <c r="CN445" s="122"/>
      <c r="CO445" s="122"/>
      <c r="CP445" s="122"/>
      <c r="CQ445" s="122"/>
      <c r="CR445" s="122"/>
      <c r="CS445" s="122"/>
      <c r="CT445" s="122"/>
      <c r="CU445" s="122"/>
      <c r="CV445" s="122"/>
      <c r="CW445" s="122"/>
      <c r="CX445" s="122"/>
      <c r="CY445" s="122"/>
      <c r="CZ445" s="122"/>
      <c r="DA445" s="122"/>
      <c r="DB445" s="122"/>
      <c r="DC445" s="122"/>
      <c r="DD445" s="122"/>
      <c r="DE445" s="122"/>
      <c r="DF445" s="122"/>
      <c r="DG445" s="122"/>
      <c r="DH445" s="122"/>
      <c r="DI445" s="122"/>
      <c r="DJ445" s="122"/>
      <c r="DK445" s="122"/>
      <c r="DL445" s="122"/>
      <c r="DM445" s="122"/>
      <c r="DN445" s="122"/>
      <c r="DO445" s="122"/>
      <c r="DP445" s="122"/>
      <c r="DQ445" s="122"/>
      <c r="DR445" s="122"/>
      <c r="DS445" s="122"/>
      <c r="DT445" s="122"/>
      <c r="DU445" s="122"/>
      <c r="DV445" s="122"/>
      <c r="DW445" s="122"/>
      <c r="DX445" s="122"/>
      <c r="DY445" s="122"/>
      <c r="DZ445" s="122"/>
      <c r="EA445" s="122"/>
      <c r="EB445" s="122"/>
      <c r="EC445" s="122"/>
      <c r="ED445" s="122"/>
      <c r="EE445" s="122"/>
      <c r="EF445" s="122"/>
      <c r="EG445" s="122"/>
      <c r="EH445" s="122"/>
      <c r="EI445" s="122"/>
      <c r="EJ445" s="122"/>
      <c r="EK445" s="122"/>
      <c r="EL445" s="122"/>
      <c r="EM445" s="122"/>
      <c r="EN445" s="122"/>
      <c r="EO445" s="122"/>
      <c r="EP445" s="122"/>
      <c r="EQ445" s="122"/>
      <c r="ER445" s="122"/>
      <c r="ES445" s="122"/>
      <c r="ET445" s="122"/>
      <c r="EU445" s="122"/>
      <c r="EV445" s="122"/>
      <c r="EW445" s="122"/>
      <c r="EX445" s="122"/>
      <c r="EY445" s="122"/>
      <c r="EZ445" s="122"/>
      <c r="FA445" s="122"/>
      <c r="FB445" s="122"/>
      <c r="FC445" s="122"/>
      <c r="FD445" s="122"/>
      <c r="FE445" s="122"/>
      <c r="FF445" s="122"/>
      <c r="FG445" s="122"/>
      <c r="FH445" s="122"/>
      <c r="FI445" s="122"/>
      <c r="FJ445" s="122"/>
      <c r="FK445" s="122"/>
      <c r="FL445" s="122"/>
      <c r="FM445" s="122"/>
      <c r="FN445" s="122"/>
      <c r="FO445" s="122"/>
      <c r="FP445" s="122"/>
      <c r="FQ445" s="122"/>
      <c r="FR445" s="122"/>
      <c r="FS445" s="122"/>
      <c r="FT445" s="122"/>
      <c r="FU445" s="122"/>
      <c r="FV445" s="122"/>
      <c r="FW445" s="122"/>
      <c r="FX445" s="122"/>
      <c r="FY445" s="122"/>
      <c r="FZ445" s="122"/>
      <c r="GA445" s="122"/>
      <c r="GB445" s="122"/>
      <c r="GC445" s="122"/>
      <c r="GD445" s="122"/>
      <c r="GE445" s="122"/>
      <c r="GF445" s="122"/>
      <c r="GG445" s="122"/>
      <c r="GH445" s="122"/>
      <c r="GI445" s="122"/>
      <c r="GJ445" s="122"/>
      <c r="GK445" s="122"/>
      <c r="GL445" s="122"/>
      <c r="GM445" s="122"/>
      <c r="GN445" s="122"/>
      <c r="GO445" s="122"/>
      <c r="GP445" s="122"/>
      <c r="GQ445" s="122"/>
      <c r="GR445" s="122"/>
      <c r="GS445" s="122"/>
      <c r="GT445" s="122"/>
      <c r="GU445" s="122"/>
      <c r="GV445" s="122"/>
      <c r="GW445" s="122"/>
      <c r="GX445" s="122"/>
      <c r="GY445" s="122"/>
      <c r="GZ445" s="122"/>
      <c r="HA445" s="122"/>
      <c r="HB445" s="122"/>
      <c r="HC445" s="122"/>
      <c r="HD445" s="122"/>
      <c r="HE445" s="122"/>
      <c r="HF445" s="122"/>
      <c r="HG445" s="122"/>
      <c r="HH445" s="122"/>
      <c r="HI445" s="122"/>
      <c r="HJ445" s="122"/>
      <c r="HK445" s="122"/>
      <c r="HL445" s="122"/>
      <c r="HM445" s="122"/>
      <c r="HN445" s="122"/>
      <c r="HO445" s="122"/>
      <c r="HP445" s="122"/>
      <c r="HQ445" s="122"/>
      <c r="HR445" s="122"/>
      <c r="HS445" s="122"/>
      <c r="HT445" s="122"/>
      <c r="HU445" s="122"/>
      <c r="HV445" s="122"/>
      <c r="HW445" s="122"/>
      <c r="HX445" s="122"/>
      <c r="HY445" s="122"/>
      <c r="HZ445" s="122"/>
      <c r="IA445" s="122"/>
      <c r="IB445" s="122"/>
      <c r="IC445" s="122"/>
      <c r="ID445" s="122"/>
      <c r="IE445" s="122"/>
      <c r="IF445" s="122"/>
      <c r="IG445" s="122"/>
      <c r="IH445" s="122"/>
      <c r="II445" s="122"/>
      <c r="IJ445" s="122"/>
      <c r="IK445" s="122"/>
      <c r="IL445" s="122"/>
      <c r="IM445" s="122"/>
      <c r="IN445" s="122"/>
      <c r="IO445" s="122"/>
      <c r="IP445" s="122"/>
      <c r="IQ445" s="122"/>
      <c r="IR445" s="122"/>
      <c r="IS445" s="122"/>
      <c r="IT445" s="122"/>
      <c r="IU445" s="122"/>
      <c r="IV445" s="122"/>
      <c r="IW445" s="122"/>
      <c r="IX445" s="122"/>
      <c r="IY445" s="122"/>
      <c r="IZ445" s="122"/>
      <c r="JA445" s="122"/>
      <c r="JB445" s="122"/>
      <c r="JC445" s="122"/>
      <c r="JD445" s="122"/>
      <c r="JE445" s="122"/>
      <c r="JF445" s="122"/>
      <c r="JG445" s="122"/>
      <c r="JH445" s="122"/>
      <c r="JI445" s="119"/>
      <c r="JJ445" s="2"/>
      <c r="JK445" s="122"/>
      <c r="JL445" s="125"/>
      <c r="JM445" s="125"/>
      <c r="JN445" s="125"/>
      <c r="JO445" s="125"/>
      <c r="JP445" s="125"/>
    </row>
    <row r="446" spans="1:27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122"/>
      <c r="AI446" s="122"/>
      <c r="AJ446" s="122"/>
      <c r="AK446" s="122"/>
      <c r="AL446" s="122"/>
      <c r="AM446" s="122"/>
      <c r="AN446" s="122"/>
      <c r="AO446" s="122"/>
      <c r="AP446" s="122"/>
      <c r="AQ446" s="122"/>
      <c r="AR446" s="122"/>
      <c r="AS446" s="122"/>
      <c r="AT446" s="122"/>
      <c r="AU446" s="122"/>
      <c r="AV446" s="122"/>
      <c r="AW446" s="122"/>
      <c r="AX446" s="122"/>
      <c r="AY446" s="122"/>
      <c r="AZ446" s="122"/>
      <c r="BA446" s="122"/>
      <c r="BB446" s="122"/>
      <c r="BC446" s="122"/>
      <c r="BD446" s="122"/>
      <c r="BE446" s="122"/>
      <c r="BF446" s="122"/>
      <c r="BG446" s="122"/>
      <c r="BH446" s="122"/>
      <c r="BI446" s="122"/>
      <c r="BJ446" s="122"/>
      <c r="BK446" s="122"/>
      <c r="BL446" s="122"/>
      <c r="BM446" s="122"/>
      <c r="BN446" s="122"/>
      <c r="BO446" s="122"/>
      <c r="BP446" s="122"/>
      <c r="BQ446" s="122"/>
      <c r="BR446" s="122"/>
      <c r="BS446" s="122"/>
      <c r="BT446" s="122"/>
      <c r="BU446" s="122"/>
      <c r="BV446" s="122"/>
      <c r="BW446" s="122"/>
      <c r="BX446" s="122"/>
      <c r="BY446" s="122"/>
      <c r="BZ446" s="122"/>
      <c r="CA446" s="122"/>
      <c r="CB446" s="122"/>
      <c r="CC446" s="122"/>
      <c r="CD446" s="122"/>
      <c r="CE446" s="122"/>
      <c r="CF446" s="122"/>
      <c r="CG446" s="122"/>
      <c r="CH446" s="122"/>
      <c r="CI446" s="122"/>
      <c r="CJ446" s="122"/>
      <c r="CK446" s="122"/>
      <c r="CL446" s="122"/>
      <c r="CM446" s="122"/>
      <c r="CN446" s="122"/>
      <c r="CO446" s="122"/>
      <c r="CP446" s="122"/>
      <c r="CQ446" s="122"/>
      <c r="CR446" s="122"/>
      <c r="CS446" s="122"/>
      <c r="CT446" s="122"/>
      <c r="CU446" s="122"/>
      <c r="CV446" s="122"/>
      <c r="CW446" s="122"/>
      <c r="CX446" s="122"/>
      <c r="CY446" s="122"/>
      <c r="CZ446" s="122"/>
      <c r="DA446" s="122"/>
      <c r="DB446" s="122"/>
      <c r="DC446" s="122"/>
      <c r="DD446" s="122"/>
      <c r="DE446" s="122"/>
      <c r="DF446" s="122"/>
      <c r="DG446" s="122"/>
      <c r="DH446" s="122"/>
      <c r="DI446" s="122"/>
      <c r="DJ446" s="122"/>
      <c r="DK446" s="122"/>
      <c r="DL446" s="122"/>
      <c r="DM446" s="122"/>
      <c r="DN446" s="122"/>
      <c r="DO446" s="122"/>
      <c r="DP446" s="122"/>
      <c r="DQ446" s="122"/>
      <c r="DR446" s="122"/>
      <c r="DS446" s="122"/>
      <c r="DT446" s="122"/>
      <c r="DU446" s="122"/>
      <c r="DV446" s="122"/>
      <c r="DW446" s="122"/>
      <c r="DX446" s="122"/>
      <c r="DY446" s="122"/>
      <c r="DZ446" s="122"/>
      <c r="EA446" s="122"/>
      <c r="EB446" s="122"/>
      <c r="EC446" s="122"/>
      <c r="ED446" s="122"/>
      <c r="EE446" s="122"/>
      <c r="EF446" s="122"/>
      <c r="EG446" s="122"/>
      <c r="EH446" s="122"/>
      <c r="EI446" s="122"/>
      <c r="EJ446" s="122"/>
      <c r="EK446" s="122"/>
      <c r="EL446" s="122"/>
      <c r="EM446" s="122"/>
      <c r="EN446" s="122"/>
      <c r="EO446" s="122"/>
      <c r="EP446" s="122"/>
      <c r="EQ446" s="122"/>
      <c r="ER446" s="122"/>
      <c r="ES446" s="122"/>
      <c r="ET446" s="122"/>
      <c r="EU446" s="122"/>
      <c r="EV446" s="122"/>
      <c r="EW446" s="122"/>
      <c r="EX446" s="122"/>
      <c r="EY446" s="122"/>
      <c r="EZ446" s="122"/>
      <c r="FA446" s="122"/>
      <c r="FB446" s="122"/>
      <c r="FC446" s="122"/>
      <c r="FD446" s="122"/>
      <c r="FE446" s="122"/>
      <c r="FF446" s="122"/>
      <c r="FG446" s="122"/>
      <c r="FH446" s="122"/>
      <c r="FI446" s="122"/>
      <c r="FJ446" s="122"/>
      <c r="FK446" s="122"/>
      <c r="FL446" s="122"/>
      <c r="FM446" s="122"/>
      <c r="FN446" s="122"/>
      <c r="FO446" s="122"/>
      <c r="FP446" s="122"/>
      <c r="FQ446" s="122"/>
      <c r="FR446" s="122"/>
      <c r="FS446" s="122"/>
      <c r="FT446" s="122"/>
      <c r="FU446" s="122"/>
      <c r="FV446" s="122"/>
      <c r="FW446" s="122"/>
      <c r="FX446" s="122"/>
      <c r="FY446" s="122"/>
      <c r="FZ446" s="122"/>
      <c r="GA446" s="122"/>
      <c r="GB446" s="122"/>
      <c r="GC446" s="122"/>
      <c r="GD446" s="122"/>
      <c r="GE446" s="122"/>
      <c r="GF446" s="122"/>
      <c r="GG446" s="122"/>
      <c r="GH446" s="122"/>
      <c r="GI446" s="122"/>
      <c r="GJ446" s="122"/>
      <c r="GK446" s="122"/>
      <c r="GL446" s="122"/>
      <c r="GM446" s="122"/>
      <c r="GN446" s="122"/>
      <c r="GO446" s="122"/>
      <c r="GP446" s="122"/>
      <c r="GQ446" s="122"/>
      <c r="GR446" s="122"/>
      <c r="GS446" s="122"/>
      <c r="GT446" s="122"/>
      <c r="GU446" s="122"/>
      <c r="GV446" s="122"/>
      <c r="GW446" s="122"/>
      <c r="GX446" s="122"/>
      <c r="GY446" s="122"/>
      <c r="GZ446" s="122"/>
      <c r="HA446" s="122"/>
      <c r="HB446" s="122"/>
      <c r="HC446" s="122"/>
      <c r="HD446" s="122"/>
      <c r="HE446" s="122"/>
      <c r="HF446" s="122"/>
      <c r="HG446" s="122"/>
      <c r="HH446" s="122"/>
      <c r="HI446" s="122"/>
      <c r="HJ446" s="122"/>
      <c r="HK446" s="122"/>
      <c r="HL446" s="122"/>
      <c r="HM446" s="122"/>
      <c r="HN446" s="122"/>
      <c r="HO446" s="122"/>
      <c r="HP446" s="122"/>
      <c r="HQ446" s="122"/>
      <c r="HR446" s="122"/>
      <c r="HS446" s="122"/>
      <c r="HT446" s="122"/>
      <c r="HU446" s="122"/>
      <c r="HV446" s="122"/>
      <c r="HW446" s="122"/>
      <c r="HX446" s="122"/>
      <c r="HY446" s="122"/>
      <c r="HZ446" s="122"/>
      <c r="IA446" s="122"/>
      <c r="IB446" s="122"/>
      <c r="IC446" s="122"/>
      <c r="ID446" s="122"/>
      <c r="IE446" s="122"/>
      <c r="IF446" s="122"/>
      <c r="IG446" s="122"/>
      <c r="IH446" s="122"/>
      <c r="II446" s="122"/>
      <c r="IJ446" s="122"/>
      <c r="IK446" s="122"/>
      <c r="IL446" s="122"/>
      <c r="IM446" s="122"/>
      <c r="IN446" s="122"/>
      <c r="IO446" s="122"/>
      <c r="IP446" s="122"/>
      <c r="IQ446" s="122"/>
      <c r="IR446" s="122"/>
      <c r="IS446" s="122"/>
      <c r="IT446" s="122"/>
      <c r="IU446" s="122"/>
      <c r="IV446" s="122"/>
      <c r="IW446" s="122"/>
      <c r="IX446" s="122"/>
      <c r="IY446" s="122"/>
      <c r="IZ446" s="122"/>
      <c r="JA446" s="122"/>
      <c r="JB446" s="122"/>
      <c r="JC446" s="122"/>
      <c r="JD446" s="122"/>
      <c r="JE446" s="122"/>
      <c r="JF446" s="122"/>
      <c r="JG446" s="122"/>
      <c r="JH446" s="122"/>
      <c r="JI446" s="119"/>
      <c r="JJ446" s="2"/>
      <c r="JK446" s="122"/>
      <c r="JL446" s="125"/>
      <c r="JM446" s="125"/>
      <c r="JN446" s="125"/>
      <c r="JO446" s="125"/>
      <c r="JP446" s="125"/>
    </row>
    <row r="447" spans="1:276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122"/>
      <c r="AJ447" s="122"/>
      <c r="AK447" s="122"/>
      <c r="AL447" s="122"/>
      <c r="AM447" s="122"/>
      <c r="AN447" s="122"/>
      <c r="AO447" s="122"/>
      <c r="AP447" s="122"/>
      <c r="AQ447" s="122"/>
      <c r="AR447" s="122"/>
      <c r="AS447" s="122"/>
      <c r="AT447" s="122"/>
      <c r="AU447" s="122"/>
      <c r="AV447" s="122"/>
      <c r="AW447" s="122"/>
      <c r="AX447" s="122"/>
      <c r="AY447" s="122"/>
      <c r="AZ447" s="122"/>
      <c r="BA447" s="122"/>
      <c r="BB447" s="122"/>
      <c r="BC447" s="122"/>
      <c r="BD447" s="122"/>
      <c r="BE447" s="122"/>
      <c r="BF447" s="122"/>
      <c r="BG447" s="122"/>
      <c r="BH447" s="122"/>
      <c r="BI447" s="122"/>
      <c r="BJ447" s="122"/>
      <c r="BK447" s="122"/>
      <c r="BL447" s="122"/>
      <c r="BM447" s="122"/>
      <c r="BN447" s="122"/>
      <c r="BO447" s="122"/>
      <c r="BP447" s="122"/>
      <c r="BQ447" s="122"/>
      <c r="BR447" s="122"/>
      <c r="BS447" s="122"/>
      <c r="BT447" s="122"/>
      <c r="BU447" s="122"/>
      <c r="BV447" s="122"/>
      <c r="BW447" s="122"/>
      <c r="BX447" s="122"/>
      <c r="BY447" s="122"/>
      <c r="BZ447" s="122"/>
      <c r="CA447" s="122"/>
      <c r="CB447" s="122"/>
      <c r="CC447" s="122"/>
      <c r="CD447" s="122"/>
      <c r="CE447" s="122"/>
      <c r="CF447" s="122"/>
      <c r="CG447" s="122"/>
      <c r="CH447" s="122"/>
      <c r="CI447" s="122"/>
      <c r="CJ447" s="122"/>
      <c r="CK447" s="122"/>
      <c r="CL447" s="122"/>
      <c r="CM447" s="122"/>
      <c r="CN447" s="122"/>
      <c r="CO447" s="122"/>
      <c r="CP447" s="122"/>
      <c r="CQ447" s="122"/>
      <c r="CR447" s="122"/>
      <c r="CS447" s="122"/>
      <c r="CT447" s="122"/>
      <c r="CU447" s="122"/>
      <c r="CV447" s="122"/>
      <c r="CW447" s="122"/>
      <c r="CX447" s="122"/>
      <c r="CY447" s="122"/>
      <c r="CZ447" s="122"/>
      <c r="DA447" s="122"/>
      <c r="DB447" s="122"/>
      <c r="DC447" s="122"/>
      <c r="DD447" s="122"/>
      <c r="DE447" s="122"/>
      <c r="DF447" s="122"/>
      <c r="DG447" s="122"/>
      <c r="DH447" s="122"/>
      <c r="DI447" s="122"/>
      <c r="DJ447" s="122"/>
      <c r="DK447" s="122"/>
      <c r="DL447" s="122"/>
      <c r="DM447" s="122"/>
      <c r="DN447" s="122"/>
      <c r="DO447" s="122"/>
      <c r="DP447" s="122"/>
      <c r="DQ447" s="122"/>
      <c r="DR447" s="122"/>
      <c r="DS447" s="122"/>
      <c r="DT447" s="122"/>
      <c r="DU447" s="122"/>
      <c r="DV447" s="122"/>
      <c r="DW447" s="122"/>
      <c r="DX447" s="122"/>
      <c r="DY447" s="122"/>
      <c r="DZ447" s="122"/>
      <c r="EA447" s="122"/>
      <c r="EB447" s="122"/>
      <c r="EC447" s="122"/>
      <c r="ED447" s="122"/>
      <c r="EE447" s="122"/>
      <c r="EF447" s="122"/>
      <c r="EG447" s="122"/>
      <c r="EH447" s="122"/>
      <c r="EI447" s="122"/>
      <c r="EJ447" s="122"/>
      <c r="EK447" s="122"/>
      <c r="EL447" s="122"/>
      <c r="EM447" s="122"/>
      <c r="EN447" s="122"/>
      <c r="EO447" s="122"/>
      <c r="EP447" s="122"/>
      <c r="EQ447" s="122"/>
      <c r="ER447" s="122"/>
      <c r="ES447" s="122"/>
      <c r="ET447" s="122"/>
      <c r="EU447" s="122"/>
      <c r="EV447" s="122"/>
      <c r="EW447" s="122"/>
      <c r="EX447" s="122"/>
      <c r="EY447" s="122"/>
      <c r="EZ447" s="122"/>
      <c r="FA447" s="122"/>
      <c r="FB447" s="122"/>
      <c r="FC447" s="122"/>
      <c r="FD447" s="122"/>
      <c r="FE447" s="122"/>
      <c r="FF447" s="122"/>
      <c r="FG447" s="122"/>
      <c r="FH447" s="122"/>
      <c r="FI447" s="122"/>
      <c r="FJ447" s="122"/>
      <c r="FK447" s="122"/>
      <c r="FL447" s="122"/>
      <c r="FM447" s="122"/>
      <c r="FN447" s="122"/>
      <c r="FO447" s="122"/>
      <c r="FP447" s="122"/>
      <c r="FQ447" s="122"/>
      <c r="FR447" s="122"/>
      <c r="FS447" s="122"/>
      <c r="FT447" s="122"/>
      <c r="FU447" s="122"/>
      <c r="FV447" s="122"/>
      <c r="FW447" s="122"/>
      <c r="FX447" s="122"/>
      <c r="FY447" s="122"/>
      <c r="FZ447" s="122"/>
      <c r="GA447" s="122"/>
      <c r="GB447" s="122"/>
      <c r="GC447" s="122"/>
      <c r="GD447" s="122"/>
      <c r="GE447" s="122"/>
      <c r="GF447" s="122"/>
      <c r="GG447" s="122"/>
      <c r="GH447" s="122"/>
      <c r="GI447" s="122"/>
      <c r="GJ447" s="122"/>
      <c r="GK447" s="122"/>
      <c r="GL447" s="122"/>
      <c r="GM447" s="122"/>
      <c r="GN447" s="122"/>
      <c r="GO447" s="122"/>
      <c r="GP447" s="122"/>
      <c r="GQ447" s="122"/>
      <c r="GR447" s="122"/>
      <c r="GS447" s="122"/>
      <c r="GT447" s="122"/>
      <c r="GU447" s="122"/>
      <c r="GV447" s="122"/>
      <c r="GW447" s="122"/>
      <c r="GX447" s="122"/>
      <c r="GY447" s="122"/>
      <c r="GZ447" s="122"/>
      <c r="HA447" s="122"/>
      <c r="HB447" s="122"/>
      <c r="HC447" s="122"/>
      <c r="HD447" s="122"/>
      <c r="HE447" s="122"/>
      <c r="HF447" s="122"/>
      <c r="HG447" s="122"/>
      <c r="HH447" s="122"/>
      <c r="HI447" s="122"/>
      <c r="HJ447" s="122"/>
      <c r="HK447" s="122"/>
      <c r="HL447" s="122"/>
      <c r="HM447" s="122"/>
      <c r="HN447" s="122"/>
      <c r="HO447" s="122"/>
      <c r="HP447" s="122"/>
      <c r="HQ447" s="122"/>
      <c r="HR447" s="122"/>
      <c r="HS447" s="122"/>
      <c r="HT447" s="122"/>
      <c r="HU447" s="122"/>
      <c r="HV447" s="122"/>
      <c r="HW447" s="122"/>
      <c r="HX447" s="122"/>
      <c r="HY447" s="122"/>
      <c r="HZ447" s="122"/>
      <c r="IA447" s="122"/>
      <c r="IB447" s="122"/>
      <c r="IC447" s="122"/>
      <c r="ID447" s="122"/>
      <c r="IE447" s="122"/>
      <c r="IF447" s="122"/>
      <c r="IG447" s="122"/>
      <c r="IH447" s="122"/>
      <c r="II447" s="122"/>
      <c r="IJ447" s="122"/>
      <c r="IK447" s="122"/>
      <c r="IL447" s="122"/>
      <c r="IM447" s="122"/>
      <c r="IN447" s="122"/>
      <c r="IO447" s="122"/>
      <c r="IP447" s="122"/>
      <c r="IQ447" s="122"/>
      <c r="IR447" s="122"/>
      <c r="IS447" s="122"/>
      <c r="IT447" s="122"/>
      <c r="IU447" s="122"/>
      <c r="IV447" s="122"/>
      <c r="IW447" s="122"/>
      <c r="IX447" s="122"/>
      <c r="IY447" s="122"/>
      <c r="IZ447" s="122"/>
      <c r="JA447" s="122"/>
      <c r="JB447" s="122"/>
      <c r="JC447" s="122"/>
      <c r="JD447" s="122"/>
      <c r="JE447" s="122"/>
      <c r="JF447" s="122"/>
      <c r="JG447" s="122"/>
      <c r="JH447" s="122"/>
      <c r="JI447" s="119"/>
      <c r="JJ447" s="2"/>
      <c r="JK447" s="122"/>
      <c r="JL447" s="125"/>
      <c r="JM447" s="125"/>
      <c r="JN447" s="125"/>
      <c r="JO447" s="125"/>
      <c r="JP447" s="125"/>
    </row>
    <row r="448" spans="1:276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  <c r="AI448" s="122"/>
      <c r="AJ448" s="122"/>
      <c r="AK448" s="122"/>
      <c r="AL448" s="122"/>
      <c r="AM448" s="122"/>
      <c r="AN448" s="122"/>
      <c r="AO448" s="122"/>
      <c r="AP448" s="122"/>
      <c r="AQ448" s="122"/>
      <c r="AR448" s="122"/>
      <c r="AS448" s="122"/>
      <c r="AT448" s="122"/>
      <c r="AU448" s="122"/>
      <c r="AV448" s="122"/>
      <c r="AW448" s="122"/>
      <c r="AX448" s="122"/>
      <c r="AY448" s="122"/>
      <c r="AZ448" s="122"/>
      <c r="BA448" s="122"/>
      <c r="BB448" s="122"/>
      <c r="BC448" s="122"/>
      <c r="BD448" s="122"/>
      <c r="BE448" s="122"/>
      <c r="BF448" s="122"/>
      <c r="BG448" s="122"/>
      <c r="BH448" s="122"/>
      <c r="BI448" s="122"/>
      <c r="BJ448" s="122"/>
      <c r="BK448" s="122"/>
      <c r="BL448" s="122"/>
      <c r="BM448" s="122"/>
      <c r="BN448" s="122"/>
      <c r="BO448" s="122"/>
      <c r="BP448" s="122"/>
      <c r="BQ448" s="122"/>
      <c r="BR448" s="122"/>
      <c r="BS448" s="122"/>
      <c r="BT448" s="122"/>
      <c r="BU448" s="122"/>
      <c r="BV448" s="122"/>
      <c r="BW448" s="122"/>
      <c r="BX448" s="122"/>
      <c r="BY448" s="122"/>
      <c r="BZ448" s="122"/>
      <c r="CA448" s="122"/>
      <c r="CB448" s="122"/>
      <c r="CC448" s="122"/>
      <c r="CD448" s="122"/>
      <c r="CE448" s="122"/>
      <c r="CF448" s="122"/>
      <c r="CG448" s="122"/>
      <c r="CH448" s="122"/>
      <c r="CI448" s="122"/>
      <c r="CJ448" s="122"/>
      <c r="CK448" s="122"/>
      <c r="CL448" s="122"/>
      <c r="CM448" s="122"/>
      <c r="CN448" s="122"/>
      <c r="CO448" s="122"/>
      <c r="CP448" s="122"/>
      <c r="CQ448" s="122"/>
      <c r="CR448" s="122"/>
      <c r="CS448" s="122"/>
      <c r="CT448" s="122"/>
      <c r="CU448" s="122"/>
      <c r="CV448" s="122"/>
      <c r="CW448" s="122"/>
      <c r="CX448" s="122"/>
      <c r="CY448" s="122"/>
      <c r="CZ448" s="122"/>
      <c r="DA448" s="122"/>
      <c r="DB448" s="122"/>
      <c r="DC448" s="122"/>
      <c r="DD448" s="122"/>
      <c r="DE448" s="122"/>
      <c r="DF448" s="122"/>
      <c r="DG448" s="122"/>
      <c r="DH448" s="122"/>
      <c r="DI448" s="122"/>
      <c r="DJ448" s="122"/>
      <c r="DK448" s="122"/>
      <c r="DL448" s="122"/>
      <c r="DM448" s="122"/>
      <c r="DN448" s="122"/>
      <c r="DO448" s="122"/>
      <c r="DP448" s="122"/>
      <c r="DQ448" s="122"/>
      <c r="DR448" s="122"/>
      <c r="DS448" s="122"/>
      <c r="DT448" s="122"/>
      <c r="DU448" s="122"/>
      <c r="DV448" s="122"/>
      <c r="DW448" s="122"/>
      <c r="DX448" s="122"/>
      <c r="DY448" s="122"/>
      <c r="DZ448" s="122"/>
      <c r="EA448" s="122"/>
      <c r="EB448" s="122"/>
      <c r="EC448" s="122"/>
      <c r="ED448" s="122"/>
      <c r="EE448" s="122"/>
      <c r="EF448" s="122"/>
      <c r="EG448" s="122"/>
      <c r="EH448" s="122"/>
      <c r="EI448" s="122"/>
      <c r="EJ448" s="122"/>
      <c r="EK448" s="122"/>
      <c r="EL448" s="122"/>
      <c r="EM448" s="122"/>
      <c r="EN448" s="122"/>
      <c r="EO448" s="122"/>
      <c r="EP448" s="122"/>
      <c r="EQ448" s="122"/>
      <c r="ER448" s="122"/>
      <c r="ES448" s="122"/>
      <c r="ET448" s="122"/>
      <c r="EU448" s="122"/>
      <c r="EV448" s="122"/>
      <c r="EW448" s="122"/>
      <c r="EX448" s="122"/>
      <c r="EY448" s="122"/>
      <c r="EZ448" s="122"/>
      <c r="FA448" s="122"/>
      <c r="FB448" s="122"/>
      <c r="FC448" s="122"/>
      <c r="FD448" s="122"/>
      <c r="FE448" s="122"/>
      <c r="FF448" s="122"/>
      <c r="FG448" s="122"/>
      <c r="FH448" s="122"/>
      <c r="FI448" s="122"/>
      <c r="FJ448" s="122"/>
      <c r="FK448" s="122"/>
      <c r="FL448" s="122"/>
      <c r="FM448" s="122"/>
      <c r="FN448" s="122"/>
      <c r="FO448" s="122"/>
      <c r="FP448" s="122"/>
      <c r="FQ448" s="122"/>
      <c r="FR448" s="122"/>
      <c r="FS448" s="122"/>
      <c r="FT448" s="122"/>
      <c r="FU448" s="122"/>
      <c r="FV448" s="122"/>
      <c r="FW448" s="122"/>
      <c r="FX448" s="122"/>
      <c r="FY448" s="122"/>
      <c r="FZ448" s="122"/>
      <c r="GA448" s="122"/>
      <c r="GB448" s="122"/>
      <c r="GC448" s="122"/>
      <c r="GD448" s="122"/>
      <c r="GE448" s="122"/>
      <c r="GF448" s="122"/>
      <c r="GG448" s="122"/>
      <c r="GH448" s="122"/>
      <c r="GI448" s="122"/>
      <c r="GJ448" s="122"/>
      <c r="GK448" s="122"/>
      <c r="GL448" s="122"/>
      <c r="GM448" s="122"/>
      <c r="GN448" s="122"/>
      <c r="GO448" s="122"/>
      <c r="GP448" s="122"/>
      <c r="GQ448" s="122"/>
      <c r="GR448" s="122"/>
      <c r="GS448" s="122"/>
      <c r="GT448" s="122"/>
      <c r="GU448" s="122"/>
      <c r="GV448" s="122"/>
      <c r="GW448" s="122"/>
      <c r="GX448" s="122"/>
      <c r="GY448" s="122"/>
      <c r="GZ448" s="122"/>
      <c r="HA448" s="122"/>
      <c r="HB448" s="122"/>
      <c r="HC448" s="122"/>
      <c r="HD448" s="122"/>
      <c r="HE448" s="122"/>
      <c r="HF448" s="122"/>
      <c r="HG448" s="122"/>
      <c r="HH448" s="122"/>
      <c r="HI448" s="122"/>
      <c r="HJ448" s="122"/>
      <c r="HK448" s="122"/>
      <c r="HL448" s="122"/>
      <c r="HM448" s="122"/>
      <c r="HN448" s="122"/>
      <c r="HO448" s="122"/>
      <c r="HP448" s="122"/>
      <c r="HQ448" s="122"/>
      <c r="HR448" s="122"/>
      <c r="HS448" s="122"/>
      <c r="HT448" s="122"/>
      <c r="HU448" s="122"/>
      <c r="HV448" s="122"/>
      <c r="HW448" s="122"/>
      <c r="HX448" s="122"/>
      <c r="HY448" s="122"/>
      <c r="HZ448" s="122"/>
      <c r="IA448" s="122"/>
      <c r="IB448" s="122"/>
      <c r="IC448" s="122"/>
      <c r="ID448" s="122"/>
      <c r="IE448" s="122"/>
      <c r="IF448" s="122"/>
      <c r="IG448" s="122"/>
      <c r="IH448" s="122"/>
      <c r="II448" s="122"/>
      <c r="IJ448" s="122"/>
      <c r="IK448" s="122"/>
      <c r="IL448" s="122"/>
      <c r="IM448" s="122"/>
      <c r="IN448" s="122"/>
      <c r="IO448" s="122"/>
      <c r="IP448" s="122"/>
      <c r="IQ448" s="122"/>
      <c r="IR448" s="122"/>
      <c r="IS448" s="122"/>
      <c r="IT448" s="122"/>
      <c r="IU448" s="122"/>
      <c r="IV448" s="122"/>
      <c r="IW448" s="122"/>
      <c r="IX448" s="122"/>
      <c r="IY448" s="122"/>
      <c r="IZ448" s="122"/>
      <c r="JA448" s="122"/>
      <c r="JB448" s="122"/>
      <c r="JC448" s="122"/>
      <c r="JD448" s="122"/>
      <c r="JE448" s="122"/>
      <c r="JF448" s="122"/>
      <c r="JG448" s="122"/>
      <c r="JH448" s="122"/>
      <c r="JI448" s="119"/>
      <c r="JJ448" s="2"/>
      <c r="JK448" s="122"/>
      <c r="JL448" s="125"/>
      <c r="JM448" s="125"/>
      <c r="JN448" s="125"/>
      <c r="JO448" s="125"/>
      <c r="JP448" s="125"/>
    </row>
    <row r="449" spans="1:276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122"/>
      <c r="AJ449" s="122"/>
      <c r="AK449" s="122"/>
      <c r="AL449" s="122"/>
      <c r="AM449" s="122"/>
      <c r="AN449" s="122"/>
      <c r="AO449" s="122"/>
      <c r="AP449" s="122"/>
      <c r="AQ449" s="122"/>
      <c r="AR449" s="122"/>
      <c r="AS449" s="122"/>
      <c r="AT449" s="122"/>
      <c r="AU449" s="122"/>
      <c r="AV449" s="122"/>
      <c r="AW449" s="122"/>
      <c r="AX449" s="122"/>
      <c r="AY449" s="122"/>
      <c r="AZ449" s="122"/>
      <c r="BA449" s="122"/>
      <c r="BB449" s="122"/>
      <c r="BC449" s="122"/>
      <c r="BD449" s="122"/>
      <c r="BE449" s="122"/>
      <c r="BF449" s="122"/>
      <c r="BG449" s="122"/>
      <c r="BH449" s="122"/>
      <c r="BI449" s="122"/>
      <c r="BJ449" s="122"/>
      <c r="BK449" s="122"/>
      <c r="BL449" s="122"/>
      <c r="BM449" s="122"/>
      <c r="BN449" s="122"/>
      <c r="BO449" s="122"/>
      <c r="BP449" s="122"/>
      <c r="BQ449" s="122"/>
      <c r="BR449" s="122"/>
      <c r="BS449" s="122"/>
      <c r="BT449" s="122"/>
      <c r="BU449" s="122"/>
      <c r="BV449" s="122"/>
      <c r="BW449" s="122"/>
      <c r="BX449" s="122"/>
      <c r="BY449" s="122"/>
      <c r="BZ449" s="122"/>
      <c r="CA449" s="122"/>
      <c r="CB449" s="122"/>
      <c r="CC449" s="122"/>
      <c r="CD449" s="122"/>
      <c r="CE449" s="122"/>
      <c r="CF449" s="122"/>
      <c r="CG449" s="122"/>
      <c r="CH449" s="122"/>
      <c r="CI449" s="122"/>
      <c r="CJ449" s="122"/>
      <c r="CK449" s="122"/>
      <c r="CL449" s="122"/>
      <c r="CM449" s="122"/>
      <c r="CN449" s="122"/>
      <c r="CO449" s="122"/>
      <c r="CP449" s="122"/>
      <c r="CQ449" s="122"/>
      <c r="CR449" s="122"/>
      <c r="CS449" s="122"/>
      <c r="CT449" s="122"/>
      <c r="CU449" s="122"/>
      <c r="CV449" s="122"/>
      <c r="CW449" s="122"/>
      <c r="CX449" s="122"/>
      <c r="CY449" s="122"/>
      <c r="CZ449" s="122"/>
      <c r="DA449" s="122"/>
      <c r="DB449" s="122"/>
      <c r="DC449" s="122"/>
      <c r="DD449" s="122"/>
      <c r="DE449" s="122"/>
      <c r="DF449" s="122"/>
      <c r="DG449" s="122"/>
      <c r="DH449" s="122"/>
      <c r="DI449" s="122"/>
      <c r="DJ449" s="122"/>
      <c r="DK449" s="122"/>
      <c r="DL449" s="122"/>
      <c r="DM449" s="122"/>
      <c r="DN449" s="122"/>
      <c r="DO449" s="122"/>
      <c r="DP449" s="122"/>
      <c r="DQ449" s="122"/>
      <c r="DR449" s="122"/>
      <c r="DS449" s="122"/>
      <c r="DT449" s="122"/>
      <c r="DU449" s="122"/>
      <c r="DV449" s="122"/>
      <c r="DW449" s="122"/>
      <c r="DX449" s="122"/>
      <c r="DY449" s="122"/>
      <c r="DZ449" s="122"/>
      <c r="EA449" s="122"/>
      <c r="EB449" s="122"/>
      <c r="EC449" s="122"/>
      <c r="ED449" s="122"/>
      <c r="EE449" s="122"/>
      <c r="EF449" s="122"/>
      <c r="EG449" s="122"/>
      <c r="EH449" s="122"/>
      <c r="EI449" s="122"/>
      <c r="EJ449" s="122"/>
      <c r="EK449" s="122"/>
      <c r="EL449" s="122"/>
      <c r="EM449" s="122"/>
      <c r="EN449" s="122"/>
      <c r="EO449" s="122"/>
      <c r="EP449" s="122"/>
      <c r="EQ449" s="122"/>
      <c r="ER449" s="122"/>
      <c r="ES449" s="122"/>
      <c r="ET449" s="122"/>
      <c r="EU449" s="122"/>
      <c r="EV449" s="122"/>
      <c r="EW449" s="122"/>
      <c r="EX449" s="122"/>
      <c r="EY449" s="122"/>
      <c r="EZ449" s="122"/>
      <c r="FA449" s="122"/>
      <c r="FB449" s="122"/>
      <c r="FC449" s="122"/>
      <c r="FD449" s="122"/>
      <c r="FE449" s="122"/>
      <c r="FF449" s="122"/>
      <c r="FG449" s="122"/>
      <c r="FH449" s="122"/>
      <c r="FI449" s="122"/>
      <c r="FJ449" s="122"/>
      <c r="FK449" s="122"/>
      <c r="FL449" s="122"/>
      <c r="FM449" s="122"/>
      <c r="FN449" s="122"/>
      <c r="FO449" s="122"/>
      <c r="FP449" s="122"/>
      <c r="FQ449" s="122"/>
      <c r="FR449" s="122"/>
      <c r="FS449" s="122"/>
      <c r="FT449" s="122"/>
      <c r="FU449" s="122"/>
      <c r="FV449" s="122"/>
      <c r="FW449" s="122"/>
      <c r="FX449" s="122"/>
      <c r="FY449" s="122"/>
      <c r="FZ449" s="122"/>
      <c r="GA449" s="122"/>
      <c r="GB449" s="122"/>
      <c r="GC449" s="122"/>
      <c r="GD449" s="122"/>
      <c r="GE449" s="122"/>
      <c r="GF449" s="122"/>
      <c r="GG449" s="122"/>
      <c r="GH449" s="122"/>
      <c r="GI449" s="122"/>
      <c r="GJ449" s="122"/>
      <c r="GK449" s="122"/>
      <c r="GL449" s="122"/>
      <c r="GM449" s="122"/>
      <c r="GN449" s="122"/>
      <c r="GO449" s="122"/>
      <c r="GP449" s="122"/>
      <c r="GQ449" s="122"/>
      <c r="GR449" s="122"/>
      <c r="GS449" s="122"/>
      <c r="GT449" s="122"/>
      <c r="GU449" s="122"/>
      <c r="GV449" s="122"/>
      <c r="GW449" s="122"/>
      <c r="GX449" s="122"/>
      <c r="GY449" s="122"/>
      <c r="GZ449" s="122"/>
      <c r="HA449" s="122"/>
      <c r="HB449" s="122"/>
      <c r="HC449" s="122"/>
      <c r="HD449" s="122"/>
      <c r="HE449" s="122"/>
      <c r="HF449" s="122"/>
      <c r="HG449" s="122"/>
      <c r="HH449" s="122"/>
      <c r="HI449" s="122"/>
      <c r="HJ449" s="122"/>
      <c r="HK449" s="122"/>
      <c r="HL449" s="122"/>
      <c r="HM449" s="122"/>
      <c r="HN449" s="122"/>
      <c r="HO449" s="122"/>
      <c r="HP449" s="122"/>
      <c r="HQ449" s="122"/>
      <c r="HR449" s="122"/>
      <c r="HS449" s="122"/>
      <c r="HT449" s="122"/>
      <c r="HU449" s="122"/>
      <c r="HV449" s="122"/>
      <c r="HW449" s="122"/>
      <c r="HX449" s="122"/>
      <c r="HY449" s="122"/>
      <c r="HZ449" s="122"/>
      <c r="IA449" s="122"/>
      <c r="IB449" s="122"/>
      <c r="IC449" s="122"/>
      <c r="ID449" s="122"/>
      <c r="IE449" s="122"/>
      <c r="IF449" s="122"/>
      <c r="IG449" s="122"/>
      <c r="IH449" s="122"/>
      <c r="II449" s="122"/>
      <c r="IJ449" s="122"/>
      <c r="IK449" s="122"/>
      <c r="IL449" s="122"/>
      <c r="IM449" s="122"/>
      <c r="IN449" s="122"/>
      <c r="IO449" s="122"/>
      <c r="IP449" s="122"/>
      <c r="IQ449" s="122"/>
      <c r="IR449" s="122"/>
      <c r="IS449" s="122"/>
      <c r="IT449" s="122"/>
      <c r="IU449" s="122"/>
      <c r="IV449" s="122"/>
      <c r="IW449" s="122"/>
      <c r="IX449" s="122"/>
      <c r="IY449" s="122"/>
      <c r="IZ449" s="122"/>
      <c r="JA449" s="122"/>
      <c r="JB449" s="122"/>
      <c r="JC449" s="122"/>
      <c r="JD449" s="122"/>
      <c r="JE449" s="122"/>
      <c r="JF449" s="122"/>
      <c r="JG449" s="122"/>
      <c r="JH449" s="122"/>
      <c r="JI449" s="119"/>
      <c r="JJ449" s="2"/>
      <c r="JK449" s="122"/>
      <c r="JL449" s="125"/>
      <c r="JM449" s="125"/>
      <c r="JN449" s="125"/>
      <c r="JO449" s="125"/>
      <c r="JP449" s="125"/>
    </row>
    <row r="450" spans="1:276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122"/>
      <c r="AI450" s="122"/>
      <c r="AJ450" s="122"/>
      <c r="AK450" s="122"/>
      <c r="AL450" s="122"/>
      <c r="AM450" s="122"/>
      <c r="AN450" s="122"/>
      <c r="AO450" s="122"/>
      <c r="AP450" s="122"/>
      <c r="AQ450" s="122"/>
      <c r="AR450" s="122"/>
      <c r="AS450" s="122"/>
      <c r="AT450" s="122"/>
      <c r="AU450" s="122"/>
      <c r="AV450" s="122"/>
      <c r="AW450" s="122"/>
      <c r="AX450" s="122"/>
      <c r="AY450" s="122"/>
      <c r="AZ450" s="122"/>
      <c r="BA450" s="122"/>
      <c r="BB450" s="122"/>
      <c r="BC450" s="122"/>
      <c r="BD450" s="122"/>
      <c r="BE450" s="122"/>
      <c r="BF450" s="122"/>
      <c r="BG450" s="122"/>
      <c r="BH450" s="122"/>
      <c r="BI450" s="122"/>
      <c r="BJ450" s="122"/>
      <c r="BK450" s="122"/>
      <c r="BL450" s="122"/>
      <c r="BM450" s="122"/>
      <c r="BN450" s="122"/>
      <c r="BO450" s="122"/>
      <c r="BP450" s="122"/>
      <c r="BQ450" s="122"/>
      <c r="BR450" s="122"/>
      <c r="BS450" s="122"/>
      <c r="BT450" s="122"/>
      <c r="BU450" s="122"/>
      <c r="BV450" s="122"/>
      <c r="BW450" s="122"/>
      <c r="BX450" s="122"/>
      <c r="BY450" s="122"/>
      <c r="BZ450" s="122"/>
      <c r="CA450" s="122"/>
      <c r="CB450" s="122"/>
      <c r="CC450" s="122"/>
      <c r="CD450" s="122"/>
      <c r="CE450" s="122"/>
      <c r="CF450" s="122"/>
      <c r="CG450" s="122"/>
      <c r="CH450" s="122"/>
      <c r="CI450" s="122"/>
      <c r="CJ450" s="122"/>
      <c r="CK450" s="122"/>
      <c r="CL450" s="122"/>
      <c r="CM450" s="122"/>
      <c r="CN450" s="122"/>
      <c r="CO450" s="122"/>
      <c r="CP450" s="122"/>
      <c r="CQ450" s="122"/>
      <c r="CR450" s="122"/>
      <c r="CS450" s="122"/>
      <c r="CT450" s="122"/>
      <c r="CU450" s="122"/>
      <c r="CV450" s="122"/>
      <c r="CW450" s="122"/>
      <c r="CX450" s="122"/>
      <c r="CY450" s="122"/>
      <c r="CZ450" s="122"/>
      <c r="DA450" s="122"/>
      <c r="DB450" s="122"/>
      <c r="DC450" s="122"/>
      <c r="DD450" s="122"/>
      <c r="DE450" s="122"/>
      <c r="DF450" s="122"/>
      <c r="DG450" s="122"/>
      <c r="DH450" s="122"/>
      <c r="DI450" s="122"/>
      <c r="DJ450" s="122"/>
      <c r="DK450" s="122"/>
      <c r="DL450" s="122"/>
      <c r="DM450" s="122"/>
      <c r="DN450" s="122"/>
      <c r="DO450" s="122"/>
      <c r="DP450" s="122"/>
      <c r="DQ450" s="122"/>
      <c r="DR450" s="122"/>
      <c r="DS450" s="122"/>
      <c r="DT450" s="122"/>
      <c r="DU450" s="122"/>
      <c r="DV450" s="122"/>
      <c r="DW450" s="122"/>
      <c r="DX450" s="122"/>
      <c r="DY450" s="122"/>
      <c r="DZ450" s="122"/>
      <c r="EA450" s="122"/>
      <c r="EB450" s="122"/>
      <c r="EC450" s="122"/>
      <c r="ED450" s="122"/>
      <c r="EE450" s="122"/>
      <c r="EF450" s="122"/>
      <c r="EG450" s="122"/>
      <c r="EH450" s="122"/>
      <c r="EI450" s="122"/>
      <c r="EJ450" s="122"/>
      <c r="EK450" s="122"/>
      <c r="EL450" s="122"/>
      <c r="EM450" s="122"/>
      <c r="EN450" s="122"/>
      <c r="EO450" s="122"/>
      <c r="EP450" s="122"/>
      <c r="EQ450" s="122"/>
      <c r="ER450" s="122"/>
      <c r="ES450" s="122"/>
      <c r="ET450" s="122"/>
      <c r="EU450" s="122"/>
      <c r="EV450" s="122"/>
      <c r="EW450" s="122"/>
      <c r="EX450" s="122"/>
      <c r="EY450" s="122"/>
      <c r="EZ450" s="122"/>
      <c r="FA450" s="122"/>
      <c r="FB450" s="122"/>
      <c r="FC450" s="122"/>
      <c r="FD450" s="122"/>
      <c r="FE450" s="122"/>
      <c r="FF450" s="122"/>
      <c r="FG450" s="122"/>
      <c r="FH450" s="122"/>
      <c r="FI450" s="122"/>
      <c r="FJ450" s="122"/>
      <c r="FK450" s="122"/>
      <c r="FL450" s="122"/>
      <c r="FM450" s="122"/>
      <c r="FN450" s="122"/>
      <c r="FO450" s="122"/>
      <c r="FP450" s="122"/>
      <c r="FQ450" s="122"/>
      <c r="FR450" s="122"/>
      <c r="FS450" s="122"/>
      <c r="FT450" s="122"/>
      <c r="FU450" s="122"/>
      <c r="FV450" s="122"/>
      <c r="FW450" s="122"/>
      <c r="FX450" s="122"/>
      <c r="FY450" s="122"/>
      <c r="FZ450" s="122"/>
      <c r="GA450" s="122"/>
      <c r="GB450" s="122"/>
      <c r="GC450" s="122"/>
      <c r="GD450" s="122"/>
      <c r="GE450" s="122"/>
      <c r="GF450" s="122"/>
      <c r="GG450" s="122"/>
      <c r="GH450" s="122"/>
      <c r="GI450" s="122"/>
      <c r="GJ450" s="122"/>
      <c r="GK450" s="122"/>
      <c r="GL450" s="122"/>
      <c r="GM450" s="122"/>
      <c r="GN450" s="122"/>
      <c r="GO450" s="122"/>
      <c r="GP450" s="122"/>
      <c r="GQ450" s="122"/>
      <c r="GR450" s="122"/>
      <c r="GS450" s="122"/>
      <c r="GT450" s="122"/>
      <c r="GU450" s="122"/>
      <c r="GV450" s="122"/>
      <c r="GW450" s="122"/>
      <c r="GX450" s="122"/>
      <c r="GY450" s="122"/>
      <c r="GZ450" s="122"/>
      <c r="HA450" s="122"/>
      <c r="HB450" s="122"/>
      <c r="HC450" s="122"/>
      <c r="HD450" s="122"/>
      <c r="HE450" s="122"/>
      <c r="HF450" s="122"/>
      <c r="HG450" s="122"/>
      <c r="HH450" s="122"/>
      <c r="HI450" s="122"/>
      <c r="HJ450" s="122"/>
      <c r="HK450" s="122"/>
      <c r="HL450" s="122"/>
      <c r="HM450" s="122"/>
      <c r="HN450" s="122"/>
      <c r="HO450" s="122"/>
      <c r="HP450" s="122"/>
      <c r="HQ450" s="122"/>
      <c r="HR450" s="122"/>
      <c r="HS450" s="122"/>
      <c r="HT450" s="122"/>
      <c r="HU450" s="122"/>
      <c r="HV450" s="122"/>
      <c r="HW450" s="122"/>
      <c r="HX450" s="122"/>
      <c r="HY450" s="122"/>
      <c r="HZ450" s="122"/>
      <c r="IA450" s="122"/>
      <c r="IB450" s="122"/>
      <c r="IC450" s="122"/>
      <c r="ID450" s="122"/>
      <c r="IE450" s="122"/>
      <c r="IF450" s="122"/>
      <c r="IG450" s="122"/>
      <c r="IH450" s="122"/>
      <c r="II450" s="122"/>
      <c r="IJ450" s="122"/>
      <c r="IK450" s="122"/>
      <c r="IL450" s="122"/>
      <c r="IM450" s="122"/>
      <c r="IN450" s="122"/>
      <c r="IO450" s="122"/>
      <c r="IP450" s="122"/>
      <c r="IQ450" s="122"/>
      <c r="IR450" s="122"/>
      <c r="IS450" s="122"/>
      <c r="IT450" s="122"/>
      <c r="IU450" s="122"/>
      <c r="IV450" s="122"/>
      <c r="IW450" s="122"/>
      <c r="IX450" s="122"/>
      <c r="IY450" s="122"/>
      <c r="IZ450" s="122"/>
      <c r="JA450" s="122"/>
      <c r="JB450" s="122"/>
      <c r="JC450" s="122"/>
      <c r="JD450" s="122"/>
      <c r="JE450" s="122"/>
      <c r="JF450" s="122"/>
      <c r="JG450" s="122"/>
      <c r="JH450" s="122"/>
      <c r="JI450" s="119"/>
      <c r="JJ450" s="2"/>
      <c r="JK450" s="122"/>
      <c r="JL450" s="125"/>
      <c r="JM450" s="125"/>
      <c r="JN450" s="125"/>
      <c r="JO450" s="125"/>
      <c r="JP450" s="125"/>
    </row>
    <row r="451" spans="1:276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122"/>
      <c r="AJ451" s="122"/>
      <c r="AK451" s="122"/>
      <c r="AL451" s="122"/>
      <c r="AM451" s="122"/>
      <c r="AN451" s="122"/>
      <c r="AO451" s="122"/>
      <c r="AP451" s="122"/>
      <c r="AQ451" s="122"/>
      <c r="AR451" s="122"/>
      <c r="AS451" s="122"/>
      <c r="AT451" s="122"/>
      <c r="AU451" s="122"/>
      <c r="AV451" s="122"/>
      <c r="AW451" s="122"/>
      <c r="AX451" s="122"/>
      <c r="AY451" s="122"/>
      <c r="AZ451" s="122"/>
      <c r="BA451" s="122"/>
      <c r="BB451" s="122"/>
      <c r="BC451" s="122"/>
      <c r="BD451" s="122"/>
      <c r="BE451" s="122"/>
      <c r="BF451" s="122"/>
      <c r="BG451" s="122"/>
      <c r="BH451" s="122"/>
      <c r="BI451" s="122"/>
      <c r="BJ451" s="122"/>
      <c r="BK451" s="122"/>
      <c r="BL451" s="122"/>
      <c r="BM451" s="122"/>
      <c r="BN451" s="122"/>
      <c r="BO451" s="122"/>
      <c r="BP451" s="122"/>
      <c r="BQ451" s="122"/>
      <c r="BR451" s="122"/>
      <c r="BS451" s="122"/>
      <c r="BT451" s="122"/>
      <c r="BU451" s="122"/>
      <c r="BV451" s="122"/>
      <c r="BW451" s="122"/>
      <c r="BX451" s="122"/>
      <c r="BY451" s="122"/>
      <c r="BZ451" s="122"/>
      <c r="CA451" s="122"/>
      <c r="CB451" s="122"/>
      <c r="CC451" s="122"/>
      <c r="CD451" s="122"/>
      <c r="CE451" s="122"/>
      <c r="CF451" s="122"/>
      <c r="CG451" s="122"/>
      <c r="CH451" s="122"/>
      <c r="CI451" s="122"/>
      <c r="CJ451" s="122"/>
      <c r="CK451" s="122"/>
      <c r="CL451" s="122"/>
      <c r="CM451" s="122"/>
      <c r="CN451" s="122"/>
      <c r="CO451" s="122"/>
      <c r="CP451" s="122"/>
      <c r="CQ451" s="122"/>
      <c r="CR451" s="122"/>
      <c r="CS451" s="122"/>
      <c r="CT451" s="122"/>
      <c r="CU451" s="122"/>
      <c r="CV451" s="122"/>
      <c r="CW451" s="122"/>
      <c r="CX451" s="122"/>
      <c r="CY451" s="122"/>
      <c r="CZ451" s="122"/>
      <c r="DA451" s="122"/>
      <c r="DB451" s="122"/>
      <c r="DC451" s="122"/>
      <c r="DD451" s="122"/>
      <c r="DE451" s="122"/>
      <c r="DF451" s="122"/>
      <c r="DG451" s="122"/>
      <c r="DH451" s="122"/>
      <c r="DI451" s="122"/>
      <c r="DJ451" s="122"/>
      <c r="DK451" s="122"/>
      <c r="DL451" s="122"/>
      <c r="DM451" s="122"/>
      <c r="DN451" s="122"/>
      <c r="DO451" s="122"/>
      <c r="DP451" s="122"/>
      <c r="DQ451" s="122"/>
      <c r="DR451" s="122"/>
      <c r="DS451" s="122"/>
      <c r="DT451" s="122"/>
      <c r="DU451" s="122"/>
      <c r="DV451" s="122"/>
      <c r="DW451" s="122"/>
      <c r="DX451" s="122"/>
      <c r="DY451" s="122"/>
      <c r="DZ451" s="122"/>
      <c r="EA451" s="122"/>
      <c r="EB451" s="122"/>
      <c r="EC451" s="122"/>
      <c r="ED451" s="122"/>
      <c r="EE451" s="122"/>
      <c r="EF451" s="122"/>
      <c r="EG451" s="122"/>
      <c r="EH451" s="122"/>
      <c r="EI451" s="122"/>
      <c r="EJ451" s="122"/>
      <c r="EK451" s="122"/>
      <c r="EL451" s="122"/>
      <c r="EM451" s="122"/>
      <c r="EN451" s="122"/>
      <c r="EO451" s="122"/>
      <c r="EP451" s="122"/>
      <c r="EQ451" s="122"/>
      <c r="ER451" s="122"/>
      <c r="ES451" s="122"/>
      <c r="ET451" s="122"/>
      <c r="EU451" s="122"/>
      <c r="EV451" s="122"/>
      <c r="EW451" s="122"/>
      <c r="EX451" s="122"/>
      <c r="EY451" s="122"/>
      <c r="EZ451" s="122"/>
      <c r="FA451" s="122"/>
      <c r="FB451" s="122"/>
      <c r="FC451" s="122"/>
      <c r="FD451" s="122"/>
      <c r="FE451" s="122"/>
      <c r="FF451" s="122"/>
      <c r="FG451" s="122"/>
      <c r="FH451" s="122"/>
      <c r="FI451" s="122"/>
      <c r="FJ451" s="122"/>
      <c r="FK451" s="122"/>
      <c r="FL451" s="122"/>
      <c r="FM451" s="122"/>
      <c r="FN451" s="122"/>
      <c r="FO451" s="122"/>
      <c r="FP451" s="122"/>
      <c r="FQ451" s="122"/>
      <c r="FR451" s="122"/>
      <c r="FS451" s="122"/>
      <c r="FT451" s="122"/>
      <c r="FU451" s="122"/>
      <c r="FV451" s="122"/>
      <c r="FW451" s="122"/>
      <c r="FX451" s="122"/>
      <c r="FY451" s="122"/>
      <c r="FZ451" s="122"/>
      <c r="GA451" s="122"/>
      <c r="GB451" s="122"/>
      <c r="GC451" s="122"/>
      <c r="GD451" s="122"/>
      <c r="GE451" s="122"/>
      <c r="GF451" s="122"/>
      <c r="GG451" s="122"/>
      <c r="GH451" s="122"/>
      <c r="GI451" s="122"/>
      <c r="GJ451" s="122"/>
      <c r="GK451" s="122"/>
      <c r="GL451" s="122"/>
      <c r="GM451" s="122"/>
      <c r="GN451" s="122"/>
      <c r="GO451" s="122"/>
      <c r="GP451" s="122"/>
      <c r="GQ451" s="122"/>
      <c r="GR451" s="122"/>
      <c r="GS451" s="122"/>
      <c r="GT451" s="122"/>
      <c r="GU451" s="122"/>
      <c r="GV451" s="122"/>
      <c r="GW451" s="122"/>
      <c r="GX451" s="122"/>
      <c r="GY451" s="122"/>
      <c r="GZ451" s="122"/>
      <c r="HA451" s="122"/>
      <c r="HB451" s="122"/>
      <c r="HC451" s="122"/>
      <c r="HD451" s="122"/>
      <c r="HE451" s="122"/>
      <c r="HF451" s="122"/>
      <c r="HG451" s="122"/>
      <c r="HH451" s="122"/>
      <c r="HI451" s="122"/>
      <c r="HJ451" s="122"/>
      <c r="HK451" s="122"/>
      <c r="HL451" s="122"/>
      <c r="HM451" s="122"/>
      <c r="HN451" s="122"/>
      <c r="HO451" s="122"/>
      <c r="HP451" s="122"/>
      <c r="HQ451" s="122"/>
      <c r="HR451" s="122"/>
      <c r="HS451" s="122"/>
      <c r="HT451" s="122"/>
      <c r="HU451" s="122"/>
      <c r="HV451" s="122"/>
      <c r="HW451" s="122"/>
      <c r="HX451" s="122"/>
      <c r="HY451" s="122"/>
      <c r="HZ451" s="122"/>
      <c r="IA451" s="122"/>
      <c r="IB451" s="122"/>
      <c r="IC451" s="122"/>
      <c r="ID451" s="122"/>
      <c r="IE451" s="122"/>
      <c r="IF451" s="122"/>
      <c r="IG451" s="122"/>
      <c r="IH451" s="122"/>
      <c r="II451" s="122"/>
      <c r="IJ451" s="122"/>
      <c r="IK451" s="122"/>
      <c r="IL451" s="122"/>
      <c r="IM451" s="122"/>
      <c r="IN451" s="122"/>
      <c r="IO451" s="122"/>
      <c r="IP451" s="122"/>
      <c r="IQ451" s="122"/>
      <c r="IR451" s="122"/>
      <c r="IS451" s="122"/>
      <c r="IT451" s="122"/>
      <c r="IU451" s="122"/>
      <c r="IV451" s="122"/>
      <c r="IW451" s="122"/>
      <c r="IX451" s="122"/>
      <c r="IY451" s="122"/>
      <c r="IZ451" s="122"/>
      <c r="JA451" s="122"/>
      <c r="JB451" s="122"/>
      <c r="JC451" s="122"/>
      <c r="JD451" s="122"/>
      <c r="JE451" s="122"/>
      <c r="JF451" s="122"/>
      <c r="JG451" s="122"/>
      <c r="JH451" s="122"/>
      <c r="JI451" s="119"/>
      <c r="JJ451" s="2"/>
      <c r="JK451" s="122"/>
      <c r="JL451" s="125"/>
      <c r="JM451" s="125"/>
      <c r="JN451" s="125"/>
      <c r="JO451" s="125"/>
      <c r="JP451" s="125"/>
    </row>
    <row r="452" spans="1:276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  <c r="AI452" s="122"/>
      <c r="AJ452" s="122"/>
      <c r="AK452" s="122"/>
      <c r="AL452" s="122"/>
      <c r="AM452" s="122"/>
      <c r="AN452" s="122"/>
      <c r="AO452" s="122"/>
      <c r="AP452" s="122"/>
      <c r="AQ452" s="122"/>
      <c r="AR452" s="122"/>
      <c r="AS452" s="122"/>
      <c r="AT452" s="122"/>
      <c r="AU452" s="122"/>
      <c r="AV452" s="122"/>
      <c r="AW452" s="122"/>
      <c r="AX452" s="122"/>
      <c r="AY452" s="122"/>
      <c r="AZ452" s="122"/>
      <c r="BA452" s="122"/>
      <c r="BB452" s="122"/>
      <c r="BC452" s="122"/>
      <c r="BD452" s="122"/>
      <c r="BE452" s="122"/>
      <c r="BF452" s="122"/>
      <c r="BG452" s="122"/>
      <c r="BH452" s="122"/>
      <c r="BI452" s="122"/>
      <c r="BJ452" s="122"/>
      <c r="BK452" s="122"/>
      <c r="BL452" s="122"/>
      <c r="BM452" s="122"/>
      <c r="BN452" s="122"/>
      <c r="BO452" s="122"/>
      <c r="BP452" s="122"/>
      <c r="BQ452" s="122"/>
      <c r="BR452" s="122"/>
      <c r="BS452" s="122"/>
      <c r="BT452" s="122"/>
      <c r="BU452" s="122"/>
      <c r="BV452" s="122"/>
      <c r="BW452" s="122"/>
      <c r="BX452" s="122"/>
      <c r="BY452" s="122"/>
      <c r="BZ452" s="122"/>
      <c r="CA452" s="122"/>
      <c r="CB452" s="122"/>
      <c r="CC452" s="122"/>
      <c r="CD452" s="122"/>
      <c r="CE452" s="122"/>
      <c r="CF452" s="122"/>
      <c r="CG452" s="122"/>
      <c r="CH452" s="122"/>
      <c r="CI452" s="122"/>
      <c r="CJ452" s="122"/>
      <c r="CK452" s="122"/>
      <c r="CL452" s="122"/>
      <c r="CM452" s="122"/>
      <c r="CN452" s="122"/>
      <c r="CO452" s="122"/>
      <c r="CP452" s="122"/>
      <c r="CQ452" s="122"/>
      <c r="CR452" s="122"/>
      <c r="CS452" s="122"/>
      <c r="CT452" s="122"/>
      <c r="CU452" s="122"/>
      <c r="CV452" s="122"/>
      <c r="CW452" s="122"/>
      <c r="CX452" s="122"/>
      <c r="CY452" s="122"/>
      <c r="CZ452" s="122"/>
      <c r="DA452" s="122"/>
      <c r="DB452" s="122"/>
      <c r="DC452" s="122"/>
      <c r="DD452" s="122"/>
      <c r="DE452" s="122"/>
      <c r="DF452" s="122"/>
      <c r="DG452" s="122"/>
      <c r="DH452" s="122"/>
      <c r="DI452" s="122"/>
      <c r="DJ452" s="122"/>
      <c r="DK452" s="122"/>
      <c r="DL452" s="122"/>
      <c r="DM452" s="122"/>
      <c r="DN452" s="122"/>
      <c r="DO452" s="122"/>
      <c r="DP452" s="122"/>
      <c r="DQ452" s="122"/>
      <c r="DR452" s="122"/>
      <c r="DS452" s="122"/>
      <c r="DT452" s="122"/>
      <c r="DU452" s="122"/>
      <c r="DV452" s="122"/>
      <c r="DW452" s="122"/>
      <c r="DX452" s="122"/>
      <c r="DY452" s="122"/>
      <c r="DZ452" s="122"/>
      <c r="EA452" s="122"/>
      <c r="EB452" s="122"/>
      <c r="EC452" s="122"/>
      <c r="ED452" s="122"/>
      <c r="EE452" s="122"/>
      <c r="EF452" s="122"/>
      <c r="EG452" s="122"/>
      <c r="EH452" s="122"/>
      <c r="EI452" s="122"/>
      <c r="EJ452" s="122"/>
      <c r="EK452" s="122"/>
      <c r="EL452" s="122"/>
      <c r="EM452" s="122"/>
      <c r="EN452" s="122"/>
      <c r="EO452" s="122"/>
      <c r="EP452" s="122"/>
      <c r="EQ452" s="122"/>
      <c r="ER452" s="122"/>
      <c r="ES452" s="122"/>
      <c r="ET452" s="122"/>
      <c r="EU452" s="122"/>
      <c r="EV452" s="122"/>
      <c r="EW452" s="122"/>
      <c r="EX452" s="122"/>
      <c r="EY452" s="122"/>
      <c r="EZ452" s="122"/>
      <c r="FA452" s="122"/>
      <c r="FB452" s="122"/>
      <c r="FC452" s="122"/>
      <c r="FD452" s="122"/>
      <c r="FE452" s="122"/>
      <c r="FF452" s="122"/>
      <c r="FG452" s="122"/>
      <c r="FH452" s="122"/>
      <c r="FI452" s="122"/>
      <c r="FJ452" s="122"/>
      <c r="FK452" s="122"/>
      <c r="FL452" s="122"/>
      <c r="FM452" s="122"/>
      <c r="FN452" s="122"/>
      <c r="FO452" s="122"/>
      <c r="FP452" s="122"/>
      <c r="FQ452" s="122"/>
      <c r="FR452" s="122"/>
      <c r="FS452" s="122"/>
      <c r="FT452" s="122"/>
      <c r="FU452" s="122"/>
      <c r="FV452" s="122"/>
      <c r="FW452" s="122"/>
      <c r="FX452" s="122"/>
      <c r="FY452" s="122"/>
      <c r="FZ452" s="122"/>
      <c r="GA452" s="122"/>
      <c r="GB452" s="122"/>
      <c r="GC452" s="122"/>
      <c r="GD452" s="122"/>
      <c r="GE452" s="122"/>
      <c r="GF452" s="122"/>
      <c r="GG452" s="122"/>
      <c r="GH452" s="122"/>
      <c r="GI452" s="122"/>
      <c r="GJ452" s="122"/>
      <c r="GK452" s="122"/>
      <c r="GL452" s="122"/>
      <c r="GM452" s="122"/>
      <c r="GN452" s="122"/>
      <c r="GO452" s="122"/>
      <c r="GP452" s="122"/>
      <c r="GQ452" s="122"/>
      <c r="GR452" s="122"/>
      <c r="GS452" s="122"/>
      <c r="GT452" s="122"/>
      <c r="GU452" s="122"/>
      <c r="GV452" s="122"/>
      <c r="GW452" s="122"/>
      <c r="GX452" s="122"/>
      <c r="GY452" s="122"/>
      <c r="GZ452" s="122"/>
      <c r="HA452" s="122"/>
      <c r="HB452" s="122"/>
      <c r="HC452" s="122"/>
      <c r="HD452" s="122"/>
      <c r="HE452" s="122"/>
      <c r="HF452" s="122"/>
      <c r="HG452" s="122"/>
      <c r="HH452" s="122"/>
      <c r="HI452" s="122"/>
      <c r="HJ452" s="122"/>
      <c r="HK452" s="122"/>
      <c r="HL452" s="122"/>
      <c r="HM452" s="122"/>
      <c r="HN452" s="122"/>
      <c r="HO452" s="122"/>
      <c r="HP452" s="122"/>
      <c r="HQ452" s="122"/>
      <c r="HR452" s="122"/>
      <c r="HS452" s="122"/>
      <c r="HT452" s="122"/>
      <c r="HU452" s="122"/>
      <c r="HV452" s="122"/>
      <c r="HW452" s="122"/>
      <c r="HX452" s="122"/>
      <c r="HY452" s="122"/>
      <c r="HZ452" s="122"/>
      <c r="IA452" s="122"/>
      <c r="IB452" s="122"/>
      <c r="IC452" s="122"/>
      <c r="ID452" s="122"/>
      <c r="IE452" s="122"/>
      <c r="IF452" s="122"/>
      <c r="IG452" s="122"/>
      <c r="IH452" s="122"/>
      <c r="II452" s="122"/>
      <c r="IJ452" s="122"/>
      <c r="IK452" s="122"/>
      <c r="IL452" s="122"/>
      <c r="IM452" s="122"/>
      <c r="IN452" s="122"/>
      <c r="IO452" s="122"/>
      <c r="IP452" s="122"/>
      <c r="IQ452" s="122"/>
      <c r="IR452" s="122"/>
      <c r="IS452" s="122"/>
      <c r="IT452" s="122"/>
      <c r="IU452" s="122"/>
      <c r="IV452" s="122"/>
      <c r="IW452" s="122"/>
      <c r="IX452" s="122"/>
      <c r="IY452" s="122"/>
      <c r="IZ452" s="122"/>
      <c r="JA452" s="122"/>
      <c r="JB452" s="122"/>
      <c r="JC452" s="122"/>
      <c r="JD452" s="122"/>
      <c r="JE452" s="122"/>
      <c r="JF452" s="122"/>
      <c r="JG452" s="122"/>
      <c r="JH452" s="122"/>
      <c r="JI452" s="119"/>
      <c r="JJ452" s="2"/>
      <c r="JK452" s="122"/>
      <c r="JL452" s="125"/>
      <c r="JM452" s="125"/>
      <c r="JN452" s="125"/>
      <c r="JO452" s="125"/>
      <c r="JP452" s="125"/>
    </row>
    <row r="453" spans="1:276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122"/>
      <c r="AJ453" s="122"/>
      <c r="AK453" s="122"/>
      <c r="AL453" s="122"/>
      <c r="AM453" s="122"/>
      <c r="AN453" s="122"/>
      <c r="AO453" s="122"/>
      <c r="AP453" s="122"/>
      <c r="AQ453" s="122"/>
      <c r="AR453" s="122"/>
      <c r="AS453" s="122"/>
      <c r="AT453" s="122"/>
      <c r="AU453" s="122"/>
      <c r="AV453" s="122"/>
      <c r="AW453" s="122"/>
      <c r="AX453" s="122"/>
      <c r="AY453" s="122"/>
      <c r="AZ453" s="122"/>
      <c r="BA453" s="122"/>
      <c r="BB453" s="122"/>
      <c r="BC453" s="122"/>
      <c r="BD453" s="122"/>
      <c r="BE453" s="122"/>
      <c r="BF453" s="122"/>
      <c r="BG453" s="122"/>
      <c r="BH453" s="122"/>
      <c r="BI453" s="122"/>
      <c r="BJ453" s="122"/>
      <c r="BK453" s="122"/>
      <c r="BL453" s="122"/>
      <c r="BM453" s="122"/>
      <c r="BN453" s="122"/>
      <c r="BO453" s="122"/>
      <c r="BP453" s="122"/>
      <c r="BQ453" s="122"/>
      <c r="BR453" s="122"/>
      <c r="BS453" s="122"/>
      <c r="BT453" s="122"/>
      <c r="BU453" s="122"/>
      <c r="BV453" s="122"/>
      <c r="BW453" s="122"/>
      <c r="BX453" s="122"/>
      <c r="BY453" s="122"/>
      <c r="BZ453" s="122"/>
      <c r="CA453" s="122"/>
      <c r="CB453" s="122"/>
      <c r="CC453" s="122"/>
      <c r="CD453" s="122"/>
      <c r="CE453" s="122"/>
      <c r="CF453" s="122"/>
      <c r="CG453" s="122"/>
      <c r="CH453" s="122"/>
      <c r="CI453" s="122"/>
      <c r="CJ453" s="122"/>
      <c r="CK453" s="122"/>
      <c r="CL453" s="122"/>
      <c r="CM453" s="122"/>
      <c r="CN453" s="122"/>
      <c r="CO453" s="122"/>
      <c r="CP453" s="122"/>
      <c r="CQ453" s="122"/>
      <c r="CR453" s="122"/>
      <c r="CS453" s="122"/>
      <c r="CT453" s="122"/>
      <c r="CU453" s="122"/>
      <c r="CV453" s="122"/>
      <c r="CW453" s="122"/>
      <c r="CX453" s="122"/>
      <c r="CY453" s="122"/>
      <c r="CZ453" s="122"/>
      <c r="DA453" s="122"/>
      <c r="DB453" s="122"/>
      <c r="DC453" s="122"/>
      <c r="DD453" s="122"/>
      <c r="DE453" s="122"/>
      <c r="DF453" s="122"/>
      <c r="DG453" s="122"/>
      <c r="DH453" s="122"/>
      <c r="DI453" s="122"/>
      <c r="DJ453" s="122"/>
      <c r="DK453" s="122"/>
      <c r="DL453" s="122"/>
      <c r="DM453" s="122"/>
      <c r="DN453" s="122"/>
      <c r="DO453" s="122"/>
      <c r="DP453" s="122"/>
      <c r="DQ453" s="122"/>
      <c r="DR453" s="122"/>
      <c r="DS453" s="122"/>
      <c r="DT453" s="122"/>
      <c r="DU453" s="122"/>
      <c r="DV453" s="122"/>
      <c r="DW453" s="122"/>
      <c r="DX453" s="122"/>
      <c r="DY453" s="122"/>
      <c r="DZ453" s="122"/>
      <c r="EA453" s="122"/>
      <c r="EB453" s="122"/>
      <c r="EC453" s="122"/>
      <c r="ED453" s="122"/>
      <c r="EE453" s="122"/>
      <c r="EF453" s="122"/>
      <c r="EG453" s="122"/>
      <c r="EH453" s="122"/>
      <c r="EI453" s="122"/>
      <c r="EJ453" s="122"/>
      <c r="EK453" s="122"/>
      <c r="EL453" s="122"/>
      <c r="EM453" s="122"/>
      <c r="EN453" s="122"/>
      <c r="EO453" s="122"/>
      <c r="EP453" s="122"/>
      <c r="EQ453" s="122"/>
      <c r="ER453" s="122"/>
      <c r="ES453" s="122"/>
      <c r="ET453" s="122"/>
      <c r="EU453" s="122"/>
      <c r="EV453" s="122"/>
      <c r="EW453" s="122"/>
      <c r="EX453" s="122"/>
      <c r="EY453" s="122"/>
      <c r="EZ453" s="122"/>
      <c r="FA453" s="122"/>
      <c r="FB453" s="122"/>
      <c r="FC453" s="122"/>
      <c r="FD453" s="122"/>
      <c r="FE453" s="122"/>
      <c r="FF453" s="122"/>
      <c r="FG453" s="122"/>
      <c r="FH453" s="122"/>
      <c r="FI453" s="122"/>
      <c r="FJ453" s="122"/>
      <c r="FK453" s="122"/>
      <c r="FL453" s="122"/>
      <c r="FM453" s="122"/>
      <c r="FN453" s="122"/>
      <c r="FO453" s="122"/>
      <c r="FP453" s="122"/>
      <c r="FQ453" s="122"/>
      <c r="FR453" s="122"/>
      <c r="FS453" s="122"/>
      <c r="FT453" s="122"/>
      <c r="FU453" s="122"/>
      <c r="FV453" s="122"/>
      <c r="FW453" s="122"/>
      <c r="FX453" s="122"/>
      <c r="FY453" s="122"/>
      <c r="FZ453" s="122"/>
      <c r="GA453" s="122"/>
      <c r="GB453" s="122"/>
      <c r="GC453" s="122"/>
      <c r="GD453" s="122"/>
      <c r="GE453" s="122"/>
      <c r="GF453" s="122"/>
      <c r="GG453" s="122"/>
      <c r="GH453" s="122"/>
      <c r="GI453" s="122"/>
      <c r="GJ453" s="122"/>
      <c r="GK453" s="122"/>
      <c r="GL453" s="122"/>
      <c r="GM453" s="122"/>
      <c r="GN453" s="122"/>
      <c r="GO453" s="122"/>
      <c r="GP453" s="122"/>
      <c r="GQ453" s="122"/>
      <c r="GR453" s="122"/>
      <c r="GS453" s="122"/>
      <c r="GT453" s="122"/>
      <c r="GU453" s="122"/>
      <c r="GV453" s="122"/>
      <c r="GW453" s="122"/>
      <c r="GX453" s="122"/>
      <c r="GY453" s="122"/>
      <c r="GZ453" s="122"/>
      <c r="HA453" s="122"/>
      <c r="HB453" s="122"/>
      <c r="HC453" s="122"/>
      <c r="HD453" s="122"/>
      <c r="HE453" s="122"/>
      <c r="HF453" s="122"/>
      <c r="HG453" s="122"/>
      <c r="HH453" s="122"/>
      <c r="HI453" s="122"/>
      <c r="HJ453" s="122"/>
      <c r="HK453" s="122"/>
      <c r="HL453" s="122"/>
      <c r="HM453" s="122"/>
      <c r="HN453" s="122"/>
      <c r="HO453" s="122"/>
      <c r="HP453" s="122"/>
      <c r="HQ453" s="122"/>
      <c r="HR453" s="122"/>
      <c r="HS453" s="122"/>
      <c r="HT453" s="122"/>
      <c r="HU453" s="122"/>
      <c r="HV453" s="122"/>
      <c r="HW453" s="122"/>
      <c r="HX453" s="122"/>
      <c r="HY453" s="122"/>
      <c r="HZ453" s="122"/>
      <c r="IA453" s="122"/>
      <c r="IB453" s="122"/>
      <c r="IC453" s="122"/>
      <c r="ID453" s="122"/>
      <c r="IE453" s="122"/>
      <c r="IF453" s="122"/>
      <c r="IG453" s="122"/>
      <c r="IH453" s="122"/>
      <c r="II453" s="122"/>
      <c r="IJ453" s="122"/>
      <c r="IK453" s="122"/>
      <c r="IL453" s="122"/>
      <c r="IM453" s="122"/>
      <c r="IN453" s="122"/>
      <c r="IO453" s="122"/>
      <c r="IP453" s="122"/>
      <c r="IQ453" s="122"/>
      <c r="IR453" s="122"/>
      <c r="IS453" s="122"/>
      <c r="IT453" s="122"/>
      <c r="IU453" s="122"/>
      <c r="IV453" s="122"/>
      <c r="IW453" s="122"/>
      <c r="IX453" s="122"/>
      <c r="IY453" s="122"/>
      <c r="IZ453" s="122"/>
      <c r="JA453" s="122"/>
      <c r="JB453" s="122"/>
      <c r="JC453" s="122"/>
      <c r="JD453" s="122"/>
      <c r="JE453" s="122"/>
      <c r="JF453" s="122"/>
      <c r="JG453" s="122"/>
      <c r="JH453" s="122"/>
      <c r="JI453" s="119"/>
      <c r="JJ453" s="2"/>
      <c r="JK453" s="122"/>
      <c r="JL453" s="125"/>
      <c r="JM453" s="125"/>
      <c r="JN453" s="125"/>
      <c r="JO453" s="125"/>
      <c r="JP453" s="125"/>
    </row>
    <row r="454" spans="1:276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122"/>
      <c r="AI454" s="122"/>
      <c r="AJ454" s="122"/>
      <c r="AK454" s="122"/>
      <c r="AL454" s="122"/>
      <c r="AM454" s="122"/>
      <c r="AN454" s="122"/>
      <c r="AO454" s="122"/>
      <c r="AP454" s="122"/>
      <c r="AQ454" s="122"/>
      <c r="AR454" s="122"/>
      <c r="AS454" s="122"/>
      <c r="AT454" s="122"/>
      <c r="AU454" s="122"/>
      <c r="AV454" s="122"/>
      <c r="AW454" s="122"/>
      <c r="AX454" s="122"/>
      <c r="AY454" s="122"/>
      <c r="AZ454" s="122"/>
      <c r="BA454" s="122"/>
      <c r="BB454" s="122"/>
      <c r="BC454" s="122"/>
      <c r="BD454" s="122"/>
      <c r="BE454" s="122"/>
      <c r="BF454" s="122"/>
      <c r="BG454" s="122"/>
      <c r="BH454" s="122"/>
      <c r="BI454" s="122"/>
      <c r="BJ454" s="122"/>
      <c r="BK454" s="122"/>
      <c r="BL454" s="122"/>
      <c r="BM454" s="122"/>
      <c r="BN454" s="122"/>
      <c r="BO454" s="122"/>
      <c r="BP454" s="122"/>
      <c r="BQ454" s="122"/>
      <c r="BR454" s="122"/>
      <c r="BS454" s="122"/>
      <c r="BT454" s="122"/>
      <c r="BU454" s="122"/>
      <c r="BV454" s="122"/>
      <c r="BW454" s="122"/>
      <c r="BX454" s="122"/>
      <c r="BY454" s="122"/>
      <c r="BZ454" s="122"/>
      <c r="CA454" s="122"/>
      <c r="CB454" s="122"/>
      <c r="CC454" s="122"/>
      <c r="CD454" s="122"/>
      <c r="CE454" s="122"/>
      <c r="CF454" s="122"/>
      <c r="CG454" s="122"/>
      <c r="CH454" s="122"/>
      <c r="CI454" s="122"/>
      <c r="CJ454" s="122"/>
      <c r="CK454" s="122"/>
      <c r="CL454" s="122"/>
      <c r="CM454" s="122"/>
      <c r="CN454" s="122"/>
      <c r="CO454" s="122"/>
      <c r="CP454" s="122"/>
      <c r="CQ454" s="122"/>
      <c r="CR454" s="122"/>
      <c r="CS454" s="122"/>
      <c r="CT454" s="122"/>
      <c r="CU454" s="122"/>
      <c r="CV454" s="122"/>
      <c r="CW454" s="122"/>
      <c r="CX454" s="122"/>
      <c r="CY454" s="122"/>
      <c r="CZ454" s="122"/>
      <c r="DA454" s="122"/>
      <c r="DB454" s="122"/>
      <c r="DC454" s="122"/>
      <c r="DD454" s="122"/>
      <c r="DE454" s="122"/>
      <c r="DF454" s="122"/>
      <c r="DG454" s="122"/>
      <c r="DH454" s="122"/>
      <c r="DI454" s="122"/>
      <c r="DJ454" s="122"/>
      <c r="DK454" s="122"/>
      <c r="DL454" s="122"/>
      <c r="DM454" s="122"/>
      <c r="DN454" s="122"/>
      <c r="DO454" s="122"/>
      <c r="DP454" s="122"/>
      <c r="DQ454" s="122"/>
      <c r="DR454" s="122"/>
      <c r="DS454" s="122"/>
      <c r="DT454" s="122"/>
      <c r="DU454" s="122"/>
      <c r="DV454" s="122"/>
      <c r="DW454" s="122"/>
      <c r="DX454" s="122"/>
      <c r="DY454" s="122"/>
      <c r="DZ454" s="122"/>
      <c r="EA454" s="122"/>
      <c r="EB454" s="122"/>
      <c r="EC454" s="122"/>
      <c r="ED454" s="122"/>
      <c r="EE454" s="122"/>
      <c r="EF454" s="122"/>
      <c r="EG454" s="122"/>
      <c r="EH454" s="122"/>
      <c r="EI454" s="122"/>
      <c r="EJ454" s="122"/>
      <c r="EK454" s="122"/>
      <c r="EL454" s="122"/>
      <c r="EM454" s="122"/>
      <c r="EN454" s="122"/>
      <c r="EO454" s="122"/>
      <c r="EP454" s="122"/>
      <c r="EQ454" s="122"/>
      <c r="ER454" s="122"/>
      <c r="ES454" s="122"/>
      <c r="ET454" s="122"/>
      <c r="EU454" s="122"/>
      <c r="EV454" s="122"/>
      <c r="EW454" s="122"/>
      <c r="EX454" s="122"/>
      <c r="EY454" s="122"/>
      <c r="EZ454" s="122"/>
      <c r="FA454" s="122"/>
      <c r="FB454" s="122"/>
      <c r="FC454" s="122"/>
      <c r="FD454" s="122"/>
      <c r="FE454" s="122"/>
      <c r="FF454" s="122"/>
      <c r="FG454" s="122"/>
      <c r="FH454" s="122"/>
      <c r="FI454" s="122"/>
      <c r="FJ454" s="122"/>
      <c r="FK454" s="122"/>
      <c r="FL454" s="122"/>
      <c r="FM454" s="122"/>
      <c r="FN454" s="122"/>
      <c r="FO454" s="122"/>
      <c r="FP454" s="122"/>
      <c r="FQ454" s="122"/>
      <c r="FR454" s="122"/>
      <c r="FS454" s="122"/>
      <c r="FT454" s="122"/>
      <c r="FU454" s="122"/>
      <c r="FV454" s="122"/>
      <c r="FW454" s="122"/>
      <c r="FX454" s="122"/>
      <c r="FY454" s="122"/>
      <c r="FZ454" s="122"/>
      <c r="GA454" s="122"/>
      <c r="GB454" s="122"/>
      <c r="GC454" s="122"/>
      <c r="GD454" s="122"/>
      <c r="GE454" s="122"/>
      <c r="GF454" s="122"/>
      <c r="GG454" s="122"/>
      <c r="GH454" s="122"/>
      <c r="GI454" s="122"/>
      <c r="GJ454" s="122"/>
      <c r="GK454" s="122"/>
      <c r="GL454" s="122"/>
      <c r="GM454" s="122"/>
      <c r="GN454" s="122"/>
      <c r="GO454" s="122"/>
      <c r="GP454" s="122"/>
      <c r="GQ454" s="122"/>
      <c r="GR454" s="122"/>
      <c r="GS454" s="122"/>
      <c r="GT454" s="122"/>
      <c r="GU454" s="122"/>
      <c r="GV454" s="122"/>
      <c r="GW454" s="122"/>
      <c r="GX454" s="122"/>
      <c r="GY454" s="122"/>
      <c r="GZ454" s="122"/>
      <c r="HA454" s="122"/>
      <c r="HB454" s="122"/>
      <c r="HC454" s="122"/>
      <c r="HD454" s="122"/>
      <c r="HE454" s="122"/>
      <c r="HF454" s="122"/>
      <c r="HG454" s="122"/>
      <c r="HH454" s="122"/>
      <c r="HI454" s="122"/>
      <c r="HJ454" s="122"/>
      <c r="HK454" s="122"/>
      <c r="HL454" s="122"/>
      <c r="HM454" s="122"/>
      <c r="HN454" s="122"/>
      <c r="HO454" s="122"/>
      <c r="HP454" s="122"/>
      <c r="HQ454" s="122"/>
      <c r="HR454" s="122"/>
      <c r="HS454" s="122"/>
      <c r="HT454" s="122"/>
      <c r="HU454" s="122"/>
      <c r="HV454" s="122"/>
      <c r="HW454" s="122"/>
      <c r="HX454" s="122"/>
      <c r="HY454" s="122"/>
      <c r="HZ454" s="122"/>
      <c r="IA454" s="122"/>
      <c r="IB454" s="122"/>
      <c r="IC454" s="122"/>
      <c r="ID454" s="122"/>
      <c r="IE454" s="122"/>
      <c r="IF454" s="122"/>
      <c r="IG454" s="122"/>
      <c r="IH454" s="122"/>
      <c r="II454" s="122"/>
      <c r="IJ454" s="122"/>
      <c r="IK454" s="122"/>
      <c r="IL454" s="122"/>
      <c r="IM454" s="122"/>
      <c r="IN454" s="122"/>
      <c r="IO454" s="122"/>
      <c r="IP454" s="122"/>
      <c r="IQ454" s="122"/>
      <c r="IR454" s="122"/>
      <c r="IS454" s="122"/>
      <c r="IT454" s="122"/>
      <c r="IU454" s="122"/>
      <c r="IV454" s="122"/>
      <c r="IW454" s="122"/>
      <c r="IX454" s="122"/>
      <c r="IY454" s="122"/>
      <c r="IZ454" s="122"/>
      <c r="JA454" s="122"/>
      <c r="JB454" s="122"/>
      <c r="JC454" s="122"/>
      <c r="JD454" s="122"/>
      <c r="JE454" s="122"/>
      <c r="JF454" s="122"/>
      <c r="JG454" s="122"/>
      <c r="JH454" s="122"/>
      <c r="JI454" s="119"/>
      <c r="JJ454" s="2"/>
      <c r="JK454" s="122"/>
      <c r="JL454" s="125"/>
      <c r="JM454" s="125"/>
      <c r="JN454" s="125"/>
      <c r="JO454" s="125"/>
      <c r="JP454" s="125"/>
    </row>
    <row r="455" spans="1:276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  <c r="AK455" s="122"/>
      <c r="AL455" s="122"/>
      <c r="AM455" s="122"/>
      <c r="AN455" s="122"/>
      <c r="AO455" s="122"/>
      <c r="AP455" s="122"/>
      <c r="AQ455" s="122"/>
      <c r="AR455" s="122"/>
      <c r="AS455" s="122"/>
      <c r="AT455" s="122"/>
      <c r="AU455" s="122"/>
      <c r="AV455" s="122"/>
      <c r="AW455" s="122"/>
      <c r="AX455" s="122"/>
      <c r="AY455" s="122"/>
      <c r="AZ455" s="122"/>
      <c r="BA455" s="122"/>
      <c r="BB455" s="122"/>
      <c r="BC455" s="122"/>
      <c r="BD455" s="122"/>
      <c r="BE455" s="122"/>
      <c r="BF455" s="122"/>
      <c r="BG455" s="122"/>
      <c r="BH455" s="122"/>
      <c r="BI455" s="122"/>
      <c r="BJ455" s="122"/>
      <c r="BK455" s="122"/>
      <c r="BL455" s="122"/>
      <c r="BM455" s="122"/>
      <c r="BN455" s="122"/>
      <c r="BO455" s="122"/>
      <c r="BP455" s="122"/>
      <c r="BQ455" s="122"/>
      <c r="BR455" s="122"/>
      <c r="BS455" s="122"/>
      <c r="BT455" s="122"/>
      <c r="BU455" s="122"/>
      <c r="BV455" s="122"/>
      <c r="BW455" s="122"/>
      <c r="BX455" s="122"/>
      <c r="BY455" s="122"/>
      <c r="BZ455" s="122"/>
      <c r="CA455" s="122"/>
      <c r="CB455" s="122"/>
      <c r="CC455" s="122"/>
      <c r="CD455" s="122"/>
      <c r="CE455" s="122"/>
      <c r="CF455" s="122"/>
      <c r="CG455" s="122"/>
      <c r="CH455" s="122"/>
      <c r="CI455" s="122"/>
      <c r="CJ455" s="122"/>
      <c r="CK455" s="122"/>
      <c r="CL455" s="122"/>
      <c r="CM455" s="122"/>
      <c r="CN455" s="122"/>
      <c r="CO455" s="122"/>
      <c r="CP455" s="122"/>
      <c r="CQ455" s="122"/>
      <c r="CR455" s="122"/>
      <c r="CS455" s="122"/>
      <c r="CT455" s="122"/>
      <c r="CU455" s="122"/>
      <c r="CV455" s="122"/>
      <c r="CW455" s="122"/>
      <c r="CX455" s="122"/>
      <c r="CY455" s="122"/>
      <c r="CZ455" s="122"/>
      <c r="DA455" s="122"/>
      <c r="DB455" s="122"/>
      <c r="DC455" s="122"/>
      <c r="DD455" s="122"/>
      <c r="DE455" s="122"/>
      <c r="DF455" s="122"/>
      <c r="DG455" s="122"/>
      <c r="DH455" s="122"/>
      <c r="DI455" s="122"/>
      <c r="DJ455" s="122"/>
      <c r="DK455" s="122"/>
      <c r="DL455" s="122"/>
      <c r="DM455" s="122"/>
      <c r="DN455" s="122"/>
      <c r="DO455" s="122"/>
      <c r="DP455" s="122"/>
      <c r="DQ455" s="122"/>
      <c r="DR455" s="122"/>
      <c r="DS455" s="122"/>
      <c r="DT455" s="122"/>
      <c r="DU455" s="122"/>
      <c r="DV455" s="122"/>
      <c r="DW455" s="122"/>
      <c r="DX455" s="122"/>
      <c r="DY455" s="122"/>
      <c r="DZ455" s="122"/>
      <c r="EA455" s="122"/>
      <c r="EB455" s="122"/>
      <c r="EC455" s="122"/>
      <c r="ED455" s="122"/>
      <c r="EE455" s="122"/>
      <c r="EF455" s="122"/>
      <c r="EG455" s="122"/>
      <c r="EH455" s="122"/>
      <c r="EI455" s="122"/>
      <c r="EJ455" s="122"/>
      <c r="EK455" s="122"/>
      <c r="EL455" s="122"/>
      <c r="EM455" s="122"/>
      <c r="EN455" s="122"/>
      <c r="EO455" s="122"/>
      <c r="EP455" s="122"/>
      <c r="EQ455" s="122"/>
      <c r="ER455" s="122"/>
      <c r="ES455" s="122"/>
      <c r="ET455" s="122"/>
      <c r="EU455" s="122"/>
      <c r="EV455" s="122"/>
      <c r="EW455" s="122"/>
      <c r="EX455" s="122"/>
      <c r="EY455" s="122"/>
      <c r="EZ455" s="122"/>
      <c r="FA455" s="122"/>
      <c r="FB455" s="122"/>
      <c r="FC455" s="122"/>
      <c r="FD455" s="122"/>
      <c r="FE455" s="122"/>
      <c r="FF455" s="122"/>
      <c r="FG455" s="122"/>
      <c r="FH455" s="122"/>
      <c r="FI455" s="122"/>
      <c r="FJ455" s="122"/>
      <c r="FK455" s="122"/>
      <c r="FL455" s="122"/>
      <c r="FM455" s="122"/>
      <c r="FN455" s="122"/>
      <c r="FO455" s="122"/>
      <c r="FP455" s="122"/>
      <c r="FQ455" s="122"/>
      <c r="FR455" s="122"/>
      <c r="FS455" s="122"/>
      <c r="FT455" s="122"/>
      <c r="FU455" s="122"/>
      <c r="FV455" s="122"/>
      <c r="FW455" s="122"/>
      <c r="FX455" s="122"/>
      <c r="FY455" s="122"/>
      <c r="FZ455" s="122"/>
      <c r="GA455" s="122"/>
      <c r="GB455" s="122"/>
      <c r="GC455" s="122"/>
      <c r="GD455" s="122"/>
      <c r="GE455" s="122"/>
      <c r="GF455" s="122"/>
      <c r="GG455" s="122"/>
      <c r="GH455" s="122"/>
      <c r="GI455" s="122"/>
      <c r="GJ455" s="122"/>
      <c r="GK455" s="122"/>
      <c r="GL455" s="122"/>
      <c r="GM455" s="122"/>
      <c r="GN455" s="122"/>
      <c r="GO455" s="122"/>
      <c r="GP455" s="122"/>
      <c r="GQ455" s="122"/>
      <c r="GR455" s="122"/>
      <c r="GS455" s="122"/>
      <c r="GT455" s="122"/>
      <c r="GU455" s="122"/>
      <c r="GV455" s="122"/>
      <c r="GW455" s="122"/>
      <c r="GX455" s="122"/>
      <c r="GY455" s="122"/>
      <c r="GZ455" s="122"/>
      <c r="HA455" s="122"/>
      <c r="HB455" s="122"/>
      <c r="HC455" s="122"/>
      <c r="HD455" s="122"/>
      <c r="HE455" s="122"/>
      <c r="HF455" s="122"/>
      <c r="HG455" s="122"/>
      <c r="HH455" s="122"/>
      <c r="HI455" s="122"/>
      <c r="HJ455" s="122"/>
      <c r="HK455" s="122"/>
      <c r="HL455" s="122"/>
      <c r="HM455" s="122"/>
      <c r="HN455" s="122"/>
      <c r="HO455" s="122"/>
      <c r="HP455" s="122"/>
      <c r="HQ455" s="122"/>
      <c r="HR455" s="122"/>
      <c r="HS455" s="122"/>
      <c r="HT455" s="122"/>
      <c r="HU455" s="122"/>
      <c r="HV455" s="122"/>
      <c r="HW455" s="122"/>
      <c r="HX455" s="122"/>
      <c r="HY455" s="122"/>
      <c r="HZ455" s="122"/>
      <c r="IA455" s="122"/>
      <c r="IB455" s="122"/>
      <c r="IC455" s="122"/>
      <c r="ID455" s="122"/>
      <c r="IE455" s="122"/>
      <c r="IF455" s="122"/>
      <c r="IG455" s="122"/>
      <c r="IH455" s="122"/>
      <c r="II455" s="122"/>
      <c r="IJ455" s="122"/>
      <c r="IK455" s="122"/>
      <c r="IL455" s="122"/>
      <c r="IM455" s="122"/>
      <c r="IN455" s="122"/>
      <c r="IO455" s="122"/>
      <c r="IP455" s="122"/>
      <c r="IQ455" s="122"/>
      <c r="IR455" s="122"/>
      <c r="IS455" s="122"/>
      <c r="IT455" s="122"/>
      <c r="IU455" s="122"/>
      <c r="IV455" s="122"/>
      <c r="IW455" s="122"/>
      <c r="IX455" s="122"/>
      <c r="IY455" s="122"/>
      <c r="IZ455" s="122"/>
      <c r="JA455" s="122"/>
      <c r="JB455" s="122"/>
      <c r="JC455" s="122"/>
      <c r="JD455" s="122"/>
      <c r="JE455" s="122"/>
      <c r="JF455" s="122"/>
      <c r="JG455" s="122"/>
      <c r="JH455" s="122"/>
      <c r="JI455" s="119"/>
      <c r="JJ455" s="2"/>
      <c r="JK455" s="122"/>
      <c r="JL455" s="125"/>
      <c r="JM455" s="125"/>
      <c r="JN455" s="125"/>
      <c r="JO455" s="125"/>
      <c r="JP455" s="125"/>
    </row>
    <row r="456" spans="1:27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122"/>
      <c r="AI456" s="122"/>
      <c r="AJ456" s="122"/>
      <c r="AK456" s="122"/>
      <c r="AL456" s="122"/>
      <c r="AM456" s="122"/>
      <c r="AN456" s="122"/>
      <c r="AO456" s="122"/>
      <c r="AP456" s="122"/>
      <c r="AQ456" s="122"/>
      <c r="AR456" s="122"/>
      <c r="AS456" s="122"/>
      <c r="AT456" s="122"/>
      <c r="AU456" s="122"/>
      <c r="AV456" s="122"/>
      <c r="AW456" s="122"/>
      <c r="AX456" s="122"/>
      <c r="AY456" s="122"/>
      <c r="AZ456" s="122"/>
      <c r="BA456" s="122"/>
      <c r="BB456" s="122"/>
      <c r="BC456" s="122"/>
      <c r="BD456" s="122"/>
      <c r="BE456" s="122"/>
      <c r="BF456" s="122"/>
      <c r="BG456" s="122"/>
      <c r="BH456" s="122"/>
      <c r="BI456" s="122"/>
      <c r="BJ456" s="122"/>
      <c r="BK456" s="122"/>
      <c r="BL456" s="122"/>
      <c r="BM456" s="122"/>
      <c r="BN456" s="122"/>
      <c r="BO456" s="122"/>
      <c r="BP456" s="122"/>
      <c r="BQ456" s="122"/>
      <c r="BR456" s="122"/>
      <c r="BS456" s="122"/>
      <c r="BT456" s="122"/>
      <c r="BU456" s="122"/>
      <c r="BV456" s="122"/>
      <c r="BW456" s="122"/>
      <c r="BX456" s="122"/>
      <c r="BY456" s="122"/>
      <c r="BZ456" s="122"/>
      <c r="CA456" s="122"/>
      <c r="CB456" s="122"/>
      <c r="CC456" s="122"/>
      <c r="CD456" s="122"/>
      <c r="CE456" s="122"/>
      <c r="CF456" s="122"/>
      <c r="CG456" s="122"/>
      <c r="CH456" s="122"/>
      <c r="CI456" s="122"/>
      <c r="CJ456" s="122"/>
      <c r="CK456" s="122"/>
      <c r="CL456" s="122"/>
      <c r="CM456" s="122"/>
      <c r="CN456" s="122"/>
      <c r="CO456" s="122"/>
      <c r="CP456" s="122"/>
      <c r="CQ456" s="122"/>
      <c r="CR456" s="122"/>
      <c r="CS456" s="122"/>
      <c r="CT456" s="122"/>
      <c r="CU456" s="122"/>
      <c r="CV456" s="122"/>
      <c r="CW456" s="122"/>
      <c r="CX456" s="122"/>
      <c r="CY456" s="122"/>
      <c r="CZ456" s="122"/>
      <c r="DA456" s="122"/>
      <c r="DB456" s="122"/>
      <c r="DC456" s="122"/>
      <c r="DD456" s="122"/>
      <c r="DE456" s="122"/>
      <c r="DF456" s="122"/>
      <c r="DG456" s="122"/>
      <c r="DH456" s="122"/>
      <c r="DI456" s="122"/>
      <c r="DJ456" s="122"/>
      <c r="DK456" s="122"/>
      <c r="DL456" s="122"/>
      <c r="DM456" s="122"/>
      <c r="DN456" s="122"/>
      <c r="DO456" s="122"/>
      <c r="DP456" s="122"/>
      <c r="DQ456" s="122"/>
      <c r="DR456" s="122"/>
      <c r="DS456" s="122"/>
      <c r="DT456" s="122"/>
      <c r="DU456" s="122"/>
      <c r="DV456" s="122"/>
      <c r="DW456" s="122"/>
      <c r="DX456" s="122"/>
      <c r="DY456" s="122"/>
      <c r="DZ456" s="122"/>
      <c r="EA456" s="122"/>
      <c r="EB456" s="122"/>
      <c r="EC456" s="122"/>
      <c r="ED456" s="122"/>
      <c r="EE456" s="122"/>
      <c r="EF456" s="122"/>
      <c r="EG456" s="122"/>
      <c r="EH456" s="122"/>
      <c r="EI456" s="122"/>
      <c r="EJ456" s="122"/>
      <c r="EK456" s="122"/>
      <c r="EL456" s="122"/>
      <c r="EM456" s="122"/>
      <c r="EN456" s="122"/>
      <c r="EO456" s="122"/>
      <c r="EP456" s="122"/>
      <c r="EQ456" s="122"/>
      <c r="ER456" s="122"/>
      <c r="ES456" s="122"/>
      <c r="ET456" s="122"/>
      <c r="EU456" s="122"/>
      <c r="EV456" s="122"/>
      <c r="EW456" s="122"/>
      <c r="EX456" s="122"/>
      <c r="EY456" s="122"/>
      <c r="EZ456" s="122"/>
      <c r="FA456" s="122"/>
      <c r="FB456" s="122"/>
      <c r="FC456" s="122"/>
      <c r="FD456" s="122"/>
      <c r="FE456" s="122"/>
      <c r="FF456" s="122"/>
      <c r="FG456" s="122"/>
      <c r="FH456" s="122"/>
      <c r="FI456" s="122"/>
      <c r="FJ456" s="122"/>
      <c r="FK456" s="122"/>
      <c r="FL456" s="122"/>
      <c r="FM456" s="122"/>
      <c r="FN456" s="122"/>
      <c r="FO456" s="122"/>
      <c r="FP456" s="122"/>
      <c r="FQ456" s="122"/>
      <c r="FR456" s="122"/>
      <c r="FS456" s="122"/>
      <c r="FT456" s="122"/>
      <c r="FU456" s="122"/>
      <c r="FV456" s="122"/>
      <c r="FW456" s="122"/>
      <c r="FX456" s="122"/>
      <c r="FY456" s="122"/>
      <c r="FZ456" s="122"/>
      <c r="GA456" s="122"/>
      <c r="GB456" s="122"/>
      <c r="GC456" s="122"/>
      <c r="GD456" s="122"/>
      <c r="GE456" s="122"/>
      <c r="GF456" s="122"/>
      <c r="GG456" s="122"/>
      <c r="GH456" s="122"/>
      <c r="GI456" s="122"/>
      <c r="GJ456" s="122"/>
      <c r="GK456" s="122"/>
      <c r="GL456" s="122"/>
      <c r="GM456" s="122"/>
      <c r="GN456" s="122"/>
      <c r="GO456" s="122"/>
      <c r="GP456" s="122"/>
      <c r="GQ456" s="122"/>
      <c r="GR456" s="122"/>
      <c r="GS456" s="122"/>
      <c r="GT456" s="122"/>
      <c r="GU456" s="122"/>
      <c r="GV456" s="122"/>
      <c r="GW456" s="122"/>
      <c r="GX456" s="122"/>
      <c r="GY456" s="122"/>
      <c r="GZ456" s="122"/>
      <c r="HA456" s="122"/>
      <c r="HB456" s="122"/>
      <c r="HC456" s="122"/>
      <c r="HD456" s="122"/>
      <c r="HE456" s="122"/>
      <c r="HF456" s="122"/>
      <c r="HG456" s="122"/>
      <c r="HH456" s="122"/>
      <c r="HI456" s="122"/>
      <c r="HJ456" s="122"/>
      <c r="HK456" s="122"/>
      <c r="HL456" s="122"/>
      <c r="HM456" s="122"/>
      <c r="HN456" s="122"/>
      <c r="HO456" s="122"/>
      <c r="HP456" s="122"/>
      <c r="HQ456" s="122"/>
      <c r="HR456" s="122"/>
      <c r="HS456" s="122"/>
      <c r="HT456" s="122"/>
      <c r="HU456" s="122"/>
      <c r="HV456" s="122"/>
      <c r="HW456" s="122"/>
      <c r="HX456" s="122"/>
      <c r="HY456" s="122"/>
      <c r="HZ456" s="122"/>
      <c r="IA456" s="122"/>
      <c r="IB456" s="122"/>
      <c r="IC456" s="122"/>
      <c r="ID456" s="122"/>
      <c r="IE456" s="122"/>
      <c r="IF456" s="122"/>
      <c r="IG456" s="122"/>
      <c r="IH456" s="122"/>
      <c r="II456" s="122"/>
      <c r="IJ456" s="122"/>
      <c r="IK456" s="122"/>
      <c r="IL456" s="122"/>
      <c r="IM456" s="122"/>
      <c r="IN456" s="122"/>
      <c r="IO456" s="122"/>
      <c r="IP456" s="122"/>
      <c r="IQ456" s="122"/>
      <c r="IR456" s="122"/>
      <c r="IS456" s="122"/>
      <c r="IT456" s="122"/>
      <c r="IU456" s="122"/>
      <c r="IV456" s="122"/>
      <c r="IW456" s="122"/>
      <c r="IX456" s="122"/>
      <c r="IY456" s="122"/>
      <c r="IZ456" s="122"/>
      <c r="JA456" s="122"/>
      <c r="JB456" s="122"/>
      <c r="JC456" s="122"/>
      <c r="JD456" s="122"/>
      <c r="JE456" s="122"/>
      <c r="JF456" s="122"/>
      <c r="JG456" s="122"/>
      <c r="JH456" s="122"/>
      <c r="JI456" s="119"/>
      <c r="JJ456" s="2"/>
      <c r="JK456" s="122"/>
      <c r="JL456" s="125"/>
      <c r="JM456" s="125"/>
      <c r="JN456" s="125"/>
      <c r="JO456" s="125"/>
      <c r="JP456" s="125"/>
    </row>
    <row r="457" spans="1:276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122"/>
      <c r="AJ457" s="122"/>
      <c r="AK457" s="122"/>
      <c r="AL457" s="122"/>
      <c r="AM457" s="122"/>
      <c r="AN457" s="122"/>
      <c r="AO457" s="122"/>
      <c r="AP457" s="122"/>
      <c r="AQ457" s="122"/>
      <c r="AR457" s="122"/>
      <c r="AS457" s="122"/>
      <c r="AT457" s="122"/>
      <c r="AU457" s="122"/>
      <c r="AV457" s="122"/>
      <c r="AW457" s="122"/>
      <c r="AX457" s="122"/>
      <c r="AY457" s="122"/>
      <c r="AZ457" s="122"/>
      <c r="BA457" s="122"/>
      <c r="BB457" s="122"/>
      <c r="BC457" s="122"/>
      <c r="BD457" s="122"/>
      <c r="BE457" s="122"/>
      <c r="BF457" s="122"/>
      <c r="BG457" s="122"/>
      <c r="BH457" s="122"/>
      <c r="BI457" s="122"/>
      <c r="BJ457" s="122"/>
      <c r="BK457" s="122"/>
      <c r="BL457" s="122"/>
      <c r="BM457" s="122"/>
      <c r="BN457" s="122"/>
      <c r="BO457" s="122"/>
      <c r="BP457" s="122"/>
      <c r="BQ457" s="122"/>
      <c r="BR457" s="122"/>
      <c r="BS457" s="122"/>
      <c r="BT457" s="122"/>
      <c r="BU457" s="122"/>
      <c r="BV457" s="122"/>
      <c r="BW457" s="122"/>
      <c r="BX457" s="122"/>
      <c r="BY457" s="122"/>
      <c r="BZ457" s="122"/>
      <c r="CA457" s="122"/>
      <c r="CB457" s="122"/>
      <c r="CC457" s="122"/>
      <c r="CD457" s="122"/>
      <c r="CE457" s="122"/>
      <c r="CF457" s="122"/>
      <c r="CG457" s="122"/>
      <c r="CH457" s="122"/>
      <c r="CI457" s="122"/>
      <c r="CJ457" s="122"/>
      <c r="CK457" s="122"/>
      <c r="CL457" s="122"/>
      <c r="CM457" s="122"/>
      <c r="CN457" s="122"/>
      <c r="CO457" s="122"/>
      <c r="CP457" s="122"/>
      <c r="CQ457" s="122"/>
      <c r="CR457" s="122"/>
      <c r="CS457" s="122"/>
      <c r="CT457" s="122"/>
      <c r="CU457" s="122"/>
      <c r="CV457" s="122"/>
      <c r="CW457" s="122"/>
      <c r="CX457" s="122"/>
      <c r="CY457" s="122"/>
      <c r="CZ457" s="122"/>
      <c r="DA457" s="122"/>
      <c r="DB457" s="122"/>
      <c r="DC457" s="122"/>
      <c r="DD457" s="122"/>
      <c r="DE457" s="122"/>
      <c r="DF457" s="122"/>
      <c r="DG457" s="122"/>
      <c r="DH457" s="122"/>
      <c r="DI457" s="122"/>
      <c r="DJ457" s="122"/>
      <c r="DK457" s="122"/>
      <c r="DL457" s="122"/>
      <c r="DM457" s="122"/>
      <c r="DN457" s="122"/>
      <c r="DO457" s="122"/>
      <c r="DP457" s="122"/>
      <c r="DQ457" s="122"/>
      <c r="DR457" s="122"/>
      <c r="DS457" s="122"/>
      <c r="DT457" s="122"/>
      <c r="DU457" s="122"/>
      <c r="DV457" s="122"/>
      <c r="DW457" s="122"/>
      <c r="DX457" s="122"/>
      <c r="DY457" s="122"/>
      <c r="DZ457" s="122"/>
      <c r="EA457" s="122"/>
      <c r="EB457" s="122"/>
      <c r="EC457" s="122"/>
      <c r="ED457" s="122"/>
      <c r="EE457" s="122"/>
      <c r="EF457" s="122"/>
      <c r="EG457" s="122"/>
      <c r="EH457" s="122"/>
      <c r="EI457" s="122"/>
      <c r="EJ457" s="122"/>
      <c r="EK457" s="122"/>
      <c r="EL457" s="122"/>
      <c r="EM457" s="122"/>
      <c r="EN457" s="122"/>
      <c r="EO457" s="122"/>
      <c r="EP457" s="122"/>
      <c r="EQ457" s="122"/>
      <c r="ER457" s="122"/>
      <c r="ES457" s="122"/>
      <c r="ET457" s="122"/>
      <c r="EU457" s="122"/>
      <c r="EV457" s="122"/>
      <c r="EW457" s="122"/>
      <c r="EX457" s="122"/>
      <c r="EY457" s="122"/>
      <c r="EZ457" s="122"/>
      <c r="FA457" s="122"/>
      <c r="FB457" s="122"/>
      <c r="FC457" s="122"/>
      <c r="FD457" s="122"/>
      <c r="FE457" s="122"/>
      <c r="FF457" s="122"/>
      <c r="FG457" s="122"/>
      <c r="FH457" s="122"/>
      <c r="FI457" s="122"/>
      <c r="FJ457" s="122"/>
      <c r="FK457" s="122"/>
      <c r="FL457" s="122"/>
      <c r="FM457" s="122"/>
      <c r="FN457" s="122"/>
      <c r="FO457" s="122"/>
      <c r="FP457" s="122"/>
      <c r="FQ457" s="122"/>
      <c r="FR457" s="122"/>
      <c r="FS457" s="122"/>
      <c r="FT457" s="122"/>
      <c r="FU457" s="122"/>
      <c r="FV457" s="122"/>
      <c r="FW457" s="122"/>
      <c r="FX457" s="122"/>
      <c r="FY457" s="122"/>
      <c r="FZ457" s="122"/>
      <c r="GA457" s="122"/>
      <c r="GB457" s="122"/>
      <c r="GC457" s="122"/>
      <c r="GD457" s="122"/>
      <c r="GE457" s="122"/>
      <c r="GF457" s="122"/>
      <c r="GG457" s="122"/>
      <c r="GH457" s="122"/>
      <c r="GI457" s="122"/>
      <c r="GJ457" s="122"/>
      <c r="GK457" s="122"/>
      <c r="GL457" s="122"/>
      <c r="GM457" s="122"/>
      <c r="GN457" s="122"/>
      <c r="GO457" s="122"/>
      <c r="GP457" s="122"/>
      <c r="GQ457" s="122"/>
      <c r="GR457" s="122"/>
      <c r="GS457" s="122"/>
      <c r="GT457" s="122"/>
      <c r="GU457" s="122"/>
      <c r="GV457" s="122"/>
      <c r="GW457" s="122"/>
      <c r="GX457" s="122"/>
      <c r="GY457" s="122"/>
      <c r="GZ457" s="122"/>
      <c r="HA457" s="122"/>
      <c r="HB457" s="122"/>
      <c r="HC457" s="122"/>
      <c r="HD457" s="122"/>
      <c r="HE457" s="122"/>
      <c r="HF457" s="122"/>
      <c r="HG457" s="122"/>
      <c r="HH457" s="122"/>
      <c r="HI457" s="122"/>
      <c r="HJ457" s="122"/>
      <c r="HK457" s="122"/>
      <c r="HL457" s="122"/>
      <c r="HM457" s="122"/>
      <c r="HN457" s="122"/>
      <c r="HO457" s="122"/>
      <c r="HP457" s="122"/>
      <c r="HQ457" s="122"/>
      <c r="HR457" s="122"/>
      <c r="HS457" s="122"/>
      <c r="HT457" s="122"/>
      <c r="HU457" s="122"/>
      <c r="HV457" s="122"/>
      <c r="HW457" s="122"/>
      <c r="HX457" s="122"/>
      <c r="HY457" s="122"/>
      <c r="HZ457" s="122"/>
      <c r="IA457" s="122"/>
      <c r="IB457" s="122"/>
      <c r="IC457" s="122"/>
      <c r="ID457" s="122"/>
      <c r="IE457" s="122"/>
      <c r="IF457" s="122"/>
      <c r="IG457" s="122"/>
      <c r="IH457" s="122"/>
      <c r="II457" s="122"/>
      <c r="IJ457" s="122"/>
      <c r="IK457" s="122"/>
      <c r="IL457" s="122"/>
      <c r="IM457" s="122"/>
      <c r="IN457" s="122"/>
      <c r="IO457" s="122"/>
      <c r="IP457" s="122"/>
      <c r="IQ457" s="122"/>
      <c r="IR457" s="122"/>
      <c r="IS457" s="122"/>
      <c r="IT457" s="122"/>
      <c r="IU457" s="122"/>
      <c r="IV457" s="122"/>
      <c r="IW457" s="122"/>
      <c r="IX457" s="122"/>
      <c r="IY457" s="122"/>
      <c r="IZ457" s="122"/>
      <c r="JA457" s="122"/>
      <c r="JB457" s="122"/>
      <c r="JC457" s="122"/>
      <c r="JD457" s="122"/>
      <c r="JE457" s="122"/>
      <c r="JF457" s="122"/>
      <c r="JG457" s="122"/>
      <c r="JH457" s="122"/>
      <c r="JI457" s="119"/>
      <c r="JJ457" s="2"/>
      <c r="JK457" s="122"/>
      <c r="JL457" s="125"/>
      <c r="JM457" s="125"/>
      <c r="JN457" s="125"/>
      <c r="JO457" s="125"/>
      <c r="JP457" s="125"/>
    </row>
    <row r="458" spans="1:276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  <c r="AI458" s="122"/>
      <c r="AJ458" s="122"/>
      <c r="AK458" s="122"/>
      <c r="AL458" s="122"/>
      <c r="AM458" s="122"/>
      <c r="AN458" s="122"/>
      <c r="AO458" s="122"/>
      <c r="AP458" s="122"/>
      <c r="AQ458" s="122"/>
      <c r="AR458" s="122"/>
      <c r="AS458" s="122"/>
      <c r="AT458" s="122"/>
      <c r="AU458" s="122"/>
      <c r="AV458" s="122"/>
      <c r="AW458" s="122"/>
      <c r="AX458" s="122"/>
      <c r="AY458" s="122"/>
      <c r="AZ458" s="122"/>
      <c r="BA458" s="122"/>
      <c r="BB458" s="122"/>
      <c r="BC458" s="122"/>
      <c r="BD458" s="122"/>
      <c r="BE458" s="122"/>
      <c r="BF458" s="122"/>
      <c r="BG458" s="122"/>
      <c r="BH458" s="122"/>
      <c r="BI458" s="122"/>
      <c r="BJ458" s="122"/>
      <c r="BK458" s="122"/>
      <c r="BL458" s="122"/>
      <c r="BM458" s="122"/>
      <c r="BN458" s="122"/>
      <c r="BO458" s="122"/>
      <c r="BP458" s="122"/>
      <c r="BQ458" s="122"/>
      <c r="BR458" s="122"/>
      <c r="BS458" s="122"/>
      <c r="BT458" s="122"/>
      <c r="BU458" s="122"/>
      <c r="BV458" s="122"/>
      <c r="BW458" s="122"/>
      <c r="BX458" s="122"/>
      <c r="BY458" s="122"/>
      <c r="BZ458" s="122"/>
      <c r="CA458" s="122"/>
      <c r="CB458" s="122"/>
      <c r="CC458" s="122"/>
      <c r="CD458" s="122"/>
      <c r="CE458" s="122"/>
      <c r="CF458" s="122"/>
      <c r="CG458" s="122"/>
      <c r="CH458" s="122"/>
      <c r="CI458" s="122"/>
      <c r="CJ458" s="122"/>
      <c r="CK458" s="122"/>
      <c r="CL458" s="122"/>
      <c r="CM458" s="122"/>
      <c r="CN458" s="122"/>
      <c r="CO458" s="122"/>
      <c r="CP458" s="122"/>
      <c r="CQ458" s="122"/>
      <c r="CR458" s="122"/>
      <c r="CS458" s="122"/>
      <c r="CT458" s="122"/>
      <c r="CU458" s="122"/>
      <c r="CV458" s="122"/>
      <c r="CW458" s="122"/>
      <c r="CX458" s="122"/>
      <c r="CY458" s="122"/>
      <c r="CZ458" s="122"/>
      <c r="DA458" s="122"/>
      <c r="DB458" s="122"/>
      <c r="DC458" s="122"/>
      <c r="DD458" s="122"/>
      <c r="DE458" s="122"/>
      <c r="DF458" s="122"/>
      <c r="DG458" s="122"/>
      <c r="DH458" s="122"/>
      <c r="DI458" s="122"/>
      <c r="DJ458" s="122"/>
      <c r="DK458" s="122"/>
      <c r="DL458" s="122"/>
      <c r="DM458" s="122"/>
      <c r="DN458" s="122"/>
      <c r="DO458" s="122"/>
      <c r="DP458" s="122"/>
      <c r="DQ458" s="122"/>
      <c r="DR458" s="122"/>
      <c r="DS458" s="122"/>
      <c r="DT458" s="122"/>
      <c r="DU458" s="122"/>
      <c r="DV458" s="122"/>
      <c r="DW458" s="122"/>
      <c r="DX458" s="122"/>
      <c r="DY458" s="122"/>
      <c r="DZ458" s="122"/>
      <c r="EA458" s="122"/>
      <c r="EB458" s="122"/>
      <c r="EC458" s="122"/>
      <c r="ED458" s="122"/>
      <c r="EE458" s="122"/>
      <c r="EF458" s="122"/>
      <c r="EG458" s="122"/>
      <c r="EH458" s="122"/>
      <c r="EI458" s="122"/>
      <c r="EJ458" s="122"/>
      <c r="EK458" s="122"/>
      <c r="EL458" s="122"/>
      <c r="EM458" s="122"/>
      <c r="EN458" s="122"/>
      <c r="EO458" s="122"/>
      <c r="EP458" s="122"/>
      <c r="EQ458" s="122"/>
      <c r="ER458" s="122"/>
      <c r="ES458" s="122"/>
      <c r="ET458" s="122"/>
      <c r="EU458" s="122"/>
      <c r="EV458" s="122"/>
      <c r="EW458" s="122"/>
      <c r="EX458" s="122"/>
      <c r="EY458" s="122"/>
      <c r="EZ458" s="122"/>
      <c r="FA458" s="122"/>
      <c r="FB458" s="122"/>
      <c r="FC458" s="122"/>
      <c r="FD458" s="122"/>
      <c r="FE458" s="122"/>
      <c r="FF458" s="122"/>
      <c r="FG458" s="122"/>
      <c r="FH458" s="122"/>
      <c r="FI458" s="122"/>
      <c r="FJ458" s="122"/>
      <c r="FK458" s="122"/>
      <c r="FL458" s="122"/>
      <c r="FM458" s="122"/>
      <c r="FN458" s="122"/>
      <c r="FO458" s="122"/>
      <c r="FP458" s="122"/>
      <c r="FQ458" s="122"/>
      <c r="FR458" s="122"/>
      <c r="FS458" s="122"/>
      <c r="FT458" s="122"/>
      <c r="FU458" s="122"/>
      <c r="FV458" s="122"/>
      <c r="FW458" s="122"/>
      <c r="FX458" s="122"/>
      <c r="FY458" s="122"/>
      <c r="FZ458" s="122"/>
      <c r="GA458" s="122"/>
      <c r="GB458" s="122"/>
      <c r="GC458" s="122"/>
      <c r="GD458" s="122"/>
      <c r="GE458" s="122"/>
      <c r="GF458" s="122"/>
      <c r="GG458" s="122"/>
      <c r="GH458" s="122"/>
      <c r="GI458" s="122"/>
      <c r="GJ458" s="122"/>
      <c r="GK458" s="122"/>
      <c r="GL458" s="122"/>
      <c r="GM458" s="122"/>
      <c r="GN458" s="122"/>
      <c r="GO458" s="122"/>
      <c r="GP458" s="122"/>
      <c r="GQ458" s="122"/>
      <c r="GR458" s="122"/>
      <c r="GS458" s="122"/>
      <c r="GT458" s="122"/>
      <c r="GU458" s="122"/>
      <c r="GV458" s="122"/>
      <c r="GW458" s="122"/>
      <c r="GX458" s="122"/>
      <c r="GY458" s="122"/>
      <c r="GZ458" s="122"/>
      <c r="HA458" s="122"/>
      <c r="HB458" s="122"/>
      <c r="HC458" s="122"/>
      <c r="HD458" s="122"/>
      <c r="HE458" s="122"/>
      <c r="HF458" s="122"/>
      <c r="HG458" s="122"/>
      <c r="HH458" s="122"/>
      <c r="HI458" s="122"/>
      <c r="HJ458" s="122"/>
      <c r="HK458" s="122"/>
      <c r="HL458" s="122"/>
      <c r="HM458" s="122"/>
      <c r="HN458" s="122"/>
      <c r="HO458" s="122"/>
      <c r="HP458" s="122"/>
      <c r="HQ458" s="122"/>
      <c r="HR458" s="122"/>
      <c r="HS458" s="122"/>
      <c r="HT458" s="122"/>
      <c r="HU458" s="122"/>
      <c r="HV458" s="122"/>
      <c r="HW458" s="122"/>
      <c r="HX458" s="122"/>
      <c r="HY458" s="122"/>
      <c r="HZ458" s="122"/>
      <c r="IA458" s="122"/>
      <c r="IB458" s="122"/>
      <c r="IC458" s="122"/>
      <c r="ID458" s="122"/>
      <c r="IE458" s="122"/>
      <c r="IF458" s="122"/>
      <c r="IG458" s="122"/>
      <c r="IH458" s="122"/>
      <c r="II458" s="122"/>
      <c r="IJ458" s="122"/>
      <c r="IK458" s="122"/>
      <c r="IL458" s="122"/>
      <c r="IM458" s="122"/>
      <c r="IN458" s="122"/>
      <c r="IO458" s="122"/>
      <c r="IP458" s="122"/>
      <c r="IQ458" s="122"/>
      <c r="IR458" s="122"/>
      <c r="IS458" s="122"/>
      <c r="IT458" s="122"/>
      <c r="IU458" s="122"/>
      <c r="IV458" s="122"/>
      <c r="IW458" s="122"/>
      <c r="IX458" s="122"/>
      <c r="IY458" s="122"/>
      <c r="IZ458" s="122"/>
      <c r="JA458" s="122"/>
      <c r="JB458" s="122"/>
      <c r="JC458" s="122"/>
      <c r="JD458" s="122"/>
      <c r="JE458" s="122"/>
      <c r="JF458" s="122"/>
      <c r="JG458" s="122"/>
      <c r="JH458" s="122"/>
      <c r="JI458" s="119"/>
      <c r="JJ458" s="2"/>
      <c r="JK458" s="122"/>
      <c r="JL458" s="125"/>
      <c r="JM458" s="125"/>
      <c r="JN458" s="125"/>
      <c r="JO458" s="125"/>
      <c r="JP458" s="125"/>
    </row>
    <row r="459" spans="1:276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122"/>
      <c r="AJ459" s="122"/>
      <c r="AK459" s="122"/>
      <c r="AL459" s="122"/>
      <c r="AM459" s="122"/>
      <c r="AN459" s="122"/>
      <c r="AO459" s="122"/>
      <c r="AP459" s="122"/>
      <c r="AQ459" s="122"/>
      <c r="AR459" s="122"/>
      <c r="AS459" s="122"/>
      <c r="AT459" s="122"/>
      <c r="AU459" s="122"/>
      <c r="AV459" s="122"/>
      <c r="AW459" s="122"/>
      <c r="AX459" s="122"/>
      <c r="AY459" s="122"/>
      <c r="AZ459" s="122"/>
      <c r="BA459" s="122"/>
      <c r="BB459" s="122"/>
      <c r="BC459" s="122"/>
      <c r="BD459" s="122"/>
      <c r="BE459" s="122"/>
      <c r="BF459" s="122"/>
      <c r="BG459" s="122"/>
      <c r="BH459" s="122"/>
      <c r="BI459" s="122"/>
      <c r="BJ459" s="122"/>
      <c r="BK459" s="122"/>
      <c r="BL459" s="122"/>
      <c r="BM459" s="122"/>
      <c r="BN459" s="122"/>
      <c r="BO459" s="122"/>
      <c r="BP459" s="122"/>
      <c r="BQ459" s="122"/>
      <c r="BR459" s="122"/>
      <c r="BS459" s="122"/>
      <c r="BT459" s="122"/>
      <c r="BU459" s="122"/>
      <c r="BV459" s="122"/>
      <c r="BW459" s="122"/>
      <c r="BX459" s="122"/>
      <c r="BY459" s="122"/>
      <c r="BZ459" s="122"/>
      <c r="CA459" s="122"/>
      <c r="CB459" s="122"/>
      <c r="CC459" s="122"/>
      <c r="CD459" s="122"/>
      <c r="CE459" s="122"/>
      <c r="CF459" s="122"/>
      <c r="CG459" s="122"/>
      <c r="CH459" s="122"/>
      <c r="CI459" s="122"/>
      <c r="CJ459" s="122"/>
      <c r="CK459" s="122"/>
      <c r="CL459" s="122"/>
      <c r="CM459" s="122"/>
      <c r="CN459" s="122"/>
      <c r="CO459" s="122"/>
      <c r="CP459" s="122"/>
      <c r="CQ459" s="122"/>
      <c r="CR459" s="122"/>
      <c r="CS459" s="122"/>
      <c r="CT459" s="122"/>
      <c r="CU459" s="122"/>
      <c r="CV459" s="122"/>
      <c r="CW459" s="122"/>
      <c r="CX459" s="122"/>
      <c r="CY459" s="122"/>
      <c r="CZ459" s="122"/>
      <c r="DA459" s="122"/>
      <c r="DB459" s="122"/>
      <c r="DC459" s="122"/>
      <c r="DD459" s="122"/>
      <c r="DE459" s="122"/>
      <c r="DF459" s="122"/>
      <c r="DG459" s="122"/>
      <c r="DH459" s="122"/>
      <c r="DI459" s="122"/>
      <c r="DJ459" s="122"/>
      <c r="DK459" s="122"/>
      <c r="DL459" s="122"/>
      <c r="DM459" s="122"/>
      <c r="DN459" s="122"/>
      <c r="DO459" s="122"/>
      <c r="DP459" s="122"/>
      <c r="DQ459" s="122"/>
      <c r="DR459" s="122"/>
      <c r="DS459" s="122"/>
      <c r="DT459" s="122"/>
      <c r="DU459" s="122"/>
      <c r="DV459" s="122"/>
      <c r="DW459" s="122"/>
      <c r="DX459" s="122"/>
      <c r="DY459" s="122"/>
      <c r="DZ459" s="122"/>
      <c r="EA459" s="122"/>
      <c r="EB459" s="122"/>
      <c r="EC459" s="122"/>
      <c r="ED459" s="122"/>
      <c r="EE459" s="122"/>
      <c r="EF459" s="122"/>
      <c r="EG459" s="122"/>
      <c r="EH459" s="122"/>
      <c r="EI459" s="122"/>
      <c r="EJ459" s="122"/>
      <c r="EK459" s="122"/>
      <c r="EL459" s="122"/>
      <c r="EM459" s="122"/>
      <c r="EN459" s="122"/>
      <c r="EO459" s="122"/>
      <c r="EP459" s="122"/>
      <c r="EQ459" s="122"/>
      <c r="ER459" s="122"/>
      <c r="ES459" s="122"/>
      <c r="ET459" s="122"/>
      <c r="EU459" s="122"/>
      <c r="EV459" s="122"/>
      <c r="EW459" s="122"/>
      <c r="EX459" s="122"/>
      <c r="EY459" s="122"/>
      <c r="EZ459" s="122"/>
      <c r="FA459" s="122"/>
      <c r="FB459" s="122"/>
      <c r="FC459" s="122"/>
      <c r="FD459" s="122"/>
      <c r="FE459" s="122"/>
      <c r="FF459" s="122"/>
      <c r="FG459" s="122"/>
      <c r="FH459" s="122"/>
      <c r="FI459" s="122"/>
      <c r="FJ459" s="122"/>
      <c r="FK459" s="122"/>
      <c r="FL459" s="122"/>
      <c r="FM459" s="122"/>
      <c r="FN459" s="122"/>
      <c r="FO459" s="122"/>
      <c r="FP459" s="122"/>
      <c r="FQ459" s="122"/>
      <c r="FR459" s="122"/>
      <c r="FS459" s="122"/>
      <c r="FT459" s="122"/>
      <c r="FU459" s="122"/>
      <c r="FV459" s="122"/>
      <c r="FW459" s="122"/>
      <c r="FX459" s="122"/>
      <c r="FY459" s="122"/>
      <c r="FZ459" s="122"/>
      <c r="GA459" s="122"/>
      <c r="GB459" s="122"/>
      <c r="GC459" s="122"/>
      <c r="GD459" s="122"/>
      <c r="GE459" s="122"/>
      <c r="GF459" s="122"/>
      <c r="GG459" s="122"/>
      <c r="GH459" s="122"/>
      <c r="GI459" s="122"/>
      <c r="GJ459" s="122"/>
      <c r="GK459" s="122"/>
      <c r="GL459" s="122"/>
      <c r="GM459" s="122"/>
      <c r="GN459" s="122"/>
      <c r="GO459" s="122"/>
      <c r="GP459" s="122"/>
      <c r="GQ459" s="122"/>
      <c r="GR459" s="122"/>
      <c r="GS459" s="122"/>
      <c r="GT459" s="122"/>
      <c r="GU459" s="122"/>
      <c r="GV459" s="122"/>
      <c r="GW459" s="122"/>
      <c r="GX459" s="122"/>
      <c r="GY459" s="122"/>
      <c r="GZ459" s="122"/>
      <c r="HA459" s="122"/>
      <c r="HB459" s="122"/>
      <c r="HC459" s="122"/>
      <c r="HD459" s="122"/>
      <c r="HE459" s="122"/>
      <c r="HF459" s="122"/>
      <c r="HG459" s="122"/>
      <c r="HH459" s="122"/>
      <c r="HI459" s="122"/>
      <c r="HJ459" s="122"/>
      <c r="HK459" s="122"/>
      <c r="HL459" s="122"/>
      <c r="HM459" s="122"/>
      <c r="HN459" s="122"/>
      <c r="HO459" s="122"/>
      <c r="HP459" s="122"/>
      <c r="HQ459" s="122"/>
      <c r="HR459" s="122"/>
      <c r="HS459" s="122"/>
      <c r="HT459" s="122"/>
      <c r="HU459" s="122"/>
      <c r="HV459" s="122"/>
      <c r="HW459" s="122"/>
      <c r="HX459" s="122"/>
      <c r="HY459" s="122"/>
      <c r="HZ459" s="122"/>
      <c r="IA459" s="122"/>
      <c r="IB459" s="122"/>
      <c r="IC459" s="122"/>
      <c r="ID459" s="122"/>
      <c r="IE459" s="122"/>
      <c r="IF459" s="122"/>
      <c r="IG459" s="122"/>
      <c r="IH459" s="122"/>
      <c r="II459" s="122"/>
      <c r="IJ459" s="122"/>
      <c r="IK459" s="122"/>
      <c r="IL459" s="122"/>
      <c r="IM459" s="122"/>
      <c r="IN459" s="122"/>
      <c r="IO459" s="122"/>
      <c r="IP459" s="122"/>
      <c r="IQ459" s="122"/>
      <c r="IR459" s="122"/>
      <c r="IS459" s="122"/>
      <c r="IT459" s="122"/>
      <c r="IU459" s="122"/>
      <c r="IV459" s="122"/>
      <c r="IW459" s="122"/>
      <c r="IX459" s="122"/>
      <c r="IY459" s="122"/>
      <c r="IZ459" s="122"/>
      <c r="JA459" s="122"/>
      <c r="JB459" s="122"/>
      <c r="JC459" s="122"/>
      <c r="JD459" s="122"/>
      <c r="JE459" s="122"/>
      <c r="JF459" s="122"/>
      <c r="JG459" s="122"/>
      <c r="JH459" s="122"/>
      <c r="JI459" s="119"/>
      <c r="JJ459" s="2"/>
      <c r="JK459" s="122"/>
      <c r="JL459" s="125"/>
      <c r="JM459" s="125"/>
      <c r="JN459" s="125"/>
      <c r="JO459" s="125"/>
      <c r="JP459" s="125"/>
    </row>
    <row r="460" spans="1:276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122"/>
      <c r="AI460" s="122"/>
      <c r="AJ460" s="122"/>
      <c r="AK460" s="122"/>
      <c r="AL460" s="122"/>
      <c r="AM460" s="122"/>
      <c r="AN460" s="122"/>
      <c r="AO460" s="122"/>
      <c r="AP460" s="122"/>
      <c r="AQ460" s="122"/>
      <c r="AR460" s="122"/>
      <c r="AS460" s="122"/>
      <c r="AT460" s="122"/>
      <c r="AU460" s="122"/>
      <c r="AV460" s="122"/>
      <c r="AW460" s="122"/>
      <c r="AX460" s="122"/>
      <c r="AY460" s="122"/>
      <c r="AZ460" s="122"/>
      <c r="BA460" s="122"/>
      <c r="BB460" s="122"/>
      <c r="BC460" s="122"/>
      <c r="BD460" s="122"/>
      <c r="BE460" s="122"/>
      <c r="BF460" s="122"/>
      <c r="BG460" s="122"/>
      <c r="BH460" s="122"/>
      <c r="BI460" s="122"/>
      <c r="BJ460" s="122"/>
      <c r="BK460" s="122"/>
      <c r="BL460" s="122"/>
      <c r="BM460" s="122"/>
      <c r="BN460" s="122"/>
      <c r="BO460" s="122"/>
      <c r="BP460" s="122"/>
      <c r="BQ460" s="122"/>
      <c r="BR460" s="122"/>
      <c r="BS460" s="122"/>
      <c r="BT460" s="122"/>
      <c r="BU460" s="122"/>
      <c r="BV460" s="122"/>
      <c r="BW460" s="122"/>
      <c r="BX460" s="122"/>
      <c r="BY460" s="122"/>
      <c r="BZ460" s="122"/>
      <c r="CA460" s="122"/>
      <c r="CB460" s="122"/>
      <c r="CC460" s="122"/>
      <c r="CD460" s="122"/>
      <c r="CE460" s="122"/>
      <c r="CF460" s="122"/>
      <c r="CG460" s="122"/>
      <c r="CH460" s="122"/>
      <c r="CI460" s="122"/>
      <c r="CJ460" s="122"/>
      <c r="CK460" s="122"/>
      <c r="CL460" s="122"/>
      <c r="CM460" s="122"/>
      <c r="CN460" s="122"/>
      <c r="CO460" s="122"/>
      <c r="CP460" s="122"/>
      <c r="CQ460" s="122"/>
      <c r="CR460" s="122"/>
      <c r="CS460" s="122"/>
      <c r="CT460" s="122"/>
      <c r="CU460" s="122"/>
      <c r="CV460" s="122"/>
      <c r="CW460" s="122"/>
      <c r="CX460" s="122"/>
      <c r="CY460" s="122"/>
      <c r="CZ460" s="122"/>
      <c r="DA460" s="122"/>
      <c r="DB460" s="122"/>
      <c r="DC460" s="122"/>
      <c r="DD460" s="122"/>
      <c r="DE460" s="122"/>
      <c r="DF460" s="122"/>
      <c r="DG460" s="122"/>
      <c r="DH460" s="122"/>
      <c r="DI460" s="122"/>
      <c r="DJ460" s="122"/>
      <c r="DK460" s="122"/>
      <c r="DL460" s="122"/>
      <c r="DM460" s="122"/>
      <c r="DN460" s="122"/>
      <c r="DO460" s="122"/>
      <c r="DP460" s="122"/>
      <c r="DQ460" s="122"/>
      <c r="DR460" s="122"/>
      <c r="DS460" s="122"/>
      <c r="DT460" s="122"/>
      <c r="DU460" s="122"/>
      <c r="DV460" s="122"/>
      <c r="DW460" s="122"/>
      <c r="DX460" s="122"/>
      <c r="DY460" s="122"/>
      <c r="DZ460" s="122"/>
      <c r="EA460" s="122"/>
      <c r="EB460" s="122"/>
      <c r="EC460" s="122"/>
      <c r="ED460" s="122"/>
      <c r="EE460" s="122"/>
      <c r="EF460" s="122"/>
      <c r="EG460" s="122"/>
      <c r="EH460" s="122"/>
      <c r="EI460" s="122"/>
      <c r="EJ460" s="122"/>
      <c r="EK460" s="122"/>
      <c r="EL460" s="122"/>
      <c r="EM460" s="122"/>
      <c r="EN460" s="122"/>
      <c r="EO460" s="122"/>
      <c r="EP460" s="122"/>
      <c r="EQ460" s="122"/>
      <c r="ER460" s="122"/>
      <c r="ES460" s="122"/>
      <c r="ET460" s="122"/>
      <c r="EU460" s="122"/>
      <c r="EV460" s="122"/>
      <c r="EW460" s="122"/>
      <c r="EX460" s="122"/>
      <c r="EY460" s="122"/>
      <c r="EZ460" s="122"/>
      <c r="FA460" s="122"/>
      <c r="FB460" s="122"/>
      <c r="FC460" s="122"/>
      <c r="FD460" s="122"/>
      <c r="FE460" s="122"/>
      <c r="FF460" s="122"/>
      <c r="FG460" s="122"/>
      <c r="FH460" s="122"/>
      <c r="FI460" s="122"/>
      <c r="FJ460" s="122"/>
      <c r="FK460" s="122"/>
      <c r="FL460" s="122"/>
      <c r="FM460" s="122"/>
      <c r="FN460" s="122"/>
      <c r="FO460" s="122"/>
      <c r="FP460" s="122"/>
      <c r="FQ460" s="122"/>
      <c r="FR460" s="122"/>
      <c r="FS460" s="122"/>
      <c r="FT460" s="122"/>
      <c r="FU460" s="122"/>
      <c r="FV460" s="122"/>
      <c r="FW460" s="122"/>
      <c r="FX460" s="122"/>
      <c r="FY460" s="122"/>
      <c r="FZ460" s="122"/>
      <c r="GA460" s="122"/>
      <c r="GB460" s="122"/>
      <c r="GC460" s="122"/>
      <c r="GD460" s="122"/>
      <c r="GE460" s="122"/>
      <c r="GF460" s="122"/>
      <c r="GG460" s="122"/>
      <c r="GH460" s="122"/>
      <c r="GI460" s="122"/>
      <c r="GJ460" s="122"/>
      <c r="GK460" s="122"/>
      <c r="GL460" s="122"/>
      <c r="GM460" s="122"/>
      <c r="GN460" s="122"/>
      <c r="GO460" s="122"/>
      <c r="GP460" s="122"/>
      <c r="GQ460" s="122"/>
      <c r="GR460" s="122"/>
      <c r="GS460" s="122"/>
      <c r="GT460" s="122"/>
      <c r="GU460" s="122"/>
      <c r="GV460" s="122"/>
      <c r="GW460" s="122"/>
      <c r="GX460" s="122"/>
      <c r="GY460" s="122"/>
      <c r="GZ460" s="122"/>
      <c r="HA460" s="122"/>
      <c r="HB460" s="122"/>
      <c r="HC460" s="122"/>
      <c r="HD460" s="122"/>
      <c r="HE460" s="122"/>
      <c r="HF460" s="122"/>
      <c r="HG460" s="122"/>
      <c r="HH460" s="122"/>
      <c r="HI460" s="122"/>
      <c r="HJ460" s="122"/>
      <c r="HK460" s="122"/>
      <c r="HL460" s="122"/>
      <c r="HM460" s="122"/>
      <c r="HN460" s="122"/>
      <c r="HO460" s="122"/>
      <c r="HP460" s="122"/>
      <c r="HQ460" s="122"/>
      <c r="HR460" s="122"/>
      <c r="HS460" s="122"/>
      <c r="HT460" s="122"/>
      <c r="HU460" s="122"/>
      <c r="HV460" s="122"/>
      <c r="HW460" s="122"/>
      <c r="HX460" s="122"/>
      <c r="HY460" s="122"/>
      <c r="HZ460" s="122"/>
      <c r="IA460" s="122"/>
      <c r="IB460" s="122"/>
      <c r="IC460" s="122"/>
      <c r="ID460" s="122"/>
      <c r="IE460" s="122"/>
      <c r="IF460" s="122"/>
      <c r="IG460" s="122"/>
      <c r="IH460" s="122"/>
      <c r="II460" s="122"/>
      <c r="IJ460" s="122"/>
      <c r="IK460" s="122"/>
      <c r="IL460" s="122"/>
      <c r="IM460" s="122"/>
      <c r="IN460" s="122"/>
      <c r="IO460" s="122"/>
      <c r="IP460" s="122"/>
      <c r="IQ460" s="122"/>
      <c r="IR460" s="122"/>
      <c r="IS460" s="122"/>
      <c r="IT460" s="122"/>
      <c r="IU460" s="122"/>
      <c r="IV460" s="122"/>
      <c r="IW460" s="122"/>
      <c r="IX460" s="122"/>
      <c r="IY460" s="122"/>
      <c r="IZ460" s="122"/>
      <c r="JA460" s="122"/>
      <c r="JB460" s="122"/>
      <c r="JC460" s="122"/>
      <c r="JD460" s="122"/>
      <c r="JE460" s="122"/>
      <c r="JF460" s="122"/>
      <c r="JG460" s="122"/>
      <c r="JH460" s="122"/>
      <c r="JI460" s="119"/>
      <c r="JJ460" s="2"/>
      <c r="JK460" s="122"/>
      <c r="JL460" s="125"/>
      <c r="JM460" s="125"/>
      <c r="JN460" s="125"/>
      <c r="JO460" s="125"/>
      <c r="JP460" s="125"/>
    </row>
    <row r="461" spans="1:276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122"/>
      <c r="AJ461" s="122"/>
      <c r="AK461" s="122"/>
      <c r="AL461" s="122"/>
      <c r="AM461" s="122"/>
      <c r="AN461" s="122"/>
      <c r="AO461" s="122"/>
      <c r="AP461" s="122"/>
      <c r="AQ461" s="122"/>
      <c r="AR461" s="122"/>
      <c r="AS461" s="122"/>
      <c r="AT461" s="122"/>
      <c r="AU461" s="122"/>
      <c r="AV461" s="122"/>
      <c r="AW461" s="122"/>
      <c r="AX461" s="122"/>
      <c r="AY461" s="122"/>
      <c r="AZ461" s="122"/>
      <c r="BA461" s="122"/>
      <c r="BB461" s="122"/>
      <c r="BC461" s="122"/>
      <c r="BD461" s="122"/>
      <c r="BE461" s="122"/>
      <c r="BF461" s="122"/>
      <c r="BG461" s="122"/>
      <c r="BH461" s="122"/>
      <c r="BI461" s="122"/>
      <c r="BJ461" s="122"/>
      <c r="BK461" s="122"/>
      <c r="BL461" s="122"/>
      <c r="BM461" s="122"/>
      <c r="BN461" s="122"/>
      <c r="BO461" s="122"/>
      <c r="BP461" s="122"/>
      <c r="BQ461" s="122"/>
      <c r="BR461" s="122"/>
      <c r="BS461" s="122"/>
      <c r="BT461" s="122"/>
      <c r="BU461" s="122"/>
      <c r="BV461" s="122"/>
      <c r="BW461" s="122"/>
      <c r="BX461" s="122"/>
      <c r="BY461" s="122"/>
      <c r="BZ461" s="122"/>
      <c r="CA461" s="122"/>
      <c r="CB461" s="122"/>
      <c r="CC461" s="122"/>
      <c r="CD461" s="122"/>
      <c r="CE461" s="122"/>
      <c r="CF461" s="122"/>
      <c r="CG461" s="122"/>
      <c r="CH461" s="122"/>
      <c r="CI461" s="122"/>
      <c r="CJ461" s="122"/>
      <c r="CK461" s="122"/>
      <c r="CL461" s="122"/>
      <c r="CM461" s="122"/>
      <c r="CN461" s="122"/>
      <c r="CO461" s="122"/>
      <c r="CP461" s="122"/>
      <c r="CQ461" s="122"/>
      <c r="CR461" s="122"/>
      <c r="CS461" s="122"/>
      <c r="CT461" s="122"/>
      <c r="CU461" s="122"/>
      <c r="CV461" s="122"/>
      <c r="CW461" s="122"/>
      <c r="CX461" s="122"/>
      <c r="CY461" s="122"/>
      <c r="CZ461" s="122"/>
      <c r="DA461" s="122"/>
      <c r="DB461" s="122"/>
      <c r="DC461" s="122"/>
      <c r="DD461" s="122"/>
      <c r="DE461" s="122"/>
      <c r="DF461" s="122"/>
      <c r="DG461" s="122"/>
      <c r="DH461" s="122"/>
      <c r="DI461" s="122"/>
      <c r="DJ461" s="122"/>
      <c r="DK461" s="122"/>
      <c r="DL461" s="122"/>
      <c r="DM461" s="122"/>
      <c r="DN461" s="122"/>
      <c r="DO461" s="122"/>
      <c r="DP461" s="122"/>
      <c r="DQ461" s="122"/>
      <c r="DR461" s="122"/>
      <c r="DS461" s="122"/>
      <c r="DT461" s="122"/>
      <c r="DU461" s="122"/>
      <c r="DV461" s="122"/>
      <c r="DW461" s="122"/>
      <c r="DX461" s="122"/>
      <c r="DY461" s="122"/>
      <c r="DZ461" s="122"/>
      <c r="EA461" s="122"/>
      <c r="EB461" s="122"/>
      <c r="EC461" s="122"/>
      <c r="ED461" s="122"/>
      <c r="EE461" s="122"/>
      <c r="EF461" s="122"/>
      <c r="EG461" s="122"/>
      <c r="EH461" s="122"/>
      <c r="EI461" s="122"/>
      <c r="EJ461" s="122"/>
      <c r="EK461" s="122"/>
      <c r="EL461" s="122"/>
      <c r="EM461" s="122"/>
      <c r="EN461" s="122"/>
      <c r="EO461" s="122"/>
      <c r="EP461" s="122"/>
      <c r="EQ461" s="122"/>
      <c r="ER461" s="122"/>
      <c r="ES461" s="122"/>
      <c r="ET461" s="122"/>
      <c r="EU461" s="122"/>
      <c r="EV461" s="122"/>
      <c r="EW461" s="122"/>
      <c r="EX461" s="122"/>
      <c r="EY461" s="122"/>
      <c r="EZ461" s="122"/>
      <c r="FA461" s="122"/>
      <c r="FB461" s="122"/>
      <c r="FC461" s="122"/>
      <c r="FD461" s="122"/>
      <c r="FE461" s="122"/>
      <c r="FF461" s="122"/>
      <c r="FG461" s="122"/>
      <c r="FH461" s="122"/>
      <c r="FI461" s="122"/>
      <c r="FJ461" s="122"/>
      <c r="FK461" s="122"/>
      <c r="FL461" s="122"/>
      <c r="FM461" s="122"/>
      <c r="FN461" s="122"/>
      <c r="FO461" s="122"/>
      <c r="FP461" s="122"/>
      <c r="FQ461" s="122"/>
      <c r="FR461" s="122"/>
      <c r="FS461" s="122"/>
      <c r="FT461" s="122"/>
      <c r="FU461" s="122"/>
      <c r="FV461" s="122"/>
      <c r="FW461" s="122"/>
      <c r="FX461" s="122"/>
      <c r="FY461" s="122"/>
      <c r="FZ461" s="122"/>
      <c r="GA461" s="122"/>
      <c r="GB461" s="122"/>
      <c r="GC461" s="122"/>
      <c r="GD461" s="122"/>
      <c r="GE461" s="122"/>
      <c r="GF461" s="122"/>
      <c r="GG461" s="122"/>
      <c r="GH461" s="122"/>
      <c r="GI461" s="122"/>
      <c r="GJ461" s="122"/>
      <c r="GK461" s="122"/>
      <c r="GL461" s="122"/>
      <c r="GM461" s="122"/>
      <c r="GN461" s="122"/>
      <c r="GO461" s="122"/>
      <c r="GP461" s="122"/>
      <c r="GQ461" s="122"/>
      <c r="GR461" s="122"/>
      <c r="GS461" s="122"/>
      <c r="GT461" s="122"/>
      <c r="GU461" s="122"/>
      <c r="GV461" s="122"/>
      <c r="GW461" s="122"/>
      <c r="GX461" s="122"/>
      <c r="GY461" s="122"/>
      <c r="GZ461" s="122"/>
      <c r="HA461" s="122"/>
      <c r="HB461" s="122"/>
      <c r="HC461" s="122"/>
      <c r="HD461" s="122"/>
      <c r="HE461" s="122"/>
      <c r="HF461" s="122"/>
      <c r="HG461" s="122"/>
      <c r="HH461" s="122"/>
      <c r="HI461" s="122"/>
      <c r="HJ461" s="122"/>
      <c r="HK461" s="122"/>
      <c r="HL461" s="122"/>
      <c r="HM461" s="122"/>
      <c r="HN461" s="122"/>
      <c r="HO461" s="122"/>
      <c r="HP461" s="122"/>
      <c r="HQ461" s="122"/>
      <c r="HR461" s="122"/>
      <c r="HS461" s="122"/>
      <c r="HT461" s="122"/>
      <c r="HU461" s="122"/>
      <c r="HV461" s="122"/>
      <c r="HW461" s="122"/>
      <c r="HX461" s="122"/>
      <c r="HY461" s="122"/>
      <c r="HZ461" s="122"/>
      <c r="IA461" s="122"/>
      <c r="IB461" s="122"/>
      <c r="IC461" s="122"/>
      <c r="ID461" s="122"/>
      <c r="IE461" s="122"/>
      <c r="IF461" s="122"/>
      <c r="IG461" s="122"/>
      <c r="IH461" s="122"/>
      <c r="II461" s="122"/>
      <c r="IJ461" s="122"/>
      <c r="IK461" s="122"/>
      <c r="IL461" s="122"/>
      <c r="IM461" s="122"/>
      <c r="IN461" s="122"/>
      <c r="IO461" s="122"/>
      <c r="IP461" s="122"/>
      <c r="IQ461" s="122"/>
      <c r="IR461" s="122"/>
      <c r="IS461" s="122"/>
      <c r="IT461" s="122"/>
      <c r="IU461" s="122"/>
      <c r="IV461" s="122"/>
      <c r="IW461" s="122"/>
      <c r="IX461" s="122"/>
      <c r="IY461" s="122"/>
      <c r="IZ461" s="122"/>
      <c r="JA461" s="122"/>
      <c r="JB461" s="122"/>
      <c r="JC461" s="122"/>
      <c r="JD461" s="122"/>
      <c r="JE461" s="122"/>
      <c r="JF461" s="122"/>
      <c r="JG461" s="122"/>
      <c r="JH461" s="122"/>
      <c r="JI461" s="119"/>
      <c r="JJ461" s="2"/>
      <c r="JK461" s="122"/>
      <c r="JL461" s="125"/>
      <c r="JM461" s="125"/>
      <c r="JN461" s="125"/>
      <c r="JO461" s="125"/>
      <c r="JP461" s="125"/>
    </row>
    <row r="462" spans="1:276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122"/>
      <c r="AI462" s="122"/>
      <c r="AJ462" s="122"/>
      <c r="AK462" s="122"/>
      <c r="AL462" s="122"/>
      <c r="AM462" s="122"/>
      <c r="AN462" s="122"/>
      <c r="AO462" s="122"/>
      <c r="AP462" s="122"/>
      <c r="AQ462" s="122"/>
      <c r="AR462" s="122"/>
      <c r="AS462" s="122"/>
      <c r="AT462" s="122"/>
      <c r="AU462" s="122"/>
      <c r="AV462" s="122"/>
      <c r="AW462" s="122"/>
      <c r="AX462" s="122"/>
      <c r="AY462" s="122"/>
      <c r="AZ462" s="122"/>
      <c r="BA462" s="122"/>
      <c r="BB462" s="122"/>
      <c r="BC462" s="122"/>
      <c r="BD462" s="122"/>
      <c r="BE462" s="122"/>
      <c r="BF462" s="122"/>
      <c r="BG462" s="122"/>
      <c r="BH462" s="122"/>
      <c r="BI462" s="122"/>
      <c r="BJ462" s="122"/>
      <c r="BK462" s="122"/>
      <c r="BL462" s="122"/>
      <c r="BM462" s="122"/>
      <c r="BN462" s="122"/>
      <c r="BO462" s="122"/>
      <c r="BP462" s="122"/>
      <c r="BQ462" s="122"/>
      <c r="BR462" s="122"/>
      <c r="BS462" s="122"/>
      <c r="BT462" s="122"/>
      <c r="BU462" s="122"/>
      <c r="BV462" s="122"/>
      <c r="BW462" s="122"/>
      <c r="BX462" s="122"/>
      <c r="BY462" s="122"/>
      <c r="BZ462" s="122"/>
      <c r="CA462" s="122"/>
      <c r="CB462" s="122"/>
      <c r="CC462" s="122"/>
      <c r="CD462" s="122"/>
      <c r="CE462" s="122"/>
      <c r="CF462" s="122"/>
      <c r="CG462" s="122"/>
      <c r="CH462" s="122"/>
      <c r="CI462" s="122"/>
      <c r="CJ462" s="122"/>
      <c r="CK462" s="122"/>
      <c r="CL462" s="122"/>
      <c r="CM462" s="122"/>
      <c r="CN462" s="122"/>
      <c r="CO462" s="122"/>
      <c r="CP462" s="122"/>
      <c r="CQ462" s="122"/>
      <c r="CR462" s="122"/>
      <c r="CS462" s="122"/>
      <c r="CT462" s="122"/>
      <c r="CU462" s="122"/>
      <c r="CV462" s="122"/>
      <c r="CW462" s="122"/>
      <c r="CX462" s="122"/>
      <c r="CY462" s="122"/>
      <c r="CZ462" s="122"/>
      <c r="DA462" s="122"/>
      <c r="DB462" s="122"/>
      <c r="DC462" s="122"/>
      <c r="DD462" s="122"/>
      <c r="DE462" s="122"/>
      <c r="DF462" s="122"/>
      <c r="DG462" s="122"/>
      <c r="DH462" s="122"/>
      <c r="DI462" s="122"/>
      <c r="DJ462" s="122"/>
      <c r="DK462" s="122"/>
      <c r="DL462" s="122"/>
      <c r="DM462" s="122"/>
      <c r="DN462" s="122"/>
      <c r="DO462" s="122"/>
      <c r="DP462" s="122"/>
      <c r="DQ462" s="122"/>
      <c r="DR462" s="122"/>
      <c r="DS462" s="122"/>
      <c r="DT462" s="122"/>
      <c r="DU462" s="122"/>
      <c r="DV462" s="122"/>
      <c r="DW462" s="122"/>
      <c r="DX462" s="122"/>
      <c r="DY462" s="122"/>
      <c r="DZ462" s="122"/>
      <c r="EA462" s="122"/>
      <c r="EB462" s="122"/>
      <c r="EC462" s="122"/>
      <c r="ED462" s="122"/>
      <c r="EE462" s="122"/>
      <c r="EF462" s="122"/>
      <c r="EG462" s="122"/>
      <c r="EH462" s="122"/>
      <c r="EI462" s="122"/>
      <c r="EJ462" s="122"/>
      <c r="EK462" s="122"/>
      <c r="EL462" s="122"/>
      <c r="EM462" s="122"/>
      <c r="EN462" s="122"/>
      <c r="EO462" s="122"/>
      <c r="EP462" s="122"/>
      <c r="EQ462" s="122"/>
      <c r="ER462" s="122"/>
      <c r="ES462" s="122"/>
      <c r="ET462" s="122"/>
      <c r="EU462" s="122"/>
      <c r="EV462" s="122"/>
      <c r="EW462" s="122"/>
      <c r="EX462" s="122"/>
      <c r="EY462" s="122"/>
      <c r="EZ462" s="122"/>
      <c r="FA462" s="122"/>
      <c r="FB462" s="122"/>
      <c r="FC462" s="122"/>
      <c r="FD462" s="122"/>
      <c r="FE462" s="122"/>
      <c r="FF462" s="122"/>
      <c r="FG462" s="122"/>
      <c r="FH462" s="122"/>
      <c r="FI462" s="122"/>
      <c r="FJ462" s="122"/>
      <c r="FK462" s="122"/>
      <c r="FL462" s="122"/>
      <c r="FM462" s="122"/>
      <c r="FN462" s="122"/>
      <c r="FO462" s="122"/>
      <c r="FP462" s="122"/>
      <c r="FQ462" s="122"/>
      <c r="FR462" s="122"/>
      <c r="FS462" s="122"/>
      <c r="FT462" s="122"/>
      <c r="FU462" s="122"/>
      <c r="FV462" s="122"/>
      <c r="FW462" s="122"/>
      <c r="FX462" s="122"/>
      <c r="FY462" s="122"/>
      <c r="FZ462" s="122"/>
      <c r="GA462" s="122"/>
      <c r="GB462" s="122"/>
      <c r="GC462" s="122"/>
      <c r="GD462" s="122"/>
      <c r="GE462" s="122"/>
      <c r="GF462" s="122"/>
      <c r="GG462" s="122"/>
      <c r="GH462" s="122"/>
      <c r="GI462" s="122"/>
      <c r="GJ462" s="122"/>
      <c r="GK462" s="122"/>
      <c r="GL462" s="122"/>
      <c r="GM462" s="122"/>
      <c r="GN462" s="122"/>
      <c r="GO462" s="122"/>
      <c r="GP462" s="122"/>
      <c r="GQ462" s="122"/>
      <c r="GR462" s="122"/>
      <c r="GS462" s="122"/>
      <c r="GT462" s="122"/>
      <c r="GU462" s="122"/>
      <c r="GV462" s="122"/>
      <c r="GW462" s="122"/>
      <c r="GX462" s="122"/>
      <c r="GY462" s="122"/>
      <c r="GZ462" s="122"/>
      <c r="HA462" s="122"/>
      <c r="HB462" s="122"/>
      <c r="HC462" s="122"/>
      <c r="HD462" s="122"/>
      <c r="HE462" s="122"/>
      <c r="HF462" s="122"/>
      <c r="HG462" s="122"/>
      <c r="HH462" s="122"/>
      <c r="HI462" s="122"/>
      <c r="HJ462" s="122"/>
      <c r="HK462" s="122"/>
      <c r="HL462" s="122"/>
      <c r="HM462" s="122"/>
      <c r="HN462" s="122"/>
      <c r="HO462" s="122"/>
      <c r="HP462" s="122"/>
      <c r="HQ462" s="122"/>
      <c r="HR462" s="122"/>
      <c r="HS462" s="122"/>
      <c r="HT462" s="122"/>
      <c r="HU462" s="122"/>
      <c r="HV462" s="122"/>
      <c r="HW462" s="122"/>
      <c r="HX462" s="122"/>
      <c r="HY462" s="122"/>
      <c r="HZ462" s="122"/>
      <c r="IA462" s="122"/>
      <c r="IB462" s="122"/>
      <c r="IC462" s="122"/>
      <c r="ID462" s="122"/>
      <c r="IE462" s="122"/>
      <c r="IF462" s="122"/>
      <c r="IG462" s="122"/>
      <c r="IH462" s="122"/>
      <c r="II462" s="122"/>
      <c r="IJ462" s="122"/>
      <c r="IK462" s="122"/>
      <c r="IL462" s="122"/>
      <c r="IM462" s="122"/>
      <c r="IN462" s="122"/>
      <c r="IO462" s="122"/>
      <c r="IP462" s="122"/>
      <c r="IQ462" s="122"/>
      <c r="IR462" s="122"/>
      <c r="IS462" s="122"/>
      <c r="IT462" s="122"/>
      <c r="IU462" s="122"/>
      <c r="IV462" s="122"/>
      <c r="IW462" s="122"/>
      <c r="IX462" s="122"/>
      <c r="IY462" s="122"/>
      <c r="IZ462" s="122"/>
      <c r="JA462" s="122"/>
      <c r="JB462" s="122"/>
      <c r="JC462" s="122"/>
      <c r="JD462" s="122"/>
      <c r="JE462" s="122"/>
      <c r="JF462" s="122"/>
      <c r="JG462" s="122"/>
      <c r="JH462" s="122"/>
      <c r="JI462" s="119"/>
      <c r="JJ462" s="2"/>
      <c r="JK462" s="122"/>
      <c r="JL462" s="125"/>
      <c r="JM462" s="125"/>
      <c r="JN462" s="125"/>
      <c r="JO462" s="125"/>
      <c r="JP462" s="125"/>
    </row>
    <row r="463" spans="1:276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  <c r="AK463" s="122"/>
      <c r="AL463" s="122"/>
      <c r="AM463" s="122"/>
      <c r="AN463" s="122"/>
      <c r="AO463" s="122"/>
      <c r="AP463" s="122"/>
      <c r="AQ463" s="122"/>
      <c r="AR463" s="122"/>
      <c r="AS463" s="122"/>
      <c r="AT463" s="122"/>
      <c r="AU463" s="122"/>
      <c r="AV463" s="122"/>
      <c r="AW463" s="122"/>
      <c r="AX463" s="122"/>
      <c r="AY463" s="122"/>
      <c r="AZ463" s="122"/>
      <c r="BA463" s="122"/>
      <c r="BB463" s="122"/>
      <c r="BC463" s="122"/>
      <c r="BD463" s="122"/>
      <c r="BE463" s="122"/>
      <c r="BF463" s="122"/>
      <c r="BG463" s="122"/>
      <c r="BH463" s="122"/>
      <c r="BI463" s="122"/>
      <c r="BJ463" s="122"/>
      <c r="BK463" s="122"/>
      <c r="BL463" s="122"/>
      <c r="BM463" s="122"/>
      <c r="BN463" s="122"/>
      <c r="BO463" s="122"/>
      <c r="BP463" s="122"/>
      <c r="BQ463" s="122"/>
      <c r="BR463" s="122"/>
      <c r="BS463" s="122"/>
      <c r="BT463" s="122"/>
      <c r="BU463" s="122"/>
      <c r="BV463" s="122"/>
      <c r="BW463" s="122"/>
      <c r="BX463" s="122"/>
      <c r="BY463" s="122"/>
      <c r="BZ463" s="122"/>
      <c r="CA463" s="122"/>
      <c r="CB463" s="122"/>
      <c r="CC463" s="122"/>
      <c r="CD463" s="122"/>
      <c r="CE463" s="122"/>
      <c r="CF463" s="122"/>
      <c r="CG463" s="122"/>
      <c r="CH463" s="122"/>
      <c r="CI463" s="122"/>
      <c r="CJ463" s="122"/>
      <c r="CK463" s="122"/>
      <c r="CL463" s="122"/>
      <c r="CM463" s="122"/>
      <c r="CN463" s="122"/>
      <c r="CO463" s="122"/>
      <c r="CP463" s="122"/>
      <c r="CQ463" s="122"/>
      <c r="CR463" s="122"/>
      <c r="CS463" s="122"/>
      <c r="CT463" s="122"/>
      <c r="CU463" s="122"/>
      <c r="CV463" s="122"/>
      <c r="CW463" s="122"/>
      <c r="CX463" s="122"/>
      <c r="CY463" s="122"/>
      <c r="CZ463" s="122"/>
      <c r="DA463" s="122"/>
      <c r="DB463" s="122"/>
      <c r="DC463" s="122"/>
      <c r="DD463" s="122"/>
      <c r="DE463" s="122"/>
      <c r="DF463" s="122"/>
      <c r="DG463" s="122"/>
      <c r="DH463" s="122"/>
      <c r="DI463" s="122"/>
      <c r="DJ463" s="122"/>
      <c r="DK463" s="122"/>
      <c r="DL463" s="122"/>
      <c r="DM463" s="122"/>
      <c r="DN463" s="122"/>
      <c r="DO463" s="122"/>
      <c r="DP463" s="122"/>
      <c r="DQ463" s="122"/>
      <c r="DR463" s="122"/>
      <c r="DS463" s="122"/>
      <c r="DT463" s="122"/>
      <c r="DU463" s="122"/>
      <c r="DV463" s="122"/>
      <c r="DW463" s="122"/>
      <c r="DX463" s="122"/>
      <c r="DY463" s="122"/>
      <c r="DZ463" s="122"/>
      <c r="EA463" s="122"/>
      <c r="EB463" s="122"/>
      <c r="EC463" s="122"/>
      <c r="ED463" s="122"/>
      <c r="EE463" s="122"/>
      <c r="EF463" s="122"/>
      <c r="EG463" s="122"/>
      <c r="EH463" s="122"/>
      <c r="EI463" s="122"/>
      <c r="EJ463" s="122"/>
      <c r="EK463" s="122"/>
      <c r="EL463" s="122"/>
      <c r="EM463" s="122"/>
      <c r="EN463" s="122"/>
      <c r="EO463" s="122"/>
      <c r="EP463" s="122"/>
      <c r="EQ463" s="122"/>
      <c r="ER463" s="122"/>
      <c r="ES463" s="122"/>
      <c r="ET463" s="122"/>
      <c r="EU463" s="122"/>
      <c r="EV463" s="122"/>
      <c r="EW463" s="122"/>
      <c r="EX463" s="122"/>
      <c r="EY463" s="122"/>
      <c r="EZ463" s="122"/>
      <c r="FA463" s="122"/>
      <c r="FB463" s="122"/>
      <c r="FC463" s="122"/>
      <c r="FD463" s="122"/>
      <c r="FE463" s="122"/>
      <c r="FF463" s="122"/>
      <c r="FG463" s="122"/>
      <c r="FH463" s="122"/>
      <c r="FI463" s="122"/>
      <c r="FJ463" s="122"/>
      <c r="FK463" s="122"/>
      <c r="FL463" s="122"/>
      <c r="FM463" s="122"/>
      <c r="FN463" s="122"/>
      <c r="FO463" s="122"/>
      <c r="FP463" s="122"/>
      <c r="FQ463" s="122"/>
      <c r="FR463" s="122"/>
      <c r="FS463" s="122"/>
      <c r="FT463" s="122"/>
      <c r="FU463" s="122"/>
      <c r="FV463" s="122"/>
      <c r="FW463" s="122"/>
      <c r="FX463" s="122"/>
      <c r="FY463" s="122"/>
      <c r="FZ463" s="122"/>
      <c r="GA463" s="122"/>
      <c r="GB463" s="122"/>
      <c r="GC463" s="122"/>
      <c r="GD463" s="122"/>
      <c r="GE463" s="122"/>
      <c r="GF463" s="122"/>
      <c r="GG463" s="122"/>
      <c r="GH463" s="122"/>
      <c r="GI463" s="122"/>
      <c r="GJ463" s="122"/>
      <c r="GK463" s="122"/>
      <c r="GL463" s="122"/>
      <c r="GM463" s="122"/>
      <c r="GN463" s="122"/>
      <c r="GO463" s="122"/>
      <c r="GP463" s="122"/>
      <c r="GQ463" s="122"/>
      <c r="GR463" s="122"/>
      <c r="GS463" s="122"/>
      <c r="GT463" s="122"/>
      <c r="GU463" s="122"/>
      <c r="GV463" s="122"/>
      <c r="GW463" s="122"/>
      <c r="GX463" s="122"/>
      <c r="GY463" s="122"/>
      <c r="GZ463" s="122"/>
      <c r="HA463" s="122"/>
      <c r="HB463" s="122"/>
      <c r="HC463" s="122"/>
      <c r="HD463" s="122"/>
      <c r="HE463" s="122"/>
      <c r="HF463" s="122"/>
      <c r="HG463" s="122"/>
      <c r="HH463" s="122"/>
      <c r="HI463" s="122"/>
      <c r="HJ463" s="122"/>
      <c r="HK463" s="122"/>
      <c r="HL463" s="122"/>
      <c r="HM463" s="122"/>
      <c r="HN463" s="122"/>
      <c r="HO463" s="122"/>
      <c r="HP463" s="122"/>
      <c r="HQ463" s="122"/>
      <c r="HR463" s="122"/>
      <c r="HS463" s="122"/>
      <c r="HT463" s="122"/>
      <c r="HU463" s="122"/>
      <c r="HV463" s="122"/>
      <c r="HW463" s="122"/>
      <c r="HX463" s="122"/>
      <c r="HY463" s="122"/>
      <c r="HZ463" s="122"/>
      <c r="IA463" s="122"/>
      <c r="IB463" s="122"/>
      <c r="IC463" s="122"/>
      <c r="ID463" s="122"/>
      <c r="IE463" s="122"/>
      <c r="IF463" s="122"/>
      <c r="IG463" s="122"/>
      <c r="IH463" s="122"/>
      <c r="II463" s="122"/>
      <c r="IJ463" s="122"/>
      <c r="IK463" s="122"/>
      <c r="IL463" s="122"/>
      <c r="IM463" s="122"/>
      <c r="IN463" s="122"/>
      <c r="IO463" s="122"/>
      <c r="IP463" s="122"/>
      <c r="IQ463" s="122"/>
      <c r="IR463" s="122"/>
      <c r="IS463" s="122"/>
      <c r="IT463" s="122"/>
      <c r="IU463" s="122"/>
      <c r="IV463" s="122"/>
      <c r="IW463" s="122"/>
      <c r="IX463" s="122"/>
      <c r="IY463" s="122"/>
      <c r="IZ463" s="122"/>
      <c r="JA463" s="122"/>
      <c r="JB463" s="122"/>
      <c r="JC463" s="122"/>
      <c r="JD463" s="122"/>
      <c r="JE463" s="122"/>
      <c r="JF463" s="122"/>
      <c r="JG463" s="122"/>
      <c r="JH463" s="122"/>
      <c r="JI463" s="119"/>
      <c r="JJ463" s="2"/>
      <c r="JK463" s="122"/>
      <c r="JL463" s="125"/>
      <c r="JM463" s="125"/>
      <c r="JN463" s="125"/>
      <c r="JO463" s="125"/>
      <c r="JP463" s="125"/>
    </row>
    <row r="464" spans="1:276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122"/>
      <c r="AI464" s="122"/>
      <c r="AJ464" s="122"/>
      <c r="AK464" s="122"/>
      <c r="AL464" s="122"/>
      <c r="AM464" s="122"/>
      <c r="AN464" s="122"/>
      <c r="AO464" s="122"/>
      <c r="AP464" s="122"/>
      <c r="AQ464" s="122"/>
      <c r="AR464" s="122"/>
      <c r="AS464" s="122"/>
      <c r="AT464" s="122"/>
      <c r="AU464" s="122"/>
      <c r="AV464" s="122"/>
      <c r="AW464" s="122"/>
      <c r="AX464" s="122"/>
      <c r="AY464" s="122"/>
      <c r="AZ464" s="122"/>
      <c r="BA464" s="122"/>
      <c r="BB464" s="122"/>
      <c r="BC464" s="122"/>
      <c r="BD464" s="122"/>
      <c r="BE464" s="122"/>
      <c r="BF464" s="122"/>
      <c r="BG464" s="122"/>
      <c r="BH464" s="122"/>
      <c r="BI464" s="122"/>
      <c r="BJ464" s="122"/>
      <c r="BK464" s="122"/>
      <c r="BL464" s="122"/>
      <c r="BM464" s="122"/>
      <c r="BN464" s="122"/>
      <c r="BO464" s="122"/>
      <c r="BP464" s="122"/>
      <c r="BQ464" s="122"/>
      <c r="BR464" s="122"/>
      <c r="BS464" s="122"/>
      <c r="BT464" s="122"/>
      <c r="BU464" s="122"/>
      <c r="BV464" s="122"/>
      <c r="BW464" s="122"/>
      <c r="BX464" s="122"/>
      <c r="BY464" s="122"/>
      <c r="BZ464" s="122"/>
      <c r="CA464" s="122"/>
      <c r="CB464" s="122"/>
      <c r="CC464" s="122"/>
      <c r="CD464" s="122"/>
      <c r="CE464" s="122"/>
      <c r="CF464" s="122"/>
      <c r="CG464" s="122"/>
      <c r="CH464" s="122"/>
      <c r="CI464" s="122"/>
      <c r="CJ464" s="122"/>
      <c r="CK464" s="122"/>
      <c r="CL464" s="122"/>
      <c r="CM464" s="122"/>
      <c r="CN464" s="122"/>
      <c r="CO464" s="122"/>
      <c r="CP464" s="122"/>
      <c r="CQ464" s="122"/>
      <c r="CR464" s="122"/>
      <c r="CS464" s="122"/>
      <c r="CT464" s="122"/>
      <c r="CU464" s="122"/>
      <c r="CV464" s="122"/>
      <c r="CW464" s="122"/>
      <c r="CX464" s="122"/>
      <c r="CY464" s="122"/>
      <c r="CZ464" s="122"/>
      <c r="DA464" s="122"/>
      <c r="DB464" s="122"/>
      <c r="DC464" s="122"/>
      <c r="DD464" s="122"/>
      <c r="DE464" s="122"/>
      <c r="DF464" s="122"/>
      <c r="DG464" s="122"/>
      <c r="DH464" s="122"/>
      <c r="DI464" s="122"/>
      <c r="DJ464" s="122"/>
      <c r="DK464" s="122"/>
      <c r="DL464" s="122"/>
      <c r="DM464" s="122"/>
      <c r="DN464" s="122"/>
      <c r="DO464" s="122"/>
      <c r="DP464" s="122"/>
      <c r="DQ464" s="122"/>
      <c r="DR464" s="122"/>
      <c r="DS464" s="122"/>
      <c r="DT464" s="122"/>
      <c r="DU464" s="122"/>
      <c r="DV464" s="122"/>
      <c r="DW464" s="122"/>
      <c r="DX464" s="122"/>
      <c r="DY464" s="122"/>
      <c r="DZ464" s="122"/>
      <c r="EA464" s="122"/>
      <c r="EB464" s="122"/>
      <c r="EC464" s="122"/>
      <c r="ED464" s="122"/>
      <c r="EE464" s="122"/>
      <c r="EF464" s="122"/>
      <c r="EG464" s="122"/>
      <c r="EH464" s="122"/>
      <c r="EI464" s="122"/>
      <c r="EJ464" s="122"/>
      <c r="EK464" s="122"/>
      <c r="EL464" s="122"/>
      <c r="EM464" s="122"/>
      <c r="EN464" s="122"/>
      <c r="EO464" s="122"/>
      <c r="EP464" s="122"/>
      <c r="EQ464" s="122"/>
      <c r="ER464" s="122"/>
      <c r="ES464" s="122"/>
      <c r="ET464" s="122"/>
      <c r="EU464" s="122"/>
      <c r="EV464" s="122"/>
      <c r="EW464" s="122"/>
      <c r="EX464" s="122"/>
      <c r="EY464" s="122"/>
      <c r="EZ464" s="122"/>
      <c r="FA464" s="122"/>
      <c r="FB464" s="122"/>
      <c r="FC464" s="122"/>
      <c r="FD464" s="122"/>
      <c r="FE464" s="122"/>
      <c r="FF464" s="122"/>
      <c r="FG464" s="122"/>
      <c r="FH464" s="122"/>
      <c r="FI464" s="122"/>
      <c r="FJ464" s="122"/>
      <c r="FK464" s="122"/>
      <c r="FL464" s="122"/>
      <c r="FM464" s="122"/>
      <c r="FN464" s="122"/>
      <c r="FO464" s="122"/>
      <c r="FP464" s="122"/>
      <c r="FQ464" s="122"/>
      <c r="FR464" s="122"/>
      <c r="FS464" s="122"/>
      <c r="FT464" s="122"/>
      <c r="FU464" s="122"/>
      <c r="FV464" s="122"/>
      <c r="FW464" s="122"/>
      <c r="FX464" s="122"/>
      <c r="FY464" s="122"/>
      <c r="FZ464" s="122"/>
      <c r="GA464" s="122"/>
      <c r="GB464" s="122"/>
      <c r="GC464" s="122"/>
      <c r="GD464" s="122"/>
      <c r="GE464" s="122"/>
      <c r="GF464" s="122"/>
      <c r="GG464" s="122"/>
      <c r="GH464" s="122"/>
      <c r="GI464" s="122"/>
      <c r="GJ464" s="122"/>
      <c r="GK464" s="122"/>
      <c r="GL464" s="122"/>
      <c r="GM464" s="122"/>
      <c r="GN464" s="122"/>
      <c r="GO464" s="122"/>
      <c r="GP464" s="122"/>
      <c r="GQ464" s="122"/>
      <c r="GR464" s="122"/>
      <c r="GS464" s="122"/>
      <c r="GT464" s="122"/>
      <c r="GU464" s="122"/>
      <c r="GV464" s="122"/>
      <c r="GW464" s="122"/>
      <c r="GX464" s="122"/>
      <c r="GY464" s="122"/>
      <c r="GZ464" s="122"/>
      <c r="HA464" s="122"/>
      <c r="HB464" s="122"/>
      <c r="HC464" s="122"/>
      <c r="HD464" s="122"/>
      <c r="HE464" s="122"/>
      <c r="HF464" s="122"/>
      <c r="HG464" s="122"/>
      <c r="HH464" s="122"/>
      <c r="HI464" s="122"/>
      <c r="HJ464" s="122"/>
      <c r="HK464" s="122"/>
      <c r="HL464" s="122"/>
      <c r="HM464" s="122"/>
      <c r="HN464" s="122"/>
      <c r="HO464" s="122"/>
      <c r="HP464" s="122"/>
      <c r="HQ464" s="122"/>
      <c r="HR464" s="122"/>
      <c r="HS464" s="122"/>
      <c r="HT464" s="122"/>
      <c r="HU464" s="122"/>
      <c r="HV464" s="122"/>
      <c r="HW464" s="122"/>
      <c r="HX464" s="122"/>
      <c r="HY464" s="122"/>
      <c r="HZ464" s="122"/>
      <c r="IA464" s="122"/>
      <c r="IB464" s="122"/>
      <c r="IC464" s="122"/>
      <c r="ID464" s="122"/>
      <c r="IE464" s="122"/>
      <c r="IF464" s="122"/>
      <c r="IG464" s="122"/>
      <c r="IH464" s="122"/>
      <c r="II464" s="122"/>
      <c r="IJ464" s="122"/>
      <c r="IK464" s="122"/>
      <c r="IL464" s="122"/>
      <c r="IM464" s="122"/>
      <c r="IN464" s="122"/>
      <c r="IO464" s="122"/>
      <c r="IP464" s="122"/>
      <c r="IQ464" s="122"/>
      <c r="IR464" s="122"/>
      <c r="IS464" s="122"/>
      <c r="IT464" s="122"/>
      <c r="IU464" s="122"/>
      <c r="IV464" s="122"/>
      <c r="IW464" s="122"/>
      <c r="IX464" s="122"/>
      <c r="IY464" s="122"/>
      <c r="IZ464" s="122"/>
      <c r="JA464" s="122"/>
      <c r="JB464" s="122"/>
      <c r="JC464" s="122"/>
      <c r="JD464" s="122"/>
      <c r="JE464" s="122"/>
      <c r="JF464" s="122"/>
      <c r="JG464" s="122"/>
      <c r="JH464" s="122"/>
      <c r="JI464" s="119"/>
      <c r="JJ464" s="2"/>
      <c r="JK464" s="122"/>
      <c r="JL464" s="125"/>
      <c r="JM464" s="125"/>
      <c r="JN464" s="125"/>
      <c r="JO464" s="125"/>
      <c r="JP464" s="125"/>
    </row>
    <row r="465" spans="1:276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122"/>
      <c r="AJ465" s="122"/>
      <c r="AK465" s="122"/>
      <c r="AL465" s="122"/>
      <c r="AM465" s="122"/>
      <c r="AN465" s="122"/>
      <c r="AO465" s="122"/>
      <c r="AP465" s="122"/>
      <c r="AQ465" s="122"/>
      <c r="AR465" s="122"/>
      <c r="AS465" s="122"/>
      <c r="AT465" s="122"/>
      <c r="AU465" s="122"/>
      <c r="AV465" s="122"/>
      <c r="AW465" s="122"/>
      <c r="AX465" s="122"/>
      <c r="AY465" s="122"/>
      <c r="AZ465" s="122"/>
      <c r="BA465" s="122"/>
      <c r="BB465" s="122"/>
      <c r="BC465" s="122"/>
      <c r="BD465" s="122"/>
      <c r="BE465" s="122"/>
      <c r="BF465" s="122"/>
      <c r="BG465" s="122"/>
      <c r="BH465" s="122"/>
      <c r="BI465" s="122"/>
      <c r="BJ465" s="122"/>
      <c r="BK465" s="122"/>
      <c r="BL465" s="122"/>
      <c r="BM465" s="122"/>
      <c r="BN465" s="122"/>
      <c r="BO465" s="122"/>
      <c r="BP465" s="122"/>
      <c r="BQ465" s="122"/>
      <c r="BR465" s="122"/>
      <c r="BS465" s="122"/>
      <c r="BT465" s="122"/>
      <c r="BU465" s="122"/>
      <c r="BV465" s="122"/>
      <c r="BW465" s="122"/>
      <c r="BX465" s="122"/>
      <c r="BY465" s="122"/>
      <c r="BZ465" s="122"/>
      <c r="CA465" s="122"/>
      <c r="CB465" s="122"/>
      <c r="CC465" s="122"/>
      <c r="CD465" s="122"/>
      <c r="CE465" s="122"/>
      <c r="CF465" s="122"/>
      <c r="CG465" s="122"/>
      <c r="CH465" s="122"/>
      <c r="CI465" s="122"/>
      <c r="CJ465" s="122"/>
      <c r="CK465" s="122"/>
      <c r="CL465" s="122"/>
      <c r="CM465" s="122"/>
      <c r="CN465" s="122"/>
      <c r="CO465" s="122"/>
      <c r="CP465" s="122"/>
      <c r="CQ465" s="122"/>
      <c r="CR465" s="122"/>
      <c r="CS465" s="122"/>
      <c r="CT465" s="122"/>
      <c r="CU465" s="122"/>
      <c r="CV465" s="122"/>
      <c r="CW465" s="122"/>
      <c r="CX465" s="122"/>
      <c r="CY465" s="122"/>
      <c r="CZ465" s="122"/>
      <c r="DA465" s="122"/>
      <c r="DB465" s="122"/>
      <c r="DC465" s="122"/>
      <c r="DD465" s="122"/>
      <c r="DE465" s="122"/>
      <c r="DF465" s="122"/>
      <c r="DG465" s="122"/>
      <c r="DH465" s="122"/>
      <c r="DI465" s="122"/>
      <c r="DJ465" s="122"/>
      <c r="DK465" s="122"/>
      <c r="DL465" s="122"/>
      <c r="DM465" s="122"/>
      <c r="DN465" s="122"/>
      <c r="DO465" s="122"/>
      <c r="DP465" s="122"/>
      <c r="DQ465" s="122"/>
      <c r="DR465" s="122"/>
      <c r="DS465" s="122"/>
      <c r="DT465" s="122"/>
      <c r="DU465" s="122"/>
      <c r="DV465" s="122"/>
      <c r="DW465" s="122"/>
      <c r="DX465" s="122"/>
      <c r="DY465" s="122"/>
      <c r="DZ465" s="122"/>
      <c r="EA465" s="122"/>
      <c r="EB465" s="122"/>
      <c r="EC465" s="122"/>
      <c r="ED465" s="122"/>
      <c r="EE465" s="122"/>
      <c r="EF465" s="122"/>
      <c r="EG465" s="122"/>
      <c r="EH465" s="122"/>
      <c r="EI465" s="122"/>
      <c r="EJ465" s="122"/>
      <c r="EK465" s="122"/>
      <c r="EL465" s="122"/>
      <c r="EM465" s="122"/>
      <c r="EN465" s="122"/>
      <c r="EO465" s="122"/>
      <c r="EP465" s="122"/>
      <c r="EQ465" s="122"/>
      <c r="ER465" s="122"/>
      <c r="ES465" s="122"/>
      <c r="ET465" s="122"/>
      <c r="EU465" s="122"/>
      <c r="EV465" s="122"/>
      <c r="EW465" s="122"/>
      <c r="EX465" s="122"/>
      <c r="EY465" s="122"/>
      <c r="EZ465" s="122"/>
      <c r="FA465" s="122"/>
      <c r="FB465" s="122"/>
      <c r="FC465" s="122"/>
      <c r="FD465" s="122"/>
      <c r="FE465" s="122"/>
      <c r="FF465" s="122"/>
      <c r="FG465" s="122"/>
      <c r="FH465" s="122"/>
      <c r="FI465" s="122"/>
      <c r="FJ465" s="122"/>
      <c r="FK465" s="122"/>
      <c r="FL465" s="122"/>
      <c r="FM465" s="122"/>
      <c r="FN465" s="122"/>
      <c r="FO465" s="122"/>
      <c r="FP465" s="122"/>
      <c r="FQ465" s="122"/>
      <c r="FR465" s="122"/>
      <c r="FS465" s="122"/>
      <c r="FT465" s="122"/>
      <c r="FU465" s="122"/>
      <c r="FV465" s="122"/>
      <c r="FW465" s="122"/>
      <c r="FX465" s="122"/>
      <c r="FY465" s="122"/>
      <c r="FZ465" s="122"/>
      <c r="GA465" s="122"/>
      <c r="GB465" s="122"/>
      <c r="GC465" s="122"/>
      <c r="GD465" s="122"/>
      <c r="GE465" s="122"/>
      <c r="GF465" s="122"/>
      <c r="GG465" s="122"/>
      <c r="GH465" s="122"/>
      <c r="GI465" s="122"/>
      <c r="GJ465" s="122"/>
      <c r="GK465" s="122"/>
      <c r="GL465" s="122"/>
      <c r="GM465" s="122"/>
      <c r="GN465" s="122"/>
      <c r="GO465" s="122"/>
      <c r="GP465" s="122"/>
      <c r="GQ465" s="122"/>
      <c r="GR465" s="122"/>
      <c r="GS465" s="122"/>
      <c r="GT465" s="122"/>
      <c r="GU465" s="122"/>
      <c r="GV465" s="122"/>
      <c r="GW465" s="122"/>
      <c r="GX465" s="122"/>
      <c r="GY465" s="122"/>
      <c r="GZ465" s="122"/>
      <c r="HA465" s="122"/>
      <c r="HB465" s="122"/>
      <c r="HC465" s="122"/>
      <c r="HD465" s="122"/>
      <c r="HE465" s="122"/>
      <c r="HF465" s="122"/>
      <c r="HG465" s="122"/>
      <c r="HH465" s="122"/>
      <c r="HI465" s="122"/>
      <c r="HJ465" s="122"/>
      <c r="HK465" s="122"/>
      <c r="HL465" s="122"/>
      <c r="HM465" s="122"/>
      <c r="HN465" s="122"/>
      <c r="HO465" s="122"/>
      <c r="HP465" s="122"/>
      <c r="HQ465" s="122"/>
      <c r="HR465" s="122"/>
      <c r="HS465" s="122"/>
      <c r="HT465" s="122"/>
      <c r="HU465" s="122"/>
      <c r="HV465" s="122"/>
      <c r="HW465" s="122"/>
      <c r="HX465" s="122"/>
      <c r="HY465" s="122"/>
      <c r="HZ465" s="122"/>
      <c r="IA465" s="122"/>
      <c r="IB465" s="122"/>
      <c r="IC465" s="122"/>
      <c r="ID465" s="122"/>
      <c r="IE465" s="122"/>
      <c r="IF465" s="122"/>
      <c r="IG465" s="122"/>
      <c r="IH465" s="122"/>
      <c r="II465" s="122"/>
      <c r="IJ465" s="122"/>
      <c r="IK465" s="122"/>
      <c r="IL465" s="122"/>
      <c r="IM465" s="122"/>
      <c r="IN465" s="122"/>
      <c r="IO465" s="122"/>
      <c r="IP465" s="122"/>
      <c r="IQ465" s="122"/>
      <c r="IR465" s="122"/>
      <c r="IS465" s="122"/>
      <c r="IT465" s="122"/>
      <c r="IU465" s="122"/>
      <c r="IV465" s="122"/>
      <c r="IW465" s="122"/>
      <c r="IX465" s="122"/>
      <c r="IY465" s="122"/>
      <c r="IZ465" s="122"/>
      <c r="JA465" s="122"/>
      <c r="JB465" s="122"/>
      <c r="JC465" s="122"/>
      <c r="JD465" s="122"/>
      <c r="JE465" s="122"/>
      <c r="JF465" s="122"/>
      <c r="JG465" s="122"/>
      <c r="JH465" s="122"/>
      <c r="JI465" s="119"/>
      <c r="JJ465" s="2"/>
      <c r="JK465" s="122"/>
      <c r="JL465" s="125"/>
      <c r="JM465" s="125"/>
      <c r="JN465" s="125"/>
      <c r="JO465" s="125"/>
      <c r="JP465" s="125"/>
    </row>
    <row r="466" spans="1:27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122"/>
      <c r="AI466" s="122"/>
      <c r="AJ466" s="122"/>
      <c r="AK466" s="122"/>
      <c r="AL466" s="122"/>
      <c r="AM466" s="122"/>
      <c r="AN466" s="122"/>
      <c r="AO466" s="122"/>
      <c r="AP466" s="122"/>
      <c r="AQ466" s="122"/>
      <c r="AR466" s="122"/>
      <c r="AS466" s="122"/>
      <c r="AT466" s="122"/>
      <c r="AU466" s="122"/>
      <c r="AV466" s="122"/>
      <c r="AW466" s="122"/>
      <c r="AX466" s="122"/>
      <c r="AY466" s="122"/>
      <c r="AZ466" s="122"/>
      <c r="BA466" s="122"/>
      <c r="BB466" s="122"/>
      <c r="BC466" s="122"/>
      <c r="BD466" s="122"/>
      <c r="BE466" s="122"/>
      <c r="BF466" s="122"/>
      <c r="BG466" s="122"/>
      <c r="BH466" s="122"/>
      <c r="BI466" s="122"/>
      <c r="BJ466" s="122"/>
      <c r="BK466" s="122"/>
      <c r="BL466" s="122"/>
      <c r="BM466" s="122"/>
      <c r="BN466" s="122"/>
      <c r="BO466" s="122"/>
      <c r="BP466" s="122"/>
      <c r="BQ466" s="122"/>
      <c r="BR466" s="122"/>
      <c r="BS466" s="122"/>
      <c r="BT466" s="122"/>
      <c r="BU466" s="122"/>
      <c r="BV466" s="122"/>
      <c r="BW466" s="122"/>
      <c r="BX466" s="122"/>
      <c r="BY466" s="122"/>
      <c r="BZ466" s="122"/>
      <c r="CA466" s="122"/>
      <c r="CB466" s="122"/>
      <c r="CC466" s="122"/>
      <c r="CD466" s="122"/>
      <c r="CE466" s="122"/>
      <c r="CF466" s="122"/>
      <c r="CG466" s="122"/>
      <c r="CH466" s="122"/>
      <c r="CI466" s="122"/>
      <c r="CJ466" s="122"/>
      <c r="CK466" s="122"/>
      <c r="CL466" s="122"/>
      <c r="CM466" s="122"/>
      <c r="CN466" s="122"/>
      <c r="CO466" s="122"/>
      <c r="CP466" s="122"/>
      <c r="CQ466" s="122"/>
      <c r="CR466" s="122"/>
      <c r="CS466" s="122"/>
      <c r="CT466" s="122"/>
      <c r="CU466" s="122"/>
      <c r="CV466" s="122"/>
      <c r="CW466" s="122"/>
      <c r="CX466" s="122"/>
      <c r="CY466" s="122"/>
      <c r="CZ466" s="122"/>
      <c r="DA466" s="122"/>
      <c r="DB466" s="122"/>
      <c r="DC466" s="122"/>
      <c r="DD466" s="122"/>
      <c r="DE466" s="122"/>
      <c r="DF466" s="122"/>
      <c r="DG466" s="122"/>
      <c r="DH466" s="122"/>
      <c r="DI466" s="122"/>
      <c r="DJ466" s="122"/>
      <c r="DK466" s="122"/>
      <c r="DL466" s="122"/>
      <c r="DM466" s="122"/>
      <c r="DN466" s="122"/>
      <c r="DO466" s="122"/>
      <c r="DP466" s="122"/>
      <c r="DQ466" s="122"/>
      <c r="DR466" s="122"/>
      <c r="DS466" s="122"/>
      <c r="DT466" s="122"/>
      <c r="DU466" s="122"/>
      <c r="DV466" s="122"/>
      <c r="DW466" s="122"/>
      <c r="DX466" s="122"/>
      <c r="DY466" s="122"/>
      <c r="DZ466" s="122"/>
      <c r="EA466" s="122"/>
      <c r="EB466" s="122"/>
      <c r="EC466" s="122"/>
      <c r="ED466" s="122"/>
      <c r="EE466" s="122"/>
      <c r="EF466" s="122"/>
      <c r="EG466" s="122"/>
      <c r="EH466" s="122"/>
      <c r="EI466" s="122"/>
      <c r="EJ466" s="122"/>
      <c r="EK466" s="122"/>
      <c r="EL466" s="122"/>
      <c r="EM466" s="122"/>
      <c r="EN466" s="122"/>
      <c r="EO466" s="122"/>
      <c r="EP466" s="122"/>
      <c r="EQ466" s="122"/>
      <c r="ER466" s="122"/>
      <c r="ES466" s="122"/>
      <c r="ET466" s="122"/>
      <c r="EU466" s="122"/>
      <c r="EV466" s="122"/>
      <c r="EW466" s="122"/>
      <c r="EX466" s="122"/>
      <c r="EY466" s="122"/>
      <c r="EZ466" s="122"/>
      <c r="FA466" s="122"/>
      <c r="FB466" s="122"/>
      <c r="FC466" s="122"/>
      <c r="FD466" s="122"/>
      <c r="FE466" s="122"/>
      <c r="FF466" s="122"/>
      <c r="FG466" s="122"/>
      <c r="FH466" s="122"/>
      <c r="FI466" s="122"/>
      <c r="FJ466" s="122"/>
      <c r="FK466" s="122"/>
      <c r="FL466" s="122"/>
      <c r="FM466" s="122"/>
      <c r="FN466" s="122"/>
      <c r="FO466" s="122"/>
      <c r="FP466" s="122"/>
      <c r="FQ466" s="122"/>
      <c r="FR466" s="122"/>
      <c r="FS466" s="122"/>
      <c r="FT466" s="122"/>
      <c r="FU466" s="122"/>
      <c r="FV466" s="122"/>
      <c r="FW466" s="122"/>
      <c r="FX466" s="122"/>
      <c r="FY466" s="122"/>
      <c r="FZ466" s="122"/>
      <c r="GA466" s="122"/>
      <c r="GB466" s="122"/>
      <c r="GC466" s="122"/>
      <c r="GD466" s="122"/>
      <c r="GE466" s="122"/>
      <c r="GF466" s="122"/>
      <c r="GG466" s="122"/>
      <c r="GH466" s="122"/>
      <c r="GI466" s="122"/>
      <c r="GJ466" s="122"/>
      <c r="GK466" s="122"/>
      <c r="GL466" s="122"/>
      <c r="GM466" s="122"/>
      <c r="GN466" s="122"/>
      <c r="GO466" s="122"/>
      <c r="GP466" s="122"/>
      <c r="GQ466" s="122"/>
      <c r="GR466" s="122"/>
      <c r="GS466" s="122"/>
      <c r="GT466" s="122"/>
      <c r="GU466" s="122"/>
      <c r="GV466" s="122"/>
      <c r="GW466" s="122"/>
      <c r="GX466" s="122"/>
      <c r="GY466" s="122"/>
      <c r="GZ466" s="122"/>
      <c r="HA466" s="122"/>
      <c r="HB466" s="122"/>
      <c r="HC466" s="122"/>
      <c r="HD466" s="122"/>
      <c r="HE466" s="122"/>
      <c r="HF466" s="122"/>
      <c r="HG466" s="122"/>
      <c r="HH466" s="122"/>
      <c r="HI466" s="122"/>
      <c r="HJ466" s="122"/>
      <c r="HK466" s="122"/>
      <c r="HL466" s="122"/>
      <c r="HM466" s="122"/>
      <c r="HN466" s="122"/>
      <c r="HO466" s="122"/>
      <c r="HP466" s="122"/>
      <c r="HQ466" s="122"/>
      <c r="HR466" s="122"/>
      <c r="HS466" s="122"/>
      <c r="HT466" s="122"/>
      <c r="HU466" s="122"/>
      <c r="HV466" s="122"/>
      <c r="HW466" s="122"/>
      <c r="HX466" s="122"/>
      <c r="HY466" s="122"/>
      <c r="HZ466" s="122"/>
      <c r="IA466" s="122"/>
      <c r="IB466" s="122"/>
      <c r="IC466" s="122"/>
      <c r="ID466" s="122"/>
      <c r="IE466" s="122"/>
      <c r="IF466" s="122"/>
      <c r="IG466" s="122"/>
      <c r="IH466" s="122"/>
      <c r="II466" s="122"/>
      <c r="IJ466" s="122"/>
      <c r="IK466" s="122"/>
      <c r="IL466" s="122"/>
      <c r="IM466" s="122"/>
      <c r="IN466" s="122"/>
      <c r="IO466" s="122"/>
      <c r="IP466" s="122"/>
      <c r="IQ466" s="122"/>
      <c r="IR466" s="122"/>
      <c r="IS466" s="122"/>
      <c r="IT466" s="122"/>
      <c r="IU466" s="122"/>
      <c r="IV466" s="122"/>
      <c r="IW466" s="122"/>
      <c r="IX466" s="122"/>
      <c r="IY466" s="122"/>
      <c r="IZ466" s="122"/>
      <c r="JA466" s="122"/>
      <c r="JB466" s="122"/>
      <c r="JC466" s="122"/>
      <c r="JD466" s="122"/>
      <c r="JE466" s="122"/>
      <c r="JF466" s="122"/>
      <c r="JG466" s="122"/>
      <c r="JH466" s="122"/>
      <c r="JI466" s="119"/>
      <c r="JJ466" s="2"/>
      <c r="JK466" s="122"/>
      <c r="JL466" s="125"/>
      <c r="JM466" s="125"/>
      <c r="JN466" s="125"/>
      <c r="JO466" s="125"/>
      <c r="JP466" s="125"/>
    </row>
    <row r="467" spans="1:276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122"/>
      <c r="AJ467" s="122"/>
      <c r="AK467" s="122"/>
      <c r="AL467" s="122"/>
      <c r="AM467" s="122"/>
      <c r="AN467" s="122"/>
      <c r="AO467" s="122"/>
      <c r="AP467" s="122"/>
      <c r="AQ467" s="122"/>
      <c r="AR467" s="122"/>
      <c r="AS467" s="122"/>
      <c r="AT467" s="122"/>
      <c r="AU467" s="122"/>
      <c r="AV467" s="122"/>
      <c r="AW467" s="122"/>
      <c r="AX467" s="122"/>
      <c r="AY467" s="122"/>
      <c r="AZ467" s="122"/>
      <c r="BA467" s="122"/>
      <c r="BB467" s="122"/>
      <c r="BC467" s="122"/>
      <c r="BD467" s="122"/>
      <c r="BE467" s="122"/>
      <c r="BF467" s="122"/>
      <c r="BG467" s="122"/>
      <c r="BH467" s="122"/>
      <c r="BI467" s="122"/>
      <c r="BJ467" s="122"/>
      <c r="BK467" s="122"/>
      <c r="BL467" s="122"/>
      <c r="BM467" s="122"/>
      <c r="BN467" s="122"/>
      <c r="BO467" s="122"/>
      <c r="BP467" s="122"/>
      <c r="BQ467" s="122"/>
      <c r="BR467" s="122"/>
      <c r="BS467" s="122"/>
      <c r="BT467" s="122"/>
      <c r="BU467" s="122"/>
      <c r="BV467" s="122"/>
      <c r="BW467" s="122"/>
      <c r="BX467" s="122"/>
      <c r="BY467" s="122"/>
      <c r="BZ467" s="122"/>
      <c r="CA467" s="122"/>
      <c r="CB467" s="122"/>
      <c r="CC467" s="122"/>
      <c r="CD467" s="122"/>
      <c r="CE467" s="122"/>
      <c r="CF467" s="122"/>
      <c r="CG467" s="122"/>
      <c r="CH467" s="122"/>
      <c r="CI467" s="122"/>
      <c r="CJ467" s="122"/>
      <c r="CK467" s="122"/>
      <c r="CL467" s="122"/>
      <c r="CM467" s="122"/>
      <c r="CN467" s="122"/>
      <c r="CO467" s="122"/>
      <c r="CP467" s="122"/>
      <c r="CQ467" s="122"/>
      <c r="CR467" s="122"/>
      <c r="CS467" s="122"/>
      <c r="CT467" s="122"/>
      <c r="CU467" s="122"/>
      <c r="CV467" s="122"/>
      <c r="CW467" s="122"/>
      <c r="CX467" s="122"/>
      <c r="CY467" s="122"/>
      <c r="CZ467" s="122"/>
      <c r="DA467" s="122"/>
      <c r="DB467" s="122"/>
      <c r="DC467" s="122"/>
      <c r="DD467" s="122"/>
      <c r="DE467" s="122"/>
      <c r="DF467" s="122"/>
      <c r="DG467" s="122"/>
      <c r="DH467" s="122"/>
      <c r="DI467" s="122"/>
      <c r="DJ467" s="122"/>
      <c r="DK467" s="122"/>
      <c r="DL467" s="122"/>
      <c r="DM467" s="122"/>
      <c r="DN467" s="122"/>
      <c r="DO467" s="122"/>
      <c r="DP467" s="122"/>
      <c r="DQ467" s="122"/>
      <c r="DR467" s="122"/>
      <c r="DS467" s="122"/>
      <c r="DT467" s="122"/>
      <c r="DU467" s="122"/>
      <c r="DV467" s="122"/>
      <c r="DW467" s="122"/>
      <c r="DX467" s="122"/>
      <c r="DY467" s="122"/>
      <c r="DZ467" s="122"/>
      <c r="EA467" s="122"/>
      <c r="EB467" s="122"/>
      <c r="EC467" s="122"/>
      <c r="ED467" s="122"/>
      <c r="EE467" s="122"/>
      <c r="EF467" s="122"/>
      <c r="EG467" s="122"/>
      <c r="EH467" s="122"/>
      <c r="EI467" s="122"/>
      <c r="EJ467" s="122"/>
      <c r="EK467" s="122"/>
      <c r="EL467" s="122"/>
      <c r="EM467" s="122"/>
      <c r="EN467" s="122"/>
      <c r="EO467" s="122"/>
      <c r="EP467" s="122"/>
      <c r="EQ467" s="122"/>
      <c r="ER467" s="122"/>
      <c r="ES467" s="122"/>
      <c r="ET467" s="122"/>
      <c r="EU467" s="122"/>
      <c r="EV467" s="122"/>
      <c r="EW467" s="122"/>
      <c r="EX467" s="122"/>
      <c r="EY467" s="122"/>
      <c r="EZ467" s="122"/>
      <c r="FA467" s="122"/>
      <c r="FB467" s="122"/>
      <c r="FC467" s="122"/>
      <c r="FD467" s="122"/>
      <c r="FE467" s="122"/>
      <c r="FF467" s="122"/>
      <c r="FG467" s="122"/>
      <c r="FH467" s="122"/>
      <c r="FI467" s="122"/>
      <c r="FJ467" s="122"/>
      <c r="FK467" s="122"/>
      <c r="FL467" s="122"/>
      <c r="FM467" s="122"/>
      <c r="FN467" s="122"/>
      <c r="FO467" s="122"/>
      <c r="FP467" s="122"/>
      <c r="FQ467" s="122"/>
      <c r="FR467" s="122"/>
      <c r="FS467" s="122"/>
      <c r="FT467" s="122"/>
      <c r="FU467" s="122"/>
      <c r="FV467" s="122"/>
      <c r="FW467" s="122"/>
      <c r="FX467" s="122"/>
      <c r="FY467" s="122"/>
      <c r="FZ467" s="122"/>
      <c r="GA467" s="122"/>
      <c r="GB467" s="122"/>
      <c r="GC467" s="122"/>
      <c r="GD467" s="122"/>
      <c r="GE467" s="122"/>
      <c r="GF467" s="122"/>
      <c r="GG467" s="122"/>
      <c r="GH467" s="122"/>
      <c r="GI467" s="122"/>
      <c r="GJ467" s="122"/>
      <c r="GK467" s="122"/>
      <c r="GL467" s="122"/>
      <c r="GM467" s="122"/>
      <c r="GN467" s="122"/>
      <c r="GO467" s="122"/>
      <c r="GP467" s="122"/>
      <c r="GQ467" s="122"/>
      <c r="GR467" s="122"/>
      <c r="GS467" s="122"/>
      <c r="GT467" s="122"/>
      <c r="GU467" s="122"/>
      <c r="GV467" s="122"/>
      <c r="GW467" s="122"/>
      <c r="GX467" s="122"/>
      <c r="GY467" s="122"/>
      <c r="GZ467" s="122"/>
      <c r="HA467" s="122"/>
      <c r="HB467" s="122"/>
      <c r="HC467" s="122"/>
      <c r="HD467" s="122"/>
      <c r="HE467" s="122"/>
      <c r="HF467" s="122"/>
      <c r="HG467" s="122"/>
      <c r="HH467" s="122"/>
      <c r="HI467" s="122"/>
      <c r="HJ467" s="122"/>
      <c r="HK467" s="122"/>
      <c r="HL467" s="122"/>
      <c r="HM467" s="122"/>
      <c r="HN467" s="122"/>
      <c r="HO467" s="122"/>
      <c r="HP467" s="122"/>
      <c r="HQ467" s="122"/>
      <c r="HR467" s="122"/>
      <c r="HS467" s="122"/>
      <c r="HT467" s="122"/>
      <c r="HU467" s="122"/>
      <c r="HV467" s="122"/>
      <c r="HW467" s="122"/>
      <c r="HX467" s="122"/>
      <c r="HY467" s="122"/>
      <c r="HZ467" s="122"/>
      <c r="IA467" s="122"/>
      <c r="IB467" s="122"/>
      <c r="IC467" s="122"/>
      <c r="ID467" s="122"/>
      <c r="IE467" s="122"/>
      <c r="IF467" s="122"/>
      <c r="IG467" s="122"/>
      <c r="IH467" s="122"/>
      <c r="II467" s="122"/>
      <c r="IJ467" s="122"/>
      <c r="IK467" s="122"/>
      <c r="IL467" s="122"/>
      <c r="IM467" s="122"/>
      <c r="IN467" s="122"/>
      <c r="IO467" s="122"/>
      <c r="IP467" s="122"/>
      <c r="IQ467" s="122"/>
      <c r="IR467" s="122"/>
      <c r="IS467" s="122"/>
      <c r="IT467" s="122"/>
      <c r="IU467" s="122"/>
      <c r="IV467" s="122"/>
      <c r="IW467" s="122"/>
      <c r="IX467" s="122"/>
      <c r="IY467" s="122"/>
      <c r="IZ467" s="122"/>
      <c r="JA467" s="122"/>
      <c r="JB467" s="122"/>
      <c r="JC467" s="122"/>
      <c r="JD467" s="122"/>
      <c r="JE467" s="122"/>
      <c r="JF467" s="122"/>
      <c r="JG467" s="122"/>
      <c r="JH467" s="122"/>
      <c r="JI467" s="119"/>
      <c r="JJ467" s="2"/>
      <c r="JK467" s="122"/>
      <c r="JL467" s="125">
        <f t="shared" si="1"/>
        <v>0</v>
      </c>
      <c r="JM467" s="125"/>
      <c r="JN467" s="125"/>
      <c r="JO467" s="125"/>
      <c r="JP467" s="125"/>
    </row>
    <row r="468" spans="1:276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122"/>
      <c r="AI468" s="122"/>
      <c r="AJ468" s="122"/>
      <c r="AK468" s="122"/>
      <c r="AL468" s="122"/>
      <c r="AM468" s="122"/>
      <c r="AN468" s="122"/>
      <c r="AO468" s="122"/>
      <c r="AP468" s="122"/>
      <c r="AQ468" s="122"/>
      <c r="AR468" s="122"/>
      <c r="AS468" s="122"/>
      <c r="AT468" s="122"/>
      <c r="AU468" s="122"/>
      <c r="AV468" s="122"/>
      <c r="AW468" s="122"/>
      <c r="AX468" s="122"/>
      <c r="AY468" s="122"/>
      <c r="AZ468" s="122"/>
      <c r="BA468" s="122"/>
      <c r="BB468" s="122"/>
      <c r="BC468" s="122"/>
      <c r="BD468" s="122"/>
      <c r="BE468" s="122"/>
      <c r="BF468" s="122"/>
      <c r="BG468" s="122"/>
      <c r="BH468" s="122"/>
      <c r="BI468" s="122"/>
      <c r="BJ468" s="122"/>
      <c r="BK468" s="122"/>
      <c r="BL468" s="122"/>
      <c r="BM468" s="122"/>
      <c r="BN468" s="122"/>
      <c r="BO468" s="122"/>
      <c r="BP468" s="122"/>
      <c r="BQ468" s="122"/>
      <c r="BR468" s="122"/>
      <c r="BS468" s="122"/>
      <c r="BT468" s="122"/>
      <c r="BU468" s="122"/>
      <c r="BV468" s="122"/>
      <c r="BW468" s="122"/>
      <c r="BX468" s="122"/>
      <c r="BY468" s="122"/>
      <c r="BZ468" s="122"/>
      <c r="CA468" s="122"/>
      <c r="CB468" s="122"/>
      <c r="CC468" s="122"/>
      <c r="CD468" s="122"/>
      <c r="CE468" s="122"/>
      <c r="CF468" s="122"/>
      <c r="CG468" s="122"/>
      <c r="CH468" s="122"/>
      <c r="CI468" s="122"/>
      <c r="CJ468" s="122"/>
      <c r="CK468" s="122"/>
      <c r="CL468" s="122"/>
      <c r="CM468" s="122"/>
      <c r="CN468" s="122"/>
      <c r="CO468" s="122"/>
      <c r="CP468" s="122"/>
      <c r="CQ468" s="122"/>
      <c r="CR468" s="122"/>
      <c r="CS468" s="122"/>
      <c r="CT468" s="122"/>
      <c r="CU468" s="122"/>
      <c r="CV468" s="122"/>
      <c r="CW468" s="122"/>
      <c r="CX468" s="122"/>
      <c r="CY468" s="122"/>
      <c r="CZ468" s="122"/>
      <c r="DA468" s="122"/>
      <c r="DB468" s="122"/>
      <c r="DC468" s="122"/>
      <c r="DD468" s="122"/>
      <c r="DE468" s="122"/>
      <c r="DF468" s="122"/>
      <c r="DG468" s="122"/>
      <c r="DH468" s="122"/>
      <c r="DI468" s="122"/>
      <c r="DJ468" s="122"/>
      <c r="DK468" s="122"/>
      <c r="DL468" s="122"/>
      <c r="DM468" s="122"/>
      <c r="DN468" s="122"/>
      <c r="DO468" s="122"/>
      <c r="DP468" s="122"/>
      <c r="DQ468" s="122"/>
      <c r="DR468" s="122"/>
      <c r="DS468" s="122"/>
      <c r="DT468" s="122"/>
      <c r="DU468" s="122"/>
      <c r="DV468" s="122"/>
      <c r="DW468" s="122"/>
      <c r="DX468" s="122"/>
      <c r="DY468" s="122"/>
      <c r="DZ468" s="122"/>
      <c r="EA468" s="122"/>
      <c r="EB468" s="122"/>
      <c r="EC468" s="122"/>
      <c r="ED468" s="122"/>
      <c r="EE468" s="122"/>
      <c r="EF468" s="122"/>
      <c r="EG468" s="122"/>
      <c r="EH468" s="122"/>
      <c r="EI468" s="122"/>
      <c r="EJ468" s="122"/>
      <c r="EK468" s="122"/>
      <c r="EL468" s="122"/>
      <c r="EM468" s="122"/>
      <c r="EN468" s="122"/>
      <c r="EO468" s="122"/>
      <c r="EP468" s="122"/>
      <c r="EQ468" s="122"/>
      <c r="ER468" s="122"/>
      <c r="ES468" s="122"/>
      <c r="ET468" s="122"/>
      <c r="EU468" s="122"/>
      <c r="EV468" s="122"/>
      <c r="EW468" s="122"/>
      <c r="EX468" s="122"/>
      <c r="EY468" s="122"/>
      <c r="EZ468" s="122"/>
      <c r="FA468" s="122"/>
      <c r="FB468" s="122"/>
      <c r="FC468" s="122"/>
      <c r="FD468" s="122"/>
      <c r="FE468" s="122"/>
      <c r="FF468" s="122"/>
      <c r="FG468" s="122"/>
      <c r="FH468" s="122"/>
      <c r="FI468" s="122"/>
      <c r="FJ468" s="122"/>
      <c r="FK468" s="122"/>
      <c r="FL468" s="122"/>
      <c r="FM468" s="122"/>
      <c r="FN468" s="122"/>
      <c r="FO468" s="122"/>
      <c r="FP468" s="122"/>
      <c r="FQ468" s="122"/>
      <c r="FR468" s="122"/>
      <c r="FS468" s="122"/>
      <c r="FT468" s="122"/>
      <c r="FU468" s="122"/>
      <c r="FV468" s="122"/>
      <c r="FW468" s="122"/>
      <c r="FX468" s="122"/>
      <c r="FY468" s="122"/>
      <c r="FZ468" s="122"/>
      <c r="GA468" s="122"/>
      <c r="GB468" s="122"/>
      <c r="GC468" s="122"/>
      <c r="GD468" s="122"/>
      <c r="GE468" s="122"/>
      <c r="GF468" s="122"/>
      <c r="GG468" s="122"/>
      <c r="GH468" s="122"/>
      <c r="GI468" s="122"/>
      <c r="GJ468" s="122"/>
      <c r="GK468" s="122"/>
      <c r="GL468" s="122"/>
      <c r="GM468" s="122"/>
      <c r="GN468" s="122"/>
      <c r="GO468" s="122"/>
      <c r="GP468" s="122"/>
      <c r="GQ468" s="122"/>
      <c r="GR468" s="122"/>
      <c r="GS468" s="122"/>
      <c r="GT468" s="122"/>
      <c r="GU468" s="122"/>
      <c r="GV468" s="122"/>
      <c r="GW468" s="122"/>
      <c r="GX468" s="122"/>
      <c r="GY468" s="122"/>
      <c r="GZ468" s="122"/>
      <c r="HA468" s="122"/>
      <c r="HB468" s="122"/>
      <c r="HC468" s="122"/>
      <c r="HD468" s="122"/>
      <c r="HE468" s="122"/>
      <c r="HF468" s="122"/>
      <c r="HG468" s="122"/>
      <c r="HH468" s="122"/>
      <c r="HI468" s="122"/>
      <c r="HJ468" s="122"/>
      <c r="HK468" s="122"/>
      <c r="HL468" s="122"/>
      <c r="HM468" s="122"/>
      <c r="HN468" s="122"/>
      <c r="HO468" s="122"/>
      <c r="HP468" s="122"/>
      <c r="HQ468" s="122"/>
      <c r="HR468" s="122"/>
      <c r="HS468" s="122"/>
      <c r="HT468" s="122"/>
      <c r="HU468" s="122"/>
      <c r="HV468" s="122"/>
      <c r="HW468" s="122"/>
      <c r="HX468" s="122"/>
      <c r="HY468" s="122"/>
      <c r="HZ468" s="122"/>
      <c r="IA468" s="122"/>
      <c r="IB468" s="122"/>
      <c r="IC468" s="122"/>
      <c r="ID468" s="122"/>
      <c r="IE468" s="122"/>
      <c r="IF468" s="122"/>
      <c r="IG468" s="122"/>
      <c r="IH468" s="122"/>
      <c r="II468" s="122"/>
      <c r="IJ468" s="122"/>
      <c r="IK468" s="122"/>
      <c r="IL468" s="122"/>
      <c r="IM468" s="122"/>
      <c r="IN468" s="122"/>
      <c r="IO468" s="122"/>
      <c r="IP468" s="122"/>
      <c r="IQ468" s="122"/>
      <c r="IR468" s="122"/>
      <c r="IS468" s="122"/>
      <c r="IT468" s="122"/>
      <c r="IU468" s="122"/>
      <c r="IV468" s="122"/>
      <c r="IW468" s="122"/>
      <c r="IX468" s="122"/>
      <c r="IY468" s="122"/>
      <c r="IZ468" s="122"/>
      <c r="JA468" s="122"/>
      <c r="JB468" s="122"/>
      <c r="JC468" s="122"/>
      <c r="JD468" s="122"/>
      <c r="JE468" s="122"/>
      <c r="JF468" s="122"/>
      <c r="JG468" s="122"/>
      <c r="JH468" s="122"/>
      <c r="JI468" s="119"/>
      <c r="JJ468" s="2"/>
      <c r="JK468" s="122"/>
      <c r="JL468" s="125">
        <f t="shared" si="1"/>
        <v>0</v>
      </c>
      <c r="JM468" s="125"/>
      <c r="JN468" s="125"/>
      <c r="JO468" s="125"/>
      <c r="JP468" s="125"/>
    </row>
    <row r="469" spans="1:276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  <c r="AK469" s="122"/>
      <c r="AL469" s="122"/>
      <c r="AM469" s="122"/>
      <c r="AN469" s="122"/>
      <c r="AO469" s="122"/>
      <c r="AP469" s="122"/>
      <c r="AQ469" s="122"/>
      <c r="AR469" s="122"/>
      <c r="AS469" s="122"/>
      <c r="AT469" s="122"/>
      <c r="AU469" s="122"/>
      <c r="AV469" s="122"/>
      <c r="AW469" s="122"/>
      <c r="AX469" s="122"/>
      <c r="AY469" s="122"/>
      <c r="AZ469" s="122"/>
      <c r="BA469" s="122"/>
      <c r="BB469" s="122"/>
      <c r="BC469" s="122"/>
      <c r="BD469" s="122"/>
      <c r="BE469" s="122"/>
      <c r="BF469" s="122"/>
      <c r="BG469" s="122"/>
      <c r="BH469" s="122"/>
      <c r="BI469" s="122"/>
      <c r="BJ469" s="122"/>
      <c r="BK469" s="122"/>
      <c r="BL469" s="122"/>
      <c r="BM469" s="122"/>
      <c r="BN469" s="122"/>
      <c r="BO469" s="122"/>
      <c r="BP469" s="122"/>
      <c r="BQ469" s="122"/>
      <c r="BR469" s="122"/>
      <c r="BS469" s="122"/>
      <c r="BT469" s="122"/>
      <c r="BU469" s="122"/>
      <c r="BV469" s="122"/>
      <c r="BW469" s="122"/>
      <c r="BX469" s="122"/>
      <c r="BY469" s="122"/>
      <c r="BZ469" s="122"/>
      <c r="CA469" s="122"/>
      <c r="CB469" s="122"/>
      <c r="CC469" s="122"/>
      <c r="CD469" s="122"/>
      <c r="CE469" s="122"/>
      <c r="CF469" s="122"/>
      <c r="CG469" s="122"/>
      <c r="CH469" s="122"/>
      <c r="CI469" s="122"/>
      <c r="CJ469" s="122"/>
      <c r="CK469" s="122"/>
      <c r="CL469" s="122"/>
      <c r="CM469" s="122"/>
      <c r="CN469" s="122"/>
      <c r="CO469" s="122"/>
      <c r="CP469" s="122"/>
      <c r="CQ469" s="122"/>
      <c r="CR469" s="122"/>
      <c r="CS469" s="122"/>
      <c r="CT469" s="122"/>
      <c r="CU469" s="122"/>
      <c r="CV469" s="122"/>
      <c r="CW469" s="122"/>
      <c r="CX469" s="122"/>
      <c r="CY469" s="122"/>
      <c r="CZ469" s="122"/>
      <c r="DA469" s="122"/>
      <c r="DB469" s="122"/>
      <c r="DC469" s="122"/>
      <c r="DD469" s="122"/>
      <c r="DE469" s="122"/>
      <c r="DF469" s="122"/>
      <c r="DG469" s="122"/>
      <c r="DH469" s="122"/>
      <c r="DI469" s="122"/>
      <c r="DJ469" s="122"/>
      <c r="DK469" s="122"/>
      <c r="DL469" s="122"/>
      <c r="DM469" s="122"/>
      <c r="DN469" s="122"/>
      <c r="DO469" s="122"/>
      <c r="DP469" s="122"/>
      <c r="DQ469" s="122"/>
      <c r="DR469" s="122"/>
      <c r="DS469" s="122"/>
      <c r="DT469" s="122"/>
      <c r="DU469" s="122"/>
      <c r="DV469" s="122"/>
      <c r="DW469" s="122"/>
      <c r="DX469" s="122"/>
      <c r="DY469" s="122"/>
      <c r="DZ469" s="122"/>
      <c r="EA469" s="122"/>
      <c r="EB469" s="122"/>
      <c r="EC469" s="122"/>
      <c r="ED469" s="122"/>
      <c r="EE469" s="122"/>
      <c r="EF469" s="122"/>
      <c r="EG469" s="122"/>
      <c r="EH469" s="122"/>
      <c r="EI469" s="122"/>
      <c r="EJ469" s="122"/>
      <c r="EK469" s="122"/>
      <c r="EL469" s="122"/>
      <c r="EM469" s="122"/>
      <c r="EN469" s="122"/>
      <c r="EO469" s="122"/>
      <c r="EP469" s="122"/>
      <c r="EQ469" s="122"/>
      <c r="ER469" s="122"/>
      <c r="ES469" s="122"/>
      <c r="ET469" s="122"/>
      <c r="EU469" s="122"/>
      <c r="EV469" s="122"/>
      <c r="EW469" s="122"/>
      <c r="EX469" s="122"/>
      <c r="EY469" s="122"/>
      <c r="EZ469" s="122"/>
      <c r="FA469" s="122"/>
      <c r="FB469" s="122"/>
      <c r="FC469" s="122"/>
      <c r="FD469" s="122"/>
      <c r="FE469" s="122"/>
      <c r="FF469" s="122"/>
      <c r="FG469" s="122"/>
      <c r="FH469" s="122"/>
      <c r="FI469" s="122"/>
      <c r="FJ469" s="122"/>
      <c r="FK469" s="122"/>
      <c r="FL469" s="122"/>
      <c r="FM469" s="122"/>
      <c r="FN469" s="122"/>
      <c r="FO469" s="122"/>
      <c r="FP469" s="122"/>
      <c r="FQ469" s="122"/>
      <c r="FR469" s="122"/>
      <c r="FS469" s="122"/>
      <c r="FT469" s="122"/>
      <c r="FU469" s="122"/>
      <c r="FV469" s="122"/>
      <c r="FW469" s="122"/>
      <c r="FX469" s="122"/>
      <c r="FY469" s="122"/>
      <c r="FZ469" s="122"/>
      <c r="GA469" s="122"/>
      <c r="GB469" s="122"/>
      <c r="GC469" s="122"/>
      <c r="GD469" s="122"/>
      <c r="GE469" s="122"/>
      <c r="GF469" s="122"/>
      <c r="GG469" s="122"/>
      <c r="GH469" s="122"/>
      <c r="GI469" s="122"/>
      <c r="GJ469" s="122"/>
      <c r="GK469" s="122"/>
      <c r="GL469" s="122"/>
      <c r="GM469" s="122"/>
      <c r="GN469" s="122"/>
      <c r="GO469" s="122"/>
      <c r="GP469" s="122"/>
      <c r="GQ469" s="122"/>
      <c r="GR469" s="122"/>
      <c r="GS469" s="122"/>
      <c r="GT469" s="122"/>
      <c r="GU469" s="122"/>
      <c r="GV469" s="122"/>
      <c r="GW469" s="122"/>
      <c r="GX469" s="122"/>
      <c r="GY469" s="122"/>
      <c r="GZ469" s="122"/>
      <c r="HA469" s="122"/>
      <c r="HB469" s="122"/>
      <c r="HC469" s="122"/>
      <c r="HD469" s="122"/>
      <c r="HE469" s="122"/>
      <c r="HF469" s="122"/>
      <c r="HG469" s="122"/>
      <c r="HH469" s="122"/>
      <c r="HI469" s="122"/>
      <c r="HJ469" s="122"/>
      <c r="HK469" s="122"/>
      <c r="HL469" s="122"/>
      <c r="HM469" s="122"/>
      <c r="HN469" s="122"/>
      <c r="HO469" s="122"/>
      <c r="HP469" s="122"/>
      <c r="HQ469" s="122"/>
      <c r="HR469" s="122"/>
      <c r="HS469" s="122"/>
      <c r="HT469" s="122"/>
      <c r="HU469" s="122"/>
      <c r="HV469" s="122"/>
      <c r="HW469" s="122"/>
      <c r="HX469" s="122"/>
      <c r="HY469" s="122"/>
      <c r="HZ469" s="122"/>
      <c r="IA469" s="122"/>
      <c r="IB469" s="122"/>
      <c r="IC469" s="122"/>
      <c r="ID469" s="122"/>
      <c r="IE469" s="122"/>
      <c r="IF469" s="122"/>
      <c r="IG469" s="122"/>
      <c r="IH469" s="122"/>
      <c r="II469" s="122"/>
      <c r="IJ469" s="122"/>
      <c r="IK469" s="122"/>
      <c r="IL469" s="122"/>
      <c r="IM469" s="122"/>
      <c r="IN469" s="122"/>
      <c r="IO469" s="122"/>
      <c r="IP469" s="122"/>
      <c r="IQ469" s="122"/>
      <c r="IR469" s="122"/>
      <c r="IS469" s="122"/>
      <c r="IT469" s="122"/>
      <c r="IU469" s="122"/>
      <c r="IV469" s="122"/>
      <c r="IW469" s="122"/>
      <c r="IX469" s="122"/>
      <c r="IY469" s="122"/>
      <c r="IZ469" s="122"/>
      <c r="JA469" s="122"/>
      <c r="JB469" s="122"/>
      <c r="JC469" s="122"/>
      <c r="JD469" s="122"/>
      <c r="JE469" s="122"/>
      <c r="JF469" s="122"/>
      <c r="JG469" s="122"/>
      <c r="JH469" s="122"/>
      <c r="JI469" s="119"/>
      <c r="JJ469" s="2"/>
      <c r="JK469" s="122"/>
      <c r="JL469" s="125">
        <f t="shared" si="1"/>
        <v>0</v>
      </c>
      <c r="JM469" s="125"/>
      <c r="JN469" s="125"/>
      <c r="JO469" s="125"/>
      <c r="JP469" s="125"/>
    </row>
    <row r="470" spans="1:27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25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19"/>
      <c r="JJ470" s="2"/>
      <c r="JK470" s="122"/>
      <c r="JL470" s="125">
        <f t="shared" si="1"/>
        <v>0</v>
      </c>
      <c r="JM470" s="125"/>
      <c r="JN470" s="125"/>
      <c r="JO470" s="125"/>
      <c r="JP470" s="125"/>
    </row>
    <row r="471" spans="1:276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122"/>
      <c r="AJ471" s="122"/>
      <c r="AK471" s="122"/>
      <c r="AL471" s="122"/>
      <c r="AM471" s="122"/>
      <c r="AN471" s="122"/>
      <c r="AO471" s="122"/>
      <c r="AP471" s="122"/>
      <c r="AQ471" s="122"/>
      <c r="AR471" s="122"/>
      <c r="AS471" s="122"/>
      <c r="AT471" s="122"/>
      <c r="AU471" s="122"/>
      <c r="AV471" s="122"/>
      <c r="AW471" s="122"/>
      <c r="AX471" s="122"/>
      <c r="AY471" s="122"/>
      <c r="AZ471" s="122"/>
      <c r="BA471" s="122"/>
      <c r="BB471" s="122"/>
      <c r="BC471" s="122"/>
      <c r="BD471" s="122"/>
      <c r="BE471" s="122"/>
      <c r="BF471" s="122"/>
      <c r="BG471" s="122"/>
      <c r="BH471" s="122"/>
      <c r="BI471" s="122"/>
      <c r="BJ471" s="122"/>
      <c r="BK471" s="122"/>
      <c r="BL471" s="122"/>
      <c r="BM471" s="122"/>
      <c r="BN471" s="122"/>
      <c r="BO471" s="122"/>
      <c r="BP471" s="122"/>
      <c r="BQ471" s="122"/>
      <c r="BR471" s="122"/>
      <c r="BS471" s="122"/>
      <c r="BT471" s="122"/>
      <c r="BU471" s="122"/>
      <c r="BV471" s="122"/>
      <c r="BW471" s="122"/>
      <c r="BX471" s="122"/>
      <c r="BY471" s="122"/>
      <c r="BZ471" s="122"/>
      <c r="CA471" s="122"/>
      <c r="CB471" s="122"/>
      <c r="CC471" s="122"/>
      <c r="CD471" s="122"/>
      <c r="CE471" s="122"/>
      <c r="CF471" s="122"/>
      <c r="CG471" s="122"/>
      <c r="CH471" s="122"/>
      <c r="CI471" s="122"/>
      <c r="CJ471" s="122"/>
      <c r="CK471" s="122"/>
      <c r="CL471" s="122"/>
      <c r="CM471" s="122"/>
      <c r="CN471" s="122"/>
      <c r="CO471" s="122"/>
      <c r="CP471" s="122"/>
      <c r="CQ471" s="122"/>
      <c r="CR471" s="122"/>
      <c r="CS471" s="122"/>
      <c r="CT471" s="122"/>
      <c r="CU471" s="122"/>
      <c r="CV471" s="122"/>
      <c r="CW471" s="122"/>
      <c r="CX471" s="122"/>
      <c r="CY471" s="122"/>
      <c r="CZ471" s="122"/>
      <c r="DA471" s="122"/>
      <c r="DB471" s="122"/>
      <c r="DC471" s="122"/>
      <c r="DD471" s="122"/>
      <c r="DE471" s="122"/>
      <c r="DF471" s="122"/>
      <c r="DG471" s="122"/>
      <c r="DH471" s="122"/>
      <c r="DI471" s="122"/>
      <c r="DJ471" s="122"/>
      <c r="DK471" s="122"/>
      <c r="DL471" s="122"/>
      <c r="DM471" s="122"/>
      <c r="DN471" s="122"/>
      <c r="DO471" s="122"/>
      <c r="DP471" s="122"/>
      <c r="DQ471" s="122"/>
      <c r="DR471" s="122"/>
      <c r="DS471" s="122"/>
      <c r="DT471" s="122"/>
      <c r="DU471" s="122"/>
      <c r="DV471" s="122"/>
      <c r="DW471" s="122"/>
      <c r="DX471" s="122"/>
      <c r="DY471" s="122"/>
      <c r="DZ471" s="122"/>
      <c r="EA471" s="122"/>
      <c r="EB471" s="122"/>
      <c r="EC471" s="122"/>
      <c r="ED471" s="122"/>
      <c r="EE471" s="122"/>
      <c r="EF471" s="122"/>
      <c r="EG471" s="122"/>
      <c r="EH471" s="122"/>
      <c r="EI471" s="122"/>
      <c r="EJ471" s="122"/>
      <c r="EK471" s="122"/>
      <c r="EL471" s="122"/>
      <c r="EM471" s="122"/>
      <c r="EN471" s="122"/>
      <c r="EO471" s="122"/>
      <c r="EP471" s="122"/>
      <c r="EQ471" s="122"/>
      <c r="ER471" s="122"/>
      <c r="ES471" s="122"/>
      <c r="ET471" s="122"/>
      <c r="EU471" s="122"/>
      <c r="EV471" s="122"/>
      <c r="EW471" s="122"/>
      <c r="EX471" s="122"/>
      <c r="EY471" s="122"/>
      <c r="EZ471" s="122"/>
      <c r="FA471" s="122"/>
      <c r="FB471" s="122"/>
      <c r="FC471" s="122"/>
      <c r="FD471" s="122"/>
      <c r="FE471" s="122"/>
      <c r="FF471" s="122"/>
      <c r="FG471" s="122"/>
      <c r="FH471" s="122"/>
      <c r="FI471" s="122"/>
      <c r="FJ471" s="122"/>
      <c r="FK471" s="122"/>
      <c r="FL471" s="122"/>
      <c r="FM471" s="122"/>
      <c r="FN471" s="122"/>
      <c r="FO471" s="122"/>
      <c r="FP471" s="122"/>
      <c r="FQ471" s="122"/>
      <c r="FR471" s="122"/>
      <c r="FS471" s="122"/>
      <c r="FT471" s="122"/>
      <c r="FU471" s="122"/>
      <c r="FV471" s="122"/>
      <c r="FW471" s="122"/>
      <c r="FX471" s="122"/>
      <c r="FY471" s="122"/>
      <c r="FZ471" s="122"/>
      <c r="GA471" s="122"/>
      <c r="GB471" s="122"/>
      <c r="GC471" s="122"/>
      <c r="GD471" s="122"/>
      <c r="GE471" s="122"/>
      <c r="GF471" s="122"/>
      <c r="GG471" s="122"/>
      <c r="GH471" s="122"/>
      <c r="GI471" s="122"/>
      <c r="GJ471" s="122"/>
      <c r="GK471" s="122"/>
      <c r="GL471" s="122"/>
      <c r="GM471" s="122"/>
      <c r="GN471" s="122"/>
      <c r="GO471" s="122"/>
      <c r="GP471" s="122"/>
      <c r="GQ471" s="122"/>
      <c r="GR471" s="122"/>
      <c r="GS471" s="122"/>
      <c r="GT471" s="122"/>
      <c r="GU471" s="122"/>
      <c r="GV471" s="122"/>
      <c r="GW471" s="122"/>
      <c r="GX471" s="122"/>
      <c r="GY471" s="122"/>
      <c r="GZ471" s="122"/>
      <c r="HA471" s="122"/>
      <c r="HB471" s="122"/>
      <c r="HC471" s="122"/>
      <c r="HD471" s="122"/>
      <c r="HE471" s="122"/>
      <c r="HF471" s="122"/>
      <c r="HG471" s="122"/>
      <c r="HH471" s="122"/>
      <c r="HI471" s="122"/>
      <c r="HJ471" s="122"/>
      <c r="HK471" s="122"/>
      <c r="HL471" s="122"/>
      <c r="HM471" s="122"/>
      <c r="HN471" s="122"/>
      <c r="HO471" s="122"/>
      <c r="HP471" s="122"/>
      <c r="HQ471" s="122"/>
      <c r="HR471" s="122"/>
      <c r="HS471" s="122"/>
      <c r="HT471" s="122"/>
      <c r="HU471" s="122"/>
      <c r="HV471" s="122"/>
      <c r="HW471" s="122"/>
      <c r="HX471" s="122"/>
      <c r="HY471" s="122"/>
      <c r="HZ471" s="122"/>
      <c r="IA471" s="122"/>
      <c r="IB471" s="122"/>
      <c r="IC471" s="122"/>
      <c r="ID471" s="122"/>
      <c r="IE471" s="122"/>
      <c r="IF471" s="122"/>
      <c r="IG471" s="122"/>
      <c r="IH471" s="122"/>
      <c r="II471" s="122"/>
      <c r="IJ471" s="122"/>
      <c r="IK471" s="122"/>
      <c r="IL471" s="122"/>
      <c r="IM471" s="122"/>
      <c r="IN471" s="122"/>
      <c r="IO471" s="122"/>
      <c r="IP471" s="122"/>
      <c r="IQ471" s="122"/>
      <c r="IR471" s="122"/>
      <c r="IS471" s="122"/>
      <c r="IT471" s="122"/>
      <c r="IU471" s="122"/>
      <c r="IV471" s="122"/>
      <c r="IW471" s="122"/>
      <c r="IX471" s="122"/>
      <c r="IY471" s="122"/>
      <c r="IZ471" s="122"/>
      <c r="JA471" s="122"/>
      <c r="JB471" s="122"/>
      <c r="JC471" s="122"/>
      <c r="JD471" s="122"/>
      <c r="JE471" s="122"/>
      <c r="JF471" s="122"/>
      <c r="JG471" s="122"/>
      <c r="JH471" s="122"/>
      <c r="JI471" s="119"/>
      <c r="JJ471" s="2"/>
      <c r="JK471" s="122"/>
      <c r="JL471" s="125">
        <f t="shared" si="1"/>
        <v>0</v>
      </c>
      <c r="JM471" s="125"/>
      <c r="JN471" s="125"/>
      <c r="JO471" s="125"/>
      <c r="JP471" s="125"/>
    </row>
    <row r="472" spans="1:276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  <c r="AI472" s="122"/>
      <c r="AJ472" s="122"/>
      <c r="AK472" s="122"/>
      <c r="AL472" s="122"/>
      <c r="AM472" s="122"/>
      <c r="AN472" s="122"/>
      <c r="AO472" s="122"/>
      <c r="AP472" s="122"/>
      <c r="AQ472" s="122"/>
      <c r="AR472" s="122"/>
      <c r="AS472" s="122"/>
      <c r="AT472" s="122"/>
      <c r="AU472" s="122"/>
      <c r="AV472" s="122"/>
      <c r="AW472" s="122"/>
      <c r="AX472" s="122"/>
      <c r="AY472" s="122"/>
      <c r="AZ472" s="122"/>
      <c r="BA472" s="122"/>
      <c r="BB472" s="122"/>
      <c r="BC472" s="122"/>
      <c r="BD472" s="122"/>
      <c r="BE472" s="122"/>
      <c r="BF472" s="122"/>
      <c r="BG472" s="122"/>
      <c r="BH472" s="122"/>
      <c r="BI472" s="122"/>
      <c r="BJ472" s="122"/>
      <c r="BK472" s="122"/>
      <c r="BL472" s="122"/>
      <c r="BM472" s="122"/>
      <c r="BN472" s="122"/>
      <c r="BO472" s="122"/>
      <c r="BP472" s="122"/>
      <c r="BQ472" s="122"/>
      <c r="BR472" s="122"/>
      <c r="BS472" s="122"/>
      <c r="BT472" s="122"/>
      <c r="BU472" s="122"/>
      <c r="BV472" s="122"/>
      <c r="BW472" s="122"/>
      <c r="BX472" s="122"/>
      <c r="BY472" s="122"/>
      <c r="BZ472" s="122"/>
      <c r="CA472" s="122"/>
      <c r="CB472" s="122"/>
      <c r="CC472" s="122"/>
      <c r="CD472" s="122"/>
      <c r="CE472" s="122"/>
      <c r="CF472" s="122"/>
      <c r="CG472" s="122"/>
      <c r="CH472" s="122"/>
      <c r="CI472" s="122"/>
      <c r="CJ472" s="122"/>
      <c r="CK472" s="122"/>
      <c r="CL472" s="122"/>
      <c r="CM472" s="122"/>
      <c r="CN472" s="122"/>
      <c r="CO472" s="122"/>
      <c r="CP472" s="122"/>
      <c r="CQ472" s="122"/>
      <c r="CR472" s="122"/>
      <c r="CS472" s="122"/>
      <c r="CT472" s="122"/>
      <c r="CU472" s="122"/>
      <c r="CV472" s="122"/>
      <c r="CW472" s="122"/>
      <c r="CX472" s="122"/>
      <c r="CY472" s="122"/>
      <c r="CZ472" s="122"/>
      <c r="DA472" s="122"/>
      <c r="DB472" s="122"/>
      <c r="DC472" s="122"/>
      <c r="DD472" s="122"/>
      <c r="DE472" s="122"/>
      <c r="DF472" s="122"/>
      <c r="DG472" s="122"/>
      <c r="DH472" s="122"/>
      <c r="DI472" s="122"/>
      <c r="DJ472" s="122"/>
      <c r="DK472" s="122"/>
      <c r="DL472" s="122"/>
      <c r="DM472" s="122"/>
      <c r="DN472" s="122"/>
      <c r="DO472" s="122"/>
      <c r="DP472" s="122"/>
      <c r="DQ472" s="122"/>
      <c r="DR472" s="122"/>
      <c r="DS472" s="122"/>
      <c r="DT472" s="122"/>
      <c r="DU472" s="122"/>
      <c r="DV472" s="122"/>
      <c r="DW472" s="122"/>
      <c r="DX472" s="122"/>
      <c r="DY472" s="122"/>
      <c r="DZ472" s="122"/>
      <c r="EA472" s="122"/>
      <c r="EB472" s="122"/>
      <c r="EC472" s="122"/>
      <c r="ED472" s="122"/>
      <c r="EE472" s="122"/>
      <c r="EF472" s="122"/>
      <c r="EG472" s="122"/>
      <c r="EH472" s="122"/>
      <c r="EI472" s="122"/>
      <c r="EJ472" s="122"/>
      <c r="EK472" s="122"/>
      <c r="EL472" s="122"/>
      <c r="EM472" s="122"/>
      <c r="EN472" s="122"/>
      <c r="EO472" s="122"/>
      <c r="EP472" s="122"/>
      <c r="EQ472" s="122"/>
      <c r="ER472" s="122"/>
      <c r="ES472" s="122"/>
      <c r="ET472" s="122"/>
      <c r="EU472" s="122"/>
      <c r="EV472" s="122"/>
      <c r="EW472" s="122"/>
      <c r="EX472" s="122"/>
      <c r="EY472" s="122"/>
      <c r="EZ472" s="122"/>
      <c r="FA472" s="122"/>
      <c r="FB472" s="122"/>
      <c r="FC472" s="122"/>
      <c r="FD472" s="122"/>
      <c r="FE472" s="122"/>
      <c r="FF472" s="122"/>
      <c r="FG472" s="122"/>
      <c r="FH472" s="122"/>
      <c r="FI472" s="122"/>
      <c r="FJ472" s="122"/>
      <c r="FK472" s="122"/>
      <c r="FL472" s="122"/>
      <c r="FM472" s="122"/>
      <c r="FN472" s="122"/>
      <c r="FO472" s="122"/>
      <c r="FP472" s="122"/>
      <c r="FQ472" s="122"/>
      <c r="FR472" s="122"/>
      <c r="FS472" s="122"/>
      <c r="FT472" s="122"/>
      <c r="FU472" s="122"/>
      <c r="FV472" s="122"/>
      <c r="FW472" s="122"/>
      <c r="FX472" s="122"/>
      <c r="FY472" s="122"/>
      <c r="FZ472" s="122"/>
      <c r="GA472" s="122"/>
      <c r="GB472" s="122"/>
      <c r="GC472" s="122"/>
      <c r="GD472" s="122"/>
      <c r="GE472" s="122"/>
      <c r="GF472" s="122"/>
      <c r="GG472" s="122"/>
      <c r="GH472" s="122"/>
      <c r="GI472" s="122"/>
      <c r="GJ472" s="122"/>
      <c r="GK472" s="122"/>
      <c r="GL472" s="122"/>
      <c r="GM472" s="122"/>
      <c r="GN472" s="122"/>
      <c r="GO472" s="122"/>
      <c r="GP472" s="122"/>
      <c r="GQ472" s="122"/>
      <c r="GR472" s="122"/>
      <c r="GS472" s="122"/>
      <c r="GT472" s="122"/>
      <c r="GU472" s="122"/>
      <c r="GV472" s="122"/>
      <c r="GW472" s="122"/>
      <c r="GX472" s="122"/>
      <c r="GY472" s="122"/>
      <c r="GZ472" s="122"/>
      <c r="HA472" s="122"/>
      <c r="HB472" s="122"/>
      <c r="HC472" s="122"/>
      <c r="HD472" s="122"/>
      <c r="HE472" s="122"/>
      <c r="HF472" s="122"/>
      <c r="HG472" s="122"/>
      <c r="HH472" s="122"/>
      <c r="HI472" s="122"/>
      <c r="HJ472" s="122"/>
      <c r="HK472" s="122"/>
      <c r="HL472" s="122"/>
      <c r="HM472" s="122"/>
      <c r="HN472" s="122"/>
      <c r="HO472" s="122"/>
      <c r="HP472" s="122"/>
      <c r="HQ472" s="122"/>
      <c r="HR472" s="122"/>
      <c r="HS472" s="122"/>
      <c r="HT472" s="122"/>
      <c r="HU472" s="122"/>
      <c r="HV472" s="122"/>
      <c r="HW472" s="122"/>
      <c r="HX472" s="122"/>
      <c r="HY472" s="122"/>
      <c r="HZ472" s="122"/>
      <c r="IA472" s="122"/>
      <c r="IB472" s="122"/>
      <c r="IC472" s="122"/>
      <c r="ID472" s="122"/>
      <c r="IE472" s="122"/>
      <c r="IF472" s="122"/>
      <c r="IG472" s="122"/>
      <c r="IH472" s="122"/>
      <c r="II472" s="122"/>
      <c r="IJ472" s="122"/>
      <c r="IK472" s="122"/>
      <c r="IL472" s="122"/>
      <c r="IM472" s="122"/>
      <c r="IN472" s="122"/>
      <c r="IO472" s="122"/>
      <c r="IP472" s="122"/>
      <c r="IQ472" s="122"/>
      <c r="IR472" s="122"/>
      <c r="IS472" s="122"/>
      <c r="IT472" s="122"/>
      <c r="IU472" s="122"/>
      <c r="IV472" s="122"/>
      <c r="IW472" s="122"/>
      <c r="IX472" s="122"/>
      <c r="IY472" s="122"/>
      <c r="IZ472" s="122"/>
      <c r="JA472" s="122"/>
      <c r="JB472" s="122"/>
      <c r="JC472" s="122"/>
      <c r="JD472" s="122"/>
      <c r="JE472" s="122"/>
      <c r="JF472" s="122"/>
      <c r="JG472" s="122"/>
      <c r="JH472" s="122"/>
      <c r="JI472" s="119"/>
      <c r="JJ472" s="2"/>
      <c r="JK472" s="122"/>
      <c r="JL472" s="125">
        <f t="shared" si="1"/>
        <v>0</v>
      </c>
      <c r="JM472" s="125"/>
      <c r="JN472" s="125"/>
      <c r="JO472" s="125"/>
      <c r="JP472" s="125"/>
    </row>
    <row r="473" spans="1:276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122"/>
      <c r="AJ473" s="122"/>
      <c r="AK473" s="122"/>
      <c r="AL473" s="122"/>
      <c r="AM473" s="122"/>
      <c r="AN473" s="122"/>
      <c r="AO473" s="122"/>
      <c r="AP473" s="122"/>
      <c r="AQ473" s="122"/>
      <c r="AR473" s="122"/>
      <c r="AS473" s="122"/>
      <c r="AT473" s="122"/>
      <c r="AU473" s="122"/>
      <c r="AV473" s="122"/>
      <c r="AW473" s="122"/>
      <c r="AX473" s="122"/>
      <c r="AY473" s="122"/>
      <c r="AZ473" s="122"/>
      <c r="BA473" s="122"/>
      <c r="BB473" s="122"/>
      <c r="BC473" s="122"/>
      <c r="BD473" s="122"/>
      <c r="BE473" s="122"/>
      <c r="BF473" s="122"/>
      <c r="BG473" s="122"/>
      <c r="BH473" s="122"/>
      <c r="BI473" s="122"/>
      <c r="BJ473" s="122"/>
      <c r="BK473" s="122"/>
      <c r="BL473" s="122"/>
      <c r="BM473" s="122"/>
      <c r="BN473" s="122"/>
      <c r="BO473" s="122"/>
      <c r="BP473" s="122"/>
      <c r="BQ473" s="122"/>
      <c r="BR473" s="122"/>
      <c r="BS473" s="122"/>
      <c r="BT473" s="122"/>
      <c r="BU473" s="122"/>
      <c r="BV473" s="122"/>
      <c r="BW473" s="122"/>
      <c r="BX473" s="122"/>
      <c r="BY473" s="122"/>
      <c r="BZ473" s="122"/>
      <c r="CA473" s="122"/>
      <c r="CB473" s="122"/>
      <c r="CC473" s="122"/>
      <c r="CD473" s="122"/>
      <c r="CE473" s="122"/>
      <c r="CF473" s="122"/>
      <c r="CG473" s="122"/>
      <c r="CH473" s="122"/>
      <c r="CI473" s="122"/>
      <c r="CJ473" s="122"/>
      <c r="CK473" s="122"/>
      <c r="CL473" s="122"/>
      <c r="CM473" s="122"/>
      <c r="CN473" s="122"/>
      <c r="CO473" s="122"/>
      <c r="CP473" s="122"/>
      <c r="CQ473" s="122"/>
      <c r="CR473" s="122"/>
      <c r="CS473" s="122"/>
      <c r="CT473" s="122"/>
      <c r="CU473" s="122"/>
      <c r="CV473" s="122"/>
      <c r="CW473" s="122"/>
      <c r="CX473" s="122"/>
      <c r="CY473" s="122"/>
      <c r="CZ473" s="122"/>
      <c r="DA473" s="122"/>
      <c r="DB473" s="122"/>
      <c r="DC473" s="122"/>
      <c r="DD473" s="122"/>
      <c r="DE473" s="122"/>
      <c r="DF473" s="122"/>
      <c r="DG473" s="122"/>
      <c r="DH473" s="122"/>
      <c r="DI473" s="122"/>
      <c r="DJ473" s="122"/>
      <c r="DK473" s="122"/>
      <c r="DL473" s="122"/>
      <c r="DM473" s="122"/>
      <c r="DN473" s="122"/>
      <c r="DO473" s="122"/>
      <c r="DP473" s="122"/>
      <c r="DQ473" s="122"/>
      <c r="DR473" s="122"/>
      <c r="DS473" s="122"/>
      <c r="DT473" s="122"/>
      <c r="DU473" s="122"/>
      <c r="DV473" s="122"/>
      <c r="DW473" s="122"/>
      <c r="DX473" s="122"/>
      <c r="DY473" s="122"/>
      <c r="DZ473" s="122"/>
      <c r="EA473" s="122"/>
      <c r="EB473" s="122"/>
      <c r="EC473" s="122"/>
      <c r="ED473" s="122"/>
      <c r="EE473" s="122"/>
      <c r="EF473" s="122"/>
      <c r="EG473" s="122"/>
      <c r="EH473" s="122"/>
      <c r="EI473" s="122"/>
      <c r="EJ473" s="122"/>
      <c r="EK473" s="122"/>
      <c r="EL473" s="122"/>
      <c r="EM473" s="122"/>
      <c r="EN473" s="122"/>
      <c r="EO473" s="122"/>
      <c r="EP473" s="122"/>
      <c r="EQ473" s="122"/>
      <c r="ER473" s="122"/>
      <c r="ES473" s="122"/>
      <c r="ET473" s="122"/>
      <c r="EU473" s="122"/>
      <c r="EV473" s="122"/>
      <c r="EW473" s="122"/>
      <c r="EX473" s="122"/>
      <c r="EY473" s="122"/>
      <c r="EZ473" s="122"/>
      <c r="FA473" s="122"/>
      <c r="FB473" s="122"/>
      <c r="FC473" s="122"/>
      <c r="FD473" s="122"/>
      <c r="FE473" s="122"/>
      <c r="FF473" s="122"/>
      <c r="FG473" s="122"/>
      <c r="FH473" s="122"/>
      <c r="FI473" s="122"/>
      <c r="FJ473" s="122"/>
      <c r="FK473" s="122"/>
      <c r="FL473" s="122"/>
      <c r="FM473" s="122"/>
      <c r="FN473" s="122"/>
      <c r="FO473" s="122"/>
      <c r="FP473" s="122"/>
      <c r="FQ473" s="122"/>
      <c r="FR473" s="122"/>
      <c r="FS473" s="122"/>
      <c r="FT473" s="122"/>
      <c r="FU473" s="122"/>
      <c r="FV473" s="122"/>
      <c r="FW473" s="122"/>
      <c r="FX473" s="122"/>
      <c r="FY473" s="122"/>
      <c r="FZ473" s="122"/>
      <c r="GA473" s="122"/>
      <c r="GB473" s="122"/>
      <c r="GC473" s="122"/>
      <c r="GD473" s="122"/>
      <c r="GE473" s="122"/>
      <c r="GF473" s="122"/>
      <c r="GG473" s="122"/>
      <c r="GH473" s="122"/>
      <c r="GI473" s="122"/>
      <c r="GJ473" s="122"/>
      <c r="GK473" s="122"/>
      <c r="GL473" s="122"/>
      <c r="GM473" s="122"/>
      <c r="GN473" s="122"/>
      <c r="GO473" s="122"/>
      <c r="GP473" s="122"/>
      <c r="GQ473" s="122"/>
      <c r="GR473" s="122"/>
      <c r="GS473" s="122"/>
      <c r="GT473" s="122"/>
      <c r="GU473" s="122"/>
      <c r="GV473" s="122"/>
      <c r="GW473" s="122"/>
      <c r="GX473" s="122"/>
      <c r="GY473" s="122"/>
      <c r="GZ473" s="122"/>
      <c r="HA473" s="122"/>
      <c r="HB473" s="122"/>
      <c r="HC473" s="122"/>
      <c r="HD473" s="122"/>
      <c r="HE473" s="122"/>
      <c r="HF473" s="122"/>
      <c r="HG473" s="122"/>
      <c r="HH473" s="122"/>
      <c r="HI473" s="122"/>
      <c r="HJ473" s="122"/>
      <c r="HK473" s="122"/>
      <c r="HL473" s="122"/>
      <c r="HM473" s="122"/>
      <c r="HN473" s="122"/>
      <c r="HO473" s="122"/>
      <c r="HP473" s="122"/>
      <c r="HQ473" s="122"/>
      <c r="HR473" s="122"/>
      <c r="HS473" s="122"/>
      <c r="HT473" s="122"/>
      <c r="HU473" s="122"/>
      <c r="HV473" s="122"/>
      <c r="HW473" s="122"/>
      <c r="HX473" s="122"/>
      <c r="HY473" s="122"/>
      <c r="HZ473" s="122"/>
      <c r="IA473" s="122"/>
      <c r="IB473" s="122"/>
      <c r="IC473" s="122"/>
      <c r="ID473" s="122"/>
      <c r="IE473" s="122"/>
      <c r="IF473" s="122"/>
      <c r="IG473" s="122"/>
      <c r="IH473" s="122"/>
      <c r="II473" s="122"/>
      <c r="IJ473" s="122"/>
      <c r="IK473" s="122"/>
      <c r="IL473" s="122"/>
      <c r="IM473" s="122"/>
      <c r="IN473" s="122"/>
      <c r="IO473" s="122"/>
      <c r="IP473" s="122"/>
      <c r="IQ473" s="122"/>
      <c r="IR473" s="122"/>
      <c r="IS473" s="122"/>
      <c r="IT473" s="122"/>
      <c r="IU473" s="122"/>
      <c r="IV473" s="122"/>
      <c r="IW473" s="122"/>
      <c r="IX473" s="122"/>
      <c r="IY473" s="122"/>
      <c r="IZ473" s="122"/>
      <c r="JA473" s="122"/>
      <c r="JB473" s="122"/>
      <c r="JC473" s="122"/>
      <c r="JD473" s="122"/>
      <c r="JE473" s="122"/>
      <c r="JF473" s="122"/>
      <c r="JG473" s="122"/>
      <c r="JH473" s="122"/>
      <c r="JI473" s="119"/>
      <c r="JJ473" s="2"/>
      <c r="JK473" s="122"/>
      <c r="JL473" s="125">
        <f t="shared" si="1"/>
        <v>0</v>
      </c>
      <c r="JM473" s="125"/>
      <c r="JN473" s="125"/>
      <c r="JO473" s="125"/>
      <c r="JP473" s="125"/>
    </row>
    <row r="474" spans="1:276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122"/>
      <c r="AI474" s="122"/>
      <c r="AJ474" s="122"/>
      <c r="AK474" s="122"/>
      <c r="AL474" s="122"/>
      <c r="AM474" s="122"/>
      <c r="AN474" s="122"/>
      <c r="AO474" s="122"/>
      <c r="AP474" s="122"/>
      <c r="AQ474" s="122"/>
      <c r="AR474" s="122"/>
      <c r="AS474" s="122"/>
      <c r="AT474" s="122"/>
      <c r="AU474" s="122"/>
      <c r="AV474" s="122"/>
      <c r="AW474" s="1"/>
      <c r="AX474" s="122"/>
      <c r="AY474" s="122"/>
      <c r="AZ474" s="122"/>
      <c r="BA474" s="122"/>
      <c r="BB474" s="122"/>
      <c r="BC474" s="122"/>
      <c r="BD474" s="122"/>
      <c r="BE474" s="122"/>
      <c r="BF474" s="122"/>
      <c r="BG474" s="122"/>
      <c r="BH474" s="122"/>
      <c r="BI474" s="122"/>
      <c r="BJ474" s="122"/>
      <c r="BK474" s="122"/>
      <c r="BL474" s="122"/>
      <c r="BM474" s="122"/>
      <c r="BN474" s="122"/>
      <c r="BO474" s="122"/>
      <c r="BP474" s="122"/>
      <c r="BQ474" s="122"/>
      <c r="BR474" s="122"/>
      <c r="BS474" s="122"/>
      <c r="BT474" s="122"/>
      <c r="BU474" s="122"/>
      <c r="BV474" s="122"/>
      <c r="BW474" s="122"/>
      <c r="BX474" s="122"/>
      <c r="BY474" s="122"/>
      <c r="BZ474" s="122"/>
      <c r="CA474" s="122"/>
      <c r="CB474" s="122"/>
      <c r="CC474" s="122"/>
      <c r="CD474" s="122"/>
      <c r="CE474" s="122"/>
      <c r="CF474" s="122"/>
      <c r="CG474" s="122"/>
      <c r="CH474" s="122"/>
      <c r="CI474" s="122"/>
      <c r="CJ474" s="122"/>
      <c r="CK474" s="122"/>
      <c r="CL474" s="122"/>
      <c r="CM474" s="122"/>
      <c r="CN474" s="122"/>
      <c r="CO474" s="122"/>
      <c r="CP474" s="122"/>
      <c r="CQ474" s="122"/>
      <c r="CR474" s="122"/>
      <c r="CS474" s="122"/>
      <c r="CT474" s="122"/>
      <c r="CU474" s="122"/>
      <c r="CV474" s="122"/>
      <c r="CW474" s="122"/>
      <c r="CX474" s="122"/>
      <c r="CY474" s="122"/>
      <c r="CZ474" s="122"/>
      <c r="DA474" s="122"/>
      <c r="DB474" s="122"/>
      <c r="DC474" s="122"/>
      <c r="DD474" s="122"/>
      <c r="DE474" s="122"/>
      <c r="DF474" s="122"/>
      <c r="DG474" s="122"/>
      <c r="DH474" s="122"/>
      <c r="DI474" s="122"/>
      <c r="DJ474" s="122"/>
      <c r="DK474" s="122"/>
      <c r="DL474" s="122"/>
      <c r="DM474" s="122"/>
      <c r="DN474" s="122"/>
      <c r="DO474" s="122"/>
      <c r="DP474" s="122"/>
      <c r="DQ474" s="122"/>
      <c r="DR474" s="122"/>
      <c r="DS474" s="122"/>
      <c r="DT474" s="122"/>
      <c r="DU474" s="122"/>
      <c r="DV474" s="122"/>
      <c r="DW474" s="122"/>
      <c r="DX474" s="122"/>
      <c r="DY474" s="122"/>
      <c r="DZ474" s="122"/>
      <c r="EA474" s="122"/>
      <c r="EB474" s="122"/>
      <c r="EC474" s="122"/>
      <c r="ED474" s="122"/>
      <c r="EE474" s="122"/>
      <c r="EF474" s="122"/>
      <c r="EG474" s="122"/>
      <c r="EH474" s="122"/>
      <c r="EI474" s="122"/>
      <c r="EJ474" s="122"/>
      <c r="EK474" s="122"/>
      <c r="EL474" s="122"/>
      <c r="EM474" s="122"/>
      <c r="EN474" s="122"/>
      <c r="EO474" s="122"/>
      <c r="EP474" s="122"/>
      <c r="EQ474" s="122"/>
      <c r="ER474" s="122"/>
      <c r="ES474" s="122"/>
      <c r="ET474" s="122"/>
      <c r="EU474" s="122"/>
      <c r="EV474" s="122"/>
      <c r="EW474" s="122"/>
      <c r="EX474" s="122"/>
      <c r="EY474" s="122"/>
      <c r="EZ474" s="122"/>
      <c r="FA474" s="122"/>
      <c r="FB474" s="122"/>
      <c r="FC474" s="122"/>
      <c r="FD474" s="122"/>
      <c r="FE474" s="122"/>
      <c r="FF474" s="122"/>
      <c r="FG474" s="122"/>
      <c r="FH474" s="122"/>
      <c r="FI474" s="122"/>
      <c r="FJ474" s="122"/>
      <c r="FK474" s="122"/>
      <c r="FL474" s="122"/>
      <c r="FM474" s="122"/>
      <c r="FN474" s="122"/>
      <c r="FO474" s="122"/>
      <c r="FP474" s="122"/>
      <c r="FQ474" s="122"/>
      <c r="FR474" s="122"/>
      <c r="FS474" s="122"/>
      <c r="FT474" s="122"/>
      <c r="FU474" s="122"/>
      <c r="FV474" s="122"/>
      <c r="FW474" s="122"/>
      <c r="FX474" s="122"/>
      <c r="FY474" s="122"/>
      <c r="FZ474" s="122"/>
      <c r="GA474" s="122"/>
      <c r="GB474" s="122"/>
      <c r="GC474" s="122"/>
      <c r="GD474" s="122"/>
      <c r="GE474" s="122"/>
      <c r="GF474" s="122"/>
      <c r="GG474" s="122"/>
      <c r="GH474" s="122"/>
      <c r="GI474" s="122"/>
      <c r="GJ474" s="122"/>
      <c r="GK474" s="122"/>
      <c r="GL474" s="122"/>
      <c r="GM474" s="122"/>
      <c r="GN474" s="122"/>
      <c r="GO474" s="122"/>
      <c r="GP474" s="122"/>
      <c r="GQ474" s="122"/>
      <c r="GR474" s="122"/>
      <c r="GS474" s="122"/>
      <c r="GT474" s="122"/>
      <c r="GU474" s="122"/>
      <c r="GV474" s="122"/>
      <c r="GW474" s="122"/>
      <c r="GX474" s="122"/>
      <c r="GY474" s="122"/>
      <c r="GZ474" s="122"/>
      <c r="HA474" s="122"/>
      <c r="HB474" s="122"/>
      <c r="HC474" s="122"/>
      <c r="HD474" s="122"/>
      <c r="HE474" s="122"/>
      <c r="HF474" s="122"/>
      <c r="HG474" s="122"/>
      <c r="HH474" s="122"/>
      <c r="HI474" s="122"/>
      <c r="HJ474" s="122"/>
      <c r="HK474" s="122"/>
      <c r="HL474" s="122"/>
      <c r="HM474" s="122"/>
      <c r="HN474" s="122"/>
      <c r="HO474" s="122"/>
      <c r="HP474" s="122"/>
      <c r="HQ474" s="122"/>
      <c r="HR474" s="122"/>
      <c r="HS474" s="122"/>
      <c r="HT474" s="122"/>
      <c r="HU474" s="122"/>
      <c r="HV474" s="122"/>
      <c r="HW474" s="122"/>
      <c r="HX474" s="122"/>
      <c r="HY474" s="122"/>
      <c r="HZ474" s="122"/>
      <c r="IA474" s="122"/>
      <c r="IB474" s="122"/>
      <c r="IC474" s="122"/>
      <c r="ID474" s="122"/>
      <c r="IE474" s="122"/>
      <c r="IF474" s="122"/>
      <c r="IG474" s="122"/>
      <c r="IH474" s="122"/>
      <c r="II474" s="122"/>
      <c r="IJ474" s="122"/>
      <c r="IK474" s="122"/>
      <c r="IL474" s="122"/>
      <c r="IM474" s="122"/>
      <c r="IN474" s="122"/>
      <c r="IO474" s="122"/>
      <c r="IP474" s="122"/>
      <c r="IQ474" s="122"/>
      <c r="IR474" s="122"/>
      <c r="IS474" s="122"/>
      <c r="IT474" s="122"/>
      <c r="IU474" s="122"/>
      <c r="IV474" s="122"/>
      <c r="IW474" s="122"/>
      <c r="IX474" s="122"/>
      <c r="IY474" s="122"/>
      <c r="IZ474" s="122"/>
      <c r="JA474" s="122"/>
      <c r="JB474" s="122"/>
      <c r="JC474" s="122"/>
      <c r="JD474" s="122"/>
      <c r="JE474" s="122"/>
      <c r="JF474" s="122"/>
      <c r="JG474" s="122"/>
      <c r="JH474" s="122"/>
      <c r="JI474" s="119">
        <f t="shared" ref="JI474:JI498" si="3">SUM(A474:JH474)</f>
        <v>0</v>
      </c>
      <c r="JJ474" s="2"/>
      <c r="JK474" s="122"/>
      <c r="JL474" s="125">
        <f t="shared" si="1"/>
        <v>0</v>
      </c>
      <c r="JM474" s="125"/>
      <c r="JN474" s="125"/>
      <c r="JO474" s="125"/>
      <c r="JP474" s="125"/>
    </row>
    <row r="475" spans="1:276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122"/>
      <c r="AJ475" s="122"/>
      <c r="AK475" s="122"/>
      <c r="AL475" s="122"/>
      <c r="AM475" s="122"/>
      <c r="AN475" s="122"/>
      <c r="AO475" s="122"/>
      <c r="AP475" s="122"/>
      <c r="AQ475" s="122"/>
      <c r="AR475" s="122"/>
      <c r="AS475" s="122"/>
      <c r="AT475" s="122"/>
      <c r="AU475" s="122"/>
      <c r="AV475" s="122"/>
      <c r="AW475" s="122"/>
      <c r="AX475" s="122"/>
      <c r="AY475" s="122"/>
      <c r="AZ475" s="122"/>
      <c r="BA475" s="122"/>
      <c r="BB475" s="122"/>
      <c r="BC475" s="122"/>
      <c r="BD475" s="122"/>
      <c r="BE475" s="122"/>
      <c r="BF475" s="122"/>
      <c r="BG475" s="122"/>
      <c r="BH475" s="122"/>
      <c r="BI475" s="122"/>
      <c r="BJ475" s="122"/>
      <c r="BK475" s="122"/>
      <c r="BL475" s="122"/>
      <c r="BM475" s="122"/>
      <c r="BN475" s="122"/>
      <c r="BO475" s="122"/>
      <c r="BP475" s="122"/>
      <c r="BQ475" s="122"/>
      <c r="BR475" s="122"/>
      <c r="BS475" s="122"/>
      <c r="BT475" s="122"/>
      <c r="BU475" s="122"/>
      <c r="BV475" s="122"/>
      <c r="BW475" s="122"/>
      <c r="BX475" s="122"/>
      <c r="BY475" s="122"/>
      <c r="BZ475" s="122"/>
      <c r="CA475" s="122"/>
      <c r="CB475" s="122"/>
      <c r="CC475" s="122"/>
      <c r="CD475" s="122"/>
      <c r="CE475" s="122"/>
      <c r="CF475" s="122"/>
      <c r="CG475" s="122"/>
      <c r="CH475" s="122"/>
      <c r="CI475" s="122"/>
      <c r="CJ475" s="122"/>
      <c r="CK475" s="122"/>
      <c r="CL475" s="122"/>
      <c r="CM475" s="122"/>
      <c r="CN475" s="122"/>
      <c r="CO475" s="122"/>
      <c r="CP475" s="122"/>
      <c r="CQ475" s="122"/>
      <c r="CR475" s="122"/>
      <c r="CS475" s="122"/>
      <c r="CT475" s="122"/>
      <c r="CU475" s="122"/>
      <c r="CV475" s="122"/>
      <c r="CW475" s="122"/>
      <c r="CX475" s="122"/>
      <c r="CY475" s="122"/>
      <c r="CZ475" s="122"/>
      <c r="DA475" s="122"/>
      <c r="DB475" s="122"/>
      <c r="DC475" s="122"/>
      <c r="DD475" s="122"/>
      <c r="DE475" s="122"/>
      <c r="DF475" s="122"/>
      <c r="DG475" s="122"/>
      <c r="DH475" s="122"/>
      <c r="DI475" s="122"/>
      <c r="DJ475" s="122"/>
      <c r="DK475" s="122"/>
      <c r="DL475" s="122"/>
      <c r="DM475" s="122"/>
      <c r="DN475" s="122"/>
      <c r="DO475" s="122"/>
      <c r="DP475" s="122"/>
      <c r="DQ475" s="122"/>
      <c r="DR475" s="122"/>
      <c r="DS475" s="122"/>
      <c r="DT475" s="122"/>
      <c r="DU475" s="122"/>
      <c r="DV475" s="122"/>
      <c r="DW475" s="122"/>
      <c r="DX475" s="122"/>
      <c r="DY475" s="122"/>
      <c r="DZ475" s="122"/>
      <c r="EA475" s="122"/>
      <c r="EB475" s="122"/>
      <c r="EC475" s="122"/>
      <c r="ED475" s="122"/>
      <c r="EE475" s="122"/>
      <c r="EF475" s="122"/>
      <c r="EG475" s="122"/>
      <c r="EH475" s="122"/>
      <c r="EI475" s="122"/>
      <c r="EJ475" s="122"/>
      <c r="EK475" s="122"/>
      <c r="EL475" s="122"/>
      <c r="EM475" s="122"/>
      <c r="EN475" s="122"/>
      <c r="EO475" s="122"/>
      <c r="EP475" s="122"/>
      <c r="EQ475" s="122"/>
      <c r="ER475" s="122"/>
      <c r="ES475" s="122"/>
      <c r="ET475" s="122"/>
      <c r="EU475" s="122"/>
      <c r="EV475" s="122"/>
      <c r="EW475" s="122"/>
      <c r="EX475" s="122"/>
      <c r="EY475" s="122"/>
      <c r="EZ475" s="122"/>
      <c r="FA475" s="122"/>
      <c r="FB475" s="122"/>
      <c r="FC475" s="122"/>
      <c r="FD475" s="122"/>
      <c r="FE475" s="122"/>
      <c r="FF475" s="122"/>
      <c r="FG475" s="122"/>
      <c r="FH475" s="122"/>
      <c r="FI475" s="122"/>
      <c r="FJ475" s="122"/>
      <c r="FK475" s="122"/>
      <c r="FL475" s="122"/>
      <c r="FM475" s="122"/>
      <c r="FN475" s="122"/>
      <c r="FO475" s="122"/>
      <c r="FP475" s="122"/>
      <c r="FQ475" s="122"/>
      <c r="FR475" s="122"/>
      <c r="FS475" s="122"/>
      <c r="FT475" s="122"/>
      <c r="FU475" s="122"/>
      <c r="FV475" s="122"/>
      <c r="FW475" s="122"/>
      <c r="FX475" s="122"/>
      <c r="FY475" s="122"/>
      <c r="FZ475" s="122"/>
      <c r="GA475" s="122"/>
      <c r="GB475" s="122"/>
      <c r="GC475" s="122"/>
      <c r="GD475" s="122"/>
      <c r="GE475" s="122"/>
      <c r="GF475" s="122"/>
      <c r="GG475" s="122"/>
      <c r="GH475" s="122"/>
      <c r="GI475" s="122"/>
      <c r="GJ475" s="122"/>
      <c r="GK475" s="122"/>
      <c r="GL475" s="122"/>
      <c r="GM475" s="122"/>
      <c r="GN475" s="122"/>
      <c r="GO475" s="122"/>
      <c r="GP475" s="122"/>
      <c r="GQ475" s="122"/>
      <c r="GR475" s="122"/>
      <c r="GS475" s="122"/>
      <c r="GT475" s="122"/>
      <c r="GU475" s="122"/>
      <c r="GV475" s="122"/>
      <c r="GW475" s="122"/>
      <c r="GX475" s="122"/>
      <c r="GY475" s="122"/>
      <c r="GZ475" s="122"/>
      <c r="HA475" s="122"/>
      <c r="HB475" s="122"/>
      <c r="HC475" s="122"/>
      <c r="HD475" s="122"/>
      <c r="HE475" s="122"/>
      <c r="HF475" s="122"/>
      <c r="HG475" s="122"/>
      <c r="HH475" s="122"/>
      <c r="HI475" s="122"/>
      <c r="HJ475" s="122"/>
      <c r="HK475" s="122"/>
      <c r="HL475" s="122"/>
      <c r="HM475" s="122"/>
      <c r="HN475" s="122"/>
      <c r="HO475" s="122"/>
      <c r="HP475" s="122"/>
      <c r="HQ475" s="122"/>
      <c r="HR475" s="122"/>
      <c r="HS475" s="122"/>
      <c r="HT475" s="122"/>
      <c r="HU475" s="122"/>
      <c r="HV475" s="122"/>
      <c r="HW475" s="122"/>
      <c r="HX475" s="122"/>
      <c r="HY475" s="122"/>
      <c r="HZ475" s="122"/>
      <c r="IA475" s="122"/>
      <c r="IB475" s="122"/>
      <c r="IC475" s="122"/>
      <c r="ID475" s="122"/>
      <c r="IE475" s="122"/>
      <c r="IF475" s="122"/>
      <c r="IG475" s="122"/>
      <c r="IH475" s="122"/>
      <c r="II475" s="122"/>
      <c r="IJ475" s="122"/>
      <c r="IK475" s="122"/>
      <c r="IL475" s="122"/>
      <c r="IM475" s="122"/>
      <c r="IN475" s="122"/>
      <c r="IO475" s="122"/>
      <c r="IP475" s="122"/>
      <c r="IQ475" s="122"/>
      <c r="IR475" s="122"/>
      <c r="IS475" s="122"/>
      <c r="IT475" s="122"/>
      <c r="IU475" s="122"/>
      <c r="IV475" s="122"/>
      <c r="IW475" s="122"/>
      <c r="IX475" s="122"/>
      <c r="IY475" s="122"/>
      <c r="IZ475" s="122"/>
      <c r="JA475" s="122"/>
      <c r="JB475" s="122"/>
      <c r="JC475" s="122"/>
      <c r="JD475" s="122"/>
      <c r="JE475" s="122"/>
      <c r="JF475" s="122"/>
      <c r="JG475" s="122"/>
      <c r="JH475" s="122"/>
      <c r="JI475" s="119">
        <f t="shared" si="3"/>
        <v>0</v>
      </c>
      <c r="JJ475" s="2"/>
      <c r="JK475" s="122"/>
      <c r="JL475" s="125">
        <f t="shared" si="1"/>
        <v>0</v>
      </c>
      <c r="JM475" s="125"/>
      <c r="JN475" s="125"/>
      <c r="JO475" s="125"/>
      <c r="JP475" s="125"/>
    </row>
    <row r="476" spans="1:2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122"/>
      <c r="AI476" s="122"/>
      <c r="AJ476" s="122"/>
      <c r="AK476" s="122"/>
      <c r="AL476" s="122"/>
      <c r="AM476" s="122"/>
      <c r="AN476" s="122"/>
      <c r="AO476" s="122"/>
      <c r="AP476" s="122"/>
      <c r="AQ476" s="122"/>
      <c r="AR476" s="122"/>
      <c r="AS476" s="122"/>
      <c r="AT476" s="122"/>
      <c r="AU476" s="122"/>
      <c r="AV476" s="122"/>
      <c r="AW476" s="122"/>
      <c r="AX476" s="122"/>
      <c r="AY476" s="122"/>
      <c r="AZ476" s="122"/>
      <c r="BA476" s="122"/>
      <c r="BB476" s="122"/>
      <c r="BC476" s="122"/>
      <c r="BD476" s="122"/>
      <c r="BE476" s="122"/>
      <c r="BF476" s="122"/>
      <c r="BG476" s="122"/>
      <c r="BH476" s="122"/>
      <c r="BI476" s="122"/>
      <c r="BJ476" s="122"/>
      <c r="BK476" s="122"/>
      <c r="BL476" s="122"/>
      <c r="BM476" s="122"/>
      <c r="BN476" s="122"/>
      <c r="BO476" s="122"/>
      <c r="BP476" s="122"/>
      <c r="BQ476" s="122"/>
      <c r="BR476" s="122"/>
      <c r="BS476" s="122"/>
      <c r="BT476" s="122"/>
      <c r="BU476" s="122"/>
      <c r="BV476" s="122"/>
      <c r="BW476" s="122"/>
      <c r="BX476" s="122"/>
      <c r="BY476" s="122"/>
      <c r="BZ476" s="122"/>
      <c r="CA476" s="122"/>
      <c r="CB476" s="122"/>
      <c r="CC476" s="122"/>
      <c r="CD476" s="122"/>
      <c r="CE476" s="122"/>
      <c r="CF476" s="122"/>
      <c r="CG476" s="122"/>
      <c r="CH476" s="122"/>
      <c r="CI476" s="122"/>
      <c r="CJ476" s="122"/>
      <c r="CK476" s="122"/>
      <c r="CL476" s="122"/>
      <c r="CM476" s="122"/>
      <c r="CN476" s="122"/>
      <c r="CO476" s="122"/>
      <c r="CP476" s="122"/>
      <c r="CQ476" s="122"/>
      <c r="CR476" s="122"/>
      <c r="CS476" s="122"/>
      <c r="CT476" s="122"/>
      <c r="CU476" s="122"/>
      <c r="CV476" s="122"/>
      <c r="CW476" s="122"/>
      <c r="CX476" s="122"/>
      <c r="CY476" s="122"/>
      <c r="CZ476" s="122"/>
      <c r="DA476" s="122"/>
      <c r="DB476" s="122"/>
      <c r="DC476" s="122"/>
      <c r="DD476" s="122"/>
      <c r="DE476" s="122"/>
      <c r="DF476" s="122"/>
      <c r="DG476" s="122"/>
      <c r="DH476" s="122"/>
      <c r="DI476" s="122"/>
      <c r="DJ476" s="122"/>
      <c r="DK476" s="122"/>
      <c r="DL476" s="122"/>
      <c r="DM476" s="122"/>
      <c r="DN476" s="122"/>
      <c r="DO476" s="122"/>
      <c r="DP476" s="122"/>
      <c r="DQ476" s="122"/>
      <c r="DR476" s="122"/>
      <c r="DS476" s="122"/>
      <c r="DT476" s="122"/>
      <c r="DU476" s="122"/>
      <c r="DV476" s="122"/>
      <c r="DW476" s="122"/>
      <c r="DX476" s="122"/>
      <c r="DY476" s="122"/>
      <c r="DZ476" s="122"/>
      <c r="EA476" s="122"/>
      <c r="EB476" s="122"/>
      <c r="EC476" s="122"/>
      <c r="ED476" s="122"/>
      <c r="EE476" s="122"/>
      <c r="EF476" s="122"/>
      <c r="EG476" s="122"/>
      <c r="EH476" s="122"/>
      <c r="EI476" s="122"/>
      <c r="EJ476" s="122"/>
      <c r="EK476" s="122"/>
      <c r="EL476" s="122"/>
      <c r="EM476" s="122"/>
      <c r="EN476" s="122"/>
      <c r="EO476" s="122"/>
      <c r="EP476" s="122"/>
      <c r="EQ476" s="122"/>
      <c r="ER476" s="122"/>
      <c r="ES476" s="122"/>
      <c r="ET476" s="122"/>
      <c r="EU476" s="122"/>
      <c r="EV476" s="122"/>
      <c r="EW476" s="122"/>
      <c r="EX476" s="122"/>
      <c r="EY476" s="122"/>
      <c r="EZ476" s="122"/>
      <c r="FA476" s="122"/>
      <c r="FB476" s="122"/>
      <c r="FC476" s="122"/>
      <c r="FD476" s="122"/>
      <c r="FE476" s="122"/>
      <c r="FF476" s="122"/>
      <c r="FG476" s="122"/>
      <c r="FH476" s="122"/>
      <c r="FI476" s="122"/>
      <c r="FJ476" s="122"/>
      <c r="FK476" s="122"/>
      <c r="FL476" s="122"/>
      <c r="FM476" s="122"/>
      <c r="FN476" s="122"/>
      <c r="FO476" s="122"/>
      <c r="FP476" s="122"/>
      <c r="FQ476" s="122"/>
      <c r="FR476" s="122"/>
      <c r="FS476" s="122"/>
      <c r="FT476" s="122"/>
      <c r="FU476" s="122"/>
      <c r="FV476" s="122"/>
      <c r="FW476" s="122"/>
      <c r="FX476" s="122"/>
      <c r="FY476" s="122"/>
      <c r="FZ476" s="122"/>
      <c r="GA476" s="122"/>
      <c r="GB476" s="122"/>
      <c r="GC476" s="122"/>
      <c r="GD476" s="122"/>
      <c r="GE476" s="122"/>
      <c r="GF476" s="122"/>
      <c r="GG476" s="122"/>
      <c r="GH476" s="122"/>
      <c r="GI476" s="122"/>
      <c r="GJ476" s="122"/>
      <c r="GK476" s="122"/>
      <c r="GL476" s="122"/>
      <c r="GM476" s="122"/>
      <c r="GN476" s="122"/>
      <c r="GO476" s="122"/>
      <c r="GP476" s="122"/>
      <c r="GQ476" s="122"/>
      <c r="GR476" s="122"/>
      <c r="GS476" s="122"/>
      <c r="GT476" s="122"/>
      <c r="GU476" s="122"/>
      <c r="GV476" s="122"/>
      <c r="GW476" s="122"/>
      <c r="GX476" s="122"/>
      <c r="GY476" s="122"/>
      <c r="GZ476" s="122"/>
      <c r="HA476" s="122"/>
      <c r="HB476" s="122"/>
      <c r="HC476" s="122"/>
      <c r="HD476" s="122"/>
      <c r="HE476" s="122"/>
      <c r="HF476" s="122"/>
      <c r="HG476" s="122"/>
      <c r="HH476" s="122"/>
      <c r="HI476" s="122"/>
      <c r="HJ476" s="122"/>
      <c r="HK476" s="122"/>
      <c r="HL476" s="122"/>
      <c r="HM476" s="122"/>
      <c r="HN476" s="122"/>
      <c r="HO476" s="122"/>
      <c r="HP476" s="122"/>
      <c r="HQ476" s="122"/>
      <c r="HR476" s="122"/>
      <c r="HS476" s="122"/>
      <c r="HT476" s="122"/>
      <c r="HU476" s="122"/>
      <c r="HV476" s="122"/>
      <c r="HW476" s="122"/>
      <c r="HX476" s="122"/>
      <c r="HY476" s="122"/>
      <c r="HZ476" s="122"/>
      <c r="IA476" s="122"/>
      <c r="IB476" s="122"/>
      <c r="IC476" s="122"/>
      <c r="ID476" s="122"/>
      <c r="IE476" s="122"/>
      <c r="IF476" s="122"/>
      <c r="IG476" s="122"/>
      <c r="IH476" s="122"/>
      <c r="II476" s="122"/>
      <c r="IJ476" s="122"/>
      <c r="IK476" s="122"/>
      <c r="IL476" s="122"/>
      <c r="IM476" s="122"/>
      <c r="IN476" s="122"/>
      <c r="IO476" s="122"/>
      <c r="IP476" s="122"/>
      <c r="IQ476" s="122"/>
      <c r="IR476" s="122"/>
      <c r="IS476" s="122"/>
      <c r="IT476" s="122"/>
      <c r="IU476" s="122"/>
      <c r="IV476" s="122"/>
      <c r="IW476" s="122"/>
      <c r="IX476" s="122"/>
      <c r="IY476" s="122"/>
      <c r="IZ476" s="122"/>
      <c r="JA476" s="122"/>
      <c r="JB476" s="122"/>
      <c r="JC476" s="122"/>
      <c r="JD476" s="122"/>
      <c r="JE476" s="122"/>
      <c r="JF476" s="122"/>
      <c r="JG476" s="122"/>
      <c r="JH476" s="122"/>
      <c r="JI476" s="119">
        <f t="shared" si="3"/>
        <v>0</v>
      </c>
      <c r="JJ476" s="2"/>
      <c r="JK476" s="122"/>
      <c r="JL476" s="125">
        <f t="shared" si="1"/>
        <v>0</v>
      </c>
      <c r="JM476" s="125"/>
      <c r="JN476" s="125"/>
      <c r="JO476" s="125"/>
      <c r="JP476" s="125"/>
    </row>
    <row r="477" spans="1:276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  <c r="AK477" s="122"/>
      <c r="AL477" s="122"/>
      <c r="AM477" s="122"/>
      <c r="AN477" s="122"/>
      <c r="AO477" s="122"/>
      <c r="AP477" s="122"/>
      <c r="AQ477" s="122"/>
      <c r="AR477" s="122"/>
      <c r="AS477" s="122"/>
      <c r="AT477" s="122"/>
      <c r="AU477" s="122"/>
      <c r="AV477" s="122"/>
      <c r="AW477" s="122"/>
      <c r="AX477" s="122"/>
      <c r="AY477" s="122"/>
      <c r="AZ477" s="122"/>
      <c r="BA477" s="122"/>
      <c r="BB477" s="122"/>
      <c r="BC477" s="122"/>
      <c r="BD477" s="122"/>
      <c r="BE477" s="122"/>
      <c r="BF477" s="122"/>
      <c r="BG477" s="122"/>
      <c r="BH477" s="122"/>
      <c r="BI477" s="122"/>
      <c r="BJ477" s="122"/>
      <c r="BK477" s="122"/>
      <c r="BL477" s="122"/>
      <c r="BM477" s="122"/>
      <c r="BN477" s="122"/>
      <c r="BO477" s="122"/>
      <c r="BP477" s="122"/>
      <c r="BQ477" s="122"/>
      <c r="BR477" s="122"/>
      <c r="BS477" s="122"/>
      <c r="BT477" s="122"/>
      <c r="BU477" s="122"/>
      <c r="BV477" s="122"/>
      <c r="BW477" s="122"/>
      <c r="BX477" s="122"/>
      <c r="BY477" s="122"/>
      <c r="BZ477" s="122"/>
      <c r="CA477" s="122"/>
      <c r="CB477" s="122"/>
      <c r="CC477" s="122"/>
      <c r="CD477" s="122"/>
      <c r="CE477" s="122"/>
      <c r="CF477" s="122"/>
      <c r="CG477" s="122"/>
      <c r="CH477" s="122"/>
      <c r="CI477" s="122"/>
      <c r="CJ477" s="122"/>
      <c r="CK477" s="122"/>
      <c r="CL477" s="122"/>
      <c r="CM477" s="122"/>
      <c r="CN477" s="122"/>
      <c r="CO477" s="122"/>
      <c r="CP477" s="122"/>
      <c r="CQ477" s="122"/>
      <c r="CR477" s="122"/>
      <c r="CS477" s="122"/>
      <c r="CT477" s="122"/>
      <c r="CU477" s="122"/>
      <c r="CV477" s="122"/>
      <c r="CW477" s="122"/>
      <c r="CX477" s="122"/>
      <c r="CY477" s="122"/>
      <c r="CZ477" s="122"/>
      <c r="DA477" s="122"/>
      <c r="DB477" s="122"/>
      <c r="DC477" s="122"/>
      <c r="DD477" s="122"/>
      <c r="DE477" s="122"/>
      <c r="DF477" s="122"/>
      <c r="DG477" s="122"/>
      <c r="DH477" s="122"/>
      <c r="DI477" s="122"/>
      <c r="DJ477" s="122"/>
      <c r="DK477" s="122"/>
      <c r="DL477" s="122"/>
      <c r="DM477" s="122"/>
      <c r="DN477" s="122"/>
      <c r="DO477" s="122"/>
      <c r="DP477" s="122"/>
      <c r="DQ477" s="122"/>
      <c r="DR477" s="122"/>
      <c r="DS477" s="122"/>
      <c r="DT477" s="122"/>
      <c r="DU477" s="122"/>
      <c r="DV477" s="122"/>
      <c r="DW477" s="122"/>
      <c r="DX477" s="122"/>
      <c r="DY477" s="122"/>
      <c r="DZ477" s="122"/>
      <c r="EA477" s="122"/>
      <c r="EB477" s="122"/>
      <c r="EC477" s="122"/>
      <c r="ED477" s="122"/>
      <c r="EE477" s="122"/>
      <c r="EF477" s="122"/>
      <c r="EG477" s="122"/>
      <c r="EH477" s="122"/>
      <c r="EI477" s="122"/>
      <c r="EJ477" s="122"/>
      <c r="EK477" s="122"/>
      <c r="EL477" s="122"/>
      <c r="EM477" s="122"/>
      <c r="EN477" s="122"/>
      <c r="EO477" s="122"/>
      <c r="EP477" s="122"/>
      <c r="EQ477" s="122"/>
      <c r="ER477" s="122"/>
      <c r="ES477" s="122"/>
      <c r="ET477" s="122"/>
      <c r="EU477" s="122"/>
      <c r="EV477" s="122"/>
      <c r="EW477" s="122"/>
      <c r="EX477" s="122"/>
      <c r="EY477" s="122"/>
      <c r="EZ477" s="122"/>
      <c r="FA477" s="122"/>
      <c r="FB477" s="122"/>
      <c r="FC477" s="122"/>
      <c r="FD477" s="122"/>
      <c r="FE477" s="122"/>
      <c r="FF477" s="122"/>
      <c r="FG477" s="122"/>
      <c r="FH477" s="122"/>
      <c r="FI477" s="122"/>
      <c r="FJ477" s="122"/>
      <c r="FK477" s="122"/>
      <c r="FL477" s="122"/>
      <c r="FM477" s="122"/>
      <c r="FN477" s="122"/>
      <c r="FO477" s="122"/>
      <c r="FP477" s="122"/>
      <c r="FQ477" s="122"/>
      <c r="FR477" s="122"/>
      <c r="FS477" s="122"/>
      <c r="FT477" s="122"/>
      <c r="FU477" s="122"/>
      <c r="FV477" s="122"/>
      <c r="FW477" s="122"/>
      <c r="FX477" s="122"/>
      <c r="FY477" s="122"/>
      <c r="FZ477" s="122"/>
      <c r="GA477" s="122"/>
      <c r="GB477" s="122"/>
      <c r="GC477" s="122"/>
      <c r="GD477" s="122"/>
      <c r="GE477" s="122"/>
      <c r="GF477" s="122"/>
      <c r="GG477" s="122"/>
      <c r="GH477" s="122"/>
      <c r="GI477" s="122"/>
      <c r="GJ477" s="122"/>
      <c r="GK477" s="122"/>
      <c r="GL477" s="122"/>
      <c r="GM477" s="122"/>
      <c r="GN477" s="122"/>
      <c r="GO477" s="122"/>
      <c r="GP477" s="122"/>
      <c r="GQ477" s="122"/>
      <c r="GR477" s="122"/>
      <c r="GS477" s="122"/>
      <c r="GT477" s="122"/>
      <c r="GU477" s="122"/>
      <c r="GV477" s="122"/>
      <c r="GW477" s="122"/>
      <c r="GX477" s="122"/>
      <c r="GY477" s="122"/>
      <c r="GZ477" s="122"/>
      <c r="HA477" s="122"/>
      <c r="HB477" s="122"/>
      <c r="HC477" s="122"/>
      <c r="HD477" s="122"/>
      <c r="HE477" s="122"/>
      <c r="HF477" s="122"/>
      <c r="HG477" s="122"/>
      <c r="HH477" s="122"/>
      <c r="HI477" s="122"/>
      <c r="HJ477" s="122"/>
      <c r="HK477" s="122"/>
      <c r="HL477" s="122"/>
      <c r="HM477" s="122"/>
      <c r="HN477" s="122"/>
      <c r="HO477" s="122"/>
      <c r="HP477" s="122"/>
      <c r="HQ477" s="122"/>
      <c r="HR477" s="122"/>
      <c r="HS477" s="122"/>
      <c r="HT477" s="122"/>
      <c r="HU477" s="122"/>
      <c r="HV477" s="122"/>
      <c r="HW477" s="122"/>
      <c r="HX477" s="122"/>
      <c r="HY477" s="122"/>
      <c r="HZ477" s="122"/>
      <c r="IA477" s="122"/>
      <c r="IB477" s="122"/>
      <c r="IC477" s="122"/>
      <c r="ID477" s="122"/>
      <c r="IE477" s="122"/>
      <c r="IF477" s="122"/>
      <c r="IG477" s="122"/>
      <c r="IH477" s="122"/>
      <c r="II477" s="122"/>
      <c r="IJ477" s="122"/>
      <c r="IK477" s="122"/>
      <c r="IL477" s="122"/>
      <c r="IM477" s="122"/>
      <c r="IN477" s="122"/>
      <c r="IO477" s="122"/>
      <c r="IP477" s="122"/>
      <c r="IQ477" s="122"/>
      <c r="IR477" s="122"/>
      <c r="IS477" s="122"/>
      <c r="IT477" s="122"/>
      <c r="IU477" s="122"/>
      <c r="IV477" s="122"/>
      <c r="IW477" s="122"/>
      <c r="IX477" s="122"/>
      <c r="IY477" s="122"/>
      <c r="IZ477" s="122"/>
      <c r="JA477" s="122"/>
      <c r="JB477" s="122"/>
      <c r="JC477" s="122"/>
      <c r="JD477" s="122"/>
      <c r="JE477" s="122"/>
      <c r="JF477" s="122"/>
      <c r="JG477" s="122"/>
      <c r="JH477" s="122"/>
      <c r="JI477" s="119">
        <f t="shared" si="3"/>
        <v>0</v>
      </c>
      <c r="JJ477" s="2"/>
      <c r="JK477" s="122"/>
      <c r="JL477" s="125">
        <f t="shared" si="1"/>
        <v>0</v>
      </c>
      <c r="JM477" s="125"/>
      <c r="JN477" s="125"/>
      <c r="JO477" s="125"/>
      <c r="JP477" s="125"/>
    </row>
    <row r="478" spans="1:276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122"/>
      <c r="AI478" s="122"/>
      <c r="AJ478" s="122"/>
      <c r="AK478" s="122"/>
      <c r="AL478" s="122"/>
      <c r="AM478" s="122"/>
      <c r="AN478" s="122"/>
      <c r="AO478" s="122"/>
      <c r="AP478" s="122"/>
      <c r="AQ478" s="122"/>
      <c r="AR478" s="122"/>
      <c r="AS478" s="122"/>
      <c r="AT478" s="122"/>
      <c r="AU478" s="122"/>
      <c r="AV478" s="122"/>
      <c r="AW478" s="122"/>
      <c r="AX478" s="122"/>
      <c r="AY478" s="122"/>
      <c r="AZ478" s="122"/>
      <c r="BA478" s="122"/>
      <c r="BB478" s="122"/>
      <c r="BC478" s="122"/>
      <c r="BD478" s="122"/>
      <c r="BE478" s="122"/>
      <c r="BF478" s="122"/>
      <c r="BG478" s="122"/>
      <c r="BH478" s="122"/>
      <c r="BI478" s="122"/>
      <c r="BJ478" s="122"/>
      <c r="BK478" s="122"/>
      <c r="BL478" s="122"/>
      <c r="BM478" s="122"/>
      <c r="BN478" s="122"/>
      <c r="BO478" s="122"/>
      <c r="BP478" s="122"/>
      <c r="BQ478" s="122"/>
      <c r="BR478" s="122"/>
      <c r="BS478" s="122"/>
      <c r="BT478" s="122"/>
      <c r="BU478" s="122"/>
      <c r="BV478" s="122"/>
      <c r="BW478" s="122"/>
      <c r="BX478" s="122"/>
      <c r="BY478" s="122"/>
      <c r="BZ478" s="122"/>
      <c r="CA478" s="122"/>
      <c r="CB478" s="122"/>
      <c r="CC478" s="122"/>
      <c r="CD478" s="122"/>
      <c r="CE478" s="122"/>
      <c r="CF478" s="122"/>
      <c r="CG478" s="122"/>
      <c r="CH478" s="122"/>
      <c r="CI478" s="122"/>
      <c r="CJ478" s="122"/>
      <c r="CK478" s="122"/>
      <c r="CL478" s="122"/>
      <c r="CM478" s="122"/>
      <c r="CN478" s="122"/>
      <c r="CO478" s="122"/>
      <c r="CP478" s="122"/>
      <c r="CQ478" s="122"/>
      <c r="CR478" s="122"/>
      <c r="CS478" s="122"/>
      <c r="CT478" s="122"/>
      <c r="CU478" s="122"/>
      <c r="CV478" s="122"/>
      <c r="CW478" s="122"/>
      <c r="CX478" s="122"/>
      <c r="CY478" s="122"/>
      <c r="CZ478" s="122"/>
      <c r="DA478" s="122"/>
      <c r="DB478" s="122"/>
      <c r="DC478" s="122"/>
      <c r="DD478" s="122"/>
      <c r="DE478" s="122"/>
      <c r="DF478" s="122"/>
      <c r="DG478" s="122"/>
      <c r="DH478" s="122"/>
      <c r="DI478" s="122"/>
      <c r="DJ478" s="122"/>
      <c r="DK478" s="122"/>
      <c r="DL478" s="122"/>
      <c r="DM478" s="122"/>
      <c r="DN478" s="122"/>
      <c r="DO478" s="122"/>
      <c r="DP478" s="122"/>
      <c r="DQ478" s="122"/>
      <c r="DR478" s="122"/>
      <c r="DS478" s="122"/>
      <c r="DT478" s="122"/>
      <c r="DU478" s="122"/>
      <c r="DV478" s="122"/>
      <c r="DW478" s="122"/>
      <c r="DX478" s="122"/>
      <c r="DY478" s="122"/>
      <c r="DZ478" s="122"/>
      <c r="EA478" s="122"/>
      <c r="EB478" s="122"/>
      <c r="EC478" s="122"/>
      <c r="ED478" s="122"/>
      <c r="EE478" s="122"/>
      <c r="EF478" s="122"/>
      <c r="EG478" s="122"/>
      <c r="EH478" s="122"/>
      <c r="EI478" s="122"/>
      <c r="EJ478" s="122"/>
      <c r="EK478" s="122"/>
      <c r="EL478" s="122"/>
      <c r="EM478" s="122"/>
      <c r="EN478" s="122"/>
      <c r="EO478" s="122"/>
      <c r="EP478" s="122"/>
      <c r="EQ478" s="122"/>
      <c r="ER478" s="122"/>
      <c r="ES478" s="122"/>
      <c r="ET478" s="122"/>
      <c r="EU478" s="122"/>
      <c r="EV478" s="122"/>
      <c r="EW478" s="122"/>
      <c r="EX478" s="122"/>
      <c r="EY478" s="122"/>
      <c r="EZ478" s="122"/>
      <c r="FA478" s="122"/>
      <c r="FB478" s="122"/>
      <c r="FC478" s="122"/>
      <c r="FD478" s="122"/>
      <c r="FE478" s="122"/>
      <c r="FF478" s="122"/>
      <c r="FG478" s="122"/>
      <c r="FH478" s="122"/>
      <c r="FI478" s="122"/>
      <c r="FJ478" s="122"/>
      <c r="FK478" s="122"/>
      <c r="FL478" s="122"/>
      <c r="FM478" s="122"/>
      <c r="FN478" s="122"/>
      <c r="FO478" s="122"/>
      <c r="FP478" s="122"/>
      <c r="FQ478" s="122"/>
      <c r="FR478" s="122"/>
      <c r="FS478" s="122"/>
      <c r="FT478" s="122"/>
      <c r="FU478" s="122"/>
      <c r="FV478" s="122"/>
      <c r="FW478" s="122"/>
      <c r="FX478" s="122"/>
      <c r="FY478" s="122"/>
      <c r="FZ478" s="122"/>
      <c r="GA478" s="122"/>
      <c r="GB478" s="122"/>
      <c r="GC478" s="122"/>
      <c r="GD478" s="122"/>
      <c r="GE478" s="122"/>
      <c r="GF478" s="122"/>
      <c r="GG478" s="122"/>
      <c r="GH478" s="122"/>
      <c r="GI478" s="122"/>
      <c r="GJ478" s="122"/>
      <c r="GK478" s="122"/>
      <c r="GL478" s="122"/>
      <c r="GM478" s="122"/>
      <c r="GN478" s="122"/>
      <c r="GO478" s="122"/>
      <c r="GP478" s="122"/>
      <c r="GQ478" s="122"/>
      <c r="GR478" s="122"/>
      <c r="GS478" s="122"/>
      <c r="GT478" s="122"/>
      <c r="GU478" s="122"/>
      <c r="GV478" s="122"/>
      <c r="GW478" s="122"/>
      <c r="GX478" s="122"/>
      <c r="GY478" s="122"/>
      <c r="GZ478" s="122"/>
      <c r="HA478" s="122"/>
      <c r="HB478" s="122"/>
      <c r="HC478" s="122"/>
      <c r="HD478" s="122"/>
      <c r="HE478" s="122"/>
      <c r="HF478" s="122"/>
      <c r="HG478" s="122"/>
      <c r="HH478" s="122"/>
      <c r="HI478" s="122"/>
      <c r="HJ478" s="122"/>
      <c r="HK478" s="122"/>
      <c r="HL478" s="122"/>
      <c r="HM478" s="122"/>
      <c r="HN478" s="122"/>
      <c r="HO478" s="122"/>
      <c r="HP478" s="122"/>
      <c r="HQ478" s="122"/>
      <c r="HR478" s="122"/>
      <c r="HS478" s="122"/>
      <c r="HT478" s="122"/>
      <c r="HU478" s="122"/>
      <c r="HV478" s="122"/>
      <c r="HW478" s="122"/>
      <c r="HX478" s="122"/>
      <c r="HY478" s="122"/>
      <c r="HZ478" s="122"/>
      <c r="IA478" s="122"/>
      <c r="IB478" s="122"/>
      <c r="IC478" s="122"/>
      <c r="ID478" s="122"/>
      <c r="IE478" s="122"/>
      <c r="IF478" s="122"/>
      <c r="IG478" s="122"/>
      <c r="IH478" s="122"/>
      <c r="II478" s="122"/>
      <c r="IJ478" s="122"/>
      <c r="IK478" s="122"/>
      <c r="IL478" s="122"/>
      <c r="IM478" s="122"/>
      <c r="IN478" s="122"/>
      <c r="IO478" s="122"/>
      <c r="IP478" s="122"/>
      <c r="IQ478" s="122"/>
      <c r="IR478" s="122"/>
      <c r="IS478" s="122"/>
      <c r="IT478" s="122"/>
      <c r="IU478" s="122"/>
      <c r="IV478" s="122"/>
      <c r="IW478" s="122"/>
      <c r="IX478" s="122"/>
      <c r="IY478" s="122"/>
      <c r="IZ478" s="122"/>
      <c r="JA478" s="122"/>
      <c r="JB478" s="122"/>
      <c r="JC478" s="122"/>
      <c r="JD478" s="122"/>
      <c r="JE478" s="122"/>
      <c r="JF478" s="122"/>
      <c r="JG478" s="122"/>
      <c r="JH478" s="122"/>
      <c r="JI478" s="119">
        <f t="shared" si="3"/>
        <v>0</v>
      </c>
      <c r="JJ478" s="2"/>
      <c r="JK478" s="122"/>
      <c r="JL478" s="125">
        <f t="shared" si="1"/>
        <v>0</v>
      </c>
      <c r="JM478" s="125"/>
      <c r="JN478" s="125"/>
      <c r="JO478" s="125"/>
      <c r="JP478" s="125"/>
    </row>
    <row r="479" spans="1:276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122"/>
      <c r="AJ479" s="122"/>
      <c r="AK479" s="122"/>
      <c r="AL479" s="122"/>
      <c r="AM479" s="122"/>
      <c r="AN479" s="122"/>
      <c r="AO479" s="122"/>
      <c r="AP479" s="122"/>
      <c r="AQ479" s="122"/>
      <c r="AR479" s="122"/>
      <c r="AS479" s="122"/>
      <c r="AT479" s="122"/>
      <c r="AU479" s="122"/>
      <c r="AV479" s="122"/>
      <c r="AW479" s="122"/>
      <c r="AX479" s="122"/>
      <c r="AY479" s="122"/>
      <c r="AZ479" s="122"/>
      <c r="BA479" s="122"/>
      <c r="BB479" s="122"/>
      <c r="BC479" s="122"/>
      <c r="BD479" s="122"/>
      <c r="BE479" s="122"/>
      <c r="BF479" s="122"/>
      <c r="BG479" s="122"/>
      <c r="BH479" s="122"/>
      <c r="BI479" s="122"/>
      <c r="BJ479" s="122"/>
      <c r="BK479" s="122"/>
      <c r="BL479" s="122"/>
      <c r="BM479" s="122"/>
      <c r="BN479" s="122"/>
      <c r="BO479" s="122"/>
      <c r="BP479" s="122"/>
      <c r="BQ479" s="122"/>
      <c r="BR479" s="122"/>
      <c r="BS479" s="122"/>
      <c r="BT479" s="122"/>
      <c r="BU479" s="122"/>
      <c r="BV479" s="122"/>
      <c r="BW479" s="122"/>
      <c r="BX479" s="122"/>
      <c r="BY479" s="122"/>
      <c r="BZ479" s="122"/>
      <c r="CA479" s="122"/>
      <c r="CB479" s="122"/>
      <c r="CC479" s="122"/>
      <c r="CD479" s="122"/>
      <c r="CE479" s="122"/>
      <c r="CF479" s="122"/>
      <c r="CG479" s="122"/>
      <c r="CH479" s="122"/>
      <c r="CI479" s="122"/>
      <c r="CJ479" s="122"/>
      <c r="CK479" s="122"/>
      <c r="CL479" s="122"/>
      <c r="CM479" s="122"/>
      <c r="CN479" s="122"/>
      <c r="CO479" s="122"/>
      <c r="CP479" s="122"/>
      <c r="CQ479" s="122"/>
      <c r="CR479" s="122"/>
      <c r="CS479" s="122"/>
      <c r="CT479" s="122"/>
      <c r="CU479" s="122"/>
      <c r="CV479" s="122"/>
      <c r="CW479" s="122"/>
      <c r="CX479" s="122"/>
      <c r="CY479" s="122"/>
      <c r="CZ479" s="122"/>
      <c r="DA479" s="122"/>
      <c r="DB479" s="122"/>
      <c r="DC479" s="122"/>
      <c r="DD479" s="122"/>
      <c r="DE479" s="122"/>
      <c r="DF479" s="122"/>
      <c r="DG479" s="122"/>
      <c r="DH479" s="122"/>
      <c r="DI479" s="122"/>
      <c r="DJ479" s="122"/>
      <c r="DK479" s="122"/>
      <c r="DL479" s="122"/>
      <c r="DM479" s="122"/>
      <c r="DN479" s="122"/>
      <c r="DO479" s="122"/>
      <c r="DP479" s="122"/>
      <c r="DQ479" s="122"/>
      <c r="DR479" s="122"/>
      <c r="DS479" s="122"/>
      <c r="DT479" s="122"/>
      <c r="DU479" s="122"/>
      <c r="DV479" s="122"/>
      <c r="DW479" s="122"/>
      <c r="DX479" s="122"/>
      <c r="DY479" s="122"/>
      <c r="DZ479" s="122"/>
      <c r="EA479" s="122"/>
      <c r="EB479" s="122"/>
      <c r="EC479" s="122"/>
      <c r="ED479" s="122"/>
      <c r="EE479" s="122"/>
      <c r="EF479" s="122"/>
      <c r="EG479" s="122"/>
      <c r="EH479" s="122"/>
      <c r="EI479" s="122"/>
      <c r="EJ479" s="122"/>
      <c r="EK479" s="122"/>
      <c r="EL479" s="122"/>
      <c r="EM479" s="122"/>
      <c r="EN479" s="122"/>
      <c r="EO479" s="122"/>
      <c r="EP479" s="122"/>
      <c r="EQ479" s="122"/>
      <c r="ER479" s="122"/>
      <c r="ES479" s="122"/>
      <c r="ET479" s="122"/>
      <c r="EU479" s="122"/>
      <c r="EV479" s="122"/>
      <c r="EW479" s="122"/>
      <c r="EX479" s="122"/>
      <c r="EY479" s="122"/>
      <c r="EZ479" s="122"/>
      <c r="FA479" s="122"/>
      <c r="FB479" s="122"/>
      <c r="FC479" s="122"/>
      <c r="FD479" s="122"/>
      <c r="FE479" s="122"/>
      <c r="FF479" s="122"/>
      <c r="FG479" s="122"/>
      <c r="FH479" s="122"/>
      <c r="FI479" s="122"/>
      <c r="FJ479" s="122"/>
      <c r="FK479" s="122"/>
      <c r="FL479" s="122"/>
      <c r="FM479" s="122"/>
      <c r="FN479" s="122"/>
      <c r="FO479" s="122"/>
      <c r="FP479" s="122"/>
      <c r="FQ479" s="122"/>
      <c r="FR479" s="122"/>
      <c r="FS479" s="122"/>
      <c r="FT479" s="122"/>
      <c r="FU479" s="122"/>
      <c r="FV479" s="122"/>
      <c r="FW479" s="122"/>
      <c r="FX479" s="122"/>
      <c r="FY479" s="122"/>
      <c r="FZ479" s="122"/>
      <c r="GA479" s="122"/>
      <c r="GB479" s="122"/>
      <c r="GC479" s="122"/>
      <c r="GD479" s="122"/>
      <c r="GE479" s="122"/>
      <c r="GF479" s="122"/>
      <c r="GG479" s="122"/>
      <c r="GH479" s="122"/>
      <c r="GI479" s="122"/>
      <c r="GJ479" s="122"/>
      <c r="GK479" s="122"/>
      <c r="GL479" s="122"/>
      <c r="GM479" s="122"/>
      <c r="GN479" s="122"/>
      <c r="GO479" s="122"/>
      <c r="GP479" s="122"/>
      <c r="GQ479" s="122"/>
      <c r="GR479" s="122"/>
      <c r="GS479" s="122"/>
      <c r="GT479" s="122"/>
      <c r="GU479" s="122"/>
      <c r="GV479" s="122"/>
      <c r="GW479" s="122"/>
      <c r="GX479" s="122"/>
      <c r="GY479" s="122"/>
      <c r="GZ479" s="122"/>
      <c r="HA479" s="122"/>
      <c r="HB479" s="122"/>
      <c r="HC479" s="122"/>
      <c r="HD479" s="122"/>
      <c r="HE479" s="122"/>
      <c r="HF479" s="122"/>
      <c r="HG479" s="122"/>
      <c r="HH479" s="122"/>
      <c r="HI479" s="122"/>
      <c r="HJ479" s="122"/>
      <c r="HK479" s="122"/>
      <c r="HL479" s="122"/>
      <c r="HM479" s="122"/>
      <c r="HN479" s="122"/>
      <c r="HO479" s="122"/>
      <c r="HP479" s="122"/>
      <c r="HQ479" s="122"/>
      <c r="HR479" s="122"/>
      <c r="HS479" s="122"/>
      <c r="HT479" s="122"/>
      <c r="HU479" s="122"/>
      <c r="HV479" s="122"/>
      <c r="HW479" s="122"/>
      <c r="HX479" s="122"/>
      <c r="HY479" s="122"/>
      <c r="HZ479" s="122"/>
      <c r="IA479" s="122"/>
      <c r="IB479" s="122"/>
      <c r="IC479" s="122"/>
      <c r="ID479" s="122"/>
      <c r="IE479" s="122"/>
      <c r="IF479" s="122"/>
      <c r="IG479" s="122"/>
      <c r="IH479" s="122"/>
      <c r="II479" s="122"/>
      <c r="IJ479" s="122"/>
      <c r="IK479" s="122"/>
      <c r="IL479" s="122"/>
      <c r="IM479" s="122"/>
      <c r="IN479" s="122"/>
      <c r="IO479" s="122"/>
      <c r="IP479" s="122"/>
      <c r="IQ479" s="122"/>
      <c r="IR479" s="122"/>
      <c r="IS479" s="122"/>
      <c r="IT479" s="122"/>
      <c r="IU479" s="122"/>
      <c r="IV479" s="122"/>
      <c r="IW479" s="122"/>
      <c r="IX479" s="122"/>
      <c r="IY479" s="122"/>
      <c r="IZ479" s="122"/>
      <c r="JA479" s="122"/>
      <c r="JB479" s="122"/>
      <c r="JC479" s="122"/>
      <c r="JD479" s="122"/>
      <c r="JE479" s="122"/>
      <c r="JF479" s="122"/>
      <c r="JG479" s="122"/>
      <c r="JH479" s="122"/>
      <c r="JI479" s="119">
        <f t="shared" si="3"/>
        <v>0</v>
      </c>
      <c r="JJ479" s="2"/>
      <c r="JK479" s="122"/>
      <c r="JL479" s="125">
        <f t="shared" si="1"/>
        <v>0</v>
      </c>
      <c r="JM479" s="125"/>
      <c r="JN479" s="125"/>
      <c r="JO479" s="125"/>
      <c r="JP479" s="125"/>
    </row>
    <row r="480" spans="1:276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122"/>
      <c r="AI480" s="122"/>
      <c r="AJ480" s="122"/>
      <c r="AK480" s="122"/>
      <c r="AL480" s="122"/>
      <c r="AM480" s="122"/>
      <c r="AN480" s="122"/>
      <c r="AO480" s="122"/>
      <c r="AP480" s="122"/>
      <c r="AQ480" s="122"/>
      <c r="AR480" s="122"/>
      <c r="AS480" s="122"/>
      <c r="AT480" s="122"/>
      <c r="AU480" s="122"/>
      <c r="AV480" s="122"/>
      <c r="AW480" s="122"/>
      <c r="AX480" s="122"/>
      <c r="AY480" s="122"/>
      <c r="AZ480" s="122"/>
      <c r="BA480" s="122"/>
      <c r="BB480" s="122"/>
      <c r="BC480" s="122"/>
      <c r="BD480" s="122"/>
      <c r="BE480" s="122"/>
      <c r="BF480" s="122"/>
      <c r="BG480" s="122"/>
      <c r="BH480" s="122"/>
      <c r="BI480" s="122"/>
      <c r="BJ480" s="122"/>
      <c r="BK480" s="122"/>
      <c r="BL480" s="122"/>
      <c r="BM480" s="122"/>
      <c r="BN480" s="122"/>
      <c r="BO480" s="122"/>
      <c r="BP480" s="122"/>
      <c r="BQ480" s="122"/>
      <c r="BR480" s="122"/>
      <c r="BS480" s="122"/>
      <c r="BT480" s="122"/>
      <c r="BU480" s="122"/>
      <c r="BV480" s="122"/>
      <c r="BW480" s="122"/>
      <c r="BX480" s="122"/>
      <c r="BY480" s="122"/>
      <c r="BZ480" s="122"/>
      <c r="CA480" s="122"/>
      <c r="CB480" s="122"/>
      <c r="CC480" s="122"/>
      <c r="CD480" s="122"/>
      <c r="CE480" s="122"/>
      <c r="CF480" s="122"/>
      <c r="CG480" s="122"/>
      <c r="CH480" s="122"/>
      <c r="CI480" s="122"/>
      <c r="CJ480" s="122"/>
      <c r="CK480" s="122"/>
      <c r="CL480" s="122"/>
      <c r="CM480" s="122"/>
      <c r="CN480" s="122"/>
      <c r="CO480" s="122"/>
      <c r="CP480" s="122"/>
      <c r="CQ480" s="122"/>
      <c r="CR480" s="122"/>
      <c r="CS480" s="122"/>
      <c r="CT480" s="122"/>
      <c r="CU480" s="122"/>
      <c r="CV480" s="122"/>
      <c r="CW480" s="122"/>
      <c r="CX480" s="122"/>
      <c r="CY480" s="122"/>
      <c r="CZ480" s="122"/>
      <c r="DA480" s="122"/>
      <c r="DB480" s="122"/>
      <c r="DC480" s="122"/>
      <c r="DD480" s="122"/>
      <c r="DE480" s="122"/>
      <c r="DF480" s="122"/>
      <c r="DG480" s="122"/>
      <c r="DH480" s="122"/>
      <c r="DI480" s="122"/>
      <c r="DJ480" s="122"/>
      <c r="DK480" s="122"/>
      <c r="DL480" s="122"/>
      <c r="DM480" s="122"/>
      <c r="DN480" s="122"/>
      <c r="DO480" s="122"/>
      <c r="DP480" s="122"/>
      <c r="DQ480" s="122"/>
      <c r="DR480" s="122"/>
      <c r="DS480" s="122"/>
      <c r="DT480" s="122"/>
      <c r="DU480" s="122"/>
      <c r="DV480" s="122"/>
      <c r="DW480" s="122"/>
      <c r="DX480" s="122"/>
      <c r="DY480" s="122"/>
      <c r="DZ480" s="122"/>
      <c r="EA480" s="122"/>
      <c r="EB480" s="122"/>
      <c r="EC480" s="122"/>
      <c r="ED480" s="122"/>
      <c r="EE480" s="122"/>
      <c r="EF480" s="122"/>
      <c r="EG480" s="122"/>
      <c r="EH480" s="122"/>
      <c r="EI480" s="122"/>
      <c r="EJ480" s="122"/>
      <c r="EK480" s="122"/>
      <c r="EL480" s="122"/>
      <c r="EM480" s="122"/>
      <c r="EN480" s="122"/>
      <c r="EO480" s="122"/>
      <c r="EP480" s="122"/>
      <c r="EQ480" s="122"/>
      <c r="ER480" s="122"/>
      <c r="ES480" s="122"/>
      <c r="ET480" s="122"/>
      <c r="EU480" s="122"/>
      <c r="EV480" s="122"/>
      <c r="EW480" s="122"/>
      <c r="EX480" s="122"/>
      <c r="EY480" s="122"/>
      <c r="EZ480" s="122"/>
      <c r="FA480" s="122"/>
      <c r="FB480" s="122"/>
      <c r="FC480" s="122"/>
      <c r="FD480" s="122"/>
      <c r="FE480" s="122"/>
      <c r="FF480" s="122"/>
      <c r="FG480" s="122"/>
      <c r="FH480" s="122"/>
      <c r="FI480" s="122"/>
      <c r="FJ480" s="122"/>
      <c r="FK480" s="122"/>
      <c r="FL480" s="122"/>
      <c r="FM480" s="122"/>
      <c r="FN480" s="122"/>
      <c r="FO480" s="122"/>
      <c r="FP480" s="122"/>
      <c r="FQ480" s="122"/>
      <c r="FR480" s="122"/>
      <c r="FS480" s="122"/>
      <c r="FT480" s="122"/>
      <c r="FU480" s="122"/>
      <c r="FV480" s="122"/>
      <c r="FW480" s="122"/>
      <c r="FX480" s="122"/>
      <c r="FY480" s="122"/>
      <c r="FZ480" s="122"/>
      <c r="GA480" s="122"/>
      <c r="GB480" s="122"/>
      <c r="GC480" s="122"/>
      <c r="GD480" s="122"/>
      <c r="GE480" s="122"/>
      <c r="GF480" s="122"/>
      <c r="GG480" s="122"/>
      <c r="GH480" s="122"/>
      <c r="GI480" s="122"/>
      <c r="GJ480" s="122"/>
      <c r="GK480" s="122"/>
      <c r="GL480" s="122"/>
      <c r="GM480" s="122"/>
      <c r="GN480" s="122"/>
      <c r="GO480" s="122"/>
      <c r="GP480" s="122"/>
      <c r="GQ480" s="122"/>
      <c r="GR480" s="122"/>
      <c r="GS480" s="122"/>
      <c r="GT480" s="122"/>
      <c r="GU480" s="122"/>
      <c r="GV480" s="122"/>
      <c r="GW480" s="122"/>
      <c r="GX480" s="122"/>
      <c r="GY480" s="122"/>
      <c r="GZ480" s="122"/>
      <c r="HA480" s="122"/>
      <c r="HB480" s="122"/>
      <c r="HC480" s="122"/>
      <c r="HD480" s="122"/>
      <c r="HE480" s="122"/>
      <c r="HF480" s="122"/>
      <c r="HG480" s="122"/>
      <c r="HH480" s="122"/>
      <c r="HI480" s="122"/>
      <c r="HJ480" s="122"/>
      <c r="HK480" s="122"/>
      <c r="HL480" s="122"/>
      <c r="HM480" s="122"/>
      <c r="HN480" s="122"/>
      <c r="HO480" s="122"/>
      <c r="HP480" s="122"/>
      <c r="HQ480" s="122"/>
      <c r="HR480" s="122"/>
      <c r="HS480" s="122"/>
      <c r="HT480" s="122"/>
      <c r="HU480" s="122"/>
      <c r="HV480" s="122"/>
      <c r="HW480" s="122"/>
      <c r="HX480" s="122"/>
      <c r="HY480" s="122"/>
      <c r="HZ480" s="122"/>
      <c r="IA480" s="122"/>
      <c r="IB480" s="122"/>
      <c r="IC480" s="122"/>
      <c r="ID480" s="122"/>
      <c r="IE480" s="122"/>
      <c r="IF480" s="122"/>
      <c r="IG480" s="122"/>
      <c r="IH480" s="122"/>
      <c r="II480" s="122"/>
      <c r="IJ480" s="122"/>
      <c r="IK480" s="122"/>
      <c r="IL480" s="122"/>
      <c r="IM480" s="122"/>
      <c r="IN480" s="122"/>
      <c r="IO480" s="122"/>
      <c r="IP480" s="122"/>
      <c r="IQ480" s="122"/>
      <c r="IR480" s="122"/>
      <c r="IS480" s="122"/>
      <c r="IT480" s="122"/>
      <c r="IU480" s="122"/>
      <c r="IV480" s="122"/>
      <c r="IW480" s="122"/>
      <c r="IX480" s="122"/>
      <c r="IY480" s="122"/>
      <c r="IZ480" s="122"/>
      <c r="JA480" s="122"/>
      <c r="JB480" s="122"/>
      <c r="JC480" s="122"/>
      <c r="JD480" s="122"/>
      <c r="JE480" s="122"/>
      <c r="JF480" s="122"/>
      <c r="JG480" s="122"/>
      <c r="JH480" s="122"/>
      <c r="JI480" s="119">
        <f t="shared" si="3"/>
        <v>0</v>
      </c>
      <c r="JJ480" s="2"/>
      <c r="JK480" s="122"/>
      <c r="JL480" s="125">
        <f t="shared" ref="JL480" si="4">+JI480-JK480</f>
        <v>0</v>
      </c>
      <c r="JM480" s="125"/>
      <c r="JN480" s="125"/>
      <c r="JO480" s="125"/>
      <c r="JP480" s="125"/>
    </row>
    <row r="481" spans="1:276">
      <c r="A481" s="119">
        <f t="shared" ref="A481:BL481" si="5">SUM(A3:A480)</f>
        <v>0</v>
      </c>
      <c r="B481" s="119">
        <f t="shared" si="5"/>
        <v>0</v>
      </c>
      <c r="C481" s="119">
        <f t="shared" si="5"/>
        <v>0</v>
      </c>
      <c r="D481" s="119">
        <f t="shared" si="5"/>
        <v>0</v>
      </c>
      <c r="E481" s="119">
        <f t="shared" si="5"/>
        <v>0</v>
      </c>
      <c r="F481" s="119">
        <f t="shared" si="5"/>
        <v>0</v>
      </c>
      <c r="G481" s="119">
        <f t="shared" si="5"/>
        <v>0</v>
      </c>
      <c r="H481" s="119">
        <f t="shared" si="5"/>
        <v>0</v>
      </c>
      <c r="I481" s="119">
        <f t="shared" si="5"/>
        <v>0</v>
      </c>
      <c r="J481" s="119">
        <f t="shared" si="5"/>
        <v>0</v>
      </c>
      <c r="K481" s="119">
        <f t="shared" si="5"/>
        <v>0</v>
      </c>
      <c r="L481" s="119">
        <f t="shared" si="5"/>
        <v>0</v>
      </c>
      <c r="M481" s="119">
        <f t="shared" si="5"/>
        <v>0</v>
      </c>
      <c r="N481" s="119">
        <f t="shared" si="5"/>
        <v>0</v>
      </c>
      <c r="O481" s="119">
        <f t="shared" si="5"/>
        <v>0</v>
      </c>
      <c r="P481" s="119">
        <f t="shared" si="5"/>
        <v>0</v>
      </c>
      <c r="Q481" s="119">
        <f t="shared" si="5"/>
        <v>0</v>
      </c>
      <c r="R481" s="119">
        <f t="shared" si="5"/>
        <v>0</v>
      </c>
      <c r="S481" s="119">
        <f t="shared" si="5"/>
        <v>0</v>
      </c>
      <c r="T481" s="119">
        <f t="shared" si="5"/>
        <v>0</v>
      </c>
      <c r="U481" s="119">
        <f t="shared" si="5"/>
        <v>0</v>
      </c>
      <c r="V481" s="119">
        <f t="shared" si="5"/>
        <v>0</v>
      </c>
      <c r="W481" s="119">
        <f t="shared" si="5"/>
        <v>0</v>
      </c>
      <c r="X481" s="119">
        <f t="shared" si="5"/>
        <v>0</v>
      </c>
      <c r="Y481" s="119">
        <f t="shared" si="5"/>
        <v>0</v>
      </c>
      <c r="Z481" s="119">
        <f t="shared" si="5"/>
        <v>0</v>
      </c>
      <c r="AA481" s="119">
        <f t="shared" si="5"/>
        <v>0</v>
      </c>
      <c r="AB481" s="119">
        <f t="shared" si="5"/>
        <v>0</v>
      </c>
      <c r="AC481" s="119">
        <f t="shared" si="5"/>
        <v>0</v>
      </c>
      <c r="AD481" s="119">
        <f t="shared" si="5"/>
        <v>0</v>
      </c>
      <c r="AE481" s="119">
        <f t="shared" si="5"/>
        <v>0</v>
      </c>
      <c r="AF481" s="119">
        <f t="shared" si="5"/>
        <v>0</v>
      </c>
      <c r="AG481" s="119">
        <f t="shared" si="5"/>
        <v>0</v>
      </c>
      <c r="AH481" s="119">
        <f t="shared" si="5"/>
        <v>0</v>
      </c>
      <c r="AI481" s="119">
        <f t="shared" si="5"/>
        <v>0</v>
      </c>
      <c r="AJ481" s="119">
        <f t="shared" si="5"/>
        <v>0</v>
      </c>
      <c r="AK481" s="119">
        <f t="shared" si="5"/>
        <v>0</v>
      </c>
      <c r="AL481" s="119">
        <f t="shared" si="5"/>
        <v>0</v>
      </c>
      <c r="AM481" s="119">
        <f t="shared" si="5"/>
        <v>0</v>
      </c>
      <c r="AN481" s="119">
        <f t="shared" si="5"/>
        <v>0</v>
      </c>
      <c r="AO481" s="119">
        <f t="shared" si="5"/>
        <v>0</v>
      </c>
      <c r="AP481" s="119">
        <f t="shared" si="5"/>
        <v>0</v>
      </c>
      <c r="AQ481" s="119">
        <f t="shared" si="5"/>
        <v>213516.07</v>
      </c>
      <c r="AR481" s="119">
        <f t="shared" si="5"/>
        <v>0</v>
      </c>
      <c r="AS481" s="119">
        <f t="shared" si="5"/>
        <v>0</v>
      </c>
      <c r="AT481" s="119">
        <f t="shared" si="5"/>
        <v>0</v>
      </c>
      <c r="AU481" s="119">
        <f t="shared" si="5"/>
        <v>0</v>
      </c>
      <c r="AV481" s="119">
        <f t="shared" si="5"/>
        <v>0</v>
      </c>
      <c r="AW481" s="119">
        <f t="shared" si="5"/>
        <v>1465000</v>
      </c>
      <c r="AX481" s="119">
        <f t="shared" si="5"/>
        <v>0</v>
      </c>
      <c r="AY481" s="119">
        <f t="shared" si="5"/>
        <v>554568.57000000007</v>
      </c>
      <c r="AZ481" s="119">
        <f t="shared" si="5"/>
        <v>0</v>
      </c>
      <c r="BA481" s="119">
        <f t="shared" si="5"/>
        <v>0</v>
      </c>
      <c r="BB481" s="119">
        <f t="shared" si="5"/>
        <v>20000</v>
      </c>
      <c r="BC481" s="119">
        <f t="shared" si="5"/>
        <v>48000</v>
      </c>
      <c r="BD481" s="119">
        <f t="shared" si="5"/>
        <v>0</v>
      </c>
      <c r="BE481" s="119">
        <f t="shared" si="5"/>
        <v>0</v>
      </c>
      <c r="BF481" s="119">
        <f t="shared" si="5"/>
        <v>0</v>
      </c>
      <c r="BG481" s="119">
        <f t="shared" si="5"/>
        <v>0</v>
      </c>
      <c r="BH481" s="119">
        <f t="shared" si="5"/>
        <v>0</v>
      </c>
      <c r="BI481" s="119">
        <f t="shared" si="5"/>
        <v>0</v>
      </c>
      <c r="BJ481" s="119">
        <f t="shared" si="5"/>
        <v>0</v>
      </c>
      <c r="BK481" s="119">
        <f t="shared" si="5"/>
        <v>0</v>
      </c>
      <c r="BL481" s="119">
        <f t="shared" si="5"/>
        <v>0</v>
      </c>
      <c r="BM481" s="119">
        <f t="shared" ref="BM481:DX481" si="6">SUM(BM3:BM480)</f>
        <v>0</v>
      </c>
      <c r="BN481" s="119">
        <f t="shared" si="6"/>
        <v>0</v>
      </c>
      <c r="BO481" s="119">
        <f t="shared" si="6"/>
        <v>0</v>
      </c>
      <c r="BP481" s="119">
        <f t="shared" si="6"/>
        <v>0</v>
      </c>
      <c r="BQ481" s="119">
        <f t="shared" si="6"/>
        <v>0</v>
      </c>
      <c r="BR481" s="119">
        <f t="shared" si="6"/>
        <v>0</v>
      </c>
      <c r="BS481" s="119">
        <f t="shared" si="6"/>
        <v>0</v>
      </c>
      <c r="BT481" s="119">
        <f t="shared" si="6"/>
        <v>0</v>
      </c>
      <c r="BU481" s="119">
        <f t="shared" si="6"/>
        <v>0</v>
      </c>
      <c r="BV481" s="119">
        <f t="shared" si="6"/>
        <v>0</v>
      </c>
      <c r="BW481" s="119">
        <f t="shared" si="6"/>
        <v>1927835.1199999999</v>
      </c>
      <c r="BX481" s="119">
        <f t="shared" si="6"/>
        <v>0</v>
      </c>
      <c r="BY481" s="119">
        <f t="shared" si="6"/>
        <v>0</v>
      </c>
      <c r="BZ481" s="119">
        <f t="shared" si="6"/>
        <v>0</v>
      </c>
      <c r="CA481" s="119">
        <f t="shared" si="6"/>
        <v>0</v>
      </c>
      <c r="CB481" s="119">
        <f t="shared" si="6"/>
        <v>0</v>
      </c>
      <c r="CC481" s="119">
        <f t="shared" si="6"/>
        <v>0</v>
      </c>
      <c r="CD481" s="119">
        <f t="shared" si="6"/>
        <v>0</v>
      </c>
      <c r="CE481" s="119">
        <f t="shared" si="6"/>
        <v>0</v>
      </c>
      <c r="CF481" s="119">
        <f t="shared" si="6"/>
        <v>0</v>
      </c>
      <c r="CG481" s="119">
        <f t="shared" si="6"/>
        <v>0</v>
      </c>
      <c r="CH481" s="119">
        <f t="shared" si="6"/>
        <v>513300</v>
      </c>
      <c r="CI481" s="119">
        <f t="shared" si="6"/>
        <v>0</v>
      </c>
      <c r="CJ481" s="119">
        <f t="shared" si="6"/>
        <v>252741.56</v>
      </c>
      <c r="CK481" s="119">
        <f t="shared" si="6"/>
        <v>0</v>
      </c>
      <c r="CL481" s="119">
        <f t="shared" si="6"/>
        <v>0</v>
      </c>
      <c r="CM481" s="119">
        <f t="shared" si="6"/>
        <v>0</v>
      </c>
      <c r="CN481" s="119">
        <f t="shared" si="6"/>
        <v>0</v>
      </c>
      <c r="CO481" s="119">
        <f t="shared" si="6"/>
        <v>0</v>
      </c>
      <c r="CP481" s="119">
        <f t="shared" si="6"/>
        <v>0</v>
      </c>
      <c r="CQ481" s="119">
        <f t="shared" si="6"/>
        <v>0</v>
      </c>
      <c r="CR481" s="119">
        <f t="shared" si="6"/>
        <v>0</v>
      </c>
      <c r="CS481" s="119">
        <f t="shared" si="6"/>
        <v>202960</v>
      </c>
      <c r="CT481" s="119">
        <f t="shared" si="6"/>
        <v>0</v>
      </c>
      <c r="CU481" s="119">
        <f t="shared" si="6"/>
        <v>255493.61000000002</v>
      </c>
      <c r="CV481" s="119">
        <f t="shared" si="6"/>
        <v>86730</v>
      </c>
      <c r="CW481" s="119">
        <f t="shared" si="6"/>
        <v>0</v>
      </c>
      <c r="CX481" s="119">
        <f t="shared" si="6"/>
        <v>0</v>
      </c>
      <c r="CY481" s="119">
        <f t="shared" si="6"/>
        <v>0</v>
      </c>
      <c r="CZ481" s="119">
        <f t="shared" si="6"/>
        <v>0</v>
      </c>
      <c r="DA481" s="119">
        <f t="shared" si="6"/>
        <v>0</v>
      </c>
      <c r="DB481" s="119">
        <f t="shared" si="6"/>
        <v>0</v>
      </c>
      <c r="DC481" s="119">
        <f t="shared" si="6"/>
        <v>0</v>
      </c>
      <c r="DD481" s="119">
        <f t="shared" si="6"/>
        <v>0</v>
      </c>
      <c r="DE481" s="119">
        <f t="shared" si="6"/>
        <v>315560</v>
      </c>
      <c r="DF481" s="119">
        <f t="shared" si="6"/>
        <v>10850</v>
      </c>
      <c r="DG481" s="119">
        <f t="shared" si="6"/>
        <v>0</v>
      </c>
      <c r="DH481" s="119">
        <f t="shared" si="6"/>
        <v>0</v>
      </c>
      <c r="DI481" s="119">
        <f t="shared" si="6"/>
        <v>0</v>
      </c>
      <c r="DJ481" s="119">
        <f t="shared" si="6"/>
        <v>1734600</v>
      </c>
      <c r="DK481" s="119">
        <f t="shared" si="6"/>
        <v>197315</v>
      </c>
      <c r="DL481" s="119">
        <f t="shared" si="6"/>
        <v>0</v>
      </c>
      <c r="DM481" s="119">
        <f t="shared" si="6"/>
        <v>0</v>
      </c>
      <c r="DN481" s="119">
        <f t="shared" si="6"/>
        <v>0</v>
      </c>
      <c r="DO481" s="119">
        <f t="shared" si="6"/>
        <v>0</v>
      </c>
      <c r="DP481" s="119">
        <f t="shared" si="6"/>
        <v>0</v>
      </c>
      <c r="DQ481" s="119">
        <f t="shared" si="6"/>
        <v>0</v>
      </c>
      <c r="DR481" s="119">
        <f t="shared" si="6"/>
        <v>0</v>
      </c>
      <c r="DS481" s="119">
        <f t="shared" si="6"/>
        <v>623449.22</v>
      </c>
      <c r="DT481" s="119">
        <f t="shared" si="6"/>
        <v>0</v>
      </c>
      <c r="DU481" s="119">
        <f t="shared" si="6"/>
        <v>0</v>
      </c>
      <c r="DV481" s="119">
        <f t="shared" si="6"/>
        <v>0</v>
      </c>
      <c r="DW481" s="119">
        <f t="shared" si="6"/>
        <v>289100</v>
      </c>
      <c r="DX481" s="119">
        <f t="shared" si="6"/>
        <v>0</v>
      </c>
      <c r="DY481" s="119">
        <f t="shared" ref="DY481:GJ481" si="7">SUM(DY3:DY480)</f>
        <v>0</v>
      </c>
      <c r="DZ481" s="119">
        <f t="shared" si="7"/>
        <v>0</v>
      </c>
      <c r="EA481" s="119">
        <f t="shared" si="7"/>
        <v>454061.65</v>
      </c>
      <c r="EB481" s="119">
        <f t="shared" si="7"/>
        <v>0</v>
      </c>
      <c r="EC481" s="119">
        <f t="shared" si="7"/>
        <v>0</v>
      </c>
      <c r="ED481" s="119">
        <f t="shared" si="7"/>
        <v>0</v>
      </c>
      <c r="EE481" s="119">
        <f t="shared" si="7"/>
        <v>0</v>
      </c>
      <c r="EF481" s="119">
        <f t="shared" si="7"/>
        <v>0</v>
      </c>
      <c r="EG481" s="119">
        <f t="shared" si="7"/>
        <v>10970.210000000001</v>
      </c>
      <c r="EH481" s="119">
        <f t="shared" si="7"/>
        <v>0</v>
      </c>
      <c r="EI481" s="119">
        <f t="shared" si="7"/>
        <v>0</v>
      </c>
      <c r="EJ481" s="119">
        <f t="shared" si="7"/>
        <v>0</v>
      </c>
      <c r="EK481" s="119">
        <f t="shared" si="7"/>
        <v>0</v>
      </c>
      <c r="EL481" s="119">
        <f t="shared" si="7"/>
        <v>0</v>
      </c>
      <c r="EM481" s="119">
        <f t="shared" si="7"/>
        <v>9246.01</v>
      </c>
      <c r="EN481" s="119">
        <f t="shared" si="7"/>
        <v>0</v>
      </c>
      <c r="EO481" s="119">
        <f t="shared" si="7"/>
        <v>8500</v>
      </c>
      <c r="EP481" s="119">
        <f t="shared" si="7"/>
        <v>78291.990000000005</v>
      </c>
      <c r="EQ481" s="119">
        <f t="shared" si="7"/>
        <v>0</v>
      </c>
      <c r="ER481" s="119">
        <f t="shared" si="7"/>
        <v>84826.57</v>
      </c>
      <c r="ES481" s="119">
        <f t="shared" si="7"/>
        <v>0</v>
      </c>
      <c r="ET481" s="119">
        <f t="shared" si="7"/>
        <v>0</v>
      </c>
      <c r="EU481" s="119">
        <f t="shared" si="7"/>
        <v>0</v>
      </c>
      <c r="EV481" s="119">
        <f t="shared" si="7"/>
        <v>0</v>
      </c>
      <c r="EW481" s="119">
        <f t="shared" si="7"/>
        <v>0</v>
      </c>
      <c r="EX481" s="119">
        <f t="shared" si="7"/>
        <v>0</v>
      </c>
      <c r="EY481" s="119">
        <f t="shared" si="7"/>
        <v>0</v>
      </c>
      <c r="EZ481" s="119">
        <f t="shared" si="7"/>
        <v>3749.92</v>
      </c>
      <c r="FA481" s="119">
        <f t="shared" si="7"/>
        <v>172000</v>
      </c>
      <c r="FB481" s="119">
        <f t="shared" si="7"/>
        <v>1124000</v>
      </c>
      <c r="FC481" s="119">
        <f t="shared" si="7"/>
        <v>0</v>
      </c>
      <c r="FD481" s="119">
        <f t="shared" si="7"/>
        <v>44590</v>
      </c>
      <c r="FE481" s="119">
        <f t="shared" si="7"/>
        <v>0</v>
      </c>
      <c r="FF481" s="119">
        <f t="shared" si="7"/>
        <v>0</v>
      </c>
      <c r="FG481" s="119">
        <f t="shared" si="7"/>
        <v>0</v>
      </c>
      <c r="FH481" s="119">
        <f t="shared" si="7"/>
        <v>0</v>
      </c>
      <c r="FI481" s="119">
        <f t="shared" si="7"/>
        <v>0</v>
      </c>
      <c r="FJ481" s="119">
        <f t="shared" si="7"/>
        <v>129593</v>
      </c>
      <c r="FK481" s="119">
        <f t="shared" si="7"/>
        <v>0</v>
      </c>
      <c r="FL481" s="119">
        <f t="shared" si="7"/>
        <v>0</v>
      </c>
      <c r="FM481" s="119">
        <f t="shared" si="7"/>
        <v>0</v>
      </c>
      <c r="FN481" s="119">
        <f t="shared" si="7"/>
        <v>1743484</v>
      </c>
      <c r="FO481" s="119">
        <f t="shared" si="7"/>
        <v>0</v>
      </c>
      <c r="FP481" s="119">
        <f t="shared" si="7"/>
        <v>0</v>
      </c>
      <c r="FQ481" s="119">
        <f t="shared" si="7"/>
        <v>312110</v>
      </c>
      <c r="FR481" s="119">
        <f t="shared" si="7"/>
        <v>0</v>
      </c>
      <c r="FS481" s="119">
        <f t="shared" si="7"/>
        <v>93868.950000000012</v>
      </c>
      <c r="FT481" s="119">
        <f t="shared" si="7"/>
        <v>3083216.5400000005</v>
      </c>
      <c r="FU481" s="119">
        <f t="shared" si="7"/>
        <v>50870.39</v>
      </c>
      <c r="FV481" s="119">
        <f t="shared" si="7"/>
        <v>0</v>
      </c>
      <c r="FW481" s="119">
        <f t="shared" si="7"/>
        <v>157157.64000000001</v>
      </c>
      <c r="FX481" s="119">
        <f t="shared" si="7"/>
        <v>0</v>
      </c>
      <c r="FY481" s="119">
        <f t="shared" si="7"/>
        <v>1387459.34</v>
      </c>
      <c r="FZ481" s="119">
        <f t="shared" si="7"/>
        <v>361550.87</v>
      </c>
      <c r="GA481" s="119">
        <f t="shared" si="7"/>
        <v>112919.38</v>
      </c>
      <c r="GB481" s="119">
        <f t="shared" si="7"/>
        <v>603282.60000000009</v>
      </c>
      <c r="GC481" s="119">
        <f t="shared" si="7"/>
        <v>3600</v>
      </c>
      <c r="GD481" s="119">
        <f t="shared" si="7"/>
        <v>12400</v>
      </c>
      <c r="GE481" s="119">
        <f t="shared" si="7"/>
        <v>0</v>
      </c>
      <c r="GF481" s="119">
        <f t="shared" si="7"/>
        <v>0</v>
      </c>
      <c r="GG481" s="119">
        <f t="shared" si="7"/>
        <v>0</v>
      </c>
      <c r="GH481" s="119">
        <f t="shared" si="7"/>
        <v>186481.72999999998</v>
      </c>
      <c r="GI481" s="119">
        <f t="shared" si="7"/>
        <v>46091.27</v>
      </c>
      <c r="GJ481" s="119">
        <f t="shared" si="7"/>
        <v>0</v>
      </c>
      <c r="GK481" s="119">
        <f t="shared" ref="GK481:IV481" si="8">SUM(GK3:GK480)</f>
        <v>60550.060000000005</v>
      </c>
      <c r="GL481" s="119">
        <f t="shared" si="8"/>
        <v>0</v>
      </c>
      <c r="GM481" s="119">
        <f t="shared" si="8"/>
        <v>0</v>
      </c>
      <c r="GN481" s="119">
        <f t="shared" si="8"/>
        <v>0</v>
      </c>
      <c r="GO481" s="119">
        <f t="shared" si="8"/>
        <v>0</v>
      </c>
      <c r="GP481" s="119">
        <f t="shared" si="8"/>
        <v>0</v>
      </c>
      <c r="GQ481" s="119">
        <f t="shared" si="8"/>
        <v>2680384.16</v>
      </c>
      <c r="GR481" s="119">
        <f t="shared" si="8"/>
        <v>283200</v>
      </c>
      <c r="GS481" s="119">
        <f t="shared" si="8"/>
        <v>0</v>
      </c>
      <c r="GT481" s="119">
        <f t="shared" si="8"/>
        <v>0</v>
      </c>
      <c r="GU481" s="119">
        <f t="shared" si="8"/>
        <v>0</v>
      </c>
      <c r="GV481" s="119">
        <f t="shared" si="8"/>
        <v>0</v>
      </c>
      <c r="GW481" s="119">
        <f t="shared" si="8"/>
        <v>0</v>
      </c>
      <c r="GX481" s="119">
        <f t="shared" si="8"/>
        <v>0</v>
      </c>
      <c r="GY481" s="119">
        <f t="shared" si="8"/>
        <v>0</v>
      </c>
      <c r="GZ481" s="119">
        <f t="shared" si="8"/>
        <v>0</v>
      </c>
      <c r="HA481" s="119">
        <f t="shared" si="8"/>
        <v>0</v>
      </c>
      <c r="HB481" s="119">
        <f t="shared" si="8"/>
        <v>0</v>
      </c>
      <c r="HC481" s="119">
        <f t="shared" si="8"/>
        <v>0</v>
      </c>
      <c r="HD481" s="119">
        <f t="shared" si="8"/>
        <v>711998.01</v>
      </c>
      <c r="HE481" s="119">
        <f t="shared" si="8"/>
        <v>0</v>
      </c>
      <c r="HF481" s="119">
        <f t="shared" si="8"/>
        <v>0</v>
      </c>
      <c r="HG481" s="119">
        <f t="shared" si="8"/>
        <v>0</v>
      </c>
      <c r="HH481" s="119">
        <f t="shared" si="8"/>
        <v>0</v>
      </c>
      <c r="HI481" s="119">
        <f t="shared" si="8"/>
        <v>41010.06</v>
      </c>
      <c r="HJ481" s="119">
        <f t="shared" si="8"/>
        <v>0</v>
      </c>
      <c r="HK481" s="119">
        <f t="shared" si="8"/>
        <v>0</v>
      </c>
      <c r="HL481" s="119">
        <f t="shared" si="8"/>
        <v>186179.05</v>
      </c>
      <c r="HM481" s="119">
        <f t="shared" si="8"/>
        <v>0</v>
      </c>
      <c r="HN481" s="119">
        <f t="shared" si="8"/>
        <v>0</v>
      </c>
      <c r="HO481" s="119">
        <f t="shared" si="8"/>
        <v>0</v>
      </c>
      <c r="HP481" s="119">
        <f t="shared" si="8"/>
        <v>0</v>
      </c>
      <c r="HQ481" s="119">
        <f t="shared" si="8"/>
        <v>0</v>
      </c>
      <c r="HR481" s="119">
        <f t="shared" si="8"/>
        <v>0</v>
      </c>
      <c r="HS481" s="119">
        <f t="shared" si="8"/>
        <v>0</v>
      </c>
      <c r="HT481" s="119">
        <f t="shared" si="8"/>
        <v>0</v>
      </c>
      <c r="HU481" s="119">
        <f t="shared" si="8"/>
        <v>0</v>
      </c>
      <c r="HV481" s="119">
        <f t="shared" si="8"/>
        <v>0</v>
      </c>
      <c r="HW481" s="119">
        <f t="shared" si="8"/>
        <v>0</v>
      </c>
      <c r="HX481" s="119">
        <f t="shared" si="8"/>
        <v>0</v>
      </c>
      <c r="HY481" s="119">
        <f t="shared" si="8"/>
        <v>0</v>
      </c>
      <c r="HZ481" s="119">
        <f t="shared" si="8"/>
        <v>0</v>
      </c>
      <c r="IA481" s="119">
        <f t="shared" si="8"/>
        <v>0</v>
      </c>
      <c r="IB481" s="119">
        <f t="shared" si="8"/>
        <v>0</v>
      </c>
      <c r="IC481" s="119">
        <f t="shared" si="8"/>
        <v>0</v>
      </c>
      <c r="ID481" s="119">
        <f t="shared" si="8"/>
        <v>0</v>
      </c>
      <c r="IE481" s="119">
        <f t="shared" si="8"/>
        <v>0</v>
      </c>
      <c r="IF481" s="119">
        <f t="shared" si="8"/>
        <v>0</v>
      </c>
      <c r="IG481" s="119">
        <f t="shared" si="8"/>
        <v>0</v>
      </c>
      <c r="IH481" s="119">
        <f t="shared" si="8"/>
        <v>0</v>
      </c>
      <c r="II481" s="119">
        <f t="shared" si="8"/>
        <v>0</v>
      </c>
      <c r="IJ481" s="119">
        <f t="shared" si="8"/>
        <v>0</v>
      </c>
      <c r="IK481" s="119">
        <f t="shared" si="8"/>
        <v>0</v>
      </c>
      <c r="IL481" s="119">
        <f t="shared" si="8"/>
        <v>0</v>
      </c>
      <c r="IM481" s="119">
        <f t="shared" si="8"/>
        <v>0</v>
      </c>
      <c r="IN481" s="119">
        <f t="shared" si="8"/>
        <v>0</v>
      </c>
      <c r="IO481" s="119">
        <f t="shared" si="8"/>
        <v>154881.20000000001</v>
      </c>
      <c r="IP481" s="119">
        <f t="shared" si="8"/>
        <v>0</v>
      </c>
      <c r="IQ481" s="119">
        <f t="shared" si="8"/>
        <v>0</v>
      </c>
      <c r="IR481" s="119">
        <f t="shared" si="8"/>
        <v>0</v>
      </c>
      <c r="IS481" s="119">
        <f t="shared" si="8"/>
        <v>0</v>
      </c>
      <c r="IT481" s="119">
        <f t="shared" si="8"/>
        <v>0</v>
      </c>
      <c r="IU481" s="119">
        <f t="shared" si="8"/>
        <v>0</v>
      </c>
      <c r="IV481" s="119">
        <f t="shared" si="8"/>
        <v>0</v>
      </c>
      <c r="IW481" s="119">
        <f t="shared" ref="IW481:LH481" si="9">SUM(IW3:IW480)</f>
        <v>0</v>
      </c>
      <c r="IX481" s="119">
        <f t="shared" si="9"/>
        <v>0</v>
      </c>
      <c r="IY481" s="119">
        <f t="shared" si="9"/>
        <v>0</v>
      </c>
      <c r="IZ481" s="119">
        <f t="shared" si="9"/>
        <v>0</v>
      </c>
      <c r="JA481" s="119">
        <f t="shared" si="9"/>
        <v>0</v>
      </c>
      <c r="JB481" s="119">
        <f t="shared" si="9"/>
        <v>0</v>
      </c>
      <c r="JC481" s="119">
        <f t="shared" si="9"/>
        <v>0</v>
      </c>
      <c r="JD481" s="119">
        <f t="shared" si="9"/>
        <v>0</v>
      </c>
      <c r="JE481" s="119">
        <f t="shared" si="9"/>
        <v>0</v>
      </c>
      <c r="JF481" s="119">
        <f t="shared" si="9"/>
        <v>0</v>
      </c>
      <c r="JG481" s="119">
        <f t="shared" si="9"/>
        <v>0</v>
      </c>
      <c r="JH481" s="119">
        <f t="shared" si="9"/>
        <v>0</v>
      </c>
      <c r="JI481" s="119">
        <f t="shared" si="9"/>
        <v>23103543.749999993</v>
      </c>
      <c r="JJ481" s="2"/>
      <c r="JK481" s="122">
        <f t="shared" ref="JK481:JP481" si="10">SUM(JK3:JK480)</f>
        <v>21267855.880000006</v>
      </c>
      <c r="JL481" s="122">
        <f t="shared" si="10"/>
        <v>915051.87000000011</v>
      </c>
      <c r="JM481" s="122">
        <f t="shared" si="10"/>
        <v>0</v>
      </c>
      <c r="JN481" s="122">
        <f t="shared" si="10"/>
        <v>0</v>
      </c>
      <c r="JO481" s="122">
        <f t="shared" si="10"/>
        <v>0</v>
      </c>
      <c r="JP481" s="122">
        <f t="shared" si="10"/>
        <v>0</v>
      </c>
    </row>
    <row r="482" spans="1:276" ht="15.75">
      <c r="A482" s="118">
        <v>211101</v>
      </c>
      <c r="B482" s="118">
        <v>211102</v>
      </c>
      <c r="C482" s="118">
        <v>211103</v>
      </c>
      <c r="D482" s="118">
        <v>211104</v>
      </c>
      <c r="E482" s="118">
        <v>211105</v>
      </c>
      <c r="F482" s="118">
        <v>211106</v>
      </c>
      <c r="G482" s="118">
        <v>211203</v>
      </c>
      <c r="H482" s="118">
        <v>211205</v>
      </c>
      <c r="I482" s="118">
        <v>211206</v>
      </c>
      <c r="J482" s="118">
        <v>211208</v>
      </c>
      <c r="K482" s="118">
        <v>211209</v>
      </c>
      <c r="L482" s="118">
        <v>211211</v>
      </c>
      <c r="M482" s="118">
        <v>211301</v>
      </c>
      <c r="N482" s="118">
        <v>211401</v>
      </c>
      <c r="O482" s="118">
        <v>211501</v>
      </c>
      <c r="P482" s="118">
        <v>211502</v>
      </c>
      <c r="Q482" s="118">
        <v>211503</v>
      </c>
      <c r="R482" s="118">
        <v>211504</v>
      </c>
      <c r="S482" s="118">
        <v>212101</v>
      </c>
      <c r="T482" s="118">
        <v>212201</v>
      </c>
      <c r="U482" s="118">
        <v>212203</v>
      </c>
      <c r="V482" s="118">
        <v>212204</v>
      </c>
      <c r="W482" s="118">
        <v>212205</v>
      </c>
      <c r="X482" s="118">
        <v>212206</v>
      </c>
      <c r="Y482" s="118">
        <v>212207</v>
      </c>
      <c r="Z482" s="118">
        <v>212208</v>
      </c>
      <c r="AA482" s="118">
        <v>212209</v>
      </c>
      <c r="AB482" s="118">
        <v>212210</v>
      </c>
      <c r="AC482" s="118">
        <v>213101</v>
      </c>
      <c r="AD482" s="118">
        <v>213102</v>
      </c>
      <c r="AE482" s="118">
        <v>213201</v>
      </c>
      <c r="AF482" s="118">
        <v>213202</v>
      </c>
      <c r="AG482" s="118">
        <v>214101</v>
      </c>
      <c r="AH482" s="118">
        <v>214201</v>
      </c>
      <c r="AI482" s="118">
        <v>214202</v>
      </c>
      <c r="AJ482" s="118">
        <v>214203</v>
      </c>
      <c r="AK482" s="118">
        <v>215101</v>
      </c>
      <c r="AL482" s="118">
        <v>215201</v>
      </c>
      <c r="AM482" s="118">
        <v>215301</v>
      </c>
      <c r="AN482" s="118">
        <v>215401</v>
      </c>
      <c r="AO482" s="118">
        <v>221101</v>
      </c>
      <c r="AP482" s="118">
        <v>221201</v>
      </c>
      <c r="AQ482" s="118">
        <v>221301</v>
      </c>
      <c r="AR482" s="118">
        <v>221401</v>
      </c>
      <c r="AS482" s="118">
        <v>221501</v>
      </c>
      <c r="AT482" s="118">
        <v>221601</v>
      </c>
      <c r="AU482" s="118">
        <v>221602</v>
      </c>
      <c r="AV482" s="118">
        <v>221701</v>
      </c>
      <c r="AW482" s="118">
        <v>221801</v>
      </c>
      <c r="AX482" s="118">
        <v>222101</v>
      </c>
      <c r="AY482" s="118">
        <v>222201</v>
      </c>
      <c r="AZ482" s="118">
        <v>223101</v>
      </c>
      <c r="BA482" s="118">
        <v>223201</v>
      </c>
      <c r="BB482" s="118">
        <v>224101</v>
      </c>
      <c r="BC482" s="118">
        <v>224201</v>
      </c>
      <c r="BD482" s="118">
        <v>224301</v>
      </c>
      <c r="BE482" s="118">
        <v>224401</v>
      </c>
      <c r="BF482" s="118">
        <v>225101</v>
      </c>
      <c r="BG482" s="118">
        <v>225201</v>
      </c>
      <c r="BH482" s="118">
        <v>225301</v>
      </c>
      <c r="BI482" s="118">
        <v>225302</v>
      </c>
      <c r="BJ482" s="118">
        <v>225303</v>
      </c>
      <c r="BK482" s="118">
        <v>225304</v>
      </c>
      <c r="BL482" s="118">
        <v>225305</v>
      </c>
      <c r="BM482" s="118">
        <v>225401</v>
      </c>
      <c r="BN482" s="118">
        <v>225501</v>
      </c>
      <c r="BO482" s="118">
        <v>225601</v>
      </c>
      <c r="BP482" s="118">
        <v>225701</v>
      </c>
      <c r="BQ482" s="118">
        <v>225801</v>
      </c>
      <c r="BR482" s="118">
        <v>225901</v>
      </c>
      <c r="BS482" s="118">
        <v>226101</v>
      </c>
      <c r="BT482" s="118">
        <v>226201</v>
      </c>
      <c r="BU482" s="118">
        <v>226301</v>
      </c>
      <c r="BV482" s="118">
        <v>226401</v>
      </c>
      <c r="BW482" s="118">
        <v>227101</v>
      </c>
      <c r="BX482" s="118">
        <v>227102</v>
      </c>
      <c r="BY482" s="118">
        <v>227103</v>
      </c>
      <c r="BZ482" s="118">
        <v>227104</v>
      </c>
      <c r="CA482" s="118">
        <v>227105</v>
      </c>
      <c r="CB482" s="118">
        <v>227106</v>
      </c>
      <c r="CC482" s="118">
        <v>227107</v>
      </c>
      <c r="CD482" s="118">
        <v>227199</v>
      </c>
      <c r="CE482" s="118">
        <v>227201</v>
      </c>
      <c r="CF482" s="118">
        <v>227202</v>
      </c>
      <c r="CG482" s="118">
        <v>227203</v>
      </c>
      <c r="CH482" s="118">
        <v>227204</v>
      </c>
      <c r="CI482" s="118">
        <v>227205</v>
      </c>
      <c r="CJ482" s="118">
        <v>227206</v>
      </c>
      <c r="CK482" s="118">
        <v>227207</v>
      </c>
      <c r="CL482" s="118">
        <v>227208</v>
      </c>
      <c r="CM482" s="118">
        <v>227299</v>
      </c>
      <c r="CN482" s="118">
        <v>227301</v>
      </c>
      <c r="CO482" s="118">
        <v>228101</v>
      </c>
      <c r="CP482" s="118">
        <v>228201</v>
      </c>
      <c r="CQ482" s="118">
        <v>228301</v>
      </c>
      <c r="CR482" s="118">
        <v>228401</v>
      </c>
      <c r="CS482" s="118">
        <v>228501</v>
      </c>
      <c r="CT482" s="118">
        <v>228502</v>
      </c>
      <c r="CU482" s="118">
        <v>228503</v>
      </c>
      <c r="CV482" s="118">
        <v>228601</v>
      </c>
      <c r="CW482" s="118">
        <v>228602</v>
      </c>
      <c r="CX482" s="118">
        <v>228603</v>
      </c>
      <c r="CY482" s="118">
        <v>228604</v>
      </c>
      <c r="CZ482" s="118">
        <v>228701</v>
      </c>
      <c r="DA482" s="118">
        <v>228702</v>
      </c>
      <c r="DB482" s="118">
        <v>228703</v>
      </c>
      <c r="DC482" s="118">
        <v>228704</v>
      </c>
      <c r="DD482" s="118">
        <v>228705</v>
      </c>
      <c r="DE482" s="118">
        <v>228706</v>
      </c>
      <c r="DF482" s="118">
        <v>228801</v>
      </c>
      <c r="DG482" s="118">
        <v>228802</v>
      </c>
      <c r="DH482" s="118">
        <v>228803</v>
      </c>
      <c r="DI482" s="118">
        <v>229201</v>
      </c>
      <c r="DJ482" s="118">
        <v>229203</v>
      </c>
      <c r="DK482" s="118">
        <v>231101</v>
      </c>
      <c r="DL482" s="118">
        <v>231102</v>
      </c>
      <c r="DM482" s="118">
        <v>231201</v>
      </c>
      <c r="DN482" s="118">
        <v>231301</v>
      </c>
      <c r="DO482" s="118">
        <v>231302</v>
      </c>
      <c r="DP482" s="118">
        <v>231303</v>
      </c>
      <c r="DQ482" s="118">
        <v>231401</v>
      </c>
      <c r="DR482" s="118">
        <v>232101</v>
      </c>
      <c r="DS482" s="118">
        <v>232201</v>
      </c>
      <c r="DT482" s="118">
        <v>232301</v>
      </c>
      <c r="DU482" s="118">
        <v>233101</v>
      </c>
      <c r="DV482" s="118">
        <v>233201</v>
      </c>
      <c r="DW482" s="118">
        <v>233301</v>
      </c>
      <c r="DX482" s="118">
        <v>233401</v>
      </c>
      <c r="DY482" s="118">
        <v>233501</v>
      </c>
      <c r="DZ482" s="118">
        <v>233601</v>
      </c>
      <c r="EA482" s="118">
        <v>234101</v>
      </c>
      <c r="EB482" s="118">
        <v>234201</v>
      </c>
      <c r="EC482" s="118">
        <v>235101</v>
      </c>
      <c r="ED482" s="118">
        <v>235201</v>
      </c>
      <c r="EE482" s="118">
        <v>235301</v>
      </c>
      <c r="EF482" s="118">
        <v>235401</v>
      </c>
      <c r="EG482" s="118">
        <v>235501</v>
      </c>
      <c r="EH482" s="118">
        <v>236101</v>
      </c>
      <c r="EI482" s="118">
        <v>236102</v>
      </c>
      <c r="EJ482" s="118">
        <v>236103</v>
      </c>
      <c r="EK482" s="118">
        <v>236104</v>
      </c>
      <c r="EL482" s="118">
        <v>236105</v>
      </c>
      <c r="EM482" s="118">
        <v>236201</v>
      </c>
      <c r="EN482" s="118">
        <v>236202</v>
      </c>
      <c r="EO482" s="118">
        <v>236203</v>
      </c>
      <c r="EP482" s="118">
        <v>236304</v>
      </c>
      <c r="EQ482" s="118">
        <v>236305</v>
      </c>
      <c r="ER482" s="118">
        <v>236306</v>
      </c>
      <c r="ES482" s="118">
        <v>236401</v>
      </c>
      <c r="ET482" s="118">
        <v>236402</v>
      </c>
      <c r="EU482" s="118">
        <v>236403</v>
      </c>
      <c r="EV482" s="118">
        <v>236404</v>
      </c>
      <c r="EW482" s="118">
        <v>236405</v>
      </c>
      <c r="EX482" s="118">
        <v>236406</v>
      </c>
      <c r="EY482" s="118">
        <v>236407</v>
      </c>
      <c r="EZ482" s="118">
        <v>236901</v>
      </c>
      <c r="FA482" s="118">
        <v>237101</v>
      </c>
      <c r="FB482" s="118">
        <v>237102</v>
      </c>
      <c r="FC482" s="118">
        <v>237103</v>
      </c>
      <c r="FD482" s="118">
        <v>237104</v>
      </c>
      <c r="FE482" s="118">
        <v>237105</v>
      </c>
      <c r="FF482" s="118">
        <v>237106</v>
      </c>
      <c r="FG482" s="118">
        <v>237107</v>
      </c>
      <c r="FH482" s="118">
        <v>237201</v>
      </c>
      <c r="FI482" s="118">
        <v>237202</v>
      </c>
      <c r="FJ482" s="118">
        <v>237203</v>
      </c>
      <c r="FK482" s="118">
        <v>237204</v>
      </c>
      <c r="FL482" s="118">
        <v>237205</v>
      </c>
      <c r="FM482" s="118">
        <v>237206</v>
      </c>
      <c r="FN482" s="118">
        <v>237299</v>
      </c>
      <c r="FO482" s="118">
        <v>238101</v>
      </c>
      <c r="FP482" s="118">
        <v>238201</v>
      </c>
      <c r="FQ482" s="118">
        <v>239101</v>
      </c>
      <c r="FR482" s="118">
        <v>239102</v>
      </c>
      <c r="FS482" s="118">
        <v>239201</v>
      </c>
      <c r="FT482" s="118">
        <v>239301</v>
      </c>
      <c r="FU482" s="118">
        <v>239401</v>
      </c>
      <c r="FV482" s="118">
        <v>239501</v>
      </c>
      <c r="FW482" s="118">
        <v>239601</v>
      </c>
      <c r="FX482" s="118">
        <v>239701</v>
      </c>
      <c r="FY482" s="118">
        <v>239801</v>
      </c>
      <c r="FZ482" s="118">
        <v>239802</v>
      </c>
      <c r="GA482" s="118">
        <v>239901</v>
      </c>
      <c r="GB482" s="118">
        <v>239904</v>
      </c>
      <c r="GC482" s="118">
        <v>241201</v>
      </c>
      <c r="GD482" s="118">
        <v>241202</v>
      </c>
      <c r="GE482" s="118">
        <v>241203</v>
      </c>
      <c r="GF482" s="118">
        <v>241204</v>
      </c>
      <c r="GG482" s="118">
        <v>241205</v>
      </c>
      <c r="GH482" s="118">
        <v>261101</v>
      </c>
      <c r="GI482" s="118">
        <v>261201</v>
      </c>
      <c r="GJ482" s="118">
        <v>261301</v>
      </c>
      <c r="GK482" s="118">
        <v>261401</v>
      </c>
      <c r="GL482" s="118">
        <v>261901</v>
      </c>
      <c r="GM482" s="118">
        <v>262101</v>
      </c>
      <c r="GN482" s="118">
        <v>262201</v>
      </c>
      <c r="GO482" s="118">
        <v>262301</v>
      </c>
      <c r="GP482" s="118">
        <v>262401</v>
      </c>
      <c r="GQ482" s="118">
        <v>263101</v>
      </c>
      <c r="GR482" s="118">
        <v>263201</v>
      </c>
      <c r="GS482" s="118">
        <v>263301</v>
      </c>
      <c r="GT482" s="118">
        <v>263401</v>
      </c>
      <c r="GU482" s="118">
        <v>264101</v>
      </c>
      <c r="GV482" s="118">
        <v>264201</v>
      </c>
      <c r="GW482" s="118">
        <v>264301</v>
      </c>
      <c r="GX482" s="118">
        <v>264401</v>
      </c>
      <c r="GY482" s="118">
        <v>264501</v>
      </c>
      <c r="GZ482" s="118">
        <v>264601</v>
      </c>
      <c r="HA482" s="118">
        <v>264701</v>
      </c>
      <c r="HB482" s="118">
        <v>264801</v>
      </c>
      <c r="HC482" s="118">
        <v>265101</v>
      </c>
      <c r="HD482" s="118">
        <v>265201</v>
      </c>
      <c r="HE482" s="118">
        <v>265301</v>
      </c>
      <c r="HF482" s="118">
        <v>265401</v>
      </c>
      <c r="HG482" s="118">
        <v>265501</v>
      </c>
      <c r="HH482" s="118">
        <v>265601</v>
      </c>
      <c r="HI482" s="118">
        <v>265701</v>
      </c>
      <c r="HJ482" s="118">
        <v>265801</v>
      </c>
      <c r="HK482" s="118">
        <v>266101</v>
      </c>
      <c r="HL482" s="118">
        <v>266201</v>
      </c>
      <c r="HM482" s="118">
        <v>267101</v>
      </c>
      <c r="HN482" s="118">
        <v>267201</v>
      </c>
      <c r="HO482" s="118">
        <v>267301</v>
      </c>
      <c r="HP482" s="118">
        <v>267401</v>
      </c>
      <c r="HQ482" s="118">
        <v>267501</v>
      </c>
      <c r="HR482" s="118">
        <v>267601</v>
      </c>
      <c r="HS482" s="118">
        <v>267701</v>
      </c>
      <c r="HT482" s="118">
        <v>267801</v>
      </c>
      <c r="HU482" s="118">
        <v>267901</v>
      </c>
      <c r="HV482" s="118">
        <v>268101</v>
      </c>
      <c r="HW482" s="118">
        <v>268201</v>
      </c>
      <c r="HX482" s="118">
        <v>268301</v>
      </c>
      <c r="HY482" s="118">
        <v>268302</v>
      </c>
      <c r="HZ482" s="118">
        <v>268401</v>
      </c>
      <c r="IA482" s="118">
        <v>268501</v>
      </c>
      <c r="IB482" s="118">
        <v>268601</v>
      </c>
      <c r="IC482" s="118">
        <v>268701</v>
      </c>
      <c r="ID482" s="118">
        <v>268802</v>
      </c>
      <c r="IE482" s="118">
        <v>268803</v>
      </c>
      <c r="IF482" s="118">
        <v>268804</v>
      </c>
      <c r="IG482" s="118">
        <v>268901</v>
      </c>
      <c r="IH482" s="118">
        <v>269101</v>
      </c>
      <c r="II482" s="118">
        <v>269102</v>
      </c>
      <c r="IJ482" s="118">
        <v>269201</v>
      </c>
      <c r="IK482" s="118">
        <v>269202</v>
      </c>
      <c r="IL482" s="118">
        <v>269301</v>
      </c>
      <c r="IM482" s="118">
        <v>269401</v>
      </c>
      <c r="IN482" s="118">
        <v>269501</v>
      </c>
      <c r="IO482" s="118">
        <v>269502</v>
      </c>
      <c r="IP482" s="118">
        <v>269503</v>
      </c>
      <c r="IQ482" s="118">
        <v>2269901</v>
      </c>
      <c r="IR482" s="118">
        <v>271101</v>
      </c>
      <c r="IS482" s="118">
        <v>271201</v>
      </c>
      <c r="IT482" s="118">
        <v>271301</v>
      </c>
      <c r="IU482" s="118">
        <v>271401</v>
      </c>
      <c r="IV482" s="118">
        <v>272101</v>
      </c>
      <c r="IW482" s="118">
        <v>272201</v>
      </c>
      <c r="IX482" s="118">
        <v>272301</v>
      </c>
      <c r="IY482" s="118">
        <v>272401</v>
      </c>
      <c r="IZ482" s="118">
        <v>272501</v>
      </c>
      <c r="JA482" s="118">
        <v>272601</v>
      </c>
      <c r="JB482" s="118">
        <v>272701</v>
      </c>
      <c r="JC482" s="118">
        <v>272801</v>
      </c>
      <c r="JD482" s="118">
        <v>272901</v>
      </c>
      <c r="JE482" s="118">
        <v>273101</v>
      </c>
      <c r="JF482" s="118">
        <v>273201</v>
      </c>
      <c r="JG482" s="118">
        <v>274101</v>
      </c>
      <c r="JH482" s="118">
        <v>274201</v>
      </c>
      <c r="JI482" s="119"/>
      <c r="JJ482" s="123"/>
      <c r="JK482" s="123"/>
    </row>
    <row r="483" spans="1:276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  <c r="AK483" s="122"/>
      <c r="AL483" s="122"/>
      <c r="AM483" s="122"/>
      <c r="AN483" s="122"/>
      <c r="AO483" s="122"/>
      <c r="AP483" s="122"/>
      <c r="AQ483" s="122"/>
      <c r="AR483" s="122"/>
      <c r="AS483" s="122"/>
      <c r="AT483" s="122"/>
      <c r="AU483" s="122"/>
      <c r="AV483" s="122"/>
      <c r="AW483" s="122"/>
      <c r="AX483" s="122"/>
      <c r="AY483" s="122"/>
      <c r="AZ483" s="122"/>
      <c r="BA483" s="122"/>
      <c r="BB483" s="122"/>
      <c r="BC483" s="122"/>
      <c r="BD483" s="122"/>
      <c r="BE483" s="122"/>
      <c r="BF483" s="122"/>
      <c r="BG483" s="122"/>
      <c r="BH483" s="122"/>
      <c r="BI483" s="122"/>
      <c r="BJ483" s="122"/>
      <c r="BK483" s="122"/>
      <c r="BL483" s="122"/>
      <c r="BM483" s="122"/>
      <c r="BN483" s="122"/>
      <c r="BO483" s="122"/>
      <c r="BP483" s="122"/>
      <c r="BQ483" s="122"/>
      <c r="BR483" s="122"/>
      <c r="BS483" s="122"/>
      <c r="BT483" s="122"/>
      <c r="BU483" s="122"/>
      <c r="BV483" s="122"/>
      <c r="BW483" s="122"/>
      <c r="BX483" s="122"/>
      <c r="BY483" s="122"/>
      <c r="BZ483" s="122"/>
      <c r="CA483" s="122"/>
      <c r="CB483" s="122"/>
      <c r="CC483" s="122"/>
      <c r="CD483" s="122"/>
      <c r="CE483" s="122"/>
      <c r="CF483" s="122"/>
      <c r="CG483" s="122"/>
      <c r="CH483" s="122"/>
      <c r="CI483" s="122"/>
      <c r="CJ483" s="122"/>
      <c r="CK483" s="122"/>
      <c r="CL483" s="122"/>
      <c r="CM483" s="122"/>
      <c r="CN483" s="122"/>
      <c r="CO483" s="122"/>
      <c r="CP483" s="122"/>
      <c r="CQ483" s="122"/>
      <c r="CR483" s="122"/>
      <c r="CS483" s="122"/>
      <c r="CT483" s="122"/>
      <c r="CU483" s="122"/>
      <c r="CV483" s="122"/>
      <c r="CW483" s="122"/>
      <c r="CX483" s="122"/>
      <c r="CY483" s="122"/>
      <c r="CZ483" s="122"/>
      <c r="DA483" s="122"/>
      <c r="DB483" s="122"/>
      <c r="DC483" s="122"/>
      <c r="DD483" s="122"/>
      <c r="DE483" s="122"/>
      <c r="DF483" s="122"/>
      <c r="DG483" s="122"/>
      <c r="DH483" s="122"/>
      <c r="DI483" s="122"/>
      <c r="DJ483" s="122"/>
      <c r="DK483" s="122"/>
      <c r="DL483" s="122"/>
      <c r="DM483" s="122"/>
      <c r="DN483" s="122"/>
      <c r="DO483" s="122"/>
      <c r="DP483" s="122"/>
      <c r="DQ483" s="122"/>
      <c r="DR483" s="122"/>
      <c r="DS483" s="122"/>
      <c r="DT483" s="122"/>
      <c r="DU483" s="122"/>
      <c r="DV483" s="122"/>
      <c r="DW483" s="122"/>
      <c r="DX483" s="122"/>
      <c r="DY483" s="122"/>
      <c r="DZ483" s="122"/>
      <c r="EA483" s="122"/>
      <c r="EB483" s="122"/>
      <c r="EC483" s="122"/>
      <c r="ED483" s="122"/>
      <c r="EE483" s="122"/>
      <c r="EF483" s="122"/>
      <c r="EG483" s="122"/>
      <c r="EH483" s="122"/>
      <c r="EI483" s="122"/>
      <c r="EJ483" s="122"/>
      <c r="EK483" s="122"/>
      <c r="EL483" s="122"/>
      <c r="EM483" s="122"/>
      <c r="EN483" s="122"/>
      <c r="EO483" s="122"/>
      <c r="EP483" s="122"/>
      <c r="EQ483" s="122"/>
      <c r="ER483" s="122"/>
      <c r="ES483" s="122"/>
      <c r="ET483" s="122"/>
      <c r="EU483" s="122"/>
      <c r="EV483" s="122"/>
      <c r="EW483" s="122"/>
      <c r="EX483" s="122"/>
      <c r="EY483" s="122"/>
      <c r="EZ483" s="122"/>
      <c r="FA483" s="122"/>
      <c r="FB483" s="122"/>
      <c r="FC483" s="122"/>
      <c r="FD483" s="122"/>
      <c r="FE483" s="122"/>
      <c r="FF483" s="122"/>
      <c r="FG483" s="122"/>
      <c r="FH483" s="122"/>
      <c r="FI483" s="122"/>
      <c r="FJ483" s="122"/>
      <c r="FK483" s="122"/>
      <c r="FL483" s="122"/>
      <c r="FM483" s="122"/>
      <c r="FN483" s="122"/>
      <c r="FO483" s="122"/>
      <c r="FP483" s="122"/>
      <c r="FQ483" s="122"/>
      <c r="FR483" s="122"/>
      <c r="FS483" s="122"/>
      <c r="FT483" s="122"/>
      <c r="FU483" s="122"/>
      <c r="FV483" s="122"/>
      <c r="FW483" s="122"/>
      <c r="FX483" s="122"/>
      <c r="FY483" s="122"/>
      <c r="FZ483" s="122"/>
      <c r="GA483" s="122"/>
      <c r="GB483" s="122"/>
      <c r="GC483" s="122"/>
      <c r="GD483" s="122"/>
      <c r="GE483" s="122"/>
      <c r="GF483" s="122"/>
      <c r="GG483" s="122"/>
      <c r="GH483" s="122"/>
      <c r="GI483" s="122"/>
      <c r="GJ483" s="122"/>
      <c r="GK483" s="122"/>
      <c r="GL483" s="122"/>
      <c r="GM483" s="122"/>
      <c r="GN483" s="122"/>
      <c r="GO483" s="122"/>
      <c r="GP483" s="122"/>
      <c r="GQ483" s="122"/>
      <c r="GR483" s="122"/>
      <c r="GS483" s="122"/>
      <c r="GT483" s="122"/>
      <c r="GU483" s="122"/>
      <c r="GV483" s="122"/>
      <c r="GW483" s="122"/>
      <c r="GX483" s="122"/>
      <c r="GY483" s="122"/>
      <c r="GZ483" s="122"/>
      <c r="HA483" s="122"/>
      <c r="HB483" s="122"/>
      <c r="HC483" s="122"/>
      <c r="HD483" s="122"/>
      <c r="HE483" s="122"/>
      <c r="HF483" s="122"/>
      <c r="HG483" s="122"/>
      <c r="HH483" s="122"/>
      <c r="HI483" s="122"/>
      <c r="HJ483" s="122"/>
      <c r="HK483" s="122"/>
      <c r="HL483" s="122"/>
      <c r="HM483" s="122"/>
      <c r="HN483" s="122"/>
      <c r="HO483" s="122"/>
      <c r="HP483" s="122"/>
      <c r="HQ483" s="122"/>
      <c r="HR483" s="122"/>
      <c r="HS483" s="122"/>
      <c r="HT483" s="122"/>
      <c r="HU483" s="122"/>
      <c r="HV483" s="122"/>
      <c r="HW483" s="122"/>
      <c r="HX483" s="122"/>
      <c r="HY483" s="122"/>
      <c r="HZ483" s="122"/>
      <c r="IA483" s="122"/>
      <c r="IB483" s="122"/>
      <c r="IC483" s="122"/>
      <c r="ID483" s="122"/>
      <c r="IE483" s="122"/>
      <c r="IF483" s="122"/>
      <c r="IG483" s="122"/>
      <c r="IH483" s="122"/>
      <c r="II483" s="122"/>
      <c r="IJ483" s="122"/>
      <c r="IK483" s="122"/>
      <c r="IL483" s="122"/>
      <c r="IM483" s="122"/>
      <c r="IN483" s="122"/>
      <c r="IO483" s="122"/>
      <c r="IP483" s="122"/>
      <c r="IQ483" s="122"/>
      <c r="IR483" s="122"/>
      <c r="IS483" s="122"/>
      <c r="IT483" s="122"/>
      <c r="IU483" s="122"/>
      <c r="IV483" s="122"/>
      <c r="IW483" s="122"/>
      <c r="IX483" s="122"/>
      <c r="IY483" s="122"/>
      <c r="IZ483" s="122"/>
      <c r="JA483" s="122"/>
      <c r="JB483" s="122"/>
      <c r="JC483" s="122"/>
      <c r="JD483" s="122"/>
      <c r="JE483" s="122"/>
      <c r="JF483" s="122"/>
      <c r="JG483" s="122"/>
      <c r="JH483" s="122"/>
      <c r="JI483" s="119">
        <f t="shared" si="3"/>
        <v>0</v>
      </c>
      <c r="JJ483" s="2"/>
      <c r="JK483" s="2"/>
    </row>
    <row r="484" spans="1:276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  <c r="AI484" s="122"/>
      <c r="AJ484" s="122"/>
      <c r="AK484" s="122"/>
      <c r="AL484" s="122"/>
      <c r="AM484" s="122"/>
      <c r="AN484" s="122"/>
      <c r="AO484" s="122"/>
      <c r="AP484" s="122"/>
      <c r="AQ484" s="122"/>
      <c r="AR484" s="122"/>
      <c r="AS484" s="122"/>
      <c r="AT484" s="122"/>
      <c r="AU484" s="122"/>
      <c r="AV484" s="122"/>
      <c r="AW484" s="122"/>
      <c r="AX484" s="122"/>
      <c r="AY484" s="122"/>
      <c r="AZ484" s="122"/>
      <c r="BA484" s="122"/>
      <c r="BB484" s="122"/>
      <c r="BC484" s="122"/>
      <c r="BD484" s="122"/>
      <c r="BE484" s="122"/>
      <c r="BF484" s="122"/>
      <c r="BG484" s="122"/>
      <c r="BH484" s="122"/>
      <c r="BI484" s="122"/>
      <c r="BJ484" s="122"/>
      <c r="BK484" s="122"/>
      <c r="BL484" s="122"/>
      <c r="BM484" s="122"/>
      <c r="BN484" s="122"/>
      <c r="BO484" s="122"/>
      <c r="BP484" s="122"/>
      <c r="BQ484" s="122"/>
      <c r="BR484" s="122"/>
      <c r="BS484" s="122"/>
      <c r="BT484" s="122"/>
      <c r="BU484" s="122"/>
      <c r="BV484" s="122"/>
      <c r="BW484" s="122"/>
      <c r="BX484" s="122"/>
      <c r="BY484" s="122"/>
      <c r="BZ484" s="122"/>
      <c r="CA484" s="122"/>
      <c r="CB484" s="122"/>
      <c r="CC484" s="122"/>
      <c r="CD484" s="122"/>
      <c r="CE484" s="122"/>
      <c r="CF484" s="122"/>
      <c r="CG484" s="122"/>
      <c r="CH484" s="122"/>
      <c r="CI484" s="122"/>
      <c r="CJ484" s="122"/>
      <c r="CK484" s="122"/>
      <c r="CL484" s="122"/>
      <c r="CM484" s="122"/>
      <c r="CN484" s="122"/>
      <c r="CO484" s="122"/>
      <c r="CP484" s="122"/>
      <c r="CQ484" s="122"/>
      <c r="CR484" s="122"/>
      <c r="CS484" s="122"/>
      <c r="CT484" s="122"/>
      <c r="CU484" s="122"/>
      <c r="CV484" s="122"/>
      <c r="CW484" s="122"/>
      <c r="CX484" s="122"/>
      <c r="CY484" s="122"/>
      <c r="CZ484" s="122"/>
      <c r="DA484" s="122"/>
      <c r="DB484" s="122"/>
      <c r="DC484" s="122"/>
      <c r="DD484" s="122"/>
      <c r="DE484" s="122"/>
      <c r="DF484" s="122"/>
      <c r="DG484" s="122"/>
      <c r="DH484" s="122"/>
      <c r="DI484" s="122"/>
      <c r="DJ484" s="122"/>
      <c r="DK484" s="122"/>
      <c r="DL484" s="122"/>
      <c r="DM484" s="122"/>
      <c r="DN484" s="122"/>
      <c r="DO484" s="122"/>
      <c r="DP484" s="122"/>
      <c r="DQ484" s="122"/>
      <c r="DR484" s="122"/>
      <c r="DS484" s="122"/>
      <c r="DT484" s="122"/>
      <c r="DU484" s="122"/>
      <c r="DV484" s="122"/>
      <c r="DW484" s="122"/>
      <c r="DX484" s="122"/>
      <c r="DY484" s="122"/>
      <c r="DZ484" s="122"/>
      <c r="EA484" s="122"/>
      <c r="EB484" s="122"/>
      <c r="EC484" s="122"/>
      <c r="ED484" s="122"/>
      <c r="EE484" s="122"/>
      <c r="EF484" s="122"/>
      <c r="EG484" s="122"/>
      <c r="EH484" s="122"/>
      <c r="EI484" s="122"/>
      <c r="EJ484" s="122"/>
      <c r="EK484" s="122"/>
      <c r="EL484" s="122"/>
      <c r="EM484" s="122"/>
      <c r="EN484" s="122"/>
      <c r="EO484" s="122"/>
      <c r="EP484" s="122"/>
      <c r="EQ484" s="122"/>
      <c r="ER484" s="122"/>
      <c r="ES484" s="122"/>
      <c r="ET484" s="122"/>
      <c r="EU484" s="122"/>
      <c r="EV484" s="122"/>
      <c r="EW484" s="122"/>
      <c r="EX484" s="122"/>
      <c r="EY484" s="122"/>
      <c r="EZ484" s="122"/>
      <c r="FA484" s="122"/>
      <c r="FB484" s="122"/>
      <c r="FC484" s="122"/>
      <c r="FD484" s="122"/>
      <c r="FE484" s="122"/>
      <c r="FF484" s="122"/>
      <c r="FG484" s="122"/>
      <c r="FH484" s="122"/>
      <c r="FI484" s="122"/>
      <c r="FJ484" s="122"/>
      <c r="FK484" s="122"/>
      <c r="FL484" s="122"/>
      <c r="FM484" s="122"/>
      <c r="FN484" s="122"/>
      <c r="FO484" s="122"/>
      <c r="FP484" s="122"/>
      <c r="FQ484" s="122"/>
      <c r="FR484" s="122"/>
      <c r="FS484" s="122"/>
      <c r="FT484" s="122"/>
      <c r="FU484" s="122"/>
      <c r="FV484" s="122"/>
      <c r="FW484" s="122"/>
      <c r="FX484" s="122"/>
      <c r="FY484" s="122"/>
      <c r="FZ484" s="122"/>
      <c r="GA484" s="122"/>
      <c r="GB484" s="122"/>
      <c r="GC484" s="122"/>
      <c r="GD484" s="122"/>
      <c r="GE484" s="122"/>
      <c r="GF484" s="122"/>
      <c r="GG484" s="122"/>
      <c r="GH484" s="122"/>
      <c r="GI484" s="122"/>
      <c r="GJ484" s="122"/>
      <c r="GK484" s="122"/>
      <c r="GL484" s="122"/>
      <c r="GM484" s="122"/>
      <c r="GN484" s="122"/>
      <c r="GO484" s="122"/>
      <c r="GP484" s="122"/>
      <c r="GQ484" s="122"/>
      <c r="GR484" s="122"/>
      <c r="GS484" s="122"/>
      <c r="GT484" s="122"/>
      <c r="GU484" s="122"/>
      <c r="GV484" s="122"/>
      <c r="GW484" s="122"/>
      <c r="GX484" s="122"/>
      <c r="GY484" s="122"/>
      <c r="GZ484" s="122"/>
      <c r="HA484" s="122"/>
      <c r="HB484" s="122"/>
      <c r="HC484" s="122"/>
      <c r="HD484" s="122"/>
      <c r="HE484" s="122"/>
      <c r="HF484" s="122"/>
      <c r="HG484" s="122"/>
      <c r="HH484" s="122"/>
      <c r="HI484" s="122"/>
      <c r="HJ484" s="122"/>
      <c r="HK484" s="122"/>
      <c r="HL484" s="122"/>
      <c r="HM484" s="122"/>
      <c r="HN484" s="122"/>
      <c r="HO484" s="122"/>
      <c r="HP484" s="122"/>
      <c r="HQ484" s="122"/>
      <c r="HR484" s="122"/>
      <c r="HS484" s="122"/>
      <c r="HT484" s="122"/>
      <c r="HU484" s="122"/>
      <c r="HV484" s="122"/>
      <c r="HW484" s="122"/>
      <c r="HX484" s="122"/>
      <c r="HY484" s="122"/>
      <c r="HZ484" s="122"/>
      <c r="IA484" s="122"/>
      <c r="IB484" s="122"/>
      <c r="IC484" s="122"/>
      <c r="ID484" s="122"/>
      <c r="IE484" s="122"/>
      <c r="IF484" s="122"/>
      <c r="IG484" s="122"/>
      <c r="IH484" s="122"/>
      <c r="II484" s="122"/>
      <c r="IJ484" s="122"/>
      <c r="IK484" s="122"/>
      <c r="IL484" s="122"/>
      <c r="IM484" s="122"/>
      <c r="IN484" s="122"/>
      <c r="IO484" s="122"/>
      <c r="IP484" s="122"/>
      <c r="IQ484" s="122"/>
      <c r="IR484" s="122"/>
      <c r="IS484" s="122"/>
      <c r="IT484" s="122"/>
      <c r="IU484" s="122"/>
      <c r="IV484" s="122"/>
      <c r="IW484" s="122"/>
      <c r="IX484" s="122"/>
      <c r="IY484" s="122"/>
      <c r="IZ484" s="122"/>
      <c r="JA484" s="122"/>
      <c r="JB484" s="122"/>
      <c r="JC484" s="122"/>
      <c r="JD484" s="122"/>
      <c r="JE484" s="122"/>
      <c r="JF484" s="122"/>
      <c r="JG484" s="122"/>
      <c r="JH484" s="122"/>
      <c r="JI484" s="119">
        <f t="shared" si="3"/>
        <v>0</v>
      </c>
      <c r="JJ484" s="2"/>
      <c r="JK484" s="2"/>
    </row>
    <row r="485" spans="1:276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22"/>
      <c r="AM485" s="122"/>
      <c r="AN485" s="122"/>
      <c r="AO485" s="122"/>
      <c r="AP485" s="122"/>
      <c r="AQ485" s="122"/>
      <c r="AR485" s="122"/>
      <c r="AS485" s="122"/>
      <c r="AT485" s="122"/>
      <c r="AU485" s="122"/>
      <c r="AV485" s="122"/>
      <c r="AW485" s="122"/>
      <c r="AX485" s="122"/>
      <c r="AY485" s="122"/>
      <c r="AZ485" s="122"/>
      <c r="BA485" s="122"/>
      <c r="BB485" s="122"/>
      <c r="BC485" s="122"/>
      <c r="BD485" s="122"/>
      <c r="BE485" s="122"/>
      <c r="BF485" s="122"/>
      <c r="BG485" s="122"/>
      <c r="BH485" s="122"/>
      <c r="BI485" s="122"/>
      <c r="BJ485" s="122"/>
      <c r="BK485" s="122"/>
      <c r="BL485" s="122"/>
      <c r="BM485" s="122"/>
      <c r="BN485" s="122"/>
      <c r="BO485" s="122"/>
      <c r="BP485" s="122"/>
      <c r="BQ485" s="122"/>
      <c r="BR485" s="122"/>
      <c r="BS485" s="122"/>
      <c r="BT485" s="122"/>
      <c r="BU485" s="122"/>
      <c r="BV485" s="122"/>
      <c r="BW485" s="122"/>
      <c r="BX485" s="122"/>
      <c r="BY485" s="122"/>
      <c r="BZ485" s="122"/>
      <c r="CA485" s="122"/>
      <c r="CB485" s="122"/>
      <c r="CC485" s="122"/>
      <c r="CD485" s="122"/>
      <c r="CE485" s="122"/>
      <c r="CF485" s="122"/>
      <c r="CG485" s="122"/>
      <c r="CH485" s="122"/>
      <c r="CI485" s="122"/>
      <c r="CJ485" s="122"/>
      <c r="CK485" s="122"/>
      <c r="CL485" s="122"/>
      <c r="CM485" s="122"/>
      <c r="CN485" s="122"/>
      <c r="CO485" s="122"/>
      <c r="CP485" s="122"/>
      <c r="CQ485" s="122"/>
      <c r="CR485" s="122"/>
      <c r="CS485" s="122"/>
      <c r="CT485" s="122"/>
      <c r="CU485" s="122"/>
      <c r="CV485" s="122"/>
      <c r="CW485" s="122"/>
      <c r="CX485" s="122"/>
      <c r="CY485" s="122"/>
      <c r="CZ485" s="122"/>
      <c r="DA485" s="122"/>
      <c r="DB485" s="122"/>
      <c r="DC485" s="122"/>
      <c r="DD485" s="122"/>
      <c r="DE485" s="122"/>
      <c r="DF485" s="122"/>
      <c r="DG485" s="122"/>
      <c r="DH485" s="122"/>
      <c r="DI485" s="122"/>
      <c r="DJ485" s="122"/>
      <c r="DK485" s="122"/>
      <c r="DL485" s="122"/>
      <c r="DM485" s="122"/>
      <c r="DN485" s="122"/>
      <c r="DO485" s="122"/>
      <c r="DP485" s="122"/>
      <c r="DQ485" s="122"/>
      <c r="DR485" s="122"/>
      <c r="DS485" s="122"/>
      <c r="DT485" s="122"/>
      <c r="DU485" s="122"/>
      <c r="DV485" s="122"/>
      <c r="DW485" s="122"/>
      <c r="DX485" s="122"/>
      <c r="DY485" s="122"/>
      <c r="DZ485" s="122"/>
      <c r="EA485" s="122"/>
      <c r="EB485" s="122"/>
      <c r="EC485" s="122"/>
      <c r="ED485" s="122"/>
      <c r="EE485" s="122"/>
      <c r="EF485" s="122"/>
      <c r="EG485" s="122"/>
      <c r="EH485" s="122"/>
      <c r="EI485" s="122"/>
      <c r="EJ485" s="122"/>
      <c r="EK485" s="122"/>
      <c r="EL485" s="122"/>
      <c r="EM485" s="122"/>
      <c r="EN485" s="122"/>
      <c r="EO485" s="122"/>
      <c r="EP485" s="122"/>
      <c r="EQ485" s="122"/>
      <c r="ER485" s="122"/>
      <c r="ES485" s="122"/>
      <c r="ET485" s="122"/>
      <c r="EU485" s="122"/>
      <c r="EV485" s="122"/>
      <c r="EW485" s="122"/>
      <c r="EX485" s="122"/>
      <c r="EY485" s="122"/>
      <c r="EZ485" s="122"/>
      <c r="FA485" s="122"/>
      <c r="FB485" s="122"/>
      <c r="FC485" s="122"/>
      <c r="FD485" s="122"/>
      <c r="FE485" s="122"/>
      <c r="FF485" s="122"/>
      <c r="FG485" s="122"/>
      <c r="FH485" s="122"/>
      <c r="FI485" s="122"/>
      <c r="FJ485" s="122"/>
      <c r="FK485" s="122"/>
      <c r="FL485" s="122"/>
      <c r="FM485" s="122"/>
      <c r="FN485" s="122"/>
      <c r="FO485" s="122"/>
      <c r="FP485" s="122"/>
      <c r="FQ485" s="122"/>
      <c r="FR485" s="122"/>
      <c r="FS485" s="122"/>
      <c r="FT485" s="122"/>
      <c r="FU485" s="122"/>
      <c r="FV485" s="122"/>
      <c r="FW485" s="122"/>
      <c r="FX485" s="122"/>
      <c r="FY485" s="122"/>
      <c r="FZ485" s="122"/>
      <c r="GA485" s="122"/>
      <c r="GB485" s="122"/>
      <c r="GC485" s="122"/>
      <c r="GD485" s="122"/>
      <c r="GE485" s="122"/>
      <c r="GF485" s="122"/>
      <c r="GG485" s="122"/>
      <c r="GH485" s="122"/>
      <c r="GI485" s="122"/>
      <c r="GJ485" s="122"/>
      <c r="GK485" s="122"/>
      <c r="GL485" s="122"/>
      <c r="GM485" s="122"/>
      <c r="GN485" s="122"/>
      <c r="GO485" s="122"/>
      <c r="GP485" s="122"/>
      <c r="GQ485" s="122"/>
      <c r="GR485" s="122"/>
      <c r="GS485" s="122"/>
      <c r="GT485" s="122"/>
      <c r="GU485" s="122"/>
      <c r="GV485" s="122"/>
      <c r="GW485" s="122"/>
      <c r="GX485" s="122"/>
      <c r="GY485" s="122"/>
      <c r="GZ485" s="122"/>
      <c r="HA485" s="122"/>
      <c r="HB485" s="122"/>
      <c r="HC485" s="122"/>
      <c r="HD485" s="122"/>
      <c r="HE485" s="122"/>
      <c r="HF485" s="122"/>
      <c r="HG485" s="122"/>
      <c r="HH485" s="122"/>
      <c r="HI485" s="122"/>
      <c r="HJ485" s="122"/>
      <c r="HK485" s="122"/>
      <c r="HL485" s="122"/>
      <c r="HM485" s="122"/>
      <c r="HN485" s="122"/>
      <c r="HO485" s="122"/>
      <c r="HP485" s="122"/>
      <c r="HQ485" s="122"/>
      <c r="HR485" s="122"/>
      <c r="HS485" s="122"/>
      <c r="HT485" s="122"/>
      <c r="HU485" s="122"/>
      <c r="HV485" s="122"/>
      <c r="HW485" s="122"/>
      <c r="HX485" s="122"/>
      <c r="HY485" s="122"/>
      <c r="HZ485" s="122"/>
      <c r="IA485" s="122"/>
      <c r="IB485" s="122"/>
      <c r="IC485" s="122"/>
      <c r="ID485" s="122"/>
      <c r="IE485" s="122"/>
      <c r="IF485" s="122"/>
      <c r="IG485" s="122"/>
      <c r="IH485" s="122"/>
      <c r="II485" s="122"/>
      <c r="IJ485" s="122"/>
      <c r="IK485" s="122"/>
      <c r="IL485" s="122"/>
      <c r="IM485" s="122"/>
      <c r="IN485" s="122"/>
      <c r="IO485" s="122"/>
      <c r="IP485" s="122"/>
      <c r="IQ485" s="122"/>
      <c r="IR485" s="122"/>
      <c r="IS485" s="122"/>
      <c r="IT485" s="122"/>
      <c r="IU485" s="122"/>
      <c r="IV485" s="122"/>
      <c r="IW485" s="122"/>
      <c r="IX485" s="122"/>
      <c r="IY485" s="122"/>
      <c r="IZ485" s="122"/>
      <c r="JA485" s="122"/>
      <c r="JB485" s="122"/>
      <c r="JC485" s="122"/>
      <c r="JD485" s="122"/>
      <c r="JE485" s="122"/>
      <c r="JF485" s="122"/>
      <c r="JG485" s="122"/>
      <c r="JH485" s="122"/>
      <c r="JI485" s="119">
        <f t="shared" si="3"/>
        <v>0</v>
      </c>
      <c r="JJ485" s="2"/>
      <c r="JK485" s="2"/>
    </row>
    <row r="486" spans="1:27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  <c r="AI486" s="122"/>
      <c r="AJ486" s="122"/>
      <c r="AK486" s="122"/>
      <c r="AL486" s="122"/>
      <c r="AM486" s="122"/>
      <c r="AN486" s="122"/>
      <c r="AO486" s="122"/>
      <c r="AP486" s="122"/>
      <c r="AQ486" s="122"/>
      <c r="AR486" s="122"/>
      <c r="AS486" s="122"/>
      <c r="AT486" s="122"/>
      <c r="AU486" s="122"/>
      <c r="AV486" s="122"/>
      <c r="AW486" s="122"/>
      <c r="AX486" s="122"/>
      <c r="AY486" s="122"/>
      <c r="AZ486" s="122"/>
      <c r="BA486" s="122"/>
      <c r="BB486" s="122"/>
      <c r="BC486" s="122"/>
      <c r="BD486" s="122"/>
      <c r="BE486" s="122"/>
      <c r="BF486" s="122"/>
      <c r="BG486" s="122"/>
      <c r="BH486" s="122"/>
      <c r="BI486" s="122"/>
      <c r="BJ486" s="122"/>
      <c r="BK486" s="122"/>
      <c r="BL486" s="122"/>
      <c r="BM486" s="122"/>
      <c r="BN486" s="122"/>
      <c r="BO486" s="122"/>
      <c r="BP486" s="122"/>
      <c r="BQ486" s="122"/>
      <c r="BR486" s="122"/>
      <c r="BS486" s="122"/>
      <c r="BT486" s="122"/>
      <c r="BU486" s="122"/>
      <c r="BV486" s="122"/>
      <c r="BW486" s="122"/>
      <c r="BX486" s="122"/>
      <c r="BY486" s="122"/>
      <c r="BZ486" s="122"/>
      <c r="CA486" s="122"/>
      <c r="CB486" s="122"/>
      <c r="CC486" s="122"/>
      <c r="CD486" s="122"/>
      <c r="CE486" s="122"/>
      <c r="CF486" s="122"/>
      <c r="CG486" s="122"/>
      <c r="CH486" s="122"/>
      <c r="CI486" s="122"/>
      <c r="CJ486" s="122"/>
      <c r="CK486" s="122"/>
      <c r="CL486" s="122"/>
      <c r="CM486" s="122"/>
      <c r="CN486" s="122"/>
      <c r="CO486" s="122"/>
      <c r="CP486" s="122"/>
      <c r="CQ486" s="122"/>
      <c r="CR486" s="122"/>
      <c r="CS486" s="122"/>
      <c r="CT486" s="122"/>
      <c r="CU486" s="122"/>
      <c r="CV486" s="122"/>
      <c r="CW486" s="122"/>
      <c r="CX486" s="122"/>
      <c r="CY486" s="122"/>
      <c r="CZ486" s="122"/>
      <c r="DA486" s="122"/>
      <c r="DB486" s="122"/>
      <c r="DC486" s="122"/>
      <c r="DD486" s="122"/>
      <c r="DE486" s="122"/>
      <c r="DF486" s="122"/>
      <c r="DG486" s="122"/>
      <c r="DH486" s="122"/>
      <c r="DI486" s="122"/>
      <c r="DJ486" s="122"/>
      <c r="DK486" s="122"/>
      <c r="DL486" s="122"/>
      <c r="DM486" s="122"/>
      <c r="DN486" s="122"/>
      <c r="DO486" s="122"/>
      <c r="DP486" s="122"/>
      <c r="DQ486" s="122"/>
      <c r="DR486" s="122"/>
      <c r="DS486" s="122"/>
      <c r="DT486" s="122"/>
      <c r="DU486" s="122"/>
      <c r="DV486" s="122"/>
      <c r="DW486" s="122"/>
      <c r="DX486" s="122"/>
      <c r="DY486" s="122"/>
      <c r="DZ486" s="122"/>
      <c r="EA486" s="122"/>
      <c r="EB486" s="122"/>
      <c r="EC486" s="122"/>
      <c r="ED486" s="122"/>
      <c r="EE486" s="122"/>
      <c r="EF486" s="122"/>
      <c r="EG486" s="122"/>
      <c r="EH486" s="122"/>
      <c r="EI486" s="122"/>
      <c r="EJ486" s="122"/>
      <c r="EK486" s="122"/>
      <c r="EL486" s="122"/>
      <c r="EM486" s="122"/>
      <c r="EN486" s="122"/>
      <c r="EO486" s="122"/>
      <c r="EP486" s="122"/>
      <c r="EQ486" s="122"/>
      <c r="ER486" s="122"/>
      <c r="ES486" s="122"/>
      <c r="ET486" s="122"/>
      <c r="EU486" s="122"/>
      <c r="EV486" s="122"/>
      <c r="EW486" s="122"/>
      <c r="EX486" s="122"/>
      <c r="EY486" s="122"/>
      <c r="EZ486" s="122"/>
      <c r="FA486" s="122"/>
      <c r="FB486" s="122"/>
      <c r="FC486" s="122"/>
      <c r="FD486" s="122"/>
      <c r="FE486" s="122"/>
      <c r="FF486" s="122"/>
      <c r="FG486" s="122"/>
      <c r="FH486" s="122"/>
      <c r="FI486" s="122"/>
      <c r="FJ486" s="122"/>
      <c r="FK486" s="122"/>
      <c r="FL486" s="122"/>
      <c r="FM486" s="122"/>
      <c r="FN486" s="122"/>
      <c r="FO486" s="122"/>
      <c r="FP486" s="122"/>
      <c r="FQ486" s="122"/>
      <c r="FR486" s="122"/>
      <c r="FS486" s="122"/>
      <c r="FT486" s="122"/>
      <c r="FU486" s="122"/>
      <c r="FV486" s="122"/>
      <c r="FW486" s="122"/>
      <c r="FX486" s="122"/>
      <c r="FY486" s="122"/>
      <c r="FZ486" s="122"/>
      <c r="GA486" s="122"/>
      <c r="GB486" s="122"/>
      <c r="GC486" s="122"/>
      <c r="GD486" s="122"/>
      <c r="GE486" s="122"/>
      <c r="GF486" s="122"/>
      <c r="GG486" s="122"/>
      <c r="GH486" s="122"/>
      <c r="GI486" s="122"/>
      <c r="GJ486" s="122"/>
      <c r="GK486" s="122"/>
      <c r="GL486" s="122"/>
      <c r="GM486" s="122"/>
      <c r="GN486" s="122"/>
      <c r="GO486" s="122"/>
      <c r="GP486" s="122"/>
      <c r="GQ486" s="122"/>
      <c r="GR486" s="122"/>
      <c r="GS486" s="122"/>
      <c r="GT486" s="122"/>
      <c r="GU486" s="122"/>
      <c r="GV486" s="122"/>
      <c r="GW486" s="122"/>
      <c r="GX486" s="122"/>
      <c r="GY486" s="122"/>
      <c r="GZ486" s="122"/>
      <c r="HA486" s="122"/>
      <c r="HB486" s="122"/>
      <c r="HC486" s="122"/>
      <c r="HD486" s="122"/>
      <c r="HE486" s="122"/>
      <c r="HF486" s="122"/>
      <c r="HG486" s="122"/>
      <c r="HH486" s="122"/>
      <c r="HI486" s="122"/>
      <c r="HJ486" s="122"/>
      <c r="HK486" s="122"/>
      <c r="HL486" s="122"/>
      <c r="HM486" s="122"/>
      <c r="HN486" s="122"/>
      <c r="HO486" s="122"/>
      <c r="HP486" s="122"/>
      <c r="HQ486" s="122"/>
      <c r="HR486" s="122"/>
      <c r="HS486" s="122"/>
      <c r="HT486" s="122"/>
      <c r="HU486" s="122"/>
      <c r="HV486" s="122"/>
      <c r="HW486" s="122"/>
      <c r="HX486" s="122"/>
      <c r="HY486" s="122"/>
      <c r="HZ486" s="122"/>
      <c r="IA486" s="122"/>
      <c r="IB486" s="122"/>
      <c r="IC486" s="122"/>
      <c r="ID486" s="122"/>
      <c r="IE486" s="122"/>
      <c r="IF486" s="122"/>
      <c r="IG486" s="122"/>
      <c r="IH486" s="122"/>
      <c r="II486" s="122"/>
      <c r="IJ486" s="122"/>
      <c r="IK486" s="122"/>
      <c r="IL486" s="122"/>
      <c r="IM486" s="122"/>
      <c r="IN486" s="122"/>
      <c r="IO486" s="122"/>
      <c r="IP486" s="122"/>
      <c r="IQ486" s="122"/>
      <c r="IR486" s="122"/>
      <c r="IS486" s="122"/>
      <c r="IT486" s="122"/>
      <c r="IU486" s="122"/>
      <c r="IV486" s="122"/>
      <c r="IW486" s="122"/>
      <c r="IX486" s="122"/>
      <c r="IY486" s="122"/>
      <c r="IZ486" s="122"/>
      <c r="JA486" s="122"/>
      <c r="JB486" s="122"/>
      <c r="JC486" s="122"/>
      <c r="JD486" s="122"/>
      <c r="JE486" s="122"/>
      <c r="JF486" s="122"/>
      <c r="JG486" s="122"/>
      <c r="JH486" s="122"/>
      <c r="JI486" s="119">
        <f t="shared" si="3"/>
        <v>0</v>
      </c>
      <c r="JJ486" s="2"/>
      <c r="JK486" s="2"/>
    </row>
    <row r="487" spans="1:276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  <c r="AK487" s="122"/>
      <c r="AL487" s="122"/>
      <c r="AM487" s="122"/>
      <c r="AN487" s="122"/>
      <c r="AO487" s="122"/>
      <c r="AP487" s="122"/>
      <c r="AQ487" s="122"/>
      <c r="AR487" s="122"/>
      <c r="AS487" s="122"/>
      <c r="AT487" s="122"/>
      <c r="AU487" s="122"/>
      <c r="AV487" s="122"/>
      <c r="AW487" s="122"/>
      <c r="AX487" s="122"/>
      <c r="AY487" s="122"/>
      <c r="AZ487" s="122"/>
      <c r="BA487" s="122"/>
      <c r="BB487" s="122"/>
      <c r="BC487" s="122"/>
      <c r="BD487" s="122"/>
      <c r="BE487" s="122"/>
      <c r="BF487" s="122"/>
      <c r="BG487" s="122"/>
      <c r="BH487" s="122"/>
      <c r="BI487" s="122"/>
      <c r="BJ487" s="122"/>
      <c r="BK487" s="122"/>
      <c r="BL487" s="122"/>
      <c r="BM487" s="122"/>
      <c r="BN487" s="122"/>
      <c r="BO487" s="122"/>
      <c r="BP487" s="122"/>
      <c r="BQ487" s="122"/>
      <c r="BR487" s="122"/>
      <c r="BS487" s="122"/>
      <c r="BT487" s="122"/>
      <c r="BU487" s="122"/>
      <c r="BV487" s="122"/>
      <c r="BW487" s="122"/>
      <c r="BX487" s="122"/>
      <c r="BY487" s="122"/>
      <c r="BZ487" s="122"/>
      <c r="CA487" s="122"/>
      <c r="CB487" s="122"/>
      <c r="CC487" s="122"/>
      <c r="CD487" s="122"/>
      <c r="CE487" s="122"/>
      <c r="CF487" s="122"/>
      <c r="CG487" s="122"/>
      <c r="CH487" s="122"/>
      <c r="CI487" s="122"/>
      <c r="CJ487" s="122"/>
      <c r="CK487" s="122"/>
      <c r="CL487" s="122"/>
      <c r="CM487" s="122"/>
      <c r="CN487" s="122"/>
      <c r="CO487" s="122"/>
      <c r="CP487" s="122"/>
      <c r="CQ487" s="122"/>
      <c r="CR487" s="122"/>
      <c r="CS487" s="122"/>
      <c r="CT487" s="122"/>
      <c r="CU487" s="122"/>
      <c r="CV487" s="122"/>
      <c r="CW487" s="122"/>
      <c r="CX487" s="122"/>
      <c r="CY487" s="122"/>
      <c r="CZ487" s="122"/>
      <c r="DA487" s="122"/>
      <c r="DB487" s="122"/>
      <c r="DC487" s="122"/>
      <c r="DD487" s="122"/>
      <c r="DE487" s="122"/>
      <c r="DF487" s="122"/>
      <c r="DG487" s="122"/>
      <c r="DH487" s="122"/>
      <c r="DI487" s="122"/>
      <c r="DJ487" s="122"/>
      <c r="DK487" s="122"/>
      <c r="DL487" s="122"/>
      <c r="DM487" s="122"/>
      <c r="DN487" s="122"/>
      <c r="DO487" s="122"/>
      <c r="DP487" s="122"/>
      <c r="DQ487" s="122"/>
      <c r="DR487" s="122"/>
      <c r="DS487" s="122"/>
      <c r="DT487" s="122"/>
      <c r="DU487" s="122"/>
      <c r="DV487" s="122"/>
      <c r="DW487" s="122"/>
      <c r="DX487" s="122"/>
      <c r="DY487" s="122"/>
      <c r="DZ487" s="122"/>
      <c r="EA487" s="122"/>
      <c r="EB487" s="122"/>
      <c r="EC487" s="122"/>
      <c r="ED487" s="122"/>
      <c r="EE487" s="122"/>
      <c r="EF487" s="122"/>
      <c r="EG487" s="122"/>
      <c r="EH487" s="122"/>
      <c r="EI487" s="122"/>
      <c r="EJ487" s="122"/>
      <c r="EK487" s="122"/>
      <c r="EL487" s="122"/>
      <c r="EM487" s="122"/>
      <c r="EN487" s="122"/>
      <c r="EO487" s="122"/>
      <c r="EP487" s="122"/>
      <c r="EQ487" s="122"/>
      <c r="ER487" s="122"/>
      <c r="ES487" s="122"/>
      <c r="ET487" s="122"/>
      <c r="EU487" s="122"/>
      <c r="EV487" s="122"/>
      <c r="EW487" s="122"/>
      <c r="EX487" s="122"/>
      <c r="EY487" s="122"/>
      <c r="EZ487" s="122"/>
      <c r="FA487" s="122"/>
      <c r="FB487" s="122"/>
      <c r="FC487" s="122"/>
      <c r="FD487" s="122"/>
      <c r="FE487" s="122"/>
      <c r="FF487" s="122"/>
      <c r="FG487" s="122"/>
      <c r="FH487" s="122"/>
      <c r="FI487" s="122"/>
      <c r="FJ487" s="122"/>
      <c r="FK487" s="122"/>
      <c r="FL487" s="122"/>
      <c r="FM487" s="122"/>
      <c r="FN487" s="122"/>
      <c r="FO487" s="122"/>
      <c r="FP487" s="122"/>
      <c r="FQ487" s="122"/>
      <c r="FR487" s="122"/>
      <c r="FS487" s="122"/>
      <c r="FT487" s="122"/>
      <c r="FU487" s="122"/>
      <c r="FV487" s="122"/>
      <c r="FW487" s="122"/>
      <c r="FX487" s="122"/>
      <c r="FY487" s="122"/>
      <c r="FZ487" s="122"/>
      <c r="GA487" s="122"/>
      <c r="GB487" s="122"/>
      <c r="GC487" s="122"/>
      <c r="GD487" s="122"/>
      <c r="GE487" s="122"/>
      <c r="GF487" s="122"/>
      <c r="GG487" s="122"/>
      <c r="GH487" s="122"/>
      <c r="GI487" s="122"/>
      <c r="GJ487" s="122"/>
      <c r="GK487" s="122"/>
      <c r="GL487" s="122"/>
      <c r="GM487" s="122"/>
      <c r="GN487" s="122"/>
      <c r="GO487" s="122"/>
      <c r="GP487" s="122"/>
      <c r="GQ487" s="122"/>
      <c r="GR487" s="122"/>
      <c r="GS487" s="122"/>
      <c r="GT487" s="122"/>
      <c r="GU487" s="122"/>
      <c r="GV487" s="122"/>
      <c r="GW487" s="122"/>
      <c r="GX487" s="122"/>
      <c r="GY487" s="122"/>
      <c r="GZ487" s="122"/>
      <c r="HA487" s="122"/>
      <c r="HB487" s="122"/>
      <c r="HC487" s="122"/>
      <c r="HD487" s="122"/>
      <c r="HE487" s="122"/>
      <c r="HF487" s="122"/>
      <c r="HG487" s="122"/>
      <c r="HH487" s="122"/>
      <c r="HI487" s="122"/>
      <c r="HJ487" s="122"/>
      <c r="HK487" s="122"/>
      <c r="HL487" s="122"/>
      <c r="HM487" s="122"/>
      <c r="HN487" s="122"/>
      <c r="HO487" s="122"/>
      <c r="HP487" s="122"/>
      <c r="HQ487" s="122"/>
      <c r="HR487" s="122"/>
      <c r="HS487" s="122"/>
      <c r="HT487" s="122"/>
      <c r="HU487" s="122"/>
      <c r="HV487" s="122"/>
      <c r="HW487" s="122"/>
      <c r="HX487" s="122"/>
      <c r="HY487" s="122"/>
      <c r="HZ487" s="122"/>
      <c r="IA487" s="122"/>
      <c r="IB487" s="122"/>
      <c r="IC487" s="122"/>
      <c r="ID487" s="122"/>
      <c r="IE487" s="122"/>
      <c r="IF487" s="122"/>
      <c r="IG487" s="122"/>
      <c r="IH487" s="122"/>
      <c r="II487" s="122"/>
      <c r="IJ487" s="122"/>
      <c r="IK487" s="122"/>
      <c r="IL487" s="122"/>
      <c r="IM487" s="122"/>
      <c r="IN487" s="122"/>
      <c r="IO487" s="122"/>
      <c r="IP487" s="122"/>
      <c r="IQ487" s="122"/>
      <c r="IR487" s="122"/>
      <c r="IS487" s="122"/>
      <c r="IT487" s="122"/>
      <c r="IU487" s="122"/>
      <c r="IV487" s="122"/>
      <c r="IW487" s="122"/>
      <c r="IX487" s="122"/>
      <c r="IY487" s="122"/>
      <c r="IZ487" s="122"/>
      <c r="JA487" s="122"/>
      <c r="JB487" s="122"/>
      <c r="JC487" s="122"/>
      <c r="JD487" s="122"/>
      <c r="JE487" s="122"/>
      <c r="JF487" s="122"/>
      <c r="JG487" s="122"/>
      <c r="JH487" s="122"/>
      <c r="JI487" s="119">
        <f t="shared" si="3"/>
        <v>0</v>
      </c>
      <c r="JJ487" s="2"/>
      <c r="JK487" s="2"/>
    </row>
    <row r="488" spans="1:276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  <c r="AI488" s="122"/>
      <c r="AJ488" s="122"/>
      <c r="AK488" s="122"/>
      <c r="AL488" s="122"/>
      <c r="AM488" s="122"/>
      <c r="AN488" s="122"/>
      <c r="AO488" s="122"/>
      <c r="AP488" s="122"/>
      <c r="AQ488" s="122"/>
      <c r="AR488" s="122"/>
      <c r="AS488" s="122"/>
      <c r="AT488" s="122"/>
      <c r="AU488" s="122"/>
      <c r="AV488" s="122"/>
      <c r="AW488" s="122"/>
      <c r="AX488" s="122"/>
      <c r="AY488" s="122"/>
      <c r="AZ488" s="122"/>
      <c r="BA488" s="122"/>
      <c r="BB488" s="122"/>
      <c r="BC488" s="122"/>
      <c r="BD488" s="122"/>
      <c r="BE488" s="122"/>
      <c r="BF488" s="122"/>
      <c r="BG488" s="122"/>
      <c r="BH488" s="122"/>
      <c r="BI488" s="122"/>
      <c r="BJ488" s="122"/>
      <c r="BK488" s="122"/>
      <c r="BL488" s="122"/>
      <c r="BM488" s="122"/>
      <c r="BN488" s="122"/>
      <c r="BO488" s="122"/>
      <c r="BP488" s="122"/>
      <c r="BQ488" s="122"/>
      <c r="BR488" s="122"/>
      <c r="BS488" s="122"/>
      <c r="BT488" s="122"/>
      <c r="BU488" s="122"/>
      <c r="BV488" s="122"/>
      <c r="BW488" s="122"/>
      <c r="BX488" s="122"/>
      <c r="BY488" s="122"/>
      <c r="BZ488" s="122"/>
      <c r="CA488" s="122"/>
      <c r="CB488" s="122"/>
      <c r="CC488" s="122"/>
      <c r="CD488" s="122"/>
      <c r="CE488" s="122"/>
      <c r="CF488" s="122"/>
      <c r="CG488" s="122"/>
      <c r="CH488" s="122"/>
      <c r="CI488" s="122"/>
      <c r="CJ488" s="122"/>
      <c r="CK488" s="122"/>
      <c r="CL488" s="122"/>
      <c r="CM488" s="122"/>
      <c r="CN488" s="122"/>
      <c r="CO488" s="122"/>
      <c r="CP488" s="122"/>
      <c r="CQ488" s="122"/>
      <c r="CR488" s="122"/>
      <c r="CS488" s="122"/>
      <c r="CT488" s="122"/>
      <c r="CU488" s="122"/>
      <c r="CV488" s="122"/>
      <c r="CW488" s="122"/>
      <c r="CX488" s="122"/>
      <c r="CY488" s="122"/>
      <c r="CZ488" s="122"/>
      <c r="DA488" s="122"/>
      <c r="DB488" s="122"/>
      <c r="DC488" s="122"/>
      <c r="DD488" s="122"/>
      <c r="DE488" s="122"/>
      <c r="DF488" s="122"/>
      <c r="DG488" s="122"/>
      <c r="DH488" s="122"/>
      <c r="DI488" s="122"/>
      <c r="DJ488" s="122"/>
      <c r="DK488" s="122"/>
      <c r="DL488" s="122"/>
      <c r="DM488" s="122"/>
      <c r="DN488" s="122"/>
      <c r="DO488" s="122"/>
      <c r="DP488" s="122"/>
      <c r="DQ488" s="122"/>
      <c r="DR488" s="122"/>
      <c r="DS488" s="122"/>
      <c r="DT488" s="122"/>
      <c r="DU488" s="122"/>
      <c r="DV488" s="122"/>
      <c r="DW488" s="122"/>
      <c r="DX488" s="122"/>
      <c r="DY488" s="122"/>
      <c r="DZ488" s="122"/>
      <c r="EA488" s="122"/>
      <c r="EB488" s="122"/>
      <c r="EC488" s="122"/>
      <c r="ED488" s="122"/>
      <c r="EE488" s="122"/>
      <c r="EF488" s="122"/>
      <c r="EG488" s="122"/>
      <c r="EH488" s="122"/>
      <c r="EI488" s="122"/>
      <c r="EJ488" s="122"/>
      <c r="EK488" s="122"/>
      <c r="EL488" s="122"/>
      <c r="EM488" s="122"/>
      <c r="EN488" s="122"/>
      <c r="EO488" s="122"/>
      <c r="EP488" s="122"/>
      <c r="EQ488" s="122"/>
      <c r="ER488" s="122"/>
      <c r="ES488" s="122"/>
      <c r="ET488" s="122"/>
      <c r="EU488" s="122"/>
      <c r="EV488" s="122"/>
      <c r="EW488" s="122"/>
      <c r="EX488" s="122"/>
      <c r="EY488" s="122"/>
      <c r="EZ488" s="122"/>
      <c r="FA488" s="122"/>
      <c r="FB488" s="122"/>
      <c r="FC488" s="122"/>
      <c r="FD488" s="122"/>
      <c r="FE488" s="122"/>
      <c r="FF488" s="122"/>
      <c r="FG488" s="122"/>
      <c r="FH488" s="122"/>
      <c r="FI488" s="122"/>
      <c r="FJ488" s="122"/>
      <c r="FK488" s="122"/>
      <c r="FL488" s="122"/>
      <c r="FM488" s="122"/>
      <c r="FN488" s="122"/>
      <c r="FO488" s="122"/>
      <c r="FP488" s="122"/>
      <c r="FQ488" s="122"/>
      <c r="FR488" s="122"/>
      <c r="FS488" s="122"/>
      <c r="FT488" s="122"/>
      <c r="FU488" s="122"/>
      <c r="FV488" s="122"/>
      <c r="FW488" s="122"/>
      <c r="FX488" s="122"/>
      <c r="FY488" s="122"/>
      <c r="FZ488" s="122"/>
      <c r="GA488" s="122"/>
      <c r="GB488" s="122"/>
      <c r="GC488" s="122"/>
      <c r="GD488" s="122"/>
      <c r="GE488" s="122"/>
      <c r="GF488" s="122"/>
      <c r="GG488" s="122"/>
      <c r="GH488" s="122"/>
      <c r="GI488" s="122"/>
      <c r="GJ488" s="122"/>
      <c r="GK488" s="122"/>
      <c r="GL488" s="122"/>
      <c r="GM488" s="122"/>
      <c r="GN488" s="122"/>
      <c r="GO488" s="122"/>
      <c r="GP488" s="122"/>
      <c r="GQ488" s="122"/>
      <c r="GR488" s="122"/>
      <c r="GS488" s="122"/>
      <c r="GT488" s="122"/>
      <c r="GU488" s="122"/>
      <c r="GV488" s="122"/>
      <c r="GW488" s="122"/>
      <c r="GX488" s="122"/>
      <c r="GY488" s="122"/>
      <c r="GZ488" s="122"/>
      <c r="HA488" s="122"/>
      <c r="HB488" s="122"/>
      <c r="HC488" s="122"/>
      <c r="HD488" s="122"/>
      <c r="HE488" s="122"/>
      <c r="HF488" s="122"/>
      <c r="HG488" s="122"/>
      <c r="HH488" s="122"/>
      <c r="HI488" s="122"/>
      <c r="HJ488" s="122"/>
      <c r="HK488" s="122"/>
      <c r="HL488" s="122"/>
      <c r="HM488" s="122"/>
      <c r="HN488" s="122"/>
      <c r="HO488" s="122"/>
      <c r="HP488" s="122"/>
      <c r="HQ488" s="122"/>
      <c r="HR488" s="122"/>
      <c r="HS488" s="122"/>
      <c r="HT488" s="122"/>
      <c r="HU488" s="122"/>
      <c r="HV488" s="122"/>
      <c r="HW488" s="122"/>
      <c r="HX488" s="122"/>
      <c r="HY488" s="122"/>
      <c r="HZ488" s="122"/>
      <c r="IA488" s="122"/>
      <c r="IB488" s="122"/>
      <c r="IC488" s="122"/>
      <c r="ID488" s="122"/>
      <c r="IE488" s="122"/>
      <c r="IF488" s="122"/>
      <c r="IG488" s="122"/>
      <c r="IH488" s="122"/>
      <c r="II488" s="122"/>
      <c r="IJ488" s="122"/>
      <c r="IK488" s="122"/>
      <c r="IL488" s="122"/>
      <c r="IM488" s="122"/>
      <c r="IN488" s="122"/>
      <c r="IO488" s="122"/>
      <c r="IP488" s="122"/>
      <c r="IQ488" s="122"/>
      <c r="IR488" s="122"/>
      <c r="IS488" s="122"/>
      <c r="IT488" s="122"/>
      <c r="IU488" s="122"/>
      <c r="IV488" s="122"/>
      <c r="IW488" s="122"/>
      <c r="IX488" s="122"/>
      <c r="IY488" s="122"/>
      <c r="IZ488" s="122"/>
      <c r="JA488" s="122"/>
      <c r="JB488" s="122"/>
      <c r="JC488" s="122"/>
      <c r="JD488" s="122"/>
      <c r="JE488" s="122"/>
      <c r="JF488" s="122"/>
      <c r="JG488" s="122"/>
      <c r="JH488" s="122"/>
      <c r="JI488" s="119">
        <f t="shared" si="3"/>
        <v>0</v>
      </c>
      <c r="JJ488" s="2"/>
      <c r="JK488" s="2"/>
    </row>
    <row r="489" spans="1:276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  <c r="AN489" s="122"/>
      <c r="AO489" s="122"/>
      <c r="AP489" s="122"/>
      <c r="AQ489" s="122"/>
      <c r="AR489" s="122"/>
      <c r="AS489" s="122"/>
      <c r="AT489" s="122"/>
      <c r="AU489" s="122"/>
      <c r="AV489" s="122"/>
      <c r="AW489" s="122"/>
      <c r="AX489" s="122"/>
      <c r="AY489" s="122"/>
      <c r="AZ489" s="122"/>
      <c r="BA489" s="122"/>
      <c r="BB489" s="122"/>
      <c r="BC489" s="122"/>
      <c r="BD489" s="122"/>
      <c r="BE489" s="122"/>
      <c r="BF489" s="122"/>
      <c r="BG489" s="122"/>
      <c r="BH489" s="122"/>
      <c r="BI489" s="122"/>
      <c r="BJ489" s="122"/>
      <c r="BK489" s="122"/>
      <c r="BL489" s="122"/>
      <c r="BM489" s="122"/>
      <c r="BN489" s="122"/>
      <c r="BO489" s="122"/>
      <c r="BP489" s="122"/>
      <c r="BQ489" s="122"/>
      <c r="BR489" s="122"/>
      <c r="BS489" s="122"/>
      <c r="BT489" s="122"/>
      <c r="BU489" s="122"/>
      <c r="BV489" s="122"/>
      <c r="BW489" s="122"/>
      <c r="BX489" s="122"/>
      <c r="BY489" s="122"/>
      <c r="BZ489" s="122"/>
      <c r="CA489" s="122"/>
      <c r="CB489" s="122"/>
      <c r="CC489" s="122"/>
      <c r="CD489" s="122"/>
      <c r="CE489" s="122"/>
      <c r="CF489" s="122"/>
      <c r="CG489" s="122"/>
      <c r="CH489" s="122"/>
      <c r="CI489" s="122"/>
      <c r="CJ489" s="122"/>
      <c r="CK489" s="122"/>
      <c r="CL489" s="122"/>
      <c r="CM489" s="122"/>
      <c r="CN489" s="122"/>
      <c r="CO489" s="122"/>
      <c r="CP489" s="122"/>
      <c r="CQ489" s="122"/>
      <c r="CR489" s="122"/>
      <c r="CS489" s="122"/>
      <c r="CT489" s="122"/>
      <c r="CU489" s="122"/>
      <c r="CV489" s="122"/>
      <c r="CW489" s="122"/>
      <c r="CX489" s="122"/>
      <c r="CY489" s="122"/>
      <c r="CZ489" s="122"/>
      <c r="DA489" s="122"/>
      <c r="DB489" s="122"/>
      <c r="DC489" s="122"/>
      <c r="DD489" s="122"/>
      <c r="DE489" s="122"/>
      <c r="DF489" s="122"/>
      <c r="DG489" s="122"/>
      <c r="DH489" s="122"/>
      <c r="DI489" s="122"/>
      <c r="DJ489" s="122"/>
      <c r="DK489" s="122"/>
      <c r="DL489" s="122"/>
      <c r="DM489" s="122"/>
      <c r="DN489" s="122"/>
      <c r="DO489" s="122"/>
      <c r="DP489" s="122"/>
      <c r="DQ489" s="122"/>
      <c r="DR489" s="122"/>
      <c r="DS489" s="122"/>
      <c r="DT489" s="122"/>
      <c r="DU489" s="122"/>
      <c r="DV489" s="122"/>
      <c r="DW489" s="122"/>
      <c r="DX489" s="122"/>
      <c r="DY489" s="122"/>
      <c r="DZ489" s="122"/>
      <c r="EA489" s="122"/>
      <c r="EB489" s="122"/>
      <c r="EC489" s="122"/>
      <c r="ED489" s="122"/>
      <c r="EE489" s="122"/>
      <c r="EF489" s="122"/>
      <c r="EG489" s="122"/>
      <c r="EH489" s="122"/>
      <c r="EI489" s="122"/>
      <c r="EJ489" s="122"/>
      <c r="EK489" s="122"/>
      <c r="EL489" s="122"/>
      <c r="EM489" s="122"/>
      <c r="EN489" s="122"/>
      <c r="EO489" s="122"/>
      <c r="EP489" s="122"/>
      <c r="EQ489" s="122"/>
      <c r="ER489" s="122"/>
      <c r="ES489" s="122"/>
      <c r="ET489" s="122"/>
      <c r="EU489" s="122"/>
      <c r="EV489" s="122"/>
      <c r="EW489" s="122"/>
      <c r="EX489" s="122"/>
      <c r="EY489" s="122"/>
      <c r="EZ489" s="122"/>
      <c r="FA489" s="122"/>
      <c r="FB489" s="122"/>
      <c r="FC489" s="122"/>
      <c r="FD489" s="122"/>
      <c r="FE489" s="122"/>
      <c r="FF489" s="122"/>
      <c r="FG489" s="122"/>
      <c r="FH489" s="122"/>
      <c r="FI489" s="122"/>
      <c r="FJ489" s="122"/>
      <c r="FK489" s="122"/>
      <c r="FL489" s="122"/>
      <c r="FM489" s="122"/>
      <c r="FN489" s="122"/>
      <c r="FO489" s="122"/>
      <c r="FP489" s="122"/>
      <c r="FQ489" s="122"/>
      <c r="FR489" s="122"/>
      <c r="FS489" s="122"/>
      <c r="FT489" s="122"/>
      <c r="FU489" s="122"/>
      <c r="FV489" s="122"/>
      <c r="FW489" s="122"/>
      <c r="FX489" s="122"/>
      <c r="FY489" s="122"/>
      <c r="FZ489" s="122"/>
      <c r="GA489" s="122"/>
      <c r="GB489" s="122"/>
      <c r="GC489" s="122"/>
      <c r="GD489" s="122"/>
      <c r="GE489" s="122"/>
      <c r="GF489" s="122"/>
      <c r="GG489" s="122"/>
      <c r="GH489" s="122"/>
      <c r="GI489" s="122"/>
      <c r="GJ489" s="122"/>
      <c r="GK489" s="122"/>
      <c r="GL489" s="122"/>
      <c r="GM489" s="122"/>
      <c r="GN489" s="122"/>
      <c r="GO489" s="122"/>
      <c r="GP489" s="122"/>
      <c r="GQ489" s="122"/>
      <c r="GR489" s="122"/>
      <c r="GS489" s="122"/>
      <c r="GT489" s="122"/>
      <c r="GU489" s="122"/>
      <c r="GV489" s="122"/>
      <c r="GW489" s="122"/>
      <c r="GX489" s="122"/>
      <c r="GY489" s="122"/>
      <c r="GZ489" s="122"/>
      <c r="HA489" s="122"/>
      <c r="HB489" s="122"/>
      <c r="HC489" s="122"/>
      <c r="HD489" s="122"/>
      <c r="HE489" s="122"/>
      <c r="HF489" s="122"/>
      <c r="HG489" s="122"/>
      <c r="HH489" s="122"/>
      <c r="HI489" s="122"/>
      <c r="HJ489" s="122"/>
      <c r="HK489" s="122"/>
      <c r="HL489" s="122"/>
      <c r="HM489" s="122"/>
      <c r="HN489" s="122"/>
      <c r="HO489" s="122"/>
      <c r="HP489" s="122"/>
      <c r="HQ489" s="122"/>
      <c r="HR489" s="122"/>
      <c r="HS489" s="122"/>
      <c r="HT489" s="122"/>
      <c r="HU489" s="122"/>
      <c r="HV489" s="122"/>
      <c r="HW489" s="122"/>
      <c r="HX489" s="122"/>
      <c r="HY489" s="122"/>
      <c r="HZ489" s="122"/>
      <c r="IA489" s="122"/>
      <c r="IB489" s="122"/>
      <c r="IC489" s="122"/>
      <c r="ID489" s="122"/>
      <c r="IE489" s="122"/>
      <c r="IF489" s="122"/>
      <c r="IG489" s="122"/>
      <c r="IH489" s="122"/>
      <c r="II489" s="122"/>
      <c r="IJ489" s="122"/>
      <c r="IK489" s="122"/>
      <c r="IL489" s="122"/>
      <c r="IM489" s="122"/>
      <c r="IN489" s="122"/>
      <c r="IO489" s="122"/>
      <c r="IP489" s="122"/>
      <c r="IQ489" s="122"/>
      <c r="IR489" s="122"/>
      <c r="IS489" s="122"/>
      <c r="IT489" s="122"/>
      <c r="IU489" s="122"/>
      <c r="IV489" s="122"/>
      <c r="IW489" s="122"/>
      <c r="IX489" s="122"/>
      <c r="IY489" s="122"/>
      <c r="IZ489" s="122"/>
      <c r="JA489" s="122"/>
      <c r="JB489" s="122"/>
      <c r="JC489" s="122"/>
      <c r="JD489" s="122"/>
      <c r="JE489" s="122"/>
      <c r="JF489" s="122"/>
      <c r="JG489" s="122"/>
      <c r="JH489" s="122"/>
      <c r="JI489" s="119">
        <f t="shared" si="3"/>
        <v>0</v>
      </c>
      <c r="JJ489" s="2"/>
      <c r="JK489" s="2"/>
    </row>
    <row r="490" spans="1:276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  <c r="AI490" s="122"/>
      <c r="AJ490" s="122"/>
      <c r="AK490" s="122"/>
      <c r="AL490" s="122"/>
      <c r="AM490" s="122"/>
      <c r="AN490" s="122"/>
      <c r="AO490" s="122"/>
      <c r="AP490" s="122"/>
      <c r="AQ490" s="122"/>
      <c r="AR490" s="122"/>
      <c r="AS490" s="122"/>
      <c r="AT490" s="122"/>
      <c r="AU490" s="122"/>
      <c r="AV490" s="122"/>
      <c r="AW490" s="122"/>
      <c r="AX490" s="122"/>
      <c r="AY490" s="122"/>
      <c r="AZ490" s="122"/>
      <c r="BA490" s="122"/>
      <c r="BB490" s="122"/>
      <c r="BC490" s="122"/>
      <c r="BD490" s="122"/>
      <c r="BE490" s="122"/>
      <c r="BF490" s="122"/>
      <c r="BG490" s="122"/>
      <c r="BH490" s="122"/>
      <c r="BI490" s="122"/>
      <c r="BJ490" s="122"/>
      <c r="BK490" s="122"/>
      <c r="BL490" s="122"/>
      <c r="BM490" s="122"/>
      <c r="BN490" s="122"/>
      <c r="BO490" s="122"/>
      <c r="BP490" s="122"/>
      <c r="BQ490" s="122"/>
      <c r="BR490" s="122"/>
      <c r="BS490" s="122"/>
      <c r="BT490" s="122"/>
      <c r="BU490" s="122"/>
      <c r="BV490" s="122"/>
      <c r="BW490" s="122"/>
      <c r="BX490" s="122"/>
      <c r="BY490" s="122"/>
      <c r="BZ490" s="122"/>
      <c r="CA490" s="122"/>
      <c r="CB490" s="122"/>
      <c r="CC490" s="122"/>
      <c r="CD490" s="122"/>
      <c r="CE490" s="122"/>
      <c r="CF490" s="122"/>
      <c r="CG490" s="122"/>
      <c r="CH490" s="122"/>
      <c r="CI490" s="122"/>
      <c r="CJ490" s="122"/>
      <c r="CK490" s="122"/>
      <c r="CL490" s="122"/>
      <c r="CM490" s="122"/>
      <c r="CN490" s="122"/>
      <c r="CO490" s="122"/>
      <c r="CP490" s="122"/>
      <c r="CQ490" s="122"/>
      <c r="CR490" s="122"/>
      <c r="CS490" s="122"/>
      <c r="CT490" s="122"/>
      <c r="CU490" s="122"/>
      <c r="CV490" s="122"/>
      <c r="CW490" s="122"/>
      <c r="CX490" s="122"/>
      <c r="CY490" s="122"/>
      <c r="CZ490" s="122"/>
      <c r="DA490" s="122"/>
      <c r="DB490" s="122"/>
      <c r="DC490" s="122"/>
      <c r="DD490" s="122"/>
      <c r="DE490" s="122"/>
      <c r="DF490" s="122"/>
      <c r="DG490" s="122"/>
      <c r="DH490" s="122"/>
      <c r="DI490" s="122"/>
      <c r="DJ490" s="122"/>
      <c r="DK490" s="122"/>
      <c r="DL490" s="122"/>
      <c r="DM490" s="122"/>
      <c r="DN490" s="122"/>
      <c r="DO490" s="122"/>
      <c r="DP490" s="122"/>
      <c r="DQ490" s="122"/>
      <c r="DR490" s="122"/>
      <c r="DS490" s="122"/>
      <c r="DT490" s="122"/>
      <c r="DU490" s="122"/>
      <c r="DV490" s="122"/>
      <c r="DW490" s="122"/>
      <c r="DX490" s="122"/>
      <c r="DY490" s="122"/>
      <c r="DZ490" s="122"/>
      <c r="EA490" s="122"/>
      <c r="EB490" s="122"/>
      <c r="EC490" s="122"/>
      <c r="ED490" s="122"/>
      <c r="EE490" s="122"/>
      <c r="EF490" s="122"/>
      <c r="EG490" s="122"/>
      <c r="EH490" s="122"/>
      <c r="EI490" s="122"/>
      <c r="EJ490" s="122"/>
      <c r="EK490" s="122"/>
      <c r="EL490" s="122"/>
      <c r="EM490" s="122"/>
      <c r="EN490" s="122"/>
      <c r="EO490" s="122"/>
      <c r="EP490" s="122"/>
      <c r="EQ490" s="122"/>
      <c r="ER490" s="122"/>
      <c r="ES490" s="122"/>
      <c r="ET490" s="122"/>
      <c r="EU490" s="122"/>
      <c r="EV490" s="122"/>
      <c r="EW490" s="122"/>
      <c r="EX490" s="122"/>
      <c r="EY490" s="122"/>
      <c r="EZ490" s="122"/>
      <c r="FA490" s="122"/>
      <c r="FB490" s="122"/>
      <c r="FC490" s="122"/>
      <c r="FD490" s="122"/>
      <c r="FE490" s="122"/>
      <c r="FF490" s="122"/>
      <c r="FG490" s="122"/>
      <c r="FH490" s="122"/>
      <c r="FI490" s="122"/>
      <c r="FJ490" s="122"/>
      <c r="FK490" s="122"/>
      <c r="FL490" s="122"/>
      <c r="FM490" s="122"/>
      <c r="FN490" s="122"/>
      <c r="FO490" s="122"/>
      <c r="FP490" s="122"/>
      <c r="FQ490" s="122"/>
      <c r="FR490" s="122"/>
      <c r="FS490" s="122"/>
      <c r="FT490" s="122"/>
      <c r="FU490" s="122"/>
      <c r="FV490" s="122"/>
      <c r="FW490" s="122"/>
      <c r="FX490" s="122"/>
      <c r="FY490" s="122"/>
      <c r="FZ490" s="122"/>
      <c r="GA490" s="122"/>
      <c r="GB490" s="122"/>
      <c r="GC490" s="122"/>
      <c r="GD490" s="122"/>
      <c r="GE490" s="122"/>
      <c r="GF490" s="122"/>
      <c r="GG490" s="122"/>
      <c r="GH490" s="122"/>
      <c r="GI490" s="122"/>
      <c r="GJ490" s="122"/>
      <c r="GK490" s="122"/>
      <c r="GL490" s="122"/>
      <c r="GM490" s="122"/>
      <c r="GN490" s="122"/>
      <c r="GO490" s="122"/>
      <c r="GP490" s="122"/>
      <c r="GQ490" s="122"/>
      <c r="GR490" s="122"/>
      <c r="GS490" s="122"/>
      <c r="GT490" s="122"/>
      <c r="GU490" s="122"/>
      <c r="GV490" s="122"/>
      <c r="GW490" s="122"/>
      <c r="GX490" s="122"/>
      <c r="GY490" s="122"/>
      <c r="GZ490" s="122"/>
      <c r="HA490" s="122"/>
      <c r="HB490" s="122"/>
      <c r="HC490" s="122"/>
      <c r="HD490" s="122"/>
      <c r="HE490" s="122"/>
      <c r="HF490" s="122"/>
      <c r="HG490" s="122"/>
      <c r="HH490" s="122"/>
      <c r="HI490" s="122"/>
      <c r="HJ490" s="122"/>
      <c r="HK490" s="122"/>
      <c r="HL490" s="122"/>
      <c r="HM490" s="122"/>
      <c r="HN490" s="122"/>
      <c r="HO490" s="122"/>
      <c r="HP490" s="122"/>
      <c r="HQ490" s="122"/>
      <c r="HR490" s="122"/>
      <c r="HS490" s="122"/>
      <c r="HT490" s="122"/>
      <c r="HU490" s="122"/>
      <c r="HV490" s="122"/>
      <c r="HW490" s="122"/>
      <c r="HX490" s="122"/>
      <c r="HY490" s="122"/>
      <c r="HZ490" s="122"/>
      <c r="IA490" s="122"/>
      <c r="IB490" s="122"/>
      <c r="IC490" s="122"/>
      <c r="ID490" s="122"/>
      <c r="IE490" s="122"/>
      <c r="IF490" s="122"/>
      <c r="IG490" s="122"/>
      <c r="IH490" s="122"/>
      <c r="II490" s="122"/>
      <c r="IJ490" s="122"/>
      <c r="IK490" s="122"/>
      <c r="IL490" s="122"/>
      <c r="IM490" s="122"/>
      <c r="IN490" s="122"/>
      <c r="IO490" s="122"/>
      <c r="IP490" s="122"/>
      <c r="IQ490" s="122"/>
      <c r="IR490" s="122"/>
      <c r="IS490" s="122"/>
      <c r="IT490" s="122"/>
      <c r="IU490" s="122"/>
      <c r="IV490" s="122"/>
      <c r="IW490" s="122"/>
      <c r="IX490" s="122"/>
      <c r="IY490" s="122"/>
      <c r="IZ490" s="122"/>
      <c r="JA490" s="122"/>
      <c r="JB490" s="122"/>
      <c r="JC490" s="122"/>
      <c r="JD490" s="122"/>
      <c r="JE490" s="122"/>
      <c r="JF490" s="122"/>
      <c r="JG490" s="122"/>
      <c r="JH490" s="122"/>
      <c r="JI490" s="119">
        <f t="shared" si="3"/>
        <v>0</v>
      </c>
      <c r="JJ490" s="2"/>
      <c r="JK490" s="2"/>
    </row>
    <row r="491" spans="1:276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  <c r="AK491" s="122"/>
      <c r="AL491" s="122"/>
      <c r="AM491" s="122"/>
      <c r="AN491" s="122"/>
      <c r="AO491" s="122"/>
      <c r="AP491" s="122"/>
      <c r="AQ491" s="122"/>
      <c r="AR491" s="122"/>
      <c r="AS491" s="122"/>
      <c r="AT491" s="122"/>
      <c r="AU491" s="122"/>
      <c r="AV491" s="122"/>
      <c r="AW491" s="122"/>
      <c r="AX491" s="122"/>
      <c r="AY491" s="122"/>
      <c r="AZ491" s="122"/>
      <c r="BA491" s="122"/>
      <c r="BB491" s="122"/>
      <c r="BC491" s="122"/>
      <c r="BD491" s="122"/>
      <c r="BE491" s="122"/>
      <c r="BF491" s="122"/>
      <c r="BG491" s="122"/>
      <c r="BH491" s="122"/>
      <c r="BI491" s="122"/>
      <c r="BJ491" s="122"/>
      <c r="BK491" s="122"/>
      <c r="BL491" s="122"/>
      <c r="BM491" s="122"/>
      <c r="BN491" s="122"/>
      <c r="BO491" s="122"/>
      <c r="BP491" s="122"/>
      <c r="BQ491" s="122"/>
      <c r="BR491" s="122"/>
      <c r="BS491" s="122"/>
      <c r="BT491" s="122"/>
      <c r="BU491" s="122"/>
      <c r="BV491" s="122"/>
      <c r="BW491" s="122"/>
      <c r="BX491" s="122"/>
      <c r="BY491" s="122"/>
      <c r="BZ491" s="122"/>
      <c r="CA491" s="122"/>
      <c r="CB491" s="122"/>
      <c r="CC491" s="122"/>
      <c r="CD491" s="122"/>
      <c r="CE491" s="122"/>
      <c r="CF491" s="122"/>
      <c r="CG491" s="122"/>
      <c r="CH491" s="122"/>
      <c r="CI491" s="122"/>
      <c r="CJ491" s="122"/>
      <c r="CK491" s="122"/>
      <c r="CL491" s="122"/>
      <c r="CM491" s="122"/>
      <c r="CN491" s="122"/>
      <c r="CO491" s="122"/>
      <c r="CP491" s="122"/>
      <c r="CQ491" s="122"/>
      <c r="CR491" s="122"/>
      <c r="CS491" s="122"/>
      <c r="CT491" s="122"/>
      <c r="CU491" s="122"/>
      <c r="CV491" s="122"/>
      <c r="CW491" s="122"/>
      <c r="CX491" s="122"/>
      <c r="CY491" s="122"/>
      <c r="CZ491" s="122"/>
      <c r="DA491" s="122"/>
      <c r="DB491" s="122"/>
      <c r="DC491" s="122"/>
      <c r="DD491" s="122"/>
      <c r="DE491" s="122"/>
      <c r="DF491" s="122"/>
      <c r="DG491" s="122"/>
      <c r="DH491" s="122"/>
      <c r="DI491" s="122"/>
      <c r="DJ491" s="122"/>
      <c r="DK491" s="122"/>
      <c r="DL491" s="122"/>
      <c r="DM491" s="122"/>
      <c r="DN491" s="122"/>
      <c r="DO491" s="122"/>
      <c r="DP491" s="122"/>
      <c r="DQ491" s="122"/>
      <c r="DR491" s="122"/>
      <c r="DS491" s="122"/>
      <c r="DT491" s="122"/>
      <c r="DU491" s="122"/>
      <c r="DV491" s="122"/>
      <c r="DW491" s="122"/>
      <c r="DX491" s="122"/>
      <c r="DY491" s="122"/>
      <c r="DZ491" s="122"/>
      <c r="EA491" s="122"/>
      <c r="EB491" s="122"/>
      <c r="EC491" s="122"/>
      <c r="ED491" s="122"/>
      <c r="EE491" s="122"/>
      <c r="EF491" s="122"/>
      <c r="EG491" s="122"/>
      <c r="EH491" s="122"/>
      <c r="EI491" s="122"/>
      <c r="EJ491" s="122"/>
      <c r="EK491" s="122"/>
      <c r="EL491" s="122"/>
      <c r="EM491" s="122"/>
      <c r="EN491" s="122"/>
      <c r="EO491" s="122"/>
      <c r="EP491" s="122"/>
      <c r="EQ491" s="122"/>
      <c r="ER491" s="122"/>
      <c r="ES491" s="122"/>
      <c r="ET491" s="122"/>
      <c r="EU491" s="122"/>
      <c r="EV491" s="122"/>
      <c r="EW491" s="122"/>
      <c r="EX491" s="122"/>
      <c r="EY491" s="122"/>
      <c r="EZ491" s="122"/>
      <c r="FA491" s="122"/>
      <c r="FB491" s="122"/>
      <c r="FC491" s="122"/>
      <c r="FD491" s="122"/>
      <c r="FE491" s="122"/>
      <c r="FF491" s="122"/>
      <c r="FG491" s="122"/>
      <c r="FH491" s="122"/>
      <c r="FI491" s="122"/>
      <c r="FJ491" s="122"/>
      <c r="FK491" s="122"/>
      <c r="FL491" s="122"/>
      <c r="FM491" s="122"/>
      <c r="FN491" s="122"/>
      <c r="FO491" s="122"/>
      <c r="FP491" s="122"/>
      <c r="FQ491" s="122"/>
      <c r="FR491" s="122"/>
      <c r="FS491" s="122"/>
      <c r="FT491" s="122"/>
      <c r="FU491" s="122"/>
      <c r="FV491" s="122"/>
      <c r="FW491" s="122"/>
      <c r="FX491" s="122"/>
      <c r="FY491" s="122"/>
      <c r="FZ491" s="122"/>
      <c r="GA491" s="122"/>
      <c r="GB491" s="122"/>
      <c r="GC491" s="122"/>
      <c r="GD491" s="122"/>
      <c r="GE491" s="122"/>
      <c r="GF491" s="122"/>
      <c r="GG491" s="122"/>
      <c r="GH491" s="122"/>
      <c r="GI491" s="122"/>
      <c r="GJ491" s="122"/>
      <c r="GK491" s="122"/>
      <c r="GL491" s="122"/>
      <c r="GM491" s="122"/>
      <c r="GN491" s="122"/>
      <c r="GO491" s="122"/>
      <c r="GP491" s="122"/>
      <c r="GQ491" s="122"/>
      <c r="GR491" s="122"/>
      <c r="GS491" s="122"/>
      <c r="GT491" s="122"/>
      <c r="GU491" s="122"/>
      <c r="GV491" s="122"/>
      <c r="GW491" s="122"/>
      <c r="GX491" s="122"/>
      <c r="GY491" s="122"/>
      <c r="GZ491" s="122"/>
      <c r="HA491" s="122"/>
      <c r="HB491" s="122"/>
      <c r="HC491" s="122"/>
      <c r="HD491" s="122"/>
      <c r="HE491" s="122"/>
      <c r="HF491" s="122"/>
      <c r="HG491" s="122"/>
      <c r="HH491" s="122"/>
      <c r="HI491" s="122"/>
      <c r="HJ491" s="122"/>
      <c r="HK491" s="122"/>
      <c r="HL491" s="122"/>
      <c r="HM491" s="122"/>
      <c r="HN491" s="122"/>
      <c r="HO491" s="122"/>
      <c r="HP491" s="122"/>
      <c r="HQ491" s="122"/>
      <c r="HR491" s="122"/>
      <c r="HS491" s="122"/>
      <c r="HT491" s="122"/>
      <c r="HU491" s="122"/>
      <c r="HV491" s="122"/>
      <c r="HW491" s="122"/>
      <c r="HX491" s="122"/>
      <c r="HY491" s="122"/>
      <c r="HZ491" s="122"/>
      <c r="IA491" s="122"/>
      <c r="IB491" s="122"/>
      <c r="IC491" s="122"/>
      <c r="ID491" s="122"/>
      <c r="IE491" s="122"/>
      <c r="IF491" s="122"/>
      <c r="IG491" s="122"/>
      <c r="IH491" s="122"/>
      <c r="II491" s="122"/>
      <c r="IJ491" s="122"/>
      <c r="IK491" s="122"/>
      <c r="IL491" s="122"/>
      <c r="IM491" s="122"/>
      <c r="IN491" s="122"/>
      <c r="IO491" s="122"/>
      <c r="IP491" s="122"/>
      <c r="IQ491" s="122"/>
      <c r="IR491" s="122"/>
      <c r="IS491" s="122"/>
      <c r="IT491" s="122"/>
      <c r="IU491" s="122"/>
      <c r="IV491" s="122"/>
      <c r="IW491" s="122"/>
      <c r="IX491" s="122"/>
      <c r="IY491" s="122"/>
      <c r="IZ491" s="122"/>
      <c r="JA491" s="122"/>
      <c r="JB491" s="122"/>
      <c r="JC491" s="122"/>
      <c r="JD491" s="122"/>
      <c r="JE491" s="122"/>
      <c r="JF491" s="122"/>
      <c r="JG491" s="122"/>
      <c r="JH491" s="122"/>
      <c r="JI491" s="119">
        <f t="shared" si="3"/>
        <v>0</v>
      </c>
      <c r="JJ491" s="2"/>
      <c r="JK491" s="2"/>
    </row>
    <row r="492" spans="1:276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  <c r="AI492" s="122"/>
      <c r="AJ492" s="122"/>
      <c r="AK492" s="122"/>
      <c r="AL492" s="122"/>
      <c r="AM492" s="122"/>
      <c r="AN492" s="122"/>
      <c r="AO492" s="122"/>
      <c r="AP492" s="122"/>
      <c r="AQ492" s="122"/>
      <c r="AR492" s="122"/>
      <c r="AS492" s="122"/>
      <c r="AT492" s="122"/>
      <c r="AU492" s="122"/>
      <c r="AV492" s="122"/>
      <c r="AW492" s="122"/>
      <c r="AX492" s="122"/>
      <c r="AY492" s="122"/>
      <c r="AZ492" s="122"/>
      <c r="BA492" s="122"/>
      <c r="BB492" s="122"/>
      <c r="BC492" s="122"/>
      <c r="BD492" s="122"/>
      <c r="BE492" s="122"/>
      <c r="BF492" s="122"/>
      <c r="BG492" s="122"/>
      <c r="BH492" s="122"/>
      <c r="BI492" s="122"/>
      <c r="BJ492" s="122"/>
      <c r="BK492" s="122"/>
      <c r="BL492" s="122"/>
      <c r="BM492" s="122"/>
      <c r="BN492" s="122"/>
      <c r="BO492" s="122"/>
      <c r="BP492" s="122"/>
      <c r="BQ492" s="122"/>
      <c r="BR492" s="122"/>
      <c r="BS492" s="122"/>
      <c r="BT492" s="122"/>
      <c r="BU492" s="122"/>
      <c r="BV492" s="122"/>
      <c r="BW492" s="122"/>
      <c r="BX492" s="122"/>
      <c r="BY492" s="122"/>
      <c r="BZ492" s="122"/>
      <c r="CA492" s="122"/>
      <c r="CB492" s="122"/>
      <c r="CC492" s="122"/>
      <c r="CD492" s="122"/>
      <c r="CE492" s="122"/>
      <c r="CF492" s="122"/>
      <c r="CG492" s="122"/>
      <c r="CH492" s="122"/>
      <c r="CI492" s="122"/>
      <c r="CJ492" s="122"/>
      <c r="CK492" s="122"/>
      <c r="CL492" s="122"/>
      <c r="CM492" s="122"/>
      <c r="CN492" s="122"/>
      <c r="CO492" s="122"/>
      <c r="CP492" s="122"/>
      <c r="CQ492" s="122"/>
      <c r="CR492" s="122"/>
      <c r="CS492" s="122"/>
      <c r="CT492" s="122"/>
      <c r="CU492" s="122"/>
      <c r="CV492" s="122"/>
      <c r="CW492" s="122"/>
      <c r="CX492" s="122"/>
      <c r="CY492" s="122"/>
      <c r="CZ492" s="122"/>
      <c r="DA492" s="122"/>
      <c r="DB492" s="122"/>
      <c r="DC492" s="122"/>
      <c r="DD492" s="122"/>
      <c r="DE492" s="122"/>
      <c r="DF492" s="122"/>
      <c r="DG492" s="122"/>
      <c r="DH492" s="122"/>
      <c r="DI492" s="122"/>
      <c r="DJ492" s="122"/>
      <c r="DK492" s="122"/>
      <c r="DL492" s="122"/>
      <c r="DM492" s="122"/>
      <c r="DN492" s="122"/>
      <c r="DO492" s="122"/>
      <c r="DP492" s="122"/>
      <c r="DQ492" s="122"/>
      <c r="DR492" s="122"/>
      <c r="DS492" s="122"/>
      <c r="DT492" s="122"/>
      <c r="DU492" s="122"/>
      <c r="DV492" s="122"/>
      <c r="DW492" s="122"/>
      <c r="DX492" s="122"/>
      <c r="DY492" s="122"/>
      <c r="DZ492" s="122"/>
      <c r="EA492" s="122"/>
      <c r="EB492" s="122"/>
      <c r="EC492" s="122"/>
      <c r="ED492" s="122"/>
      <c r="EE492" s="122"/>
      <c r="EF492" s="122"/>
      <c r="EG492" s="122"/>
      <c r="EH492" s="122"/>
      <c r="EI492" s="122"/>
      <c r="EJ492" s="122"/>
      <c r="EK492" s="122"/>
      <c r="EL492" s="122"/>
      <c r="EM492" s="122"/>
      <c r="EN492" s="122"/>
      <c r="EO492" s="122"/>
      <c r="EP492" s="122"/>
      <c r="EQ492" s="122"/>
      <c r="ER492" s="122"/>
      <c r="ES492" s="122"/>
      <c r="ET492" s="122"/>
      <c r="EU492" s="122"/>
      <c r="EV492" s="122"/>
      <c r="EW492" s="122"/>
      <c r="EX492" s="122"/>
      <c r="EY492" s="122"/>
      <c r="EZ492" s="122"/>
      <c r="FA492" s="122"/>
      <c r="FB492" s="122"/>
      <c r="FC492" s="122"/>
      <c r="FD492" s="122"/>
      <c r="FE492" s="122"/>
      <c r="FF492" s="122"/>
      <c r="FG492" s="122"/>
      <c r="FH492" s="122"/>
      <c r="FI492" s="122"/>
      <c r="FJ492" s="122"/>
      <c r="FK492" s="122"/>
      <c r="FL492" s="122"/>
      <c r="FM492" s="122"/>
      <c r="FN492" s="122"/>
      <c r="FO492" s="122"/>
      <c r="FP492" s="122"/>
      <c r="FQ492" s="122"/>
      <c r="FR492" s="122"/>
      <c r="FS492" s="122"/>
      <c r="FT492" s="122"/>
      <c r="FU492" s="122"/>
      <c r="FV492" s="122"/>
      <c r="FW492" s="122"/>
      <c r="FX492" s="122"/>
      <c r="FY492" s="122"/>
      <c r="FZ492" s="122"/>
      <c r="GA492" s="122"/>
      <c r="GB492" s="122"/>
      <c r="GC492" s="122"/>
      <c r="GD492" s="122"/>
      <c r="GE492" s="122"/>
      <c r="GF492" s="122"/>
      <c r="GG492" s="122"/>
      <c r="GH492" s="122"/>
      <c r="GI492" s="122"/>
      <c r="GJ492" s="122"/>
      <c r="GK492" s="122"/>
      <c r="GL492" s="122"/>
      <c r="GM492" s="122"/>
      <c r="GN492" s="122"/>
      <c r="GO492" s="122"/>
      <c r="GP492" s="122"/>
      <c r="GQ492" s="122"/>
      <c r="GR492" s="122"/>
      <c r="GS492" s="122"/>
      <c r="GT492" s="122"/>
      <c r="GU492" s="122"/>
      <c r="GV492" s="122"/>
      <c r="GW492" s="122"/>
      <c r="GX492" s="122"/>
      <c r="GY492" s="122"/>
      <c r="GZ492" s="122"/>
      <c r="HA492" s="122"/>
      <c r="HB492" s="122"/>
      <c r="HC492" s="122"/>
      <c r="HD492" s="122"/>
      <c r="HE492" s="122"/>
      <c r="HF492" s="122"/>
      <c r="HG492" s="122"/>
      <c r="HH492" s="122"/>
      <c r="HI492" s="122"/>
      <c r="HJ492" s="122"/>
      <c r="HK492" s="122"/>
      <c r="HL492" s="122"/>
      <c r="HM492" s="122"/>
      <c r="HN492" s="122"/>
      <c r="HO492" s="122"/>
      <c r="HP492" s="122"/>
      <c r="HQ492" s="122"/>
      <c r="HR492" s="122"/>
      <c r="HS492" s="122"/>
      <c r="HT492" s="122"/>
      <c r="HU492" s="122"/>
      <c r="HV492" s="122"/>
      <c r="HW492" s="122"/>
      <c r="HX492" s="122"/>
      <c r="HY492" s="122"/>
      <c r="HZ492" s="122"/>
      <c r="IA492" s="122"/>
      <c r="IB492" s="122"/>
      <c r="IC492" s="122"/>
      <c r="ID492" s="122"/>
      <c r="IE492" s="122"/>
      <c r="IF492" s="122"/>
      <c r="IG492" s="122"/>
      <c r="IH492" s="122"/>
      <c r="II492" s="122"/>
      <c r="IJ492" s="122"/>
      <c r="IK492" s="122"/>
      <c r="IL492" s="122"/>
      <c r="IM492" s="122"/>
      <c r="IN492" s="122"/>
      <c r="IO492" s="122"/>
      <c r="IP492" s="122"/>
      <c r="IQ492" s="122"/>
      <c r="IR492" s="122"/>
      <c r="IS492" s="122"/>
      <c r="IT492" s="122"/>
      <c r="IU492" s="122"/>
      <c r="IV492" s="122"/>
      <c r="IW492" s="122"/>
      <c r="IX492" s="122"/>
      <c r="IY492" s="122"/>
      <c r="IZ492" s="122"/>
      <c r="JA492" s="122"/>
      <c r="JB492" s="122"/>
      <c r="JC492" s="122"/>
      <c r="JD492" s="122"/>
      <c r="JE492" s="122"/>
      <c r="JF492" s="122"/>
      <c r="JG492" s="122"/>
      <c r="JH492" s="122"/>
      <c r="JI492" s="119">
        <f t="shared" si="3"/>
        <v>0</v>
      </c>
      <c r="JJ492" s="2"/>
      <c r="JK492" s="2"/>
    </row>
    <row r="493" spans="1:276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  <c r="AK493" s="122"/>
      <c r="AL493" s="122"/>
      <c r="AM493" s="122"/>
      <c r="AN493" s="122"/>
      <c r="AO493" s="122"/>
      <c r="AP493" s="122"/>
      <c r="AQ493" s="122"/>
      <c r="AR493" s="122"/>
      <c r="AS493" s="122"/>
      <c r="AT493" s="122"/>
      <c r="AU493" s="122"/>
      <c r="AV493" s="122"/>
      <c r="AW493" s="122"/>
      <c r="AX493" s="122"/>
      <c r="AY493" s="122"/>
      <c r="AZ493" s="122"/>
      <c r="BA493" s="122"/>
      <c r="BB493" s="122"/>
      <c r="BC493" s="122"/>
      <c r="BD493" s="122"/>
      <c r="BE493" s="122"/>
      <c r="BF493" s="122"/>
      <c r="BG493" s="122"/>
      <c r="BH493" s="122"/>
      <c r="BI493" s="122"/>
      <c r="BJ493" s="122"/>
      <c r="BK493" s="122"/>
      <c r="BL493" s="122"/>
      <c r="BM493" s="122"/>
      <c r="BN493" s="122"/>
      <c r="BO493" s="122"/>
      <c r="BP493" s="122"/>
      <c r="BQ493" s="122"/>
      <c r="BR493" s="122"/>
      <c r="BS493" s="122"/>
      <c r="BT493" s="122"/>
      <c r="BU493" s="122"/>
      <c r="BV493" s="122"/>
      <c r="BW493" s="122"/>
      <c r="BX493" s="122"/>
      <c r="BY493" s="122"/>
      <c r="BZ493" s="122"/>
      <c r="CA493" s="122"/>
      <c r="CB493" s="122"/>
      <c r="CC493" s="122"/>
      <c r="CD493" s="122"/>
      <c r="CE493" s="122"/>
      <c r="CF493" s="122"/>
      <c r="CG493" s="122"/>
      <c r="CH493" s="122"/>
      <c r="CI493" s="122"/>
      <c r="CJ493" s="122"/>
      <c r="CK493" s="122"/>
      <c r="CL493" s="122"/>
      <c r="CM493" s="122"/>
      <c r="CN493" s="122"/>
      <c r="CO493" s="122"/>
      <c r="CP493" s="122"/>
      <c r="CQ493" s="122"/>
      <c r="CR493" s="122"/>
      <c r="CS493" s="122"/>
      <c r="CT493" s="122"/>
      <c r="CU493" s="122"/>
      <c r="CV493" s="122"/>
      <c r="CW493" s="122"/>
      <c r="CX493" s="122"/>
      <c r="CY493" s="122"/>
      <c r="CZ493" s="122"/>
      <c r="DA493" s="122"/>
      <c r="DB493" s="122"/>
      <c r="DC493" s="122"/>
      <c r="DD493" s="122"/>
      <c r="DE493" s="122"/>
      <c r="DF493" s="122"/>
      <c r="DG493" s="122"/>
      <c r="DH493" s="122"/>
      <c r="DI493" s="122"/>
      <c r="DJ493" s="122"/>
      <c r="DK493" s="122"/>
      <c r="DL493" s="122"/>
      <c r="DM493" s="122"/>
      <c r="DN493" s="122"/>
      <c r="DO493" s="122"/>
      <c r="DP493" s="122"/>
      <c r="DQ493" s="122"/>
      <c r="DR493" s="122"/>
      <c r="DS493" s="122"/>
      <c r="DT493" s="122"/>
      <c r="DU493" s="122"/>
      <c r="DV493" s="122"/>
      <c r="DW493" s="122"/>
      <c r="DX493" s="122"/>
      <c r="DY493" s="122"/>
      <c r="DZ493" s="122"/>
      <c r="EA493" s="122"/>
      <c r="EB493" s="122"/>
      <c r="EC493" s="122"/>
      <c r="ED493" s="122"/>
      <c r="EE493" s="122"/>
      <c r="EF493" s="122"/>
      <c r="EG493" s="122"/>
      <c r="EH493" s="122"/>
      <c r="EI493" s="122"/>
      <c r="EJ493" s="122"/>
      <c r="EK493" s="122"/>
      <c r="EL493" s="122"/>
      <c r="EM493" s="122"/>
      <c r="EN493" s="122"/>
      <c r="EO493" s="122"/>
      <c r="EP493" s="122"/>
      <c r="EQ493" s="122"/>
      <c r="ER493" s="122"/>
      <c r="ES493" s="122"/>
      <c r="ET493" s="122"/>
      <c r="EU493" s="122"/>
      <c r="EV493" s="122"/>
      <c r="EW493" s="122"/>
      <c r="EX493" s="122"/>
      <c r="EY493" s="122"/>
      <c r="EZ493" s="122"/>
      <c r="FA493" s="122"/>
      <c r="FB493" s="122"/>
      <c r="FC493" s="122"/>
      <c r="FD493" s="122"/>
      <c r="FE493" s="122"/>
      <c r="FF493" s="122"/>
      <c r="FG493" s="122"/>
      <c r="FH493" s="122"/>
      <c r="FI493" s="122"/>
      <c r="FJ493" s="122"/>
      <c r="FK493" s="122"/>
      <c r="FL493" s="122"/>
      <c r="FM493" s="122"/>
      <c r="FN493" s="122"/>
      <c r="FO493" s="122"/>
      <c r="FP493" s="122"/>
      <c r="FQ493" s="122"/>
      <c r="FR493" s="122"/>
      <c r="FS493" s="122"/>
      <c r="FT493" s="122"/>
      <c r="FU493" s="122"/>
      <c r="FV493" s="122"/>
      <c r="FW493" s="122"/>
      <c r="FX493" s="122"/>
      <c r="FY493" s="122"/>
      <c r="FZ493" s="122"/>
      <c r="GA493" s="122"/>
      <c r="GB493" s="122"/>
      <c r="GC493" s="122"/>
      <c r="GD493" s="122"/>
      <c r="GE493" s="122"/>
      <c r="GF493" s="122"/>
      <c r="GG493" s="122"/>
      <c r="GH493" s="122"/>
      <c r="GI493" s="122"/>
      <c r="GJ493" s="122"/>
      <c r="GK493" s="122"/>
      <c r="GL493" s="122"/>
      <c r="GM493" s="122"/>
      <c r="GN493" s="122"/>
      <c r="GO493" s="122"/>
      <c r="GP493" s="122"/>
      <c r="GQ493" s="122"/>
      <c r="GR493" s="122"/>
      <c r="GS493" s="122"/>
      <c r="GT493" s="122"/>
      <c r="GU493" s="122"/>
      <c r="GV493" s="122"/>
      <c r="GW493" s="122"/>
      <c r="GX493" s="122"/>
      <c r="GY493" s="122"/>
      <c r="GZ493" s="122"/>
      <c r="HA493" s="122"/>
      <c r="HB493" s="122"/>
      <c r="HC493" s="122"/>
      <c r="HD493" s="122"/>
      <c r="HE493" s="122"/>
      <c r="HF493" s="122"/>
      <c r="HG493" s="122"/>
      <c r="HH493" s="122"/>
      <c r="HI493" s="122"/>
      <c r="HJ493" s="122"/>
      <c r="HK493" s="122"/>
      <c r="HL493" s="122"/>
      <c r="HM493" s="122"/>
      <c r="HN493" s="122"/>
      <c r="HO493" s="122"/>
      <c r="HP493" s="122"/>
      <c r="HQ493" s="122"/>
      <c r="HR493" s="122"/>
      <c r="HS493" s="122"/>
      <c r="HT493" s="122"/>
      <c r="HU493" s="122"/>
      <c r="HV493" s="122"/>
      <c r="HW493" s="122"/>
      <c r="HX493" s="122"/>
      <c r="HY493" s="122"/>
      <c r="HZ493" s="122"/>
      <c r="IA493" s="122"/>
      <c r="IB493" s="122"/>
      <c r="IC493" s="122"/>
      <c r="ID493" s="122"/>
      <c r="IE493" s="122"/>
      <c r="IF493" s="122"/>
      <c r="IG493" s="122"/>
      <c r="IH493" s="122"/>
      <c r="II493" s="122"/>
      <c r="IJ493" s="122"/>
      <c r="IK493" s="122"/>
      <c r="IL493" s="122"/>
      <c r="IM493" s="122"/>
      <c r="IN493" s="122"/>
      <c r="IO493" s="122"/>
      <c r="IP493" s="122"/>
      <c r="IQ493" s="122"/>
      <c r="IR493" s="122"/>
      <c r="IS493" s="122"/>
      <c r="IT493" s="122"/>
      <c r="IU493" s="122"/>
      <c r="IV493" s="122"/>
      <c r="IW493" s="122"/>
      <c r="IX493" s="122"/>
      <c r="IY493" s="122"/>
      <c r="IZ493" s="122"/>
      <c r="JA493" s="122"/>
      <c r="JB493" s="122"/>
      <c r="JC493" s="122"/>
      <c r="JD493" s="122"/>
      <c r="JE493" s="122"/>
      <c r="JF493" s="122"/>
      <c r="JG493" s="122"/>
      <c r="JH493" s="122"/>
      <c r="JI493" s="119">
        <f t="shared" si="3"/>
        <v>0</v>
      </c>
      <c r="JJ493" s="2"/>
      <c r="JK493" s="2"/>
    </row>
    <row r="494" spans="1:276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  <c r="AI494" s="122"/>
      <c r="AJ494" s="122"/>
      <c r="AK494" s="122"/>
      <c r="AL494" s="122"/>
      <c r="AM494" s="122"/>
      <c r="AN494" s="122"/>
      <c r="AO494" s="122"/>
      <c r="AP494" s="122"/>
      <c r="AQ494" s="122"/>
      <c r="AR494" s="122"/>
      <c r="AS494" s="122"/>
      <c r="AT494" s="122"/>
      <c r="AU494" s="122"/>
      <c r="AV494" s="122"/>
      <c r="AW494" s="122"/>
      <c r="AX494" s="122"/>
      <c r="AY494" s="122"/>
      <c r="AZ494" s="122"/>
      <c r="BA494" s="122"/>
      <c r="BB494" s="122"/>
      <c r="BC494" s="122"/>
      <c r="BD494" s="122"/>
      <c r="BE494" s="122"/>
      <c r="BF494" s="122"/>
      <c r="BG494" s="122"/>
      <c r="BH494" s="122"/>
      <c r="BI494" s="122"/>
      <c r="BJ494" s="122"/>
      <c r="BK494" s="122"/>
      <c r="BL494" s="122"/>
      <c r="BM494" s="122"/>
      <c r="BN494" s="122"/>
      <c r="BO494" s="122"/>
      <c r="BP494" s="122"/>
      <c r="BQ494" s="122"/>
      <c r="BR494" s="122"/>
      <c r="BS494" s="122"/>
      <c r="BT494" s="122"/>
      <c r="BU494" s="122"/>
      <c r="BV494" s="122"/>
      <c r="BW494" s="122"/>
      <c r="BX494" s="122"/>
      <c r="BY494" s="122"/>
      <c r="BZ494" s="122"/>
      <c r="CA494" s="122"/>
      <c r="CB494" s="122"/>
      <c r="CC494" s="122"/>
      <c r="CD494" s="122"/>
      <c r="CE494" s="122"/>
      <c r="CF494" s="122"/>
      <c r="CG494" s="122"/>
      <c r="CH494" s="122"/>
      <c r="CI494" s="122"/>
      <c r="CJ494" s="122"/>
      <c r="CK494" s="122"/>
      <c r="CL494" s="122"/>
      <c r="CM494" s="122"/>
      <c r="CN494" s="122"/>
      <c r="CO494" s="122"/>
      <c r="CP494" s="122"/>
      <c r="CQ494" s="122"/>
      <c r="CR494" s="122"/>
      <c r="CS494" s="122"/>
      <c r="CT494" s="122"/>
      <c r="CU494" s="122"/>
      <c r="CV494" s="122"/>
      <c r="CW494" s="122"/>
      <c r="CX494" s="122"/>
      <c r="CY494" s="122"/>
      <c r="CZ494" s="122"/>
      <c r="DA494" s="122"/>
      <c r="DB494" s="122"/>
      <c r="DC494" s="122"/>
      <c r="DD494" s="122"/>
      <c r="DE494" s="122"/>
      <c r="DF494" s="122"/>
      <c r="DG494" s="122"/>
      <c r="DH494" s="122"/>
      <c r="DI494" s="122"/>
      <c r="DJ494" s="122"/>
      <c r="DK494" s="122"/>
      <c r="DL494" s="122"/>
      <c r="DM494" s="122"/>
      <c r="DN494" s="122"/>
      <c r="DO494" s="122"/>
      <c r="DP494" s="122"/>
      <c r="DQ494" s="122"/>
      <c r="DR494" s="122"/>
      <c r="DS494" s="122"/>
      <c r="DT494" s="122"/>
      <c r="DU494" s="122"/>
      <c r="DV494" s="122"/>
      <c r="DW494" s="122"/>
      <c r="DX494" s="122"/>
      <c r="DY494" s="122"/>
      <c r="DZ494" s="122"/>
      <c r="EA494" s="122"/>
      <c r="EB494" s="122"/>
      <c r="EC494" s="122"/>
      <c r="ED494" s="122"/>
      <c r="EE494" s="122"/>
      <c r="EF494" s="122"/>
      <c r="EG494" s="122"/>
      <c r="EH494" s="122"/>
      <c r="EI494" s="122"/>
      <c r="EJ494" s="122"/>
      <c r="EK494" s="122"/>
      <c r="EL494" s="122"/>
      <c r="EM494" s="122"/>
      <c r="EN494" s="122"/>
      <c r="EO494" s="122"/>
      <c r="EP494" s="122"/>
      <c r="EQ494" s="122"/>
      <c r="ER494" s="122"/>
      <c r="ES494" s="122"/>
      <c r="ET494" s="122"/>
      <c r="EU494" s="122"/>
      <c r="EV494" s="122"/>
      <c r="EW494" s="122"/>
      <c r="EX494" s="122"/>
      <c r="EY494" s="122"/>
      <c r="EZ494" s="122"/>
      <c r="FA494" s="122"/>
      <c r="FB494" s="122"/>
      <c r="FC494" s="122"/>
      <c r="FD494" s="122"/>
      <c r="FE494" s="122"/>
      <c r="FF494" s="122"/>
      <c r="FG494" s="122"/>
      <c r="FH494" s="122"/>
      <c r="FI494" s="122"/>
      <c r="FJ494" s="122"/>
      <c r="FK494" s="122"/>
      <c r="FL494" s="122"/>
      <c r="FM494" s="122"/>
      <c r="FN494" s="122"/>
      <c r="FO494" s="122"/>
      <c r="FP494" s="122"/>
      <c r="FQ494" s="122"/>
      <c r="FR494" s="122"/>
      <c r="FS494" s="122"/>
      <c r="FT494" s="122"/>
      <c r="FU494" s="122"/>
      <c r="FV494" s="122"/>
      <c r="FW494" s="122"/>
      <c r="FX494" s="122"/>
      <c r="FY494" s="122"/>
      <c r="FZ494" s="122"/>
      <c r="GA494" s="122"/>
      <c r="GB494" s="122"/>
      <c r="GC494" s="122"/>
      <c r="GD494" s="122"/>
      <c r="GE494" s="122"/>
      <c r="GF494" s="122"/>
      <c r="GG494" s="122"/>
      <c r="GH494" s="122"/>
      <c r="GI494" s="122"/>
      <c r="GJ494" s="122"/>
      <c r="GK494" s="122"/>
      <c r="GL494" s="122"/>
      <c r="GM494" s="122"/>
      <c r="GN494" s="122"/>
      <c r="GO494" s="122"/>
      <c r="GP494" s="122"/>
      <c r="GQ494" s="122"/>
      <c r="GR494" s="122"/>
      <c r="GS494" s="122"/>
      <c r="GT494" s="122"/>
      <c r="GU494" s="122"/>
      <c r="GV494" s="122"/>
      <c r="GW494" s="122"/>
      <c r="GX494" s="122"/>
      <c r="GY494" s="122"/>
      <c r="GZ494" s="122"/>
      <c r="HA494" s="122"/>
      <c r="HB494" s="122"/>
      <c r="HC494" s="122"/>
      <c r="HD494" s="122"/>
      <c r="HE494" s="122"/>
      <c r="HF494" s="122"/>
      <c r="HG494" s="122"/>
      <c r="HH494" s="122"/>
      <c r="HI494" s="122"/>
      <c r="HJ494" s="122"/>
      <c r="HK494" s="122"/>
      <c r="HL494" s="122"/>
      <c r="HM494" s="122"/>
      <c r="HN494" s="122"/>
      <c r="HO494" s="122"/>
      <c r="HP494" s="122"/>
      <c r="HQ494" s="122"/>
      <c r="HR494" s="122"/>
      <c r="HS494" s="122"/>
      <c r="HT494" s="122"/>
      <c r="HU494" s="122"/>
      <c r="HV494" s="122"/>
      <c r="HW494" s="122"/>
      <c r="HX494" s="122"/>
      <c r="HY494" s="122"/>
      <c r="HZ494" s="122"/>
      <c r="IA494" s="122"/>
      <c r="IB494" s="122"/>
      <c r="IC494" s="122"/>
      <c r="ID494" s="122"/>
      <c r="IE494" s="122"/>
      <c r="IF494" s="122"/>
      <c r="IG494" s="122"/>
      <c r="IH494" s="122"/>
      <c r="II494" s="122"/>
      <c r="IJ494" s="122"/>
      <c r="IK494" s="122"/>
      <c r="IL494" s="122"/>
      <c r="IM494" s="122"/>
      <c r="IN494" s="122"/>
      <c r="IO494" s="122"/>
      <c r="IP494" s="122"/>
      <c r="IQ494" s="122"/>
      <c r="IR494" s="122"/>
      <c r="IS494" s="122"/>
      <c r="IT494" s="122"/>
      <c r="IU494" s="122"/>
      <c r="IV494" s="122"/>
      <c r="IW494" s="122"/>
      <c r="IX494" s="122"/>
      <c r="IY494" s="122"/>
      <c r="IZ494" s="122"/>
      <c r="JA494" s="122"/>
      <c r="JB494" s="122"/>
      <c r="JC494" s="122"/>
      <c r="JD494" s="122"/>
      <c r="JE494" s="122"/>
      <c r="JF494" s="122"/>
      <c r="JG494" s="122"/>
      <c r="JH494" s="122"/>
      <c r="JI494" s="119">
        <f t="shared" si="3"/>
        <v>0</v>
      </c>
      <c r="JJ494" s="2"/>
      <c r="JK494" s="2"/>
    </row>
    <row r="495" spans="1:276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  <c r="AK495" s="122"/>
      <c r="AL495" s="122"/>
      <c r="AM495" s="122"/>
      <c r="AN495" s="122"/>
      <c r="AO495" s="122"/>
      <c r="AP495" s="122"/>
      <c r="AQ495" s="122"/>
      <c r="AR495" s="122"/>
      <c r="AS495" s="122"/>
      <c r="AT495" s="122"/>
      <c r="AU495" s="122"/>
      <c r="AV495" s="122"/>
      <c r="AW495" s="122"/>
      <c r="AX495" s="122"/>
      <c r="AY495" s="122"/>
      <c r="AZ495" s="122"/>
      <c r="BA495" s="122"/>
      <c r="BB495" s="122"/>
      <c r="BC495" s="122"/>
      <c r="BD495" s="122"/>
      <c r="BE495" s="122"/>
      <c r="BF495" s="122"/>
      <c r="BG495" s="122"/>
      <c r="BH495" s="122"/>
      <c r="BI495" s="122"/>
      <c r="BJ495" s="122"/>
      <c r="BK495" s="122"/>
      <c r="BL495" s="122"/>
      <c r="BM495" s="122"/>
      <c r="BN495" s="122"/>
      <c r="BO495" s="122"/>
      <c r="BP495" s="122"/>
      <c r="BQ495" s="122"/>
      <c r="BR495" s="122"/>
      <c r="BS495" s="122"/>
      <c r="BT495" s="122"/>
      <c r="BU495" s="122"/>
      <c r="BV495" s="122"/>
      <c r="BW495" s="122"/>
      <c r="BX495" s="122"/>
      <c r="BY495" s="122"/>
      <c r="BZ495" s="122"/>
      <c r="CA495" s="122"/>
      <c r="CB495" s="122"/>
      <c r="CC495" s="122"/>
      <c r="CD495" s="122"/>
      <c r="CE495" s="122"/>
      <c r="CF495" s="122"/>
      <c r="CG495" s="122"/>
      <c r="CH495" s="122"/>
      <c r="CI495" s="122"/>
      <c r="CJ495" s="122"/>
      <c r="CK495" s="122"/>
      <c r="CL495" s="122"/>
      <c r="CM495" s="122"/>
      <c r="CN495" s="122"/>
      <c r="CO495" s="122"/>
      <c r="CP495" s="122"/>
      <c r="CQ495" s="122"/>
      <c r="CR495" s="122"/>
      <c r="CS495" s="122"/>
      <c r="CT495" s="122"/>
      <c r="CU495" s="122"/>
      <c r="CV495" s="122"/>
      <c r="CW495" s="122"/>
      <c r="CX495" s="122"/>
      <c r="CY495" s="122"/>
      <c r="CZ495" s="122"/>
      <c r="DA495" s="122"/>
      <c r="DB495" s="122"/>
      <c r="DC495" s="122"/>
      <c r="DD495" s="122"/>
      <c r="DE495" s="122"/>
      <c r="DF495" s="122"/>
      <c r="DG495" s="122"/>
      <c r="DH495" s="122"/>
      <c r="DI495" s="122"/>
      <c r="DJ495" s="122"/>
      <c r="DK495" s="122"/>
      <c r="DL495" s="122"/>
      <c r="DM495" s="122"/>
      <c r="DN495" s="122"/>
      <c r="DO495" s="122"/>
      <c r="DP495" s="122"/>
      <c r="DQ495" s="122"/>
      <c r="DR495" s="122"/>
      <c r="DS495" s="122"/>
      <c r="DT495" s="122"/>
      <c r="DU495" s="122"/>
      <c r="DV495" s="122"/>
      <c r="DW495" s="122"/>
      <c r="DX495" s="122"/>
      <c r="DY495" s="122"/>
      <c r="DZ495" s="122"/>
      <c r="EA495" s="122"/>
      <c r="EB495" s="122"/>
      <c r="EC495" s="122"/>
      <c r="ED495" s="122"/>
      <c r="EE495" s="122"/>
      <c r="EF495" s="122"/>
      <c r="EG495" s="122"/>
      <c r="EH495" s="122"/>
      <c r="EI495" s="122"/>
      <c r="EJ495" s="122"/>
      <c r="EK495" s="122"/>
      <c r="EL495" s="122"/>
      <c r="EM495" s="122"/>
      <c r="EN495" s="122"/>
      <c r="EO495" s="122"/>
      <c r="EP495" s="122"/>
      <c r="EQ495" s="122"/>
      <c r="ER495" s="122"/>
      <c r="ES495" s="122"/>
      <c r="ET495" s="122"/>
      <c r="EU495" s="122"/>
      <c r="EV495" s="122"/>
      <c r="EW495" s="122"/>
      <c r="EX495" s="122"/>
      <c r="EY495" s="122"/>
      <c r="EZ495" s="122"/>
      <c r="FA495" s="122"/>
      <c r="FB495" s="122"/>
      <c r="FC495" s="122"/>
      <c r="FD495" s="122"/>
      <c r="FE495" s="122"/>
      <c r="FF495" s="122"/>
      <c r="FG495" s="122"/>
      <c r="FH495" s="122"/>
      <c r="FI495" s="122"/>
      <c r="FJ495" s="122"/>
      <c r="FK495" s="122"/>
      <c r="FL495" s="122"/>
      <c r="FM495" s="122"/>
      <c r="FN495" s="122"/>
      <c r="FO495" s="122"/>
      <c r="FP495" s="122"/>
      <c r="FQ495" s="122"/>
      <c r="FR495" s="122"/>
      <c r="FS495" s="122"/>
      <c r="FT495" s="122"/>
      <c r="FU495" s="122"/>
      <c r="FV495" s="122"/>
      <c r="FW495" s="122"/>
      <c r="FX495" s="122"/>
      <c r="FY495" s="122"/>
      <c r="FZ495" s="122"/>
      <c r="GA495" s="122"/>
      <c r="GB495" s="122"/>
      <c r="GC495" s="122"/>
      <c r="GD495" s="122"/>
      <c r="GE495" s="122"/>
      <c r="GF495" s="122"/>
      <c r="GG495" s="122"/>
      <c r="GH495" s="122"/>
      <c r="GI495" s="122"/>
      <c r="GJ495" s="122"/>
      <c r="GK495" s="122"/>
      <c r="GL495" s="122"/>
      <c r="GM495" s="122"/>
      <c r="GN495" s="122"/>
      <c r="GO495" s="122"/>
      <c r="GP495" s="122"/>
      <c r="GQ495" s="122"/>
      <c r="GR495" s="122"/>
      <c r="GS495" s="122"/>
      <c r="GT495" s="122"/>
      <c r="GU495" s="122"/>
      <c r="GV495" s="122"/>
      <c r="GW495" s="122"/>
      <c r="GX495" s="122"/>
      <c r="GY495" s="122"/>
      <c r="GZ495" s="122"/>
      <c r="HA495" s="122"/>
      <c r="HB495" s="122"/>
      <c r="HC495" s="122"/>
      <c r="HD495" s="122"/>
      <c r="HE495" s="122"/>
      <c r="HF495" s="122"/>
      <c r="HG495" s="122"/>
      <c r="HH495" s="122"/>
      <c r="HI495" s="122"/>
      <c r="HJ495" s="122"/>
      <c r="HK495" s="122"/>
      <c r="HL495" s="122"/>
      <c r="HM495" s="122"/>
      <c r="HN495" s="122"/>
      <c r="HO495" s="122"/>
      <c r="HP495" s="122"/>
      <c r="HQ495" s="122"/>
      <c r="HR495" s="122"/>
      <c r="HS495" s="122"/>
      <c r="HT495" s="122"/>
      <c r="HU495" s="122"/>
      <c r="HV495" s="122"/>
      <c r="HW495" s="122"/>
      <c r="HX495" s="122"/>
      <c r="HY495" s="122"/>
      <c r="HZ495" s="122"/>
      <c r="IA495" s="122"/>
      <c r="IB495" s="122"/>
      <c r="IC495" s="122"/>
      <c r="ID495" s="122"/>
      <c r="IE495" s="122"/>
      <c r="IF495" s="122"/>
      <c r="IG495" s="122"/>
      <c r="IH495" s="122"/>
      <c r="II495" s="122"/>
      <c r="IJ495" s="122"/>
      <c r="IK495" s="122"/>
      <c r="IL495" s="122"/>
      <c r="IM495" s="122"/>
      <c r="IN495" s="122"/>
      <c r="IO495" s="122"/>
      <c r="IP495" s="122"/>
      <c r="IQ495" s="122"/>
      <c r="IR495" s="122"/>
      <c r="IS495" s="122"/>
      <c r="IT495" s="122"/>
      <c r="IU495" s="122"/>
      <c r="IV495" s="122"/>
      <c r="IW495" s="122"/>
      <c r="IX495" s="122"/>
      <c r="IY495" s="122"/>
      <c r="IZ495" s="122"/>
      <c r="JA495" s="122"/>
      <c r="JB495" s="122"/>
      <c r="JC495" s="122"/>
      <c r="JD495" s="122"/>
      <c r="JE495" s="122"/>
      <c r="JF495" s="122"/>
      <c r="JG495" s="122"/>
      <c r="JH495" s="122"/>
      <c r="JI495" s="119">
        <f t="shared" si="3"/>
        <v>0</v>
      </c>
      <c r="JJ495" s="2"/>
      <c r="JK495" s="2"/>
    </row>
    <row r="496" spans="1:27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  <c r="AI496" s="122"/>
      <c r="AJ496" s="122"/>
      <c r="AK496" s="122"/>
      <c r="AL496" s="122"/>
      <c r="AM496" s="122"/>
      <c r="AN496" s="122"/>
      <c r="AO496" s="122"/>
      <c r="AP496" s="122"/>
      <c r="AQ496" s="122"/>
      <c r="AR496" s="122"/>
      <c r="AS496" s="122"/>
      <c r="AT496" s="122"/>
      <c r="AU496" s="122"/>
      <c r="AV496" s="122"/>
      <c r="AW496" s="122"/>
      <c r="AX496" s="122"/>
      <c r="AY496" s="122"/>
      <c r="AZ496" s="122"/>
      <c r="BA496" s="122"/>
      <c r="BB496" s="122"/>
      <c r="BC496" s="122"/>
      <c r="BD496" s="122"/>
      <c r="BE496" s="122"/>
      <c r="BF496" s="122"/>
      <c r="BG496" s="122"/>
      <c r="BH496" s="122"/>
      <c r="BI496" s="122"/>
      <c r="BJ496" s="122"/>
      <c r="BK496" s="122"/>
      <c r="BL496" s="122"/>
      <c r="BM496" s="122"/>
      <c r="BN496" s="122"/>
      <c r="BO496" s="122"/>
      <c r="BP496" s="122"/>
      <c r="BQ496" s="122"/>
      <c r="BR496" s="122"/>
      <c r="BS496" s="122"/>
      <c r="BT496" s="122"/>
      <c r="BU496" s="122"/>
      <c r="BV496" s="122"/>
      <c r="BW496" s="122"/>
      <c r="BX496" s="122"/>
      <c r="BY496" s="122"/>
      <c r="BZ496" s="122"/>
      <c r="CA496" s="122"/>
      <c r="CB496" s="122"/>
      <c r="CC496" s="122"/>
      <c r="CD496" s="122"/>
      <c r="CE496" s="122"/>
      <c r="CF496" s="122"/>
      <c r="CG496" s="122"/>
      <c r="CH496" s="122"/>
      <c r="CI496" s="122"/>
      <c r="CJ496" s="122"/>
      <c r="CK496" s="122"/>
      <c r="CL496" s="122"/>
      <c r="CM496" s="122"/>
      <c r="CN496" s="122"/>
      <c r="CO496" s="122"/>
      <c r="CP496" s="122"/>
      <c r="CQ496" s="122"/>
      <c r="CR496" s="122"/>
      <c r="CS496" s="122"/>
      <c r="CT496" s="122"/>
      <c r="CU496" s="122"/>
      <c r="CV496" s="122"/>
      <c r="CW496" s="122"/>
      <c r="CX496" s="122"/>
      <c r="CY496" s="122"/>
      <c r="CZ496" s="122"/>
      <c r="DA496" s="122"/>
      <c r="DB496" s="122"/>
      <c r="DC496" s="122"/>
      <c r="DD496" s="122"/>
      <c r="DE496" s="122"/>
      <c r="DF496" s="122"/>
      <c r="DG496" s="122"/>
      <c r="DH496" s="122"/>
      <c r="DI496" s="122"/>
      <c r="DJ496" s="122"/>
      <c r="DK496" s="122"/>
      <c r="DL496" s="122"/>
      <c r="DM496" s="122"/>
      <c r="DN496" s="122"/>
      <c r="DO496" s="122"/>
      <c r="DP496" s="122"/>
      <c r="DQ496" s="122"/>
      <c r="DR496" s="122"/>
      <c r="DS496" s="122"/>
      <c r="DT496" s="122"/>
      <c r="DU496" s="122"/>
      <c r="DV496" s="122"/>
      <c r="DW496" s="122"/>
      <c r="DX496" s="122"/>
      <c r="DY496" s="122"/>
      <c r="DZ496" s="122"/>
      <c r="EA496" s="122"/>
      <c r="EB496" s="122"/>
      <c r="EC496" s="122"/>
      <c r="ED496" s="122"/>
      <c r="EE496" s="122"/>
      <c r="EF496" s="122"/>
      <c r="EG496" s="122"/>
      <c r="EH496" s="122"/>
      <c r="EI496" s="122"/>
      <c r="EJ496" s="122"/>
      <c r="EK496" s="122"/>
      <c r="EL496" s="122"/>
      <c r="EM496" s="122"/>
      <c r="EN496" s="122"/>
      <c r="EO496" s="122"/>
      <c r="EP496" s="122"/>
      <c r="EQ496" s="122"/>
      <c r="ER496" s="122"/>
      <c r="ES496" s="122"/>
      <c r="ET496" s="122"/>
      <c r="EU496" s="122"/>
      <c r="EV496" s="122"/>
      <c r="EW496" s="122"/>
      <c r="EX496" s="122"/>
      <c r="EY496" s="122"/>
      <c r="EZ496" s="122"/>
      <c r="FA496" s="122"/>
      <c r="FB496" s="122"/>
      <c r="FC496" s="122"/>
      <c r="FD496" s="122"/>
      <c r="FE496" s="122"/>
      <c r="FF496" s="122"/>
      <c r="FG496" s="122"/>
      <c r="FH496" s="122"/>
      <c r="FI496" s="122"/>
      <c r="FJ496" s="122"/>
      <c r="FK496" s="122"/>
      <c r="FL496" s="122"/>
      <c r="FM496" s="122"/>
      <c r="FN496" s="122"/>
      <c r="FO496" s="122"/>
      <c r="FP496" s="122"/>
      <c r="FQ496" s="122"/>
      <c r="FR496" s="122"/>
      <c r="FS496" s="122"/>
      <c r="FT496" s="122"/>
      <c r="FU496" s="122"/>
      <c r="FV496" s="122"/>
      <c r="FW496" s="122"/>
      <c r="FX496" s="122"/>
      <c r="FY496" s="122"/>
      <c r="FZ496" s="122"/>
      <c r="GA496" s="122"/>
      <c r="GB496" s="122"/>
      <c r="GC496" s="122"/>
      <c r="GD496" s="122"/>
      <c r="GE496" s="122"/>
      <c r="GF496" s="122"/>
      <c r="GG496" s="122"/>
      <c r="GH496" s="122"/>
      <c r="GI496" s="122"/>
      <c r="GJ496" s="122"/>
      <c r="GK496" s="122"/>
      <c r="GL496" s="122"/>
      <c r="GM496" s="122"/>
      <c r="GN496" s="122"/>
      <c r="GO496" s="122"/>
      <c r="GP496" s="122"/>
      <c r="GQ496" s="122"/>
      <c r="GR496" s="122"/>
      <c r="GS496" s="122"/>
      <c r="GT496" s="122"/>
      <c r="GU496" s="122"/>
      <c r="GV496" s="122"/>
      <c r="GW496" s="122"/>
      <c r="GX496" s="122"/>
      <c r="GY496" s="122"/>
      <c r="GZ496" s="122"/>
      <c r="HA496" s="122"/>
      <c r="HB496" s="122"/>
      <c r="HC496" s="122"/>
      <c r="HD496" s="122"/>
      <c r="HE496" s="122"/>
      <c r="HF496" s="122"/>
      <c r="HG496" s="122"/>
      <c r="HH496" s="122"/>
      <c r="HI496" s="122"/>
      <c r="HJ496" s="122"/>
      <c r="HK496" s="122"/>
      <c r="HL496" s="122"/>
      <c r="HM496" s="122"/>
      <c r="HN496" s="122"/>
      <c r="HO496" s="122"/>
      <c r="HP496" s="122"/>
      <c r="HQ496" s="122"/>
      <c r="HR496" s="122"/>
      <c r="HS496" s="122"/>
      <c r="HT496" s="122"/>
      <c r="HU496" s="122"/>
      <c r="HV496" s="122"/>
      <c r="HW496" s="122"/>
      <c r="HX496" s="122"/>
      <c r="HY496" s="122"/>
      <c r="HZ496" s="122"/>
      <c r="IA496" s="122"/>
      <c r="IB496" s="122"/>
      <c r="IC496" s="122"/>
      <c r="ID496" s="122"/>
      <c r="IE496" s="122"/>
      <c r="IF496" s="122"/>
      <c r="IG496" s="122"/>
      <c r="IH496" s="122"/>
      <c r="II496" s="122"/>
      <c r="IJ496" s="122"/>
      <c r="IK496" s="122"/>
      <c r="IL496" s="122"/>
      <c r="IM496" s="122"/>
      <c r="IN496" s="122"/>
      <c r="IO496" s="122"/>
      <c r="IP496" s="122"/>
      <c r="IQ496" s="122"/>
      <c r="IR496" s="122"/>
      <c r="IS496" s="122"/>
      <c r="IT496" s="122"/>
      <c r="IU496" s="122"/>
      <c r="IV496" s="122"/>
      <c r="IW496" s="122"/>
      <c r="IX496" s="122"/>
      <c r="IY496" s="122"/>
      <c r="IZ496" s="122"/>
      <c r="JA496" s="122"/>
      <c r="JB496" s="122"/>
      <c r="JC496" s="122"/>
      <c r="JD496" s="122"/>
      <c r="JE496" s="122"/>
      <c r="JF496" s="122"/>
      <c r="JG496" s="122"/>
      <c r="JH496" s="122"/>
      <c r="JI496" s="119">
        <f t="shared" si="3"/>
        <v>0</v>
      </c>
      <c r="JJ496" s="2"/>
      <c r="JK496" s="2"/>
    </row>
    <row r="497" spans="1:271">
      <c r="A497" s="119">
        <f>SUM(A483:A496)</f>
        <v>0</v>
      </c>
      <c r="B497" s="119">
        <f t="shared" ref="B497:BM497" si="11">SUM(B483:B496)</f>
        <v>0</v>
      </c>
      <c r="C497" s="119">
        <f t="shared" si="11"/>
        <v>0</v>
      </c>
      <c r="D497" s="119">
        <f t="shared" si="11"/>
        <v>0</v>
      </c>
      <c r="E497" s="119">
        <f t="shared" si="11"/>
        <v>0</v>
      </c>
      <c r="F497" s="119">
        <f t="shared" si="11"/>
        <v>0</v>
      </c>
      <c r="G497" s="119">
        <f t="shared" si="11"/>
        <v>0</v>
      </c>
      <c r="H497" s="119">
        <f t="shared" si="11"/>
        <v>0</v>
      </c>
      <c r="I497" s="119">
        <f t="shared" si="11"/>
        <v>0</v>
      </c>
      <c r="J497" s="119">
        <f t="shared" si="11"/>
        <v>0</v>
      </c>
      <c r="K497" s="119">
        <f t="shared" si="11"/>
        <v>0</v>
      </c>
      <c r="L497" s="119">
        <f t="shared" si="11"/>
        <v>0</v>
      </c>
      <c r="M497" s="119">
        <f t="shared" si="11"/>
        <v>0</v>
      </c>
      <c r="N497" s="119">
        <f t="shared" si="11"/>
        <v>0</v>
      </c>
      <c r="O497" s="119">
        <f t="shared" si="11"/>
        <v>0</v>
      </c>
      <c r="P497" s="119">
        <f t="shared" si="11"/>
        <v>0</v>
      </c>
      <c r="Q497" s="119">
        <f t="shared" si="11"/>
        <v>0</v>
      </c>
      <c r="R497" s="119">
        <f t="shared" si="11"/>
        <v>0</v>
      </c>
      <c r="S497" s="119">
        <f t="shared" si="11"/>
        <v>0</v>
      </c>
      <c r="T497" s="119">
        <f t="shared" si="11"/>
        <v>0</v>
      </c>
      <c r="U497" s="119">
        <f t="shared" si="11"/>
        <v>0</v>
      </c>
      <c r="V497" s="119">
        <f t="shared" si="11"/>
        <v>0</v>
      </c>
      <c r="W497" s="119">
        <f t="shared" si="11"/>
        <v>0</v>
      </c>
      <c r="X497" s="119">
        <f t="shared" si="11"/>
        <v>0</v>
      </c>
      <c r="Y497" s="119">
        <f t="shared" si="11"/>
        <v>0</v>
      </c>
      <c r="Z497" s="119">
        <f t="shared" si="11"/>
        <v>0</v>
      </c>
      <c r="AA497" s="119">
        <f t="shared" si="11"/>
        <v>0</v>
      </c>
      <c r="AB497" s="119">
        <f t="shared" si="11"/>
        <v>0</v>
      </c>
      <c r="AC497" s="119">
        <f t="shared" si="11"/>
        <v>0</v>
      </c>
      <c r="AD497" s="119">
        <f t="shared" si="11"/>
        <v>0</v>
      </c>
      <c r="AE497" s="119">
        <f t="shared" si="11"/>
        <v>0</v>
      </c>
      <c r="AF497" s="119">
        <f t="shared" si="11"/>
        <v>0</v>
      </c>
      <c r="AG497" s="119">
        <f t="shared" si="11"/>
        <v>0</v>
      </c>
      <c r="AH497" s="119">
        <f t="shared" si="11"/>
        <v>0</v>
      </c>
      <c r="AI497" s="119">
        <f t="shared" si="11"/>
        <v>0</v>
      </c>
      <c r="AJ497" s="119">
        <f t="shared" si="11"/>
        <v>0</v>
      </c>
      <c r="AK497" s="119">
        <f t="shared" si="11"/>
        <v>0</v>
      </c>
      <c r="AL497" s="119">
        <f t="shared" si="11"/>
        <v>0</v>
      </c>
      <c r="AM497" s="119">
        <f t="shared" si="11"/>
        <v>0</v>
      </c>
      <c r="AN497" s="119">
        <f t="shared" si="11"/>
        <v>0</v>
      </c>
      <c r="AO497" s="119">
        <f t="shared" si="11"/>
        <v>0</v>
      </c>
      <c r="AP497" s="119">
        <f t="shared" si="11"/>
        <v>0</v>
      </c>
      <c r="AQ497" s="119">
        <f t="shared" si="11"/>
        <v>0</v>
      </c>
      <c r="AR497" s="119">
        <f t="shared" si="11"/>
        <v>0</v>
      </c>
      <c r="AS497" s="119">
        <f t="shared" si="11"/>
        <v>0</v>
      </c>
      <c r="AT497" s="119">
        <f t="shared" si="11"/>
        <v>0</v>
      </c>
      <c r="AU497" s="119">
        <f t="shared" si="11"/>
        <v>0</v>
      </c>
      <c r="AV497" s="119">
        <f t="shared" si="11"/>
        <v>0</v>
      </c>
      <c r="AW497" s="119">
        <f t="shared" si="11"/>
        <v>0</v>
      </c>
      <c r="AX497" s="119">
        <f t="shared" si="11"/>
        <v>0</v>
      </c>
      <c r="AY497" s="119">
        <f t="shared" si="11"/>
        <v>0</v>
      </c>
      <c r="AZ497" s="119">
        <f t="shared" si="11"/>
        <v>0</v>
      </c>
      <c r="BA497" s="119">
        <f t="shared" si="11"/>
        <v>0</v>
      </c>
      <c r="BB497" s="119">
        <f t="shared" si="11"/>
        <v>0</v>
      </c>
      <c r="BC497" s="119">
        <f t="shared" si="11"/>
        <v>0</v>
      </c>
      <c r="BD497" s="119">
        <f t="shared" si="11"/>
        <v>0</v>
      </c>
      <c r="BE497" s="119">
        <f t="shared" si="11"/>
        <v>0</v>
      </c>
      <c r="BF497" s="119">
        <f t="shared" si="11"/>
        <v>0</v>
      </c>
      <c r="BG497" s="119">
        <f t="shared" si="11"/>
        <v>0</v>
      </c>
      <c r="BH497" s="119">
        <f t="shared" si="11"/>
        <v>0</v>
      </c>
      <c r="BI497" s="119">
        <f t="shared" si="11"/>
        <v>0</v>
      </c>
      <c r="BJ497" s="119">
        <f t="shared" si="11"/>
        <v>0</v>
      </c>
      <c r="BK497" s="119">
        <f t="shared" si="11"/>
        <v>0</v>
      </c>
      <c r="BL497" s="119">
        <f t="shared" si="11"/>
        <v>0</v>
      </c>
      <c r="BM497" s="119">
        <f t="shared" si="11"/>
        <v>0</v>
      </c>
      <c r="BN497" s="119">
        <f t="shared" ref="BN497:DY497" si="12">SUM(BN483:BN496)</f>
        <v>0</v>
      </c>
      <c r="BO497" s="119">
        <f t="shared" si="12"/>
        <v>0</v>
      </c>
      <c r="BP497" s="119">
        <f t="shared" si="12"/>
        <v>0</v>
      </c>
      <c r="BQ497" s="119">
        <f t="shared" si="12"/>
        <v>0</v>
      </c>
      <c r="BR497" s="119">
        <f t="shared" si="12"/>
        <v>0</v>
      </c>
      <c r="BS497" s="119">
        <f t="shared" si="12"/>
        <v>0</v>
      </c>
      <c r="BT497" s="119">
        <f t="shared" si="12"/>
        <v>0</v>
      </c>
      <c r="BU497" s="119">
        <f t="shared" si="12"/>
        <v>0</v>
      </c>
      <c r="BV497" s="119">
        <f t="shared" si="12"/>
        <v>0</v>
      </c>
      <c r="BW497" s="119">
        <f t="shared" si="12"/>
        <v>0</v>
      </c>
      <c r="BX497" s="119">
        <f t="shared" si="12"/>
        <v>0</v>
      </c>
      <c r="BY497" s="119">
        <f t="shared" si="12"/>
        <v>0</v>
      </c>
      <c r="BZ497" s="119">
        <f t="shared" si="12"/>
        <v>0</v>
      </c>
      <c r="CA497" s="119">
        <f t="shared" si="12"/>
        <v>0</v>
      </c>
      <c r="CB497" s="119">
        <f t="shared" si="12"/>
        <v>0</v>
      </c>
      <c r="CC497" s="119">
        <f t="shared" si="12"/>
        <v>0</v>
      </c>
      <c r="CD497" s="119">
        <f t="shared" si="12"/>
        <v>0</v>
      </c>
      <c r="CE497" s="119">
        <f t="shared" si="12"/>
        <v>0</v>
      </c>
      <c r="CF497" s="119">
        <f t="shared" si="12"/>
        <v>0</v>
      </c>
      <c r="CG497" s="119">
        <f t="shared" si="12"/>
        <v>0</v>
      </c>
      <c r="CH497" s="119">
        <f t="shared" si="12"/>
        <v>0</v>
      </c>
      <c r="CI497" s="119">
        <f t="shared" si="12"/>
        <v>0</v>
      </c>
      <c r="CJ497" s="119">
        <f t="shared" si="12"/>
        <v>0</v>
      </c>
      <c r="CK497" s="119">
        <f t="shared" si="12"/>
        <v>0</v>
      </c>
      <c r="CL497" s="119">
        <f t="shared" si="12"/>
        <v>0</v>
      </c>
      <c r="CM497" s="119">
        <f t="shared" si="12"/>
        <v>0</v>
      </c>
      <c r="CN497" s="119">
        <f t="shared" si="12"/>
        <v>0</v>
      </c>
      <c r="CO497" s="119">
        <f t="shared" si="12"/>
        <v>0</v>
      </c>
      <c r="CP497" s="119">
        <f t="shared" si="12"/>
        <v>0</v>
      </c>
      <c r="CQ497" s="119">
        <f t="shared" si="12"/>
        <v>0</v>
      </c>
      <c r="CR497" s="119">
        <f t="shared" si="12"/>
        <v>0</v>
      </c>
      <c r="CS497" s="119">
        <f t="shared" si="12"/>
        <v>0</v>
      </c>
      <c r="CT497" s="119">
        <f t="shared" si="12"/>
        <v>0</v>
      </c>
      <c r="CU497" s="119">
        <f t="shared" si="12"/>
        <v>0</v>
      </c>
      <c r="CV497" s="119">
        <f t="shared" si="12"/>
        <v>0</v>
      </c>
      <c r="CW497" s="119">
        <f t="shared" si="12"/>
        <v>0</v>
      </c>
      <c r="CX497" s="119">
        <f t="shared" si="12"/>
        <v>0</v>
      </c>
      <c r="CY497" s="119">
        <f t="shared" si="12"/>
        <v>0</v>
      </c>
      <c r="CZ497" s="119">
        <f t="shared" si="12"/>
        <v>0</v>
      </c>
      <c r="DA497" s="119">
        <f t="shared" si="12"/>
        <v>0</v>
      </c>
      <c r="DB497" s="119">
        <f t="shared" si="12"/>
        <v>0</v>
      </c>
      <c r="DC497" s="119">
        <f t="shared" si="12"/>
        <v>0</v>
      </c>
      <c r="DD497" s="119">
        <f t="shared" si="12"/>
        <v>0</v>
      </c>
      <c r="DE497" s="119">
        <f t="shared" si="12"/>
        <v>0</v>
      </c>
      <c r="DF497" s="119">
        <f t="shared" si="12"/>
        <v>0</v>
      </c>
      <c r="DG497" s="119">
        <f t="shared" si="12"/>
        <v>0</v>
      </c>
      <c r="DH497" s="119">
        <f t="shared" si="12"/>
        <v>0</v>
      </c>
      <c r="DI497" s="119">
        <f t="shared" si="12"/>
        <v>0</v>
      </c>
      <c r="DJ497" s="119">
        <f t="shared" si="12"/>
        <v>0</v>
      </c>
      <c r="DK497" s="119">
        <f t="shared" si="12"/>
        <v>0</v>
      </c>
      <c r="DL497" s="119">
        <f t="shared" si="12"/>
        <v>0</v>
      </c>
      <c r="DM497" s="119">
        <f t="shared" si="12"/>
        <v>0</v>
      </c>
      <c r="DN497" s="119">
        <f t="shared" si="12"/>
        <v>0</v>
      </c>
      <c r="DO497" s="119">
        <f t="shared" si="12"/>
        <v>0</v>
      </c>
      <c r="DP497" s="119">
        <f t="shared" si="12"/>
        <v>0</v>
      </c>
      <c r="DQ497" s="119">
        <f t="shared" si="12"/>
        <v>0</v>
      </c>
      <c r="DR497" s="119">
        <f t="shared" si="12"/>
        <v>0</v>
      </c>
      <c r="DS497" s="119">
        <f t="shared" si="12"/>
        <v>0</v>
      </c>
      <c r="DT497" s="119">
        <f t="shared" si="12"/>
        <v>0</v>
      </c>
      <c r="DU497" s="119">
        <f t="shared" si="12"/>
        <v>0</v>
      </c>
      <c r="DV497" s="119">
        <f t="shared" si="12"/>
        <v>0</v>
      </c>
      <c r="DW497" s="119">
        <f t="shared" si="12"/>
        <v>0</v>
      </c>
      <c r="DX497" s="119">
        <f t="shared" si="12"/>
        <v>0</v>
      </c>
      <c r="DY497" s="119">
        <f t="shared" si="12"/>
        <v>0</v>
      </c>
      <c r="DZ497" s="119">
        <f t="shared" ref="DZ497:GK497" si="13">SUM(DZ483:DZ496)</f>
        <v>0</v>
      </c>
      <c r="EA497" s="119">
        <f t="shared" si="13"/>
        <v>0</v>
      </c>
      <c r="EB497" s="119">
        <f t="shared" si="13"/>
        <v>0</v>
      </c>
      <c r="EC497" s="119">
        <f t="shared" si="13"/>
        <v>0</v>
      </c>
      <c r="ED497" s="119">
        <f t="shared" si="13"/>
        <v>0</v>
      </c>
      <c r="EE497" s="119">
        <f t="shared" si="13"/>
        <v>0</v>
      </c>
      <c r="EF497" s="119">
        <f t="shared" si="13"/>
        <v>0</v>
      </c>
      <c r="EG497" s="119">
        <f t="shared" si="13"/>
        <v>0</v>
      </c>
      <c r="EH497" s="119">
        <f t="shared" si="13"/>
        <v>0</v>
      </c>
      <c r="EI497" s="119">
        <f t="shared" si="13"/>
        <v>0</v>
      </c>
      <c r="EJ497" s="119">
        <f t="shared" si="13"/>
        <v>0</v>
      </c>
      <c r="EK497" s="119">
        <f t="shared" si="13"/>
        <v>0</v>
      </c>
      <c r="EL497" s="119">
        <f t="shared" si="13"/>
        <v>0</v>
      </c>
      <c r="EM497" s="119">
        <f t="shared" si="13"/>
        <v>0</v>
      </c>
      <c r="EN497" s="119">
        <f t="shared" si="13"/>
        <v>0</v>
      </c>
      <c r="EO497" s="119">
        <f t="shared" si="13"/>
        <v>0</v>
      </c>
      <c r="EP497" s="119">
        <f t="shared" si="13"/>
        <v>0</v>
      </c>
      <c r="EQ497" s="119">
        <f t="shared" si="13"/>
        <v>0</v>
      </c>
      <c r="ER497" s="119">
        <f t="shared" si="13"/>
        <v>0</v>
      </c>
      <c r="ES497" s="119">
        <f t="shared" si="13"/>
        <v>0</v>
      </c>
      <c r="ET497" s="119">
        <f t="shared" si="13"/>
        <v>0</v>
      </c>
      <c r="EU497" s="119">
        <f t="shared" si="13"/>
        <v>0</v>
      </c>
      <c r="EV497" s="119">
        <f t="shared" si="13"/>
        <v>0</v>
      </c>
      <c r="EW497" s="119">
        <f t="shared" si="13"/>
        <v>0</v>
      </c>
      <c r="EX497" s="119">
        <f t="shared" si="13"/>
        <v>0</v>
      </c>
      <c r="EY497" s="119">
        <f t="shared" si="13"/>
        <v>0</v>
      </c>
      <c r="EZ497" s="119">
        <f t="shared" si="13"/>
        <v>0</v>
      </c>
      <c r="FA497" s="119">
        <f t="shared" si="13"/>
        <v>0</v>
      </c>
      <c r="FB497" s="119">
        <f t="shared" si="13"/>
        <v>0</v>
      </c>
      <c r="FC497" s="119">
        <f t="shared" si="13"/>
        <v>0</v>
      </c>
      <c r="FD497" s="119">
        <f t="shared" si="13"/>
        <v>0</v>
      </c>
      <c r="FE497" s="119">
        <f t="shared" si="13"/>
        <v>0</v>
      </c>
      <c r="FF497" s="119">
        <f t="shared" si="13"/>
        <v>0</v>
      </c>
      <c r="FG497" s="119">
        <f t="shared" si="13"/>
        <v>0</v>
      </c>
      <c r="FH497" s="119">
        <f t="shared" si="13"/>
        <v>0</v>
      </c>
      <c r="FI497" s="119">
        <f t="shared" si="13"/>
        <v>0</v>
      </c>
      <c r="FJ497" s="119">
        <f t="shared" si="13"/>
        <v>0</v>
      </c>
      <c r="FK497" s="119">
        <f t="shared" si="13"/>
        <v>0</v>
      </c>
      <c r="FL497" s="119">
        <f t="shared" si="13"/>
        <v>0</v>
      </c>
      <c r="FM497" s="119">
        <f t="shared" si="13"/>
        <v>0</v>
      </c>
      <c r="FN497" s="119">
        <f t="shared" si="13"/>
        <v>0</v>
      </c>
      <c r="FO497" s="119">
        <f t="shared" si="13"/>
        <v>0</v>
      </c>
      <c r="FP497" s="119">
        <f t="shared" si="13"/>
        <v>0</v>
      </c>
      <c r="FQ497" s="119">
        <f t="shared" si="13"/>
        <v>0</v>
      </c>
      <c r="FR497" s="119">
        <f t="shared" si="13"/>
        <v>0</v>
      </c>
      <c r="FS497" s="119">
        <f t="shared" si="13"/>
        <v>0</v>
      </c>
      <c r="FT497" s="119">
        <f t="shared" si="13"/>
        <v>0</v>
      </c>
      <c r="FU497" s="119">
        <f t="shared" si="13"/>
        <v>0</v>
      </c>
      <c r="FV497" s="119">
        <f t="shared" si="13"/>
        <v>0</v>
      </c>
      <c r="FW497" s="119">
        <f t="shared" si="13"/>
        <v>0</v>
      </c>
      <c r="FX497" s="119">
        <f t="shared" si="13"/>
        <v>0</v>
      </c>
      <c r="FY497" s="119">
        <f t="shared" si="13"/>
        <v>0</v>
      </c>
      <c r="FZ497" s="119">
        <f t="shared" si="13"/>
        <v>0</v>
      </c>
      <c r="GA497" s="119">
        <f t="shared" si="13"/>
        <v>0</v>
      </c>
      <c r="GB497" s="119">
        <f t="shared" si="13"/>
        <v>0</v>
      </c>
      <c r="GC497" s="119">
        <f t="shared" si="13"/>
        <v>0</v>
      </c>
      <c r="GD497" s="119">
        <f t="shared" si="13"/>
        <v>0</v>
      </c>
      <c r="GE497" s="119">
        <f t="shared" si="13"/>
        <v>0</v>
      </c>
      <c r="GF497" s="119">
        <f t="shared" si="13"/>
        <v>0</v>
      </c>
      <c r="GG497" s="119">
        <f t="shared" si="13"/>
        <v>0</v>
      </c>
      <c r="GH497" s="119">
        <f t="shared" si="13"/>
        <v>0</v>
      </c>
      <c r="GI497" s="119">
        <f t="shared" si="13"/>
        <v>0</v>
      </c>
      <c r="GJ497" s="119">
        <f t="shared" si="13"/>
        <v>0</v>
      </c>
      <c r="GK497" s="119">
        <f t="shared" si="13"/>
        <v>0</v>
      </c>
      <c r="GL497" s="119">
        <f t="shared" ref="GL497:IW497" si="14">SUM(GL483:GL496)</f>
        <v>0</v>
      </c>
      <c r="GM497" s="119">
        <f t="shared" si="14"/>
        <v>0</v>
      </c>
      <c r="GN497" s="119">
        <f t="shared" si="14"/>
        <v>0</v>
      </c>
      <c r="GO497" s="119">
        <f t="shared" si="14"/>
        <v>0</v>
      </c>
      <c r="GP497" s="119">
        <f t="shared" si="14"/>
        <v>0</v>
      </c>
      <c r="GQ497" s="119">
        <f t="shared" si="14"/>
        <v>0</v>
      </c>
      <c r="GR497" s="119">
        <f t="shared" si="14"/>
        <v>0</v>
      </c>
      <c r="GS497" s="119">
        <f t="shared" si="14"/>
        <v>0</v>
      </c>
      <c r="GT497" s="119">
        <f t="shared" si="14"/>
        <v>0</v>
      </c>
      <c r="GU497" s="119">
        <f t="shared" si="14"/>
        <v>0</v>
      </c>
      <c r="GV497" s="119">
        <f t="shared" si="14"/>
        <v>0</v>
      </c>
      <c r="GW497" s="119">
        <f t="shared" si="14"/>
        <v>0</v>
      </c>
      <c r="GX497" s="119">
        <f t="shared" si="14"/>
        <v>0</v>
      </c>
      <c r="GY497" s="119">
        <f t="shared" si="14"/>
        <v>0</v>
      </c>
      <c r="GZ497" s="119">
        <f t="shared" si="14"/>
        <v>0</v>
      </c>
      <c r="HA497" s="119">
        <f t="shared" si="14"/>
        <v>0</v>
      </c>
      <c r="HB497" s="119">
        <f t="shared" si="14"/>
        <v>0</v>
      </c>
      <c r="HC497" s="119">
        <f t="shared" si="14"/>
        <v>0</v>
      </c>
      <c r="HD497" s="119">
        <f t="shared" si="14"/>
        <v>0</v>
      </c>
      <c r="HE497" s="119">
        <f t="shared" si="14"/>
        <v>0</v>
      </c>
      <c r="HF497" s="119">
        <f t="shared" si="14"/>
        <v>0</v>
      </c>
      <c r="HG497" s="119">
        <f t="shared" si="14"/>
        <v>0</v>
      </c>
      <c r="HH497" s="119">
        <f t="shared" si="14"/>
        <v>0</v>
      </c>
      <c r="HI497" s="119">
        <f t="shared" si="14"/>
        <v>0</v>
      </c>
      <c r="HJ497" s="119">
        <f t="shared" si="14"/>
        <v>0</v>
      </c>
      <c r="HK497" s="119">
        <f t="shared" si="14"/>
        <v>0</v>
      </c>
      <c r="HL497" s="119">
        <f t="shared" si="14"/>
        <v>0</v>
      </c>
      <c r="HM497" s="119">
        <f t="shared" si="14"/>
        <v>0</v>
      </c>
      <c r="HN497" s="119">
        <f t="shared" si="14"/>
        <v>0</v>
      </c>
      <c r="HO497" s="119">
        <f t="shared" si="14"/>
        <v>0</v>
      </c>
      <c r="HP497" s="119">
        <f t="shared" si="14"/>
        <v>0</v>
      </c>
      <c r="HQ497" s="119">
        <f t="shared" si="14"/>
        <v>0</v>
      </c>
      <c r="HR497" s="119">
        <f t="shared" si="14"/>
        <v>0</v>
      </c>
      <c r="HS497" s="119">
        <f t="shared" si="14"/>
        <v>0</v>
      </c>
      <c r="HT497" s="119">
        <f t="shared" si="14"/>
        <v>0</v>
      </c>
      <c r="HU497" s="119">
        <f t="shared" si="14"/>
        <v>0</v>
      </c>
      <c r="HV497" s="119">
        <f t="shared" si="14"/>
        <v>0</v>
      </c>
      <c r="HW497" s="119">
        <f t="shared" si="14"/>
        <v>0</v>
      </c>
      <c r="HX497" s="119">
        <f t="shared" si="14"/>
        <v>0</v>
      </c>
      <c r="HY497" s="119">
        <f t="shared" si="14"/>
        <v>0</v>
      </c>
      <c r="HZ497" s="119">
        <f t="shared" si="14"/>
        <v>0</v>
      </c>
      <c r="IA497" s="119">
        <f t="shared" si="14"/>
        <v>0</v>
      </c>
      <c r="IB497" s="119">
        <f t="shared" si="14"/>
        <v>0</v>
      </c>
      <c r="IC497" s="119">
        <f t="shared" si="14"/>
        <v>0</v>
      </c>
      <c r="ID497" s="119">
        <f t="shared" si="14"/>
        <v>0</v>
      </c>
      <c r="IE497" s="119">
        <f t="shared" si="14"/>
        <v>0</v>
      </c>
      <c r="IF497" s="119">
        <f t="shared" si="14"/>
        <v>0</v>
      </c>
      <c r="IG497" s="119">
        <f t="shared" si="14"/>
        <v>0</v>
      </c>
      <c r="IH497" s="119">
        <f t="shared" si="14"/>
        <v>0</v>
      </c>
      <c r="II497" s="119">
        <f t="shared" si="14"/>
        <v>0</v>
      </c>
      <c r="IJ497" s="119">
        <f t="shared" si="14"/>
        <v>0</v>
      </c>
      <c r="IK497" s="119">
        <f t="shared" si="14"/>
        <v>0</v>
      </c>
      <c r="IL497" s="119">
        <f t="shared" si="14"/>
        <v>0</v>
      </c>
      <c r="IM497" s="119">
        <f t="shared" si="14"/>
        <v>0</v>
      </c>
      <c r="IN497" s="119">
        <f t="shared" si="14"/>
        <v>0</v>
      </c>
      <c r="IO497" s="119">
        <f t="shared" si="14"/>
        <v>0</v>
      </c>
      <c r="IP497" s="119">
        <f t="shared" si="14"/>
        <v>0</v>
      </c>
      <c r="IQ497" s="119">
        <f t="shared" si="14"/>
        <v>0</v>
      </c>
      <c r="IR497" s="119">
        <f t="shared" si="14"/>
        <v>0</v>
      </c>
      <c r="IS497" s="119">
        <f t="shared" si="14"/>
        <v>0</v>
      </c>
      <c r="IT497" s="119">
        <f t="shared" si="14"/>
        <v>0</v>
      </c>
      <c r="IU497" s="119">
        <f t="shared" si="14"/>
        <v>0</v>
      </c>
      <c r="IV497" s="119">
        <f t="shared" si="14"/>
        <v>0</v>
      </c>
      <c r="IW497" s="119">
        <f t="shared" si="14"/>
        <v>0</v>
      </c>
      <c r="IX497" s="119">
        <f t="shared" ref="IX497:JH497" si="15">SUM(IX483:IX496)</f>
        <v>0</v>
      </c>
      <c r="IY497" s="119">
        <f t="shared" si="15"/>
        <v>0</v>
      </c>
      <c r="IZ497" s="119">
        <f t="shared" si="15"/>
        <v>0</v>
      </c>
      <c r="JA497" s="119">
        <f t="shared" si="15"/>
        <v>0</v>
      </c>
      <c r="JB497" s="119">
        <f t="shared" si="15"/>
        <v>0</v>
      </c>
      <c r="JC497" s="119">
        <f t="shared" si="15"/>
        <v>0</v>
      </c>
      <c r="JD497" s="119">
        <f t="shared" si="15"/>
        <v>0</v>
      </c>
      <c r="JE497" s="119">
        <f t="shared" si="15"/>
        <v>0</v>
      </c>
      <c r="JF497" s="119">
        <f t="shared" si="15"/>
        <v>0</v>
      </c>
      <c r="JG497" s="119">
        <f t="shared" si="15"/>
        <v>0</v>
      </c>
      <c r="JH497" s="119">
        <f t="shared" si="15"/>
        <v>0</v>
      </c>
      <c r="JI497" s="119">
        <f t="shared" si="3"/>
        <v>0</v>
      </c>
      <c r="JJ497" s="2"/>
      <c r="JK497" s="2"/>
    </row>
    <row r="498" spans="1:271">
      <c r="A498" s="119">
        <f>A481+A497</f>
        <v>0</v>
      </c>
      <c r="B498" s="119">
        <f t="shared" ref="B498:BM498" si="16">B481+B497</f>
        <v>0</v>
      </c>
      <c r="C498" s="119">
        <f t="shared" si="16"/>
        <v>0</v>
      </c>
      <c r="D498" s="119">
        <f t="shared" si="16"/>
        <v>0</v>
      </c>
      <c r="E498" s="119">
        <f t="shared" si="16"/>
        <v>0</v>
      </c>
      <c r="F498" s="119">
        <f t="shared" si="16"/>
        <v>0</v>
      </c>
      <c r="G498" s="119">
        <f t="shared" si="16"/>
        <v>0</v>
      </c>
      <c r="H498" s="119">
        <f t="shared" si="16"/>
        <v>0</v>
      </c>
      <c r="I498" s="119">
        <f t="shared" si="16"/>
        <v>0</v>
      </c>
      <c r="J498" s="119">
        <f t="shared" si="16"/>
        <v>0</v>
      </c>
      <c r="K498" s="119">
        <f t="shared" si="16"/>
        <v>0</v>
      </c>
      <c r="L498" s="119">
        <f t="shared" si="16"/>
        <v>0</v>
      </c>
      <c r="M498" s="119">
        <f t="shared" si="16"/>
        <v>0</v>
      </c>
      <c r="N498" s="119">
        <f t="shared" si="16"/>
        <v>0</v>
      </c>
      <c r="O498" s="119">
        <f t="shared" si="16"/>
        <v>0</v>
      </c>
      <c r="P498" s="119">
        <f t="shared" si="16"/>
        <v>0</v>
      </c>
      <c r="Q498" s="119">
        <f t="shared" si="16"/>
        <v>0</v>
      </c>
      <c r="R498" s="119">
        <f t="shared" si="16"/>
        <v>0</v>
      </c>
      <c r="S498" s="119">
        <f t="shared" si="16"/>
        <v>0</v>
      </c>
      <c r="T498" s="119">
        <f t="shared" si="16"/>
        <v>0</v>
      </c>
      <c r="U498" s="119">
        <f t="shared" si="16"/>
        <v>0</v>
      </c>
      <c r="V498" s="119">
        <f t="shared" si="16"/>
        <v>0</v>
      </c>
      <c r="W498" s="119">
        <f t="shared" si="16"/>
        <v>0</v>
      </c>
      <c r="X498" s="119">
        <f t="shared" si="16"/>
        <v>0</v>
      </c>
      <c r="Y498" s="119">
        <f t="shared" si="16"/>
        <v>0</v>
      </c>
      <c r="Z498" s="119">
        <f t="shared" si="16"/>
        <v>0</v>
      </c>
      <c r="AA498" s="119">
        <f t="shared" si="16"/>
        <v>0</v>
      </c>
      <c r="AB498" s="119">
        <f t="shared" si="16"/>
        <v>0</v>
      </c>
      <c r="AC498" s="119">
        <f t="shared" si="16"/>
        <v>0</v>
      </c>
      <c r="AD498" s="119">
        <f t="shared" si="16"/>
        <v>0</v>
      </c>
      <c r="AE498" s="119">
        <f t="shared" si="16"/>
        <v>0</v>
      </c>
      <c r="AF498" s="119">
        <f t="shared" si="16"/>
        <v>0</v>
      </c>
      <c r="AG498" s="119">
        <f t="shared" si="16"/>
        <v>0</v>
      </c>
      <c r="AH498" s="119">
        <f t="shared" si="16"/>
        <v>0</v>
      </c>
      <c r="AI498" s="119">
        <f t="shared" si="16"/>
        <v>0</v>
      </c>
      <c r="AJ498" s="119">
        <f t="shared" si="16"/>
        <v>0</v>
      </c>
      <c r="AK498" s="119">
        <f t="shared" si="16"/>
        <v>0</v>
      </c>
      <c r="AL498" s="119">
        <f t="shared" si="16"/>
        <v>0</v>
      </c>
      <c r="AM498" s="119">
        <f t="shared" si="16"/>
        <v>0</v>
      </c>
      <c r="AN498" s="119">
        <f t="shared" si="16"/>
        <v>0</v>
      </c>
      <c r="AO498" s="119">
        <f t="shared" si="16"/>
        <v>0</v>
      </c>
      <c r="AP498" s="119">
        <f t="shared" si="16"/>
        <v>0</v>
      </c>
      <c r="AQ498" s="119">
        <f t="shared" si="16"/>
        <v>213516.07</v>
      </c>
      <c r="AR498" s="119">
        <f t="shared" si="16"/>
        <v>0</v>
      </c>
      <c r="AS498" s="119">
        <f t="shared" si="16"/>
        <v>0</v>
      </c>
      <c r="AT498" s="119">
        <f t="shared" si="16"/>
        <v>0</v>
      </c>
      <c r="AU498" s="119">
        <f t="shared" si="16"/>
        <v>0</v>
      </c>
      <c r="AV498" s="119">
        <f t="shared" si="16"/>
        <v>0</v>
      </c>
      <c r="AW498" s="119">
        <f>AW481+AW497</f>
        <v>1465000</v>
      </c>
      <c r="AX498" s="119">
        <f t="shared" si="16"/>
        <v>0</v>
      </c>
      <c r="AY498" s="119">
        <f t="shared" si="16"/>
        <v>554568.57000000007</v>
      </c>
      <c r="AZ498" s="119">
        <f t="shared" si="16"/>
        <v>0</v>
      </c>
      <c r="BA498" s="119">
        <f t="shared" si="16"/>
        <v>0</v>
      </c>
      <c r="BB498" s="119">
        <f t="shared" si="16"/>
        <v>20000</v>
      </c>
      <c r="BC498" s="119">
        <f t="shared" si="16"/>
        <v>48000</v>
      </c>
      <c r="BD498" s="119">
        <f t="shared" si="16"/>
        <v>0</v>
      </c>
      <c r="BE498" s="119">
        <f t="shared" si="16"/>
        <v>0</v>
      </c>
      <c r="BF498" s="119">
        <f t="shared" si="16"/>
        <v>0</v>
      </c>
      <c r="BG498" s="119">
        <f t="shared" si="16"/>
        <v>0</v>
      </c>
      <c r="BH498" s="119">
        <f t="shared" si="16"/>
        <v>0</v>
      </c>
      <c r="BI498" s="119">
        <f t="shared" si="16"/>
        <v>0</v>
      </c>
      <c r="BJ498" s="119">
        <f t="shared" si="16"/>
        <v>0</v>
      </c>
      <c r="BK498" s="119">
        <f t="shared" si="16"/>
        <v>0</v>
      </c>
      <c r="BL498" s="119">
        <f t="shared" si="16"/>
        <v>0</v>
      </c>
      <c r="BM498" s="119">
        <f t="shared" si="16"/>
        <v>0</v>
      </c>
      <c r="BN498" s="119">
        <f t="shared" ref="BN498:DY498" si="17">BN481+BN497</f>
        <v>0</v>
      </c>
      <c r="BO498" s="119">
        <f t="shared" si="17"/>
        <v>0</v>
      </c>
      <c r="BP498" s="119">
        <f t="shared" si="17"/>
        <v>0</v>
      </c>
      <c r="BQ498" s="119">
        <f t="shared" si="17"/>
        <v>0</v>
      </c>
      <c r="BR498" s="119">
        <f t="shared" si="17"/>
        <v>0</v>
      </c>
      <c r="BS498" s="119">
        <f t="shared" si="17"/>
        <v>0</v>
      </c>
      <c r="BT498" s="119">
        <f t="shared" si="17"/>
        <v>0</v>
      </c>
      <c r="BU498" s="119">
        <f t="shared" si="17"/>
        <v>0</v>
      </c>
      <c r="BV498" s="119">
        <f t="shared" si="17"/>
        <v>0</v>
      </c>
      <c r="BW498" s="119">
        <f t="shared" si="17"/>
        <v>1927835.1199999999</v>
      </c>
      <c r="BX498" s="119">
        <f t="shared" si="17"/>
        <v>0</v>
      </c>
      <c r="BY498" s="119">
        <f t="shared" si="17"/>
        <v>0</v>
      </c>
      <c r="BZ498" s="119">
        <f t="shared" si="17"/>
        <v>0</v>
      </c>
      <c r="CA498" s="119">
        <f t="shared" si="17"/>
        <v>0</v>
      </c>
      <c r="CB498" s="119">
        <f t="shared" si="17"/>
        <v>0</v>
      </c>
      <c r="CC498" s="119">
        <f t="shared" si="17"/>
        <v>0</v>
      </c>
      <c r="CD498" s="119">
        <f t="shared" si="17"/>
        <v>0</v>
      </c>
      <c r="CE498" s="119">
        <f t="shared" si="17"/>
        <v>0</v>
      </c>
      <c r="CF498" s="119">
        <f t="shared" si="17"/>
        <v>0</v>
      </c>
      <c r="CG498" s="119">
        <f t="shared" si="17"/>
        <v>0</v>
      </c>
      <c r="CH498" s="119">
        <f t="shared" si="17"/>
        <v>513300</v>
      </c>
      <c r="CI498" s="119">
        <f t="shared" si="17"/>
        <v>0</v>
      </c>
      <c r="CJ498" s="119">
        <f t="shared" si="17"/>
        <v>252741.56</v>
      </c>
      <c r="CK498" s="119">
        <f t="shared" si="17"/>
        <v>0</v>
      </c>
      <c r="CL498" s="119">
        <f t="shared" si="17"/>
        <v>0</v>
      </c>
      <c r="CM498" s="119">
        <f t="shared" si="17"/>
        <v>0</v>
      </c>
      <c r="CN498" s="119">
        <f t="shared" si="17"/>
        <v>0</v>
      </c>
      <c r="CO498" s="119">
        <f t="shared" si="17"/>
        <v>0</v>
      </c>
      <c r="CP498" s="119">
        <f t="shared" si="17"/>
        <v>0</v>
      </c>
      <c r="CQ498" s="119">
        <f t="shared" si="17"/>
        <v>0</v>
      </c>
      <c r="CR498" s="119">
        <f t="shared" si="17"/>
        <v>0</v>
      </c>
      <c r="CS498" s="119">
        <f t="shared" si="17"/>
        <v>202960</v>
      </c>
      <c r="CT498" s="119">
        <f t="shared" si="17"/>
        <v>0</v>
      </c>
      <c r="CU498" s="119">
        <f t="shared" si="17"/>
        <v>255493.61000000002</v>
      </c>
      <c r="CV498" s="119">
        <f t="shared" si="17"/>
        <v>86730</v>
      </c>
      <c r="CW498" s="119">
        <f t="shared" si="17"/>
        <v>0</v>
      </c>
      <c r="CX498" s="119">
        <f t="shared" si="17"/>
        <v>0</v>
      </c>
      <c r="CY498" s="119">
        <f t="shared" si="17"/>
        <v>0</v>
      </c>
      <c r="CZ498" s="119">
        <f t="shared" si="17"/>
        <v>0</v>
      </c>
      <c r="DA498" s="119">
        <f t="shared" si="17"/>
        <v>0</v>
      </c>
      <c r="DB498" s="119">
        <f t="shared" si="17"/>
        <v>0</v>
      </c>
      <c r="DC498" s="119">
        <f t="shared" si="17"/>
        <v>0</v>
      </c>
      <c r="DD498" s="119">
        <f t="shared" si="17"/>
        <v>0</v>
      </c>
      <c r="DE498" s="119">
        <f t="shared" si="17"/>
        <v>315560</v>
      </c>
      <c r="DF498" s="119">
        <f t="shared" si="17"/>
        <v>10850</v>
      </c>
      <c r="DG498" s="119">
        <f t="shared" si="17"/>
        <v>0</v>
      </c>
      <c r="DH498" s="119">
        <f t="shared" si="17"/>
        <v>0</v>
      </c>
      <c r="DI498" s="119">
        <f t="shared" si="17"/>
        <v>0</v>
      </c>
      <c r="DJ498" s="119">
        <f t="shared" si="17"/>
        <v>1734600</v>
      </c>
      <c r="DK498" s="119">
        <f t="shared" si="17"/>
        <v>197315</v>
      </c>
      <c r="DL498" s="119">
        <f t="shared" si="17"/>
        <v>0</v>
      </c>
      <c r="DM498" s="119">
        <f t="shared" si="17"/>
        <v>0</v>
      </c>
      <c r="DN498" s="119">
        <f t="shared" si="17"/>
        <v>0</v>
      </c>
      <c r="DO498" s="119">
        <f t="shared" si="17"/>
        <v>0</v>
      </c>
      <c r="DP498" s="119">
        <f t="shared" si="17"/>
        <v>0</v>
      </c>
      <c r="DQ498" s="119">
        <f t="shared" si="17"/>
        <v>0</v>
      </c>
      <c r="DR498" s="119">
        <f t="shared" si="17"/>
        <v>0</v>
      </c>
      <c r="DS498" s="119">
        <f t="shared" si="17"/>
        <v>623449.22</v>
      </c>
      <c r="DT498" s="119">
        <f t="shared" si="17"/>
        <v>0</v>
      </c>
      <c r="DU498" s="119">
        <f t="shared" si="17"/>
        <v>0</v>
      </c>
      <c r="DV498" s="119">
        <f t="shared" si="17"/>
        <v>0</v>
      </c>
      <c r="DW498" s="119">
        <f t="shared" si="17"/>
        <v>289100</v>
      </c>
      <c r="DX498" s="119">
        <f t="shared" si="17"/>
        <v>0</v>
      </c>
      <c r="DY498" s="119">
        <f t="shared" si="17"/>
        <v>0</v>
      </c>
      <c r="DZ498" s="119">
        <f t="shared" ref="DZ498:GK498" si="18">DZ481+DZ497</f>
        <v>0</v>
      </c>
      <c r="EA498" s="119">
        <f t="shared" si="18"/>
        <v>454061.65</v>
      </c>
      <c r="EB498" s="119">
        <f t="shared" si="18"/>
        <v>0</v>
      </c>
      <c r="EC498" s="119">
        <f t="shared" si="18"/>
        <v>0</v>
      </c>
      <c r="ED498" s="119">
        <f t="shared" si="18"/>
        <v>0</v>
      </c>
      <c r="EE498" s="119">
        <f t="shared" si="18"/>
        <v>0</v>
      </c>
      <c r="EF498" s="119">
        <f t="shared" si="18"/>
        <v>0</v>
      </c>
      <c r="EG498" s="119">
        <f t="shared" si="18"/>
        <v>10970.210000000001</v>
      </c>
      <c r="EH498" s="119">
        <f t="shared" si="18"/>
        <v>0</v>
      </c>
      <c r="EI498" s="119">
        <f t="shared" si="18"/>
        <v>0</v>
      </c>
      <c r="EJ498" s="119">
        <f t="shared" si="18"/>
        <v>0</v>
      </c>
      <c r="EK498" s="119">
        <f t="shared" si="18"/>
        <v>0</v>
      </c>
      <c r="EL498" s="119">
        <f t="shared" si="18"/>
        <v>0</v>
      </c>
      <c r="EM498" s="119">
        <f t="shared" si="18"/>
        <v>9246.01</v>
      </c>
      <c r="EN498" s="119">
        <f t="shared" si="18"/>
        <v>0</v>
      </c>
      <c r="EO498" s="119">
        <f t="shared" si="18"/>
        <v>8500</v>
      </c>
      <c r="EP498" s="119">
        <f t="shared" si="18"/>
        <v>78291.990000000005</v>
      </c>
      <c r="EQ498" s="119">
        <f t="shared" si="18"/>
        <v>0</v>
      </c>
      <c r="ER498" s="119">
        <f t="shared" si="18"/>
        <v>84826.57</v>
      </c>
      <c r="ES498" s="119">
        <f t="shared" si="18"/>
        <v>0</v>
      </c>
      <c r="ET498" s="119">
        <f t="shared" si="18"/>
        <v>0</v>
      </c>
      <c r="EU498" s="119">
        <f t="shared" si="18"/>
        <v>0</v>
      </c>
      <c r="EV498" s="119">
        <f t="shared" si="18"/>
        <v>0</v>
      </c>
      <c r="EW498" s="119">
        <f t="shared" si="18"/>
        <v>0</v>
      </c>
      <c r="EX498" s="119">
        <f t="shared" si="18"/>
        <v>0</v>
      </c>
      <c r="EY498" s="119">
        <f t="shared" si="18"/>
        <v>0</v>
      </c>
      <c r="EZ498" s="119">
        <f t="shared" si="18"/>
        <v>3749.92</v>
      </c>
      <c r="FA498" s="119">
        <f t="shared" si="18"/>
        <v>172000</v>
      </c>
      <c r="FB498" s="119">
        <f t="shared" si="18"/>
        <v>1124000</v>
      </c>
      <c r="FC498" s="119">
        <f t="shared" si="18"/>
        <v>0</v>
      </c>
      <c r="FD498" s="119">
        <f t="shared" si="18"/>
        <v>44590</v>
      </c>
      <c r="FE498" s="119">
        <f t="shared" si="18"/>
        <v>0</v>
      </c>
      <c r="FF498" s="119">
        <f t="shared" si="18"/>
        <v>0</v>
      </c>
      <c r="FG498" s="119">
        <f t="shared" si="18"/>
        <v>0</v>
      </c>
      <c r="FH498" s="119">
        <f t="shared" si="18"/>
        <v>0</v>
      </c>
      <c r="FI498" s="119">
        <f t="shared" si="18"/>
        <v>0</v>
      </c>
      <c r="FJ498" s="119">
        <f t="shared" si="18"/>
        <v>129593</v>
      </c>
      <c r="FK498" s="119">
        <f t="shared" si="18"/>
        <v>0</v>
      </c>
      <c r="FL498" s="119">
        <f t="shared" si="18"/>
        <v>0</v>
      </c>
      <c r="FM498" s="119">
        <f t="shared" si="18"/>
        <v>0</v>
      </c>
      <c r="FN498" s="119">
        <f t="shared" si="18"/>
        <v>1743484</v>
      </c>
      <c r="FO498" s="119">
        <f t="shared" si="18"/>
        <v>0</v>
      </c>
      <c r="FP498" s="119">
        <f t="shared" si="18"/>
        <v>0</v>
      </c>
      <c r="FQ498" s="119">
        <f t="shared" si="18"/>
        <v>312110</v>
      </c>
      <c r="FR498" s="119">
        <f t="shared" si="18"/>
        <v>0</v>
      </c>
      <c r="FS498" s="119">
        <f t="shared" si="18"/>
        <v>93868.950000000012</v>
      </c>
      <c r="FT498" s="119">
        <f t="shared" si="18"/>
        <v>3083216.5400000005</v>
      </c>
      <c r="FU498" s="119">
        <f t="shared" si="18"/>
        <v>50870.39</v>
      </c>
      <c r="FV498" s="119">
        <f t="shared" si="18"/>
        <v>0</v>
      </c>
      <c r="FW498" s="119">
        <f t="shared" si="18"/>
        <v>157157.64000000001</v>
      </c>
      <c r="FX498" s="119">
        <f t="shared" si="18"/>
        <v>0</v>
      </c>
      <c r="FY498" s="119">
        <f t="shared" si="18"/>
        <v>1387459.34</v>
      </c>
      <c r="FZ498" s="119">
        <f t="shared" si="18"/>
        <v>361550.87</v>
      </c>
      <c r="GA498" s="119">
        <f t="shared" si="18"/>
        <v>112919.38</v>
      </c>
      <c r="GB498" s="119">
        <f t="shared" si="18"/>
        <v>603282.60000000009</v>
      </c>
      <c r="GC498" s="119">
        <f t="shared" si="18"/>
        <v>3600</v>
      </c>
      <c r="GD498" s="119">
        <f t="shared" si="18"/>
        <v>12400</v>
      </c>
      <c r="GE498" s="119">
        <f t="shared" si="18"/>
        <v>0</v>
      </c>
      <c r="GF498" s="119">
        <f t="shared" si="18"/>
        <v>0</v>
      </c>
      <c r="GG498" s="119">
        <f t="shared" si="18"/>
        <v>0</v>
      </c>
      <c r="GH498" s="119">
        <f t="shared" si="18"/>
        <v>186481.72999999998</v>
      </c>
      <c r="GI498" s="119">
        <f t="shared" si="18"/>
        <v>46091.27</v>
      </c>
      <c r="GJ498" s="119">
        <f t="shared" si="18"/>
        <v>0</v>
      </c>
      <c r="GK498" s="119">
        <f t="shared" si="18"/>
        <v>60550.060000000005</v>
      </c>
      <c r="GL498" s="119">
        <f t="shared" ref="GL498:IW498" si="19">GL481+GL497</f>
        <v>0</v>
      </c>
      <c r="GM498" s="119">
        <f t="shared" si="19"/>
        <v>0</v>
      </c>
      <c r="GN498" s="119">
        <f t="shared" si="19"/>
        <v>0</v>
      </c>
      <c r="GO498" s="119">
        <f t="shared" si="19"/>
        <v>0</v>
      </c>
      <c r="GP498" s="119">
        <f t="shared" si="19"/>
        <v>0</v>
      </c>
      <c r="GQ498" s="119">
        <f t="shared" si="19"/>
        <v>2680384.16</v>
      </c>
      <c r="GR498" s="119">
        <f t="shared" si="19"/>
        <v>283200</v>
      </c>
      <c r="GS498" s="119">
        <f t="shared" si="19"/>
        <v>0</v>
      </c>
      <c r="GT498" s="119">
        <f t="shared" si="19"/>
        <v>0</v>
      </c>
      <c r="GU498" s="119">
        <f t="shared" si="19"/>
        <v>0</v>
      </c>
      <c r="GV498" s="119">
        <f t="shared" si="19"/>
        <v>0</v>
      </c>
      <c r="GW498" s="119">
        <f t="shared" si="19"/>
        <v>0</v>
      </c>
      <c r="GX498" s="119">
        <f t="shared" si="19"/>
        <v>0</v>
      </c>
      <c r="GY498" s="119">
        <f t="shared" si="19"/>
        <v>0</v>
      </c>
      <c r="GZ498" s="119">
        <f t="shared" si="19"/>
        <v>0</v>
      </c>
      <c r="HA498" s="119">
        <f t="shared" si="19"/>
        <v>0</v>
      </c>
      <c r="HB498" s="119">
        <f t="shared" si="19"/>
        <v>0</v>
      </c>
      <c r="HC498" s="119">
        <f t="shared" si="19"/>
        <v>0</v>
      </c>
      <c r="HD498" s="119">
        <f t="shared" si="19"/>
        <v>711998.01</v>
      </c>
      <c r="HE498" s="119">
        <f t="shared" si="19"/>
        <v>0</v>
      </c>
      <c r="HF498" s="119">
        <f t="shared" si="19"/>
        <v>0</v>
      </c>
      <c r="HG498" s="119">
        <f t="shared" si="19"/>
        <v>0</v>
      </c>
      <c r="HH498" s="119">
        <f t="shared" si="19"/>
        <v>0</v>
      </c>
      <c r="HI498" s="119">
        <f t="shared" si="19"/>
        <v>41010.06</v>
      </c>
      <c r="HJ498" s="119">
        <f t="shared" si="19"/>
        <v>0</v>
      </c>
      <c r="HK498" s="119">
        <f t="shared" si="19"/>
        <v>0</v>
      </c>
      <c r="HL498" s="119">
        <f t="shared" si="19"/>
        <v>186179.05</v>
      </c>
      <c r="HM498" s="119">
        <f t="shared" si="19"/>
        <v>0</v>
      </c>
      <c r="HN498" s="119">
        <f t="shared" si="19"/>
        <v>0</v>
      </c>
      <c r="HO498" s="119">
        <f t="shared" si="19"/>
        <v>0</v>
      </c>
      <c r="HP498" s="119">
        <f t="shared" si="19"/>
        <v>0</v>
      </c>
      <c r="HQ498" s="119">
        <f t="shared" si="19"/>
        <v>0</v>
      </c>
      <c r="HR498" s="119">
        <f t="shared" si="19"/>
        <v>0</v>
      </c>
      <c r="HS498" s="119">
        <f t="shared" si="19"/>
        <v>0</v>
      </c>
      <c r="HT498" s="119">
        <f t="shared" si="19"/>
        <v>0</v>
      </c>
      <c r="HU498" s="119">
        <f t="shared" si="19"/>
        <v>0</v>
      </c>
      <c r="HV498" s="119">
        <f t="shared" si="19"/>
        <v>0</v>
      </c>
      <c r="HW498" s="119">
        <f t="shared" si="19"/>
        <v>0</v>
      </c>
      <c r="HX498" s="119">
        <f t="shared" si="19"/>
        <v>0</v>
      </c>
      <c r="HY498" s="119">
        <f t="shared" si="19"/>
        <v>0</v>
      </c>
      <c r="HZ498" s="119">
        <f t="shared" si="19"/>
        <v>0</v>
      </c>
      <c r="IA498" s="119">
        <f t="shared" si="19"/>
        <v>0</v>
      </c>
      <c r="IB498" s="119">
        <f t="shared" si="19"/>
        <v>0</v>
      </c>
      <c r="IC498" s="119">
        <f t="shared" si="19"/>
        <v>0</v>
      </c>
      <c r="ID498" s="119">
        <f t="shared" si="19"/>
        <v>0</v>
      </c>
      <c r="IE498" s="119">
        <f t="shared" si="19"/>
        <v>0</v>
      </c>
      <c r="IF498" s="119">
        <f t="shared" si="19"/>
        <v>0</v>
      </c>
      <c r="IG498" s="119">
        <f t="shared" si="19"/>
        <v>0</v>
      </c>
      <c r="IH498" s="119">
        <f t="shared" si="19"/>
        <v>0</v>
      </c>
      <c r="II498" s="119">
        <f t="shared" si="19"/>
        <v>0</v>
      </c>
      <c r="IJ498" s="119">
        <f t="shared" si="19"/>
        <v>0</v>
      </c>
      <c r="IK498" s="119">
        <f t="shared" si="19"/>
        <v>0</v>
      </c>
      <c r="IL498" s="119">
        <f t="shared" si="19"/>
        <v>0</v>
      </c>
      <c r="IM498" s="119">
        <f t="shared" si="19"/>
        <v>0</v>
      </c>
      <c r="IN498" s="119">
        <f t="shared" si="19"/>
        <v>0</v>
      </c>
      <c r="IO498" s="119">
        <f t="shared" si="19"/>
        <v>154881.20000000001</v>
      </c>
      <c r="IP498" s="119">
        <f t="shared" si="19"/>
        <v>0</v>
      </c>
      <c r="IQ498" s="119">
        <f t="shared" si="19"/>
        <v>0</v>
      </c>
      <c r="IR498" s="119">
        <f t="shared" si="19"/>
        <v>0</v>
      </c>
      <c r="IS498" s="119">
        <f t="shared" si="19"/>
        <v>0</v>
      </c>
      <c r="IT498" s="119">
        <f t="shared" si="19"/>
        <v>0</v>
      </c>
      <c r="IU498" s="119">
        <f t="shared" si="19"/>
        <v>0</v>
      </c>
      <c r="IV498" s="119">
        <f t="shared" si="19"/>
        <v>0</v>
      </c>
      <c r="IW498" s="119">
        <f t="shared" si="19"/>
        <v>0</v>
      </c>
      <c r="IX498" s="119">
        <f t="shared" ref="IX498:JH498" si="20">IX481+IX497</f>
        <v>0</v>
      </c>
      <c r="IY498" s="119">
        <f t="shared" si="20"/>
        <v>0</v>
      </c>
      <c r="IZ498" s="119">
        <f t="shared" si="20"/>
        <v>0</v>
      </c>
      <c r="JA498" s="119">
        <f t="shared" si="20"/>
        <v>0</v>
      </c>
      <c r="JB498" s="119">
        <f t="shared" si="20"/>
        <v>0</v>
      </c>
      <c r="JC498" s="119">
        <f t="shared" si="20"/>
        <v>0</v>
      </c>
      <c r="JD498" s="119">
        <f t="shared" si="20"/>
        <v>0</v>
      </c>
      <c r="JE498" s="119">
        <f t="shared" si="20"/>
        <v>0</v>
      </c>
      <c r="JF498" s="119">
        <f t="shared" si="20"/>
        <v>0</v>
      </c>
      <c r="JG498" s="119">
        <f t="shared" si="20"/>
        <v>0</v>
      </c>
      <c r="JH498" s="119">
        <f t="shared" si="20"/>
        <v>0</v>
      </c>
      <c r="JI498" s="119">
        <f t="shared" si="3"/>
        <v>23103543.750000004</v>
      </c>
      <c r="JJ498" s="2"/>
      <c r="JK498" s="2"/>
    </row>
    <row r="605" spans="265:265">
      <c r="JE605" s="341">
        <v>409</v>
      </c>
    </row>
    <row r="606" spans="265:265">
      <c r="JE606" s="1">
        <v>410</v>
      </c>
    </row>
    <row r="607" spans="265:265">
      <c r="JE607" s="1">
        <v>411</v>
      </c>
    </row>
    <row r="608" spans="265:265">
      <c r="JE608" s="1">
        <v>412</v>
      </c>
    </row>
    <row r="609" spans="265:265">
      <c r="JE609" s="1">
        <v>413</v>
      </c>
    </row>
    <row r="610" spans="265:265">
      <c r="JE610" s="1">
        <v>414</v>
      </c>
    </row>
    <row r="611" spans="265:265">
      <c r="JE611" s="1">
        <v>415</v>
      </c>
    </row>
    <row r="612" spans="265:265">
      <c r="JE612" s="1">
        <v>416</v>
      </c>
    </row>
    <row r="613" spans="265:265">
      <c r="JE613" s="1">
        <v>417</v>
      </c>
    </row>
    <row r="614" spans="265:265">
      <c r="JE614" s="1">
        <v>418</v>
      </c>
    </row>
    <row r="615" spans="265:265">
      <c r="JE615" s="1">
        <v>419</v>
      </c>
    </row>
    <row r="616" spans="265:265">
      <c r="JE616" s="1">
        <v>420</v>
      </c>
    </row>
    <row r="617" spans="265:265">
      <c r="JE617" s="1">
        <v>421</v>
      </c>
    </row>
    <row r="618" spans="265:265">
      <c r="JE618" s="1">
        <v>422</v>
      </c>
    </row>
    <row r="619" spans="265:265">
      <c r="JE619" s="1">
        <v>423</v>
      </c>
    </row>
    <row r="620" spans="265:265">
      <c r="JE620" s="1">
        <v>424</v>
      </c>
    </row>
    <row r="621" spans="265:265">
      <c r="JE621" s="1">
        <v>425</v>
      </c>
    </row>
    <row r="622" spans="265:265">
      <c r="JE622" s="1">
        <v>426</v>
      </c>
    </row>
    <row r="623" spans="265:265">
      <c r="JE623" s="1">
        <v>427</v>
      </c>
    </row>
    <row r="624" spans="265:265">
      <c r="JE624" s="1">
        <v>428</v>
      </c>
    </row>
    <row r="625" spans="265:265">
      <c r="JE625" s="1">
        <v>429</v>
      </c>
    </row>
    <row r="626" spans="265:265">
      <c r="JE626" s="1">
        <v>430</v>
      </c>
    </row>
    <row r="627" spans="265:265">
      <c r="JE627" s="1">
        <v>431</v>
      </c>
    </row>
    <row r="628" spans="265:265">
      <c r="JE628" s="1">
        <v>432</v>
      </c>
    </row>
    <row r="629" spans="265:265">
      <c r="JE629" s="1">
        <v>433</v>
      </c>
    </row>
    <row r="630" spans="265:265">
      <c r="JE630" s="1">
        <v>434</v>
      </c>
    </row>
    <row r="631" spans="265:265">
      <c r="JE631" s="1">
        <v>435</v>
      </c>
    </row>
    <row r="632" spans="265:265">
      <c r="JE632" s="1">
        <v>436</v>
      </c>
    </row>
    <row r="633" spans="265:265">
      <c r="JE633" s="1">
        <v>437</v>
      </c>
    </row>
    <row r="634" spans="265:265">
      <c r="JE634" s="1">
        <v>438</v>
      </c>
    </row>
    <row r="635" spans="265:265">
      <c r="JE635" s="1">
        <v>439</v>
      </c>
    </row>
    <row r="636" spans="265:265">
      <c r="JE636" s="1">
        <v>440</v>
      </c>
    </row>
    <row r="637" spans="265:265">
      <c r="JE637" s="1">
        <v>441</v>
      </c>
    </row>
    <row r="638" spans="265:265">
      <c r="JE638" s="1">
        <v>442</v>
      </c>
    </row>
    <row r="639" spans="265:265">
      <c r="JE639" s="1">
        <v>444</v>
      </c>
    </row>
    <row r="640" spans="265:265">
      <c r="JE640" s="1">
        <v>445</v>
      </c>
    </row>
    <row r="641" spans="265:265">
      <c r="JE641" s="1">
        <v>446</v>
      </c>
    </row>
    <row r="642" spans="265:265">
      <c r="JE642" s="1">
        <v>447</v>
      </c>
    </row>
    <row r="643" spans="265:265">
      <c r="JE643" s="1">
        <v>448</v>
      </c>
    </row>
    <row r="644" spans="265:265">
      <c r="JE644" s="1">
        <v>449</v>
      </c>
    </row>
    <row r="645" spans="265:265">
      <c r="JE645" s="1">
        <v>450</v>
      </c>
    </row>
    <row r="646" spans="265:265">
      <c r="JE646" s="1">
        <v>451</v>
      </c>
    </row>
    <row r="647" spans="265:265">
      <c r="JE647" s="1">
        <v>452</v>
      </c>
    </row>
    <row r="648" spans="265:265">
      <c r="JE648" s="1">
        <v>453</v>
      </c>
    </row>
    <row r="649" spans="265:265">
      <c r="JE649" s="1">
        <v>454</v>
      </c>
    </row>
    <row r="650" spans="265:265">
      <c r="JE650" s="1">
        <v>455</v>
      </c>
    </row>
    <row r="651" spans="265:265">
      <c r="JE651" s="1">
        <v>456</v>
      </c>
    </row>
    <row r="652" spans="265:265">
      <c r="JE652" s="1">
        <v>457</v>
      </c>
    </row>
    <row r="653" spans="265:265">
      <c r="JE653" s="1">
        <v>458</v>
      </c>
    </row>
    <row r="654" spans="265:265">
      <c r="JE654" s="1">
        <v>459</v>
      </c>
    </row>
    <row r="655" spans="265:265">
      <c r="JE655" s="1">
        <v>460</v>
      </c>
    </row>
    <row r="656" spans="265:265">
      <c r="JE656" s="1">
        <v>461</v>
      </c>
    </row>
    <row r="657" spans="265:265">
      <c r="JE657" s="1">
        <v>462</v>
      </c>
    </row>
    <row r="658" spans="265:265">
      <c r="JE658" s="1">
        <v>463</v>
      </c>
    </row>
    <row r="659" spans="265:265">
      <c r="JE659" s="1">
        <v>464</v>
      </c>
    </row>
    <row r="660" spans="265:265">
      <c r="JE660" s="1">
        <v>465</v>
      </c>
    </row>
    <row r="661" spans="265:265">
      <c r="JE661" s="1">
        <v>466</v>
      </c>
    </row>
    <row r="662" spans="265:265">
      <c r="JE662" s="1">
        <v>467</v>
      </c>
    </row>
    <row r="663" spans="265:265">
      <c r="JE663" s="1">
        <v>468</v>
      </c>
    </row>
    <row r="664" spans="265:265">
      <c r="JE664" s="1">
        <v>469</v>
      </c>
    </row>
    <row r="665" spans="265:265">
      <c r="JE665" s="1">
        <v>470</v>
      </c>
    </row>
    <row r="666" spans="265:265">
      <c r="JE666" s="1">
        <v>471</v>
      </c>
    </row>
    <row r="667" spans="265:265">
      <c r="JE667" s="1">
        <v>472</v>
      </c>
    </row>
    <row r="668" spans="265:265">
      <c r="JE668" s="1">
        <v>473</v>
      </c>
    </row>
    <row r="669" spans="265:265">
      <c r="JE669" s="1">
        <v>474</v>
      </c>
    </row>
    <row r="670" spans="265:265">
      <c r="JE670" s="1">
        <v>475</v>
      </c>
    </row>
    <row r="671" spans="265:265">
      <c r="JE671" s="1">
        <v>476</v>
      </c>
    </row>
    <row r="672" spans="265:265">
      <c r="JE672" s="1">
        <v>477</v>
      </c>
    </row>
    <row r="673" spans="265:265">
      <c r="JE673" s="1">
        <v>478</v>
      </c>
    </row>
    <row r="674" spans="265:265">
      <c r="JE674" s="1">
        <v>479</v>
      </c>
    </row>
    <row r="675" spans="265:265">
      <c r="JE675" s="1">
        <v>480</v>
      </c>
    </row>
    <row r="676" spans="265:265">
      <c r="JE676" s="1">
        <v>481</v>
      </c>
    </row>
    <row r="677" spans="265:265">
      <c r="JE677" s="1">
        <v>482</v>
      </c>
    </row>
    <row r="678" spans="265:265">
      <c r="JE678" s="1">
        <v>483</v>
      </c>
    </row>
    <row r="679" spans="265:265">
      <c r="JE679" s="1">
        <v>484</v>
      </c>
    </row>
    <row r="680" spans="265:265">
      <c r="JE680" s="1">
        <v>485</v>
      </c>
    </row>
    <row r="681" spans="265:265">
      <c r="JE681" s="1">
        <v>486</v>
      </c>
    </row>
    <row r="682" spans="265:265">
      <c r="JE682" s="1">
        <v>487</v>
      </c>
    </row>
    <row r="683" spans="265:265">
      <c r="JE683" s="1">
        <v>488</v>
      </c>
    </row>
    <row r="684" spans="265:265">
      <c r="JE684" s="1">
        <v>489</v>
      </c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topLeftCell="A28" zoomScale="90" zoomScaleNormal="90" workbookViewId="0">
      <selection activeCell="I57" sqref="I57"/>
    </sheetView>
  </sheetViews>
  <sheetFormatPr baseColWidth="10" defaultColWidth="11.42578125" defaultRowHeight="12.75"/>
  <cols>
    <col min="1" max="1" width="64.42578125" style="3" customWidth="1"/>
    <col min="2" max="2" width="18.7109375" style="3" customWidth="1"/>
    <col min="3" max="3" width="18" style="3" customWidth="1"/>
    <col min="4" max="4" width="17.7109375" style="3" customWidth="1"/>
    <col min="5" max="5" width="21" style="3" customWidth="1"/>
    <col min="6" max="16384" width="11.42578125" style="3"/>
  </cols>
  <sheetData>
    <row r="1" spans="1:5" ht="33">
      <c r="A1" s="440" t="s">
        <v>77</v>
      </c>
      <c r="B1" s="440"/>
      <c r="C1" s="440"/>
      <c r="D1" s="440"/>
      <c r="E1" s="440"/>
    </row>
    <row r="2" spans="1:5" ht="20.25">
      <c r="A2" s="441" t="str">
        <f>'CONS. FUENTES FINAN'!A6</f>
        <v>HOSPITAL MATERNO INFANTIL SAN LORENZO DE LOS MINA</v>
      </c>
      <c r="B2" s="441"/>
      <c r="C2" s="441"/>
      <c r="D2" s="441"/>
      <c r="E2" s="441"/>
    </row>
    <row r="3" spans="1:5" ht="15.75">
      <c r="A3" s="442" t="s">
        <v>424</v>
      </c>
      <c r="B3" s="442"/>
      <c r="C3" s="442"/>
      <c r="D3" s="442"/>
      <c r="E3" s="442"/>
    </row>
    <row r="4" spans="1:5" ht="15.75">
      <c r="A4" s="442"/>
      <c r="B4" s="442"/>
      <c r="C4" s="442"/>
      <c r="D4" s="442"/>
      <c r="E4" s="442"/>
    </row>
    <row r="5" spans="1:5" ht="16.5" thickBot="1">
      <c r="A5" s="117"/>
      <c r="B5" s="117"/>
      <c r="C5" s="117"/>
      <c r="D5" s="117"/>
      <c r="E5" s="117"/>
    </row>
    <row r="6" spans="1:5">
      <c r="A6" s="443" t="s">
        <v>372</v>
      </c>
      <c r="B6" s="445" t="s">
        <v>642</v>
      </c>
      <c r="C6" s="447" t="s">
        <v>371</v>
      </c>
      <c r="D6" s="443" t="s">
        <v>328</v>
      </c>
      <c r="E6" s="443" t="s">
        <v>72</v>
      </c>
    </row>
    <row r="7" spans="1:5" ht="20.25" customHeight="1" thickBot="1">
      <c r="A7" s="444"/>
      <c r="B7" s="446"/>
      <c r="C7" s="448"/>
      <c r="D7" s="444"/>
      <c r="E7" s="444"/>
    </row>
    <row r="8" spans="1:5" ht="20.25">
      <c r="A8" s="113" t="s">
        <v>370</v>
      </c>
      <c r="B8" s="112"/>
      <c r="C8" s="112"/>
      <c r="D8" s="111"/>
      <c r="E8" s="110"/>
    </row>
    <row r="9" spans="1:5" ht="18.75">
      <c r="A9" s="116" t="s">
        <v>369</v>
      </c>
      <c r="B9" s="105">
        <f>'CONS. FUENTES FINAN'!G245+'CONS. FUENTES FINAN'!G315</f>
        <v>51435843.68</v>
      </c>
      <c r="C9" s="105">
        <f>'CONS. FUENTES FINAN'!H245+'CONS. FUENTES FINAN'!H315</f>
        <v>3537278.1900000004</v>
      </c>
      <c r="D9" s="105">
        <f>SUM(B9:C9)</f>
        <v>54973121.869999997</v>
      </c>
      <c r="E9" s="107">
        <f>+D9/D12</f>
        <v>0.79545887989162911</v>
      </c>
    </row>
    <row r="10" spans="1:5" ht="18.75">
      <c r="A10" s="108" t="s">
        <v>368</v>
      </c>
      <c r="B10" s="105">
        <f>'CONS. FUENTES FINAN'!G302</f>
        <v>0</v>
      </c>
      <c r="C10" s="105">
        <f>'CONS. FUENTES FINAN'!H302</f>
        <v>1743484</v>
      </c>
      <c r="D10" s="105">
        <f>SUM(B10:C10)</f>
        <v>1743484</v>
      </c>
      <c r="E10" s="107">
        <f>+D10/D12</f>
        <v>2.5228143910557523E-2</v>
      </c>
    </row>
    <row r="11" spans="1:5" ht="18.75">
      <c r="A11" s="108" t="s">
        <v>367</v>
      </c>
      <c r="B11" s="105">
        <f>'CONS. FUENTES FINAN'!G296+'CONS. FUENTES FINAN'!G297+'CONS. FUENTES FINAN'!G298</f>
        <v>12262492.049999999</v>
      </c>
      <c r="C11" s="105">
        <f>'CONS. FUENTES FINAN'!H296+'CONS. FUENTES FINAN'!H297+'CONS. FUENTES FINAN'!H298</f>
        <v>129593</v>
      </c>
      <c r="D11" s="105">
        <f>SUM(B11:C11)</f>
        <v>12392085.049999999</v>
      </c>
      <c r="E11" s="107">
        <f>+D11/D12</f>
        <v>0.17931297619781333</v>
      </c>
    </row>
    <row r="12" spans="1:5" ht="18.75">
      <c r="A12" s="115" t="s">
        <v>348</v>
      </c>
      <c r="B12" s="101">
        <f>SUM(B9:B11)</f>
        <v>63698335.729999997</v>
      </c>
      <c r="C12" s="101">
        <f>SUM(C9:C11)</f>
        <v>5410355.1900000004</v>
      </c>
      <c r="D12" s="101">
        <f>SUM(D9:D11)</f>
        <v>69108690.920000002</v>
      </c>
      <c r="E12" s="114">
        <f>+D12/D39</f>
        <v>0.33202594345280662</v>
      </c>
    </row>
    <row r="13" spans="1:5" ht="20.25">
      <c r="A13" s="113" t="s">
        <v>366</v>
      </c>
      <c r="B13" s="112"/>
      <c r="C13" s="112"/>
      <c r="D13" s="111"/>
      <c r="E13" s="110"/>
    </row>
    <row r="14" spans="1:5" ht="18.75">
      <c r="A14" s="108" t="s">
        <v>365</v>
      </c>
      <c r="B14" s="105">
        <f>'CONS. FUENTES FINAN'!G157+'CONS. FUENTES FINAN'!G188+'CONS. FUENTES FINAN'!G223+'CONS. FUENTES FINAN'!G252+'CONS. FUENTES FINAN'!G254+'CONS. FUENTES FINAN'!G256+'CONS. FUENTES FINAN'!G258+'CONS. FUENTES FINAN'!G261+'CONS. FUENTES FINAN'!G292+'CONS. FUENTES FINAN'!G293+'CONS. FUENTES FINAN'!G299+'CONS. FUENTES FINAN'!G300+'CONS. FUENTES FINAN'!G301+'CONS. FUENTES FINAN'!G324</f>
        <v>12821404.449999999</v>
      </c>
      <c r="C14" s="105">
        <f>'CONS. FUENTES FINAN'!H157+'CONS. FUENTES FINAN'!H188+'CONS. FUENTES FINAN'!H223+'CONS. FUENTES FINAN'!H252+'CONS. FUENTES FINAN'!H254+'CONS. FUENTES FINAN'!H256+'CONS. FUENTES FINAN'!H258+'CONS. FUENTES FINAN'!H261+'CONS. FUENTES FINAN'!H292+'CONS. FUENTES FINAN'!H293+'CONS. FUENTES FINAN'!H299+'CONS. FUENTES FINAN'!H300+'CONS. FUENTES FINAN'!H301+'CONS. FUENTES FINAN'!H324</f>
        <v>5085954.99</v>
      </c>
      <c r="D14" s="104">
        <f>SUM(B14:C14)</f>
        <v>17907359.439999998</v>
      </c>
      <c r="E14" s="107">
        <f>+D14/D16</f>
        <v>0.99130020252941076</v>
      </c>
    </row>
    <row r="15" spans="1:5" ht="18.75">
      <c r="A15" s="108" t="s">
        <v>364</v>
      </c>
      <c r="B15" s="105">
        <f>'CONS. FUENTES FINAN'!G320</f>
        <v>0</v>
      </c>
      <c r="C15" s="105">
        <f>'CONS. FUENTES FINAN'!H320</f>
        <v>157157.64000000001</v>
      </c>
      <c r="D15" s="104">
        <f>SUM(B15:C15)</f>
        <v>157157.64000000001</v>
      </c>
      <c r="E15" s="107">
        <f>+D15/D16</f>
        <v>8.6997974705892347E-3</v>
      </c>
    </row>
    <row r="16" spans="1:5" ht="18.75">
      <c r="A16" s="115" t="s">
        <v>348</v>
      </c>
      <c r="B16" s="101">
        <f>SUM(B14:B15)</f>
        <v>12821404.449999999</v>
      </c>
      <c r="C16" s="101">
        <f>SUM(C14:C15)</f>
        <v>5243112.63</v>
      </c>
      <c r="D16" s="101">
        <f>SUM(D14:D15)</f>
        <v>18064517.079999998</v>
      </c>
      <c r="E16" s="114">
        <f>+D16/D39</f>
        <v>8.6789204753559501E-2</v>
      </c>
    </row>
    <row r="17" spans="1:5" ht="20.25">
      <c r="A17" s="113" t="s">
        <v>363</v>
      </c>
      <c r="B17" s="112"/>
      <c r="C17" s="112"/>
      <c r="D17" s="111"/>
      <c r="E17" s="110"/>
    </row>
    <row r="18" spans="1:5" ht="18.75">
      <c r="A18" s="109" t="s">
        <v>362</v>
      </c>
      <c r="B18" s="105">
        <f>'CONS. FUENTES FINAN'!G26</f>
        <v>81717720.849999994</v>
      </c>
      <c r="C18" s="105">
        <f>'CONS. FUENTES FINAN'!H26</f>
        <v>0</v>
      </c>
      <c r="D18" s="104">
        <f t="shared" ref="D18:D33" si="0">SUM(B18:C18)</f>
        <v>81717720.849999994</v>
      </c>
      <c r="E18" s="107">
        <f>+D18/D34</f>
        <v>0.82858303848730785</v>
      </c>
    </row>
    <row r="19" spans="1:5" ht="18.75">
      <c r="A19" s="108" t="s">
        <v>361</v>
      </c>
      <c r="B19" s="105">
        <f>'CONS. FUENTES FINAN'!G91+'CONS. FUENTES FINAN'!G93+'CONS. FUENTES FINAN'!G95+'CONS. FUENTES FINAN'!G97</f>
        <v>0</v>
      </c>
      <c r="C19" s="105">
        <f>'CONS. FUENTES FINAN'!H91+'CONS. FUENTES FINAN'!H93+'CONS. FUENTES FINAN'!H95+'CONS. FUENTES FINAN'!H97</f>
        <v>213516.07</v>
      </c>
      <c r="D19" s="104">
        <f t="shared" si="0"/>
        <v>213516.07</v>
      </c>
      <c r="E19" s="107">
        <f>+D19/D34</f>
        <v>2.1649624121457462E-3</v>
      </c>
    </row>
    <row r="20" spans="1:5" ht="18.75">
      <c r="A20" s="108" t="s">
        <v>422</v>
      </c>
      <c r="B20" s="104">
        <f>'CONS. FUENTES FINAN'!G99+'CONS. FUENTES FINAN'!G102+'CONS. FUENTES FINAN'!G104</f>
        <v>211735</v>
      </c>
      <c r="C20" s="104">
        <f>'CONS. FUENTES FINAN'!H99+'CONS. FUENTES FINAN'!H102+'CONS. FUENTES FINAN'!H104</f>
        <v>1465000</v>
      </c>
      <c r="D20" s="104">
        <f t="shared" si="0"/>
        <v>1676735</v>
      </c>
      <c r="E20" s="107">
        <f>+D20/D34</f>
        <v>1.7001381910641187E-2</v>
      </c>
    </row>
    <row r="21" spans="1:5" ht="18.75">
      <c r="A21" s="108" t="s">
        <v>360</v>
      </c>
      <c r="B21" s="104">
        <f>'CONS. FUENTES FINAN'!G111</f>
        <v>0</v>
      </c>
      <c r="C21" s="104">
        <f>'CONS. FUENTES FINAN'!H111</f>
        <v>0</v>
      </c>
      <c r="D21" s="104">
        <f t="shared" si="0"/>
        <v>0</v>
      </c>
      <c r="E21" s="107">
        <f>+D21/D34</f>
        <v>0</v>
      </c>
    </row>
    <row r="22" spans="1:5" ht="18.75">
      <c r="A22" s="108" t="s">
        <v>359</v>
      </c>
      <c r="B22" s="104">
        <f>'CONS. FUENTES FINAN'!G116</f>
        <v>0</v>
      </c>
      <c r="C22" s="104">
        <f>'CONS. FUENTES FINAN'!H116</f>
        <v>68000</v>
      </c>
      <c r="D22" s="104">
        <f t="shared" si="0"/>
        <v>68000</v>
      </c>
      <c r="E22" s="107">
        <f>+D22/D34</f>
        <v>6.8949116582143317E-4</v>
      </c>
    </row>
    <row r="23" spans="1:5" ht="18.75">
      <c r="A23" s="108" t="s">
        <v>358</v>
      </c>
      <c r="B23" s="104">
        <f>'CONS. FUENTES FINAN'!G125</f>
        <v>632942.94999999995</v>
      </c>
      <c r="C23" s="104">
        <f>'CONS. FUENTES FINAN'!H125</f>
        <v>0</v>
      </c>
      <c r="D23" s="104">
        <f t="shared" si="0"/>
        <v>632942.94999999995</v>
      </c>
      <c r="E23" s="107">
        <f>+D23/D34</f>
        <v>6.4177731249111334E-3</v>
      </c>
    </row>
    <row r="24" spans="1:5" ht="18.75">
      <c r="A24" s="108" t="s">
        <v>357</v>
      </c>
      <c r="B24" s="104">
        <f>'CONS. FUENTES FINAN'!G182</f>
        <v>0</v>
      </c>
      <c r="C24" s="104">
        <f>'CONS. FUENTES FINAN'!H182</f>
        <v>0</v>
      </c>
      <c r="D24" s="104">
        <f t="shared" si="0"/>
        <v>0</v>
      </c>
      <c r="E24" s="107">
        <f>+D24/D34</f>
        <v>0</v>
      </c>
    </row>
    <row r="25" spans="1:5" ht="18.75">
      <c r="A25" s="108" t="s">
        <v>356</v>
      </c>
      <c r="B25" s="105">
        <f>'CONS. FUENTES FINAN'!G109+'CONS. FUENTES FINAN'!G312</f>
        <v>520219.05000000005</v>
      </c>
      <c r="C25" s="105">
        <f>'CONS. FUENTES FINAN'!H109+'CONS. FUENTES FINAN'!H312</f>
        <v>648437.52</v>
      </c>
      <c r="D25" s="104">
        <f t="shared" si="0"/>
        <v>1168656.57</v>
      </c>
      <c r="E25" s="107">
        <f>+D25/D34</f>
        <v>1.1849682071973197E-2</v>
      </c>
    </row>
    <row r="26" spans="1:5" ht="18.75">
      <c r="A26" s="108" t="s">
        <v>355</v>
      </c>
      <c r="B26" s="104">
        <f>'CONS. FUENTES FINAN'!G208+'CONS. FUENTES FINAN'!G214+'CONS. FUENTES FINAN'!G217+'CONS. FUENTES FINAN'!G219</f>
        <v>5340259.88</v>
      </c>
      <c r="C26" s="104">
        <f>'CONS. FUENTES FINAN'!H208+'CONS. FUENTES FINAN'!H214+'CONS. FUENTES FINAN'!H217+'CONS. FUENTES FINAN'!H219</f>
        <v>1931915</v>
      </c>
      <c r="D26" s="104">
        <f t="shared" si="0"/>
        <v>7272174.8799999999</v>
      </c>
      <c r="E26" s="107">
        <f>+D26/D34</f>
        <v>7.3736769648066774E-2</v>
      </c>
    </row>
    <row r="27" spans="1:5" ht="18.75">
      <c r="A27" s="108" t="s">
        <v>354</v>
      </c>
      <c r="B27" s="104">
        <f>'CONS. FUENTES FINAN'!G232</f>
        <v>327499.21000000002</v>
      </c>
      <c r="C27" s="104">
        <f>'CONS. FUENTES FINAN'!H232</f>
        <v>289100</v>
      </c>
      <c r="D27" s="104">
        <f t="shared" si="0"/>
        <v>616599.21</v>
      </c>
      <c r="E27" s="107">
        <f>+D27/D34</f>
        <v>6.2520545315805105E-3</v>
      </c>
    </row>
    <row r="28" spans="1:5" ht="18.75">
      <c r="A28" s="108" t="s">
        <v>353</v>
      </c>
      <c r="B28" s="104">
        <f>'CONS. FUENTES FINAN'!G259</f>
        <v>267714.86</v>
      </c>
      <c r="C28" s="104">
        <f>'CONS. FUENTES FINAN'!H259</f>
        <v>10970.210000000001</v>
      </c>
      <c r="D28" s="104">
        <f t="shared" si="0"/>
        <v>278685.07</v>
      </c>
      <c r="E28" s="107">
        <f>+D28/D34</f>
        <v>2.8257484384018785E-3</v>
      </c>
    </row>
    <row r="29" spans="1:5" ht="18.75">
      <c r="A29" s="108" t="s">
        <v>352</v>
      </c>
      <c r="B29" s="104">
        <f>'CONS. FUENTES FINAN'!G288</f>
        <v>0</v>
      </c>
      <c r="C29" s="104">
        <f>'CONS. FUENTES FINAN'!H288</f>
        <v>172000</v>
      </c>
      <c r="D29" s="104">
        <f t="shared" si="0"/>
        <v>172000</v>
      </c>
      <c r="E29" s="107">
        <f>+D29/D34</f>
        <v>1.7440070664895076E-3</v>
      </c>
    </row>
    <row r="30" spans="1:5" ht="18.75">
      <c r="A30" s="108" t="s">
        <v>11</v>
      </c>
      <c r="B30" s="104">
        <f>'CONS. FUENTES FINAN'!G289+'CONS. FUENTES FINAN'!G290</f>
        <v>0</v>
      </c>
      <c r="C30" s="104">
        <f>'CONS. FUENTES FINAN'!H289+'CONS. FUENTES FINAN'!H290</f>
        <v>1124000</v>
      </c>
      <c r="D30" s="104">
        <f t="shared" si="0"/>
        <v>1124000</v>
      </c>
      <c r="E30" s="107">
        <f>+D30/D34</f>
        <v>1.1396883387989573E-2</v>
      </c>
    </row>
    <row r="31" spans="1:5" ht="18.75">
      <c r="A31" s="108" t="s">
        <v>351</v>
      </c>
      <c r="B31" s="104">
        <f>'CONS. FUENTES FINAN'!G291+'CONS. FUENTES FINAN'!G294</f>
        <v>0</v>
      </c>
      <c r="C31" s="104">
        <f>'CONS. FUENTES FINAN'!H291+'CONS. FUENTES FINAN'!H294</f>
        <v>44590</v>
      </c>
      <c r="D31" s="104">
        <f t="shared" si="0"/>
        <v>44590</v>
      </c>
      <c r="E31" s="107">
        <f>+D31/D34</f>
        <v>4.5212369241143686E-4</v>
      </c>
    </row>
    <row r="32" spans="1:5" ht="18.75">
      <c r="A32" s="108" t="s">
        <v>350</v>
      </c>
      <c r="B32" s="104">
        <f>'CONS. FUENTES FINAN'!G309</f>
        <v>1140351.21</v>
      </c>
      <c r="C32" s="104">
        <f>'CONS. FUENTES FINAN'!H309</f>
        <v>312110</v>
      </c>
      <c r="D32" s="104">
        <f t="shared" si="0"/>
        <v>1452461.21</v>
      </c>
      <c r="E32" s="107">
        <f>+D32/D34</f>
        <v>1.4727340779313374E-2</v>
      </c>
    </row>
    <row r="33" spans="1:5" ht="18.75">
      <c r="A33" s="106" t="s">
        <v>349</v>
      </c>
      <c r="B33" s="105">
        <f>'CONS. FUENTES FINAN'!G89+'CONS. FUENTES FINAN'!G107+'CONS. FUENTES FINAN'!G148+'CONS. FUENTES FINAN'!G180+'CONS. FUENTES FINAN'!G184+'CONS. FUENTES FINAN'!G186+'CONS. FUENTES FINAN'!G192+'CONS. FUENTES FINAN'!G197+'CONS. FUENTES FINAN'!G204+'CONS. FUENTES FINAN'!G225+'CONS. FUENTES FINAN'!G303+'CONS. FUENTES FINAN'!G316+'CONS. FUENTES FINAN'!G318+'CONS. FUENTES FINAN'!G322+'CONS. FUENTES FINAN'!G327+'CONS. FUENTES FINAN'!G330</f>
        <v>365710.2</v>
      </c>
      <c r="C33" s="105">
        <f>'CONS. FUENTES FINAN'!H89+'CONS. FUENTES FINAN'!H107+'CONS. FUENTES FINAN'!H148+'CONS. FUENTES FINAN'!H180+'CONS. FUENTES FINAN'!H184+'CONS. FUENTES FINAN'!H186+'CONS. FUENTES FINAN'!H192+'CONS. FUENTES FINAN'!H197+'CONS. FUENTES FINAN'!H204+'CONS. FUENTES FINAN'!H225+'CONS. FUENTES FINAN'!H303+'CONS. FUENTES FINAN'!H316+'CONS. FUENTES FINAN'!H318+'CONS. FUENTES FINAN'!H322+'CONS. FUENTES FINAN'!H327+'CONS. FUENTES FINAN'!H330</f>
        <v>1819661.5899999999</v>
      </c>
      <c r="D33" s="104">
        <f t="shared" si="0"/>
        <v>2185371.79</v>
      </c>
      <c r="E33" s="107">
        <f>+D33/D34</f>
        <v>2.2158743282946654E-2</v>
      </c>
    </row>
    <row r="34" spans="1:5" ht="18.75">
      <c r="A34" s="115" t="s">
        <v>348</v>
      </c>
      <c r="B34" s="101">
        <f>SUM(B17:B33)</f>
        <v>90524153.209999979</v>
      </c>
      <c r="C34" s="101">
        <f>SUM(C17:C33)</f>
        <v>8099300.3899999997</v>
      </c>
      <c r="D34" s="101">
        <f>SUM(D17:D33)</f>
        <v>98623453.599999964</v>
      </c>
      <c r="E34" s="114">
        <f>+D34/D39</f>
        <v>0.47382673282033688</v>
      </c>
    </row>
    <row r="35" spans="1:5" ht="20.25">
      <c r="A35" s="113" t="s">
        <v>421</v>
      </c>
      <c r="B35" s="112"/>
      <c r="C35" s="112"/>
      <c r="D35" s="111"/>
      <c r="E35" s="110"/>
    </row>
    <row r="36" spans="1:5" ht="18.75">
      <c r="A36" s="109" t="s">
        <v>168</v>
      </c>
      <c r="B36" s="105">
        <f>'CONS. FUENTES FINAN'!G336</f>
        <v>17995005.589999996</v>
      </c>
      <c r="C36" s="105">
        <f>'CONS. FUENTES FINAN'!H336</f>
        <v>4350775.54</v>
      </c>
      <c r="D36" s="105">
        <f>SUM(B36:C36)</f>
        <v>22345781.129999995</v>
      </c>
      <c r="E36" s="103">
        <f>+D36/D38</f>
        <v>1</v>
      </c>
    </row>
    <row r="37" spans="1:5" ht="19.5" thickBot="1">
      <c r="A37" s="126" t="s">
        <v>101</v>
      </c>
      <c r="B37" s="127">
        <f>'CONS. FUENTES FINAN'!G463</f>
        <v>0</v>
      </c>
      <c r="C37" s="127">
        <f>'CONS. FUENTES FINAN'!H463</f>
        <v>0</v>
      </c>
      <c r="D37" s="127">
        <f>SUM(B37:C37)</f>
        <v>0</v>
      </c>
      <c r="E37" s="103">
        <f>+D37/D38</f>
        <v>0</v>
      </c>
    </row>
    <row r="38" spans="1:5" ht="16.5" thickBot="1">
      <c r="A38" s="102" t="s">
        <v>348</v>
      </c>
      <c r="B38" s="128">
        <f>SUM(B36:B37)</f>
        <v>17995005.589999996</v>
      </c>
      <c r="C38" s="129">
        <f>SUM(C36:C37)</f>
        <v>4350775.54</v>
      </c>
      <c r="D38" s="129">
        <f>SUM(D36:D37)</f>
        <v>22345781.129999995</v>
      </c>
      <c r="E38" s="100">
        <f>+D38/D39</f>
        <v>0.10735811897329701</v>
      </c>
    </row>
    <row r="39" spans="1:5" ht="19.5" thickBot="1">
      <c r="A39" s="98" t="s">
        <v>347</v>
      </c>
      <c r="B39" s="99">
        <f>+B12+B16+B34+B38</f>
        <v>185038898.97999999</v>
      </c>
      <c r="C39" s="99">
        <f>+C12+C16+C34+C38</f>
        <v>23103543.75</v>
      </c>
      <c r="D39" s="99">
        <f>+D12+D16+D34+D38</f>
        <v>208142442.72999996</v>
      </c>
      <c r="E39" s="96">
        <f>+E12+E16+E34+E38</f>
        <v>1</v>
      </c>
    </row>
    <row r="40" spans="1:5" ht="19.5" thickBot="1">
      <c r="A40" s="98" t="s">
        <v>346</v>
      </c>
      <c r="B40" s="97">
        <f>+B39/D39</f>
        <v>0.88900128466364914</v>
      </c>
      <c r="C40" s="97">
        <f>+C39/D39</f>
        <v>0.11099871533635097</v>
      </c>
      <c r="D40" s="97">
        <f>+B40+C40</f>
        <v>1</v>
      </c>
      <c r="E40" s="96"/>
    </row>
    <row r="42" spans="1:5" ht="26.25">
      <c r="A42" s="95"/>
    </row>
    <row r="43" spans="1:5" ht="26.25">
      <c r="A43" s="95"/>
    </row>
  </sheetData>
  <mergeCells count="9">
    <mergeCell ref="A1:E1"/>
    <mergeCell ref="A2:E2"/>
    <mergeCell ref="A3:E3"/>
    <mergeCell ref="A4:E4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3"/>
  <sheetViews>
    <sheetView view="pageBreakPreview" zoomScale="60" zoomScaleNormal="90" workbookViewId="0">
      <pane xSplit="1" ySplit="7" topLeftCell="C8" activePane="bottomRight" state="frozen"/>
      <selection pane="topRight" activeCell="B1" sqref="B1"/>
      <selection pane="bottomLeft" activeCell="A8" sqref="A8"/>
      <selection pane="bottomRight" activeCell="A27" sqref="A27"/>
    </sheetView>
  </sheetViews>
  <sheetFormatPr baseColWidth="10" defaultColWidth="9.140625" defaultRowHeight="15"/>
  <cols>
    <col min="1" max="1" width="71.140625" style="140" customWidth="1"/>
    <col min="2" max="2" width="25.140625" customWidth="1"/>
    <col min="3" max="4" width="21.28515625" bestFit="1" customWidth="1"/>
    <col min="5" max="5" width="21.5703125" bestFit="1" customWidth="1"/>
    <col min="6" max="6" width="15.85546875" customWidth="1"/>
    <col min="7" max="7" width="19.140625" bestFit="1" customWidth="1"/>
    <col min="8" max="8" width="20.140625" bestFit="1" customWidth="1"/>
    <col min="9" max="9" width="19.140625" bestFit="1" customWidth="1"/>
    <col min="10" max="10" width="19" bestFit="1" customWidth="1"/>
    <col min="11" max="11" width="15.85546875" customWidth="1"/>
    <col min="12" max="12" width="22.28515625" bestFit="1" customWidth="1"/>
    <col min="13" max="13" width="20.5703125" bestFit="1" customWidth="1"/>
    <col min="14" max="14" width="21.28515625" bestFit="1" customWidth="1"/>
    <col min="15" max="15" width="22" bestFit="1" customWidth="1"/>
    <col min="16" max="16" width="13.42578125" hidden="1" customWidth="1"/>
  </cols>
  <sheetData>
    <row r="1" spans="1:15" ht="18.75">
      <c r="A1" s="449" t="s">
        <v>537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</row>
    <row r="2" spans="1:15" ht="18.75">
      <c r="A2" s="449" t="s">
        <v>536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</row>
    <row r="3" spans="1:15" ht="18.75" customHeight="1">
      <c r="A3" s="450" t="s">
        <v>643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</row>
    <row r="4" spans="1:15">
      <c r="A4" s="388" t="s">
        <v>534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</row>
    <row r="5" spans="1:15">
      <c r="L5" s="139"/>
      <c r="M5" s="139"/>
      <c r="N5" s="139"/>
      <c r="O5" s="139"/>
    </row>
    <row r="6" spans="1:15" ht="48" customHeight="1">
      <c r="A6" s="344" t="s">
        <v>533</v>
      </c>
      <c r="B6" s="451" t="s">
        <v>538</v>
      </c>
      <c r="C6" s="452"/>
      <c r="D6" s="452"/>
      <c r="E6" s="452"/>
      <c r="F6" s="453"/>
      <c r="G6" s="456" t="s">
        <v>539</v>
      </c>
      <c r="H6" s="456"/>
      <c r="I6" s="456"/>
      <c r="J6" s="456"/>
      <c r="K6" s="453"/>
      <c r="L6" s="457" t="s">
        <v>540</v>
      </c>
      <c r="M6" s="458"/>
      <c r="N6" s="458"/>
      <c r="O6" s="459"/>
    </row>
    <row r="7" spans="1:15">
      <c r="A7" s="152" t="s">
        <v>519</v>
      </c>
      <c r="B7" s="162" t="s">
        <v>541</v>
      </c>
      <c r="C7" s="162" t="s">
        <v>542</v>
      </c>
      <c r="D7" s="162" t="s">
        <v>543</v>
      </c>
      <c r="E7" s="162" t="s">
        <v>544</v>
      </c>
      <c r="F7" s="454"/>
      <c r="G7" s="162" t="s">
        <v>541</v>
      </c>
      <c r="H7" s="162" t="s">
        <v>542</v>
      </c>
      <c r="I7" s="162" t="s">
        <v>543</v>
      </c>
      <c r="J7" s="162" t="s">
        <v>544</v>
      </c>
      <c r="K7" s="454"/>
      <c r="L7" s="162" t="s">
        <v>541</v>
      </c>
      <c r="M7" s="162" t="s">
        <v>542</v>
      </c>
      <c r="N7" s="162" t="s">
        <v>543</v>
      </c>
      <c r="O7" s="162" t="s">
        <v>544</v>
      </c>
    </row>
    <row r="8" spans="1:15">
      <c r="A8" s="156" t="s">
        <v>518</v>
      </c>
      <c r="B8" s="163">
        <f>SUM(B9:B13)</f>
        <v>198560735.68000001</v>
      </c>
      <c r="C8" s="163">
        <f>SUM(C9:C13)</f>
        <v>199770321.81</v>
      </c>
      <c r="D8" s="163">
        <f>SUM(D9:D13)</f>
        <v>214758440.84000003</v>
      </c>
      <c r="E8" s="163">
        <f>SUM(E9:E13)</f>
        <v>288445380.40999997</v>
      </c>
      <c r="F8" s="454"/>
      <c r="G8" s="163">
        <f>SUM(G9:G13)</f>
        <v>5231553.59</v>
      </c>
      <c r="H8" s="163">
        <f>SUM(H9:H13)</f>
        <v>0</v>
      </c>
      <c r="I8" s="163">
        <f>SUM(I9:I13)</f>
        <v>4413127.5500000007</v>
      </c>
      <c r="J8" s="163">
        <f>SUM(J9:J13)</f>
        <v>0</v>
      </c>
      <c r="K8" s="454"/>
      <c r="L8" s="164">
        <f t="shared" ref="L8:O9" si="0">SUM(B8+G8)</f>
        <v>203792289.27000001</v>
      </c>
      <c r="M8" s="164">
        <f t="shared" si="0"/>
        <v>199770321.81</v>
      </c>
      <c r="N8" s="164">
        <f t="shared" si="0"/>
        <v>219171568.39000005</v>
      </c>
      <c r="O8" s="164">
        <f t="shared" si="0"/>
        <v>288445380.40999997</v>
      </c>
    </row>
    <row r="9" spans="1:15">
      <c r="A9" s="347" t="s">
        <v>517</v>
      </c>
      <c r="B9" s="165">
        <f>SUM('TRANSFERENCIA CORRIENTE'!C10:E10)</f>
        <v>163945204.59</v>
      </c>
      <c r="C9" s="165">
        <f>SUM('TRANSFERENCIA CORRIENTE'!F10:H10)</f>
        <v>164084780.69</v>
      </c>
      <c r="D9" s="165">
        <f>SUM('TRANSFERENCIA CORRIENTE'!I10:K10)</f>
        <v>177501202.04000002</v>
      </c>
      <c r="E9" s="165">
        <f>SUM('TRANSFERENCIA CORRIENTE'!L10:N10)</f>
        <v>242948438.79999998</v>
      </c>
      <c r="F9" s="454"/>
      <c r="G9" s="165">
        <f>SUM(VS!C10:E10)</f>
        <v>0</v>
      </c>
      <c r="H9" s="165">
        <f>SUM(VS!F10:H10)</f>
        <v>0</v>
      </c>
      <c r="I9" s="165">
        <f>SUM(VS!I10:K10)</f>
        <v>0</v>
      </c>
      <c r="J9" s="166">
        <f>SUM(VS!L10:N10)</f>
        <v>0</v>
      </c>
      <c r="K9" s="454"/>
      <c r="L9" s="265">
        <f t="shared" si="0"/>
        <v>163945204.59</v>
      </c>
      <c r="M9" s="265">
        <f t="shared" si="0"/>
        <v>164084780.69</v>
      </c>
      <c r="N9" s="265">
        <f t="shared" si="0"/>
        <v>177501202.04000002</v>
      </c>
      <c r="O9" s="265">
        <f t="shared" si="0"/>
        <v>242948438.79999998</v>
      </c>
    </row>
    <row r="10" spans="1:15">
      <c r="A10" s="347" t="s">
        <v>516</v>
      </c>
      <c r="B10" s="165">
        <f>SUM('TRANSFERENCIA CORRIENTE'!C11:E11)</f>
        <v>9594398.8000000007</v>
      </c>
      <c r="C10" s="165">
        <f>SUM('TRANSFERENCIA CORRIENTE'!F11:H11)</f>
        <v>10535798.949999999</v>
      </c>
      <c r="D10" s="165">
        <f>SUM('TRANSFERENCIA CORRIENTE'!I11:K11)</f>
        <v>10034891.41</v>
      </c>
      <c r="E10" s="165">
        <f>SUM('TRANSFERENCIA CORRIENTE'!L11:N11)</f>
        <v>17598749.969999999</v>
      </c>
      <c r="F10" s="454"/>
      <c r="G10" s="165">
        <f>SUM(VS!C11:E11)</f>
        <v>5231553.59</v>
      </c>
      <c r="H10" s="165">
        <f>SUM(VS!F11:H11)</f>
        <v>0</v>
      </c>
      <c r="I10" s="165">
        <f>SUM(VS!I11:K11)</f>
        <v>4413127.5500000007</v>
      </c>
      <c r="J10" s="166">
        <f>SUM(VS!L11:N11)</f>
        <v>0</v>
      </c>
      <c r="K10" s="454"/>
      <c r="L10" s="265">
        <f t="shared" ref="L10:M13" si="1">SUM(B10+G10)</f>
        <v>14825952.390000001</v>
      </c>
      <c r="M10" s="265">
        <f t="shared" si="1"/>
        <v>10535798.949999999</v>
      </c>
      <c r="N10" s="265">
        <f t="shared" ref="N10:O13" si="2">SUM(D10+I10)</f>
        <v>14448018.960000001</v>
      </c>
      <c r="O10" s="265">
        <f t="shared" si="2"/>
        <v>17598749.969999999</v>
      </c>
    </row>
    <row r="11" spans="1:15">
      <c r="A11" s="347" t="s">
        <v>515</v>
      </c>
      <c r="B11" s="165">
        <f>SUM('TRANSFERENCIA CORRIENTE'!C12:E12)</f>
        <v>0</v>
      </c>
      <c r="C11" s="165">
        <f>SUM('TRANSFERENCIA CORRIENTE'!F12:H12)</f>
        <v>0</v>
      </c>
      <c r="D11" s="165">
        <f>SUM('TRANSFERENCIA CORRIENTE'!I12:K12)</f>
        <v>0</v>
      </c>
      <c r="E11" s="165">
        <f>SUM('TRANSFERENCIA CORRIENTE'!L12:N12)</f>
        <v>0</v>
      </c>
      <c r="F11" s="454"/>
      <c r="G11" s="165">
        <f>SUM(VS!C12:E12)</f>
        <v>0</v>
      </c>
      <c r="H11" s="165">
        <f>SUM(VS!F12:H12)</f>
        <v>0</v>
      </c>
      <c r="I11" s="165">
        <f>SUM(VS!I12:K12)</f>
        <v>0</v>
      </c>
      <c r="J11" s="166">
        <f>SUM(VS!L12:N12)</f>
        <v>0</v>
      </c>
      <c r="K11" s="454"/>
      <c r="L11" s="265">
        <f t="shared" si="1"/>
        <v>0</v>
      </c>
      <c r="M11" s="265">
        <f t="shared" si="1"/>
        <v>0</v>
      </c>
      <c r="N11" s="265">
        <f t="shared" si="2"/>
        <v>0</v>
      </c>
      <c r="O11" s="265">
        <f t="shared" si="2"/>
        <v>0</v>
      </c>
    </row>
    <row r="12" spans="1:15">
      <c r="A12" s="347" t="s">
        <v>514</v>
      </c>
      <c r="B12" s="165">
        <f>SUM('TRANSFERENCIA CORRIENTE'!C13:E13)</f>
        <v>0</v>
      </c>
      <c r="C12" s="165">
        <f>SUM('TRANSFERENCIA CORRIENTE'!F13:H13)</f>
        <v>0</v>
      </c>
      <c r="D12" s="165">
        <f>SUM('TRANSFERENCIA CORRIENTE'!I13:K13)</f>
        <v>0</v>
      </c>
      <c r="E12" s="165">
        <f>SUM('TRANSFERENCIA CORRIENTE'!L13:N13)</f>
        <v>0</v>
      </c>
      <c r="F12" s="454"/>
      <c r="G12" s="165">
        <f>SUM(VS!C13:E13)</f>
        <v>0</v>
      </c>
      <c r="H12" s="165">
        <f>SUM(VS!F13:H13)</f>
        <v>0</v>
      </c>
      <c r="I12" s="165">
        <f>SUM(VS!I13:K13)</f>
        <v>0</v>
      </c>
      <c r="J12" s="166">
        <f>SUM(VS!L13:N13)</f>
        <v>0</v>
      </c>
      <c r="K12" s="454"/>
      <c r="L12" s="265">
        <f t="shared" si="1"/>
        <v>0</v>
      </c>
      <c r="M12" s="265">
        <f t="shared" si="1"/>
        <v>0</v>
      </c>
      <c r="N12" s="265">
        <f t="shared" si="2"/>
        <v>0</v>
      </c>
      <c r="O12" s="265">
        <f t="shared" si="2"/>
        <v>0</v>
      </c>
    </row>
    <row r="13" spans="1:15">
      <c r="A13" s="347" t="s">
        <v>513</v>
      </c>
      <c r="B13" s="165">
        <f>SUM('TRANSFERENCIA CORRIENTE'!C14:E14)</f>
        <v>25021132.289999999</v>
      </c>
      <c r="C13" s="165">
        <f>SUM('TRANSFERENCIA CORRIENTE'!F14:H14)</f>
        <v>25149742.170000002</v>
      </c>
      <c r="D13" s="165">
        <f>SUM('TRANSFERENCIA CORRIENTE'!I14:K14)</f>
        <v>27222347.390000001</v>
      </c>
      <c r="E13" s="165">
        <f>SUM('TRANSFERENCIA CORRIENTE'!L14:N14)</f>
        <v>27898191.640000001</v>
      </c>
      <c r="F13" s="454"/>
      <c r="G13" s="165">
        <f>SUM(VS!C14:E14)</f>
        <v>0</v>
      </c>
      <c r="H13" s="165">
        <f>SUM(VS!F14:H14)</f>
        <v>0</v>
      </c>
      <c r="I13" s="165">
        <f>SUM(VS!I14:K14)</f>
        <v>0</v>
      </c>
      <c r="J13" s="166">
        <f>SUM(VS!L14:N14)</f>
        <v>0</v>
      </c>
      <c r="K13" s="454"/>
      <c r="L13" s="265">
        <f t="shared" si="1"/>
        <v>25021132.289999999</v>
      </c>
      <c r="M13" s="265">
        <f t="shared" si="1"/>
        <v>25149742.170000002</v>
      </c>
      <c r="N13" s="265">
        <f t="shared" si="2"/>
        <v>27222347.390000001</v>
      </c>
      <c r="O13" s="265">
        <f t="shared" si="2"/>
        <v>27898191.640000001</v>
      </c>
    </row>
    <row r="14" spans="1:15" s="168" customFormat="1">
      <c r="A14" s="156" t="s">
        <v>512</v>
      </c>
      <c r="B14" s="163">
        <f>SUM(B15:B23)</f>
        <v>9308364.879999999</v>
      </c>
      <c r="C14" s="163">
        <f>SUM(C15:C23)</f>
        <v>10131818.199999999</v>
      </c>
      <c r="D14" s="163">
        <f>SUM(D15:D23)</f>
        <v>11703689.689999999</v>
      </c>
      <c r="E14" s="163">
        <f>SUM(E15:E23)</f>
        <v>16306951.589999998</v>
      </c>
      <c r="F14" s="454"/>
      <c r="G14" s="163">
        <f>SUM(G15:G23)</f>
        <v>8306683.8499999996</v>
      </c>
      <c r="H14" s="163">
        <f>SUM(H15:H23)</f>
        <v>7239413.7899999991</v>
      </c>
      <c r="I14" s="163">
        <f>SUM(I15:I23)</f>
        <v>10378415.750000002</v>
      </c>
      <c r="J14" s="163">
        <f>SUM(J15:J23)</f>
        <v>11649816.859999999</v>
      </c>
      <c r="K14" s="454"/>
      <c r="L14" s="164">
        <f>SUM(B14+G14)</f>
        <v>17615048.729999997</v>
      </c>
      <c r="M14" s="164">
        <f t="shared" ref="M14:O29" si="3">SUM(C14+H14)</f>
        <v>17371231.989999998</v>
      </c>
      <c r="N14" s="164">
        <f t="shared" si="3"/>
        <v>22082105.440000001</v>
      </c>
      <c r="O14" s="164">
        <f t="shared" si="3"/>
        <v>27956768.449999996</v>
      </c>
    </row>
    <row r="15" spans="1:15">
      <c r="A15" s="347" t="s">
        <v>511</v>
      </c>
      <c r="B15" s="165">
        <f>SUM('TRANSFERENCIA CORRIENTE'!C16:E16)</f>
        <v>2020024.3</v>
      </c>
      <c r="C15" s="165">
        <f>SUM('TRANSFERENCIA CORRIENTE'!F16:H16)</f>
        <v>181605</v>
      </c>
      <c r="D15" s="165">
        <f>SUM('TRANSFERENCIA CORRIENTE'!J16:L16)</f>
        <v>181605</v>
      </c>
      <c r="E15" s="165">
        <f>SUM('TRANSFERENCIA CORRIENTE'!L16:N16)</f>
        <v>332805</v>
      </c>
      <c r="F15" s="454"/>
      <c r="G15" s="165">
        <f>SUM(VS!C16:E16)</f>
        <v>2341561.92</v>
      </c>
      <c r="H15" s="165">
        <f>SUM(VS!F16:H16)</f>
        <v>2348580.7199999997</v>
      </c>
      <c r="I15" s="165">
        <f>SUM(VS!I16:K16)</f>
        <v>2876937.56</v>
      </c>
      <c r="J15" s="166">
        <f>SUM(VS!L16:N16)</f>
        <v>3591616</v>
      </c>
      <c r="K15" s="454"/>
      <c r="L15" s="265">
        <f t="shared" ref="L15:L23" si="4">SUM(B15+G15)</f>
        <v>4361586.22</v>
      </c>
      <c r="M15" s="265">
        <f t="shared" si="3"/>
        <v>2530185.7199999997</v>
      </c>
      <c r="N15" s="265">
        <f t="shared" si="3"/>
        <v>3058542.56</v>
      </c>
      <c r="O15" s="265">
        <f t="shared" si="3"/>
        <v>3924421</v>
      </c>
    </row>
    <row r="16" spans="1:15">
      <c r="A16" s="347" t="s">
        <v>510</v>
      </c>
      <c r="B16" s="165">
        <f>SUM('TRANSFERENCIA CORRIENTE'!C17:E17)</f>
        <v>324206.83</v>
      </c>
      <c r="C16" s="165">
        <f>SUM('TRANSFERENCIA CORRIENTE'!F17:H17)</f>
        <v>351993.82999999996</v>
      </c>
      <c r="D16" s="165">
        <f>SUM('TRANSFERENCIA CORRIENTE'!J17:L17)</f>
        <v>190472.3</v>
      </c>
      <c r="E16" s="165">
        <f>SUM('TRANSFERENCIA CORRIENTE'!L17:N17)</f>
        <v>354216.65</v>
      </c>
      <c r="F16" s="454"/>
      <c r="G16" s="165">
        <f>SUM(VS!C17:E17)</f>
        <v>0</v>
      </c>
      <c r="H16" s="165">
        <f>SUM(VS!F17:H17)</f>
        <v>310139.40000000002</v>
      </c>
      <c r="I16" s="165">
        <f>SUM(VS!I17:K17)</f>
        <v>1187725.17</v>
      </c>
      <c r="J16" s="166">
        <f>SUM(VS!L17:N17)</f>
        <v>775827.41999999993</v>
      </c>
      <c r="K16" s="454"/>
      <c r="L16" s="265">
        <f t="shared" si="4"/>
        <v>324206.83</v>
      </c>
      <c r="M16" s="265">
        <f t="shared" si="3"/>
        <v>662133.23</v>
      </c>
      <c r="N16" s="265">
        <f t="shared" si="3"/>
        <v>1378197.47</v>
      </c>
      <c r="O16" s="265">
        <f t="shared" si="3"/>
        <v>1130044.0699999998</v>
      </c>
    </row>
    <row r="17" spans="1:15">
      <c r="A17" s="347" t="s">
        <v>509</v>
      </c>
      <c r="B17" s="165">
        <f>SUM('TRANSFERENCIA CORRIENTE'!C18:E18)</f>
        <v>0</v>
      </c>
      <c r="C17" s="165">
        <f>SUM('TRANSFERENCIA CORRIENTE'!F18:H18)</f>
        <v>0</v>
      </c>
      <c r="D17" s="165">
        <f>SUM('TRANSFERENCIA CORRIENTE'!J18:L18)</f>
        <v>0</v>
      </c>
      <c r="E17" s="165">
        <f>SUM('TRANSFERENCIA CORRIENTE'!L18:N18)</f>
        <v>0</v>
      </c>
      <c r="F17" s="454"/>
      <c r="G17" s="165">
        <f>SUM(VS!C18:E18)</f>
        <v>0</v>
      </c>
      <c r="H17" s="165">
        <f>SUM(VS!F18:H18)</f>
        <v>0</v>
      </c>
      <c r="I17" s="165">
        <f>SUM(VS!I18:K18)</f>
        <v>0</v>
      </c>
      <c r="J17" s="166">
        <f>SUM(VS!L18:N18)</f>
        <v>40000</v>
      </c>
      <c r="K17" s="454"/>
      <c r="L17" s="265">
        <f t="shared" si="4"/>
        <v>0</v>
      </c>
      <c r="M17" s="265">
        <f t="shared" si="3"/>
        <v>0</v>
      </c>
      <c r="N17" s="265">
        <f t="shared" si="3"/>
        <v>0</v>
      </c>
      <c r="O17" s="265">
        <f t="shared" si="3"/>
        <v>40000</v>
      </c>
    </row>
    <row r="18" spans="1:15">
      <c r="A18" s="347" t="s">
        <v>508</v>
      </c>
      <c r="B18" s="165">
        <f>SUM('TRANSFERENCIA CORRIENTE'!C19:E19)</f>
        <v>0</v>
      </c>
      <c r="C18" s="165">
        <f>SUM('TRANSFERENCIA CORRIENTE'!F19:H19)</f>
        <v>0</v>
      </c>
      <c r="D18" s="165">
        <f>SUM('TRANSFERENCIA CORRIENTE'!J19:L19)</f>
        <v>0</v>
      </c>
      <c r="E18" s="165">
        <f>SUM('TRANSFERENCIA CORRIENTE'!L19:N19)</f>
        <v>0</v>
      </c>
      <c r="F18" s="454"/>
      <c r="G18" s="165">
        <f>SUM(VS!C19:E19)</f>
        <v>56000</v>
      </c>
      <c r="H18" s="165">
        <f>SUM(VS!F19:H19)</f>
        <v>96000</v>
      </c>
      <c r="I18" s="165">
        <f>SUM(VS!I19:K19)</f>
        <v>76000</v>
      </c>
      <c r="J18" s="166">
        <f>SUM(VS!L19:N19)</f>
        <v>88000</v>
      </c>
      <c r="K18" s="454"/>
      <c r="L18" s="265">
        <f t="shared" si="4"/>
        <v>56000</v>
      </c>
      <c r="M18" s="265">
        <f t="shared" si="3"/>
        <v>96000</v>
      </c>
      <c r="N18" s="265">
        <f t="shared" si="3"/>
        <v>76000</v>
      </c>
      <c r="O18" s="265">
        <f t="shared" si="3"/>
        <v>88000</v>
      </c>
    </row>
    <row r="19" spans="1:15">
      <c r="A19" s="347" t="s">
        <v>507</v>
      </c>
      <c r="B19" s="165">
        <f>SUM('TRANSFERENCIA CORRIENTE'!C20:E20)</f>
        <v>0</v>
      </c>
      <c r="C19" s="165">
        <f>SUM('TRANSFERENCIA CORRIENTE'!F20:H20)</f>
        <v>150000</v>
      </c>
      <c r="D19" s="165">
        <f>SUM('TRANSFERENCIA CORRIENTE'!J20:L20)</f>
        <v>448561.91999999998</v>
      </c>
      <c r="E19" s="165">
        <f>SUM('TRANSFERENCIA CORRIENTE'!L20:N20)</f>
        <v>931504.86999999988</v>
      </c>
      <c r="F19" s="454"/>
      <c r="G19" s="165">
        <f>SUM(VS!C20:E20)</f>
        <v>519625.15</v>
      </c>
      <c r="H19" s="165">
        <f>SUM(VS!F20:H20)</f>
        <v>759170.42</v>
      </c>
      <c r="I19" s="165">
        <f>SUM(VS!I20:K20)</f>
        <v>927025.6399999999</v>
      </c>
      <c r="J19" s="166">
        <f>SUM(VS!L20:N20)</f>
        <v>298143.38</v>
      </c>
      <c r="K19" s="454"/>
      <c r="L19" s="265">
        <f t="shared" si="4"/>
        <v>519625.15</v>
      </c>
      <c r="M19" s="265">
        <f t="shared" si="3"/>
        <v>909170.42</v>
      </c>
      <c r="N19" s="265">
        <f t="shared" si="3"/>
        <v>1375587.5599999998</v>
      </c>
      <c r="O19" s="265">
        <f t="shared" si="3"/>
        <v>1229648.25</v>
      </c>
    </row>
    <row r="20" spans="1:15">
      <c r="A20" s="347" t="s">
        <v>506</v>
      </c>
      <c r="B20" s="165">
        <f>SUM('TRANSFERENCIA CORRIENTE'!C21:E21)</f>
        <v>0</v>
      </c>
      <c r="C20" s="165">
        <f>SUM('TRANSFERENCIA CORRIENTE'!F21:H21)</f>
        <v>0</v>
      </c>
      <c r="D20" s="165">
        <f>SUM('TRANSFERENCIA CORRIENTE'!J21:L21)</f>
        <v>0</v>
      </c>
      <c r="E20" s="165">
        <f>SUM('TRANSFERENCIA CORRIENTE'!L21:N21)</f>
        <v>0</v>
      </c>
      <c r="F20" s="454"/>
      <c r="G20" s="165">
        <f>SUM(VS!C21:E21)</f>
        <v>0</v>
      </c>
      <c r="H20" s="165">
        <f>SUM(VS!F21:H21)</f>
        <v>0</v>
      </c>
      <c r="I20" s="165">
        <f>SUM(VS!I21:K21)</f>
        <v>0</v>
      </c>
      <c r="J20" s="166">
        <f>SUM(VS!L21:N21)</f>
        <v>3449.08</v>
      </c>
      <c r="K20" s="454"/>
      <c r="L20" s="265">
        <f t="shared" si="4"/>
        <v>0</v>
      </c>
      <c r="M20" s="265">
        <f t="shared" si="3"/>
        <v>0</v>
      </c>
      <c r="N20" s="265">
        <f t="shared" si="3"/>
        <v>0</v>
      </c>
      <c r="O20" s="265">
        <f t="shared" si="3"/>
        <v>3449.08</v>
      </c>
    </row>
    <row r="21" spans="1:15" ht="30">
      <c r="A21" s="347" t="s">
        <v>505</v>
      </c>
      <c r="B21" s="165">
        <f>SUM('TRANSFERENCIA CORRIENTE'!C22:E22)</f>
        <v>6474433.75</v>
      </c>
      <c r="C21" s="165">
        <f>SUM('TRANSFERENCIA CORRIENTE'!F22:H22)</f>
        <v>5611474.3300000001</v>
      </c>
      <c r="D21" s="165">
        <f>SUM('TRANSFERENCIA CORRIENTE'!J22:L22)</f>
        <v>4467039.47</v>
      </c>
      <c r="E21" s="165">
        <f>SUM('TRANSFERENCIA CORRIENTE'!L22:N22)</f>
        <v>14141425.069999998</v>
      </c>
      <c r="F21" s="454"/>
      <c r="G21" s="165">
        <f>SUM(VS!C22:E22)</f>
        <v>4556850.12</v>
      </c>
      <c r="H21" s="165">
        <f>SUM(VS!F22:H22)</f>
        <v>1040817.5700000001</v>
      </c>
      <c r="I21" s="165">
        <f>SUM(VS!I22:K22)</f>
        <v>3360268.75</v>
      </c>
      <c r="J21" s="166">
        <f>SUM(VS!L22:N22)</f>
        <v>3119551.1300000004</v>
      </c>
      <c r="K21" s="454"/>
      <c r="L21" s="265">
        <f t="shared" si="4"/>
        <v>11031283.870000001</v>
      </c>
      <c r="M21" s="265">
        <f t="shared" si="3"/>
        <v>6652291.9000000004</v>
      </c>
      <c r="N21" s="265">
        <f t="shared" si="3"/>
        <v>7827308.2199999997</v>
      </c>
      <c r="O21" s="265">
        <f>SUM(E21+J21)</f>
        <v>17260976.199999999</v>
      </c>
    </row>
    <row r="22" spans="1:15">
      <c r="A22" s="347" t="s">
        <v>504</v>
      </c>
      <c r="B22" s="165">
        <f>SUM('TRANSFERENCIA CORRIENTE'!C23:E23)</f>
        <v>489700</v>
      </c>
      <c r="C22" s="165">
        <f>SUM('TRANSFERENCIA CORRIENTE'!F23:H23)</f>
        <v>413000</v>
      </c>
      <c r="D22" s="165">
        <f>SUM('TRANSFERENCIA CORRIENTE'!J23:L23)</f>
        <v>4101500</v>
      </c>
      <c r="E22" s="165">
        <f>SUM('TRANSFERENCIA CORRIENTE'!L23:N23)</f>
        <v>547000</v>
      </c>
      <c r="F22" s="454"/>
      <c r="G22" s="165">
        <f>SUM(VS!C23:E23)</f>
        <v>832646.66</v>
      </c>
      <c r="H22" s="165">
        <f>SUM(VS!F23:H23)</f>
        <v>1774418.2799999998</v>
      </c>
      <c r="I22" s="165">
        <f>SUM(VS!I23:K23)</f>
        <v>1400729.0799999998</v>
      </c>
      <c r="J22" s="166">
        <f>SUM(VS!L23:N23)</f>
        <v>1998629.85</v>
      </c>
      <c r="K22" s="454"/>
      <c r="L22" s="265">
        <f t="shared" si="4"/>
        <v>1322346.6600000001</v>
      </c>
      <c r="M22" s="265">
        <f t="shared" si="3"/>
        <v>2187418.2799999998</v>
      </c>
      <c r="N22" s="265">
        <f t="shared" si="3"/>
        <v>5502229.0800000001</v>
      </c>
      <c r="O22" s="265">
        <f t="shared" si="3"/>
        <v>2545629.85</v>
      </c>
    </row>
    <row r="23" spans="1:15">
      <c r="A23" s="347" t="s">
        <v>503</v>
      </c>
      <c r="B23" s="165">
        <f>SUM('TRANSFERENCIA CORRIENTE'!C24:E24)</f>
        <v>0</v>
      </c>
      <c r="C23" s="165">
        <f>SUM('TRANSFERENCIA CORRIENTE'!F24:H24)</f>
        <v>3423745.04</v>
      </c>
      <c r="D23" s="165">
        <f>SUM('TRANSFERENCIA CORRIENTE'!J24:L24)</f>
        <v>2314511</v>
      </c>
      <c r="E23" s="165">
        <f>SUM('TRANSFERENCIA CORRIENTE'!L24:N24)</f>
        <v>0</v>
      </c>
      <c r="F23" s="454"/>
      <c r="G23" s="165">
        <f>SUM(VS!C24:E24)</f>
        <v>0</v>
      </c>
      <c r="H23" s="165">
        <f>SUM(VS!F24:H24)</f>
        <v>910287.4</v>
      </c>
      <c r="I23" s="165">
        <f>SUM(VS!I24:K24)</f>
        <v>549729.55000000005</v>
      </c>
      <c r="J23" s="166">
        <f>SUM(VS!L24:N24)</f>
        <v>1734600</v>
      </c>
      <c r="K23" s="454"/>
      <c r="L23" s="167">
        <f t="shared" si="4"/>
        <v>0</v>
      </c>
      <c r="M23" s="167">
        <f t="shared" si="3"/>
        <v>4334032.4400000004</v>
      </c>
      <c r="N23" s="167">
        <f t="shared" si="3"/>
        <v>2864240.55</v>
      </c>
      <c r="O23" s="167">
        <f t="shared" si="3"/>
        <v>1734600</v>
      </c>
    </row>
    <row r="24" spans="1:15" s="168" customFormat="1">
      <c r="A24" s="156" t="s">
        <v>502</v>
      </c>
      <c r="B24" s="163">
        <f>SUM(B25:B33)</f>
        <v>46153283.390000001</v>
      </c>
      <c r="C24" s="163">
        <f>SUM(C25:C33)</f>
        <v>52385650.660000004</v>
      </c>
      <c r="D24" s="163">
        <f>SUM(D25:D33)</f>
        <v>103786940.22999999</v>
      </c>
      <c r="E24" s="163">
        <f>SUM(E25:E33)</f>
        <v>117385204.33</v>
      </c>
      <c r="F24" s="454"/>
      <c r="G24" s="163">
        <f>SUM(G25:G33)</f>
        <v>7292547.2799999993</v>
      </c>
      <c r="H24" s="163">
        <f>SUM(H25:H33)</f>
        <v>6552680.6099999994</v>
      </c>
      <c r="I24" s="163">
        <f>SUM(I25:I33)</f>
        <v>9091857.0700000003</v>
      </c>
      <c r="J24" s="163">
        <f>SUM(J25:J33)</f>
        <v>19205451.41</v>
      </c>
      <c r="K24" s="454"/>
      <c r="L24" s="164">
        <f>SUM(B24+G24)</f>
        <v>53445830.670000002</v>
      </c>
      <c r="M24" s="164">
        <f t="shared" si="3"/>
        <v>58938331.270000003</v>
      </c>
      <c r="N24" s="164">
        <f t="shared" si="3"/>
        <v>112878797.29999998</v>
      </c>
      <c r="O24" s="164">
        <f t="shared" si="3"/>
        <v>136590655.74000001</v>
      </c>
    </row>
    <row r="25" spans="1:15">
      <c r="A25" s="347" t="s">
        <v>501</v>
      </c>
      <c r="B25" s="165">
        <f>SUM('TRANSFERENCIA CORRIENTE'!C26:E26)</f>
        <v>3713897.2399999998</v>
      </c>
      <c r="C25" s="165">
        <f>SUM('TRANSFERENCIA CORRIENTE'!F26:H26)</f>
        <v>4866999.25</v>
      </c>
      <c r="D25" s="165">
        <f>SUM('TRANSFERENCIA CORRIENTE'!I23:K23)</f>
        <v>3779000</v>
      </c>
      <c r="E25" s="165">
        <f>SUM('TRANSFERENCIA CORRIENTE'!L26:N26)</f>
        <v>7244630.0800000001</v>
      </c>
      <c r="F25" s="454"/>
      <c r="G25" s="165">
        <f>SUM(VS!C26:E26)</f>
        <v>1500755.8</v>
      </c>
      <c r="H25" s="165">
        <f>SUM(VS!F26:H26)</f>
        <v>663230</v>
      </c>
      <c r="I25" s="165">
        <f>SUM(VS!I26:K26)</f>
        <v>1574425.6600000001</v>
      </c>
      <c r="J25" s="166">
        <f>SUM(VS!L26:N26)</f>
        <v>645867</v>
      </c>
      <c r="K25" s="454"/>
      <c r="L25" s="167">
        <f t="shared" ref="L25:O40" si="5">SUM(B25+G25)</f>
        <v>5214653.04</v>
      </c>
      <c r="M25" s="167">
        <f t="shared" si="3"/>
        <v>5530229.25</v>
      </c>
      <c r="N25" s="167">
        <f t="shared" si="3"/>
        <v>5353425.66</v>
      </c>
      <c r="O25" s="167">
        <f t="shared" si="3"/>
        <v>7890497.0800000001</v>
      </c>
    </row>
    <row r="26" spans="1:15">
      <c r="A26" s="347" t="s">
        <v>500</v>
      </c>
      <c r="B26" s="165">
        <f>SUM('TRANSFERENCIA CORRIENTE'!C27:E27)</f>
        <v>61630.73</v>
      </c>
      <c r="C26" s="165">
        <f>SUM('TRANSFERENCIA CORRIENTE'!F27:H27)</f>
        <v>2375399.4299999997</v>
      </c>
      <c r="D26" s="165">
        <f>SUM('TRANSFERENCIA CORRIENTE'!I24:K24)</f>
        <v>2314511</v>
      </c>
      <c r="E26" s="165">
        <f>SUM('TRANSFERENCIA CORRIENTE'!L27:N27)</f>
        <v>942481.03</v>
      </c>
      <c r="F26" s="454"/>
      <c r="G26" s="165">
        <f>SUM(VS!C27:E27)</f>
        <v>0</v>
      </c>
      <c r="H26" s="165">
        <f>SUM(VS!F27:H27)</f>
        <v>346306.4</v>
      </c>
      <c r="I26" s="165">
        <f>SUM(VS!I27:K27)</f>
        <v>0</v>
      </c>
      <c r="J26" s="166">
        <f>SUM(VS!L27:N27)</f>
        <v>623449.22</v>
      </c>
      <c r="K26" s="454"/>
      <c r="L26" s="265">
        <f t="shared" si="5"/>
        <v>61630.73</v>
      </c>
      <c r="M26" s="265">
        <f t="shared" si="3"/>
        <v>2721705.8299999996</v>
      </c>
      <c r="N26" s="265">
        <f t="shared" si="3"/>
        <v>2314511</v>
      </c>
      <c r="O26" s="265">
        <f t="shared" si="3"/>
        <v>1565930.25</v>
      </c>
    </row>
    <row r="27" spans="1:15">
      <c r="A27" s="347" t="s">
        <v>499</v>
      </c>
      <c r="B27" s="165">
        <f>SUM('TRANSFERENCIA CORRIENTE'!C28:E28)</f>
        <v>1826911.8399999999</v>
      </c>
      <c r="C27" s="165">
        <f>SUM('TRANSFERENCIA CORRIENTE'!F28:H28)</f>
        <v>2991695.71</v>
      </c>
      <c r="D27" s="165">
        <f>SUM('TRANSFERENCIA CORRIENTE'!I25:K25)</f>
        <v>65609607.189999998</v>
      </c>
      <c r="E27" s="165">
        <f>SUM('TRANSFERENCIA CORRIENTE'!L28:N28)</f>
        <v>2867525.21</v>
      </c>
      <c r="F27" s="454"/>
      <c r="G27" s="165">
        <f>SUM(VS!C28:E28)</f>
        <v>251163</v>
      </c>
      <c r="H27" s="165">
        <f>SUM(VS!F28:H28)</f>
        <v>803989</v>
      </c>
      <c r="I27" s="165">
        <f>SUM(VS!I28:K28)</f>
        <v>734332.03</v>
      </c>
      <c r="J27" s="166">
        <f>SUM(VS!L28:N28)</f>
        <v>289100</v>
      </c>
      <c r="K27" s="454"/>
      <c r="L27" s="265">
        <f t="shared" si="5"/>
        <v>2078074.8399999999</v>
      </c>
      <c r="M27" s="265">
        <f t="shared" si="3"/>
        <v>3795684.71</v>
      </c>
      <c r="N27" s="265">
        <f t="shared" si="3"/>
        <v>66343939.219999999</v>
      </c>
      <c r="O27" s="265">
        <f t="shared" si="3"/>
        <v>3156625.21</v>
      </c>
    </row>
    <row r="28" spans="1:15">
      <c r="A28" s="347" t="s">
        <v>498</v>
      </c>
      <c r="B28" s="165">
        <f>SUM('TRANSFERENCIA CORRIENTE'!C29:E29)</f>
        <v>10797335.800000001</v>
      </c>
      <c r="C28" s="165">
        <f>SUM('TRANSFERENCIA CORRIENTE'!F29:H29)</f>
        <v>12009356.6</v>
      </c>
      <c r="D28" s="165">
        <f>SUM('TRANSFERENCIA CORRIENTE'!I26:K26)</f>
        <v>6044845.1100000003</v>
      </c>
      <c r="E28" s="165">
        <f>SUM('TRANSFERENCIA CORRIENTE'!L29:N29)</f>
        <v>26157448.800000001</v>
      </c>
      <c r="F28" s="454"/>
      <c r="G28" s="165">
        <f>SUM(VS!C29:E29)</f>
        <v>558000</v>
      </c>
      <c r="H28" s="165">
        <f>SUM(VS!F29:H29)</f>
        <v>402220.76</v>
      </c>
      <c r="I28" s="165">
        <f>SUM(VS!I29:K29)</f>
        <v>496000</v>
      </c>
      <c r="J28" s="166">
        <f>SUM(VS!L29:N29)</f>
        <v>3021621.65</v>
      </c>
      <c r="K28" s="454"/>
      <c r="L28" s="265">
        <f t="shared" si="5"/>
        <v>11355335.800000001</v>
      </c>
      <c r="M28" s="265">
        <f t="shared" si="3"/>
        <v>12411577.359999999</v>
      </c>
      <c r="N28" s="265">
        <f t="shared" si="3"/>
        <v>6540845.1100000003</v>
      </c>
      <c r="O28" s="265">
        <f t="shared" si="3"/>
        <v>29179070.449999999</v>
      </c>
    </row>
    <row r="29" spans="1:15">
      <c r="A29" s="347" t="s">
        <v>497</v>
      </c>
      <c r="B29" s="165">
        <f>SUM('TRANSFERENCIA CORRIENTE'!C30:E30)</f>
        <v>334708.95</v>
      </c>
      <c r="C29" s="165">
        <f>SUM('TRANSFERENCIA CORRIENTE'!F30:H30)</f>
        <v>1024240.4299999999</v>
      </c>
      <c r="D29" s="165">
        <f>SUM('TRANSFERENCIA CORRIENTE'!I27:K27)</f>
        <v>3015806.75</v>
      </c>
      <c r="E29" s="165">
        <f>SUM('TRANSFERENCIA CORRIENTE'!L30:N30)</f>
        <v>909070.94000000006</v>
      </c>
      <c r="F29" s="454"/>
      <c r="G29" s="165">
        <f>SUM(VS!C30:E30)</f>
        <v>567494.87</v>
      </c>
      <c r="H29" s="165">
        <f>SUM(VS!F30:H30)</f>
        <v>0</v>
      </c>
      <c r="I29" s="165">
        <f>SUM(VS!I30:K30)</f>
        <v>140314.78</v>
      </c>
      <c r="J29" s="166">
        <f>SUM(VS!L30:N30)</f>
        <v>309532.13</v>
      </c>
      <c r="K29" s="454"/>
      <c r="L29" s="265">
        <f t="shared" si="5"/>
        <v>902203.82000000007</v>
      </c>
      <c r="M29" s="265">
        <f t="shared" si="3"/>
        <v>1024240.4299999999</v>
      </c>
      <c r="N29" s="265">
        <f t="shared" si="3"/>
        <v>3156121.53</v>
      </c>
      <c r="O29" s="265">
        <f t="shared" si="3"/>
        <v>1218603.07</v>
      </c>
    </row>
    <row r="30" spans="1:15">
      <c r="A30" s="347" t="s">
        <v>496</v>
      </c>
      <c r="B30" s="165">
        <f>SUM('TRANSFERENCIA CORRIENTE'!C31:E31)</f>
        <v>11630.98</v>
      </c>
      <c r="C30" s="165">
        <f>SUM('TRANSFERENCIA CORRIENTE'!F31:H31)</f>
        <v>667620.59</v>
      </c>
      <c r="D30" s="165">
        <f>SUM('TRANSFERENCIA CORRIENTE'!I28:K28)</f>
        <v>2859834.36</v>
      </c>
      <c r="E30" s="165">
        <f>SUM('TRANSFERENCIA CORRIENTE'!L31:N31)</f>
        <v>273899.93</v>
      </c>
      <c r="F30" s="454"/>
      <c r="G30" s="165">
        <f>SUM(VS!C31:E31)</f>
        <v>293957.3</v>
      </c>
      <c r="H30" s="165">
        <f>SUM(VS!F31:H31)</f>
        <v>0</v>
      </c>
      <c r="I30" s="165">
        <f>SUM(VS!I31:K31)</f>
        <v>211552.06</v>
      </c>
      <c r="J30" s="166">
        <f>SUM(VS!L31:N31)</f>
        <v>185489.5</v>
      </c>
      <c r="K30" s="454"/>
      <c r="L30" s="265">
        <f t="shared" si="5"/>
        <v>305588.27999999997</v>
      </c>
      <c r="M30" s="265">
        <f t="shared" si="5"/>
        <v>667620.59</v>
      </c>
      <c r="N30" s="265">
        <f t="shared" si="5"/>
        <v>3071386.42</v>
      </c>
      <c r="O30" s="265">
        <f t="shared" si="5"/>
        <v>459389.43</v>
      </c>
    </row>
    <row r="31" spans="1:15">
      <c r="A31" s="347" t="s">
        <v>495</v>
      </c>
      <c r="B31" s="165">
        <f>SUM('TRANSFERENCIA CORRIENTE'!C32:E32)</f>
        <v>8910101.959999999</v>
      </c>
      <c r="C31" s="165">
        <f>SUM('TRANSFERENCIA CORRIENTE'!F32:H32)</f>
        <v>10068979.180000002</v>
      </c>
      <c r="D31" s="165">
        <f>SUM('TRANSFERENCIA CORRIENTE'!I29:K29)</f>
        <v>19203378</v>
      </c>
      <c r="E31" s="165">
        <f>SUM('TRANSFERENCIA CORRIENTE'!L32:N32)</f>
        <v>33935788.950000003</v>
      </c>
      <c r="F31" s="454"/>
      <c r="G31" s="165">
        <f>SUM(VS!C32:E32)</f>
        <v>1660334.56</v>
      </c>
      <c r="H31" s="165">
        <f>SUM(VS!F32:H32)</f>
        <v>1500202</v>
      </c>
      <c r="I31" s="165">
        <f>SUM(VS!I32:K32)</f>
        <v>2324461.02</v>
      </c>
      <c r="J31" s="166">
        <f>SUM(VS!L32:N32)</f>
        <v>4327322</v>
      </c>
      <c r="K31" s="454"/>
      <c r="L31" s="265">
        <f t="shared" si="5"/>
        <v>10570436.52</v>
      </c>
      <c r="M31" s="265">
        <f t="shared" si="5"/>
        <v>11569181.180000002</v>
      </c>
      <c r="N31" s="265">
        <f t="shared" si="5"/>
        <v>21527839.02</v>
      </c>
      <c r="O31" s="265">
        <f t="shared" si="5"/>
        <v>38263110.950000003</v>
      </c>
    </row>
    <row r="32" spans="1:15" ht="30">
      <c r="A32" s="347" t="s">
        <v>494</v>
      </c>
      <c r="B32" s="165">
        <f>SUM('TRANSFERENCIA CORRIENTE'!C33:E33)</f>
        <v>0</v>
      </c>
      <c r="C32" s="165">
        <f>SUM('TRANSFERENCIA CORRIENTE'!F33:H33)</f>
        <v>0</v>
      </c>
      <c r="D32" s="165">
        <f>SUM('TRANSFERENCIA CORRIENTE'!I30:K30)</f>
        <v>673453.82</v>
      </c>
      <c r="E32" s="165">
        <f>SUM('TRANSFERENCIA CORRIENTE'!L33:N33)</f>
        <v>0</v>
      </c>
      <c r="F32" s="454"/>
      <c r="G32" s="165">
        <f>SUM(VS!C33:E33)</f>
        <v>0</v>
      </c>
      <c r="H32" s="165">
        <f>SUM(VS!F33:H33)</f>
        <v>0</v>
      </c>
      <c r="I32" s="165">
        <f>SUM(VS!I33:K33)</f>
        <v>0</v>
      </c>
      <c r="J32" s="166">
        <f>SUM(VS!L33:N33)</f>
        <v>0</v>
      </c>
      <c r="K32" s="454"/>
      <c r="L32" s="265">
        <f t="shared" si="5"/>
        <v>0</v>
      </c>
      <c r="M32" s="265">
        <f t="shared" si="5"/>
        <v>0</v>
      </c>
      <c r="N32" s="265">
        <f t="shared" si="5"/>
        <v>673453.82</v>
      </c>
      <c r="O32" s="265">
        <f t="shared" si="5"/>
        <v>0</v>
      </c>
    </row>
    <row r="33" spans="1:15">
      <c r="A33" s="347" t="s">
        <v>493</v>
      </c>
      <c r="B33" s="165">
        <f>SUM('TRANSFERENCIA CORRIENTE'!C34:E34)</f>
        <v>20497065.890000001</v>
      </c>
      <c r="C33" s="165">
        <f>SUM('TRANSFERENCIA CORRIENTE'!F34:H34)</f>
        <v>18381359.469999999</v>
      </c>
      <c r="D33" s="165">
        <f>SUM('TRANSFERENCIA CORRIENTE'!I31:K31)</f>
        <v>286504</v>
      </c>
      <c r="E33" s="165">
        <f>SUM('TRANSFERENCIA CORRIENTE'!L34:N34)</f>
        <v>45054359.390000001</v>
      </c>
      <c r="F33" s="454"/>
      <c r="G33" s="165">
        <f>SUM(VS!C34:E34)</f>
        <v>2460841.75</v>
      </c>
      <c r="H33" s="165">
        <f>SUM(VS!F34:H34)</f>
        <v>2836732.4499999997</v>
      </c>
      <c r="I33" s="165">
        <f>SUM(VS!I34:K34)</f>
        <v>3610771.5199999996</v>
      </c>
      <c r="J33" s="166">
        <f>SUM(VS!L34:N34)</f>
        <v>9803069.9100000001</v>
      </c>
      <c r="K33" s="454"/>
      <c r="L33" s="265">
        <f t="shared" si="5"/>
        <v>22957907.640000001</v>
      </c>
      <c r="M33" s="265">
        <f t="shared" si="5"/>
        <v>21218091.919999998</v>
      </c>
      <c r="N33" s="265">
        <f t="shared" si="5"/>
        <v>3897275.5199999996</v>
      </c>
      <c r="O33" s="265">
        <f t="shared" si="5"/>
        <v>54857429.299999997</v>
      </c>
    </row>
    <row r="34" spans="1:15" s="168" customFormat="1">
      <c r="A34" s="156" t="s">
        <v>492</v>
      </c>
      <c r="B34" s="163">
        <f>SUM(B35:B41)</f>
        <v>0</v>
      </c>
      <c r="C34" s="163">
        <f>SUM(C35:C41)</f>
        <v>0</v>
      </c>
      <c r="D34" s="163">
        <f>SUM(D35:D41)</f>
        <v>0</v>
      </c>
      <c r="E34" s="163">
        <f>SUM(E35:E41)</f>
        <v>0</v>
      </c>
      <c r="F34" s="454"/>
      <c r="G34" s="163">
        <f>SUM(G35:G41)</f>
        <v>287786.7</v>
      </c>
      <c r="H34" s="163">
        <f>SUM(H35:H41)</f>
        <v>1223981</v>
      </c>
      <c r="I34" s="163">
        <f>SUM(I35:I41)</f>
        <v>122771</v>
      </c>
      <c r="J34" s="163">
        <f>SUM(J35:J41)</f>
        <v>19600</v>
      </c>
      <c r="K34" s="454"/>
      <c r="L34" s="164">
        <f t="shared" si="5"/>
        <v>287786.7</v>
      </c>
      <c r="M34" s="164">
        <f t="shared" si="5"/>
        <v>1223981</v>
      </c>
      <c r="N34" s="164">
        <f t="shared" si="5"/>
        <v>122771</v>
      </c>
      <c r="O34" s="164">
        <f t="shared" si="5"/>
        <v>19600</v>
      </c>
    </row>
    <row r="35" spans="1:15">
      <c r="A35" s="347" t="s">
        <v>491</v>
      </c>
      <c r="B35" s="165">
        <f>SUM('TRANSFERENCIA CORRIENTE'!C36:E36)</f>
        <v>0</v>
      </c>
      <c r="C35" s="165">
        <f>SUM('TRANSFERENCIA CORRIENTE'!F36:H36)</f>
        <v>0</v>
      </c>
      <c r="D35" s="165">
        <f>SUM('TRANSFERENCIA CORRIENTE'!I36:K36)</f>
        <v>0</v>
      </c>
      <c r="E35" s="165">
        <f>SUM('TRANSFERENCIA CORRIENTE'!L36:N36)</f>
        <v>0</v>
      </c>
      <c r="F35" s="454"/>
      <c r="G35" s="165">
        <f>SUM(VS!C36:E36)</f>
        <v>287786.7</v>
      </c>
      <c r="H35" s="165">
        <f>SUM(VS!F36:H36)</f>
        <v>1223981</v>
      </c>
      <c r="I35" s="165">
        <f>SUM(VS!I36:K36)</f>
        <v>122771</v>
      </c>
      <c r="J35" s="166">
        <f>SUM(VS!L36:N36)</f>
        <v>19600</v>
      </c>
      <c r="K35" s="454"/>
      <c r="L35" s="265">
        <f t="shared" si="5"/>
        <v>287786.7</v>
      </c>
      <c r="M35" s="265">
        <f t="shared" si="5"/>
        <v>1223981</v>
      </c>
      <c r="N35" s="265">
        <f t="shared" si="5"/>
        <v>122771</v>
      </c>
      <c r="O35" s="265">
        <f t="shared" si="5"/>
        <v>19600</v>
      </c>
    </row>
    <row r="36" spans="1:15">
      <c r="A36" s="347" t="s">
        <v>490</v>
      </c>
      <c r="B36" s="165">
        <f>SUM('TRANSFERENCIA CORRIENTE'!C37:E37)</f>
        <v>0</v>
      </c>
      <c r="C36" s="165">
        <f>SUM('TRANSFERENCIA CORRIENTE'!F37:H37)</f>
        <v>0</v>
      </c>
      <c r="D36" s="165">
        <f>SUM('TRANSFERENCIA CORRIENTE'!I37:K37)</f>
        <v>0</v>
      </c>
      <c r="E36" s="165">
        <f>SUM('TRANSFERENCIA CORRIENTE'!L37:N37)</f>
        <v>0</v>
      </c>
      <c r="F36" s="454"/>
      <c r="G36" s="165">
        <f>SUM(VS!C37:E37)</f>
        <v>0</v>
      </c>
      <c r="H36" s="165">
        <f>SUM(VS!F37:H37)</f>
        <v>0</v>
      </c>
      <c r="I36" s="165">
        <f>SUM(VS!I37:K37)</f>
        <v>0</v>
      </c>
      <c r="J36" s="166">
        <f>SUM(VS!L37:N37)</f>
        <v>0</v>
      </c>
      <c r="K36" s="454"/>
      <c r="L36" s="265">
        <f t="shared" si="5"/>
        <v>0</v>
      </c>
      <c r="M36" s="265">
        <f t="shared" si="5"/>
        <v>0</v>
      </c>
      <c r="N36" s="265">
        <f t="shared" si="5"/>
        <v>0</v>
      </c>
      <c r="O36" s="265">
        <f t="shared" si="5"/>
        <v>0</v>
      </c>
    </row>
    <row r="37" spans="1:15">
      <c r="A37" s="347" t="s">
        <v>489</v>
      </c>
      <c r="B37" s="165">
        <f>SUM('TRANSFERENCIA CORRIENTE'!C38:E38)</f>
        <v>0</v>
      </c>
      <c r="C37" s="165">
        <f>SUM('TRANSFERENCIA CORRIENTE'!F38:H38)</f>
        <v>0</v>
      </c>
      <c r="D37" s="165">
        <f>SUM('TRANSFERENCIA CORRIENTE'!I38:K38)</f>
        <v>0</v>
      </c>
      <c r="E37" s="165">
        <f>SUM('TRANSFERENCIA CORRIENTE'!L38:N38)</f>
        <v>0</v>
      </c>
      <c r="F37" s="454"/>
      <c r="G37" s="165">
        <f>SUM(VS!C38:E38)</f>
        <v>0</v>
      </c>
      <c r="H37" s="165">
        <f>SUM(VS!F38:H38)</f>
        <v>0</v>
      </c>
      <c r="I37" s="165">
        <f>SUM(VS!I38:K38)</f>
        <v>0</v>
      </c>
      <c r="J37" s="166">
        <f>SUM(VS!L38:N38)</f>
        <v>0</v>
      </c>
      <c r="K37" s="454"/>
      <c r="L37" s="265">
        <f t="shared" si="5"/>
        <v>0</v>
      </c>
      <c r="M37" s="265">
        <f t="shared" si="5"/>
        <v>0</v>
      </c>
      <c r="N37" s="265">
        <f t="shared" si="5"/>
        <v>0</v>
      </c>
      <c r="O37" s="265">
        <f t="shared" si="5"/>
        <v>0</v>
      </c>
    </row>
    <row r="38" spans="1:15">
      <c r="A38" s="347" t="s">
        <v>488</v>
      </c>
      <c r="B38" s="165">
        <f>SUM('TRANSFERENCIA CORRIENTE'!C39:E39)</f>
        <v>0</v>
      </c>
      <c r="C38" s="165">
        <f>SUM('TRANSFERENCIA CORRIENTE'!F39:H39)</f>
        <v>0</v>
      </c>
      <c r="D38" s="165">
        <f>SUM('TRANSFERENCIA CORRIENTE'!I39:K39)</f>
        <v>0</v>
      </c>
      <c r="E38" s="165">
        <f>SUM('TRANSFERENCIA CORRIENTE'!L39:N39)</f>
        <v>0</v>
      </c>
      <c r="F38" s="454"/>
      <c r="G38" s="165">
        <f>SUM(VS!C39:E39)</f>
        <v>0</v>
      </c>
      <c r="H38" s="165">
        <f>SUM(VS!F39:H39)</f>
        <v>0</v>
      </c>
      <c r="I38" s="165">
        <f>SUM(VS!I39:K39)</f>
        <v>0</v>
      </c>
      <c r="J38" s="166">
        <f>SUM(VS!L39:N39)</f>
        <v>0</v>
      </c>
      <c r="K38" s="454"/>
      <c r="L38" s="265">
        <f t="shared" si="5"/>
        <v>0</v>
      </c>
      <c r="M38" s="265">
        <f t="shared" si="5"/>
        <v>0</v>
      </c>
      <c r="N38" s="265">
        <f t="shared" si="5"/>
        <v>0</v>
      </c>
      <c r="O38" s="265">
        <f t="shared" si="5"/>
        <v>0</v>
      </c>
    </row>
    <row r="39" spans="1:15" ht="30">
      <c r="A39" s="347" t="s">
        <v>487</v>
      </c>
      <c r="B39" s="165">
        <f>SUM('TRANSFERENCIA CORRIENTE'!C40:E40)</f>
        <v>0</v>
      </c>
      <c r="C39" s="165">
        <f>SUM('TRANSFERENCIA CORRIENTE'!F40:H40)</f>
        <v>0</v>
      </c>
      <c r="D39" s="165">
        <f>SUM('TRANSFERENCIA CORRIENTE'!I40:K40)</f>
        <v>0</v>
      </c>
      <c r="E39" s="165">
        <f>SUM('TRANSFERENCIA CORRIENTE'!L40:N40)</f>
        <v>0</v>
      </c>
      <c r="F39" s="454"/>
      <c r="G39" s="165">
        <f>SUM(VS!C40:E40)</f>
        <v>0</v>
      </c>
      <c r="H39" s="165">
        <f>SUM(VS!F40:H40)</f>
        <v>0</v>
      </c>
      <c r="I39" s="165">
        <f>SUM(VS!I40:K40)</f>
        <v>0</v>
      </c>
      <c r="J39" s="166">
        <f>SUM(VS!L40:N40)</f>
        <v>0</v>
      </c>
      <c r="K39" s="454"/>
      <c r="L39" s="265">
        <f t="shared" si="5"/>
        <v>0</v>
      </c>
      <c r="M39" s="265">
        <f t="shared" si="5"/>
        <v>0</v>
      </c>
      <c r="N39" s="265">
        <f t="shared" si="5"/>
        <v>0</v>
      </c>
      <c r="O39" s="265">
        <f t="shared" si="5"/>
        <v>0</v>
      </c>
    </row>
    <row r="40" spans="1:15">
      <c r="A40" s="347" t="s">
        <v>486</v>
      </c>
      <c r="B40" s="165">
        <f>SUM('TRANSFERENCIA CORRIENTE'!C41:E41)</f>
        <v>0</v>
      </c>
      <c r="C40" s="165">
        <f>SUM('TRANSFERENCIA CORRIENTE'!F41:H41)</f>
        <v>0</v>
      </c>
      <c r="D40" s="165">
        <f>SUM('TRANSFERENCIA CORRIENTE'!I41:K41)</f>
        <v>0</v>
      </c>
      <c r="E40" s="165">
        <f>SUM('TRANSFERENCIA CORRIENTE'!L41:N41)</f>
        <v>0</v>
      </c>
      <c r="F40" s="454"/>
      <c r="G40" s="165">
        <f>SUM(VS!C41:E41)</f>
        <v>0</v>
      </c>
      <c r="H40" s="165">
        <f>SUM(VS!F41:H41)</f>
        <v>0</v>
      </c>
      <c r="I40" s="165">
        <f>SUM(VS!I41:K41)</f>
        <v>0</v>
      </c>
      <c r="J40" s="166">
        <f>SUM(VS!L41:N41)</f>
        <v>0</v>
      </c>
      <c r="K40" s="454"/>
      <c r="L40" s="265">
        <f t="shared" si="5"/>
        <v>0</v>
      </c>
      <c r="M40" s="265">
        <f t="shared" si="5"/>
        <v>0</v>
      </c>
      <c r="N40" s="265">
        <f t="shared" si="5"/>
        <v>0</v>
      </c>
      <c r="O40" s="265">
        <f t="shared" si="5"/>
        <v>0</v>
      </c>
    </row>
    <row r="41" spans="1:15">
      <c r="A41" s="347" t="s">
        <v>485</v>
      </c>
      <c r="B41" s="165">
        <f>SUM('TRANSFERENCIA CORRIENTE'!C42:E42)</f>
        <v>0</v>
      </c>
      <c r="C41" s="165">
        <f>SUM('TRANSFERENCIA CORRIENTE'!F42:H42)</f>
        <v>0</v>
      </c>
      <c r="D41" s="165">
        <f>SUM('TRANSFERENCIA CORRIENTE'!I42:K42)</f>
        <v>0</v>
      </c>
      <c r="E41" s="165">
        <f>SUM('TRANSFERENCIA CORRIENTE'!L42:N42)</f>
        <v>0</v>
      </c>
      <c r="F41" s="454"/>
      <c r="G41" s="165">
        <f>SUM(VS!C42:E42)</f>
        <v>0</v>
      </c>
      <c r="H41" s="165">
        <f>SUM(VS!F42:H42)</f>
        <v>0</v>
      </c>
      <c r="I41" s="165">
        <f>SUM(VS!I42:K42)</f>
        <v>0</v>
      </c>
      <c r="J41" s="166">
        <f>SUM(VS!L42:N42)</f>
        <v>0</v>
      </c>
      <c r="K41" s="454"/>
      <c r="L41" s="265">
        <f t="shared" ref="L41:O56" si="6">SUM(B41+G41)</f>
        <v>0</v>
      </c>
      <c r="M41" s="265">
        <f t="shared" si="6"/>
        <v>0</v>
      </c>
      <c r="N41" s="265">
        <f t="shared" si="6"/>
        <v>0</v>
      </c>
      <c r="O41" s="265">
        <f t="shared" si="6"/>
        <v>0</v>
      </c>
    </row>
    <row r="42" spans="1:15">
      <c r="A42" s="156" t="s">
        <v>484</v>
      </c>
      <c r="B42" s="163">
        <f>SUM(B43:B49)</f>
        <v>0</v>
      </c>
      <c r="C42" s="163">
        <f>SUM(C43:C49)</f>
        <v>0</v>
      </c>
      <c r="D42" s="163">
        <f>SUM(D43:D49)</f>
        <v>0</v>
      </c>
      <c r="E42" s="163">
        <f>SUM(E43:E49)</f>
        <v>0</v>
      </c>
      <c r="F42" s="454"/>
      <c r="G42" s="163">
        <f>SUM(G43:G49)</f>
        <v>0</v>
      </c>
      <c r="H42" s="163">
        <f>SUM(H43:H49)</f>
        <v>0</v>
      </c>
      <c r="I42" s="163">
        <f>SUM(I43:I49)</f>
        <v>0</v>
      </c>
      <c r="J42" s="163">
        <f>SUM(J43:J49)</f>
        <v>0</v>
      </c>
      <c r="K42" s="454"/>
      <c r="L42" s="164">
        <f>SUM(B42+G42)</f>
        <v>0</v>
      </c>
      <c r="M42" s="164">
        <f t="shared" si="6"/>
        <v>0</v>
      </c>
      <c r="N42" s="164">
        <f>SUM(D42+I42)</f>
        <v>0</v>
      </c>
      <c r="O42" s="164">
        <f>SUM(E42+J42)</f>
        <v>0</v>
      </c>
    </row>
    <row r="43" spans="1:15">
      <c r="A43" s="347" t="s">
        <v>483</v>
      </c>
      <c r="B43" s="165">
        <f>SUM('TRANSFERENCIA CORRIENTE'!C44:E44)</f>
        <v>0</v>
      </c>
      <c r="C43" s="165">
        <f>SUM('TRANSFERENCIA CORRIENTE'!F44:H44)</f>
        <v>0</v>
      </c>
      <c r="D43" s="165">
        <f>SUM('TRANSFERENCIA CORRIENTE'!I44:K44)</f>
        <v>0</v>
      </c>
      <c r="E43" s="165">
        <f>SUM('TRANSFERENCIA CORRIENTE'!L44:N44)</f>
        <v>0</v>
      </c>
      <c r="F43" s="454"/>
      <c r="G43" s="165">
        <f>SUM(VS!C44:E44)</f>
        <v>0</v>
      </c>
      <c r="H43" s="165">
        <f>SUM(VS!F44:H44)</f>
        <v>0</v>
      </c>
      <c r="I43" s="165">
        <f>SUM(VS!I44:K44)</f>
        <v>0</v>
      </c>
      <c r="J43" s="166">
        <f>SUM(VS!L44:N44)</f>
        <v>0</v>
      </c>
      <c r="K43" s="454"/>
      <c r="L43" s="167">
        <f t="shared" ref="L43:L49" si="7">SUM(B43+G43)</f>
        <v>0</v>
      </c>
      <c r="M43" s="167">
        <f t="shared" si="6"/>
        <v>0</v>
      </c>
      <c r="N43" s="167">
        <f t="shared" si="6"/>
        <v>0</v>
      </c>
      <c r="O43" s="167">
        <f t="shared" si="6"/>
        <v>0</v>
      </c>
    </row>
    <row r="44" spans="1:15">
      <c r="A44" s="347" t="s">
        <v>482</v>
      </c>
      <c r="B44" s="165">
        <f>SUM('TRANSFERENCIA CORRIENTE'!C45:E45)</f>
        <v>0</v>
      </c>
      <c r="C44" s="165">
        <f>SUM('TRANSFERENCIA CORRIENTE'!F45:H45)</f>
        <v>0</v>
      </c>
      <c r="D44" s="165">
        <f>SUM('TRANSFERENCIA CORRIENTE'!I45:K45)</f>
        <v>0</v>
      </c>
      <c r="E44" s="165">
        <f>SUM('TRANSFERENCIA CORRIENTE'!L45:N45)</f>
        <v>0</v>
      </c>
      <c r="F44" s="454"/>
      <c r="G44" s="165">
        <f>SUM(VS!C45:E45)</f>
        <v>0</v>
      </c>
      <c r="H44" s="165">
        <f>SUM(VS!F45:H45)</f>
        <v>0</v>
      </c>
      <c r="I44" s="165">
        <f>SUM(VS!I45:K45)</f>
        <v>0</v>
      </c>
      <c r="J44" s="166">
        <f>SUM(VS!L45:N45)</f>
        <v>0</v>
      </c>
      <c r="K44" s="454"/>
      <c r="L44" s="167">
        <f t="shared" si="7"/>
        <v>0</v>
      </c>
      <c r="M44" s="167">
        <f t="shared" si="6"/>
        <v>0</v>
      </c>
      <c r="N44" s="167">
        <f t="shared" si="6"/>
        <v>0</v>
      </c>
      <c r="O44" s="167">
        <f t="shared" si="6"/>
        <v>0</v>
      </c>
    </row>
    <row r="45" spans="1:15">
      <c r="A45" s="347" t="s">
        <v>481</v>
      </c>
      <c r="B45" s="165">
        <f>SUM('TRANSFERENCIA CORRIENTE'!C46:E46)</f>
        <v>0</v>
      </c>
      <c r="C45" s="165">
        <f>SUM('TRANSFERENCIA CORRIENTE'!F46:H46)</f>
        <v>0</v>
      </c>
      <c r="D45" s="165">
        <f>SUM('TRANSFERENCIA CORRIENTE'!I46:K46)</f>
        <v>0</v>
      </c>
      <c r="E45" s="165">
        <f>SUM('TRANSFERENCIA CORRIENTE'!L46:N46)</f>
        <v>0</v>
      </c>
      <c r="F45" s="454"/>
      <c r="G45" s="165">
        <f>SUM(VS!C46:E46)</f>
        <v>0</v>
      </c>
      <c r="H45" s="165">
        <f>SUM(VS!F46:H46)</f>
        <v>0</v>
      </c>
      <c r="I45" s="165">
        <f>SUM(VS!I46:K46)</f>
        <v>0</v>
      </c>
      <c r="J45" s="166">
        <f>SUM(VS!L46:N46)</f>
        <v>0</v>
      </c>
      <c r="K45" s="454"/>
      <c r="L45" s="167">
        <f t="shared" si="7"/>
        <v>0</v>
      </c>
      <c r="M45" s="167">
        <f t="shared" si="6"/>
        <v>0</v>
      </c>
      <c r="N45" s="167">
        <f t="shared" si="6"/>
        <v>0</v>
      </c>
      <c r="O45" s="167">
        <f t="shared" si="6"/>
        <v>0</v>
      </c>
    </row>
    <row r="46" spans="1:15">
      <c r="A46" s="347" t="s">
        <v>480</v>
      </c>
      <c r="B46" s="165">
        <f>SUM('TRANSFERENCIA CORRIENTE'!C47:E47)</f>
        <v>0</v>
      </c>
      <c r="C46" s="165">
        <f>SUM('TRANSFERENCIA CORRIENTE'!F47:H47)</f>
        <v>0</v>
      </c>
      <c r="D46" s="165">
        <f>SUM('TRANSFERENCIA CORRIENTE'!I47:K47)</f>
        <v>0</v>
      </c>
      <c r="E46" s="165">
        <f>SUM('TRANSFERENCIA CORRIENTE'!L47:N47)</f>
        <v>0</v>
      </c>
      <c r="F46" s="454"/>
      <c r="G46" s="165">
        <f>SUM(VS!C47:E47)</f>
        <v>0</v>
      </c>
      <c r="H46" s="165">
        <f>SUM(VS!F47:H47)</f>
        <v>0</v>
      </c>
      <c r="I46" s="165">
        <f>SUM(VS!I47:K47)</f>
        <v>0</v>
      </c>
      <c r="J46" s="166">
        <f>SUM(VS!L47:N47)</f>
        <v>0</v>
      </c>
      <c r="K46" s="454"/>
      <c r="L46" s="167">
        <f t="shared" si="7"/>
        <v>0</v>
      </c>
      <c r="M46" s="167">
        <f t="shared" si="6"/>
        <v>0</v>
      </c>
      <c r="N46" s="167">
        <f t="shared" si="6"/>
        <v>0</v>
      </c>
      <c r="O46" s="167">
        <f t="shared" si="6"/>
        <v>0</v>
      </c>
    </row>
    <row r="47" spans="1:15">
      <c r="A47" s="347" t="s">
        <v>479</v>
      </c>
      <c r="B47" s="165">
        <f>SUM('TRANSFERENCIA CORRIENTE'!C48:E48)</f>
        <v>0</v>
      </c>
      <c r="C47" s="165">
        <f>SUM('TRANSFERENCIA CORRIENTE'!F48:H48)</f>
        <v>0</v>
      </c>
      <c r="D47" s="165">
        <f>SUM('TRANSFERENCIA CORRIENTE'!I48:K48)</f>
        <v>0</v>
      </c>
      <c r="E47" s="165">
        <f>SUM('TRANSFERENCIA CORRIENTE'!L48:N48)</f>
        <v>0</v>
      </c>
      <c r="F47" s="454"/>
      <c r="G47" s="165">
        <f>SUM(VS!C48:E48)</f>
        <v>0</v>
      </c>
      <c r="H47" s="165">
        <f>SUM(VS!F48:H48)</f>
        <v>0</v>
      </c>
      <c r="I47" s="165">
        <f>SUM(VS!I48:K48)</f>
        <v>0</v>
      </c>
      <c r="J47" s="166">
        <f>SUM(VS!L48:N48)</f>
        <v>0</v>
      </c>
      <c r="K47" s="454"/>
      <c r="L47" s="167">
        <f t="shared" si="7"/>
        <v>0</v>
      </c>
      <c r="M47" s="167">
        <f t="shared" si="6"/>
        <v>0</v>
      </c>
      <c r="N47" s="167">
        <f t="shared" si="6"/>
        <v>0</v>
      </c>
      <c r="O47" s="167">
        <f t="shared" si="6"/>
        <v>0</v>
      </c>
    </row>
    <row r="48" spans="1:15">
      <c r="A48" s="347" t="s">
        <v>478</v>
      </c>
      <c r="B48" s="165">
        <f>SUM('TRANSFERENCIA CORRIENTE'!C49:E49)</f>
        <v>0</v>
      </c>
      <c r="C48" s="165">
        <f>SUM('TRANSFERENCIA CORRIENTE'!F49:H49)</f>
        <v>0</v>
      </c>
      <c r="D48" s="165">
        <f>SUM('TRANSFERENCIA CORRIENTE'!I49:K49)</f>
        <v>0</v>
      </c>
      <c r="E48" s="165">
        <f>SUM('TRANSFERENCIA CORRIENTE'!L49:N49)</f>
        <v>0</v>
      </c>
      <c r="F48" s="454"/>
      <c r="G48" s="165">
        <f>SUM(VS!C49:E49)</f>
        <v>0</v>
      </c>
      <c r="H48" s="165">
        <f>SUM(VS!F49:H49)</f>
        <v>0</v>
      </c>
      <c r="I48" s="165">
        <f>SUM(VS!I49:K49)</f>
        <v>0</v>
      </c>
      <c r="J48" s="166">
        <f>SUM(VS!L49:N49)</f>
        <v>0</v>
      </c>
      <c r="K48" s="454"/>
      <c r="L48" s="167">
        <f t="shared" si="7"/>
        <v>0</v>
      </c>
      <c r="M48" s="167">
        <f t="shared" si="6"/>
        <v>0</v>
      </c>
      <c r="N48" s="167">
        <f t="shared" si="6"/>
        <v>0</v>
      </c>
      <c r="O48" s="167">
        <f t="shared" si="6"/>
        <v>0</v>
      </c>
    </row>
    <row r="49" spans="1:15">
      <c r="A49" s="347" t="s">
        <v>477</v>
      </c>
      <c r="B49" s="165">
        <f>SUM('TRANSFERENCIA CORRIENTE'!C50:E50)</f>
        <v>0</v>
      </c>
      <c r="C49" s="165">
        <f>SUM('TRANSFERENCIA CORRIENTE'!F50:H50)</f>
        <v>0</v>
      </c>
      <c r="D49" s="165">
        <f>SUM('TRANSFERENCIA CORRIENTE'!I50:K50)</f>
        <v>0</v>
      </c>
      <c r="E49" s="165">
        <f>SUM('TRANSFERENCIA CORRIENTE'!L50:N50)</f>
        <v>0</v>
      </c>
      <c r="F49" s="454"/>
      <c r="G49" s="165">
        <f>SUM(VS!C50:E50)</f>
        <v>0</v>
      </c>
      <c r="H49" s="165">
        <f>SUM(VS!F50:H50)</f>
        <v>0</v>
      </c>
      <c r="I49" s="165">
        <f>SUM(VS!I50:K50)</f>
        <v>0</v>
      </c>
      <c r="J49" s="166">
        <f>SUM(VS!L50:N50)</f>
        <v>0</v>
      </c>
      <c r="K49" s="454"/>
      <c r="L49" s="167">
        <f t="shared" si="7"/>
        <v>0</v>
      </c>
      <c r="M49" s="167">
        <f t="shared" si="6"/>
        <v>0</v>
      </c>
      <c r="N49" s="167">
        <f t="shared" si="6"/>
        <v>0</v>
      </c>
      <c r="O49" s="167">
        <f t="shared" si="6"/>
        <v>0</v>
      </c>
    </row>
    <row r="50" spans="1:15" s="168" customFormat="1">
      <c r="A50" s="156" t="s">
        <v>476</v>
      </c>
      <c r="B50" s="163">
        <f>SUM(B51:B59)</f>
        <v>17857866.620000001</v>
      </c>
      <c r="C50" s="163">
        <f>SUM(C51:C59)</f>
        <v>14943854.869999999</v>
      </c>
      <c r="D50" s="163">
        <f>SUM(D51:D59)</f>
        <v>25711104.620000001</v>
      </c>
      <c r="E50" s="163">
        <f>SUM(E51:E59)</f>
        <v>29442717.41</v>
      </c>
      <c r="F50" s="454"/>
      <c r="G50" s="163">
        <f>SUM(G51:G59)</f>
        <v>5076044.21</v>
      </c>
      <c r="H50" s="163">
        <f>SUM(H51:H59)</f>
        <v>5383431.1500000004</v>
      </c>
      <c r="I50" s="163">
        <f>SUM(I51:I59)</f>
        <v>5370952.4399999995</v>
      </c>
      <c r="J50" s="163">
        <f>SUM(J51:J59)</f>
        <v>7416727.6099999994</v>
      </c>
      <c r="K50" s="454"/>
      <c r="L50" s="164">
        <f>SUM(B50+G50)</f>
        <v>22933910.830000002</v>
      </c>
      <c r="M50" s="164">
        <f t="shared" si="6"/>
        <v>20327286.02</v>
      </c>
      <c r="N50" s="164">
        <f t="shared" si="6"/>
        <v>31082057.060000002</v>
      </c>
      <c r="O50" s="164">
        <f t="shared" si="6"/>
        <v>36859445.019999996</v>
      </c>
    </row>
    <row r="51" spans="1:15">
      <c r="A51" s="347" t="s">
        <v>475</v>
      </c>
      <c r="B51" s="165">
        <f>SUM('TRANSFERENCIA CORRIENTE'!C52:E52)</f>
        <v>1110625.8599999999</v>
      </c>
      <c r="C51" s="165">
        <f>SUM('TRANSFERENCIA CORRIENTE'!F52:H52)</f>
        <v>3586435.0700000003</v>
      </c>
      <c r="D51" s="165">
        <f>SUM('TRANSFERENCIA CORRIENTE'!I52:K52)</f>
        <v>6119237.2999999998</v>
      </c>
      <c r="E51" s="165">
        <f>SUM('TRANSFERENCIA CORRIENTE'!L52:N52)</f>
        <v>5728171.7400000002</v>
      </c>
      <c r="F51" s="454"/>
      <c r="G51" s="165">
        <f>SUM(VS!C52:E52)</f>
        <v>0</v>
      </c>
      <c r="H51" s="165">
        <f>SUM(VS!F52:H52)</f>
        <v>7995.01</v>
      </c>
      <c r="I51" s="165">
        <f>SUM(VS!I52:K52)</f>
        <v>2929997.9699999997</v>
      </c>
      <c r="J51" s="166">
        <f>SUM(VS!L52:N52)</f>
        <v>743554.02</v>
      </c>
      <c r="K51" s="454"/>
      <c r="L51" s="265">
        <f t="shared" ref="L51:O66" si="8">SUM(B51+G51)</f>
        <v>1110625.8599999999</v>
      </c>
      <c r="M51" s="265">
        <f t="shared" si="6"/>
        <v>3594430.08</v>
      </c>
      <c r="N51" s="265">
        <f t="shared" si="6"/>
        <v>9049235.2699999996</v>
      </c>
      <c r="O51" s="265">
        <f t="shared" si="6"/>
        <v>6471725.7599999998</v>
      </c>
    </row>
    <row r="52" spans="1:15">
      <c r="A52" s="347" t="s">
        <v>474</v>
      </c>
      <c r="B52" s="165">
        <f>SUM('TRANSFERENCIA CORRIENTE'!C53:E53)</f>
        <v>0</v>
      </c>
      <c r="C52" s="165">
        <f>SUM('TRANSFERENCIA CORRIENTE'!F53:H53)</f>
        <v>182926.74</v>
      </c>
      <c r="D52" s="165">
        <f>SUM('TRANSFERENCIA CORRIENTE'!I53:K53)</f>
        <v>0</v>
      </c>
      <c r="E52" s="165">
        <f>SUM('TRANSFERENCIA CORRIENTE'!L53:N53)</f>
        <v>0</v>
      </c>
      <c r="F52" s="454"/>
      <c r="G52" s="165">
        <f>SUM(VS!C53:E53)</f>
        <v>0</v>
      </c>
      <c r="H52" s="165">
        <f>SUM(VS!F53:H53)</f>
        <v>1399834</v>
      </c>
      <c r="I52" s="165">
        <f>SUM(VS!I53:K53)</f>
        <v>389046</v>
      </c>
      <c r="J52" s="166">
        <f>SUM(VS!L53:N53)</f>
        <v>0</v>
      </c>
      <c r="K52" s="454"/>
      <c r="L52" s="265">
        <f t="shared" si="8"/>
        <v>0</v>
      </c>
      <c r="M52" s="265">
        <f t="shared" si="6"/>
        <v>1582760.74</v>
      </c>
      <c r="N52" s="265">
        <f t="shared" si="6"/>
        <v>389046</v>
      </c>
      <c r="O52" s="265">
        <f t="shared" si="6"/>
        <v>0</v>
      </c>
    </row>
    <row r="53" spans="1:15">
      <c r="A53" s="347" t="s">
        <v>473</v>
      </c>
      <c r="B53" s="165">
        <f>SUM('TRANSFERENCIA CORRIENTE'!C54:E54)</f>
        <v>16744040.790000001</v>
      </c>
      <c r="C53" s="165">
        <f>SUM('TRANSFERENCIA CORRIENTE'!F54:H54)</f>
        <v>6663622.5700000003</v>
      </c>
      <c r="D53" s="165">
        <f>SUM('TRANSFERENCIA CORRIENTE'!I54:K54)</f>
        <v>10518535.07</v>
      </c>
      <c r="E53" s="165">
        <f>SUM('TRANSFERENCIA CORRIENTE'!L54:N54)</f>
        <v>22645763.799999997</v>
      </c>
      <c r="F53" s="454"/>
      <c r="G53" s="165">
        <f>SUM(VS!C54:E54)</f>
        <v>2963024.84</v>
      </c>
      <c r="H53" s="165">
        <f>SUM(VS!F54:H54)</f>
        <v>3975602.14</v>
      </c>
      <c r="I53" s="165">
        <f>SUM(VS!I54:K54)</f>
        <v>1710444.46</v>
      </c>
      <c r="J53" s="166">
        <f>SUM(VS!L54:N54)</f>
        <v>4975655.26</v>
      </c>
      <c r="K53" s="454"/>
      <c r="L53" s="265">
        <f t="shared" si="8"/>
        <v>19707065.630000003</v>
      </c>
      <c r="M53" s="265">
        <f t="shared" si="6"/>
        <v>10639224.710000001</v>
      </c>
      <c r="N53" s="265">
        <f t="shared" si="6"/>
        <v>12228979.530000001</v>
      </c>
      <c r="O53" s="265">
        <f t="shared" si="6"/>
        <v>27621419.059999995</v>
      </c>
    </row>
    <row r="54" spans="1:15">
      <c r="A54" s="347" t="s">
        <v>472</v>
      </c>
      <c r="B54" s="165">
        <f>SUM('TRANSFERENCIA CORRIENTE'!C55:E55)</f>
        <v>0</v>
      </c>
      <c r="C54" s="165">
        <f>SUM('TRANSFERENCIA CORRIENTE'!F55:H55)</f>
        <v>0</v>
      </c>
      <c r="D54" s="165">
        <f>SUM('TRANSFERENCIA CORRIENTE'!I55:K55)</f>
        <v>0</v>
      </c>
      <c r="E54" s="165">
        <f>SUM('TRANSFERENCIA CORRIENTE'!L55:N55)</f>
        <v>0</v>
      </c>
      <c r="F54" s="454"/>
      <c r="G54" s="165">
        <f>SUM(VS!C55:E55)</f>
        <v>107609.37</v>
      </c>
      <c r="H54" s="165">
        <f>SUM(VS!F55:H55)</f>
        <v>0</v>
      </c>
      <c r="I54" s="165">
        <f>SUM(VS!I55:K55)</f>
        <v>0</v>
      </c>
      <c r="J54" s="166">
        <f>SUM(VS!L55:N55)</f>
        <v>0</v>
      </c>
      <c r="K54" s="454"/>
      <c r="L54" s="265">
        <f t="shared" si="8"/>
        <v>107609.37</v>
      </c>
      <c r="M54" s="265">
        <f t="shared" si="6"/>
        <v>0</v>
      </c>
      <c r="N54" s="265">
        <f t="shared" si="6"/>
        <v>0</v>
      </c>
      <c r="O54" s="265">
        <f t="shared" si="6"/>
        <v>0</v>
      </c>
    </row>
    <row r="55" spans="1:15">
      <c r="A55" s="347" t="s">
        <v>471</v>
      </c>
      <c r="B55" s="165">
        <f>SUM('TRANSFERENCIA CORRIENTE'!C56:E56)</f>
        <v>3199.97</v>
      </c>
      <c r="C55" s="165">
        <f>SUM('TRANSFERENCIA CORRIENTE'!F56:H56)</f>
        <v>4165309.55</v>
      </c>
      <c r="D55" s="165">
        <f>SUM('TRANSFERENCIA CORRIENTE'!I56:K56)</f>
        <v>9007252.25</v>
      </c>
      <c r="E55" s="165">
        <f>SUM('TRANSFERENCIA CORRIENTE'!L56:N56)</f>
        <v>1068781.8700000001</v>
      </c>
      <c r="F55" s="454"/>
      <c r="G55" s="165">
        <f>SUM(VS!C56:E56)</f>
        <v>2005410</v>
      </c>
      <c r="H55" s="165">
        <f>SUM(VS!F56:H56)</f>
        <v>0</v>
      </c>
      <c r="I55" s="165">
        <f>SUM(VS!I56:K56)</f>
        <v>282700.01</v>
      </c>
      <c r="J55" s="166">
        <f>SUM(VS!L56:N56)</f>
        <v>1356458.08</v>
      </c>
      <c r="K55" s="454"/>
      <c r="L55" s="265">
        <f t="shared" si="8"/>
        <v>2008609.97</v>
      </c>
      <c r="M55" s="265">
        <f t="shared" si="6"/>
        <v>4165309.55</v>
      </c>
      <c r="N55" s="265">
        <f t="shared" si="6"/>
        <v>9289952.2599999998</v>
      </c>
      <c r="O55" s="265">
        <f t="shared" si="6"/>
        <v>2425239.9500000002</v>
      </c>
    </row>
    <row r="56" spans="1:15">
      <c r="A56" s="347" t="s">
        <v>470</v>
      </c>
      <c r="B56" s="165">
        <f>SUM('TRANSFERENCIA CORRIENTE'!C57:E57)</f>
        <v>0</v>
      </c>
      <c r="C56" s="165">
        <f>SUM('TRANSFERENCIA CORRIENTE'!F57:H57)</f>
        <v>0</v>
      </c>
      <c r="D56" s="165">
        <f>SUM('TRANSFERENCIA CORRIENTE'!I57:K57)</f>
        <v>66080</v>
      </c>
      <c r="E56" s="165">
        <f>SUM('TRANSFERENCIA CORRIENTE'!L57:N57)</f>
        <v>0</v>
      </c>
      <c r="F56" s="454"/>
      <c r="G56" s="165">
        <f>SUM(VS!C57:E57)</f>
        <v>0</v>
      </c>
      <c r="H56" s="165">
        <f>SUM(VS!F57:H57)</f>
        <v>0</v>
      </c>
      <c r="I56" s="165">
        <f>SUM(VS!I57:K57)</f>
        <v>58764</v>
      </c>
      <c r="J56" s="166">
        <f>SUM(VS!L57:N57)</f>
        <v>186179.05</v>
      </c>
      <c r="K56" s="454"/>
      <c r="L56" s="265">
        <f t="shared" si="8"/>
        <v>0</v>
      </c>
      <c r="M56" s="265">
        <f t="shared" si="6"/>
        <v>0</v>
      </c>
      <c r="N56" s="265">
        <f t="shared" si="6"/>
        <v>124844</v>
      </c>
      <c r="O56" s="265">
        <f t="shared" si="6"/>
        <v>186179.05</v>
      </c>
    </row>
    <row r="57" spans="1:15">
      <c r="A57" s="347" t="s">
        <v>469</v>
      </c>
      <c r="B57" s="165">
        <f>SUM('TRANSFERENCIA CORRIENTE'!C58:E58)</f>
        <v>0</v>
      </c>
      <c r="C57" s="165">
        <f>SUM('TRANSFERENCIA CORRIENTE'!F58:H58)</f>
        <v>0</v>
      </c>
      <c r="D57" s="165">
        <f>SUM('TRANSFERENCIA CORRIENTE'!I58:K58)</f>
        <v>0</v>
      </c>
      <c r="E57" s="165">
        <f>SUM('TRANSFERENCIA CORRIENTE'!L58:N58)</f>
        <v>0</v>
      </c>
      <c r="F57" s="454"/>
      <c r="G57" s="165">
        <f>SUM(VS!C58:E58)</f>
        <v>0</v>
      </c>
      <c r="H57" s="165">
        <f>SUM(VS!F58:H58)</f>
        <v>0</v>
      </c>
      <c r="I57" s="165">
        <f>SUM(VS!I58:K58)</f>
        <v>0</v>
      </c>
      <c r="J57" s="166">
        <f>SUM(VS!L58:N58)</f>
        <v>0</v>
      </c>
      <c r="K57" s="454"/>
      <c r="L57" s="265">
        <f t="shared" si="8"/>
        <v>0</v>
      </c>
      <c r="M57" s="265">
        <f t="shared" si="8"/>
        <v>0</v>
      </c>
      <c r="N57" s="265">
        <f t="shared" si="8"/>
        <v>0</v>
      </c>
      <c r="O57" s="265">
        <f t="shared" si="8"/>
        <v>0</v>
      </c>
    </row>
    <row r="58" spans="1:15">
      <c r="A58" s="347" t="s">
        <v>468</v>
      </c>
      <c r="B58" s="165">
        <f>SUM('TRANSFERENCIA CORRIENTE'!C59:E59)</f>
        <v>0</v>
      </c>
      <c r="C58" s="165">
        <f>SUM('TRANSFERENCIA CORRIENTE'!F59:H59)</f>
        <v>0</v>
      </c>
      <c r="D58" s="165">
        <f>SUM('TRANSFERENCIA CORRIENTE'!I59:K59)</f>
        <v>0</v>
      </c>
      <c r="E58" s="165">
        <f>SUM('TRANSFERENCIA CORRIENTE'!L59:N59)</f>
        <v>0</v>
      </c>
      <c r="F58" s="454"/>
      <c r="G58" s="165">
        <f>SUM(VS!C59:E59)</f>
        <v>0</v>
      </c>
      <c r="H58" s="165">
        <f>SUM(VS!F59:H59)</f>
        <v>0</v>
      </c>
      <c r="I58" s="165">
        <f>SUM(VS!I59:K59)</f>
        <v>0</v>
      </c>
      <c r="J58" s="166">
        <f>SUM(VS!L59:N59)</f>
        <v>0</v>
      </c>
      <c r="K58" s="454"/>
      <c r="L58" s="265">
        <f t="shared" si="8"/>
        <v>0</v>
      </c>
      <c r="M58" s="265">
        <f t="shared" si="8"/>
        <v>0</v>
      </c>
      <c r="N58" s="265">
        <f t="shared" si="8"/>
        <v>0</v>
      </c>
      <c r="O58" s="265">
        <f t="shared" si="8"/>
        <v>0</v>
      </c>
    </row>
    <row r="59" spans="1:15">
      <c r="A59" s="347" t="s">
        <v>467</v>
      </c>
      <c r="B59" s="165">
        <f>SUM('TRANSFERENCIA CORRIENTE'!C60:E60)</f>
        <v>0</v>
      </c>
      <c r="C59" s="165">
        <f>SUM('TRANSFERENCIA CORRIENTE'!F60:H60)</f>
        <v>345560.94</v>
      </c>
      <c r="D59" s="165">
        <f>SUM('TRANSFERENCIA CORRIENTE'!I60:K60)</f>
        <v>0</v>
      </c>
      <c r="E59" s="165">
        <f>SUM('TRANSFERENCIA CORRIENTE'!L60:N60)</f>
        <v>0</v>
      </c>
      <c r="F59" s="454"/>
      <c r="G59" s="165">
        <f>SUM(VS!C60:E60)</f>
        <v>0</v>
      </c>
      <c r="H59" s="165">
        <f>SUM(VS!F60:H60)</f>
        <v>0</v>
      </c>
      <c r="I59" s="165">
        <f>SUM(VS!I60:K60)</f>
        <v>0</v>
      </c>
      <c r="J59" s="166">
        <f>SUM(VS!L60:N60)</f>
        <v>154881.20000000001</v>
      </c>
      <c r="K59" s="454"/>
      <c r="L59" s="265">
        <f t="shared" si="8"/>
        <v>0</v>
      </c>
      <c r="M59" s="265">
        <f t="shared" si="8"/>
        <v>345560.94</v>
      </c>
      <c r="N59" s="265">
        <f t="shared" si="8"/>
        <v>0</v>
      </c>
      <c r="O59" s="265">
        <f t="shared" si="8"/>
        <v>154881.20000000001</v>
      </c>
    </row>
    <row r="60" spans="1:15" s="168" customFormat="1">
      <c r="A60" s="156" t="s">
        <v>466</v>
      </c>
      <c r="B60" s="163">
        <f>SUM(B61:B64)</f>
        <v>0</v>
      </c>
      <c r="C60" s="163">
        <f>SUM(C61:C64)</f>
        <v>0</v>
      </c>
      <c r="D60" s="163">
        <f>SUM(D61:D64)</f>
        <v>0</v>
      </c>
      <c r="E60" s="163">
        <f>SUM(E61:E64)</f>
        <v>0</v>
      </c>
      <c r="F60" s="454"/>
      <c r="G60" s="163">
        <f>SUM(G61:G64)</f>
        <v>0</v>
      </c>
      <c r="H60" s="163">
        <f>SUM(H61:H64)</f>
        <v>0</v>
      </c>
      <c r="I60" s="163">
        <f>SUM(I61:I64)</f>
        <v>0</v>
      </c>
      <c r="J60" s="163">
        <f>SUM(J61:J64)</f>
        <v>0</v>
      </c>
      <c r="K60" s="454"/>
      <c r="L60" s="169">
        <f t="shared" ref="L60:L72" si="9">SUM(B60+G60)</f>
        <v>0</v>
      </c>
      <c r="M60" s="169">
        <f t="shared" si="8"/>
        <v>0</v>
      </c>
      <c r="N60" s="169">
        <f t="shared" si="8"/>
        <v>0</v>
      </c>
      <c r="O60" s="169">
        <f t="shared" si="8"/>
        <v>0</v>
      </c>
    </row>
    <row r="61" spans="1:15">
      <c r="A61" s="347" t="s">
        <v>465</v>
      </c>
      <c r="B61" s="165">
        <f>SUM('TRANSFERENCIA CORRIENTE'!C62:E62)</f>
        <v>0</v>
      </c>
      <c r="C61" s="165">
        <f>SUM('TRANSFERENCIA CORRIENTE'!F62:H62)</f>
        <v>0</v>
      </c>
      <c r="D61" s="165">
        <f>SUM('TRANSFERENCIA CORRIENTE'!I62:K62)</f>
        <v>0</v>
      </c>
      <c r="E61" s="165">
        <f>SUM('TRANSFERENCIA CORRIENTE'!L62:N62)</f>
        <v>0</v>
      </c>
      <c r="F61" s="454"/>
      <c r="G61" s="165">
        <f>SUM(VS!C62:E62)</f>
        <v>0</v>
      </c>
      <c r="H61" s="165">
        <f>SUM(VS!F62:H62)</f>
        <v>0</v>
      </c>
      <c r="I61" s="165">
        <f>SUM(VS!I62:K62)</f>
        <v>0</v>
      </c>
      <c r="J61" s="166">
        <f>SUM(VS!L62:N62)</f>
        <v>0</v>
      </c>
      <c r="K61" s="454"/>
      <c r="L61" s="167">
        <f t="shared" si="9"/>
        <v>0</v>
      </c>
      <c r="M61" s="167">
        <f t="shared" si="8"/>
        <v>0</v>
      </c>
      <c r="N61" s="167">
        <f t="shared" si="8"/>
        <v>0</v>
      </c>
      <c r="O61" s="167">
        <f t="shared" si="8"/>
        <v>0</v>
      </c>
    </row>
    <row r="62" spans="1:15">
      <c r="A62" s="347" t="s">
        <v>464</v>
      </c>
      <c r="B62" s="165">
        <f>SUM('TRANSFERENCIA CORRIENTE'!C63:E63)</f>
        <v>0</v>
      </c>
      <c r="C62" s="165">
        <f>SUM('TRANSFERENCIA CORRIENTE'!F63:H63)</f>
        <v>0</v>
      </c>
      <c r="D62" s="165">
        <f>SUM('TRANSFERENCIA CORRIENTE'!I63:K63)</f>
        <v>0</v>
      </c>
      <c r="E62" s="165">
        <f>SUM('TRANSFERENCIA CORRIENTE'!L63:N63)</f>
        <v>0</v>
      </c>
      <c r="F62" s="454"/>
      <c r="G62" s="165">
        <f>SUM(VS!C63:E63)</f>
        <v>0</v>
      </c>
      <c r="H62" s="165">
        <f>SUM(VS!F63:H63)</f>
        <v>0</v>
      </c>
      <c r="I62" s="165">
        <f>SUM(VS!I63:K63)</f>
        <v>0</v>
      </c>
      <c r="J62" s="166">
        <f>SUM(VS!L63:N63)</f>
        <v>0</v>
      </c>
      <c r="K62" s="454"/>
      <c r="L62" s="167">
        <f t="shared" si="9"/>
        <v>0</v>
      </c>
      <c r="M62" s="167">
        <f t="shared" si="8"/>
        <v>0</v>
      </c>
      <c r="N62" s="167">
        <f t="shared" si="8"/>
        <v>0</v>
      </c>
      <c r="O62" s="167">
        <f t="shared" si="8"/>
        <v>0</v>
      </c>
    </row>
    <row r="63" spans="1:15">
      <c r="A63" s="347" t="s">
        <v>463</v>
      </c>
      <c r="B63" s="165">
        <f>SUM('TRANSFERENCIA CORRIENTE'!C64:E64)</f>
        <v>0</v>
      </c>
      <c r="C63" s="165">
        <f>SUM('TRANSFERENCIA CORRIENTE'!F64:H64)</f>
        <v>0</v>
      </c>
      <c r="D63" s="165">
        <f>SUM('TRANSFERENCIA CORRIENTE'!I64:K64)</f>
        <v>0</v>
      </c>
      <c r="E63" s="165">
        <f>SUM('TRANSFERENCIA CORRIENTE'!L64:N64)</f>
        <v>0</v>
      </c>
      <c r="F63" s="454"/>
      <c r="G63" s="165">
        <f>SUM(VS!C64:E64)</f>
        <v>0</v>
      </c>
      <c r="H63" s="165">
        <f>SUM(VS!F64:H64)</f>
        <v>0</v>
      </c>
      <c r="I63" s="165">
        <f>SUM(VS!I64:K64)</f>
        <v>0</v>
      </c>
      <c r="J63" s="166">
        <f>SUM(VS!L64:N64)</f>
        <v>0</v>
      </c>
      <c r="K63" s="454"/>
      <c r="L63" s="167">
        <f t="shared" si="9"/>
        <v>0</v>
      </c>
      <c r="M63" s="167">
        <f t="shared" si="8"/>
        <v>0</v>
      </c>
      <c r="N63" s="167">
        <f t="shared" si="8"/>
        <v>0</v>
      </c>
      <c r="O63" s="167">
        <f t="shared" si="8"/>
        <v>0</v>
      </c>
    </row>
    <row r="64" spans="1:15" ht="30">
      <c r="A64" s="347" t="s">
        <v>462</v>
      </c>
      <c r="B64" s="165">
        <f>SUM('TRANSFERENCIA CORRIENTE'!C65:E65)</f>
        <v>0</v>
      </c>
      <c r="C64" s="165">
        <f>SUM('TRANSFERENCIA CORRIENTE'!F65:H65)</f>
        <v>0</v>
      </c>
      <c r="D64" s="165">
        <f>SUM('TRANSFERENCIA CORRIENTE'!I65:K65)</f>
        <v>0</v>
      </c>
      <c r="E64" s="165">
        <f>SUM('TRANSFERENCIA CORRIENTE'!L65:N65)</f>
        <v>0</v>
      </c>
      <c r="F64" s="454"/>
      <c r="G64" s="165">
        <f>SUM(VS!C65:E65)</f>
        <v>0</v>
      </c>
      <c r="H64" s="165">
        <f>SUM(VS!F65:H65)</f>
        <v>0</v>
      </c>
      <c r="I64" s="165">
        <f>SUM(VS!I65:K65)</f>
        <v>0</v>
      </c>
      <c r="J64" s="166">
        <f>SUM(VS!L65:N65)</f>
        <v>0</v>
      </c>
      <c r="K64" s="454"/>
      <c r="L64" s="167">
        <f t="shared" si="9"/>
        <v>0</v>
      </c>
      <c r="M64" s="167">
        <f t="shared" si="8"/>
        <v>0</v>
      </c>
      <c r="N64" s="167">
        <f t="shared" si="8"/>
        <v>0</v>
      </c>
      <c r="O64" s="167">
        <f t="shared" si="8"/>
        <v>0</v>
      </c>
    </row>
    <row r="65" spans="1:15" s="168" customFormat="1">
      <c r="A65" s="156" t="s">
        <v>461</v>
      </c>
      <c r="B65" s="163">
        <f>SUM(B66:B67)</f>
        <v>0</v>
      </c>
      <c r="C65" s="163">
        <f>SUM(C66:C67)</f>
        <v>0</v>
      </c>
      <c r="D65" s="163">
        <f>SUM(D66:D67)</f>
        <v>0</v>
      </c>
      <c r="E65" s="163">
        <f>SUM(E66:E67)</f>
        <v>0</v>
      </c>
      <c r="F65" s="454"/>
      <c r="G65" s="163">
        <f>SUM(G66:G67)</f>
        <v>0</v>
      </c>
      <c r="H65" s="163">
        <f>SUM(H66:H67)</f>
        <v>0</v>
      </c>
      <c r="I65" s="163">
        <f>SUM(I66:I67)</f>
        <v>0</v>
      </c>
      <c r="J65" s="163">
        <f>SUM(J66:J67)</f>
        <v>0</v>
      </c>
      <c r="K65" s="454"/>
      <c r="L65" s="169">
        <f t="shared" si="9"/>
        <v>0</v>
      </c>
      <c r="M65" s="169">
        <f t="shared" si="8"/>
        <v>0</v>
      </c>
      <c r="N65" s="169">
        <f t="shared" si="8"/>
        <v>0</v>
      </c>
      <c r="O65" s="169">
        <f t="shared" si="8"/>
        <v>0</v>
      </c>
    </row>
    <row r="66" spans="1:15">
      <c r="A66" s="347" t="s">
        <v>460</v>
      </c>
      <c r="B66" s="165">
        <f>SUM('TRANSFERENCIA CORRIENTE'!C67:E67)</f>
        <v>0</v>
      </c>
      <c r="C66" s="165">
        <f>SUM('TRANSFERENCIA CORRIENTE'!F67:H67)</f>
        <v>0</v>
      </c>
      <c r="D66" s="165">
        <f>SUM('TRANSFERENCIA CORRIENTE'!I67:K67)</f>
        <v>0</v>
      </c>
      <c r="E66" s="165">
        <f>SUM('TRANSFERENCIA CORRIENTE'!L67:N67)</f>
        <v>0</v>
      </c>
      <c r="F66" s="454"/>
      <c r="G66" s="165">
        <f>SUM(VS!C67:E67)</f>
        <v>0</v>
      </c>
      <c r="H66" s="165">
        <f>SUM(VS!F67:H67)</f>
        <v>0</v>
      </c>
      <c r="I66" s="165">
        <f>SUM(VS!I67:K67)</f>
        <v>0</v>
      </c>
      <c r="J66" s="166">
        <f>SUM(VS!L67:N67)</f>
        <v>0</v>
      </c>
      <c r="K66" s="454"/>
      <c r="L66" s="167">
        <f t="shared" si="9"/>
        <v>0</v>
      </c>
      <c r="M66" s="167">
        <f>SUM(C66+H66)</f>
        <v>0</v>
      </c>
      <c r="N66" s="167">
        <f t="shared" si="8"/>
        <v>0</v>
      </c>
      <c r="O66" s="167">
        <f t="shared" si="8"/>
        <v>0</v>
      </c>
    </row>
    <row r="67" spans="1:15">
      <c r="A67" s="347" t="s">
        <v>459</v>
      </c>
      <c r="B67" s="165">
        <f>SUM('TRANSFERENCIA CORRIENTE'!C68:E68)</f>
        <v>0</v>
      </c>
      <c r="C67" s="165">
        <f>SUM('TRANSFERENCIA CORRIENTE'!F68:H68)</f>
        <v>0</v>
      </c>
      <c r="D67" s="165">
        <f>SUM('TRANSFERENCIA CORRIENTE'!I68:K68)</f>
        <v>0</v>
      </c>
      <c r="E67" s="165">
        <f>SUM('TRANSFERENCIA CORRIENTE'!L68:N68)</f>
        <v>0</v>
      </c>
      <c r="F67" s="454"/>
      <c r="G67" s="165">
        <f>SUM(VS!C68:E68)</f>
        <v>0</v>
      </c>
      <c r="H67" s="165">
        <f>SUM(VS!F68:H68)</f>
        <v>0</v>
      </c>
      <c r="I67" s="165">
        <f>SUM(VS!I68:K68)</f>
        <v>0</v>
      </c>
      <c r="J67" s="166">
        <f>SUM(VS!L68:N68)</f>
        <v>0</v>
      </c>
      <c r="K67" s="454"/>
      <c r="L67" s="167">
        <f t="shared" si="9"/>
        <v>0</v>
      </c>
      <c r="M67" s="167">
        <f>SUM(C67+H67)</f>
        <v>0</v>
      </c>
      <c r="N67" s="167">
        <f>SUM(D67+I67)</f>
        <v>0</v>
      </c>
      <c r="O67" s="167">
        <f>SUM(E67+J67)</f>
        <v>0</v>
      </c>
    </row>
    <row r="68" spans="1:15" s="168" customFormat="1">
      <c r="A68" s="156" t="s">
        <v>458</v>
      </c>
      <c r="B68" s="163">
        <f>SUM(B69:B71)</f>
        <v>0</v>
      </c>
      <c r="C68" s="163">
        <f>SUM(C69:C71)</f>
        <v>0</v>
      </c>
      <c r="D68" s="163">
        <f>SUM(D69:D71)</f>
        <v>0</v>
      </c>
      <c r="E68" s="163">
        <f>SUM(E69:E71)</f>
        <v>0</v>
      </c>
      <c r="F68" s="454"/>
      <c r="G68" s="163">
        <f>SUM(G69:G71)</f>
        <v>0</v>
      </c>
      <c r="H68" s="163">
        <f>SUM(H69:H71)</f>
        <v>0</v>
      </c>
      <c r="I68" s="163">
        <f>SUM(I69:I71)</f>
        <v>0</v>
      </c>
      <c r="J68" s="163">
        <f>SUM(J69:J71)</f>
        <v>0</v>
      </c>
      <c r="K68" s="454"/>
      <c r="L68" s="169">
        <f t="shared" si="9"/>
        <v>0</v>
      </c>
      <c r="M68" s="169">
        <f t="shared" ref="M68:O82" si="10">SUM(C68+H68)</f>
        <v>0</v>
      </c>
      <c r="N68" s="169">
        <f t="shared" si="10"/>
        <v>0</v>
      </c>
      <c r="O68" s="169">
        <f t="shared" si="10"/>
        <v>0</v>
      </c>
    </row>
    <row r="69" spans="1:15">
      <c r="A69" s="347" t="s">
        <v>457</v>
      </c>
      <c r="B69" s="165">
        <f>SUM('TRANSFERENCIA CORRIENTE'!C70:E70)</f>
        <v>0</v>
      </c>
      <c r="C69" s="165">
        <f>SUM('TRANSFERENCIA CORRIENTE'!F70:H70)</f>
        <v>0</v>
      </c>
      <c r="D69" s="165">
        <f>SUM('TRANSFERENCIA CORRIENTE'!I70:K70)</f>
        <v>0</v>
      </c>
      <c r="E69" s="165">
        <f>SUM('TRANSFERENCIA CORRIENTE'!L70:N70)</f>
        <v>0</v>
      </c>
      <c r="F69" s="454"/>
      <c r="G69" s="165">
        <f>SUM(VS!C70:E70)</f>
        <v>0</v>
      </c>
      <c r="H69" s="165">
        <f>SUM(VS!F70:H70)</f>
        <v>0</v>
      </c>
      <c r="I69" s="165">
        <f>SUM(VS!I70:K70)</f>
        <v>0</v>
      </c>
      <c r="J69" s="166">
        <f>SUM(VS!L70:N70)</f>
        <v>0</v>
      </c>
      <c r="K69" s="454"/>
      <c r="L69" s="167">
        <f t="shared" si="9"/>
        <v>0</v>
      </c>
      <c r="M69" s="167">
        <f t="shared" si="10"/>
        <v>0</v>
      </c>
      <c r="N69" s="167">
        <f t="shared" si="10"/>
        <v>0</v>
      </c>
      <c r="O69" s="167">
        <f t="shared" si="10"/>
        <v>0</v>
      </c>
    </row>
    <row r="70" spans="1:15">
      <c r="A70" s="347" t="s">
        <v>456</v>
      </c>
      <c r="B70" s="165">
        <f>SUM('TRANSFERENCIA CORRIENTE'!C71:E71)</f>
        <v>0</v>
      </c>
      <c r="C70" s="165">
        <f>SUM('TRANSFERENCIA CORRIENTE'!F71:H71)</f>
        <v>0</v>
      </c>
      <c r="D70" s="165">
        <f>SUM('TRANSFERENCIA CORRIENTE'!I71:K71)</f>
        <v>0</v>
      </c>
      <c r="E70" s="165">
        <f>SUM('TRANSFERENCIA CORRIENTE'!L71:N71)</f>
        <v>0</v>
      </c>
      <c r="F70" s="454"/>
      <c r="G70" s="165">
        <f>SUM(VS!C71:E71)</f>
        <v>0</v>
      </c>
      <c r="H70" s="165">
        <f>SUM(VS!F71:H71)</f>
        <v>0</v>
      </c>
      <c r="I70" s="165">
        <f>SUM(VS!I71:K71)</f>
        <v>0</v>
      </c>
      <c r="J70" s="166">
        <f>SUM(VS!L71:N71)</f>
        <v>0</v>
      </c>
      <c r="K70" s="454"/>
      <c r="L70" s="167">
        <f t="shared" si="9"/>
        <v>0</v>
      </c>
      <c r="M70" s="167">
        <f t="shared" si="10"/>
        <v>0</v>
      </c>
      <c r="N70" s="167">
        <f t="shared" si="10"/>
        <v>0</v>
      </c>
      <c r="O70" s="167">
        <f t="shared" si="10"/>
        <v>0</v>
      </c>
    </row>
    <row r="71" spans="1:15">
      <c r="A71" s="347" t="s">
        <v>455</v>
      </c>
      <c r="B71" s="165">
        <f>SUM('TRANSFERENCIA CORRIENTE'!C72:E72)</f>
        <v>0</v>
      </c>
      <c r="C71" s="165">
        <f>SUM('TRANSFERENCIA CORRIENTE'!F72:H72)</f>
        <v>0</v>
      </c>
      <c r="D71" s="165">
        <f>SUM('TRANSFERENCIA CORRIENTE'!I72:K72)</f>
        <v>0</v>
      </c>
      <c r="E71" s="165">
        <f>SUM('TRANSFERENCIA CORRIENTE'!L72:N72)</f>
        <v>0</v>
      </c>
      <c r="F71" s="454"/>
      <c r="G71" s="165"/>
      <c r="H71" s="165">
        <f>SUM(VS!F72:H72)</f>
        <v>0</v>
      </c>
      <c r="I71" s="165">
        <f>SUM(VS!I72:K72)</f>
        <v>0</v>
      </c>
      <c r="J71" s="166">
        <f>SUM(VS!L72:N72)</f>
        <v>0</v>
      </c>
      <c r="K71" s="454"/>
      <c r="L71" s="167">
        <f t="shared" si="9"/>
        <v>0</v>
      </c>
      <c r="M71" s="167">
        <f t="shared" si="10"/>
        <v>0</v>
      </c>
      <c r="N71" s="167">
        <f t="shared" si="10"/>
        <v>0</v>
      </c>
      <c r="O71" s="167">
        <f t="shared" si="10"/>
        <v>0</v>
      </c>
    </row>
    <row r="72" spans="1:15" s="168" customFormat="1">
      <c r="A72" s="156" t="s">
        <v>454</v>
      </c>
      <c r="B72" s="163">
        <f>+B8+B14+B24+B34+B42+B50+B60+B65+B68</f>
        <v>271880250.56999999</v>
      </c>
      <c r="C72" s="163">
        <f>+C8+C14+C24+C34+C42+C50+C60+C65+C68</f>
        <v>277231645.53999996</v>
      </c>
      <c r="D72" s="163">
        <f>+D8+D14+D24+D34+D42+D50+D60+D65+D68</f>
        <v>355960175.38</v>
      </c>
      <c r="E72" s="163">
        <f>+E8+E14+E24+E34+E42+E50+E60+E65+E68</f>
        <v>451580253.73999995</v>
      </c>
      <c r="F72" s="454"/>
      <c r="G72" s="163">
        <f>+G8+G14+G24+G34+G42+G50+G60+G65+G68</f>
        <v>26194615.629999999</v>
      </c>
      <c r="H72" s="163">
        <f>+H8+H14+H24+H34+H42+H50+H60+H65+H68</f>
        <v>20399506.549999997</v>
      </c>
      <c r="I72" s="163">
        <f>+I8+I14+I24+I34+I42+I50+I60+I65+I68</f>
        <v>29377123.810000002</v>
      </c>
      <c r="J72" s="163">
        <f>+J8+J14+J24+J34+J42+J50+J60+J65+J68</f>
        <v>38291595.879999995</v>
      </c>
      <c r="K72" s="454"/>
      <c r="L72" s="169">
        <f t="shared" si="9"/>
        <v>298074866.19999999</v>
      </c>
      <c r="M72" s="169">
        <f t="shared" si="10"/>
        <v>297631152.08999997</v>
      </c>
      <c r="N72" s="169">
        <f t="shared" si="10"/>
        <v>385337299.19</v>
      </c>
      <c r="O72" s="169">
        <f t="shared" si="10"/>
        <v>489871849.61999995</v>
      </c>
    </row>
    <row r="73" spans="1:15">
      <c r="A73" s="152" t="s">
        <v>453</v>
      </c>
      <c r="B73" s="165">
        <f>SUM('TRANSFERENCIA CORRIENTE'!C74:E74)</f>
        <v>0</v>
      </c>
      <c r="C73" s="165">
        <f>SUM('TRANSFERENCIA CORRIENTE'!F74:H74)</f>
        <v>0</v>
      </c>
      <c r="D73" s="165">
        <f>SUM('TRANSFERENCIA CORRIENTE'!I74:K74)</f>
        <v>0</v>
      </c>
      <c r="E73" s="165">
        <f>SUM('TRANSFERENCIA CORRIENTE'!L74:N74)</f>
        <v>0</v>
      </c>
      <c r="F73" s="454"/>
      <c r="G73" s="165">
        <f>SUM(VS!C74:E74)</f>
        <v>0</v>
      </c>
      <c r="H73" s="165">
        <f>SUM(VS!F74:H74)</f>
        <v>0</v>
      </c>
      <c r="I73" s="165">
        <f>SUM(VS!I74:K74)</f>
        <v>0</v>
      </c>
      <c r="J73" s="166">
        <f>SUM(VS!L74:N74)</f>
        <v>0</v>
      </c>
      <c r="K73" s="454"/>
      <c r="L73" s="167">
        <f t="shared" ref="L73:L81" si="11">SUM(B73+G73)</f>
        <v>0</v>
      </c>
      <c r="M73" s="167">
        <f t="shared" si="10"/>
        <v>0</v>
      </c>
      <c r="N73" s="167">
        <f t="shared" si="10"/>
        <v>0</v>
      </c>
      <c r="O73" s="167">
        <f t="shared" si="10"/>
        <v>0</v>
      </c>
    </row>
    <row r="74" spans="1:15">
      <c r="A74" s="152" t="s">
        <v>452</v>
      </c>
      <c r="B74" s="165">
        <f>SUM('TRANSFERENCIA CORRIENTE'!C75:E75)</f>
        <v>0</v>
      </c>
      <c r="C74" s="165">
        <f>SUM('TRANSFERENCIA CORRIENTE'!F75:H75)</f>
        <v>0</v>
      </c>
      <c r="D74" s="165">
        <f>SUM('TRANSFERENCIA CORRIENTE'!I75:K75)</f>
        <v>0</v>
      </c>
      <c r="E74" s="165">
        <f>SUM('TRANSFERENCIA CORRIENTE'!L75:N75)</f>
        <v>0</v>
      </c>
      <c r="F74" s="454"/>
      <c r="G74" s="165">
        <f>SUM(VS!C75:E75)</f>
        <v>0</v>
      </c>
      <c r="H74" s="165">
        <f>SUM(VS!F75:H75)</f>
        <v>0</v>
      </c>
      <c r="I74" s="165">
        <f>SUM(VS!I75:K75)</f>
        <v>0</v>
      </c>
      <c r="J74" s="166">
        <f>SUM(VS!L75:N75)</f>
        <v>0</v>
      </c>
      <c r="K74" s="454"/>
      <c r="L74" s="167">
        <f t="shared" si="11"/>
        <v>0</v>
      </c>
      <c r="M74" s="167">
        <f t="shared" si="10"/>
        <v>0</v>
      </c>
      <c r="N74" s="167">
        <f t="shared" si="10"/>
        <v>0</v>
      </c>
      <c r="O74" s="167">
        <f t="shared" si="10"/>
        <v>0</v>
      </c>
    </row>
    <row r="75" spans="1:15">
      <c r="A75" s="347" t="s">
        <v>451</v>
      </c>
      <c r="B75" s="165">
        <f>SUM('TRANSFERENCIA CORRIENTE'!C76:E76)</f>
        <v>0</v>
      </c>
      <c r="C75" s="165">
        <f>SUM('TRANSFERENCIA CORRIENTE'!F76:H76)</f>
        <v>0</v>
      </c>
      <c r="D75" s="165">
        <f>SUM('TRANSFERENCIA CORRIENTE'!I76:K76)</f>
        <v>0</v>
      </c>
      <c r="E75" s="165">
        <f>SUM('TRANSFERENCIA CORRIENTE'!L76:N76)</f>
        <v>0</v>
      </c>
      <c r="F75" s="454"/>
      <c r="G75" s="165">
        <f>SUM(VS!C76:E76)</f>
        <v>0</v>
      </c>
      <c r="H75" s="165">
        <f>SUM(VS!F76:H76)</f>
        <v>0</v>
      </c>
      <c r="I75" s="165">
        <f>SUM(VS!I76:K76)</f>
        <v>0</v>
      </c>
      <c r="J75" s="166">
        <f>SUM(VS!L76:N76)</f>
        <v>0</v>
      </c>
      <c r="K75" s="454"/>
      <c r="L75" s="167">
        <f t="shared" si="11"/>
        <v>0</v>
      </c>
      <c r="M75" s="167">
        <f t="shared" si="10"/>
        <v>0</v>
      </c>
      <c r="N75" s="167">
        <f t="shared" si="10"/>
        <v>0</v>
      </c>
      <c r="O75" s="167">
        <f t="shared" si="10"/>
        <v>0</v>
      </c>
    </row>
    <row r="76" spans="1:15">
      <c r="A76" s="347" t="s">
        <v>450</v>
      </c>
      <c r="B76" s="165">
        <f>SUM('TRANSFERENCIA CORRIENTE'!C77:E77)</f>
        <v>0</v>
      </c>
      <c r="C76" s="165">
        <f>SUM('TRANSFERENCIA CORRIENTE'!F77:H77)</f>
        <v>0</v>
      </c>
      <c r="D76" s="165">
        <f>SUM('TRANSFERENCIA CORRIENTE'!I77:K77)</f>
        <v>0</v>
      </c>
      <c r="E76" s="165">
        <f>SUM('TRANSFERENCIA CORRIENTE'!L77:N77)</f>
        <v>0</v>
      </c>
      <c r="F76" s="454"/>
      <c r="G76" s="165">
        <f>SUM(VS!C77:E77)</f>
        <v>0</v>
      </c>
      <c r="H76" s="165">
        <f>SUM(VS!F77:H77)</f>
        <v>0</v>
      </c>
      <c r="I76" s="165">
        <f>SUM(VS!I77:K77)</f>
        <v>0</v>
      </c>
      <c r="J76" s="166">
        <f>SUM(VS!L77:N77)</f>
        <v>0</v>
      </c>
      <c r="K76" s="454"/>
      <c r="L76" s="167">
        <f t="shared" si="11"/>
        <v>0</v>
      </c>
      <c r="M76" s="167">
        <f t="shared" si="10"/>
        <v>0</v>
      </c>
      <c r="N76" s="167">
        <f t="shared" si="10"/>
        <v>0</v>
      </c>
      <c r="O76" s="167">
        <f t="shared" si="10"/>
        <v>0</v>
      </c>
    </row>
    <row r="77" spans="1:15">
      <c r="A77" s="152" t="s">
        <v>449</v>
      </c>
      <c r="B77" s="165">
        <f>SUM('TRANSFERENCIA CORRIENTE'!C78:E78)</f>
        <v>0</v>
      </c>
      <c r="C77" s="165">
        <f>SUM('TRANSFERENCIA CORRIENTE'!F78:H78)</f>
        <v>0</v>
      </c>
      <c r="D77" s="165">
        <f>SUM('TRANSFERENCIA CORRIENTE'!I78:K78)</f>
        <v>0</v>
      </c>
      <c r="E77" s="165">
        <f>SUM('TRANSFERENCIA CORRIENTE'!L78:N78)</f>
        <v>0</v>
      </c>
      <c r="F77" s="454"/>
      <c r="G77" s="165">
        <f>SUM(VS!C78:E78)</f>
        <v>0</v>
      </c>
      <c r="H77" s="165">
        <f>SUM(VS!F78:H78)</f>
        <v>0</v>
      </c>
      <c r="I77" s="165">
        <f>SUM(VS!I78:K78)</f>
        <v>0</v>
      </c>
      <c r="J77" s="166">
        <f>SUM(VS!L78:N78)</f>
        <v>0</v>
      </c>
      <c r="K77" s="454"/>
      <c r="L77" s="167">
        <f t="shared" si="11"/>
        <v>0</v>
      </c>
      <c r="M77" s="167">
        <f t="shared" si="10"/>
        <v>0</v>
      </c>
      <c r="N77" s="167">
        <f t="shared" si="10"/>
        <v>0</v>
      </c>
      <c r="O77" s="167">
        <f t="shared" si="10"/>
        <v>0</v>
      </c>
    </row>
    <row r="78" spans="1:15">
      <c r="A78" s="347" t="s">
        <v>448</v>
      </c>
      <c r="B78" s="165">
        <f>SUM('TRANSFERENCIA CORRIENTE'!C79:E79)</f>
        <v>0</v>
      </c>
      <c r="C78" s="165">
        <f>SUM('TRANSFERENCIA CORRIENTE'!F79:H79)</f>
        <v>0</v>
      </c>
      <c r="D78" s="165">
        <f>SUM('TRANSFERENCIA CORRIENTE'!I79:K79)</f>
        <v>0</v>
      </c>
      <c r="E78" s="165">
        <f>SUM('TRANSFERENCIA CORRIENTE'!L79:N79)</f>
        <v>0</v>
      </c>
      <c r="F78" s="454"/>
      <c r="G78" s="165">
        <f>SUM(VS!C79:E79)</f>
        <v>0</v>
      </c>
      <c r="H78" s="165">
        <f>SUM(VS!F79:H79)</f>
        <v>0</v>
      </c>
      <c r="I78" s="165">
        <f>SUM(VS!I79:K79)</f>
        <v>0</v>
      </c>
      <c r="J78" s="166">
        <f>SUM(VS!L79:N79)</f>
        <v>0</v>
      </c>
      <c r="K78" s="454"/>
      <c r="L78" s="167">
        <f t="shared" si="11"/>
        <v>0</v>
      </c>
      <c r="M78" s="167">
        <f t="shared" si="10"/>
        <v>0</v>
      </c>
      <c r="N78" s="167">
        <f t="shared" si="10"/>
        <v>0</v>
      </c>
      <c r="O78" s="167">
        <f t="shared" si="10"/>
        <v>0</v>
      </c>
    </row>
    <row r="79" spans="1:15">
      <c r="A79" s="347" t="s">
        <v>447</v>
      </c>
      <c r="B79" s="165">
        <f>SUM('TRANSFERENCIA CORRIENTE'!C80:E80)</f>
        <v>0</v>
      </c>
      <c r="C79" s="165">
        <f>SUM('TRANSFERENCIA CORRIENTE'!F80:H80)</f>
        <v>0</v>
      </c>
      <c r="D79" s="165">
        <f>SUM('TRANSFERENCIA CORRIENTE'!I80:K80)</f>
        <v>0</v>
      </c>
      <c r="E79" s="165">
        <f>SUM('TRANSFERENCIA CORRIENTE'!L80:N80)</f>
        <v>0</v>
      </c>
      <c r="F79" s="454"/>
      <c r="G79" s="165">
        <f>SUM(VS!C80:E80)</f>
        <v>0</v>
      </c>
      <c r="H79" s="165">
        <f>SUM(VS!F80:H80)</f>
        <v>0</v>
      </c>
      <c r="I79" s="165">
        <f>SUM(VS!I80:K80)</f>
        <v>0</v>
      </c>
      <c r="J79" s="166">
        <f>SUM(VS!L80:N80)</f>
        <v>0</v>
      </c>
      <c r="K79" s="454"/>
      <c r="L79" s="167">
        <f t="shared" si="11"/>
        <v>0</v>
      </c>
      <c r="M79" s="167">
        <f t="shared" si="10"/>
        <v>0</v>
      </c>
      <c r="N79" s="167">
        <f t="shared" si="10"/>
        <v>0</v>
      </c>
      <c r="O79" s="167">
        <f t="shared" si="10"/>
        <v>0</v>
      </c>
    </row>
    <row r="80" spans="1:15">
      <c r="A80" s="152" t="s">
        <v>446</v>
      </c>
      <c r="B80" s="165">
        <f>SUM('TRANSFERENCIA CORRIENTE'!C81:E81)</f>
        <v>0</v>
      </c>
      <c r="C80" s="165">
        <f>SUM('TRANSFERENCIA CORRIENTE'!F81:H81)</f>
        <v>0</v>
      </c>
      <c r="D80" s="165">
        <f>SUM('TRANSFERENCIA CORRIENTE'!I81:K81)</f>
        <v>0</v>
      </c>
      <c r="E80" s="165">
        <f>SUM('TRANSFERENCIA CORRIENTE'!L81:N81)</f>
        <v>0</v>
      </c>
      <c r="F80" s="454"/>
      <c r="G80" s="165">
        <f>SUM(VS!C81:E81)</f>
        <v>0</v>
      </c>
      <c r="H80" s="165">
        <f>SUM(VS!F81:H81)</f>
        <v>0</v>
      </c>
      <c r="I80" s="165">
        <f>SUM(VS!I81:K81)</f>
        <v>0</v>
      </c>
      <c r="J80" s="166">
        <f>SUM(VS!L81:N81)</f>
        <v>0</v>
      </c>
      <c r="K80" s="454"/>
      <c r="L80" s="167">
        <f t="shared" si="11"/>
        <v>0</v>
      </c>
      <c r="M80" s="167">
        <f t="shared" si="10"/>
        <v>0</v>
      </c>
      <c r="N80" s="167">
        <f t="shared" si="10"/>
        <v>0</v>
      </c>
      <c r="O80" s="167">
        <f t="shared" si="10"/>
        <v>0</v>
      </c>
    </row>
    <row r="81" spans="1:15">
      <c r="A81" s="347" t="s">
        <v>445</v>
      </c>
      <c r="B81" s="165">
        <f>SUM('TRANSFERENCIA CORRIENTE'!C82:E82)</f>
        <v>0</v>
      </c>
      <c r="C81" s="165">
        <f>SUM('TRANSFERENCIA CORRIENTE'!F82:H82)</f>
        <v>0</v>
      </c>
      <c r="D81" s="165">
        <f>SUM('TRANSFERENCIA CORRIENTE'!I82:K82)</f>
        <v>0</v>
      </c>
      <c r="E81" s="165">
        <f>SUM('TRANSFERENCIA CORRIENTE'!L82:N82)</f>
        <v>0</v>
      </c>
      <c r="F81" s="454"/>
      <c r="G81" s="165">
        <f>SUM(VS!C82:E82)</f>
        <v>0</v>
      </c>
      <c r="H81" s="165">
        <f>SUM(VS!F82:H82)</f>
        <v>0</v>
      </c>
      <c r="I81" s="165">
        <f>SUM(VS!I82:K82)</f>
        <v>0</v>
      </c>
      <c r="J81" s="166">
        <f>SUM(VS!L82:N82)</f>
        <v>0</v>
      </c>
      <c r="K81" s="454"/>
      <c r="L81" s="167">
        <f t="shared" si="11"/>
        <v>0</v>
      </c>
      <c r="M81" s="167">
        <f t="shared" si="10"/>
        <v>0</v>
      </c>
      <c r="N81" s="167">
        <f t="shared" si="10"/>
        <v>0</v>
      </c>
      <c r="O81" s="167">
        <f t="shared" si="10"/>
        <v>0</v>
      </c>
    </row>
    <row r="82" spans="1:15" s="168" customFormat="1">
      <c r="A82" s="156" t="s">
        <v>444</v>
      </c>
      <c r="B82" s="163">
        <f>SUM(B83)</f>
        <v>271880250.56999999</v>
      </c>
      <c r="C82" s="163">
        <f>SUM(C83)</f>
        <v>277231645.53999996</v>
      </c>
      <c r="D82" s="163">
        <f>SUM(D83)</f>
        <v>320499510.06</v>
      </c>
      <c r="E82" s="163">
        <f>SUM(E83)</f>
        <v>451580253.74000001</v>
      </c>
      <c r="F82" s="454"/>
      <c r="G82" s="163">
        <f>SUM(G83)</f>
        <v>26194615.629999999</v>
      </c>
      <c r="H82" s="163">
        <f>SUM(H83)</f>
        <v>20399506.550000001</v>
      </c>
      <c r="I82" s="163">
        <f>SUM(I83)</f>
        <v>29377123.810000002</v>
      </c>
      <c r="J82" s="163">
        <f>SUM(J83)</f>
        <v>38291595.879999995</v>
      </c>
      <c r="K82" s="454"/>
      <c r="L82" s="169">
        <f>SUM(B82+G82)</f>
        <v>298074866.19999999</v>
      </c>
      <c r="M82" s="169">
        <f t="shared" si="10"/>
        <v>297631152.08999997</v>
      </c>
      <c r="N82" s="169">
        <f t="shared" si="10"/>
        <v>349876633.87</v>
      </c>
      <c r="O82" s="169">
        <f t="shared" si="10"/>
        <v>489871849.62</v>
      </c>
    </row>
    <row r="83" spans="1:15" ht="15.75">
      <c r="A83" s="170" t="s">
        <v>443</v>
      </c>
      <c r="B83" s="165">
        <f>SUM('TRANSFERENCIA CORRIENTE'!C85:E85)</f>
        <v>271880250.56999999</v>
      </c>
      <c r="C83" s="165">
        <f>SUM('TRANSFERENCIA CORRIENTE'!F85:H85)</f>
        <v>277231645.53999996</v>
      </c>
      <c r="D83" s="165">
        <f>SUM('TRANSFERENCIA CORRIENTE'!I85:K85)</f>
        <v>320499510.06</v>
      </c>
      <c r="E83" s="165">
        <f>SUM('TRANSFERENCIA CORRIENTE'!L85:N85)</f>
        <v>451580253.74000001</v>
      </c>
      <c r="F83" s="455"/>
      <c r="G83" s="165">
        <f>SUM(VS!C85:E85)</f>
        <v>26194615.629999999</v>
      </c>
      <c r="H83" s="165">
        <f>SUM(VS!F85:H85)</f>
        <v>20399506.550000001</v>
      </c>
      <c r="I83" s="165">
        <f>SUM(VS!I85:K85)</f>
        <v>29377123.810000002</v>
      </c>
      <c r="J83" s="165">
        <f>SUM(VS!L85:N85)</f>
        <v>38291595.879999995</v>
      </c>
      <c r="K83" s="455"/>
      <c r="L83" s="167">
        <f>SUM(B83+G83)</f>
        <v>298074866.19999999</v>
      </c>
      <c r="M83" s="167">
        <f>SUM(C83+H83)</f>
        <v>297631152.08999997</v>
      </c>
      <c r="N83" s="167">
        <f>SUM(D83+I83)</f>
        <v>349876633.87</v>
      </c>
      <c r="O83" s="167">
        <f>SUM(E83+J83)</f>
        <v>489871849.62</v>
      </c>
    </row>
  </sheetData>
  <mergeCells count="9">
    <mergeCell ref="A1:O1"/>
    <mergeCell ref="A2:O2"/>
    <mergeCell ref="A3:O3"/>
    <mergeCell ref="A4:O4"/>
    <mergeCell ref="B6:E6"/>
    <mergeCell ref="F6:F83"/>
    <mergeCell ref="G6:J6"/>
    <mergeCell ref="K6:K83"/>
    <mergeCell ref="L6:O6"/>
  </mergeCells>
  <pageMargins left="0.11811023622047245" right="0.11811023622047245" top="0.74803149606299213" bottom="0.74803149606299213" header="0.31496062992125984" footer="0.31496062992125984"/>
  <pageSetup scale="37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2D20-A474-403D-B3AE-761E42171B50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2"/>
  <sheetViews>
    <sheetView view="pageBreakPreview" zoomScale="96" zoomScaleNormal="82" zoomScaleSheetLayoutView="96" workbookViewId="0">
      <selection activeCell="D86" sqref="D86"/>
    </sheetView>
  </sheetViews>
  <sheetFormatPr baseColWidth="10" defaultColWidth="9.140625" defaultRowHeight="15"/>
  <cols>
    <col min="1" max="1" width="48.5703125" bestFit="1" customWidth="1"/>
    <col min="2" max="2" width="17" bestFit="1" customWidth="1"/>
    <col min="3" max="4" width="14.140625" bestFit="1" customWidth="1"/>
    <col min="5" max="5" width="15.140625" bestFit="1" customWidth="1"/>
    <col min="6" max="8" width="14.140625" bestFit="1" customWidth="1"/>
    <col min="9" max="9" width="15.140625" bestFit="1" customWidth="1"/>
    <col min="10" max="10" width="14.140625" bestFit="1" customWidth="1"/>
    <col min="11" max="14" width="15.140625" bestFit="1" customWidth="1"/>
  </cols>
  <sheetData>
    <row r="1" spans="1:14" ht="18.75">
      <c r="A1" s="449" t="s">
        <v>77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</row>
    <row r="2" spans="1:14" ht="18.75">
      <c r="A2" s="449" t="s">
        <v>657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</row>
    <row r="3" spans="1:14" ht="18.75">
      <c r="A3" s="449" t="s">
        <v>535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</row>
    <row r="4" spans="1:14" ht="15.75">
      <c r="A4" s="450" t="s">
        <v>644</v>
      </c>
      <c r="B4" s="450"/>
      <c r="C4" s="450"/>
      <c r="D4" s="450"/>
      <c r="E4" s="450"/>
      <c r="F4" s="450"/>
      <c r="G4" s="450"/>
      <c r="H4" s="450"/>
      <c r="I4" s="450"/>
      <c r="J4" s="450"/>
      <c r="K4" s="450"/>
      <c r="L4" s="450"/>
      <c r="M4" s="450"/>
      <c r="N4" s="450"/>
    </row>
    <row r="5" spans="1:14">
      <c r="A5" s="388" t="s">
        <v>534</v>
      </c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8"/>
    </row>
    <row r="7" spans="1:14" ht="15.75">
      <c r="A7" s="159" t="s">
        <v>533</v>
      </c>
      <c r="B7" s="158" t="s">
        <v>532</v>
      </c>
      <c r="C7" s="158" t="s">
        <v>531</v>
      </c>
      <c r="D7" s="158" t="s">
        <v>530</v>
      </c>
      <c r="E7" s="158" t="s">
        <v>529</v>
      </c>
      <c r="F7" s="158" t="s">
        <v>528</v>
      </c>
      <c r="G7" s="158" t="s">
        <v>527</v>
      </c>
      <c r="H7" s="158" t="s">
        <v>526</v>
      </c>
      <c r="I7" s="158" t="s">
        <v>525</v>
      </c>
      <c r="J7" s="158" t="s">
        <v>524</v>
      </c>
      <c r="K7" s="158" t="s">
        <v>523</v>
      </c>
      <c r="L7" s="158" t="s">
        <v>522</v>
      </c>
      <c r="M7" s="158" t="s">
        <v>521</v>
      </c>
      <c r="N7" s="158" t="s">
        <v>520</v>
      </c>
    </row>
    <row r="8" spans="1:14">
      <c r="A8" s="152" t="s">
        <v>519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</row>
    <row r="9" spans="1:14">
      <c r="A9" s="156" t="s">
        <v>518</v>
      </c>
      <c r="B9" s="271">
        <f>SUM(B10:B14)</f>
        <v>901534878.74000001</v>
      </c>
      <c r="C9" s="154">
        <v>65091179.920000002</v>
      </c>
      <c r="D9" s="154">
        <v>67131935.939999998</v>
      </c>
      <c r="E9" s="154">
        <v>66337619.82</v>
      </c>
      <c r="F9" s="154">
        <v>66556155.68</v>
      </c>
      <c r="G9" s="154">
        <v>66630550.850000001</v>
      </c>
      <c r="H9" s="154">
        <v>66583615.279999994</v>
      </c>
      <c r="I9" s="154">
        <v>71335675.949999988</v>
      </c>
      <c r="J9" s="154">
        <v>71831261.010000005</v>
      </c>
      <c r="K9" s="154">
        <f>SUM(K10:K14)</f>
        <v>71591503.879999995</v>
      </c>
      <c r="L9" s="154">
        <f>SUM(L10:L14)</f>
        <v>72986847.329999998</v>
      </c>
      <c r="M9" s="154">
        <f>SUM(M10:M14)</f>
        <v>133740812.23000002</v>
      </c>
      <c r="N9" s="154">
        <f>SUM(N10:N14)</f>
        <v>81717720.849999994</v>
      </c>
    </row>
    <row r="10" spans="1:14">
      <c r="A10" s="150" t="s">
        <v>517</v>
      </c>
      <c r="B10" s="153">
        <f>SUM(C10:N10)</f>
        <v>748479626.12</v>
      </c>
      <c r="C10" s="149">
        <v>53640338.710000001</v>
      </c>
      <c r="D10" s="149">
        <v>55586128.810000002</v>
      </c>
      <c r="E10" s="149">
        <v>54718737.07</v>
      </c>
      <c r="F10" s="149">
        <v>54771097.32</v>
      </c>
      <c r="G10" s="149">
        <v>54445140.43</v>
      </c>
      <c r="H10" s="149">
        <v>54868542.939999998</v>
      </c>
      <c r="I10" s="149">
        <v>58925421.189999998</v>
      </c>
      <c r="J10" s="149">
        <v>59410355.990000002</v>
      </c>
      <c r="K10" s="149">
        <v>59165424.859999999</v>
      </c>
      <c r="L10" s="149">
        <v>60398098.329999998</v>
      </c>
      <c r="M10" s="149">
        <v>121133009.37</v>
      </c>
      <c r="N10" s="149">
        <v>61417331.100000001</v>
      </c>
    </row>
    <row r="11" spans="1:14">
      <c r="A11" s="150" t="s">
        <v>516</v>
      </c>
      <c r="B11" s="153">
        <f t="shared" ref="B11:B14" si="0">SUM(C11:N11)</f>
        <v>47763839.130000003</v>
      </c>
      <c r="C11" s="149">
        <v>3196999.6</v>
      </c>
      <c r="D11" s="149">
        <v>3197999.6</v>
      </c>
      <c r="E11" s="149">
        <v>3199399.6</v>
      </c>
      <c r="F11" s="149">
        <v>3384964.48</v>
      </c>
      <c r="G11" s="149">
        <v>3807608.31</v>
      </c>
      <c r="H11" s="149">
        <v>3343226.16</v>
      </c>
      <c r="I11" s="149">
        <v>3344880.19</v>
      </c>
      <c r="J11" s="149">
        <v>3368105.61</v>
      </c>
      <c r="K11" s="149">
        <v>3321905.61</v>
      </c>
      <c r="L11" s="149">
        <v>3295047.14</v>
      </c>
      <c r="M11" s="149">
        <v>3315450.18</v>
      </c>
      <c r="N11" s="149">
        <v>10988252.65</v>
      </c>
    </row>
    <row r="12" spans="1:14">
      <c r="A12" s="150" t="s">
        <v>515</v>
      </c>
      <c r="B12" s="153">
        <f t="shared" si="0"/>
        <v>0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</row>
    <row r="13" spans="1:14">
      <c r="A13" s="150" t="s">
        <v>514</v>
      </c>
      <c r="B13" s="153">
        <f t="shared" si="0"/>
        <v>0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</row>
    <row r="14" spans="1:14">
      <c r="A14" s="150" t="s">
        <v>513</v>
      </c>
      <c r="B14" s="153">
        <f t="shared" si="0"/>
        <v>105291413.48999998</v>
      </c>
      <c r="C14" s="149">
        <v>8253841.6100000003</v>
      </c>
      <c r="D14" s="149">
        <v>8347807.5300000003</v>
      </c>
      <c r="E14" s="149">
        <v>8419483.1500000004</v>
      </c>
      <c r="F14" s="149">
        <v>8400093.8800000008</v>
      </c>
      <c r="G14" s="149">
        <v>8377802.1100000003</v>
      </c>
      <c r="H14" s="149">
        <v>8371846.1799999997</v>
      </c>
      <c r="I14" s="149">
        <v>9065374.5700000003</v>
      </c>
      <c r="J14" s="149">
        <v>9052799.4100000001</v>
      </c>
      <c r="K14" s="149">
        <v>9104173.4100000001</v>
      </c>
      <c r="L14" s="149">
        <v>9293701.8599999994</v>
      </c>
      <c r="M14" s="149">
        <v>9292352.6799999997</v>
      </c>
      <c r="N14" s="149">
        <v>9312137.0999999996</v>
      </c>
    </row>
    <row r="15" spans="1:14">
      <c r="A15" s="156" t="s">
        <v>512</v>
      </c>
      <c r="B15" s="271">
        <f>SUM(C15:N15)</f>
        <v>50167492.080000006</v>
      </c>
      <c r="C15" s="154">
        <v>0</v>
      </c>
      <c r="D15" s="154">
        <v>1336968.6400000001</v>
      </c>
      <c r="E15" s="154">
        <v>7971396.2400000002</v>
      </c>
      <c r="F15" s="154">
        <v>210535</v>
      </c>
      <c r="G15" s="154">
        <v>1680824.82</v>
      </c>
      <c r="H15" s="154">
        <v>8240458.3799999999</v>
      </c>
      <c r="I15" s="154">
        <v>3509565.78</v>
      </c>
      <c r="J15" s="154">
        <v>3128332.8</v>
      </c>
      <c r="K15" s="154">
        <f>SUM(K16:K24)</f>
        <v>7782458.8300000001</v>
      </c>
      <c r="L15" s="154">
        <f>SUM(L16:L24)</f>
        <v>792898.06</v>
      </c>
      <c r="M15" s="154">
        <f>SUM(M16:M24)</f>
        <v>1896797.14</v>
      </c>
      <c r="N15" s="154">
        <f>SUM(N16:N24)</f>
        <v>13617256.389999999</v>
      </c>
    </row>
    <row r="16" spans="1:14">
      <c r="A16" s="150" t="s">
        <v>511</v>
      </c>
      <c r="B16" s="153">
        <f t="shared" ref="B16:B24" si="1">SUM(C16:N16)</f>
        <v>2716039.3</v>
      </c>
      <c r="C16" s="149"/>
      <c r="D16" s="149"/>
      <c r="E16" s="149">
        <v>2020024.3</v>
      </c>
      <c r="F16" s="149">
        <v>60535</v>
      </c>
      <c r="G16" s="149">
        <v>60535</v>
      </c>
      <c r="H16" s="149">
        <v>60535</v>
      </c>
      <c r="I16" s="149">
        <v>60535</v>
      </c>
      <c r="J16" s="149">
        <v>60535</v>
      </c>
      <c r="K16" s="149">
        <v>60535</v>
      </c>
      <c r="L16" s="149">
        <v>60535</v>
      </c>
      <c r="M16" s="149">
        <v>60535</v>
      </c>
      <c r="N16" s="149">
        <v>211735</v>
      </c>
    </row>
    <row r="17" spans="1:14" ht="30">
      <c r="A17" s="150" t="s">
        <v>510</v>
      </c>
      <c r="B17" s="153">
        <f t="shared" si="1"/>
        <v>1166845.6100000001</v>
      </c>
      <c r="C17" s="149"/>
      <c r="D17" s="149">
        <v>324206.83</v>
      </c>
      <c r="E17" s="149"/>
      <c r="F17" s="149"/>
      <c r="G17" s="149">
        <v>32889.839999999997</v>
      </c>
      <c r="H17" s="149">
        <v>319103.99</v>
      </c>
      <c r="I17" s="149"/>
      <c r="J17" s="149">
        <v>88795</v>
      </c>
      <c r="K17" s="149">
        <v>47633.3</v>
      </c>
      <c r="L17" s="149">
        <v>54044</v>
      </c>
      <c r="M17" s="149"/>
      <c r="N17" s="149">
        <v>300172.65000000002</v>
      </c>
    </row>
    <row r="18" spans="1:14">
      <c r="A18" s="150" t="s">
        <v>509</v>
      </c>
      <c r="B18" s="153">
        <f t="shared" si="1"/>
        <v>0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</row>
    <row r="19" spans="1:14">
      <c r="A19" s="150" t="s">
        <v>508</v>
      </c>
      <c r="B19" s="153">
        <f t="shared" si="1"/>
        <v>0</v>
      </c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</row>
    <row r="20" spans="1:14">
      <c r="A20" s="150" t="s">
        <v>507</v>
      </c>
      <c r="B20" s="153">
        <f t="shared" si="1"/>
        <v>1231504.8699999999</v>
      </c>
      <c r="C20" s="149"/>
      <c r="D20" s="149"/>
      <c r="E20" s="149"/>
      <c r="F20" s="149">
        <v>150000</v>
      </c>
      <c r="G20" s="149"/>
      <c r="H20" s="149"/>
      <c r="I20" s="149"/>
      <c r="J20" s="149">
        <v>150000</v>
      </c>
      <c r="K20" s="149"/>
      <c r="L20" s="149">
        <v>298561.91999999998</v>
      </c>
      <c r="M20" s="149"/>
      <c r="N20" s="149">
        <v>632942.94999999995</v>
      </c>
    </row>
    <row r="21" spans="1:14">
      <c r="A21" s="150" t="s">
        <v>506</v>
      </c>
      <c r="B21" s="153">
        <f t="shared" si="1"/>
        <v>0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</row>
    <row r="22" spans="1:14" ht="45">
      <c r="A22" s="150" t="s">
        <v>505</v>
      </c>
      <c r="B22" s="153">
        <f t="shared" si="1"/>
        <v>34086146.260000005</v>
      </c>
      <c r="C22" s="149"/>
      <c r="D22" s="149">
        <v>523061.81</v>
      </c>
      <c r="E22" s="149">
        <v>5951371.9400000004</v>
      </c>
      <c r="F22" s="149"/>
      <c r="G22" s="149">
        <v>1174399.98</v>
      </c>
      <c r="H22" s="149">
        <v>4437074.3499999996</v>
      </c>
      <c r="I22" s="149">
        <v>3449030.78</v>
      </c>
      <c r="J22" s="149">
        <v>2829002.8</v>
      </c>
      <c r="K22" s="149">
        <v>1580779.53</v>
      </c>
      <c r="L22" s="149">
        <v>57257.14</v>
      </c>
      <c r="M22" s="149">
        <v>1611762.14</v>
      </c>
      <c r="N22" s="149">
        <v>12472405.789999999</v>
      </c>
    </row>
    <row r="23" spans="1:14" ht="30">
      <c r="A23" s="150" t="s">
        <v>504</v>
      </c>
      <c r="B23" s="153">
        <f t="shared" si="1"/>
        <v>5228700</v>
      </c>
      <c r="C23" s="149"/>
      <c r="D23" s="149">
        <v>489700</v>
      </c>
      <c r="E23" s="149"/>
      <c r="F23" s="149"/>
      <c r="G23" s="149">
        <v>413000</v>
      </c>
      <c r="H23" s="149"/>
      <c r="I23" s="149"/>
      <c r="J23" s="149"/>
      <c r="K23" s="149">
        <v>3779000</v>
      </c>
      <c r="L23" s="149">
        <v>322500</v>
      </c>
      <c r="M23" s="149">
        <v>224500</v>
      </c>
      <c r="N23" s="149"/>
    </row>
    <row r="24" spans="1:14">
      <c r="A24" s="150" t="s">
        <v>503</v>
      </c>
      <c r="B24" s="153">
        <f t="shared" si="1"/>
        <v>5738256.04</v>
      </c>
      <c r="C24" s="149"/>
      <c r="D24" s="149"/>
      <c r="E24" s="149"/>
      <c r="F24" s="149"/>
      <c r="G24" s="149"/>
      <c r="H24" s="149">
        <v>3423745.04</v>
      </c>
      <c r="I24" s="149"/>
      <c r="J24" s="149"/>
      <c r="K24" s="149">
        <v>2314511</v>
      </c>
      <c r="L24" s="149"/>
      <c r="M24" s="149"/>
      <c r="N24" s="149"/>
    </row>
    <row r="25" spans="1:14">
      <c r="A25" s="156" t="s">
        <v>502</v>
      </c>
      <c r="B25" s="154">
        <f>SUM(B26:B34)</f>
        <v>281533745.56999999</v>
      </c>
      <c r="C25" s="154">
        <f>SUM(C26:C34)</f>
        <v>4970600.3900000006</v>
      </c>
      <c r="D25" s="154">
        <f t="shared" ref="D25:N25" si="2">SUM(D26:D34)</f>
        <v>14433131.48</v>
      </c>
      <c r="E25" s="154">
        <f t="shared" si="2"/>
        <v>26749551.519999996</v>
      </c>
      <c r="F25" s="154">
        <f t="shared" si="2"/>
        <v>20368607.43</v>
      </c>
      <c r="G25" s="154">
        <f t="shared" si="2"/>
        <v>16608512.82</v>
      </c>
      <c r="H25" s="154">
        <f t="shared" si="2"/>
        <v>15408530.41</v>
      </c>
      <c r="I25" s="154">
        <f t="shared" si="2"/>
        <v>26146219.530000001</v>
      </c>
      <c r="J25" s="154">
        <f t="shared" si="2"/>
        <v>14321739.58</v>
      </c>
      <c r="K25" s="154">
        <f t="shared" si="2"/>
        <v>25141648.079999998</v>
      </c>
      <c r="L25" s="154">
        <f t="shared" si="2"/>
        <v>31896436.810000002</v>
      </c>
      <c r="M25" s="154">
        <f t="shared" si="2"/>
        <v>13779851.370000001</v>
      </c>
      <c r="N25" s="154">
        <f t="shared" si="2"/>
        <v>71708916.149999991</v>
      </c>
    </row>
    <row r="26" spans="1:14" ht="30">
      <c r="A26" s="150" t="s">
        <v>501</v>
      </c>
      <c r="B26" s="346">
        <f>SUM(C26:N26)</f>
        <v>21870371.68</v>
      </c>
      <c r="C26" s="149"/>
      <c r="D26" s="149">
        <v>591460.4</v>
      </c>
      <c r="E26" s="149">
        <v>3122436.84</v>
      </c>
      <c r="F26" s="149">
        <v>812515</v>
      </c>
      <c r="G26" s="149">
        <v>1657538</v>
      </c>
      <c r="H26" s="149">
        <v>2396946.25</v>
      </c>
      <c r="I26" s="149">
        <v>1787251.81</v>
      </c>
      <c r="J26" s="149">
        <v>2077230.72</v>
      </c>
      <c r="K26" s="149">
        <v>2180362.58</v>
      </c>
      <c r="L26" s="149">
        <v>1611805</v>
      </c>
      <c r="M26" s="149">
        <v>292565.2</v>
      </c>
      <c r="N26" s="149">
        <v>5340259.88</v>
      </c>
    </row>
    <row r="27" spans="1:14">
      <c r="A27" s="150" t="s">
        <v>500</v>
      </c>
      <c r="B27" s="346">
        <f t="shared" ref="B27:B34" si="3">SUM(C27:N27)</f>
        <v>6395317.9400000004</v>
      </c>
      <c r="C27" s="149"/>
      <c r="D27" s="149">
        <v>61630.73</v>
      </c>
      <c r="E27" s="149"/>
      <c r="F27" s="149">
        <v>1562980.47</v>
      </c>
      <c r="G27" s="149"/>
      <c r="H27" s="149">
        <v>812418.96</v>
      </c>
      <c r="I27" s="149">
        <v>1577150.69</v>
      </c>
      <c r="J27" s="149">
        <v>180540</v>
      </c>
      <c r="K27" s="149">
        <v>1258116.06</v>
      </c>
      <c r="L27" s="149">
        <v>67260</v>
      </c>
      <c r="M27" s="149">
        <v>557734.03</v>
      </c>
      <c r="N27" s="149">
        <v>317487</v>
      </c>
    </row>
    <row r="28" spans="1:14" ht="30">
      <c r="A28" s="150" t="s">
        <v>499</v>
      </c>
      <c r="B28" s="346">
        <f t="shared" si="3"/>
        <v>10545967.120000001</v>
      </c>
      <c r="C28" s="149"/>
      <c r="D28" s="149">
        <v>352366.67</v>
      </c>
      <c r="E28" s="149">
        <v>1474545.17</v>
      </c>
      <c r="F28" s="149">
        <v>1510942.21</v>
      </c>
      <c r="G28" s="149">
        <v>765138.96</v>
      </c>
      <c r="H28" s="149">
        <v>715614.54</v>
      </c>
      <c r="I28" s="149">
        <v>1579886.66</v>
      </c>
      <c r="J28" s="149">
        <v>912967.7</v>
      </c>
      <c r="K28" s="149">
        <v>366980</v>
      </c>
      <c r="L28" s="149">
        <v>884486</v>
      </c>
      <c r="M28" s="149">
        <v>1655540</v>
      </c>
      <c r="N28" s="149">
        <v>327499.21000000002</v>
      </c>
    </row>
    <row r="29" spans="1:14">
      <c r="A29" s="150" t="s">
        <v>498</v>
      </c>
      <c r="B29" s="346">
        <f t="shared" si="3"/>
        <v>68167519.200000003</v>
      </c>
      <c r="C29" s="149">
        <v>1862880</v>
      </c>
      <c r="D29" s="149">
        <v>2014526.8</v>
      </c>
      <c r="E29" s="149">
        <v>6919929</v>
      </c>
      <c r="F29" s="149">
        <v>6349109</v>
      </c>
      <c r="G29" s="149">
        <v>2637285.6</v>
      </c>
      <c r="H29" s="149">
        <v>3022962</v>
      </c>
      <c r="I29" s="149">
        <v>6806505</v>
      </c>
      <c r="J29" s="149">
        <v>2962573</v>
      </c>
      <c r="K29" s="149">
        <v>9434300</v>
      </c>
      <c r="L29" s="149">
        <v>2958714.3</v>
      </c>
      <c r="M29" s="149">
        <v>3574335</v>
      </c>
      <c r="N29" s="149">
        <v>19624399.5</v>
      </c>
    </row>
    <row r="30" spans="1:14" ht="30">
      <c r="A30" s="150" t="s">
        <v>497</v>
      </c>
      <c r="B30" s="346">
        <f t="shared" si="3"/>
        <v>2941474.14</v>
      </c>
      <c r="C30" s="149"/>
      <c r="D30" s="149"/>
      <c r="E30" s="149">
        <v>334708.95</v>
      </c>
      <c r="F30" s="149">
        <v>506546.35</v>
      </c>
      <c r="G30" s="149">
        <v>384413.08</v>
      </c>
      <c r="H30" s="149">
        <v>133281</v>
      </c>
      <c r="I30" s="149">
        <v>655140.22</v>
      </c>
      <c r="J30" s="149">
        <v>18313.599999999999</v>
      </c>
      <c r="K30" s="149"/>
      <c r="L30" s="149">
        <v>623201.43000000005</v>
      </c>
      <c r="M30" s="149">
        <v>18154.650000000001</v>
      </c>
      <c r="N30" s="149">
        <v>267714.86</v>
      </c>
    </row>
    <row r="31" spans="1:14" ht="30">
      <c r="A31" s="150" t="s">
        <v>496</v>
      </c>
      <c r="B31" s="346">
        <f t="shared" si="3"/>
        <v>1239655.5</v>
      </c>
      <c r="C31" s="149"/>
      <c r="D31" s="149">
        <v>11630.98</v>
      </c>
      <c r="E31" s="149"/>
      <c r="F31" s="149">
        <v>351015.88</v>
      </c>
      <c r="G31" s="149">
        <v>215177.81</v>
      </c>
      <c r="H31" s="149">
        <v>101426.9</v>
      </c>
      <c r="I31" s="149"/>
      <c r="J31" s="149">
        <v>286504</v>
      </c>
      <c r="K31" s="149"/>
      <c r="L31" s="149">
        <v>236465.7</v>
      </c>
      <c r="M31" s="149"/>
      <c r="N31" s="149">
        <v>37434.230000000003</v>
      </c>
    </row>
    <row r="32" spans="1:14" ht="30">
      <c r="A32" s="150" t="s">
        <v>495</v>
      </c>
      <c r="B32" s="346">
        <f t="shared" si="3"/>
        <v>64345411.039999992</v>
      </c>
      <c r="C32" s="149">
        <v>1844663.41</v>
      </c>
      <c r="D32" s="149">
        <v>3902915.53</v>
      </c>
      <c r="E32" s="149">
        <v>3162523.02</v>
      </c>
      <c r="F32" s="149">
        <v>2759191.89</v>
      </c>
      <c r="G32" s="149">
        <v>4409677.4800000004</v>
      </c>
      <c r="H32" s="149">
        <v>2900109.81</v>
      </c>
      <c r="I32" s="149">
        <v>4028536.75</v>
      </c>
      <c r="J32" s="149">
        <v>2398943.98</v>
      </c>
      <c r="K32" s="149">
        <v>5003060.22</v>
      </c>
      <c r="L32" s="149">
        <v>19442217.100000001</v>
      </c>
      <c r="M32" s="149">
        <v>1971730.37</v>
      </c>
      <c r="N32" s="149">
        <v>12521841.48</v>
      </c>
    </row>
    <row r="33" spans="1:14" ht="30">
      <c r="A33" s="150" t="s">
        <v>494</v>
      </c>
      <c r="B33" s="346">
        <f t="shared" si="3"/>
        <v>0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</row>
    <row r="34" spans="1:14">
      <c r="A34" s="150" t="s">
        <v>493</v>
      </c>
      <c r="B34" s="346">
        <f t="shared" si="3"/>
        <v>106028028.94999999</v>
      </c>
      <c r="C34" s="149">
        <v>1263056.98</v>
      </c>
      <c r="D34" s="149">
        <v>7498600.3700000001</v>
      </c>
      <c r="E34" s="149">
        <v>11735408.539999999</v>
      </c>
      <c r="F34" s="149">
        <v>6516306.6299999999</v>
      </c>
      <c r="G34" s="149">
        <v>6539281.8899999997</v>
      </c>
      <c r="H34" s="149">
        <v>5325770.95</v>
      </c>
      <c r="I34" s="149">
        <v>9711748.4000000004</v>
      </c>
      <c r="J34" s="149">
        <v>5484666.5800000001</v>
      </c>
      <c r="K34" s="149">
        <v>6898829.2199999997</v>
      </c>
      <c r="L34" s="149">
        <v>6072287.2800000003</v>
      </c>
      <c r="M34" s="149">
        <v>5709792.1200000001</v>
      </c>
      <c r="N34" s="149">
        <v>33272279.989999998</v>
      </c>
    </row>
    <row r="35" spans="1:14">
      <c r="A35" s="156" t="s">
        <v>492</v>
      </c>
      <c r="B35" s="155">
        <v>0</v>
      </c>
      <c r="C35" s="154">
        <v>0</v>
      </c>
      <c r="D35" s="154">
        <v>0</v>
      </c>
      <c r="E35" s="154">
        <v>0</v>
      </c>
      <c r="F35" s="154">
        <v>0</v>
      </c>
      <c r="G35" s="154">
        <v>0</v>
      </c>
      <c r="H35" s="154">
        <v>0</v>
      </c>
      <c r="I35" s="154">
        <v>0</v>
      </c>
      <c r="J35" s="154">
        <v>0</v>
      </c>
      <c r="K35" s="154">
        <f>SUM(K36:K42)</f>
        <v>0</v>
      </c>
      <c r="L35" s="154">
        <v>0</v>
      </c>
      <c r="M35" s="154">
        <v>0</v>
      </c>
      <c r="N35" s="154">
        <v>0</v>
      </c>
    </row>
    <row r="36" spans="1:14" ht="30">
      <c r="A36" s="150" t="s">
        <v>491</v>
      </c>
      <c r="B36" s="153">
        <v>0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</row>
    <row r="37" spans="1:14" ht="30">
      <c r="A37" s="150" t="s">
        <v>490</v>
      </c>
      <c r="B37" s="153">
        <v>0</v>
      </c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</row>
    <row r="38" spans="1:14" ht="30">
      <c r="A38" s="150" t="s">
        <v>489</v>
      </c>
      <c r="B38" s="153">
        <v>0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</row>
    <row r="39" spans="1:14" ht="30">
      <c r="A39" s="150" t="s">
        <v>488</v>
      </c>
      <c r="B39" s="153">
        <v>0</v>
      </c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  <row r="40" spans="1:14" ht="30">
      <c r="A40" s="150" t="s">
        <v>487</v>
      </c>
      <c r="B40" s="153">
        <v>0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</row>
    <row r="41" spans="1:14" ht="30">
      <c r="A41" s="150" t="s">
        <v>486</v>
      </c>
      <c r="B41" s="153">
        <v>0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</row>
    <row r="42" spans="1:14" ht="30">
      <c r="A42" s="150" t="s">
        <v>485</v>
      </c>
      <c r="B42" s="153">
        <v>0</v>
      </c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</row>
    <row r="43" spans="1:14">
      <c r="A43" s="156" t="s">
        <v>484</v>
      </c>
      <c r="B43" s="155">
        <v>0</v>
      </c>
      <c r="C43" s="154">
        <v>0</v>
      </c>
      <c r="D43" s="154">
        <v>0</v>
      </c>
      <c r="E43" s="154">
        <v>0</v>
      </c>
      <c r="F43" s="154">
        <v>0</v>
      </c>
      <c r="G43" s="154">
        <v>0</v>
      </c>
      <c r="H43" s="154">
        <v>0</v>
      </c>
      <c r="I43" s="154">
        <v>0</v>
      </c>
      <c r="J43" s="154">
        <v>0</v>
      </c>
      <c r="K43" s="154">
        <f>SUM(K44:K50)</f>
        <v>0</v>
      </c>
      <c r="L43" s="154">
        <v>0</v>
      </c>
      <c r="M43" s="154">
        <v>0</v>
      </c>
      <c r="N43" s="154">
        <v>0</v>
      </c>
    </row>
    <row r="44" spans="1:14" ht="30">
      <c r="A44" s="150" t="s">
        <v>483</v>
      </c>
      <c r="B44" s="153">
        <v>0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</row>
    <row r="45" spans="1:14" ht="30">
      <c r="A45" s="150" t="s">
        <v>482</v>
      </c>
      <c r="B45" s="153">
        <v>0</v>
      </c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</row>
    <row r="46" spans="1:14" ht="30">
      <c r="A46" s="150" t="s">
        <v>481</v>
      </c>
      <c r="B46" s="153">
        <v>0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</row>
    <row r="47" spans="1:14" ht="30">
      <c r="A47" s="150" t="s">
        <v>480</v>
      </c>
      <c r="B47" s="153">
        <v>0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</row>
    <row r="48" spans="1:14" ht="30">
      <c r="A48" s="150" t="s">
        <v>479</v>
      </c>
      <c r="B48" s="153">
        <v>0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</row>
    <row r="49" spans="1:14" ht="30">
      <c r="A49" s="150" t="s">
        <v>478</v>
      </c>
      <c r="B49" s="153">
        <v>0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</row>
    <row r="50" spans="1:14" ht="30">
      <c r="A50" s="150" t="s">
        <v>477</v>
      </c>
      <c r="B50" s="153">
        <v>0</v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</row>
    <row r="51" spans="1:14">
      <c r="A51" s="156" t="s">
        <v>476</v>
      </c>
      <c r="B51" s="154">
        <f>SUM(C51:N51)</f>
        <v>87955543.520000011</v>
      </c>
      <c r="C51" s="154">
        <v>0</v>
      </c>
      <c r="D51" s="154">
        <f>SUM(D52:D60)</f>
        <v>6461017.2600000007</v>
      </c>
      <c r="E51" s="154">
        <f t="shared" ref="E51:N51" si="4">SUM(E52:E60)</f>
        <v>11396849.360000001</v>
      </c>
      <c r="F51" s="154">
        <f t="shared" si="4"/>
        <v>4665041.3900000006</v>
      </c>
      <c r="G51" s="154">
        <f t="shared" si="4"/>
        <v>6580673.1400000006</v>
      </c>
      <c r="H51" s="154">
        <f t="shared" si="4"/>
        <v>3698140.34</v>
      </c>
      <c r="I51" s="154">
        <f t="shared" si="4"/>
        <v>9300722.7199999988</v>
      </c>
      <c r="J51" s="154">
        <f t="shared" si="4"/>
        <v>10590778.550000001</v>
      </c>
      <c r="K51" s="154">
        <f t="shared" si="4"/>
        <v>5819603.3499999996</v>
      </c>
      <c r="L51" s="154">
        <f t="shared" si="4"/>
        <v>3437264.56</v>
      </c>
      <c r="M51" s="154">
        <f t="shared" si="4"/>
        <v>8010447.2599999988</v>
      </c>
      <c r="N51" s="154">
        <f t="shared" si="4"/>
        <v>17995005.59</v>
      </c>
    </row>
    <row r="52" spans="1:14">
      <c r="A52" s="150" t="s">
        <v>475</v>
      </c>
      <c r="B52" s="346">
        <f>SUM(C52:N52)</f>
        <v>16544469.970000001</v>
      </c>
      <c r="C52" s="149"/>
      <c r="D52" s="149">
        <v>432420.86</v>
      </c>
      <c r="E52" s="149">
        <v>678205</v>
      </c>
      <c r="F52" s="149">
        <v>1812434.48</v>
      </c>
      <c r="G52" s="149">
        <v>231484.25</v>
      </c>
      <c r="H52" s="149">
        <v>1542516.34</v>
      </c>
      <c r="I52" s="149">
        <v>2268904.39</v>
      </c>
      <c r="J52" s="149">
        <v>2704062.94</v>
      </c>
      <c r="K52" s="149">
        <v>1146269.97</v>
      </c>
      <c r="L52" s="149">
        <v>1114944.21</v>
      </c>
      <c r="M52" s="149">
        <v>128621.02</v>
      </c>
      <c r="N52" s="149">
        <v>4484606.51</v>
      </c>
    </row>
    <row r="53" spans="1:14" ht="30">
      <c r="A53" s="150" t="s">
        <v>474</v>
      </c>
      <c r="B53" s="346">
        <f t="shared" ref="B53:B60" si="5">SUM(C53:N53)</f>
        <v>182926.74</v>
      </c>
      <c r="C53" s="149"/>
      <c r="D53" s="149"/>
      <c r="E53" s="149"/>
      <c r="F53" s="149"/>
      <c r="G53" s="149">
        <v>182926.74</v>
      </c>
      <c r="H53" s="149"/>
      <c r="I53" s="149"/>
      <c r="J53" s="149"/>
      <c r="K53" s="149"/>
      <c r="L53" s="149"/>
      <c r="M53" s="149"/>
      <c r="N53" s="149"/>
    </row>
    <row r="54" spans="1:14" ht="30">
      <c r="A54" s="150" t="s">
        <v>473</v>
      </c>
      <c r="B54" s="346">
        <f t="shared" si="5"/>
        <v>56571962.229999997</v>
      </c>
      <c r="C54" s="149"/>
      <c r="D54" s="149">
        <v>6028596.4000000004</v>
      </c>
      <c r="E54" s="149">
        <v>10715444.390000001</v>
      </c>
      <c r="F54" s="149">
        <v>2635786.91</v>
      </c>
      <c r="G54" s="149">
        <v>2285211.66</v>
      </c>
      <c r="H54" s="149">
        <v>1742624</v>
      </c>
      <c r="I54" s="149">
        <v>5025506.72</v>
      </c>
      <c r="J54" s="149">
        <v>1295400.17</v>
      </c>
      <c r="K54" s="149">
        <v>4197628.18</v>
      </c>
      <c r="L54" s="149">
        <v>1318181.54</v>
      </c>
      <c r="M54" s="149">
        <v>7817183.1799999997</v>
      </c>
      <c r="N54" s="149">
        <v>13510399.08</v>
      </c>
    </row>
    <row r="55" spans="1:14" ht="30">
      <c r="A55" s="150" t="s">
        <v>472</v>
      </c>
      <c r="B55" s="346">
        <f t="shared" si="5"/>
        <v>0</v>
      </c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</row>
    <row r="56" spans="1:14" ht="30">
      <c r="A56" s="150" t="s">
        <v>471</v>
      </c>
      <c r="B56" s="346">
        <f t="shared" si="5"/>
        <v>14244543.640000001</v>
      </c>
      <c r="C56" s="149"/>
      <c r="D56" s="149"/>
      <c r="E56" s="149">
        <v>3199.97</v>
      </c>
      <c r="F56" s="149">
        <v>216820</v>
      </c>
      <c r="G56" s="149">
        <v>3535489.55</v>
      </c>
      <c r="H56" s="149">
        <v>413000</v>
      </c>
      <c r="I56" s="149">
        <v>2006311.61</v>
      </c>
      <c r="J56" s="149">
        <v>6591315.4400000004</v>
      </c>
      <c r="K56" s="149">
        <v>409625.2</v>
      </c>
      <c r="L56" s="149">
        <v>1004138.81</v>
      </c>
      <c r="M56" s="149">
        <v>64643.06</v>
      </c>
      <c r="N56" s="149"/>
    </row>
    <row r="57" spans="1:14">
      <c r="A57" s="150" t="s">
        <v>470</v>
      </c>
      <c r="B57" s="346">
        <f t="shared" si="5"/>
        <v>66080</v>
      </c>
      <c r="C57" s="149"/>
      <c r="D57" s="149"/>
      <c r="E57" s="149"/>
      <c r="F57" s="149"/>
      <c r="G57" s="149"/>
      <c r="H57" s="149"/>
      <c r="I57" s="149"/>
      <c r="J57" s="149"/>
      <c r="K57" s="149">
        <v>66080</v>
      </c>
      <c r="L57" s="149"/>
      <c r="M57" s="149"/>
      <c r="N57" s="149"/>
    </row>
    <row r="58" spans="1:14">
      <c r="A58" s="150" t="s">
        <v>469</v>
      </c>
      <c r="B58" s="346">
        <f t="shared" si="5"/>
        <v>0</v>
      </c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</row>
    <row r="59" spans="1:14">
      <c r="A59" s="150" t="s">
        <v>468</v>
      </c>
      <c r="B59" s="346">
        <f t="shared" si="5"/>
        <v>0</v>
      </c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</row>
    <row r="60" spans="1:14" ht="30">
      <c r="A60" s="150" t="s">
        <v>467</v>
      </c>
      <c r="B60" s="346">
        <f t="shared" si="5"/>
        <v>345560.94</v>
      </c>
      <c r="C60" s="149"/>
      <c r="D60" s="149"/>
      <c r="E60" s="149"/>
      <c r="F60" s="149"/>
      <c r="G60" s="149">
        <v>345560.94</v>
      </c>
      <c r="H60" s="149"/>
      <c r="I60" s="149"/>
      <c r="J60" s="149"/>
      <c r="K60" s="149"/>
      <c r="L60" s="149"/>
      <c r="M60" s="149"/>
      <c r="N60" s="149"/>
    </row>
    <row r="61" spans="1:14">
      <c r="A61" s="156" t="s">
        <v>466</v>
      </c>
      <c r="B61" s="155">
        <v>0</v>
      </c>
      <c r="C61" s="154">
        <v>0</v>
      </c>
      <c r="D61" s="154">
        <v>0</v>
      </c>
      <c r="E61" s="154">
        <v>0</v>
      </c>
      <c r="F61" s="154">
        <v>0</v>
      </c>
      <c r="G61" s="154">
        <v>0</v>
      </c>
      <c r="H61" s="154">
        <v>0</v>
      </c>
      <c r="I61" s="154">
        <v>0</v>
      </c>
      <c r="J61" s="154">
        <v>0</v>
      </c>
      <c r="K61" s="154">
        <v>0</v>
      </c>
      <c r="L61" s="154">
        <v>0</v>
      </c>
      <c r="M61" s="154">
        <v>0</v>
      </c>
      <c r="N61" s="154">
        <v>0</v>
      </c>
    </row>
    <row r="62" spans="1:14">
      <c r="A62" s="150" t="s">
        <v>465</v>
      </c>
      <c r="B62" s="153">
        <v>0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</row>
    <row r="63" spans="1:14">
      <c r="A63" s="150" t="s">
        <v>464</v>
      </c>
      <c r="B63" s="153">
        <v>0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1:14" ht="30">
      <c r="A64" s="150" t="s">
        <v>463</v>
      </c>
      <c r="B64" s="153">
        <v>0</v>
      </c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</row>
    <row r="65" spans="1:14" ht="45">
      <c r="A65" s="150" t="s">
        <v>462</v>
      </c>
      <c r="B65" s="153">
        <v>0</v>
      </c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</row>
    <row r="66" spans="1:14" ht="30">
      <c r="A66" s="156" t="s">
        <v>461</v>
      </c>
      <c r="B66" s="155">
        <v>0</v>
      </c>
      <c r="C66" s="154">
        <v>0</v>
      </c>
      <c r="D66" s="154">
        <v>0</v>
      </c>
      <c r="E66" s="154">
        <v>0</v>
      </c>
      <c r="F66" s="154">
        <v>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v>0</v>
      </c>
      <c r="N66" s="154">
        <v>0</v>
      </c>
    </row>
    <row r="67" spans="1:14">
      <c r="A67" s="150" t="s">
        <v>460</v>
      </c>
      <c r="B67" s="153">
        <v>0</v>
      </c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</row>
    <row r="68" spans="1:14" ht="30">
      <c r="A68" s="150" t="s">
        <v>459</v>
      </c>
      <c r="B68" s="153">
        <v>0</v>
      </c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</row>
    <row r="69" spans="1:14">
      <c r="A69" s="156" t="s">
        <v>458</v>
      </c>
      <c r="B69" s="155">
        <v>0</v>
      </c>
      <c r="C69" s="154">
        <v>0</v>
      </c>
      <c r="D69" s="154">
        <v>0</v>
      </c>
      <c r="E69" s="154">
        <v>0</v>
      </c>
      <c r="F69" s="154">
        <v>0</v>
      </c>
      <c r="G69" s="154">
        <v>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v>0</v>
      </c>
      <c r="N69" s="154">
        <v>0</v>
      </c>
    </row>
    <row r="70" spans="1:14">
      <c r="A70" s="150" t="s">
        <v>457</v>
      </c>
      <c r="B70" s="153">
        <v>0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</row>
    <row r="71" spans="1:14">
      <c r="A71" s="150" t="s">
        <v>456</v>
      </c>
      <c r="B71" s="153">
        <v>0</v>
      </c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</row>
    <row r="72" spans="1:14" ht="30">
      <c r="A72" s="150" t="s">
        <v>455</v>
      </c>
      <c r="B72" s="153">
        <v>0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</row>
    <row r="73" spans="1:14">
      <c r="A73" s="148" t="s">
        <v>454</v>
      </c>
      <c r="B73" s="147">
        <f>+B51+B43+B35+B25+B15+B9</f>
        <v>1321191659.9100001</v>
      </c>
      <c r="C73" s="147">
        <f t="shared" ref="C73:N73" si="6">+C51+C43+C35+C25+C15+C9</f>
        <v>70061780.310000002</v>
      </c>
      <c r="D73" s="147">
        <f t="shared" si="6"/>
        <v>89363053.319999993</v>
      </c>
      <c r="E73" s="147">
        <f t="shared" si="6"/>
        <v>112455416.94</v>
      </c>
      <c r="F73" s="147">
        <f t="shared" si="6"/>
        <v>91800339.5</v>
      </c>
      <c r="G73" s="147">
        <f t="shared" si="6"/>
        <v>91500561.629999995</v>
      </c>
      <c r="H73" s="147">
        <f t="shared" si="6"/>
        <v>93930744.409999996</v>
      </c>
      <c r="I73" s="147">
        <f t="shared" si="6"/>
        <v>110292183.97999999</v>
      </c>
      <c r="J73" s="147">
        <f t="shared" si="6"/>
        <v>99872111.940000013</v>
      </c>
      <c r="K73" s="147">
        <f t="shared" si="6"/>
        <v>110335214.13999999</v>
      </c>
      <c r="L73" s="147">
        <f t="shared" si="6"/>
        <v>109113446.76000001</v>
      </c>
      <c r="M73" s="147">
        <f t="shared" si="6"/>
        <v>157427908.00000003</v>
      </c>
      <c r="N73" s="147">
        <f t="shared" si="6"/>
        <v>185038898.97999999</v>
      </c>
    </row>
    <row r="74" spans="1:14">
      <c r="A74" s="152" t="s">
        <v>453</v>
      </c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</row>
    <row r="75" spans="1:14">
      <c r="A75" s="152" t="s">
        <v>452</v>
      </c>
      <c r="B75" s="125"/>
      <c r="C75" s="151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</row>
    <row r="76" spans="1:14" ht="30">
      <c r="A76" s="150" t="s">
        <v>451</v>
      </c>
      <c r="B76" s="125"/>
      <c r="C76" s="149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</row>
    <row r="77" spans="1:14" ht="30">
      <c r="A77" s="150" t="s">
        <v>450</v>
      </c>
      <c r="B77" s="125"/>
      <c r="C77" s="149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</row>
    <row r="78" spans="1:14">
      <c r="A78" s="152" t="s">
        <v>449</v>
      </c>
      <c r="B78" s="125"/>
      <c r="C78" s="151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</row>
    <row r="79" spans="1:14">
      <c r="A79" s="150" t="s">
        <v>448</v>
      </c>
      <c r="B79" s="125"/>
      <c r="C79" s="14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</row>
    <row r="80" spans="1:14">
      <c r="A80" s="150" t="s">
        <v>447</v>
      </c>
      <c r="B80" s="125"/>
      <c r="C80" s="149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</row>
    <row r="81" spans="1:14">
      <c r="A81" s="152" t="s">
        <v>446</v>
      </c>
      <c r="B81" s="125"/>
      <c r="C81" s="151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</row>
    <row r="82" spans="1:14" ht="30">
      <c r="A82" s="150" t="s">
        <v>445</v>
      </c>
      <c r="B82" s="125"/>
      <c r="C82" s="149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</row>
    <row r="83" spans="1:14">
      <c r="A83" s="148" t="s">
        <v>444</v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</row>
    <row r="84" spans="1:14">
      <c r="A84" s="1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</row>
    <row r="85" spans="1:14" ht="15.75">
      <c r="A85" s="146" t="s">
        <v>443</v>
      </c>
      <c r="B85" s="145">
        <f t="shared" ref="B85:K85" si="7">+B73</f>
        <v>1321191659.9100001</v>
      </c>
      <c r="C85" s="145">
        <f t="shared" si="7"/>
        <v>70061780.310000002</v>
      </c>
      <c r="D85" s="145">
        <f t="shared" si="7"/>
        <v>89363053.319999993</v>
      </c>
      <c r="E85" s="145">
        <f t="shared" si="7"/>
        <v>112455416.94</v>
      </c>
      <c r="F85" s="145">
        <f t="shared" si="7"/>
        <v>91800339.5</v>
      </c>
      <c r="G85" s="145">
        <f t="shared" si="7"/>
        <v>91500561.629999995</v>
      </c>
      <c r="H85" s="145">
        <f t="shared" si="7"/>
        <v>93930744.409999996</v>
      </c>
      <c r="I85" s="145">
        <f t="shared" si="7"/>
        <v>110292183.97999999</v>
      </c>
      <c r="J85" s="145">
        <f t="shared" si="7"/>
        <v>99872111.940000013</v>
      </c>
      <c r="K85" s="145">
        <f t="shared" si="7"/>
        <v>110335214.13999999</v>
      </c>
      <c r="L85" s="145">
        <f>+L73</f>
        <v>109113446.76000001</v>
      </c>
      <c r="M85" s="145">
        <f>+M73</f>
        <v>157427908.00000003</v>
      </c>
      <c r="N85" s="145">
        <f>+N73</f>
        <v>185038898.97999999</v>
      </c>
    </row>
    <row r="86" spans="1:14">
      <c r="A86" t="s">
        <v>442</v>
      </c>
      <c r="B86" s="220"/>
    </row>
    <row r="87" spans="1:14">
      <c r="A87" t="s">
        <v>681</v>
      </c>
    </row>
    <row r="88" spans="1:14">
      <c r="A88" t="s">
        <v>1439</v>
      </c>
    </row>
    <row r="92" spans="1:14">
      <c r="B92" s="220"/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74803149606299213" bottom="0.74803149606299213" header="0.31496062992125984" footer="0.31496062992125984"/>
  <pageSetup scale="48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8"/>
  <sheetViews>
    <sheetView view="pageBreakPreview" topLeftCell="A35" zoomScale="136" zoomScaleNormal="90" zoomScaleSheetLayoutView="136" workbookViewId="0">
      <selection activeCell="A91" sqref="A91"/>
    </sheetView>
  </sheetViews>
  <sheetFormatPr baseColWidth="10" defaultColWidth="9.140625" defaultRowHeight="15"/>
  <cols>
    <col min="1" max="1" width="69.7109375" bestFit="1" customWidth="1"/>
    <col min="2" max="2" width="15.140625" bestFit="1" customWidth="1"/>
    <col min="3" max="4" width="13" bestFit="1" customWidth="1"/>
    <col min="5" max="5" width="14.140625" bestFit="1" customWidth="1"/>
    <col min="6" max="10" width="13" bestFit="1" customWidth="1"/>
    <col min="11" max="11" width="14.140625" bestFit="1" customWidth="1"/>
    <col min="12" max="13" width="13" bestFit="1" customWidth="1"/>
    <col min="14" max="14" width="14.140625" bestFit="1" customWidth="1"/>
  </cols>
  <sheetData>
    <row r="1" spans="1:14" ht="18.75">
      <c r="A1" s="449" t="s">
        <v>77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</row>
    <row r="2" spans="1:14" ht="18.75">
      <c r="A2" s="449" t="s">
        <v>657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</row>
    <row r="3" spans="1:14" ht="18.75">
      <c r="A3" s="449" t="s">
        <v>535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</row>
    <row r="4" spans="1:14" ht="15.75">
      <c r="A4" s="450" t="s">
        <v>680</v>
      </c>
      <c r="B4" s="450"/>
      <c r="C4" s="450"/>
      <c r="D4" s="450"/>
      <c r="E4" s="450"/>
      <c r="F4" s="450"/>
      <c r="G4" s="450"/>
      <c r="H4" s="450"/>
      <c r="I4" s="450"/>
      <c r="J4" s="450"/>
      <c r="K4" s="450"/>
      <c r="L4" s="450"/>
      <c r="M4" s="450"/>
      <c r="N4" s="450"/>
    </row>
    <row r="5" spans="1:14">
      <c r="A5" s="388" t="s">
        <v>534</v>
      </c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8"/>
    </row>
    <row r="7" spans="1:14" ht="15.75">
      <c r="A7" s="159" t="s">
        <v>533</v>
      </c>
      <c r="B7" s="270" t="s">
        <v>532</v>
      </c>
      <c r="C7" s="270" t="s">
        <v>531</v>
      </c>
      <c r="D7" s="270" t="s">
        <v>530</v>
      </c>
      <c r="E7" s="158" t="s">
        <v>529</v>
      </c>
      <c r="F7" s="158" t="s">
        <v>528</v>
      </c>
      <c r="G7" s="158" t="s">
        <v>527</v>
      </c>
      <c r="H7" s="158" t="s">
        <v>526</v>
      </c>
      <c r="I7" s="158" t="s">
        <v>525</v>
      </c>
      <c r="J7" s="158" t="s">
        <v>524</v>
      </c>
      <c r="K7" s="158" t="s">
        <v>523</v>
      </c>
      <c r="L7" s="158" t="s">
        <v>522</v>
      </c>
      <c r="M7" s="158" t="s">
        <v>521</v>
      </c>
      <c r="N7" s="158" t="s">
        <v>520</v>
      </c>
    </row>
    <row r="8" spans="1:14">
      <c r="A8" s="152" t="s">
        <v>519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</row>
    <row r="9" spans="1:14">
      <c r="A9" s="156" t="s">
        <v>518</v>
      </c>
      <c r="B9" s="154">
        <f>SUM(C9:N9)</f>
        <v>9644681.1400000006</v>
      </c>
      <c r="C9" s="154">
        <v>0</v>
      </c>
      <c r="D9" s="154">
        <v>0</v>
      </c>
      <c r="E9" s="154">
        <v>5231553.59</v>
      </c>
      <c r="F9" s="154">
        <v>0</v>
      </c>
      <c r="G9" s="154">
        <v>0</v>
      </c>
      <c r="H9" s="154">
        <v>0</v>
      </c>
      <c r="I9" s="154">
        <v>0</v>
      </c>
      <c r="J9" s="154">
        <v>0</v>
      </c>
      <c r="K9" s="154">
        <f>SUM(K10:K14)</f>
        <v>4413127.5500000007</v>
      </c>
      <c r="L9" s="154">
        <v>0</v>
      </c>
      <c r="M9" s="154">
        <f>SUM(M10:M14)</f>
        <v>0</v>
      </c>
      <c r="N9" s="154">
        <v>0</v>
      </c>
    </row>
    <row r="10" spans="1:14">
      <c r="A10" s="150" t="s">
        <v>517</v>
      </c>
      <c r="B10" s="151">
        <f t="shared" ref="B10:B72" si="0">SUM(C10:N10)</f>
        <v>0</v>
      </c>
      <c r="C10" s="149"/>
      <c r="D10" s="149"/>
      <c r="E10" s="149"/>
      <c r="F10" s="149"/>
      <c r="G10" s="149"/>
      <c r="H10" s="149"/>
      <c r="I10" s="149"/>
      <c r="J10" s="149"/>
      <c r="K10" s="122"/>
      <c r="L10" s="149"/>
      <c r="M10" s="149"/>
      <c r="N10" s="149"/>
    </row>
    <row r="11" spans="1:14">
      <c r="A11" s="150" t="s">
        <v>516</v>
      </c>
      <c r="B11" s="151">
        <f t="shared" si="0"/>
        <v>9644681.1400000006</v>
      </c>
      <c r="C11" s="149"/>
      <c r="D11" s="149"/>
      <c r="E11" s="149">
        <v>5231553.59</v>
      </c>
      <c r="F11" s="149"/>
      <c r="G11" s="149"/>
      <c r="H11" s="149"/>
      <c r="I11" s="149"/>
      <c r="J11" s="149"/>
      <c r="K11" s="122">
        <v>4413127.5500000007</v>
      </c>
      <c r="L11" s="149"/>
      <c r="M11" s="149"/>
      <c r="N11" s="149"/>
    </row>
    <row r="12" spans="1:14">
      <c r="A12" s="150" t="s">
        <v>515</v>
      </c>
      <c r="B12" s="151">
        <f t="shared" si="0"/>
        <v>0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</row>
    <row r="13" spans="1:14">
      <c r="A13" s="150" t="s">
        <v>514</v>
      </c>
      <c r="B13" s="151">
        <f t="shared" si="0"/>
        <v>0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</row>
    <row r="14" spans="1:14">
      <c r="A14" s="150" t="s">
        <v>513</v>
      </c>
      <c r="B14" s="151">
        <f t="shared" si="0"/>
        <v>0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</row>
    <row r="15" spans="1:14">
      <c r="A15" s="156" t="s">
        <v>512</v>
      </c>
      <c r="B15" s="154">
        <f>SUM(C15:N15)</f>
        <v>37574330.25</v>
      </c>
      <c r="C15" s="154">
        <v>2733844.2800000003</v>
      </c>
      <c r="D15" s="154">
        <v>1213383.3500000001</v>
      </c>
      <c r="E15" s="154">
        <v>4359456.22</v>
      </c>
      <c r="F15" s="154">
        <v>1256712.0899999999</v>
      </c>
      <c r="G15" s="154">
        <v>2044062.6</v>
      </c>
      <c r="H15" s="154">
        <v>3938639.0999999996</v>
      </c>
      <c r="I15" s="154">
        <v>5012155.75</v>
      </c>
      <c r="J15" s="154">
        <v>3808523.8099999996</v>
      </c>
      <c r="K15" s="154">
        <f>SUM(K16:K24)</f>
        <v>1557736.19</v>
      </c>
      <c r="L15" s="154">
        <f>SUM(L16:L24)</f>
        <v>1964841.3900000001</v>
      </c>
      <c r="M15" s="154">
        <f>SUM(M16:M24)</f>
        <v>2083820.54</v>
      </c>
      <c r="N15" s="154">
        <f>SUM(N16:N24)</f>
        <v>7601154.9300000006</v>
      </c>
    </row>
    <row r="16" spans="1:14">
      <c r="A16" s="150" t="s">
        <v>511</v>
      </c>
      <c r="B16" s="376">
        <f t="shared" ref="B16:B24" si="1">SUM(C16:N16)</f>
        <v>11158696.199999999</v>
      </c>
      <c r="C16" s="149">
        <v>351316.33</v>
      </c>
      <c r="D16" s="149">
        <v>259054.4</v>
      </c>
      <c r="E16" s="149">
        <v>1731191.19</v>
      </c>
      <c r="F16" s="149">
        <v>285608.3</v>
      </c>
      <c r="G16" s="149">
        <v>1098463.42</v>
      </c>
      <c r="H16" s="149">
        <v>964509</v>
      </c>
      <c r="I16" s="149">
        <v>1781904.05</v>
      </c>
      <c r="J16" s="149">
        <v>933611.83</v>
      </c>
      <c r="K16" s="149">
        <v>161421.68</v>
      </c>
      <c r="L16" s="149">
        <v>1168099.93</v>
      </c>
      <c r="M16" s="149">
        <v>745000</v>
      </c>
      <c r="N16" s="149">
        <v>1678516.07</v>
      </c>
    </row>
    <row r="17" spans="1:14">
      <c r="A17" s="150" t="s">
        <v>510</v>
      </c>
      <c r="B17" s="376">
        <f t="shared" si="1"/>
        <v>2273691.9900000002</v>
      </c>
      <c r="C17" s="149"/>
      <c r="D17" s="149"/>
      <c r="E17" s="149"/>
      <c r="F17" s="149"/>
      <c r="G17" s="149"/>
      <c r="H17" s="149">
        <v>310139.40000000002</v>
      </c>
      <c r="I17" s="149">
        <v>581445</v>
      </c>
      <c r="J17" s="149">
        <v>336559.6</v>
      </c>
      <c r="K17" s="149">
        <v>269720.57</v>
      </c>
      <c r="L17" s="149"/>
      <c r="M17" s="149">
        <v>221258.85</v>
      </c>
      <c r="N17" s="149">
        <v>554568.56999999995</v>
      </c>
    </row>
    <row r="18" spans="1:14">
      <c r="A18" s="150" t="s">
        <v>509</v>
      </c>
      <c r="B18" s="376">
        <f t="shared" si="1"/>
        <v>40000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>
        <v>40000</v>
      </c>
      <c r="M18" s="149"/>
      <c r="N18" s="149"/>
    </row>
    <row r="19" spans="1:14" ht="18" customHeight="1">
      <c r="A19" s="150" t="s">
        <v>508</v>
      </c>
      <c r="B19" s="376">
        <f t="shared" si="1"/>
        <v>316000</v>
      </c>
      <c r="C19" s="149"/>
      <c r="D19" s="149">
        <v>24000</v>
      </c>
      <c r="E19" s="149">
        <v>32000</v>
      </c>
      <c r="F19" s="149"/>
      <c r="G19" s="149">
        <v>76000</v>
      </c>
      <c r="H19" s="149">
        <v>20000</v>
      </c>
      <c r="I19" s="149">
        <v>8000</v>
      </c>
      <c r="J19" s="149"/>
      <c r="K19" s="149">
        <v>68000</v>
      </c>
      <c r="L19" s="149"/>
      <c r="M19" s="149">
        <v>20000</v>
      </c>
      <c r="N19" s="149">
        <v>68000</v>
      </c>
    </row>
    <row r="20" spans="1:14">
      <c r="A20" s="150" t="s">
        <v>507</v>
      </c>
      <c r="B20" s="376">
        <f t="shared" si="1"/>
        <v>2503964.59</v>
      </c>
      <c r="C20" s="149">
        <v>266664.25</v>
      </c>
      <c r="D20" s="149">
        <v>252960.9</v>
      </c>
      <c r="E20" s="149"/>
      <c r="F20" s="149">
        <v>229519.78</v>
      </c>
      <c r="G20" s="149">
        <v>529650.64</v>
      </c>
      <c r="H20" s="149"/>
      <c r="I20" s="149">
        <v>298861.53999999998</v>
      </c>
      <c r="J20" s="149">
        <v>628164.1</v>
      </c>
      <c r="K20" s="149"/>
      <c r="L20" s="149">
        <v>298143.38</v>
      </c>
      <c r="M20" s="149"/>
      <c r="N20" s="149"/>
    </row>
    <row r="21" spans="1:14">
      <c r="A21" s="150" t="s">
        <v>506</v>
      </c>
      <c r="B21" s="376">
        <f t="shared" si="1"/>
        <v>3449.08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>
        <v>3449.08</v>
      </c>
      <c r="M21" s="149"/>
      <c r="N21" s="149"/>
    </row>
    <row r="22" spans="1:14" ht="30">
      <c r="A22" s="150" t="s">
        <v>505</v>
      </c>
      <c r="B22" s="376">
        <f t="shared" si="1"/>
        <v>12077487.57</v>
      </c>
      <c r="C22" s="149">
        <v>2064518.35</v>
      </c>
      <c r="D22" s="149">
        <v>472756.61000000004</v>
      </c>
      <c r="E22" s="149">
        <v>2019575.16</v>
      </c>
      <c r="F22" s="149">
        <v>199877.53</v>
      </c>
      <c r="G22" s="149">
        <v>205899.14</v>
      </c>
      <c r="H22" s="149">
        <v>635040.9</v>
      </c>
      <c r="I22" s="149">
        <v>1632573.28</v>
      </c>
      <c r="J22" s="149">
        <v>925675.21</v>
      </c>
      <c r="K22" s="149">
        <v>802020.26</v>
      </c>
      <c r="L22" s="149">
        <v>6500</v>
      </c>
      <c r="M22" s="149">
        <v>419174.45</v>
      </c>
      <c r="N22" s="149">
        <v>2693876.68</v>
      </c>
    </row>
    <row r="23" spans="1:14">
      <c r="A23" s="150" t="s">
        <v>504</v>
      </c>
      <c r="B23" s="376">
        <f t="shared" si="1"/>
        <v>6006423.8700000001</v>
      </c>
      <c r="C23" s="149">
        <v>51345.35</v>
      </c>
      <c r="D23" s="149">
        <v>204611.44</v>
      </c>
      <c r="E23" s="149">
        <v>576689.87</v>
      </c>
      <c r="F23" s="149">
        <v>541706.48</v>
      </c>
      <c r="G23" s="149">
        <v>134049.4</v>
      </c>
      <c r="H23" s="149">
        <v>1098662.3999999999</v>
      </c>
      <c r="I23" s="149">
        <v>709371.88</v>
      </c>
      <c r="J23" s="149">
        <v>524832.27</v>
      </c>
      <c r="K23" s="149">
        <v>166524.93</v>
      </c>
      <c r="L23" s="149">
        <v>448649</v>
      </c>
      <c r="M23" s="149">
        <v>678387.24</v>
      </c>
      <c r="N23" s="149">
        <v>871593.61</v>
      </c>
    </row>
    <row r="24" spans="1:14">
      <c r="A24" s="150" t="s">
        <v>503</v>
      </c>
      <c r="B24" s="376">
        <f t="shared" si="1"/>
        <v>3194616.95</v>
      </c>
      <c r="C24" s="149"/>
      <c r="D24" s="149"/>
      <c r="E24" s="149"/>
      <c r="F24" s="149"/>
      <c r="G24" s="149"/>
      <c r="H24" s="149">
        <v>910287.4</v>
      </c>
      <c r="I24" s="149"/>
      <c r="J24" s="149">
        <v>459680.8</v>
      </c>
      <c r="K24" s="149">
        <v>90048.75</v>
      </c>
      <c r="L24" s="149"/>
      <c r="M24" s="149"/>
      <c r="N24" s="149">
        <v>1734600</v>
      </c>
    </row>
    <row r="25" spans="1:14">
      <c r="A25" s="156" t="s">
        <v>502</v>
      </c>
      <c r="B25" s="154">
        <f>SUM(B26:B34)</f>
        <v>42142536.369999997</v>
      </c>
      <c r="C25" s="154">
        <f t="shared" ref="C25:M25" si="2">SUM(C26:C34)</f>
        <v>3062630.67</v>
      </c>
      <c r="D25" s="154">
        <f t="shared" si="2"/>
        <v>2432378.29</v>
      </c>
      <c r="E25" s="154">
        <f t="shared" si="2"/>
        <v>1797538.3199999998</v>
      </c>
      <c r="F25" s="154">
        <f t="shared" si="2"/>
        <v>2995765.1999999997</v>
      </c>
      <c r="G25" s="154">
        <f t="shared" si="2"/>
        <v>2557401.6</v>
      </c>
      <c r="H25" s="154">
        <f t="shared" si="2"/>
        <v>999513.81</v>
      </c>
      <c r="I25" s="154">
        <f t="shared" si="2"/>
        <v>3444623.87</v>
      </c>
      <c r="J25" s="154">
        <f t="shared" si="2"/>
        <v>2478357.52</v>
      </c>
      <c r="K25" s="154">
        <f t="shared" si="2"/>
        <v>3168875.6799999997</v>
      </c>
      <c r="L25" s="154">
        <f t="shared" si="2"/>
        <v>5885512.2599999998</v>
      </c>
      <c r="M25" s="154">
        <f t="shared" si="2"/>
        <v>2184325.87</v>
      </c>
      <c r="N25" s="154">
        <f>SUM(N26:N34)</f>
        <v>11135613.280000001</v>
      </c>
    </row>
    <row r="26" spans="1:14">
      <c r="A26" s="150" t="s">
        <v>501</v>
      </c>
      <c r="B26" s="377">
        <f t="shared" si="0"/>
        <v>4384278.46</v>
      </c>
      <c r="C26" s="149">
        <v>541265</v>
      </c>
      <c r="D26" s="149">
        <v>300691.8</v>
      </c>
      <c r="E26" s="149">
        <v>658799</v>
      </c>
      <c r="F26" s="149">
        <v>94850</v>
      </c>
      <c r="G26" s="149">
        <v>355075</v>
      </c>
      <c r="H26" s="149">
        <v>213305</v>
      </c>
      <c r="I26" s="149">
        <v>360730</v>
      </c>
      <c r="J26" s="149">
        <v>166750</v>
      </c>
      <c r="K26" s="149">
        <v>1046945.66</v>
      </c>
      <c r="L26" s="149">
        <v>285227</v>
      </c>
      <c r="M26" s="149">
        <v>163325</v>
      </c>
      <c r="N26" s="149">
        <v>197315</v>
      </c>
    </row>
    <row r="27" spans="1:14">
      <c r="A27" s="150" t="s">
        <v>500</v>
      </c>
      <c r="B27" s="377">
        <f t="shared" si="0"/>
        <v>969755.62</v>
      </c>
      <c r="C27" s="149"/>
      <c r="D27" s="149"/>
      <c r="E27" s="149"/>
      <c r="F27" s="149"/>
      <c r="G27" s="149">
        <v>141128</v>
      </c>
      <c r="H27" s="149">
        <v>205178.4</v>
      </c>
      <c r="I27" s="149"/>
      <c r="J27" s="149"/>
      <c r="K27" s="149"/>
      <c r="L27" s="149"/>
      <c r="M27" s="149"/>
      <c r="N27" s="149">
        <v>623449.22</v>
      </c>
    </row>
    <row r="28" spans="1:14">
      <c r="A28" s="150" t="s">
        <v>499</v>
      </c>
      <c r="B28" s="377">
        <f t="shared" si="0"/>
        <v>2078584.03</v>
      </c>
      <c r="C28" s="149">
        <v>85550</v>
      </c>
      <c r="D28" s="149">
        <v>107616</v>
      </c>
      <c r="E28" s="149">
        <v>57997</v>
      </c>
      <c r="F28" s="149">
        <v>196824</v>
      </c>
      <c r="G28" s="149">
        <v>607165</v>
      </c>
      <c r="H28" s="149"/>
      <c r="I28" s="149">
        <v>26550</v>
      </c>
      <c r="J28" s="149">
        <v>690182</v>
      </c>
      <c r="K28" s="149">
        <v>17600.03</v>
      </c>
      <c r="L28" s="149"/>
      <c r="M28" s="149"/>
      <c r="N28" s="149">
        <v>289100</v>
      </c>
    </row>
    <row r="29" spans="1:14">
      <c r="A29" s="150" t="s">
        <v>498</v>
      </c>
      <c r="B29" s="377">
        <f t="shared" si="0"/>
        <v>4477842.41</v>
      </c>
      <c r="C29" s="149">
        <v>308000</v>
      </c>
      <c r="D29" s="149"/>
      <c r="E29" s="149">
        <v>250000</v>
      </c>
      <c r="F29" s="149">
        <v>92000</v>
      </c>
      <c r="G29" s="149">
        <v>130100</v>
      </c>
      <c r="H29" s="149">
        <v>180120.76</v>
      </c>
      <c r="I29" s="149">
        <v>152800</v>
      </c>
      <c r="J29" s="149">
        <v>269200</v>
      </c>
      <c r="K29" s="149">
        <v>74000</v>
      </c>
      <c r="L29" s="149">
        <v>2183260</v>
      </c>
      <c r="M29" s="149">
        <v>384300</v>
      </c>
      <c r="N29" s="149">
        <v>454061.65</v>
      </c>
    </row>
    <row r="30" spans="1:14">
      <c r="A30" s="150" t="s">
        <v>497</v>
      </c>
      <c r="B30" s="377">
        <f t="shared" si="0"/>
        <v>1017341.78</v>
      </c>
      <c r="C30" s="149"/>
      <c r="D30" s="149">
        <v>249831.2</v>
      </c>
      <c r="E30" s="149">
        <v>317663.67</v>
      </c>
      <c r="F30" s="149"/>
      <c r="G30" s="149"/>
      <c r="H30" s="149"/>
      <c r="I30" s="149">
        <v>77390.009999999995</v>
      </c>
      <c r="J30" s="149">
        <v>62924.77</v>
      </c>
      <c r="K30" s="149"/>
      <c r="L30" s="149"/>
      <c r="M30" s="149">
        <v>298561.91999999998</v>
      </c>
      <c r="N30" s="149">
        <v>10970.21</v>
      </c>
    </row>
    <row r="31" spans="1:14">
      <c r="A31" s="150" t="s">
        <v>496</v>
      </c>
      <c r="B31" s="377">
        <f t="shared" si="0"/>
        <v>690998.86</v>
      </c>
      <c r="C31" s="149"/>
      <c r="D31" s="149">
        <v>183732.33</v>
      </c>
      <c r="E31" s="149">
        <v>110224.97</v>
      </c>
      <c r="F31" s="149"/>
      <c r="G31" s="149"/>
      <c r="H31" s="149"/>
      <c r="I31" s="149">
        <v>24157.95</v>
      </c>
      <c r="J31" s="149">
        <v>187394.11</v>
      </c>
      <c r="K31" s="149"/>
      <c r="L31" s="149">
        <v>875.01</v>
      </c>
      <c r="M31" s="149"/>
      <c r="N31" s="149">
        <v>184614.49</v>
      </c>
    </row>
    <row r="32" spans="1:14">
      <c r="A32" s="150" t="s">
        <v>495</v>
      </c>
      <c r="B32" s="377">
        <f t="shared" si="0"/>
        <v>9812319.5800000001</v>
      </c>
      <c r="C32" s="149">
        <v>228412.84</v>
      </c>
      <c r="D32" s="149">
        <v>1114592.73</v>
      </c>
      <c r="E32" s="149">
        <v>317328.99</v>
      </c>
      <c r="F32" s="149">
        <v>226537</v>
      </c>
      <c r="G32" s="149">
        <v>1065923</v>
      </c>
      <c r="H32" s="149">
        <v>207742</v>
      </c>
      <c r="I32" s="149">
        <v>1044515</v>
      </c>
      <c r="J32" s="149">
        <v>250850.02</v>
      </c>
      <c r="K32" s="149">
        <v>1029096</v>
      </c>
      <c r="L32" s="149">
        <v>778905.4</v>
      </c>
      <c r="M32" s="149">
        <v>334749.59999999998</v>
      </c>
      <c r="N32" s="149">
        <v>3213667</v>
      </c>
    </row>
    <row r="33" spans="1:14" ht="30">
      <c r="A33" s="150" t="s">
        <v>494</v>
      </c>
      <c r="B33" s="377">
        <f t="shared" si="0"/>
        <v>0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</row>
    <row r="34" spans="1:14">
      <c r="A34" s="150" t="s">
        <v>493</v>
      </c>
      <c r="B34" s="377">
        <f t="shared" si="0"/>
        <v>18711415.629999999</v>
      </c>
      <c r="C34" s="149">
        <v>1899402.83</v>
      </c>
      <c r="D34" s="149">
        <v>475914.23</v>
      </c>
      <c r="E34" s="149">
        <v>85524.69</v>
      </c>
      <c r="F34" s="149">
        <v>2385554.1999999997</v>
      </c>
      <c r="G34" s="149">
        <v>258010.6</v>
      </c>
      <c r="H34" s="149">
        <v>193167.65</v>
      </c>
      <c r="I34" s="149">
        <v>1758480.91</v>
      </c>
      <c r="J34" s="149">
        <v>851056.62</v>
      </c>
      <c r="K34" s="149">
        <v>1001233.99</v>
      </c>
      <c r="L34" s="149">
        <v>2637244.85</v>
      </c>
      <c r="M34" s="149">
        <v>1003389.35</v>
      </c>
      <c r="N34" s="149">
        <v>6162435.71</v>
      </c>
    </row>
    <row r="35" spans="1:14">
      <c r="A35" s="156" t="s">
        <v>492</v>
      </c>
      <c r="B35" s="154">
        <f>SUM(B36:B42)</f>
        <v>1654138.7</v>
      </c>
      <c r="C35" s="154">
        <f t="shared" ref="C35:M35" si="3">SUM(C36:C42)</f>
        <v>136966.70000000001</v>
      </c>
      <c r="D35" s="154">
        <f t="shared" si="3"/>
        <v>23400</v>
      </c>
      <c r="E35" s="154">
        <f t="shared" si="3"/>
        <v>127420</v>
      </c>
      <c r="F35" s="154">
        <f t="shared" si="3"/>
        <v>624573</v>
      </c>
      <c r="G35" s="154">
        <f t="shared" si="3"/>
        <v>480808</v>
      </c>
      <c r="H35" s="154">
        <f t="shared" si="3"/>
        <v>118600</v>
      </c>
      <c r="I35" s="154">
        <f t="shared" si="3"/>
        <v>67571</v>
      </c>
      <c r="J35" s="154">
        <f t="shared" si="3"/>
        <v>33600</v>
      </c>
      <c r="K35" s="154">
        <f t="shared" si="3"/>
        <v>21600</v>
      </c>
      <c r="L35" s="154">
        <f t="shared" si="3"/>
        <v>0</v>
      </c>
      <c r="M35" s="154">
        <f t="shared" si="3"/>
        <v>3600</v>
      </c>
      <c r="N35" s="154">
        <f>SUM(N36:N42)</f>
        <v>16000</v>
      </c>
    </row>
    <row r="36" spans="1:14">
      <c r="A36" s="150" t="s">
        <v>491</v>
      </c>
      <c r="B36" s="151">
        <f t="shared" si="0"/>
        <v>1654138.7</v>
      </c>
      <c r="C36" s="149">
        <v>136966.70000000001</v>
      </c>
      <c r="D36" s="149">
        <v>23400</v>
      </c>
      <c r="E36" s="149">
        <v>127420</v>
      </c>
      <c r="F36" s="149">
        <v>624573</v>
      </c>
      <c r="G36" s="149">
        <v>480808</v>
      </c>
      <c r="H36" s="149">
        <v>118600</v>
      </c>
      <c r="I36" s="149">
        <v>67571</v>
      </c>
      <c r="J36" s="149">
        <v>33600</v>
      </c>
      <c r="K36" s="149">
        <v>21600</v>
      </c>
      <c r="L36" s="149"/>
      <c r="M36" s="149">
        <v>3600</v>
      </c>
      <c r="N36" s="149">
        <v>16000</v>
      </c>
    </row>
    <row r="37" spans="1:14">
      <c r="A37" s="150" t="s">
        <v>490</v>
      </c>
      <c r="B37" s="151">
        <f t="shared" si="0"/>
        <v>0</v>
      </c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</row>
    <row r="38" spans="1:14">
      <c r="A38" s="150" t="s">
        <v>489</v>
      </c>
      <c r="B38" s="151">
        <f t="shared" si="0"/>
        <v>0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</row>
    <row r="39" spans="1:14" ht="30">
      <c r="A39" s="150" t="s">
        <v>488</v>
      </c>
      <c r="B39" s="151">
        <f t="shared" si="0"/>
        <v>0</v>
      </c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  <row r="40" spans="1:14" ht="30">
      <c r="A40" s="150" t="s">
        <v>487</v>
      </c>
      <c r="B40" s="151">
        <f t="shared" si="0"/>
        <v>0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</row>
    <row r="41" spans="1:14">
      <c r="A41" s="150" t="s">
        <v>486</v>
      </c>
      <c r="B41" s="151">
        <f t="shared" si="0"/>
        <v>0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</row>
    <row r="42" spans="1:14">
      <c r="A42" s="150" t="s">
        <v>485</v>
      </c>
      <c r="B42" s="151">
        <f t="shared" si="0"/>
        <v>0</v>
      </c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</row>
    <row r="43" spans="1:14">
      <c r="A43" s="156" t="s">
        <v>484</v>
      </c>
      <c r="B43" s="154">
        <f t="shared" si="0"/>
        <v>0</v>
      </c>
      <c r="C43" s="154">
        <v>0</v>
      </c>
      <c r="D43" s="154">
        <v>0</v>
      </c>
      <c r="E43" s="154">
        <v>0</v>
      </c>
      <c r="F43" s="154">
        <v>0</v>
      </c>
      <c r="G43" s="154">
        <v>0</v>
      </c>
      <c r="H43" s="154">
        <v>0</v>
      </c>
      <c r="I43" s="154">
        <v>0</v>
      </c>
      <c r="J43" s="154">
        <v>0</v>
      </c>
      <c r="K43" s="154">
        <f>SUM(K44:K50)</f>
        <v>0</v>
      </c>
      <c r="L43" s="154">
        <v>0</v>
      </c>
      <c r="M43" s="154">
        <v>0</v>
      </c>
      <c r="N43" s="154">
        <v>0</v>
      </c>
    </row>
    <row r="44" spans="1:14">
      <c r="A44" s="150" t="s">
        <v>483</v>
      </c>
      <c r="B44" s="151">
        <f t="shared" si="0"/>
        <v>0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</row>
    <row r="45" spans="1:14">
      <c r="A45" s="150" t="s">
        <v>482</v>
      </c>
      <c r="B45" s="151">
        <f t="shared" si="0"/>
        <v>0</v>
      </c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</row>
    <row r="46" spans="1:14">
      <c r="A46" s="150" t="s">
        <v>481</v>
      </c>
      <c r="B46" s="151">
        <f t="shared" si="0"/>
        <v>0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</row>
    <row r="47" spans="1:14" ht="30">
      <c r="A47" s="150" t="s">
        <v>480</v>
      </c>
      <c r="B47" s="151">
        <f t="shared" si="0"/>
        <v>0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</row>
    <row r="48" spans="1:14" ht="30">
      <c r="A48" s="150" t="s">
        <v>479</v>
      </c>
      <c r="B48" s="151">
        <f t="shared" si="0"/>
        <v>0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</row>
    <row r="49" spans="1:14">
      <c r="A49" s="150" t="s">
        <v>478</v>
      </c>
      <c r="B49" s="151">
        <f t="shared" si="0"/>
        <v>0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</row>
    <row r="50" spans="1:14">
      <c r="A50" s="150" t="s">
        <v>477</v>
      </c>
      <c r="B50" s="151">
        <f t="shared" si="0"/>
        <v>0</v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</row>
    <row r="51" spans="1:14">
      <c r="A51" s="156" t="s">
        <v>476</v>
      </c>
      <c r="B51" s="154">
        <f>SUM(B52:B60)</f>
        <v>23247155.41</v>
      </c>
      <c r="C51" s="154">
        <f t="shared" ref="C51:M51" si="4">SUM(C52:C60)</f>
        <v>887994.84</v>
      </c>
      <c r="D51" s="154">
        <f t="shared" si="4"/>
        <v>3887510</v>
      </c>
      <c r="E51" s="154">
        <f t="shared" si="4"/>
        <v>300539.37</v>
      </c>
      <c r="F51" s="154">
        <f t="shared" si="4"/>
        <v>0</v>
      </c>
      <c r="G51" s="154">
        <f t="shared" si="4"/>
        <v>3927042.19</v>
      </c>
      <c r="H51" s="154">
        <f t="shared" si="4"/>
        <v>1456388.96</v>
      </c>
      <c r="I51" s="154">
        <f t="shared" si="4"/>
        <v>730510.01</v>
      </c>
      <c r="J51" s="154">
        <f t="shared" si="4"/>
        <v>2395076.41</v>
      </c>
      <c r="K51" s="154">
        <f t="shared" si="4"/>
        <v>2245366.02</v>
      </c>
      <c r="L51" s="154">
        <f t="shared" si="4"/>
        <v>310707.35000000003</v>
      </c>
      <c r="M51" s="154">
        <f t="shared" si="4"/>
        <v>2755244.7199999997</v>
      </c>
      <c r="N51" s="154">
        <f>SUM(N52:N60)</f>
        <v>4350775.54</v>
      </c>
    </row>
    <row r="52" spans="1:14">
      <c r="A52" s="150" t="s">
        <v>475</v>
      </c>
      <c r="B52" s="151">
        <f t="shared" si="0"/>
        <v>3681547.0000000005</v>
      </c>
      <c r="C52" s="149"/>
      <c r="D52" s="149"/>
      <c r="E52" s="149"/>
      <c r="F52" s="149"/>
      <c r="G52" s="149"/>
      <c r="H52" s="149">
        <v>7995.01</v>
      </c>
      <c r="I52" s="149"/>
      <c r="J52" s="149">
        <v>684631.95</v>
      </c>
      <c r="K52" s="149">
        <v>2245366.02</v>
      </c>
      <c r="L52" s="149">
        <v>7986.24</v>
      </c>
      <c r="M52" s="149">
        <v>442444.72</v>
      </c>
      <c r="N52" s="149">
        <v>293123.06</v>
      </c>
    </row>
    <row r="53" spans="1:14">
      <c r="A53" s="150" t="s">
        <v>474</v>
      </c>
      <c r="B53" s="151">
        <f t="shared" si="0"/>
        <v>1788880</v>
      </c>
      <c r="C53" s="149"/>
      <c r="D53" s="149"/>
      <c r="E53" s="149"/>
      <c r="F53" s="149"/>
      <c r="G53" s="149"/>
      <c r="H53" s="149">
        <v>1399834</v>
      </c>
      <c r="I53" s="149">
        <v>389046</v>
      </c>
      <c r="J53" s="149"/>
      <c r="K53" s="149"/>
      <c r="L53" s="149"/>
      <c r="M53" s="149"/>
      <c r="N53" s="149"/>
    </row>
    <row r="54" spans="1:14">
      <c r="A54" s="150" t="s">
        <v>473</v>
      </c>
      <c r="B54" s="151">
        <f t="shared" si="0"/>
        <v>13624726.699999999</v>
      </c>
      <c r="C54" s="149">
        <v>887994.84</v>
      </c>
      <c r="D54" s="149">
        <v>2075030</v>
      </c>
      <c r="E54" s="149"/>
      <c r="F54" s="149"/>
      <c r="G54" s="149">
        <v>3927042.19</v>
      </c>
      <c r="H54" s="149">
        <v>48559.95</v>
      </c>
      <c r="I54" s="149"/>
      <c r="J54" s="149">
        <v>1710444.46</v>
      </c>
      <c r="K54" s="149"/>
      <c r="L54" s="149">
        <v>112271.1</v>
      </c>
      <c r="M54" s="149">
        <v>1899800</v>
      </c>
      <c r="N54" s="149">
        <v>2963584.16</v>
      </c>
    </row>
    <row r="55" spans="1:14">
      <c r="A55" s="150" t="s">
        <v>472</v>
      </c>
      <c r="B55" s="151">
        <f t="shared" si="0"/>
        <v>107609.37</v>
      </c>
      <c r="C55" s="149"/>
      <c r="D55" s="149"/>
      <c r="E55" s="149">
        <v>107609.37</v>
      </c>
      <c r="F55" s="149"/>
      <c r="G55" s="149"/>
      <c r="H55" s="149"/>
      <c r="I55" s="149"/>
      <c r="J55" s="149"/>
      <c r="K55" s="149"/>
      <c r="L55" s="149"/>
      <c r="M55" s="149"/>
      <c r="N55" s="149"/>
    </row>
    <row r="56" spans="1:14">
      <c r="A56" s="150" t="s">
        <v>471</v>
      </c>
      <c r="B56" s="151">
        <f t="shared" si="0"/>
        <v>3644568.0899999994</v>
      </c>
      <c r="C56" s="149"/>
      <c r="D56" s="149">
        <v>1812480</v>
      </c>
      <c r="E56" s="149">
        <v>192930</v>
      </c>
      <c r="F56" s="149"/>
      <c r="G56" s="149"/>
      <c r="H56" s="149"/>
      <c r="I56" s="149">
        <v>282700.01</v>
      </c>
      <c r="J56" s="149"/>
      <c r="K56" s="149"/>
      <c r="L56" s="149">
        <v>190450.01</v>
      </c>
      <c r="M56" s="149">
        <v>413000</v>
      </c>
      <c r="N56" s="149">
        <v>753008.07</v>
      </c>
    </row>
    <row r="57" spans="1:14">
      <c r="A57" s="150" t="s">
        <v>470</v>
      </c>
      <c r="B57" s="151">
        <f t="shared" si="0"/>
        <v>244943.05</v>
      </c>
      <c r="C57" s="149"/>
      <c r="D57" s="149"/>
      <c r="E57" s="149"/>
      <c r="F57" s="149"/>
      <c r="G57" s="149"/>
      <c r="H57" s="149"/>
      <c r="I57" s="149">
        <v>58764</v>
      </c>
      <c r="J57" s="149"/>
      <c r="K57" s="149"/>
      <c r="L57" s="149"/>
      <c r="M57" s="149"/>
      <c r="N57" s="149">
        <v>186179.05</v>
      </c>
    </row>
    <row r="58" spans="1:14">
      <c r="A58" s="150" t="s">
        <v>469</v>
      </c>
      <c r="B58" s="151">
        <f t="shared" si="0"/>
        <v>0</v>
      </c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</row>
    <row r="59" spans="1:14">
      <c r="A59" s="150" t="s">
        <v>468</v>
      </c>
      <c r="B59" s="151">
        <f t="shared" si="0"/>
        <v>0</v>
      </c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</row>
    <row r="60" spans="1:14">
      <c r="A60" s="150" t="s">
        <v>467</v>
      </c>
      <c r="B60" s="151">
        <f t="shared" si="0"/>
        <v>154881.20000000001</v>
      </c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>
        <v>154881.20000000001</v>
      </c>
    </row>
    <row r="61" spans="1:14">
      <c r="A61" s="156" t="s">
        <v>466</v>
      </c>
      <c r="B61" s="154">
        <f t="shared" si="0"/>
        <v>0</v>
      </c>
      <c r="C61" s="154">
        <v>0</v>
      </c>
      <c r="D61" s="154">
        <v>0</v>
      </c>
      <c r="E61" s="154">
        <v>0</v>
      </c>
      <c r="F61" s="154">
        <v>0</v>
      </c>
      <c r="G61" s="154">
        <v>0</v>
      </c>
      <c r="H61" s="154">
        <v>0</v>
      </c>
      <c r="I61" s="154">
        <v>0</v>
      </c>
      <c r="J61" s="154">
        <v>0</v>
      </c>
      <c r="K61" s="154">
        <f>SUM(K62:K65)</f>
        <v>0</v>
      </c>
      <c r="L61" s="154">
        <v>0</v>
      </c>
      <c r="M61" s="154">
        <f>SUM(M62:M65)</f>
        <v>0</v>
      </c>
      <c r="N61" s="154">
        <v>0</v>
      </c>
    </row>
    <row r="62" spans="1:14">
      <c r="A62" s="150" t="s">
        <v>465</v>
      </c>
      <c r="B62" s="151">
        <f t="shared" si="0"/>
        <v>0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</row>
    <row r="63" spans="1:14">
      <c r="A63" s="150" t="s">
        <v>464</v>
      </c>
      <c r="B63" s="151">
        <f t="shared" si="0"/>
        <v>0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1:14">
      <c r="A64" s="150" t="s">
        <v>463</v>
      </c>
      <c r="B64" s="151">
        <f t="shared" si="0"/>
        <v>0</v>
      </c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</row>
    <row r="65" spans="1:14" ht="30">
      <c r="A65" s="150" t="s">
        <v>462</v>
      </c>
      <c r="B65" s="151">
        <f t="shared" si="0"/>
        <v>0</v>
      </c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</row>
    <row r="66" spans="1:14">
      <c r="A66" s="156" t="s">
        <v>461</v>
      </c>
      <c r="B66" s="154">
        <f t="shared" si="0"/>
        <v>0</v>
      </c>
      <c r="C66" s="154">
        <v>0</v>
      </c>
      <c r="D66" s="154">
        <v>0</v>
      </c>
      <c r="E66" s="154">
        <v>0</v>
      </c>
      <c r="F66" s="154">
        <v>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f>SUM(M67:M68)</f>
        <v>0</v>
      </c>
      <c r="N66" s="154">
        <v>0</v>
      </c>
    </row>
    <row r="67" spans="1:14">
      <c r="A67" s="150" t="s">
        <v>460</v>
      </c>
      <c r="B67" s="149">
        <f t="shared" si="0"/>
        <v>0</v>
      </c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</row>
    <row r="68" spans="1:14">
      <c r="A68" s="150" t="s">
        <v>459</v>
      </c>
      <c r="B68" s="149">
        <f t="shared" si="0"/>
        <v>0</v>
      </c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</row>
    <row r="69" spans="1:14">
      <c r="A69" s="156" t="s">
        <v>458</v>
      </c>
      <c r="B69" s="154">
        <f t="shared" si="0"/>
        <v>0</v>
      </c>
      <c r="C69" s="154">
        <v>0</v>
      </c>
      <c r="D69" s="154">
        <v>0</v>
      </c>
      <c r="E69" s="154">
        <v>0</v>
      </c>
      <c r="F69" s="154">
        <v>0</v>
      </c>
      <c r="G69" s="154">
        <v>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f>SUM(M70:M72)</f>
        <v>0</v>
      </c>
      <c r="N69" s="154">
        <v>0</v>
      </c>
    </row>
    <row r="70" spans="1:14">
      <c r="A70" s="150" t="s">
        <v>457</v>
      </c>
      <c r="B70" s="149">
        <f t="shared" si="0"/>
        <v>0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</row>
    <row r="71" spans="1:14">
      <c r="A71" s="150" t="s">
        <v>456</v>
      </c>
      <c r="B71" s="149">
        <f t="shared" si="0"/>
        <v>0</v>
      </c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</row>
    <row r="72" spans="1:14">
      <c r="A72" s="150" t="s">
        <v>455</v>
      </c>
      <c r="B72" s="149">
        <f t="shared" si="0"/>
        <v>0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</row>
    <row r="73" spans="1:14">
      <c r="A73" s="148" t="s">
        <v>454</v>
      </c>
      <c r="B73" s="147">
        <f>+B9+B15+B25+B35+B43+B51+B61+B66+B69</f>
        <v>114262841.86999999</v>
      </c>
      <c r="C73" s="147">
        <f t="shared" ref="C73:N73" si="5">+C9+C15+C25+C35+C43+C51+C61+C66+C69</f>
        <v>6821436.4900000002</v>
      </c>
      <c r="D73" s="147">
        <f t="shared" si="5"/>
        <v>7556671.6400000006</v>
      </c>
      <c r="E73" s="147">
        <f t="shared" si="5"/>
        <v>11816507.499999998</v>
      </c>
      <c r="F73" s="147">
        <f t="shared" si="5"/>
        <v>4877050.2899999991</v>
      </c>
      <c r="G73" s="147">
        <f t="shared" si="5"/>
        <v>9009314.3900000006</v>
      </c>
      <c r="H73" s="147">
        <f t="shared" si="5"/>
        <v>6513141.8700000001</v>
      </c>
      <c r="I73" s="147">
        <f t="shared" si="5"/>
        <v>9254860.6300000008</v>
      </c>
      <c r="J73" s="147">
        <f t="shared" si="5"/>
        <v>8715557.7400000002</v>
      </c>
      <c r="K73" s="147">
        <f t="shared" si="5"/>
        <v>11406705.439999999</v>
      </c>
      <c r="L73" s="147">
        <f t="shared" si="5"/>
        <v>8161061</v>
      </c>
      <c r="M73" s="147">
        <f t="shared" si="5"/>
        <v>7026991.1299999999</v>
      </c>
      <c r="N73" s="147">
        <f t="shared" si="5"/>
        <v>23103543.75</v>
      </c>
    </row>
    <row r="74" spans="1:14">
      <c r="A74" s="152" t="s">
        <v>453</v>
      </c>
      <c r="B74" s="151">
        <f t="shared" ref="B74:B84" si="6">SUM(C74:N74)</f>
        <v>0</v>
      </c>
      <c r="C74" s="151"/>
      <c r="D74" s="151"/>
      <c r="E74" s="160"/>
      <c r="F74" s="160"/>
      <c r="G74" s="160"/>
      <c r="H74" s="160"/>
      <c r="I74" s="160"/>
      <c r="J74" s="160"/>
      <c r="K74" s="160"/>
      <c r="L74" s="160"/>
      <c r="M74" s="160"/>
      <c r="N74" s="160"/>
    </row>
    <row r="75" spans="1:14">
      <c r="A75" s="152" t="s">
        <v>452</v>
      </c>
      <c r="B75" s="151">
        <f t="shared" si="6"/>
        <v>0</v>
      </c>
      <c r="C75" s="151"/>
      <c r="D75" s="125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50" t="s">
        <v>451</v>
      </c>
      <c r="B76" s="149">
        <f t="shared" si="6"/>
        <v>0</v>
      </c>
      <c r="C76" s="149"/>
      <c r="D76" s="125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50" t="s">
        <v>450</v>
      </c>
      <c r="B77" s="149">
        <f t="shared" si="6"/>
        <v>0</v>
      </c>
      <c r="C77" s="149"/>
      <c r="D77" s="125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52" t="s">
        <v>449</v>
      </c>
      <c r="B78" s="151">
        <f t="shared" si="6"/>
        <v>0</v>
      </c>
      <c r="C78" s="151"/>
      <c r="D78" s="125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50" t="s">
        <v>448</v>
      </c>
      <c r="B79" s="149">
        <f t="shared" si="6"/>
        <v>0</v>
      </c>
      <c r="C79" s="149"/>
      <c r="D79" s="125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50" t="s">
        <v>447</v>
      </c>
      <c r="B80" s="149">
        <f t="shared" si="6"/>
        <v>0</v>
      </c>
      <c r="C80" s="149"/>
      <c r="D80" s="125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52" t="s">
        <v>446</v>
      </c>
      <c r="B81" s="151">
        <f t="shared" si="6"/>
        <v>0</v>
      </c>
      <c r="C81" s="151"/>
      <c r="D81" s="125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50" t="s">
        <v>445</v>
      </c>
      <c r="B82" s="149">
        <f t="shared" si="6"/>
        <v>0</v>
      </c>
      <c r="C82" s="149"/>
      <c r="D82" s="125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48" t="s">
        <v>444</v>
      </c>
      <c r="B83" s="147">
        <f t="shared" si="6"/>
        <v>0</v>
      </c>
      <c r="C83" s="147"/>
      <c r="D83" s="147"/>
      <c r="E83" s="161"/>
      <c r="F83" s="161"/>
      <c r="G83" s="161"/>
      <c r="H83" s="161"/>
      <c r="I83" s="161"/>
      <c r="J83" s="161"/>
      <c r="K83" s="161"/>
      <c r="L83" s="161"/>
      <c r="M83" s="161"/>
      <c r="N83" s="161"/>
    </row>
    <row r="84" spans="1:14">
      <c r="A84" s="1"/>
      <c r="B84" s="125">
        <f t="shared" si="6"/>
        <v>0</v>
      </c>
      <c r="C84" s="125"/>
      <c r="D84" s="125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>
      <c r="A85" s="146" t="s">
        <v>443</v>
      </c>
      <c r="B85" s="145">
        <f>+B83+B73</f>
        <v>114262841.86999999</v>
      </c>
      <c r="C85" s="145">
        <f t="shared" ref="C85:N85" si="7">+C83+C73</f>
        <v>6821436.4900000002</v>
      </c>
      <c r="D85" s="145">
        <f t="shared" si="7"/>
        <v>7556671.6400000006</v>
      </c>
      <c r="E85" s="145">
        <f t="shared" si="7"/>
        <v>11816507.499999998</v>
      </c>
      <c r="F85" s="145">
        <f t="shared" si="7"/>
        <v>4877050.2899999991</v>
      </c>
      <c r="G85" s="145">
        <f t="shared" si="7"/>
        <v>9009314.3900000006</v>
      </c>
      <c r="H85" s="145">
        <f t="shared" si="7"/>
        <v>6513141.8700000001</v>
      </c>
      <c r="I85" s="145">
        <f t="shared" si="7"/>
        <v>9254860.6300000008</v>
      </c>
      <c r="J85" s="145">
        <f t="shared" si="7"/>
        <v>8715557.7400000002</v>
      </c>
      <c r="K85" s="145">
        <f t="shared" si="7"/>
        <v>11406705.439999999</v>
      </c>
      <c r="L85" s="145">
        <f t="shared" si="7"/>
        <v>8161061</v>
      </c>
      <c r="M85" s="145">
        <f t="shared" si="7"/>
        <v>7026991.1299999999</v>
      </c>
      <c r="N85" s="145">
        <f t="shared" si="7"/>
        <v>23103543.75</v>
      </c>
    </row>
    <row r="86" spans="1:14">
      <c r="A86" t="s">
        <v>442</v>
      </c>
    </row>
    <row r="87" spans="1:14">
      <c r="A87" t="s">
        <v>681</v>
      </c>
      <c r="E87" s="220"/>
    </row>
    <row r="88" spans="1:14">
      <c r="A88" t="s">
        <v>1439</v>
      </c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74803149606299213" bottom="0.74803149606299213" header="0.31496062992125984" footer="0.31496062992125984"/>
  <pageSetup scale="49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I34"/>
  <sheetViews>
    <sheetView zoomScale="90" zoomScaleNormal="90" workbookViewId="0">
      <selection activeCell="D27" sqref="D27"/>
    </sheetView>
  </sheetViews>
  <sheetFormatPr baseColWidth="10" defaultColWidth="11.42578125" defaultRowHeight="15"/>
  <cols>
    <col min="1" max="1" width="103.85546875" bestFit="1" customWidth="1"/>
    <col min="3" max="3" width="13.140625" customWidth="1"/>
    <col min="4" max="4" width="23.28515625" customWidth="1"/>
    <col min="5" max="5" width="15.42578125" customWidth="1"/>
    <col min="6" max="6" width="16.85546875" customWidth="1"/>
    <col min="7" max="7" width="17.5703125" customWidth="1"/>
  </cols>
  <sheetData>
    <row r="4" spans="1:9" ht="18.75">
      <c r="A4" s="400" t="s">
        <v>545</v>
      </c>
      <c r="B4" s="400"/>
      <c r="C4" s="400"/>
      <c r="D4" s="400"/>
      <c r="E4" s="400"/>
      <c r="F4" s="400"/>
      <c r="G4" s="400"/>
    </row>
    <row r="5" spans="1:9" ht="18.75">
      <c r="A5" s="400" t="s">
        <v>697</v>
      </c>
      <c r="B5" s="400"/>
      <c r="C5" s="400"/>
      <c r="D5" s="400"/>
      <c r="E5" s="400"/>
      <c r="F5" s="400"/>
      <c r="G5" s="400"/>
    </row>
    <row r="6" spans="1:9" ht="18.75">
      <c r="A6" s="400" t="s">
        <v>1407</v>
      </c>
      <c r="B6" s="400"/>
      <c r="C6" s="400"/>
      <c r="D6" s="400"/>
      <c r="E6" s="400"/>
      <c r="F6" s="400"/>
      <c r="G6" s="400"/>
    </row>
    <row r="7" spans="1:9" ht="19.5" thickBot="1">
      <c r="A7" s="470" t="s">
        <v>657</v>
      </c>
      <c r="B7" s="470"/>
      <c r="C7" s="470"/>
      <c r="D7" s="470"/>
      <c r="E7" s="470"/>
      <c r="F7" s="470"/>
      <c r="G7" s="470"/>
    </row>
    <row r="8" spans="1:9" ht="15.75">
      <c r="A8" s="171" t="s">
        <v>546</v>
      </c>
      <c r="B8" s="471" t="s">
        <v>547</v>
      </c>
      <c r="C8" s="472"/>
      <c r="D8" s="278" t="s">
        <v>548</v>
      </c>
      <c r="E8" s="279" t="s">
        <v>549</v>
      </c>
      <c r="F8" s="280" t="s">
        <v>550</v>
      </c>
      <c r="G8" s="281" t="s">
        <v>551</v>
      </c>
    </row>
    <row r="9" spans="1:9" ht="15.75">
      <c r="A9" s="462" t="s">
        <v>434</v>
      </c>
      <c r="B9" s="464" t="s">
        <v>552</v>
      </c>
      <c r="C9" s="465"/>
      <c r="D9" s="282"/>
      <c r="E9" s="466" t="s">
        <v>553</v>
      </c>
      <c r="F9" s="467"/>
      <c r="G9" s="468"/>
    </row>
    <row r="10" spans="1:9" ht="31.5">
      <c r="A10" s="463"/>
      <c r="B10" s="282" t="s">
        <v>554</v>
      </c>
      <c r="C10" s="282" t="s">
        <v>555</v>
      </c>
      <c r="D10" s="282" t="s">
        <v>433</v>
      </c>
      <c r="E10" s="283" t="s">
        <v>556</v>
      </c>
      <c r="F10" s="172" t="s">
        <v>557</v>
      </c>
      <c r="G10" s="173" t="s">
        <v>558</v>
      </c>
    </row>
    <row r="11" spans="1:9">
      <c r="A11" s="175" t="s">
        <v>698</v>
      </c>
      <c r="B11" s="284"/>
      <c r="C11" s="179"/>
      <c r="D11" s="125"/>
      <c r="E11" s="2"/>
      <c r="F11" s="2"/>
      <c r="G11" s="174"/>
    </row>
    <row r="12" spans="1:9">
      <c r="A12" s="175" t="s">
        <v>559</v>
      </c>
      <c r="B12" s="274">
        <v>44470</v>
      </c>
      <c r="C12" s="275">
        <v>46022</v>
      </c>
      <c r="D12" s="125">
        <f>13514741.06+303701.48+1819323.96</f>
        <v>15637766.5</v>
      </c>
      <c r="E12" s="2"/>
      <c r="F12" s="2"/>
      <c r="G12" s="174"/>
      <c r="H12" s="183"/>
    </row>
    <row r="13" spans="1:9">
      <c r="A13" s="175" t="s">
        <v>560</v>
      </c>
      <c r="B13" s="274">
        <v>45505</v>
      </c>
      <c r="C13" s="275">
        <v>46022</v>
      </c>
      <c r="D13" s="254">
        <f>4817972.08-4413127.55+1227716.05+745396.13+892519.41+1636486.25</f>
        <v>4906962.370000001</v>
      </c>
      <c r="E13" s="285"/>
      <c r="F13" s="2"/>
      <c r="G13" s="174"/>
      <c r="H13" s="183"/>
    </row>
    <row r="14" spans="1:9">
      <c r="A14" s="175" t="s">
        <v>561</v>
      </c>
      <c r="B14" s="179"/>
      <c r="C14" s="179"/>
      <c r="D14" s="254"/>
      <c r="E14" s="2"/>
      <c r="F14" s="2"/>
      <c r="G14" s="174"/>
      <c r="H14" s="183"/>
    </row>
    <row r="15" spans="1:9">
      <c r="A15" s="175" t="s">
        <v>562</v>
      </c>
      <c r="B15" s="179"/>
      <c r="C15" s="179"/>
      <c r="D15" s="254"/>
      <c r="E15" s="286"/>
      <c r="F15" s="2"/>
      <c r="G15" s="174"/>
      <c r="I15" s="178"/>
    </row>
    <row r="16" spans="1:9">
      <c r="A16" s="175" t="s">
        <v>563</v>
      </c>
      <c r="B16" s="179"/>
      <c r="C16" s="274"/>
      <c r="D16" s="254"/>
      <c r="E16" s="2"/>
      <c r="F16" s="2"/>
      <c r="G16" s="174"/>
    </row>
    <row r="17" spans="1:7">
      <c r="A17" s="175" t="s">
        <v>564</v>
      </c>
      <c r="B17" s="179"/>
      <c r="C17" s="179"/>
      <c r="D17" s="254"/>
      <c r="E17" s="2"/>
      <c r="F17" s="2"/>
      <c r="G17" s="174"/>
    </row>
    <row r="18" spans="1:7">
      <c r="A18" s="175" t="s">
        <v>565</v>
      </c>
      <c r="B18" s="1"/>
      <c r="C18" s="1"/>
      <c r="D18" s="1"/>
      <c r="E18" s="1"/>
      <c r="F18" s="1"/>
      <c r="G18" s="176"/>
    </row>
    <row r="19" spans="1:7" ht="15.75" thickBot="1">
      <c r="A19" s="287" t="s">
        <v>328</v>
      </c>
      <c r="B19" s="288"/>
      <c r="C19" s="288"/>
      <c r="D19" s="289">
        <v>18332713.140000001</v>
      </c>
      <c r="E19" s="289"/>
      <c r="F19" s="289"/>
      <c r="G19" s="290"/>
    </row>
    <row r="20" spans="1:7" ht="18" customHeight="1"/>
    <row r="21" spans="1:7" ht="15.75">
      <c r="A21" s="177" t="s">
        <v>566</v>
      </c>
    </row>
    <row r="23" spans="1:7">
      <c r="E23" s="183"/>
    </row>
    <row r="25" spans="1:7">
      <c r="A25" s="386" t="s">
        <v>567</v>
      </c>
      <c r="B25" s="386"/>
      <c r="D25" s="386" t="s">
        <v>568</v>
      </c>
      <c r="E25" s="386"/>
      <c r="F25" s="386"/>
      <c r="G25" s="386"/>
    </row>
    <row r="27" spans="1:7">
      <c r="A27" s="258"/>
      <c r="C27" s="258"/>
      <c r="D27" s="258"/>
    </row>
    <row r="28" spans="1:7">
      <c r="A28" s="460"/>
      <c r="B28" s="460"/>
      <c r="D28" s="460"/>
      <c r="E28" s="460"/>
      <c r="F28" s="460"/>
      <c r="G28" s="460"/>
    </row>
    <row r="29" spans="1:7">
      <c r="A29" s="469"/>
      <c r="B29" s="469"/>
      <c r="D29" s="469"/>
      <c r="E29" s="469"/>
    </row>
    <row r="30" spans="1:7">
      <c r="A30" s="260"/>
      <c r="C30" s="460"/>
      <c r="D30" s="460"/>
    </row>
    <row r="31" spans="1:7">
      <c r="A31" s="261"/>
      <c r="C31" s="461"/>
      <c r="D31" s="461"/>
    </row>
    <row r="32" spans="1:7">
      <c r="A32" s="142"/>
    </row>
    <row r="33" spans="1:7">
      <c r="A33" s="386"/>
      <c r="B33" s="386"/>
      <c r="C33" s="386"/>
      <c r="D33" s="386"/>
      <c r="E33" s="386"/>
      <c r="F33" s="386"/>
      <c r="G33" s="386"/>
    </row>
    <row r="34" spans="1:7">
      <c r="A34" s="258" t="s">
        <v>569</v>
      </c>
      <c r="B34" s="258"/>
      <c r="C34" s="258"/>
      <c r="D34" s="258"/>
    </row>
  </sheetData>
  <mergeCells count="17">
    <mergeCell ref="A4:G4"/>
    <mergeCell ref="A5:G5"/>
    <mergeCell ref="A6:G6"/>
    <mergeCell ref="A7:G7"/>
    <mergeCell ref="B8:C8"/>
    <mergeCell ref="C30:D30"/>
    <mergeCell ref="C31:D31"/>
    <mergeCell ref="A33:G33"/>
    <mergeCell ref="A9:A10"/>
    <mergeCell ref="B9:C9"/>
    <mergeCell ref="E9:G9"/>
    <mergeCell ref="A25:B25"/>
    <mergeCell ref="D25:G25"/>
    <mergeCell ref="A28:B28"/>
    <mergeCell ref="D28:G28"/>
    <mergeCell ref="A29:B29"/>
    <mergeCell ref="D29:E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E54"/>
  <sheetViews>
    <sheetView topLeftCell="A4" zoomScaleNormal="100" workbookViewId="0">
      <selection activeCell="E10" sqref="E10"/>
    </sheetView>
  </sheetViews>
  <sheetFormatPr baseColWidth="10" defaultColWidth="11.42578125" defaultRowHeight="15"/>
  <cols>
    <col min="1" max="1" width="21.5703125" customWidth="1"/>
    <col min="2" max="2" width="24.7109375" customWidth="1"/>
    <col min="3" max="3" width="24.42578125" bestFit="1" customWidth="1"/>
    <col min="4" max="4" width="19.85546875" customWidth="1"/>
    <col min="5" max="5" width="19.5703125" customWidth="1"/>
  </cols>
  <sheetData>
    <row r="3" spans="1:5" ht="23.25">
      <c r="A3" s="474" t="s">
        <v>570</v>
      </c>
      <c r="B3" s="474"/>
      <c r="C3" s="474"/>
      <c r="D3" s="474"/>
      <c r="E3" s="474"/>
    </row>
    <row r="4" spans="1:5" ht="18.75">
      <c r="A4" s="400" t="s">
        <v>571</v>
      </c>
      <c r="B4" s="400"/>
      <c r="C4" s="400"/>
      <c r="D4" s="400"/>
      <c r="E4" s="400"/>
    </row>
    <row r="5" spans="1:5" ht="18.75">
      <c r="A5" s="144"/>
      <c r="B5" s="144"/>
      <c r="C5" s="144"/>
      <c r="D5" s="144"/>
      <c r="E5" s="144"/>
    </row>
    <row r="6" spans="1:5">
      <c r="A6" s="475" t="s">
        <v>572</v>
      </c>
      <c r="B6" s="475"/>
      <c r="C6" s="475"/>
      <c r="D6" s="475"/>
      <c r="E6" s="475"/>
    </row>
    <row r="7" spans="1:5" ht="15.75" thickBot="1">
      <c r="A7" s="476" t="s">
        <v>1437</v>
      </c>
      <c r="B7" s="476"/>
      <c r="C7" s="476"/>
      <c r="D7" s="476"/>
      <c r="E7" s="476"/>
    </row>
    <row r="8" spans="1:5" ht="22.5">
      <c r="A8" s="295" t="s">
        <v>573</v>
      </c>
      <c r="B8" s="296" t="s">
        <v>574</v>
      </c>
      <c r="C8" s="296" t="s">
        <v>575</v>
      </c>
      <c r="D8" s="297" t="s">
        <v>576</v>
      </c>
      <c r="E8" s="297" t="s">
        <v>577</v>
      </c>
    </row>
    <row r="9" spans="1:5" s="131" customFormat="1">
      <c r="A9" s="484" t="s">
        <v>578</v>
      </c>
      <c r="B9" s="298" t="s">
        <v>645</v>
      </c>
      <c r="C9" s="299"/>
      <c r="D9" s="300"/>
      <c r="E9" s="301">
        <v>102571736.16</v>
      </c>
    </row>
    <row r="10" spans="1:5">
      <c r="A10" s="485"/>
      <c r="B10" s="298" t="s">
        <v>692</v>
      </c>
      <c r="C10" s="299"/>
      <c r="D10" s="300"/>
      <c r="E10" s="301"/>
    </row>
    <row r="11" spans="1:5">
      <c r="A11" s="486"/>
      <c r="B11" s="298" t="s">
        <v>693</v>
      </c>
      <c r="C11" s="299"/>
      <c r="D11" s="300"/>
      <c r="E11" s="301">
        <v>3169632.08</v>
      </c>
    </row>
    <row r="12" spans="1:5">
      <c r="A12" s="477" t="s">
        <v>579</v>
      </c>
      <c r="B12" s="477"/>
      <c r="C12" s="302"/>
      <c r="D12" s="302"/>
      <c r="E12" s="303">
        <f>SUM(E9:E11)</f>
        <v>105741368.23999999</v>
      </c>
    </row>
    <row r="13" spans="1:5">
      <c r="A13" s="478" t="s">
        <v>580</v>
      </c>
      <c r="B13" s="321" t="s">
        <v>581</v>
      </c>
      <c r="C13" s="304">
        <v>45992</v>
      </c>
      <c r="D13" s="305"/>
      <c r="E13" s="306">
        <v>7112058.4400000004</v>
      </c>
    </row>
    <row r="14" spans="1:5">
      <c r="A14" s="479"/>
      <c r="B14" s="321" t="s">
        <v>758</v>
      </c>
      <c r="C14" s="304">
        <v>45992</v>
      </c>
      <c r="D14" s="307"/>
      <c r="E14" s="306">
        <v>50000</v>
      </c>
    </row>
    <row r="15" spans="1:5">
      <c r="A15" s="479"/>
      <c r="B15" s="321" t="s">
        <v>627</v>
      </c>
      <c r="C15" s="304">
        <v>45999</v>
      </c>
      <c r="D15" s="307"/>
      <c r="E15" s="306">
        <v>96788.04</v>
      </c>
    </row>
    <row r="16" spans="1:5" s="131" customFormat="1">
      <c r="A16" s="479"/>
      <c r="B16" s="321" t="s">
        <v>1434</v>
      </c>
      <c r="C16" s="325">
        <v>46002</v>
      </c>
      <c r="D16" s="312"/>
      <c r="E16" s="326">
        <v>159684.71</v>
      </c>
    </row>
    <row r="17" spans="1:5" s="131" customFormat="1">
      <c r="A17" s="479"/>
      <c r="B17" s="324" t="s">
        <v>1410</v>
      </c>
      <c r="C17" s="325">
        <v>46003</v>
      </c>
      <c r="D17" s="312"/>
      <c r="E17" s="326">
        <v>72817.89</v>
      </c>
    </row>
    <row r="18" spans="1:5">
      <c r="A18" s="479"/>
      <c r="B18" s="321" t="s">
        <v>1440</v>
      </c>
      <c r="C18" s="325">
        <v>46006</v>
      </c>
      <c r="D18" s="312"/>
      <c r="E18" s="326">
        <v>344739.12</v>
      </c>
    </row>
    <row r="19" spans="1:5">
      <c r="A19" s="479"/>
      <c r="B19" s="324" t="s">
        <v>759</v>
      </c>
      <c r="C19" s="325">
        <v>46007</v>
      </c>
      <c r="D19" s="312"/>
      <c r="E19" s="326">
        <v>614627.81000000006</v>
      </c>
    </row>
    <row r="20" spans="1:5">
      <c r="A20" s="479"/>
      <c r="B20" s="324" t="s">
        <v>1411</v>
      </c>
      <c r="C20" s="325">
        <v>46009</v>
      </c>
      <c r="D20" s="312"/>
      <c r="E20" s="326">
        <v>12327.47</v>
      </c>
    </row>
    <row r="21" spans="1:5">
      <c r="A21" s="479"/>
      <c r="B21" s="324" t="s">
        <v>616</v>
      </c>
      <c r="C21" s="325">
        <v>46009</v>
      </c>
      <c r="D21" s="312"/>
      <c r="E21" s="326">
        <v>2428734</v>
      </c>
    </row>
    <row r="22" spans="1:5">
      <c r="A22" s="479"/>
      <c r="B22" s="324" t="s">
        <v>615</v>
      </c>
      <c r="C22" s="325">
        <v>46010</v>
      </c>
      <c r="D22" s="312"/>
      <c r="E22" s="326">
        <v>4779200.6900000004</v>
      </c>
    </row>
    <row r="23" spans="1:5">
      <c r="A23" s="479"/>
      <c r="B23" s="324" t="s">
        <v>695</v>
      </c>
      <c r="C23" s="325">
        <v>46017</v>
      </c>
      <c r="D23" s="312"/>
      <c r="E23" s="326">
        <v>638359.93000000005</v>
      </c>
    </row>
    <row r="24" spans="1:5">
      <c r="A24" s="479"/>
      <c r="B24" s="324" t="s">
        <v>760</v>
      </c>
      <c r="C24" s="325">
        <v>46017</v>
      </c>
      <c r="D24" s="312"/>
      <c r="E24" s="326">
        <v>5000</v>
      </c>
    </row>
    <row r="25" spans="1:5">
      <c r="A25" s="479"/>
      <c r="B25" s="324" t="s">
        <v>1409</v>
      </c>
      <c r="C25" s="325">
        <v>46020</v>
      </c>
      <c r="D25" s="312"/>
      <c r="E25" s="326">
        <v>50524.35</v>
      </c>
    </row>
    <row r="26" spans="1:5">
      <c r="A26" s="477" t="s">
        <v>719</v>
      </c>
      <c r="B26" s="477"/>
      <c r="C26" s="302"/>
      <c r="D26" s="302"/>
      <c r="E26" s="303">
        <f>SUM(E13:E25)</f>
        <v>16364862.450000001</v>
      </c>
    </row>
    <row r="27" spans="1:5">
      <c r="A27" s="479"/>
      <c r="B27" s="141" t="s">
        <v>590</v>
      </c>
      <c r="C27" s="309"/>
      <c r="D27" s="307"/>
      <c r="E27" s="306">
        <v>0</v>
      </c>
    </row>
    <row r="28" spans="1:5" ht="23.25">
      <c r="A28" s="479"/>
      <c r="B28" s="308" t="s">
        <v>649</v>
      </c>
      <c r="C28" s="309" t="s">
        <v>1408</v>
      </c>
      <c r="D28" s="310"/>
      <c r="E28" s="311">
        <v>134600</v>
      </c>
    </row>
    <row r="29" spans="1:5" ht="22.5">
      <c r="A29" s="479"/>
      <c r="B29" s="348" t="s">
        <v>591</v>
      </c>
      <c r="C29" s="312"/>
      <c r="D29" s="310"/>
      <c r="E29" s="312"/>
    </row>
    <row r="30" spans="1:5" ht="24.75" customHeight="1">
      <c r="A30" s="479"/>
      <c r="B30" s="313" t="s">
        <v>592</v>
      </c>
      <c r="C30" s="309" t="s">
        <v>1408</v>
      </c>
      <c r="D30" s="310"/>
      <c r="E30" s="326"/>
    </row>
    <row r="31" spans="1:5" ht="34.5">
      <c r="A31" s="314"/>
      <c r="B31" s="313" t="s">
        <v>593</v>
      </c>
      <c r="C31" s="315"/>
      <c r="D31" s="310"/>
      <c r="E31" s="316"/>
    </row>
    <row r="32" spans="1:5" ht="19.5" customHeight="1">
      <c r="A32" s="314"/>
      <c r="B32" s="317" t="s">
        <v>694</v>
      </c>
      <c r="C32" s="309" t="s">
        <v>1408</v>
      </c>
      <c r="D32" s="307"/>
      <c r="E32" s="318">
        <f>71100+62300+113150+63200+24000</f>
        <v>333750</v>
      </c>
    </row>
    <row r="33" spans="1:5">
      <c r="A33" s="480" t="s">
        <v>579</v>
      </c>
      <c r="B33" s="481"/>
      <c r="C33" s="302"/>
      <c r="D33" s="302"/>
      <c r="E33" s="303">
        <f>+E28+E32+E27+E30</f>
        <v>468350</v>
      </c>
    </row>
    <row r="34" spans="1:5">
      <c r="A34" s="482" t="s">
        <v>594</v>
      </c>
      <c r="B34" s="483"/>
      <c r="C34" s="319"/>
      <c r="D34" s="319"/>
      <c r="E34" s="320">
        <f>+E33+E26+E12</f>
        <v>122574580.69</v>
      </c>
    </row>
    <row r="35" spans="1:5">
      <c r="A35" s="180"/>
      <c r="B35" s="180"/>
      <c r="C35" s="181"/>
      <c r="D35" s="181"/>
      <c r="E35" s="182"/>
    </row>
    <row r="36" spans="1:5">
      <c r="A36" s="180"/>
      <c r="B36" s="180"/>
      <c r="C36" s="181"/>
      <c r="D36" s="181"/>
      <c r="E36" s="182"/>
    </row>
    <row r="37" spans="1:5">
      <c r="A37" s="473" t="s">
        <v>1435</v>
      </c>
      <c r="B37" s="473"/>
      <c r="C37" s="473"/>
      <c r="D37" s="473"/>
      <c r="E37" s="473"/>
    </row>
    <row r="38" spans="1:5">
      <c r="A38" s="473"/>
      <c r="B38" s="473"/>
      <c r="C38" s="473"/>
      <c r="D38" s="473"/>
      <c r="E38" s="473"/>
    </row>
    <row r="40" spans="1:5">
      <c r="A40" s="487" t="s">
        <v>1436</v>
      </c>
      <c r="B40" s="487"/>
      <c r="C40" s="487"/>
      <c r="D40" s="487"/>
      <c r="E40" s="487"/>
    </row>
    <row r="41" spans="1:5" hidden="1"/>
    <row r="42" spans="1:5">
      <c r="A42" s="248" t="s">
        <v>656</v>
      </c>
      <c r="B42" s="248" t="s">
        <v>655</v>
      </c>
      <c r="C42" s="248" t="s">
        <v>654</v>
      </c>
      <c r="D42" s="247" t="s">
        <v>653</v>
      </c>
      <c r="E42" s="246"/>
    </row>
    <row r="43" spans="1:5">
      <c r="A43" s="124" t="s">
        <v>696</v>
      </c>
      <c r="B43" s="125">
        <v>2849291.1099999882</v>
      </c>
      <c r="C43" s="276">
        <v>7959838.4400000004</v>
      </c>
      <c r="D43" s="272">
        <v>2849291.1099999882</v>
      </c>
      <c r="E43" s="142"/>
    </row>
    <row r="44" spans="1:5">
      <c r="A44" s="124" t="s">
        <v>699</v>
      </c>
      <c r="B44" s="291">
        <v>173556259.75</v>
      </c>
      <c r="C44" s="291">
        <v>173556259.75</v>
      </c>
      <c r="D44" s="291">
        <v>173556259.75</v>
      </c>
      <c r="E44" s="130"/>
    </row>
    <row r="45" spans="1:5">
      <c r="A45" s="124" t="s">
        <v>700</v>
      </c>
      <c r="B45" s="291">
        <v>3101512.48</v>
      </c>
      <c r="C45" s="291">
        <v>3101512.48</v>
      </c>
      <c r="D45" s="291">
        <v>3101512.48</v>
      </c>
      <c r="E45" s="130"/>
    </row>
    <row r="46" spans="1:5">
      <c r="A46" s="124" t="s">
        <v>701</v>
      </c>
      <c r="B46" s="291">
        <v>775284.28</v>
      </c>
      <c r="C46" s="291">
        <v>775284.28</v>
      </c>
      <c r="D46" s="291">
        <v>775284.28</v>
      </c>
      <c r="E46" s="258"/>
    </row>
    <row r="47" spans="1:5">
      <c r="A47" s="124"/>
      <c r="B47" s="292">
        <f>SUM(B43:B46)</f>
        <v>180282347.61999997</v>
      </c>
      <c r="C47" s="292">
        <f t="shared" ref="C47:D47" si="0">SUM(C43:C46)</f>
        <v>185392894.94999999</v>
      </c>
      <c r="D47" s="292">
        <f t="shared" si="0"/>
        <v>180282347.61999997</v>
      </c>
      <c r="E47" s="258"/>
    </row>
    <row r="48" spans="1:5">
      <c r="A48" s="277"/>
      <c r="B48" s="277"/>
      <c r="C48" s="277"/>
      <c r="D48" s="277"/>
      <c r="E48" s="258"/>
    </row>
    <row r="49" spans="1:5">
      <c r="A49" s="277"/>
      <c r="B49" s="277"/>
      <c r="C49" s="277"/>
      <c r="D49" s="277"/>
      <c r="E49" s="258"/>
    </row>
    <row r="50" spans="1:5">
      <c r="A50" s="277"/>
      <c r="B50" s="277"/>
      <c r="C50" s="277"/>
      <c r="D50" s="277"/>
      <c r="E50" s="258"/>
    </row>
    <row r="51" spans="1:5">
      <c r="A51" s="386" t="s">
        <v>567</v>
      </c>
      <c r="B51" s="386"/>
      <c r="D51" s="386" t="s">
        <v>568</v>
      </c>
      <c r="E51" s="386"/>
    </row>
    <row r="52" spans="1:5">
      <c r="A52" s="142"/>
      <c r="B52" s="142" t="s">
        <v>652</v>
      </c>
      <c r="D52" t="s">
        <v>651</v>
      </c>
    </row>
    <row r="53" spans="1:5">
      <c r="A53" s="386" t="s">
        <v>595</v>
      </c>
      <c r="B53" s="386"/>
      <c r="C53" s="386"/>
      <c r="D53" s="386"/>
      <c r="E53" s="386"/>
    </row>
    <row r="54" spans="1:5">
      <c r="A54" s="130"/>
      <c r="B54" s="386" t="s">
        <v>650</v>
      </c>
      <c r="C54" s="386"/>
      <c r="D54" s="386"/>
      <c r="E54" s="386"/>
    </row>
  </sheetData>
  <mergeCells count="17">
    <mergeCell ref="A51:B51"/>
    <mergeCell ref="D51:E51"/>
    <mergeCell ref="A53:E53"/>
    <mergeCell ref="B54:E54"/>
    <mergeCell ref="A40:E40"/>
    <mergeCell ref="A37:E38"/>
    <mergeCell ref="A3:E3"/>
    <mergeCell ref="A4:E4"/>
    <mergeCell ref="A6:E6"/>
    <mergeCell ref="A7:E7"/>
    <mergeCell ref="A12:B12"/>
    <mergeCell ref="A13:A25"/>
    <mergeCell ref="A26:B26"/>
    <mergeCell ref="A27:A30"/>
    <mergeCell ref="A33:B33"/>
    <mergeCell ref="A34:B34"/>
    <mergeCell ref="A9:A11"/>
  </mergeCells>
  <pageMargins left="0.70866141732283472" right="0.70866141732283472" top="0.74803149606299213" bottom="0.74803149606299213" header="0.31496062992125984" footer="0.31496062992125984"/>
  <pageSetup scale="70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E746-F09D-48E4-8A36-AE66589B96BD}">
  <dimension ref="A1:D33"/>
  <sheetViews>
    <sheetView topLeftCell="A10" workbookViewId="0">
      <selection activeCell="B31" sqref="B31"/>
    </sheetView>
  </sheetViews>
  <sheetFormatPr baseColWidth="10" defaultColWidth="9.140625" defaultRowHeight="15"/>
  <cols>
    <col min="1" max="2" width="11.5703125" style="183" bestFit="1" customWidth="1"/>
  </cols>
  <sheetData>
    <row r="1" spans="1:4">
      <c r="A1" s="183">
        <v>7800</v>
      </c>
      <c r="B1" s="183">
        <v>11000</v>
      </c>
      <c r="D1">
        <v>11000</v>
      </c>
    </row>
    <row r="2" spans="1:4">
      <c r="A2" s="183">
        <v>5100</v>
      </c>
      <c r="B2" s="183">
        <v>45000</v>
      </c>
      <c r="D2">
        <v>45000</v>
      </c>
    </row>
    <row r="3" spans="1:4">
      <c r="A3" s="183">
        <v>900</v>
      </c>
      <c r="B3" s="183">
        <v>13100</v>
      </c>
      <c r="D3">
        <v>13100</v>
      </c>
    </row>
    <row r="4" spans="1:4">
      <c r="A4" s="183">
        <v>5100</v>
      </c>
      <c r="B4" s="183">
        <v>74050</v>
      </c>
      <c r="D4">
        <v>74050</v>
      </c>
    </row>
    <row r="5" spans="1:4">
      <c r="A5" s="183">
        <v>11400</v>
      </c>
      <c r="B5" s="183">
        <v>42900</v>
      </c>
      <c r="D5">
        <v>42900</v>
      </c>
    </row>
    <row r="6" spans="1:4">
      <c r="A6" s="183">
        <v>11500</v>
      </c>
      <c r="B6" s="183">
        <v>43800</v>
      </c>
      <c r="D6">
        <v>43800</v>
      </c>
    </row>
    <row r="7" spans="1:4">
      <c r="A7" s="183">
        <v>4600</v>
      </c>
      <c r="B7" s="183">
        <v>57000</v>
      </c>
      <c r="D7">
        <v>57000</v>
      </c>
    </row>
    <row r="8" spans="1:4">
      <c r="A8" s="183">
        <v>5000</v>
      </c>
      <c r="B8" s="183">
        <v>12200</v>
      </c>
    </row>
    <row r="9" spans="1:4">
      <c r="A9" s="183">
        <v>13200</v>
      </c>
      <c r="B9" s="183">
        <v>4500</v>
      </c>
    </row>
    <row r="10" spans="1:4">
      <c r="A10" s="183">
        <v>5300</v>
      </c>
    </row>
    <row r="11" spans="1:4">
      <c r="A11" s="183">
        <v>1400</v>
      </c>
    </row>
    <row r="12" spans="1:4">
      <c r="A12" s="183">
        <v>3300</v>
      </c>
    </row>
    <row r="13" spans="1:4">
      <c r="A13" s="183">
        <v>4700</v>
      </c>
    </row>
    <row r="14" spans="1:4">
      <c r="A14" s="183">
        <v>7300</v>
      </c>
    </row>
    <row r="15" spans="1:4">
      <c r="A15" s="183">
        <v>2750</v>
      </c>
    </row>
    <row r="16" spans="1:4">
      <c r="A16" s="183">
        <v>5400</v>
      </c>
    </row>
    <row r="17" spans="1:2">
      <c r="A17" s="183">
        <v>5000</v>
      </c>
    </row>
    <row r="18" spans="1:2">
      <c r="A18" s="183">
        <v>4500</v>
      </c>
    </row>
    <row r="19" spans="1:2">
      <c r="A19" s="183">
        <v>5300</v>
      </c>
    </row>
    <row r="20" spans="1:2">
      <c r="A20" s="183">
        <v>5450</v>
      </c>
    </row>
    <row r="21" spans="1:2">
      <c r="A21" s="183">
        <v>8800</v>
      </c>
    </row>
    <row r="22" spans="1:2">
      <c r="A22" s="183">
        <v>2500</v>
      </c>
    </row>
    <row r="23" spans="1:2">
      <c r="A23" s="183">
        <v>8150</v>
      </c>
    </row>
    <row r="24" spans="1:2">
      <c r="A24" s="183">
        <v>5600</v>
      </c>
    </row>
    <row r="25" spans="1:2">
      <c r="A25" s="183">
        <v>8400</v>
      </c>
    </row>
    <row r="26" spans="1:2">
      <c r="A26" s="183">
        <v>7000</v>
      </c>
    </row>
    <row r="27" spans="1:2">
      <c r="A27" s="183">
        <v>6900</v>
      </c>
    </row>
    <row r="28" spans="1:2">
      <c r="A28" s="183">
        <v>6200</v>
      </c>
    </row>
    <row r="29" spans="1:2">
      <c r="A29" s="183">
        <v>14000</v>
      </c>
    </row>
    <row r="30" spans="1:2">
      <c r="A30" s="183">
        <v>3200</v>
      </c>
    </row>
    <row r="31" spans="1:2">
      <c r="A31" s="183">
        <f>SUM(A1:A30)</f>
        <v>185750</v>
      </c>
      <c r="B31" s="183">
        <f>SUM(B1:B30)</f>
        <v>303550</v>
      </c>
    </row>
    <row r="32" spans="1:2">
      <c r="A32" s="183">
        <v>191950</v>
      </c>
    </row>
    <row r="33" spans="1:1">
      <c r="A33" s="183">
        <f>+A31-A32</f>
        <v>-6200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22"/>
  <sheetViews>
    <sheetView view="pageBreakPreview" topLeftCell="M1" zoomScale="124" zoomScaleNormal="69" zoomScaleSheetLayoutView="124" workbookViewId="0">
      <pane ySplit="6" topLeftCell="A10" activePane="bottomLeft" state="frozen"/>
      <selection activeCell="C1" sqref="C1"/>
      <selection pane="bottomLeft" activeCell="J20" sqref="J20"/>
    </sheetView>
  </sheetViews>
  <sheetFormatPr baseColWidth="10" defaultColWidth="14.140625" defaultRowHeight="15"/>
  <cols>
    <col min="1" max="1" width="5.5703125" customWidth="1"/>
    <col min="2" max="2" width="32" bestFit="1" customWidth="1"/>
    <col min="3" max="3" width="20.42578125" hidden="1" customWidth="1"/>
    <col min="4" max="4" width="14.5703125" customWidth="1"/>
    <col min="5" max="5" width="12.140625" bestFit="1" customWidth="1"/>
    <col min="6" max="6" width="13.42578125" bestFit="1" customWidth="1"/>
    <col min="7" max="9" width="7.42578125" bestFit="1" customWidth="1"/>
    <col min="10" max="10" width="15.85546875" bestFit="1" customWidth="1"/>
    <col min="11" max="11" width="8.42578125" customWidth="1"/>
    <col min="12" max="12" width="10.28515625" customWidth="1"/>
    <col min="13" max="13" width="10.5703125" customWidth="1"/>
    <col min="14" max="14" width="9.85546875" customWidth="1"/>
    <col min="15" max="15" width="9.140625" customWidth="1"/>
    <col min="16" max="16" width="9" customWidth="1"/>
    <col min="17" max="17" width="11.140625" customWidth="1"/>
    <col min="18" max="18" width="11.42578125" customWidth="1"/>
    <col min="19" max="19" width="10.5703125" customWidth="1"/>
    <col min="20" max="20" width="12.85546875" customWidth="1"/>
    <col min="21" max="21" width="12.42578125" customWidth="1"/>
    <col min="22" max="22" width="13" customWidth="1"/>
    <col min="23" max="23" width="13.140625" customWidth="1"/>
    <col min="24" max="24" width="17" customWidth="1"/>
    <col min="25" max="25" width="32.28515625" style="140" customWidth="1"/>
  </cols>
  <sheetData>
    <row r="1" spans="1:25" ht="18.75">
      <c r="A1" s="488" t="s">
        <v>724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  <c r="R1" s="488"/>
      <c r="S1" s="488"/>
      <c r="T1" s="488"/>
      <c r="U1" s="488"/>
      <c r="V1" s="488"/>
      <c r="W1" s="488"/>
      <c r="X1" s="488"/>
    </row>
    <row r="2" spans="1:25" s="131" customFormat="1">
      <c r="A2" s="489" t="s">
        <v>725</v>
      </c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357"/>
    </row>
    <row r="3" spans="1:25" s="131" customFormat="1">
      <c r="A3" s="490" t="s">
        <v>726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357"/>
    </row>
    <row r="4" spans="1:25">
      <c r="C4" s="328"/>
      <c r="D4" s="328"/>
      <c r="E4" s="364" t="s">
        <v>729</v>
      </c>
      <c r="F4" s="365"/>
      <c r="G4" s="365"/>
      <c r="H4" s="365"/>
      <c r="I4" s="365"/>
      <c r="J4" s="365"/>
      <c r="K4" s="366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</row>
    <row r="5" spans="1:25" s="140" customFormat="1" ht="45">
      <c r="A5" s="382" t="s">
        <v>727</v>
      </c>
      <c r="B5" s="383" t="s">
        <v>728</v>
      </c>
      <c r="C5" s="353" t="s">
        <v>730</v>
      </c>
      <c r="D5" s="353" t="s">
        <v>731</v>
      </c>
      <c r="E5" s="384" t="s">
        <v>732</v>
      </c>
      <c r="F5" s="385" t="s">
        <v>733</v>
      </c>
      <c r="G5" s="385">
        <v>2020</v>
      </c>
      <c r="H5" s="385">
        <v>2021</v>
      </c>
      <c r="I5" s="385">
        <v>2022</v>
      </c>
      <c r="J5" s="385">
        <v>2023</v>
      </c>
      <c r="K5" s="385">
        <v>2024</v>
      </c>
      <c r="L5" s="353" t="s">
        <v>734</v>
      </c>
      <c r="M5" s="353" t="s">
        <v>704</v>
      </c>
      <c r="N5" s="353" t="s">
        <v>705</v>
      </c>
      <c r="O5" s="353" t="s">
        <v>706</v>
      </c>
      <c r="P5" s="353" t="s">
        <v>707</v>
      </c>
      <c r="Q5" s="353" t="s">
        <v>708</v>
      </c>
      <c r="R5" s="353" t="s">
        <v>709</v>
      </c>
      <c r="S5" s="353" t="s">
        <v>711</v>
      </c>
      <c r="T5" s="353" t="s">
        <v>710</v>
      </c>
      <c r="U5" s="353" t="s">
        <v>713</v>
      </c>
      <c r="V5" s="353" t="s">
        <v>769</v>
      </c>
      <c r="W5" s="353" t="s">
        <v>1412</v>
      </c>
      <c r="X5" s="353" t="s">
        <v>348</v>
      </c>
      <c r="Y5" s="358" t="s">
        <v>770</v>
      </c>
    </row>
    <row r="6" spans="1:25" ht="15.75">
      <c r="A6" s="352">
        <v>1</v>
      </c>
      <c r="B6" s="367" t="s">
        <v>702</v>
      </c>
      <c r="C6" s="332"/>
      <c r="D6" s="372" t="s">
        <v>1340</v>
      </c>
      <c r="E6" s="368"/>
      <c r="F6" s="368"/>
      <c r="G6" s="368"/>
      <c r="H6" s="368"/>
      <c r="I6" s="368"/>
      <c r="J6" s="368">
        <v>287920</v>
      </c>
      <c r="K6" s="368"/>
      <c r="L6" s="368"/>
      <c r="M6" s="368"/>
      <c r="N6" s="368"/>
      <c r="O6" s="368"/>
      <c r="P6" s="368"/>
      <c r="Q6" s="371"/>
      <c r="R6" s="368"/>
      <c r="S6" s="368"/>
      <c r="T6" s="368"/>
      <c r="U6" s="368"/>
      <c r="V6" s="368"/>
      <c r="W6" s="368"/>
      <c r="X6" s="355">
        <f>SUM(E6:W6)</f>
        <v>287920</v>
      </c>
      <c r="Y6" s="140" t="s">
        <v>1415</v>
      </c>
    </row>
    <row r="7" spans="1:25" ht="15.75">
      <c r="A7" s="333">
        <f>+A6+1</f>
        <v>2</v>
      </c>
      <c r="B7" s="334" t="s">
        <v>1414</v>
      </c>
      <c r="C7" s="330"/>
      <c r="D7" s="372" t="s">
        <v>1340</v>
      </c>
      <c r="E7" s="335"/>
      <c r="F7" s="335"/>
      <c r="G7" s="335"/>
      <c r="H7" s="335"/>
      <c r="I7" s="335"/>
      <c r="J7" s="335">
        <v>220483.05</v>
      </c>
      <c r="K7" s="335"/>
      <c r="L7" s="335"/>
      <c r="M7" s="335"/>
      <c r="N7" s="335"/>
      <c r="O7" s="335"/>
      <c r="P7" s="335"/>
      <c r="Q7" s="351"/>
      <c r="R7" s="335"/>
      <c r="S7" s="335"/>
      <c r="T7" s="335"/>
      <c r="U7" s="335"/>
      <c r="V7" s="335"/>
      <c r="W7" s="335"/>
      <c r="X7" s="355">
        <f t="shared" ref="X7:X18" si="0">SUM(E7:W7)</f>
        <v>220483.05</v>
      </c>
      <c r="Y7" s="140" t="s">
        <v>1415</v>
      </c>
    </row>
    <row r="8" spans="1:25" ht="15.75">
      <c r="A8" s="333">
        <f t="shared" ref="A8:A18" si="1">+A7+1</f>
        <v>3</v>
      </c>
      <c r="B8" s="334" t="s">
        <v>674</v>
      </c>
      <c r="C8" s="330"/>
      <c r="D8" s="372" t="s">
        <v>1340</v>
      </c>
      <c r="E8" s="335"/>
      <c r="F8" s="335"/>
      <c r="G8" s="335"/>
      <c r="H8" s="335"/>
      <c r="I8" s="335"/>
      <c r="J8" s="335">
        <v>4182</v>
      </c>
      <c r="K8" s="335"/>
      <c r="L8" s="335"/>
      <c r="M8" s="335"/>
      <c r="N8" s="335"/>
      <c r="O8" s="335"/>
      <c r="P8" s="351"/>
      <c r="Q8" s="335"/>
      <c r="R8" s="335"/>
      <c r="S8" s="335"/>
      <c r="T8" s="335"/>
      <c r="U8" s="335"/>
      <c r="V8" s="335"/>
      <c r="W8" s="335"/>
      <c r="X8" s="355">
        <f t="shared" si="0"/>
        <v>4182</v>
      </c>
      <c r="Y8" s="140" t="s">
        <v>1438</v>
      </c>
    </row>
    <row r="9" spans="1:25" ht="15.75">
      <c r="A9" s="333">
        <f t="shared" si="1"/>
        <v>4</v>
      </c>
      <c r="B9" s="334" t="s">
        <v>743</v>
      </c>
      <c r="C9" s="330"/>
      <c r="D9" s="372" t="s">
        <v>1340</v>
      </c>
      <c r="E9" s="335"/>
      <c r="F9" s="335"/>
      <c r="G9" s="335"/>
      <c r="H9" s="335"/>
      <c r="I9" s="335"/>
      <c r="J9" s="335">
        <v>213260</v>
      </c>
      <c r="K9" s="335"/>
      <c r="L9" s="335"/>
      <c r="M9" s="335"/>
      <c r="N9" s="335"/>
      <c r="O9" s="335"/>
      <c r="P9" s="335"/>
      <c r="Q9" s="335"/>
      <c r="R9" s="335"/>
      <c r="S9" s="351"/>
      <c r="T9" s="335"/>
      <c r="U9" s="335"/>
      <c r="V9" s="335"/>
      <c r="W9" s="335"/>
      <c r="X9" s="355">
        <f t="shared" si="0"/>
        <v>213260</v>
      </c>
      <c r="Y9" s="140" t="s">
        <v>1415</v>
      </c>
    </row>
    <row r="10" spans="1:25" ht="15.75">
      <c r="A10" s="333">
        <f t="shared" si="1"/>
        <v>5</v>
      </c>
      <c r="B10" s="331" t="s">
        <v>703</v>
      </c>
      <c r="C10" s="330"/>
      <c r="D10" s="372" t="s">
        <v>1340</v>
      </c>
      <c r="E10" s="335"/>
      <c r="F10" s="335"/>
      <c r="G10" s="335"/>
      <c r="H10" s="335"/>
      <c r="I10" s="335"/>
      <c r="J10" s="335"/>
      <c r="K10" s="351"/>
      <c r="L10" s="335"/>
      <c r="M10" s="335"/>
      <c r="N10" s="335">
        <v>9500</v>
      </c>
      <c r="O10" s="335"/>
      <c r="P10" s="335"/>
      <c r="Q10" s="335"/>
      <c r="R10" s="335"/>
      <c r="S10" s="335"/>
      <c r="T10" s="335"/>
      <c r="U10" s="335"/>
      <c r="V10" s="335"/>
      <c r="W10" s="335"/>
      <c r="X10" s="355">
        <f t="shared" si="0"/>
        <v>9500</v>
      </c>
      <c r="Y10" s="140" t="s">
        <v>1416</v>
      </c>
    </row>
    <row r="11" spans="1:25" ht="15.75">
      <c r="A11" s="333">
        <f t="shared" si="1"/>
        <v>6</v>
      </c>
      <c r="B11" s="330" t="s">
        <v>703</v>
      </c>
      <c r="C11" s="330"/>
      <c r="D11" s="372" t="s">
        <v>1340</v>
      </c>
      <c r="E11" s="369"/>
      <c r="F11" s="369"/>
      <c r="G11" s="369"/>
      <c r="H11" s="369"/>
      <c r="I11" s="369"/>
      <c r="J11" s="370"/>
      <c r="K11" s="354"/>
      <c r="L11" s="354"/>
      <c r="M11" s="354"/>
      <c r="N11" s="354"/>
      <c r="O11" s="354"/>
      <c r="P11" s="354"/>
      <c r="Q11" s="369">
        <v>2700</v>
      </c>
      <c r="R11" s="354"/>
      <c r="S11" s="354"/>
      <c r="T11" s="354"/>
      <c r="U11" s="354"/>
      <c r="V11" s="354"/>
      <c r="W11" s="354"/>
      <c r="X11" s="355">
        <f t="shared" si="0"/>
        <v>2700</v>
      </c>
      <c r="Y11" s="140" t="s">
        <v>1416</v>
      </c>
    </row>
    <row r="12" spans="1:25" ht="15.75">
      <c r="A12" s="333">
        <f t="shared" si="1"/>
        <v>7</v>
      </c>
      <c r="B12" s="331" t="s">
        <v>703</v>
      </c>
      <c r="C12" s="331"/>
      <c r="D12" s="372" t="s">
        <v>1340</v>
      </c>
      <c r="E12" s="335"/>
      <c r="F12" s="335"/>
      <c r="G12" s="335"/>
      <c r="H12" s="335"/>
      <c r="I12" s="335"/>
      <c r="J12" s="351"/>
      <c r="K12" s="335"/>
      <c r="L12" s="335"/>
      <c r="M12" s="335"/>
      <c r="N12" s="335"/>
      <c r="O12" s="335"/>
      <c r="P12" s="335"/>
      <c r="Q12" s="335">
        <v>3900</v>
      </c>
      <c r="R12" s="335"/>
      <c r="S12" s="335"/>
      <c r="T12" s="335"/>
      <c r="U12" s="335"/>
      <c r="V12" s="335"/>
      <c r="W12" s="335"/>
      <c r="X12" s="355">
        <f t="shared" si="0"/>
        <v>3900</v>
      </c>
      <c r="Y12" s="140" t="s">
        <v>1416</v>
      </c>
    </row>
    <row r="13" spans="1:25" ht="15.75">
      <c r="A13" s="333">
        <f t="shared" si="1"/>
        <v>8</v>
      </c>
      <c r="B13" s="330" t="s">
        <v>703</v>
      </c>
      <c r="C13" s="330"/>
      <c r="D13" s="372" t="s">
        <v>1340</v>
      </c>
      <c r="E13" s="335"/>
      <c r="F13" s="335"/>
      <c r="G13" s="335"/>
      <c r="H13" s="335"/>
      <c r="I13" s="335"/>
      <c r="J13" s="351"/>
      <c r="K13" s="335"/>
      <c r="L13" s="335"/>
      <c r="M13" s="335"/>
      <c r="N13" s="335"/>
      <c r="O13" s="335"/>
      <c r="P13" s="335"/>
      <c r="Q13" s="335">
        <v>9060</v>
      </c>
      <c r="R13" s="335"/>
      <c r="S13" s="335"/>
      <c r="T13" s="335"/>
      <c r="U13" s="335"/>
      <c r="V13" s="335"/>
      <c r="W13" s="335"/>
      <c r="X13" s="355">
        <f t="shared" si="0"/>
        <v>9060</v>
      </c>
      <c r="Y13" s="140" t="s">
        <v>1416</v>
      </c>
    </row>
    <row r="14" spans="1:25" ht="15.75">
      <c r="A14" s="333">
        <f t="shared" si="1"/>
        <v>9</v>
      </c>
      <c r="B14" s="331" t="s">
        <v>703</v>
      </c>
      <c r="C14" s="330"/>
      <c r="D14" s="372" t="s">
        <v>1340</v>
      </c>
      <c r="E14" s="335"/>
      <c r="F14" s="335"/>
      <c r="G14" s="335"/>
      <c r="H14" s="335"/>
      <c r="I14" s="335"/>
      <c r="J14" s="335"/>
      <c r="K14" s="351"/>
      <c r="L14" s="335"/>
      <c r="M14" s="335"/>
      <c r="N14" s="335"/>
      <c r="O14" s="335"/>
      <c r="P14" s="335"/>
      <c r="Q14" s="335">
        <v>9120</v>
      </c>
      <c r="R14" s="335"/>
      <c r="S14" s="335"/>
      <c r="T14" s="335"/>
      <c r="U14" s="335"/>
      <c r="V14" s="335"/>
      <c r="W14" s="335"/>
      <c r="X14" s="355">
        <f t="shared" si="0"/>
        <v>9120</v>
      </c>
      <c r="Y14" s="140" t="s">
        <v>1416</v>
      </c>
    </row>
    <row r="15" spans="1:25" ht="15.75">
      <c r="A15" s="333">
        <f t="shared" si="1"/>
        <v>10</v>
      </c>
      <c r="B15" s="331" t="s">
        <v>703</v>
      </c>
      <c r="C15" s="330"/>
      <c r="D15" s="372" t="s">
        <v>1340</v>
      </c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51"/>
      <c r="P15" s="335"/>
      <c r="Q15" s="335">
        <v>15750</v>
      </c>
      <c r="R15" s="335"/>
      <c r="S15" s="335"/>
      <c r="T15" s="335"/>
      <c r="U15" s="335"/>
      <c r="V15" s="335"/>
      <c r="W15" s="335"/>
      <c r="X15" s="355">
        <f t="shared" si="0"/>
        <v>15750</v>
      </c>
      <c r="Y15" s="140" t="s">
        <v>1416</v>
      </c>
    </row>
    <row r="16" spans="1:25" ht="15.75">
      <c r="A16" s="333">
        <f t="shared" si="1"/>
        <v>11</v>
      </c>
      <c r="B16" s="334" t="s">
        <v>703</v>
      </c>
      <c r="C16" s="330"/>
      <c r="D16" s="372" t="s">
        <v>1340</v>
      </c>
      <c r="E16" s="335"/>
      <c r="F16" s="335"/>
      <c r="G16" s="335"/>
      <c r="H16" s="335"/>
      <c r="I16" s="335"/>
      <c r="J16" s="335"/>
      <c r="K16" s="335"/>
      <c r="L16" s="351"/>
      <c r="M16" s="335"/>
      <c r="N16" s="335"/>
      <c r="O16" s="335"/>
      <c r="P16" s="335"/>
      <c r="Q16" s="335"/>
      <c r="R16" s="335">
        <v>12660</v>
      </c>
      <c r="S16" s="335"/>
      <c r="T16" s="335"/>
      <c r="U16" s="335"/>
      <c r="V16" s="335"/>
      <c r="W16" s="335"/>
      <c r="X16" s="355">
        <f t="shared" si="0"/>
        <v>12660</v>
      </c>
      <c r="Y16" s="140" t="s">
        <v>1416</v>
      </c>
    </row>
    <row r="17" spans="1:25" ht="15.75">
      <c r="A17" s="333">
        <f t="shared" si="1"/>
        <v>12</v>
      </c>
      <c r="B17" s="334" t="s">
        <v>661</v>
      </c>
      <c r="C17" s="330"/>
      <c r="D17" s="372" t="s">
        <v>1340</v>
      </c>
      <c r="E17" s="335"/>
      <c r="F17" s="335"/>
      <c r="G17" s="335"/>
      <c r="H17" s="335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51"/>
      <c r="T17" s="335"/>
      <c r="U17" s="335"/>
      <c r="V17" s="335">
        <v>29464.2</v>
      </c>
      <c r="W17" s="335"/>
      <c r="X17" s="355">
        <f t="shared" si="0"/>
        <v>29464.2</v>
      </c>
      <c r="Y17" s="140" t="s">
        <v>1415</v>
      </c>
    </row>
    <row r="18" spans="1:25" ht="15.75">
      <c r="A18" s="333">
        <f t="shared" si="1"/>
        <v>13</v>
      </c>
      <c r="B18" s="334" t="s">
        <v>667</v>
      </c>
      <c r="C18" s="330"/>
      <c r="D18" s="372" t="s">
        <v>1340</v>
      </c>
      <c r="E18" s="335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35"/>
      <c r="Q18" s="335"/>
      <c r="R18" s="335"/>
      <c r="S18" s="335"/>
      <c r="T18" s="335"/>
      <c r="U18" s="351"/>
      <c r="V18" s="335"/>
      <c r="W18" s="335">
        <v>97500</v>
      </c>
      <c r="X18" s="355">
        <f t="shared" si="0"/>
        <v>97500</v>
      </c>
      <c r="Y18" s="140" t="s">
        <v>1415</v>
      </c>
    </row>
    <row r="19" spans="1:25">
      <c r="A19" s="373" t="s">
        <v>594</v>
      </c>
      <c r="B19" s="374"/>
      <c r="C19" s="374"/>
      <c r="D19" s="374"/>
      <c r="E19" s="375">
        <f>SUM(E6:E18)</f>
        <v>0</v>
      </c>
      <c r="F19" s="375">
        <f t="shared" ref="F19:I19" si="2">SUM(F6:F18)</f>
        <v>0</v>
      </c>
      <c r="G19" s="375">
        <f t="shared" si="2"/>
        <v>0</v>
      </c>
      <c r="H19" s="375">
        <f t="shared" si="2"/>
        <v>0</v>
      </c>
      <c r="I19" s="375">
        <f t="shared" si="2"/>
        <v>0</v>
      </c>
      <c r="J19" s="375">
        <f>SUM(J6:J18)</f>
        <v>725845.05</v>
      </c>
      <c r="K19" s="375">
        <f t="shared" ref="K19:W19" si="3">SUM(K6:K18)</f>
        <v>0</v>
      </c>
      <c r="L19" s="375">
        <f t="shared" si="3"/>
        <v>0</v>
      </c>
      <c r="M19" s="375">
        <f t="shared" si="3"/>
        <v>0</v>
      </c>
      <c r="N19" s="375">
        <f t="shared" si="3"/>
        <v>9500</v>
      </c>
      <c r="O19" s="375">
        <f t="shared" si="3"/>
        <v>0</v>
      </c>
      <c r="P19" s="375">
        <f t="shared" si="3"/>
        <v>0</v>
      </c>
      <c r="Q19" s="375">
        <f t="shared" si="3"/>
        <v>40530</v>
      </c>
      <c r="R19" s="375">
        <f t="shared" si="3"/>
        <v>12660</v>
      </c>
      <c r="S19" s="375">
        <f t="shared" si="3"/>
        <v>0</v>
      </c>
      <c r="T19" s="375">
        <f t="shared" si="3"/>
        <v>0</v>
      </c>
      <c r="U19" s="375">
        <f t="shared" si="3"/>
        <v>0</v>
      </c>
      <c r="V19" s="375">
        <f t="shared" si="3"/>
        <v>29464.2</v>
      </c>
      <c r="W19" s="375">
        <f t="shared" si="3"/>
        <v>97500</v>
      </c>
      <c r="X19" s="356">
        <f>SUM(X6:X18)</f>
        <v>915499.25</v>
      </c>
    </row>
    <row r="22" spans="1:25" ht="21.75" customHeight="1"/>
  </sheetData>
  <sortState xmlns:xlrd2="http://schemas.microsoft.com/office/spreadsheetml/2017/richdata2" ref="A6:X18">
    <sortCondition ref="D6:D18"/>
  </sortState>
  <mergeCells count="3">
    <mergeCell ref="A1:X1"/>
    <mergeCell ref="A2:X2"/>
    <mergeCell ref="A3:X3"/>
  </mergeCells>
  <phoneticPr fontId="44" type="noConversion"/>
  <pageMargins left="0.70866141732283472" right="0.70866141732283472" top="0.74803149606299213" bottom="0.74803149606299213" header="0.31496062992125984" footer="0.31496062992125984"/>
  <pageSetup scale="39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69"/>
  <sheetViews>
    <sheetView zoomScale="53" zoomScaleNormal="53" workbookViewId="0">
      <selection activeCell="AD36" sqref="AD36"/>
    </sheetView>
  </sheetViews>
  <sheetFormatPr baseColWidth="10" defaultColWidth="11.42578125" defaultRowHeight="15"/>
  <cols>
    <col min="1" max="1" width="26.140625" bestFit="1" customWidth="1"/>
    <col min="2" max="2" width="54.85546875" customWidth="1"/>
    <col min="3" max="3" width="25" hidden="1" customWidth="1"/>
    <col min="4" max="4" width="23.85546875" hidden="1" customWidth="1"/>
    <col min="5" max="8" width="25" hidden="1" customWidth="1"/>
    <col min="9" max="9" width="24.42578125" hidden="1" customWidth="1"/>
    <col min="10" max="11" width="25" hidden="1" customWidth="1"/>
    <col min="12" max="13" width="24.42578125" hidden="1" customWidth="1"/>
    <col min="14" max="14" width="25" hidden="1" customWidth="1"/>
    <col min="15" max="15" width="24.42578125" hidden="1" customWidth="1"/>
    <col min="16" max="17" width="25.7109375" hidden="1" customWidth="1"/>
    <col min="18" max="18" width="25" hidden="1" customWidth="1"/>
    <col min="19" max="19" width="25.7109375" hidden="1" customWidth="1"/>
    <col min="20" max="21" width="25" hidden="1" customWidth="1"/>
    <col min="22" max="22" width="24.42578125" hidden="1" customWidth="1"/>
    <col min="23" max="23" width="25.7109375" hidden="1" customWidth="1"/>
    <col min="24" max="24" width="24.42578125" hidden="1" customWidth="1"/>
    <col min="25" max="25" width="25.7109375" hidden="1" customWidth="1"/>
    <col min="26" max="26" width="26.28515625" bestFit="1" customWidth="1"/>
    <col min="27" max="27" width="16" customWidth="1"/>
  </cols>
  <sheetData>
    <row r="1" spans="1:26">
      <c r="A1" s="259"/>
      <c r="J1" s="183"/>
      <c r="M1" s="183"/>
    </row>
    <row r="2" spans="1:26" ht="28.5">
      <c r="A2" s="494" t="s">
        <v>596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184"/>
      <c r="M2" s="183"/>
    </row>
    <row r="3" spans="1:26" ht="23.25">
      <c r="A3" s="495" t="s">
        <v>597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184"/>
      <c r="M3" s="183"/>
    </row>
    <row r="4" spans="1:26" ht="18.75">
      <c r="A4" s="496" t="s">
        <v>598</v>
      </c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184"/>
      <c r="M4" s="183"/>
    </row>
    <row r="5" spans="1:26">
      <c r="A5" s="259"/>
      <c r="E5" s="497" t="s">
        <v>599</v>
      </c>
      <c r="F5" s="388"/>
      <c r="J5" s="183"/>
      <c r="M5" s="183"/>
    </row>
    <row r="6" spans="1:26" ht="23.25">
      <c r="A6" s="185" t="s">
        <v>600</v>
      </c>
      <c r="B6" s="185" t="s">
        <v>657</v>
      </c>
      <c r="C6" s="185"/>
      <c r="D6" s="185"/>
      <c r="E6" s="185"/>
      <c r="F6" s="185"/>
      <c r="G6" s="185"/>
      <c r="H6" s="185"/>
      <c r="I6" s="185"/>
      <c r="J6" s="186"/>
      <c r="K6" s="187"/>
      <c r="L6" s="188"/>
      <c r="M6" s="189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1"/>
    </row>
    <row r="7" spans="1:26" ht="15.75" thickBot="1">
      <c r="A7" s="192"/>
      <c r="B7" s="193"/>
      <c r="C7" s="193"/>
      <c r="D7" s="193"/>
      <c r="E7" s="193"/>
      <c r="F7" s="193"/>
      <c r="G7" s="193"/>
      <c r="H7" s="193"/>
      <c r="I7" s="193"/>
      <c r="J7" s="194"/>
      <c r="K7" s="193"/>
      <c r="L7" s="193"/>
      <c r="M7" s="183"/>
    </row>
    <row r="8" spans="1:26" ht="18.75">
      <c r="A8" s="498" t="s">
        <v>574</v>
      </c>
      <c r="B8" s="499"/>
      <c r="C8" s="500" t="s">
        <v>601</v>
      </c>
      <c r="D8" s="501"/>
      <c r="E8" s="491" t="s">
        <v>602</v>
      </c>
      <c r="F8" s="491"/>
      <c r="G8" s="491" t="s">
        <v>603</v>
      </c>
      <c r="H8" s="491"/>
      <c r="I8" s="491" t="s">
        <v>604</v>
      </c>
      <c r="J8" s="491"/>
      <c r="K8" s="491" t="s">
        <v>605</v>
      </c>
      <c r="L8" s="491"/>
      <c r="M8" s="491" t="s">
        <v>606</v>
      </c>
      <c r="N8" s="491"/>
      <c r="O8" s="491" t="s">
        <v>607</v>
      </c>
      <c r="P8" s="491"/>
      <c r="Q8" s="491" t="s">
        <v>608</v>
      </c>
      <c r="R8" s="491"/>
      <c r="S8" s="491" t="s">
        <v>609</v>
      </c>
      <c r="T8" s="491"/>
      <c r="U8" s="491" t="s">
        <v>610</v>
      </c>
      <c r="V8" s="491"/>
      <c r="W8" s="491" t="s">
        <v>611</v>
      </c>
      <c r="X8" s="491"/>
      <c r="Y8" s="491" t="s">
        <v>612</v>
      </c>
      <c r="Z8" s="491"/>
    </row>
    <row r="9" spans="1:26" ht="18.75">
      <c r="A9" s="195"/>
      <c r="B9" s="195"/>
      <c r="C9" s="262" t="s">
        <v>613</v>
      </c>
      <c r="D9" s="262" t="s">
        <v>614</v>
      </c>
      <c r="E9" s="262" t="s">
        <v>613</v>
      </c>
      <c r="F9" s="262" t="s">
        <v>614</v>
      </c>
      <c r="G9" s="262" t="s">
        <v>613</v>
      </c>
      <c r="H9" s="262" t="s">
        <v>614</v>
      </c>
      <c r="I9" s="262" t="s">
        <v>613</v>
      </c>
      <c r="J9" s="196" t="s">
        <v>614</v>
      </c>
      <c r="K9" s="262" t="s">
        <v>613</v>
      </c>
      <c r="L9" s="262" t="s">
        <v>614</v>
      </c>
      <c r="M9" s="196" t="s">
        <v>613</v>
      </c>
      <c r="N9" s="262" t="s">
        <v>614</v>
      </c>
      <c r="O9" s="262" t="s">
        <v>613</v>
      </c>
      <c r="P9" s="262" t="s">
        <v>614</v>
      </c>
      <c r="Q9" s="262" t="s">
        <v>613</v>
      </c>
      <c r="R9" s="262" t="s">
        <v>614</v>
      </c>
      <c r="S9" s="262" t="s">
        <v>613</v>
      </c>
      <c r="T9" s="262" t="s">
        <v>614</v>
      </c>
      <c r="U9" s="262" t="s">
        <v>613</v>
      </c>
      <c r="V9" s="262" t="s">
        <v>614</v>
      </c>
      <c r="W9" s="262" t="s">
        <v>613</v>
      </c>
      <c r="X9" s="262" t="s">
        <v>614</v>
      </c>
      <c r="Y9" s="262" t="s">
        <v>613</v>
      </c>
      <c r="Z9" s="262" t="s">
        <v>614</v>
      </c>
    </row>
    <row r="10" spans="1:26" ht="18.75">
      <c r="A10" s="197">
        <v>1</v>
      </c>
      <c r="B10" s="198" t="s">
        <v>615</v>
      </c>
      <c r="C10" s="199">
        <v>4027257.33</v>
      </c>
      <c r="D10" s="199">
        <v>4833111.5</v>
      </c>
      <c r="E10" s="200">
        <v>4840265.29</v>
      </c>
      <c r="F10" s="200">
        <v>5841673.1500000004</v>
      </c>
      <c r="G10" s="200">
        <v>3159909.72</v>
      </c>
      <c r="H10" s="200">
        <v>4645181.3899999997</v>
      </c>
      <c r="I10" s="201">
        <v>1946482.71</v>
      </c>
      <c r="J10" s="200">
        <v>3053879.97</v>
      </c>
      <c r="K10" s="201">
        <v>3199661.24</v>
      </c>
      <c r="L10" s="200">
        <v>3249661.24</v>
      </c>
      <c r="M10" s="200">
        <v>5356651.46</v>
      </c>
      <c r="N10" s="200"/>
      <c r="O10" s="202">
        <v>4812753.51</v>
      </c>
      <c r="P10" s="202">
        <v>5346295.1399999997</v>
      </c>
      <c r="Q10" s="202">
        <v>7413343.7400000002</v>
      </c>
      <c r="R10" s="202">
        <v>4903253.51</v>
      </c>
      <c r="S10" s="202">
        <v>5095748.9000000004</v>
      </c>
      <c r="T10" s="202">
        <v>7386343.7400000002</v>
      </c>
      <c r="U10" s="201">
        <v>3962152.9</v>
      </c>
      <c r="V10" s="201">
        <v>2015276.3</v>
      </c>
      <c r="W10" s="201">
        <v>7112050.7999999998</v>
      </c>
      <c r="X10" s="201">
        <f>3879690.42+50000+50000+6000+500</f>
        <v>3986190.42</v>
      </c>
      <c r="Y10" s="201">
        <v>4779200.5999999996</v>
      </c>
      <c r="Z10" s="201">
        <f>7112058.44+50000+4779200.69</f>
        <v>11941259.130000001</v>
      </c>
    </row>
    <row r="11" spans="1:26" ht="18.75">
      <c r="A11" s="197">
        <v>2</v>
      </c>
      <c r="B11" s="198" t="s">
        <v>616</v>
      </c>
      <c r="C11" s="199">
        <v>1094583.75</v>
      </c>
      <c r="D11" s="199"/>
      <c r="E11" s="200">
        <v>2417181.13</v>
      </c>
      <c r="F11" s="200">
        <v>2152926.5099999998</v>
      </c>
      <c r="G11" s="200">
        <v>2645113.9</v>
      </c>
      <c r="H11" s="200">
        <v>1041144.31</v>
      </c>
      <c r="I11" s="201">
        <v>3267715.24</v>
      </c>
      <c r="J11" s="200">
        <v>2326714.9500000002</v>
      </c>
      <c r="K11" s="201">
        <v>2490193.7200000002</v>
      </c>
      <c r="L11" s="200">
        <v>2588374.06</v>
      </c>
      <c r="M11" s="200">
        <v>1240459.8799999999</v>
      </c>
      <c r="N11" s="200">
        <v>2927464.43</v>
      </c>
      <c r="O11" s="202">
        <v>2661675.0099999998</v>
      </c>
      <c r="P11" s="202">
        <v>2432528.0099999998</v>
      </c>
      <c r="Q11" s="202">
        <v>2570895.81</v>
      </c>
      <c r="R11" s="202">
        <v>1219321.3899999999</v>
      </c>
      <c r="S11" s="202">
        <v>2390951.16</v>
      </c>
      <c r="T11" s="202">
        <f>2528895.81+50000</f>
        <v>2578895.81</v>
      </c>
      <c r="U11" s="201">
        <v>2495962.56</v>
      </c>
      <c r="V11" s="201">
        <v>2521542.4300000002</v>
      </c>
      <c r="W11" s="201">
        <v>1571156.8</v>
      </c>
      <c r="X11" s="201">
        <v>2110440.7999999998</v>
      </c>
      <c r="Y11" s="201">
        <v>3150276.21</v>
      </c>
      <c r="Z11" s="201">
        <v>2428734</v>
      </c>
    </row>
    <row r="12" spans="1:26" ht="18.75">
      <c r="A12" s="197">
        <v>3</v>
      </c>
      <c r="B12" s="198" t="s">
        <v>617</v>
      </c>
      <c r="C12" s="199">
        <v>0</v>
      </c>
      <c r="D12" s="199">
        <v>0</v>
      </c>
      <c r="E12" s="200">
        <v>10985.64</v>
      </c>
      <c r="F12" s="200"/>
      <c r="G12" s="200">
        <v>0</v>
      </c>
      <c r="H12" s="200"/>
      <c r="I12" s="200"/>
      <c r="J12" s="200"/>
      <c r="K12" s="201">
        <v>2134.86</v>
      </c>
      <c r="L12" s="200">
        <v>13000</v>
      </c>
      <c r="M12" s="200">
        <v>30812.76</v>
      </c>
      <c r="N12" s="200"/>
      <c r="O12" s="202">
        <v>21145.63</v>
      </c>
      <c r="P12" s="202"/>
      <c r="Q12" s="202">
        <v>30463.1</v>
      </c>
      <c r="R12" s="202">
        <v>30468.55</v>
      </c>
      <c r="S12" s="202">
        <v>18188.8</v>
      </c>
      <c r="T12" s="202"/>
      <c r="U12" s="201">
        <v>13049.24</v>
      </c>
      <c r="V12" s="201"/>
      <c r="W12" s="201">
        <v>16090.03</v>
      </c>
      <c r="X12" s="201">
        <v>18188.8</v>
      </c>
      <c r="Y12" s="201">
        <v>25944.62</v>
      </c>
      <c r="Z12" s="201">
        <v>12327.47</v>
      </c>
    </row>
    <row r="13" spans="1:26" ht="18.75">
      <c r="A13" s="197">
        <v>4</v>
      </c>
      <c r="B13" s="198" t="s">
        <v>678</v>
      </c>
      <c r="C13" s="199"/>
      <c r="D13" s="199"/>
      <c r="E13" s="200"/>
      <c r="F13" s="200"/>
      <c r="G13" s="200"/>
      <c r="H13" s="200"/>
      <c r="I13" s="200"/>
      <c r="J13" s="200"/>
      <c r="K13" s="201"/>
      <c r="L13" s="200"/>
      <c r="M13" s="200">
        <v>2580</v>
      </c>
      <c r="N13" s="200"/>
      <c r="O13" s="202"/>
      <c r="P13" s="202"/>
      <c r="Q13" s="202"/>
      <c r="R13" s="202">
        <v>2580</v>
      </c>
      <c r="S13" s="202"/>
      <c r="T13" s="202"/>
      <c r="U13" s="201"/>
      <c r="V13" s="201"/>
      <c r="W13" s="201"/>
      <c r="X13" s="201"/>
      <c r="Y13" s="201">
        <v>356</v>
      </c>
      <c r="Z13" s="201"/>
    </row>
    <row r="14" spans="1:26" ht="18.75">
      <c r="A14" s="492" t="s">
        <v>618</v>
      </c>
      <c r="B14" s="492"/>
      <c r="C14" s="203">
        <v>5121841.08</v>
      </c>
      <c r="D14" s="203">
        <v>4833111.5</v>
      </c>
      <c r="E14" s="204">
        <v>7268432.0599999996</v>
      </c>
      <c r="F14" s="204">
        <v>7994599.6600000001</v>
      </c>
      <c r="G14" s="204">
        <v>5805023.6200000001</v>
      </c>
      <c r="H14" s="204">
        <v>5686325.6999999993</v>
      </c>
      <c r="I14" s="204">
        <v>5214197.95</v>
      </c>
      <c r="J14" s="205">
        <v>5380594.9199999999</v>
      </c>
      <c r="K14" s="206">
        <v>5691989.8200000012</v>
      </c>
      <c r="L14" s="204">
        <v>5851035.3000000007</v>
      </c>
      <c r="M14" s="205">
        <v>6630504.0999999996</v>
      </c>
      <c r="N14" s="204">
        <v>2927464.43</v>
      </c>
      <c r="O14" s="266">
        <v>7495574.1499999994</v>
      </c>
      <c r="P14" s="206">
        <v>7778823.1499999994</v>
      </c>
      <c r="Q14" s="206">
        <v>10014702.65</v>
      </c>
      <c r="R14" s="206">
        <v>6153043.4499999993</v>
      </c>
      <c r="S14" s="206">
        <f>SUM(S10:S13)</f>
        <v>7504888.8600000003</v>
      </c>
      <c r="T14" s="206">
        <f t="shared" ref="T14:Z14" si="0">SUM(T10:T13)</f>
        <v>9965239.5500000007</v>
      </c>
      <c r="U14" s="206">
        <f t="shared" si="0"/>
        <v>6471164.7000000002</v>
      </c>
      <c r="V14" s="206">
        <f t="shared" si="0"/>
        <v>4536818.7300000004</v>
      </c>
      <c r="W14" s="206">
        <f>SUM(W10:W13)</f>
        <v>8699297.629999999</v>
      </c>
      <c r="X14" s="206">
        <f t="shared" si="0"/>
        <v>6114820.0199999996</v>
      </c>
      <c r="Y14" s="206">
        <f t="shared" si="0"/>
        <v>7955777.4299999997</v>
      </c>
      <c r="Z14" s="206">
        <f t="shared" si="0"/>
        <v>14382320.600000001</v>
      </c>
    </row>
    <row r="15" spans="1:26" ht="18.75">
      <c r="A15" s="197">
        <v>5</v>
      </c>
      <c r="B15" s="198" t="s">
        <v>619</v>
      </c>
      <c r="C15" s="199">
        <v>211714.57</v>
      </c>
      <c r="D15" s="207">
        <v>206908.45</v>
      </c>
      <c r="E15" s="200">
        <v>389860</v>
      </c>
      <c r="F15" s="200"/>
      <c r="G15" s="200">
        <v>189915.47999999998</v>
      </c>
      <c r="H15" s="200">
        <v>606511.88</v>
      </c>
      <c r="I15" s="201">
        <v>448858.04</v>
      </c>
      <c r="J15" s="200">
        <v>187591.59999999998</v>
      </c>
      <c r="K15" s="201">
        <v>173257.12</v>
      </c>
      <c r="L15" s="200">
        <v>442756.63</v>
      </c>
      <c r="M15" s="200">
        <v>274846.74</v>
      </c>
      <c r="N15" s="208"/>
      <c r="O15" s="201">
        <v>265950.63</v>
      </c>
      <c r="P15" s="201">
        <v>441505.67000000004</v>
      </c>
      <c r="Q15" s="201">
        <v>142766.48000000001</v>
      </c>
      <c r="R15" s="201">
        <v>130717.94</v>
      </c>
      <c r="S15" s="201">
        <f>80190.4+6545.23+196009.12</f>
        <v>282744.75</v>
      </c>
      <c r="T15" s="201">
        <f>87151.82+48471.2+133968.58+5754</f>
        <v>275345.59999999998</v>
      </c>
      <c r="U15" s="201">
        <f>67416+3960.5+295194.04</f>
        <v>366570.54</v>
      </c>
      <c r="V15" s="201"/>
      <c r="W15" s="201">
        <f>87744.4+14022.84+407190.87</f>
        <v>508958.11</v>
      </c>
      <c r="X15" s="201">
        <f>6044.93+67416+3248.15+80190.4+156815.27+293688.85+38223.05</f>
        <v>645626.65</v>
      </c>
      <c r="Y15" s="201">
        <f>54552.8+23838.99+183797.18</f>
        <v>262188.96999999997</v>
      </c>
      <c r="Z15" s="201"/>
    </row>
    <row r="16" spans="1:26" ht="18.75">
      <c r="A16" s="197">
        <v>6</v>
      </c>
      <c r="B16" s="198" t="s">
        <v>620</v>
      </c>
      <c r="C16" s="199"/>
      <c r="D16" s="199"/>
      <c r="E16" s="200"/>
      <c r="F16" s="200"/>
      <c r="G16" s="200"/>
      <c r="H16" s="200"/>
      <c r="I16" s="201"/>
      <c r="J16" s="200"/>
      <c r="K16" s="201"/>
      <c r="L16" s="208"/>
      <c r="M16" s="200"/>
      <c r="N16" s="200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</row>
    <row r="17" spans="1:26" ht="18.75">
      <c r="A17" s="197">
        <v>7</v>
      </c>
      <c r="B17" s="198" t="s">
        <v>621</v>
      </c>
      <c r="C17" s="199">
        <v>275352.44</v>
      </c>
      <c r="D17" s="199">
        <v>156983.54999999999</v>
      </c>
      <c r="E17" s="200">
        <v>222716.34</v>
      </c>
      <c r="F17" s="200">
        <v>272552.44</v>
      </c>
      <c r="G17" s="200">
        <v>73918.679999999993</v>
      </c>
      <c r="H17" s="200">
        <v>222620.34</v>
      </c>
      <c r="I17" s="201"/>
      <c r="J17" s="200">
        <v>73057.08</v>
      </c>
      <c r="K17" s="200"/>
      <c r="L17" s="200"/>
      <c r="M17" s="200">
        <v>443337.56</v>
      </c>
      <c r="N17" s="200"/>
      <c r="O17" s="200"/>
      <c r="P17" s="200">
        <v>417359.58</v>
      </c>
      <c r="Q17" s="200">
        <v>378719.69</v>
      </c>
      <c r="R17" s="200"/>
      <c r="S17" s="200">
        <v>356377.87</v>
      </c>
      <c r="T17" s="200">
        <v>372910.21</v>
      </c>
      <c r="U17" s="200"/>
      <c r="V17" s="200"/>
      <c r="W17" s="200">
        <v>628535.91</v>
      </c>
      <c r="X17" s="200"/>
      <c r="Y17" s="200">
        <v>316578.46999999997</v>
      </c>
      <c r="Z17" s="200">
        <v>614627.81000000006</v>
      </c>
    </row>
    <row r="18" spans="1:26" ht="18.75">
      <c r="A18" s="197">
        <v>8</v>
      </c>
      <c r="B18" s="198" t="s">
        <v>586</v>
      </c>
      <c r="C18" s="199">
        <v>7848.94</v>
      </c>
      <c r="D18" s="199">
        <v>55135.74</v>
      </c>
      <c r="E18" s="200">
        <v>14338.35</v>
      </c>
      <c r="F18" s="200">
        <v>7848.94</v>
      </c>
      <c r="G18" s="200">
        <v>162551.53</v>
      </c>
      <c r="H18" s="200">
        <v>14338.35</v>
      </c>
      <c r="I18" s="201">
        <v>37897.65</v>
      </c>
      <c r="J18" s="200">
        <v>19489.759999999998</v>
      </c>
      <c r="K18" s="200">
        <v>45390.42</v>
      </c>
      <c r="L18" s="200">
        <v>155606.87</v>
      </c>
      <c r="M18" s="200">
        <v>166835.63</v>
      </c>
      <c r="N18" s="200">
        <v>79214.03</v>
      </c>
      <c r="O18" s="200">
        <v>19360.439999999999</v>
      </c>
      <c r="P18" s="200">
        <v>86993.18</v>
      </c>
      <c r="Q18" s="200">
        <v>13119.97</v>
      </c>
      <c r="R18" s="200">
        <v>77589.09</v>
      </c>
      <c r="S18" s="200">
        <v>66096.600000000006</v>
      </c>
      <c r="T18" s="200">
        <v>19188.28</v>
      </c>
      <c r="U18" s="201">
        <v>19865.349999999999</v>
      </c>
      <c r="V18" s="201"/>
      <c r="W18" s="201">
        <v>50524.35</v>
      </c>
      <c r="X18" s="201"/>
      <c r="Y18" s="201">
        <v>38374.29</v>
      </c>
      <c r="Z18" s="201">
        <v>50524.35</v>
      </c>
    </row>
    <row r="19" spans="1:26" ht="18.75">
      <c r="A19" s="197">
        <v>9</v>
      </c>
      <c r="B19" s="198" t="s">
        <v>587</v>
      </c>
      <c r="C19" s="199"/>
      <c r="D19" s="199"/>
      <c r="E19" s="200"/>
      <c r="F19" s="200"/>
      <c r="G19" s="200"/>
      <c r="H19" s="200"/>
      <c r="I19" s="201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1"/>
      <c r="V19" s="201"/>
      <c r="W19" s="209"/>
      <c r="X19" s="209"/>
      <c r="Y19" s="201"/>
      <c r="Z19" s="201"/>
    </row>
    <row r="20" spans="1:26" ht="18.75">
      <c r="A20" s="197">
        <v>10</v>
      </c>
      <c r="B20" s="198" t="s">
        <v>622</v>
      </c>
      <c r="C20" s="199">
        <v>44770.98</v>
      </c>
      <c r="D20" s="199"/>
      <c r="E20" s="200">
        <v>16720.82</v>
      </c>
      <c r="F20" s="200">
        <v>97648.3</v>
      </c>
      <c r="G20" s="200">
        <v>83376.61</v>
      </c>
      <c r="H20" s="200">
        <v>34117.68</v>
      </c>
      <c r="I20" s="201">
        <v>77617.279999999999</v>
      </c>
      <c r="J20" s="200">
        <v>97704.2</v>
      </c>
      <c r="K20" s="200">
        <v>29761.8</v>
      </c>
      <c r="L20" s="200"/>
      <c r="M20" s="200">
        <v>50732.77</v>
      </c>
      <c r="N20" s="200">
        <v>102719.16</v>
      </c>
      <c r="O20" s="200">
        <v>38168.82</v>
      </c>
      <c r="P20" s="200">
        <v>48385.69</v>
      </c>
      <c r="Q20" s="200">
        <v>45135.37</v>
      </c>
      <c r="R20" s="200">
        <v>38168.82</v>
      </c>
      <c r="S20" s="200">
        <v>37253.629999999997</v>
      </c>
      <c r="T20" s="200"/>
      <c r="U20" s="201">
        <v>87793.49</v>
      </c>
      <c r="V20" s="201">
        <v>31403.87</v>
      </c>
      <c r="W20" s="201">
        <v>60465.440000000002</v>
      </c>
      <c r="X20" s="201"/>
      <c r="Y20" s="201">
        <v>109227.2</v>
      </c>
      <c r="Z20" s="201"/>
    </row>
    <row r="21" spans="1:26" ht="18.75">
      <c r="A21" s="197">
        <v>11</v>
      </c>
      <c r="B21" s="198" t="s">
        <v>623</v>
      </c>
      <c r="C21" s="199"/>
      <c r="D21" s="199"/>
      <c r="E21" s="200"/>
      <c r="F21" s="200"/>
      <c r="G21" s="200"/>
      <c r="H21" s="200"/>
      <c r="I21" s="201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1"/>
      <c r="V21" s="201"/>
      <c r="W21" s="201"/>
      <c r="X21" s="201"/>
      <c r="Y21" s="201"/>
      <c r="Z21" s="201"/>
    </row>
    <row r="22" spans="1:26" ht="18.75">
      <c r="A22" s="197">
        <v>12</v>
      </c>
      <c r="B22" s="198" t="s">
        <v>624</v>
      </c>
      <c r="C22" s="199">
        <v>7193.05</v>
      </c>
      <c r="D22" s="199">
        <v>15993.02</v>
      </c>
      <c r="E22" s="200">
        <v>28868.13</v>
      </c>
      <c r="F22" s="200">
        <v>9531.6</v>
      </c>
      <c r="G22" s="200">
        <v>10657.5</v>
      </c>
      <c r="H22" s="200">
        <v>77169.399999999994</v>
      </c>
      <c r="I22" s="201">
        <v>27941.11</v>
      </c>
      <c r="J22" s="200">
        <v>35261.18</v>
      </c>
      <c r="K22" s="200">
        <v>99169.27</v>
      </c>
      <c r="L22" s="200"/>
      <c r="M22" s="200">
        <v>36644.9</v>
      </c>
      <c r="N22" s="200">
        <v>8860.1</v>
      </c>
      <c r="O22" s="200">
        <v>19740.54</v>
      </c>
      <c r="P22" s="200"/>
      <c r="Q22" s="200">
        <v>13301.87</v>
      </c>
      <c r="R22" s="200">
        <v>26210.35</v>
      </c>
      <c r="S22" s="200">
        <v>72979.17</v>
      </c>
      <c r="T22" s="200">
        <v>36338.959999999999</v>
      </c>
      <c r="U22" s="201">
        <v>21293.38</v>
      </c>
      <c r="V22" s="201">
        <v>18494.98</v>
      </c>
      <c r="W22" s="201">
        <v>57553.05</v>
      </c>
      <c r="X22" s="201"/>
      <c r="Y22" s="201">
        <v>118475.85</v>
      </c>
      <c r="Z22" s="201">
        <v>72817.89</v>
      </c>
    </row>
    <row r="23" spans="1:26" ht="18.75">
      <c r="A23" s="197">
        <v>13</v>
      </c>
      <c r="B23" s="198" t="s">
        <v>589</v>
      </c>
      <c r="C23" s="199">
        <v>269639.73</v>
      </c>
      <c r="D23" s="199">
        <v>234503.89</v>
      </c>
      <c r="E23" s="200">
        <v>617068.65</v>
      </c>
      <c r="F23" s="200"/>
      <c r="G23" s="200">
        <v>366095.18</v>
      </c>
      <c r="H23" s="200">
        <v>356314.76</v>
      </c>
      <c r="I23" s="201">
        <v>395799.78</v>
      </c>
      <c r="J23" s="200">
        <v>388735.9</v>
      </c>
      <c r="K23" s="200">
        <v>525599.56000000006</v>
      </c>
      <c r="L23" s="200">
        <v>493974.92</v>
      </c>
      <c r="M23" s="200">
        <v>236054.2</v>
      </c>
      <c r="N23" s="200">
        <v>213364.69</v>
      </c>
      <c r="O23" s="200">
        <v>651828.66</v>
      </c>
      <c r="P23" s="200">
        <v>649331.98</v>
      </c>
      <c r="Q23" s="200">
        <v>389838.41</v>
      </c>
      <c r="R23" s="200"/>
      <c r="S23" s="200">
        <v>1040980.33</v>
      </c>
      <c r="T23" s="200">
        <v>1062055.58</v>
      </c>
      <c r="U23" s="201">
        <v>1209329.18</v>
      </c>
      <c r="V23" s="201">
        <v>1183974.47</v>
      </c>
      <c r="W23" s="201">
        <v>807581.85</v>
      </c>
      <c r="X23" s="201">
        <v>802889.48</v>
      </c>
      <c r="Y23" s="201">
        <v>643957.38</v>
      </c>
      <c r="Z23" s="201">
        <v>638359.93000000005</v>
      </c>
    </row>
    <row r="24" spans="1:26" ht="18.75">
      <c r="A24" s="197">
        <v>14</v>
      </c>
      <c r="B24" s="198" t="s">
        <v>583</v>
      </c>
      <c r="C24" s="199">
        <v>69588.33</v>
      </c>
      <c r="D24" s="199"/>
      <c r="E24" s="200">
        <v>122630.62</v>
      </c>
      <c r="F24" s="200">
        <v>8262.07</v>
      </c>
      <c r="G24" s="200">
        <v>43770.8</v>
      </c>
      <c r="H24" s="200">
        <v>212345.21</v>
      </c>
      <c r="I24" s="201">
        <v>55860.67</v>
      </c>
      <c r="J24" s="200"/>
      <c r="K24" s="200">
        <v>109234.31</v>
      </c>
      <c r="L24" s="200"/>
      <c r="M24" s="200">
        <v>229878</v>
      </c>
      <c r="N24" s="200"/>
      <c r="O24" s="200">
        <v>216887.67</v>
      </c>
      <c r="P24" s="200"/>
      <c r="Q24" s="200">
        <v>178852.56</v>
      </c>
      <c r="R24" s="200"/>
      <c r="S24" s="200">
        <v>246860.42</v>
      </c>
      <c r="T24" s="200">
        <v>201903.47</v>
      </c>
      <c r="U24" s="201">
        <v>148382.76</v>
      </c>
      <c r="V24" s="201">
        <f>642600.65+329212.9</f>
        <v>971813.55</v>
      </c>
      <c r="W24" s="201">
        <v>329823.23</v>
      </c>
      <c r="X24" s="201"/>
      <c r="Y24" s="201">
        <v>180474.32</v>
      </c>
      <c r="Z24" s="201">
        <v>344739.12</v>
      </c>
    </row>
    <row r="25" spans="1:26" ht="18.75">
      <c r="A25" s="197">
        <v>15</v>
      </c>
      <c r="B25" s="198" t="s">
        <v>582</v>
      </c>
      <c r="C25" s="199"/>
      <c r="D25" s="199"/>
      <c r="E25" s="200"/>
      <c r="F25" s="200"/>
      <c r="G25" s="200"/>
      <c r="H25" s="200"/>
      <c r="I25" s="201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1"/>
      <c r="V25" s="201"/>
      <c r="W25" s="201"/>
      <c r="X25" s="201"/>
      <c r="Y25" s="201"/>
      <c r="Z25" s="201"/>
    </row>
    <row r="26" spans="1:26" ht="18.75">
      <c r="A26" s="197">
        <v>16</v>
      </c>
      <c r="B26" s="198" t="s">
        <v>625</v>
      </c>
      <c r="C26" s="199"/>
      <c r="D26" s="199"/>
      <c r="E26" s="200"/>
      <c r="F26" s="200"/>
      <c r="G26" s="200"/>
      <c r="H26" s="200"/>
      <c r="I26" s="201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1"/>
      <c r="V26" s="201"/>
      <c r="W26" s="201"/>
      <c r="X26" s="201"/>
      <c r="Y26" s="201"/>
      <c r="Z26" s="201"/>
    </row>
    <row r="27" spans="1:26" ht="18.75">
      <c r="A27" s="197">
        <v>17</v>
      </c>
      <c r="B27" s="198" t="s">
        <v>626</v>
      </c>
      <c r="C27" s="199">
        <v>1396</v>
      </c>
      <c r="D27" s="199"/>
      <c r="E27" s="200">
        <v>20821.36</v>
      </c>
      <c r="F27" s="200">
        <v>31949.94</v>
      </c>
      <c r="G27" s="200">
        <v>80842.17</v>
      </c>
      <c r="H27" s="200">
        <v>1396</v>
      </c>
      <c r="I27" s="201">
        <v>32922.74</v>
      </c>
      <c r="J27" s="200"/>
      <c r="K27" s="200">
        <v>3500</v>
      </c>
      <c r="L27" s="200">
        <v>32863.839999999997</v>
      </c>
      <c r="M27" s="200">
        <v>41032.92</v>
      </c>
      <c r="N27" s="200"/>
      <c r="O27" s="200">
        <v>11961.97</v>
      </c>
      <c r="P27" s="200"/>
      <c r="Q27" s="200">
        <v>12148</v>
      </c>
      <c r="R27" s="200">
        <v>12030.35</v>
      </c>
      <c r="S27" s="200">
        <v>22455.91</v>
      </c>
      <c r="T27" s="200"/>
      <c r="U27" s="201">
        <v>37260.879999999997</v>
      </c>
      <c r="V27" s="201">
        <v>7000</v>
      </c>
      <c r="W27" s="201">
        <v>5000</v>
      </c>
      <c r="X27" s="201">
        <v>37260.480000000003</v>
      </c>
      <c r="Y27" s="201">
        <v>6517.58</v>
      </c>
      <c r="Z27" s="201">
        <v>5000</v>
      </c>
    </row>
    <row r="28" spans="1:26" ht="18.75">
      <c r="A28" s="197">
        <v>18</v>
      </c>
      <c r="B28" s="198" t="s">
        <v>627</v>
      </c>
      <c r="C28" s="199">
        <v>4869.5200000000004</v>
      </c>
      <c r="D28" s="199">
        <v>6475.14</v>
      </c>
      <c r="E28" s="200">
        <v>102975.46</v>
      </c>
      <c r="F28" s="200">
        <v>4869.5200000000004</v>
      </c>
      <c r="G28" s="200">
        <v>6619.63</v>
      </c>
      <c r="H28" s="200">
        <v>102672.34</v>
      </c>
      <c r="I28" s="201">
        <v>12257.4</v>
      </c>
      <c r="J28" s="200">
        <v>6619.63</v>
      </c>
      <c r="K28" s="200">
        <v>111906.17</v>
      </c>
      <c r="L28" s="200">
        <v>12182.4</v>
      </c>
      <c r="M28" s="200">
        <v>7768.47</v>
      </c>
      <c r="N28" s="200"/>
      <c r="O28" s="200">
        <v>11676.13</v>
      </c>
      <c r="P28" s="200">
        <v>118687.31</v>
      </c>
      <c r="Q28" s="200">
        <v>28902.560000000001</v>
      </c>
      <c r="R28" s="200">
        <v>7768.46</v>
      </c>
      <c r="S28" s="200">
        <v>7856.59</v>
      </c>
      <c r="T28" s="200">
        <v>28902.560000000001</v>
      </c>
      <c r="U28" s="201">
        <v>22304.52</v>
      </c>
      <c r="V28" s="201">
        <f>7586.59+9610.03</f>
        <v>17196.620000000003</v>
      </c>
      <c r="W28" s="201">
        <v>84258.25</v>
      </c>
      <c r="X28" s="201"/>
      <c r="Y28" s="201">
        <v>122144.65</v>
      </c>
      <c r="Z28" s="201">
        <v>96788.04</v>
      </c>
    </row>
    <row r="29" spans="1:26" ht="18.75">
      <c r="A29" s="197">
        <v>19</v>
      </c>
      <c r="B29" s="198" t="s">
        <v>585</v>
      </c>
      <c r="C29" s="199">
        <v>76159.34</v>
      </c>
      <c r="D29" s="199"/>
      <c r="E29" s="200">
        <v>186957.88</v>
      </c>
      <c r="F29" s="200"/>
      <c r="G29" s="200">
        <v>136798.59</v>
      </c>
      <c r="H29" s="200"/>
      <c r="I29" s="201">
        <v>83229.31</v>
      </c>
      <c r="J29" s="200"/>
      <c r="K29" s="200">
        <v>9976.34</v>
      </c>
      <c r="L29" s="200"/>
      <c r="M29" s="200">
        <v>108970.25</v>
      </c>
      <c r="N29" s="200"/>
      <c r="O29" s="200">
        <v>49885.59</v>
      </c>
      <c r="P29" s="200">
        <v>444038.71</v>
      </c>
      <c r="Q29" s="200">
        <v>26648.23</v>
      </c>
      <c r="R29" s="200"/>
      <c r="S29" s="200">
        <v>12927.61</v>
      </c>
      <c r="T29" s="200"/>
      <c r="U29" s="201">
        <v>71868.649999999994</v>
      </c>
      <c r="V29" s="201"/>
      <c r="W29" s="201">
        <v>125975.2</v>
      </c>
      <c r="X29" s="201">
        <v>22069.48</v>
      </c>
      <c r="Y29" s="201">
        <v>13740.2</v>
      </c>
      <c r="Z29" s="201"/>
    </row>
    <row r="30" spans="1:26" ht="18.75">
      <c r="A30" s="197">
        <v>20</v>
      </c>
      <c r="B30" s="198" t="s">
        <v>588</v>
      </c>
      <c r="C30" s="199">
        <v>75131.09</v>
      </c>
      <c r="D30" s="199">
        <v>71992.2</v>
      </c>
      <c r="E30" s="200">
        <v>146560.32000000001</v>
      </c>
      <c r="F30" s="200"/>
      <c r="G30" s="200">
        <v>85258.31</v>
      </c>
      <c r="H30" s="200">
        <v>237322.18</v>
      </c>
      <c r="I30" s="201">
        <v>119188.62</v>
      </c>
      <c r="J30" s="200">
        <v>146560.32000000001</v>
      </c>
      <c r="K30" s="200">
        <v>58287.88</v>
      </c>
      <c r="L30" s="200">
        <v>84594.85</v>
      </c>
      <c r="M30" s="200">
        <v>97214.78</v>
      </c>
      <c r="N30" s="200"/>
      <c r="O30" s="200">
        <v>108900.79</v>
      </c>
      <c r="P30" s="200">
        <v>125937.38</v>
      </c>
      <c r="Q30" s="200">
        <v>40745.74</v>
      </c>
      <c r="R30" s="200"/>
      <c r="S30" s="200">
        <v>105146.53</v>
      </c>
      <c r="T30" s="200"/>
      <c r="U30" s="201">
        <v>55818.18</v>
      </c>
      <c r="V30" s="201">
        <v>40245.74</v>
      </c>
      <c r="W30" s="201">
        <v>106828.8</v>
      </c>
      <c r="X30" s="201"/>
      <c r="Y30" s="201">
        <v>58632.55</v>
      </c>
      <c r="Z30" s="201">
        <v>159684.71</v>
      </c>
    </row>
    <row r="31" spans="1:26" ht="18.75">
      <c r="A31" s="197">
        <v>21</v>
      </c>
      <c r="B31" s="198" t="s">
        <v>628</v>
      </c>
      <c r="C31" s="199">
        <v>273646.7</v>
      </c>
      <c r="D31" s="199">
        <v>273646.7</v>
      </c>
      <c r="E31" s="200">
        <v>41285.9</v>
      </c>
      <c r="F31" s="200">
        <v>41071.9</v>
      </c>
      <c r="G31" s="200">
        <v>22435.77</v>
      </c>
      <c r="H31" s="200">
        <v>11220.43</v>
      </c>
      <c r="I31" s="201">
        <v>61608.05</v>
      </c>
      <c r="J31" s="200">
        <v>22435.77</v>
      </c>
      <c r="K31" s="200">
        <v>31245</v>
      </c>
      <c r="L31" s="200">
        <v>61607.99</v>
      </c>
      <c r="M31" s="200">
        <v>237194.17</v>
      </c>
      <c r="N31" s="200">
        <v>31240</v>
      </c>
      <c r="O31" s="200">
        <v>63128.33</v>
      </c>
      <c r="P31" s="200">
        <v>300322.5</v>
      </c>
      <c r="Q31" s="200">
        <v>88200.19</v>
      </c>
      <c r="R31" s="200"/>
      <c r="S31" s="200">
        <v>282288.73</v>
      </c>
      <c r="T31" s="200">
        <v>88060.19</v>
      </c>
      <c r="U31" s="201">
        <v>61039.21</v>
      </c>
      <c r="V31" s="201">
        <v>281564.03000000003</v>
      </c>
      <c r="W31" s="201">
        <v>148817.44</v>
      </c>
      <c r="X31" s="201">
        <v>61001.21</v>
      </c>
      <c r="Y31" s="201">
        <v>143097.20000000001</v>
      </c>
      <c r="Z31" s="201"/>
    </row>
    <row r="32" spans="1:26" ht="18.75">
      <c r="A32" s="197">
        <v>22</v>
      </c>
      <c r="B32" s="198" t="s">
        <v>629</v>
      </c>
      <c r="C32" s="199">
        <v>48081.02</v>
      </c>
      <c r="D32" s="199">
        <v>48081.02</v>
      </c>
      <c r="E32" s="200">
        <v>217047.26</v>
      </c>
      <c r="F32" s="200"/>
      <c r="G32" s="200">
        <v>79962.77</v>
      </c>
      <c r="H32" s="200"/>
      <c r="I32" s="201">
        <v>61346.15</v>
      </c>
      <c r="J32" s="200"/>
      <c r="K32" s="200">
        <v>57351.74</v>
      </c>
      <c r="L32" s="200">
        <v>79987.570000000007</v>
      </c>
      <c r="M32" s="200">
        <v>10000</v>
      </c>
      <c r="N32" s="200"/>
      <c r="O32" s="200">
        <v>18399.990000000002</v>
      </c>
      <c r="P32" s="200">
        <v>36534.850000000006</v>
      </c>
      <c r="Q32" s="200">
        <v>38168.699999999997</v>
      </c>
      <c r="R32" s="200">
        <v>38168.699999999997</v>
      </c>
      <c r="S32" s="200">
        <v>165161.13</v>
      </c>
      <c r="T32" s="200"/>
      <c r="U32" s="201">
        <v>8284.7199999999993</v>
      </c>
      <c r="V32" s="201">
        <v>8284.7199999999993</v>
      </c>
      <c r="W32" s="202">
        <v>71332.28</v>
      </c>
      <c r="X32" s="202"/>
      <c r="Y32" s="201">
        <v>46460.75</v>
      </c>
      <c r="Z32" s="201"/>
    </row>
    <row r="33" spans="1:26" ht="18.75">
      <c r="A33" s="197">
        <v>23</v>
      </c>
      <c r="B33" s="198" t="s">
        <v>584</v>
      </c>
      <c r="C33" s="199">
        <v>28637.51</v>
      </c>
      <c r="D33" s="199"/>
      <c r="E33" s="200">
        <v>92478.63</v>
      </c>
      <c r="F33" s="200"/>
      <c r="G33" s="200">
        <v>2821.24</v>
      </c>
      <c r="H33" s="200"/>
      <c r="I33" s="201">
        <v>1604</v>
      </c>
      <c r="J33" s="200"/>
      <c r="K33" s="200">
        <v>3360</v>
      </c>
      <c r="L33" s="200"/>
      <c r="M33" s="200">
        <v>3319.22</v>
      </c>
      <c r="N33" s="200"/>
      <c r="O33" s="200">
        <v>4368.41</v>
      </c>
      <c r="P33" s="200">
        <v>181158.69</v>
      </c>
      <c r="Q33" s="200">
        <v>54351.55</v>
      </c>
      <c r="R33" s="200"/>
      <c r="S33" s="200">
        <v>2500</v>
      </c>
      <c r="T33" s="200">
        <v>11667.45</v>
      </c>
      <c r="U33" s="201">
        <v>2544.7199999999998</v>
      </c>
      <c r="V33" s="201"/>
      <c r="W33" s="202">
        <v>6279.36</v>
      </c>
      <c r="X33" s="202"/>
      <c r="Y33" s="201">
        <v>1500</v>
      </c>
      <c r="Z33" s="201"/>
    </row>
    <row r="34" spans="1:26" ht="18.75">
      <c r="A34" s="197">
        <v>24</v>
      </c>
      <c r="B34" s="198" t="s">
        <v>630</v>
      </c>
      <c r="C34" s="199"/>
      <c r="D34" s="199"/>
      <c r="E34" s="200"/>
      <c r="F34" s="200"/>
      <c r="G34" s="200"/>
      <c r="H34" s="200"/>
      <c r="I34" s="201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1"/>
      <c r="V34" s="201"/>
      <c r="W34" s="210"/>
      <c r="X34" s="210"/>
      <c r="Y34" s="201"/>
      <c r="Z34" s="201"/>
    </row>
    <row r="35" spans="1:26" ht="18.75">
      <c r="A35" s="197">
        <v>25</v>
      </c>
      <c r="B35" s="198" t="s">
        <v>631</v>
      </c>
      <c r="C35" s="199"/>
      <c r="D35" s="199"/>
      <c r="E35" s="200"/>
      <c r="F35" s="200"/>
      <c r="G35" s="200"/>
      <c r="H35" s="200"/>
      <c r="I35" s="201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1"/>
      <c r="V35" s="201"/>
      <c r="W35" s="210"/>
      <c r="X35" s="210"/>
      <c r="Y35" s="201"/>
      <c r="Z35" s="201"/>
    </row>
    <row r="36" spans="1:26" ht="18.75">
      <c r="A36" s="197">
        <v>26</v>
      </c>
      <c r="B36" s="198" t="s">
        <v>632</v>
      </c>
      <c r="C36" s="199">
        <v>259154.57</v>
      </c>
      <c r="D36" s="199"/>
      <c r="E36" s="200">
        <v>439967.13</v>
      </c>
      <c r="F36" s="200">
        <v>870590.25</v>
      </c>
      <c r="G36" s="200">
        <v>404678.83</v>
      </c>
      <c r="H36" s="200">
        <v>262926.38</v>
      </c>
      <c r="I36" s="201">
        <v>432554.37</v>
      </c>
      <c r="J36" s="200">
        <v>534014.43000000005</v>
      </c>
      <c r="K36" s="200">
        <v>317521.34000000003</v>
      </c>
      <c r="L36" s="200">
        <v>304098.74</v>
      </c>
      <c r="M36" s="200">
        <v>374483.12</v>
      </c>
      <c r="N36" s="200">
        <v>268649.03000000003</v>
      </c>
      <c r="O36" s="200">
        <v>442825.83</v>
      </c>
      <c r="P36" s="200">
        <v>313059.93</v>
      </c>
      <c r="Q36" s="200">
        <v>399800.36</v>
      </c>
      <c r="R36" s="200">
        <v>401045.51</v>
      </c>
      <c r="S36" s="200">
        <v>634790.11</v>
      </c>
      <c r="T36" s="200"/>
      <c r="U36" s="201">
        <v>317086.49</v>
      </c>
      <c r="V36" s="201">
        <v>357164.54</v>
      </c>
      <c r="W36" s="211">
        <v>444335.13</v>
      </c>
      <c r="X36" s="211"/>
      <c r="Y36" s="201">
        <v>695500.99</v>
      </c>
      <c r="Z36" s="201"/>
    </row>
    <row r="37" spans="1:26" ht="18.75">
      <c r="A37" s="197"/>
      <c r="B37" s="198" t="s">
        <v>679</v>
      </c>
      <c r="C37" s="199"/>
      <c r="D37" s="199"/>
      <c r="E37" s="200"/>
      <c r="F37" s="200"/>
      <c r="G37" s="200"/>
      <c r="H37" s="200"/>
      <c r="I37" s="201"/>
      <c r="J37" s="200"/>
      <c r="K37" s="200">
        <v>80323.320000000007</v>
      </c>
      <c r="L37" s="200"/>
      <c r="M37" s="200">
        <v>436800</v>
      </c>
      <c r="N37" s="200">
        <v>423700</v>
      </c>
      <c r="O37" s="200"/>
      <c r="P37" s="200"/>
      <c r="Q37" s="200"/>
      <c r="R37" s="200"/>
      <c r="S37" s="200"/>
      <c r="T37" s="200"/>
      <c r="U37" s="201">
        <v>311200</v>
      </c>
      <c r="V37" s="201"/>
      <c r="W37" s="211">
        <v>218750</v>
      </c>
      <c r="X37" s="211">
        <v>185750</v>
      </c>
      <c r="Y37" s="201"/>
      <c r="Z37" s="201"/>
    </row>
    <row r="38" spans="1:26" ht="18.75">
      <c r="A38" s="492" t="s">
        <v>633</v>
      </c>
      <c r="B38" s="492"/>
      <c r="C38" s="203">
        <v>1653183.79</v>
      </c>
      <c r="D38" s="203">
        <v>1069719.71</v>
      </c>
      <c r="E38" s="203">
        <v>2660296.85</v>
      </c>
      <c r="F38" s="203">
        <v>1344324.96</v>
      </c>
      <c r="G38" s="203">
        <v>1749703.0900000003</v>
      </c>
      <c r="H38" s="203">
        <v>2138954.9500000002</v>
      </c>
      <c r="I38" s="204">
        <v>1848685.17</v>
      </c>
      <c r="J38" s="205">
        <v>1511469.87</v>
      </c>
      <c r="K38" s="206">
        <v>1655884.27</v>
      </c>
      <c r="L38" s="204">
        <v>1667673.81</v>
      </c>
      <c r="M38" s="204">
        <v>2755112.73</v>
      </c>
      <c r="N38" s="204">
        <v>1127747.01</v>
      </c>
      <c r="O38" s="266">
        <v>1923083.8</v>
      </c>
      <c r="P38" s="206">
        <v>3163315.47</v>
      </c>
      <c r="Q38" s="206">
        <v>1850699.6800000002</v>
      </c>
      <c r="R38" s="206">
        <v>731699.22</v>
      </c>
      <c r="S38" s="206">
        <f>SUM(S15:S36)</f>
        <v>3336419.3799999994</v>
      </c>
      <c r="T38" s="206">
        <f t="shared" ref="T38:Z38" si="1">SUM(T15:T36)</f>
        <v>2096372.3</v>
      </c>
      <c r="U38" s="206">
        <f>SUM(U15:U37)</f>
        <v>2740642.0700000003</v>
      </c>
      <c r="V38" s="206">
        <f t="shared" si="1"/>
        <v>2917142.5200000009</v>
      </c>
      <c r="W38" s="206">
        <f>SUM(W15:W37)</f>
        <v>3655018.3999999994</v>
      </c>
      <c r="X38" s="206">
        <f>SUM(X15:X37)</f>
        <v>1754597.2999999998</v>
      </c>
      <c r="Y38" s="206">
        <f t="shared" si="1"/>
        <v>2756870.4</v>
      </c>
      <c r="Z38" s="206">
        <f t="shared" si="1"/>
        <v>1982541.85</v>
      </c>
    </row>
    <row r="39" spans="1:26" ht="18.75">
      <c r="A39" s="493" t="s">
        <v>540</v>
      </c>
      <c r="B39" s="493"/>
      <c r="C39" s="212">
        <v>6775024.8700000001</v>
      </c>
      <c r="D39" s="212">
        <v>5902831.21</v>
      </c>
      <c r="E39" s="212">
        <v>9928728.9100000001</v>
      </c>
      <c r="F39" s="212">
        <v>9338924.620000001</v>
      </c>
      <c r="G39" s="212">
        <v>7554726.7100000009</v>
      </c>
      <c r="H39" s="212">
        <v>7825280.6499999994</v>
      </c>
      <c r="I39" s="212">
        <v>7062883.1200000001</v>
      </c>
      <c r="J39" s="196">
        <v>6892064.79</v>
      </c>
      <c r="K39" s="212">
        <v>7347874.0900000017</v>
      </c>
      <c r="L39" s="212">
        <v>7518709.1100000013</v>
      </c>
      <c r="M39" s="196">
        <v>9385616.8300000001</v>
      </c>
      <c r="N39" s="212">
        <v>4055211.4400000004</v>
      </c>
      <c r="O39" s="212">
        <v>9418657.9499999993</v>
      </c>
      <c r="P39" s="212">
        <v>10942138.619999999</v>
      </c>
      <c r="Q39" s="212">
        <v>11865402.33</v>
      </c>
      <c r="R39" s="212">
        <v>6884742.669999999</v>
      </c>
      <c r="S39" s="212">
        <f>+S38+S14</f>
        <v>10841308.24</v>
      </c>
      <c r="T39" s="212">
        <f t="shared" ref="T39:Z39" si="2">+T38+T14</f>
        <v>12061611.850000001</v>
      </c>
      <c r="U39" s="212">
        <f>+U38+U14</f>
        <v>9211806.7699999996</v>
      </c>
      <c r="V39" s="212">
        <f t="shared" si="2"/>
        <v>7453961.2500000019</v>
      </c>
      <c r="W39" s="212">
        <f t="shared" si="2"/>
        <v>12354316.029999997</v>
      </c>
      <c r="X39" s="212">
        <f t="shared" si="2"/>
        <v>7869417.3199999994</v>
      </c>
      <c r="Y39" s="212">
        <f t="shared" si="2"/>
        <v>10712647.83</v>
      </c>
      <c r="Z39" s="212">
        <f t="shared" si="2"/>
        <v>16364862.450000001</v>
      </c>
    </row>
    <row r="40" spans="1:26" ht="18.75" hidden="1">
      <c r="A40" s="213"/>
      <c r="B40" s="213"/>
      <c r="C40" s="214"/>
      <c r="D40" s="214"/>
      <c r="E40" s="214"/>
      <c r="F40" s="214"/>
      <c r="G40" s="214"/>
      <c r="H40" s="214"/>
      <c r="I40" s="214"/>
      <c r="J40" s="215"/>
      <c r="K40" s="214"/>
      <c r="L40" s="214"/>
      <c r="M40" s="215"/>
      <c r="N40" s="214"/>
      <c r="O40" s="267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</row>
    <row r="41" spans="1:26" ht="18.75" hidden="1">
      <c r="A41" s="216"/>
      <c r="C41" s="217"/>
      <c r="D41" s="217"/>
      <c r="E41" s="184"/>
      <c r="F41" s="217"/>
      <c r="G41" s="184"/>
      <c r="H41" s="184"/>
      <c r="I41" s="184"/>
      <c r="J41" s="218"/>
      <c r="K41" s="184"/>
      <c r="L41" s="219"/>
      <c r="M41" s="183" t="s">
        <v>599</v>
      </c>
      <c r="Q41" s="220"/>
      <c r="W41" s="220"/>
      <c r="Y41" s="220"/>
    </row>
    <row r="42" spans="1:26" ht="18.75" hidden="1">
      <c r="A42" s="221"/>
      <c r="B42" s="142"/>
      <c r="C42" s="217"/>
      <c r="D42" s="217"/>
      <c r="E42" s="222"/>
      <c r="F42" s="217"/>
      <c r="G42" s="184"/>
      <c r="H42" s="184"/>
      <c r="I42" s="184"/>
      <c r="J42" s="218"/>
      <c r="K42" s="184"/>
      <c r="L42" s="219"/>
      <c r="M42" s="183"/>
    </row>
    <row r="43" spans="1:26" ht="18.75" hidden="1">
      <c r="B43" s="223"/>
      <c r="C43" s="224"/>
      <c r="D43" s="224"/>
      <c r="E43" s="224"/>
      <c r="F43" s="224"/>
      <c r="G43" s="224"/>
      <c r="H43" s="224"/>
      <c r="I43" s="224"/>
      <c r="J43" s="225"/>
      <c r="K43" s="224"/>
      <c r="L43" s="223"/>
      <c r="M43" s="183"/>
    </row>
    <row r="44" spans="1:26" ht="18.75" hidden="1">
      <c r="B44" s="226"/>
      <c r="C44" s="227"/>
      <c r="D44" s="227"/>
      <c r="E44" s="227"/>
      <c r="F44" s="228"/>
      <c r="G44" s="229"/>
      <c r="H44" s="229"/>
      <c r="I44" s="229"/>
      <c r="J44" s="230"/>
      <c r="K44" s="229"/>
      <c r="L44" s="226"/>
      <c r="M44" s="183"/>
    </row>
    <row r="45" spans="1:26" ht="18.75" hidden="1">
      <c r="B45" s="226"/>
      <c r="C45" s="227"/>
      <c r="D45" s="227"/>
      <c r="E45" s="227"/>
      <c r="F45" s="228"/>
      <c r="G45" s="229"/>
      <c r="H45" s="229"/>
      <c r="I45" s="229"/>
      <c r="J45" s="230"/>
      <c r="K45" s="229"/>
      <c r="L45" s="226"/>
      <c r="M45" s="183"/>
    </row>
    <row r="46" spans="1:26" ht="18.75" hidden="1">
      <c r="B46" s="226"/>
      <c r="C46" s="227"/>
      <c r="D46" s="227"/>
      <c r="E46" s="227"/>
      <c r="F46" s="228"/>
      <c r="G46" s="229"/>
      <c r="H46" s="229"/>
      <c r="I46" s="229"/>
      <c r="J46" s="230"/>
      <c r="K46" s="229"/>
      <c r="L46" s="226"/>
      <c r="M46" s="183"/>
    </row>
    <row r="47" spans="1:26" ht="18.75" hidden="1">
      <c r="B47" s="226"/>
      <c r="C47" s="227"/>
      <c r="D47" s="227"/>
      <c r="E47" s="227"/>
      <c r="F47" s="228"/>
      <c r="G47" s="229"/>
      <c r="H47" s="229"/>
      <c r="I47" s="229"/>
      <c r="J47" s="230"/>
      <c r="K47" s="229"/>
      <c r="L47" s="226"/>
      <c r="M47" s="183"/>
    </row>
    <row r="48" spans="1:26" ht="18.75" hidden="1">
      <c r="B48" s="226"/>
      <c r="C48" s="227"/>
      <c r="D48" s="227"/>
      <c r="E48" s="227"/>
      <c r="F48" s="228"/>
      <c r="G48" s="229"/>
      <c r="H48" s="229"/>
      <c r="I48" s="229"/>
      <c r="J48" s="230"/>
      <c r="K48" s="229"/>
      <c r="L48" s="226"/>
      <c r="M48" s="183"/>
    </row>
    <row r="49" spans="2:23" ht="18.75" hidden="1">
      <c r="B49" s="226"/>
      <c r="C49" s="227"/>
      <c r="D49" s="227"/>
      <c r="E49" s="227"/>
      <c r="F49" s="228"/>
      <c r="G49" s="229"/>
      <c r="H49" s="229"/>
      <c r="I49" s="229"/>
      <c r="J49" s="230"/>
      <c r="K49" s="229"/>
      <c r="L49" s="226"/>
      <c r="M49" s="183"/>
    </row>
    <row r="50" spans="2:23" ht="18.75" hidden="1">
      <c r="B50" s="226"/>
      <c r="C50" s="227"/>
      <c r="D50" s="227"/>
      <c r="E50" s="227"/>
      <c r="F50" s="228"/>
      <c r="G50" s="229"/>
      <c r="H50" s="229"/>
      <c r="I50" s="229"/>
      <c r="J50" s="230"/>
      <c r="K50" s="229"/>
      <c r="L50" s="226"/>
      <c r="M50" s="183"/>
    </row>
    <row r="51" spans="2:23" ht="18.75" hidden="1">
      <c r="B51" s="226"/>
      <c r="C51" s="227"/>
      <c r="D51" s="227"/>
      <c r="E51" s="227"/>
      <c r="F51" s="228"/>
      <c r="G51" s="229"/>
      <c r="H51" s="229"/>
      <c r="I51" s="229"/>
      <c r="J51" s="230"/>
      <c r="K51" s="229"/>
      <c r="L51" s="226"/>
      <c r="M51" s="183"/>
    </row>
    <row r="52" spans="2:23" ht="18.75" hidden="1">
      <c r="B52" s="226"/>
      <c r="C52" s="227"/>
      <c r="D52" s="227"/>
      <c r="E52" s="227"/>
      <c r="F52" s="228"/>
      <c r="G52" s="229"/>
      <c r="H52" s="229"/>
      <c r="I52" s="229"/>
      <c r="J52" s="230"/>
      <c r="K52" s="229"/>
      <c r="L52" s="226"/>
      <c r="M52" s="183"/>
    </row>
    <row r="53" spans="2:23" ht="18.75" hidden="1">
      <c r="B53" s="226"/>
      <c r="C53" s="227"/>
      <c r="D53" s="227"/>
      <c r="E53" s="227"/>
      <c r="F53" s="228"/>
      <c r="G53" s="229"/>
      <c r="H53" s="229"/>
      <c r="I53" s="229"/>
      <c r="J53" s="230"/>
      <c r="K53" s="229"/>
      <c r="L53" s="226"/>
      <c r="M53" s="183"/>
    </row>
    <row r="54" spans="2:23" ht="18.75" hidden="1">
      <c r="B54" s="226"/>
      <c r="C54" s="227"/>
      <c r="D54" s="227"/>
      <c r="E54" s="227"/>
      <c r="F54" s="228"/>
      <c r="G54" s="229"/>
      <c r="H54" s="229"/>
      <c r="I54" s="229"/>
      <c r="J54" s="230"/>
      <c r="K54" s="229"/>
      <c r="L54" s="226"/>
      <c r="M54" s="183"/>
    </row>
    <row r="55" spans="2:23" ht="18.75" hidden="1">
      <c r="B55" s="226"/>
      <c r="C55" s="227"/>
      <c r="D55" s="227"/>
      <c r="E55" s="227"/>
      <c r="F55" s="228"/>
      <c r="G55" s="229"/>
      <c r="H55" s="229"/>
      <c r="I55" s="229"/>
      <c r="J55" s="230"/>
      <c r="K55" s="229"/>
      <c r="L55" s="226"/>
      <c r="M55" s="183"/>
    </row>
    <row r="56" spans="2:23" ht="18.75" hidden="1">
      <c r="B56" s="231"/>
      <c r="C56" s="232"/>
      <c r="D56" s="232"/>
      <c r="E56" s="232"/>
      <c r="F56" s="232"/>
      <c r="G56" s="184"/>
      <c r="H56" s="184"/>
      <c r="I56" s="184"/>
      <c r="J56" s="218"/>
      <c r="K56" s="184"/>
      <c r="L56" s="231"/>
      <c r="M56" s="183"/>
    </row>
    <row r="57" spans="2:23" ht="18.75" hidden="1">
      <c r="B57" s="233"/>
      <c r="C57" s="184"/>
      <c r="D57" s="184"/>
      <c r="E57" s="184"/>
      <c r="F57" s="184"/>
      <c r="G57" s="184"/>
      <c r="H57" s="184"/>
      <c r="I57" s="184"/>
      <c r="J57" s="218"/>
      <c r="K57" s="184"/>
      <c r="L57" s="233"/>
      <c r="M57" s="183"/>
    </row>
    <row r="58" spans="2:23" ht="18.75" hidden="1">
      <c r="B58" s="223"/>
      <c r="C58" s="224"/>
      <c r="D58" s="224"/>
      <c r="E58" s="224"/>
      <c r="F58" s="224"/>
      <c r="G58" s="224"/>
      <c r="H58" s="224"/>
      <c r="I58" s="224"/>
      <c r="J58" s="225"/>
      <c r="K58" s="224"/>
      <c r="L58" s="223"/>
      <c r="M58" s="183"/>
    </row>
    <row r="59" spans="2:23" ht="18.75" hidden="1">
      <c r="B59" s="219"/>
      <c r="C59" s="217"/>
      <c r="D59" s="217"/>
      <c r="E59" s="184"/>
      <c r="F59" s="217"/>
      <c r="G59" s="184"/>
      <c r="H59" s="184"/>
      <c r="I59" s="184"/>
      <c r="J59" s="218"/>
      <c r="K59" s="184"/>
      <c r="L59" s="219"/>
      <c r="M59" s="183"/>
    </row>
    <row r="60" spans="2:23" ht="18.75" hidden="1">
      <c r="B60" s="219"/>
      <c r="C60" s="217"/>
      <c r="D60" s="217"/>
      <c r="E60" s="184"/>
      <c r="F60" s="217"/>
      <c r="G60" s="184"/>
      <c r="H60" s="184"/>
      <c r="I60" s="184"/>
      <c r="J60" s="218"/>
      <c r="K60" s="184"/>
      <c r="L60" s="219"/>
      <c r="M60" s="183"/>
    </row>
    <row r="61" spans="2:23" ht="18.75" hidden="1">
      <c r="B61" s="219"/>
      <c r="C61" s="217"/>
      <c r="D61" s="217"/>
      <c r="E61" s="184"/>
      <c r="F61" s="217"/>
      <c r="G61" s="184"/>
      <c r="H61" s="184"/>
      <c r="I61" s="184"/>
      <c r="J61" s="218"/>
      <c r="K61" s="184"/>
      <c r="L61" s="219"/>
      <c r="M61" s="183"/>
    </row>
    <row r="62" spans="2:23" ht="18.75" hidden="1">
      <c r="B62" s="219" t="s">
        <v>599</v>
      </c>
      <c r="C62" s="217"/>
      <c r="D62" s="217"/>
      <c r="E62" s="184"/>
      <c r="F62" s="217"/>
      <c r="G62" s="184"/>
      <c r="H62" s="184"/>
      <c r="I62" s="184"/>
      <c r="J62" s="218"/>
      <c r="K62" s="184"/>
      <c r="L62" s="219"/>
      <c r="M62" s="183"/>
    </row>
    <row r="63" spans="2:23" ht="18.75">
      <c r="B63" s="219"/>
      <c r="C63" s="217"/>
      <c r="D63" s="217"/>
      <c r="E63" s="184"/>
      <c r="F63" s="217"/>
      <c r="G63" s="184"/>
      <c r="H63" s="184"/>
      <c r="I63" s="184"/>
      <c r="J63" s="218"/>
      <c r="K63" s="184"/>
      <c r="L63" s="219"/>
      <c r="M63" s="183"/>
      <c r="U63" s="183"/>
    </row>
    <row r="64" spans="2:23" ht="18.75">
      <c r="B64" s="219"/>
      <c r="C64" s="217"/>
      <c r="D64" s="217"/>
      <c r="E64" s="184"/>
      <c r="F64" s="217"/>
      <c r="G64" s="184"/>
      <c r="H64" s="184"/>
      <c r="I64" s="184"/>
      <c r="J64" s="218"/>
      <c r="K64" s="184"/>
      <c r="L64" s="219"/>
      <c r="M64" s="183"/>
      <c r="U64" s="220"/>
      <c r="V64" s="220"/>
      <c r="W64" s="220"/>
    </row>
    <row r="65" spans="2:13" ht="18.75">
      <c r="B65" s="219"/>
      <c r="C65" s="217"/>
      <c r="D65" s="217"/>
      <c r="E65" s="184"/>
      <c r="F65" s="217"/>
      <c r="G65" s="184"/>
      <c r="H65" s="184"/>
      <c r="I65" s="184"/>
      <c r="J65" s="218"/>
      <c r="K65" s="184"/>
      <c r="L65" s="219"/>
      <c r="M65" s="183"/>
    </row>
    <row r="66" spans="2:13" ht="18.75">
      <c r="B66" s="233"/>
      <c r="C66" s="184"/>
      <c r="D66" s="184"/>
      <c r="E66" s="184"/>
      <c r="F66" s="184"/>
      <c r="G66" s="184"/>
      <c r="H66" s="184"/>
      <c r="I66" s="184"/>
      <c r="J66" s="218"/>
      <c r="K66" s="184"/>
      <c r="L66" s="233"/>
      <c r="M66" s="183"/>
    </row>
    <row r="67" spans="2:13" ht="18.75">
      <c r="B67" s="233"/>
      <c r="C67" s="184"/>
      <c r="D67" s="184"/>
      <c r="E67" s="184"/>
      <c r="F67" s="184"/>
      <c r="G67" s="184"/>
      <c r="H67" s="184"/>
      <c r="I67" s="184"/>
      <c r="J67" s="218"/>
      <c r="K67" s="184"/>
      <c r="L67" s="233"/>
      <c r="M67" s="183"/>
    </row>
    <row r="68" spans="2:13" ht="18.75">
      <c r="B68" s="233"/>
      <c r="C68" s="184"/>
      <c r="D68" s="184"/>
      <c r="E68" s="184"/>
      <c r="F68" s="184"/>
      <c r="G68" s="184"/>
      <c r="H68" s="184"/>
      <c r="I68" s="184"/>
      <c r="J68" s="218"/>
      <c r="K68" s="184"/>
      <c r="L68" s="233"/>
      <c r="M68" s="183"/>
    </row>
    <row r="69" spans="2:13" ht="18.75">
      <c r="B69" s="233"/>
      <c r="C69" s="184"/>
      <c r="D69" s="184"/>
      <c r="E69" s="184"/>
      <c r="F69" s="184"/>
      <c r="G69" s="184"/>
      <c r="H69" s="184"/>
      <c r="I69" s="184"/>
      <c r="J69" s="218"/>
      <c r="K69" s="184"/>
      <c r="L69" s="233"/>
      <c r="M69" s="183"/>
    </row>
  </sheetData>
  <mergeCells count="20">
    <mergeCell ref="A38:B38"/>
    <mergeCell ref="A39:B39"/>
    <mergeCell ref="A2:K2"/>
    <mergeCell ref="A3:K3"/>
    <mergeCell ref="A4:K4"/>
    <mergeCell ref="E5:F5"/>
    <mergeCell ref="A8:B8"/>
    <mergeCell ref="C8:D8"/>
    <mergeCell ref="E8:F8"/>
    <mergeCell ref="G8:H8"/>
    <mergeCell ref="I8:J8"/>
    <mergeCell ref="K8:L8"/>
    <mergeCell ref="A14:B14"/>
    <mergeCell ref="Y8:Z8"/>
    <mergeCell ref="M8:N8"/>
    <mergeCell ref="O8:P8"/>
    <mergeCell ref="Q8:R8"/>
    <mergeCell ref="S8:T8"/>
    <mergeCell ref="U8:V8"/>
    <mergeCell ref="W8:X8"/>
  </mergeCells>
  <pageMargins left="0.7" right="0.7" top="0.75" bottom="0.75" header="0.3" footer="0.3"/>
  <pageSetup scale="67" orientation="portrait" horizontalDpi="360" verticalDpi="36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"/>
  <sheetViews>
    <sheetView view="pageBreakPreview" zoomScale="60" zoomScaleNormal="100" workbookViewId="0">
      <selection activeCell="C18" sqref="C18"/>
    </sheetView>
  </sheetViews>
  <sheetFormatPr baseColWidth="10" defaultColWidth="11.42578125" defaultRowHeight="15"/>
  <cols>
    <col min="1" max="1" width="27.7109375" customWidth="1"/>
    <col min="2" max="3" width="19.7109375" bestFit="1" customWidth="1"/>
    <col min="4" max="4" width="18.5703125" customWidth="1"/>
    <col min="5" max="5" width="20.140625" customWidth="1"/>
  </cols>
  <sheetData>
    <row r="1" spans="1:8" ht="22.5">
      <c r="A1" s="502" t="s">
        <v>636</v>
      </c>
      <c r="B1" s="502"/>
      <c r="C1" s="502"/>
      <c r="D1" s="502"/>
      <c r="E1" s="502"/>
      <c r="F1" s="502"/>
    </row>
    <row r="2" spans="1:8" ht="22.5" customHeight="1">
      <c r="A2" s="503" t="s">
        <v>571</v>
      </c>
      <c r="B2" s="503"/>
      <c r="C2" s="503"/>
      <c r="D2" s="503"/>
      <c r="E2" s="503"/>
    </row>
    <row r="3" spans="1:8" ht="22.5">
      <c r="A3" s="504" t="s">
        <v>637</v>
      </c>
      <c r="B3" s="504"/>
      <c r="C3" s="504"/>
      <c r="D3" s="504"/>
      <c r="E3" s="504"/>
    </row>
    <row r="4" spans="1:8" ht="18.75">
      <c r="A4" s="234" t="s">
        <v>638</v>
      </c>
      <c r="B4" s="234" t="s">
        <v>639</v>
      </c>
      <c r="C4" s="234" t="s">
        <v>614</v>
      </c>
      <c r="D4" s="234" t="s">
        <v>640</v>
      </c>
      <c r="E4" s="234" t="s">
        <v>72</v>
      </c>
    </row>
    <row r="5" spans="1:8" ht="15.75">
      <c r="A5" s="235" t="s">
        <v>646</v>
      </c>
      <c r="B5" s="236">
        <v>6775024.8700000001</v>
      </c>
      <c r="C5" s="237">
        <v>5902831.21</v>
      </c>
      <c r="D5" s="237">
        <v>102835</v>
      </c>
      <c r="E5" s="268">
        <f>+D5/B5</f>
        <v>1.5178542067846313E-2</v>
      </c>
    </row>
    <row r="6" spans="1:8" ht="15.75">
      <c r="A6" s="235" t="s">
        <v>647</v>
      </c>
      <c r="B6" s="238">
        <v>9928728.9100000001</v>
      </c>
      <c r="C6" s="237">
        <v>9338924.6199999992</v>
      </c>
      <c r="D6" s="238">
        <v>221056.08000000002</v>
      </c>
      <c r="E6" s="268">
        <f t="shared" ref="E6:E16" si="0">+D6/B6</f>
        <v>2.2264288007436392E-2</v>
      </c>
    </row>
    <row r="7" spans="1:8" ht="15.75">
      <c r="A7" s="235" t="s">
        <v>529</v>
      </c>
      <c r="B7" s="238">
        <v>7643032.2199999997</v>
      </c>
      <c r="C7" s="237">
        <v>7825280.6500000004</v>
      </c>
      <c r="D7" s="238">
        <v>99442.51</v>
      </c>
      <c r="E7" s="268">
        <f t="shared" si="0"/>
        <v>1.301087148890758E-2</v>
      </c>
    </row>
    <row r="8" spans="1:8" ht="15.75">
      <c r="A8" s="235" t="s">
        <v>528</v>
      </c>
      <c r="B8" s="238">
        <v>6994829.1200000001</v>
      </c>
      <c r="C8" s="238">
        <v>6892064.790000001</v>
      </c>
      <c r="D8" s="238">
        <v>68054</v>
      </c>
      <c r="E8" s="268">
        <f t="shared" si="0"/>
        <v>9.7291869225820341E-3</v>
      </c>
    </row>
    <row r="9" spans="1:8" ht="15.75">
      <c r="A9" s="235" t="s">
        <v>527</v>
      </c>
      <c r="B9" s="239">
        <v>7347874.0899999999</v>
      </c>
      <c r="C9" s="239">
        <v>7518709.1100000013</v>
      </c>
      <c r="D9" s="238">
        <v>116253.22</v>
      </c>
      <c r="E9" s="268">
        <f t="shared" si="0"/>
        <v>1.5821340781847829E-2</v>
      </c>
    </row>
    <row r="10" spans="1:8" ht="15.75">
      <c r="A10" s="235" t="s">
        <v>526</v>
      </c>
      <c r="B10" s="239">
        <v>9385616.4299999997</v>
      </c>
      <c r="C10" s="239">
        <v>4055211.4400000004</v>
      </c>
      <c r="D10" s="238">
        <v>67756.320000000007</v>
      </c>
      <c r="E10" s="268">
        <f t="shared" si="0"/>
        <v>7.2191656781780515E-3</v>
      </c>
    </row>
    <row r="11" spans="1:8" ht="15.75">
      <c r="A11" s="235" t="s">
        <v>525</v>
      </c>
      <c r="B11" s="239">
        <v>9418657.9499999993</v>
      </c>
      <c r="C11" s="239">
        <v>10942138.619999999</v>
      </c>
      <c r="D11" s="238">
        <v>116253.22</v>
      </c>
      <c r="E11" s="268">
        <f t="shared" si="0"/>
        <v>1.2342864622236336E-2</v>
      </c>
    </row>
    <row r="12" spans="1:8" ht="15.75">
      <c r="A12" s="235" t="s">
        <v>524</v>
      </c>
      <c r="B12" s="239">
        <v>11865402.33</v>
      </c>
      <c r="C12" s="239">
        <v>6884742.669999999</v>
      </c>
      <c r="D12" s="238">
        <v>36950</v>
      </c>
      <c r="E12" s="268">
        <f t="shared" si="0"/>
        <v>3.1140958369845683E-3</v>
      </c>
    </row>
    <row r="13" spans="1:8" ht="15.75">
      <c r="A13" s="235" t="s">
        <v>523</v>
      </c>
      <c r="B13" s="239">
        <v>11178188.24</v>
      </c>
      <c r="C13" s="239">
        <v>12061611.850000001</v>
      </c>
      <c r="D13" s="238">
        <v>88793.31</v>
      </c>
      <c r="E13" s="268">
        <f t="shared" si="0"/>
        <v>7.9434437937144636E-3</v>
      </c>
    </row>
    <row r="14" spans="1:8" ht="15.75">
      <c r="A14" s="235" t="s">
        <v>648</v>
      </c>
      <c r="B14" s="239">
        <v>9211806.7700000014</v>
      </c>
      <c r="C14" s="239">
        <v>7453961.25</v>
      </c>
      <c r="D14" s="238">
        <v>102915.12</v>
      </c>
      <c r="E14" s="268">
        <f t="shared" si="0"/>
        <v>1.1172088447964697E-2</v>
      </c>
    </row>
    <row r="15" spans="1:8" ht="15.75">
      <c r="A15" s="235" t="s">
        <v>521</v>
      </c>
      <c r="B15" s="239">
        <v>12354316.029999997</v>
      </c>
      <c r="C15" s="239">
        <v>7869417.3199999994</v>
      </c>
      <c r="D15" s="238">
        <v>145495.75</v>
      </c>
      <c r="E15" s="268">
        <f t="shared" si="0"/>
        <v>1.177691663761009E-2</v>
      </c>
      <c r="H15" t="s">
        <v>712</v>
      </c>
    </row>
    <row r="16" spans="1:8" ht="15.75">
      <c r="A16" s="235" t="s">
        <v>520</v>
      </c>
      <c r="B16" s="239">
        <v>11007698.550000001</v>
      </c>
      <c r="C16" s="239">
        <v>16364862.450000001</v>
      </c>
      <c r="D16" s="238">
        <v>95600.72</v>
      </c>
      <c r="E16" s="268">
        <f t="shared" si="0"/>
        <v>8.6848962628977514E-3</v>
      </c>
    </row>
    <row r="17" spans="1:5" ht="18.75">
      <c r="A17" s="240" t="s">
        <v>348</v>
      </c>
      <c r="B17" s="241">
        <f>SUM(B5:B16)</f>
        <v>113111175.50999999</v>
      </c>
      <c r="C17" s="241">
        <f>SUM(C5:C16)</f>
        <v>103109755.97999999</v>
      </c>
      <c r="D17" s="241">
        <f>SUM(D5:D16)</f>
        <v>1261405.2500000002</v>
      </c>
      <c r="E17" s="269">
        <f>+D17/B17</f>
        <v>1.1151906470006417E-2</v>
      </c>
    </row>
    <row r="18" spans="1:5" ht="15.75">
      <c r="A18" s="242"/>
      <c r="B18" s="243"/>
      <c r="C18" s="243"/>
      <c r="D18" s="243"/>
      <c r="E18" s="244"/>
    </row>
    <row r="19" spans="1:5" ht="15.75">
      <c r="A19" s="216" t="s">
        <v>634</v>
      </c>
      <c r="B19" s="243"/>
      <c r="C19" s="243"/>
      <c r="D19" s="243"/>
      <c r="E19" s="244"/>
    </row>
    <row r="20" spans="1:5" ht="15.75">
      <c r="A20" s="221" t="s">
        <v>635</v>
      </c>
      <c r="B20" s="243"/>
      <c r="C20" s="243"/>
      <c r="D20" s="243"/>
      <c r="E20" s="244"/>
    </row>
  </sheetData>
  <mergeCells count="3">
    <mergeCell ref="A1:F1"/>
    <mergeCell ref="A2:E2"/>
    <mergeCell ref="A3:E3"/>
  </mergeCells>
  <phoneticPr fontId="44" type="noConversion"/>
  <pageMargins left="0.7" right="0.7" top="0.75" bottom="0.75" header="0.3" footer="0.3"/>
  <pageSetup scale="85" orientation="portrait" r:id="rId1"/>
  <colBreaks count="1" manualBreakCount="1">
    <brk id="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61BEBD7864249BC2DAFCF9B0D2171" ma:contentTypeVersion="18" ma:contentTypeDescription="Create a new document." ma:contentTypeScope="" ma:versionID="0418eb84561f3acecd0bb14054beae6f">
  <xsd:schema xmlns:xsd="http://www.w3.org/2001/XMLSchema" xmlns:xs="http://www.w3.org/2001/XMLSchema" xmlns:p="http://schemas.microsoft.com/office/2006/metadata/properties" xmlns:ns1="http://schemas.microsoft.com/sharepoint/v3" xmlns:ns3="07c79e06-4b95-4bd7-9f70-1708916ba346" xmlns:ns4="66a0fbff-63c5-42e0-aeb3-a526626be49b" targetNamespace="http://schemas.microsoft.com/office/2006/metadata/properties" ma:root="true" ma:fieldsID="1d40ef237af0aaa82bdf647cdff22c06" ns1:_="" ns3:_="" ns4:_="">
    <xsd:import namespace="http://schemas.microsoft.com/sharepoint/v3"/>
    <xsd:import namespace="07c79e06-4b95-4bd7-9f70-1708916ba346"/>
    <xsd:import namespace="66a0fbff-63c5-42e0-aeb3-a526626be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9e06-4b95-4bd7-9f70-1708916ba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0fbff-63c5-42e0-aeb3-a526626be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7c79e06-4b95-4bd7-9f70-1708916ba346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B2E94C1-626A-4224-9E7A-67B5210E35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D16FF3-4C7A-43B0-81F3-BFC2D81C5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c79e06-4b95-4bd7-9f70-1708916ba346"/>
    <ds:schemaRef ds:uri="66a0fbff-63c5-42e0-aeb3-a526626be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2CB089-94A8-429F-A92D-B88DDF68251D}">
  <ds:schemaRefs>
    <ds:schemaRef ds:uri="http://schemas.microsoft.com/sharepoint/v3"/>
    <ds:schemaRef ds:uri="http://schemas.microsoft.com/office/2006/documentManagement/types"/>
    <ds:schemaRef ds:uri="http://purl.org/dc/elements/1.1/"/>
    <ds:schemaRef ds:uri="07c79e06-4b95-4bd7-9f70-1708916ba346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66a0fbff-63c5-42e0-aeb3-a526626be49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4</vt:i4>
      </vt:variant>
    </vt:vector>
  </HeadingPairs>
  <TitlesOfParts>
    <vt:vector size="20" baseType="lpstr">
      <vt:lpstr>RELACION DE PAGOS EMITIDOS</vt:lpstr>
      <vt:lpstr>RELACION ORDENES DE COMPRAS</vt:lpstr>
      <vt:lpstr>CONS. FUENTES FINAN</vt:lpstr>
      <vt:lpstr>CUENTA T FONDO 100</vt:lpstr>
      <vt:lpstr>CUENTA T VS</vt:lpstr>
      <vt:lpstr>GASTOS X ATENCION</vt:lpstr>
      <vt:lpstr>PLANTILLA PRESUPUESTO</vt:lpstr>
      <vt:lpstr>Sheet2</vt:lpstr>
      <vt:lpstr>TRANSFERENCIA CORRIENTE</vt:lpstr>
      <vt:lpstr>VS</vt:lpstr>
      <vt:lpstr>OBLIGACIONES PENDIENTES</vt:lpstr>
      <vt:lpstr>INGR SEGUN ORIGEN</vt:lpstr>
      <vt:lpstr>Sheet1</vt:lpstr>
      <vt:lpstr>DEUDA</vt:lpstr>
      <vt:lpstr>INGRESOS POR A.R.S</vt:lpstr>
      <vt:lpstr>GLOSA</vt:lpstr>
      <vt:lpstr>'CONS. FUENTES FINAN'!Área_de_impresión</vt:lpstr>
      <vt:lpstr>GLOSA!Área_de_impresión</vt:lpstr>
      <vt:lpstr>'INGR SEGUN ORIGEN'!Área_de_impresión</vt:lpstr>
      <vt:lpstr>'RELACION DE PAGOS EMITIDOS'!Área_de_impresión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Mendez</dc:creator>
  <cp:lastModifiedBy>contabilidad</cp:lastModifiedBy>
  <cp:lastPrinted>2026-01-06T20:20:47Z</cp:lastPrinted>
  <dcterms:created xsi:type="dcterms:W3CDTF">2021-03-19T19:51:23Z</dcterms:created>
  <dcterms:modified xsi:type="dcterms:W3CDTF">2026-01-07T13:33:08Z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0x0101005E461BEBD7864249BC2DAFCF9B0D2171</vt:lpwstr>
  </property>
</Properties>
</file>
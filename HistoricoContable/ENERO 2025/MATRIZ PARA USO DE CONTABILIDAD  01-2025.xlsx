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ccountgo\HistoricoContable\ENERO 2025\"/>
    </mc:Choice>
  </mc:AlternateContent>
  <xr:revisionPtr revIDLastSave="0" documentId="13_ncr:1_{BEE51C91-6C0F-471D-8159-5E05D2CB777F}" xr6:coauthVersionLast="47" xr6:coauthVersionMax="47" xr10:uidLastSave="{00000000-0000-0000-0000-000000000000}"/>
  <bookViews>
    <workbookView xWindow="-108" yWindow="-108" windowWidth="23256" windowHeight="12456" tabRatio="601" activeTab="1" xr2:uid="{00000000-000D-0000-FFFF-FFFF00000000}"/>
  </bookViews>
  <sheets>
    <sheet name="RELACION CHEQUES EMITIDOS" sheetId="14" r:id="rId1"/>
    <sheet name="RELACION ORDENES DE COMPRAS" sheetId="15" r:id="rId2"/>
    <sheet name="Hoja1" sheetId="24" state="hidden" r:id="rId3"/>
    <sheet name="CONS. FUENTES FINAN" sheetId="4" r:id="rId4"/>
    <sheet name="CUENTA T FONDO 100" sheetId="13" r:id="rId5"/>
    <sheet name="CUENTA T VS" sheetId="1" r:id="rId6"/>
    <sheet name="CUENTA T NOMINA SNS" sheetId="10" r:id="rId7"/>
    <sheet name="GASTOS X ATENCION" sheetId="6" r:id="rId8"/>
    <sheet name="PLANTILLA PRESUPUESTO" sheetId="18" r:id="rId9"/>
    <sheet name="TRANSFERENCIA CORRIENTE" sheetId="16" r:id="rId10"/>
    <sheet name="VS" sheetId="17" r:id="rId11"/>
    <sheet name="OBLIGACIONES PENDIENTES" sheetId="19" r:id="rId12"/>
    <sheet name="DEUDA" sheetId="25" r:id="rId13"/>
    <sheet name="INGRESOS POR A.R.S" sheetId="21" r:id="rId14"/>
    <sheet name="INGRESOS SEGUN ORIGEN" sheetId="20" r:id="rId15"/>
    <sheet name="GLOSA" sheetId="22" r:id="rId16"/>
    <sheet name="CXC" sheetId="26" r:id="rId17"/>
  </sheets>
  <definedNames>
    <definedName name="_xlnm._FilterDatabase" localSheetId="3" hidden="1">'CONS. FUENTES FINAN'!$A$27:$K$501</definedName>
    <definedName name="_xlnm._FilterDatabase" localSheetId="12" hidden="1">DEUDA!$A$8:$L$228</definedName>
    <definedName name="_xlnm._FilterDatabase" localSheetId="0" hidden="1">'RELACION CHEQUES EMITIDOS'!$A$9:$H$58</definedName>
    <definedName name="_xlnm._FilterDatabase" localSheetId="1" hidden="1">'RELACION ORDENES DE COMPRAS'!$A$4:$Q$108</definedName>
    <definedName name="_xlnm.Print_Area" localSheetId="3">'CONS. FUENTES FINAN'!$A$1:$K$501</definedName>
    <definedName name="_xlnm.Print_Area" localSheetId="14">'INGRESOS SEGUN ORIGEN'!$A$1:$E$36</definedName>
    <definedName name="_xlnm.Print_Area" localSheetId="0">'RELACION CHEQUES EMITIDOS'!$A$1:$H$70</definedName>
    <definedName name="_xlnm.Print_Titles" localSheetId="0">'RELACION CHEQUES EMITIDOS'!$1:$9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0" l="1"/>
  <c r="E10" i="20"/>
  <c r="E26" i="20"/>
  <c r="E8" i="20"/>
  <c r="G71" i="14"/>
  <c r="C79" i="14"/>
  <c r="C78" i="14"/>
  <c r="C77" i="14"/>
  <c r="C228" i="25" l="1"/>
  <c r="F46" i="26" l="1"/>
  <c r="G46" i="26"/>
  <c r="E46" i="26"/>
  <c r="H46" i="26"/>
  <c r="J19" i="26" l="1"/>
  <c r="E13" i="26"/>
  <c r="F13" i="26"/>
  <c r="H13" i="26"/>
  <c r="I13" i="26"/>
  <c r="J13" i="26"/>
  <c r="K10" i="26"/>
  <c r="K11" i="26" s="1"/>
  <c r="K12" i="26" s="1"/>
  <c r="K13" i="26" s="1"/>
  <c r="G10" i="26"/>
  <c r="I46" i="26" l="1"/>
  <c r="J20" i="26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D13" i="26"/>
  <c r="B49" i="26"/>
  <c r="J35" i="26" l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B50" i="26" s="1"/>
  <c r="B51" i="26" s="1"/>
  <c r="E228" i="25" l="1"/>
  <c r="D228" i="25"/>
  <c r="F228" i="25"/>
  <c r="G228" i="25"/>
  <c r="H228" i="25"/>
  <c r="I228" i="25"/>
  <c r="J228" i="25"/>
  <c r="K228" i="25"/>
  <c r="L149" i="25"/>
  <c r="L150" i="25"/>
  <c r="L151" i="25"/>
  <c r="L152" i="25"/>
  <c r="L153" i="25"/>
  <c r="L154" i="25"/>
  <c r="L155" i="25"/>
  <c r="L156" i="25"/>
  <c r="L157" i="25"/>
  <c r="L158" i="25"/>
  <c r="L159" i="25"/>
  <c r="L160" i="25"/>
  <c r="L161" i="25"/>
  <c r="L162" i="25"/>
  <c r="L163" i="25"/>
  <c r="L164" i="25"/>
  <c r="L165" i="25"/>
  <c r="L166" i="25"/>
  <c r="L167" i="25"/>
  <c r="L168" i="25"/>
  <c r="L169" i="25"/>
  <c r="L170" i="25"/>
  <c r="L171" i="25"/>
  <c r="L172" i="25"/>
  <c r="L173" i="25"/>
  <c r="L174" i="25"/>
  <c r="L175" i="25"/>
  <c r="L176" i="25"/>
  <c r="L177" i="25"/>
  <c r="L178" i="25"/>
  <c r="L179" i="25"/>
  <c r="L180" i="25"/>
  <c r="L181" i="25"/>
  <c r="L182" i="25"/>
  <c r="L183" i="25"/>
  <c r="L184" i="25"/>
  <c r="L185" i="25"/>
  <c r="L186" i="25"/>
  <c r="L187" i="25"/>
  <c r="L188" i="25"/>
  <c r="L189" i="25"/>
  <c r="L190" i="25"/>
  <c r="L191" i="25"/>
  <c r="L192" i="25"/>
  <c r="L193" i="25"/>
  <c r="L194" i="25"/>
  <c r="L195" i="25"/>
  <c r="L196" i="25"/>
  <c r="L197" i="25"/>
  <c r="L198" i="25"/>
  <c r="L199" i="25"/>
  <c r="L200" i="25"/>
  <c r="L201" i="25"/>
  <c r="L202" i="25"/>
  <c r="L203" i="25"/>
  <c r="L204" i="25"/>
  <c r="L205" i="25"/>
  <c r="L206" i="25"/>
  <c r="L207" i="25"/>
  <c r="L208" i="25"/>
  <c r="L209" i="25"/>
  <c r="L210" i="25"/>
  <c r="L211" i="25"/>
  <c r="L212" i="25"/>
  <c r="L213" i="25"/>
  <c r="L214" i="25"/>
  <c r="L215" i="25"/>
  <c r="L216" i="25"/>
  <c r="L217" i="25"/>
  <c r="L218" i="25"/>
  <c r="L219" i="25"/>
  <c r="L220" i="25"/>
  <c r="L221" i="25"/>
  <c r="L222" i="25"/>
  <c r="L223" i="25"/>
  <c r="L224" i="25"/>
  <c r="L225" i="25"/>
  <c r="L226" i="25"/>
  <c r="L227" i="25"/>
  <c r="C14" i="21" l="1"/>
  <c r="C10" i="21"/>
  <c r="C23" i="17" l="1"/>
  <c r="D14" i="21"/>
  <c r="D10" i="21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38" i="14"/>
  <c r="D60" i="14" l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AB168" i="13"/>
  <c r="AB10" i="21" l="1"/>
  <c r="AA10" i="21"/>
  <c r="AB33" i="21"/>
  <c r="AB32" i="21"/>
  <c r="AB31" i="21"/>
  <c r="AB30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A34" i="21"/>
  <c r="AA33" i="21"/>
  <c r="AA32" i="21"/>
  <c r="AA31" i="21"/>
  <c r="AA30" i="21"/>
  <c r="AA29" i="21"/>
  <c r="AA28" i="21"/>
  <c r="AA27" i="21"/>
  <c r="AA26" i="21"/>
  <c r="AA25" i="21"/>
  <c r="AA24" i="21"/>
  <c r="AA23" i="21"/>
  <c r="AA22" i="21"/>
  <c r="AA21" i="21"/>
  <c r="AA20" i="21"/>
  <c r="AA19" i="21"/>
  <c r="AA18" i="21"/>
  <c r="AA17" i="21"/>
  <c r="AA16" i="21"/>
  <c r="AA15" i="21"/>
  <c r="AA14" i="21"/>
  <c r="J14" i="4" l="1"/>
  <c r="J15" i="4" l="1"/>
  <c r="E16" i="19"/>
  <c r="E12" i="19"/>
  <c r="E19" i="19" s="1"/>
  <c r="D18" i="22" l="1"/>
  <c r="B18" i="22"/>
  <c r="E12" i="22"/>
  <c r="E11" i="22"/>
  <c r="E10" i="22"/>
  <c r="E9" i="22"/>
  <c r="E8" i="22"/>
  <c r="E7" i="22"/>
  <c r="E6" i="22"/>
  <c r="E31" i="20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M36" i="21" s="1"/>
  <c r="L35" i="21"/>
  <c r="AB34" i="21" s="1"/>
  <c r="AB35" i="21" s="1"/>
  <c r="K35" i="21"/>
  <c r="J35" i="21"/>
  <c r="I35" i="21"/>
  <c r="H35" i="21"/>
  <c r="G35" i="21"/>
  <c r="F35" i="21"/>
  <c r="E35" i="21"/>
  <c r="D35" i="21"/>
  <c r="C35" i="21"/>
  <c r="Z13" i="21"/>
  <c r="Y13" i="21"/>
  <c r="X13" i="21"/>
  <c r="W13" i="21"/>
  <c r="V13" i="21"/>
  <c r="V36" i="21" s="1"/>
  <c r="U13" i="21"/>
  <c r="U36" i="21" s="1"/>
  <c r="T13" i="21"/>
  <c r="S13" i="21"/>
  <c r="R13" i="21"/>
  <c r="Q13" i="21"/>
  <c r="P13" i="21"/>
  <c r="O13" i="21"/>
  <c r="N13" i="21"/>
  <c r="L13" i="21"/>
  <c r="K13" i="21"/>
  <c r="J13" i="21"/>
  <c r="I13" i="21"/>
  <c r="H13" i="21"/>
  <c r="G13" i="21"/>
  <c r="F13" i="21"/>
  <c r="E13" i="21"/>
  <c r="E36" i="21" s="1"/>
  <c r="D13" i="21"/>
  <c r="C13" i="21"/>
  <c r="AA12" i="21"/>
  <c r="AB11" i="21"/>
  <c r="AA11" i="21"/>
  <c r="AB13" i="21"/>
  <c r="L148" i="25"/>
  <c r="L147" i="25"/>
  <c r="L146" i="25"/>
  <c r="L145" i="25"/>
  <c r="L144" i="25"/>
  <c r="L143" i="25"/>
  <c r="L142" i="25"/>
  <c r="L141" i="25"/>
  <c r="L140" i="25"/>
  <c r="L139" i="25"/>
  <c r="L138" i="25"/>
  <c r="L137" i="25"/>
  <c r="L136" i="25"/>
  <c r="L135" i="25"/>
  <c r="L134" i="25"/>
  <c r="L133" i="25"/>
  <c r="L132" i="25"/>
  <c r="L131" i="25"/>
  <c r="L130" i="25"/>
  <c r="L129" i="25"/>
  <c r="L128" i="25"/>
  <c r="L127" i="25"/>
  <c r="L126" i="25"/>
  <c r="L125" i="25"/>
  <c r="L124" i="25"/>
  <c r="L123" i="25"/>
  <c r="L122" i="25"/>
  <c r="L121" i="25"/>
  <c r="L120" i="25"/>
  <c r="L119" i="25"/>
  <c r="L118" i="25"/>
  <c r="L117" i="25"/>
  <c r="L116" i="25"/>
  <c r="L115" i="25"/>
  <c r="L114" i="25"/>
  <c r="L113" i="25"/>
  <c r="L112" i="25"/>
  <c r="L111" i="25"/>
  <c r="L110" i="25"/>
  <c r="L109" i="25"/>
  <c r="L108" i="25"/>
  <c r="L107" i="25"/>
  <c r="L106" i="25"/>
  <c r="L105" i="25"/>
  <c r="L104" i="25"/>
  <c r="L103" i="25"/>
  <c r="L102" i="25"/>
  <c r="L101" i="25"/>
  <c r="L100" i="25"/>
  <c r="L99" i="25"/>
  <c r="L98" i="25"/>
  <c r="L97" i="25"/>
  <c r="L96" i="25"/>
  <c r="L95" i="25"/>
  <c r="L94" i="25"/>
  <c r="L93" i="25"/>
  <c r="L92" i="25"/>
  <c r="L91" i="25"/>
  <c r="L90" i="25"/>
  <c r="L89" i="25"/>
  <c r="L88" i="25"/>
  <c r="L87" i="25"/>
  <c r="L86" i="25"/>
  <c r="L85" i="25"/>
  <c r="L84" i="25"/>
  <c r="L83" i="25"/>
  <c r="L82" i="25"/>
  <c r="L81" i="25"/>
  <c r="L80" i="25"/>
  <c r="L79" i="25"/>
  <c r="L78" i="25"/>
  <c r="L77" i="25"/>
  <c r="L76" i="25"/>
  <c r="L75" i="25"/>
  <c r="L74" i="25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A10" i="25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L9" i="25"/>
  <c r="B72" i="17"/>
  <c r="B71" i="17"/>
  <c r="B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8" i="17"/>
  <c r="B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5" i="17"/>
  <c r="B64" i="17"/>
  <c r="B63" i="17"/>
  <c r="B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0" i="17"/>
  <c r="B59" i="17"/>
  <c r="B58" i="17"/>
  <c r="B57" i="17"/>
  <c r="B56" i="17"/>
  <c r="B55" i="17"/>
  <c r="B54" i="17"/>
  <c r="B53" i="17"/>
  <c r="B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0" i="17"/>
  <c r="B49" i="17"/>
  <c r="B48" i="17"/>
  <c r="B47" i="17"/>
  <c r="B46" i="17"/>
  <c r="B45" i="17"/>
  <c r="B44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2" i="17"/>
  <c r="B41" i="17"/>
  <c r="B40" i="17"/>
  <c r="B39" i="17"/>
  <c r="B38" i="17"/>
  <c r="B37" i="17"/>
  <c r="B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4" i="17"/>
  <c r="B33" i="17"/>
  <c r="B32" i="17"/>
  <c r="B31" i="17"/>
  <c r="B30" i="17"/>
  <c r="B29" i="17"/>
  <c r="B28" i="17"/>
  <c r="B27" i="17"/>
  <c r="B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4" i="17"/>
  <c r="B23" i="17"/>
  <c r="B22" i="17"/>
  <c r="B21" i="17"/>
  <c r="B20" i="17"/>
  <c r="B19" i="17"/>
  <c r="B18" i="17"/>
  <c r="B17" i="17"/>
  <c r="B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4" i="17"/>
  <c r="B13" i="17"/>
  <c r="B12" i="17"/>
  <c r="B11" i="17"/>
  <c r="B10" i="17"/>
  <c r="N9" i="17"/>
  <c r="M9" i="17"/>
  <c r="L9" i="17"/>
  <c r="K9" i="17"/>
  <c r="J9" i="17"/>
  <c r="I9" i="17"/>
  <c r="H9" i="17"/>
  <c r="G9" i="17"/>
  <c r="F9" i="17"/>
  <c r="E9" i="17"/>
  <c r="D9" i="17"/>
  <c r="C9" i="17"/>
  <c r="B72" i="16"/>
  <c r="B71" i="16"/>
  <c r="B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8" i="16"/>
  <c r="B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5" i="16"/>
  <c r="B64" i="16"/>
  <c r="B63" i="16"/>
  <c r="B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0" i="16"/>
  <c r="B59" i="16"/>
  <c r="B58" i="16"/>
  <c r="B57" i="16"/>
  <c r="B56" i="16"/>
  <c r="B55" i="16"/>
  <c r="B54" i="16"/>
  <c r="B53" i="16"/>
  <c r="B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0" i="16"/>
  <c r="B49" i="16"/>
  <c r="B48" i="16"/>
  <c r="B47" i="16"/>
  <c r="B46" i="16"/>
  <c r="B45" i="16"/>
  <c r="B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2" i="16"/>
  <c r="B41" i="16"/>
  <c r="B40" i="16"/>
  <c r="B39" i="16"/>
  <c r="B38" i="16"/>
  <c r="B37" i="16"/>
  <c r="B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4" i="16"/>
  <c r="B33" i="16"/>
  <c r="B32" i="16"/>
  <c r="B31" i="16"/>
  <c r="B30" i="16"/>
  <c r="B29" i="16"/>
  <c r="B28" i="16"/>
  <c r="B27" i="16"/>
  <c r="B26" i="16"/>
  <c r="N25" i="16"/>
  <c r="M25" i="16"/>
  <c r="L25" i="16"/>
  <c r="K25" i="16"/>
  <c r="J25" i="16"/>
  <c r="I25" i="16"/>
  <c r="D27" i="18" s="1"/>
  <c r="H25" i="16"/>
  <c r="G25" i="16"/>
  <c r="F25" i="16"/>
  <c r="E25" i="16"/>
  <c r="D25" i="16"/>
  <c r="C25" i="16"/>
  <c r="B24" i="16"/>
  <c r="B23" i="16"/>
  <c r="B22" i="16"/>
  <c r="B21" i="16"/>
  <c r="B20" i="16"/>
  <c r="B19" i="16"/>
  <c r="B18" i="16"/>
  <c r="B17" i="16"/>
  <c r="B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4" i="16"/>
  <c r="B13" i="16"/>
  <c r="B12" i="16"/>
  <c r="B11" i="16"/>
  <c r="B10" i="16"/>
  <c r="N9" i="16"/>
  <c r="M9" i="16"/>
  <c r="L9" i="16"/>
  <c r="K9" i="16"/>
  <c r="J9" i="16"/>
  <c r="I9" i="16"/>
  <c r="H9" i="16"/>
  <c r="G9" i="16"/>
  <c r="F9" i="16"/>
  <c r="E9" i="16"/>
  <c r="D9" i="16"/>
  <c r="C9" i="16"/>
  <c r="J81" i="18"/>
  <c r="I81" i="18"/>
  <c r="H81" i="18"/>
  <c r="G81" i="18"/>
  <c r="E81" i="18"/>
  <c r="O81" i="18" s="1"/>
  <c r="D81" i="18"/>
  <c r="N81" i="18" s="1"/>
  <c r="C81" i="18"/>
  <c r="B81" i="18"/>
  <c r="J80" i="18"/>
  <c r="I80" i="18"/>
  <c r="H80" i="18"/>
  <c r="G80" i="18"/>
  <c r="E80" i="18"/>
  <c r="D80" i="18"/>
  <c r="C80" i="18"/>
  <c r="B80" i="18"/>
  <c r="J79" i="18"/>
  <c r="I79" i="18"/>
  <c r="H79" i="18"/>
  <c r="G79" i="18"/>
  <c r="E79" i="18"/>
  <c r="O79" i="18" s="1"/>
  <c r="D79" i="18"/>
  <c r="N79" i="18" s="1"/>
  <c r="C79" i="18"/>
  <c r="B79" i="18"/>
  <c r="J78" i="18"/>
  <c r="I78" i="18"/>
  <c r="H78" i="18"/>
  <c r="G78" i="18"/>
  <c r="E78" i="18"/>
  <c r="O78" i="18" s="1"/>
  <c r="D78" i="18"/>
  <c r="C78" i="18"/>
  <c r="B78" i="18"/>
  <c r="J77" i="18"/>
  <c r="I77" i="18"/>
  <c r="H77" i="18"/>
  <c r="G77" i="18"/>
  <c r="E77" i="18"/>
  <c r="D77" i="18"/>
  <c r="C77" i="18"/>
  <c r="B77" i="18"/>
  <c r="J76" i="18"/>
  <c r="I76" i="18"/>
  <c r="H76" i="18"/>
  <c r="G76" i="18"/>
  <c r="E76" i="18"/>
  <c r="O76" i="18" s="1"/>
  <c r="D76" i="18"/>
  <c r="C76" i="18"/>
  <c r="B76" i="18"/>
  <c r="J75" i="18"/>
  <c r="I75" i="18"/>
  <c r="H75" i="18"/>
  <c r="G75" i="18"/>
  <c r="E75" i="18"/>
  <c r="O75" i="18" s="1"/>
  <c r="D75" i="18"/>
  <c r="C75" i="18"/>
  <c r="B75" i="18"/>
  <c r="J74" i="18"/>
  <c r="I74" i="18"/>
  <c r="H74" i="18"/>
  <c r="G74" i="18"/>
  <c r="E74" i="18"/>
  <c r="D74" i="18"/>
  <c r="C74" i="18"/>
  <c r="B74" i="18"/>
  <c r="J73" i="18"/>
  <c r="I73" i="18"/>
  <c r="H73" i="18"/>
  <c r="G73" i="18"/>
  <c r="E73" i="18"/>
  <c r="O73" i="18" s="1"/>
  <c r="D73" i="18"/>
  <c r="N73" i="18" s="1"/>
  <c r="C73" i="18"/>
  <c r="B73" i="18"/>
  <c r="L73" i="18" s="1"/>
  <c r="J71" i="18"/>
  <c r="I71" i="18"/>
  <c r="H71" i="18"/>
  <c r="E71" i="18"/>
  <c r="O71" i="18" s="1"/>
  <c r="D71" i="18"/>
  <c r="C71" i="18"/>
  <c r="B71" i="18"/>
  <c r="L71" i="18" s="1"/>
  <c r="J70" i="18"/>
  <c r="I70" i="18"/>
  <c r="H70" i="18"/>
  <c r="G70" i="18"/>
  <c r="E70" i="18"/>
  <c r="O70" i="18" s="1"/>
  <c r="D70" i="18"/>
  <c r="C70" i="18"/>
  <c r="B70" i="18"/>
  <c r="J69" i="18"/>
  <c r="I69" i="18"/>
  <c r="H69" i="18"/>
  <c r="G69" i="18"/>
  <c r="E69" i="18"/>
  <c r="D69" i="18"/>
  <c r="N69" i="18" s="1"/>
  <c r="C69" i="18"/>
  <c r="B69" i="18"/>
  <c r="J67" i="18"/>
  <c r="I67" i="18"/>
  <c r="H67" i="18"/>
  <c r="G67" i="18"/>
  <c r="E67" i="18"/>
  <c r="O67" i="18" s="1"/>
  <c r="D67" i="18"/>
  <c r="C67" i="18"/>
  <c r="B67" i="18"/>
  <c r="J66" i="18"/>
  <c r="J65" i="18" s="1"/>
  <c r="I66" i="18"/>
  <c r="I65" i="18" s="1"/>
  <c r="H66" i="18"/>
  <c r="G66" i="18"/>
  <c r="E66" i="18"/>
  <c r="D66" i="18"/>
  <c r="C66" i="18"/>
  <c r="B66" i="18"/>
  <c r="J64" i="18"/>
  <c r="I64" i="18"/>
  <c r="H64" i="18"/>
  <c r="G64" i="18"/>
  <c r="E64" i="18"/>
  <c r="O64" i="18" s="1"/>
  <c r="D64" i="18"/>
  <c r="C64" i="18"/>
  <c r="B64" i="18"/>
  <c r="J63" i="18"/>
  <c r="I63" i="18"/>
  <c r="H63" i="18"/>
  <c r="G63" i="18"/>
  <c r="E63" i="18"/>
  <c r="D63" i="18"/>
  <c r="C63" i="18"/>
  <c r="B63" i="18"/>
  <c r="J62" i="18"/>
  <c r="I62" i="18"/>
  <c r="H62" i="18"/>
  <c r="G62" i="18"/>
  <c r="E62" i="18"/>
  <c r="D62" i="18"/>
  <c r="C62" i="18"/>
  <c r="B62" i="18"/>
  <c r="B60" i="18" s="1"/>
  <c r="J61" i="18"/>
  <c r="I61" i="18"/>
  <c r="I60" i="18" s="1"/>
  <c r="H61" i="18"/>
  <c r="H60" i="18" s="1"/>
  <c r="G61" i="18"/>
  <c r="G60" i="18" s="1"/>
  <c r="E61" i="18"/>
  <c r="D61" i="18"/>
  <c r="D60" i="18" s="1"/>
  <c r="C61" i="18"/>
  <c r="B61" i="18"/>
  <c r="J59" i="18"/>
  <c r="I59" i="18"/>
  <c r="H59" i="18"/>
  <c r="G59" i="18"/>
  <c r="E59" i="18"/>
  <c r="D59" i="18"/>
  <c r="N59" i="18" s="1"/>
  <c r="C59" i="18"/>
  <c r="B59" i="18"/>
  <c r="J58" i="18"/>
  <c r="I58" i="18"/>
  <c r="H58" i="18"/>
  <c r="G58" i="18"/>
  <c r="E58" i="18"/>
  <c r="D58" i="18"/>
  <c r="C58" i="18"/>
  <c r="B58" i="18"/>
  <c r="J57" i="18"/>
  <c r="I57" i="18"/>
  <c r="H57" i="18"/>
  <c r="G57" i="18"/>
  <c r="E57" i="18"/>
  <c r="D57" i="18"/>
  <c r="N57" i="18" s="1"/>
  <c r="C57" i="18"/>
  <c r="M57" i="18" s="1"/>
  <c r="B57" i="18"/>
  <c r="L57" i="18" s="1"/>
  <c r="J56" i="18"/>
  <c r="I56" i="18"/>
  <c r="H56" i="18"/>
  <c r="G56" i="18"/>
  <c r="E56" i="18"/>
  <c r="D56" i="18"/>
  <c r="C56" i="18"/>
  <c r="B56" i="18"/>
  <c r="J55" i="18"/>
  <c r="I55" i="18"/>
  <c r="H55" i="18"/>
  <c r="G55" i="18"/>
  <c r="E55" i="18"/>
  <c r="O55" i="18" s="1"/>
  <c r="D55" i="18"/>
  <c r="C55" i="18"/>
  <c r="B55" i="18"/>
  <c r="J54" i="18"/>
  <c r="I54" i="18"/>
  <c r="H54" i="18"/>
  <c r="G54" i="18"/>
  <c r="E54" i="18"/>
  <c r="D54" i="18"/>
  <c r="C54" i="18"/>
  <c r="B54" i="18"/>
  <c r="J53" i="18"/>
  <c r="I53" i="18"/>
  <c r="H53" i="18"/>
  <c r="G53" i="18"/>
  <c r="E53" i="18"/>
  <c r="D53" i="18"/>
  <c r="N53" i="18" s="1"/>
  <c r="C53" i="18"/>
  <c r="B53" i="18"/>
  <c r="L53" i="18" s="1"/>
  <c r="J52" i="18"/>
  <c r="I52" i="18"/>
  <c r="H52" i="18"/>
  <c r="H50" i="18" s="1"/>
  <c r="G52" i="18"/>
  <c r="E52" i="18"/>
  <c r="D52" i="18"/>
  <c r="C52" i="18"/>
  <c r="B52" i="18"/>
  <c r="J51" i="18"/>
  <c r="I51" i="18"/>
  <c r="H51" i="18"/>
  <c r="G51" i="18"/>
  <c r="E51" i="18"/>
  <c r="D51" i="18"/>
  <c r="N51" i="18" s="1"/>
  <c r="C51" i="18"/>
  <c r="M51" i="18" s="1"/>
  <c r="B51" i="18"/>
  <c r="L51" i="18" s="1"/>
  <c r="J50" i="18"/>
  <c r="J49" i="18"/>
  <c r="I49" i="18"/>
  <c r="H49" i="18"/>
  <c r="G49" i="18"/>
  <c r="E49" i="18"/>
  <c r="D49" i="18"/>
  <c r="C49" i="18"/>
  <c r="B49" i="18"/>
  <c r="J48" i="18"/>
  <c r="I48" i="18"/>
  <c r="H48" i="18"/>
  <c r="G48" i="18"/>
  <c r="E48" i="18"/>
  <c r="D48" i="18"/>
  <c r="N48" i="18" s="1"/>
  <c r="C48" i="18"/>
  <c r="M48" i="18" s="1"/>
  <c r="B48" i="18"/>
  <c r="J47" i="18"/>
  <c r="I47" i="18"/>
  <c r="H47" i="18"/>
  <c r="G47" i="18"/>
  <c r="E47" i="18"/>
  <c r="D47" i="18"/>
  <c r="N47" i="18" s="1"/>
  <c r="C47" i="18"/>
  <c r="B47" i="18"/>
  <c r="J46" i="18"/>
  <c r="I46" i="18"/>
  <c r="H46" i="18"/>
  <c r="G46" i="18"/>
  <c r="E46" i="18"/>
  <c r="O46" i="18" s="1"/>
  <c r="D46" i="18"/>
  <c r="C46" i="18"/>
  <c r="B46" i="18"/>
  <c r="J45" i="18"/>
  <c r="I45" i="18"/>
  <c r="H45" i="18"/>
  <c r="G45" i="18"/>
  <c r="E45" i="18"/>
  <c r="D45" i="18"/>
  <c r="N45" i="18" s="1"/>
  <c r="C45" i="18"/>
  <c r="B45" i="18"/>
  <c r="J44" i="18"/>
  <c r="I44" i="18"/>
  <c r="H44" i="18"/>
  <c r="G44" i="18"/>
  <c r="E44" i="18"/>
  <c r="D44" i="18"/>
  <c r="N44" i="18" s="1"/>
  <c r="C44" i="18"/>
  <c r="B44" i="18"/>
  <c r="J43" i="18"/>
  <c r="I43" i="18"/>
  <c r="I42" i="18" s="1"/>
  <c r="H43" i="18"/>
  <c r="G43" i="18"/>
  <c r="E43" i="18"/>
  <c r="D43" i="18"/>
  <c r="C43" i="18"/>
  <c r="B43" i="18"/>
  <c r="J41" i="18"/>
  <c r="I41" i="18"/>
  <c r="H41" i="18"/>
  <c r="G41" i="18"/>
  <c r="E41" i="18"/>
  <c r="D41" i="18"/>
  <c r="C41" i="18"/>
  <c r="B41" i="18"/>
  <c r="J40" i="18"/>
  <c r="I40" i="18"/>
  <c r="H40" i="18"/>
  <c r="G40" i="18"/>
  <c r="E40" i="18"/>
  <c r="O40" i="18" s="1"/>
  <c r="D40" i="18"/>
  <c r="C40" i="18"/>
  <c r="B40" i="18"/>
  <c r="J39" i="18"/>
  <c r="I39" i="18"/>
  <c r="H39" i="18"/>
  <c r="G39" i="18"/>
  <c r="E39" i="18"/>
  <c r="D39" i="18"/>
  <c r="C39" i="18"/>
  <c r="B39" i="18"/>
  <c r="J38" i="18"/>
  <c r="I38" i="18"/>
  <c r="H38" i="18"/>
  <c r="G38" i="18"/>
  <c r="E38" i="18"/>
  <c r="D38" i="18"/>
  <c r="C38" i="18"/>
  <c r="B38" i="18"/>
  <c r="J37" i="18"/>
  <c r="I37" i="18"/>
  <c r="H37" i="18"/>
  <c r="G37" i="18"/>
  <c r="E37" i="18"/>
  <c r="O37" i="18" s="1"/>
  <c r="D37" i="18"/>
  <c r="C37" i="18"/>
  <c r="B37" i="18"/>
  <c r="J36" i="18"/>
  <c r="I36" i="18"/>
  <c r="H36" i="18"/>
  <c r="G36" i="18"/>
  <c r="E36" i="18"/>
  <c r="D36" i="18"/>
  <c r="C36" i="18"/>
  <c r="B36" i="18"/>
  <c r="J35" i="18"/>
  <c r="I35" i="18"/>
  <c r="H35" i="18"/>
  <c r="G35" i="18"/>
  <c r="E35" i="18"/>
  <c r="D35" i="18"/>
  <c r="C35" i="18"/>
  <c r="B35" i="18"/>
  <c r="J33" i="18"/>
  <c r="I33" i="18"/>
  <c r="H33" i="18"/>
  <c r="G33" i="18"/>
  <c r="E33" i="18"/>
  <c r="D33" i="18"/>
  <c r="C33" i="18"/>
  <c r="B33" i="18"/>
  <c r="J32" i="18"/>
  <c r="I32" i="18"/>
  <c r="H32" i="18"/>
  <c r="G32" i="18"/>
  <c r="E32" i="18"/>
  <c r="D32" i="18"/>
  <c r="N32" i="18" s="1"/>
  <c r="C32" i="18"/>
  <c r="B32" i="18"/>
  <c r="J31" i="18"/>
  <c r="I31" i="18"/>
  <c r="H31" i="18"/>
  <c r="G31" i="18"/>
  <c r="E31" i="18"/>
  <c r="D31" i="18"/>
  <c r="C31" i="18"/>
  <c r="B31" i="18"/>
  <c r="J30" i="18"/>
  <c r="I30" i="18"/>
  <c r="H30" i="18"/>
  <c r="G30" i="18"/>
  <c r="E30" i="18"/>
  <c r="D30" i="18"/>
  <c r="N30" i="18" s="1"/>
  <c r="C30" i="18"/>
  <c r="B30" i="18"/>
  <c r="J29" i="18"/>
  <c r="I29" i="18"/>
  <c r="H29" i="18"/>
  <c r="G29" i="18"/>
  <c r="E29" i="18"/>
  <c r="D29" i="18"/>
  <c r="C29" i="18"/>
  <c r="B29" i="18"/>
  <c r="J28" i="18"/>
  <c r="I28" i="18"/>
  <c r="H28" i="18"/>
  <c r="G28" i="18"/>
  <c r="E28" i="18"/>
  <c r="D28" i="18"/>
  <c r="C28" i="18"/>
  <c r="B28" i="18"/>
  <c r="J27" i="18"/>
  <c r="I27" i="18"/>
  <c r="H27" i="18"/>
  <c r="G27" i="18"/>
  <c r="E27" i="18"/>
  <c r="C27" i="18"/>
  <c r="B27" i="18"/>
  <c r="J26" i="18"/>
  <c r="I26" i="18"/>
  <c r="H26" i="18"/>
  <c r="G26" i="18"/>
  <c r="E26" i="18"/>
  <c r="D26" i="18"/>
  <c r="C26" i="18"/>
  <c r="M26" i="18" s="1"/>
  <c r="B26" i="18"/>
  <c r="J25" i="18"/>
  <c r="I25" i="18"/>
  <c r="H25" i="18"/>
  <c r="G25" i="18"/>
  <c r="E25" i="18"/>
  <c r="D25" i="18"/>
  <c r="C25" i="18"/>
  <c r="B25" i="18"/>
  <c r="J23" i="18"/>
  <c r="I23" i="18"/>
  <c r="H23" i="18"/>
  <c r="G23" i="18"/>
  <c r="E23" i="18"/>
  <c r="D23" i="18"/>
  <c r="C23" i="18"/>
  <c r="B23" i="18"/>
  <c r="J22" i="18"/>
  <c r="I22" i="18"/>
  <c r="H22" i="18"/>
  <c r="G22" i="18"/>
  <c r="E22" i="18"/>
  <c r="D22" i="18"/>
  <c r="C22" i="18"/>
  <c r="B22" i="18"/>
  <c r="J21" i="18"/>
  <c r="I21" i="18"/>
  <c r="H21" i="18"/>
  <c r="G21" i="18"/>
  <c r="E21" i="18"/>
  <c r="D21" i="18"/>
  <c r="C21" i="18"/>
  <c r="M21" i="18" s="1"/>
  <c r="B21" i="18"/>
  <c r="J20" i="18"/>
  <c r="I20" i="18"/>
  <c r="H20" i="18"/>
  <c r="G20" i="18"/>
  <c r="E20" i="18"/>
  <c r="D20" i="18"/>
  <c r="C20" i="18"/>
  <c r="B20" i="18"/>
  <c r="J19" i="18"/>
  <c r="I19" i="18"/>
  <c r="H19" i="18"/>
  <c r="G19" i="18"/>
  <c r="E19" i="18"/>
  <c r="D19" i="18"/>
  <c r="C19" i="18"/>
  <c r="M19" i="18" s="1"/>
  <c r="B19" i="18"/>
  <c r="J18" i="18"/>
  <c r="I18" i="18"/>
  <c r="H18" i="18"/>
  <c r="G18" i="18"/>
  <c r="E18" i="18"/>
  <c r="D18" i="18"/>
  <c r="C18" i="18"/>
  <c r="B18" i="18"/>
  <c r="J17" i="18"/>
  <c r="I17" i="18"/>
  <c r="H17" i="18"/>
  <c r="G17" i="18"/>
  <c r="E17" i="18"/>
  <c r="D17" i="18"/>
  <c r="C17" i="18"/>
  <c r="B17" i="18"/>
  <c r="J16" i="18"/>
  <c r="I16" i="18"/>
  <c r="H16" i="18"/>
  <c r="H14" i="18" s="1"/>
  <c r="G16" i="18"/>
  <c r="E16" i="18"/>
  <c r="D16" i="18"/>
  <c r="C16" i="18"/>
  <c r="B16" i="18"/>
  <c r="J15" i="18"/>
  <c r="I15" i="18"/>
  <c r="H15" i="18"/>
  <c r="G15" i="18"/>
  <c r="E15" i="18"/>
  <c r="D15" i="18"/>
  <c r="C15" i="18"/>
  <c r="M15" i="18" s="1"/>
  <c r="B15" i="18"/>
  <c r="J13" i="18"/>
  <c r="I13" i="18"/>
  <c r="H13" i="18"/>
  <c r="G13" i="18"/>
  <c r="E13" i="18"/>
  <c r="D13" i="18"/>
  <c r="N13" i="18" s="1"/>
  <c r="C13" i="18"/>
  <c r="B13" i="18"/>
  <c r="J12" i="18"/>
  <c r="I12" i="18"/>
  <c r="H12" i="18"/>
  <c r="G12" i="18"/>
  <c r="E12" i="18"/>
  <c r="O12" i="18" s="1"/>
  <c r="D12" i="18"/>
  <c r="N12" i="18" s="1"/>
  <c r="C12" i="18"/>
  <c r="M12" i="18" s="1"/>
  <c r="B12" i="18"/>
  <c r="J11" i="18"/>
  <c r="I11" i="18"/>
  <c r="H11" i="18"/>
  <c r="G11" i="18"/>
  <c r="E11" i="18"/>
  <c r="D11" i="18"/>
  <c r="C11" i="18"/>
  <c r="B11" i="18"/>
  <c r="J10" i="18"/>
  <c r="I10" i="18"/>
  <c r="H10" i="18"/>
  <c r="G10" i="18"/>
  <c r="E10" i="18"/>
  <c r="O10" i="18" s="1"/>
  <c r="D10" i="18"/>
  <c r="N10" i="18" s="1"/>
  <c r="C10" i="18"/>
  <c r="M10" i="18" s="1"/>
  <c r="B10" i="18"/>
  <c r="J9" i="18"/>
  <c r="J8" i="18" s="1"/>
  <c r="I9" i="18"/>
  <c r="H9" i="18"/>
  <c r="H8" i="18" s="1"/>
  <c r="G9" i="18"/>
  <c r="E9" i="18"/>
  <c r="D9" i="18"/>
  <c r="N9" i="18" s="1"/>
  <c r="C9" i="18"/>
  <c r="B9" i="18"/>
  <c r="A2" i="6"/>
  <c r="AN58" i="10"/>
  <c r="AM58" i="10"/>
  <c r="AL58" i="10"/>
  <c r="I82" i="4" s="1"/>
  <c r="I81" i="4" s="1"/>
  <c r="AK58" i="10"/>
  <c r="AJ58" i="10"/>
  <c r="I77" i="4" s="1"/>
  <c r="AI58" i="10"/>
  <c r="I76" i="4" s="1"/>
  <c r="AH58" i="10"/>
  <c r="AG58" i="10"/>
  <c r="I73" i="4" s="1"/>
  <c r="I72" i="4" s="1"/>
  <c r="AF58" i="10"/>
  <c r="I70" i="4" s="1"/>
  <c r="AE58" i="10"/>
  <c r="I69" i="4" s="1"/>
  <c r="AD58" i="10"/>
  <c r="I67" i="4" s="1"/>
  <c r="AC58" i="10"/>
  <c r="I66" i="4" s="1"/>
  <c r="AB58" i="10"/>
  <c r="I63" i="4" s="1"/>
  <c r="AA58" i="10"/>
  <c r="I62" i="4" s="1"/>
  <c r="Z58" i="10"/>
  <c r="Y58" i="10"/>
  <c r="X58" i="10"/>
  <c r="W58" i="10"/>
  <c r="I58" i="4" s="1"/>
  <c r="V58" i="10"/>
  <c r="I57" i="4" s="1"/>
  <c r="U58" i="10"/>
  <c r="T58" i="10"/>
  <c r="S58" i="10"/>
  <c r="I53" i="4" s="1"/>
  <c r="I52" i="4" s="1"/>
  <c r="R58" i="10"/>
  <c r="I50" i="4" s="1"/>
  <c r="Q58" i="10"/>
  <c r="I49" i="4" s="1"/>
  <c r="P58" i="10"/>
  <c r="I48" i="4" s="1"/>
  <c r="O58" i="10"/>
  <c r="I47" i="4" s="1"/>
  <c r="N58" i="10"/>
  <c r="I45" i="4" s="1"/>
  <c r="I44" i="4" s="1"/>
  <c r="M58" i="10"/>
  <c r="I43" i="4" s="1"/>
  <c r="I42" i="4" s="1"/>
  <c r="L58" i="10"/>
  <c r="I41" i="4" s="1"/>
  <c r="K58" i="10"/>
  <c r="I40" i="4" s="1"/>
  <c r="J58" i="10"/>
  <c r="I58" i="10"/>
  <c r="H58" i="10"/>
  <c r="G58" i="10"/>
  <c r="F58" i="10"/>
  <c r="I34" i="4" s="1"/>
  <c r="E58" i="10"/>
  <c r="D58" i="10"/>
  <c r="I32" i="4" s="1"/>
  <c r="C58" i="10"/>
  <c r="I31" i="4" s="1"/>
  <c r="B58" i="10"/>
  <c r="I30" i="4" s="1"/>
  <c r="A58" i="10"/>
  <c r="I29" i="4" s="1"/>
  <c r="AO57" i="10"/>
  <c r="AO56" i="10"/>
  <c r="AO55" i="10"/>
  <c r="AO54" i="10"/>
  <c r="AO53" i="10"/>
  <c r="AO52" i="10"/>
  <c r="AO51" i="10"/>
  <c r="AO50" i="10"/>
  <c r="AO49" i="10"/>
  <c r="AO48" i="10"/>
  <c r="AO47" i="10"/>
  <c r="AO46" i="10"/>
  <c r="AO45" i="10"/>
  <c r="AO44" i="10"/>
  <c r="AO43" i="10"/>
  <c r="AO42" i="10"/>
  <c r="AO41" i="10"/>
  <c r="AO40" i="10"/>
  <c r="AO39" i="10"/>
  <c r="AO38" i="10"/>
  <c r="AO37" i="10"/>
  <c r="AO36" i="10"/>
  <c r="AO35" i="10"/>
  <c r="AO34" i="10"/>
  <c r="AO33" i="10"/>
  <c r="AO32" i="10"/>
  <c r="AO31" i="10"/>
  <c r="AO30" i="10"/>
  <c r="AO29" i="10"/>
  <c r="AO28" i="10"/>
  <c r="AO27" i="10"/>
  <c r="AO26" i="10"/>
  <c r="AO25" i="10"/>
  <c r="AO24" i="10"/>
  <c r="AO23" i="10"/>
  <c r="AO22" i="10"/>
  <c r="AO21" i="10"/>
  <c r="AO20" i="10"/>
  <c r="AO19" i="10"/>
  <c r="AO18" i="10"/>
  <c r="AO17" i="10"/>
  <c r="AO16" i="10"/>
  <c r="AO15" i="10"/>
  <c r="AO14" i="10"/>
  <c r="AO13" i="10"/>
  <c r="AO12" i="10"/>
  <c r="AO11" i="10"/>
  <c r="AO10" i="10"/>
  <c r="AO9" i="10"/>
  <c r="AO8" i="10"/>
  <c r="AO7" i="10"/>
  <c r="AO6" i="10"/>
  <c r="AO5" i="10"/>
  <c r="AO4" i="10"/>
  <c r="AO3" i="10"/>
  <c r="JV81" i="1"/>
  <c r="JU81" i="1"/>
  <c r="JT81" i="1"/>
  <c r="JS81" i="1"/>
  <c r="JR81" i="1"/>
  <c r="JQ81" i="1"/>
  <c r="JO81" i="1"/>
  <c r="JN81" i="1"/>
  <c r="JM81" i="1"/>
  <c r="JH81" i="1"/>
  <c r="H501" i="4" s="1"/>
  <c r="H500" i="4" s="1"/>
  <c r="JG81" i="1"/>
  <c r="H499" i="4" s="1"/>
  <c r="H498" i="4" s="1"/>
  <c r="JF81" i="1"/>
  <c r="H496" i="4" s="1"/>
  <c r="H495" i="4" s="1"/>
  <c r="JE81" i="1"/>
  <c r="H494" i="4" s="1"/>
  <c r="H493" i="4" s="1"/>
  <c r="JD81" i="1"/>
  <c r="H491" i="4" s="1"/>
  <c r="H490" i="4" s="1"/>
  <c r="JC81" i="1"/>
  <c r="H489" i="4" s="1"/>
  <c r="H488" i="4" s="1"/>
  <c r="JB81" i="1"/>
  <c r="JA81" i="1"/>
  <c r="IZ81" i="1"/>
  <c r="IY81" i="1"/>
  <c r="H481" i="4" s="1"/>
  <c r="H480" i="4" s="1"/>
  <c r="IX81" i="1"/>
  <c r="H479" i="4" s="1"/>
  <c r="H478" i="4" s="1"/>
  <c r="IW81" i="1"/>
  <c r="IV81" i="1"/>
  <c r="H475" i="4" s="1"/>
  <c r="H474" i="4" s="1"/>
  <c r="IU81" i="1"/>
  <c r="H472" i="4" s="1"/>
  <c r="H471" i="4" s="1"/>
  <c r="IT81" i="1"/>
  <c r="H470" i="4" s="1"/>
  <c r="H469" i="4" s="1"/>
  <c r="IS81" i="1"/>
  <c r="H468" i="4" s="1"/>
  <c r="H467" i="4" s="1"/>
  <c r="IR81" i="1"/>
  <c r="H466" i="4" s="1"/>
  <c r="H465" i="4" s="1"/>
  <c r="IQ81" i="1"/>
  <c r="IP81" i="1"/>
  <c r="H460" i="4" s="1"/>
  <c r="IO81" i="1"/>
  <c r="H459" i="4" s="1"/>
  <c r="IN81" i="1"/>
  <c r="H458" i="4" s="1"/>
  <c r="IM81" i="1"/>
  <c r="H456" i="4" s="1"/>
  <c r="H455" i="4" s="1"/>
  <c r="IL81" i="1"/>
  <c r="IK81" i="1"/>
  <c r="IJ81" i="1"/>
  <c r="II81" i="1"/>
  <c r="H449" i="4" s="1"/>
  <c r="IH81" i="1"/>
  <c r="H448" i="4" s="1"/>
  <c r="IG81" i="1"/>
  <c r="IF81" i="1"/>
  <c r="H443" i="4" s="1"/>
  <c r="IE81" i="1"/>
  <c r="H442" i="4" s="1"/>
  <c r="ID81" i="1"/>
  <c r="H441" i="4" s="1"/>
  <c r="IC81" i="1"/>
  <c r="H439" i="4" s="1"/>
  <c r="H438" i="4" s="1"/>
  <c r="IB81" i="1"/>
  <c r="H437" i="4" s="1"/>
  <c r="H436" i="4" s="1"/>
  <c r="IA81" i="1"/>
  <c r="H435" i="4" s="1"/>
  <c r="H434" i="4" s="1"/>
  <c r="HZ81" i="1"/>
  <c r="H433" i="4" s="1"/>
  <c r="H432" i="4" s="1"/>
  <c r="HY81" i="1"/>
  <c r="H431" i="4" s="1"/>
  <c r="HX81" i="1"/>
  <c r="H430" i="4" s="1"/>
  <c r="H429" i="4" s="1"/>
  <c r="HW81" i="1"/>
  <c r="H428" i="4" s="1"/>
  <c r="H427" i="4" s="1"/>
  <c r="HV81" i="1"/>
  <c r="HU81" i="1"/>
  <c r="HT81" i="1"/>
  <c r="HS81" i="1"/>
  <c r="HR81" i="1"/>
  <c r="HQ81" i="1"/>
  <c r="HP81" i="1"/>
  <c r="H413" i="4" s="1"/>
  <c r="H412" i="4" s="1"/>
  <c r="HO81" i="1"/>
  <c r="H411" i="4" s="1"/>
  <c r="H410" i="4" s="1"/>
  <c r="HN81" i="1"/>
  <c r="H409" i="4" s="1"/>
  <c r="H408" i="4" s="1"/>
  <c r="HM81" i="1"/>
  <c r="H407" i="4" s="1"/>
  <c r="H406" i="4" s="1"/>
  <c r="HL81" i="1"/>
  <c r="H404" i="4" s="1"/>
  <c r="H403" i="4" s="1"/>
  <c r="HK81" i="1"/>
  <c r="H402" i="4" s="1"/>
  <c r="H401" i="4" s="1"/>
  <c r="HJ81" i="1"/>
  <c r="H399" i="4" s="1"/>
  <c r="H398" i="4" s="1"/>
  <c r="HI81" i="1"/>
  <c r="H397" i="4" s="1"/>
  <c r="H396" i="4" s="1"/>
  <c r="HH81" i="1"/>
  <c r="H395" i="4" s="1"/>
  <c r="H394" i="4" s="1"/>
  <c r="HG81" i="1"/>
  <c r="H393" i="4" s="1"/>
  <c r="H392" i="4" s="1"/>
  <c r="HF81" i="1"/>
  <c r="HE81" i="1"/>
  <c r="HD81" i="1"/>
  <c r="H387" i="4" s="1"/>
  <c r="H386" i="4" s="1"/>
  <c r="HC81" i="1"/>
  <c r="H385" i="4" s="1"/>
  <c r="H384" i="4" s="1"/>
  <c r="HB81" i="1"/>
  <c r="H382" i="4" s="1"/>
  <c r="H381" i="4" s="1"/>
  <c r="HA81" i="1"/>
  <c r="GZ81" i="1"/>
  <c r="H378" i="4" s="1"/>
  <c r="H377" i="4" s="1"/>
  <c r="GY81" i="1"/>
  <c r="GX81" i="1"/>
  <c r="H372" i="4" s="1"/>
  <c r="H371" i="4" s="1"/>
  <c r="GW81" i="1"/>
  <c r="GV81" i="1"/>
  <c r="H370" i="4" s="1"/>
  <c r="H369" i="4" s="1"/>
  <c r="GU81" i="1"/>
  <c r="GT81" i="1"/>
  <c r="H365" i="4" s="1"/>
  <c r="H364" i="4" s="1"/>
  <c r="GS81" i="1"/>
  <c r="H363" i="4" s="1"/>
  <c r="H362" i="4" s="1"/>
  <c r="GR81" i="1"/>
  <c r="H361" i="4" s="1"/>
  <c r="H360" i="4" s="1"/>
  <c r="GQ81" i="1"/>
  <c r="H359" i="4" s="1"/>
  <c r="H358" i="4" s="1"/>
  <c r="GP81" i="1"/>
  <c r="GO81" i="1"/>
  <c r="GN81" i="1"/>
  <c r="GM81" i="1"/>
  <c r="GL81" i="1"/>
  <c r="H347" i="4" s="1"/>
  <c r="H346" i="4" s="1"/>
  <c r="GK81" i="1"/>
  <c r="GJ81" i="1"/>
  <c r="H343" i="4" s="1"/>
  <c r="H342" i="4" s="1"/>
  <c r="GI81" i="1"/>
  <c r="H341" i="4" s="1"/>
  <c r="H340" i="4" s="1"/>
  <c r="GH81" i="1"/>
  <c r="H339" i="4" s="1"/>
  <c r="H338" i="4" s="1"/>
  <c r="GG81" i="1"/>
  <c r="H335" i="4" s="1"/>
  <c r="GF81" i="1"/>
  <c r="H334" i="4" s="1"/>
  <c r="GE81" i="1"/>
  <c r="H333" i="4" s="1"/>
  <c r="GD81" i="1"/>
  <c r="H332" i="4" s="1"/>
  <c r="GC81" i="1"/>
  <c r="H331" i="4" s="1"/>
  <c r="GB81" i="1"/>
  <c r="H329" i="4" s="1"/>
  <c r="GA81" i="1"/>
  <c r="H328" i="4" s="1"/>
  <c r="FZ81" i="1"/>
  <c r="FY81" i="1"/>
  <c r="FX81" i="1"/>
  <c r="FW81" i="1"/>
  <c r="H321" i="4" s="1"/>
  <c r="H320" i="4" s="1"/>
  <c r="C15" i="6" s="1"/>
  <c r="FV81" i="1"/>
  <c r="H319" i="4" s="1"/>
  <c r="H318" i="4" s="1"/>
  <c r="FU81" i="1"/>
  <c r="FT81" i="1"/>
  <c r="H315" i="4" s="1"/>
  <c r="H314" i="4" s="1"/>
  <c r="FS81" i="1"/>
  <c r="H313" i="4" s="1"/>
  <c r="H312" i="4" s="1"/>
  <c r="FR81" i="1"/>
  <c r="H311" i="4" s="1"/>
  <c r="FQ81" i="1"/>
  <c r="H310" i="4" s="1"/>
  <c r="FP81" i="1"/>
  <c r="H307" i="4" s="1"/>
  <c r="H306" i="4" s="1"/>
  <c r="FO81" i="1"/>
  <c r="H305" i="4" s="1"/>
  <c r="H304" i="4" s="1"/>
  <c r="FN81" i="1"/>
  <c r="H302" i="4" s="1"/>
  <c r="C10" i="6" s="1"/>
  <c r="FM81" i="1"/>
  <c r="H301" i="4" s="1"/>
  <c r="FL81" i="1"/>
  <c r="H300" i="4" s="1"/>
  <c r="FK81" i="1"/>
  <c r="H299" i="4" s="1"/>
  <c r="FJ81" i="1"/>
  <c r="FI81" i="1"/>
  <c r="FH81" i="1"/>
  <c r="FG81" i="1"/>
  <c r="H294" i="4" s="1"/>
  <c r="FF81" i="1"/>
  <c r="FE81" i="1"/>
  <c r="FD81" i="1"/>
  <c r="H291" i="4" s="1"/>
  <c r="FC81" i="1"/>
  <c r="H290" i="4" s="1"/>
  <c r="FB81" i="1"/>
  <c r="H289" i="4" s="1"/>
  <c r="FA81" i="1"/>
  <c r="H288" i="4" s="1"/>
  <c r="C29" i="6" s="1"/>
  <c r="EZ81" i="1"/>
  <c r="H285" i="4" s="1"/>
  <c r="H284" i="4" s="1"/>
  <c r="EY81" i="1"/>
  <c r="H283" i="4" s="1"/>
  <c r="EX81" i="1"/>
  <c r="H282" i="4" s="1"/>
  <c r="EW81" i="1"/>
  <c r="H281" i="4" s="1"/>
  <c r="EV81" i="1"/>
  <c r="H280" i="4" s="1"/>
  <c r="EU81" i="1"/>
  <c r="H279" i="4" s="1"/>
  <c r="ET81" i="1"/>
  <c r="ES81" i="1"/>
  <c r="ER81" i="1"/>
  <c r="EQ81" i="1"/>
  <c r="H274" i="4" s="1"/>
  <c r="EP81" i="1"/>
  <c r="H273" i="4" s="1"/>
  <c r="EO81" i="1"/>
  <c r="EN81" i="1"/>
  <c r="H270" i="4" s="1"/>
  <c r="EM81" i="1"/>
  <c r="H269" i="4" s="1"/>
  <c r="EL81" i="1"/>
  <c r="H267" i="4" s="1"/>
  <c r="EK81" i="1"/>
  <c r="H266" i="4" s="1"/>
  <c r="EJ81" i="1"/>
  <c r="H265" i="4" s="1"/>
  <c r="EI81" i="1"/>
  <c r="H264" i="4" s="1"/>
  <c r="EH81" i="1"/>
  <c r="H263" i="4" s="1"/>
  <c r="EG81" i="1"/>
  <c r="H260" i="4" s="1"/>
  <c r="H259" i="4" s="1"/>
  <c r="C28" i="6" s="1"/>
  <c r="EF81" i="1"/>
  <c r="H258" i="4" s="1"/>
  <c r="H257" i="4" s="1"/>
  <c r="EE81" i="1"/>
  <c r="H256" i="4" s="1"/>
  <c r="H255" i="4" s="1"/>
  <c r="ED81" i="1"/>
  <c r="EC81" i="1"/>
  <c r="EB81" i="1"/>
  <c r="EA81" i="1"/>
  <c r="H247" i="4" s="1"/>
  <c r="H246" i="4" s="1"/>
  <c r="DZ81" i="1"/>
  <c r="DY81" i="1"/>
  <c r="DX81" i="1"/>
  <c r="H240" i="4" s="1"/>
  <c r="H239" i="4" s="1"/>
  <c r="DW81" i="1"/>
  <c r="H238" i="4" s="1"/>
  <c r="H237" i="4" s="1"/>
  <c r="DV81" i="1"/>
  <c r="H236" i="4" s="1"/>
  <c r="H235" i="4" s="1"/>
  <c r="DU81" i="1"/>
  <c r="H234" i="4" s="1"/>
  <c r="H233" i="4" s="1"/>
  <c r="DT81" i="1"/>
  <c r="H231" i="4" s="1"/>
  <c r="H230" i="4" s="1"/>
  <c r="DS81" i="1"/>
  <c r="H229" i="4" s="1"/>
  <c r="H228" i="4" s="1"/>
  <c r="DR81" i="1"/>
  <c r="H227" i="4" s="1"/>
  <c r="H226" i="4" s="1"/>
  <c r="DQ81" i="1"/>
  <c r="H224" i="4" s="1"/>
  <c r="H223" i="4" s="1"/>
  <c r="DP81" i="1"/>
  <c r="H222" i="4" s="1"/>
  <c r="DO81" i="1"/>
  <c r="H221" i="4" s="1"/>
  <c r="H219" i="4" s="1"/>
  <c r="DN81" i="1"/>
  <c r="DM81" i="1"/>
  <c r="DL81" i="1"/>
  <c r="DK81" i="1"/>
  <c r="H215" i="4" s="1"/>
  <c r="DJ81" i="1"/>
  <c r="H211" i="4" s="1"/>
  <c r="DI81" i="1"/>
  <c r="DH81" i="1"/>
  <c r="H207" i="4" s="1"/>
  <c r="DG81" i="1"/>
  <c r="H206" i="4" s="1"/>
  <c r="DF81" i="1"/>
  <c r="H205" i="4" s="1"/>
  <c r="DE81" i="1"/>
  <c r="H203" i="4" s="1"/>
  <c r="DD81" i="1"/>
  <c r="H202" i="4" s="1"/>
  <c r="DC81" i="1"/>
  <c r="H201" i="4" s="1"/>
  <c r="DB81" i="1"/>
  <c r="H200" i="4" s="1"/>
  <c r="DA81" i="1"/>
  <c r="H199" i="4" s="1"/>
  <c r="CZ81" i="1"/>
  <c r="H198" i="4" s="1"/>
  <c r="CY81" i="1"/>
  <c r="H196" i="4" s="1"/>
  <c r="CX81" i="1"/>
  <c r="CW81" i="1"/>
  <c r="CV81" i="1"/>
  <c r="CU81" i="1"/>
  <c r="H191" i="4" s="1"/>
  <c r="CT81" i="1"/>
  <c r="H190" i="4" s="1"/>
  <c r="CS81" i="1"/>
  <c r="CR81" i="1"/>
  <c r="H187" i="4" s="1"/>
  <c r="H186" i="4" s="1"/>
  <c r="CQ81" i="1"/>
  <c r="H185" i="4" s="1"/>
  <c r="H184" i="4" s="1"/>
  <c r="CP81" i="1"/>
  <c r="H183" i="4" s="1"/>
  <c r="H182" i="4" s="1"/>
  <c r="C24" i="6" s="1"/>
  <c r="CO81" i="1"/>
  <c r="H181" i="4" s="1"/>
  <c r="H180" i="4" s="1"/>
  <c r="CN81" i="1"/>
  <c r="H178" i="4" s="1"/>
  <c r="H177" i="4" s="1"/>
  <c r="CM81" i="1"/>
  <c r="H176" i="4" s="1"/>
  <c r="CL81" i="1"/>
  <c r="H175" i="4" s="1"/>
  <c r="CK81" i="1"/>
  <c r="H174" i="4" s="1"/>
  <c r="CJ81" i="1"/>
  <c r="H173" i="4" s="1"/>
  <c r="CI81" i="1"/>
  <c r="H172" i="4" s="1"/>
  <c r="CH81" i="1"/>
  <c r="CG81" i="1"/>
  <c r="CF81" i="1"/>
  <c r="CE81" i="1"/>
  <c r="CD81" i="1"/>
  <c r="CC81" i="1"/>
  <c r="CB81" i="1"/>
  <c r="CA81" i="1"/>
  <c r="H163" i="4" s="1"/>
  <c r="BZ81" i="1"/>
  <c r="H162" i="4" s="1"/>
  <c r="BY81" i="1"/>
  <c r="H161" i="4" s="1"/>
  <c r="BX81" i="1"/>
  <c r="H160" i="4" s="1"/>
  <c r="BW81" i="1"/>
  <c r="H159" i="4" s="1"/>
  <c r="BV81" i="1"/>
  <c r="H156" i="4" s="1"/>
  <c r="H155" i="4" s="1"/>
  <c r="BU81" i="1"/>
  <c r="H154" i="4" s="1"/>
  <c r="H153" i="4" s="1"/>
  <c r="BT81" i="1"/>
  <c r="H152" i="4" s="1"/>
  <c r="H151" i="4" s="1"/>
  <c r="BS81" i="1"/>
  <c r="H150" i="4" s="1"/>
  <c r="H149" i="4" s="1"/>
  <c r="BR81" i="1"/>
  <c r="BQ81" i="1"/>
  <c r="BP81" i="1"/>
  <c r="BO81" i="1"/>
  <c r="H141" i="4" s="1"/>
  <c r="H140" i="4" s="1"/>
  <c r="BN81" i="1"/>
  <c r="H139" i="4" s="1"/>
  <c r="H138" i="4" s="1"/>
  <c r="BM81" i="1"/>
  <c r="BL81" i="1"/>
  <c r="H135" i="4" s="1"/>
  <c r="BK81" i="1"/>
  <c r="H134" i="4" s="1"/>
  <c r="BJ81" i="1"/>
  <c r="H133" i="4" s="1"/>
  <c r="BI81" i="1"/>
  <c r="H132" i="4" s="1"/>
  <c r="BH81" i="1"/>
  <c r="H131" i="4" s="1"/>
  <c r="BG81" i="1"/>
  <c r="H129" i="4" s="1"/>
  <c r="H128" i="4" s="1"/>
  <c r="BF81" i="1"/>
  <c r="H127" i="4" s="1"/>
  <c r="H126" i="4" s="1"/>
  <c r="BE81" i="1"/>
  <c r="H124" i="4" s="1"/>
  <c r="H123" i="4" s="1"/>
  <c r="BD81" i="1"/>
  <c r="H122" i="4" s="1"/>
  <c r="H121" i="4" s="1"/>
  <c r="BC81" i="1"/>
  <c r="H120" i="4" s="1"/>
  <c r="H119" i="4" s="1"/>
  <c r="BB81" i="1"/>
  <c r="BA81" i="1"/>
  <c r="AZ81" i="1"/>
  <c r="AY81" i="1"/>
  <c r="H110" i="4" s="1"/>
  <c r="H109" i="4" s="1"/>
  <c r="AX81" i="1"/>
  <c r="H108" i="4" s="1"/>
  <c r="H107" i="4" s="1"/>
  <c r="AW81" i="1"/>
  <c r="AV81" i="1"/>
  <c r="H103" i="4" s="1"/>
  <c r="H102" i="4" s="1"/>
  <c r="AU81" i="1"/>
  <c r="H101" i="4" s="1"/>
  <c r="AT81" i="1"/>
  <c r="H100" i="4" s="1"/>
  <c r="AS81" i="1"/>
  <c r="H98" i="4" s="1"/>
  <c r="H97" i="4" s="1"/>
  <c r="AR81" i="1"/>
  <c r="H96" i="4" s="1"/>
  <c r="H95" i="4" s="1"/>
  <c r="AQ81" i="1"/>
  <c r="H94" i="4" s="1"/>
  <c r="H93" i="4" s="1"/>
  <c r="AP81" i="1"/>
  <c r="H92" i="4" s="1"/>
  <c r="H91" i="4" s="1"/>
  <c r="AO81" i="1"/>
  <c r="H90" i="4" s="1"/>
  <c r="H89" i="4" s="1"/>
  <c r="AN81" i="1"/>
  <c r="H86" i="4" s="1"/>
  <c r="H85" i="4" s="1"/>
  <c r="AM81" i="1"/>
  <c r="H84" i="4" s="1"/>
  <c r="H83" i="4" s="1"/>
  <c r="AL81" i="1"/>
  <c r="AK81" i="1"/>
  <c r="AJ81" i="1"/>
  <c r="AI81" i="1"/>
  <c r="H76" i="4" s="1"/>
  <c r="AH81" i="1"/>
  <c r="AG81" i="1"/>
  <c r="AF81" i="1"/>
  <c r="H70" i="4" s="1"/>
  <c r="AE81" i="1"/>
  <c r="H69" i="4" s="1"/>
  <c r="AD81" i="1"/>
  <c r="H67" i="4" s="1"/>
  <c r="AC81" i="1"/>
  <c r="H66" i="4" s="1"/>
  <c r="AB81" i="1"/>
  <c r="H63" i="4" s="1"/>
  <c r="AA81" i="1"/>
  <c r="H62" i="4" s="1"/>
  <c r="Z81" i="1"/>
  <c r="H61" i="4" s="1"/>
  <c r="Y81" i="1"/>
  <c r="H60" i="4" s="1"/>
  <c r="X81" i="1"/>
  <c r="H59" i="4" s="1"/>
  <c r="W81" i="1"/>
  <c r="H58" i="4" s="1"/>
  <c r="V81" i="1"/>
  <c r="U81" i="1"/>
  <c r="T81" i="1"/>
  <c r="S81" i="1"/>
  <c r="H53" i="4" s="1"/>
  <c r="H52" i="4" s="1"/>
  <c r="R81" i="1"/>
  <c r="H50" i="4" s="1"/>
  <c r="Q81" i="1"/>
  <c r="P81" i="1"/>
  <c r="H48" i="4" s="1"/>
  <c r="O81" i="1"/>
  <c r="H47" i="4" s="1"/>
  <c r="N81" i="1"/>
  <c r="H45" i="4" s="1"/>
  <c r="H44" i="4" s="1"/>
  <c r="M81" i="1"/>
  <c r="H43" i="4" s="1"/>
  <c r="H42" i="4" s="1"/>
  <c r="L81" i="1"/>
  <c r="H41" i="4" s="1"/>
  <c r="K81" i="1"/>
  <c r="H40" i="4" s="1"/>
  <c r="J81" i="1"/>
  <c r="H39" i="4" s="1"/>
  <c r="I81" i="1"/>
  <c r="H38" i="4" s="1"/>
  <c r="H81" i="1"/>
  <c r="G81" i="1"/>
  <c r="H36" i="4" s="1"/>
  <c r="F81" i="1"/>
  <c r="E81" i="1"/>
  <c r="D81" i="1"/>
  <c r="C81" i="1"/>
  <c r="B81" i="1"/>
  <c r="H30" i="4" s="1"/>
  <c r="A81" i="1"/>
  <c r="JI78" i="1"/>
  <c r="JI77" i="1"/>
  <c r="JI76" i="1"/>
  <c r="JI75" i="1"/>
  <c r="JI74" i="1"/>
  <c r="JI73" i="1"/>
  <c r="JI72" i="1"/>
  <c r="JI71" i="1"/>
  <c r="JI70" i="1"/>
  <c r="JI69" i="1"/>
  <c r="JI68" i="1"/>
  <c r="JI67" i="1"/>
  <c r="JI66" i="1"/>
  <c r="JL66" i="1" s="1"/>
  <c r="JI65" i="1"/>
  <c r="JL65" i="1" s="1"/>
  <c r="JI64" i="1"/>
  <c r="JL64" i="1" s="1"/>
  <c r="JI63" i="1"/>
  <c r="JL63" i="1" s="1"/>
  <c r="JI62" i="1"/>
  <c r="JL62" i="1" s="1"/>
  <c r="JI61" i="1"/>
  <c r="JL61" i="1" s="1"/>
  <c r="JI60" i="1"/>
  <c r="JL60" i="1" s="1"/>
  <c r="JI59" i="1"/>
  <c r="JL59" i="1" s="1"/>
  <c r="JI58" i="1"/>
  <c r="JL58" i="1" s="1"/>
  <c r="JI57" i="1"/>
  <c r="JL57" i="1" s="1"/>
  <c r="JI56" i="1"/>
  <c r="JL56" i="1" s="1"/>
  <c r="JI55" i="1"/>
  <c r="JL55" i="1" s="1"/>
  <c r="JI54" i="1"/>
  <c r="JL54" i="1" s="1"/>
  <c r="JI53" i="1"/>
  <c r="JL53" i="1" s="1"/>
  <c r="JI52" i="1"/>
  <c r="JL52" i="1" s="1"/>
  <c r="JI51" i="1"/>
  <c r="JL51" i="1" s="1"/>
  <c r="JI50" i="1"/>
  <c r="JL50" i="1" s="1"/>
  <c r="JI49" i="1"/>
  <c r="JL49" i="1" s="1"/>
  <c r="JI48" i="1"/>
  <c r="JL48" i="1" s="1"/>
  <c r="JI47" i="1"/>
  <c r="JL47" i="1" s="1"/>
  <c r="JI46" i="1"/>
  <c r="JL46" i="1" s="1"/>
  <c r="JI45" i="1"/>
  <c r="JL45" i="1" s="1"/>
  <c r="JI44" i="1"/>
  <c r="JL44" i="1" s="1"/>
  <c r="JI43" i="1"/>
  <c r="JL43" i="1" s="1"/>
  <c r="JI42" i="1"/>
  <c r="JL42" i="1" s="1"/>
  <c r="JI41" i="1"/>
  <c r="JL41" i="1" s="1"/>
  <c r="JI40" i="1"/>
  <c r="JL40" i="1" s="1"/>
  <c r="JI39" i="1"/>
  <c r="JL39" i="1" s="1"/>
  <c r="JI38" i="1"/>
  <c r="JL38" i="1" s="1"/>
  <c r="JI37" i="1"/>
  <c r="JL37" i="1" s="1"/>
  <c r="JI36" i="1"/>
  <c r="JL36" i="1" s="1"/>
  <c r="JI35" i="1"/>
  <c r="JL35" i="1" s="1"/>
  <c r="JI34" i="1"/>
  <c r="JL34" i="1" s="1"/>
  <c r="JI33" i="1"/>
  <c r="JL33" i="1" s="1"/>
  <c r="JI32" i="1"/>
  <c r="JL32" i="1" s="1"/>
  <c r="JI31" i="1"/>
  <c r="JL31" i="1" s="1"/>
  <c r="JI30" i="1"/>
  <c r="JL30" i="1" s="1"/>
  <c r="JI29" i="1"/>
  <c r="JL29" i="1" s="1"/>
  <c r="JI28" i="1"/>
  <c r="JL28" i="1" s="1"/>
  <c r="JI27" i="1"/>
  <c r="JL27" i="1" s="1"/>
  <c r="JI26" i="1"/>
  <c r="JL26" i="1" s="1"/>
  <c r="JI25" i="1"/>
  <c r="JL25" i="1" s="1"/>
  <c r="JI24" i="1"/>
  <c r="JL24" i="1" s="1"/>
  <c r="JI23" i="1"/>
  <c r="JL23" i="1" s="1"/>
  <c r="JI22" i="1"/>
  <c r="JL22" i="1" s="1"/>
  <c r="JI21" i="1"/>
  <c r="JL21" i="1" s="1"/>
  <c r="JI20" i="1"/>
  <c r="JL20" i="1" s="1"/>
  <c r="JI19" i="1"/>
  <c r="JL19" i="1" s="1"/>
  <c r="JI18" i="1"/>
  <c r="JL18" i="1" s="1"/>
  <c r="JI17" i="1"/>
  <c r="JL17" i="1" s="1"/>
  <c r="JI16" i="1"/>
  <c r="JL16" i="1" s="1"/>
  <c r="JI15" i="1"/>
  <c r="JL15" i="1" s="1"/>
  <c r="JI14" i="1"/>
  <c r="JL14" i="1" s="1"/>
  <c r="JI13" i="1"/>
  <c r="JL13" i="1" s="1"/>
  <c r="JI12" i="1"/>
  <c r="JL12" i="1" s="1"/>
  <c r="JI11" i="1"/>
  <c r="JL11" i="1" s="1"/>
  <c r="JI10" i="1"/>
  <c r="JL10" i="1" s="1"/>
  <c r="JI9" i="1"/>
  <c r="JL9" i="1" s="1"/>
  <c r="JI8" i="1"/>
  <c r="JL8" i="1" s="1"/>
  <c r="JI7" i="1"/>
  <c r="JL7" i="1" s="1"/>
  <c r="JI6" i="1"/>
  <c r="JL6" i="1" s="1"/>
  <c r="JI5" i="1"/>
  <c r="JL5" i="1" s="1"/>
  <c r="JI4" i="1"/>
  <c r="JL4" i="1" s="1"/>
  <c r="JI3" i="1"/>
  <c r="JL3" i="1" s="1"/>
  <c r="JH287" i="13"/>
  <c r="JG287" i="13"/>
  <c r="JF287" i="13"/>
  <c r="JE287" i="13"/>
  <c r="JD287" i="13"/>
  <c r="JC287" i="13"/>
  <c r="JB287" i="13"/>
  <c r="JA287" i="13"/>
  <c r="IZ287" i="13"/>
  <c r="IY287" i="13"/>
  <c r="IX287" i="13"/>
  <c r="IW287" i="13"/>
  <c r="IV287" i="13"/>
  <c r="IU287" i="13"/>
  <c r="IT287" i="13"/>
  <c r="IS287" i="13"/>
  <c r="IR287" i="13"/>
  <c r="IQ287" i="13"/>
  <c r="IP287" i="13"/>
  <c r="IO287" i="13"/>
  <c r="IN287" i="13"/>
  <c r="IM287" i="13"/>
  <c r="IL287" i="13"/>
  <c r="IK287" i="13"/>
  <c r="IJ287" i="13"/>
  <c r="II287" i="13"/>
  <c r="IH287" i="13"/>
  <c r="IG287" i="13"/>
  <c r="IF287" i="13"/>
  <c r="IE287" i="13"/>
  <c r="ID287" i="13"/>
  <c r="IC287" i="13"/>
  <c r="IB287" i="13"/>
  <c r="IA287" i="13"/>
  <c r="HZ287" i="13"/>
  <c r="HY287" i="13"/>
  <c r="HX287" i="13"/>
  <c r="HW287" i="13"/>
  <c r="HV287" i="13"/>
  <c r="HU287" i="13"/>
  <c r="HT287" i="13"/>
  <c r="HS287" i="13"/>
  <c r="HR287" i="13"/>
  <c r="HQ287" i="13"/>
  <c r="HP287" i="13"/>
  <c r="HO287" i="13"/>
  <c r="HN287" i="13"/>
  <c r="HM287" i="13"/>
  <c r="HL287" i="13"/>
  <c r="HK287" i="13"/>
  <c r="HJ287" i="13"/>
  <c r="HI287" i="13"/>
  <c r="HH287" i="13"/>
  <c r="HG287" i="13"/>
  <c r="HF287" i="13"/>
  <c r="HE287" i="13"/>
  <c r="HD287" i="13"/>
  <c r="HC287" i="13"/>
  <c r="HB287" i="13"/>
  <c r="HA287" i="13"/>
  <c r="GZ287" i="13"/>
  <c r="GY287" i="13"/>
  <c r="GX287" i="13"/>
  <c r="GW287" i="13"/>
  <c r="GV287" i="13"/>
  <c r="GU287" i="13"/>
  <c r="GT287" i="13"/>
  <c r="GS287" i="13"/>
  <c r="GR287" i="13"/>
  <c r="GQ287" i="13"/>
  <c r="GP287" i="13"/>
  <c r="GO287" i="13"/>
  <c r="GN287" i="13"/>
  <c r="GM287" i="13"/>
  <c r="GL287" i="13"/>
  <c r="GK287" i="13"/>
  <c r="GJ287" i="13"/>
  <c r="GI287" i="13"/>
  <c r="GH287" i="13"/>
  <c r="GG287" i="13"/>
  <c r="GF287" i="13"/>
  <c r="GE287" i="13"/>
  <c r="GD287" i="13"/>
  <c r="GC287" i="13"/>
  <c r="GB287" i="13"/>
  <c r="GA287" i="13"/>
  <c r="FZ287" i="13"/>
  <c r="FY287" i="13"/>
  <c r="FX287" i="13"/>
  <c r="FW287" i="13"/>
  <c r="FV287" i="13"/>
  <c r="FU287" i="13"/>
  <c r="FT287" i="13"/>
  <c r="FS287" i="13"/>
  <c r="FR287" i="13"/>
  <c r="FQ287" i="13"/>
  <c r="FP287" i="13"/>
  <c r="FO287" i="13"/>
  <c r="FN287" i="13"/>
  <c r="FM287" i="13"/>
  <c r="FL287" i="13"/>
  <c r="FK287" i="13"/>
  <c r="FJ287" i="13"/>
  <c r="FI287" i="13"/>
  <c r="FH287" i="13"/>
  <c r="FG287" i="13"/>
  <c r="FF287" i="13"/>
  <c r="FE287" i="13"/>
  <c r="FD287" i="13"/>
  <c r="FC287" i="13"/>
  <c r="FB287" i="13"/>
  <c r="FA287" i="13"/>
  <c r="EZ287" i="13"/>
  <c r="EY287" i="13"/>
  <c r="EX287" i="13"/>
  <c r="EW287" i="13"/>
  <c r="EV287" i="13"/>
  <c r="EU287" i="13"/>
  <c r="ET287" i="13"/>
  <c r="ES287" i="13"/>
  <c r="ER287" i="13"/>
  <c r="EQ287" i="13"/>
  <c r="EP287" i="13"/>
  <c r="EO287" i="13"/>
  <c r="EN287" i="13"/>
  <c r="EM287" i="13"/>
  <c r="EL287" i="13"/>
  <c r="EK287" i="13"/>
  <c r="EJ287" i="13"/>
  <c r="EI287" i="13"/>
  <c r="EH287" i="13"/>
  <c r="EG287" i="13"/>
  <c r="EF287" i="13"/>
  <c r="EE287" i="13"/>
  <c r="ED287" i="13"/>
  <c r="EC287" i="13"/>
  <c r="EB287" i="13"/>
  <c r="EA287" i="13"/>
  <c r="DZ287" i="13"/>
  <c r="DY287" i="13"/>
  <c r="DX287" i="13"/>
  <c r="DW287" i="13"/>
  <c r="DV287" i="13"/>
  <c r="DU287" i="13"/>
  <c r="DT287" i="13"/>
  <c r="DS287" i="13"/>
  <c r="DR287" i="13"/>
  <c r="DQ287" i="13"/>
  <c r="DP287" i="13"/>
  <c r="DO287" i="13"/>
  <c r="DN287" i="13"/>
  <c r="DM287" i="13"/>
  <c r="DL287" i="13"/>
  <c r="DK287" i="13"/>
  <c r="DJ287" i="13"/>
  <c r="DI287" i="13"/>
  <c r="DH287" i="13"/>
  <c r="DG287" i="13"/>
  <c r="DF287" i="13"/>
  <c r="DE287" i="13"/>
  <c r="DD287" i="13"/>
  <c r="DC287" i="13"/>
  <c r="DB287" i="13"/>
  <c r="DA287" i="13"/>
  <c r="CZ287" i="13"/>
  <c r="CY287" i="13"/>
  <c r="CX287" i="13"/>
  <c r="CW287" i="13"/>
  <c r="CV287" i="13"/>
  <c r="CU287" i="13"/>
  <c r="CT287" i="13"/>
  <c r="CS287" i="13"/>
  <c r="CR287" i="13"/>
  <c r="CQ287" i="13"/>
  <c r="CP287" i="13"/>
  <c r="CO287" i="13"/>
  <c r="CN287" i="13"/>
  <c r="CM287" i="13"/>
  <c r="CL287" i="13"/>
  <c r="CK287" i="13"/>
  <c r="CJ287" i="13"/>
  <c r="CI287" i="13"/>
  <c r="CH287" i="13"/>
  <c r="CG287" i="13"/>
  <c r="CF287" i="13"/>
  <c r="CE287" i="13"/>
  <c r="CD287" i="13"/>
  <c r="CC287" i="13"/>
  <c r="CB287" i="13"/>
  <c r="CA287" i="13"/>
  <c r="BZ287" i="13"/>
  <c r="BY287" i="13"/>
  <c r="BX287" i="13"/>
  <c r="BW287" i="13"/>
  <c r="BV287" i="13"/>
  <c r="BU287" i="13"/>
  <c r="BT287" i="13"/>
  <c r="BS287" i="13"/>
  <c r="BR287" i="13"/>
  <c r="BQ287" i="13"/>
  <c r="BP287" i="13"/>
  <c r="BO287" i="13"/>
  <c r="BN287" i="13"/>
  <c r="BM287" i="13"/>
  <c r="BL287" i="13"/>
  <c r="BK287" i="13"/>
  <c r="BJ287" i="13"/>
  <c r="BI287" i="13"/>
  <c r="BH287" i="13"/>
  <c r="BG287" i="13"/>
  <c r="BF287" i="13"/>
  <c r="BE287" i="13"/>
  <c r="BD287" i="13"/>
  <c r="BC287" i="13"/>
  <c r="BB287" i="13"/>
  <c r="BA287" i="13"/>
  <c r="AZ287" i="13"/>
  <c r="AY287" i="13"/>
  <c r="AX287" i="13"/>
  <c r="AW287" i="13"/>
  <c r="AV287" i="13"/>
  <c r="AU287" i="13"/>
  <c r="AT287" i="13"/>
  <c r="AS287" i="13"/>
  <c r="AR287" i="13"/>
  <c r="AQ287" i="13"/>
  <c r="AP287" i="13"/>
  <c r="AO287" i="13"/>
  <c r="AN287" i="13"/>
  <c r="AM287" i="13"/>
  <c r="AL287" i="13"/>
  <c r="AK287" i="13"/>
  <c r="AJ287" i="13"/>
  <c r="AI287" i="13"/>
  <c r="AH287" i="13"/>
  <c r="AG287" i="13"/>
  <c r="AF287" i="13"/>
  <c r="AE287" i="13"/>
  <c r="AD287" i="13"/>
  <c r="AC287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O287" i="13"/>
  <c r="N287" i="13"/>
  <c r="M287" i="13"/>
  <c r="L287" i="13"/>
  <c r="K287" i="13"/>
  <c r="J287" i="13"/>
  <c r="I287" i="13"/>
  <c r="H287" i="13"/>
  <c r="G287" i="13"/>
  <c r="F287" i="13"/>
  <c r="E287" i="13"/>
  <c r="D287" i="13"/>
  <c r="C287" i="13"/>
  <c r="B287" i="13"/>
  <c r="A287" i="13"/>
  <c r="JI286" i="13"/>
  <c r="JI285" i="13"/>
  <c r="JI284" i="13"/>
  <c r="JI283" i="13"/>
  <c r="JI282" i="13"/>
  <c r="JI281" i="13"/>
  <c r="JI280" i="13"/>
  <c r="JI279" i="13"/>
  <c r="JI278" i="13"/>
  <c r="JI277" i="13"/>
  <c r="JI276" i="13"/>
  <c r="JI275" i="13"/>
  <c r="JL271" i="13"/>
  <c r="JH271" i="13"/>
  <c r="JG271" i="13"/>
  <c r="JF271" i="13"/>
  <c r="JF288" i="13" s="1"/>
  <c r="G496" i="4" s="1"/>
  <c r="G495" i="4" s="1"/>
  <c r="JE271" i="13"/>
  <c r="JD271" i="13"/>
  <c r="JC271" i="13"/>
  <c r="JB271" i="13"/>
  <c r="JA271" i="13"/>
  <c r="IZ271" i="13"/>
  <c r="IY271" i="13"/>
  <c r="IX271" i="13"/>
  <c r="IW271" i="13"/>
  <c r="IV271" i="13"/>
  <c r="IU271" i="13"/>
  <c r="IT271" i="13"/>
  <c r="IT288" i="13" s="1"/>
  <c r="G470" i="4" s="1"/>
  <c r="G469" i="4" s="1"/>
  <c r="IS271" i="13"/>
  <c r="IR271" i="13"/>
  <c r="IQ271" i="13"/>
  <c r="IP271" i="13"/>
  <c r="IP288" i="13" s="1"/>
  <c r="G460" i="4" s="1"/>
  <c r="IO271" i="13"/>
  <c r="IN271" i="13"/>
  <c r="IM271" i="13"/>
  <c r="IL271" i="13"/>
  <c r="IK271" i="13"/>
  <c r="IJ271" i="13"/>
  <c r="II271" i="13"/>
  <c r="IH271" i="13"/>
  <c r="IG271" i="13"/>
  <c r="IF271" i="13"/>
  <c r="IE271" i="13"/>
  <c r="ID271" i="13"/>
  <c r="ID288" i="13" s="1"/>
  <c r="G441" i="4" s="1"/>
  <c r="IC271" i="13"/>
  <c r="IC288" i="13" s="1"/>
  <c r="G439" i="4" s="1"/>
  <c r="IB271" i="13"/>
  <c r="IA271" i="13"/>
  <c r="HZ271" i="13"/>
  <c r="HZ288" i="13" s="1"/>
  <c r="G433" i="4" s="1"/>
  <c r="J433" i="4" s="1"/>
  <c r="HY271" i="13"/>
  <c r="HX271" i="13"/>
  <c r="HW271" i="13"/>
  <c r="HV271" i="13"/>
  <c r="HU271" i="13"/>
  <c r="HT271" i="13"/>
  <c r="HS271" i="13"/>
  <c r="HR271" i="13"/>
  <c r="HQ271" i="13"/>
  <c r="HP271" i="13"/>
  <c r="HO271" i="13"/>
  <c r="HN271" i="13"/>
  <c r="HN288" i="13" s="1"/>
  <c r="G409" i="4" s="1"/>
  <c r="G408" i="4" s="1"/>
  <c r="HM271" i="13"/>
  <c r="HM288" i="13" s="1"/>
  <c r="G407" i="4" s="1"/>
  <c r="HL271" i="13"/>
  <c r="HK271" i="13"/>
  <c r="HJ271" i="13"/>
  <c r="HJ288" i="13" s="1"/>
  <c r="G399" i="4" s="1"/>
  <c r="HI271" i="13"/>
  <c r="HH271" i="13"/>
  <c r="HG271" i="13"/>
  <c r="HF271" i="13"/>
  <c r="HE271" i="13"/>
  <c r="HD271" i="13"/>
  <c r="HC271" i="13"/>
  <c r="HB271" i="13"/>
  <c r="HA271" i="13"/>
  <c r="GZ271" i="13"/>
  <c r="GY271" i="13"/>
  <c r="GX271" i="13"/>
  <c r="GX288" i="13" s="1"/>
  <c r="G374" i="4" s="1"/>
  <c r="GW271" i="13"/>
  <c r="GV271" i="13"/>
  <c r="GU271" i="13"/>
  <c r="GT271" i="13"/>
  <c r="GT288" i="13" s="1"/>
  <c r="G365" i="4" s="1"/>
  <c r="GS271" i="13"/>
  <c r="GR271" i="13"/>
  <c r="GQ271" i="13"/>
  <c r="GP271" i="13"/>
  <c r="GO271" i="13"/>
  <c r="GN271" i="13"/>
  <c r="GM271" i="13"/>
  <c r="GL271" i="13"/>
  <c r="GK271" i="13"/>
  <c r="GJ271" i="13"/>
  <c r="GI271" i="13"/>
  <c r="GH271" i="13"/>
  <c r="GH288" i="13" s="1"/>
  <c r="G339" i="4" s="1"/>
  <c r="GG271" i="13"/>
  <c r="GG288" i="13" s="1"/>
  <c r="G335" i="4" s="1"/>
  <c r="GF271" i="13"/>
  <c r="GE271" i="13"/>
  <c r="GD271" i="13"/>
  <c r="GD288" i="13" s="1"/>
  <c r="G332" i="4" s="1"/>
  <c r="GC271" i="13"/>
  <c r="GB271" i="13"/>
  <c r="GA271" i="13"/>
  <c r="FZ271" i="13"/>
  <c r="FY271" i="13"/>
  <c r="FX271" i="13"/>
  <c r="FW271" i="13"/>
  <c r="FV271" i="13"/>
  <c r="FU271" i="13"/>
  <c r="FT271" i="13"/>
  <c r="FS271" i="13"/>
  <c r="FR271" i="13"/>
  <c r="FR288" i="13" s="1"/>
  <c r="G311" i="4" s="1"/>
  <c r="FQ271" i="13"/>
  <c r="FQ288" i="13" s="1"/>
  <c r="G310" i="4" s="1"/>
  <c r="FP271" i="13"/>
  <c r="FO271" i="13"/>
  <c r="FN271" i="13"/>
  <c r="FN288" i="13" s="1"/>
  <c r="G302" i="4" s="1"/>
  <c r="B10" i="6" s="1"/>
  <c r="FM271" i="13"/>
  <c r="FL271" i="13"/>
  <c r="FK271" i="13"/>
  <c r="FJ271" i="13"/>
  <c r="FI271" i="13"/>
  <c r="FH271" i="13"/>
  <c r="FG271" i="13"/>
  <c r="FF271" i="13"/>
  <c r="FE271" i="13"/>
  <c r="FD271" i="13"/>
  <c r="FC271" i="13"/>
  <c r="FB271" i="13"/>
  <c r="FB288" i="13" s="1"/>
  <c r="G289" i="4" s="1"/>
  <c r="FA271" i="13"/>
  <c r="EZ271" i="13"/>
  <c r="EY271" i="13"/>
  <c r="EX271" i="13"/>
  <c r="EX288" i="13" s="1"/>
  <c r="G282" i="4" s="1"/>
  <c r="EW271" i="13"/>
  <c r="EV271" i="13"/>
  <c r="EU271" i="13"/>
  <c r="ET271" i="13"/>
  <c r="ES271" i="13"/>
  <c r="ER271" i="13"/>
  <c r="EQ271" i="13"/>
  <c r="EP271" i="13"/>
  <c r="EO271" i="13"/>
  <c r="EN271" i="13"/>
  <c r="EM271" i="13"/>
  <c r="EL271" i="13"/>
  <c r="EL288" i="13" s="1"/>
  <c r="G267" i="4" s="1"/>
  <c r="EK271" i="13"/>
  <c r="EK288" i="13" s="1"/>
  <c r="G266" i="4" s="1"/>
  <c r="EJ271" i="13"/>
  <c r="EI271" i="13"/>
  <c r="EH271" i="13"/>
  <c r="EH288" i="13" s="1"/>
  <c r="G263" i="4" s="1"/>
  <c r="EG271" i="13"/>
  <c r="EF271" i="13"/>
  <c r="EE271" i="13"/>
  <c r="ED271" i="13"/>
  <c r="EC271" i="13"/>
  <c r="EB271" i="13"/>
  <c r="EA271" i="13"/>
  <c r="DZ271" i="13"/>
  <c r="DY271" i="13"/>
  <c r="DX271" i="13"/>
  <c r="DW271" i="13"/>
  <c r="DV271" i="13"/>
  <c r="DV288" i="13" s="1"/>
  <c r="G236" i="4" s="1"/>
  <c r="DU271" i="13"/>
  <c r="DU288" i="13" s="1"/>
  <c r="G234" i="4" s="1"/>
  <c r="G233" i="4" s="1"/>
  <c r="DT271" i="13"/>
  <c r="DS271" i="13"/>
  <c r="DR271" i="13"/>
  <c r="DR288" i="13" s="1"/>
  <c r="G227" i="4" s="1"/>
  <c r="G226" i="4" s="1"/>
  <c r="DQ271" i="13"/>
  <c r="DP271" i="13"/>
  <c r="DO271" i="13"/>
  <c r="DN271" i="13"/>
  <c r="DM271" i="13"/>
  <c r="DL271" i="13"/>
  <c r="DK271" i="13"/>
  <c r="DJ271" i="13"/>
  <c r="DI271" i="13"/>
  <c r="DH271" i="13"/>
  <c r="DG271" i="13"/>
  <c r="DF271" i="13"/>
  <c r="DF288" i="13" s="1"/>
  <c r="G205" i="4" s="1"/>
  <c r="DE271" i="13"/>
  <c r="DD271" i="13"/>
  <c r="DC271" i="13"/>
  <c r="DB271" i="13"/>
  <c r="DB288" i="13" s="1"/>
  <c r="G200" i="4" s="1"/>
  <c r="DA271" i="13"/>
  <c r="CZ271" i="13"/>
  <c r="CY271" i="13"/>
  <c r="CX271" i="13"/>
  <c r="CW271" i="13"/>
  <c r="CV271" i="13"/>
  <c r="CU271" i="13"/>
  <c r="CT271" i="13"/>
  <c r="CS271" i="13"/>
  <c r="CR271" i="13"/>
  <c r="CQ271" i="13"/>
  <c r="CP271" i="13"/>
  <c r="CO271" i="13"/>
  <c r="CO288" i="13" s="1"/>
  <c r="G181" i="4" s="1"/>
  <c r="G180" i="4" s="1"/>
  <c r="CN271" i="13"/>
  <c r="CM271" i="13"/>
  <c r="CL271" i="13"/>
  <c r="CK271" i="13"/>
  <c r="CJ271" i="13"/>
  <c r="CI271" i="13"/>
  <c r="CH271" i="13"/>
  <c r="CG271" i="13"/>
  <c r="CF271" i="13"/>
  <c r="CE271" i="13"/>
  <c r="CD271" i="13"/>
  <c r="CC271" i="13"/>
  <c r="CB271" i="13"/>
  <c r="CA271" i="13"/>
  <c r="BZ271" i="13"/>
  <c r="BZ288" i="13" s="1"/>
  <c r="G162" i="4" s="1"/>
  <c r="BY271" i="13"/>
  <c r="BY288" i="13" s="1"/>
  <c r="G161" i="4" s="1"/>
  <c r="BX271" i="13"/>
  <c r="BW271" i="13"/>
  <c r="BV271" i="13"/>
  <c r="BV288" i="13" s="1"/>
  <c r="G156" i="4" s="1"/>
  <c r="BU271" i="13"/>
  <c r="BT271" i="13"/>
  <c r="BS271" i="13"/>
  <c r="BR271" i="13"/>
  <c r="BQ271" i="13"/>
  <c r="BP271" i="13"/>
  <c r="BO271" i="13"/>
  <c r="BN271" i="13"/>
  <c r="BM271" i="13"/>
  <c r="BL271" i="13"/>
  <c r="BK271" i="13"/>
  <c r="BJ271" i="13"/>
  <c r="BJ288" i="13" s="1"/>
  <c r="G133" i="4" s="1"/>
  <c r="BI271" i="13"/>
  <c r="BH271" i="13"/>
  <c r="BG271" i="13"/>
  <c r="BF271" i="13"/>
  <c r="BF288" i="13" s="1"/>
  <c r="G127" i="4" s="1"/>
  <c r="BE271" i="13"/>
  <c r="BD271" i="13"/>
  <c r="BC271" i="13"/>
  <c r="BB271" i="13"/>
  <c r="BA271" i="13"/>
  <c r="AZ271" i="13"/>
  <c r="AY271" i="13"/>
  <c r="AX271" i="13"/>
  <c r="AW271" i="13"/>
  <c r="AV271" i="13"/>
  <c r="AU271" i="13"/>
  <c r="AT271" i="13"/>
  <c r="AT288" i="13" s="1"/>
  <c r="G100" i="4" s="1"/>
  <c r="AS271" i="13"/>
  <c r="AS288" i="13" s="1"/>
  <c r="G98" i="4" s="1"/>
  <c r="AR271" i="13"/>
  <c r="AQ271" i="13"/>
  <c r="AP271" i="13"/>
  <c r="AP288" i="13" s="1"/>
  <c r="G92" i="4" s="1"/>
  <c r="J92" i="4" s="1"/>
  <c r="AO271" i="13"/>
  <c r="AN271" i="13"/>
  <c r="AM271" i="13"/>
  <c r="AL271" i="13"/>
  <c r="AK271" i="13"/>
  <c r="AJ271" i="13"/>
  <c r="AI271" i="13"/>
  <c r="AH271" i="13"/>
  <c r="AG271" i="13"/>
  <c r="AF271" i="13"/>
  <c r="AE271" i="13"/>
  <c r="AD271" i="13"/>
  <c r="AD288" i="13" s="1"/>
  <c r="G67" i="4" s="1"/>
  <c r="AC271" i="13"/>
  <c r="AC288" i="13" s="1"/>
  <c r="G66" i="4" s="1"/>
  <c r="AB271" i="13"/>
  <c r="AA271" i="13"/>
  <c r="Z271" i="13"/>
  <c r="Z288" i="13" s="1"/>
  <c r="G61" i="4" s="1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N288" i="13" s="1"/>
  <c r="G45" i="4" s="1"/>
  <c r="G44" i="4" s="1"/>
  <c r="M271" i="13"/>
  <c r="M288" i="13" s="1"/>
  <c r="G43" i="4" s="1"/>
  <c r="L271" i="13"/>
  <c r="K271" i="13"/>
  <c r="J271" i="13"/>
  <c r="J288" i="13" s="1"/>
  <c r="G39" i="4" s="1"/>
  <c r="I271" i="13"/>
  <c r="H271" i="13"/>
  <c r="G271" i="13"/>
  <c r="F271" i="13"/>
  <c r="E271" i="13"/>
  <c r="D271" i="13"/>
  <c r="C271" i="13"/>
  <c r="B271" i="13"/>
  <c r="A271" i="13"/>
  <c r="JI266" i="13"/>
  <c r="JK266" i="13" s="1"/>
  <c r="JI265" i="13"/>
  <c r="JK265" i="13" s="1"/>
  <c r="JI264" i="13"/>
  <c r="JK264" i="13" s="1"/>
  <c r="JI263" i="13"/>
  <c r="JK263" i="13" s="1"/>
  <c r="JI262" i="13"/>
  <c r="JK262" i="13" s="1"/>
  <c r="JI261" i="13"/>
  <c r="JK261" i="13" s="1"/>
  <c r="JI260" i="13"/>
  <c r="JK260" i="13" s="1"/>
  <c r="JI259" i="13"/>
  <c r="JK259" i="13" s="1"/>
  <c r="JI258" i="13"/>
  <c r="JK258" i="13" s="1"/>
  <c r="JI257" i="13"/>
  <c r="JK257" i="13" s="1"/>
  <c r="JI256" i="13"/>
  <c r="JK256" i="13" s="1"/>
  <c r="JI255" i="13"/>
  <c r="JK255" i="13" s="1"/>
  <c r="JI254" i="13"/>
  <c r="JK254" i="13" s="1"/>
  <c r="JI253" i="13"/>
  <c r="JK253" i="13" s="1"/>
  <c r="JI252" i="13"/>
  <c r="JK252" i="13" s="1"/>
  <c r="JI251" i="13"/>
  <c r="JK251" i="13" s="1"/>
  <c r="JI250" i="13"/>
  <c r="JK250" i="13" s="1"/>
  <c r="JI249" i="13"/>
  <c r="JK249" i="13" s="1"/>
  <c r="JI248" i="13"/>
  <c r="JK248" i="13" s="1"/>
  <c r="JI247" i="13"/>
  <c r="JK247" i="13" s="1"/>
  <c r="JI246" i="13"/>
  <c r="JK246" i="13" s="1"/>
  <c r="JI245" i="13"/>
  <c r="JK245" i="13" s="1"/>
  <c r="JI244" i="13"/>
  <c r="JK244" i="13" s="1"/>
  <c r="JI243" i="13"/>
  <c r="JK243" i="13" s="1"/>
  <c r="JI242" i="13"/>
  <c r="JK242" i="13" s="1"/>
  <c r="JI241" i="13"/>
  <c r="JK241" i="13" s="1"/>
  <c r="JI240" i="13"/>
  <c r="JK240" i="13" s="1"/>
  <c r="JI239" i="13"/>
  <c r="JK239" i="13" s="1"/>
  <c r="JI238" i="13"/>
  <c r="JK238" i="13" s="1"/>
  <c r="JI237" i="13"/>
  <c r="JK237" i="13" s="1"/>
  <c r="JI236" i="13"/>
  <c r="JK236" i="13" s="1"/>
  <c r="JI235" i="13"/>
  <c r="JK235" i="13" s="1"/>
  <c r="JI234" i="13"/>
  <c r="JK234" i="13" s="1"/>
  <c r="JI233" i="13"/>
  <c r="JK233" i="13" s="1"/>
  <c r="JI232" i="13"/>
  <c r="JK232" i="13" s="1"/>
  <c r="JI231" i="13"/>
  <c r="JK231" i="13" s="1"/>
  <c r="JI230" i="13"/>
  <c r="JK230" i="13" s="1"/>
  <c r="JI229" i="13"/>
  <c r="JK229" i="13" s="1"/>
  <c r="JI228" i="13"/>
  <c r="JK228" i="13" s="1"/>
  <c r="JI227" i="13"/>
  <c r="JK227" i="13" s="1"/>
  <c r="JI226" i="13"/>
  <c r="JK226" i="13" s="1"/>
  <c r="JI225" i="13"/>
  <c r="JK225" i="13" s="1"/>
  <c r="JI224" i="13"/>
  <c r="JK224" i="13" s="1"/>
  <c r="JI223" i="13"/>
  <c r="JK223" i="13" s="1"/>
  <c r="JI222" i="13"/>
  <c r="JK222" i="13" s="1"/>
  <c r="JI221" i="13"/>
  <c r="JK221" i="13" s="1"/>
  <c r="JI220" i="13"/>
  <c r="JK220" i="13" s="1"/>
  <c r="JI219" i="13"/>
  <c r="JK219" i="13" s="1"/>
  <c r="JI218" i="13"/>
  <c r="JK218" i="13" s="1"/>
  <c r="JI217" i="13"/>
  <c r="JK217" i="13" s="1"/>
  <c r="JI216" i="13"/>
  <c r="JK216" i="13" s="1"/>
  <c r="JI215" i="13"/>
  <c r="JK215" i="13" s="1"/>
  <c r="JI214" i="13"/>
  <c r="JK214" i="13" s="1"/>
  <c r="JI213" i="13"/>
  <c r="JK213" i="13" s="1"/>
  <c r="JI212" i="13"/>
  <c r="JK212" i="13" s="1"/>
  <c r="JI211" i="13"/>
  <c r="JK211" i="13" s="1"/>
  <c r="JI210" i="13"/>
  <c r="JK210" i="13" s="1"/>
  <c r="JI209" i="13"/>
  <c r="JK209" i="13" s="1"/>
  <c r="JI208" i="13"/>
  <c r="JK208" i="13" s="1"/>
  <c r="JI207" i="13"/>
  <c r="JK207" i="13" s="1"/>
  <c r="JI206" i="13"/>
  <c r="JK206" i="13" s="1"/>
  <c r="JI205" i="13"/>
  <c r="JK205" i="13" s="1"/>
  <c r="JI204" i="13"/>
  <c r="JK204" i="13" s="1"/>
  <c r="JI203" i="13"/>
  <c r="JK203" i="13" s="1"/>
  <c r="JI202" i="13"/>
  <c r="JK202" i="13" s="1"/>
  <c r="JI201" i="13"/>
  <c r="JK201" i="13" s="1"/>
  <c r="JI200" i="13"/>
  <c r="JK200" i="13" s="1"/>
  <c r="JI199" i="13"/>
  <c r="JK199" i="13" s="1"/>
  <c r="JI198" i="13"/>
  <c r="JK198" i="13" s="1"/>
  <c r="JI197" i="13"/>
  <c r="JK197" i="13" s="1"/>
  <c r="JI196" i="13"/>
  <c r="JK196" i="13" s="1"/>
  <c r="JI195" i="13"/>
  <c r="JK195" i="13" s="1"/>
  <c r="JI194" i="13"/>
  <c r="JK194" i="13" s="1"/>
  <c r="JI193" i="13"/>
  <c r="JK193" i="13" s="1"/>
  <c r="JI192" i="13"/>
  <c r="JK192" i="13" s="1"/>
  <c r="JI191" i="13"/>
  <c r="JK191" i="13" s="1"/>
  <c r="JI190" i="13"/>
  <c r="JK190" i="13" s="1"/>
  <c r="JI189" i="13"/>
  <c r="JK189" i="13" s="1"/>
  <c r="JI188" i="13"/>
  <c r="JK188" i="13" s="1"/>
  <c r="JI187" i="13"/>
  <c r="JK187" i="13" s="1"/>
  <c r="JI186" i="13"/>
  <c r="JK186" i="13" s="1"/>
  <c r="JI185" i="13"/>
  <c r="JK185" i="13" s="1"/>
  <c r="JI184" i="13"/>
  <c r="JK184" i="13" s="1"/>
  <c r="JI183" i="13"/>
  <c r="JK183" i="13" s="1"/>
  <c r="JI182" i="13"/>
  <c r="JK182" i="13" s="1"/>
  <c r="JI181" i="13"/>
  <c r="JK181" i="13" s="1"/>
  <c r="JI180" i="13"/>
  <c r="JK180" i="13" s="1"/>
  <c r="JI179" i="13"/>
  <c r="JK179" i="13" s="1"/>
  <c r="JI178" i="13"/>
  <c r="JK178" i="13" s="1"/>
  <c r="JI177" i="13"/>
  <c r="JK177" i="13" s="1"/>
  <c r="JI176" i="13"/>
  <c r="JK176" i="13" s="1"/>
  <c r="JI175" i="13"/>
  <c r="JK175" i="13" s="1"/>
  <c r="JI174" i="13"/>
  <c r="JK174" i="13" s="1"/>
  <c r="JI173" i="13"/>
  <c r="JK173" i="13" s="1"/>
  <c r="JI172" i="13"/>
  <c r="JK172" i="13" s="1"/>
  <c r="JI171" i="13"/>
  <c r="JK171" i="13" s="1"/>
  <c r="JI170" i="13"/>
  <c r="JK170" i="13" s="1"/>
  <c r="JI169" i="13"/>
  <c r="JK169" i="13" s="1"/>
  <c r="JI168" i="13"/>
  <c r="JK168" i="13" s="1"/>
  <c r="JI167" i="13"/>
  <c r="JK167" i="13" s="1"/>
  <c r="JI166" i="13"/>
  <c r="JK166" i="13" s="1"/>
  <c r="JI165" i="13"/>
  <c r="JK165" i="13" s="1"/>
  <c r="JI164" i="13"/>
  <c r="JK164" i="13" s="1"/>
  <c r="JI163" i="13"/>
  <c r="JK163" i="13" s="1"/>
  <c r="JI162" i="13"/>
  <c r="JK162" i="13" s="1"/>
  <c r="JI161" i="13"/>
  <c r="JK161" i="13" s="1"/>
  <c r="JI160" i="13"/>
  <c r="JK160" i="13" s="1"/>
  <c r="JI159" i="13"/>
  <c r="JK159" i="13" s="1"/>
  <c r="JI158" i="13"/>
  <c r="JK158" i="13" s="1"/>
  <c r="JI157" i="13"/>
  <c r="JK157" i="13" s="1"/>
  <c r="JI156" i="13"/>
  <c r="JK156" i="13" s="1"/>
  <c r="JI155" i="13"/>
  <c r="JK155" i="13" s="1"/>
  <c r="JI154" i="13"/>
  <c r="JK154" i="13" s="1"/>
  <c r="JI153" i="13"/>
  <c r="JK153" i="13" s="1"/>
  <c r="JI152" i="13"/>
  <c r="JK152" i="13" s="1"/>
  <c r="JI151" i="13"/>
  <c r="JK151" i="13" s="1"/>
  <c r="JI150" i="13"/>
  <c r="JK150" i="13" s="1"/>
  <c r="JI149" i="13"/>
  <c r="JK149" i="13" s="1"/>
  <c r="JI148" i="13"/>
  <c r="JK148" i="13" s="1"/>
  <c r="JI147" i="13"/>
  <c r="JK147" i="13" s="1"/>
  <c r="JI146" i="13"/>
  <c r="JK146" i="13" s="1"/>
  <c r="JI145" i="13"/>
  <c r="JK145" i="13" s="1"/>
  <c r="JI144" i="13"/>
  <c r="JK144" i="13" s="1"/>
  <c r="JI143" i="13"/>
  <c r="JK143" i="13" s="1"/>
  <c r="JI142" i="13"/>
  <c r="JK142" i="13" s="1"/>
  <c r="JI141" i="13"/>
  <c r="JK141" i="13" s="1"/>
  <c r="JI140" i="13"/>
  <c r="JK140" i="13" s="1"/>
  <c r="JI139" i="13"/>
  <c r="JK139" i="13" s="1"/>
  <c r="JI138" i="13"/>
  <c r="JK138" i="13" s="1"/>
  <c r="JI137" i="13"/>
  <c r="JK137" i="13" s="1"/>
  <c r="JI136" i="13"/>
  <c r="JK136" i="13" s="1"/>
  <c r="JI135" i="13"/>
  <c r="JK135" i="13" s="1"/>
  <c r="JI134" i="13"/>
  <c r="JK134" i="13" s="1"/>
  <c r="JI133" i="13"/>
  <c r="JK133" i="13" s="1"/>
  <c r="JI132" i="13"/>
  <c r="JK132" i="13" s="1"/>
  <c r="JI131" i="13"/>
  <c r="JK131" i="13" s="1"/>
  <c r="JI130" i="13"/>
  <c r="JK130" i="13" s="1"/>
  <c r="JI129" i="13"/>
  <c r="JK129" i="13" s="1"/>
  <c r="JP128" i="13"/>
  <c r="JO128" i="13"/>
  <c r="JN128" i="13"/>
  <c r="JM128" i="13"/>
  <c r="JI128" i="13"/>
  <c r="JK128" i="13" s="1"/>
  <c r="JI127" i="13"/>
  <c r="JK127" i="13" s="1"/>
  <c r="JI126" i="13"/>
  <c r="JK126" i="13" s="1"/>
  <c r="JI125" i="13"/>
  <c r="JK125" i="13" s="1"/>
  <c r="JI124" i="13"/>
  <c r="JK124" i="13" s="1"/>
  <c r="JI123" i="13"/>
  <c r="JK123" i="13" s="1"/>
  <c r="JI122" i="13"/>
  <c r="JK122" i="13" s="1"/>
  <c r="JI121" i="13"/>
  <c r="JK121" i="13" s="1"/>
  <c r="JI120" i="13"/>
  <c r="JK120" i="13" s="1"/>
  <c r="JI119" i="13"/>
  <c r="JK119" i="13" s="1"/>
  <c r="JI118" i="13"/>
  <c r="JK118" i="13" s="1"/>
  <c r="JI117" i="13"/>
  <c r="JK117" i="13" s="1"/>
  <c r="JI116" i="13"/>
  <c r="JK116" i="13" s="1"/>
  <c r="JI115" i="13"/>
  <c r="JK115" i="13" s="1"/>
  <c r="JI114" i="13"/>
  <c r="JK114" i="13" s="1"/>
  <c r="JI113" i="13"/>
  <c r="JK113" i="13" s="1"/>
  <c r="JI112" i="13"/>
  <c r="JK112" i="13" s="1"/>
  <c r="JI111" i="13"/>
  <c r="JK111" i="13" s="1"/>
  <c r="JI110" i="13"/>
  <c r="JK110" i="13" s="1"/>
  <c r="JI109" i="13"/>
  <c r="JK109" i="13" s="1"/>
  <c r="JI108" i="13"/>
  <c r="JK108" i="13" s="1"/>
  <c r="JI107" i="13"/>
  <c r="JK107" i="13" s="1"/>
  <c r="JI106" i="13"/>
  <c r="JK106" i="13" s="1"/>
  <c r="JI105" i="13"/>
  <c r="JK105" i="13" s="1"/>
  <c r="JI104" i="13"/>
  <c r="JK104" i="13" s="1"/>
  <c r="JI103" i="13"/>
  <c r="JK103" i="13" s="1"/>
  <c r="JI102" i="13"/>
  <c r="JK102" i="13" s="1"/>
  <c r="JI101" i="13"/>
  <c r="JK101" i="13" s="1"/>
  <c r="JI100" i="13"/>
  <c r="JK100" i="13" s="1"/>
  <c r="JI99" i="13"/>
  <c r="JK99" i="13" s="1"/>
  <c r="JI98" i="13"/>
  <c r="JK98" i="13" s="1"/>
  <c r="JI97" i="13"/>
  <c r="JK97" i="13" s="1"/>
  <c r="JI96" i="13"/>
  <c r="JK96" i="13" s="1"/>
  <c r="JI95" i="13"/>
  <c r="JK95" i="13" s="1"/>
  <c r="JI94" i="13"/>
  <c r="JK94" i="13" s="1"/>
  <c r="JI93" i="13"/>
  <c r="JK93" i="13" s="1"/>
  <c r="JI92" i="13"/>
  <c r="JK92" i="13" s="1"/>
  <c r="JI91" i="13"/>
  <c r="JK91" i="13" s="1"/>
  <c r="JI90" i="13"/>
  <c r="JK90" i="13" s="1"/>
  <c r="JI89" i="13"/>
  <c r="JK89" i="13" s="1"/>
  <c r="JI88" i="13"/>
  <c r="JK88" i="13" s="1"/>
  <c r="JI87" i="13"/>
  <c r="JK87" i="13" s="1"/>
  <c r="JI86" i="13"/>
  <c r="JK86" i="13" s="1"/>
  <c r="JI85" i="13"/>
  <c r="JK85" i="13" s="1"/>
  <c r="JI84" i="13"/>
  <c r="JK84" i="13" s="1"/>
  <c r="JI83" i="13"/>
  <c r="JK83" i="13" s="1"/>
  <c r="JI82" i="13"/>
  <c r="JK82" i="13" s="1"/>
  <c r="JI81" i="13"/>
  <c r="JK81" i="13" s="1"/>
  <c r="JI80" i="13"/>
  <c r="JK80" i="13" s="1"/>
  <c r="JI79" i="13"/>
  <c r="JK79" i="13" s="1"/>
  <c r="JI78" i="13"/>
  <c r="JK78" i="13" s="1"/>
  <c r="JI77" i="13"/>
  <c r="JK77" i="13" s="1"/>
  <c r="JI76" i="13"/>
  <c r="JK76" i="13" s="1"/>
  <c r="JI75" i="13"/>
  <c r="JK75" i="13" s="1"/>
  <c r="JI74" i="13"/>
  <c r="JK74" i="13" s="1"/>
  <c r="JI73" i="13"/>
  <c r="JK73" i="13" s="1"/>
  <c r="JI72" i="13"/>
  <c r="JK72" i="13" s="1"/>
  <c r="JI71" i="13"/>
  <c r="JK71" i="13" s="1"/>
  <c r="JI70" i="13"/>
  <c r="JK70" i="13" s="1"/>
  <c r="JI69" i="13"/>
  <c r="JK69" i="13" s="1"/>
  <c r="JI68" i="13"/>
  <c r="JK68" i="13" s="1"/>
  <c r="JI67" i="13"/>
  <c r="JK67" i="13" s="1"/>
  <c r="JI66" i="13"/>
  <c r="JK66" i="13" s="1"/>
  <c r="JI65" i="13"/>
  <c r="JK65" i="13" s="1"/>
  <c r="JI64" i="13"/>
  <c r="JK64" i="13" s="1"/>
  <c r="JI63" i="13"/>
  <c r="JK63" i="13" s="1"/>
  <c r="JI62" i="13"/>
  <c r="JK62" i="13" s="1"/>
  <c r="JI61" i="13"/>
  <c r="JK61" i="13" s="1"/>
  <c r="JI60" i="13"/>
  <c r="JK60" i="13" s="1"/>
  <c r="JI59" i="13"/>
  <c r="JK59" i="13" s="1"/>
  <c r="JI58" i="13"/>
  <c r="JK58" i="13" s="1"/>
  <c r="JI57" i="13"/>
  <c r="JK57" i="13" s="1"/>
  <c r="JI56" i="13"/>
  <c r="JK56" i="13" s="1"/>
  <c r="JI55" i="13"/>
  <c r="JK55" i="13" s="1"/>
  <c r="JI54" i="13"/>
  <c r="JK54" i="13" s="1"/>
  <c r="JI53" i="13"/>
  <c r="JK53" i="13" s="1"/>
  <c r="JI52" i="13"/>
  <c r="JK52" i="13" s="1"/>
  <c r="JI51" i="13"/>
  <c r="JK51" i="13" s="1"/>
  <c r="JI50" i="13"/>
  <c r="JK50" i="13" s="1"/>
  <c r="JI49" i="13"/>
  <c r="JK49" i="13" s="1"/>
  <c r="JI48" i="13"/>
  <c r="JK48" i="13" s="1"/>
  <c r="JI47" i="13"/>
  <c r="JK47" i="13" s="1"/>
  <c r="JI46" i="13"/>
  <c r="JK46" i="13" s="1"/>
  <c r="JI45" i="13"/>
  <c r="JK45" i="13" s="1"/>
  <c r="JI44" i="13"/>
  <c r="JK44" i="13" s="1"/>
  <c r="JI43" i="13"/>
  <c r="JK43" i="13" s="1"/>
  <c r="JI42" i="13"/>
  <c r="JK42" i="13" s="1"/>
  <c r="JI41" i="13"/>
  <c r="JK41" i="13" s="1"/>
  <c r="JI40" i="13"/>
  <c r="JK40" i="13" s="1"/>
  <c r="JI39" i="13"/>
  <c r="JK39" i="13" s="1"/>
  <c r="JI38" i="13"/>
  <c r="JK38" i="13" s="1"/>
  <c r="JI37" i="13"/>
  <c r="JK37" i="13" s="1"/>
  <c r="JI36" i="13"/>
  <c r="JK36" i="13" s="1"/>
  <c r="JI35" i="13"/>
  <c r="JK35" i="13" s="1"/>
  <c r="JI34" i="13"/>
  <c r="JK34" i="13" s="1"/>
  <c r="JI33" i="13"/>
  <c r="JK33" i="13" s="1"/>
  <c r="JI32" i="13"/>
  <c r="JK32" i="13" s="1"/>
  <c r="JI31" i="13"/>
  <c r="JK31" i="13" s="1"/>
  <c r="JI30" i="13"/>
  <c r="JK30" i="13" s="1"/>
  <c r="JI29" i="13"/>
  <c r="JK29" i="13" s="1"/>
  <c r="JI28" i="13"/>
  <c r="JK28" i="13" s="1"/>
  <c r="JI27" i="13"/>
  <c r="JK27" i="13" s="1"/>
  <c r="JI26" i="13"/>
  <c r="JK26" i="13" s="1"/>
  <c r="JI25" i="13"/>
  <c r="JK25" i="13" s="1"/>
  <c r="JI24" i="13"/>
  <c r="JK24" i="13" s="1"/>
  <c r="JI23" i="13"/>
  <c r="JK23" i="13" s="1"/>
  <c r="JI22" i="13"/>
  <c r="JK22" i="13" s="1"/>
  <c r="JI21" i="13"/>
  <c r="JK21" i="13" s="1"/>
  <c r="JI20" i="13"/>
  <c r="JK20" i="13" s="1"/>
  <c r="JI19" i="13"/>
  <c r="JK19" i="13" s="1"/>
  <c r="JI18" i="13"/>
  <c r="JK18" i="13" s="1"/>
  <c r="JI17" i="13"/>
  <c r="JK17" i="13" s="1"/>
  <c r="JI16" i="13"/>
  <c r="JK16" i="13" s="1"/>
  <c r="JI15" i="13"/>
  <c r="JK15" i="13" s="1"/>
  <c r="JI14" i="13"/>
  <c r="JK14" i="13" s="1"/>
  <c r="JI13" i="13"/>
  <c r="JK13" i="13" s="1"/>
  <c r="JI12" i="13"/>
  <c r="JK12" i="13" s="1"/>
  <c r="JI11" i="13"/>
  <c r="JK11" i="13" s="1"/>
  <c r="JI10" i="13"/>
  <c r="JK10" i="13" s="1"/>
  <c r="JI9" i="13"/>
  <c r="JK9" i="13" s="1"/>
  <c r="JI8" i="13"/>
  <c r="JK8" i="13" s="1"/>
  <c r="JI7" i="13"/>
  <c r="JK7" i="13" s="1"/>
  <c r="JI6" i="13"/>
  <c r="JK6" i="13" s="1"/>
  <c r="JI5" i="13"/>
  <c r="JK5" i="13" s="1"/>
  <c r="JI4" i="13"/>
  <c r="JK4" i="13" s="1"/>
  <c r="JI3" i="13"/>
  <c r="I500" i="4"/>
  <c r="I498" i="4"/>
  <c r="I495" i="4"/>
  <c r="I493" i="4"/>
  <c r="I490" i="4"/>
  <c r="I488" i="4"/>
  <c r="H487" i="4"/>
  <c r="H486" i="4" s="1"/>
  <c r="I486" i="4"/>
  <c r="H485" i="4"/>
  <c r="H484" i="4" s="1"/>
  <c r="I484" i="4"/>
  <c r="H483" i="4"/>
  <c r="H482" i="4" s="1"/>
  <c r="I482" i="4"/>
  <c r="I480" i="4"/>
  <c r="I478" i="4"/>
  <c r="H477" i="4"/>
  <c r="H476" i="4" s="1"/>
  <c r="I476" i="4"/>
  <c r="I474" i="4"/>
  <c r="I471" i="4"/>
  <c r="I469" i="4"/>
  <c r="I467" i="4"/>
  <c r="I465" i="4"/>
  <c r="H462" i="4"/>
  <c r="H461" i="4" s="1"/>
  <c r="I461" i="4"/>
  <c r="I457" i="4"/>
  <c r="I455" i="4"/>
  <c r="H454" i="4"/>
  <c r="H453" i="4" s="1"/>
  <c r="I453" i="4"/>
  <c r="H452" i="4"/>
  <c r="H451" i="4"/>
  <c r="I450" i="4"/>
  <c r="I447" i="4"/>
  <c r="H445" i="4"/>
  <c r="I444" i="4"/>
  <c r="H444" i="4"/>
  <c r="I440" i="4"/>
  <c r="I438" i="4"/>
  <c r="I436" i="4"/>
  <c r="I434" i="4"/>
  <c r="I432" i="4"/>
  <c r="I429" i="4"/>
  <c r="I427" i="4"/>
  <c r="H426" i="4"/>
  <c r="I425" i="4"/>
  <c r="H425" i="4"/>
  <c r="H423" i="4"/>
  <c r="H422" i="4" s="1"/>
  <c r="I422" i="4"/>
  <c r="H421" i="4"/>
  <c r="H420" i="4" s="1"/>
  <c r="I420" i="4"/>
  <c r="H419" i="4"/>
  <c r="H418" i="4" s="1"/>
  <c r="I418" i="4"/>
  <c r="H417" i="4"/>
  <c r="H416" i="4" s="1"/>
  <c r="I416" i="4"/>
  <c r="H415" i="4"/>
  <c r="H414" i="4" s="1"/>
  <c r="I414" i="4"/>
  <c r="I412" i="4"/>
  <c r="I410" i="4"/>
  <c r="I408" i="4"/>
  <c r="I406" i="4"/>
  <c r="I403" i="4"/>
  <c r="I401" i="4"/>
  <c r="I398" i="4"/>
  <c r="I396" i="4"/>
  <c r="I394" i="4"/>
  <c r="I392" i="4"/>
  <c r="H391" i="4"/>
  <c r="H390" i="4" s="1"/>
  <c r="I390" i="4"/>
  <c r="H389" i="4"/>
  <c r="H388" i="4" s="1"/>
  <c r="I388" i="4"/>
  <c r="I386" i="4"/>
  <c r="I384" i="4"/>
  <c r="I381" i="4"/>
  <c r="H380" i="4"/>
  <c r="H379" i="4" s="1"/>
  <c r="I379" i="4"/>
  <c r="I377" i="4"/>
  <c r="H376" i="4"/>
  <c r="H375" i="4" s="1"/>
  <c r="I375" i="4"/>
  <c r="I373" i="4"/>
  <c r="I371" i="4"/>
  <c r="I369" i="4"/>
  <c r="H368" i="4"/>
  <c r="H367" i="4" s="1"/>
  <c r="I367" i="4"/>
  <c r="I364" i="4"/>
  <c r="I362" i="4"/>
  <c r="I360" i="4"/>
  <c r="I358" i="4"/>
  <c r="H356" i="4"/>
  <c r="H355" i="4" s="1"/>
  <c r="I355" i="4"/>
  <c r="H354" i="4"/>
  <c r="H353" i="4" s="1"/>
  <c r="I353" i="4"/>
  <c r="H352" i="4"/>
  <c r="H351" i="4" s="1"/>
  <c r="I351" i="4"/>
  <c r="H350" i="4"/>
  <c r="H349" i="4" s="1"/>
  <c r="I349" i="4"/>
  <c r="I346" i="4"/>
  <c r="H345" i="4"/>
  <c r="H344" i="4" s="1"/>
  <c r="I344" i="4"/>
  <c r="I342" i="4"/>
  <c r="I340" i="4"/>
  <c r="I338" i="4"/>
  <c r="I330" i="4"/>
  <c r="I327" i="4"/>
  <c r="H326" i="4"/>
  <c r="H325" i="4"/>
  <c r="I324" i="4"/>
  <c r="H323" i="4"/>
  <c r="H322" i="4" s="1"/>
  <c r="I322" i="4"/>
  <c r="I320" i="4"/>
  <c r="I318" i="4"/>
  <c r="H317" i="4"/>
  <c r="H316" i="4" s="1"/>
  <c r="I316" i="4"/>
  <c r="I314" i="4"/>
  <c r="I312" i="4"/>
  <c r="I309" i="4"/>
  <c r="I306" i="4"/>
  <c r="I304" i="4"/>
  <c r="H298" i="4"/>
  <c r="H297" i="4"/>
  <c r="H296" i="4"/>
  <c r="I295" i="4"/>
  <c r="H293" i="4"/>
  <c r="H292" i="4"/>
  <c r="I287" i="4"/>
  <c r="I286" i="4" s="1"/>
  <c r="I284" i="4"/>
  <c r="H278" i="4"/>
  <c r="H277" i="4"/>
  <c r="I276" i="4"/>
  <c r="H275" i="4"/>
  <c r="I272" i="4"/>
  <c r="H271" i="4"/>
  <c r="I268" i="4"/>
  <c r="I262" i="4"/>
  <c r="I259" i="4"/>
  <c r="I257" i="4"/>
  <c r="I255" i="4"/>
  <c r="H254" i="4"/>
  <c r="H253" i="4" s="1"/>
  <c r="I253" i="4"/>
  <c r="H252" i="4"/>
  <c r="H251" i="4" s="1"/>
  <c r="I251" i="4"/>
  <c r="H249" i="4"/>
  <c r="I248" i="4"/>
  <c r="H248" i="4"/>
  <c r="I246" i="4"/>
  <c r="I245" i="4" s="1"/>
  <c r="H244" i="4"/>
  <c r="H243" i="4" s="1"/>
  <c r="I243" i="4"/>
  <c r="H242" i="4"/>
  <c r="H241" i="4" s="1"/>
  <c r="I241" i="4"/>
  <c r="I239" i="4"/>
  <c r="I237" i="4"/>
  <c r="I235" i="4"/>
  <c r="I233" i="4"/>
  <c r="I230" i="4"/>
  <c r="I228" i="4"/>
  <c r="I226" i="4"/>
  <c r="I225" i="4" s="1"/>
  <c r="I223" i="4"/>
  <c r="H220" i="4"/>
  <c r="I219" i="4"/>
  <c r="H218" i="4"/>
  <c r="H217" i="4" s="1"/>
  <c r="I217" i="4"/>
  <c r="H216" i="4"/>
  <c r="I214" i="4"/>
  <c r="H210" i="4"/>
  <c r="I209" i="4"/>
  <c r="I208" i="4" s="1"/>
  <c r="I204" i="4"/>
  <c r="I197" i="4"/>
  <c r="H195" i="4"/>
  <c r="H194" i="4"/>
  <c r="H193" i="4"/>
  <c r="I192" i="4"/>
  <c r="H189" i="4"/>
  <c r="I188" i="4"/>
  <c r="I186" i="4"/>
  <c r="I184" i="4"/>
  <c r="I182" i="4"/>
  <c r="I180" i="4"/>
  <c r="I177" i="4"/>
  <c r="H171" i="4"/>
  <c r="H170" i="4"/>
  <c r="H169" i="4"/>
  <c r="H168" i="4"/>
  <c r="I167" i="4"/>
  <c r="H166" i="4"/>
  <c r="H165" i="4"/>
  <c r="H164" i="4"/>
  <c r="I158" i="4"/>
  <c r="I155" i="4"/>
  <c r="I153" i="4"/>
  <c r="I151" i="4"/>
  <c r="I149" i="4"/>
  <c r="H147" i="4"/>
  <c r="H146" i="4" s="1"/>
  <c r="I146" i="4"/>
  <c r="H145" i="4"/>
  <c r="H144" i="4" s="1"/>
  <c r="I144" i="4"/>
  <c r="H143" i="4"/>
  <c r="H142" i="4" s="1"/>
  <c r="I142" i="4"/>
  <c r="I140" i="4"/>
  <c r="I138" i="4"/>
  <c r="H137" i="4"/>
  <c r="H136" i="4" s="1"/>
  <c r="I136" i="4"/>
  <c r="I130" i="4"/>
  <c r="I128" i="4"/>
  <c r="I126" i="4"/>
  <c r="I123" i="4"/>
  <c r="I121" i="4"/>
  <c r="I119" i="4"/>
  <c r="H118" i="4"/>
  <c r="H117" i="4" s="1"/>
  <c r="I117" i="4"/>
  <c r="I116" i="4" s="1"/>
  <c r="H115" i="4"/>
  <c r="H114" i="4" s="1"/>
  <c r="I114" i="4"/>
  <c r="H113" i="4"/>
  <c r="H112" i="4" s="1"/>
  <c r="I112" i="4"/>
  <c r="I109" i="4"/>
  <c r="I107" i="4"/>
  <c r="H105" i="4"/>
  <c r="H104" i="4" s="1"/>
  <c r="I104" i="4"/>
  <c r="I102" i="4"/>
  <c r="I99" i="4"/>
  <c r="I97" i="4"/>
  <c r="I95" i="4"/>
  <c r="I93" i="4"/>
  <c r="I91" i="4"/>
  <c r="I89" i="4"/>
  <c r="I86" i="4"/>
  <c r="I85" i="4" s="1"/>
  <c r="I84" i="4"/>
  <c r="I83" i="4" s="1"/>
  <c r="H82" i="4"/>
  <c r="H81" i="4" s="1"/>
  <c r="I80" i="4"/>
  <c r="I79" i="4" s="1"/>
  <c r="H80" i="4"/>
  <c r="H79" i="4" s="1"/>
  <c r="H77" i="4"/>
  <c r="I75" i="4"/>
  <c r="H75" i="4"/>
  <c r="H73" i="4"/>
  <c r="H72" i="4" s="1"/>
  <c r="I61" i="4"/>
  <c r="I60" i="4"/>
  <c r="I59" i="4"/>
  <c r="H57" i="4"/>
  <c r="I56" i="4"/>
  <c r="H56" i="4"/>
  <c r="I55" i="4"/>
  <c r="H55" i="4"/>
  <c r="H49" i="4"/>
  <c r="I39" i="4"/>
  <c r="I38" i="4"/>
  <c r="I37" i="4"/>
  <c r="H37" i="4"/>
  <c r="I36" i="4"/>
  <c r="H34" i="4"/>
  <c r="I33" i="4"/>
  <c r="H33" i="4"/>
  <c r="H32" i="4"/>
  <c r="H31" i="4"/>
  <c r="H29" i="4"/>
  <c r="G140" i="14"/>
  <c r="H400" i="4" l="1"/>
  <c r="B61" i="16"/>
  <c r="B66" i="16"/>
  <c r="J236" i="4"/>
  <c r="J267" i="4"/>
  <c r="J441" i="4"/>
  <c r="H65" i="4"/>
  <c r="H309" i="4"/>
  <c r="C32" i="6" s="1"/>
  <c r="I492" i="4"/>
  <c r="H374" i="4"/>
  <c r="H373" i="4" s="1"/>
  <c r="D42" i="18"/>
  <c r="BK288" i="13"/>
  <c r="G134" i="4" s="1"/>
  <c r="I213" i="4"/>
  <c r="GY288" i="13"/>
  <c r="G376" i="4" s="1"/>
  <c r="J376" i="4" s="1"/>
  <c r="CB288" i="13"/>
  <c r="G164" i="4" s="1"/>
  <c r="J164" i="4" s="1"/>
  <c r="FD288" i="13"/>
  <c r="G291" i="4" s="1"/>
  <c r="J291" i="4" s="1"/>
  <c r="A288" i="13"/>
  <c r="G29" i="4" s="1"/>
  <c r="Q288" i="13"/>
  <c r="G49" i="4" s="1"/>
  <c r="J49" i="4" s="1"/>
  <c r="AG288" i="13"/>
  <c r="G73" i="4" s="1"/>
  <c r="G72" i="4" s="1"/>
  <c r="AW288" i="13"/>
  <c r="G105" i="4" s="1"/>
  <c r="BM288" i="13"/>
  <c r="G137" i="4" s="1"/>
  <c r="J137" i="4" s="1"/>
  <c r="CC288" i="13"/>
  <c r="G165" i="4" s="1"/>
  <c r="DI288" i="13"/>
  <c r="G210" i="4" s="1"/>
  <c r="J210" i="4" s="1"/>
  <c r="DY288" i="13"/>
  <c r="G242" i="4" s="1"/>
  <c r="J242" i="4" s="1"/>
  <c r="FE288" i="13"/>
  <c r="G292" i="4" s="1"/>
  <c r="J292" i="4" s="1"/>
  <c r="FU288" i="13"/>
  <c r="G317" i="4" s="1"/>
  <c r="G316" i="4" s="1"/>
  <c r="J316" i="4" s="1"/>
  <c r="HA288" i="13"/>
  <c r="G380" i="4" s="1"/>
  <c r="HQ288" i="13"/>
  <c r="G415" i="4" s="1"/>
  <c r="J415" i="4" s="1"/>
  <c r="IW288" i="13"/>
  <c r="G477" i="4" s="1"/>
  <c r="G476" i="4" s="1"/>
  <c r="J476" i="4" s="1"/>
  <c r="E34" i="18"/>
  <c r="O34" i="18" s="1"/>
  <c r="G36" i="21"/>
  <c r="DG288" i="13"/>
  <c r="G206" i="4" s="1"/>
  <c r="J206" i="4" s="1"/>
  <c r="IU288" i="13"/>
  <c r="G472" i="4" s="1"/>
  <c r="CR288" i="13"/>
  <c r="G187" i="4" s="1"/>
  <c r="J187" i="4" s="1"/>
  <c r="GZ288" i="13"/>
  <c r="G378" i="4" s="1"/>
  <c r="G377" i="4" s="1"/>
  <c r="B288" i="13"/>
  <c r="G30" i="4" s="1"/>
  <c r="R288" i="13"/>
  <c r="G50" i="4" s="1"/>
  <c r="AH288" i="13"/>
  <c r="G75" i="4" s="1"/>
  <c r="J75" i="4" s="1"/>
  <c r="AX288" i="13"/>
  <c r="G108" i="4" s="1"/>
  <c r="G107" i="4" s="1"/>
  <c r="BN288" i="13"/>
  <c r="G139" i="4" s="1"/>
  <c r="G138" i="4" s="1"/>
  <c r="J138" i="4" s="1"/>
  <c r="CD288" i="13"/>
  <c r="G166" i="4" s="1"/>
  <c r="J166" i="4" s="1"/>
  <c r="CT288" i="13"/>
  <c r="G190" i="4" s="1"/>
  <c r="J190" i="4" s="1"/>
  <c r="DJ288" i="13"/>
  <c r="G211" i="4" s="1"/>
  <c r="DZ288" i="13"/>
  <c r="G244" i="4" s="1"/>
  <c r="J244" i="4" s="1"/>
  <c r="EP288" i="13"/>
  <c r="G273" i="4" s="1"/>
  <c r="G272" i="4" s="1"/>
  <c r="FF288" i="13"/>
  <c r="G293" i="4" s="1"/>
  <c r="J293" i="4" s="1"/>
  <c r="FV288" i="13"/>
  <c r="G319" i="4" s="1"/>
  <c r="J319" i="4" s="1"/>
  <c r="GL288" i="13"/>
  <c r="G347" i="4" s="1"/>
  <c r="J347" i="4" s="1"/>
  <c r="HB288" i="13"/>
  <c r="G382" i="4" s="1"/>
  <c r="HR288" i="13"/>
  <c r="G417" i="4" s="1"/>
  <c r="G416" i="4" s="1"/>
  <c r="IH288" i="13"/>
  <c r="G448" i="4" s="1"/>
  <c r="IX288" i="13"/>
  <c r="G479" i="4" s="1"/>
  <c r="E14" i="18"/>
  <c r="G34" i="18"/>
  <c r="I65" i="4"/>
  <c r="I64" i="4" s="1"/>
  <c r="B69" i="17"/>
  <c r="FC288" i="13"/>
  <c r="G290" i="4" s="1"/>
  <c r="B30" i="6" s="1"/>
  <c r="D30" i="6" s="1"/>
  <c r="AV288" i="13"/>
  <c r="G103" i="4" s="1"/>
  <c r="G102" i="4" s="1"/>
  <c r="J102" i="4" s="1"/>
  <c r="GJ288" i="13"/>
  <c r="G343" i="4" s="1"/>
  <c r="C288" i="13"/>
  <c r="G31" i="4" s="1"/>
  <c r="J31" i="4" s="1"/>
  <c r="S288" i="13"/>
  <c r="G53" i="4" s="1"/>
  <c r="J53" i="4" s="1"/>
  <c r="AY288" i="13"/>
  <c r="G110" i="4" s="1"/>
  <c r="G109" i="4" s="1"/>
  <c r="J109" i="4" s="1"/>
  <c r="BO288" i="13"/>
  <c r="G141" i="4" s="1"/>
  <c r="J141" i="4" s="1"/>
  <c r="CU288" i="13"/>
  <c r="G191" i="4" s="1"/>
  <c r="J191" i="4" s="1"/>
  <c r="DK288" i="13"/>
  <c r="G215" i="4" s="1"/>
  <c r="EQ288" i="13"/>
  <c r="G274" i="4" s="1"/>
  <c r="J274" i="4" s="1"/>
  <c r="FG288" i="13"/>
  <c r="G294" i="4" s="1"/>
  <c r="GM288" i="13"/>
  <c r="G350" i="4" s="1"/>
  <c r="HC288" i="13"/>
  <c r="G385" i="4" s="1"/>
  <c r="G384" i="4" s="1"/>
  <c r="II288" i="13"/>
  <c r="G449" i="4" s="1"/>
  <c r="G447" i="4" s="1"/>
  <c r="IY288" i="13"/>
  <c r="G481" i="4" s="1"/>
  <c r="G480" i="4" s="1"/>
  <c r="J480" i="4" s="1"/>
  <c r="H34" i="18"/>
  <c r="BL288" i="13"/>
  <c r="G135" i="4" s="1"/>
  <c r="J135" i="4" s="1"/>
  <c r="FT288" i="13"/>
  <c r="G315" i="4" s="1"/>
  <c r="G314" i="4" s="1"/>
  <c r="J314" i="4" s="1"/>
  <c r="C60" i="18"/>
  <c r="D288" i="13"/>
  <c r="G32" i="4" s="1"/>
  <c r="J32" i="4" s="1"/>
  <c r="T288" i="13"/>
  <c r="G55" i="4" s="1"/>
  <c r="AJ288" i="13"/>
  <c r="G77" i="4" s="1"/>
  <c r="J77" i="4" s="1"/>
  <c r="AZ288" i="13"/>
  <c r="G113" i="4" s="1"/>
  <c r="J113" i="4" s="1"/>
  <c r="BP288" i="13"/>
  <c r="G143" i="4" s="1"/>
  <c r="G142" i="4" s="1"/>
  <c r="J142" i="4" s="1"/>
  <c r="CF288" i="13"/>
  <c r="G169" i="4" s="1"/>
  <c r="CV288" i="13"/>
  <c r="G193" i="4" s="1"/>
  <c r="DL288" i="13"/>
  <c r="G216" i="4" s="1"/>
  <c r="EB288" i="13"/>
  <c r="G249" i="4" s="1"/>
  <c r="G248" i="4" s="1"/>
  <c r="ER288" i="13"/>
  <c r="G275" i="4" s="1"/>
  <c r="J275" i="4" s="1"/>
  <c r="FH288" i="13"/>
  <c r="G296" i="4" s="1"/>
  <c r="J296" i="4" s="1"/>
  <c r="FX288" i="13"/>
  <c r="G323" i="4" s="1"/>
  <c r="G322" i="4" s="1"/>
  <c r="J322" i="4" s="1"/>
  <c r="GN288" i="13"/>
  <c r="G352" i="4" s="1"/>
  <c r="G351" i="4" s="1"/>
  <c r="HD288" i="13"/>
  <c r="G387" i="4" s="1"/>
  <c r="J387" i="4" s="1"/>
  <c r="HT288" i="13"/>
  <c r="G421" i="4" s="1"/>
  <c r="J421" i="4" s="1"/>
  <c r="IJ288" i="13"/>
  <c r="G451" i="4" s="1"/>
  <c r="IZ288" i="13"/>
  <c r="G483" i="4" s="1"/>
  <c r="AE288" i="13"/>
  <c r="G69" i="4" s="1"/>
  <c r="G68" i="4" s="1"/>
  <c r="J68" i="4" s="1"/>
  <c r="AF288" i="13"/>
  <c r="G70" i="4" s="1"/>
  <c r="J70" i="4" s="1"/>
  <c r="DX288" i="13"/>
  <c r="G240" i="4" s="1"/>
  <c r="G239" i="4" s="1"/>
  <c r="J239" i="4" s="1"/>
  <c r="IF288" i="13"/>
  <c r="G443" i="4" s="1"/>
  <c r="J443" i="4" s="1"/>
  <c r="I366" i="4"/>
  <c r="O288" i="13"/>
  <c r="G47" i="4" s="1"/>
  <c r="DW288" i="13"/>
  <c r="G238" i="4" s="1"/>
  <c r="G237" i="4" s="1"/>
  <c r="HO288" i="13"/>
  <c r="G411" i="4" s="1"/>
  <c r="DH288" i="13"/>
  <c r="G207" i="4" s="1"/>
  <c r="HP288" i="13"/>
  <c r="G413" i="4" s="1"/>
  <c r="G412" i="4" s="1"/>
  <c r="W36" i="21"/>
  <c r="L29" i="18"/>
  <c r="L33" i="18"/>
  <c r="L36" i="18"/>
  <c r="L38" i="18"/>
  <c r="CA288" i="13"/>
  <c r="G163" i="4" s="1"/>
  <c r="FS288" i="13"/>
  <c r="G313" i="4" s="1"/>
  <c r="P288" i="13"/>
  <c r="G48" i="4" s="1"/>
  <c r="G46" i="4" s="1"/>
  <c r="EN288" i="13"/>
  <c r="G270" i="4" s="1"/>
  <c r="J270" i="4" s="1"/>
  <c r="IV288" i="13"/>
  <c r="G475" i="4" s="1"/>
  <c r="G474" i="4" s="1"/>
  <c r="O16" i="18"/>
  <c r="O18" i="18"/>
  <c r="O20" i="18"/>
  <c r="O22" i="18"/>
  <c r="O25" i="18"/>
  <c r="O43" i="18"/>
  <c r="O49" i="18"/>
  <c r="N54" i="18"/>
  <c r="N56" i="18"/>
  <c r="I303" i="4"/>
  <c r="N71" i="18"/>
  <c r="F73" i="16"/>
  <c r="F85" i="16" s="1"/>
  <c r="P36" i="21"/>
  <c r="H24" i="18"/>
  <c r="B69" i="16"/>
  <c r="AA13" i="21"/>
  <c r="AA36" i="21" s="1"/>
  <c r="Q36" i="21"/>
  <c r="I8" i="18"/>
  <c r="I14" i="18"/>
  <c r="R36" i="21"/>
  <c r="L30" i="18"/>
  <c r="L32" i="18"/>
  <c r="S36" i="21"/>
  <c r="H450" i="4"/>
  <c r="J67" i="4"/>
  <c r="CH288" i="13"/>
  <c r="G171" i="4" s="1"/>
  <c r="C30" i="6"/>
  <c r="L15" i="18"/>
  <c r="L19" i="18"/>
  <c r="L21" i="18"/>
  <c r="L26" i="18"/>
  <c r="M30" i="18"/>
  <c r="M32" i="18"/>
  <c r="L44" i="18"/>
  <c r="L48" i="18"/>
  <c r="T36" i="21"/>
  <c r="L79" i="18"/>
  <c r="CJ288" i="13"/>
  <c r="G173" i="4" s="1"/>
  <c r="J173" i="4" s="1"/>
  <c r="H46" i="4"/>
  <c r="H27" i="4" s="1"/>
  <c r="I232" i="4"/>
  <c r="J105" i="4"/>
  <c r="H28" i="4"/>
  <c r="H272" i="4"/>
  <c r="H447" i="4"/>
  <c r="I78" i="4"/>
  <c r="I34" i="18"/>
  <c r="I125" i="4"/>
  <c r="CN288" i="13"/>
  <c r="G178" i="4" s="1"/>
  <c r="J178" i="4" s="1"/>
  <c r="J34" i="18"/>
  <c r="J14" i="18"/>
  <c r="J42" i="18"/>
  <c r="I50" i="18"/>
  <c r="H74" i="4"/>
  <c r="L16" i="18"/>
  <c r="L22" i="18"/>
  <c r="M29" i="18"/>
  <c r="M33" i="18"/>
  <c r="L45" i="18"/>
  <c r="L47" i="18"/>
  <c r="M27" i="18"/>
  <c r="N36" i="18"/>
  <c r="N38" i="18"/>
  <c r="M45" i="18"/>
  <c r="L54" i="18"/>
  <c r="L56" i="18"/>
  <c r="M54" i="18"/>
  <c r="J98" i="4"/>
  <c r="G97" i="4"/>
  <c r="J97" i="4" s="1"/>
  <c r="H130" i="4"/>
  <c r="I28" i="4"/>
  <c r="H440" i="4"/>
  <c r="H424" i="4" s="1"/>
  <c r="J103" i="4"/>
  <c r="H268" i="4"/>
  <c r="J382" i="4"/>
  <c r="G381" i="4"/>
  <c r="J381" i="4" s="1"/>
  <c r="J374" i="4"/>
  <c r="G373" i="4"/>
  <c r="J373" i="4" s="1"/>
  <c r="H204" i="4"/>
  <c r="H54" i="4"/>
  <c r="H51" i="4" s="1"/>
  <c r="I74" i="4"/>
  <c r="I71" i="4" s="1"/>
  <c r="I68" i="18"/>
  <c r="J68" i="18"/>
  <c r="I46" i="4"/>
  <c r="I405" i="4"/>
  <c r="G432" i="4"/>
  <c r="J432" i="4" s="1"/>
  <c r="I473" i="4"/>
  <c r="H214" i="4"/>
  <c r="H213" i="4" s="1"/>
  <c r="H99" i="4"/>
  <c r="H88" i="4" s="1"/>
  <c r="I497" i="4"/>
  <c r="AK288" i="13"/>
  <c r="G80" i="4" s="1"/>
  <c r="J80" i="4" s="1"/>
  <c r="ES288" i="13"/>
  <c r="G277" i="4" s="1"/>
  <c r="J277" i="4" s="1"/>
  <c r="HE288" i="13"/>
  <c r="G389" i="4" s="1"/>
  <c r="J389" i="4" s="1"/>
  <c r="B35" i="16"/>
  <c r="I308" i="4"/>
  <c r="B42" i="18"/>
  <c r="B24" i="18"/>
  <c r="J61" i="4"/>
  <c r="O9" i="18"/>
  <c r="O11" i="18"/>
  <c r="O13" i="18"/>
  <c r="M16" i="18"/>
  <c r="M18" i="18"/>
  <c r="M22" i="18"/>
  <c r="C24" i="18"/>
  <c r="N29" i="18"/>
  <c r="N33" i="18"/>
  <c r="J29" i="4"/>
  <c r="E288" i="13"/>
  <c r="G33" i="4" s="1"/>
  <c r="J33" i="4" s="1"/>
  <c r="BQ288" i="13"/>
  <c r="G145" i="4" s="1"/>
  <c r="G144" i="4" s="1"/>
  <c r="J144" i="4" s="1"/>
  <c r="GO288" i="13"/>
  <c r="G354" i="4" s="1"/>
  <c r="JA288" i="13"/>
  <c r="G485" i="4" s="1"/>
  <c r="G484" i="4" s="1"/>
  <c r="J484" i="4" s="1"/>
  <c r="JD288" i="13"/>
  <c r="G491" i="4" s="1"/>
  <c r="J491" i="4" s="1"/>
  <c r="J24" i="18"/>
  <c r="I157" i="4"/>
  <c r="I261" i="4"/>
  <c r="I424" i="4"/>
  <c r="G8" i="18"/>
  <c r="N16" i="18"/>
  <c r="N18" i="18"/>
  <c r="N22" i="18"/>
  <c r="N25" i="18"/>
  <c r="O31" i="18"/>
  <c r="C42" i="18"/>
  <c r="M42" i="18" s="1"/>
  <c r="I179" i="4"/>
  <c r="BA288" i="13"/>
  <c r="G115" i="4" s="1"/>
  <c r="J115" i="4" s="1"/>
  <c r="DM288" i="13"/>
  <c r="G218" i="4" s="1"/>
  <c r="IK288" i="13"/>
  <c r="G452" i="4" s="1"/>
  <c r="J452" i="4" s="1"/>
  <c r="I148" i="4"/>
  <c r="I250" i="4"/>
  <c r="I464" i="4"/>
  <c r="I68" i="4"/>
  <c r="J409" i="4"/>
  <c r="J207" i="4"/>
  <c r="H68" i="4"/>
  <c r="H64" i="4" s="1"/>
  <c r="U288" i="13"/>
  <c r="G56" i="4" s="1"/>
  <c r="J56" i="4" s="1"/>
  <c r="CW288" i="13"/>
  <c r="G194" i="4" s="1"/>
  <c r="J194" i="4" s="1"/>
  <c r="FI288" i="13"/>
  <c r="G297" i="4" s="1"/>
  <c r="B11" i="6" s="1"/>
  <c r="D11" i="6" s="1"/>
  <c r="X36" i="21"/>
  <c r="I446" i="4"/>
  <c r="I357" i="4"/>
  <c r="I111" i="4"/>
  <c r="J266" i="4"/>
  <c r="I400" i="4"/>
  <c r="J43" i="4"/>
  <c r="J234" i="4"/>
  <c r="CL288" i="13"/>
  <c r="G175" i="4" s="1"/>
  <c r="J175" i="4" s="1"/>
  <c r="L10" i="18"/>
  <c r="L12" i="18"/>
  <c r="M36" i="18"/>
  <c r="N62" i="18"/>
  <c r="M73" i="18"/>
  <c r="M75" i="18"/>
  <c r="M79" i="18"/>
  <c r="M81" i="18"/>
  <c r="B61" i="17"/>
  <c r="B66" i="17"/>
  <c r="I337" i="4"/>
  <c r="F288" i="13"/>
  <c r="G34" i="4" s="1"/>
  <c r="J34" i="4" s="1"/>
  <c r="AL288" i="13"/>
  <c r="G82" i="4" s="1"/>
  <c r="G81" i="4" s="1"/>
  <c r="J81" i="4" s="1"/>
  <c r="BR288" i="13"/>
  <c r="G147" i="4" s="1"/>
  <c r="CX288" i="13"/>
  <c r="G195" i="4" s="1"/>
  <c r="J195" i="4" s="1"/>
  <c r="ED288" i="13"/>
  <c r="G254" i="4" s="1"/>
  <c r="G253" i="4" s="1"/>
  <c r="FJ288" i="13"/>
  <c r="G298" i="4" s="1"/>
  <c r="GP288" i="13"/>
  <c r="G356" i="4" s="1"/>
  <c r="J356" i="4" s="1"/>
  <c r="HV288" i="13"/>
  <c r="G426" i="4" s="1"/>
  <c r="J426" i="4" s="1"/>
  <c r="JB288" i="13"/>
  <c r="G487" i="4" s="1"/>
  <c r="G486" i="4" s="1"/>
  <c r="J486" i="4" s="1"/>
  <c r="G65" i="18"/>
  <c r="H36" i="21"/>
  <c r="I348" i="4"/>
  <c r="V288" i="13"/>
  <c r="G57" i="4" s="1"/>
  <c r="J57" i="4" s="1"/>
  <c r="BB288" i="13"/>
  <c r="G118" i="4" s="1"/>
  <c r="G117" i="4" s="1"/>
  <c r="DN288" i="13"/>
  <c r="G220" i="4" s="1"/>
  <c r="J220" i="4" s="1"/>
  <c r="ET288" i="13"/>
  <c r="G278" i="4" s="1"/>
  <c r="J278" i="4" s="1"/>
  <c r="FZ288" i="13"/>
  <c r="G326" i="4" s="1"/>
  <c r="J326" i="4" s="1"/>
  <c r="HF288" i="13"/>
  <c r="G391" i="4" s="1"/>
  <c r="J391" i="4" s="1"/>
  <c r="IL288" i="13"/>
  <c r="G454" i="4" s="1"/>
  <c r="J454" i="4" s="1"/>
  <c r="H209" i="4"/>
  <c r="H208" i="4" s="1"/>
  <c r="C26" i="6" s="1"/>
  <c r="G288" i="13"/>
  <c r="G36" i="4" s="1"/>
  <c r="AM288" i="13"/>
  <c r="G84" i="4" s="1"/>
  <c r="BC288" i="13"/>
  <c r="G120" i="4" s="1"/>
  <c r="G119" i="4" s="1"/>
  <c r="CI288" i="13"/>
  <c r="G172" i="4" s="1"/>
  <c r="J172" i="4" s="1"/>
  <c r="CY288" i="13"/>
  <c r="G196" i="4" s="1"/>
  <c r="EE288" i="13"/>
  <c r="G256" i="4" s="1"/>
  <c r="G255" i="4" s="1"/>
  <c r="J255" i="4" s="1"/>
  <c r="EU288" i="13"/>
  <c r="G279" i="4" s="1"/>
  <c r="J279" i="4" s="1"/>
  <c r="GA288" i="13"/>
  <c r="G328" i="4" s="1"/>
  <c r="J328" i="4" s="1"/>
  <c r="GQ288" i="13"/>
  <c r="G359" i="4" s="1"/>
  <c r="G358" i="4" s="1"/>
  <c r="J358" i="4" s="1"/>
  <c r="HW288" i="13"/>
  <c r="G428" i="4" s="1"/>
  <c r="G427" i="4" s="1"/>
  <c r="J427" i="4" s="1"/>
  <c r="IM288" i="13"/>
  <c r="G456" i="4" s="1"/>
  <c r="G455" i="4" s="1"/>
  <c r="CP288" i="13"/>
  <c r="G183" i="4" s="1"/>
  <c r="H65" i="18"/>
  <c r="G68" i="18"/>
  <c r="L73" i="17"/>
  <c r="L85" i="17" s="1"/>
  <c r="I36" i="21"/>
  <c r="AO58" i="10"/>
  <c r="J60" i="18"/>
  <c r="H68" i="18"/>
  <c r="J36" i="21"/>
  <c r="I383" i="4"/>
  <c r="H288" i="13"/>
  <c r="G37" i="4" s="1"/>
  <c r="J37" i="4" s="1"/>
  <c r="X288" i="13"/>
  <c r="G59" i="4" s="1"/>
  <c r="J59" i="4" s="1"/>
  <c r="AN288" i="13"/>
  <c r="G86" i="4" s="1"/>
  <c r="G85" i="4" s="1"/>
  <c r="J85" i="4" s="1"/>
  <c r="BD288" i="13"/>
  <c r="G122" i="4" s="1"/>
  <c r="G121" i="4" s="1"/>
  <c r="J121" i="4" s="1"/>
  <c r="BT288" i="13"/>
  <c r="G152" i="4" s="1"/>
  <c r="G151" i="4" s="1"/>
  <c r="J151" i="4" s="1"/>
  <c r="CZ288" i="13"/>
  <c r="G198" i="4" s="1"/>
  <c r="J198" i="4" s="1"/>
  <c r="DP288" i="13"/>
  <c r="G222" i="4" s="1"/>
  <c r="J222" i="4" s="1"/>
  <c r="EF288" i="13"/>
  <c r="G258" i="4" s="1"/>
  <c r="G257" i="4" s="1"/>
  <c r="J257" i="4" s="1"/>
  <c r="EV288" i="13"/>
  <c r="G280" i="4" s="1"/>
  <c r="J280" i="4" s="1"/>
  <c r="FL288" i="13"/>
  <c r="G300" i="4" s="1"/>
  <c r="GB288" i="13"/>
  <c r="G329" i="4" s="1"/>
  <c r="GR288" i="13"/>
  <c r="G361" i="4" s="1"/>
  <c r="J361" i="4" s="1"/>
  <c r="HH288" i="13"/>
  <c r="G395" i="4" s="1"/>
  <c r="HX288" i="13"/>
  <c r="G430" i="4" s="1"/>
  <c r="IN288" i="13"/>
  <c r="G458" i="4" s="1"/>
  <c r="J458" i="4" s="1"/>
  <c r="I106" i="4"/>
  <c r="H188" i="4"/>
  <c r="H457" i="4"/>
  <c r="I288" i="13"/>
  <c r="G38" i="4" s="1"/>
  <c r="J38" i="4" s="1"/>
  <c r="Y288" i="13"/>
  <c r="G60" i="4" s="1"/>
  <c r="J60" i="4" s="1"/>
  <c r="AO288" i="13"/>
  <c r="G90" i="4" s="1"/>
  <c r="G89" i="4" s="1"/>
  <c r="BE288" i="13"/>
  <c r="G124" i="4" s="1"/>
  <c r="G123" i="4" s="1"/>
  <c r="J123" i="4" s="1"/>
  <c r="CK288" i="13"/>
  <c r="G174" i="4" s="1"/>
  <c r="J174" i="4" s="1"/>
  <c r="DA288" i="13"/>
  <c r="G199" i="4" s="1"/>
  <c r="J199" i="4" s="1"/>
  <c r="EG288" i="13"/>
  <c r="G260" i="4" s="1"/>
  <c r="J260" i="4" s="1"/>
  <c r="EW288" i="13"/>
  <c r="G281" i="4" s="1"/>
  <c r="J281" i="4" s="1"/>
  <c r="GC288" i="13"/>
  <c r="G331" i="4" s="1"/>
  <c r="J331" i="4" s="1"/>
  <c r="GS288" i="13"/>
  <c r="G363" i="4" s="1"/>
  <c r="HY288" i="13"/>
  <c r="G431" i="4" s="1"/>
  <c r="IO288" i="13"/>
  <c r="G459" i="4" s="1"/>
  <c r="H35" i="4"/>
  <c r="N15" i="18"/>
  <c r="N19" i="18"/>
  <c r="N21" i="18"/>
  <c r="O28" i="18"/>
  <c r="G42" i="18"/>
  <c r="O52" i="18"/>
  <c r="O58" i="18"/>
  <c r="L63" i="18"/>
  <c r="K36" i="21"/>
  <c r="JI287" i="13"/>
  <c r="O15" i="18"/>
  <c r="O17" i="18"/>
  <c r="O19" i="18"/>
  <c r="O21" i="18"/>
  <c r="O23" i="18"/>
  <c r="L35" i="18"/>
  <c r="L39" i="18"/>
  <c r="L41" i="18"/>
  <c r="H42" i="18"/>
  <c r="G50" i="18"/>
  <c r="M63" i="18"/>
  <c r="L66" i="18"/>
  <c r="L76" i="18"/>
  <c r="L36" i="21"/>
  <c r="L9" i="18"/>
  <c r="L13" i="18"/>
  <c r="G14" i="18"/>
  <c r="M39" i="18"/>
  <c r="N63" i="18"/>
  <c r="M66" i="18"/>
  <c r="L69" i="18"/>
  <c r="M76" i="18"/>
  <c r="M78" i="18"/>
  <c r="D73" i="16"/>
  <c r="D85" i="16" s="1"/>
  <c r="B43" i="17"/>
  <c r="N36" i="21"/>
  <c r="AA288" i="13"/>
  <c r="G62" i="4" s="1"/>
  <c r="J62" i="4" s="1"/>
  <c r="AQ288" i="13"/>
  <c r="G94" i="4" s="1"/>
  <c r="G93" i="4" s="1"/>
  <c r="BW288" i="13"/>
  <c r="G159" i="4" s="1"/>
  <c r="J159" i="4" s="1"/>
  <c r="CM288" i="13"/>
  <c r="G176" i="4" s="1"/>
  <c r="J176" i="4" s="1"/>
  <c r="DS288" i="13"/>
  <c r="G229" i="4" s="1"/>
  <c r="J229" i="4" s="1"/>
  <c r="EI288" i="13"/>
  <c r="G264" i="4" s="1"/>
  <c r="J264" i="4" s="1"/>
  <c r="FO288" i="13"/>
  <c r="G305" i="4" s="1"/>
  <c r="G304" i="4" s="1"/>
  <c r="GE288" i="13"/>
  <c r="G333" i="4" s="1"/>
  <c r="J333" i="4" s="1"/>
  <c r="HK288" i="13"/>
  <c r="G402" i="4" s="1"/>
  <c r="J402" i="4" s="1"/>
  <c r="IA288" i="13"/>
  <c r="G435" i="4" s="1"/>
  <c r="JG288" i="13"/>
  <c r="G499" i="4" s="1"/>
  <c r="G498" i="4" s="1"/>
  <c r="I88" i="4"/>
  <c r="L288" i="13"/>
  <c r="G41" i="4" s="1"/>
  <c r="J41" i="4" s="1"/>
  <c r="AB288" i="13"/>
  <c r="G63" i="4" s="1"/>
  <c r="J63" i="4" s="1"/>
  <c r="AR288" i="13"/>
  <c r="G96" i="4" s="1"/>
  <c r="G95" i="4" s="1"/>
  <c r="J95" i="4" s="1"/>
  <c r="BH288" i="13"/>
  <c r="G131" i="4" s="1"/>
  <c r="J131" i="4" s="1"/>
  <c r="BX288" i="13"/>
  <c r="G160" i="4" s="1"/>
  <c r="DD288" i="13"/>
  <c r="G202" i="4" s="1"/>
  <c r="J202" i="4" s="1"/>
  <c r="DT288" i="13"/>
  <c r="G231" i="4" s="1"/>
  <c r="G230" i="4" s="1"/>
  <c r="J230" i="4" s="1"/>
  <c r="EJ288" i="13"/>
  <c r="G265" i="4" s="1"/>
  <c r="J265" i="4" s="1"/>
  <c r="EZ288" i="13"/>
  <c r="G285" i="4" s="1"/>
  <c r="FP288" i="13"/>
  <c r="G307" i="4" s="1"/>
  <c r="J307" i="4" s="1"/>
  <c r="GF288" i="13"/>
  <c r="G334" i="4" s="1"/>
  <c r="J334" i="4" s="1"/>
  <c r="GV288" i="13"/>
  <c r="G370" i="4" s="1"/>
  <c r="HL288" i="13"/>
  <c r="G404" i="4" s="1"/>
  <c r="J404" i="4" s="1"/>
  <c r="IB288" i="13"/>
  <c r="G437" i="4" s="1"/>
  <c r="G436" i="4" s="1"/>
  <c r="IR288" i="13"/>
  <c r="G466" i="4" s="1"/>
  <c r="G465" i="4" s="1"/>
  <c r="J465" i="4" s="1"/>
  <c r="JH288" i="13"/>
  <c r="G501" i="4" s="1"/>
  <c r="J501" i="4" s="1"/>
  <c r="M9" i="18"/>
  <c r="M13" i="18"/>
  <c r="N35" i="18"/>
  <c r="N39" i="18"/>
  <c r="N41" i="18"/>
  <c r="O61" i="18"/>
  <c r="N66" i="18"/>
  <c r="M69" i="18"/>
  <c r="N76" i="18"/>
  <c r="N78" i="18"/>
  <c r="B43" i="16"/>
  <c r="O36" i="21"/>
  <c r="H262" i="4"/>
  <c r="J451" i="4"/>
  <c r="I35" i="4"/>
  <c r="I54" i="4"/>
  <c r="I51" i="4" s="1"/>
  <c r="J127" i="4"/>
  <c r="J139" i="4"/>
  <c r="J156" i="4"/>
  <c r="J200" i="4"/>
  <c r="J263" i="4"/>
  <c r="H337" i="4"/>
  <c r="H464" i="4"/>
  <c r="M60" i="18"/>
  <c r="B25" i="16"/>
  <c r="B25" i="17"/>
  <c r="B51" i="17"/>
  <c r="C18" i="22"/>
  <c r="G16" i="4"/>
  <c r="J17" i="4" s="1"/>
  <c r="N42" i="18"/>
  <c r="N60" i="18"/>
  <c r="B51" i="16"/>
  <c r="H116" i="4"/>
  <c r="C22" i="6" s="1"/>
  <c r="H492" i="4"/>
  <c r="O27" i="18"/>
  <c r="O30" i="18"/>
  <c r="O33" i="18"/>
  <c r="O36" i="18"/>
  <c r="O39" i="18"/>
  <c r="E42" i="18"/>
  <c r="O42" i="18" s="1"/>
  <c r="O45" i="18"/>
  <c r="O48" i="18"/>
  <c r="O51" i="18"/>
  <c r="O54" i="18"/>
  <c r="O57" i="18"/>
  <c r="E60" i="18"/>
  <c r="O60" i="18" s="1"/>
  <c r="O63" i="18"/>
  <c r="O66" i="18"/>
  <c r="O69" i="18"/>
  <c r="L75" i="18"/>
  <c r="L78" i="18"/>
  <c r="L81" i="18"/>
  <c r="N73" i="17"/>
  <c r="N85" i="17" s="1"/>
  <c r="F36" i="21"/>
  <c r="J69" i="4"/>
  <c r="H366" i="4"/>
  <c r="H473" i="4"/>
  <c r="J227" i="4"/>
  <c r="H383" i="4"/>
  <c r="H245" i="4"/>
  <c r="C9" i="6" s="1"/>
  <c r="L18" i="18"/>
  <c r="B50" i="18"/>
  <c r="L59" i="18"/>
  <c r="L62" i="18"/>
  <c r="B65" i="18"/>
  <c r="B68" i="18"/>
  <c r="H73" i="16"/>
  <c r="H85" i="16" s="1"/>
  <c r="B15" i="16"/>
  <c r="J470" i="4"/>
  <c r="M35" i="18"/>
  <c r="M38" i="18"/>
  <c r="M41" i="18"/>
  <c r="M44" i="18"/>
  <c r="M47" i="18"/>
  <c r="C50" i="18"/>
  <c r="M50" i="18" s="1"/>
  <c r="M53" i="18"/>
  <c r="M56" i="18"/>
  <c r="M59" i="18"/>
  <c r="M62" i="18"/>
  <c r="C65" i="18"/>
  <c r="C68" i="18"/>
  <c r="M71" i="18"/>
  <c r="N75" i="18"/>
  <c r="H276" i="4"/>
  <c r="J39" i="4"/>
  <c r="E24" i="18"/>
  <c r="I24" i="18"/>
  <c r="D50" i="18"/>
  <c r="D65" i="18"/>
  <c r="N65" i="18" s="1"/>
  <c r="D68" i="18"/>
  <c r="J73" i="16"/>
  <c r="J85" i="16" s="1"/>
  <c r="H78" i="4"/>
  <c r="H111" i="4"/>
  <c r="C21" i="6" s="1"/>
  <c r="J496" i="4"/>
  <c r="K288" i="13"/>
  <c r="G40" i="4" s="1"/>
  <c r="J40" i="4" s="1"/>
  <c r="W288" i="13"/>
  <c r="G58" i="4" s="1"/>
  <c r="AI288" i="13"/>
  <c r="G76" i="4" s="1"/>
  <c r="AU288" i="13"/>
  <c r="G101" i="4" s="1"/>
  <c r="J101" i="4" s="1"/>
  <c r="BG288" i="13"/>
  <c r="G129" i="4" s="1"/>
  <c r="G128" i="4" s="1"/>
  <c r="J128" i="4" s="1"/>
  <c r="BS288" i="13"/>
  <c r="G150" i="4" s="1"/>
  <c r="CE288" i="13"/>
  <c r="G168" i="4" s="1"/>
  <c r="J168" i="4" s="1"/>
  <c r="CQ288" i="13"/>
  <c r="G185" i="4" s="1"/>
  <c r="DC288" i="13"/>
  <c r="G201" i="4" s="1"/>
  <c r="J201" i="4" s="1"/>
  <c r="DO288" i="13"/>
  <c r="G221" i="4" s="1"/>
  <c r="J221" i="4" s="1"/>
  <c r="EA288" i="13"/>
  <c r="G247" i="4" s="1"/>
  <c r="J247" i="4" s="1"/>
  <c r="EM288" i="13"/>
  <c r="G269" i="4" s="1"/>
  <c r="J269" i="4" s="1"/>
  <c r="EY288" i="13"/>
  <c r="G283" i="4" s="1"/>
  <c r="J283" i="4" s="1"/>
  <c r="FK288" i="13"/>
  <c r="G299" i="4" s="1"/>
  <c r="J299" i="4" s="1"/>
  <c r="FW288" i="13"/>
  <c r="G321" i="4" s="1"/>
  <c r="GI288" i="13"/>
  <c r="G341" i="4" s="1"/>
  <c r="G340" i="4" s="1"/>
  <c r="J340" i="4" s="1"/>
  <c r="GU288" i="13"/>
  <c r="G368" i="4" s="1"/>
  <c r="G367" i="4" s="1"/>
  <c r="HG288" i="13"/>
  <c r="G393" i="4" s="1"/>
  <c r="G392" i="4" s="1"/>
  <c r="J392" i="4" s="1"/>
  <c r="HS288" i="13"/>
  <c r="G419" i="4" s="1"/>
  <c r="G418" i="4" s="1"/>
  <c r="J418" i="4" s="1"/>
  <c r="IE288" i="13"/>
  <c r="G442" i="4" s="1"/>
  <c r="J442" i="4" s="1"/>
  <c r="IQ288" i="13"/>
  <c r="G462" i="4" s="1"/>
  <c r="JC288" i="13"/>
  <c r="G489" i="4" s="1"/>
  <c r="G488" i="4" s="1"/>
  <c r="J488" i="4" s="1"/>
  <c r="N26" i="18"/>
  <c r="O29" i="18"/>
  <c r="O32" i="18"/>
  <c r="O35" i="18"/>
  <c r="O38" i="18"/>
  <c r="O41" i="18"/>
  <c r="O44" i="18"/>
  <c r="O47" i="18"/>
  <c r="E50" i="18"/>
  <c r="O50" i="18" s="1"/>
  <c r="O53" i="18"/>
  <c r="O56" i="18"/>
  <c r="O59" i="18"/>
  <c r="O62" i="18"/>
  <c r="E65" i="18"/>
  <c r="O65" i="18" s="1"/>
  <c r="E68" i="18"/>
  <c r="L74" i="18"/>
  <c r="L77" i="18"/>
  <c r="L80" i="18"/>
  <c r="H197" i="4"/>
  <c r="H327" i="4"/>
  <c r="H308" i="4" s="1"/>
  <c r="B8" i="18"/>
  <c r="L8" i="18" s="1"/>
  <c r="L11" i="18"/>
  <c r="B14" i="18"/>
  <c r="L17" i="18"/>
  <c r="L20" i="18"/>
  <c r="L23" i="18"/>
  <c r="O26" i="18"/>
  <c r="L28" i="18"/>
  <c r="L31" i="18"/>
  <c r="B34" i="18"/>
  <c r="L34" i="18" s="1"/>
  <c r="L37" i="18"/>
  <c r="L40" i="18"/>
  <c r="L43" i="18"/>
  <c r="L46" i="18"/>
  <c r="L49" i="18"/>
  <c r="L52" i="18"/>
  <c r="L55" i="18"/>
  <c r="L58" i="18"/>
  <c r="L61" i="18"/>
  <c r="L64" i="18"/>
  <c r="L67" i="18"/>
  <c r="L70" i="18"/>
  <c r="M74" i="18"/>
  <c r="M77" i="18"/>
  <c r="M80" i="18"/>
  <c r="L73" i="16"/>
  <c r="L85" i="16" s="1"/>
  <c r="AB36" i="21"/>
  <c r="J313" i="4"/>
  <c r="G42" i="4"/>
  <c r="J42" i="4" s="1"/>
  <c r="H148" i="4"/>
  <c r="C31" i="6"/>
  <c r="H303" i="4"/>
  <c r="G312" i="4"/>
  <c r="B25" i="6" s="1"/>
  <c r="BI288" i="13"/>
  <c r="G132" i="4" s="1"/>
  <c r="BU288" i="13"/>
  <c r="G154" i="4" s="1"/>
  <c r="G153" i="4" s="1"/>
  <c r="J153" i="4" s="1"/>
  <c r="CG288" i="13"/>
  <c r="G170" i="4" s="1"/>
  <c r="J170" i="4" s="1"/>
  <c r="CS288" i="13"/>
  <c r="G189" i="4" s="1"/>
  <c r="DE288" i="13"/>
  <c r="G203" i="4" s="1"/>
  <c r="J203" i="4" s="1"/>
  <c r="DQ288" i="13"/>
  <c r="G224" i="4" s="1"/>
  <c r="G223" i="4" s="1"/>
  <c r="J223" i="4" s="1"/>
  <c r="EC288" i="13"/>
  <c r="G252" i="4" s="1"/>
  <c r="EO288" i="13"/>
  <c r="G271" i="4" s="1"/>
  <c r="J271" i="4" s="1"/>
  <c r="FA288" i="13"/>
  <c r="G288" i="4" s="1"/>
  <c r="J288" i="4" s="1"/>
  <c r="FM288" i="13"/>
  <c r="G301" i="4" s="1"/>
  <c r="J301" i="4" s="1"/>
  <c r="FY288" i="13"/>
  <c r="G325" i="4" s="1"/>
  <c r="J325" i="4" s="1"/>
  <c r="GK288" i="13"/>
  <c r="G345" i="4" s="1"/>
  <c r="GW288" i="13"/>
  <c r="G372" i="4" s="1"/>
  <c r="J372" i="4" s="1"/>
  <c r="HI288" i="13"/>
  <c r="G397" i="4" s="1"/>
  <c r="HU288" i="13"/>
  <c r="G423" i="4" s="1"/>
  <c r="J423" i="4" s="1"/>
  <c r="IG288" i="13"/>
  <c r="G445" i="4" s="1"/>
  <c r="J445" i="4" s="1"/>
  <c r="IS288" i="13"/>
  <c r="G468" i="4" s="1"/>
  <c r="J468" i="4" s="1"/>
  <c r="JE288" i="13"/>
  <c r="G494" i="4" s="1"/>
  <c r="G493" i="4" s="1"/>
  <c r="G492" i="4" s="1"/>
  <c r="C8" i="18"/>
  <c r="M11" i="18"/>
  <c r="C14" i="18"/>
  <c r="M14" i="18" s="1"/>
  <c r="M17" i="18"/>
  <c r="M20" i="18"/>
  <c r="M23" i="18"/>
  <c r="L25" i="18"/>
  <c r="M28" i="18"/>
  <c r="M31" i="18"/>
  <c r="C34" i="18"/>
  <c r="M37" i="18"/>
  <c r="M40" i="18"/>
  <c r="M43" i="18"/>
  <c r="M46" i="18"/>
  <c r="M49" i="18"/>
  <c r="M52" i="18"/>
  <c r="M55" i="18"/>
  <c r="M58" i="18"/>
  <c r="M61" i="18"/>
  <c r="M64" i="18"/>
  <c r="M67" i="18"/>
  <c r="M70" i="18"/>
  <c r="N74" i="18"/>
  <c r="N77" i="18"/>
  <c r="N80" i="18"/>
  <c r="H73" i="17"/>
  <c r="H85" i="17" s="1"/>
  <c r="Y36" i="21"/>
  <c r="L60" i="18"/>
  <c r="H348" i="4"/>
  <c r="J55" i="4"/>
  <c r="G126" i="4"/>
  <c r="J126" i="4" s="1"/>
  <c r="G155" i="4"/>
  <c r="J155" i="4" s="1"/>
  <c r="D8" i="18"/>
  <c r="N8" i="18" s="1"/>
  <c r="N11" i="18"/>
  <c r="D14" i="18"/>
  <c r="N14" i="18" s="1"/>
  <c r="N17" i="18"/>
  <c r="N20" i="18"/>
  <c r="N23" i="18"/>
  <c r="M25" i="18"/>
  <c r="N28" i="18"/>
  <c r="N31" i="18"/>
  <c r="D34" i="18"/>
  <c r="N37" i="18"/>
  <c r="N40" i="18"/>
  <c r="N43" i="18"/>
  <c r="N46" i="18"/>
  <c r="N49" i="18"/>
  <c r="N52" i="18"/>
  <c r="N55" i="18"/>
  <c r="N58" i="18"/>
  <c r="N61" i="18"/>
  <c r="N64" i="18"/>
  <c r="N67" i="18"/>
  <c r="N70" i="18"/>
  <c r="O74" i="18"/>
  <c r="O77" i="18"/>
  <c r="O80" i="18"/>
  <c r="N73" i="16"/>
  <c r="N85" i="16" s="1"/>
  <c r="B35" i="17"/>
  <c r="Z36" i="21"/>
  <c r="H192" i="4"/>
  <c r="J84" i="4"/>
  <c r="J120" i="4"/>
  <c r="H167" i="4"/>
  <c r="J205" i="4"/>
  <c r="J211" i="4"/>
  <c r="J431" i="4"/>
  <c r="J485" i="4"/>
  <c r="E8" i="18"/>
  <c r="O8" i="18" s="1"/>
  <c r="B9" i="16"/>
  <c r="B9" i="17"/>
  <c r="J73" i="17"/>
  <c r="J85" i="17" s="1"/>
  <c r="L228" i="25"/>
  <c r="C36" i="21"/>
  <c r="E18" i="22"/>
  <c r="G24" i="18"/>
  <c r="D36" i="21"/>
  <c r="H158" i="4"/>
  <c r="C11" i="6"/>
  <c r="JI81" i="1"/>
  <c r="H330" i="4"/>
  <c r="O18" i="4" s="1"/>
  <c r="G52" i="4"/>
  <c r="J52" i="4" s="1"/>
  <c r="E73" i="17"/>
  <c r="E85" i="17" s="1"/>
  <c r="G73" i="17"/>
  <c r="G85" i="17" s="1"/>
  <c r="I73" i="17"/>
  <c r="I85" i="17" s="1"/>
  <c r="K73" i="17"/>
  <c r="K85" i="17" s="1"/>
  <c r="M73" i="17"/>
  <c r="M85" i="17" s="1"/>
  <c r="B15" i="17"/>
  <c r="D73" i="17"/>
  <c r="D85" i="17" s="1"/>
  <c r="F73" i="17"/>
  <c r="F85" i="17" s="1"/>
  <c r="L27" i="18"/>
  <c r="C73" i="17"/>
  <c r="C85" i="17" s="1"/>
  <c r="N27" i="18"/>
  <c r="D24" i="18"/>
  <c r="C73" i="16"/>
  <c r="C85" i="16" s="1"/>
  <c r="E73" i="16"/>
  <c r="E85" i="16" s="1"/>
  <c r="G73" i="16"/>
  <c r="G85" i="16" s="1"/>
  <c r="I73" i="16"/>
  <c r="I85" i="16" s="1"/>
  <c r="K73" i="16"/>
  <c r="K85" i="16" s="1"/>
  <c r="M73" i="16"/>
  <c r="M85" i="16" s="1"/>
  <c r="E32" i="20"/>
  <c r="H71" i="4"/>
  <c r="C25" i="6"/>
  <c r="H106" i="4"/>
  <c r="H125" i="4"/>
  <c r="C23" i="6" s="1"/>
  <c r="H225" i="4"/>
  <c r="H232" i="4"/>
  <c r="C27" i="6" s="1"/>
  <c r="J30" i="4"/>
  <c r="J45" i="4"/>
  <c r="J47" i="4"/>
  <c r="J66" i="4"/>
  <c r="J73" i="4"/>
  <c r="J133" i="4"/>
  <c r="J134" i="4"/>
  <c r="J145" i="4"/>
  <c r="J180" i="4"/>
  <c r="J44" i="4"/>
  <c r="J50" i="4"/>
  <c r="J72" i="4"/>
  <c r="C19" i="6"/>
  <c r="J100" i="4"/>
  <c r="J152" i="4"/>
  <c r="J154" i="4"/>
  <c r="J161" i="4"/>
  <c r="J162" i="4"/>
  <c r="J163" i="4"/>
  <c r="J165" i="4"/>
  <c r="J169" i="4"/>
  <c r="J171" i="4"/>
  <c r="J181" i="4"/>
  <c r="J183" i="4"/>
  <c r="J189" i="4"/>
  <c r="J193" i="4"/>
  <c r="J196" i="4"/>
  <c r="J215" i="4"/>
  <c r="J216" i="4"/>
  <c r="J238" i="4"/>
  <c r="H250" i="4"/>
  <c r="H357" i="4"/>
  <c r="H405" i="4"/>
  <c r="H497" i="4"/>
  <c r="J249" i="4"/>
  <c r="J449" i="4"/>
  <c r="J459" i="4"/>
  <c r="J460" i="4"/>
  <c r="J499" i="4"/>
  <c r="J282" i="4"/>
  <c r="H287" i="4"/>
  <c r="J294" i="4"/>
  <c r="H295" i="4"/>
  <c r="J298" i="4"/>
  <c r="J310" i="4"/>
  <c r="J311" i="4"/>
  <c r="H324" i="4"/>
  <c r="J332" i="4"/>
  <c r="J335" i="4"/>
  <c r="J378" i="4"/>
  <c r="J417" i="4"/>
  <c r="J437" i="4"/>
  <c r="J455" i="4"/>
  <c r="J466" i="4"/>
  <c r="G65" i="4"/>
  <c r="G83" i="4"/>
  <c r="J83" i="4" s="1"/>
  <c r="G91" i="4"/>
  <c r="J91" i="4" s="1"/>
  <c r="J93" i="4"/>
  <c r="G99" i="4"/>
  <c r="J99" i="4" s="1"/>
  <c r="G104" i="4"/>
  <c r="J104" i="4" s="1"/>
  <c r="G114" i="4"/>
  <c r="J114" i="4" s="1"/>
  <c r="J119" i="4"/>
  <c r="J339" i="4"/>
  <c r="G338" i="4"/>
  <c r="J354" i="4"/>
  <c r="G353" i="4"/>
  <c r="J353" i="4" s="1"/>
  <c r="G375" i="4"/>
  <c r="J375" i="4" s="1"/>
  <c r="J399" i="4"/>
  <c r="G398" i="4"/>
  <c r="J398" i="4" s="1"/>
  <c r="J407" i="4"/>
  <c r="G406" i="4"/>
  <c r="J430" i="4"/>
  <c r="G429" i="4"/>
  <c r="J429" i="4" s="1"/>
  <c r="J439" i="4"/>
  <c r="G438" i="4"/>
  <c r="J438" i="4" s="1"/>
  <c r="J448" i="4"/>
  <c r="J472" i="4"/>
  <c r="G471" i="4"/>
  <c r="J471" i="4" s="1"/>
  <c r="J479" i="4"/>
  <c r="G478" i="4"/>
  <c r="J478" i="4" s="1"/>
  <c r="J487" i="4"/>
  <c r="JI271" i="13"/>
  <c r="JK3" i="13"/>
  <c r="JK271" i="13" s="1"/>
  <c r="G182" i="4"/>
  <c r="B24" i="6" s="1"/>
  <c r="D24" i="6" s="1"/>
  <c r="G186" i="4"/>
  <c r="J186" i="4" s="1"/>
  <c r="G214" i="4"/>
  <c r="J226" i="4"/>
  <c r="J233" i="4"/>
  <c r="G235" i="4"/>
  <c r="J235" i="4" s="1"/>
  <c r="J237" i="4"/>
  <c r="G243" i="4"/>
  <c r="J243" i="4" s="1"/>
  <c r="J248" i="4"/>
  <c r="G309" i="4"/>
  <c r="J343" i="4"/>
  <c r="G342" i="4"/>
  <c r="J342" i="4" s="1"/>
  <c r="J350" i="4"/>
  <c r="G349" i="4"/>
  <c r="J365" i="4"/>
  <c r="G364" i="4"/>
  <c r="J364" i="4" s="1"/>
  <c r="J380" i="4"/>
  <c r="G379" i="4"/>
  <c r="J379" i="4" s="1"/>
  <c r="J395" i="4"/>
  <c r="G394" i="4"/>
  <c r="J394" i="4" s="1"/>
  <c r="G403" i="4"/>
  <c r="J411" i="4"/>
  <c r="G410" i="4"/>
  <c r="J410" i="4" s="1"/>
  <c r="J419" i="4"/>
  <c r="J435" i="4"/>
  <c r="G434" i="4"/>
  <c r="J434" i="4" s="1"/>
  <c r="J483" i="4"/>
  <c r="G482" i="4"/>
  <c r="J482" i="4" s="1"/>
  <c r="J351" i="4"/>
  <c r="J377" i="4"/>
  <c r="J384" i="4"/>
  <c r="J408" i="4"/>
  <c r="J412" i="4"/>
  <c r="J416" i="4"/>
  <c r="J436" i="4"/>
  <c r="J469" i="4"/>
  <c r="J495" i="4"/>
  <c r="J498" i="4"/>
  <c r="J89" i="4"/>
  <c r="J289" i="4"/>
  <c r="D10" i="6"/>
  <c r="J302" i="4"/>
  <c r="J323" i="4"/>
  <c r="M8" i="18"/>
  <c r="J240" i="4" l="1"/>
  <c r="J143" i="4"/>
  <c r="G457" i="4"/>
  <c r="I83" i="18"/>
  <c r="I82" i="18" s="1"/>
  <c r="G112" i="4"/>
  <c r="J112" i="4" s="1"/>
  <c r="J477" i="4"/>
  <c r="J48" i="4"/>
  <c r="N34" i="18"/>
  <c r="M34" i="18"/>
  <c r="G346" i="4"/>
  <c r="J346" i="4" s="1"/>
  <c r="H463" i="4"/>
  <c r="J475" i="4"/>
  <c r="C20" i="6"/>
  <c r="O14" i="18"/>
  <c r="G204" i="4"/>
  <c r="J204" i="4" s="1"/>
  <c r="G414" i="4"/>
  <c r="J414" i="4" s="1"/>
  <c r="G140" i="4"/>
  <c r="J140" i="4" s="1"/>
  <c r="J256" i="4"/>
  <c r="M68" i="18"/>
  <c r="J110" i="4"/>
  <c r="J273" i="4"/>
  <c r="G500" i="4"/>
  <c r="J500" i="4" s="1"/>
  <c r="G425" i="4"/>
  <c r="G318" i="4"/>
  <c r="J318" i="4" s="1"/>
  <c r="J481" i="4"/>
  <c r="G106" i="4"/>
  <c r="J106" i="4" s="1"/>
  <c r="J492" i="4"/>
  <c r="J309" i="4"/>
  <c r="J108" i="4"/>
  <c r="J124" i="4"/>
  <c r="J494" i="4"/>
  <c r="N50" i="18"/>
  <c r="N24" i="18"/>
  <c r="J413" i="4"/>
  <c r="G386" i="4"/>
  <c r="N68" i="18"/>
  <c r="G136" i="4"/>
  <c r="J136" i="4" s="1"/>
  <c r="G209" i="4"/>
  <c r="J209" i="4" s="1"/>
  <c r="J315" i="4"/>
  <c r="J290" i="4"/>
  <c r="I72" i="18"/>
  <c r="J457" i="4"/>
  <c r="G188" i="4"/>
  <c r="J188" i="4" s="1"/>
  <c r="G327" i="4"/>
  <c r="J327" i="4" s="1"/>
  <c r="J352" i="4"/>
  <c r="J317" i="4"/>
  <c r="G72" i="18"/>
  <c r="J83" i="18"/>
  <c r="J82" i="18" s="1"/>
  <c r="B31" i="6"/>
  <c r="J72" i="18"/>
  <c r="G241" i="4"/>
  <c r="J241" i="4" s="1"/>
  <c r="M24" i="18"/>
  <c r="L24" i="18"/>
  <c r="G420" i="4"/>
  <c r="J420" i="4" s="1"/>
  <c r="I87" i="4"/>
  <c r="G79" i="4"/>
  <c r="J79" i="4" s="1"/>
  <c r="J129" i="4"/>
  <c r="J96" i="4"/>
  <c r="J385" i="4"/>
  <c r="J46" i="4"/>
  <c r="D31" i="6"/>
  <c r="G355" i="4"/>
  <c r="J355" i="4" s="1"/>
  <c r="I212" i="4"/>
  <c r="G371" i="4"/>
  <c r="J371" i="4" s="1"/>
  <c r="H72" i="18"/>
  <c r="G192" i="4"/>
  <c r="J192" i="4" s="1"/>
  <c r="G28" i="4"/>
  <c r="J28" i="4" s="1"/>
  <c r="H446" i="4"/>
  <c r="H336" i="4" s="1"/>
  <c r="B73" i="16"/>
  <c r="B85" i="16" s="1"/>
  <c r="J329" i="4"/>
  <c r="G276" i="4"/>
  <c r="J276" i="4" s="1"/>
  <c r="E83" i="18"/>
  <c r="C83" i="18"/>
  <c r="C82" i="18" s="1"/>
  <c r="G295" i="4"/>
  <c r="J295" i="4" s="1"/>
  <c r="G158" i="4"/>
  <c r="J158" i="4" s="1"/>
  <c r="G54" i="4"/>
  <c r="J54" i="4" s="1"/>
  <c r="L68" i="18"/>
  <c r="I336" i="4"/>
  <c r="I27" i="4"/>
  <c r="I26" i="4" s="1"/>
  <c r="I25" i="4" s="1"/>
  <c r="J86" i="4"/>
  <c r="J224" i="4"/>
  <c r="G130" i="4"/>
  <c r="J130" i="4" s="1"/>
  <c r="L65" i="18"/>
  <c r="G177" i="4"/>
  <c r="J177" i="4" s="1"/>
  <c r="G330" i="4"/>
  <c r="N18" i="4" s="1"/>
  <c r="G246" i="4"/>
  <c r="G245" i="4" s="1"/>
  <c r="B9" i="6" s="1"/>
  <c r="D9" i="6" s="1"/>
  <c r="D12" i="6" s="1"/>
  <c r="E10" i="6" s="1"/>
  <c r="J231" i="4"/>
  <c r="G228" i="4"/>
  <c r="G225" i="4" s="1"/>
  <c r="J225" i="4" s="1"/>
  <c r="G388" i="4"/>
  <c r="J388" i="4" s="1"/>
  <c r="M65" i="18"/>
  <c r="L42" i="18"/>
  <c r="J456" i="4"/>
  <c r="D25" i="6"/>
  <c r="J272" i="4"/>
  <c r="G35" i="4"/>
  <c r="J35" i="4" s="1"/>
  <c r="I463" i="4"/>
  <c r="G262" i="4"/>
  <c r="J262" i="4" s="1"/>
  <c r="G453" i="4"/>
  <c r="J453" i="4" s="1"/>
  <c r="G167" i="4"/>
  <c r="J167" i="4" s="1"/>
  <c r="J122" i="4"/>
  <c r="D83" i="18"/>
  <c r="D82" i="18" s="1"/>
  <c r="G450" i="4"/>
  <c r="J450" i="4" s="1"/>
  <c r="J285" i="4"/>
  <c r="G284" i="4"/>
  <c r="J284" i="4" s="1"/>
  <c r="J218" i="4"/>
  <c r="G217" i="4"/>
  <c r="J217" i="4" s="1"/>
  <c r="J312" i="4"/>
  <c r="G390" i="4"/>
  <c r="J390" i="4" s="1"/>
  <c r="G401" i="4"/>
  <c r="J401" i="4" s="1"/>
  <c r="B72" i="18"/>
  <c r="L72" i="18" s="1"/>
  <c r="G444" i="4"/>
  <c r="J444" i="4" s="1"/>
  <c r="J258" i="4"/>
  <c r="G324" i="4"/>
  <c r="J324" i="4" s="1"/>
  <c r="L50" i="18"/>
  <c r="G306" i="4"/>
  <c r="J306" i="4" s="1"/>
  <c r="J363" i="4"/>
  <c r="G362" i="4"/>
  <c r="J362" i="4" s="1"/>
  <c r="J118" i="4"/>
  <c r="J359" i="4"/>
  <c r="J368" i="4"/>
  <c r="G360" i="4"/>
  <c r="J360" i="4" s="1"/>
  <c r="O24" i="18"/>
  <c r="E72" i="18"/>
  <c r="O72" i="18" s="1"/>
  <c r="L14" i="18"/>
  <c r="J305" i="4"/>
  <c r="J82" i="4"/>
  <c r="J182" i="4"/>
  <c r="G219" i="4"/>
  <c r="J219" i="4" s="1"/>
  <c r="J297" i="4"/>
  <c r="J254" i="4"/>
  <c r="G422" i="4"/>
  <c r="J422" i="4" s="1"/>
  <c r="J160" i="4"/>
  <c r="J90" i="4"/>
  <c r="O68" i="18"/>
  <c r="J300" i="4"/>
  <c r="J94" i="4"/>
  <c r="J341" i="4"/>
  <c r="G490" i="4"/>
  <c r="J490" i="4" s="1"/>
  <c r="J489" i="4"/>
  <c r="B73" i="17"/>
  <c r="B85" i="17" s="1"/>
  <c r="H261" i="4"/>
  <c r="J428" i="4"/>
  <c r="J36" i="4"/>
  <c r="J132" i="4"/>
  <c r="J370" i="4"/>
  <c r="G369" i="4"/>
  <c r="J369" i="4" s="1"/>
  <c r="G232" i="4"/>
  <c r="B27" i="6" s="1"/>
  <c r="D27" i="6" s="1"/>
  <c r="J147" i="4"/>
  <c r="G146" i="4"/>
  <c r="J146" i="4" s="1"/>
  <c r="J393" i="4"/>
  <c r="G259" i="4"/>
  <c r="G268" i="4"/>
  <c r="J268" i="4" s="1"/>
  <c r="H26" i="4"/>
  <c r="C18" i="6" s="1"/>
  <c r="H179" i="4"/>
  <c r="G111" i="4"/>
  <c r="B21" i="6" s="1"/>
  <c r="D21" i="6" s="1"/>
  <c r="J397" i="4"/>
  <c r="G396" i="4"/>
  <c r="J396" i="4" s="1"/>
  <c r="G197" i="4"/>
  <c r="J197" i="4" s="1"/>
  <c r="J58" i="4"/>
  <c r="C12" i="6"/>
  <c r="J345" i="4"/>
  <c r="G344" i="4"/>
  <c r="J344" i="4" s="1"/>
  <c r="J462" i="4"/>
  <c r="G461" i="4"/>
  <c r="J461" i="4" s="1"/>
  <c r="J185" i="4"/>
  <c r="G184" i="4"/>
  <c r="J184" i="4" s="1"/>
  <c r="H157" i="4"/>
  <c r="G467" i="4"/>
  <c r="B29" i="6"/>
  <c r="D29" i="6" s="1"/>
  <c r="G287" i="4"/>
  <c r="J287" i="4" s="1"/>
  <c r="J150" i="4"/>
  <c r="G149" i="4"/>
  <c r="G440" i="4"/>
  <c r="J440" i="4" s="1"/>
  <c r="D72" i="18"/>
  <c r="J304" i="4"/>
  <c r="J253" i="4"/>
  <c r="H83" i="18"/>
  <c r="H82" i="18" s="1"/>
  <c r="C72" i="18"/>
  <c r="M72" i="18" s="1"/>
  <c r="J252" i="4"/>
  <c r="G251" i="4"/>
  <c r="J251" i="4" s="1"/>
  <c r="J321" i="4"/>
  <c r="G320" i="4"/>
  <c r="J76" i="4"/>
  <c r="G74" i="4"/>
  <c r="G83" i="18"/>
  <c r="G82" i="18" s="1"/>
  <c r="C33" i="6"/>
  <c r="G27" i="4"/>
  <c r="J27" i="4" s="1"/>
  <c r="N82" i="18"/>
  <c r="B83" i="18"/>
  <c r="H286" i="4"/>
  <c r="J474" i="4"/>
  <c r="J403" i="4"/>
  <c r="J386" i="4"/>
  <c r="J349" i="4"/>
  <c r="JI273" i="13"/>
  <c r="JI288" i="13"/>
  <c r="J493" i="4"/>
  <c r="J447" i="4"/>
  <c r="J406" i="4"/>
  <c r="G116" i="4"/>
  <c r="J425" i="4"/>
  <c r="B32" i="6"/>
  <c r="D32" i="6" s="1"/>
  <c r="J367" i="4"/>
  <c r="J338" i="4"/>
  <c r="J214" i="4"/>
  <c r="B20" i="6"/>
  <c r="B19" i="6"/>
  <c r="D19" i="6" s="1"/>
  <c r="J65" i="4"/>
  <c r="G64" i="4"/>
  <c r="J64" i="4" s="1"/>
  <c r="J117" i="4"/>
  <c r="J107" i="4"/>
  <c r="G88" i="4"/>
  <c r="C37" i="6"/>
  <c r="O20" i="4"/>
  <c r="J330" i="4"/>
  <c r="G357" i="4" l="1"/>
  <c r="J357" i="4" s="1"/>
  <c r="H87" i="4"/>
  <c r="O16" i="4" s="1"/>
  <c r="O83" i="18"/>
  <c r="G337" i="4"/>
  <c r="J111" i="4"/>
  <c r="D20" i="6"/>
  <c r="G208" i="4"/>
  <c r="G424" i="4"/>
  <c r="J424" i="4" s="1"/>
  <c r="G497" i="4"/>
  <c r="J497" i="4" s="1"/>
  <c r="G348" i="4"/>
  <c r="J348" i="4" s="1"/>
  <c r="N72" i="18"/>
  <c r="G78" i="4"/>
  <c r="J78" i="4" s="1"/>
  <c r="J232" i="4"/>
  <c r="G473" i="4"/>
  <c r="J473" i="4" s="1"/>
  <c r="N83" i="18"/>
  <c r="O19" i="4"/>
  <c r="C36" i="6"/>
  <c r="G51" i="4"/>
  <c r="J51" i="4" s="1"/>
  <c r="G286" i="4"/>
  <c r="G157" i="4"/>
  <c r="G261" i="4"/>
  <c r="J261" i="4" s="1"/>
  <c r="J245" i="4"/>
  <c r="B12" i="6"/>
  <c r="G179" i="4"/>
  <c r="J179" i="4" s="1"/>
  <c r="E82" i="18"/>
  <c r="O82" i="18" s="1"/>
  <c r="J228" i="4"/>
  <c r="J246" i="4"/>
  <c r="G400" i="4"/>
  <c r="J400" i="4" s="1"/>
  <c r="O15" i="4"/>
  <c r="G446" i="4"/>
  <c r="J446" i="4" s="1"/>
  <c r="B28" i="6"/>
  <c r="D28" i="6" s="1"/>
  <c r="J259" i="4"/>
  <c r="G366" i="4"/>
  <c r="J366" i="4" s="1"/>
  <c r="C14" i="6"/>
  <c r="C16" i="6" s="1"/>
  <c r="G405" i="4"/>
  <c r="J405" i="4" s="1"/>
  <c r="M82" i="18"/>
  <c r="G213" i="4"/>
  <c r="J213" i="4" s="1"/>
  <c r="M83" i="18"/>
  <c r="G125" i="4"/>
  <c r="B23" i="6" s="1"/>
  <c r="D23" i="6" s="1"/>
  <c r="G303" i="4"/>
  <c r="J303" i="4" s="1"/>
  <c r="J467" i="4"/>
  <c r="G464" i="4"/>
  <c r="J464" i="4" s="1"/>
  <c r="B15" i="6"/>
  <c r="D15" i="6" s="1"/>
  <c r="J320" i="4"/>
  <c r="G250" i="4"/>
  <c r="J250" i="4" s="1"/>
  <c r="G383" i="4"/>
  <c r="J383" i="4" s="1"/>
  <c r="G308" i="4"/>
  <c r="J308" i="4" s="1"/>
  <c r="G71" i="4"/>
  <c r="J71" i="4" s="1"/>
  <c r="J74" i="4"/>
  <c r="J149" i="4"/>
  <c r="G148" i="4"/>
  <c r="C34" i="6"/>
  <c r="B82" i="18"/>
  <c r="L82" i="18" s="1"/>
  <c r="L83" i="18"/>
  <c r="E9" i="6"/>
  <c r="J286" i="4"/>
  <c r="H212" i="4"/>
  <c r="J88" i="4"/>
  <c r="B22" i="6"/>
  <c r="D22" i="6" s="1"/>
  <c r="J116" i="4"/>
  <c r="J337" i="4"/>
  <c r="B26" i="6"/>
  <c r="D26" i="6" s="1"/>
  <c r="J208" i="4"/>
  <c r="C38" i="6"/>
  <c r="E11" i="6"/>
  <c r="B14" i="6" l="1"/>
  <c r="D14" i="6" s="1"/>
  <c r="J157" i="4"/>
  <c r="D16" i="6"/>
  <c r="E14" i="6" s="1"/>
  <c r="J125" i="4"/>
  <c r="B16" i="6"/>
  <c r="G463" i="4"/>
  <c r="B37" i="6" s="1"/>
  <c r="D37" i="6" s="1"/>
  <c r="J148" i="4"/>
  <c r="B33" i="6"/>
  <c r="D33" i="6" s="1"/>
  <c r="G87" i="4"/>
  <c r="J87" i="4" s="1"/>
  <c r="G212" i="4"/>
  <c r="N17" i="4" s="1"/>
  <c r="G26" i="4"/>
  <c r="G336" i="4"/>
  <c r="B36" i="6" s="1"/>
  <c r="C39" i="6"/>
  <c r="J26" i="4"/>
  <c r="O17" i="4"/>
  <c r="H25" i="4"/>
  <c r="N16" i="4" l="1"/>
  <c r="E15" i="6"/>
  <c r="J336" i="4"/>
  <c r="N19" i="4"/>
  <c r="J212" i="4"/>
  <c r="J463" i="4"/>
  <c r="N20" i="4"/>
  <c r="N15" i="4"/>
  <c r="B18" i="6"/>
  <c r="G25" i="4"/>
  <c r="J25" i="4" s="1"/>
  <c r="B38" i="6"/>
  <c r="D36" i="6"/>
  <c r="D38" i="6" s="1"/>
  <c r="E36" i="6" s="1"/>
  <c r="K265" i="4" l="1"/>
  <c r="K354" i="4"/>
  <c r="D18" i="6"/>
  <c r="D34" i="6" s="1"/>
  <c r="E18" i="6" s="1"/>
  <c r="B34" i="6"/>
  <c r="B39" i="6" s="1"/>
  <c r="K124" i="4"/>
  <c r="K365" i="4"/>
  <c r="K94" i="4"/>
  <c r="K29" i="4"/>
  <c r="K70" i="4"/>
  <c r="K67" i="4"/>
  <c r="K216" i="4"/>
  <c r="K231" i="4"/>
  <c r="K175" i="4"/>
  <c r="K307" i="4"/>
  <c r="K244" i="4"/>
  <c r="K131" i="4"/>
  <c r="K53" i="4"/>
  <c r="K172" i="4"/>
  <c r="K279" i="4"/>
  <c r="K115" i="4"/>
  <c r="K374" i="4"/>
  <c r="K69" i="4"/>
  <c r="K280" i="4"/>
  <c r="K190" i="4"/>
  <c r="K481" i="4"/>
  <c r="K313" i="4"/>
  <c r="K421" i="4"/>
  <c r="K222" i="4"/>
  <c r="K221" i="4"/>
  <c r="K73" i="4"/>
  <c r="K143" i="4"/>
  <c r="K194" i="4"/>
  <c r="K247" i="4"/>
  <c r="K300" i="4"/>
  <c r="K56" i="4"/>
  <c r="K166" i="4"/>
  <c r="K285" i="4"/>
  <c r="K442" i="4"/>
  <c r="K491" i="4"/>
  <c r="K132" i="4"/>
  <c r="K220" i="4"/>
  <c r="K31" i="4"/>
  <c r="K141" i="4"/>
  <c r="K252" i="4"/>
  <c r="K393" i="4"/>
  <c r="K415" i="4"/>
  <c r="K326" i="4"/>
  <c r="K82" i="4"/>
  <c r="K76" i="4"/>
  <c r="K43" i="4"/>
  <c r="K161" i="4"/>
  <c r="K479" i="4"/>
  <c r="K292" i="4"/>
  <c r="K402" i="4"/>
  <c r="K269" i="4"/>
  <c r="K36" i="4"/>
  <c r="K41" i="4"/>
  <c r="K61" i="4"/>
  <c r="K103" i="4"/>
  <c r="K133" i="4"/>
  <c r="K168" i="4"/>
  <c r="K176" i="4"/>
  <c r="K206" i="4"/>
  <c r="K229" i="4"/>
  <c r="K270" i="4"/>
  <c r="K283" i="4"/>
  <c r="K311" i="4"/>
  <c r="K32" i="4"/>
  <c r="K80" i="4"/>
  <c r="K156" i="4"/>
  <c r="K199" i="4"/>
  <c r="K263" i="4"/>
  <c r="K321" i="4"/>
  <c r="K409" i="4"/>
  <c r="K477" i="4"/>
  <c r="K426" i="4"/>
  <c r="K47" i="4"/>
  <c r="K98" i="4"/>
  <c r="K154" i="4"/>
  <c r="K205" i="4"/>
  <c r="K254" i="4"/>
  <c r="K301" i="4"/>
  <c r="K48" i="4"/>
  <c r="K101" i="4"/>
  <c r="K163" i="4"/>
  <c r="K218" i="4"/>
  <c r="K273" i="4"/>
  <c r="K359" i="4"/>
  <c r="K433" i="4"/>
  <c r="K350" i="4"/>
  <c r="K472" i="4"/>
  <c r="K475" i="4"/>
  <c r="K187" i="4"/>
  <c r="K281" i="4"/>
  <c r="K191" i="4"/>
  <c r="K466" i="4"/>
  <c r="K147" i="4"/>
  <c r="K38" i="4"/>
  <c r="K266" i="4"/>
  <c r="K361" i="4"/>
  <c r="K483" i="4"/>
  <c r="K60" i="4"/>
  <c r="K33" i="4"/>
  <c r="K152" i="4"/>
  <c r="K460" i="4"/>
  <c r="K345" i="4"/>
  <c r="K441" i="4"/>
  <c r="K310" i="4"/>
  <c r="K207" i="4"/>
  <c r="K108" i="4"/>
  <c r="K328" i="4"/>
  <c r="K417" i="4"/>
  <c r="K494" i="4"/>
  <c r="K165" i="4"/>
  <c r="K55" i="4"/>
  <c r="K92" i="4"/>
  <c r="K459" i="4"/>
  <c r="K343" i="4"/>
  <c r="K260" i="4"/>
  <c r="K30" i="4"/>
  <c r="K134" i="4"/>
  <c r="K451" i="4"/>
  <c r="K181" i="4"/>
  <c r="K277" i="4"/>
  <c r="K302" i="4"/>
  <c r="K380" i="4"/>
  <c r="K423" i="4"/>
  <c r="K489" i="4"/>
  <c r="K352" i="4"/>
  <c r="K202" i="4"/>
  <c r="K96" i="4"/>
  <c r="K299" i="4"/>
  <c r="K195" i="4"/>
  <c r="K90" i="4"/>
  <c r="K404" i="4"/>
  <c r="K397" i="4"/>
  <c r="K256" i="4"/>
  <c r="K145" i="4"/>
  <c r="K28" i="4"/>
  <c r="K196" i="4"/>
  <c r="K240" i="4"/>
  <c r="K135" i="4"/>
  <c r="K37" i="4"/>
  <c r="K289" i="4"/>
  <c r="K323" i="4"/>
  <c r="K419" i="4"/>
  <c r="K329" i="4"/>
  <c r="K445" i="4"/>
  <c r="K387" i="4"/>
  <c r="K331" i="4"/>
  <c r="K443" i="4"/>
  <c r="K413" i="4"/>
  <c r="K378" i="4"/>
  <c r="K341" i="4"/>
  <c r="K290" i="4"/>
  <c r="K264" i="4"/>
  <c r="K234" i="4"/>
  <c r="K200" i="4"/>
  <c r="K178" i="4"/>
  <c r="K159" i="4"/>
  <c r="K118" i="4"/>
  <c r="K84" i="4"/>
  <c r="K58" i="4"/>
  <c r="K34" i="4"/>
  <c r="K315" i="4"/>
  <c r="K297" i="4"/>
  <c r="K271" i="4"/>
  <c r="K236" i="4"/>
  <c r="K211" i="4"/>
  <c r="K193" i="4"/>
  <c r="K171" i="4"/>
  <c r="K139" i="4"/>
  <c r="K120" i="4"/>
  <c r="K86" i="4"/>
  <c r="K59" i="4"/>
  <c r="K39" i="4"/>
  <c r="K454" i="4"/>
  <c r="K391" i="4"/>
  <c r="K496" i="4"/>
  <c r="K456" i="4"/>
  <c r="K428" i="4"/>
  <c r="K389" i="4"/>
  <c r="K356" i="4"/>
  <c r="K294" i="4"/>
  <c r="K267" i="4"/>
  <c r="K249" i="4"/>
  <c r="K203" i="4"/>
  <c r="K189" i="4"/>
  <c r="K162" i="4"/>
  <c r="K137" i="4"/>
  <c r="K100" i="4"/>
  <c r="K66" i="4"/>
  <c r="K40" i="4"/>
  <c r="K27" i="4"/>
  <c r="K288" i="4"/>
  <c r="K370" i="4"/>
  <c r="K435" i="4"/>
  <c r="K439" i="4"/>
  <c r="K411" i="4"/>
  <c r="K227" i="4"/>
  <c r="K110" i="4"/>
  <c r="K160" i="4"/>
  <c r="K336" i="4"/>
  <c r="K376" i="4"/>
  <c r="K275" i="4"/>
  <c r="K50" i="4"/>
  <c r="K169" i="4"/>
  <c r="K485" i="4"/>
  <c r="K201" i="4"/>
  <c r="K298" i="4"/>
  <c r="K463" i="4"/>
  <c r="K347" i="4"/>
  <c r="K407" i="4"/>
  <c r="K470" i="4"/>
  <c r="K317" i="4"/>
  <c r="K198" i="4"/>
  <c r="K77" i="4"/>
  <c r="K282" i="4"/>
  <c r="K183" i="4"/>
  <c r="K75" i="4"/>
  <c r="K372" i="4"/>
  <c r="K382" i="4"/>
  <c r="K238" i="4"/>
  <c r="K122" i="4"/>
  <c r="K319" i="4"/>
  <c r="K174" i="4"/>
  <c r="K330" i="4"/>
  <c r="K26" i="4"/>
  <c r="K431" i="4"/>
  <c r="K332" i="4"/>
  <c r="K449" i="4"/>
  <c r="K395" i="4"/>
  <c r="K333" i="4"/>
  <c r="K452" i="4"/>
  <c r="K385" i="4"/>
  <c r="K293" i="4"/>
  <c r="K242" i="4"/>
  <c r="K185" i="4"/>
  <c r="K129" i="4"/>
  <c r="K62" i="4"/>
  <c r="K325" i="4"/>
  <c r="K278" i="4"/>
  <c r="K215" i="4"/>
  <c r="K173" i="4"/>
  <c r="K127" i="4"/>
  <c r="K63" i="4"/>
  <c r="K468" i="4"/>
  <c r="K334" i="4"/>
  <c r="K437" i="4"/>
  <c r="K363" i="4"/>
  <c r="K274" i="4"/>
  <c r="K224" i="4"/>
  <c r="K164" i="4"/>
  <c r="K105" i="4"/>
  <c r="K49" i="4"/>
  <c r="K305" i="4"/>
  <c r="K258" i="4"/>
  <c r="K150" i="4"/>
  <c r="K45" i="4"/>
  <c r="K210" i="4"/>
  <c r="K170" i="4"/>
  <c r="K113" i="4"/>
  <c r="K57" i="4"/>
  <c r="K87" i="4"/>
  <c r="K212" i="4"/>
  <c r="K291" i="4"/>
  <c r="K296" i="4"/>
  <c r="K501" i="4"/>
  <c r="K448" i="4"/>
  <c r="K399" i="4"/>
  <c r="K339" i="4"/>
  <c r="K487" i="4"/>
  <c r="K458" i="4"/>
  <c r="K430" i="4"/>
  <c r="K400" i="4"/>
  <c r="K368" i="4"/>
  <c r="K335" i="4"/>
  <c r="K499" i="4"/>
  <c r="K462" i="4"/>
  <c r="E37" i="6"/>
  <c r="D39" i="6"/>
  <c r="E34" i="6" s="1"/>
  <c r="E21" i="6"/>
  <c r="E31" i="6"/>
  <c r="E28" i="6"/>
  <c r="E29" i="6"/>
  <c r="E33" i="6"/>
  <c r="E30" i="6"/>
  <c r="E32" i="6"/>
  <c r="E20" i="6"/>
  <c r="E27" i="6"/>
  <c r="E22" i="6"/>
  <c r="E25" i="6"/>
  <c r="E23" i="6"/>
  <c r="E26" i="6"/>
  <c r="E24" i="6" l="1"/>
  <c r="E19" i="6"/>
  <c r="B40" i="6"/>
  <c r="K25" i="4"/>
  <c r="C40" i="6"/>
  <c r="D40" i="6" s="1"/>
  <c r="E16" i="6"/>
  <c r="E38" i="6"/>
  <c r="E12" i="6"/>
  <c r="E39" i="6" l="1"/>
  <c r="JL73" i="1"/>
  <c r="JP73" i="1" s="1"/>
  <c r="JK81" i="1"/>
  <c r="JL67" i="1"/>
  <c r="JL75" i="1"/>
  <c r="JP75" i="1" s="1"/>
  <c r="JL74" i="1"/>
  <c r="JP74" i="1" s="1"/>
  <c r="JL78" i="1"/>
  <c r="JP78" i="1" s="1"/>
  <c r="JL77" i="1"/>
  <c r="JP77" i="1" s="1"/>
  <c r="JL76" i="1"/>
  <c r="JP76" i="1" s="1"/>
  <c r="JL72" i="1"/>
  <c r="JP72" i="1" s="1"/>
  <c r="JL71" i="1"/>
  <c r="JL68" i="1"/>
  <c r="JL70" i="1"/>
  <c r="JL69" i="1"/>
  <c r="JL81" i="1" l="1"/>
  <c r="A136" i="25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  <author>Ynes Danilda Abreu Ureña</author>
  </authors>
  <commentList>
    <comment ref="A2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Todo lo quie conlleve alquileres en este renglo</t>
        </r>
      </text>
    </comment>
    <comment ref="A2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Asignaciones destinadas a la compra de papel y cartón, envases y cajas, y productos de papel y cartón para oficinas, libros, revistas, periódicos y material de enseñanza, así como para computación, imprenta y reproducción</t>
        </r>
      </text>
    </comment>
    <comment ref="A28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Ynes Danilda Abreu Ureña:</t>
        </r>
        <r>
          <rPr>
            <sz val="9"/>
            <color indexed="81"/>
            <rFont val="Tahoma"/>
            <family val="2"/>
          </rPr>
          <t xml:space="preserve">
Asignaciones destinadas a la compra de materiales de plástico y de nailon, tubos utilizados en instalaciones eléctricas y sanitarias, envases y demás productos en cuya elaboración se utilizó material plástico. Se incluyen productos para uso en calderas, papel sensible para fotografiar, papel asfaltado y alquitranado, rollos para fotografiar,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</authors>
  <commentList>
    <comment ref="C9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 xr:uid="{00000000-0006-0000-0D00-00000F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 xr:uid="{00000000-0006-0000-0D00-000010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 xr:uid="{00000000-0006-0000-0D00-000011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 xr:uid="{00000000-0006-0000-0D00-000012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 xr:uid="{00000000-0006-0000-0D00-000014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 xr:uid="{00000000-0006-0000-0D00-000015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 xr:uid="{00000000-0006-0000-0D00-000016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 xr:uid="{00000000-0006-0000-0D00-000017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 xr:uid="{00000000-0006-0000-0D00-000018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AA9" authorId="0" shapeId="0" xr:uid="{00000000-0006-0000-0D00-000019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AB9" authorId="0" shapeId="0" xr:uid="{00000000-0006-0000-0D00-00001A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<sst xmlns="http://schemas.openxmlformats.org/spreadsheetml/2006/main" count="3348" uniqueCount="1275">
  <si>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</si>
  <si>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</si>
  <si>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</si>
  <si>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</si>
  <si>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</si>
  <si>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</si>
  <si>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</si>
  <si>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</si>
  <si>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</si>
  <si>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</si>
  <si>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</si>
  <si>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</si>
  <si>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</si>
  <si>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</si>
  <si>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</si>
  <si>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</si>
  <si>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</si>
  <si>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</si>
  <si>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</si>
  <si>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</si>
  <si>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</si>
  <si>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</si>
  <si>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</si>
  <si>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</si>
  <si>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</si>
  <si>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</si>
  <si>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</si>
  <si>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</si>
  <si>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</si>
  <si>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</si>
  <si>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</si>
  <si>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</si>
  <si>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</si>
  <si>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</si>
  <si>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</si>
  <si>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</si>
  <si>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</si>
  <si>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</si>
  <si>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</si>
  <si>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</si>
  <si>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</si>
  <si>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</si>
  <si>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</si>
  <si>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</si>
  <si>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</si>
  <si>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</si>
  <si>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</si>
  <si>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</si>
  <si>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</si>
  <si>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</si>
  <si>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</si>
  <si>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</si>
  <si>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</si>
  <si>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</si>
  <si>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</si>
  <si>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</si>
  <si>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</si>
  <si>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</si>
  <si>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</si>
  <si>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</si>
  <si>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</si>
  <si>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</si>
  <si>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</si>
  <si>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</si>
  <si>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</si>
  <si>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</si>
  <si>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</si>
  <si>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</si>
  <si>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</si>
  <si>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</si>
  <si>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</si>
  <si>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</si>
  <si>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</si>
  <si>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</si>
  <si>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</si>
  <si>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</si>
  <si>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</si>
  <si>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</si>
  <si>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</si>
  <si>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</si>
  <si>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</si>
  <si>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</si>
  <si>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</si>
  <si>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</si>
  <si>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</si>
  <si>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</si>
  <si>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</si>
  <si>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</si>
  <si>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</si>
  <si>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</si>
  <si>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</si>
  <si>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</si>
  <si>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</si>
  <si>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</si>
  <si>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</si>
  <si>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</si>
  <si>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</si>
  <si>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</si>
  <si>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</si>
  <si>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</si>
  <si>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</si>
  <si>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</si>
  <si>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</si>
  <si>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</si>
  <si>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</si>
  <si>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</si>
  <si>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</si>
  <si>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</si>
  <si>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</si>
  <si>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</si>
  <si>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</si>
  <si>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</si>
  <si>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</si>
  <si>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</si>
  <si>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</si>
  <si>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</si>
  <si>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</si>
  <si>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</si>
  <si>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</si>
  <si>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</si>
  <si>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</si>
  <si>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</si>
  <si>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</si>
  <si>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</si>
  <si>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</si>
  <si>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</si>
  <si>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</si>
  <si>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</si>
  <si>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</si>
  <si>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</si>
  <si>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</si>
  <si>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</si>
  <si>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</si>
  <si>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</si>
  <si>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</si>
  <si>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</si>
  <si>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</si>
  <si>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</si>
  <si>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</si>
  <si>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</si>
  <si>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</si>
  <si>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</si>
  <si>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</si>
  <si>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</si>
  <si>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</si>
  <si>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</si>
  <si>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</si>
  <si>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</si>
  <si>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</si>
  <si>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</si>
  <si>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</si>
  <si>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</si>
  <si>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</si>
  <si>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</si>
  <si>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</si>
  <si>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</si>
  <si>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</si>
  <si>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</si>
  <si>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</si>
  <si>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</si>
  <si>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</si>
  <si>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</si>
  <si>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</si>
  <si>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</si>
  <si>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</si>
  <si>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</si>
  <si>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</si>
  <si>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</si>
  <si>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</si>
  <si>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</si>
  <si>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</si>
  <si>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</si>
  <si>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</si>
  <si>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</si>
  <si>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</si>
  <si>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</si>
  <si>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</si>
  <si>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</si>
  <si>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</si>
  <si>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</si>
  <si>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</si>
  <si>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</si>
  <si>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</si>
  <si>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</si>
  <si>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</si>
  <si>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</si>
  <si>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</si>
  <si>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</si>
  <si>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</si>
  <si>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</si>
  <si>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</si>
  <si>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</si>
  <si>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</si>
  <si>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</si>
  <si>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</si>
  <si>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</si>
  <si>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</si>
  <si>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</si>
  <si>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</si>
  <si>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</si>
  <si>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</si>
  <si>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</si>
  <si>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</si>
  <si>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</si>
  <si>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</si>
  <si>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</si>
  <si>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</si>
  <si>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</si>
  <si>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</si>
  <si>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</si>
  <si>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</si>
  <si>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</si>
  <si>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</si>
  <si>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</si>
  <si>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</si>
  <si>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</si>
  <si>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</si>
  <si>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</si>
  <si>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</si>
  <si>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</si>
  <si>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</si>
  <si>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</si>
  <si>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</si>
  <si>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</si>
  <si>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</si>
  <si>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</si>
  <si>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</si>
  <si>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</si>
  <si>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</si>
  <si>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</si>
  <si>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</si>
  <si>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</si>
  <si>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</si>
  <si>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</si>
  <si>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</si>
  <si>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</si>
  <si>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</si>
  <si>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</si>
  <si>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</si>
  <si>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</si>
  <si>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</si>
  <si>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</si>
  <si>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</si>
  <si>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</si>
  <si>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</si>
  <si>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</si>
  <si>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</si>
  <si>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</si>
  <si>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</si>
  <si>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</si>
  <si>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</si>
  <si>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</si>
  <si>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</si>
  <si>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</si>
  <si>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</si>
  <si>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</si>
  <si>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</si>
  <si>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</si>
  <si>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</si>
  <si>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</si>
  <si>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</si>
  <si>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</si>
  <si>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</si>
  <si>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</si>
  <si>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</si>
  <si>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</si>
  <si>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</si>
  <si>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</si>
  <si>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</si>
  <si>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</si>
  <si>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</si>
  <si>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</si>
  <si>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</si>
  <si>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</si>
  <si>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</si>
  <si>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</si>
  <si>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</si>
  <si>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</si>
  <si>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</si>
  <si>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</si>
  <si>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</si>
  <si>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</si>
  <si>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</si>
  <si>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</si>
  <si>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</si>
  <si>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</si>
  <si>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</si>
  <si>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</si>
  <si>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</si>
  <si>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</si>
  <si>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</si>
  <si>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</si>
  <si>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</si>
  <si>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</si>
  <si>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</si>
  <si>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</si>
  <si>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</si>
  <si>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</si>
  <si>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</si>
  <si>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</si>
  <si>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</si>
  <si>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</si>
  <si>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</si>
  <si>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</si>
  <si>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</si>
  <si>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</si>
  <si>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</si>
  <si>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</si>
  <si>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</si>
  <si>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</si>
  <si>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</si>
  <si>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</si>
  <si>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</si>
  <si>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</si>
  <si>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</si>
  <si>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</si>
  <si>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</si>
  <si>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</si>
  <si>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</si>
  <si>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</si>
  <si>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</si>
  <si>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</si>
  <si>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</si>
  <si>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</si>
  <si>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</si>
  <si>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</si>
  <si>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</si>
  <si>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</si>
  <si>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</si>
  <si>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</si>
  <si>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</si>
  <si>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</si>
  <si>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</si>
  <si>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</si>
  <si>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</si>
  <si>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</si>
  <si>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</si>
  <si>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</si>
  <si>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</si>
  <si>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</si>
  <si>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</si>
  <si>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</si>
  <si>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</si>
  <si>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</si>
  <si>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</si>
  <si>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</si>
  <si>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</si>
  <si>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</si>
  <si>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</si>
  <si>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</si>
  <si>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</si>
  <si>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</si>
  <si>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</si>
  <si>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</si>
  <si>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</si>
  <si>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</si>
  <si>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</si>
  <si>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</si>
  <si>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</si>
  <si>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</si>
  <si>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</si>
  <si>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</si>
  <si>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</si>
  <si>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</si>
  <si>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</si>
  <si>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</si>
  <si>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</si>
  <si>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</si>
  <si>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</si>
  <si>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</si>
  <si>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</si>
  <si>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</si>
  <si>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REPONIBLE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</si>
  <si>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</si>
  <si>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</si>
  <si>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</si>
  <si>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</si>
  <si>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</si>
  <si>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</si>
  <si>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</si>
  <si>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</si>
  <si>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</si>
  <si>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</si>
  <si>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</si>
  <si>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</si>
  <si>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</si>
  <si>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</si>
  <si>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</si>
  <si>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</si>
  <si>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</si>
  <si>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</si>
  <si>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</si>
  <si>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</si>
  <si>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</si>
  <si>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</si>
  <si>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</si>
  <si>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</si>
  <si>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</si>
  <si>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</si>
  <si>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</si>
  <si>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</si>
  <si>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</si>
  <si>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</si>
  <si>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</si>
  <si>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</si>
  <si>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</si>
  <si>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</si>
  <si>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</si>
  <si>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</si>
  <si>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</si>
  <si>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</si>
  <si>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</si>
  <si>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</si>
  <si>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</si>
  <si>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</si>
  <si>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</si>
  <si>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</si>
  <si>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</si>
  <si>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</si>
  <si>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</si>
  <si>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</si>
  <si>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</si>
  <si>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</si>
  <si>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</si>
  <si>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</si>
  <si>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</si>
  <si>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</si>
  <si>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</si>
  <si>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</si>
  <si>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</si>
  <si>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</si>
  <si>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</si>
  <si>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</si>
  <si>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</si>
  <si>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MONTO</t>
  </si>
  <si>
    <t>TIPO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</si>
  <si>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</si>
  <si>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</si>
  <si>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</si>
  <si>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</si>
  <si>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</si>
  <si>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</si>
  <si>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</si>
  <si>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</si>
  <si>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</si>
  <si>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</si>
  <si>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</si>
  <si>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</si>
  <si>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</si>
  <si>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</si>
  <si>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</si>
  <si>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</si>
  <si>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</si>
  <si>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</si>
  <si>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</si>
  <si>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</si>
  <si>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</si>
  <si>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</si>
  <si>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</si>
  <si>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</si>
  <si>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</si>
  <si>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</si>
  <si>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</si>
  <si>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</si>
  <si>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</si>
  <si>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</si>
  <si>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</si>
  <si>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</si>
  <si>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</si>
  <si>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</si>
  <si>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</si>
  <si>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</si>
  <si>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</si>
  <si>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</si>
  <si>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</si>
  <si>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</si>
  <si>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</si>
  <si>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</si>
  <si>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</si>
  <si>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</si>
  <si>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</si>
  <si>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</si>
  <si>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</si>
  <si>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</si>
  <si>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</si>
  <si>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</si>
  <si>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</si>
  <si>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</si>
  <si>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</si>
  <si>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</si>
  <si>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</si>
  <si>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</si>
  <si>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</si>
  <si>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</si>
  <si>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</si>
  <si>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</si>
  <si>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</si>
  <si>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</si>
  <si>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</si>
  <si>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</si>
  <si>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</si>
  <si>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</si>
  <si>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</si>
  <si>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</si>
  <si>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</si>
  <si>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</si>
  <si>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</si>
  <si>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</si>
  <si>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</si>
  <si>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</si>
  <si>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</si>
  <si>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</si>
  <si>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</si>
  <si>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</si>
  <si>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</si>
  <si>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</si>
  <si>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</si>
  <si>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</si>
  <si>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</si>
  <si>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</si>
  <si>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</si>
  <si>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</si>
  <si>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</si>
  <si>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</si>
  <si>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</si>
  <si>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</si>
  <si>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</si>
  <si>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</si>
  <si>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NOMBRE DEL ESTABLECIMIENTO</t>
  </si>
  <si>
    <t xml:space="preserve">SERVICIO NACIONAL DE SALUD </t>
  </si>
  <si>
    <t>VENTA SEVICIOS/OTROS APORTES</t>
  </si>
  <si>
    <t xml:space="preserve">TOTAL </t>
  </si>
  <si>
    <t>1ro</t>
  </si>
  <si>
    <t>2do</t>
  </si>
  <si>
    <t>3ro</t>
  </si>
  <si>
    <t>4to</t>
  </si>
  <si>
    <t>CONSOLIDADO GASTOS EJECUCION FINANCIERA 2024</t>
  </si>
  <si>
    <t>Ejecución de Gastos  Fondo (100) 2024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</si>
  <si>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</si>
  <si>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</si>
  <si>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</si>
  <si>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</si>
  <si>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</si>
  <si>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</si>
  <si>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</si>
  <si>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</si>
  <si>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</si>
  <si>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</si>
  <si>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</si>
  <si>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</si>
  <si>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</si>
  <si>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</si>
  <si>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</si>
  <si>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</si>
  <si>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</si>
  <si>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</si>
  <si>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</si>
  <si>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</si>
  <si>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</si>
  <si>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</si>
  <si>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</si>
  <si>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</si>
  <si>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>origen</t>
  </si>
  <si>
    <t>ARS</t>
  </si>
  <si>
    <t xml:space="preserve">No. De Documento de referencia </t>
  </si>
  <si>
    <t xml:space="preserve">valor de Transferencia o Cheque 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</si>
  <si>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</si>
  <si>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</si>
  <si>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</si>
  <si>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</si>
  <si>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</si>
  <si>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</si>
  <si>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</si>
  <si>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</si>
  <si>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Servicio Nacional De Salud </t>
  </si>
  <si>
    <t>Ingresos Por Facturación ARS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</si>
  <si>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</si>
  <si>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</si>
  <si>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</si>
  <si>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</si>
  <si>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</si>
  <si>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</si>
  <si>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</si>
  <si>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</si>
  <si>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</si>
  <si>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</si>
  <si>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</si>
  <si>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</si>
  <si>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</si>
  <si>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</si>
  <si>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</si>
  <si>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</si>
  <si>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</si>
  <si>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</si>
  <si>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</si>
  <si>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</si>
  <si>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</si>
  <si>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</si>
  <si>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</si>
  <si>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META SALUD</t>
  </si>
  <si>
    <t>ASEMAP</t>
  </si>
  <si>
    <t>CMD</t>
  </si>
  <si>
    <t>RESERVAS</t>
  </si>
  <si>
    <t>SEMUNASED</t>
  </si>
  <si>
    <t xml:space="preserve">PRIMERA ARS HUMANO </t>
  </si>
  <si>
    <t>Total ARS PRIVADAS</t>
  </si>
  <si>
    <t>Preparado por:</t>
  </si>
  <si>
    <t xml:space="preserve">Licda. </t>
  </si>
  <si>
    <t>Establecimientos</t>
  </si>
  <si>
    <t>Facturado</t>
  </si>
  <si>
    <t>Glosado</t>
  </si>
  <si>
    <t>HOSPITAL MATERNO INFANTIL SAN LORENZO DE LOS MINA</t>
  </si>
  <si>
    <t>ROPHARMA, SRL</t>
  </si>
  <si>
    <t>LIBRAMIENTO</t>
  </si>
  <si>
    <t>Dirección de Control y Fiscalización</t>
  </si>
  <si>
    <t>Hospital Materno Infantil San Lorenzo de Los Mina</t>
  </si>
  <si>
    <t>Region Santo Domingo Este</t>
  </si>
  <si>
    <t>CAASD</t>
  </si>
  <si>
    <t xml:space="preserve">FARMACIA RUTH </t>
  </si>
  <si>
    <t>BRONTILLO</t>
  </si>
  <si>
    <t>GA INTERPRISE IMPORT, SRL</t>
  </si>
  <si>
    <t xml:space="preserve">VARA, SRL. </t>
  </si>
  <si>
    <t>ORTRO CHEMICAL, S. A.</t>
  </si>
  <si>
    <t>OSEAANA HEALTHCARE, S.R.L</t>
  </si>
  <si>
    <t>TOTAL GENERAL</t>
  </si>
  <si>
    <t>DIRECCIÓN DE FISCALIZACIÓN Y CONTROL</t>
  </si>
  <si>
    <t>PROMESE CAL</t>
  </si>
  <si>
    <t xml:space="preserve">Fecha </t>
  </si>
  <si>
    <t>Sub-Total</t>
  </si>
  <si>
    <t xml:space="preserve">Firma y sello Administrados </t>
  </si>
  <si>
    <t>Firma y sello Financiero</t>
  </si>
  <si>
    <t xml:space="preserve">Dirección de Fiscalizacion y Control </t>
  </si>
  <si>
    <t>AÑO 2024</t>
  </si>
  <si>
    <r>
      <t>Establecimiento: Hospital Materno Infantil San Lorenzo de Los Mina                       SRS:</t>
    </r>
    <r>
      <rPr>
        <b/>
        <u/>
        <sz val="18"/>
        <rFont val="Times New Roman"/>
        <family val="1"/>
      </rPr>
      <t xml:space="preserve"> </t>
    </r>
    <r>
      <rPr>
        <u/>
        <sz val="18"/>
        <rFont val="Times New Roman"/>
        <family val="1"/>
      </rPr>
      <t xml:space="preserve">METROPOLITANO </t>
    </r>
  </si>
  <si>
    <t>PALIC SALUD(MAPFRE)</t>
  </si>
  <si>
    <t>CONSTITUCION (ASISTANET)</t>
  </si>
  <si>
    <t xml:space="preserve">                                           Servicio Nacional de Salud </t>
  </si>
  <si>
    <t xml:space="preserve">Dirección de Fiscalización y Control </t>
  </si>
  <si>
    <t xml:space="preserve">Glosa </t>
  </si>
  <si>
    <t>ENERO</t>
  </si>
  <si>
    <t>REGION 0</t>
  </si>
  <si>
    <t>Ejecución de Gastos  Ventas de Servicios 2024</t>
  </si>
  <si>
    <t>ESTABLECIMIENTO: HOSPITAL MATERNO INFANTIL SAN LORENZO DE LOS MINA</t>
  </si>
  <si>
    <t>FONDO GENERAL 100</t>
  </si>
  <si>
    <t>SLYKING GROUP, SRL</t>
  </si>
  <si>
    <t>TROPIGAS.</t>
  </si>
  <si>
    <t>FONDO 100(PARA SERV. PERSONALES)</t>
  </si>
  <si>
    <t>FONDO 100(PARA OBJECTALES 2.2,2.3,2.6,2.7.)</t>
  </si>
  <si>
    <t>SUPLIMED,SRL</t>
  </si>
  <si>
    <t>Fecha de registro: hasta el [01] de [01) del [2024]</t>
  </si>
  <si>
    <t>Fuente: [SIGEF</t>
  </si>
  <si>
    <t>Fuente: [VENTA DE SERVICIOS)</t>
  </si>
  <si>
    <t>RONAJUS FARMACEUTICA SRL</t>
  </si>
  <si>
    <t>LE.F.P CONSULTORES SRL</t>
  </si>
  <si>
    <t>Bio Nuclear, SA</t>
  </si>
  <si>
    <t>Osiris &amp; Co, SA</t>
  </si>
  <si>
    <t>PRODUCTOS MEDICINALES, SRL</t>
  </si>
  <si>
    <t>Fecha de imputación: hasta el [31] de [07] del [2024]</t>
  </si>
  <si>
    <t>NO</t>
  </si>
  <si>
    <t xml:space="preserve">NOMBRES PROVEEDOR  </t>
  </si>
  <si>
    <t>FUENTE DE FINANCIAMIENTO</t>
  </si>
  <si>
    <t>Años ANTERIORES 2019 HACIA ATRÁS</t>
  </si>
  <si>
    <t>AL 31 DICIEMBRE 2020</t>
  </si>
  <si>
    <t>AL 31 DICIEMBRE 2021</t>
  </si>
  <si>
    <t>AL 31 DICIEMBRE 2022</t>
  </si>
  <si>
    <t>Al 31 DICIEMBRE 2023</t>
  </si>
  <si>
    <t>Ameriline Pharmaceutical, SRL</t>
  </si>
  <si>
    <t>Grupo Xeron Medic SRL</t>
  </si>
  <si>
    <t>Air Liquide Dominicana, SAS</t>
  </si>
  <si>
    <t>Bello-Lab, SRL</t>
  </si>
  <si>
    <t>Global Multi-Pharma Dominicana THM, SRL</t>
  </si>
  <si>
    <t xml:space="preserve">Servicio Nacional de Salud </t>
  </si>
  <si>
    <t xml:space="preserve">Comportamiento de Ingresos percibidos Segregados según Origen </t>
  </si>
  <si>
    <t>Establecimientos:  HOSPITAL MATERNO INFANTIL SAN LORENZO DE LOS MINA</t>
  </si>
  <si>
    <t>Anticipos Financieros</t>
  </si>
  <si>
    <t>Fondos Asistencial</t>
  </si>
  <si>
    <t xml:space="preserve">Venta de Servicio </t>
  </si>
  <si>
    <t xml:space="preserve">Otros aportes </t>
  </si>
  <si>
    <t>**Nota: En Venta de Servicios agregar celda según pago segregado de ARS lo amerita.</t>
  </si>
  <si>
    <t>Aportes provenientes de convenios Institucionales</t>
  </si>
  <si>
    <t>Ingresos por servicios pacientes privados y diferencias por seguros medicos</t>
  </si>
  <si>
    <t>REFRICLIMA HF, SRL</t>
  </si>
  <si>
    <t>Medequip, SRL</t>
  </si>
  <si>
    <t>Hospifar, SRL</t>
  </si>
  <si>
    <t>UNIQUE REPRESENTACIONES, S.R.L</t>
  </si>
  <si>
    <t>HOSPITRONICA, SRL</t>
  </si>
  <si>
    <t>Abrias Novo Group SRL</t>
  </si>
  <si>
    <t>Q&amp;Q Medical RD, SRL</t>
  </si>
  <si>
    <t>Ciencia Tecnología y Consultas, SRL</t>
  </si>
  <si>
    <t>Corporacion Medica A.G., SRL</t>
  </si>
  <si>
    <t>Capitulo</t>
  </si>
  <si>
    <t>Unidad de Compras</t>
  </si>
  <si>
    <t>Referencia del Proceso</t>
  </si>
  <si>
    <t>Proceso de Compra</t>
  </si>
  <si>
    <t>Proceso de Compra Mypyme</t>
  </si>
  <si>
    <t>Proceso de Compra Mypyme Mujer</t>
  </si>
  <si>
    <t>Modalidad</t>
  </si>
  <si>
    <t>Monto</t>
  </si>
  <si>
    <t>Estado del Procedimiento</t>
  </si>
  <si>
    <t>Rubro Del Proceso</t>
  </si>
  <si>
    <t>Descripción Rubro</t>
  </si>
  <si>
    <t>Empresa Adjudicada</t>
  </si>
  <si>
    <t>Estado Del Contrato</t>
  </si>
  <si>
    <t>Cantidad de Contratos</t>
  </si>
  <si>
    <t>Monto Por Contratos</t>
  </si>
  <si>
    <t>Tipo de Empresa Adjudicada</t>
  </si>
  <si>
    <t>DIRECCION CENTRAL DEL SERVICIO NACIONAL DE SALUD</t>
  </si>
  <si>
    <t>Hospital Materno Infantil San Lorenzo de Los Minas</t>
  </si>
  <si>
    <t>No</t>
  </si>
  <si>
    <t>Compras por Debajo del Umbral</t>
  </si>
  <si>
    <t>Adjudicado</t>
  </si>
  <si>
    <t>Activo</t>
  </si>
  <si>
    <t>Mipyme Mujer</t>
  </si>
  <si>
    <t>72100000</t>
  </si>
  <si>
    <t>Servicios de mantenimiento y reparaciones de construcciones e instalaciones</t>
  </si>
  <si>
    <t>MiPyme</t>
  </si>
  <si>
    <t>40100000</t>
  </si>
  <si>
    <t>Calefacción, ventilación y circulación del aire</t>
  </si>
  <si>
    <t>Compras Menores</t>
  </si>
  <si>
    <t>41110000</t>
  </si>
  <si>
    <t>Instrumentos de medida, observación y ensayo</t>
  </si>
  <si>
    <t>Bio Nova, SRL</t>
  </si>
  <si>
    <t>Grande</t>
  </si>
  <si>
    <t xml:space="preserve">DESPENSA </t>
  </si>
  <si>
    <t>Diucam Group SRL</t>
  </si>
  <si>
    <t>Lambda Diagnósticos, SRL</t>
  </si>
  <si>
    <t>Farmaceutica Dalmasi (FARMADAL), SRL</t>
  </si>
  <si>
    <t>42140000</t>
  </si>
  <si>
    <t>Suministros, productos de tratamiento y cuidado del enfermo</t>
  </si>
  <si>
    <t>51100000</t>
  </si>
  <si>
    <t>Medicamentos antiinfecciosos</t>
  </si>
  <si>
    <t>Mecala Importadora, SRL</t>
  </si>
  <si>
    <t>51190000</t>
  </si>
  <si>
    <t>Agentes que afectan el agua y los electrolitos</t>
  </si>
  <si>
    <t>Miguelina  Vasquez Castillo</t>
  </si>
  <si>
    <t>42130000</t>
  </si>
  <si>
    <t>Telas y vestidos médicos</t>
  </si>
  <si>
    <t>Papelería E. Impresos Crishoan, SRL</t>
  </si>
  <si>
    <t>41100000</t>
  </si>
  <si>
    <t>Equipo de laboratorio y científico</t>
  </si>
  <si>
    <t>42220000</t>
  </si>
  <si>
    <t>Productos para administración intravenosa y arterial</t>
  </si>
  <si>
    <t>Farach, SA</t>
  </si>
  <si>
    <t>42270000</t>
  </si>
  <si>
    <t>Productos de resucitación, anestesia y respiratorio</t>
  </si>
  <si>
    <t>Macrotech Farmacéutica, SRL</t>
  </si>
  <si>
    <t>42310000</t>
  </si>
  <si>
    <t>Productos para el cuidado de heridas</t>
  </si>
  <si>
    <t>82120000</t>
  </si>
  <si>
    <t>Servicios de reproducción</t>
  </si>
  <si>
    <t>42290000</t>
  </si>
  <si>
    <t>Productos quirúrgicos</t>
  </si>
  <si>
    <t>51140000</t>
  </si>
  <si>
    <t>Medicamentos para el sistema nervioso central</t>
  </si>
  <si>
    <t>Gerenfar, S.R.L.</t>
  </si>
  <si>
    <t>Farmaco Internacional, SRL</t>
  </si>
  <si>
    <t>51170000</t>
  </si>
  <si>
    <t>Medicamentos que afectan al sistema gastrointestinal</t>
  </si>
  <si>
    <t>Copem Hospiclinic, SRL</t>
  </si>
  <si>
    <t>51120000</t>
  </si>
  <si>
    <t>Medicamentos cardiovasculares</t>
  </si>
  <si>
    <t>Leromed Pharma, SRL</t>
  </si>
  <si>
    <t>14110000</t>
  </si>
  <si>
    <t>Productos de papel</t>
  </si>
  <si>
    <t>47120000</t>
  </si>
  <si>
    <t>Equipo de aseo</t>
  </si>
  <si>
    <t>42180000</t>
  </si>
  <si>
    <t>Productos de examen y control del paciente</t>
  </si>
  <si>
    <t>Empresa Rotricomercial, SRL</t>
  </si>
  <si>
    <t>Sean Dominican, SRL</t>
  </si>
  <si>
    <t>Evaluación</t>
  </si>
  <si>
    <t>Insocorp, S.R.L.</t>
  </si>
  <si>
    <t>15100000</t>
  </si>
  <si>
    <t>Combustibles</t>
  </si>
  <si>
    <t>Cancelado</t>
  </si>
  <si>
    <t>Bio Win, SRL</t>
  </si>
  <si>
    <t>CEM Caribbean Equipment Medical, SRL</t>
  </si>
  <si>
    <t>Comercializadora y Distribuidora Megar, SRL</t>
  </si>
  <si>
    <t>Destreza Comercial, SRL</t>
  </si>
  <si>
    <t>42200000</t>
  </si>
  <si>
    <t>Productos de hacer imágenes diagnósticas médicas y de medicina nuclear</t>
  </si>
  <si>
    <t>Gestiones Sanitarias &amp; Ambientales, SRL (GESA)</t>
  </si>
  <si>
    <t>50100000</t>
  </si>
  <si>
    <t>Frutos secos</t>
  </si>
  <si>
    <t>Livao Farmacéutica, SRL</t>
  </si>
  <si>
    <t>Cristina  Rosario Rosario</t>
  </si>
  <si>
    <t>Jorsa Multiservices, SRL</t>
  </si>
  <si>
    <t xml:space="preserve">Productos Cano, SRL </t>
  </si>
  <si>
    <t>D, CORA INDUSTRIAL, S.R.L</t>
  </si>
  <si>
    <t>Ventas Diversas Farmaceuticas, SRL (VENDIFAR)</t>
  </si>
  <si>
    <t xml:space="preserve">TONER DEPOT MULTISERVICIOS EORG </t>
  </si>
  <si>
    <t>Agua Planeta Azul, SA</t>
  </si>
  <si>
    <t>VS/FONDO GENERAL</t>
  </si>
  <si>
    <t>Socomedi Multisolutions, SRL</t>
  </si>
  <si>
    <t>Smart Supply Medical Dominicana (SMARTMEDOM),  SRL</t>
  </si>
  <si>
    <t>Otros (CAFETERIA )</t>
  </si>
  <si>
    <t xml:space="preserve">CEM CARIBBEAN EQUIPMENT MEDICAL </t>
  </si>
  <si>
    <t>Ciencia Tecnología y Consultas, SRL (CIENTEC)</t>
  </si>
  <si>
    <t>Master Clean FBE Import, SRL</t>
  </si>
  <si>
    <t>Lehaim Suministros , SRL</t>
  </si>
  <si>
    <t>47130000</t>
  </si>
  <si>
    <t>Suministros de aseo y limpieza</t>
  </si>
  <si>
    <t>REACTIVOS MEDMAY</t>
  </si>
  <si>
    <t>REACTIVOS EQUIPO F200</t>
  </si>
  <si>
    <t>Medina N Solutions, SRL</t>
  </si>
  <si>
    <t>Ronajus Farmaceutica, SRL</t>
  </si>
  <si>
    <t>Cabod, EIRL</t>
  </si>
  <si>
    <t>REACTIVOS MIUREX</t>
  </si>
  <si>
    <t>EQMAPHAR, SRL</t>
  </si>
  <si>
    <t xml:space="preserve">FUNDAS PLASTICAS </t>
  </si>
  <si>
    <t xml:space="preserve">J. JIREH EQUIPOS MEDICOS SRL </t>
  </si>
  <si>
    <t xml:space="preserve">Trasts Meds &amp; Devices SRL </t>
  </si>
  <si>
    <t>Delia Josefina Tatis Perdomo</t>
  </si>
  <si>
    <t xml:space="preserve">WILSON FRIAS </t>
  </si>
  <si>
    <t>ESMC SERVICES  MEDICAL, SRL</t>
  </si>
  <si>
    <t xml:space="preserve">MEDINA N SOLUTIONS SRL </t>
  </si>
  <si>
    <t xml:space="preserve">CASA DOÑA MARCIA, CADOMA SRL </t>
  </si>
  <si>
    <t xml:space="preserve">LIVAO FARMACEUTICA, SRL </t>
  </si>
  <si>
    <t>Fecha de imputación: hasta el 31 de [12] del [2024]</t>
  </si>
  <si>
    <t>CORRESPONDIENTE AL MES DE ENERO 2025</t>
  </si>
  <si>
    <t>TRANSF. 001</t>
  </si>
  <si>
    <t>PAGO DE FACT NCF NO. B1500000006, POR ADQUISICION DE CALENTADORES PARA PACIENTES Y MANTAS TERMICAS NEONATALES, SEGÚN ORDEN DE COMPRA HSLM-2024-01349</t>
  </si>
  <si>
    <t>TRANSF. 002</t>
  </si>
  <si>
    <t>TRANSF. 003</t>
  </si>
  <si>
    <t>TRANSF. 004</t>
  </si>
  <si>
    <t>TRANSF. 005</t>
  </si>
  <si>
    <t>TRANSF. 006</t>
  </si>
  <si>
    <t>TRANSF. 007</t>
  </si>
  <si>
    <t>TRANSF. 008</t>
  </si>
  <si>
    <t>TRANSF. 009</t>
  </si>
  <si>
    <t>TRANSF. 010</t>
  </si>
  <si>
    <t>TRANSF. 011</t>
  </si>
  <si>
    <t>TRANSF. 012</t>
  </si>
  <si>
    <t>TRANSF. 013</t>
  </si>
  <si>
    <t>TRANSF. 014</t>
  </si>
  <si>
    <t>TRANSF. 015</t>
  </si>
  <si>
    <t>TRANSF. 016</t>
  </si>
  <si>
    <t>TRANSF. 017</t>
  </si>
  <si>
    <t>TRANSF. 018</t>
  </si>
  <si>
    <t>TRANSF. 019</t>
  </si>
  <si>
    <t>TRANSF. 020</t>
  </si>
  <si>
    <t>TRANSF. 021</t>
  </si>
  <si>
    <t>TRANSF. 022</t>
  </si>
  <si>
    <t>TRANSF. 023</t>
  </si>
  <si>
    <t>TRANSF. 024</t>
  </si>
  <si>
    <t>LEHAIM SUMINISTROS, SRL</t>
  </si>
  <si>
    <t>PAGO DE FACT NCF NO. B1500000004, POR ADQUISICION DE MEDICAMENTOS, SEGÚN ORDEN DE COMPRA HSLM-2024-01377</t>
  </si>
  <si>
    <t>GRAFISOL, SRL</t>
  </si>
  <si>
    <t>APORTE ECONOMICO PARA LA REVISTA MEDICA CIENTIFICA</t>
  </si>
  <si>
    <t>PLANETA AZUL</t>
  </si>
  <si>
    <t>PAGO DE FACT E4500006333, E4500006338, E4500006340, E4500007753, E4500006344, POR ADQUISICIONES DE BOTELLONES DE AGUA SEGÚN ORDEN DE COMPRA 2024-00796</t>
  </si>
  <si>
    <t>TROPIGAS, SRL</t>
  </si>
  <si>
    <t>PAGO DE FACT NCF E4500005333 Y E450000005343, POR ADQUISICON DE GLP, SEGÚN ORDEN DE COMPRA 2024-00326</t>
  </si>
  <si>
    <t>PAGO NCF B1500001242 ADQUISICION DE PAN SEGÚN O/C HSLM-2024-00631</t>
  </si>
  <si>
    <t xml:space="preserve">PRODUCTOS CANO SRL </t>
  </si>
  <si>
    <t xml:space="preserve">BIO WIN SRL  </t>
  </si>
  <si>
    <t>PAGO NCF B1500002379, B1500002382, B1500002083, B1500002090. ADQUISICION DE SANGRE DE CARNERO SEGÚN O/C HSLM-2024-00988.</t>
  </si>
  <si>
    <t xml:space="preserve">PAGO NCF B1500000368 SERVICIO DE PLASMA Y SANGRE PARA PACIENTES INTERNOS SEGÚN O/C HSLM-2024-00109 </t>
  </si>
  <si>
    <t>CENTRO DE LA SANGRE Y ESPECIALIDADES SRL</t>
  </si>
  <si>
    <t xml:space="preserve">ALTICE DOMINICANA S.A </t>
  </si>
  <si>
    <t>PAGO NCF E450000011177 SERVICIO TELEFONICO PERIODO FACTURADO 01/12/2024 AL 31/12/2024 CUENTA 12843802.</t>
  </si>
  <si>
    <t>PAGO NCF E450000010916 SERVICIO TELEFONICO PERIODO FACTURADO 23/11/2024 AL 22/12/2024 CUENTA 2666630</t>
  </si>
  <si>
    <t>ADLER AMICIS VALDEZ MARMOLEJOS</t>
  </si>
  <si>
    <t>PAGO NCF B1500000253 CONFECCION DE CARNET DE VISITANTES SEGÚN O/C HSLM-2024-01256</t>
  </si>
  <si>
    <t>PAGO NCF B1500000252 ADQUISICION DE MATERIALES IMPRESOS SEGÚN O/C HSLM-2024-00248.</t>
  </si>
  <si>
    <t>RONAJUS FARMACEUTICAS SRL</t>
  </si>
  <si>
    <t>PAGO NCF B1500001491 ADQUISICION DE TIRILLAS DE GLUCOMETRO SEGÚN O/C HSLM-2024-01347.</t>
  </si>
  <si>
    <t>GESTIONES SANITARIAS &amp; AMBIENTALES, SRL(GESA)</t>
  </si>
  <si>
    <t>PAGO NCF B1500000407 SERVICIO DE LIMPIEZA DE TINACO SEGÚN O/C 1889</t>
  </si>
  <si>
    <t xml:space="preserve">SERVICIO DE BIOMEDICINA MEDICO SERBIOMED SRL </t>
  </si>
  <si>
    <t>PAGO NCF B1500000196 SERVICIO POR MANTENIMIENTO Y REPARACION RAYOS X SEGÚN O/C HSLM-2024-01330</t>
  </si>
  <si>
    <t xml:space="preserve">SMART SUPPLY MEDICAL DOMINICANA SRL </t>
  </si>
  <si>
    <t>PAGO NCF B1500000015 ADQUISICION DE UTILES MEDICOS SEGÚN O/C HSLM-01348</t>
  </si>
  <si>
    <t xml:space="preserve">DESTREZA COMERCIAL SRL </t>
  </si>
  <si>
    <t>PAGO NCF B1500000046 POR ADQUISICION DE UTILES MEDICOS SEGÚN O/C HSLM-2025-00049.</t>
  </si>
  <si>
    <t xml:space="preserve">GLOBAL MULTIPHARMA DOMINICANA THM SRL </t>
  </si>
  <si>
    <t>PAGO NCF B1500001018 POR ADQUISICION DE UTILES MEDICOS SEGÚN O/C HSLM-2025-00012</t>
  </si>
  <si>
    <t>PAGO NCF B1500001019 POR ADQUISICION DE UTILES MEDICOS SEGÚN O/C HSLM-2025-00015.</t>
  </si>
  <si>
    <t>TRANSF. 025</t>
  </si>
  <si>
    <t>TRANSF. 026</t>
  </si>
  <si>
    <t>PAGO COMPLETVO DE ITBIS DE LA FACT CON NCF B1500000631 POR ADQUISICION DE UTILES MEDICOS SEGÚN O/C HSLM-2023-00454.</t>
  </si>
  <si>
    <t>TRANSF. 027</t>
  </si>
  <si>
    <t xml:space="preserve">SANDRY GOMEZ RODRIGUEZ </t>
  </si>
  <si>
    <t>: PAGO DE LA FACT NCF B1500000480 POR ADQUISICION DE ALIMENTOS SEGÚN O/C HSLM-2025-00019</t>
  </si>
  <si>
    <t xml:space="preserve">FARMACO QUIMICA NACIONAL S.A </t>
  </si>
  <si>
    <t>COMPRA DE VALVULA HIDROCEFALICA PARA RN INGRESADO EN EL HOSPITAL.</t>
  </si>
  <si>
    <t>CENTRO DE ESTUDIOS MEDICOS Y DIAGNOSTICOS POR IMÁGENES, SRL</t>
  </si>
  <si>
    <t>PAGO DE FACT NCF B1500000352, POR SERVICIOS DE ESTUDIOS ESPECIALIZADOS A PACIENTES INTERNOS SEGÚN O/C 2024-000116</t>
  </si>
  <si>
    <t>TONER DEPOT MULTISERVICIOS EORG, SRL</t>
  </si>
  <si>
    <t>PAGO DE FACT NCF NO. B1500008206, POR PAGO DE SERVICIOS DE IMPRESIÓN O/C 2024-00767</t>
  </si>
  <si>
    <t>AYUNTAMIENTO SANTO DOMINGO ESTE</t>
  </si>
  <si>
    <t>PAGO DE FACT B1500054922 Y B1500055023, POR SERVICIO DE RECOGIDA DE DESECHOS SOLIDOS</t>
  </si>
  <si>
    <t>LABORATORIO CLINICO LICDA PATRIA RIVAS, SRL</t>
  </si>
  <si>
    <t>PAGO DE FACT NCF NO. B1500002239, POR SERVICIO DE PRUEBAS ESPECIALES A PACIENTES INTERNOS, SEGÚN O/C 2024-00107</t>
  </si>
  <si>
    <t>TRANSF. 028</t>
  </si>
  <si>
    <t>SUED &amp; FARGESA, SRL</t>
  </si>
  <si>
    <t>PAGO DE FACT NCF NO. E45000001159, POR ADQUISICION DE UNA GRAPADORA  MAS 1 CARTUCHO DE GRAPAS AJUSTABLES DE 55MM</t>
  </si>
  <si>
    <t>Oficclin Comercial, SRL</t>
  </si>
  <si>
    <t>Express Service Conserg Exsercon, SRL</t>
  </si>
  <si>
    <t>HOSPITAL MATERNO INFANTIL SAN LORENZO DE LOS MINAS</t>
  </si>
  <si>
    <t>PAGO FACTURA NCF B1500000996 POR ADQUISICION DE UTIL MEDICO SEGUN ORDEN DE COMPRA HSLM-2024-0139.</t>
  </si>
  <si>
    <t>Pago de Fact NCF No. B1500001011, por adquisicion de reactivos, según orden de compra, HSLM-2024-01363</t>
  </si>
  <si>
    <t>Pago de Fact NCF No. B1500001014, por adquisicion de medicamentos, segun orden de compra, HSLM-2024-01400</t>
  </si>
  <si>
    <t>Pago de Fact NCF No. B1500002232, por adquisicion de reactivos, según orden de compra, HSLM-2024-01306</t>
  </si>
  <si>
    <t>PAGO FACT NCF B1500000040, POR ADQUISICION DE UTILES MEDICOS SEGUN ORDEN DE COMPRA HSLM-2025-00010.</t>
  </si>
  <si>
    <t>Pago de Fact NCF No. B1500002071, por adquisicion de reactivos, según orden de compra, HSLM-2024-01364</t>
  </si>
  <si>
    <t>Pago de Fact NCF No. B1500000557, por adquisicion de medicamentos, según orden de compra, HSLM-2025-00028</t>
  </si>
  <si>
    <t>PAGO DE FACT NCF B1500001096 POR ADQUISICION DE UTILES MEDICOS SEGUN O/C HSLM-2024-01374.</t>
  </si>
  <si>
    <t>PAGO FACTURA NCF B1500001097 POR ADQUISICION DE UTIL MEDICO SEGUN O/C HSLM-2024-01373.</t>
  </si>
  <si>
    <t>PAGO DE FACTURA NCF B1500001164 POR ADQUISICION DE UTILES MEDICOS SEGUN O/C HSLM-2025-00014</t>
  </si>
  <si>
    <t>PAGO FACTURA NCF B1500000368 POR ADQUISICION DE MEDICAMENTOS SEGUN O/C HSLM-2025-00042.</t>
  </si>
  <si>
    <t>PAGO DE FACT NCF B1500000151 POR ADQUISICION DE MEDICAMENTOS Y UTILES MEDICOS SEGUN O/C HSLM-2025-00003.</t>
  </si>
  <si>
    <t>PAGO DE FACT NCF B1500000155 POR ADQUISICION DE MEDICAMENTOS SEGUN O/C HSLM-2025-00007.</t>
  </si>
  <si>
    <t>PAGO DE FACTURA B1500000152 POR ADQUISICION DE MEDICAMENTO POR O/C HSLM-2025-00002</t>
  </si>
  <si>
    <t>PAGO DE FACTURA NCF B1500000153, POR ADQUISICION DE MEDICAMENTOS, SEGUN ORDEN DE COMPRA HSLM-2025-00005.</t>
  </si>
  <si>
    <t>PAGO FACT NCF B1500000157, POR ADQUISICION DE MEDICAMENTOS SEGUN ORDEN DE COMPRA HSLM-2025-00006.</t>
  </si>
  <si>
    <t>PAGO FACTURA NCF B1500000148 POR ADQUISICION DE UTIL MEDICO SEGUN O/C HSLM-2024-01398.</t>
  </si>
  <si>
    <t>pago factura b1500000145 por medicamento orden compa HSLM-2024-01367</t>
  </si>
  <si>
    <t>HOSANLORE. NOMINA SUELDO PERSONAL DE VIGILANCIA ENERO 2025</t>
  </si>
  <si>
    <t>HOSANLORE. NOMINA SUELDO FIJO ENERO 2025</t>
  </si>
  <si>
    <t>HOSANLORE. NOMINA SUELDO TEMPORAL ENERO 2025</t>
  </si>
  <si>
    <t>31/01/2025</t>
  </si>
  <si>
    <t>22/01/2025</t>
  </si>
  <si>
    <t>27/01/2025</t>
  </si>
  <si>
    <t>DETALLE OBLIGACIONES CONTRAÍDAS PENDIENTES AL 31 DE ENERO 2025</t>
  </si>
  <si>
    <t>CUENTAS POR PAGAR 31 DE ENERO 2025</t>
  </si>
  <si>
    <t>ARS SUBSIDIADO</t>
  </si>
  <si>
    <t>ARS MAPHRE</t>
  </si>
  <si>
    <t>ARS CMD</t>
  </si>
  <si>
    <t>ARS FUTURO</t>
  </si>
  <si>
    <t>ARS RENACER</t>
  </si>
  <si>
    <t>ARS SEMMA</t>
  </si>
  <si>
    <t>ARS ASEMAP</t>
  </si>
  <si>
    <t>ARS MONUMENTAL</t>
  </si>
  <si>
    <t>ARS RESERVAS</t>
  </si>
  <si>
    <t>ARS YUNEN</t>
  </si>
  <si>
    <t>ENERO 2025</t>
  </si>
  <si>
    <t>RELACION DE LIBRAMIENTOS/CHEQUES/ TRANSFERENCIAS EMITIDOS DURANTE EL MES ENERO 2025</t>
  </si>
  <si>
    <t>CORRESPONDIENTES AL MES :  ENERO 2025</t>
  </si>
  <si>
    <t>.</t>
  </si>
  <si>
    <t>FREDDY OSCAR RODRIGUEZ RIVAS</t>
  </si>
  <si>
    <t>COLABORACION PARA CAVACION DE HOYOS Y CERTIFICACION DE ACTAS</t>
  </si>
  <si>
    <t>JHONNY CASTILLO SORIANO</t>
  </si>
  <si>
    <t>PAGO POR SERVICIO DE MANTENIMIENTO MECANICO A LA AMBULANCIA DEL HOSPITAL, SEGÚN O/S 1915</t>
  </si>
  <si>
    <t>OLEGARIO GUERRERO</t>
  </si>
  <si>
    <t>SERVICIO DE MANTENIMIENTO DE PINTURA AL DEPTO DE SEGURIDAD DEL HOSPITAL</t>
  </si>
  <si>
    <t>ALEXANDER MENDEZ CONTRERAS</t>
  </si>
  <si>
    <t>PAGO POR MANTENIMIENTO,  LIMPIEZA  Y CLORIFICACION DE LA CSTERNA DEL HOSPITAL</t>
  </si>
  <si>
    <t>NULO</t>
  </si>
  <si>
    <t>CARLOS ALEJANDRO SANCHEZ ORTEGA</t>
  </si>
  <si>
    <t>PAGO POR SERVICIO DE MANTENIMIENTO MECANICO A LA AMBULANCIA DEL HOSPITAL, SEGÚN O/S 1918</t>
  </si>
  <si>
    <t xml:space="preserve">NELSON YNFANTE VELAZQUEZ </t>
  </si>
  <si>
    <t>RUDDY SEGURA</t>
  </si>
  <si>
    <t>SERVICIO DE LIMPIEZA DE ESCOMBROS DE JARDINERIA Y AREAS VERDE</t>
  </si>
  <si>
    <t>SERVICIO DE PINTURA PARA DIFERENTES AREA DEL HOSPITAL</t>
  </si>
  <si>
    <t>DELMIRA GARCIA</t>
  </si>
  <si>
    <t>REPOSICION DEL FONDO DE CAJA CHICA</t>
  </si>
  <si>
    <t>VICTOR DE LA CRUZ CARELA</t>
  </si>
  <si>
    <t>PAGO POR REPARACION Y MANTENIMIENTO PREVENTIVO DEL AIRE ACONDICIONADO TIPO PAQUETE DEL AREA DE CONSULTA, SEGUN DOCUMENTACION ANEXA.</t>
  </si>
  <si>
    <t>Bajo las funciones que nos asisten certificamos que el valor de los ingresos percibidos al 31 DE ENERO 2025 fueronde(RD$106,349,276.29)</t>
  </si>
  <si>
    <t>INVERSIONES FH SRL</t>
  </si>
  <si>
    <t>HSLM-DAF-CD-2025-0001</t>
  </si>
  <si>
    <t xml:space="preserve">ADQUISICION DE TIKETS DE COMBUSTIBLE </t>
  </si>
  <si>
    <t>HSLM-DAF-CD-2025-0002</t>
  </si>
  <si>
    <t xml:space="preserve">COMPRA DE EMBUTIDOS </t>
  </si>
  <si>
    <t>50130000</t>
  </si>
  <si>
    <t>Productos lácteos y huevos</t>
  </si>
  <si>
    <t>HSLM-DAF-CM-2025-0001</t>
  </si>
  <si>
    <t xml:space="preserve">CARNES </t>
  </si>
  <si>
    <t>50110000</t>
  </si>
  <si>
    <t>Productos de carne y aves de corral</t>
  </si>
  <si>
    <t xml:space="preserve">Sandry Gomez Rodriguez </t>
  </si>
  <si>
    <t>HSLM-DAF-CM-2025-0002</t>
  </si>
  <si>
    <t>ADQUISICION DE VEGETALES</t>
  </si>
  <si>
    <t>HSLM-DAF-CM-2025-0003</t>
  </si>
  <si>
    <t>50190000</t>
  </si>
  <si>
    <t>Alimentos preparados y conservados</t>
  </si>
  <si>
    <t xml:space="preserve">Distribuidora Latino, SRL </t>
  </si>
  <si>
    <t>HSLM-DAF-CD-2025-0003</t>
  </si>
  <si>
    <t>SOLUCION SALINO AL 9% DE 1000 ML</t>
  </si>
  <si>
    <t>HSLM-DAF-CD-2025-0004</t>
  </si>
  <si>
    <t xml:space="preserve"> ADQUISICION DE SOLUCION SALINO AL 9% DE 1000 ML Y ESPARADRAPO </t>
  </si>
  <si>
    <t>HSLM-DAF-CD-2025-0006</t>
  </si>
  <si>
    <t>MISOPROSTOL 200MG</t>
  </si>
  <si>
    <t>HSLM-DAF-CD-2025-0005</t>
  </si>
  <si>
    <t>HALOPERIDOL 5ML AMP</t>
  </si>
  <si>
    <t>HSLM-DAF-CD-2025-0007</t>
  </si>
  <si>
    <t>SOLUCION SALINO AL 9% DE 100 ML</t>
  </si>
  <si>
    <t>HSLM-DAF-CD-2025-0008</t>
  </si>
  <si>
    <t>ADQUISICION DE GERDEX</t>
  </si>
  <si>
    <t>42280000</t>
  </si>
  <si>
    <t>Productos para la esterilización médica</t>
  </si>
  <si>
    <t>HSLM-DAF-CM-2025-0004</t>
  </si>
  <si>
    <t xml:space="preserve">ADQUISICION DE DETERGENTE PARA LAVANDERIA </t>
  </si>
  <si>
    <t>12160000</t>
  </si>
  <si>
    <t>Aditivos</t>
  </si>
  <si>
    <t>HSLM-DAF-CD-2025-0009</t>
  </si>
  <si>
    <t>ADQUISICION DE UTILES MEDICOS, PLACAS Y ELECTRODOS.</t>
  </si>
  <si>
    <t>HSLM-DAF-CD-2025-0011</t>
  </si>
  <si>
    <t>ADQUISICION DE UTILES MEDICOS, HILO,PAPEL DE SONOGRAFIA Y CINTA AUTOCLAVE.</t>
  </si>
  <si>
    <t>HSLM-DAF-CD-2025-0010</t>
  </si>
  <si>
    <t>ADQUISICION DE ROLLOS DE PAPEL LABELS ZEBRA  2X1</t>
  </si>
  <si>
    <t>HSLM-DAF-CM-2025-0005</t>
  </si>
  <si>
    <t xml:space="preserve">MATERIALES DE LIMPIEZA </t>
  </si>
  <si>
    <t>HSLM-DAF-CD-2025-0012</t>
  </si>
  <si>
    <t>ADQUISICION DE UTILES MEDICOS, PERITAS NASALES Y ESPARADRAPOS.</t>
  </si>
  <si>
    <t>HSLM-DAF-CD-2025-0014</t>
  </si>
  <si>
    <t>ADQUISICION DE UTILES MEDICOS, GORRO DE ENFERMERIA AZUL Y APOSITO PEDIATRICO.</t>
  </si>
  <si>
    <t>HSLM-DAF-CD-2025-0013</t>
  </si>
  <si>
    <t xml:space="preserve">LECTOR DE CD </t>
  </si>
  <si>
    <t>43210000</t>
  </si>
  <si>
    <t>Equipo informático y accesorios</t>
  </si>
  <si>
    <t>HSLM-DAF-CD-2025-0015</t>
  </si>
  <si>
    <t>ADQUISICION DE UTILES MEDICOS, TERMOMETRO ORAL Y CUBRE ZAPATOS.</t>
  </si>
  <si>
    <t>HSLM-DAF-CD-2025-0017</t>
  </si>
  <si>
    <t>CONTROL PARA MAQUINA MEDMAY</t>
  </si>
  <si>
    <t>HSLM-DAF-CD-2025-0016</t>
  </si>
  <si>
    <t xml:space="preserve">LLAVES </t>
  </si>
  <si>
    <t>40140000</t>
  </si>
  <si>
    <t>Distribución de fluidos y gas</t>
  </si>
  <si>
    <t>HSLM-DAF-CM-2025-0006</t>
  </si>
  <si>
    <t>HSLM-DAF-CD-2025-0018</t>
  </si>
  <si>
    <t>ADQUISICION DE ACIDO TRANEXAMICO 500MG/5ML AMPOLLA</t>
  </si>
  <si>
    <t>HSLM-DAF-CD-2025-0019</t>
  </si>
  <si>
    <t>ADQUISICION DE INSUMOS PARA SER UTILIZADOS POR EL ALMACEN DE FARMACIA</t>
  </si>
  <si>
    <t>HSLM-DAF-CD-2025-0020</t>
  </si>
  <si>
    <t>ADQUISICION DE TIRILLAS DE GLUCOMETRO SMARTEST</t>
  </si>
  <si>
    <t>Abierto</t>
  </si>
  <si>
    <t>HSLM-DAF-CM-2025-0007</t>
  </si>
  <si>
    <t>INSUMOS PARA LA MAQUINA BS-380</t>
  </si>
  <si>
    <t>HSLM-DAF-CD-2025-0022</t>
  </si>
  <si>
    <t>ADQUISICION DE GUANTES LATEX DE EXAMEN M</t>
  </si>
  <si>
    <t>Ventas Diversas Farmaceuticas, SRL</t>
  </si>
  <si>
    <t>HSLM-DAF-CD-2025-0023</t>
  </si>
  <si>
    <t>ADQUISICION DE CEFTRIAXONA 1G</t>
  </si>
  <si>
    <t>HSLM-DAF-CD-2025-0021</t>
  </si>
  <si>
    <t>ADQUISICION DE AGUA OXIGENADA, CLAMP UMBILICAL, HEMOVAC BRAZALETES PEDIATRICOS CATETER JELCO #24</t>
  </si>
  <si>
    <t xml:space="preserve">A&amp;S Importadora Medicas, SRL </t>
  </si>
  <si>
    <t>HSLM-DAF-CM-2025-0008</t>
  </si>
  <si>
    <t>HSLM-DAF-CD-2025-0024</t>
  </si>
  <si>
    <t>LEVETIRACETAM 500 MG</t>
  </si>
  <si>
    <t>HSLM-DAF-CD-2025-0025</t>
  </si>
  <si>
    <t>ADQUISICION DE CANULAS DE MAYO Y JERINGAS DE 10 CC</t>
  </si>
  <si>
    <t>HSLM-DAF-CD-2025-0026</t>
  </si>
  <si>
    <t>ADQUISICION DE PARACETAMOL 1GR</t>
  </si>
  <si>
    <t>HSLM-DAF-CD-2025-0027</t>
  </si>
  <si>
    <t>CEFTRIAZONA</t>
  </si>
  <si>
    <t>HSLM-DAF-CD-2025-0028</t>
  </si>
  <si>
    <t>PCR, ANTI Y AGUA BIDESTILADA</t>
  </si>
  <si>
    <t>HSLM-DAF-CD-2025-0029</t>
  </si>
  <si>
    <t>ACIDO ACETILSALICILICO, CLARITROMICINA y DIMENHIDRINATO</t>
  </si>
  <si>
    <t>HSLM-DAF-CD-2025-0030</t>
  </si>
  <si>
    <t>ADQUISICION DE LAPIZ DE ELECTROCAUTERIO Y BAJANTE NORMAL</t>
  </si>
  <si>
    <t>HSLM-DAF-CD-2025-0031</t>
  </si>
  <si>
    <t>TUBOS, TIPS, PORTA Y TRANSEFER</t>
  </si>
  <si>
    <t>HSLM-DAF-CD-2025-0032</t>
  </si>
  <si>
    <t xml:space="preserve">MANZANA , UVA , REFRESCO </t>
  </si>
  <si>
    <t>HSLM-DAF-CD-2025-0033</t>
  </si>
  <si>
    <t>ADQUISICION DE SALBUTAMOL, NOR-CREZIN JARABE, MASCARILLAS, MICROGOTEROS.</t>
  </si>
  <si>
    <t>51160000</t>
  </si>
  <si>
    <t>Medicamentos que afectan al sistema respiratorio</t>
  </si>
  <si>
    <t>HSLM-DAF-CD-2025-0034</t>
  </si>
  <si>
    <t>ADQUISICION DE  NIFEDIPINA, METAMIZOL 1G AMP,HOJAS DE BISTURI,ENEMA PEDIATRICOS Y ESPECULOS VAGINALES M</t>
  </si>
  <si>
    <t>HSLM-DAF-CD-2025-0035</t>
  </si>
  <si>
    <t>G &amp; M Gelmat Comercial, SRL</t>
  </si>
  <si>
    <t>HSLM-DAF-CD-2025-0036</t>
  </si>
  <si>
    <t xml:space="preserve"> ADQUISICION DE ACIDO FOLICO 5MG Y BROMURO DE IPATROPIO 0.9 AMPOLLA</t>
  </si>
  <si>
    <t>HSLM-DAF-CD-2025-0038</t>
  </si>
  <si>
    <t>ADQUISICION DE GUANTES DE EXAMEN L</t>
  </si>
  <si>
    <t>HSLM-DAF-CD-2025-0039</t>
  </si>
  <si>
    <t xml:space="preserve">ADQUISICION DE MEDICAMENTO PARA USO DEL ALMACEN DE FARMACIA </t>
  </si>
  <si>
    <t>HSLM-DAF-CD-2025-0040</t>
  </si>
  <si>
    <t xml:space="preserve"> ADQUISICION VASOS HUMIFICADORES Y ESFIGNOMANOMETRO DIGITAL </t>
  </si>
  <si>
    <t>HSLM-DAF-CD-2025-0041</t>
  </si>
  <si>
    <t xml:space="preserve">ADQUISICION DE GUANTES MEDIUM </t>
  </si>
  <si>
    <t>HSLM-DAF-CD-2025-0042</t>
  </si>
  <si>
    <t>ADQUISICION DE CATETER JELCO #20.</t>
  </si>
  <si>
    <t>HSLM-DAF-CD-2025-0043</t>
  </si>
  <si>
    <t>Dumas Pharmaceuticals, SRL</t>
  </si>
  <si>
    <t>HSLM-DAF-CD-2025-0044</t>
  </si>
  <si>
    <t xml:space="preserve">MATERIALES IMPRESOS </t>
  </si>
  <si>
    <t>HSLM-DAF-CD-2025-0046</t>
  </si>
  <si>
    <t>ADQUISICION DE AGUJAS RAQUIDEA # 23 Y 25, CATETER # 22</t>
  </si>
  <si>
    <t>HSLM-DAF-CD-2025-0047</t>
  </si>
  <si>
    <t>ADQUISICION DE GASA COMPRESA Y BAJA LENGUA DE MADERA</t>
  </si>
  <si>
    <t>HSLM-DAF-CD-2025-0045</t>
  </si>
  <si>
    <t>REACTIVOS DEL GASOMETRO ABL 835 01-25</t>
  </si>
  <si>
    <t>HSLM-DAF-CD-2025-0048</t>
  </si>
  <si>
    <t xml:space="preserve">ADQUISICION DE ALUCAL , PONTI OFTENO ,CATETER EPIDURAL </t>
  </si>
  <si>
    <t>HSLM-DAF-CD-2025-0050</t>
  </si>
  <si>
    <t xml:space="preserve">ADQUISICION DE MANTAS TERMICAS </t>
  </si>
  <si>
    <t>Jean Carlos Basulto Lopez</t>
  </si>
  <si>
    <t>HSLM-DAF-CD-2025-0049</t>
  </si>
  <si>
    <t>ADQUISICION DE CATETER DE SUCCION CERRADO 8FR</t>
  </si>
  <si>
    <t>HSLM-DAF-CD-2025-0052</t>
  </si>
  <si>
    <t xml:space="preserve">ADQUISICION DE MATERIAL DE USO MEDICO </t>
  </si>
  <si>
    <t>HSLM-DAF-CD-2025-0051</t>
  </si>
  <si>
    <t>HSLM-DAF-CD-2025-0054</t>
  </si>
  <si>
    <t xml:space="preserve"> ADQUISICION DE AGUA BIDESTILADA, ALGODÓN, SELLO BAJO AGUA Y LANCETAS</t>
  </si>
  <si>
    <t>HSLM-DAF-CD-2025-0055</t>
  </si>
  <si>
    <t>ADQUISICION DE GEL ANTIBACTERIAL</t>
  </si>
  <si>
    <t>HSLM-DAF-CD-2025-0056</t>
  </si>
  <si>
    <t xml:space="preserve">CLORURO DE SODIO 0.9% </t>
  </si>
  <si>
    <t>HSLM-DAF-CD-2025-0053</t>
  </si>
  <si>
    <t xml:space="preserve">SOLUCION MIXTA 0.33% </t>
  </si>
  <si>
    <t>HSLM-DAF-CD-2025-0057</t>
  </si>
  <si>
    <t>HSLM-DAF-CD-2025-0058</t>
  </si>
  <si>
    <t>PRODUCTOS DE LIMPIEZA</t>
  </si>
  <si>
    <t>HSLM-DAF-CM-2025-0011</t>
  </si>
  <si>
    <t xml:space="preserve">SOFTWARE DETECTOR DIGITAL DE RAYOS X  </t>
  </si>
  <si>
    <t>HSLM-DAF-CM-2025-0009</t>
  </si>
  <si>
    <t>MODULO GENERADOR DE RAYOS X PROTATIL DIRIGIDO A MIPYMES.</t>
  </si>
  <si>
    <t>Sí</t>
  </si>
  <si>
    <t>HSLM-DAF-CD-2025-0059</t>
  </si>
  <si>
    <t xml:space="preserve">UTILES DE LIMPIEZA </t>
  </si>
  <si>
    <t>HSLM-DAF-CD-2025-0060</t>
  </si>
  <si>
    <t xml:space="preserve">ADQUISICION DE GAS LICUADO DE PETROLEO </t>
  </si>
  <si>
    <t>15110000</t>
  </si>
  <si>
    <t>Combustibles  gaseosos  y  aditivos</t>
  </si>
  <si>
    <t>HSLM-DAF-CD-2025-0062</t>
  </si>
  <si>
    <t>CIRCUITO DE VENTILACION -ADULTO</t>
  </si>
  <si>
    <t>HSLM-DAF-CD-2025-0061</t>
  </si>
  <si>
    <t>Servicio de Transporte de medicamentos periodo enero-junio 2025</t>
  </si>
  <si>
    <t>78110000</t>
  </si>
  <si>
    <t>Transporte de pasajeros</t>
  </si>
  <si>
    <t>HSLM-DAF-CD-2025-0063</t>
  </si>
  <si>
    <t xml:space="preserve">COMPRA DE COMPUTADOR PARA USO DE ESTE HOSPITAL </t>
  </si>
  <si>
    <t>Súper Laptop Browsing, SRL</t>
  </si>
  <si>
    <t>HSLM-DAF-CD-2025-0065</t>
  </si>
  <si>
    <t>HSLM-DAF-CD-2025-0066</t>
  </si>
  <si>
    <t>ADQUISICION DE INSUMOS DE FARMACIA</t>
  </si>
  <si>
    <t>HSLM-DAF-CM-2025-0012</t>
  </si>
  <si>
    <t xml:space="preserve">VEGETALES  </t>
  </si>
  <si>
    <t>HSLM-DAF-CM-2025-0014</t>
  </si>
  <si>
    <t>AGROGLOBAL EXPORT E IMPORT, SRL</t>
  </si>
  <si>
    <t>HSLM-DAF-CM-2025-0013</t>
  </si>
  <si>
    <t>SERVICIO DE MANTENIMIENTO REPARACION Y MODIFICACION DEL MONTACARGAS DEL ARA DE CIRUGIA Y SALA DE PARTOS.</t>
  </si>
  <si>
    <t>HSLM-DAF-CD-2025-0067</t>
  </si>
  <si>
    <t>ADQUISICION DE PAPEL PARA ELECTROCARDIOGRAMA</t>
  </si>
  <si>
    <t>HSLM-DAF-CD-2025-0069</t>
  </si>
  <si>
    <t>COMPRA DE MATERIALES PARA USO DEL ALMACEN DE FARMACIA</t>
  </si>
  <si>
    <t>HSLM-DAF-CD-2025-0070</t>
  </si>
  <si>
    <t xml:space="preserve">COMPRA DE GASA TIPO ALMOHADA </t>
  </si>
  <si>
    <t>HSLM-DAF-CD-2025-0068</t>
  </si>
  <si>
    <t xml:space="preserve">EMBUTIDOS </t>
  </si>
  <si>
    <t>Margayu, SRL</t>
  </si>
  <si>
    <t>HSLM-DAF-CD-2025-0064</t>
  </si>
  <si>
    <t>SERVICIO DE LABPLUS 01-2025</t>
  </si>
  <si>
    <t>81110000</t>
  </si>
  <si>
    <t>Servicios informáticos</t>
  </si>
  <si>
    <t>Modificado</t>
  </si>
  <si>
    <t>HSLM-DAF-CD-2025-0072</t>
  </si>
  <si>
    <t>SOLICITUD DE COMPRA DE CARROS DE CARGA</t>
  </si>
  <si>
    <t>24100000</t>
  </si>
  <si>
    <t>Maquinaria  y  equipo  para  manejo  de  materiales</t>
  </si>
  <si>
    <t>Soluciones de Servicios y Técnicas Altadis, SRL</t>
  </si>
  <si>
    <t>HSLM-DAF-CM-2025-0015</t>
  </si>
  <si>
    <t>ADQUISICION DE ULTRASONIDO</t>
  </si>
  <si>
    <t>HSLM-DAF-CD-2025-0073</t>
  </si>
  <si>
    <t>ADQUISICION DE LAPTOS</t>
  </si>
  <si>
    <t>HSLM-DAF-CM-2025-0016</t>
  </si>
  <si>
    <t>HSLM-DAF-CD-2025-0074</t>
  </si>
  <si>
    <t>MORFINA 0.1 MG</t>
  </si>
  <si>
    <t>HSLM-DAF-CD-2025-0075</t>
  </si>
  <si>
    <t>SOLUCION SALINO 0.9% 100ML</t>
  </si>
  <si>
    <t>HSLM-DAF-CM-2025-0018</t>
  </si>
  <si>
    <t>SERV. DE MANT. Y REPARACION DE MUROS Y PASILLOS DEL AREA DE PARTO 2DO NIVEL</t>
  </si>
  <si>
    <t>HSLM-DAF-CM-2025-0017</t>
  </si>
  <si>
    <t>SERV. DE MANT. Y REPARACION DE PISOS DEL AREA DE PARTO 2DO NIVEL</t>
  </si>
  <si>
    <t>HSLM-DAF-CM-2025-0019</t>
  </si>
  <si>
    <t>ADQUISICION DE PAN SEGÚN DESCIPCION.</t>
  </si>
  <si>
    <t>50180000</t>
  </si>
  <si>
    <t>Productos de panadería</t>
  </si>
  <si>
    <t>HSLM-DAF-CD-2025-0077</t>
  </si>
  <si>
    <t>ADQUISICION DE MATERIALES DE USO MEDICO</t>
  </si>
  <si>
    <t>HSLM-DAF-CD-2025-0079</t>
  </si>
  <si>
    <t>ADQUISICION DE ENFAMIL NEURO PRO PREMATURE</t>
  </si>
  <si>
    <t>HSLM-DAF-CD-2025-0078</t>
  </si>
  <si>
    <t>GUANTES DESECHABLES M</t>
  </si>
  <si>
    <t>HSLM-DAF-CD-2025-0080</t>
  </si>
  <si>
    <t xml:space="preserve">ADQUISICION DE AVAGARD </t>
  </si>
  <si>
    <t>HSLM-DAF-CD-2025-0081</t>
  </si>
  <si>
    <t>PILAS, CEPILLOS DE ALAMBRE, BOMBILLOS Y DESGRASANTE</t>
  </si>
  <si>
    <t>26110000</t>
  </si>
  <si>
    <t>Baterías  y  generadores  y  transmisión  de  energía  cinética</t>
  </si>
  <si>
    <t>HSLM-DAF-CD-2025-0083</t>
  </si>
  <si>
    <t xml:space="preserve">ADQUISICION DE JABON CLORHEXIDINA 4% </t>
  </si>
  <si>
    <t>HSLM-DAF-CD-2025-0084</t>
  </si>
  <si>
    <t>ADQUISICION DE GRAPADORA Y CARTUCHOS DE GRAPA PARA SER UTILIZADOS EN EL AREA QUIRURGICA DE ESTE HMLS.</t>
  </si>
  <si>
    <t>44120000</t>
  </si>
  <si>
    <t>Suministros de oficina</t>
  </si>
  <si>
    <t>HSLM-DAF-CD-2025-0082</t>
  </si>
  <si>
    <t xml:space="preserve">MATERIALES DE OFICINAS </t>
  </si>
  <si>
    <t>HSLM-DAF-CD-2025-0085</t>
  </si>
  <si>
    <t>AIRES ACONDICIONADO INVERTER TIPO SPLIT DE 36 MIL BTU  (Instalación y ducteria incuidas)</t>
  </si>
  <si>
    <t>HSLM-DAF-CM-2025-0020</t>
  </si>
  <si>
    <t xml:space="preserve">ADQUISICION DE  GALONES DE GASOIL </t>
  </si>
  <si>
    <t>Publicado</t>
  </si>
  <si>
    <t>HSLM-DAF-CD-2025-0071</t>
  </si>
  <si>
    <t>ORDENES DE COMPRA MES DE ENERO 2025</t>
  </si>
  <si>
    <t>PAGO DE TICKETS DE COMBUSTIBLE</t>
  </si>
  <si>
    <t>Inversiones FH, SRL</t>
  </si>
  <si>
    <t xml:space="preserve">Grupo Garmof SRL </t>
  </si>
  <si>
    <t xml:space="preserve">IGBT SRL </t>
  </si>
  <si>
    <t xml:space="preserve">Galed Supplies Med SRL </t>
  </si>
  <si>
    <t>PLASTIFAR, S.A</t>
  </si>
  <si>
    <t>SMART SUPPLY MEDICAL DOMINICANA, SRL</t>
  </si>
  <si>
    <t>Suplidores de Productos Diversos Suprodi, SRL</t>
  </si>
  <si>
    <t>JT Investdent, SRL</t>
  </si>
  <si>
    <t xml:space="preserve">IMD Medic Inter SRL </t>
  </si>
  <si>
    <t>Super Latop Browsing SRL</t>
  </si>
  <si>
    <t xml:space="preserve">PATRIA RIVAS LABORATORIO CLINICO </t>
  </si>
  <si>
    <t>SOCOMEDI MULTISOLUTIONS , SRL</t>
  </si>
  <si>
    <t>OFICCLIN COMERCIAL, SRL</t>
  </si>
  <si>
    <t xml:space="preserve">ING FRANCISCO CABRERA </t>
  </si>
  <si>
    <t>Ingeniería, Tecnología y Servicios Orozco, SRL</t>
  </si>
  <si>
    <t>Felipe Antonio Morey Paulino</t>
  </si>
  <si>
    <t>OSIRIS &amp; CO,, S. A. (OSISA)</t>
  </si>
  <si>
    <t xml:space="preserve">Laboratorios Rhyno SRL </t>
  </si>
  <si>
    <t>ENERO-2025</t>
  </si>
  <si>
    <t xml:space="preserve">    </t>
  </si>
  <si>
    <t>Auxiliar Cuentas por Cobrar SeNaSa Subsidiado</t>
  </si>
  <si>
    <t>Balance Anterior</t>
  </si>
  <si>
    <t>FECHA DE CORTE AUDITORIA</t>
  </si>
  <si>
    <t>CANTIDAD DE EXPEDIENTES</t>
  </si>
  <si>
    <t>MONTO GENERAL DE FACTURACION</t>
  </si>
  <si>
    <t>MONTO AUDITADO</t>
  </si>
  <si>
    <t>MONTO GLOSADO</t>
  </si>
  <si>
    <t xml:space="preserve">Valor Facturado </t>
  </si>
  <si>
    <t>Referencia Documento de pago (CK-T)</t>
  </si>
  <si>
    <t>Monto pagado</t>
  </si>
  <si>
    <t>Balance CxC</t>
  </si>
  <si>
    <t>ARS SENASA SUBSIDIADO</t>
  </si>
  <si>
    <t xml:space="preserve">TOTALES </t>
  </si>
  <si>
    <t>Auxiliar Cuentas por Cobrar Ars Privadas</t>
  </si>
  <si>
    <t>BALANCE ANTERIOR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</si>
  <si>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</si>
  <si>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</si>
  <si>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</si>
  <si>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</si>
  <si>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</si>
  <si>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</si>
  <si>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</si>
  <si>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MAPFRE AMB.</t>
  </si>
  <si>
    <t>MAPFRE EMERG.</t>
  </si>
  <si>
    <t>MAPFRE HOSP.</t>
  </si>
  <si>
    <t xml:space="preserve">FUTURO </t>
  </si>
  <si>
    <t>P. HUMANO</t>
  </si>
  <si>
    <t xml:space="preserve">RESERVAS </t>
  </si>
  <si>
    <t>RESUMEN</t>
  </si>
  <si>
    <t>Total ARS Senasa Subsidiado</t>
  </si>
  <si>
    <t>Total ARS Privada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</si>
  <si>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</si>
  <si>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</si>
  <si>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</si>
  <si>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</si>
  <si>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</si>
  <si>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</si>
  <si>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</si>
  <si>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</si>
  <si>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</si>
  <si>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</si>
  <si>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</si>
  <si>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</si>
  <si>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</si>
  <si>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</si>
  <si>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</si>
  <si>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</si>
  <si>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</si>
  <si>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</si>
  <si>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>CUENTAS POR COBRAR ARS AÑO 2025</t>
  </si>
  <si>
    <t>PAGO PROVEEDORES</t>
  </si>
  <si>
    <t>CAJA CHICA</t>
  </si>
  <si>
    <t>NOMINA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</si>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</sst>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  <numFmt numFmtId="167" formatCode="_-* #,##0.00_-;\-* #,##0.00_-;_-* &quot;-&quot;??_-;_-@_-"/>
    <numFmt numFmtId="168" formatCode="_-[$RD$-1C0A]* #,##0.00_ ;_-[$RD$-1C0A]* \-#,##0.00\ ;_-[$RD$-1C0A]* &quot;-&quot;??_ ;_-@_ "/>
    <numFmt numFmtId="169" formatCode="&quot;$&quot;#,##0.00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omic Sans MS"/>
      <family val="4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b/>
      <u/>
      <sz val="18"/>
      <name val="Times New Roman"/>
      <family val="1"/>
    </font>
    <font>
      <u/>
      <sz val="18"/>
      <name val="Times New Roman"/>
      <family val="1"/>
    </font>
    <font>
      <sz val="14"/>
      <color theme="1"/>
      <name val="Calibri Light"/>
      <family val="2"/>
      <scheme val="major"/>
    </font>
    <font>
      <sz val="14"/>
      <color theme="1"/>
      <name val="Calibri Light"/>
      <family val="1"/>
      <scheme val="major"/>
    </font>
    <font>
      <sz val="14"/>
      <color theme="3" tint="-0.499984740745262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2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 Light"/>
      <family val="2"/>
      <scheme val="major"/>
    </font>
    <font>
      <sz val="8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13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" fillId="0" borderId="0"/>
    <xf numFmtId="43" fontId="5" fillId="0" borderId="0" applyFont="0" applyFill="0" applyBorder="0" applyAlignment="0" applyProtection="0"/>
  </cellStyleXfs>
  <cellXfs count="6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164" fontId="6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0" fontId="6" fillId="0" borderId="0" xfId="1" applyFont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3" fillId="0" borderId="0" xfId="0" applyFont="1"/>
    <xf numFmtId="0" fontId="39" fillId="0" borderId="0" xfId="0" applyFont="1"/>
    <xf numFmtId="43" fontId="43" fillId="15" borderId="1" xfId="6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left" vertical="center" wrapText="1"/>
    </xf>
    <xf numFmtId="43" fontId="43" fillId="16" borderId="1" xfId="6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7" borderId="1" xfId="6" applyFont="1" applyFill="1" applyBorder="1" applyAlignment="1">
      <alignment wrapText="1"/>
    </xf>
    <xf numFmtId="43" fontId="0" fillId="17" borderId="1" xfId="6" applyFont="1" applyFill="1" applyBorder="1"/>
    <xf numFmtId="0" fontId="43" fillId="17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6" borderId="1" xfId="0" applyNumberFormat="1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right" wrapText="1"/>
    </xf>
    <xf numFmtId="43" fontId="43" fillId="17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7" borderId="0" xfId="0" applyFill="1"/>
    <xf numFmtId="43" fontId="43" fillId="17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7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6" fillId="0" borderId="0" xfId="0" applyFont="1"/>
    <xf numFmtId="0" fontId="43" fillId="0" borderId="1" xfId="0" applyFont="1" applyBorder="1"/>
    <xf numFmtId="14" fontId="0" fillId="0" borderId="1" xfId="0" applyNumberFormat="1" applyBorder="1"/>
    <xf numFmtId="43" fontId="0" fillId="0" borderId="0" xfId="6" applyFont="1"/>
    <xf numFmtId="43" fontId="54" fillId="0" borderId="0" xfId="6" applyFont="1"/>
    <xf numFmtId="0" fontId="54" fillId="0" borderId="0" xfId="0" applyFont="1"/>
    <xf numFmtId="43" fontId="54" fillId="0" borderId="0" xfId="0" applyNumberFormat="1" applyFont="1"/>
    <xf numFmtId="43" fontId="2" fillId="0" borderId="0" xfId="6" applyFont="1"/>
    <xf numFmtId="43" fontId="55" fillId="22" borderId="1" xfId="6" applyFont="1" applyFill="1" applyBorder="1" applyAlignment="1">
      <alignment horizontal="center" vertical="center"/>
    </xf>
    <xf numFmtId="43" fontId="49" fillId="0" borderId="1" xfId="6" applyFont="1" applyFill="1" applyBorder="1" applyAlignment="1">
      <alignment vertical="center"/>
    </xf>
    <xf numFmtId="43" fontId="49" fillId="0" borderId="1" xfId="6" applyFont="1" applyFill="1" applyBorder="1" applyAlignment="1">
      <alignment horizontal="left" vertical="center"/>
    </xf>
    <xf numFmtId="43" fontId="49" fillId="0" borderId="1" xfId="10" applyFont="1" applyFill="1" applyBorder="1" applyAlignment="1"/>
    <xf numFmtId="43" fontId="49" fillId="0" borderId="1" xfId="6" applyFont="1" applyFill="1" applyBorder="1" applyAlignment="1"/>
    <xf numFmtId="43" fontId="55" fillId="20" borderId="1" xfId="6" applyFont="1" applyFill="1" applyBorder="1" applyAlignment="1">
      <alignment horizontal="center" vertical="center"/>
    </xf>
    <xf numFmtId="43" fontId="55" fillId="20" borderId="1" xfId="10" applyFont="1" applyFill="1" applyBorder="1" applyAlignment="1"/>
    <xf numFmtId="43" fontId="55" fillId="0" borderId="1" xfId="6" applyFont="1" applyFill="1" applyBorder="1" applyAlignment="1">
      <alignment horizontal="center"/>
    </xf>
    <xf numFmtId="43" fontId="56" fillId="0" borderId="1" xfId="6" applyFont="1" applyFill="1" applyBorder="1" applyAlignment="1">
      <alignment horizontal="center"/>
    </xf>
    <xf numFmtId="43" fontId="55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49" fillId="0" borderId="0" xfId="10" applyFont="1" applyFill="1" applyBorder="1" applyAlignment="1"/>
    <xf numFmtId="43" fontId="0" fillId="0" borderId="0" xfId="0" applyNumberFormat="1"/>
    <xf numFmtId="0" fontId="26" fillId="0" borderId="0" xfId="0" applyFont="1" applyAlignment="1">
      <alignment horizontal="left"/>
    </xf>
    <xf numFmtId="43" fontId="57" fillId="0" borderId="0" xfId="10" applyFont="1" applyFill="1" applyBorder="1" applyAlignment="1"/>
    <xf numFmtId="4" fontId="38" fillId="0" borderId="1" xfId="10" applyNumberFormat="1" applyFont="1" applyBorder="1" applyAlignment="1">
      <alignment horizontal="center"/>
    </xf>
    <xf numFmtId="0" fontId="61" fillId="0" borderId="0" xfId="0" applyFont="1"/>
    <xf numFmtId="0" fontId="0" fillId="0" borderId="16" xfId="0" applyBorder="1"/>
    <xf numFmtId="0" fontId="2" fillId="0" borderId="0" xfId="1" applyAlignment="1">
      <alignment horizontal="center"/>
    </xf>
    <xf numFmtId="0" fontId="39" fillId="17" borderId="27" xfId="0" applyFont="1" applyFill="1" applyBorder="1" applyAlignment="1">
      <alignment horizontal="center"/>
    </xf>
    <xf numFmtId="0" fontId="39" fillId="11" borderId="40" xfId="0" applyFont="1" applyFill="1" applyBorder="1" applyAlignment="1">
      <alignment horizontal="center"/>
    </xf>
    <xf numFmtId="0" fontId="39" fillId="11" borderId="37" xfId="0" applyFont="1" applyFill="1" applyBorder="1" applyAlignment="1">
      <alignment horizontal="center"/>
    </xf>
    <xf numFmtId="0" fontId="39" fillId="11" borderId="4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166" fontId="0" fillId="0" borderId="1" xfId="0" applyNumberFormat="1" applyBorder="1"/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43" fillId="0" borderId="35" xfId="0" applyFont="1" applyBorder="1"/>
    <xf numFmtId="0" fontId="43" fillId="0" borderId="43" xfId="0" applyFont="1" applyBorder="1"/>
    <xf numFmtId="44" fontId="43" fillId="0" borderId="43" xfId="8" applyFont="1" applyBorder="1"/>
    <xf numFmtId="44" fontId="43" fillId="0" borderId="36" xfId="8" applyFont="1" applyBorder="1"/>
    <xf numFmtId="0" fontId="43" fillId="19" borderId="27" xfId="0" applyFont="1" applyFill="1" applyBorder="1" applyAlignment="1">
      <alignment horizontal="center" vertical="center" wrapText="1"/>
    </xf>
    <xf numFmtId="0" fontId="20" fillId="19" borderId="27" xfId="0" applyFont="1" applyFill="1" applyBorder="1" applyAlignment="1">
      <alignment horizontal="center" vertical="center" wrapText="1"/>
    </xf>
    <xf numFmtId="0" fontId="20" fillId="19" borderId="39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7" fillId="0" borderId="0" xfId="0" applyFont="1"/>
    <xf numFmtId="43" fontId="47" fillId="0" borderId="0" xfId="6" applyFont="1" applyBorder="1"/>
    <xf numFmtId="0" fontId="0" fillId="0" borderId="16" xfId="0" applyBorder="1" applyAlignment="1">
      <alignment wrapText="1"/>
    </xf>
    <xf numFmtId="0" fontId="47" fillId="0" borderId="16" xfId="0" applyFont="1" applyBorder="1"/>
    <xf numFmtId="0" fontId="43" fillId="0" borderId="0" xfId="0" applyFont="1" applyAlignment="1">
      <alignment wrapText="1"/>
    </xf>
    <xf numFmtId="0" fontId="20" fillId="0" borderId="0" xfId="0" applyFont="1"/>
    <xf numFmtId="43" fontId="49" fillId="0" borderId="0" xfId="6" applyFont="1" applyFill="1" applyAlignment="1"/>
    <xf numFmtId="0" fontId="53" fillId="0" borderId="0" xfId="1" applyFont="1"/>
    <xf numFmtId="43" fontId="53" fillId="0" borderId="0" xfId="6" applyFont="1" applyFill="1" applyAlignment="1">
      <alignment horizontal="left"/>
    </xf>
    <xf numFmtId="0" fontId="2" fillId="0" borderId="0" xfId="1" applyAlignment="1">
      <alignment wrapText="1"/>
    </xf>
    <xf numFmtId="0" fontId="55" fillId="21" borderId="1" xfId="1" applyFont="1" applyFill="1" applyBorder="1" applyAlignment="1">
      <alignment horizontal="center" vertical="center"/>
    </xf>
    <xf numFmtId="0" fontId="55" fillId="21" borderId="1" xfId="1" applyFont="1" applyFill="1" applyBorder="1" applyAlignment="1">
      <alignment horizontal="center" vertical="center" wrapText="1"/>
    </xf>
    <xf numFmtId="0" fontId="49" fillId="0" borderId="1" xfId="1" applyFont="1" applyBorder="1" applyAlignment="1">
      <alignment horizontal="center"/>
    </xf>
    <xf numFmtId="0" fontId="49" fillId="0" borderId="1" xfId="1" applyFont="1" applyBorder="1" applyAlignment="1">
      <alignment horizontal="left" vertical="center" wrapText="1"/>
    </xf>
    <xf numFmtId="43" fontId="65" fillId="0" borderId="1" xfId="6" applyFont="1" applyFill="1" applyBorder="1" applyAlignment="1">
      <alignment vertical="center"/>
    </xf>
    <xf numFmtId="43" fontId="49" fillId="0" borderId="1" xfId="1" applyNumberFormat="1" applyFont="1" applyBorder="1" applyAlignment="1">
      <alignment horizontal="left" vertical="center"/>
    </xf>
    <xf numFmtId="43" fontId="55" fillId="20" borderId="1" xfId="1" applyNumberFormat="1" applyFont="1" applyFill="1" applyBorder="1" applyAlignment="1">
      <alignment vertical="center"/>
    </xf>
    <xf numFmtId="43" fontId="55" fillId="20" borderId="1" xfId="1" applyNumberFormat="1" applyFont="1" applyFill="1" applyBorder="1" applyAlignment="1">
      <alignment horizontal="center" vertical="center"/>
    </xf>
    <xf numFmtId="43" fontId="66" fillId="0" borderId="1" xfId="6" applyFont="1" applyFill="1" applyBorder="1" applyAlignment="1">
      <alignment vertical="center"/>
    </xf>
    <xf numFmtId="43" fontId="49" fillId="3" borderId="1" xfId="6" applyFont="1" applyFill="1" applyBorder="1" applyAlignment="1">
      <alignment vertical="center"/>
    </xf>
    <xf numFmtId="0" fontId="49" fillId="0" borderId="1" xfId="1" applyFont="1" applyBorder="1" applyAlignment="1">
      <alignment horizontal="left" vertical="center"/>
    </xf>
    <xf numFmtId="43" fontId="55" fillId="0" borderId="1" xfId="10" applyFont="1" applyFill="1" applyBorder="1" applyAlignment="1">
      <alignment horizontal="center"/>
    </xf>
    <xf numFmtId="43" fontId="55" fillId="2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5" fillId="3" borderId="0" xfId="1" applyFont="1" applyFill="1" applyAlignment="1">
      <alignment horizontal="center" vertical="center"/>
    </xf>
    <xf numFmtId="0" fontId="55" fillId="3" borderId="0" xfId="1" applyFont="1" applyFill="1" applyAlignment="1">
      <alignment horizontal="center" vertical="center" wrapText="1"/>
    </xf>
    <xf numFmtId="43" fontId="55" fillId="3" borderId="0" xfId="1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49" fillId="0" borderId="0" xfId="1" applyFont="1"/>
    <xf numFmtId="43" fontId="49" fillId="0" borderId="0" xfId="1" applyNumberFormat="1" applyFont="1"/>
    <xf numFmtId="43" fontId="49" fillId="0" borderId="0" xfId="6" applyFont="1" applyFill="1" applyBorder="1" applyAlignment="1">
      <alignment horizontal="left"/>
    </xf>
    <xf numFmtId="0" fontId="25" fillId="0" borderId="0" xfId="0" applyFont="1" applyAlignment="1">
      <alignment horizontal="center"/>
    </xf>
    <xf numFmtId="17" fontId="49" fillId="0" borderId="0" xfId="1" applyNumberFormat="1" applyFont="1" applyAlignment="1">
      <alignment horizontal="left" wrapText="1"/>
    </xf>
    <xf numFmtId="0" fontId="49" fillId="0" borderId="0" xfId="1" applyFont="1" applyAlignment="1">
      <alignment horizontal="left" wrapText="1"/>
    </xf>
    <xf numFmtId="0" fontId="55" fillId="0" borderId="0" xfId="1" applyFont="1" applyAlignment="1">
      <alignment horizontal="left" vertical="center" wrapText="1"/>
    </xf>
    <xf numFmtId="0" fontId="55" fillId="0" borderId="0" xfId="1" applyFont="1" applyAlignment="1">
      <alignment horizontal="center" vertical="center"/>
    </xf>
    <xf numFmtId="43" fontId="55" fillId="0" borderId="0" xfId="6" applyFont="1" applyFill="1" applyBorder="1" applyAlignment="1">
      <alignment horizontal="left" vertical="center"/>
    </xf>
    <xf numFmtId="0" fontId="57" fillId="0" borderId="0" xfId="1" applyFont="1"/>
    <xf numFmtId="168" fontId="49" fillId="0" borderId="0" xfId="1" applyNumberFormat="1" applyFont="1"/>
    <xf numFmtId="4" fontId="49" fillId="0" borderId="0" xfId="1" applyNumberFormat="1" applyFont="1"/>
    <xf numFmtId="0" fontId="55" fillId="0" borderId="0" xfId="1" applyFont="1" applyAlignment="1">
      <alignment horizontal="left" wrapText="1"/>
    </xf>
    <xf numFmtId="43" fontId="55" fillId="0" borderId="0" xfId="1" applyNumberFormat="1" applyFont="1"/>
    <xf numFmtId="43" fontId="55" fillId="0" borderId="0" xfId="6" applyFont="1" applyFill="1" applyBorder="1" applyAlignment="1">
      <alignment horizontal="left"/>
    </xf>
    <xf numFmtId="17" fontId="67" fillId="0" borderId="0" xfId="1" applyNumberFormat="1" applyFont="1" applyAlignment="1">
      <alignment horizontal="left" wrapText="1"/>
    </xf>
    <xf numFmtId="43" fontId="67" fillId="0" borderId="0" xfId="10" applyFont="1" applyFill="1" applyBorder="1" applyAlignment="1"/>
    <xf numFmtId="43" fontId="67" fillId="0" borderId="0" xfId="6" applyFont="1" applyFill="1" applyBorder="1" applyAlignment="1">
      <alignment horizontal="left"/>
    </xf>
    <xf numFmtId="0" fontId="49" fillId="0" borderId="0" xfId="1" applyFont="1" applyAlignment="1">
      <alignment horizontal="left"/>
    </xf>
    <xf numFmtId="0" fontId="68" fillId="0" borderId="0" xfId="1" applyFont="1" applyAlignment="1">
      <alignment horizontal="left" wrapText="1"/>
    </xf>
    <xf numFmtId="43" fontId="68" fillId="0" borderId="0" xfId="6" applyFont="1" applyFill="1" applyBorder="1" applyAlignment="1">
      <alignment horizontal="left"/>
    </xf>
    <xf numFmtId="17" fontId="57" fillId="0" borderId="0" xfId="1" applyNumberFormat="1" applyFont="1" applyAlignment="1">
      <alignment horizontal="left" wrapText="1"/>
    </xf>
    <xf numFmtId="43" fontId="57" fillId="0" borderId="0" xfId="1" applyNumberFormat="1" applyFont="1"/>
    <xf numFmtId="43" fontId="57" fillId="0" borderId="0" xfId="6" applyFont="1" applyFill="1" applyBorder="1" applyAlignment="1">
      <alignment horizontal="left"/>
    </xf>
    <xf numFmtId="0" fontId="33" fillId="22" borderId="2" xfId="1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left" vertical="center" wrapText="1" readingOrder="1"/>
    </xf>
    <xf numFmtId="4" fontId="38" fillId="3" borderId="1" xfId="18" applyNumberFormat="1" applyFont="1" applyFill="1" applyBorder="1" applyAlignment="1">
      <alignment horizontal="center" vertical="center" wrapText="1"/>
    </xf>
    <xf numFmtId="4" fontId="38" fillId="3" borderId="1" xfId="18" applyNumberFormat="1" applyFont="1" applyFill="1" applyBorder="1" applyAlignment="1">
      <alignment horizontal="center" vertical="center"/>
    </xf>
    <xf numFmtId="10" fontId="38" fillId="3" borderId="1" xfId="9" applyNumberFormat="1" applyFont="1" applyFill="1" applyBorder="1" applyAlignment="1">
      <alignment horizontal="center" vertical="center"/>
    </xf>
    <xf numFmtId="0" fontId="61" fillId="3" borderId="0" xfId="0" applyFont="1" applyFill="1"/>
    <xf numFmtId="0" fontId="38" fillId="3" borderId="1" xfId="1" applyFont="1" applyFill="1" applyBorder="1" applyAlignment="1">
      <alignment horizontal="left" wrapText="1"/>
    </xf>
    <xf numFmtId="4" fontId="38" fillId="0" borderId="1" xfId="18" applyNumberFormat="1" applyFont="1" applyBorder="1" applyAlignment="1">
      <alignment horizontal="center" vertical="center"/>
    </xf>
    <xf numFmtId="43" fontId="61" fillId="0" borderId="0" xfId="6" applyFont="1"/>
    <xf numFmtId="9" fontId="61" fillId="0" borderId="0" xfId="9" applyFont="1"/>
    <xf numFmtId="0" fontId="33" fillId="22" borderId="1" xfId="1" applyFont="1" applyFill="1" applyBorder="1" applyAlignment="1">
      <alignment horizontal="center" wrapText="1"/>
    </xf>
    <xf numFmtId="4" fontId="33" fillId="22" borderId="1" xfId="18" applyNumberFormat="1" applyFont="1" applyFill="1" applyBorder="1" applyAlignment="1">
      <alignment horizontal="right" vertical="center"/>
    </xf>
    <xf numFmtId="10" fontId="33" fillId="22" borderId="1" xfId="9" applyNumberFormat="1" applyFont="1" applyFill="1" applyBorder="1" applyAlignment="1">
      <alignment horizontal="center" vertical="center"/>
    </xf>
    <xf numFmtId="0" fontId="60" fillId="3" borderId="0" xfId="1" applyFont="1" applyFill="1" applyAlignment="1">
      <alignment horizontal="center"/>
    </xf>
    <xf numFmtId="3" fontId="60" fillId="3" borderId="0" xfId="1" applyNumberFormat="1" applyFont="1" applyFill="1" applyAlignment="1">
      <alignment horizontal="center" vertical="center"/>
    </xf>
    <xf numFmtId="43" fontId="43" fillId="0" borderId="0" xfId="0" applyNumberFormat="1" applyFont="1"/>
    <xf numFmtId="43" fontId="43" fillId="0" borderId="1" xfId="6" applyFont="1" applyBorder="1" applyAlignment="1">
      <alignment horizontal="right"/>
    </xf>
    <xf numFmtId="9" fontId="4" fillId="4" borderId="1" xfId="9" applyFont="1" applyFill="1" applyBorder="1" applyAlignment="1">
      <alignment vertical="top"/>
    </xf>
    <xf numFmtId="9" fontId="4" fillId="2" borderId="1" xfId="9" applyFont="1" applyFill="1" applyBorder="1" applyAlignment="1">
      <alignment vertical="top"/>
    </xf>
    <xf numFmtId="43" fontId="2" fillId="0" borderId="0" xfId="6" applyFont="1" applyAlignment="1">
      <alignment horizontal="center"/>
    </xf>
    <xf numFmtId="43" fontId="43" fillId="17" borderId="1" xfId="6" applyFont="1" applyFill="1" applyBorder="1"/>
    <xf numFmtId="43" fontId="1" fillId="0" borderId="1" xfId="6" applyFont="1" applyBorder="1"/>
    <xf numFmtId="164" fontId="6" fillId="3" borderId="15" xfId="1" applyNumberFormat="1" applyFont="1" applyFill="1" applyBorder="1" applyAlignment="1">
      <alignment horizontal="center"/>
    </xf>
    <xf numFmtId="43" fontId="46" fillId="0" borderId="1" xfId="6" applyFont="1" applyBorder="1" applyAlignment="1">
      <alignment horizontal="center"/>
    </xf>
    <xf numFmtId="43" fontId="46" fillId="0" borderId="1" xfId="6" applyFont="1" applyBorder="1" applyAlignment="1">
      <alignment horizontal="right"/>
    </xf>
    <xf numFmtId="43" fontId="69" fillId="0" borderId="1" xfId="6" applyFont="1" applyBorder="1" applyAlignment="1">
      <alignment horizontal="center"/>
    </xf>
    <xf numFmtId="43" fontId="46" fillId="0" borderId="1" xfId="6" applyFont="1" applyBorder="1"/>
    <xf numFmtId="43" fontId="69" fillId="0" borderId="1" xfId="6" applyFont="1" applyBorder="1"/>
    <xf numFmtId="4" fontId="69" fillId="0" borderId="1" xfId="0" applyNumberFormat="1" applyFont="1" applyBorder="1" applyAlignment="1">
      <alignment horizontal="right" vertical="top"/>
    </xf>
    <xf numFmtId="43" fontId="69" fillId="2" borderId="1" xfId="6" applyFont="1" applyFill="1" applyBorder="1" applyAlignment="1">
      <alignment horizontal="right"/>
    </xf>
    <xf numFmtId="0" fontId="46" fillId="0" borderId="1" xfId="6" applyNumberFormat="1" applyFont="1" applyBorder="1" applyAlignment="1">
      <alignment horizontal="center"/>
    </xf>
    <xf numFmtId="43" fontId="0" fillId="0" borderId="0" xfId="6" applyFont="1" applyBorder="1" applyAlignment="1">
      <alignment horizontal="right"/>
    </xf>
    <xf numFmtId="43" fontId="0" fillId="0" borderId="1" xfId="6" applyFont="1" applyFill="1" applyBorder="1" applyAlignment="1">
      <alignment horizontal="right"/>
    </xf>
    <xf numFmtId="0" fontId="38" fillId="0" borderId="0" xfId="5" applyFont="1"/>
    <xf numFmtId="0" fontId="38" fillId="0" borderId="0" xfId="0" applyFont="1"/>
    <xf numFmtId="0" fontId="38" fillId="0" borderId="1" xfId="0" applyFont="1" applyBorder="1"/>
    <xf numFmtId="0" fontId="38" fillId="3" borderId="0" xfId="0" applyFont="1" applyFill="1"/>
    <xf numFmtId="0" fontId="38" fillId="0" borderId="0" xfId="0" applyFont="1" applyAlignment="1">
      <alignment wrapText="1"/>
    </xf>
    <xf numFmtId="0" fontId="46" fillId="0" borderId="1" xfId="6" applyNumberFormat="1" applyFont="1" applyBorder="1" applyAlignment="1">
      <alignment horizontal="right"/>
    </xf>
    <xf numFmtId="0" fontId="0" fillId="0" borderId="0" xfId="0" applyAlignment="1">
      <alignment horizontal="center"/>
    </xf>
    <xf numFmtId="43" fontId="69" fillId="0" borderId="1" xfId="6" applyFont="1" applyBorder="1" applyAlignment="1">
      <alignment vertical="top"/>
    </xf>
    <xf numFmtId="17" fontId="33" fillId="0" borderId="0" xfId="5" applyNumberFormat="1" applyFont="1" applyAlignment="1">
      <alignment vertical="center"/>
    </xf>
    <xf numFmtId="0" fontId="33" fillId="0" borderId="0" xfId="0" applyFont="1" applyProtection="1">
      <protection locked="0"/>
    </xf>
    <xf numFmtId="49" fontId="33" fillId="0" borderId="0" xfId="17" applyNumberFormat="1" applyFont="1" applyAlignment="1" applyProtection="1">
      <alignment wrapText="1"/>
      <protection locked="0"/>
    </xf>
    <xf numFmtId="167" fontId="33" fillId="0" borderId="0" xfId="17" applyNumberFormat="1" applyFont="1" applyAlignment="1" applyProtection="1">
      <alignment horizontal="left"/>
      <protection locked="0"/>
    </xf>
    <xf numFmtId="43" fontId="39" fillId="15" borderId="1" xfId="6" applyFont="1" applyFill="1" applyBorder="1" applyAlignment="1">
      <alignment vertical="center" wrapText="1"/>
    </xf>
    <xf numFmtId="43" fontId="39" fillId="15" borderId="1" xfId="6" applyFont="1" applyFill="1" applyBorder="1" applyAlignment="1">
      <alignment horizontal="center" vertical="center" wrapText="1"/>
    </xf>
    <xf numFmtId="43" fontId="43" fillId="17" borderId="1" xfId="6" applyFont="1" applyFill="1" applyBorder="1" applyAlignment="1">
      <alignment horizontal="left" vertical="center" wrapText="1"/>
    </xf>
    <xf numFmtId="43" fontId="0" fillId="0" borderId="1" xfId="6" applyFont="1" applyBorder="1" applyAlignment="1">
      <alignment horizontal="left" vertical="center" wrapText="1" indent="2"/>
    </xf>
    <xf numFmtId="43" fontId="43" fillId="16" borderId="1" xfId="6" applyFont="1" applyFill="1" applyBorder="1" applyAlignment="1">
      <alignment horizontal="left" vertical="center" wrapText="1"/>
    </xf>
    <xf numFmtId="43" fontId="39" fillId="15" borderId="1" xfId="6" applyFont="1" applyFill="1" applyBorder="1" applyAlignment="1">
      <alignment horizontal="left" vertical="center" wrapText="1"/>
    </xf>
    <xf numFmtId="10" fontId="0" fillId="0" borderId="0" xfId="9" applyNumberFormat="1" applyFont="1"/>
    <xf numFmtId="0" fontId="69" fillId="0" borderId="1" xfId="6" applyNumberFormat="1" applyFont="1" applyBorder="1" applyAlignment="1">
      <alignment vertical="top"/>
    </xf>
    <xf numFmtId="43" fontId="46" fillId="0" borderId="0" xfId="6" applyFont="1"/>
    <xf numFmtId="0" fontId="46" fillId="0" borderId="1" xfId="0" applyFont="1" applyBorder="1"/>
    <xf numFmtId="4" fontId="70" fillId="0" borderId="1" xfId="0" applyNumberFormat="1" applyFont="1" applyBorder="1" applyAlignment="1">
      <alignment horizontal="right"/>
    </xf>
    <xf numFmtId="0" fontId="43" fillId="19" borderId="28" xfId="0" applyFont="1" applyFill="1" applyBorder="1" applyAlignment="1">
      <alignment horizontal="center" vertical="center"/>
    </xf>
    <xf numFmtId="43" fontId="61" fillId="0" borderId="0" xfId="0" applyNumberFormat="1" applyFont="1"/>
    <xf numFmtId="0" fontId="45" fillId="0" borderId="0" xfId="0" applyFont="1" applyAlignment="1">
      <alignment horizontal="center"/>
    </xf>
    <xf numFmtId="167" fontId="38" fillId="0" borderId="1" xfId="4" applyNumberFormat="1" applyFont="1" applyFill="1" applyBorder="1" applyAlignment="1" applyProtection="1">
      <alignment horizontal="left"/>
      <protection locked="0"/>
    </xf>
    <xf numFmtId="167" fontId="38" fillId="0" borderId="1" xfId="6" applyNumberFormat="1" applyFont="1" applyFill="1" applyBorder="1" applyAlignment="1" applyProtection="1">
      <alignment horizontal="left"/>
      <protection locked="0"/>
    </xf>
    <xf numFmtId="167" fontId="38" fillId="0" borderId="1" xfId="4" applyNumberFormat="1" applyFont="1" applyFill="1" applyBorder="1" applyAlignment="1">
      <alignment horizontal="left"/>
    </xf>
    <xf numFmtId="167" fontId="38" fillId="0" borderId="1" xfId="6" applyNumberFormat="1" applyFont="1" applyFill="1" applyBorder="1" applyAlignment="1">
      <alignment horizontal="left"/>
    </xf>
    <xf numFmtId="0" fontId="55" fillId="22" borderId="1" xfId="1" applyFont="1" applyFill="1" applyBorder="1" applyAlignment="1">
      <alignment horizontal="center" vertical="center"/>
    </xf>
    <xf numFmtId="43" fontId="38" fillId="0" borderId="1" xfId="6" applyFont="1" applyFill="1" applyBorder="1"/>
    <xf numFmtId="0" fontId="20" fillId="19" borderId="38" xfId="0" applyFont="1" applyFill="1" applyBorder="1" applyAlignment="1">
      <alignment horizontal="center" vertical="center"/>
    </xf>
    <xf numFmtId="14" fontId="47" fillId="3" borderId="33" xfId="0" applyNumberFormat="1" applyFont="1" applyFill="1" applyBorder="1" applyAlignment="1">
      <alignment horizontal="left"/>
    </xf>
    <xf numFmtId="49" fontId="47" fillId="0" borderId="33" xfId="9" applyNumberFormat="1" applyFont="1" applyBorder="1"/>
    <xf numFmtId="169" fontId="47" fillId="0" borderId="33" xfId="6" applyNumberFormat="1" applyFont="1" applyBorder="1"/>
    <xf numFmtId="49" fontId="47" fillId="0" borderId="34" xfId="9" applyNumberFormat="1" applyFont="1" applyBorder="1"/>
    <xf numFmtId="169" fontId="47" fillId="0" borderId="34" xfId="6" applyNumberFormat="1" applyFont="1" applyBorder="1"/>
    <xf numFmtId="49" fontId="47" fillId="0" borderId="46" xfId="9" applyNumberFormat="1" applyFont="1" applyBorder="1"/>
    <xf numFmtId="14" fontId="47" fillId="17" borderId="49" xfId="0" applyNumberFormat="1" applyFont="1" applyFill="1" applyBorder="1" applyAlignment="1">
      <alignment horizontal="left"/>
    </xf>
    <xf numFmtId="49" fontId="47" fillId="17" borderId="49" xfId="9" applyNumberFormat="1" applyFont="1" applyFill="1" applyBorder="1"/>
    <xf numFmtId="49" fontId="47" fillId="0" borderId="45" xfId="9" applyNumberFormat="1" applyFont="1" applyBorder="1"/>
    <xf numFmtId="167" fontId="4" fillId="0" borderId="50" xfId="6" applyNumberFormat="1" applyFont="1" applyBorder="1"/>
    <xf numFmtId="167" fontId="4" fillId="0" borderId="51" xfId="6" applyNumberFormat="1" applyFont="1" applyBorder="1"/>
    <xf numFmtId="167" fontId="4" fillId="0" borderId="52" xfId="6" applyNumberFormat="1" applyFont="1" applyBorder="1"/>
    <xf numFmtId="167" fontId="4" fillId="0" borderId="53" xfId="6" applyNumberFormat="1" applyFont="1" applyBorder="1"/>
    <xf numFmtId="0" fontId="47" fillId="17" borderId="55" xfId="0" applyFont="1" applyFill="1" applyBorder="1"/>
    <xf numFmtId="0" fontId="47" fillId="17" borderId="49" xfId="0" applyFont="1" applyFill="1" applyBorder="1"/>
    <xf numFmtId="167" fontId="20" fillId="17" borderId="56" xfId="6" applyNumberFormat="1" applyFont="1" applyFill="1" applyBorder="1"/>
    <xf numFmtId="14" fontId="47" fillId="0" borderId="33" xfId="0" applyNumberFormat="1" applyFont="1" applyBorder="1" applyAlignment="1">
      <alignment horizontal="left"/>
    </xf>
    <xf numFmtId="49" fontId="47" fillId="0" borderId="57" xfId="9" applyNumberFormat="1" applyFont="1" applyBorder="1"/>
    <xf numFmtId="0" fontId="47" fillId="0" borderId="34" xfId="0" applyFont="1" applyBorder="1"/>
    <xf numFmtId="0" fontId="47" fillId="0" borderId="21" xfId="0" applyFont="1" applyBorder="1"/>
    <xf numFmtId="0" fontId="47" fillId="0" borderId="46" xfId="0" applyFont="1" applyBorder="1"/>
    <xf numFmtId="0" fontId="47" fillId="0" borderId="19" xfId="0" applyFont="1" applyBorder="1"/>
    <xf numFmtId="0" fontId="20" fillId="17" borderId="46" xfId="0" applyFont="1" applyFill="1" applyBorder="1"/>
    <xf numFmtId="0" fontId="20" fillId="17" borderId="19" xfId="0" applyFont="1" applyFill="1" applyBorder="1"/>
    <xf numFmtId="169" fontId="20" fillId="17" borderId="49" xfId="0" applyNumberFormat="1" applyFont="1" applyFill="1" applyBorder="1"/>
    <xf numFmtId="14" fontId="47" fillId="24" borderId="8" xfId="0" applyNumberFormat="1" applyFont="1" applyFill="1" applyBorder="1"/>
    <xf numFmtId="0" fontId="47" fillId="24" borderId="8" xfId="0" applyFont="1" applyFill="1" applyBorder="1"/>
    <xf numFmtId="43" fontId="20" fillId="24" borderId="48" xfId="6" applyFont="1" applyFill="1" applyBorder="1"/>
    <xf numFmtId="14" fontId="47" fillId="0" borderId="0" xfId="0" applyNumberFormat="1" applyFont="1"/>
    <xf numFmtId="0" fontId="0" fillId="0" borderId="34" xfId="0" applyBorder="1" applyAlignment="1">
      <alignment wrapText="1"/>
    </xf>
    <xf numFmtId="0" fontId="0" fillId="0" borderId="46" xfId="0" applyBorder="1" applyAlignment="1">
      <alignment wrapText="1"/>
    </xf>
    <xf numFmtId="0" fontId="43" fillId="17" borderId="49" xfId="0" applyFont="1" applyFill="1" applyBorder="1" applyAlignment="1">
      <alignment wrapText="1"/>
    </xf>
    <xf numFmtId="0" fontId="0" fillId="0" borderId="45" xfId="0" applyBorder="1" applyAlignment="1">
      <alignment wrapText="1"/>
    </xf>
    <xf numFmtId="0" fontId="43" fillId="17" borderId="46" xfId="0" applyFont="1" applyFill="1" applyBorder="1" applyAlignment="1">
      <alignment wrapText="1"/>
    </xf>
    <xf numFmtId="0" fontId="39" fillId="24" borderId="9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169" fontId="20" fillId="17" borderId="49" xfId="6" applyNumberFormat="1" applyFont="1" applyFill="1" applyBorder="1"/>
    <xf numFmtId="43" fontId="1" fillId="0" borderId="1" xfId="6" applyFont="1" applyFill="1" applyBorder="1"/>
    <xf numFmtId="166" fontId="47" fillId="3" borderId="16" xfId="0" applyNumberFormat="1" applyFont="1" applyFill="1" applyBorder="1" applyAlignment="1">
      <alignment horizontal="left"/>
    </xf>
    <xf numFmtId="166" fontId="47" fillId="0" borderId="4" xfId="0" applyNumberFormat="1" applyFont="1" applyBorder="1" applyAlignment="1">
      <alignment horizontal="left"/>
    </xf>
    <xf numFmtId="166" fontId="47" fillId="0" borderId="17" xfId="0" applyNumberFormat="1" applyFont="1" applyBorder="1" applyAlignment="1">
      <alignment horizontal="left"/>
    </xf>
    <xf numFmtId="43" fontId="46" fillId="0" borderId="1" xfId="6" applyFont="1" applyFill="1" applyBorder="1" applyAlignment="1">
      <alignment horizontal="center"/>
    </xf>
    <xf numFmtId="43" fontId="69" fillId="0" borderId="1" xfId="6" applyFont="1" applyFill="1" applyBorder="1" applyAlignment="1"/>
    <xf numFmtId="43" fontId="71" fillId="0" borderId="1" xfId="6" applyFont="1" applyBorder="1"/>
    <xf numFmtId="0" fontId="72" fillId="0" borderId="59" xfId="0" applyFont="1" applyBorder="1" applyAlignment="1" applyProtection="1">
      <alignment horizontal="center" vertical="center" wrapText="1" readingOrder="1"/>
      <protection locked="0"/>
    </xf>
    <xf numFmtId="0" fontId="72" fillId="0" borderId="60" xfId="0" applyFont="1" applyBorder="1" applyAlignment="1" applyProtection="1">
      <alignment horizontal="center" vertical="center" wrapText="1" readingOrder="1"/>
      <protection locked="0"/>
    </xf>
    <xf numFmtId="43" fontId="72" fillId="0" borderId="59" xfId="6" applyFont="1" applyFill="1" applyBorder="1" applyAlignment="1" applyProtection="1">
      <alignment horizontal="center" vertical="center" wrapText="1" readingOrder="1"/>
      <protection locked="0"/>
    </xf>
    <xf numFmtId="43" fontId="72" fillId="0" borderId="60" xfId="6" applyFont="1" applyFill="1" applyBorder="1" applyAlignment="1" applyProtection="1">
      <alignment horizontal="center" vertical="center" wrapText="1" readingOrder="1"/>
      <protection locked="0"/>
    </xf>
    <xf numFmtId="43" fontId="47" fillId="0" borderId="0" xfId="6" applyFont="1" applyFill="1"/>
    <xf numFmtId="166" fontId="38" fillId="0" borderId="1" xfId="0" applyNumberFormat="1" applyFont="1" applyBorder="1" applyAlignment="1" applyProtection="1">
      <alignment horizontal="left" vertical="center" wrapText="1"/>
      <protection locked="0"/>
    </xf>
    <xf numFmtId="0" fontId="38" fillId="0" borderId="1" xfId="0" applyFont="1" applyBorder="1" applyAlignment="1">
      <alignment vertical="center"/>
    </xf>
    <xf numFmtId="43" fontId="38" fillId="0" borderId="1" xfId="6" applyFont="1" applyFill="1" applyBorder="1" applyAlignment="1">
      <alignment vertical="center"/>
    </xf>
    <xf numFmtId="166" fontId="38" fillId="0" borderId="1" xfId="5" applyNumberFormat="1" applyFont="1" applyBorder="1" applyAlignment="1" applyProtection="1">
      <alignment horizontal="left" vertical="center" wrapText="1"/>
      <protection locked="0"/>
    </xf>
    <xf numFmtId="166" fontId="38" fillId="0" borderId="1" xfId="17" applyNumberFormat="1" applyFont="1" applyBorder="1" applyAlignment="1" applyProtection="1">
      <alignment horizontal="left" vertical="center" wrapText="1"/>
      <protection locked="0"/>
    </xf>
    <xf numFmtId="166" fontId="38" fillId="0" borderId="1" xfId="0" applyNumberFormat="1" applyFont="1" applyBorder="1" applyAlignment="1">
      <alignment horizontal="left" vertical="center" wrapText="1"/>
    </xf>
    <xf numFmtId="43" fontId="38" fillId="0" borderId="1" xfId="6" applyFont="1" applyFill="1" applyBorder="1" applyAlignment="1">
      <alignment horizontal="center" vertical="center"/>
    </xf>
    <xf numFmtId="0" fontId="38" fillId="0" borderId="1" xfId="5" applyFont="1" applyBorder="1" applyAlignment="1" applyProtection="1">
      <alignment horizontal="left" vertical="center" wrapText="1"/>
      <protection locked="0"/>
    </xf>
    <xf numFmtId="0" fontId="38" fillId="0" borderId="1" xfId="0" applyFont="1" applyBorder="1" applyAlignment="1" applyProtection="1">
      <alignment horizontal="left" vertical="center" wrapText="1"/>
      <protection locked="0"/>
    </xf>
    <xf numFmtId="0" fontId="38" fillId="0" borderId="1" xfId="5" applyFont="1" applyBorder="1" applyAlignment="1" applyProtection="1">
      <alignment vertical="center" wrapText="1"/>
      <protection locked="0"/>
    </xf>
    <xf numFmtId="17" fontId="33" fillId="0" borderId="0" xfId="5" applyNumberFormat="1" applyFont="1" applyAlignment="1">
      <alignment horizontal="center" vertical="center"/>
    </xf>
    <xf numFmtId="43" fontId="1" fillId="0" borderId="1" xfId="6" applyFont="1" applyBorder="1" applyAlignment="1">
      <alignment horizontal="right"/>
    </xf>
    <xf numFmtId="43" fontId="1" fillId="0" borderId="1" xfId="6" applyFont="1" applyBorder="1" applyAlignment="1">
      <alignment horizontal="center"/>
    </xf>
    <xf numFmtId="43" fontId="1" fillId="0" borderId="1" xfId="6" applyFont="1" applyFill="1" applyBorder="1" applyAlignment="1">
      <alignment horizontal="right"/>
    </xf>
    <xf numFmtId="43" fontId="1" fillId="0" borderId="1" xfId="6" applyFont="1" applyBorder="1" applyAlignment="1"/>
    <xf numFmtId="0" fontId="0" fillId="0" borderId="6" xfId="0" applyBorder="1" applyAlignment="1">
      <alignment horizontal="center"/>
    </xf>
    <xf numFmtId="43" fontId="1" fillId="0" borderId="7" xfId="6" applyFont="1" applyFill="1" applyBorder="1" applyAlignment="1">
      <alignment horizontal="center"/>
    </xf>
    <xf numFmtId="43" fontId="1" fillId="13" borderId="1" xfId="6" applyFont="1" applyFill="1" applyBorder="1" applyAlignment="1">
      <alignment horizontal="right"/>
    </xf>
    <xf numFmtId="0" fontId="69" fillId="0" borderId="1" xfId="6" applyNumberFormat="1" applyFont="1" applyBorder="1" applyAlignment="1">
      <alignment horizontal="right" vertical="top"/>
    </xf>
    <xf numFmtId="43" fontId="71" fillId="0" borderId="1" xfId="6" applyFont="1" applyFill="1" applyBorder="1"/>
    <xf numFmtId="0" fontId="38" fillId="0" borderId="1" xfId="0" applyFont="1" applyBorder="1" applyAlignment="1">
      <alignment horizontal="left" vertical="center"/>
    </xf>
    <xf numFmtId="0" fontId="20" fillId="23" borderId="1" xfId="0" applyFont="1" applyFill="1" applyBorder="1" applyAlignment="1">
      <alignment horizontal="center" vertical="center" wrapText="1"/>
    </xf>
    <xf numFmtId="0" fontId="20" fillId="23" borderId="1" xfId="0" applyFont="1" applyFill="1" applyBorder="1" applyAlignment="1">
      <alignment vertical="center" wrapText="1"/>
    </xf>
    <xf numFmtId="0" fontId="47" fillId="0" borderId="0" xfId="0" applyFont="1" applyAlignment="1">
      <alignment vertical="center" wrapText="1"/>
    </xf>
    <xf numFmtId="166" fontId="38" fillId="0" borderId="1" xfId="0" applyNumberFormat="1" applyFont="1" applyBorder="1" applyAlignment="1" applyProtection="1">
      <alignment vertical="center" wrapText="1"/>
      <protection locked="0"/>
    </xf>
    <xf numFmtId="17" fontId="33" fillId="0" borderId="0" xfId="5" applyNumberFormat="1" applyFont="1" applyAlignment="1">
      <alignment horizontal="left" vertical="center"/>
    </xf>
    <xf numFmtId="0" fontId="33" fillId="0" borderId="0" xfId="5" applyFont="1"/>
    <xf numFmtId="0" fontId="33" fillId="0" borderId="0" xfId="0" applyFont="1"/>
    <xf numFmtId="43" fontId="46" fillId="0" borderId="1" xfId="6" applyFont="1" applyFill="1" applyBorder="1" applyAlignment="1">
      <alignment horizontal="right"/>
    </xf>
    <xf numFmtId="0" fontId="69" fillId="0" borderId="1" xfId="6" applyNumberFormat="1" applyFont="1" applyFill="1" applyBorder="1" applyAlignment="1">
      <alignment vertical="top"/>
    </xf>
    <xf numFmtId="43" fontId="46" fillId="0" borderId="1" xfId="6" applyFont="1" applyFill="1" applyBorder="1"/>
    <xf numFmtId="43" fontId="43" fillId="0" borderId="1" xfId="6" applyFont="1" applyBorder="1" applyAlignment="1">
      <alignment horizontal="center"/>
    </xf>
    <xf numFmtId="166" fontId="74" fillId="0" borderId="1" xfId="0" applyNumberFormat="1" applyFont="1" applyBorder="1" applyAlignment="1">
      <alignment horizontal="left"/>
    </xf>
    <xf numFmtId="43" fontId="33" fillId="0" borderId="0" xfId="6" applyFont="1" applyFill="1" applyAlignment="1"/>
    <xf numFmtId="43" fontId="33" fillId="0" borderId="0" xfId="6" applyFont="1" applyFill="1" applyBorder="1" applyAlignment="1">
      <alignment horizontal="left" vertical="center"/>
    </xf>
    <xf numFmtId="43" fontId="33" fillId="0" borderId="0" xfId="6" applyFont="1" applyFill="1" applyBorder="1" applyAlignment="1">
      <alignment horizontal="center" vertical="center"/>
    </xf>
    <xf numFmtId="43" fontId="38" fillId="0" borderId="0" xfId="6" applyFont="1" applyFill="1"/>
    <xf numFmtId="43" fontId="20" fillId="23" borderId="1" xfId="6" applyFont="1" applyFill="1" applyBorder="1" applyAlignment="1">
      <alignment vertical="center" wrapText="1"/>
    </xf>
    <xf numFmtId="43" fontId="60" fillId="23" borderId="1" xfId="6" applyFont="1" applyFill="1" applyBorder="1"/>
    <xf numFmtId="0" fontId="60" fillId="0" borderId="0" xfId="0" applyFont="1"/>
    <xf numFmtId="0" fontId="39" fillId="17" borderId="1" xfId="0" applyFont="1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 wrapText="1"/>
    </xf>
    <xf numFmtId="0" fontId="61" fillId="3" borderId="16" xfId="0" applyFont="1" applyFill="1" applyBorder="1"/>
    <xf numFmtId="0" fontId="61" fillId="3" borderId="16" xfId="0" applyFont="1" applyFill="1" applyBorder="1" applyAlignment="1">
      <alignment horizontal="center"/>
    </xf>
    <xf numFmtId="0" fontId="61" fillId="3" borderId="16" xfId="0" applyFont="1" applyFill="1" applyBorder="1" applyAlignment="1">
      <alignment horizontal="left"/>
    </xf>
    <xf numFmtId="0" fontId="61" fillId="3" borderId="16" xfId="0" applyFont="1" applyFill="1" applyBorder="1" applyAlignment="1">
      <alignment horizontal="center" wrapText="1"/>
    </xf>
    <xf numFmtId="43" fontId="61" fillId="3" borderId="0" xfId="6" applyFont="1" applyFill="1"/>
    <xf numFmtId="166" fontId="75" fillId="14" borderId="1" xfId="0" applyNumberFormat="1" applyFont="1" applyFill="1" applyBorder="1" applyAlignment="1">
      <alignment horizontal="center" vertical="center" wrapText="1"/>
    </xf>
    <xf numFmtId="0" fontId="75" fillId="14" borderId="1" xfId="0" applyFont="1" applyFill="1" applyBorder="1" applyAlignment="1">
      <alignment horizontal="center" vertical="center" wrapText="1"/>
    </xf>
    <xf numFmtId="0" fontId="75" fillId="14" borderId="1" xfId="0" applyFont="1" applyFill="1" applyBorder="1" applyAlignment="1">
      <alignment horizontal="left" vertical="center" wrapText="1"/>
    </xf>
    <xf numFmtId="43" fontId="75" fillId="14" borderId="1" xfId="6" applyFont="1" applyFill="1" applyBorder="1" applyAlignment="1">
      <alignment horizontal="center" wrapText="1"/>
    </xf>
    <xf numFmtId="43" fontId="75" fillId="14" borderId="1" xfId="6" applyFont="1" applyFill="1" applyBorder="1" applyAlignment="1">
      <alignment horizontal="center" vertical="center" wrapText="1"/>
    </xf>
    <xf numFmtId="166" fontId="61" fillId="0" borderId="1" xfId="0" applyNumberFormat="1" applyFont="1" applyBorder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1" xfId="0" applyFont="1" applyBorder="1" applyAlignment="1">
      <alignment horizontal="left" wrapText="1"/>
    </xf>
    <xf numFmtId="43" fontId="61" fillId="0" borderId="1" xfId="6" applyFont="1" applyFill="1" applyBorder="1"/>
    <xf numFmtId="0" fontId="74" fillId="0" borderId="1" xfId="1" applyFont="1" applyBorder="1" applyAlignment="1">
      <alignment horizontal="center" vertical="center" wrapText="1"/>
    </xf>
    <xf numFmtId="43" fontId="74" fillId="0" borderId="1" xfId="6" applyFont="1" applyFill="1" applyBorder="1" applyAlignment="1">
      <alignment vertical="center" wrapText="1"/>
    </xf>
    <xf numFmtId="43" fontId="74" fillId="0" borderId="1" xfId="6" applyFont="1" applyFill="1" applyBorder="1"/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vertical="center" wrapText="1"/>
    </xf>
    <xf numFmtId="0" fontId="61" fillId="0" borderId="1" xfId="0" applyFont="1" applyBorder="1" applyAlignment="1">
      <alignment wrapText="1"/>
    </xf>
    <xf numFmtId="0" fontId="61" fillId="0" borderId="1" xfId="0" applyFont="1" applyBorder="1" applyAlignment="1">
      <alignment horizontal="justify" vertical="center" wrapText="1"/>
    </xf>
    <xf numFmtId="43" fontId="61" fillId="0" borderId="0" xfId="6" applyFont="1" applyFill="1"/>
    <xf numFmtId="43" fontId="74" fillId="0" borderId="1" xfId="6" applyFont="1" applyFill="1" applyBorder="1" applyAlignment="1">
      <alignment horizontal="center"/>
    </xf>
    <xf numFmtId="49" fontId="74" fillId="0" borderId="1" xfId="0" applyNumberFormat="1" applyFont="1" applyBorder="1" applyAlignment="1">
      <alignment horizontal="center"/>
    </xf>
    <xf numFmtId="43" fontId="61" fillId="13" borderId="0" xfId="6" applyFont="1" applyFill="1" applyBorder="1"/>
    <xf numFmtId="43" fontId="61" fillId="0" borderId="0" xfId="6" applyFont="1" applyBorder="1"/>
    <xf numFmtId="0" fontId="61" fillId="0" borderId="1" xfId="0" applyFont="1" applyBorder="1"/>
    <xf numFmtId="166" fontId="61" fillId="0" borderId="0" xfId="0" applyNumberFormat="1" applyFont="1" applyAlignment="1">
      <alignment horizontal="left"/>
    </xf>
    <xf numFmtId="0" fontId="61" fillId="0" borderId="0" xfId="0" applyFont="1" applyAlignment="1">
      <alignment horizontal="left" wrapText="1"/>
    </xf>
    <xf numFmtId="43" fontId="61" fillId="0" borderId="0" xfId="6" applyFont="1" applyFill="1" applyBorder="1"/>
    <xf numFmtId="49" fontId="76" fillId="0" borderId="1" xfId="0" applyNumberFormat="1" applyFont="1" applyBorder="1" applyAlignment="1">
      <alignment horizontal="left"/>
    </xf>
    <xf numFmtId="15" fontId="76" fillId="0" borderId="1" xfId="0" applyNumberFormat="1" applyFont="1" applyBorder="1" applyAlignment="1">
      <alignment horizontal="center"/>
    </xf>
    <xf numFmtId="43" fontId="76" fillId="0" borderId="1" xfId="6" applyFont="1" applyBorder="1" applyAlignment="1">
      <alignment horizontal="right"/>
    </xf>
    <xf numFmtId="43" fontId="0" fillId="0" borderId="0" xfId="6" applyFont="1" applyFill="1"/>
    <xf numFmtId="4" fontId="0" fillId="0" borderId="1" xfId="0" applyNumberFormat="1" applyBorder="1" applyAlignment="1">
      <alignment horizontal="center"/>
    </xf>
    <xf numFmtId="49" fontId="76" fillId="0" borderId="1" xfId="0" applyNumberFormat="1" applyFont="1" applyBorder="1" applyAlignment="1">
      <alignment horizontal="left" wrapText="1"/>
    </xf>
    <xf numFmtId="43" fontId="61" fillId="0" borderId="0" xfId="6" applyFont="1" applyAlignment="1">
      <alignment horizontal="center"/>
    </xf>
    <xf numFmtId="43" fontId="61" fillId="0" borderId="0" xfId="6" applyFont="1" applyFill="1" applyAlignment="1">
      <alignment horizontal="center"/>
    </xf>
    <xf numFmtId="43" fontId="61" fillId="3" borderId="16" xfId="6" applyFont="1" applyFill="1" applyBorder="1" applyAlignment="1">
      <alignment horizontal="center"/>
    </xf>
    <xf numFmtId="43" fontId="61" fillId="0" borderId="1" xfId="6" applyFont="1" applyBorder="1"/>
    <xf numFmtId="0" fontId="47" fillId="0" borderId="58" xfId="0" applyFont="1" applyBorder="1" applyAlignment="1">
      <alignment horizontal="center"/>
    </xf>
    <xf numFmtId="0" fontId="73" fillId="21" borderId="58" xfId="0" applyFont="1" applyFill="1" applyBorder="1" applyAlignment="1" applyProtection="1">
      <alignment horizontal="center" vertical="center" wrapText="1" readingOrder="1"/>
      <protection locked="0"/>
    </xf>
    <xf numFmtId="43" fontId="47" fillId="0" borderId="58" xfId="6" applyFont="1" applyFill="1" applyBorder="1" applyAlignment="1">
      <alignment horizontal="center"/>
    </xf>
    <xf numFmtId="43" fontId="73" fillId="21" borderId="58" xfId="6" applyFont="1" applyFill="1" applyBorder="1" applyAlignment="1" applyProtection="1">
      <alignment horizontal="center" vertical="center" wrapText="1" readingOrder="1"/>
      <protection locked="0"/>
    </xf>
    <xf numFmtId="0" fontId="74" fillId="0" borderId="1" xfId="0" applyFont="1" applyBorder="1" applyAlignment="1">
      <alignment horizontal="left" wrapText="1"/>
    </xf>
    <xf numFmtId="43" fontId="74" fillId="0" borderId="1" xfId="6" applyFont="1" applyBorder="1"/>
    <xf numFmtId="43" fontId="38" fillId="0" borderId="0" xfId="6" applyFont="1" applyFill="1" applyAlignment="1"/>
    <xf numFmtId="43" fontId="20" fillId="23" borderId="1" xfId="6" applyFont="1" applyFill="1" applyBorder="1" applyAlignment="1">
      <alignment horizontal="center" vertical="center" wrapText="1"/>
    </xf>
    <xf numFmtId="43" fontId="60" fillId="23" borderId="1" xfId="6" applyFont="1" applyFill="1" applyBorder="1" applyAlignment="1">
      <alignment horizontal="center"/>
    </xf>
    <xf numFmtId="43" fontId="38" fillId="0" borderId="1" xfId="6" applyFont="1" applyFill="1" applyBorder="1" applyAlignment="1" applyProtection="1">
      <alignment horizontal="left"/>
      <protection locked="0"/>
    </xf>
    <xf numFmtId="43" fontId="38" fillId="0" borderId="1" xfId="6" applyFont="1" applyFill="1" applyBorder="1" applyAlignment="1">
      <alignment horizontal="left"/>
    </xf>
    <xf numFmtId="0" fontId="38" fillId="0" borderId="1" xfId="0" applyFont="1" applyBorder="1" applyAlignment="1">
      <alignment wrapText="1"/>
    </xf>
    <xf numFmtId="49" fontId="20" fillId="23" borderId="1" xfId="6" applyNumberFormat="1" applyFont="1" applyFill="1" applyBorder="1" applyAlignment="1">
      <alignment horizontal="center" vertical="center" wrapText="1"/>
    </xf>
    <xf numFmtId="43" fontId="0" fillId="0" borderId="0" xfId="6" applyFont="1" applyAlignment="1">
      <alignment horizontal="right"/>
    </xf>
    <xf numFmtId="0" fontId="0" fillId="0" borderId="32" xfId="0" applyBorder="1"/>
    <xf numFmtId="43" fontId="0" fillId="0" borderId="32" xfId="6" applyFont="1" applyBorder="1" applyAlignment="1">
      <alignment horizontal="right"/>
    </xf>
    <xf numFmtId="165" fontId="0" fillId="3" borderId="32" xfId="3" applyNumberFormat="1" applyFont="1" applyFill="1" applyBorder="1"/>
    <xf numFmtId="43" fontId="0" fillId="0" borderId="32" xfId="6" applyFont="1" applyBorder="1"/>
    <xf numFmtId="0" fontId="43" fillId="3" borderId="26" xfId="0" applyFont="1" applyFill="1" applyBorder="1" applyAlignment="1">
      <alignment horizontal="left"/>
    </xf>
    <xf numFmtId="0" fontId="43" fillId="3" borderId="32" xfId="0" applyFont="1" applyFill="1" applyBorder="1"/>
    <xf numFmtId="0" fontId="43" fillId="3" borderId="32" xfId="0" applyFont="1" applyFill="1" applyBorder="1" applyAlignment="1">
      <alignment horizontal="left"/>
    </xf>
    <xf numFmtId="43" fontId="43" fillId="3" borderId="32" xfId="6" applyFont="1" applyFill="1" applyBorder="1" applyAlignment="1">
      <alignment horizontal="right"/>
    </xf>
    <xf numFmtId="43" fontId="43" fillId="3" borderId="32" xfId="6" applyFont="1" applyFill="1" applyBorder="1"/>
    <xf numFmtId="43" fontId="43" fillId="3" borderId="47" xfId="3" applyFont="1" applyFill="1" applyBorder="1" applyAlignment="1">
      <alignment horizontal="center"/>
    </xf>
    <xf numFmtId="0" fontId="43" fillId="17" borderId="63" xfId="0" applyFont="1" applyFill="1" applyBorder="1" applyAlignment="1">
      <alignment horizontal="left" vertical="center"/>
    </xf>
    <xf numFmtId="0" fontId="43" fillId="17" borderId="37" xfId="0" applyFont="1" applyFill="1" applyBorder="1" applyAlignment="1">
      <alignment horizontal="center" vertical="center" wrapText="1"/>
    </xf>
    <xf numFmtId="0" fontId="43" fillId="17" borderId="37" xfId="0" applyFont="1" applyFill="1" applyBorder="1" applyAlignment="1">
      <alignment horizontal="left" vertical="center" wrapText="1"/>
    </xf>
    <xf numFmtId="43" fontId="43" fillId="17" borderId="37" xfId="6" applyFont="1" applyFill="1" applyBorder="1" applyAlignment="1">
      <alignment horizontal="right" vertical="center" wrapText="1"/>
    </xf>
    <xf numFmtId="43" fontId="43" fillId="17" borderId="37" xfId="6" applyFont="1" applyFill="1" applyBorder="1" applyAlignment="1">
      <alignment horizontal="center" vertical="center" wrapText="1"/>
    </xf>
    <xf numFmtId="0" fontId="43" fillId="17" borderId="64" xfId="0" applyFont="1" applyFill="1" applyBorder="1" applyAlignment="1">
      <alignment horizontal="center" vertical="center" wrapText="1"/>
    </xf>
    <xf numFmtId="0" fontId="43" fillId="17" borderId="41" xfId="0" applyFont="1" applyFill="1" applyBorder="1" applyAlignment="1">
      <alignment horizontal="center" vertical="center"/>
    </xf>
    <xf numFmtId="43" fontId="1" fillId="0" borderId="0" xfId="6" applyFont="1" applyFill="1" applyBorder="1" applyAlignment="1"/>
    <xf numFmtId="14" fontId="0" fillId="0" borderId="1" xfId="0" applyNumberFormat="1" applyBorder="1" applyAlignment="1">
      <alignment horizontal="center"/>
    </xf>
    <xf numFmtId="43" fontId="0" fillId="0" borderId="1" xfId="6" applyFont="1" applyFill="1" applyBorder="1" applyAlignment="1">
      <alignment horizontal="left" vertical="center"/>
    </xf>
    <xf numFmtId="4" fontId="0" fillId="0" borderId="1" xfId="6" applyNumberFormat="1" applyFont="1" applyFill="1" applyBorder="1" applyAlignment="1">
      <alignment horizontal="right"/>
    </xf>
    <xf numFmtId="169" fontId="0" fillId="3" borderId="0" xfId="0" applyNumberFormat="1" applyFill="1"/>
    <xf numFmtId="0" fontId="43" fillId="3" borderId="30" xfId="0" applyFont="1" applyFill="1" applyBorder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43" fontId="43" fillId="0" borderId="0" xfId="6" applyFont="1" applyAlignment="1">
      <alignment horizontal="right"/>
    </xf>
    <xf numFmtId="43" fontId="43" fillId="0" borderId="0" xfId="6" applyFont="1"/>
    <xf numFmtId="0" fontId="43" fillId="0" borderId="0" xfId="0" applyFont="1" applyAlignment="1">
      <alignment horizontal="left"/>
    </xf>
    <xf numFmtId="43" fontId="43" fillId="0" borderId="0" xfId="6" applyFont="1" applyBorder="1" applyAlignment="1">
      <alignment horizontal="right"/>
    </xf>
    <xf numFmtId="0" fontId="43" fillId="17" borderId="1" xfId="0" applyFont="1" applyFill="1" applyBorder="1" applyAlignment="1">
      <alignment horizontal="left" vertical="center"/>
    </xf>
    <xf numFmtId="166" fontId="43" fillId="17" borderId="1" xfId="0" applyNumberFormat="1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center" vertical="center" wrapText="1"/>
    </xf>
    <xf numFmtId="43" fontId="43" fillId="17" borderId="1" xfId="6" applyFont="1" applyFill="1" applyBorder="1" applyAlignment="1">
      <alignment horizontal="right" vertical="center" wrapText="1"/>
    </xf>
    <xf numFmtId="43" fontId="43" fillId="17" borderId="1" xfId="6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center" vertical="center"/>
    </xf>
    <xf numFmtId="43" fontId="1" fillId="0" borderId="1" xfId="6" applyFont="1" applyFill="1" applyBorder="1" applyAlignment="1"/>
    <xf numFmtId="0" fontId="0" fillId="0" borderId="1" xfId="0" applyBorder="1" applyAlignment="1">
      <alignment horizontal="left"/>
    </xf>
    <xf numFmtId="43" fontId="0" fillId="0" borderId="1" xfId="6" applyFont="1" applyFill="1" applyBorder="1"/>
    <xf numFmtId="169" fontId="0" fillId="3" borderId="1" xfId="0" applyNumberFormat="1" applyFill="1" applyBorder="1"/>
    <xf numFmtId="43" fontId="4" fillId="0" borderId="1" xfId="6" applyFont="1" applyFill="1" applyBorder="1"/>
    <xf numFmtId="43" fontId="43" fillId="17" borderId="66" xfId="6" applyFont="1" applyFill="1" applyBorder="1" applyAlignment="1">
      <alignment horizontal="right"/>
    </xf>
    <xf numFmtId="169" fontId="43" fillId="17" borderId="66" xfId="0" applyNumberFormat="1" applyFont="1" applyFill="1" applyBorder="1" applyAlignment="1">
      <alignment horizontal="right"/>
    </xf>
    <xf numFmtId="9" fontId="0" fillId="0" borderId="0" xfId="9" applyFont="1"/>
    <xf numFmtId="0" fontId="0" fillId="0" borderId="1" xfId="0" applyBorder="1" applyAlignment="1">
      <alignment horizontal="left" wrapText="1"/>
    </xf>
    <xf numFmtId="169" fontId="0" fillId="0" borderId="1" xfId="0" applyNumberFormat="1" applyBorder="1"/>
    <xf numFmtId="0" fontId="43" fillId="17" borderId="1" xfId="0" applyFont="1" applyFill="1" applyBorder="1" applyAlignment="1">
      <alignment horizontal="left"/>
    </xf>
    <xf numFmtId="169" fontId="43" fillId="17" borderId="1" xfId="0" applyNumberFormat="1" applyFont="1" applyFill="1" applyBorder="1"/>
    <xf numFmtId="0" fontId="0" fillId="3" borderId="66" xfId="0" applyFill="1" applyBorder="1"/>
    <xf numFmtId="0" fontId="0" fillId="3" borderId="66" xfId="0" applyFill="1" applyBorder="1" applyAlignment="1">
      <alignment horizontal="left"/>
    </xf>
    <xf numFmtId="169" fontId="43" fillId="3" borderId="67" xfId="0" applyNumberFormat="1" applyFont="1" applyFill="1" applyBorder="1"/>
    <xf numFmtId="9" fontId="0" fillId="3" borderId="1" xfId="9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43" fontId="0" fillId="3" borderId="1" xfId="0" applyNumberFormat="1" applyFill="1" applyBorder="1"/>
    <xf numFmtId="49" fontId="0" fillId="3" borderId="1" xfId="0" applyNumberFormat="1" applyFill="1" applyBorder="1" applyAlignment="1">
      <alignment horizontal="center"/>
    </xf>
    <xf numFmtId="169" fontId="0" fillId="0" borderId="0" xfId="0" applyNumberFormat="1"/>
    <xf numFmtId="167" fontId="38" fillId="0" borderId="1" xfId="0" applyNumberFormat="1" applyFont="1" applyBorder="1"/>
    <xf numFmtId="43" fontId="0" fillId="0" borderId="20" xfId="6" applyFont="1" applyBorder="1"/>
    <xf numFmtId="43" fontId="0" fillId="0" borderId="20" xfId="0" applyNumberFormat="1" applyBorder="1"/>
    <xf numFmtId="43" fontId="0" fillId="0" borderId="69" xfId="0" applyNumberFormat="1" applyBorder="1"/>
    <xf numFmtId="43" fontId="61" fillId="0" borderId="0" xfId="0" applyNumberFormat="1" applyFont="1" applyAlignment="1">
      <alignment horizontal="center"/>
    </xf>
    <xf numFmtId="43" fontId="61" fillId="0" borderId="0" xfId="0" applyNumberFormat="1" applyFont="1" applyAlignment="1">
      <alignment horizontal="left" wrapText="1"/>
    </xf>
    <xf numFmtId="14" fontId="47" fillId="0" borderId="58" xfId="0" applyNumberFormat="1" applyFont="1" applyBorder="1" applyAlignment="1">
      <alignment horizontal="center"/>
    </xf>
    <xf numFmtId="14" fontId="73" fillId="21" borderId="58" xfId="0" applyNumberFormat="1" applyFont="1" applyFill="1" applyBorder="1" applyAlignment="1" applyProtection="1">
      <alignment horizontal="center" vertical="center" wrapText="1" readingOrder="1"/>
      <protection locked="0"/>
    </xf>
    <xf numFmtId="14" fontId="72" fillId="0" borderId="59" xfId="0" applyNumberFormat="1" applyFont="1" applyBorder="1" applyAlignment="1" applyProtection="1">
      <alignment horizontal="center" vertical="center" wrapText="1" readingOrder="1"/>
      <protection locked="0"/>
    </xf>
    <xf numFmtId="14" fontId="72" fillId="0" borderId="60" xfId="0" applyNumberFormat="1" applyFont="1" applyBorder="1" applyAlignment="1" applyProtection="1">
      <alignment horizontal="center" vertical="center" wrapText="1" readingOrder="1"/>
      <protection locked="0"/>
    </xf>
    <xf numFmtId="14" fontId="0" fillId="0" borderId="0" xfId="0" applyNumberFormat="1"/>
    <xf numFmtId="2" fontId="47" fillId="0" borderId="33" xfId="6" applyNumberFormat="1" applyFont="1" applyBorder="1"/>
    <xf numFmtId="2" fontId="47" fillId="0" borderId="34" xfId="6" applyNumberFormat="1" applyFont="1" applyBorder="1"/>
    <xf numFmtId="166" fontId="43" fillId="0" borderId="57" xfId="0" applyNumberFormat="1" applyFont="1" applyBorder="1" applyAlignment="1">
      <alignment horizontal="center"/>
    </xf>
    <xf numFmtId="166" fontId="43" fillId="0" borderId="68" xfId="0" applyNumberFormat="1" applyFont="1" applyBorder="1" applyAlignment="1">
      <alignment horizontal="center"/>
    </xf>
    <xf numFmtId="166" fontId="43" fillId="0" borderId="61" xfId="0" applyNumberFormat="1" applyFon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43" xfId="0" applyNumberFormat="1" applyBorder="1" applyAlignment="1">
      <alignment horizontal="center"/>
    </xf>
    <xf numFmtId="0" fontId="47" fillId="0" borderId="60" xfId="0" applyFont="1" applyBorder="1" applyAlignment="1">
      <alignment horizontal="center"/>
    </xf>
    <xf numFmtId="0" fontId="47" fillId="0" borderId="58" xfId="0" applyFont="1" applyBorder="1" applyAlignment="1">
      <alignment horizontal="center"/>
    </xf>
    <xf numFmtId="43" fontId="2" fillId="0" borderId="0" xfId="6" applyFont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13" borderId="13" xfId="1" applyFont="1" applyFill="1" applyBorder="1" applyAlignment="1">
      <alignment horizontal="center"/>
    </xf>
    <xf numFmtId="0" fontId="21" fillId="13" borderId="0" xfId="1" applyFont="1" applyFill="1" applyAlignment="1">
      <alignment horizontal="center"/>
    </xf>
    <xf numFmtId="0" fontId="21" fillId="1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2" fillId="7" borderId="7" xfId="1" applyFont="1" applyFill="1" applyBorder="1" applyAlignment="1">
      <alignment horizontal="center" vertical="center" wrapText="1"/>
    </xf>
    <xf numFmtId="0" fontId="12" fillId="7" borderId="6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17" borderId="5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8" borderId="2" xfId="0" applyFont="1" applyFill="1" applyBorder="1" applyAlignment="1">
      <alignment horizontal="center" vertical="center" wrapText="1"/>
    </xf>
    <xf numFmtId="0" fontId="39" fillId="18" borderId="7" xfId="0" applyFont="1" applyFill="1" applyBorder="1" applyAlignment="1">
      <alignment horizontal="center" vertical="center" wrapText="1"/>
    </xf>
    <xf numFmtId="0" fontId="39" fillId="18" borderId="6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3" fillId="17" borderId="5" xfId="0" applyFont="1" applyFill="1" applyBorder="1" applyAlignment="1">
      <alignment horizontal="center"/>
    </xf>
    <xf numFmtId="0" fontId="43" fillId="17" borderId="4" xfId="0" applyFont="1" applyFill="1" applyBorder="1" applyAlignment="1">
      <alignment horizontal="center"/>
    </xf>
    <xf numFmtId="0" fontId="43" fillId="17" borderId="3" xfId="0" applyFont="1" applyFill="1" applyBorder="1" applyAlignment="1">
      <alignment horizontal="center"/>
    </xf>
    <xf numFmtId="43" fontId="40" fillId="0" borderId="0" xfId="6" applyFont="1" applyAlignment="1">
      <alignment horizontal="center" vertical="center" wrapText="1"/>
    </xf>
    <xf numFmtId="43" fontId="39" fillId="0" borderId="0" xfId="6" applyFont="1" applyAlignment="1">
      <alignment horizontal="center" vertical="center" wrapText="1"/>
    </xf>
    <xf numFmtId="43" fontId="0" fillId="0" borderId="0" xfId="6" applyFont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9" fillId="17" borderId="62" xfId="0" applyFont="1" applyFill="1" applyBorder="1" applyAlignment="1">
      <alignment horizontal="center"/>
    </xf>
    <xf numFmtId="0" fontId="39" fillId="17" borderId="5" xfId="0" applyFont="1" applyFill="1" applyBorder="1" applyAlignment="1">
      <alignment horizontal="center"/>
    </xf>
    <xf numFmtId="0" fontId="39" fillId="17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52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0" fillId="0" borderId="32" xfId="0" applyFont="1" applyBorder="1" applyAlignment="1">
      <alignment horizontal="center"/>
    </xf>
    <xf numFmtId="0" fontId="39" fillId="17" borderId="57" xfId="0" applyFont="1" applyFill="1" applyBorder="1" applyAlignment="1">
      <alignment horizontal="center"/>
    </xf>
    <xf numFmtId="0" fontId="39" fillId="17" borderId="61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8" fillId="0" borderId="0" xfId="1" applyFont="1" applyAlignment="1">
      <alignment horizontal="center"/>
    </xf>
    <xf numFmtId="0" fontId="50" fillId="0" borderId="0" xfId="1" applyFont="1" applyAlignment="1">
      <alignment horizontal="center"/>
    </xf>
    <xf numFmtId="0" fontId="51" fillId="0" borderId="0" xfId="1" applyFont="1" applyAlignment="1">
      <alignment horizontal="center"/>
    </xf>
    <xf numFmtId="17" fontId="0" fillId="0" borderId="0" xfId="0" applyNumberFormat="1" applyAlignment="1">
      <alignment horizontal="center"/>
    </xf>
    <xf numFmtId="0" fontId="55" fillId="21" borderId="28" xfId="1" applyFont="1" applyFill="1" applyBorder="1" applyAlignment="1">
      <alignment horizontal="center" vertical="center"/>
    </xf>
    <xf numFmtId="0" fontId="55" fillId="21" borderId="38" xfId="1" applyFont="1" applyFill="1" applyBorder="1" applyAlignment="1">
      <alignment horizontal="center" vertical="center"/>
    </xf>
    <xf numFmtId="0" fontId="55" fillId="22" borderId="28" xfId="1" applyFont="1" applyFill="1" applyBorder="1" applyAlignment="1">
      <alignment horizontal="center" vertical="center"/>
    </xf>
    <xf numFmtId="0" fontId="55" fillId="22" borderId="39" xfId="1" applyFont="1" applyFill="1" applyBorder="1" applyAlignment="1">
      <alignment horizontal="center" vertical="center"/>
    </xf>
    <xf numFmtId="0" fontId="55" fillId="22" borderId="38" xfId="1" applyFont="1" applyFill="1" applyBorder="1" applyAlignment="1">
      <alignment horizontal="center" vertical="center"/>
    </xf>
    <xf numFmtId="0" fontId="52" fillId="0" borderId="0" xfId="1" applyFont="1" applyAlignment="1">
      <alignment horizontal="center"/>
    </xf>
    <xf numFmtId="0" fontId="55" fillId="20" borderId="1" xfId="1" applyFont="1" applyFill="1" applyBorder="1" applyAlignment="1">
      <alignment horizontal="center" vertical="center"/>
    </xf>
    <xf numFmtId="0" fontId="55" fillId="22" borderId="1" xfId="1" applyFont="1" applyFill="1" applyBorder="1" applyAlignment="1">
      <alignment horizontal="center" vertical="center"/>
    </xf>
    <xf numFmtId="0" fontId="43" fillId="0" borderId="57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47" fillId="0" borderId="0" xfId="0" applyFont="1" applyAlignment="1">
      <alignment horizontal="center" wrapText="1"/>
    </xf>
    <xf numFmtId="0" fontId="43" fillId="0" borderId="27" xfId="0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3" fillId="0" borderId="24" xfId="0" applyFont="1" applyBorder="1" applyAlignment="1">
      <alignment horizontal="center"/>
    </xf>
    <xf numFmtId="0" fontId="43" fillId="0" borderId="23" xfId="0" applyFont="1" applyBorder="1" applyAlignment="1">
      <alignment horizontal="center"/>
    </xf>
    <xf numFmtId="0" fontId="43" fillId="0" borderId="32" xfId="0" applyFont="1" applyBorder="1" applyAlignment="1">
      <alignment horizontal="center"/>
    </xf>
    <xf numFmtId="0" fontId="43" fillId="19" borderId="9" xfId="0" applyFont="1" applyFill="1" applyBorder="1" applyAlignment="1">
      <alignment horizontal="center"/>
    </xf>
    <xf numFmtId="0" fontId="43" fillId="19" borderId="47" xfId="0" applyFont="1" applyFill="1" applyBorder="1" applyAlignment="1">
      <alignment horizontal="center"/>
    </xf>
    <xf numFmtId="0" fontId="43" fillId="19" borderId="48" xfId="0" applyFont="1" applyFill="1" applyBorder="1" applyAlignment="1">
      <alignment horizontal="center"/>
    </xf>
    <xf numFmtId="0" fontId="30" fillId="0" borderId="0" xfId="1" applyFont="1" applyAlignment="1">
      <alignment horizontal="center"/>
    </xf>
    <xf numFmtId="0" fontId="52" fillId="0" borderId="0" xfId="1" applyFont="1" applyAlignment="1">
      <alignment horizontal="center" wrapText="1"/>
    </xf>
    <xf numFmtId="0" fontId="59" fillId="0" borderId="0" xfId="0" applyFont="1" applyAlignment="1">
      <alignment horizontal="center"/>
    </xf>
    <xf numFmtId="0" fontId="43" fillId="17" borderId="1" xfId="0" applyFont="1" applyFill="1" applyBorder="1" applyAlignment="1">
      <alignment horizontal="center"/>
    </xf>
    <xf numFmtId="0" fontId="43" fillId="17" borderId="9" xfId="0" applyFont="1" applyFill="1" applyBorder="1" applyAlignment="1">
      <alignment horizontal="center"/>
    </xf>
    <xf numFmtId="0" fontId="43" fillId="17" borderId="47" xfId="0" applyFont="1" applyFill="1" applyBorder="1" applyAlignment="1">
      <alignment horizontal="center"/>
    </xf>
    <xf numFmtId="0" fontId="43" fillId="17" borderId="24" xfId="0" applyFont="1" applyFill="1" applyBorder="1" applyAlignment="1">
      <alignment horizontal="center"/>
    </xf>
    <xf numFmtId="0" fontId="43" fillId="17" borderId="0" xfId="0" applyFont="1" applyFill="1" applyAlignment="1">
      <alignment horizontal="center"/>
    </xf>
    <xf numFmtId="43" fontId="43" fillId="0" borderId="16" xfId="3" applyFont="1" applyBorder="1" applyAlignment="1">
      <alignment horizontal="center"/>
    </xf>
    <xf numFmtId="169" fontId="43" fillId="17" borderId="26" xfId="0" applyNumberFormat="1" applyFont="1" applyFill="1" applyBorder="1" applyAlignment="1">
      <alignment horizontal="center"/>
    </xf>
    <xf numFmtId="169" fontId="43" fillId="17" borderId="32" xfId="0" applyNumberFormat="1" applyFont="1" applyFill="1" applyBorder="1" applyAlignment="1">
      <alignment horizontal="center"/>
    </xf>
    <xf numFmtId="169" fontId="43" fillId="17" borderId="65" xfId="0" applyNumberFormat="1" applyFont="1" applyFill="1" applyBorder="1" applyAlignment="1">
      <alignment horizontal="center"/>
    </xf>
  </cellXfs>
  <cellStyles count="19">
    <cellStyle name="Millares" xfId="6" builtinId="3"/>
    <cellStyle name="Millares 2" xfId="3" xr:uid="{00000000-0005-0000-0000-000001000000}"/>
    <cellStyle name="Millares 2 2" xfId="4" xr:uid="{00000000-0005-0000-0000-000002000000}"/>
    <cellStyle name="Millares 2 3" xfId="18" xr:uid="{00000000-0005-0000-0000-000003000000}"/>
    <cellStyle name="Millares 2 4" xfId="10" xr:uid="{00000000-0005-0000-0000-000004000000}"/>
    <cellStyle name="Millares 3" xfId="7" xr:uid="{00000000-0005-0000-0000-000005000000}"/>
    <cellStyle name="Moneda" xfId="8" builtinId="4"/>
    <cellStyle name="Normal" xfId="0" builtinId="0"/>
    <cellStyle name="Normal 10" xfId="13" xr:uid="{00000000-0005-0000-0000-000008000000}"/>
    <cellStyle name="Normal 11" xfId="14" xr:uid="{00000000-0005-0000-0000-000009000000}"/>
    <cellStyle name="Normal 12 3" xfId="16" xr:uid="{00000000-0005-0000-0000-00000A000000}"/>
    <cellStyle name="Normal 17" xfId="11" xr:uid="{00000000-0005-0000-0000-00000B000000}"/>
    <cellStyle name="Normal 2" xfId="1" xr:uid="{00000000-0005-0000-0000-00000C000000}"/>
    <cellStyle name="Normal 2 2" xfId="5" xr:uid="{00000000-0005-0000-0000-00000D000000}"/>
    <cellStyle name="Normal 2 4" xfId="12" xr:uid="{00000000-0005-0000-0000-00000E000000}"/>
    <cellStyle name="Normal 3" xfId="17" xr:uid="{00000000-0005-0000-0000-00000F000000}"/>
    <cellStyle name="Normal 9" xfId="15" xr:uid="{00000000-0005-0000-0000-000010000000}"/>
    <cellStyle name="Porcentaje" xfId="9" builtinId="5"/>
    <cellStyle name="Porcentaje 2" xfId="2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667425</xdr:colOff>
      <xdr:row>1</xdr:row>
      <xdr:rowOff>110812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6612" cy="618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143"/>
  <sheetViews>
    <sheetView view="pageBreakPreview" topLeftCell="A65" zoomScale="71" zoomScaleNormal="90" zoomScaleSheetLayoutView="71" workbookViewId="0">
      <selection activeCell="F65" sqref="F65"/>
    </sheetView>
  </sheetViews>
  <sheetFormatPr baseColWidth="10" defaultColWidth="11.44140625" defaultRowHeight="40.5" customHeight="1" x14ac:dyDescent="0.25"/>
  <cols>
    <col min="1" max="1" width="13.5546875" style="451" customWidth="1"/>
    <col min="2" max="2" width="17.88671875" style="421" bestFit="1" customWidth="1"/>
    <col min="3" max="3" width="21" style="421" bestFit="1" customWidth="1"/>
    <col min="4" max="4" width="15.5546875" style="421" bestFit="1" customWidth="1"/>
    <col min="5" max="5" width="75.33203125" style="452" bestFit="1" customWidth="1"/>
    <col min="6" max="6" width="87.33203125" style="452" customWidth="1"/>
    <col min="7" max="7" width="26.5546875" style="271" bestFit="1" customWidth="1"/>
    <col min="8" max="8" width="17.6640625" style="271" bestFit="1" customWidth="1"/>
    <col min="9" max="9" width="16.44140625" style="191" bestFit="1" customWidth="1"/>
    <col min="10" max="10" width="12.109375" style="271" bestFit="1" customWidth="1"/>
    <col min="11" max="16384" width="11.44140625" style="191"/>
  </cols>
  <sheetData>
    <row r="5" spans="1:10" ht="40.5" customHeight="1" x14ac:dyDescent="0.25">
      <c r="A5" s="191" t="s">
        <v>426</v>
      </c>
      <c r="E5" s="422"/>
      <c r="F5" s="423"/>
      <c r="G5" s="460"/>
      <c r="H5" s="460"/>
    </row>
    <row r="6" spans="1:10" ht="40.5" customHeight="1" x14ac:dyDescent="0.25">
      <c r="A6" s="191" t="s">
        <v>937</v>
      </c>
      <c r="E6" s="422"/>
      <c r="F6" s="423"/>
      <c r="G6" s="461"/>
      <c r="H6" s="461"/>
    </row>
    <row r="7" spans="1:10" ht="40.5" customHeight="1" x14ac:dyDescent="0.25">
      <c r="A7" s="191" t="s">
        <v>642</v>
      </c>
      <c r="E7" s="422"/>
      <c r="F7" s="423"/>
      <c r="G7" s="460"/>
      <c r="H7" s="460"/>
    </row>
    <row r="8" spans="1:10" s="268" customFormat="1" ht="40.5" customHeight="1" x14ac:dyDescent="0.25">
      <c r="A8" s="424" t="s">
        <v>938</v>
      </c>
      <c r="B8" s="425"/>
      <c r="C8" s="425"/>
      <c r="D8" s="425"/>
      <c r="E8" s="426"/>
      <c r="F8" s="427"/>
      <c r="G8" s="462"/>
      <c r="H8" s="462"/>
      <c r="J8" s="428"/>
    </row>
    <row r="9" spans="1:10" ht="40.5" customHeight="1" x14ac:dyDescent="0.25">
      <c r="A9" s="429" t="s">
        <v>375</v>
      </c>
      <c r="B9" s="430" t="s">
        <v>427</v>
      </c>
      <c r="C9" s="430" t="s">
        <v>428</v>
      </c>
      <c r="D9" s="430" t="s">
        <v>429</v>
      </c>
      <c r="E9" s="431" t="s">
        <v>430</v>
      </c>
      <c r="F9" s="432" t="s">
        <v>431</v>
      </c>
      <c r="G9" s="433" t="s">
        <v>432</v>
      </c>
      <c r="H9" s="433" t="s">
        <v>433</v>
      </c>
      <c r="I9" s="271"/>
    </row>
    <row r="10" spans="1:10" ht="40.5" customHeight="1" x14ac:dyDescent="0.25">
      <c r="A10" s="434">
        <v>45667</v>
      </c>
      <c r="B10" s="435"/>
      <c r="C10" s="435" t="s">
        <v>820</v>
      </c>
      <c r="D10" s="435"/>
      <c r="E10" s="454" t="s">
        <v>808</v>
      </c>
      <c r="F10" s="436" t="s">
        <v>821</v>
      </c>
      <c r="G10" s="437">
        <v>1129894.8400000001</v>
      </c>
      <c r="H10" s="437">
        <v>1082017.94</v>
      </c>
    </row>
    <row r="11" spans="1:10" ht="40.5" customHeight="1" x14ac:dyDescent="0.25">
      <c r="A11" s="434">
        <v>45667</v>
      </c>
      <c r="B11" s="435"/>
      <c r="C11" s="435" t="s">
        <v>822</v>
      </c>
      <c r="D11" s="435"/>
      <c r="E11" s="454" t="s">
        <v>845</v>
      </c>
      <c r="F11" s="436" t="s">
        <v>846</v>
      </c>
      <c r="G11" s="437">
        <v>258000</v>
      </c>
      <c r="H11" s="437">
        <v>245100</v>
      </c>
      <c r="I11" s="271"/>
    </row>
    <row r="12" spans="1:10" ht="40.5" customHeight="1" x14ac:dyDescent="0.25">
      <c r="A12" s="434">
        <v>45670</v>
      </c>
      <c r="B12" s="435"/>
      <c r="C12" s="435" t="s">
        <v>823</v>
      </c>
      <c r="D12" s="435"/>
      <c r="E12" s="454" t="s">
        <v>847</v>
      </c>
      <c r="F12" s="436" t="s">
        <v>848</v>
      </c>
      <c r="G12" s="437">
        <v>100000</v>
      </c>
      <c r="H12" s="437">
        <v>100000</v>
      </c>
      <c r="I12" s="271"/>
    </row>
    <row r="13" spans="1:10" ht="40.5" customHeight="1" x14ac:dyDescent="0.25">
      <c r="A13" s="434">
        <v>45670</v>
      </c>
      <c r="B13" s="435"/>
      <c r="C13" s="435" t="s">
        <v>824</v>
      </c>
      <c r="D13" s="435"/>
      <c r="E13" s="454" t="s">
        <v>884</v>
      </c>
      <c r="F13" s="436" t="s">
        <v>885</v>
      </c>
      <c r="G13" s="437">
        <v>30166.7</v>
      </c>
      <c r="H13" s="437">
        <v>30166.7</v>
      </c>
      <c r="I13" s="271"/>
    </row>
    <row r="14" spans="1:10" ht="40.5" customHeight="1" x14ac:dyDescent="0.25">
      <c r="A14" s="412">
        <v>45671</v>
      </c>
      <c r="B14" s="438"/>
      <c r="C14" s="435" t="s">
        <v>825</v>
      </c>
      <c r="D14" s="435"/>
      <c r="E14" s="454" t="s">
        <v>886</v>
      </c>
      <c r="F14" s="439" t="s">
        <v>887</v>
      </c>
      <c r="G14" s="440">
        <v>10100</v>
      </c>
      <c r="H14" s="440">
        <v>9595</v>
      </c>
      <c r="I14" s="271"/>
    </row>
    <row r="15" spans="1:10" ht="40.5" customHeight="1" x14ac:dyDescent="0.25">
      <c r="A15" s="412">
        <v>45671</v>
      </c>
      <c r="B15" s="441"/>
      <c r="C15" s="435" t="s">
        <v>826</v>
      </c>
      <c r="D15" s="441"/>
      <c r="E15" s="454" t="s">
        <v>888</v>
      </c>
      <c r="F15" s="442" t="s">
        <v>889</v>
      </c>
      <c r="G15" s="440">
        <v>266664.26</v>
      </c>
      <c r="H15" s="440">
        <v>255364.93</v>
      </c>
      <c r="I15" s="271"/>
    </row>
    <row r="16" spans="1:10" ht="40.5" customHeight="1" x14ac:dyDescent="0.25">
      <c r="A16" s="412">
        <v>45671</v>
      </c>
      <c r="B16" s="441"/>
      <c r="C16" s="435" t="s">
        <v>827</v>
      </c>
      <c r="D16" s="441"/>
      <c r="E16" s="454" t="s">
        <v>890</v>
      </c>
      <c r="F16" s="442" t="s">
        <v>891</v>
      </c>
      <c r="G16" s="440">
        <v>50000</v>
      </c>
      <c r="H16" s="440">
        <v>50000</v>
      </c>
      <c r="I16" s="271"/>
    </row>
    <row r="17" spans="1:9" ht="40.5" customHeight="1" x14ac:dyDescent="0.25">
      <c r="A17" s="434">
        <v>45671</v>
      </c>
      <c r="B17" s="435"/>
      <c r="C17" s="435" t="s">
        <v>828</v>
      </c>
      <c r="D17" s="435"/>
      <c r="E17" s="454" t="s">
        <v>892</v>
      </c>
      <c r="F17" s="436" t="s">
        <v>893</v>
      </c>
      <c r="G17" s="437">
        <v>17740</v>
      </c>
      <c r="H17" s="437">
        <v>16853</v>
      </c>
      <c r="I17" s="271"/>
    </row>
    <row r="18" spans="1:9" ht="40.5" customHeight="1" x14ac:dyDescent="0.25">
      <c r="A18" s="434">
        <v>45671</v>
      </c>
      <c r="B18" s="435"/>
      <c r="C18" s="435" t="s">
        <v>829</v>
      </c>
      <c r="D18" s="435"/>
      <c r="E18" s="454" t="s">
        <v>849</v>
      </c>
      <c r="F18" s="443" t="s">
        <v>850</v>
      </c>
      <c r="G18" s="437">
        <v>37740</v>
      </c>
      <c r="H18" s="437">
        <v>37740</v>
      </c>
      <c r="I18" s="271"/>
    </row>
    <row r="19" spans="1:9" ht="40.5" customHeight="1" x14ac:dyDescent="0.25">
      <c r="A19" s="434">
        <v>45671</v>
      </c>
      <c r="B19" s="435"/>
      <c r="C19" s="435" t="s">
        <v>830</v>
      </c>
      <c r="D19" s="435"/>
      <c r="E19" s="454" t="s">
        <v>851</v>
      </c>
      <c r="F19" s="436" t="s">
        <v>852</v>
      </c>
      <c r="G19" s="437">
        <v>49512.84</v>
      </c>
      <c r="H19" s="437">
        <v>49512.84</v>
      </c>
      <c r="I19" s="271"/>
    </row>
    <row r="20" spans="1:9" ht="40.5" customHeight="1" x14ac:dyDescent="0.25">
      <c r="A20" s="412">
        <v>45672</v>
      </c>
      <c r="B20" s="435"/>
      <c r="C20" s="435" t="s">
        <v>831</v>
      </c>
      <c r="D20" s="435"/>
      <c r="E20" s="450" t="s">
        <v>854</v>
      </c>
      <c r="F20" s="436" t="s">
        <v>853</v>
      </c>
      <c r="G20" s="437">
        <v>98115</v>
      </c>
      <c r="H20" s="437">
        <v>93209.25</v>
      </c>
      <c r="I20" s="271"/>
    </row>
    <row r="21" spans="1:9" ht="40.5" customHeight="1" x14ac:dyDescent="0.25">
      <c r="A21" s="434">
        <v>45672</v>
      </c>
      <c r="B21" s="435"/>
      <c r="C21" s="435" t="s">
        <v>832</v>
      </c>
      <c r="D21" s="435"/>
      <c r="E21" s="450" t="s">
        <v>855</v>
      </c>
      <c r="F21" s="436" t="s">
        <v>856</v>
      </c>
      <c r="G21" s="437">
        <v>6900</v>
      </c>
      <c r="H21" s="437">
        <v>6555</v>
      </c>
      <c r="I21" s="271"/>
    </row>
    <row r="22" spans="1:9" ht="40.5" customHeight="1" x14ac:dyDescent="0.25">
      <c r="A22" s="434">
        <v>45672</v>
      </c>
      <c r="B22" s="435"/>
      <c r="C22" s="435" t="s">
        <v>833</v>
      </c>
      <c r="D22" s="435"/>
      <c r="E22" s="454" t="s">
        <v>858</v>
      </c>
      <c r="F22" s="436" t="s">
        <v>857</v>
      </c>
      <c r="G22" s="437">
        <v>50000</v>
      </c>
      <c r="H22" s="437">
        <v>47500</v>
      </c>
      <c r="I22" s="271"/>
    </row>
    <row r="23" spans="1:9" ht="40.5" customHeight="1" x14ac:dyDescent="0.25">
      <c r="A23" s="412">
        <v>45672</v>
      </c>
      <c r="B23" s="441"/>
      <c r="C23" s="435" t="s">
        <v>834</v>
      </c>
      <c r="D23" s="441"/>
      <c r="E23" s="450" t="s">
        <v>859</v>
      </c>
      <c r="F23" s="442" t="s">
        <v>860</v>
      </c>
      <c r="G23" s="440">
        <v>91518.64</v>
      </c>
      <c r="H23" s="440">
        <v>91518.64</v>
      </c>
      <c r="I23" s="271"/>
    </row>
    <row r="24" spans="1:9" ht="40.5" customHeight="1" x14ac:dyDescent="0.25">
      <c r="A24" s="434">
        <v>45672</v>
      </c>
      <c r="B24" s="435"/>
      <c r="C24" s="435" t="s">
        <v>835</v>
      </c>
      <c r="D24" s="435"/>
      <c r="E24" s="450" t="s">
        <v>859</v>
      </c>
      <c r="F24" s="436" t="s">
        <v>861</v>
      </c>
      <c r="G24" s="437">
        <v>209797.69</v>
      </c>
      <c r="H24" s="437">
        <v>209797.69</v>
      </c>
      <c r="I24" s="271"/>
    </row>
    <row r="25" spans="1:9" ht="40.5" customHeight="1" x14ac:dyDescent="0.25">
      <c r="A25" s="434">
        <v>45672</v>
      </c>
      <c r="B25" s="435"/>
      <c r="C25" s="435" t="s">
        <v>836</v>
      </c>
      <c r="D25" s="435"/>
      <c r="E25" s="454" t="s">
        <v>862</v>
      </c>
      <c r="F25" s="444" t="s">
        <v>863</v>
      </c>
      <c r="G25" s="437">
        <v>29500</v>
      </c>
      <c r="H25" s="437">
        <v>28250</v>
      </c>
      <c r="I25" s="271"/>
    </row>
    <row r="26" spans="1:9" ht="40.5" customHeight="1" x14ac:dyDescent="0.25">
      <c r="A26" s="434">
        <v>45672</v>
      </c>
      <c r="B26" s="435"/>
      <c r="C26" s="435" t="s">
        <v>837</v>
      </c>
      <c r="D26" s="435"/>
      <c r="E26" s="454" t="s">
        <v>862</v>
      </c>
      <c r="F26" s="436" t="s">
        <v>864</v>
      </c>
      <c r="G26" s="437">
        <v>56050</v>
      </c>
      <c r="H26" s="437">
        <v>53675</v>
      </c>
      <c r="I26" s="271"/>
    </row>
    <row r="27" spans="1:9" ht="40.5" customHeight="1" x14ac:dyDescent="0.25">
      <c r="A27" s="434">
        <v>45672</v>
      </c>
      <c r="B27" s="435"/>
      <c r="C27" s="435" t="s">
        <v>838</v>
      </c>
      <c r="D27" s="435"/>
      <c r="E27" s="454" t="s">
        <v>865</v>
      </c>
      <c r="F27" s="436" t="s">
        <v>866</v>
      </c>
      <c r="G27" s="437">
        <v>684400</v>
      </c>
      <c r="H27" s="437">
        <v>655400</v>
      </c>
      <c r="I27" s="271"/>
    </row>
    <row r="28" spans="1:9" ht="40.5" customHeight="1" x14ac:dyDescent="0.25">
      <c r="A28" s="412">
        <v>45673</v>
      </c>
      <c r="B28" s="435"/>
      <c r="C28" s="435" t="s">
        <v>839</v>
      </c>
      <c r="D28" s="435"/>
      <c r="E28" s="454" t="s">
        <v>867</v>
      </c>
      <c r="F28" s="436" t="s">
        <v>868</v>
      </c>
      <c r="G28" s="437">
        <v>10148</v>
      </c>
      <c r="H28" s="437">
        <v>9718</v>
      </c>
      <c r="I28" s="271"/>
    </row>
    <row r="29" spans="1:9" ht="40.5" customHeight="1" x14ac:dyDescent="0.25">
      <c r="A29" s="412">
        <v>45673</v>
      </c>
      <c r="B29" s="435"/>
      <c r="C29" s="435" t="s">
        <v>840</v>
      </c>
      <c r="D29" s="435"/>
      <c r="E29" s="468" t="s">
        <v>960</v>
      </c>
      <c r="F29" s="469" t="s">
        <v>1200</v>
      </c>
      <c r="G29" s="271">
        <v>172000</v>
      </c>
      <c r="H29" s="469">
        <v>170573.26</v>
      </c>
      <c r="I29" s="271"/>
    </row>
    <row r="30" spans="1:9" ht="40.5" customHeight="1" x14ac:dyDescent="0.25">
      <c r="A30" s="434">
        <v>45674</v>
      </c>
      <c r="B30" s="435"/>
      <c r="C30" s="435" t="s">
        <v>841</v>
      </c>
      <c r="D30" s="435"/>
      <c r="E30" s="454" t="s">
        <v>869</v>
      </c>
      <c r="F30" s="436" t="s">
        <v>870</v>
      </c>
      <c r="G30" s="437">
        <v>1888000</v>
      </c>
      <c r="H30" s="437">
        <v>1808000</v>
      </c>
      <c r="I30" s="271"/>
    </row>
    <row r="31" spans="1:9" ht="40.5" customHeight="1" x14ac:dyDescent="0.25">
      <c r="A31" s="434">
        <v>45681</v>
      </c>
      <c r="B31" s="435"/>
      <c r="C31" s="435" t="s">
        <v>842</v>
      </c>
      <c r="D31" s="435"/>
      <c r="E31" s="454" t="s">
        <v>871</v>
      </c>
      <c r="F31" s="436" t="s">
        <v>872</v>
      </c>
      <c r="G31" s="437">
        <v>192288.08</v>
      </c>
      <c r="H31" s="437">
        <v>184140.28</v>
      </c>
      <c r="I31" s="271"/>
    </row>
    <row r="32" spans="1:9" ht="40.5" customHeight="1" x14ac:dyDescent="0.25">
      <c r="A32" s="412">
        <v>45686</v>
      </c>
      <c r="B32" s="435"/>
      <c r="C32" s="435" t="s">
        <v>843</v>
      </c>
      <c r="D32" s="441"/>
      <c r="E32" s="454" t="s">
        <v>873</v>
      </c>
      <c r="F32" s="444" t="s">
        <v>874</v>
      </c>
      <c r="G32" s="440">
        <v>69915</v>
      </c>
      <c r="H32" s="440">
        <v>66952.5</v>
      </c>
      <c r="I32" s="271"/>
    </row>
    <row r="33" spans="1:10" ht="40.5" customHeight="1" x14ac:dyDescent="0.25">
      <c r="A33" s="412">
        <v>45686</v>
      </c>
      <c r="B33" s="441"/>
      <c r="C33" s="435" t="s">
        <v>844</v>
      </c>
      <c r="D33" s="441"/>
      <c r="E33" s="454" t="s">
        <v>875</v>
      </c>
      <c r="F33" s="439" t="s">
        <v>876</v>
      </c>
      <c r="G33" s="440">
        <v>269394</v>
      </c>
      <c r="H33" s="440">
        <v>257979</v>
      </c>
      <c r="I33" s="271"/>
    </row>
    <row r="34" spans="1:10" ht="40.5" customHeight="1" x14ac:dyDescent="0.25">
      <c r="A34" s="434">
        <v>45686</v>
      </c>
      <c r="B34" s="435"/>
      <c r="C34" s="435" t="s">
        <v>878</v>
      </c>
      <c r="D34" s="435"/>
      <c r="E34" s="454" t="s">
        <v>875</v>
      </c>
      <c r="F34" s="436" t="s">
        <v>877</v>
      </c>
      <c r="G34" s="437">
        <v>269158</v>
      </c>
      <c r="H34" s="437">
        <v>257753</v>
      </c>
      <c r="I34" s="271"/>
    </row>
    <row r="35" spans="1:10" ht="40.5" customHeight="1" x14ac:dyDescent="0.25">
      <c r="A35" s="434">
        <v>45686</v>
      </c>
      <c r="B35" s="435"/>
      <c r="C35" s="435" t="s">
        <v>879</v>
      </c>
      <c r="D35" s="435"/>
      <c r="E35" s="454" t="s">
        <v>875</v>
      </c>
      <c r="F35" s="436" t="s">
        <v>880</v>
      </c>
      <c r="G35" s="437">
        <v>25110</v>
      </c>
      <c r="H35" s="437">
        <v>25110</v>
      </c>
      <c r="I35" s="271"/>
    </row>
    <row r="36" spans="1:10" ht="40.5" customHeight="1" x14ac:dyDescent="0.25">
      <c r="A36" s="412">
        <v>45686</v>
      </c>
      <c r="B36" s="441"/>
      <c r="C36" s="435" t="s">
        <v>881</v>
      </c>
      <c r="D36" s="441"/>
      <c r="E36" s="454" t="s">
        <v>882</v>
      </c>
      <c r="F36" s="442" t="s">
        <v>883</v>
      </c>
      <c r="G36" s="440">
        <v>405410</v>
      </c>
      <c r="H36" s="440">
        <v>385139.5</v>
      </c>
      <c r="I36" s="271"/>
    </row>
    <row r="37" spans="1:10" ht="40.5" customHeight="1" x14ac:dyDescent="0.25">
      <c r="A37" s="412">
        <v>45687</v>
      </c>
      <c r="B37" s="441"/>
      <c r="C37" s="435" t="s">
        <v>894</v>
      </c>
      <c r="D37" s="441"/>
      <c r="E37" s="454" t="s">
        <v>895</v>
      </c>
      <c r="F37" s="442" t="s">
        <v>896</v>
      </c>
      <c r="G37" s="440">
        <v>47176.05</v>
      </c>
      <c r="H37" s="440">
        <v>45177.07</v>
      </c>
      <c r="I37" s="271"/>
    </row>
    <row r="38" spans="1:10" ht="40.5" customHeight="1" x14ac:dyDescent="0.25">
      <c r="A38" s="455" t="s">
        <v>922</v>
      </c>
      <c r="B38" s="435">
        <v>4</v>
      </c>
      <c r="C38" s="435"/>
      <c r="D38" s="435"/>
      <c r="E38" s="454" t="s">
        <v>899</v>
      </c>
      <c r="F38" s="459" t="s">
        <v>920</v>
      </c>
      <c r="G38" s="456">
        <v>1123146.3700000001</v>
      </c>
      <c r="H38" s="437">
        <v>1010139.81</v>
      </c>
      <c r="I38" s="271">
        <f>+G38-H38</f>
        <v>113006.56000000006</v>
      </c>
    </row>
    <row r="39" spans="1:10" ht="40.5" customHeight="1" x14ac:dyDescent="0.25">
      <c r="A39" s="455" t="s">
        <v>922</v>
      </c>
      <c r="B39" s="441">
        <v>6</v>
      </c>
      <c r="C39" s="441"/>
      <c r="D39" s="441"/>
      <c r="E39" s="454" t="s">
        <v>899</v>
      </c>
      <c r="F39" s="459" t="s">
        <v>918</v>
      </c>
      <c r="G39" s="456">
        <v>45000</v>
      </c>
      <c r="H39" s="437">
        <v>43452.75</v>
      </c>
      <c r="I39" s="271">
        <f t="shared" ref="I39:I70" si="0">+G39-H39</f>
        <v>1547.25</v>
      </c>
    </row>
    <row r="40" spans="1:10" ht="40.5" customHeight="1" x14ac:dyDescent="0.25">
      <c r="A40" s="455" t="s">
        <v>923</v>
      </c>
      <c r="B40" s="441">
        <v>9</v>
      </c>
      <c r="C40" s="441"/>
      <c r="D40" s="441"/>
      <c r="E40" s="454" t="s">
        <v>899</v>
      </c>
      <c r="F40" s="459" t="s">
        <v>919</v>
      </c>
      <c r="G40" s="456">
        <v>63923033.549999997</v>
      </c>
      <c r="H40" s="437">
        <v>42730627.549999997</v>
      </c>
      <c r="I40" s="271">
        <f t="shared" si="0"/>
        <v>21192406</v>
      </c>
    </row>
    <row r="41" spans="1:10" ht="40.5" customHeight="1" x14ac:dyDescent="0.25">
      <c r="A41" s="455" t="s">
        <v>921</v>
      </c>
      <c r="B41" s="435">
        <v>16</v>
      </c>
      <c r="C41" s="435"/>
      <c r="D41" s="435"/>
      <c r="E41" s="454" t="s">
        <v>667</v>
      </c>
      <c r="F41" s="459" t="s">
        <v>917</v>
      </c>
      <c r="G41" s="456">
        <v>55550</v>
      </c>
      <c r="H41" s="437">
        <v>52772.5</v>
      </c>
      <c r="I41" s="271">
        <f t="shared" si="0"/>
        <v>2777.5</v>
      </c>
      <c r="J41" s="445"/>
    </row>
    <row r="42" spans="1:10" ht="40.5" customHeight="1" x14ac:dyDescent="0.25">
      <c r="A42" s="455" t="s">
        <v>921</v>
      </c>
      <c r="B42" s="441">
        <v>23</v>
      </c>
      <c r="C42" s="447"/>
      <c r="D42" s="441"/>
      <c r="E42" s="454" t="s">
        <v>667</v>
      </c>
      <c r="F42" s="459" t="s">
        <v>912</v>
      </c>
      <c r="G42" s="456">
        <v>252000</v>
      </c>
      <c r="H42" s="437">
        <v>239400</v>
      </c>
      <c r="I42" s="271">
        <f t="shared" si="0"/>
        <v>12600</v>
      </c>
      <c r="J42" s="445"/>
    </row>
    <row r="43" spans="1:10" ht="40.5" customHeight="1" x14ac:dyDescent="0.25">
      <c r="A43" s="455" t="s">
        <v>921</v>
      </c>
      <c r="B43" s="435">
        <v>25</v>
      </c>
      <c r="C43" s="435"/>
      <c r="D43" s="435"/>
      <c r="E43" s="454" t="s">
        <v>669</v>
      </c>
      <c r="F43" s="459" t="s">
        <v>902</v>
      </c>
      <c r="G43" s="456">
        <v>467802</v>
      </c>
      <c r="H43" s="440">
        <v>447957</v>
      </c>
      <c r="I43" s="271">
        <f t="shared" si="0"/>
        <v>19845</v>
      </c>
      <c r="J43" s="445"/>
    </row>
    <row r="44" spans="1:10" ht="40.5" customHeight="1" x14ac:dyDescent="0.25">
      <c r="A44" s="455" t="s">
        <v>921</v>
      </c>
      <c r="B44" s="435">
        <v>31</v>
      </c>
      <c r="C44" s="435"/>
      <c r="D44" s="435"/>
      <c r="E44" s="454" t="s">
        <v>669</v>
      </c>
      <c r="F44" s="459" t="s">
        <v>901</v>
      </c>
      <c r="G44" s="456">
        <v>332252</v>
      </c>
      <c r="H44" s="440">
        <v>316538.5</v>
      </c>
      <c r="I44" s="271">
        <f t="shared" si="0"/>
        <v>15713.5</v>
      </c>
      <c r="J44" s="445"/>
    </row>
    <row r="45" spans="1:10" ht="40.5" customHeight="1" x14ac:dyDescent="0.25">
      <c r="A45" s="455" t="s">
        <v>921</v>
      </c>
      <c r="B45" s="441">
        <v>35</v>
      </c>
      <c r="C45" s="435"/>
      <c r="D45" s="441"/>
      <c r="E45" s="454" t="s">
        <v>897</v>
      </c>
      <c r="F45" s="459" t="s">
        <v>906</v>
      </c>
      <c r="G45" s="456">
        <v>271350</v>
      </c>
      <c r="H45" s="440">
        <v>257782.5</v>
      </c>
      <c r="I45" s="271">
        <f t="shared" si="0"/>
        <v>13567.5</v>
      </c>
      <c r="J45" s="445"/>
    </row>
    <row r="46" spans="1:10" ht="40.5" customHeight="1" x14ac:dyDescent="0.25">
      <c r="A46" s="455" t="s">
        <v>921</v>
      </c>
      <c r="B46" s="435">
        <v>36</v>
      </c>
      <c r="C46" s="435"/>
      <c r="D46" s="435"/>
      <c r="E46" s="454" t="s">
        <v>755</v>
      </c>
      <c r="F46" s="459" t="s">
        <v>900</v>
      </c>
      <c r="G46" s="456">
        <v>129664</v>
      </c>
      <c r="H46" s="437">
        <v>123180.8</v>
      </c>
      <c r="I46" s="271">
        <f t="shared" si="0"/>
        <v>6483.1999999999971</v>
      </c>
      <c r="J46" s="445"/>
    </row>
    <row r="47" spans="1:10" ht="40.5" customHeight="1" x14ac:dyDescent="0.25">
      <c r="A47" s="455" t="s">
        <v>921</v>
      </c>
      <c r="B47" s="441">
        <v>43</v>
      </c>
      <c r="C47" s="435"/>
      <c r="D47" s="441"/>
      <c r="E47" s="454" t="s">
        <v>776</v>
      </c>
      <c r="F47" s="459" t="s">
        <v>907</v>
      </c>
      <c r="G47" s="456">
        <v>235971.68</v>
      </c>
      <c r="H47" s="437">
        <v>225972.88</v>
      </c>
      <c r="I47" s="271">
        <f t="shared" si="0"/>
        <v>9998.7999999999884</v>
      </c>
      <c r="J47" s="445"/>
    </row>
    <row r="48" spans="1:10" ht="40.5" customHeight="1" x14ac:dyDescent="0.25">
      <c r="A48" s="455" t="s">
        <v>921</v>
      </c>
      <c r="B48" s="435">
        <v>45</v>
      </c>
      <c r="C48" s="435"/>
      <c r="D48" s="435"/>
      <c r="E48" s="454" t="s">
        <v>793</v>
      </c>
      <c r="F48" s="459" t="s">
        <v>910</v>
      </c>
      <c r="G48" s="456">
        <v>240000</v>
      </c>
      <c r="H48" s="437">
        <v>228000</v>
      </c>
      <c r="I48" s="271">
        <f t="shared" si="0"/>
        <v>12000</v>
      </c>
      <c r="J48" s="445"/>
    </row>
    <row r="49" spans="1:10" ht="40.5" customHeight="1" x14ac:dyDescent="0.25">
      <c r="A49" s="455" t="s">
        <v>921</v>
      </c>
      <c r="B49" s="435">
        <v>49</v>
      </c>
      <c r="C49" s="435"/>
      <c r="D49" s="435"/>
      <c r="E49" s="454" t="s">
        <v>725</v>
      </c>
      <c r="F49" s="459" t="s">
        <v>903</v>
      </c>
      <c r="G49" s="456">
        <v>703592.61</v>
      </c>
      <c r="H49" s="446">
        <v>668417.76</v>
      </c>
      <c r="I49" s="271">
        <f t="shared" si="0"/>
        <v>35174.849999999977</v>
      </c>
      <c r="J49" s="445"/>
    </row>
    <row r="50" spans="1:10" ht="40.5" customHeight="1" x14ac:dyDescent="0.25">
      <c r="A50" s="455" t="s">
        <v>921</v>
      </c>
      <c r="B50" s="435">
        <v>53</v>
      </c>
      <c r="C50" s="441"/>
      <c r="D50" s="435"/>
      <c r="E50" s="454" t="s">
        <v>667</v>
      </c>
      <c r="F50" s="459" t="s">
        <v>911</v>
      </c>
      <c r="G50" s="456">
        <v>242606.07999999999</v>
      </c>
      <c r="H50" s="440">
        <v>230475.78</v>
      </c>
      <c r="I50" s="271">
        <f t="shared" si="0"/>
        <v>12130.299999999988</v>
      </c>
      <c r="J50" s="445"/>
    </row>
    <row r="51" spans="1:10" ht="40.5" customHeight="1" x14ac:dyDescent="0.25">
      <c r="A51" s="455" t="s">
        <v>921</v>
      </c>
      <c r="B51" s="435">
        <v>59</v>
      </c>
      <c r="C51" s="435"/>
      <c r="D51" s="435"/>
      <c r="E51" s="454" t="s">
        <v>776</v>
      </c>
      <c r="F51" s="459" t="s">
        <v>908</v>
      </c>
      <c r="G51" s="456">
        <v>206475.22</v>
      </c>
      <c r="H51" s="446">
        <v>197726.27</v>
      </c>
      <c r="I51" s="271">
        <f t="shared" si="0"/>
        <v>8748.9500000000116</v>
      </c>
      <c r="J51" s="445"/>
    </row>
    <row r="52" spans="1:10" ht="40.5" customHeight="1" x14ac:dyDescent="0.25">
      <c r="A52" s="455" t="s">
        <v>921</v>
      </c>
      <c r="B52" s="441">
        <v>62</v>
      </c>
      <c r="C52" s="435"/>
      <c r="D52" s="441"/>
      <c r="E52" s="454" t="s">
        <v>726</v>
      </c>
      <c r="F52" s="459" t="s">
        <v>905</v>
      </c>
      <c r="G52" s="456">
        <v>341016.8</v>
      </c>
      <c r="H52" s="437">
        <v>324076.3</v>
      </c>
      <c r="I52" s="271">
        <f t="shared" si="0"/>
        <v>16940.5</v>
      </c>
      <c r="J52" s="445"/>
    </row>
    <row r="53" spans="1:10" ht="40.5" customHeight="1" x14ac:dyDescent="0.25">
      <c r="A53" s="455" t="s">
        <v>921</v>
      </c>
      <c r="B53" s="435">
        <v>67</v>
      </c>
      <c r="C53" s="435"/>
      <c r="D53" s="435"/>
      <c r="E53" s="454" t="s">
        <v>898</v>
      </c>
      <c r="F53" s="459" t="s">
        <v>909</v>
      </c>
      <c r="G53" s="456">
        <v>269040</v>
      </c>
      <c r="H53" s="437">
        <v>257640</v>
      </c>
      <c r="I53" s="271">
        <f t="shared" si="0"/>
        <v>11400</v>
      </c>
      <c r="J53" s="445"/>
    </row>
    <row r="54" spans="1:10" ht="40.5" customHeight="1" x14ac:dyDescent="0.25">
      <c r="A54" s="455" t="s">
        <v>921</v>
      </c>
      <c r="B54" s="435">
        <v>68</v>
      </c>
      <c r="C54" s="435"/>
      <c r="D54" s="435"/>
      <c r="E54" s="454" t="s">
        <v>667</v>
      </c>
      <c r="F54" s="459" t="s">
        <v>914</v>
      </c>
      <c r="G54" s="456">
        <v>210960</v>
      </c>
      <c r="H54" s="446">
        <v>200412</v>
      </c>
      <c r="I54" s="271">
        <f t="shared" si="0"/>
        <v>10548</v>
      </c>
      <c r="J54" s="445"/>
    </row>
    <row r="55" spans="1:10" ht="40.5" customHeight="1" x14ac:dyDescent="0.25">
      <c r="A55" s="455" t="s">
        <v>921</v>
      </c>
      <c r="B55" s="435">
        <v>75</v>
      </c>
      <c r="C55" s="441"/>
      <c r="D55" s="435"/>
      <c r="E55" s="454" t="s">
        <v>667</v>
      </c>
      <c r="F55" s="459" t="s">
        <v>913</v>
      </c>
      <c r="G55" s="456">
        <v>256800</v>
      </c>
      <c r="H55" s="437">
        <v>243960</v>
      </c>
      <c r="I55" s="271">
        <f t="shared" si="0"/>
        <v>12840</v>
      </c>
      <c r="J55" s="445"/>
    </row>
    <row r="56" spans="1:10" ht="40.5" customHeight="1" x14ac:dyDescent="0.25">
      <c r="A56" s="455" t="s">
        <v>921</v>
      </c>
      <c r="B56" s="435">
        <v>76</v>
      </c>
      <c r="C56" s="435"/>
      <c r="D56" s="435"/>
      <c r="E56" s="454" t="s">
        <v>689</v>
      </c>
      <c r="F56" s="459" t="s">
        <v>904</v>
      </c>
      <c r="G56" s="456">
        <v>264900</v>
      </c>
      <c r="H56" s="440">
        <v>253275</v>
      </c>
      <c r="I56" s="271">
        <f t="shared" si="0"/>
        <v>11625</v>
      </c>
      <c r="J56" s="445"/>
    </row>
    <row r="57" spans="1:10" ht="40.5" customHeight="1" x14ac:dyDescent="0.25">
      <c r="A57" s="455" t="s">
        <v>921</v>
      </c>
      <c r="B57" s="435">
        <v>82</v>
      </c>
      <c r="C57" s="441"/>
      <c r="D57" s="435"/>
      <c r="E57" s="454" t="s">
        <v>667</v>
      </c>
      <c r="F57" s="459" t="s">
        <v>916</v>
      </c>
      <c r="G57" s="456">
        <v>254620.79999999999</v>
      </c>
      <c r="H57" s="440">
        <v>242920.8</v>
      </c>
      <c r="I57" s="271">
        <f t="shared" si="0"/>
        <v>11700</v>
      </c>
      <c r="J57" s="445"/>
    </row>
    <row r="58" spans="1:10" ht="40.5" customHeight="1" x14ac:dyDescent="0.25">
      <c r="A58" s="455" t="s">
        <v>921</v>
      </c>
      <c r="B58" s="435">
        <v>84</v>
      </c>
      <c r="C58" s="435"/>
      <c r="D58" s="435"/>
      <c r="E58" s="454" t="s">
        <v>667</v>
      </c>
      <c r="F58" s="459" t="s">
        <v>915</v>
      </c>
      <c r="G58" s="456">
        <v>236000</v>
      </c>
      <c r="H58" s="437">
        <v>224200</v>
      </c>
      <c r="I58" s="271">
        <f t="shared" si="0"/>
        <v>11800</v>
      </c>
      <c r="J58" s="445"/>
    </row>
    <row r="59" spans="1:10" ht="40.5" customHeight="1" x14ac:dyDescent="0.25">
      <c r="A59" s="434">
        <v>45660</v>
      </c>
      <c r="B59" s="435"/>
      <c r="C59" s="435"/>
      <c r="D59" s="435">
        <v>37174</v>
      </c>
      <c r="E59" s="436" t="s">
        <v>940</v>
      </c>
      <c r="F59" s="436" t="s">
        <v>941</v>
      </c>
      <c r="G59" s="437">
        <v>3400</v>
      </c>
      <c r="H59" s="437">
        <v>3400</v>
      </c>
      <c r="I59" s="271">
        <f t="shared" si="0"/>
        <v>0</v>
      </c>
      <c r="J59" s="449"/>
    </row>
    <row r="60" spans="1:10" ht="40.5" customHeight="1" x14ac:dyDescent="0.25">
      <c r="A60" s="434">
        <v>45671</v>
      </c>
      <c r="B60" s="435"/>
      <c r="C60" s="435"/>
      <c r="D60" s="435">
        <f>+D59+1</f>
        <v>37175</v>
      </c>
      <c r="E60" s="436" t="s">
        <v>955</v>
      </c>
      <c r="F60" s="443" t="s">
        <v>956</v>
      </c>
      <c r="G60" s="463">
        <v>49134.32</v>
      </c>
      <c r="H60" s="463">
        <v>49134.32</v>
      </c>
      <c r="I60" s="271">
        <f t="shared" si="0"/>
        <v>0</v>
      </c>
      <c r="J60" s="449"/>
    </row>
    <row r="61" spans="1:10" ht="40.5" customHeight="1" x14ac:dyDescent="0.25">
      <c r="A61" s="434">
        <v>45671</v>
      </c>
      <c r="B61" s="435"/>
      <c r="C61" s="435"/>
      <c r="D61" s="435">
        <f t="shared" ref="D61:D70" si="1">+D60+1</f>
        <v>37176</v>
      </c>
      <c r="E61" s="436" t="s">
        <v>942</v>
      </c>
      <c r="F61" s="436" t="s">
        <v>943</v>
      </c>
      <c r="G61" s="437">
        <v>23600</v>
      </c>
      <c r="H61" s="437">
        <v>19600</v>
      </c>
      <c r="I61" s="271">
        <f t="shared" si="0"/>
        <v>4000</v>
      </c>
      <c r="J61" s="449"/>
    </row>
    <row r="62" spans="1:10" ht="40.5" customHeight="1" x14ac:dyDescent="0.25">
      <c r="A62" s="434">
        <v>45674</v>
      </c>
      <c r="B62" s="435"/>
      <c r="C62" s="435"/>
      <c r="D62" s="435">
        <f t="shared" si="1"/>
        <v>37177</v>
      </c>
      <c r="E62" s="436" t="s">
        <v>944</v>
      </c>
      <c r="F62" s="436" t="s">
        <v>945</v>
      </c>
      <c r="G62" s="437">
        <v>21673.46</v>
      </c>
      <c r="H62" s="437">
        <v>18000</v>
      </c>
      <c r="I62" s="271">
        <f t="shared" si="0"/>
        <v>3673.4599999999991</v>
      </c>
      <c r="J62" s="449"/>
    </row>
    <row r="63" spans="1:10" ht="40.5" customHeight="1" x14ac:dyDescent="0.25">
      <c r="A63" s="434">
        <v>45679</v>
      </c>
      <c r="B63" s="435"/>
      <c r="C63" s="435"/>
      <c r="D63" s="435">
        <f t="shared" si="1"/>
        <v>37178</v>
      </c>
      <c r="E63" s="436" t="s">
        <v>946</v>
      </c>
      <c r="F63" s="436" t="s">
        <v>947</v>
      </c>
      <c r="G63" s="437">
        <v>18061.22</v>
      </c>
      <c r="H63" s="437">
        <v>15000</v>
      </c>
      <c r="I63" s="271">
        <f t="shared" si="0"/>
        <v>3061.2200000000012</v>
      </c>
      <c r="J63" s="449"/>
    </row>
    <row r="64" spans="1:10" ht="40.5" customHeight="1" x14ac:dyDescent="0.25">
      <c r="A64" s="434">
        <v>45679</v>
      </c>
      <c r="B64" s="435"/>
      <c r="C64" s="435"/>
      <c r="D64" s="435">
        <f t="shared" si="1"/>
        <v>37179</v>
      </c>
      <c r="E64" s="436" t="s">
        <v>948</v>
      </c>
      <c r="F64" s="436" t="s">
        <v>948</v>
      </c>
      <c r="G64" s="437">
        <v>0</v>
      </c>
      <c r="H64" s="437">
        <v>0</v>
      </c>
      <c r="I64" s="271">
        <f t="shared" si="0"/>
        <v>0</v>
      </c>
      <c r="J64" s="449"/>
    </row>
    <row r="65" spans="1:10" ht="40.5" customHeight="1" x14ac:dyDescent="0.25">
      <c r="A65" s="434">
        <v>45679</v>
      </c>
      <c r="B65" s="435"/>
      <c r="C65" s="435"/>
      <c r="D65" s="435">
        <f t="shared" si="1"/>
        <v>37180</v>
      </c>
      <c r="E65" s="436" t="s">
        <v>949</v>
      </c>
      <c r="F65" s="436" t="s">
        <v>950</v>
      </c>
      <c r="G65" s="437">
        <v>42142.86</v>
      </c>
      <c r="H65" s="437">
        <v>35000</v>
      </c>
      <c r="I65" s="271">
        <f t="shared" si="0"/>
        <v>7142.8600000000006</v>
      </c>
      <c r="J65" s="449"/>
    </row>
    <row r="66" spans="1:10" ht="40.5" customHeight="1" x14ac:dyDescent="0.25">
      <c r="A66" s="434">
        <v>45679</v>
      </c>
      <c r="B66" s="435"/>
      <c r="C66" s="435"/>
      <c r="D66" s="435">
        <f t="shared" si="1"/>
        <v>37181</v>
      </c>
      <c r="E66" s="191" t="s">
        <v>955</v>
      </c>
      <c r="F66" s="443" t="s">
        <v>956</v>
      </c>
      <c r="G66" s="437">
        <v>50927.38</v>
      </c>
      <c r="H66" s="437">
        <v>50927.38</v>
      </c>
      <c r="I66" s="271">
        <f t="shared" si="0"/>
        <v>0</v>
      </c>
      <c r="J66" s="449"/>
    </row>
    <row r="67" spans="1:10" ht="40.5" customHeight="1" x14ac:dyDescent="0.25">
      <c r="A67" s="434">
        <v>45681</v>
      </c>
      <c r="B67" s="435"/>
      <c r="C67" s="435"/>
      <c r="D67" s="435">
        <f t="shared" si="1"/>
        <v>37182</v>
      </c>
      <c r="E67" s="436" t="s">
        <v>951</v>
      </c>
      <c r="F67" s="436" t="s">
        <v>954</v>
      </c>
      <c r="G67" s="437">
        <v>18061.22</v>
      </c>
      <c r="H67" s="437">
        <v>15000</v>
      </c>
      <c r="I67" s="271">
        <f t="shared" si="0"/>
        <v>3061.2200000000012</v>
      </c>
      <c r="J67" s="449"/>
    </row>
    <row r="68" spans="1:10" ht="40.5" customHeight="1" x14ac:dyDescent="0.25">
      <c r="A68" s="434">
        <v>45681</v>
      </c>
      <c r="B68" s="435"/>
      <c r="C68" s="435"/>
      <c r="D68" s="435">
        <f t="shared" si="1"/>
        <v>37183</v>
      </c>
      <c r="E68" s="436" t="s">
        <v>952</v>
      </c>
      <c r="F68" s="436" t="s">
        <v>953</v>
      </c>
      <c r="G68" s="437">
        <v>21673.47</v>
      </c>
      <c r="H68" s="437">
        <v>18000</v>
      </c>
      <c r="I68" s="271">
        <f t="shared" si="0"/>
        <v>3673.4700000000012</v>
      </c>
      <c r="J68" s="449"/>
    </row>
    <row r="69" spans="1:10" ht="40.5" customHeight="1" x14ac:dyDescent="0.25">
      <c r="A69" s="434">
        <v>45685</v>
      </c>
      <c r="B69" s="435"/>
      <c r="C69" s="435"/>
      <c r="D69" s="435">
        <f t="shared" si="1"/>
        <v>37184</v>
      </c>
      <c r="E69" s="436" t="s">
        <v>957</v>
      </c>
      <c r="F69" s="436" t="s">
        <v>958</v>
      </c>
      <c r="G69" s="437">
        <v>31306.12</v>
      </c>
      <c r="H69" s="437">
        <v>26000</v>
      </c>
      <c r="I69" s="271">
        <f t="shared" si="0"/>
        <v>5306.119999999999</v>
      </c>
      <c r="J69" s="449"/>
    </row>
    <row r="70" spans="1:10" ht="40.5" customHeight="1" x14ac:dyDescent="0.25">
      <c r="A70" s="434">
        <v>45685</v>
      </c>
      <c r="B70" s="435"/>
      <c r="C70" s="435"/>
      <c r="D70" s="435">
        <f t="shared" si="1"/>
        <v>37185</v>
      </c>
      <c r="E70" s="450" t="s">
        <v>940</v>
      </c>
      <c r="F70" s="436" t="s">
        <v>941</v>
      </c>
      <c r="G70" s="437">
        <v>3400</v>
      </c>
      <c r="H70" s="437">
        <v>3400</v>
      </c>
      <c r="I70" s="271">
        <f t="shared" si="0"/>
        <v>0</v>
      </c>
      <c r="J70" s="449"/>
    </row>
    <row r="71" spans="1:10" ht="40.5" customHeight="1" x14ac:dyDescent="0.25">
      <c r="G71" s="453">
        <f>SUM(G10:G70)</f>
        <v>76869860.259999976</v>
      </c>
      <c r="H71" s="453"/>
      <c r="I71" s="448"/>
      <c r="J71" s="449"/>
    </row>
    <row r="72" spans="1:10" ht="40.5" customHeight="1" x14ac:dyDescent="0.25">
      <c r="G72" s="453"/>
      <c r="H72" s="453"/>
      <c r="I72" s="448"/>
      <c r="J72" s="449"/>
    </row>
    <row r="73" spans="1:10" ht="40.5" customHeight="1" x14ac:dyDescent="0.25">
      <c r="G73" s="453"/>
      <c r="H73" s="453"/>
      <c r="I73" s="448"/>
      <c r="J73" s="449"/>
    </row>
    <row r="74" spans="1:10" ht="40.5" customHeight="1" thickBot="1" x14ac:dyDescent="0.3">
      <c r="G74" s="453"/>
      <c r="H74" s="453"/>
      <c r="I74" s="448"/>
      <c r="J74" s="449"/>
    </row>
    <row r="75" spans="1:10" ht="40.5" customHeight="1" x14ac:dyDescent="0.3">
      <c r="A75" s="545" t="s">
        <v>1249</v>
      </c>
      <c r="B75" s="546"/>
      <c r="C75" s="547"/>
      <c r="G75" s="453"/>
      <c r="H75" s="453"/>
      <c r="I75" s="448"/>
      <c r="J75" s="449"/>
    </row>
    <row r="76" spans="1:10" ht="40.5" customHeight="1" x14ac:dyDescent="0.3">
      <c r="A76" s="548" t="s">
        <v>1271</v>
      </c>
      <c r="B76" s="549"/>
      <c r="C76" s="533">
        <v>11495300.289999979</v>
      </c>
      <c r="D76" s="536"/>
      <c r="E76" s="537"/>
      <c r="G76" s="453"/>
      <c r="H76" s="453"/>
      <c r="I76" s="448"/>
      <c r="J76" s="449"/>
    </row>
    <row r="77" spans="1:10" ht="40.5" customHeight="1" x14ac:dyDescent="0.3">
      <c r="A77" s="548" t="s">
        <v>1272</v>
      </c>
      <c r="B77" s="549"/>
      <c r="C77" s="534">
        <f>+G66+G60</f>
        <v>100061.7</v>
      </c>
      <c r="G77" s="453"/>
      <c r="H77" s="453"/>
      <c r="I77" s="448"/>
      <c r="J77" s="449"/>
    </row>
    <row r="78" spans="1:10" ht="40.5" customHeight="1" x14ac:dyDescent="0.3">
      <c r="A78" s="548" t="s">
        <v>1273</v>
      </c>
      <c r="B78" s="549"/>
      <c r="C78" s="534">
        <f>+G38+G39+G40</f>
        <v>65091179.919999994</v>
      </c>
      <c r="G78" s="453"/>
      <c r="H78" s="453"/>
      <c r="I78" s="448"/>
      <c r="J78" s="449"/>
    </row>
    <row r="79" spans="1:10" ht="40.5" customHeight="1" thickBot="1" x14ac:dyDescent="0.35">
      <c r="A79" s="550" t="s">
        <v>1274</v>
      </c>
      <c r="B79" s="551"/>
      <c r="C79" s="535">
        <f>+G70+G69+G68+G67+G65+G63+G62+G61+G59</f>
        <v>183318.35</v>
      </c>
      <c r="G79" s="453"/>
      <c r="H79" s="453"/>
      <c r="I79" s="448"/>
      <c r="J79" s="449"/>
    </row>
    <row r="80" spans="1:10" ht="40.5" customHeight="1" x14ac:dyDescent="0.25">
      <c r="G80" s="453"/>
      <c r="H80" s="453"/>
      <c r="I80" s="448"/>
      <c r="J80" s="449"/>
    </row>
    <row r="81" spans="3:10" ht="40.5" customHeight="1" x14ac:dyDescent="0.25">
      <c r="C81" s="536"/>
      <c r="G81" s="453"/>
      <c r="H81" s="453"/>
      <c r="I81" s="448"/>
      <c r="J81" s="449"/>
    </row>
    <row r="82" spans="3:10" ht="40.5" customHeight="1" x14ac:dyDescent="0.25">
      <c r="G82" s="453"/>
      <c r="H82" s="453"/>
      <c r="I82" s="448"/>
      <c r="J82" s="449"/>
    </row>
    <row r="83" spans="3:10" ht="40.5" customHeight="1" x14ac:dyDescent="0.25">
      <c r="G83" s="453"/>
      <c r="H83" s="453"/>
      <c r="I83" s="448"/>
      <c r="J83" s="449"/>
    </row>
    <row r="84" spans="3:10" ht="40.5" customHeight="1" x14ac:dyDescent="0.25">
      <c r="G84" s="453"/>
      <c r="H84" s="453"/>
      <c r="I84" s="448"/>
      <c r="J84" s="449"/>
    </row>
    <row r="85" spans="3:10" ht="40.5" customHeight="1" x14ac:dyDescent="0.25">
      <c r="G85" s="453"/>
      <c r="H85" s="453"/>
      <c r="I85" s="448"/>
      <c r="J85" s="449"/>
    </row>
    <row r="86" spans="3:10" ht="40.5" customHeight="1" x14ac:dyDescent="0.25">
      <c r="G86" s="453"/>
      <c r="H86" s="453"/>
      <c r="I86" s="448"/>
      <c r="J86" s="449"/>
    </row>
    <row r="87" spans="3:10" ht="40.5" customHeight="1" x14ac:dyDescent="0.25">
      <c r="G87" s="453"/>
      <c r="H87" s="453"/>
      <c r="I87" s="448"/>
      <c r="J87" s="449"/>
    </row>
    <row r="88" spans="3:10" ht="40.5" customHeight="1" x14ac:dyDescent="0.25">
      <c r="G88" s="453"/>
      <c r="H88" s="453"/>
      <c r="I88" s="448"/>
      <c r="J88" s="449"/>
    </row>
    <row r="89" spans="3:10" ht="40.5" customHeight="1" x14ac:dyDescent="0.25">
      <c r="G89" s="453"/>
      <c r="H89" s="453"/>
      <c r="I89" s="448"/>
      <c r="J89" s="449"/>
    </row>
    <row r="90" spans="3:10" ht="40.5" customHeight="1" x14ac:dyDescent="0.25">
      <c r="G90" s="453"/>
      <c r="H90" s="453"/>
      <c r="I90" s="448"/>
      <c r="J90" s="449"/>
    </row>
    <row r="91" spans="3:10" ht="40.5" customHeight="1" x14ac:dyDescent="0.25">
      <c r="G91" s="453"/>
      <c r="H91" s="453"/>
      <c r="I91" s="448"/>
      <c r="J91" s="449"/>
    </row>
    <row r="92" spans="3:10" ht="40.5" customHeight="1" x14ac:dyDescent="0.25">
      <c r="G92" s="453"/>
      <c r="H92" s="453"/>
      <c r="I92" s="448"/>
      <c r="J92" s="449"/>
    </row>
    <row r="93" spans="3:10" ht="40.5" customHeight="1" x14ac:dyDescent="0.25">
      <c r="G93" s="453"/>
      <c r="H93" s="453"/>
      <c r="I93" s="448"/>
      <c r="J93" s="449"/>
    </row>
    <row r="94" spans="3:10" ht="40.5" customHeight="1" x14ac:dyDescent="0.25">
      <c r="G94" s="453"/>
      <c r="H94" s="453"/>
      <c r="I94" s="448"/>
      <c r="J94" s="449"/>
    </row>
    <row r="95" spans="3:10" ht="40.5" customHeight="1" x14ac:dyDescent="0.25">
      <c r="G95" s="453"/>
      <c r="H95" s="453"/>
      <c r="I95" s="448"/>
      <c r="J95" s="449"/>
    </row>
    <row r="96" spans="3:10" ht="40.5" customHeight="1" x14ac:dyDescent="0.25">
      <c r="G96" s="453"/>
      <c r="H96" s="453"/>
      <c r="I96" s="448"/>
      <c r="J96" s="449"/>
    </row>
    <row r="97" spans="7:10" ht="40.5" customHeight="1" x14ac:dyDescent="0.25">
      <c r="G97" s="453"/>
      <c r="H97" s="453"/>
      <c r="I97" s="448"/>
      <c r="J97" s="449"/>
    </row>
    <row r="98" spans="7:10" ht="40.5" customHeight="1" x14ac:dyDescent="0.25">
      <c r="G98" s="453"/>
      <c r="H98" s="453"/>
      <c r="I98" s="448"/>
      <c r="J98" s="449"/>
    </row>
    <row r="99" spans="7:10" ht="40.5" customHeight="1" x14ac:dyDescent="0.25">
      <c r="G99" s="453"/>
      <c r="H99" s="453"/>
      <c r="I99" s="448"/>
      <c r="J99" s="449"/>
    </row>
    <row r="100" spans="7:10" ht="40.5" customHeight="1" x14ac:dyDescent="0.25">
      <c r="G100" s="453"/>
      <c r="H100" s="453"/>
      <c r="I100" s="448"/>
      <c r="J100" s="449"/>
    </row>
    <row r="101" spans="7:10" ht="40.5" customHeight="1" x14ac:dyDescent="0.25">
      <c r="G101" s="453"/>
      <c r="H101" s="453"/>
      <c r="I101" s="448"/>
      <c r="J101" s="449"/>
    </row>
    <row r="102" spans="7:10" ht="40.5" customHeight="1" x14ac:dyDescent="0.25">
      <c r="G102" s="453"/>
      <c r="H102" s="453"/>
      <c r="I102" s="448"/>
      <c r="J102" s="449"/>
    </row>
    <row r="103" spans="7:10" ht="40.5" customHeight="1" x14ac:dyDescent="0.25">
      <c r="G103" s="453"/>
      <c r="H103" s="453"/>
      <c r="I103" s="448"/>
      <c r="J103" s="449"/>
    </row>
    <row r="104" spans="7:10" ht="40.5" customHeight="1" x14ac:dyDescent="0.25">
      <c r="G104" s="453"/>
      <c r="H104" s="453"/>
      <c r="I104" s="448"/>
      <c r="J104" s="449"/>
    </row>
    <row r="105" spans="7:10" ht="40.5" customHeight="1" x14ac:dyDescent="0.25">
      <c r="G105" s="453"/>
      <c r="H105" s="453"/>
      <c r="I105" s="448"/>
      <c r="J105" s="449"/>
    </row>
    <row r="106" spans="7:10" ht="40.5" customHeight="1" x14ac:dyDescent="0.25">
      <c r="G106" s="453"/>
      <c r="H106" s="453"/>
      <c r="I106" s="448"/>
      <c r="J106" s="449"/>
    </row>
    <row r="107" spans="7:10" ht="40.5" customHeight="1" x14ac:dyDescent="0.25">
      <c r="G107" s="453"/>
      <c r="H107" s="453"/>
      <c r="I107" s="448"/>
      <c r="J107" s="449"/>
    </row>
    <row r="108" spans="7:10" ht="40.5" customHeight="1" x14ac:dyDescent="0.25">
      <c r="G108" s="453"/>
      <c r="H108" s="453"/>
      <c r="I108" s="448"/>
      <c r="J108" s="449"/>
    </row>
    <row r="109" spans="7:10" ht="40.5" customHeight="1" x14ac:dyDescent="0.25">
      <c r="G109" s="453"/>
      <c r="H109" s="453"/>
      <c r="I109" s="448"/>
      <c r="J109" s="449"/>
    </row>
    <row r="110" spans="7:10" ht="40.5" customHeight="1" x14ac:dyDescent="0.25">
      <c r="G110" s="453"/>
      <c r="H110" s="453"/>
      <c r="I110" s="448"/>
      <c r="J110" s="449"/>
    </row>
    <row r="111" spans="7:10" ht="40.5" customHeight="1" x14ac:dyDescent="0.25">
      <c r="G111" s="453"/>
      <c r="H111" s="453"/>
      <c r="I111" s="448"/>
      <c r="J111" s="449"/>
    </row>
    <row r="112" spans="7:10" ht="40.5" customHeight="1" x14ac:dyDescent="0.25">
      <c r="G112" s="453"/>
      <c r="H112" s="453"/>
      <c r="I112" s="448"/>
      <c r="J112" s="449"/>
    </row>
    <row r="113" spans="7:10" ht="40.5" customHeight="1" x14ac:dyDescent="0.25">
      <c r="G113" s="453"/>
      <c r="H113" s="453"/>
      <c r="I113" s="448"/>
      <c r="J113" s="449"/>
    </row>
    <row r="114" spans="7:10" ht="40.5" customHeight="1" x14ac:dyDescent="0.25">
      <c r="G114" s="453"/>
      <c r="H114" s="453"/>
      <c r="I114" s="448"/>
      <c r="J114" s="449"/>
    </row>
    <row r="115" spans="7:10" ht="40.5" customHeight="1" x14ac:dyDescent="0.25">
      <c r="G115" s="453"/>
      <c r="H115" s="453"/>
      <c r="I115" s="448"/>
      <c r="J115" s="449"/>
    </row>
    <row r="116" spans="7:10" ht="40.5" customHeight="1" x14ac:dyDescent="0.25">
      <c r="G116" s="453"/>
      <c r="H116" s="453"/>
      <c r="I116" s="448"/>
      <c r="J116" s="449"/>
    </row>
    <row r="117" spans="7:10" ht="40.5" customHeight="1" x14ac:dyDescent="0.25">
      <c r="G117" s="453"/>
      <c r="H117" s="453"/>
      <c r="I117" s="448"/>
      <c r="J117" s="449"/>
    </row>
    <row r="118" spans="7:10" ht="40.5" customHeight="1" x14ac:dyDescent="0.25">
      <c r="G118" s="453"/>
      <c r="H118" s="453"/>
      <c r="I118" s="448"/>
      <c r="J118" s="449"/>
    </row>
    <row r="119" spans="7:10" ht="40.5" customHeight="1" x14ac:dyDescent="0.25">
      <c r="G119" s="453"/>
      <c r="H119" s="453"/>
      <c r="I119" s="448"/>
      <c r="J119" s="449"/>
    </row>
    <row r="120" spans="7:10" ht="40.5" customHeight="1" x14ac:dyDescent="0.25">
      <c r="G120" s="453"/>
      <c r="H120" s="453"/>
      <c r="I120" s="448"/>
      <c r="J120" s="449"/>
    </row>
    <row r="121" spans="7:10" ht="40.5" customHeight="1" x14ac:dyDescent="0.25">
      <c r="G121" s="453"/>
      <c r="H121" s="453"/>
      <c r="I121" s="448"/>
      <c r="J121" s="449"/>
    </row>
    <row r="122" spans="7:10" ht="40.5" customHeight="1" x14ac:dyDescent="0.25">
      <c r="G122" s="453"/>
      <c r="H122" s="453"/>
      <c r="I122" s="448"/>
      <c r="J122" s="449"/>
    </row>
    <row r="123" spans="7:10" ht="40.5" customHeight="1" x14ac:dyDescent="0.25">
      <c r="G123" s="453"/>
      <c r="H123" s="453"/>
      <c r="I123" s="448"/>
      <c r="J123" s="449"/>
    </row>
    <row r="124" spans="7:10" ht="40.5" customHeight="1" x14ac:dyDescent="0.25">
      <c r="G124" s="453"/>
      <c r="H124" s="453"/>
      <c r="I124" s="448"/>
      <c r="J124" s="449"/>
    </row>
    <row r="125" spans="7:10" ht="40.5" customHeight="1" x14ac:dyDescent="0.25">
      <c r="G125" s="453"/>
      <c r="H125" s="453"/>
      <c r="I125" s="448"/>
      <c r="J125" s="449"/>
    </row>
    <row r="126" spans="7:10" ht="40.5" customHeight="1" x14ac:dyDescent="0.25">
      <c r="G126" s="453"/>
      <c r="H126" s="453"/>
      <c r="I126" s="448"/>
      <c r="J126" s="449"/>
    </row>
    <row r="127" spans="7:10" ht="40.5" customHeight="1" x14ac:dyDescent="0.25">
      <c r="G127" s="453"/>
      <c r="H127" s="453"/>
      <c r="I127" s="448"/>
      <c r="J127" s="449"/>
    </row>
    <row r="128" spans="7:10" ht="40.5" customHeight="1" x14ac:dyDescent="0.25">
      <c r="G128" s="453"/>
      <c r="H128" s="453"/>
      <c r="I128" s="448"/>
      <c r="J128" s="449"/>
    </row>
    <row r="129" spans="7:10" ht="40.5" customHeight="1" x14ac:dyDescent="0.25">
      <c r="G129" s="453"/>
      <c r="H129" s="453"/>
      <c r="I129" s="448"/>
      <c r="J129" s="449"/>
    </row>
    <row r="130" spans="7:10" ht="40.5" customHeight="1" x14ac:dyDescent="0.25">
      <c r="G130" s="453"/>
      <c r="H130" s="453"/>
      <c r="I130" s="448"/>
      <c r="J130" s="449"/>
    </row>
    <row r="131" spans="7:10" ht="40.5" customHeight="1" x14ac:dyDescent="0.25">
      <c r="G131" s="453"/>
      <c r="H131" s="453"/>
      <c r="I131" s="448"/>
      <c r="J131" s="449"/>
    </row>
    <row r="132" spans="7:10" ht="40.5" customHeight="1" x14ac:dyDescent="0.25">
      <c r="G132" s="453"/>
      <c r="H132" s="453"/>
      <c r="I132" s="448"/>
      <c r="J132" s="449"/>
    </row>
    <row r="133" spans="7:10" ht="40.5" customHeight="1" x14ac:dyDescent="0.25">
      <c r="G133" s="453"/>
      <c r="H133" s="453"/>
      <c r="I133" s="448"/>
      <c r="J133" s="449"/>
    </row>
    <row r="134" spans="7:10" ht="40.5" customHeight="1" x14ac:dyDescent="0.25">
      <c r="G134" s="453"/>
      <c r="H134" s="453"/>
      <c r="I134" s="448"/>
      <c r="J134" s="449"/>
    </row>
    <row r="135" spans="7:10" ht="40.5" customHeight="1" x14ac:dyDescent="0.25">
      <c r="G135" s="453"/>
      <c r="H135" s="453"/>
      <c r="I135" s="448"/>
      <c r="J135" s="449"/>
    </row>
    <row r="136" spans="7:10" ht="40.5" customHeight="1" x14ac:dyDescent="0.25">
      <c r="G136" s="453"/>
      <c r="H136" s="453"/>
      <c r="I136" s="448"/>
      <c r="J136" s="449"/>
    </row>
    <row r="137" spans="7:10" ht="40.5" customHeight="1" x14ac:dyDescent="0.25">
      <c r="G137" s="453"/>
      <c r="H137" s="453"/>
      <c r="I137" s="448"/>
      <c r="J137" s="449"/>
    </row>
    <row r="138" spans="7:10" ht="40.5" customHeight="1" x14ac:dyDescent="0.25">
      <c r="G138" s="453"/>
      <c r="H138" s="453"/>
      <c r="I138" s="448"/>
      <c r="J138" s="449"/>
    </row>
    <row r="139" spans="7:10" ht="40.5" customHeight="1" x14ac:dyDescent="0.25">
      <c r="G139" s="453"/>
      <c r="H139" s="453"/>
      <c r="I139" s="448"/>
      <c r="J139" s="449"/>
    </row>
    <row r="140" spans="7:10" ht="40.5" customHeight="1" x14ac:dyDescent="0.25">
      <c r="G140" s="449">
        <f>SUM(G10:G58)</f>
        <v>76586480.209999993</v>
      </c>
      <c r="H140" s="449"/>
      <c r="J140" s="449"/>
    </row>
    <row r="141" spans="7:10" ht="40.5" customHeight="1" x14ac:dyDescent="0.25">
      <c r="G141" s="449"/>
      <c r="H141" s="449"/>
      <c r="J141" s="449"/>
    </row>
    <row r="142" spans="7:10" ht="40.5" customHeight="1" x14ac:dyDescent="0.25">
      <c r="G142" s="449"/>
      <c r="H142" s="449"/>
      <c r="J142" s="449"/>
    </row>
    <row r="143" spans="7:10" ht="40.5" customHeight="1" x14ac:dyDescent="0.25">
      <c r="G143" s="449"/>
      <c r="H143" s="449"/>
      <c r="J143" s="449"/>
    </row>
  </sheetData>
  <sortState xmlns:xlrd2="http://schemas.microsoft.com/office/spreadsheetml/2017/richdata2" ref="A38:G58">
    <sortCondition ref="B38:B58"/>
  </sortState>
  <mergeCells count="5">
    <mergeCell ref="A75:C75"/>
    <mergeCell ref="A76:B76"/>
    <mergeCell ref="A77:B77"/>
    <mergeCell ref="A78:B78"/>
    <mergeCell ref="A79:B79"/>
  </mergeCells>
  <pageMargins left="0.70866141732283472" right="0.70866141732283472" top="0.74803149606299213" bottom="0.74803149606299213" header="0.31496062992125984" footer="0.31496062992125984"/>
  <pageSetup scale="41" orientation="landscape" r:id="rId1"/>
  <rowBreaks count="1" manualBreakCount="1">
    <brk id="70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Z109"/>
  <sheetViews>
    <sheetView tabSelected="1" topLeftCell="A77" zoomScale="89" zoomScaleNormal="89" workbookViewId="0">
      <selection activeCell="H108" sqref="H5:H108"/>
    </sheetView>
  </sheetViews>
  <sheetFormatPr baseColWidth="10" defaultColWidth="11.44140625" defaultRowHeight="14.4" x14ac:dyDescent="0.3"/>
  <cols>
    <col min="1" max="1" width="21.88671875" style="211" customWidth="1"/>
    <col min="2" max="2" width="23.44140625" style="211" customWidth="1"/>
    <col min="3" max="3" width="24" style="211" customWidth="1"/>
    <col min="4" max="4" width="22.5546875" style="211" customWidth="1"/>
    <col min="5" max="6" width="13.44140625" style="211" customWidth="1"/>
    <col min="7" max="7" width="30.109375" style="211" customWidth="1"/>
    <col min="8" max="8" width="20.109375" style="379" customWidth="1"/>
    <col min="9" max="9" width="16.33203125" style="211" customWidth="1"/>
    <col min="10" max="10" width="13.44140625" style="211" customWidth="1"/>
    <col min="11" max="11" width="30.109375" style="211" customWidth="1"/>
    <col min="12" max="12" width="27" style="211" customWidth="1"/>
    <col min="13" max="13" width="13.44140625" style="211" customWidth="1"/>
    <col min="14" max="14" width="10.5546875" style="211" customWidth="1"/>
    <col min="15" max="15" width="18.109375" style="379" customWidth="1"/>
    <col min="16" max="16" width="13.44140625" style="211" customWidth="1"/>
    <col min="17" max="17" width="27.44140625" style="357" customWidth="1"/>
    <col min="18" max="18" width="0" hidden="1" customWidth="1"/>
    <col min="19" max="19" width="5.33203125" style="211" customWidth="1"/>
    <col min="20" max="256" width="9.109375" style="211" customWidth="1"/>
    <col min="257" max="257" width="21.88671875" style="211" customWidth="1"/>
    <col min="258" max="258" width="23.44140625" style="211" customWidth="1"/>
    <col min="259" max="259" width="24" style="211" customWidth="1"/>
    <col min="260" max="260" width="22.5546875" style="211" customWidth="1"/>
    <col min="261" max="262" width="13.44140625" style="211" customWidth="1"/>
    <col min="263" max="263" width="30.109375" style="211" customWidth="1"/>
    <col min="264" max="264" width="20.109375" style="211" customWidth="1"/>
    <col min="265" max="265" width="16.33203125" style="211" customWidth="1"/>
    <col min="266" max="266" width="13.44140625" style="211" customWidth="1"/>
    <col min="267" max="267" width="30.109375" style="211" customWidth="1"/>
    <col min="268" max="268" width="27" style="211" customWidth="1"/>
    <col min="269" max="269" width="13.44140625" style="211" customWidth="1"/>
    <col min="270" max="270" width="10.5546875" style="211" customWidth="1"/>
    <col min="271" max="271" width="18.109375" style="211" customWidth="1"/>
    <col min="272" max="272" width="13.44140625" style="211" customWidth="1"/>
    <col min="273" max="273" width="27.44140625" style="211" customWidth="1"/>
    <col min="274" max="274" width="0" hidden="1" customWidth="1"/>
    <col min="275" max="275" width="5.33203125" style="211" customWidth="1"/>
    <col min="276" max="512" width="9.109375" style="211" customWidth="1"/>
    <col min="513" max="513" width="21.88671875" style="211" customWidth="1"/>
    <col min="514" max="514" width="23.44140625" style="211" customWidth="1"/>
    <col min="515" max="515" width="24" style="211" customWidth="1"/>
    <col min="516" max="516" width="22.5546875" style="211" customWidth="1"/>
    <col min="517" max="518" width="13.44140625" style="211" customWidth="1"/>
    <col min="519" max="519" width="30.109375" style="211" customWidth="1"/>
    <col min="520" max="520" width="20.109375" style="211" customWidth="1"/>
    <col min="521" max="521" width="16.33203125" style="211" customWidth="1"/>
    <col min="522" max="522" width="13.44140625" style="211" customWidth="1"/>
    <col min="523" max="523" width="30.109375" style="211" customWidth="1"/>
    <col min="524" max="524" width="27" style="211" customWidth="1"/>
    <col min="525" max="525" width="13.44140625" style="211" customWidth="1"/>
    <col min="526" max="526" width="10.5546875" style="211" customWidth="1"/>
    <col min="527" max="527" width="18.109375" style="211" customWidth="1"/>
    <col min="528" max="528" width="13.44140625" style="211" customWidth="1"/>
    <col min="529" max="529" width="27.44140625" style="211" customWidth="1"/>
    <col min="530" max="530" width="0" hidden="1" customWidth="1"/>
    <col min="531" max="531" width="5.33203125" style="211" customWidth="1"/>
    <col min="532" max="768" width="9.109375" style="211" customWidth="1"/>
    <col min="769" max="769" width="21.88671875" style="211" customWidth="1"/>
    <col min="770" max="770" width="23.44140625" style="211" customWidth="1"/>
    <col min="771" max="771" width="24" style="211" customWidth="1"/>
    <col min="772" max="772" width="22.5546875" style="211" customWidth="1"/>
    <col min="773" max="774" width="13.44140625" style="211" customWidth="1"/>
    <col min="775" max="775" width="30.109375" style="211" customWidth="1"/>
    <col min="776" max="776" width="20.109375" style="211" customWidth="1"/>
    <col min="777" max="777" width="16.33203125" style="211" customWidth="1"/>
    <col min="778" max="778" width="13.44140625" style="211" customWidth="1"/>
    <col min="779" max="779" width="30.109375" style="211" customWidth="1"/>
    <col min="780" max="780" width="27" style="211" customWidth="1"/>
    <col min="781" max="781" width="13.44140625" style="211" customWidth="1"/>
    <col min="782" max="782" width="10.5546875" style="211" customWidth="1"/>
    <col min="783" max="783" width="18.109375" style="211" customWidth="1"/>
    <col min="784" max="784" width="13.44140625" style="211" customWidth="1"/>
    <col min="785" max="785" width="27.44140625" style="211" customWidth="1"/>
    <col min="786" max="786" width="0" hidden="1" customWidth="1"/>
    <col min="787" max="787" width="5.33203125" style="211" customWidth="1"/>
    <col min="788" max="1024" width="9.109375" style="211" customWidth="1"/>
    <col min="1025" max="1025" width="21.88671875" style="211" customWidth="1"/>
    <col min="1026" max="1026" width="23.44140625" style="211" customWidth="1"/>
    <col min="1027" max="1027" width="24" style="211" customWidth="1"/>
    <col min="1028" max="1028" width="22.5546875" style="211" customWidth="1"/>
    <col min="1029" max="1030" width="13.44140625" style="211" customWidth="1"/>
    <col min="1031" max="1031" width="30.109375" style="211" customWidth="1"/>
    <col min="1032" max="1032" width="20.109375" style="211" customWidth="1"/>
    <col min="1033" max="1033" width="16.33203125" style="211" customWidth="1"/>
    <col min="1034" max="1034" width="13.44140625" style="211" customWidth="1"/>
    <col min="1035" max="1035" width="30.109375" style="211" customWidth="1"/>
    <col min="1036" max="1036" width="27" style="211" customWidth="1"/>
    <col min="1037" max="1037" width="13.44140625" style="211" customWidth="1"/>
    <col min="1038" max="1038" width="10.5546875" style="211" customWidth="1"/>
    <col min="1039" max="1039" width="18.109375" style="211" customWidth="1"/>
    <col min="1040" max="1040" width="13.44140625" style="211" customWidth="1"/>
    <col min="1041" max="1041" width="27.44140625" style="211" customWidth="1"/>
    <col min="1042" max="1042" width="0" hidden="1" customWidth="1"/>
    <col min="1043" max="1043" width="5.33203125" style="211" customWidth="1"/>
    <col min="1044" max="1280" width="9.109375" style="211" customWidth="1"/>
    <col min="1281" max="1281" width="21.88671875" style="211" customWidth="1"/>
    <col min="1282" max="1282" width="23.44140625" style="211" customWidth="1"/>
    <col min="1283" max="1283" width="24" style="211" customWidth="1"/>
    <col min="1284" max="1284" width="22.5546875" style="211" customWidth="1"/>
    <col min="1285" max="1286" width="13.44140625" style="211" customWidth="1"/>
    <col min="1287" max="1287" width="30.109375" style="211" customWidth="1"/>
    <col min="1288" max="1288" width="20.109375" style="211" customWidth="1"/>
    <col min="1289" max="1289" width="16.33203125" style="211" customWidth="1"/>
    <col min="1290" max="1290" width="13.44140625" style="211" customWidth="1"/>
    <col min="1291" max="1291" width="30.109375" style="211" customWidth="1"/>
    <col min="1292" max="1292" width="27" style="211" customWidth="1"/>
    <col min="1293" max="1293" width="13.44140625" style="211" customWidth="1"/>
    <col min="1294" max="1294" width="10.5546875" style="211" customWidth="1"/>
    <col min="1295" max="1295" width="18.109375" style="211" customWidth="1"/>
    <col min="1296" max="1296" width="13.44140625" style="211" customWidth="1"/>
    <col min="1297" max="1297" width="27.44140625" style="211" customWidth="1"/>
    <col min="1298" max="1298" width="0" hidden="1" customWidth="1"/>
    <col min="1299" max="1299" width="5.33203125" style="211" customWidth="1"/>
    <col min="1300" max="1536" width="9.109375" style="211" customWidth="1"/>
    <col min="1537" max="1537" width="21.88671875" style="211" customWidth="1"/>
    <col min="1538" max="1538" width="23.44140625" style="211" customWidth="1"/>
    <col min="1539" max="1539" width="24" style="211" customWidth="1"/>
    <col min="1540" max="1540" width="22.5546875" style="211" customWidth="1"/>
    <col min="1541" max="1542" width="13.44140625" style="211" customWidth="1"/>
    <col min="1543" max="1543" width="30.109375" style="211" customWidth="1"/>
    <col min="1544" max="1544" width="20.109375" style="211" customWidth="1"/>
    <col min="1545" max="1545" width="16.33203125" style="211" customWidth="1"/>
    <col min="1546" max="1546" width="13.44140625" style="211" customWidth="1"/>
    <col min="1547" max="1547" width="30.109375" style="211" customWidth="1"/>
    <col min="1548" max="1548" width="27" style="211" customWidth="1"/>
    <col min="1549" max="1549" width="13.44140625" style="211" customWidth="1"/>
    <col min="1550" max="1550" width="10.5546875" style="211" customWidth="1"/>
    <col min="1551" max="1551" width="18.109375" style="211" customWidth="1"/>
    <col min="1552" max="1552" width="13.44140625" style="211" customWidth="1"/>
    <col min="1553" max="1553" width="27.44140625" style="211" customWidth="1"/>
    <col min="1554" max="1554" width="0" hidden="1" customWidth="1"/>
    <col min="1555" max="1555" width="5.33203125" style="211" customWidth="1"/>
    <col min="1556" max="1792" width="9.109375" style="211" customWidth="1"/>
    <col min="1793" max="1793" width="21.88671875" style="211" customWidth="1"/>
    <col min="1794" max="1794" width="23.44140625" style="211" customWidth="1"/>
    <col min="1795" max="1795" width="24" style="211" customWidth="1"/>
    <col min="1796" max="1796" width="22.5546875" style="211" customWidth="1"/>
    <col min="1797" max="1798" width="13.44140625" style="211" customWidth="1"/>
    <col min="1799" max="1799" width="30.109375" style="211" customWidth="1"/>
    <col min="1800" max="1800" width="20.109375" style="211" customWidth="1"/>
    <col min="1801" max="1801" width="16.33203125" style="211" customWidth="1"/>
    <col min="1802" max="1802" width="13.44140625" style="211" customWidth="1"/>
    <col min="1803" max="1803" width="30.109375" style="211" customWidth="1"/>
    <col min="1804" max="1804" width="27" style="211" customWidth="1"/>
    <col min="1805" max="1805" width="13.44140625" style="211" customWidth="1"/>
    <col min="1806" max="1806" width="10.5546875" style="211" customWidth="1"/>
    <col min="1807" max="1807" width="18.109375" style="211" customWidth="1"/>
    <col min="1808" max="1808" width="13.44140625" style="211" customWidth="1"/>
    <col min="1809" max="1809" width="27.44140625" style="211" customWidth="1"/>
    <col min="1810" max="1810" width="0" hidden="1" customWidth="1"/>
    <col min="1811" max="1811" width="5.33203125" style="211" customWidth="1"/>
    <col min="1812" max="2048" width="9.109375" style="211" customWidth="1"/>
    <col min="2049" max="2049" width="21.88671875" style="211" customWidth="1"/>
    <col min="2050" max="2050" width="23.44140625" style="211" customWidth="1"/>
    <col min="2051" max="2051" width="24" style="211" customWidth="1"/>
    <col min="2052" max="2052" width="22.5546875" style="211" customWidth="1"/>
    <col min="2053" max="2054" width="13.44140625" style="211" customWidth="1"/>
    <col min="2055" max="2055" width="30.109375" style="211" customWidth="1"/>
    <col min="2056" max="2056" width="20.109375" style="211" customWidth="1"/>
    <col min="2057" max="2057" width="16.33203125" style="211" customWidth="1"/>
    <col min="2058" max="2058" width="13.44140625" style="211" customWidth="1"/>
    <col min="2059" max="2059" width="30.109375" style="211" customWidth="1"/>
    <col min="2060" max="2060" width="27" style="211" customWidth="1"/>
    <col min="2061" max="2061" width="13.44140625" style="211" customWidth="1"/>
    <col min="2062" max="2062" width="10.5546875" style="211" customWidth="1"/>
    <col min="2063" max="2063" width="18.109375" style="211" customWidth="1"/>
    <col min="2064" max="2064" width="13.44140625" style="211" customWidth="1"/>
    <col min="2065" max="2065" width="27.44140625" style="211" customWidth="1"/>
    <col min="2066" max="2066" width="0" hidden="1" customWidth="1"/>
    <col min="2067" max="2067" width="5.33203125" style="211" customWidth="1"/>
    <col min="2068" max="2304" width="9.109375" style="211" customWidth="1"/>
    <col min="2305" max="2305" width="21.88671875" style="211" customWidth="1"/>
    <col min="2306" max="2306" width="23.44140625" style="211" customWidth="1"/>
    <col min="2307" max="2307" width="24" style="211" customWidth="1"/>
    <col min="2308" max="2308" width="22.5546875" style="211" customWidth="1"/>
    <col min="2309" max="2310" width="13.44140625" style="211" customWidth="1"/>
    <col min="2311" max="2311" width="30.109375" style="211" customWidth="1"/>
    <col min="2312" max="2312" width="20.109375" style="211" customWidth="1"/>
    <col min="2313" max="2313" width="16.33203125" style="211" customWidth="1"/>
    <col min="2314" max="2314" width="13.44140625" style="211" customWidth="1"/>
    <col min="2315" max="2315" width="30.109375" style="211" customWidth="1"/>
    <col min="2316" max="2316" width="27" style="211" customWidth="1"/>
    <col min="2317" max="2317" width="13.44140625" style="211" customWidth="1"/>
    <col min="2318" max="2318" width="10.5546875" style="211" customWidth="1"/>
    <col min="2319" max="2319" width="18.109375" style="211" customWidth="1"/>
    <col min="2320" max="2320" width="13.44140625" style="211" customWidth="1"/>
    <col min="2321" max="2321" width="27.44140625" style="211" customWidth="1"/>
    <col min="2322" max="2322" width="0" hidden="1" customWidth="1"/>
    <col min="2323" max="2323" width="5.33203125" style="211" customWidth="1"/>
    <col min="2324" max="2560" width="9.109375" style="211" customWidth="1"/>
    <col min="2561" max="2561" width="21.88671875" style="211" customWidth="1"/>
    <col min="2562" max="2562" width="23.44140625" style="211" customWidth="1"/>
    <col min="2563" max="2563" width="24" style="211" customWidth="1"/>
    <col min="2564" max="2564" width="22.5546875" style="211" customWidth="1"/>
    <col min="2565" max="2566" width="13.44140625" style="211" customWidth="1"/>
    <col min="2567" max="2567" width="30.109375" style="211" customWidth="1"/>
    <col min="2568" max="2568" width="20.109375" style="211" customWidth="1"/>
    <col min="2569" max="2569" width="16.33203125" style="211" customWidth="1"/>
    <col min="2570" max="2570" width="13.44140625" style="211" customWidth="1"/>
    <col min="2571" max="2571" width="30.109375" style="211" customWidth="1"/>
    <col min="2572" max="2572" width="27" style="211" customWidth="1"/>
    <col min="2573" max="2573" width="13.44140625" style="211" customWidth="1"/>
    <col min="2574" max="2574" width="10.5546875" style="211" customWidth="1"/>
    <col min="2575" max="2575" width="18.109375" style="211" customWidth="1"/>
    <col min="2576" max="2576" width="13.44140625" style="211" customWidth="1"/>
    <col min="2577" max="2577" width="27.44140625" style="211" customWidth="1"/>
    <col min="2578" max="2578" width="0" hidden="1" customWidth="1"/>
    <col min="2579" max="2579" width="5.33203125" style="211" customWidth="1"/>
    <col min="2580" max="2816" width="9.109375" style="211" customWidth="1"/>
    <col min="2817" max="2817" width="21.88671875" style="211" customWidth="1"/>
    <col min="2818" max="2818" width="23.44140625" style="211" customWidth="1"/>
    <col min="2819" max="2819" width="24" style="211" customWidth="1"/>
    <col min="2820" max="2820" width="22.5546875" style="211" customWidth="1"/>
    <col min="2821" max="2822" width="13.44140625" style="211" customWidth="1"/>
    <col min="2823" max="2823" width="30.109375" style="211" customWidth="1"/>
    <col min="2824" max="2824" width="20.109375" style="211" customWidth="1"/>
    <col min="2825" max="2825" width="16.33203125" style="211" customWidth="1"/>
    <col min="2826" max="2826" width="13.44140625" style="211" customWidth="1"/>
    <col min="2827" max="2827" width="30.109375" style="211" customWidth="1"/>
    <col min="2828" max="2828" width="27" style="211" customWidth="1"/>
    <col min="2829" max="2829" width="13.44140625" style="211" customWidth="1"/>
    <col min="2830" max="2830" width="10.5546875" style="211" customWidth="1"/>
    <col min="2831" max="2831" width="18.109375" style="211" customWidth="1"/>
    <col min="2832" max="2832" width="13.44140625" style="211" customWidth="1"/>
    <col min="2833" max="2833" width="27.44140625" style="211" customWidth="1"/>
    <col min="2834" max="2834" width="0" hidden="1" customWidth="1"/>
    <col min="2835" max="2835" width="5.33203125" style="211" customWidth="1"/>
    <col min="2836" max="3072" width="9.109375" style="211" customWidth="1"/>
    <col min="3073" max="3073" width="21.88671875" style="211" customWidth="1"/>
    <col min="3074" max="3074" width="23.44140625" style="211" customWidth="1"/>
    <col min="3075" max="3075" width="24" style="211" customWidth="1"/>
    <col min="3076" max="3076" width="22.5546875" style="211" customWidth="1"/>
    <col min="3077" max="3078" width="13.44140625" style="211" customWidth="1"/>
    <col min="3079" max="3079" width="30.109375" style="211" customWidth="1"/>
    <col min="3080" max="3080" width="20.109375" style="211" customWidth="1"/>
    <col min="3081" max="3081" width="16.33203125" style="211" customWidth="1"/>
    <col min="3082" max="3082" width="13.44140625" style="211" customWidth="1"/>
    <col min="3083" max="3083" width="30.109375" style="211" customWidth="1"/>
    <col min="3084" max="3084" width="27" style="211" customWidth="1"/>
    <col min="3085" max="3085" width="13.44140625" style="211" customWidth="1"/>
    <col min="3086" max="3086" width="10.5546875" style="211" customWidth="1"/>
    <col min="3087" max="3087" width="18.109375" style="211" customWidth="1"/>
    <col min="3088" max="3088" width="13.44140625" style="211" customWidth="1"/>
    <col min="3089" max="3089" width="27.44140625" style="211" customWidth="1"/>
    <col min="3090" max="3090" width="0" hidden="1" customWidth="1"/>
    <col min="3091" max="3091" width="5.33203125" style="211" customWidth="1"/>
    <col min="3092" max="3328" width="9.109375" style="211" customWidth="1"/>
    <col min="3329" max="3329" width="21.88671875" style="211" customWidth="1"/>
    <col min="3330" max="3330" width="23.44140625" style="211" customWidth="1"/>
    <col min="3331" max="3331" width="24" style="211" customWidth="1"/>
    <col min="3332" max="3332" width="22.5546875" style="211" customWidth="1"/>
    <col min="3333" max="3334" width="13.44140625" style="211" customWidth="1"/>
    <col min="3335" max="3335" width="30.109375" style="211" customWidth="1"/>
    <col min="3336" max="3336" width="20.109375" style="211" customWidth="1"/>
    <col min="3337" max="3337" width="16.33203125" style="211" customWidth="1"/>
    <col min="3338" max="3338" width="13.44140625" style="211" customWidth="1"/>
    <col min="3339" max="3339" width="30.109375" style="211" customWidth="1"/>
    <col min="3340" max="3340" width="27" style="211" customWidth="1"/>
    <col min="3341" max="3341" width="13.44140625" style="211" customWidth="1"/>
    <col min="3342" max="3342" width="10.5546875" style="211" customWidth="1"/>
    <col min="3343" max="3343" width="18.109375" style="211" customWidth="1"/>
    <col min="3344" max="3344" width="13.44140625" style="211" customWidth="1"/>
    <col min="3345" max="3345" width="27.44140625" style="211" customWidth="1"/>
    <col min="3346" max="3346" width="0" hidden="1" customWidth="1"/>
    <col min="3347" max="3347" width="5.33203125" style="211" customWidth="1"/>
    <col min="3348" max="3584" width="9.109375" style="211" customWidth="1"/>
    <col min="3585" max="3585" width="21.88671875" style="211" customWidth="1"/>
    <col min="3586" max="3586" width="23.44140625" style="211" customWidth="1"/>
    <col min="3587" max="3587" width="24" style="211" customWidth="1"/>
    <col min="3588" max="3588" width="22.5546875" style="211" customWidth="1"/>
    <col min="3589" max="3590" width="13.44140625" style="211" customWidth="1"/>
    <col min="3591" max="3591" width="30.109375" style="211" customWidth="1"/>
    <col min="3592" max="3592" width="20.109375" style="211" customWidth="1"/>
    <col min="3593" max="3593" width="16.33203125" style="211" customWidth="1"/>
    <col min="3594" max="3594" width="13.44140625" style="211" customWidth="1"/>
    <col min="3595" max="3595" width="30.109375" style="211" customWidth="1"/>
    <col min="3596" max="3596" width="27" style="211" customWidth="1"/>
    <col min="3597" max="3597" width="13.44140625" style="211" customWidth="1"/>
    <col min="3598" max="3598" width="10.5546875" style="211" customWidth="1"/>
    <col min="3599" max="3599" width="18.109375" style="211" customWidth="1"/>
    <col min="3600" max="3600" width="13.44140625" style="211" customWidth="1"/>
    <col min="3601" max="3601" width="27.44140625" style="211" customWidth="1"/>
    <col min="3602" max="3602" width="0" hidden="1" customWidth="1"/>
    <col min="3603" max="3603" width="5.33203125" style="211" customWidth="1"/>
    <col min="3604" max="3840" width="9.109375" style="211" customWidth="1"/>
    <col min="3841" max="3841" width="21.88671875" style="211" customWidth="1"/>
    <col min="3842" max="3842" width="23.44140625" style="211" customWidth="1"/>
    <col min="3843" max="3843" width="24" style="211" customWidth="1"/>
    <col min="3844" max="3844" width="22.5546875" style="211" customWidth="1"/>
    <col min="3845" max="3846" width="13.44140625" style="211" customWidth="1"/>
    <col min="3847" max="3847" width="30.109375" style="211" customWidth="1"/>
    <col min="3848" max="3848" width="20.109375" style="211" customWidth="1"/>
    <col min="3849" max="3849" width="16.33203125" style="211" customWidth="1"/>
    <col min="3850" max="3850" width="13.44140625" style="211" customWidth="1"/>
    <col min="3851" max="3851" width="30.109375" style="211" customWidth="1"/>
    <col min="3852" max="3852" width="27" style="211" customWidth="1"/>
    <col min="3853" max="3853" width="13.44140625" style="211" customWidth="1"/>
    <col min="3854" max="3854" width="10.5546875" style="211" customWidth="1"/>
    <col min="3855" max="3855" width="18.109375" style="211" customWidth="1"/>
    <col min="3856" max="3856" width="13.44140625" style="211" customWidth="1"/>
    <col min="3857" max="3857" width="27.44140625" style="211" customWidth="1"/>
    <col min="3858" max="3858" width="0" hidden="1" customWidth="1"/>
    <col min="3859" max="3859" width="5.33203125" style="211" customWidth="1"/>
    <col min="3860" max="4096" width="9.109375" style="211" customWidth="1"/>
    <col min="4097" max="4097" width="21.88671875" style="211" customWidth="1"/>
    <col min="4098" max="4098" width="23.44140625" style="211" customWidth="1"/>
    <col min="4099" max="4099" width="24" style="211" customWidth="1"/>
    <col min="4100" max="4100" width="22.5546875" style="211" customWidth="1"/>
    <col min="4101" max="4102" width="13.44140625" style="211" customWidth="1"/>
    <col min="4103" max="4103" width="30.109375" style="211" customWidth="1"/>
    <col min="4104" max="4104" width="20.109375" style="211" customWidth="1"/>
    <col min="4105" max="4105" width="16.33203125" style="211" customWidth="1"/>
    <col min="4106" max="4106" width="13.44140625" style="211" customWidth="1"/>
    <col min="4107" max="4107" width="30.109375" style="211" customWidth="1"/>
    <col min="4108" max="4108" width="27" style="211" customWidth="1"/>
    <col min="4109" max="4109" width="13.44140625" style="211" customWidth="1"/>
    <col min="4110" max="4110" width="10.5546875" style="211" customWidth="1"/>
    <col min="4111" max="4111" width="18.109375" style="211" customWidth="1"/>
    <col min="4112" max="4112" width="13.44140625" style="211" customWidth="1"/>
    <col min="4113" max="4113" width="27.44140625" style="211" customWidth="1"/>
    <col min="4114" max="4114" width="0" hidden="1" customWidth="1"/>
    <col min="4115" max="4115" width="5.33203125" style="211" customWidth="1"/>
    <col min="4116" max="4352" width="9.109375" style="211" customWidth="1"/>
    <col min="4353" max="4353" width="21.88671875" style="211" customWidth="1"/>
    <col min="4354" max="4354" width="23.44140625" style="211" customWidth="1"/>
    <col min="4355" max="4355" width="24" style="211" customWidth="1"/>
    <col min="4356" max="4356" width="22.5546875" style="211" customWidth="1"/>
    <col min="4357" max="4358" width="13.44140625" style="211" customWidth="1"/>
    <col min="4359" max="4359" width="30.109375" style="211" customWidth="1"/>
    <col min="4360" max="4360" width="20.109375" style="211" customWidth="1"/>
    <col min="4361" max="4361" width="16.33203125" style="211" customWidth="1"/>
    <col min="4362" max="4362" width="13.44140625" style="211" customWidth="1"/>
    <col min="4363" max="4363" width="30.109375" style="211" customWidth="1"/>
    <col min="4364" max="4364" width="27" style="211" customWidth="1"/>
    <col min="4365" max="4365" width="13.44140625" style="211" customWidth="1"/>
    <col min="4366" max="4366" width="10.5546875" style="211" customWidth="1"/>
    <col min="4367" max="4367" width="18.109375" style="211" customWidth="1"/>
    <col min="4368" max="4368" width="13.44140625" style="211" customWidth="1"/>
    <col min="4369" max="4369" width="27.44140625" style="211" customWidth="1"/>
    <col min="4370" max="4370" width="0" hidden="1" customWidth="1"/>
    <col min="4371" max="4371" width="5.33203125" style="211" customWidth="1"/>
    <col min="4372" max="4608" width="9.109375" style="211" customWidth="1"/>
    <col min="4609" max="4609" width="21.88671875" style="211" customWidth="1"/>
    <col min="4610" max="4610" width="23.44140625" style="211" customWidth="1"/>
    <col min="4611" max="4611" width="24" style="211" customWidth="1"/>
    <col min="4612" max="4612" width="22.5546875" style="211" customWidth="1"/>
    <col min="4613" max="4614" width="13.44140625" style="211" customWidth="1"/>
    <col min="4615" max="4615" width="30.109375" style="211" customWidth="1"/>
    <col min="4616" max="4616" width="20.109375" style="211" customWidth="1"/>
    <col min="4617" max="4617" width="16.33203125" style="211" customWidth="1"/>
    <col min="4618" max="4618" width="13.44140625" style="211" customWidth="1"/>
    <col min="4619" max="4619" width="30.109375" style="211" customWidth="1"/>
    <col min="4620" max="4620" width="27" style="211" customWidth="1"/>
    <col min="4621" max="4621" width="13.44140625" style="211" customWidth="1"/>
    <col min="4622" max="4622" width="10.5546875" style="211" customWidth="1"/>
    <col min="4623" max="4623" width="18.109375" style="211" customWidth="1"/>
    <col min="4624" max="4624" width="13.44140625" style="211" customWidth="1"/>
    <col min="4625" max="4625" width="27.44140625" style="211" customWidth="1"/>
    <col min="4626" max="4626" width="0" hidden="1" customWidth="1"/>
    <col min="4627" max="4627" width="5.33203125" style="211" customWidth="1"/>
    <col min="4628" max="4864" width="9.109375" style="211" customWidth="1"/>
    <col min="4865" max="4865" width="21.88671875" style="211" customWidth="1"/>
    <col min="4866" max="4866" width="23.44140625" style="211" customWidth="1"/>
    <col min="4867" max="4867" width="24" style="211" customWidth="1"/>
    <col min="4868" max="4868" width="22.5546875" style="211" customWidth="1"/>
    <col min="4869" max="4870" width="13.44140625" style="211" customWidth="1"/>
    <col min="4871" max="4871" width="30.109375" style="211" customWidth="1"/>
    <col min="4872" max="4872" width="20.109375" style="211" customWidth="1"/>
    <col min="4873" max="4873" width="16.33203125" style="211" customWidth="1"/>
    <col min="4874" max="4874" width="13.44140625" style="211" customWidth="1"/>
    <col min="4875" max="4875" width="30.109375" style="211" customWidth="1"/>
    <col min="4876" max="4876" width="27" style="211" customWidth="1"/>
    <col min="4877" max="4877" width="13.44140625" style="211" customWidth="1"/>
    <col min="4878" max="4878" width="10.5546875" style="211" customWidth="1"/>
    <col min="4879" max="4879" width="18.109375" style="211" customWidth="1"/>
    <col min="4880" max="4880" width="13.44140625" style="211" customWidth="1"/>
    <col min="4881" max="4881" width="27.44140625" style="211" customWidth="1"/>
    <col min="4882" max="4882" width="0" hidden="1" customWidth="1"/>
    <col min="4883" max="4883" width="5.33203125" style="211" customWidth="1"/>
    <col min="4884" max="5120" width="9.109375" style="211" customWidth="1"/>
    <col min="5121" max="5121" width="21.88671875" style="211" customWidth="1"/>
    <col min="5122" max="5122" width="23.44140625" style="211" customWidth="1"/>
    <col min="5123" max="5123" width="24" style="211" customWidth="1"/>
    <col min="5124" max="5124" width="22.5546875" style="211" customWidth="1"/>
    <col min="5125" max="5126" width="13.44140625" style="211" customWidth="1"/>
    <col min="5127" max="5127" width="30.109375" style="211" customWidth="1"/>
    <col min="5128" max="5128" width="20.109375" style="211" customWidth="1"/>
    <col min="5129" max="5129" width="16.33203125" style="211" customWidth="1"/>
    <col min="5130" max="5130" width="13.44140625" style="211" customWidth="1"/>
    <col min="5131" max="5131" width="30.109375" style="211" customWidth="1"/>
    <col min="5132" max="5132" width="27" style="211" customWidth="1"/>
    <col min="5133" max="5133" width="13.44140625" style="211" customWidth="1"/>
    <col min="5134" max="5134" width="10.5546875" style="211" customWidth="1"/>
    <col min="5135" max="5135" width="18.109375" style="211" customWidth="1"/>
    <col min="5136" max="5136" width="13.44140625" style="211" customWidth="1"/>
    <col min="5137" max="5137" width="27.44140625" style="211" customWidth="1"/>
    <col min="5138" max="5138" width="0" hidden="1" customWidth="1"/>
    <col min="5139" max="5139" width="5.33203125" style="211" customWidth="1"/>
    <col min="5140" max="5376" width="9.109375" style="211" customWidth="1"/>
    <col min="5377" max="5377" width="21.88671875" style="211" customWidth="1"/>
    <col min="5378" max="5378" width="23.44140625" style="211" customWidth="1"/>
    <col min="5379" max="5379" width="24" style="211" customWidth="1"/>
    <col min="5380" max="5380" width="22.5546875" style="211" customWidth="1"/>
    <col min="5381" max="5382" width="13.44140625" style="211" customWidth="1"/>
    <col min="5383" max="5383" width="30.109375" style="211" customWidth="1"/>
    <col min="5384" max="5384" width="20.109375" style="211" customWidth="1"/>
    <col min="5385" max="5385" width="16.33203125" style="211" customWidth="1"/>
    <col min="5386" max="5386" width="13.44140625" style="211" customWidth="1"/>
    <col min="5387" max="5387" width="30.109375" style="211" customWidth="1"/>
    <col min="5388" max="5388" width="27" style="211" customWidth="1"/>
    <col min="5389" max="5389" width="13.44140625" style="211" customWidth="1"/>
    <col min="5390" max="5390" width="10.5546875" style="211" customWidth="1"/>
    <col min="5391" max="5391" width="18.109375" style="211" customWidth="1"/>
    <col min="5392" max="5392" width="13.44140625" style="211" customWidth="1"/>
    <col min="5393" max="5393" width="27.44140625" style="211" customWidth="1"/>
    <col min="5394" max="5394" width="0" hidden="1" customWidth="1"/>
    <col min="5395" max="5395" width="5.33203125" style="211" customWidth="1"/>
    <col min="5396" max="5632" width="9.109375" style="211" customWidth="1"/>
    <col min="5633" max="5633" width="21.88671875" style="211" customWidth="1"/>
    <col min="5634" max="5634" width="23.44140625" style="211" customWidth="1"/>
    <col min="5635" max="5635" width="24" style="211" customWidth="1"/>
    <col min="5636" max="5636" width="22.5546875" style="211" customWidth="1"/>
    <col min="5637" max="5638" width="13.44140625" style="211" customWidth="1"/>
    <col min="5639" max="5639" width="30.109375" style="211" customWidth="1"/>
    <col min="5640" max="5640" width="20.109375" style="211" customWidth="1"/>
    <col min="5641" max="5641" width="16.33203125" style="211" customWidth="1"/>
    <col min="5642" max="5642" width="13.44140625" style="211" customWidth="1"/>
    <col min="5643" max="5643" width="30.109375" style="211" customWidth="1"/>
    <col min="5644" max="5644" width="27" style="211" customWidth="1"/>
    <col min="5645" max="5645" width="13.44140625" style="211" customWidth="1"/>
    <col min="5646" max="5646" width="10.5546875" style="211" customWidth="1"/>
    <col min="5647" max="5647" width="18.109375" style="211" customWidth="1"/>
    <col min="5648" max="5648" width="13.44140625" style="211" customWidth="1"/>
    <col min="5649" max="5649" width="27.44140625" style="211" customWidth="1"/>
    <col min="5650" max="5650" width="0" hidden="1" customWidth="1"/>
    <col min="5651" max="5651" width="5.33203125" style="211" customWidth="1"/>
    <col min="5652" max="5888" width="9.109375" style="211" customWidth="1"/>
    <col min="5889" max="5889" width="21.88671875" style="211" customWidth="1"/>
    <col min="5890" max="5890" width="23.44140625" style="211" customWidth="1"/>
    <col min="5891" max="5891" width="24" style="211" customWidth="1"/>
    <col min="5892" max="5892" width="22.5546875" style="211" customWidth="1"/>
    <col min="5893" max="5894" width="13.44140625" style="211" customWidth="1"/>
    <col min="5895" max="5895" width="30.109375" style="211" customWidth="1"/>
    <col min="5896" max="5896" width="20.109375" style="211" customWidth="1"/>
    <col min="5897" max="5897" width="16.33203125" style="211" customWidth="1"/>
    <col min="5898" max="5898" width="13.44140625" style="211" customWidth="1"/>
    <col min="5899" max="5899" width="30.109375" style="211" customWidth="1"/>
    <col min="5900" max="5900" width="27" style="211" customWidth="1"/>
    <col min="5901" max="5901" width="13.44140625" style="211" customWidth="1"/>
    <col min="5902" max="5902" width="10.5546875" style="211" customWidth="1"/>
    <col min="5903" max="5903" width="18.109375" style="211" customWidth="1"/>
    <col min="5904" max="5904" width="13.44140625" style="211" customWidth="1"/>
    <col min="5905" max="5905" width="27.44140625" style="211" customWidth="1"/>
    <col min="5906" max="5906" width="0" hidden="1" customWidth="1"/>
    <col min="5907" max="5907" width="5.33203125" style="211" customWidth="1"/>
    <col min="5908" max="6144" width="9.109375" style="211" customWidth="1"/>
    <col min="6145" max="6145" width="21.88671875" style="211" customWidth="1"/>
    <col min="6146" max="6146" width="23.44140625" style="211" customWidth="1"/>
    <col min="6147" max="6147" width="24" style="211" customWidth="1"/>
    <col min="6148" max="6148" width="22.5546875" style="211" customWidth="1"/>
    <col min="6149" max="6150" width="13.44140625" style="211" customWidth="1"/>
    <col min="6151" max="6151" width="30.109375" style="211" customWidth="1"/>
    <col min="6152" max="6152" width="20.109375" style="211" customWidth="1"/>
    <col min="6153" max="6153" width="16.33203125" style="211" customWidth="1"/>
    <col min="6154" max="6154" width="13.44140625" style="211" customWidth="1"/>
    <col min="6155" max="6155" width="30.109375" style="211" customWidth="1"/>
    <col min="6156" max="6156" width="27" style="211" customWidth="1"/>
    <col min="6157" max="6157" width="13.44140625" style="211" customWidth="1"/>
    <col min="6158" max="6158" width="10.5546875" style="211" customWidth="1"/>
    <col min="6159" max="6159" width="18.109375" style="211" customWidth="1"/>
    <col min="6160" max="6160" width="13.44140625" style="211" customWidth="1"/>
    <col min="6161" max="6161" width="27.44140625" style="211" customWidth="1"/>
    <col min="6162" max="6162" width="0" hidden="1" customWidth="1"/>
    <col min="6163" max="6163" width="5.33203125" style="211" customWidth="1"/>
    <col min="6164" max="6400" width="9.109375" style="211" customWidth="1"/>
    <col min="6401" max="6401" width="21.88671875" style="211" customWidth="1"/>
    <col min="6402" max="6402" width="23.44140625" style="211" customWidth="1"/>
    <col min="6403" max="6403" width="24" style="211" customWidth="1"/>
    <col min="6404" max="6404" width="22.5546875" style="211" customWidth="1"/>
    <col min="6405" max="6406" width="13.44140625" style="211" customWidth="1"/>
    <col min="6407" max="6407" width="30.109375" style="211" customWidth="1"/>
    <col min="6408" max="6408" width="20.109375" style="211" customWidth="1"/>
    <col min="6409" max="6409" width="16.33203125" style="211" customWidth="1"/>
    <col min="6410" max="6410" width="13.44140625" style="211" customWidth="1"/>
    <col min="6411" max="6411" width="30.109375" style="211" customWidth="1"/>
    <col min="6412" max="6412" width="27" style="211" customWidth="1"/>
    <col min="6413" max="6413" width="13.44140625" style="211" customWidth="1"/>
    <col min="6414" max="6414" width="10.5546875" style="211" customWidth="1"/>
    <col min="6415" max="6415" width="18.109375" style="211" customWidth="1"/>
    <col min="6416" max="6416" width="13.44140625" style="211" customWidth="1"/>
    <col min="6417" max="6417" width="27.44140625" style="211" customWidth="1"/>
    <col min="6418" max="6418" width="0" hidden="1" customWidth="1"/>
    <col min="6419" max="6419" width="5.33203125" style="211" customWidth="1"/>
    <col min="6420" max="6656" width="9.109375" style="211" customWidth="1"/>
    <col min="6657" max="6657" width="21.88671875" style="211" customWidth="1"/>
    <col min="6658" max="6658" width="23.44140625" style="211" customWidth="1"/>
    <col min="6659" max="6659" width="24" style="211" customWidth="1"/>
    <col min="6660" max="6660" width="22.5546875" style="211" customWidth="1"/>
    <col min="6661" max="6662" width="13.44140625" style="211" customWidth="1"/>
    <col min="6663" max="6663" width="30.109375" style="211" customWidth="1"/>
    <col min="6664" max="6664" width="20.109375" style="211" customWidth="1"/>
    <col min="6665" max="6665" width="16.33203125" style="211" customWidth="1"/>
    <col min="6666" max="6666" width="13.44140625" style="211" customWidth="1"/>
    <col min="6667" max="6667" width="30.109375" style="211" customWidth="1"/>
    <col min="6668" max="6668" width="27" style="211" customWidth="1"/>
    <col min="6669" max="6669" width="13.44140625" style="211" customWidth="1"/>
    <col min="6670" max="6670" width="10.5546875" style="211" customWidth="1"/>
    <col min="6671" max="6671" width="18.109375" style="211" customWidth="1"/>
    <col min="6672" max="6672" width="13.44140625" style="211" customWidth="1"/>
    <col min="6673" max="6673" width="27.44140625" style="211" customWidth="1"/>
    <col min="6674" max="6674" width="0" hidden="1" customWidth="1"/>
    <col min="6675" max="6675" width="5.33203125" style="211" customWidth="1"/>
    <col min="6676" max="6912" width="9.109375" style="211" customWidth="1"/>
    <col min="6913" max="6913" width="21.88671875" style="211" customWidth="1"/>
    <col min="6914" max="6914" width="23.44140625" style="211" customWidth="1"/>
    <col min="6915" max="6915" width="24" style="211" customWidth="1"/>
    <col min="6916" max="6916" width="22.5546875" style="211" customWidth="1"/>
    <col min="6917" max="6918" width="13.44140625" style="211" customWidth="1"/>
    <col min="6919" max="6919" width="30.109375" style="211" customWidth="1"/>
    <col min="6920" max="6920" width="20.109375" style="211" customWidth="1"/>
    <col min="6921" max="6921" width="16.33203125" style="211" customWidth="1"/>
    <col min="6922" max="6922" width="13.44140625" style="211" customWidth="1"/>
    <col min="6923" max="6923" width="30.109375" style="211" customWidth="1"/>
    <col min="6924" max="6924" width="27" style="211" customWidth="1"/>
    <col min="6925" max="6925" width="13.44140625" style="211" customWidth="1"/>
    <col min="6926" max="6926" width="10.5546875" style="211" customWidth="1"/>
    <col min="6927" max="6927" width="18.109375" style="211" customWidth="1"/>
    <col min="6928" max="6928" width="13.44140625" style="211" customWidth="1"/>
    <col min="6929" max="6929" width="27.44140625" style="211" customWidth="1"/>
    <col min="6930" max="6930" width="0" hidden="1" customWidth="1"/>
    <col min="6931" max="6931" width="5.33203125" style="211" customWidth="1"/>
    <col min="6932" max="7168" width="9.109375" style="211" customWidth="1"/>
    <col min="7169" max="7169" width="21.88671875" style="211" customWidth="1"/>
    <col min="7170" max="7170" width="23.44140625" style="211" customWidth="1"/>
    <col min="7171" max="7171" width="24" style="211" customWidth="1"/>
    <col min="7172" max="7172" width="22.5546875" style="211" customWidth="1"/>
    <col min="7173" max="7174" width="13.44140625" style="211" customWidth="1"/>
    <col min="7175" max="7175" width="30.109375" style="211" customWidth="1"/>
    <col min="7176" max="7176" width="20.109375" style="211" customWidth="1"/>
    <col min="7177" max="7177" width="16.33203125" style="211" customWidth="1"/>
    <col min="7178" max="7178" width="13.44140625" style="211" customWidth="1"/>
    <col min="7179" max="7179" width="30.109375" style="211" customWidth="1"/>
    <col min="7180" max="7180" width="27" style="211" customWidth="1"/>
    <col min="7181" max="7181" width="13.44140625" style="211" customWidth="1"/>
    <col min="7182" max="7182" width="10.5546875" style="211" customWidth="1"/>
    <col min="7183" max="7183" width="18.109375" style="211" customWidth="1"/>
    <col min="7184" max="7184" width="13.44140625" style="211" customWidth="1"/>
    <col min="7185" max="7185" width="27.44140625" style="211" customWidth="1"/>
    <col min="7186" max="7186" width="0" hidden="1" customWidth="1"/>
    <col min="7187" max="7187" width="5.33203125" style="211" customWidth="1"/>
    <col min="7188" max="7424" width="9.109375" style="211" customWidth="1"/>
    <col min="7425" max="7425" width="21.88671875" style="211" customWidth="1"/>
    <col min="7426" max="7426" width="23.44140625" style="211" customWidth="1"/>
    <col min="7427" max="7427" width="24" style="211" customWidth="1"/>
    <col min="7428" max="7428" width="22.5546875" style="211" customWidth="1"/>
    <col min="7429" max="7430" width="13.44140625" style="211" customWidth="1"/>
    <col min="7431" max="7431" width="30.109375" style="211" customWidth="1"/>
    <col min="7432" max="7432" width="20.109375" style="211" customWidth="1"/>
    <col min="7433" max="7433" width="16.33203125" style="211" customWidth="1"/>
    <col min="7434" max="7434" width="13.44140625" style="211" customWidth="1"/>
    <col min="7435" max="7435" width="30.109375" style="211" customWidth="1"/>
    <col min="7436" max="7436" width="27" style="211" customWidth="1"/>
    <col min="7437" max="7437" width="13.44140625" style="211" customWidth="1"/>
    <col min="7438" max="7438" width="10.5546875" style="211" customWidth="1"/>
    <col min="7439" max="7439" width="18.109375" style="211" customWidth="1"/>
    <col min="7440" max="7440" width="13.44140625" style="211" customWidth="1"/>
    <col min="7441" max="7441" width="27.44140625" style="211" customWidth="1"/>
    <col min="7442" max="7442" width="0" hidden="1" customWidth="1"/>
    <col min="7443" max="7443" width="5.33203125" style="211" customWidth="1"/>
    <col min="7444" max="7680" width="9.109375" style="211" customWidth="1"/>
    <col min="7681" max="7681" width="21.88671875" style="211" customWidth="1"/>
    <col min="7682" max="7682" width="23.44140625" style="211" customWidth="1"/>
    <col min="7683" max="7683" width="24" style="211" customWidth="1"/>
    <col min="7684" max="7684" width="22.5546875" style="211" customWidth="1"/>
    <col min="7685" max="7686" width="13.44140625" style="211" customWidth="1"/>
    <col min="7687" max="7687" width="30.109375" style="211" customWidth="1"/>
    <col min="7688" max="7688" width="20.109375" style="211" customWidth="1"/>
    <col min="7689" max="7689" width="16.33203125" style="211" customWidth="1"/>
    <col min="7690" max="7690" width="13.44140625" style="211" customWidth="1"/>
    <col min="7691" max="7691" width="30.109375" style="211" customWidth="1"/>
    <col min="7692" max="7692" width="27" style="211" customWidth="1"/>
    <col min="7693" max="7693" width="13.44140625" style="211" customWidth="1"/>
    <col min="7694" max="7694" width="10.5546875" style="211" customWidth="1"/>
    <col min="7695" max="7695" width="18.109375" style="211" customWidth="1"/>
    <col min="7696" max="7696" width="13.44140625" style="211" customWidth="1"/>
    <col min="7697" max="7697" width="27.44140625" style="211" customWidth="1"/>
    <col min="7698" max="7698" width="0" hidden="1" customWidth="1"/>
    <col min="7699" max="7699" width="5.33203125" style="211" customWidth="1"/>
    <col min="7700" max="7936" width="9.109375" style="211" customWidth="1"/>
    <col min="7937" max="7937" width="21.88671875" style="211" customWidth="1"/>
    <col min="7938" max="7938" width="23.44140625" style="211" customWidth="1"/>
    <col min="7939" max="7939" width="24" style="211" customWidth="1"/>
    <col min="7940" max="7940" width="22.5546875" style="211" customWidth="1"/>
    <col min="7941" max="7942" width="13.44140625" style="211" customWidth="1"/>
    <col min="7943" max="7943" width="30.109375" style="211" customWidth="1"/>
    <col min="7944" max="7944" width="20.109375" style="211" customWidth="1"/>
    <col min="7945" max="7945" width="16.33203125" style="211" customWidth="1"/>
    <col min="7946" max="7946" width="13.44140625" style="211" customWidth="1"/>
    <col min="7947" max="7947" width="30.109375" style="211" customWidth="1"/>
    <col min="7948" max="7948" width="27" style="211" customWidth="1"/>
    <col min="7949" max="7949" width="13.44140625" style="211" customWidth="1"/>
    <col min="7950" max="7950" width="10.5546875" style="211" customWidth="1"/>
    <col min="7951" max="7951" width="18.109375" style="211" customWidth="1"/>
    <col min="7952" max="7952" width="13.44140625" style="211" customWidth="1"/>
    <col min="7953" max="7953" width="27.44140625" style="211" customWidth="1"/>
    <col min="7954" max="7954" width="0" hidden="1" customWidth="1"/>
    <col min="7955" max="7955" width="5.33203125" style="211" customWidth="1"/>
    <col min="7956" max="8192" width="9.109375" style="211" customWidth="1"/>
    <col min="8193" max="8193" width="21.88671875" style="211" customWidth="1"/>
    <col min="8194" max="8194" width="23.44140625" style="211" customWidth="1"/>
    <col min="8195" max="8195" width="24" style="211" customWidth="1"/>
    <col min="8196" max="8196" width="22.5546875" style="211" customWidth="1"/>
    <col min="8197" max="8198" width="13.44140625" style="211" customWidth="1"/>
    <col min="8199" max="8199" width="30.109375" style="211" customWidth="1"/>
    <col min="8200" max="8200" width="20.109375" style="211" customWidth="1"/>
    <col min="8201" max="8201" width="16.33203125" style="211" customWidth="1"/>
    <col min="8202" max="8202" width="13.44140625" style="211" customWidth="1"/>
    <col min="8203" max="8203" width="30.109375" style="211" customWidth="1"/>
    <col min="8204" max="8204" width="27" style="211" customWidth="1"/>
    <col min="8205" max="8205" width="13.44140625" style="211" customWidth="1"/>
    <col min="8206" max="8206" width="10.5546875" style="211" customWidth="1"/>
    <col min="8207" max="8207" width="18.109375" style="211" customWidth="1"/>
    <col min="8208" max="8208" width="13.44140625" style="211" customWidth="1"/>
    <col min="8209" max="8209" width="27.44140625" style="211" customWidth="1"/>
    <col min="8210" max="8210" width="0" hidden="1" customWidth="1"/>
    <col min="8211" max="8211" width="5.33203125" style="211" customWidth="1"/>
    <col min="8212" max="8448" width="9.109375" style="211" customWidth="1"/>
    <col min="8449" max="8449" width="21.88671875" style="211" customWidth="1"/>
    <col min="8450" max="8450" width="23.44140625" style="211" customWidth="1"/>
    <col min="8451" max="8451" width="24" style="211" customWidth="1"/>
    <col min="8452" max="8452" width="22.5546875" style="211" customWidth="1"/>
    <col min="8453" max="8454" width="13.44140625" style="211" customWidth="1"/>
    <col min="8455" max="8455" width="30.109375" style="211" customWidth="1"/>
    <col min="8456" max="8456" width="20.109375" style="211" customWidth="1"/>
    <col min="8457" max="8457" width="16.33203125" style="211" customWidth="1"/>
    <col min="8458" max="8458" width="13.44140625" style="211" customWidth="1"/>
    <col min="8459" max="8459" width="30.109375" style="211" customWidth="1"/>
    <col min="8460" max="8460" width="27" style="211" customWidth="1"/>
    <col min="8461" max="8461" width="13.44140625" style="211" customWidth="1"/>
    <col min="8462" max="8462" width="10.5546875" style="211" customWidth="1"/>
    <col min="8463" max="8463" width="18.109375" style="211" customWidth="1"/>
    <col min="8464" max="8464" width="13.44140625" style="211" customWidth="1"/>
    <col min="8465" max="8465" width="27.44140625" style="211" customWidth="1"/>
    <col min="8466" max="8466" width="0" hidden="1" customWidth="1"/>
    <col min="8467" max="8467" width="5.33203125" style="211" customWidth="1"/>
    <col min="8468" max="8704" width="9.109375" style="211" customWidth="1"/>
    <col min="8705" max="8705" width="21.88671875" style="211" customWidth="1"/>
    <col min="8706" max="8706" width="23.44140625" style="211" customWidth="1"/>
    <col min="8707" max="8707" width="24" style="211" customWidth="1"/>
    <col min="8708" max="8708" width="22.5546875" style="211" customWidth="1"/>
    <col min="8709" max="8710" width="13.44140625" style="211" customWidth="1"/>
    <col min="8711" max="8711" width="30.109375" style="211" customWidth="1"/>
    <col min="8712" max="8712" width="20.109375" style="211" customWidth="1"/>
    <col min="8713" max="8713" width="16.33203125" style="211" customWidth="1"/>
    <col min="8714" max="8714" width="13.44140625" style="211" customWidth="1"/>
    <col min="8715" max="8715" width="30.109375" style="211" customWidth="1"/>
    <col min="8716" max="8716" width="27" style="211" customWidth="1"/>
    <col min="8717" max="8717" width="13.44140625" style="211" customWidth="1"/>
    <col min="8718" max="8718" width="10.5546875" style="211" customWidth="1"/>
    <col min="8719" max="8719" width="18.109375" style="211" customWidth="1"/>
    <col min="8720" max="8720" width="13.44140625" style="211" customWidth="1"/>
    <col min="8721" max="8721" width="27.44140625" style="211" customWidth="1"/>
    <col min="8722" max="8722" width="0" hidden="1" customWidth="1"/>
    <col min="8723" max="8723" width="5.33203125" style="211" customWidth="1"/>
    <col min="8724" max="8960" width="9.109375" style="211" customWidth="1"/>
    <col min="8961" max="8961" width="21.88671875" style="211" customWidth="1"/>
    <col min="8962" max="8962" width="23.44140625" style="211" customWidth="1"/>
    <col min="8963" max="8963" width="24" style="211" customWidth="1"/>
    <col min="8964" max="8964" width="22.5546875" style="211" customWidth="1"/>
    <col min="8965" max="8966" width="13.44140625" style="211" customWidth="1"/>
    <col min="8967" max="8967" width="30.109375" style="211" customWidth="1"/>
    <col min="8968" max="8968" width="20.109375" style="211" customWidth="1"/>
    <col min="8969" max="8969" width="16.33203125" style="211" customWidth="1"/>
    <col min="8970" max="8970" width="13.44140625" style="211" customWidth="1"/>
    <col min="8971" max="8971" width="30.109375" style="211" customWidth="1"/>
    <col min="8972" max="8972" width="27" style="211" customWidth="1"/>
    <col min="8973" max="8973" width="13.44140625" style="211" customWidth="1"/>
    <col min="8974" max="8974" width="10.5546875" style="211" customWidth="1"/>
    <col min="8975" max="8975" width="18.109375" style="211" customWidth="1"/>
    <col min="8976" max="8976" width="13.44140625" style="211" customWidth="1"/>
    <col min="8977" max="8977" width="27.44140625" style="211" customWidth="1"/>
    <col min="8978" max="8978" width="0" hidden="1" customWidth="1"/>
    <col min="8979" max="8979" width="5.33203125" style="211" customWidth="1"/>
    <col min="8980" max="9216" width="9.109375" style="211" customWidth="1"/>
    <col min="9217" max="9217" width="21.88671875" style="211" customWidth="1"/>
    <col min="9218" max="9218" width="23.44140625" style="211" customWidth="1"/>
    <col min="9219" max="9219" width="24" style="211" customWidth="1"/>
    <col min="9220" max="9220" width="22.5546875" style="211" customWidth="1"/>
    <col min="9221" max="9222" width="13.44140625" style="211" customWidth="1"/>
    <col min="9223" max="9223" width="30.109375" style="211" customWidth="1"/>
    <col min="9224" max="9224" width="20.109375" style="211" customWidth="1"/>
    <col min="9225" max="9225" width="16.33203125" style="211" customWidth="1"/>
    <col min="9226" max="9226" width="13.44140625" style="211" customWidth="1"/>
    <col min="9227" max="9227" width="30.109375" style="211" customWidth="1"/>
    <col min="9228" max="9228" width="27" style="211" customWidth="1"/>
    <col min="9229" max="9229" width="13.44140625" style="211" customWidth="1"/>
    <col min="9230" max="9230" width="10.5546875" style="211" customWidth="1"/>
    <col min="9231" max="9231" width="18.109375" style="211" customWidth="1"/>
    <col min="9232" max="9232" width="13.44140625" style="211" customWidth="1"/>
    <col min="9233" max="9233" width="27.44140625" style="211" customWidth="1"/>
    <col min="9234" max="9234" width="0" hidden="1" customWidth="1"/>
    <col min="9235" max="9235" width="5.33203125" style="211" customWidth="1"/>
    <col min="9236" max="9472" width="9.109375" style="211" customWidth="1"/>
    <col min="9473" max="9473" width="21.88671875" style="211" customWidth="1"/>
    <col min="9474" max="9474" width="23.44140625" style="211" customWidth="1"/>
    <col min="9475" max="9475" width="24" style="211" customWidth="1"/>
    <col min="9476" max="9476" width="22.5546875" style="211" customWidth="1"/>
    <col min="9477" max="9478" width="13.44140625" style="211" customWidth="1"/>
    <col min="9479" max="9479" width="30.109375" style="211" customWidth="1"/>
    <col min="9480" max="9480" width="20.109375" style="211" customWidth="1"/>
    <col min="9481" max="9481" width="16.33203125" style="211" customWidth="1"/>
    <col min="9482" max="9482" width="13.44140625" style="211" customWidth="1"/>
    <col min="9483" max="9483" width="30.109375" style="211" customWidth="1"/>
    <col min="9484" max="9484" width="27" style="211" customWidth="1"/>
    <col min="9485" max="9485" width="13.44140625" style="211" customWidth="1"/>
    <col min="9486" max="9486" width="10.5546875" style="211" customWidth="1"/>
    <col min="9487" max="9487" width="18.109375" style="211" customWidth="1"/>
    <col min="9488" max="9488" width="13.44140625" style="211" customWidth="1"/>
    <col min="9489" max="9489" width="27.44140625" style="211" customWidth="1"/>
    <col min="9490" max="9490" width="0" hidden="1" customWidth="1"/>
    <col min="9491" max="9491" width="5.33203125" style="211" customWidth="1"/>
    <col min="9492" max="9728" width="9.109375" style="211" customWidth="1"/>
    <col min="9729" max="9729" width="21.88671875" style="211" customWidth="1"/>
    <col min="9730" max="9730" width="23.44140625" style="211" customWidth="1"/>
    <col min="9731" max="9731" width="24" style="211" customWidth="1"/>
    <col min="9732" max="9732" width="22.5546875" style="211" customWidth="1"/>
    <col min="9733" max="9734" width="13.44140625" style="211" customWidth="1"/>
    <col min="9735" max="9735" width="30.109375" style="211" customWidth="1"/>
    <col min="9736" max="9736" width="20.109375" style="211" customWidth="1"/>
    <col min="9737" max="9737" width="16.33203125" style="211" customWidth="1"/>
    <col min="9738" max="9738" width="13.44140625" style="211" customWidth="1"/>
    <col min="9739" max="9739" width="30.109375" style="211" customWidth="1"/>
    <col min="9740" max="9740" width="27" style="211" customWidth="1"/>
    <col min="9741" max="9741" width="13.44140625" style="211" customWidth="1"/>
    <col min="9742" max="9742" width="10.5546875" style="211" customWidth="1"/>
    <col min="9743" max="9743" width="18.109375" style="211" customWidth="1"/>
    <col min="9744" max="9744" width="13.44140625" style="211" customWidth="1"/>
    <col min="9745" max="9745" width="27.44140625" style="211" customWidth="1"/>
    <col min="9746" max="9746" width="0" hidden="1" customWidth="1"/>
    <col min="9747" max="9747" width="5.33203125" style="211" customWidth="1"/>
    <col min="9748" max="9984" width="9.109375" style="211" customWidth="1"/>
    <col min="9985" max="9985" width="21.88671875" style="211" customWidth="1"/>
    <col min="9986" max="9986" width="23.44140625" style="211" customWidth="1"/>
    <col min="9987" max="9987" width="24" style="211" customWidth="1"/>
    <col min="9988" max="9988" width="22.5546875" style="211" customWidth="1"/>
    <col min="9989" max="9990" width="13.44140625" style="211" customWidth="1"/>
    <col min="9991" max="9991" width="30.109375" style="211" customWidth="1"/>
    <col min="9992" max="9992" width="20.109375" style="211" customWidth="1"/>
    <col min="9993" max="9993" width="16.33203125" style="211" customWidth="1"/>
    <col min="9994" max="9994" width="13.44140625" style="211" customWidth="1"/>
    <col min="9995" max="9995" width="30.109375" style="211" customWidth="1"/>
    <col min="9996" max="9996" width="27" style="211" customWidth="1"/>
    <col min="9997" max="9997" width="13.44140625" style="211" customWidth="1"/>
    <col min="9998" max="9998" width="10.5546875" style="211" customWidth="1"/>
    <col min="9999" max="9999" width="18.109375" style="211" customWidth="1"/>
    <col min="10000" max="10000" width="13.44140625" style="211" customWidth="1"/>
    <col min="10001" max="10001" width="27.44140625" style="211" customWidth="1"/>
    <col min="10002" max="10002" width="0" hidden="1" customWidth="1"/>
    <col min="10003" max="10003" width="5.33203125" style="211" customWidth="1"/>
    <col min="10004" max="10240" width="9.109375" style="211" customWidth="1"/>
    <col min="10241" max="10241" width="21.88671875" style="211" customWidth="1"/>
    <col min="10242" max="10242" width="23.44140625" style="211" customWidth="1"/>
    <col min="10243" max="10243" width="24" style="211" customWidth="1"/>
    <col min="10244" max="10244" width="22.5546875" style="211" customWidth="1"/>
    <col min="10245" max="10246" width="13.44140625" style="211" customWidth="1"/>
    <col min="10247" max="10247" width="30.109375" style="211" customWidth="1"/>
    <col min="10248" max="10248" width="20.109375" style="211" customWidth="1"/>
    <col min="10249" max="10249" width="16.33203125" style="211" customWidth="1"/>
    <col min="10250" max="10250" width="13.44140625" style="211" customWidth="1"/>
    <col min="10251" max="10251" width="30.109375" style="211" customWidth="1"/>
    <col min="10252" max="10252" width="27" style="211" customWidth="1"/>
    <col min="10253" max="10253" width="13.44140625" style="211" customWidth="1"/>
    <col min="10254" max="10254" width="10.5546875" style="211" customWidth="1"/>
    <col min="10255" max="10255" width="18.109375" style="211" customWidth="1"/>
    <col min="10256" max="10256" width="13.44140625" style="211" customWidth="1"/>
    <col min="10257" max="10257" width="27.44140625" style="211" customWidth="1"/>
    <col min="10258" max="10258" width="0" hidden="1" customWidth="1"/>
    <col min="10259" max="10259" width="5.33203125" style="211" customWidth="1"/>
    <col min="10260" max="10496" width="9.109375" style="211" customWidth="1"/>
    <col min="10497" max="10497" width="21.88671875" style="211" customWidth="1"/>
    <col min="10498" max="10498" width="23.44140625" style="211" customWidth="1"/>
    <col min="10499" max="10499" width="24" style="211" customWidth="1"/>
    <col min="10500" max="10500" width="22.5546875" style="211" customWidth="1"/>
    <col min="10501" max="10502" width="13.44140625" style="211" customWidth="1"/>
    <col min="10503" max="10503" width="30.109375" style="211" customWidth="1"/>
    <col min="10504" max="10504" width="20.109375" style="211" customWidth="1"/>
    <col min="10505" max="10505" width="16.33203125" style="211" customWidth="1"/>
    <col min="10506" max="10506" width="13.44140625" style="211" customWidth="1"/>
    <col min="10507" max="10507" width="30.109375" style="211" customWidth="1"/>
    <col min="10508" max="10508" width="27" style="211" customWidth="1"/>
    <col min="10509" max="10509" width="13.44140625" style="211" customWidth="1"/>
    <col min="10510" max="10510" width="10.5546875" style="211" customWidth="1"/>
    <col min="10511" max="10511" width="18.109375" style="211" customWidth="1"/>
    <col min="10512" max="10512" width="13.44140625" style="211" customWidth="1"/>
    <col min="10513" max="10513" width="27.44140625" style="211" customWidth="1"/>
    <col min="10514" max="10514" width="0" hidden="1" customWidth="1"/>
    <col min="10515" max="10515" width="5.33203125" style="211" customWidth="1"/>
    <col min="10516" max="10752" width="9.109375" style="211" customWidth="1"/>
    <col min="10753" max="10753" width="21.88671875" style="211" customWidth="1"/>
    <col min="10754" max="10754" width="23.44140625" style="211" customWidth="1"/>
    <col min="10755" max="10755" width="24" style="211" customWidth="1"/>
    <col min="10756" max="10756" width="22.5546875" style="211" customWidth="1"/>
    <col min="10757" max="10758" width="13.44140625" style="211" customWidth="1"/>
    <col min="10759" max="10759" width="30.109375" style="211" customWidth="1"/>
    <col min="10760" max="10760" width="20.109375" style="211" customWidth="1"/>
    <col min="10761" max="10761" width="16.33203125" style="211" customWidth="1"/>
    <col min="10762" max="10762" width="13.44140625" style="211" customWidth="1"/>
    <col min="10763" max="10763" width="30.109375" style="211" customWidth="1"/>
    <col min="10764" max="10764" width="27" style="211" customWidth="1"/>
    <col min="10765" max="10765" width="13.44140625" style="211" customWidth="1"/>
    <col min="10766" max="10766" width="10.5546875" style="211" customWidth="1"/>
    <col min="10767" max="10767" width="18.109375" style="211" customWidth="1"/>
    <col min="10768" max="10768" width="13.44140625" style="211" customWidth="1"/>
    <col min="10769" max="10769" width="27.44140625" style="211" customWidth="1"/>
    <col min="10770" max="10770" width="0" hidden="1" customWidth="1"/>
    <col min="10771" max="10771" width="5.33203125" style="211" customWidth="1"/>
    <col min="10772" max="11008" width="9.109375" style="211" customWidth="1"/>
    <col min="11009" max="11009" width="21.88671875" style="211" customWidth="1"/>
    <col min="11010" max="11010" width="23.44140625" style="211" customWidth="1"/>
    <col min="11011" max="11011" width="24" style="211" customWidth="1"/>
    <col min="11012" max="11012" width="22.5546875" style="211" customWidth="1"/>
    <col min="11013" max="11014" width="13.44140625" style="211" customWidth="1"/>
    <col min="11015" max="11015" width="30.109375" style="211" customWidth="1"/>
    <col min="11016" max="11016" width="20.109375" style="211" customWidth="1"/>
    <col min="11017" max="11017" width="16.33203125" style="211" customWidth="1"/>
    <col min="11018" max="11018" width="13.44140625" style="211" customWidth="1"/>
    <col min="11019" max="11019" width="30.109375" style="211" customWidth="1"/>
    <col min="11020" max="11020" width="27" style="211" customWidth="1"/>
    <col min="11021" max="11021" width="13.44140625" style="211" customWidth="1"/>
    <col min="11022" max="11022" width="10.5546875" style="211" customWidth="1"/>
    <col min="11023" max="11023" width="18.109375" style="211" customWidth="1"/>
    <col min="11024" max="11024" width="13.44140625" style="211" customWidth="1"/>
    <col min="11025" max="11025" width="27.44140625" style="211" customWidth="1"/>
    <col min="11026" max="11026" width="0" hidden="1" customWidth="1"/>
    <col min="11027" max="11027" width="5.33203125" style="211" customWidth="1"/>
    <col min="11028" max="11264" width="9.109375" style="211" customWidth="1"/>
    <col min="11265" max="11265" width="21.88671875" style="211" customWidth="1"/>
    <col min="11266" max="11266" width="23.44140625" style="211" customWidth="1"/>
    <col min="11267" max="11267" width="24" style="211" customWidth="1"/>
    <col min="11268" max="11268" width="22.5546875" style="211" customWidth="1"/>
    <col min="11269" max="11270" width="13.44140625" style="211" customWidth="1"/>
    <col min="11271" max="11271" width="30.109375" style="211" customWidth="1"/>
    <col min="11272" max="11272" width="20.109375" style="211" customWidth="1"/>
    <col min="11273" max="11273" width="16.33203125" style="211" customWidth="1"/>
    <col min="11274" max="11274" width="13.44140625" style="211" customWidth="1"/>
    <col min="11275" max="11275" width="30.109375" style="211" customWidth="1"/>
    <col min="11276" max="11276" width="27" style="211" customWidth="1"/>
    <col min="11277" max="11277" width="13.44140625" style="211" customWidth="1"/>
    <col min="11278" max="11278" width="10.5546875" style="211" customWidth="1"/>
    <col min="11279" max="11279" width="18.109375" style="211" customWidth="1"/>
    <col min="11280" max="11280" width="13.44140625" style="211" customWidth="1"/>
    <col min="11281" max="11281" width="27.44140625" style="211" customWidth="1"/>
    <col min="11282" max="11282" width="0" hidden="1" customWidth="1"/>
    <col min="11283" max="11283" width="5.33203125" style="211" customWidth="1"/>
    <col min="11284" max="11520" width="9.109375" style="211" customWidth="1"/>
    <col min="11521" max="11521" width="21.88671875" style="211" customWidth="1"/>
    <col min="11522" max="11522" width="23.44140625" style="211" customWidth="1"/>
    <col min="11523" max="11523" width="24" style="211" customWidth="1"/>
    <col min="11524" max="11524" width="22.5546875" style="211" customWidth="1"/>
    <col min="11525" max="11526" width="13.44140625" style="211" customWidth="1"/>
    <col min="11527" max="11527" width="30.109375" style="211" customWidth="1"/>
    <col min="11528" max="11528" width="20.109375" style="211" customWidth="1"/>
    <col min="11529" max="11529" width="16.33203125" style="211" customWidth="1"/>
    <col min="11530" max="11530" width="13.44140625" style="211" customWidth="1"/>
    <col min="11531" max="11531" width="30.109375" style="211" customWidth="1"/>
    <col min="11532" max="11532" width="27" style="211" customWidth="1"/>
    <col min="11533" max="11533" width="13.44140625" style="211" customWidth="1"/>
    <col min="11534" max="11534" width="10.5546875" style="211" customWidth="1"/>
    <col min="11535" max="11535" width="18.109375" style="211" customWidth="1"/>
    <col min="11536" max="11536" width="13.44140625" style="211" customWidth="1"/>
    <col min="11537" max="11537" width="27.44140625" style="211" customWidth="1"/>
    <col min="11538" max="11538" width="0" hidden="1" customWidth="1"/>
    <col min="11539" max="11539" width="5.33203125" style="211" customWidth="1"/>
    <col min="11540" max="11776" width="9.109375" style="211" customWidth="1"/>
    <col min="11777" max="11777" width="21.88671875" style="211" customWidth="1"/>
    <col min="11778" max="11778" width="23.44140625" style="211" customWidth="1"/>
    <col min="11779" max="11779" width="24" style="211" customWidth="1"/>
    <col min="11780" max="11780" width="22.5546875" style="211" customWidth="1"/>
    <col min="11781" max="11782" width="13.44140625" style="211" customWidth="1"/>
    <col min="11783" max="11783" width="30.109375" style="211" customWidth="1"/>
    <col min="11784" max="11784" width="20.109375" style="211" customWidth="1"/>
    <col min="11785" max="11785" width="16.33203125" style="211" customWidth="1"/>
    <col min="11786" max="11786" width="13.44140625" style="211" customWidth="1"/>
    <col min="11787" max="11787" width="30.109375" style="211" customWidth="1"/>
    <col min="11788" max="11788" width="27" style="211" customWidth="1"/>
    <col min="11789" max="11789" width="13.44140625" style="211" customWidth="1"/>
    <col min="11790" max="11790" width="10.5546875" style="211" customWidth="1"/>
    <col min="11791" max="11791" width="18.109375" style="211" customWidth="1"/>
    <col min="11792" max="11792" width="13.44140625" style="211" customWidth="1"/>
    <col min="11793" max="11793" width="27.44140625" style="211" customWidth="1"/>
    <col min="11794" max="11794" width="0" hidden="1" customWidth="1"/>
    <col min="11795" max="11795" width="5.33203125" style="211" customWidth="1"/>
    <col min="11796" max="12032" width="9.109375" style="211" customWidth="1"/>
    <col min="12033" max="12033" width="21.88671875" style="211" customWidth="1"/>
    <col min="12034" max="12034" width="23.44140625" style="211" customWidth="1"/>
    <col min="12035" max="12035" width="24" style="211" customWidth="1"/>
    <col min="12036" max="12036" width="22.5546875" style="211" customWidth="1"/>
    <col min="12037" max="12038" width="13.44140625" style="211" customWidth="1"/>
    <col min="12039" max="12039" width="30.109375" style="211" customWidth="1"/>
    <col min="12040" max="12040" width="20.109375" style="211" customWidth="1"/>
    <col min="12041" max="12041" width="16.33203125" style="211" customWidth="1"/>
    <col min="12042" max="12042" width="13.44140625" style="211" customWidth="1"/>
    <col min="12043" max="12043" width="30.109375" style="211" customWidth="1"/>
    <col min="12044" max="12044" width="27" style="211" customWidth="1"/>
    <col min="12045" max="12045" width="13.44140625" style="211" customWidth="1"/>
    <col min="12046" max="12046" width="10.5546875" style="211" customWidth="1"/>
    <col min="12047" max="12047" width="18.109375" style="211" customWidth="1"/>
    <col min="12048" max="12048" width="13.44140625" style="211" customWidth="1"/>
    <col min="12049" max="12049" width="27.44140625" style="211" customWidth="1"/>
    <col min="12050" max="12050" width="0" hidden="1" customWidth="1"/>
    <col min="12051" max="12051" width="5.33203125" style="211" customWidth="1"/>
    <col min="12052" max="12288" width="9.109375" style="211" customWidth="1"/>
    <col min="12289" max="12289" width="21.88671875" style="211" customWidth="1"/>
    <col min="12290" max="12290" width="23.44140625" style="211" customWidth="1"/>
    <col min="12291" max="12291" width="24" style="211" customWidth="1"/>
    <col min="12292" max="12292" width="22.5546875" style="211" customWidth="1"/>
    <col min="12293" max="12294" width="13.44140625" style="211" customWidth="1"/>
    <col min="12295" max="12295" width="30.109375" style="211" customWidth="1"/>
    <col min="12296" max="12296" width="20.109375" style="211" customWidth="1"/>
    <col min="12297" max="12297" width="16.33203125" style="211" customWidth="1"/>
    <col min="12298" max="12298" width="13.44140625" style="211" customWidth="1"/>
    <col min="12299" max="12299" width="30.109375" style="211" customWidth="1"/>
    <col min="12300" max="12300" width="27" style="211" customWidth="1"/>
    <col min="12301" max="12301" width="13.44140625" style="211" customWidth="1"/>
    <col min="12302" max="12302" width="10.5546875" style="211" customWidth="1"/>
    <col min="12303" max="12303" width="18.109375" style="211" customWidth="1"/>
    <col min="12304" max="12304" width="13.44140625" style="211" customWidth="1"/>
    <col min="12305" max="12305" width="27.44140625" style="211" customWidth="1"/>
    <col min="12306" max="12306" width="0" hidden="1" customWidth="1"/>
    <col min="12307" max="12307" width="5.33203125" style="211" customWidth="1"/>
    <col min="12308" max="12544" width="9.109375" style="211" customWidth="1"/>
    <col min="12545" max="12545" width="21.88671875" style="211" customWidth="1"/>
    <col min="12546" max="12546" width="23.44140625" style="211" customWidth="1"/>
    <col min="12547" max="12547" width="24" style="211" customWidth="1"/>
    <col min="12548" max="12548" width="22.5546875" style="211" customWidth="1"/>
    <col min="12549" max="12550" width="13.44140625" style="211" customWidth="1"/>
    <col min="12551" max="12551" width="30.109375" style="211" customWidth="1"/>
    <col min="12552" max="12552" width="20.109375" style="211" customWidth="1"/>
    <col min="12553" max="12553" width="16.33203125" style="211" customWidth="1"/>
    <col min="12554" max="12554" width="13.44140625" style="211" customWidth="1"/>
    <col min="12555" max="12555" width="30.109375" style="211" customWidth="1"/>
    <col min="12556" max="12556" width="27" style="211" customWidth="1"/>
    <col min="12557" max="12557" width="13.44140625" style="211" customWidth="1"/>
    <col min="12558" max="12558" width="10.5546875" style="211" customWidth="1"/>
    <col min="12559" max="12559" width="18.109375" style="211" customWidth="1"/>
    <col min="12560" max="12560" width="13.44140625" style="211" customWidth="1"/>
    <col min="12561" max="12561" width="27.44140625" style="211" customWidth="1"/>
    <col min="12562" max="12562" width="0" hidden="1" customWidth="1"/>
    <col min="12563" max="12563" width="5.33203125" style="211" customWidth="1"/>
    <col min="12564" max="12800" width="9.109375" style="211" customWidth="1"/>
    <col min="12801" max="12801" width="21.88671875" style="211" customWidth="1"/>
    <col min="12802" max="12802" width="23.44140625" style="211" customWidth="1"/>
    <col min="12803" max="12803" width="24" style="211" customWidth="1"/>
    <col min="12804" max="12804" width="22.5546875" style="211" customWidth="1"/>
    <col min="12805" max="12806" width="13.44140625" style="211" customWidth="1"/>
    <col min="12807" max="12807" width="30.109375" style="211" customWidth="1"/>
    <col min="12808" max="12808" width="20.109375" style="211" customWidth="1"/>
    <col min="12809" max="12809" width="16.33203125" style="211" customWidth="1"/>
    <col min="12810" max="12810" width="13.44140625" style="211" customWidth="1"/>
    <col min="12811" max="12811" width="30.109375" style="211" customWidth="1"/>
    <col min="12812" max="12812" width="27" style="211" customWidth="1"/>
    <col min="12813" max="12813" width="13.44140625" style="211" customWidth="1"/>
    <col min="12814" max="12814" width="10.5546875" style="211" customWidth="1"/>
    <col min="12815" max="12815" width="18.109375" style="211" customWidth="1"/>
    <col min="12816" max="12816" width="13.44140625" style="211" customWidth="1"/>
    <col min="12817" max="12817" width="27.44140625" style="211" customWidth="1"/>
    <col min="12818" max="12818" width="0" hidden="1" customWidth="1"/>
    <col min="12819" max="12819" width="5.33203125" style="211" customWidth="1"/>
    <col min="12820" max="13056" width="9.109375" style="211" customWidth="1"/>
    <col min="13057" max="13057" width="21.88671875" style="211" customWidth="1"/>
    <col min="13058" max="13058" width="23.44140625" style="211" customWidth="1"/>
    <col min="13059" max="13059" width="24" style="211" customWidth="1"/>
    <col min="13060" max="13060" width="22.5546875" style="211" customWidth="1"/>
    <col min="13061" max="13062" width="13.44140625" style="211" customWidth="1"/>
    <col min="13063" max="13063" width="30.109375" style="211" customWidth="1"/>
    <col min="13064" max="13064" width="20.109375" style="211" customWidth="1"/>
    <col min="13065" max="13065" width="16.33203125" style="211" customWidth="1"/>
    <col min="13066" max="13066" width="13.44140625" style="211" customWidth="1"/>
    <col min="13067" max="13067" width="30.109375" style="211" customWidth="1"/>
    <col min="13068" max="13068" width="27" style="211" customWidth="1"/>
    <col min="13069" max="13069" width="13.44140625" style="211" customWidth="1"/>
    <col min="13070" max="13070" width="10.5546875" style="211" customWidth="1"/>
    <col min="13071" max="13071" width="18.109375" style="211" customWidth="1"/>
    <col min="13072" max="13072" width="13.44140625" style="211" customWidth="1"/>
    <col min="13073" max="13073" width="27.44140625" style="211" customWidth="1"/>
    <col min="13074" max="13074" width="0" hidden="1" customWidth="1"/>
    <col min="13075" max="13075" width="5.33203125" style="211" customWidth="1"/>
    <col min="13076" max="13312" width="9.109375" style="211" customWidth="1"/>
    <col min="13313" max="13313" width="21.88671875" style="211" customWidth="1"/>
    <col min="13314" max="13314" width="23.44140625" style="211" customWidth="1"/>
    <col min="13315" max="13315" width="24" style="211" customWidth="1"/>
    <col min="13316" max="13316" width="22.5546875" style="211" customWidth="1"/>
    <col min="13317" max="13318" width="13.44140625" style="211" customWidth="1"/>
    <col min="13319" max="13319" width="30.109375" style="211" customWidth="1"/>
    <col min="13320" max="13320" width="20.109375" style="211" customWidth="1"/>
    <col min="13321" max="13321" width="16.33203125" style="211" customWidth="1"/>
    <col min="13322" max="13322" width="13.44140625" style="211" customWidth="1"/>
    <col min="13323" max="13323" width="30.109375" style="211" customWidth="1"/>
    <col min="13324" max="13324" width="27" style="211" customWidth="1"/>
    <col min="13325" max="13325" width="13.44140625" style="211" customWidth="1"/>
    <col min="13326" max="13326" width="10.5546875" style="211" customWidth="1"/>
    <col min="13327" max="13327" width="18.109375" style="211" customWidth="1"/>
    <col min="13328" max="13328" width="13.44140625" style="211" customWidth="1"/>
    <col min="13329" max="13329" width="27.44140625" style="211" customWidth="1"/>
    <col min="13330" max="13330" width="0" hidden="1" customWidth="1"/>
    <col min="13331" max="13331" width="5.33203125" style="211" customWidth="1"/>
    <col min="13332" max="13568" width="9.109375" style="211" customWidth="1"/>
    <col min="13569" max="13569" width="21.88671875" style="211" customWidth="1"/>
    <col min="13570" max="13570" width="23.44140625" style="211" customWidth="1"/>
    <col min="13571" max="13571" width="24" style="211" customWidth="1"/>
    <col min="13572" max="13572" width="22.5546875" style="211" customWidth="1"/>
    <col min="13573" max="13574" width="13.44140625" style="211" customWidth="1"/>
    <col min="13575" max="13575" width="30.109375" style="211" customWidth="1"/>
    <col min="13576" max="13576" width="20.109375" style="211" customWidth="1"/>
    <col min="13577" max="13577" width="16.33203125" style="211" customWidth="1"/>
    <col min="13578" max="13578" width="13.44140625" style="211" customWidth="1"/>
    <col min="13579" max="13579" width="30.109375" style="211" customWidth="1"/>
    <col min="13580" max="13580" width="27" style="211" customWidth="1"/>
    <col min="13581" max="13581" width="13.44140625" style="211" customWidth="1"/>
    <col min="13582" max="13582" width="10.5546875" style="211" customWidth="1"/>
    <col min="13583" max="13583" width="18.109375" style="211" customWidth="1"/>
    <col min="13584" max="13584" width="13.44140625" style="211" customWidth="1"/>
    <col min="13585" max="13585" width="27.44140625" style="211" customWidth="1"/>
    <col min="13586" max="13586" width="0" hidden="1" customWidth="1"/>
    <col min="13587" max="13587" width="5.33203125" style="211" customWidth="1"/>
    <col min="13588" max="13824" width="9.109375" style="211" customWidth="1"/>
    <col min="13825" max="13825" width="21.88671875" style="211" customWidth="1"/>
    <col min="13826" max="13826" width="23.44140625" style="211" customWidth="1"/>
    <col min="13827" max="13827" width="24" style="211" customWidth="1"/>
    <col min="13828" max="13828" width="22.5546875" style="211" customWidth="1"/>
    <col min="13829" max="13830" width="13.44140625" style="211" customWidth="1"/>
    <col min="13831" max="13831" width="30.109375" style="211" customWidth="1"/>
    <col min="13832" max="13832" width="20.109375" style="211" customWidth="1"/>
    <col min="13833" max="13833" width="16.33203125" style="211" customWidth="1"/>
    <col min="13834" max="13834" width="13.44140625" style="211" customWidth="1"/>
    <col min="13835" max="13835" width="30.109375" style="211" customWidth="1"/>
    <col min="13836" max="13836" width="27" style="211" customWidth="1"/>
    <col min="13837" max="13837" width="13.44140625" style="211" customWidth="1"/>
    <col min="13838" max="13838" width="10.5546875" style="211" customWidth="1"/>
    <col min="13839" max="13839" width="18.109375" style="211" customWidth="1"/>
    <col min="13840" max="13840" width="13.44140625" style="211" customWidth="1"/>
    <col min="13841" max="13841" width="27.44140625" style="211" customWidth="1"/>
    <col min="13842" max="13842" width="0" hidden="1" customWidth="1"/>
    <col min="13843" max="13843" width="5.33203125" style="211" customWidth="1"/>
    <col min="13844" max="14080" width="9.109375" style="211" customWidth="1"/>
    <col min="14081" max="14081" width="21.88671875" style="211" customWidth="1"/>
    <col min="14082" max="14082" width="23.44140625" style="211" customWidth="1"/>
    <col min="14083" max="14083" width="24" style="211" customWidth="1"/>
    <col min="14084" max="14084" width="22.5546875" style="211" customWidth="1"/>
    <col min="14085" max="14086" width="13.44140625" style="211" customWidth="1"/>
    <col min="14087" max="14087" width="30.109375" style="211" customWidth="1"/>
    <col min="14088" max="14088" width="20.109375" style="211" customWidth="1"/>
    <col min="14089" max="14089" width="16.33203125" style="211" customWidth="1"/>
    <col min="14090" max="14090" width="13.44140625" style="211" customWidth="1"/>
    <col min="14091" max="14091" width="30.109375" style="211" customWidth="1"/>
    <col min="14092" max="14092" width="27" style="211" customWidth="1"/>
    <col min="14093" max="14093" width="13.44140625" style="211" customWidth="1"/>
    <col min="14094" max="14094" width="10.5546875" style="211" customWidth="1"/>
    <col min="14095" max="14095" width="18.109375" style="211" customWidth="1"/>
    <col min="14096" max="14096" width="13.44140625" style="211" customWidth="1"/>
    <col min="14097" max="14097" width="27.44140625" style="211" customWidth="1"/>
    <col min="14098" max="14098" width="0" hidden="1" customWidth="1"/>
    <col min="14099" max="14099" width="5.33203125" style="211" customWidth="1"/>
    <col min="14100" max="14336" width="9.109375" style="211" customWidth="1"/>
    <col min="14337" max="14337" width="21.88671875" style="211" customWidth="1"/>
    <col min="14338" max="14338" width="23.44140625" style="211" customWidth="1"/>
    <col min="14339" max="14339" width="24" style="211" customWidth="1"/>
    <col min="14340" max="14340" width="22.5546875" style="211" customWidth="1"/>
    <col min="14341" max="14342" width="13.44140625" style="211" customWidth="1"/>
    <col min="14343" max="14343" width="30.109375" style="211" customWidth="1"/>
    <col min="14344" max="14344" width="20.109375" style="211" customWidth="1"/>
    <col min="14345" max="14345" width="16.33203125" style="211" customWidth="1"/>
    <col min="14346" max="14346" width="13.44140625" style="211" customWidth="1"/>
    <col min="14347" max="14347" width="30.109375" style="211" customWidth="1"/>
    <col min="14348" max="14348" width="27" style="211" customWidth="1"/>
    <col min="14349" max="14349" width="13.44140625" style="211" customWidth="1"/>
    <col min="14350" max="14350" width="10.5546875" style="211" customWidth="1"/>
    <col min="14351" max="14351" width="18.109375" style="211" customWidth="1"/>
    <col min="14352" max="14352" width="13.44140625" style="211" customWidth="1"/>
    <col min="14353" max="14353" width="27.44140625" style="211" customWidth="1"/>
    <col min="14354" max="14354" width="0" hidden="1" customWidth="1"/>
    <col min="14355" max="14355" width="5.33203125" style="211" customWidth="1"/>
    <col min="14356" max="14592" width="9.109375" style="211" customWidth="1"/>
    <col min="14593" max="14593" width="21.88671875" style="211" customWidth="1"/>
    <col min="14594" max="14594" width="23.44140625" style="211" customWidth="1"/>
    <col min="14595" max="14595" width="24" style="211" customWidth="1"/>
    <col min="14596" max="14596" width="22.5546875" style="211" customWidth="1"/>
    <col min="14597" max="14598" width="13.44140625" style="211" customWidth="1"/>
    <col min="14599" max="14599" width="30.109375" style="211" customWidth="1"/>
    <col min="14600" max="14600" width="20.109375" style="211" customWidth="1"/>
    <col min="14601" max="14601" width="16.33203125" style="211" customWidth="1"/>
    <col min="14602" max="14602" width="13.44140625" style="211" customWidth="1"/>
    <col min="14603" max="14603" width="30.109375" style="211" customWidth="1"/>
    <col min="14604" max="14604" width="27" style="211" customWidth="1"/>
    <col min="14605" max="14605" width="13.44140625" style="211" customWidth="1"/>
    <col min="14606" max="14606" width="10.5546875" style="211" customWidth="1"/>
    <col min="14607" max="14607" width="18.109375" style="211" customWidth="1"/>
    <col min="14608" max="14608" width="13.44140625" style="211" customWidth="1"/>
    <col min="14609" max="14609" width="27.44140625" style="211" customWidth="1"/>
    <col min="14610" max="14610" width="0" hidden="1" customWidth="1"/>
    <col min="14611" max="14611" width="5.33203125" style="211" customWidth="1"/>
    <col min="14612" max="14848" width="9.109375" style="211" customWidth="1"/>
    <col min="14849" max="14849" width="21.88671875" style="211" customWidth="1"/>
    <col min="14850" max="14850" width="23.44140625" style="211" customWidth="1"/>
    <col min="14851" max="14851" width="24" style="211" customWidth="1"/>
    <col min="14852" max="14852" width="22.5546875" style="211" customWidth="1"/>
    <col min="14853" max="14854" width="13.44140625" style="211" customWidth="1"/>
    <col min="14855" max="14855" width="30.109375" style="211" customWidth="1"/>
    <col min="14856" max="14856" width="20.109375" style="211" customWidth="1"/>
    <col min="14857" max="14857" width="16.33203125" style="211" customWidth="1"/>
    <col min="14858" max="14858" width="13.44140625" style="211" customWidth="1"/>
    <col min="14859" max="14859" width="30.109375" style="211" customWidth="1"/>
    <col min="14860" max="14860" width="27" style="211" customWidth="1"/>
    <col min="14861" max="14861" width="13.44140625" style="211" customWidth="1"/>
    <col min="14862" max="14862" width="10.5546875" style="211" customWidth="1"/>
    <col min="14863" max="14863" width="18.109375" style="211" customWidth="1"/>
    <col min="14864" max="14864" width="13.44140625" style="211" customWidth="1"/>
    <col min="14865" max="14865" width="27.44140625" style="211" customWidth="1"/>
    <col min="14866" max="14866" width="0" hidden="1" customWidth="1"/>
    <col min="14867" max="14867" width="5.33203125" style="211" customWidth="1"/>
    <col min="14868" max="15104" width="9.109375" style="211" customWidth="1"/>
    <col min="15105" max="15105" width="21.88671875" style="211" customWidth="1"/>
    <col min="15106" max="15106" width="23.44140625" style="211" customWidth="1"/>
    <col min="15107" max="15107" width="24" style="211" customWidth="1"/>
    <col min="15108" max="15108" width="22.5546875" style="211" customWidth="1"/>
    <col min="15109" max="15110" width="13.44140625" style="211" customWidth="1"/>
    <col min="15111" max="15111" width="30.109375" style="211" customWidth="1"/>
    <col min="15112" max="15112" width="20.109375" style="211" customWidth="1"/>
    <col min="15113" max="15113" width="16.33203125" style="211" customWidth="1"/>
    <col min="15114" max="15114" width="13.44140625" style="211" customWidth="1"/>
    <col min="15115" max="15115" width="30.109375" style="211" customWidth="1"/>
    <col min="15116" max="15116" width="27" style="211" customWidth="1"/>
    <col min="15117" max="15117" width="13.44140625" style="211" customWidth="1"/>
    <col min="15118" max="15118" width="10.5546875" style="211" customWidth="1"/>
    <col min="15119" max="15119" width="18.109375" style="211" customWidth="1"/>
    <col min="15120" max="15120" width="13.44140625" style="211" customWidth="1"/>
    <col min="15121" max="15121" width="27.44140625" style="211" customWidth="1"/>
    <col min="15122" max="15122" width="0" hidden="1" customWidth="1"/>
    <col min="15123" max="15123" width="5.33203125" style="211" customWidth="1"/>
    <col min="15124" max="15360" width="9.109375" style="211" customWidth="1"/>
    <col min="15361" max="15361" width="21.88671875" style="211" customWidth="1"/>
    <col min="15362" max="15362" width="23.44140625" style="211" customWidth="1"/>
    <col min="15363" max="15363" width="24" style="211" customWidth="1"/>
    <col min="15364" max="15364" width="22.5546875" style="211" customWidth="1"/>
    <col min="15365" max="15366" width="13.44140625" style="211" customWidth="1"/>
    <col min="15367" max="15367" width="30.109375" style="211" customWidth="1"/>
    <col min="15368" max="15368" width="20.109375" style="211" customWidth="1"/>
    <col min="15369" max="15369" width="16.33203125" style="211" customWidth="1"/>
    <col min="15370" max="15370" width="13.44140625" style="211" customWidth="1"/>
    <col min="15371" max="15371" width="30.109375" style="211" customWidth="1"/>
    <col min="15372" max="15372" width="27" style="211" customWidth="1"/>
    <col min="15373" max="15373" width="13.44140625" style="211" customWidth="1"/>
    <col min="15374" max="15374" width="10.5546875" style="211" customWidth="1"/>
    <col min="15375" max="15375" width="18.109375" style="211" customWidth="1"/>
    <col min="15376" max="15376" width="13.44140625" style="211" customWidth="1"/>
    <col min="15377" max="15377" width="27.44140625" style="211" customWidth="1"/>
    <col min="15378" max="15378" width="0" hidden="1" customWidth="1"/>
    <col min="15379" max="15379" width="5.33203125" style="211" customWidth="1"/>
    <col min="15380" max="15616" width="9.109375" style="211" customWidth="1"/>
    <col min="15617" max="15617" width="21.88671875" style="211" customWidth="1"/>
    <col min="15618" max="15618" width="23.44140625" style="211" customWidth="1"/>
    <col min="15619" max="15619" width="24" style="211" customWidth="1"/>
    <col min="15620" max="15620" width="22.5546875" style="211" customWidth="1"/>
    <col min="15621" max="15622" width="13.44140625" style="211" customWidth="1"/>
    <col min="15623" max="15623" width="30.109375" style="211" customWidth="1"/>
    <col min="15624" max="15624" width="20.109375" style="211" customWidth="1"/>
    <col min="15625" max="15625" width="16.33203125" style="211" customWidth="1"/>
    <col min="15626" max="15626" width="13.44140625" style="211" customWidth="1"/>
    <col min="15627" max="15627" width="30.109375" style="211" customWidth="1"/>
    <col min="15628" max="15628" width="27" style="211" customWidth="1"/>
    <col min="15629" max="15629" width="13.44140625" style="211" customWidth="1"/>
    <col min="15630" max="15630" width="10.5546875" style="211" customWidth="1"/>
    <col min="15631" max="15631" width="18.109375" style="211" customWidth="1"/>
    <col min="15632" max="15632" width="13.44140625" style="211" customWidth="1"/>
    <col min="15633" max="15633" width="27.44140625" style="211" customWidth="1"/>
    <col min="15634" max="15634" width="0" hidden="1" customWidth="1"/>
    <col min="15635" max="15635" width="5.33203125" style="211" customWidth="1"/>
    <col min="15636" max="15872" width="9.109375" style="211" customWidth="1"/>
    <col min="15873" max="15873" width="21.88671875" style="211" customWidth="1"/>
    <col min="15874" max="15874" width="23.44140625" style="211" customWidth="1"/>
    <col min="15875" max="15875" width="24" style="211" customWidth="1"/>
    <col min="15876" max="15876" width="22.5546875" style="211" customWidth="1"/>
    <col min="15877" max="15878" width="13.44140625" style="211" customWidth="1"/>
    <col min="15879" max="15879" width="30.109375" style="211" customWidth="1"/>
    <col min="15880" max="15880" width="20.109375" style="211" customWidth="1"/>
    <col min="15881" max="15881" width="16.33203125" style="211" customWidth="1"/>
    <col min="15882" max="15882" width="13.44140625" style="211" customWidth="1"/>
    <col min="15883" max="15883" width="30.109375" style="211" customWidth="1"/>
    <col min="15884" max="15884" width="27" style="211" customWidth="1"/>
    <col min="15885" max="15885" width="13.44140625" style="211" customWidth="1"/>
    <col min="15886" max="15886" width="10.5546875" style="211" customWidth="1"/>
    <col min="15887" max="15887" width="18.109375" style="211" customWidth="1"/>
    <col min="15888" max="15888" width="13.44140625" style="211" customWidth="1"/>
    <col min="15889" max="15889" width="27.44140625" style="211" customWidth="1"/>
    <col min="15890" max="15890" width="0" hidden="1" customWidth="1"/>
    <col min="15891" max="15891" width="5.33203125" style="211" customWidth="1"/>
    <col min="15892" max="16128" width="9.109375" style="211" customWidth="1"/>
    <col min="16129" max="16129" width="21.88671875" style="211" customWidth="1"/>
    <col min="16130" max="16130" width="23.44140625" style="211" customWidth="1"/>
    <col min="16131" max="16131" width="24" style="211" customWidth="1"/>
    <col min="16132" max="16132" width="22.5546875" style="211" customWidth="1"/>
    <col min="16133" max="16134" width="13.44140625" style="211" customWidth="1"/>
    <col min="16135" max="16135" width="30.109375" style="211" customWidth="1"/>
    <col min="16136" max="16136" width="20.109375" style="211" customWidth="1"/>
    <col min="16137" max="16137" width="16.33203125" style="211" customWidth="1"/>
    <col min="16138" max="16138" width="13.44140625" style="211" customWidth="1"/>
    <col min="16139" max="16139" width="30.109375" style="211" customWidth="1"/>
    <col min="16140" max="16140" width="27" style="211" customWidth="1"/>
    <col min="16141" max="16141" width="13.44140625" style="211" customWidth="1"/>
    <col min="16142" max="16142" width="10.5546875" style="211" customWidth="1"/>
    <col min="16143" max="16143" width="18.109375" style="211" customWidth="1"/>
    <col min="16144" max="16144" width="13.44140625" style="211" customWidth="1"/>
    <col min="16145" max="16145" width="27.44140625" style="211" customWidth="1"/>
    <col min="16146" max="16146" width="0" hidden="1" customWidth="1"/>
    <col min="16147" max="16147" width="5.33203125" style="211" customWidth="1"/>
    <col min="16148" max="16384" width="9.109375" style="211" customWidth="1"/>
  </cols>
  <sheetData>
    <row r="1" spans="1:17" ht="44.1" customHeight="1" x14ac:dyDescent="0.3">
      <c r="A1" s="552" t="s">
        <v>611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</row>
    <row r="2" spans="1:17" ht="44.1" customHeight="1" x14ac:dyDescent="0.3">
      <c r="A2" s="553" t="s">
        <v>1199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</row>
    <row r="3" spans="1:17" ht="44.1" customHeight="1" x14ac:dyDescent="0.3">
      <c r="A3" s="464"/>
      <c r="B3" s="464"/>
      <c r="C3" s="464"/>
      <c r="D3" s="464"/>
      <c r="E3" s="464"/>
      <c r="F3" s="464"/>
      <c r="G3" s="464"/>
      <c r="H3" s="466"/>
      <c r="I3" s="464"/>
      <c r="J3" s="464"/>
      <c r="K3" s="464"/>
      <c r="L3" s="464"/>
      <c r="M3" s="464"/>
      <c r="N3" s="464"/>
      <c r="O3" s="466"/>
      <c r="P3" s="464"/>
      <c r="Q3" s="538"/>
    </row>
    <row r="4" spans="1:17" ht="30.6" x14ac:dyDescent="0.3">
      <c r="A4" s="465" t="s">
        <v>690</v>
      </c>
      <c r="B4" s="465" t="s">
        <v>691</v>
      </c>
      <c r="C4" s="465" t="s">
        <v>692</v>
      </c>
      <c r="D4" s="465" t="s">
        <v>693</v>
      </c>
      <c r="E4" s="465" t="s">
        <v>694</v>
      </c>
      <c r="F4" s="465" t="s">
        <v>695</v>
      </c>
      <c r="G4" s="465" t="s">
        <v>696</v>
      </c>
      <c r="H4" s="467" t="s">
        <v>697</v>
      </c>
      <c r="I4" s="465" t="s">
        <v>698</v>
      </c>
      <c r="J4" s="465" t="s">
        <v>699</v>
      </c>
      <c r="K4" s="465" t="s">
        <v>700</v>
      </c>
      <c r="L4" s="465" t="s">
        <v>701</v>
      </c>
      <c r="M4" s="465" t="s">
        <v>702</v>
      </c>
      <c r="N4" s="465" t="s">
        <v>703</v>
      </c>
      <c r="O4" s="467" t="s">
        <v>704</v>
      </c>
      <c r="P4" s="465" t="s">
        <v>705</v>
      </c>
      <c r="Q4" s="539" t="s">
        <v>375</v>
      </c>
    </row>
    <row r="5" spans="1:17" ht="30.6" x14ac:dyDescent="0.3">
      <c r="A5" s="375" t="s">
        <v>706</v>
      </c>
      <c r="B5" s="375" t="s">
        <v>707</v>
      </c>
      <c r="C5" s="375" t="s">
        <v>961</v>
      </c>
      <c r="D5" s="375" t="s">
        <v>962</v>
      </c>
      <c r="E5" s="375" t="s">
        <v>708</v>
      </c>
      <c r="F5" s="375" t="s">
        <v>708</v>
      </c>
      <c r="G5" s="375" t="s">
        <v>709</v>
      </c>
      <c r="H5" s="377">
        <v>172000</v>
      </c>
      <c r="I5" s="375" t="s">
        <v>710</v>
      </c>
      <c r="J5" s="375" t="s">
        <v>772</v>
      </c>
      <c r="K5" s="375" t="s">
        <v>773</v>
      </c>
      <c r="L5" s="375" t="s">
        <v>1201</v>
      </c>
      <c r="M5" s="375"/>
      <c r="N5" s="375">
        <v>0</v>
      </c>
      <c r="O5" s="377">
        <v>172000</v>
      </c>
      <c r="P5" s="375" t="s">
        <v>722</v>
      </c>
      <c r="Q5" s="540">
        <v>45659.458386261569</v>
      </c>
    </row>
    <row r="6" spans="1:17" ht="30.6" x14ac:dyDescent="0.3">
      <c r="A6" s="375" t="s">
        <v>706</v>
      </c>
      <c r="B6" s="375" t="s">
        <v>707</v>
      </c>
      <c r="C6" s="375" t="s">
        <v>963</v>
      </c>
      <c r="D6" s="375" t="s">
        <v>964</v>
      </c>
      <c r="E6" s="375" t="s">
        <v>708</v>
      </c>
      <c r="F6" s="375" t="s">
        <v>708</v>
      </c>
      <c r="G6" s="375" t="s">
        <v>709</v>
      </c>
      <c r="H6" s="377">
        <v>113000</v>
      </c>
      <c r="I6" s="375" t="s">
        <v>710</v>
      </c>
      <c r="J6" s="375" t="s">
        <v>965</v>
      </c>
      <c r="K6" s="375" t="s">
        <v>966</v>
      </c>
      <c r="L6" s="375"/>
      <c r="M6" s="375"/>
      <c r="N6" s="375">
        <v>0</v>
      </c>
      <c r="O6" s="377"/>
      <c r="P6" s="375" t="s">
        <v>722</v>
      </c>
      <c r="Q6" s="540">
        <v>45659.500142129626</v>
      </c>
    </row>
    <row r="7" spans="1:17" ht="30.6" x14ac:dyDescent="0.3">
      <c r="A7" s="375" t="s">
        <v>706</v>
      </c>
      <c r="B7" s="375" t="s">
        <v>707</v>
      </c>
      <c r="C7" s="375" t="s">
        <v>967</v>
      </c>
      <c r="D7" s="375" t="s">
        <v>968</v>
      </c>
      <c r="E7" s="375" t="s">
        <v>708</v>
      </c>
      <c r="F7" s="375" t="s">
        <v>708</v>
      </c>
      <c r="G7" s="375" t="s">
        <v>718</v>
      </c>
      <c r="H7" s="377">
        <v>573000</v>
      </c>
      <c r="I7" s="375" t="s">
        <v>710</v>
      </c>
      <c r="J7" s="375" t="s">
        <v>969</v>
      </c>
      <c r="K7" s="375" t="s">
        <v>970</v>
      </c>
      <c r="L7" s="375" t="s">
        <v>971</v>
      </c>
      <c r="M7" s="375" t="s">
        <v>711</v>
      </c>
      <c r="N7" s="375">
        <v>1</v>
      </c>
      <c r="O7" s="377">
        <v>572250</v>
      </c>
      <c r="P7" s="375" t="s">
        <v>722</v>
      </c>
      <c r="Q7" s="540">
        <v>45659.500142395831</v>
      </c>
    </row>
    <row r="8" spans="1:17" ht="30.6" x14ac:dyDescent="0.3">
      <c r="A8" s="375" t="s">
        <v>706</v>
      </c>
      <c r="B8" s="375" t="s">
        <v>707</v>
      </c>
      <c r="C8" s="375" t="s">
        <v>972</v>
      </c>
      <c r="D8" s="375" t="s">
        <v>973</v>
      </c>
      <c r="E8" s="375" t="s">
        <v>708</v>
      </c>
      <c r="F8" s="375" t="s">
        <v>708</v>
      </c>
      <c r="G8" s="375" t="s">
        <v>718</v>
      </c>
      <c r="H8" s="377">
        <v>434960</v>
      </c>
      <c r="I8" s="375" t="s">
        <v>710</v>
      </c>
      <c r="J8" s="375" t="s">
        <v>782</v>
      </c>
      <c r="K8" s="375" t="s">
        <v>783</v>
      </c>
      <c r="L8" s="375" t="s">
        <v>971</v>
      </c>
      <c r="M8" s="375" t="s">
        <v>711</v>
      </c>
      <c r="N8" s="375">
        <v>1</v>
      </c>
      <c r="O8" s="377">
        <v>405410</v>
      </c>
      <c r="P8" s="375" t="s">
        <v>722</v>
      </c>
      <c r="Q8" s="540">
        <v>45659.562541319443</v>
      </c>
    </row>
    <row r="9" spans="1:17" ht="30.6" x14ac:dyDescent="0.3">
      <c r="A9" s="375" t="s">
        <v>706</v>
      </c>
      <c r="B9" s="375" t="s">
        <v>707</v>
      </c>
      <c r="C9" s="375" t="s">
        <v>974</v>
      </c>
      <c r="D9" s="375" t="s">
        <v>723</v>
      </c>
      <c r="E9" s="375" t="s">
        <v>708</v>
      </c>
      <c r="F9" s="375" t="s">
        <v>708</v>
      </c>
      <c r="G9" s="375" t="s">
        <v>718</v>
      </c>
      <c r="H9" s="377">
        <v>387750</v>
      </c>
      <c r="I9" s="375" t="s">
        <v>710</v>
      </c>
      <c r="J9" s="375" t="s">
        <v>975</v>
      </c>
      <c r="K9" s="375" t="s">
        <v>976</v>
      </c>
      <c r="L9" s="375" t="s">
        <v>977</v>
      </c>
      <c r="M9" s="375" t="s">
        <v>711</v>
      </c>
      <c r="N9" s="375">
        <v>2</v>
      </c>
      <c r="O9" s="377">
        <v>242795</v>
      </c>
      <c r="P9" s="375" t="s">
        <v>722</v>
      </c>
      <c r="Q9" s="540">
        <v>45659.667500000003</v>
      </c>
    </row>
    <row r="10" spans="1:17" ht="30.6" x14ac:dyDescent="0.3">
      <c r="A10" s="375" t="s">
        <v>706</v>
      </c>
      <c r="B10" s="375" t="s">
        <v>707</v>
      </c>
      <c r="C10" s="375" t="s">
        <v>974</v>
      </c>
      <c r="D10" s="375" t="s">
        <v>723</v>
      </c>
      <c r="E10" s="375" t="s">
        <v>708</v>
      </c>
      <c r="F10" s="375" t="s">
        <v>708</v>
      </c>
      <c r="G10" s="375" t="s">
        <v>718</v>
      </c>
      <c r="H10" s="377">
        <v>387750</v>
      </c>
      <c r="I10" s="375" t="s">
        <v>710</v>
      </c>
      <c r="J10" s="375" t="s">
        <v>975</v>
      </c>
      <c r="K10" s="375" t="s">
        <v>976</v>
      </c>
      <c r="L10" s="375" t="s">
        <v>724</v>
      </c>
      <c r="M10" s="375" t="s">
        <v>711</v>
      </c>
      <c r="N10" s="375">
        <v>2</v>
      </c>
      <c r="O10" s="377">
        <v>473584</v>
      </c>
      <c r="P10" s="375" t="s">
        <v>712</v>
      </c>
      <c r="Q10" s="540">
        <v>45659.667496643517</v>
      </c>
    </row>
    <row r="11" spans="1:17" ht="30.6" x14ac:dyDescent="0.3">
      <c r="A11" s="375" t="s">
        <v>706</v>
      </c>
      <c r="B11" s="375" t="s">
        <v>707</v>
      </c>
      <c r="C11" s="375" t="s">
        <v>978</v>
      </c>
      <c r="D11" s="375" t="s">
        <v>979</v>
      </c>
      <c r="E11" s="375" t="s">
        <v>708</v>
      </c>
      <c r="F11" s="375" t="s">
        <v>708</v>
      </c>
      <c r="G11" s="375" t="s">
        <v>709</v>
      </c>
      <c r="H11" s="377">
        <v>240000</v>
      </c>
      <c r="I11" s="375" t="s">
        <v>710</v>
      </c>
      <c r="J11" s="375" t="s">
        <v>732</v>
      </c>
      <c r="K11" s="375" t="s">
        <v>733</v>
      </c>
      <c r="L11" s="375"/>
      <c r="M11" s="375"/>
      <c r="N11" s="375">
        <v>0</v>
      </c>
      <c r="O11" s="377"/>
      <c r="P11" s="375" t="s">
        <v>722</v>
      </c>
      <c r="Q11" s="540">
        <v>45660.417708333334</v>
      </c>
    </row>
    <row r="12" spans="1:17" ht="30.6" x14ac:dyDescent="0.3">
      <c r="A12" s="375" t="s">
        <v>706</v>
      </c>
      <c r="B12" s="375" t="s">
        <v>707</v>
      </c>
      <c r="C12" s="375" t="s">
        <v>980</v>
      </c>
      <c r="D12" s="375" t="s">
        <v>981</v>
      </c>
      <c r="E12" s="375" t="s">
        <v>708</v>
      </c>
      <c r="F12" s="375" t="s">
        <v>708</v>
      </c>
      <c r="G12" s="375" t="s">
        <v>709</v>
      </c>
      <c r="H12" s="377">
        <v>218656</v>
      </c>
      <c r="I12" s="375" t="s">
        <v>710</v>
      </c>
      <c r="J12" s="375" t="s">
        <v>746</v>
      </c>
      <c r="K12" s="375" t="s">
        <v>747</v>
      </c>
      <c r="L12" s="375"/>
      <c r="M12" s="375"/>
      <c r="N12" s="375">
        <v>0</v>
      </c>
      <c r="O12" s="377"/>
      <c r="P12" s="375" t="s">
        <v>722</v>
      </c>
      <c r="Q12" s="540">
        <v>45660.437536377314</v>
      </c>
    </row>
    <row r="13" spans="1:17" ht="30.6" x14ac:dyDescent="0.3">
      <c r="A13" s="375" t="s">
        <v>706</v>
      </c>
      <c r="B13" s="375" t="s">
        <v>707</v>
      </c>
      <c r="C13" s="375" t="s">
        <v>982</v>
      </c>
      <c r="D13" s="375" t="s">
        <v>983</v>
      </c>
      <c r="E13" s="375" t="s">
        <v>708</v>
      </c>
      <c r="F13" s="375" t="s">
        <v>708</v>
      </c>
      <c r="G13" s="375" t="s">
        <v>709</v>
      </c>
      <c r="H13" s="377">
        <v>180000</v>
      </c>
      <c r="I13" s="375" t="s">
        <v>710</v>
      </c>
      <c r="J13" s="375" t="s">
        <v>756</v>
      </c>
      <c r="K13" s="375" t="s">
        <v>757</v>
      </c>
      <c r="L13" s="375"/>
      <c r="M13" s="375"/>
      <c r="N13" s="375">
        <v>0</v>
      </c>
      <c r="O13" s="377"/>
      <c r="P13" s="375" t="s">
        <v>722</v>
      </c>
      <c r="Q13" s="540">
        <v>45660.541722881942</v>
      </c>
    </row>
    <row r="14" spans="1:17" ht="30.6" x14ac:dyDescent="0.3">
      <c r="A14" s="375" t="s">
        <v>706</v>
      </c>
      <c r="B14" s="375" t="s">
        <v>707</v>
      </c>
      <c r="C14" s="375" t="s">
        <v>984</v>
      </c>
      <c r="D14" s="375" t="s">
        <v>985</v>
      </c>
      <c r="E14" s="375" t="s">
        <v>708</v>
      </c>
      <c r="F14" s="375" t="s">
        <v>708</v>
      </c>
      <c r="G14" s="375" t="s">
        <v>709</v>
      </c>
      <c r="H14" s="377">
        <v>236000</v>
      </c>
      <c r="I14" s="375" t="s">
        <v>710</v>
      </c>
      <c r="J14" s="375" t="s">
        <v>752</v>
      </c>
      <c r="K14" s="375" t="s">
        <v>753</v>
      </c>
      <c r="L14" s="375"/>
      <c r="M14" s="375"/>
      <c r="N14" s="375">
        <v>0</v>
      </c>
      <c r="O14" s="377"/>
      <c r="P14" s="375" t="s">
        <v>722</v>
      </c>
      <c r="Q14" s="540">
        <v>45660.541723113427</v>
      </c>
    </row>
    <row r="15" spans="1:17" ht="30.6" x14ac:dyDescent="0.3">
      <c r="A15" s="375" t="s">
        <v>706</v>
      </c>
      <c r="B15" s="375" t="s">
        <v>707</v>
      </c>
      <c r="C15" s="375" t="s">
        <v>986</v>
      </c>
      <c r="D15" s="375" t="s">
        <v>987</v>
      </c>
      <c r="E15" s="375" t="s">
        <v>708</v>
      </c>
      <c r="F15" s="375" t="s">
        <v>708</v>
      </c>
      <c r="G15" s="375" t="s">
        <v>709</v>
      </c>
      <c r="H15" s="377">
        <v>240000</v>
      </c>
      <c r="I15" s="375" t="s">
        <v>710</v>
      </c>
      <c r="J15" s="375" t="s">
        <v>732</v>
      </c>
      <c r="K15" s="375" t="s">
        <v>733</v>
      </c>
      <c r="L15" s="375"/>
      <c r="M15" s="375"/>
      <c r="N15" s="375">
        <v>0</v>
      </c>
      <c r="O15" s="377"/>
      <c r="P15" s="375" t="s">
        <v>722</v>
      </c>
      <c r="Q15" s="540">
        <v>45660.55210335648</v>
      </c>
    </row>
    <row r="16" spans="1:17" ht="30.6" x14ac:dyDescent="0.3">
      <c r="A16" s="375" t="s">
        <v>706</v>
      </c>
      <c r="B16" s="375" t="s">
        <v>707</v>
      </c>
      <c r="C16" s="375" t="s">
        <v>988</v>
      </c>
      <c r="D16" s="375" t="s">
        <v>989</v>
      </c>
      <c r="E16" s="375" t="s">
        <v>708</v>
      </c>
      <c r="F16" s="375" t="s">
        <v>708</v>
      </c>
      <c r="G16" s="375" t="s">
        <v>709</v>
      </c>
      <c r="H16" s="377">
        <v>218400</v>
      </c>
      <c r="I16" s="375" t="s">
        <v>710</v>
      </c>
      <c r="J16" s="375" t="s">
        <v>990</v>
      </c>
      <c r="K16" s="375" t="s">
        <v>991</v>
      </c>
      <c r="L16" s="375"/>
      <c r="M16" s="375"/>
      <c r="N16" s="375">
        <v>0</v>
      </c>
      <c r="O16" s="377"/>
      <c r="P16" s="375" t="s">
        <v>722</v>
      </c>
      <c r="Q16" s="540">
        <v>45664.381969756942</v>
      </c>
    </row>
    <row r="17" spans="1:17" ht="30.6" x14ac:dyDescent="0.3">
      <c r="A17" s="375" t="s">
        <v>706</v>
      </c>
      <c r="B17" s="375" t="s">
        <v>707</v>
      </c>
      <c r="C17" s="375" t="s">
        <v>992</v>
      </c>
      <c r="D17" s="375" t="s">
        <v>993</v>
      </c>
      <c r="E17" s="375" t="s">
        <v>708</v>
      </c>
      <c r="F17" s="375" t="s">
        <v>708</v>
      </c>
      <c r="G17" s="375" t="s">
        <v>718</v>
      </c>
      <c r="H17" s="377">
        <v>1277300</v>
      </c>
      <c r="I17" s="375" t="s">
        <v>710</v>
      </c>
      <c r="J17" s="375" t="s">
        <v>994</v>
      </c>
      <c r="K17" s="375" t="s">
        <v>995</v>
      </c>
      <c r="L17" s="375" t="s">
        <v>806</v>
      </c>
      <c r="M17" s="375" t="s">
        <v>711</v>
      </c>
      <c r="N17" s="375">
        <v>1</v>
      </c>
      <c r="O17" s="377">
        <v>1507214</v>
      </c>
      <c r="P17" s="375" t="s">
        <v>715</v>
      </c>
      <c r="Q17" s="540">
        <v>45664.416725543982</v>
      </c>
    </row>
    <row r="18" spans="1:17" ht="30.6" x14ac:dyDescent="0.3">
      <c r="A18" s="375" t="s">
        <v>706</v>
      </c>
      <c r="B18" s="375" t="s">
        <v>707</v>
      </c>
      <c r="C18" s="375" t="s">
        <v>996</v>
      </c>
      <c r="D18" s="375" t="s">
        <v>997</v>
      </c>
      <c r="E18" s="375" t="s">
        <v>708</v>
      </c>
      <c r="F18" s="375" t="s">
        <v>708</v>
      </c>
      <c r="G18" s="375" t="s">
        <v>709</v>
      </c>
      <c r="H18" s="377">
        <v>232500</v>
      </c>
      <c r="I18" s="375" t="s">
        <v>710</v>
      </c>
      <c r="J18" s="375" t="s">
        <v>750</v>
      </c>
      <c r="K18" s="375" t="s">
        <v>751</v>
      </c>
      <c r="L18" s="375"/>
      <c r="M18" s="375"/>
      <c r="N18" s="375">
        <v>0</v>
      </c>
      <c r="O18" s="377"/>
      <c r="P18" s="375" t="s">
        <v>722</v>
      </c>
      <c r="Q18" s="540">
        <v>45664.458398379626</v>
      </c>
    </row>
    <row r="19" spans="1:17" ht="40.799999999999997" x14ac:dyDescent="0.3">
      <c r="A19" s="375" t="s">
        <v>706</v>
      </c>
      <c r="B19" s="375" t="s">
        <v>707</v>
      </c>
      <c r="C19" s="375" t="s">
        <v>998</v>
      </c>
      <c r="D19" s="375" t="s">
        <v>999</v>
      </c>
      <c r="E19" s="375" t="s">
        <v>708</v>
      </c>
      <c r="F19" s="375" t="s">
        <v>708</v>
      </c>
      <c r="G19" s="375" t="s">
        <v>709</v>
      </c>
      <c r="H19" s="377">
        <v>246580</v>
      </c>
      <c r="I19" s="375" t="s">
        <v>710</v>
      </c>
      <c r="J19" s="375" t="s">
        <v>746</v>
      </c>
      <c r="K19" s="375" t="s">
        <v>747</v>
      </c>
      <c r="L19" s="375"/>
      <c r="M19" s="375"/>
      <c r="N19" s="375">
        <v>0</v>
      </c>
      <c r="O19" s="377"/>
      <c r="P19" s="375" t="s">
        <v>722</v>
      </c>
      <c r="Q19" s="540">
        <v>45664.469054629626</v>
      </c>
    </row>
    <row r="20" spans="1:17" ht="30.6" x14ac:dyDescent="0.3">
      <c r="A20" s="375" t="s">
        <v>706</v>
      </c>
      <c r="B20" s="375" t="s">
        <v>707</v>
      </c>
      <c r="C20" s="375" t="s">
        <v>1000</v>
      </c>
      <c r="D20" s="375" t="s">
        <v>1001</v>
      </c>
      <c r="E20" s="375" t="s">
        <v>708</v>
      </c>
      <c r="F20" s="375" t="s">
        <v>708</v>
      </c>
      <c r="G20" s="375" t="s">
        <v>709</v>
      </c>
      <c r="H20" s="377">
        <v>191100</v>
      </c>
      <c r="I20" s="375" t="s">
        <v>710</v>
      </c>
      <c r="J20" s="375" t="s">
        <v>762</v>
      </c>
      <c r="K20" s="375" t="s">
        <v>763</v>
      </c>
      <c r="L20" s="375" t="s">
        <v>737</v>
      </c>
      <c r="M20" s="375" t="s">
        <v>711</v>
      </c>
      <c r="N20" s="375">
        <v>1</v>
      </c>
      <c r="O20" s="377">
        <v>226357</v>
      </c>
      <c r="P20" s="375" t="s">
        <v>722</v>
      </c>
      <c r="Q20" s="540">
        <v>45664.500017592589</v>
      </c>
    </row>
    <row r="21" spans="1:17" ht="30.6" x14ac:dyDescent="0.3">
      <c r="A21" s="375" t="s">
        <v>706</v>
      </c>
      <c r="B21" s="375" t="s">
        <v>707</v>
      </c>
      <c r="C21" s="375" t="s">
        <v>1002</v>
      </c>
      <c r="D21" s="375" t="s">
        <v>1003</v>
      </c>
      <c r="E21" s="375" t="s">
        <v>708</v>
      </c>
      <c r="F21" s="375" t="s">
        <v>708</v>
      </c>
      <c r="G21" s="375" t="s">
        <v>718</v>
      </c>
      <c r="H21" s="377">
        <v>396660</v>
      </c>
      <c r="I21" s="375" t="s">
        <v>774</v>
      </c>
      <c r="J21" s="375" t="s">
        <v>800</v>
      </c>
      <c r="K21" s="375" t="s">
        <v>801</v>
      </c>
      <c r="L21" s="375"/>
      <c r="M21" s="375"/>
      <c r="N21" s="375">
        <v>0</v>
      </c>
      <c r="O21" s="377"/>
      <c r="P21" s="375" t="s">
        <v>722</v>
      </c>
      <c r="Q21" s="540">
        <v>45664.50001762731</v>
      </c>
    </row>
    <row r="22" spans="1:17" ht="30.6" x14ac:dyDescent="0.3">
      <c r="A22" s="375" t="s">
        <v>706</v>
      </c>
      <c r="B22" s="375" t="s">
        <v>707</v>
      </c>
      <c r="C22" s="375" t="s">
        <v>1004</v>
      </c>
      <c r="D22" s="375" t="s">
        <v>1005</v>
      </c>
      <c r="E22" s="375" t="s">
        <v>708</v>
      </c>
      <c r="F22" s="375" t="s">
        <v>708</v>
      </c>
      <c r="G22" s="375" t="s">
        <v>709</v>
      </c>
      <c r="H22" s="377">
        <v>228100</v>
      </c>
      <c r="I22" s="375" t="s">
        <v>710</v>
      </c>
      <c r="J22" s="375" t="s">
        <v>746</v>
      </c>
      <c r="K22" s="375" t="s">
        <v>747</v>
      </c>
      <c r="L22" s="375" t="s">
        <v>670</v>
      </c>
      <c r="M22" s="375" t="s">
        <v>711</v>
      </c>
      <c r="N22" s="375">
        <v>1</v>
      </c>
      <c r="O22" s="377">
        <v>269158</v>
      </c>
      <c r="P22" s="375" t="s">
        <v>715</v>
      </c>
      <c r="Q22" s="540">
        <v>45664.503535185184</v>
      </c>
    </row>
    <row r="23" spans="1:17" ht="40.799999999999997" x14ac:dyDescent="0.3">
      <c r="A23" s="375" t="s">
        <v>706</v>
      </c>
      <c r="B23" s="375" t="s">
        <v>707</v>
      </c>
      <c r="C23" s="375" t="s">
        <v>1006</v>
      </c>
      <c r="D23" s="375" t="s">
        <v>1007</v>
      </c>
      <c r="E23" s="375" t="s">
        <v>708</v>
      </c>
      <c r="F23" s="375" t="s">
        <v>708</v>
      </c>
      <c r="G23" s="375" t="s">
        <v>709</v>
      </c>
      <c r="H23" s="377">
        <v>228000</v>
      </c>
      <c r="I23" s="375" t="s">
        <v>710</v>
      </c>
      <c r="J23" s="375" t="s">
        <v>735</v>
      </c>
      <c r="K23" s="375" t="s">
        <v>736</v>
      </c>
      <c r="L23" s="375"/>
      <c r="M23" s="375"/>
      <c r="N23" s="375">
        <v>0</v>
      </c>
      <c r="O23" s="377"/>
      <c r="P23" s="375" t="s">
        <v>722</v>
      </c>
      <c r="Q23" s="540">
        <v>45664.541713506944</v>
      </c>
    </row>
    <row r="24" spans="1:17" ht="30.6" x14ac:dyDescent="0.3">
      <c r="A24" s="375" t="s">
        <v>706</v>
      </c>
      <c r="B24" s="375" t="s">
        <v>707</v>
      </c>
      <c r="C24" s="375" t="s">
        <v>1008</v>
      </c>
      <c r="D24" s="375" t="s">
        <v>1009</v>
      </c>
      <c r="E24" s="375" t="s">
        <v>708</v>
      </c>
      <c r="F24" s="375" t="s">
        <v>708</v>
      </c>
      <c r="G24" s="375" t="s">
        <v>709</v>
      </c>
      <c r="H24" s="377">
        <v>5500</v>
      </c>
      <c r="I24" s="375" t="s">
        <v>710</v>
      </c>
      <c r="J24" s="375" t="s">
        <v>1010</v>
      </c>
      <c r="K24" s="375" t="s">
        <v>1011</v>
      </c>
      <c r="L24" s="375"/>
      <c r="M24" s="375"/>
      <c r="N24" s="375">
        <v>0</v>
      </c>
      <c r="O24" s="377"/>
      <c r="P24" s="375" t="s">
        <v>722</v>
      </c>
      <c r="Q24" s="540">
        <v>45664.542383877313</v>
      </c>
    </row>
    <row r="25" spans="1:17" ht="30.6" x14ac:dyDescent="0.3">
      <c r="A25" s="375" t="s">
        <v>706</v>
      </c>
      <c r="B25" s="375" t="s">
        <v>707</v>
      </c>
      <c r="C25" s="375" t="s">
        <v>1012</v>
      </c>
      <c r="D25" s="375" t="s">
        <v>1013</v>
      </c>
      <c r="E25" s="375" t="s">
        <v>708</v>
      </c>
      <c r="F25" s="375" t="s">
        <v>708</v>
      </c>
      <c r="G25" s="375" t="s">
        <v>709</v>
      </c>
      <c r="H25" s="377">
        <v>228300</v>
      </c>
      <c r="I25" s="375" t="s">
        <v>710</v>
      </c>
      <c r="J25" s="375" t="s">
        <v>766</v>
      </c>
      <c r="K25" s="375" t="s">
        <v>767</v>
      </c>
      <c r="L25" s="375" t="s">
        <v>670</v>
      </c>
      <c r="M25" s="375" t="s">
        <v>711</v>
      </c>
      <c r="N25" s="375">
        <v>1</v>
      </c>
      <c r="O25" s="377">
        <v>269394</v>
      </c>
      <c r="P25" s="375" t="s">
        <v>715</v>
      </c>
      <c r="Q25" s="540">
        <v>45664.552118634259</v>
      </c>
    </row>
    <row r="26" spans="1:17" ht="30.6" x14ac:dyDescent="0.3">
      <c r="A26" s="375" t="s">
        <v>706</v>
      </c>
      <c r="B26" s="375" t="s">
        <v>707</v>
      </c>
      <c r="C26" s="375" t="s">
        <v>1014</v>
      </c>
      <c r="D26" s="375" t="s">
        <v>1015</v>
      </c>
      <c r="E26" s="375" t="s">
        <v>708</v>
      </c>
      <c r="F26" s="375" t="s">
        <v>708</v>
      </c>
      <c r="G26" s="375" t="s">
        <v>709</v>
      </c>
      <c r="H26" s="377">
        <v>15000</v>
      </c>
      <c r="I26" s="375" t="s">
        <v>710</v>
      </c>
      <c r="J26" s="375" t="s">
        <v>719</v>
      </c>
      <c r="K26" s="375" t="s">
        <v>720</v>
      </c>
      <c r="L26" s="375" t="s">
        <v>721</v>
      </c>
      <c r="M26" s="375" t="s">
        <v>711</v>
      </c>
      <c r="N26" s="375">
        <v>1</v>
      </c>
      <c r="O26" s="377">
        <v>16605</v>
      </c>
      <c r="P26" s="375" t="s">
        <v>722</v>
      </c>
      <c r="Q26" s="540">
        <v>45665.458924733794</v>
      </c>
    </row>
    <row r="27" spans="1:17" ht="30.6" x14ac:dyDescent="0.3">
      <c r="A27" s="375" t="s">
        <v>706</v>
      </c>
      <c r="B27" s="375" t="s">
        <v>707</v>
      </c>
      <c r="C27" s="375" t="s">
        <v>1016</v>
      </c>
      <c r="D27" s="375" t="s">
        <v>1017</v>
      </c>
      <c r="E27" s="375" t="s">
        <v>708</v>
      </c>
      <c r="F27" s="375" t="s">
        <v>708</v>
      </c>
      <c r="G27" s="375" t="s">
        <v>709</v>
      </c>
      <c r="H27" s="377">
        <v>78800</v>
      </c>
      <c r="I27" s="375" t="s">
        <v>710</v>
      </c>
      <c r="J27" s="375" t="s">
        <v>1018</v>
      </c>
      <c r="K27" s="375" t="s">
        <v>1019</v>
      </c>
      <c r="L27" s="375" t="s">
        <v>804</v>
      </c>
      <c r="M27" s="375" t="s">
        <v>711</v>
      </c>
      <c r="N27" s="375">
        <v>1</v>
      </c>
      <c r="O27" s="377">
        <v>128507</v>
      </c>
      <c r="P27" s="375" t="s">
        <v>715</v>
      </c>
      <c r="Q27" s="540">
        <v>45665.501079363421</v>
      </c>
    </row>
    <row r="28" spans="1:17" ht="30.6" x14ac:dyDescent="0.3">
      <c r="A28" s="375" t="s">
        <v>706</v>
      </c>
      <c r="B28" s="375" t="s">
        <v>707</v>
      </c>
      <c r="C28" s="375" t="s">
        <v>1020</v>
      </c>
      <c r="D28" s="375" t="s">
        <v>803</v>
      </c>
      <c r="E28" s="375" t="s">
        <v>708</v>
      </c>
      <c r="F28" s="375" t="s">
        <v>708</v>
      </c>
      <c r="G28" s="375" t="s">
        <v>718</v>
      </c>
      <c r="H28" s="377">
        <v>380000</v>
      </c>
      <c r="I28" s="375" t="s">
        <v>710</v>
      </c>
      <c r="J28" s="375" t="s">
        <v>719</v>
      </c>
      <c r="K28" s="375" t="s">
        <v>720</v>
      </c>
      <c r="L28" s="375" t="s">
        <v>669</v>
      </c>
      <c r="M28" s="375" t="s">
        <v>711</v>
      </c>
      <c r="N28" s="375">
        <v>2</v>
      </c>
      <c r="O28" s="377">
        <v>9900</v>
      </c>
      <c r="P28" s="375" t="s">
        <v>712</v>
      </c>
      <c r="Q28" s="540">
        <v>45667.333355636569</v>
      </c>
    </row>
    <row r="29" spans="1:17" ht="30.6" x14ac:dyDescent="0.3">
      <c r="A29" s="375" t="s">
        <v>706</v>
      </c>
      <c r="B29" s="375" t="s">
        <v>707</v>
      </c>
      <c r="C29" s="375" t="s">
        <v>1020</v>
      </c>
      <c r="D29" s="375" t="s">
        <v>803</v>
      </c>
      <c r="E29" s="375" t="s">
        <v>708</v>
      </c>
      <c r="F29" s="375" t="s">
        <v>708</v>
      </c>
      <c r="G29" s="375" t="s">
        <v>718</v>
      </c>
      <c r="H29" s="377">
        <v>380000</v>
      </c>
      <c r="I29" s="375" t="s">
        <v>710</v>
      </c>
      <c r="J29" s="375" t="s">
        <v>719</v>
      </c>
      <c r="K29" s="375" t="s">
        <v>720</v>
      </c>
      <c r="L29" s="375" t="s">
        <v>725</v>
      </c>
      <c r="M29" s="375" t="s">
        <v>711</v>
      </c>
      <c r="N29" s="375">
        <v>2</v>
      </c>
      <c r="O29" s="377">
        <v>362162</v>
      </c>
      <c r="P29" s="375" t="s">
        <v>722</v>
      </c>
      <c r="Q29" s="540">
        <v>45667.333355636569</v>
      </c>
    </row>
    <row r="30" spans="1:17" ht="30.6" x14ac:dyDescent="0.3">
      <c r="A30" s="375" t="s">
        <v>706</v>
      </c>
      <c r="B30" s="375" t="s">
        <v>707</v>
      </c>
      <c r="C30" s="375" t="s">
        <v>1021</v>
      </c>
      <c r="D30" s="375" t="s">
        <v>1022</v>
      </c>
      <c r="E30" s="375" t="s">
        <v>708</v>
      </c>
      <c r="F30" s="375" t="s">
        <v>708</v>
      </c>
      <c r="G30" s="375" t="s">
        <v>709</v>
      </c>
      <c r="H30" s="377">
        <v>240000</v>
      </c>
      <c r="I30" s="375" t="s">
        <v>710</v>
      </c>
      <c r="J30" s="375" t="s">
        <v>752</v>
      </c>
      <c r="K30" s="375" t="s">
        <v>753</v>
      </c>
      <c r="L30" s="375" t="s">
        <v>805</v>
      </c>
      <c r="M30" s="375" t="s">
        <v>711</v>
      </c>
      <c r="N30" s="375">
        <v>1</v>
      </c>
      <c r="O30" s="377">
        <v>240000</v>
      </c>
      <c r="P30" s="375" t="s">
        <v>715</v>
      </c>
      <c r="Q30" s="540">
        <v>45667.437531215277</v>
      </c>
    </row>
    <row r="31" spans="1:17" ht="30.6" x14ac:dyDescent="0.3">
      <c r="A31" s="375" t="s">
        <v>706</v>
      </c>
      <c r="B31" s="375" t="s">
        <v>707</v>
      </c>
      <c r="C31" s="375" t="s">
        <v>1023</v>
      </c>
      <c r="D31" s="375" t="s">
        <v>1024</v>
      </c>
      <c r="E31" s="375" t="s">
        <v>708</v>
      </c>
      <c r="F31" s="375" t="s">
        <v>708</v>
      </c>
      <c r="G31" s="375" t="s">
        <v>709</v>
      </c>
      <c r="H31" s="377">
        <v>160000</v>
      </c>
      <c r="I31" s="375" t="s">
        <v>710</v>
      </c>
      <c r="J31" s="375" t="s">
        <v>752</v>
      </c>
      <c r="K31" s="375" t="s">
        <v>753</v>
      </c>
      <c r="L31" s="375" t="s">
        <v>805</v>
      </c>
      <c r="M31" s="375" t="s">
        <v>711</v>
      </c>
      <c r="N31" s="375">
        <v>1</v>
      </c>
      <c r="O31" s="377">
        <v>150005</v>
      </c>
      <c r="P31" s="375" t="s">
        <v>715</v>
      </c>
      <c r="Q31" s="540">
        <v>45667.458388576386</v>
      </c>
    </row>
    <row r="32" spans="1:17" ht="30.6" x14ac:dyDescent="0.3">
      <c r="A32" s="375" t="s">
        <v>706</v>
      </c>
      <c r="B32" s="375" t="s">
        <v>707</v>
      </c>
      <c r="C32" s="375" t="s">
        <v>1025</v>
      </c>
      <c r="D32" s="375" t="s">
        <v>1026</v>
      </c>
      <c r="E32" s="375" t="s">
        <v>708</v>
      </c>
      <c r="F32" s="375" t="s">
        <v>708</v>
      </c>
      <c r="G32" s="375" t="s">
        <v>709</v>
      </c>
      <c r="H32" s="377">
        <v>220400</v>
      </c>
      <c r="I32" s="375" t="s">
        <v>1027</v>
      </c>
      <c r="J32" s="375" t="s">
        <v>719</v>
      </c>
      <c r="K32" s="375" t="s">
        <v>720</v>
      </c>
      <c r="L32" s="375"/>
      <c r="M32" s="375"/>
      <c r="N32" s="375">
        <v>0</v>
      </c>
      <c r="O32" s="377"/>
      <c r="P32" s="375" t="s">
        <v>722</v>
      </c>
      <c r="Q32" s="540">
        <v>45667.465327314814</v>
      </c>
    </row>
    <row r="33" spans="1:17" ht="30.6" x14ac:dyDescent="0.3">
      <c r="A33" s="375" t="s">
        <v>706</v>
      </c>
      <c r="B33" s="375" t="s">
        <v>707</v>
      </c>
      <c r="C33" s="375" t="s">
        <v>1028</v>
      </c>
      <c r="D33" s="375" t="s">
        <v>1029</v>
      </c>
      <c r="E33" s="375" t="s">
        <v>708</v>
      </c>
      <c r="F33" s="375" t="s">
        <v>708</v>
      </c>
      <c r="G33" s="375" t="s">
        <v>718</v>
      </c>
      <c r="H33" s="377">
        <v>927000</v>
      </c>
      <c r="I33" s="375" t="s">
        <v>710</v>
      </c>
      <c r="J33" s="375" t="s">
        <v>738</v>
      </c>
      <c r="K33" s="375" t="s">
        <v>739</v>
      </c>
      <c r="L33" s="375" t="s">
        <v>688</v>
      </c>
      <c r="M33" s="375" t="s">
        <v>711</v>
      </c>
      <c r="N33" s="375">
        <v>1</v>
      </c>
      <c r="O33" s="377">
        <v>616702</v>
      </c>
      <c r="P33" s="375" t="s">
        <v>722</v>
      </c>
      <c r="Q33" s="540">
        <v>45667.500376469907</v>
      </c>
    </row>
    <row r="34" spans="1:17" ht="30.6" x14ac:dyDescent="0.3">
      <c r="A34" s="375" t="s">
        <v>706</v>
      </c>
      <c r="B34" s="375" t="s">
        <v>707</v>
      </c>
      <c r="C34" s="375" t="s">
        <v>1030</v>
      </c>
      <c r="D34" s="375" t="s">
        <v>1031</v>
      </c>
      <c r="E34" s="375" t="s">
        <v>708</v>
      </c>
      <c r="F34" s="375" t="s">
        <v>708</v>
      </c>
      <c r="G34" s="375" t="s">
        <v>709</v>
      </c>
      <c r="H34" s="377">
        <v>197500</v>
      </c>
      <c r="I34" s="375" t="s">
        <v>710</v>
      </c>
      <c r="J34" s="375" t="s">
        <v>735</v>
      </c>
      <c r="K34" s="375" t="s">
        <v>736</v>
      </c>
      <c r="L34" s="375" t="s">
        <v>1032</v>
      </c>
      <c r="M34" s="375" t="s">
        <v>711</v>
      </c>
      <c r="N34" s="375">
        <v>1</v>
      </c>
      <c r="O34" s="377">
        <v>233050</v>
      </c>
      <c r="P34" s="375" t="s">
        <v>715</v>
      </c>
      <c r="Q34" s="540">
        <v>45667.510468981476</v>
      </c>
    </row>
    <row r="35" spans="1:17" ht="30.6" x14ac:dyDescent="0.3">
      <c r="A35" s="375" t="s">
        <v>706</v>
      </c>
      <c r="B35" s="375" t="s">
        <v>707</v>
      </c>
      <c r="C35" s="375" t="s">
        <v>1033</v>
      </c>
      <c r="D35" s="375" t="s">
        <v>1034</v>
      </c>
      <c r="E35" s="375" t="s">
        <v>708</v>
      </c>
      <c r="F35" s="375" t="s">
        <v>708</v>
      </c>
      <c r="G35" s="375" t="s">
        <v>709</v>
      </c>
      <c r="H35" s="377">
        <v>180000</v>
      </c>
      <c r="I35" s="375" t="s">
        <v>710</v>
      </c>
      <c r="J35" s="375" t="s">
        <v>729</v>
      </c>
      <c r="K35" s="375" t="s">
        <v>730</v>
      </c>
      <c r="L35" s="375" t="s">
        <v>793</v>
      </c>
      <c r="M35" s="375" t="s">
        <v>711</v>
      </c>
      <c r="N35" s="375">
        <v>1</v>
      </c>
      <c r="O35" s="377">
        <v>180000</v>
      </c>
      <c r="P35" s="375" t="s">
        <v>722</v>
      </c>
      <c r="Q35" s="540">
        <v>45667.531260150463</v>
      </c>
    </row>
    <row r="36" spans="1:17" ht="51" x14ac:dyDescent="0.3">
      <c r="A36" s="375" t="s">
        <v>706</v>
      </c>
      <c r="B36" s="375" t="s">
        <v>707</v>
      </c>
      <c r="C36" s="375" t="s">
        <v>1035</v>
      </c>
      <c r="D36" s="375" t="s">
        <v>1036</v>
      </c>
      <c r="E36" s="375" t="s">
        <v>708</v>
      </c>
      <c r="F36" s="375" t="s">
        <v>708</v>
      </c>
      <c r="G36" s="375" t="s">
        <v>709</v>
      </c>
      <c r="H36" s="377">
        <v>164000</v>
      </c>
      <c r="I36" s="375" t="s">
        <v>710</v>
      </c>
      <c r="J36" s="375" t="s">
        <v>729</v>
      </c>
      <c r="K36" s="375" t="s">
        <v>730</v>
      </c>
      <c r="L36" s="375" t="s">
        <v>1037</v>
      </c>
      <c r="M36" s="375" t="s">
        <v>711</v>
      </c>
      <c r="N36" s="375">
        <v>1</v>
      </c>
      <c r="O36" s="377">
        <v>178260</v>
      </c>
      <c r="P36" s="375" t="s">
        <v>712</v>
      </c>
      <c r="Q36" s="540">
        <v>45667.53477662037</v>
      </c>
    </row>
    <row r="37" spans="1:17" ht="30.6" x14ac:dyDescent="0.3">
      <c r="A37" s="375" t="s">
        <v>706</v>
      </c>
      <c r="B37" s="375" t="s">
        <v>707</v>
      </c>
      <c r="C37" s="375" t="s">
        <v>1038</v>
      </c>
      <c r="D37" s="375" t="s">
        <v>807</v>
      </c>
      <c r="E37" s="375" t="s">
        <v>708</v>
      </c>
      <c r="F37" s="375" t="s">
        <v>708</v>
      </c>
      <c r="G37" s="375" t="s">
        <v>718</v>
      </c>
      <c r="H37" s="377">
        <v>363500</v>
      </c>
      <c r="I37" s="375" t="s">
        <v>710</v>
      </c>
      <c r="J37" s="375" t="s">
        <v>719</v>
      </c>
      <c r="K37" s="375" t="s">
        <v>720</v>
      </c>
      <c r="L37" s="375" t="s">
        <v>654</v>
      </c>
      <c r="M37" s="375" t="s">
        <v>711</v>
      </c>
      <c r="N37" s="375">
        <v>1</v>
      </c>
      <c r="O37" s="377">
        <v>91807</v>
      </c>
      <c r="P37" s="375" t="s">
        <v>722</v>
      </c>
      <c r="Q37" s="540">
        <v>45667.541675231478</v>
      </c>
    </row>
    <row r="38" spans="1:17" ht="30.6" x14ac:dyDescent="0.3">
      <c r="A38" s="375" t="s">
        <v>706</v>
      </c>
      <c r="B38" s="375" t="s">
        <v>707</v>
      </c>
      <c r="C38" s="375" t="s">
        <v>1039</v>
      </c>
      <c r="D38" s="375" t="s">
        <v>1040</v>
      </c>
      <c r="E38" s="375" t="s">
        <v>708</v>
      </c>
      <c r="F38" s="375" t="s">
        <v>708</v>
      </c>
      <c r="G38" s="375" t="s">
        <v>709</v>
      </c>
      <c r="H38" s="377">
        <v>185400</v>
      </c>
      <c r="I38" s="375" t="s">
        <v>710</v>
      </c>
      <c r="J38" s="375" t="s">
        <v>752</v>
      </c>
      <c r="K38" s="375" t="s">
        <v>753</v>
      </c>
      <c r="L38" s="375" t="s">
        <v>666</v>
      </c>
      <c r="M38" s="375" t="s">
        <v>711</v>
      </c>
      <c r="N38" s="375">
        <v>1</v>
      </c>
      <c r="O38" s="377">
        <v>185400</v>
      </c>
      <c r="P38" s="375" t="s">
        <v>722</v>
      </c>
      <c r="Q38" s="540">
        <v>45667.565977280094</v>
      </c>
    </row>
    <row r="39" spans="1:17" ht="30.6" x14ac:dyDescent="0.3">
      <c r="A39" s="375" t="s">
        <v>706</v>
      </c>
      <c r="B39" s="375" t="s">
        <v>707</v>
      </c>
      <c r="C39" s="375" t="s">
        <v>1041</v>
      </c>
      <c r="D39" s="375" t="s">
        <v>1042</v>
      </c>
      <c r="E39" s="375" t="s">
        <v>708</v>
      </c>
      <c r="F39" s="375" t="s">
        <v>708</v>
      </c>
      <c r="G39" s="375" t="s">
        <v>709</v>
      </c>
      <c r="H39" s="377">
        <v>165000</v>
      </c>
      <c r="I39" s="375" t="s">
        <v>710</v>
      </c>
      <c r="J39" s="375" t="s">
        <v>740</v>
      </c>
      <c r="K39" s="375" t="s">
        <v>741</v>
      </c>
      <c r="L39" s="375" t="s">
        <v>799</v>
      </c>
      <c r="M39" s="375" t="s">
        <v>711</v>
      </c>
      <c r="N39" s="375">
        <v>1</v>
      </c>
      <c r="O39" s="377">
        <v>264792</v>
      </c>
      <c r="P39" s="375" t="s">
        <v>722</v>
      </c>
      <c r="Q39" s="540">
        <v>45667.583370914348</v>
      </c>
    </row>
    <row r="40" spans="1:17" ht="30.6" x14ac:dyDescent="0.3">
      <c r="A40" s="375" t="s">
        <v>706</v>
      </c>
      <c r="B40" s="375" t="s">
        <v>707</v>
      </c>
      <c r="C40" s="375" t="s">
        <v>1043</v>
      </c>
      <c r="D40" s="375" t="s">
        <v>1044</v>
      </c>
      <c r="E40" s="375" t="s">
        <v>708</v>
      </c>
      <c r="F40" s="375" t="s">
        <v>708</v>
      </c>
      <c r="G40" s="375" t="s">
        <v>709</v>
      </c>
      <c r="H40" s="377">
        <v>86700</v>
      </c>
      <c r="I40" s="375" t="s">
        <v>710</v>
      </c>
      <c r="J40" s="375" t="s">
        <v>752</v>
      </c>
      <c r="K40" s="375" t="s">
        <v>753</v>
      </c>
      <c r="L40" s="375" t="s">
        <v>666</v>
      </c>
      <c r="M40" s="375" t="s">
        <v>711</v>
      </c>
      <c r="N40" s="375">
        <v>1</v>
      </c>
      <c r="O40" s="377">
        <v>86700</v>
      </c>
      <c r="P40" s="375" t="s">
        <v>722</v>
      </c>
      <c r="Q40" s="540">
        <v>45667.604207141201</v>
      </c>
    </row>
    <row r="41" spans="1:17" ht="30.6" x14ac:dyDescent="0.3">
      <c r="A41" s="375" t="s">
        <v>706</v>
      </c>
      <c r="B41" s="375" t="s">
        <v>707</v>
      </c>
      <c r="C41" s="375" t="s">
        <v>1045</v>
      </c>
      <c r="D41" s="375" t="s">
        <v>1046</v>
      </c>
      <c r="E41" s="375" t="s">
        <v>708</v>
      </c>
      <c r="F41" s="375" t="s">
        <v>708</v>
      </c>
      <c r="G41" s="375" t="s">
        <v>709</v>
      </c>
      <c r="H41" s="377">
        <v>234000</v>
      </c>
      <c r="I41" s="375" t="s">
        <v>774</v>
      </c>
      <c r="J41" s="375" t="s">
        <v>729</v>
      </c>
      <c r="K41" s="375" t="s">
        <v>730</v>
      </c>
      <c r="L41" s="375"/>
      <c r="M41" s="375"/>
      <c r="N41" s="375">
        <v>0</v>
      </c>
      <c r="O41" s="377"/>
      <c r="P41" s="375" t="s">
        <v>722</v>
      </c>
      <c r="Q41" s="540">
        <v>45667.604207488424</v>
      </c>
    </row>
    <row r="42" spans="1:17" ht="30.6" x14ac:dyDescent="0.3">
      <c r="A42" s="375" t="s">
        <v>706</v>
      </c>
      <c r="B42" s="375" t="s">
        <v>707</v>
      </c>
      <c r="C42" s="375" t="s">
        <v>1047</v>
      </c>
      <c r="D42" s="375" t="s">
        <v>1048</v>
      </c>
      <c r="E42" s="375" t="s">
        <v>708</v>
      </c>
      <c r="F42" s="375" t="s">
        <v>708</v>
      </c>
      <c r="G42" s="375" t="s">
        <v>709</v>
      </c>
      <c r="H42" s="377">
        <v>160350</v>
      </c>
      <c r="I42" s="375" t="s">
        <v>710</v>
      </c>
      <c r="J42" s="375" t="s">
        <v>719</v>
      </c>
      <c r="K42" s="375" t="s">
        <v>720</v>
      </c>
      <c r="L42" s="375" t="s">
        <v>669</v>
      </c>
      <c r="M42" s="375" t="s">
        <v>711</v>
      </c>
      <c r="N42" s="375">
        <v>1</v>
      </c>
      <c r="O42" s="377">
        <v>161700</v>
      </c>
      <c r="P42" s="375" t="s">
        <v>712</v>
      </c>
      <c r="Q42" s="540">
        <v>45667.645881481483</v>
      </c>
    </row>
    <row r="43" spans="1:17" ht="30.6" x14ac:dyDescent="0.3">
      <c r="A43" s="375" t="s">
        <v>706</v>
      </c>
      <c r="B43" s="375" t="s">
        <v>707</v>
      </c>
      <c r="C43" s="375" t="s">
        <v>1049</v>
      </c>
      <c r="D43" s="375" t="s">
        <v>1050</v>
      </c>
      <c r="E43" s="375" t="s">
        <v>708</v>
      </c>
      <c r="F43" s="375" t="s">
        <v>708</v>
      </c>
      <c r="G43" s="375" t="s">
        <v>709</v>
      </c>
      <c r="H43" s="377">
        <v>242000</v>
      </c>
      <c r="I43" s="375" t="s">
        <v>710</v>
      </c>
      <c r="J43" s="375" t="s">
        <v>756</v>
      </c>
      <c r="K43" s="375" t="s">
        <v>757</v>
      </c>
      <c r="L43" s="375" t="s">
        <v>897</v>
      </c>
      <c r="M43" s="375" t="s">
        <v>711</v>
      </c>
      <c r="N43" s="375">
        <v>1</v>
      </c>
      <c r="O43" s="377">
        <v>271350</v>
      </c>
      <c r="P43" s="375" t="s">
        <v>715</v>
      </c>
      <c r="Q43" s="540">
        <v>45667.673616817126</v>
      </c>
    </row>
    <row r="44" spans="1:17" ht="30.6" x14ac:dyDescent="0.3">
      <c r="A44" s="375" t="s">
        <v>706</v>
      </c>
      <c r="B44" s="375" t="s">
        <v>707</v>
      </c>
      <c r="C44" s="375" t="s">
        <v>1051</v>
      </c>
      <c r="D44" s="375" t="s">
        <v>1052</v>
      </c>
      <c r="E44" s="375" t="s">
        <v>708</v>
      </c>
      <c r="F44" s="375" t="s">
        <v>708</v>
      </c>
      <c r="G44" s="375" t="s">
        <v>709</v>
      </c>
      <c r="H44" s="377">
        <v>160000</v>
      </c>
      <c r="I44" s="375" t="s">
        <v>710</v>
      </c>
      <c r="J44" s="375" t="s">
        <v>750</v>
      </c>
      <c r="K44" s="375" t="s">
        <v>751</v>
      </c>
      <c r="L44" s="375" t="s">
        <v>799</v>
      </c>
      <c r="M44" s="375" t="s">
        <v>711</v>
      </c>
      <c r="N44" s="375">
        <v>1</v>
      </c>
      <c r="O44" s="377">
        <v>167560</v>
      </c>
      <c r="P44" s="375" t="s">
        <v>722</v>
      </c>
      <c r="Q44" s="540">
        <v>45667.687811076386</v>
      </c>
    </row>
    <row r="45" spans="1:17" ht="30.6" x14ac:dyDescent="0.3">
      <c r="A45" s="375" t="s">
        <v>706</v>
      </c>
      <c r="B45" s="375" t="s">
        <v>707</v>
      </c>
      <c r="C45" s="375" t="s">
        <v>1053</v>
      </c>
      <c r="D45" s="375" t="s">
        <v>1054</v>
      </c>
      <c r="E45" s="375" t="s">
        <v>708</v>
      </c>
      <c r="F45" s="375" t="s">
        <v>708</v>
      </c>
      <c r="G45" s="375" t="s">
        <v>709</v>
      </c>
      <c r="H45" s="377">
        <v>146000</v>
      </c>
      <c r="I45" s="375" t="s">
        <v>710</v>
      </c>
      <c r="J45" s="375" t="s">
        <v>738</v>
      </c>
      <c r="K45" s="375" t="s">
        <v>739</v>
      </c>
      <c r="L45" s="375" t="s">
        <v>669</v>
      </c>
      <c r="M45" s="375" t="s">
        <v>711</v>
      </c>
      <c r="N45" s="375">
        <v>1</v>
      </c>
      <c r="O45" s="377">
        <v>147451</v>
      </c>
      <c r="P45" s="375" t="s">
        <v>712</v>
      </c>
      <c r="Q45" s="540">
        <v>45670.417620370368</v>
      </c>
    </row>
    <row r="46" spans="1:17" ht="30.6" x14ac:dyDescent="0.3">
      <c r="A46" s="375" t="s">
        <v>706</v>
      </c>
      <c r="B46" s="375" t="s">
        <v>707</v>
      </c>
      <c r="C46" s="375" t="s">
        <v>1055</v>
      </c>
      <c r="D46" s="375" t="s">
        <v>1056</v>
      </c>
      <c r="E46" s="375" t="s">
        <v>708</v>
      </c>
      <c r="F46" s="375" t="s">
        <v>708</v>
      </c>
      <c r="G46" s="375" t="s">
        <v>709</v>
      </c>
      <c r="H46" s="377">
        <v>15000</v>
      </c>
      <c r="I46" s="375" t="s">
        <v>710</v>
      </c>
      <c r="J46" s="375" t="s">
        <v>782</v>
      </c>
      <c r="K46" s="375" t="s">
        <v>783</v>
      </c>
      <c r="L46" s="375"/>
      <c r="M46" s="375"/>
      <c r="N46" s="375">
        <v>0</v>
      </c>
      <c r="O46" s="377"/>
      <c r="P46" s="375" t="s">
        <v>722</v>
      </c>
      <c r="Q46" s="540">
        <v>45670.418071412038</v>
      </c>
    </row>
    <row r="47" spans="1:17" ht="40.799999999999997" x14ac:dyDescent="0.3">
      <c r="A47" s="375" t="s">
        <v>706</v>
      </c>
      <c r="B47" s="375" t="s">
        <v>707</v>
      </c>
      <c r="C47" s="375" t="s">
        <v>1057</v>
      </c>
      <c r="D47" s="375" t="s">
        <v>1058</v>
      </c>
      <c r="E47" s="375" t="s">
        <v>708</v>
      </c>
      <c r="F47" s="375" t="s">
        <v>708</v>
      </c>
      <c r="G47" s="375" t="s">
        <v>709</v>
      </c>
      <c r="H47" s="377">
        <v>236850</v>
      </c>
      <c r="I47" s="375" t="s">
        <v>710</v>
      </c>
      <c r="J47" s="375" t="s">
        <v>1059</v>
      </c>
      <c r="K47" s="375" t="s">
        <v>1060</v>
      </c>
      <c r="L47" s="375"/>
      <c r="M47" s="375"/>
      <c r="N47" s="375">
        <v>0</v>
      </c>
      <c r="O47" s="377"/>
      <c r="P47" s="375" t="s">
        <v>722</v>
      </c>
      <c r="Q47" s="540">
        <v>45670.486143865739</v>
      </c>
    </row>
    <row r="48" spans="1:17" ht="51" x14ac:dyDescent="0.3">
      <c r="A48" s="375" t="s">
        <v>706</v>
      </c>
      <c r="B48" s="375" t="s">
        <v>707</v>
      </c>
      <c r="C48" s="375" t="s">
        <v>1061</v>
      </c>
      <c r="D48" s="375" t="s">
        <v>1062</v>
      </c>
      <c r="E48" s="375" t="s">
        <v>708</v>
      </c>
      <c r="F48" s="375" t="s">
        <v>708</v>
      </c>
      <c r="G48" s="375" t="s">
        <v>709</v>
      </c>
      <c r="H48" s="377">
        <v>171150</v>
      </c>
      <c r="I48" s="375" t="s">
        <v>774</v>
      </c>
      <c r="J48" s="375" t="s">
        <v>759</v>
      </c>
      <c r="K48" s="375" t="s">
        <v>760</v>
      </c>
      <c r="L48" s="375"/>
      <c r="M48" s="375"/>
      <c r="N48" s="375">
        <v>0</v>
      </c>
      <c r="O48" s="377"/>
      <c r="P48" s="375" t="s">
        <v>722</v>
      </c>
      <c r="Q48" s="540">
        <v>45670.576445520834</v>
      </c>
    </row>
    <row r="49" spans="1:17" ht="51" x14ac:dyDescent="0.3">
      <c r="A49" s="375" t="s">
        <v>706</v>
      </c>
      <c r="B49" s="375" t="s">
        <v>707</v>
      </c>
      <c r="C49" s="375" t="s">
        <v>1063</v>
      </c>
      <c r="D49" s="375" t="s">
        <v>1062</v>
      </c>
      <c r="E49" s="375" t="s">
        <v>708</v>
      </c>
      <c r="F49" s="375" t="s">
        <v>708</v>
      </c>
      <c r="G49" s="375" t="s">
        <v>709</v>
      </c>
      <c r="H49" s="377">
        <v>241150</v>
      </c>
      <c r="I49" s="375" t="s">
        <v>710</v>
      </c>
      <c r="J49" s="375" t="s">
        <v>759</v>
      </c>
      <c r="K49" s="375" t="s">
        <v>760</v>
      </c>
      <c r="L49" s="375" t="s">
        <v>1064</v>
      </c>
      <c r="M49" s="375" t="s">
        <v>711</v>
      </c>
      <c r="N49" s="375">
        <v>1</v>
      </c>
      <c r="O49" s="377">
        <v>253279</v>
      </c>
      <c r="P49" s="375" t="s">
        <v>722</v>
      </c>
      <c r="Q49" s="540">
        <v>45670.624342905088</v>
      </c>
    </row>
    <row r="50" spans="1:17" ht="30.6" x14ac:dyDescent="0.3">
      <c r="A50" s="375" t="s">
        <v>706</v>
      </c>
      <c r="B50" s="375" t="s">
        <v>707</v>
      </c>
      <c r="C50" s="375" t="s">
        <v>1065</v>
      </c>
      <c r="D50" s="375" t="s">
        <v>1066</v>
      </c>
      <c r="E50" s="375" t="s">
        <v>708</v>
      </c>
      <c r="F50" s="375" t="s">
        <v>708</v>
      </c>
      <c r="G50" s="375" t="s">
        <v>709</v>
      </c>
      <c r="H50" s="377">
        <v>220500</v>
      </c>
      <c r="I50" s="375" t="s">
        <v>710</v>
      </c>
      <c r="J50" s="375" t="s">
        <v>1059</v>
      </c>
      <c r="K50" s="375" t="s">
        <v>1060</v>
      </c>
      <c r="L50" s="375" t="s">
        <v>794</v>
      </c>
      <c r="M50" s="375" t="s">
        <v>711</v>
      </c>
      <c r="N50" s="375">
        <v>1</v>
      </c>
      <c r="O50" s="377">
        <v>220500</v>
      </c>
      <c r="P50" s="375" t="s">
        <v>722</v>
      </c>
      <c r="Q50" s="540">
        <v>45670.659742361109</v>
      </c>
    </row>
    <row r="51" spans="1:17" ht="30.6" x14ac:dyDescent="0.3">
      <c r="A51" s="375" t="s">
        <v>706</v>
      </c>
      <c r="B51" s="375" t="s">
        <v>707</v>
      </c>
      <c r="C51" s="375" t="s">
        <v>1067</v>
      </c>
      <c r="D51" s="375" t="s">
        <v>1068</v>
      </c>
      <c r="E51" s="375" t="s">
        <v>708</v>
      </c>
      <c r="F51" s="375" t="s">
        <v>708</v>
      </c>
      <c r="G51" s="375" t="s">
        <v>709</v>
      </c>
      <c r="H51" s="377">
        <v>197500</v>
      </c>
      <c r="I51" s="375" t="s">
        <v>710</v>
      </c>
      <c r="J51" s="375" t="s">
        <v>735</v>
      </c>
      <c r="K51" s="375" t="s">
        <v>736</v>
      </c>
      <c r="L51" s="375" t="s">
        <v>1032</v>
      </c>
      <c r="M51" s="375" t="s">
        <v>711</v>
      </c>
      <c r="N51" s="375">
        <v>1</v>
      </c>
      <c r="O51" s="377">
        <v>233050</v>
      </c>
      <c r="P51" s="375" t="s">
        <v>715</v>
      </c>
      <c r="Q51" s="540">
        <v>45671.41819290509</v>
      </c>
    </row>
    <row r="52" spans="1:17" ht="30.6" x14ac:dyDescent="0.3">
      <c r="A52" s="375" t="s">
        <v>706</v>
      </c>
      <c r="B52" s="375" t="s">
        <v>707</v>
      </c>
      <c r="C52" s="375" t="s">
        <v>1069</v>
      </c>
      <c r="D52" s="375" t="s">
        <v>1070</v>
      </c>
      <c r="E52" s="375" t="s">
        <v>708</v>
      </c>
      <c r="F52" s="375" t="s">
        <v>708</v>
      </c>
      <c r="G52" s="375" t="s">
        <v>709</v>
      </c>
      <c r="H52" s="377">
        <v>240000</v>
      </c>
      <c r="I52" s="375" t="s">
        <v>710</v>
      </c>
      <c r="J52" s="375" t="s">
        <v>752</v>
      </c>
      <c r="K52" s="375" t="s">
        <v>753</v>
      </c>
      <c r="L52" s="375" t="s">
        <v>793</v>
      </c>
      <c r="M52" s="375" t="s">
        <v>711</v>
      </c>
      <c r="N52" s="375">
        <v>1</v>
      </c>
      <c r="O52" s="377">
        <v>240000</v>
      </c>
      <c r="P52" s="375" t="s">
        <v>722</v>
      </c>
      <c r="Q52" s="540">
        <v>45671.418468090276</v>
      </c>
    </row>
    <row r="53" spans="1:17" ht="40.799999999999997" x14ac:dyDescent="0.3">
      <c r="A53" s="375" t="s">
        <v>706</v>
      </c>
      <c r="B53" s="375" t="s">
        <v>707</v>
      </c>
      <c r="C53" s="375" t="s">
        <v>1071</v>
      </c>
      <c r="D53" s="375" t="s">
        <v>1072</v>
      </c>
      <c r="E53" s="375" t="s">
        <v>708</v>
      </c>
      <c r="F53" s="375" t="s">
        <v>708</v>
      </c>
      <c r="G53" s="375" t="s">
        <v>709</v>
      </c>
      <c r="H53" s="377">
        <v>244801</v>
      </c>
      <c r="I53" s="375" t="s">
        <v>710</v>
      </c>
      <c r="J53" s="375" t="s">
        <v>743</v>
      </c>
      <c r="K53" s="375" t="s">
        <v>744</v>
      </c>
      <c r="L53" s="375" t="s">
        <v>785</v>
      </c>
      <c r="M53" s="375" t="s">
        <v>711</v>
      </c>
      <c r="N53" s="375">
        <v>1</v>
      </c>
      <c r="O53" s="377">
        <v>272844</v>
      </c>
      <c r="P53" s="375" t="s">
        <v>722</v>
      </c>
      <c r="Q53" s="540">
        <v>45671.458832175922</v>
      </c>
    </row>
    <row r="54" spans="1:17" ht="30.6" x14ac:dyDescent="0.3">
      <c r="A54" s="375" t="s">
        <v>706</v>
      </c>
      <c r="B54" s="375" t="s">
        <v>707</v>
      </c>
      <c r="C54" s="375" t="s">
        <v>1073</v>
      </c>
      <c r="D54" s="375" t="s">
        <v>1074</v>
      </c>
      <c r="E54" s="375" t="s">
        <v>708</v>
      </c>
      <c r="F54" s="375" t="s">
        <v>708</v>
      </c>
      <c r="G54" s="375" t="s">
        <v>709</v>
      </c>
      <c r="H54" s="377">
        <v>172500</v>
      </c>
      <c r="I54" s="375" t="s">
        <v>774</v>
      </c>
      <c r="J54" s="375" t="s">
        <v>735</v>
      </c>
      <c r="K54" s="375" t="s">
        <v>736</v>
      </c>
      <c r="L54" s="375"/>
      <c r="M54" s="375"/>
      <c r="N54" s="375">
        <v>0</v>
      </c>
      <c r="O54" s="377"/>
      <c r="P54" s="375" t="s">
        <v>722</v>
      </c>
      <c r="Q54" s="540">
        <v>45671.459303391202</v>
      </c>
    </row>
    <row r="55" spans="1:17" ht="30.6" x14ac:dyDescent="0.3">
      <c r="A55" s="375" t="s">
        <v>706</v>
      </c>
      <c r="B55" s="375" t="s">
        <v>707</v>
      </c>
      <c r="C55" s="375" t="s">
        <v>1075</v>
      </c>
      <c r="D55" s="375" t="s">
        <v>1076</v>
      </c>
      <c r="E55" s="375" t="s">
        <v>708</v>
      </c>
      <c r="F55" s="375" t="s">
        <v>708</v>
      </c>
      <c r="G55" s="375" t="s">
        <v>709</v>
      </c>
      <c r="H55" s="377">
        <v>141000</v>
      </c>
      <c r="I55" s="375" t="s">
        <v>710</v>
      </c>
      <c r="J55" s="375" t="s">
        <v>740</v>
      </c>
      <c r="K55" s="375" t="s">
        <v>741</v>
      </c>
      <c r="L55" s="375"/>
      <c r="M55" s="375"/>
      <c r="N55" s="375">
        <v>0</v>
      </c>
      <c r="O55" s="377"/>
      <c r="P55" s="375" t="s">
        <v>722</v>
      </c>
      <c r="Q55" s="540">
        <v>45671.482703738424</v>
      </c>
    </row>
    <row r="56" spans="1:17" ht="30.6" x14ac:dyDescent="0.3">
      <c r="A56" s="375" t="s">
        <v>706</v>
      </c>
      <c r="B56" s="375" t="s">
        <v>707</v>
      </c>
      <c r="C56" s="375" t="s">
        <v>1077</v>
      </c>
      <c r="D56" s="375" t="s">
        <v>1074</v>
      </c>
      <c r="E56" s="375" t="s">
        <v>708</v>
      </c>
      <c r="F56" s="375" t="s">
        <v>708</v>
      </c>
      <c r="G56" s="375" t="s">
        <v>709</v>
      </c>
      <c r="H56" s="377">
        <v>172500</v>
      </c>
      <c r="I56" s="375" t="s">
        <v>710</v>
      </c>
      <c r="J56" s="375" t="s">
        <v>735</v>
      </c>
      <c r="K56" s="375" t="s">
        <v>736</v>
      </c>
      <c r="L56" s="375" t="s">
        <v>1078</v>
      </c>
      <c r="M56" s="375" t="s">
        <v>711</v>
      </c>
      <c r="N56" s="375">
        <v>1</v>
      </c>
      <c r="O56" s="377">
        <v>203550</v>
      </c>
      <c r="P56" s="375" t="s">
        <v>712</v>
      </c>
      <c r="Q56" s="540">
        <v>45671.501615196757</v>
      </c>
    </row>
    <row r="57" spans="1:17" ht="30.6" x14ac:dyDescent="0.3">
      <c r="A57" s="375" t="s">
        <v>706</v>
      </c>
      <c r="B57" s="375" t="s">
        <v>707</v>
      </c>
      <c r="C57" s="375" t="s">
        <v>1079</v>
      </c>
      <c r="D57" s="375" t="s">
        <v>1080</v>
      </c>
      <c r="E57" s="375" t="s">
        <v>708</v>
      </c>
      <c r="F57" s="375" t="s">
        <v>708</v>
      </c>
      <c r="G57" s="375" t="s">
        <v>709</v>
      </c>
      <c r="H57" s="377">
        <v>91200</v>
      </c>
      <c r="I57" s="375" t="s">
        <v>710</v>
      </c>
      <c r="J57" s="375" t="s">
        <v>748</v>
      </c>
      <c r="K57" s="375" t="s">
        <v>749</v>
      </c>
      <c r="L57" s="375"/>
      <c r="M57" s="375"/>
      <c r="N57" s="375">
        <v>0</v>
      </c>
      <c r="O57" s="377"/>
      <c r="P57" s="375" t="s">
        <v>722</v>
      </c>
      <c r="Q57" s="540">
        <v>45671.542394907403</v>
      </c>
    </row>
    <row r="58" spans="1:17" ht="30.6" x14ac:dyDescent="0.3">
      <c r="A58" s="375" t="s">
        <v>706</v>
      </c>
      <c r="B58" s="375" t="s">
        <v>707</v>
      </c>
      <c r="C58" s="375" t="s">
        <v>1081</v>
      </c>
      <c r="D58" s="375" t="s">
        <v>1082</v>
      </c>
      <c r="E58" s="375" t="s">
        <v>708</v>
      </c>
      <c r="F58" s="375" t="s">
        <v>708</v>
      </c>
      <c r="G58" s="375" t="s">
        <v>709</v>
      </c>
      <c r="H58" s="377">
        <v>205000</v>
      </c>
      <c r="I58" s="375" t="s">
        <v>710</v>
      </c>
      <c r="J58" s="375" t="s">
        <v>740</v>
      </c>
      <c r="K58" s="375" t="s">
        <v>741</v>
      </c>
      <c r="L58" s="375"/>
      <c r="M58" s="375"/>
      <c r="N58" s="375">
        <v>0</v>
      </c>
      <c r="O58" s="377"/>
      <c r="P58" s="375" t="s">
        <v>722</v>
      </c>
      <c r="Q58" s="540">
        <v>45671.583860648148</v>
      </c>
    </row>
    <row r="59" spans="1:17" ht="30.6" x14ac:dyDescent="0.3">
      <c r="A59" s="375" t="s">
        <v>706</v>
      </c>
      <c r="B59" s="375" t="s">
        <v>707</v>
      </c>
      <c r="C59" s="375" t="s">
        <v>1083</v>
      </c>
      <c r="D59" s="375" t="s">
        <v>1084</v>
      </c>
      <c r="E59" s="375" t="s">
        <v>708</v>
      </c>
      <c r="F59" s="375" t="s">
        <v>708</v>
      </c>
      <c r="G59" s="375" t="s">
        <v>709</v>
      </c>
      <c r="H59" s="377">
        <v>181250</v>
      </c>
      <c r="I59" s="375" t="s">
        <v>710</v>
      </c>
      <c r="J59" s="375" t="s">
        <v>746</v>
      </c>
      <c r="K59" s="375" t="s">
        <v>747</v>
      </c>
      <c r="L59" s="375" t="s">
        <v>1037</v>
      </c>
      <c r="M59" s="375" t="s">
        <v>711</v>
      </c>
      <c r="N59" s="375">
        <v>1</v>
      </c>
      <c r="O59" s="377">
        <v>182375</v>
      </c>
      <c r="P59" s="375" t="s">
        <v>712</v>
      </c>
      <c r="Q59" s="540">
        <v>45671.618600428235</v>
      </c>
    </row>
    <row r="60" spans="1:17" ht="30.6" x14ac:dyDescent="0.3">
      <c r="A60" s="375" t="s">
        <v>706</v>
      </c>
      <c r="B60" s="375" t="s">
        <v>707</v>
      </c>
      <c r="C60" s="375" t="s">
        <v>1085</v>
      </c>
      <c r="D60" s="375" t="s">
        <v>1086</v>
      </c>
      <c r="E60" s="375" t="s">
        <v>708</v>
      </c>
      <c r="F60" s="375" t="s">
        <v>708</v>
      </c>
      <c r="G60" s="375" t="s">
        <v>709</v>
      </c>
      <c r="H60" s="377">
        <v>76000</v>
      </c>
      <c r="I60" s="375" t="s">
        <v>710</v>
      </c>
      <c r="J60" s="375" t="s">
        <v>719</v>
      </c>
      <c r="K60" s="375" t="s">
        <v>720</v>
      </c>
      <c r="L60" s="375" t="s">
        <v>687</v>
      </c>
      <c r="M60" s="375" t="s">
        <v>711</v>
      </c>
      <c r="N60" s="375">
        <v>1</v>
      </c>
      <c r="O60" s="377">
        <v>69561</v>
      </c>
      <c r="P60" s="375" t="s">
        <v>722</v>
      </c>
      <c r="Q60" s="540">
        <v>45671.625056249999</v>
      </c>
    </row>
    <row r="61" spans="1:17" ht="30.6" x14ac:dyDescent="0.3">
      <c r="A61" s="375" t="s">
        <v>706</v>
      </c>
      <c r="B61" s="375" t="s">
        <v>707</v>
      </c>
      <c r="C61" s="375" t="s">
        <v>1087</v>
      </c>
      <c r="D61" s="375" t="s">
        <v>1088</v>
      </c>
      <c r="E61" s="375" t="s">
        <v>708</v>
      </c>
      <c r="F61" s="375" t="s">
        <v>708</v>
      </c>
      <c r="G61" s="375" t="s">
        <v>709</v>
      </c>
      <c r="H61" s="377">
        <v>200200</v>
      </c>
      <c r="I61" s="375" t="s">
        <v>774</v>
      </c>
      <c r="J61" s="375" t="s">
        <v>752</v>
      </c>
      <c r="K61" s="375" t="s">
        <v>753</v>
      </c>
      <c r="L61" s="375"/>
      <c r="M61" s="375"/>
      <c r="N61" s="375">
        <v>0</v>
      </c>
      <c r="O61" s="377"/>
      <c r="P61" s="375" t="s">
        <v>722</v>
      </c>
      <c r="Q61" s="540">
        <v>45672.460147025464</v>
      </c>
    </row>
    <row r="62" spans="1:17" ht="30.6" x14ac:dyDescent="0.3">
      <c r="A62" s="375" t="s">
        <v>706</v>
      </c>
      <c r="B62" s="375" t="s">
        <v>707</v>
      </c>
      <c r="C62" s="375" t="s">
        <v>1089</v>
      </c>
      <c r="D62" s="375" t="s">
        <v>1090</v>
      </c>
      <c r="E62" s="375" t="s">
        <v>708</v>
      </c>
      <c r="F62" s="375" t="s">
        <v>708</v>
      </c>
      <c r="G62" s="375" t="s">
        <v>709</v>
      </c>
      <c r="H62" s="377">
        <v>210000</v>
      </c>
      <c r="I62" s="375" t="s">
        <v>710</v>
      </c>
      <c r="J62" s="375" t="s">
        <v>727</v>
      </c>
      <c r="K62" s="375" t="s">
        <v>728</v>
      </c>
      <c r="L62" s="375" t="s">
        <v>1091</v>
      </c>
      <c r="M62" s="375" t="s">
        <v>711</v>
      </c>
      <c r="N62" s="375">
        <v>1</v>
      </c>
      <c r="O62" s="377">
        <v>247998</v>
      </c>
      <c r="P62" s="375" t="s">
        <v>722</v>
      </c>
      <c r="Q62" s="540">
        <v>45672.513936377312</v>
      </c>
    </row>
    <row r="63" spans="1:17" ht="30.6" x14ac:dyDescent="0.3">
      <c r="A63" s="375" t="s">
        <v>706</v>
      </c>
      <c r="B63" s="375" t="s">
        <v>707</v>
      </c>
      <c r="C63" s="375" t="s">
        <v>1092</v>
      </c>
      <c r="D63" s="375" t="s">
        <v>1093</v>
      </c>
      <c r="E63" s="375" t="s">
        <v>708</v>
      </c>
      <c r="F63" s="375" t="s">
        <v>708</v>
      </c>
      <c r="G63" s="375" t="s">
        <v>709</v>
      </c>
      <c r="H63" s="377">
        <v>59250</v>
      </c>
      <c r="I63" s="375" t="s">
        <v>710</v>
      </c>
      <c r="J63" s="375" t="s">
        <v>727</v>
      </c>
      <c r="K63" s="375" t="s">
        <v>728</v>
      </c>
      <c r="L63" s="375" t="s">
        <v>778</v>
      </c>
      <c r="M63" s="375" t="s">
        <v>711</v>
      </c>
      <c r="N63" s="375">
        <v>1</v>
      </c>
      <c r="O63" s="377">
        <v>69915</v>
      </c>
      <c r="P63" s="375" t="s">
        <v>722</v>
      </c>
      <c r="Q63" s="540">
        <v>45672.520901585645</v>
      </c>
    </row>
    <row r="64" spans="1:17" ht="30.6" x14ac:dyDescent="0.3">
      <c r="A64" s="375" t="s">
        <v>706</v>
      </c>
      <c r="B64" s="375" t="s">
        <v>707</v>
      </c>
      <c r="C64" s="375" t="s">
        <v>1094</v>
      </c>
      <c r="D64" s="375" t="s">
        <v>1095</v>
      </c>
      <c r="E64" s="375" t="s">
        <v>708</v>
      </c>
      <c r="F64" s="375" t="s">
        <v>708</v>
      </c>
      <c r="G64" s="375" t="s">
        <v>709</v>
      </c>
      <c r="H64" s="377">
        <v>59400</v>
      </c>
      <c r="I64" s="375" t="s">
        <v>710</v>
      </c>
      <c r="J64" s="375" t="s">
        <v>727</v>
      </c>
      <c r="K64" s="375" t="s">
        <v>728</v>
      </c>
      <c r="L64" s="375" t="s">
        <v>1032</v>
      </c>
      <c r="M64" s="375" t="s">
        <v>711</v>
      </c>
      <c r="N64" s="375">
        <v>1</v>
      </c>
      <c r="O64" s="377">
        <v>70092</v>
      </c>
      <c r="P64" s="375" t="s">
        <v>715</v>
      </c>
      <c r="Q64" s="540">
        <v>45672.527822951386</v>
      </c>
    </row>
    <row r="65" spans="1:17" ht="30.6" x14ac:dyDescent="0.3">
      <c r="A65" s="375" t="s">
        <v>706</v>
      </c>
      <c r="B65" s="375" t="s">
        <v>707</v>
      </c>
      <c r="C65" s="375" t="s">
        <v>1096</v>
      </c>
      <c r="D65" s="375" t="s">
        <v>1088</v>
      </c>
      <c r="E65" s="375" t="s">
        <v>708</v>
      </c>
      <c r="F65" s="375" t="s">
        <v>708</v>
      </c>
      <c r="G65" s="375" t="s">
        <v>709</v>
      </c>
      <c r="H65" s="377">
        <v>208850</v>
      </c>
      <c r="I65" s="375" t="s">
        <v>710</v>
      </c>
      <c r="J65" s="375" t="s">
        <v>752</v>
      </c>
      <c r="K65" s="375" t="s">
        <v>753</v>
      </c>
      <c r="L65" s="375" t="s">
        <v>1078</v>
      </c>
      <c r="M65" s="375" t="s">
        <v>711</v>
      </c>
      <c r="N65" s="375">
        <v>1</v>
      </c>
      <c r="O65" s="377">
        <v>236948</v>
      </c>
      <c r="P65" s="375" t="s">
        <v>712</v>
      </c>
      <c r="Q65" s="540">
        <v>45672.542425844906</v>
      </c>
    </row>
    <row r="66" spans="1:17" ht="40.799999999999997" x14ac:dyDescent="0.3">
      <c r="A66" s="375" t="s">
        <v>706</v>
      </c>
      <c r="B66" s="375" t="s">
        <v>707</v>
      </c>
      <c r="C66" s="375" t="s">
        <v>1097</v>
      </c>
      <c r="D66" s="375" t="s">
        <v>1098</v>
      </c>
      <c r="E66" s="375" t="s">
        <v>708</v>
      </c>
      <c r="F66" s="375" t="s">
        <v>708</v>
      </c>
      <c r="G66" s="375" t="s">
        <v>709</v>
      </c>
      <c r="H66" s="377">
        <v>185700</v>
      </c>
      <c r="I66" s="375" t="s">
        <v>710</v>
      </c>
      <c r="J66" s="375" t="s">
        <v>729</v>
      </c>
      <c r="K66" s="375" t="s">
        <v>730</v>
      </c>
      <c r="L66" s="375" t="s">
        <v>1078</v>
      </c>
      <c r="M66" s="375" t="s">
        <v>711</v>
      </c>
      <c r="N66" s="375">
        <v>1</v>
      </c>
      <c r="O66" s="377">
        <v>209354</v>
      </c>
      <c r="P66" s="375" t="s">
        <v>712</v>
      </c>
      <c r="Q66" s="540">
        <v>45673.418212418983</v>
      </c>
    </row>
    <row r="67" spans="1:17" ht="30.6" x14ac:dyDescent="0.3">
      <c r="A67" s="375" t="s">
        <v>706</v>
      </c>
      <c r="B67" s="375" t="s">
        <v>707</v>
      </c>
      <c r="C67" s="375" t="s">
        <v>1099</v>
      </c>
      <c r="D67" s="375" t="s">
        <v>1100</v>
      </c>
      <c r="E67" s="375" t="s">
        <v>708</v>
      </c>
      <c r="F67" s="375" t="s">
        <v>708</v>
      </c>
      <c r="G67" s="375" t="s">
        <v>709</v>
      </c>
      <c r="H67" s="377">
        <v>110000</v>
      </c>
      <c r="I67" s="375" t="s">
        <v>710</v>
      </c>
      <c r="J67" s="375" t="s">
        <v>729</v>
      </c>
      <c r="K67" s="375" t="s">
        <v>730</v>
      </c>
      <c r="L67" s="375" t="s">
        <v>1078</v>
      </c>
      <c r="M67" s="375" t="s">
        <v>711</v>
      </c>
      <c r="N67" s="375">
        <v>1</v>
      </c>
      <c r="O67" s="377">
        <v>110000</v>
      </c>
      <c r="P67" s="375" t="s">
        <v>712</v>
      </c>
      <c r="Q67" s="540">
        <v>45673.458746956014</v>
      </c>
    </row>
    <row r="68" spans="1:17" ht="30.6" x14ac:dyDescent="0.3">
      <c r="A68" s="375" t="s">
        <v>706</v>
      </c>
      <c r="B68" s="375" t="s">
        <v>707</v>
      </c>
      <c r="C68" s="375" t="s">
        <v>1101</v>
      </c>
      <c r="D68" s="375" t="s">
        <v>1102</v>
      </c>
      <c r="E68" s="375" t="s">
        <v>708</v>
      </c>
      <c r="F68" s="375" t="s">
        <v>708</v>
      </c>
      <c r="G68" s="375" t="s">
        <v>709</v>
      </c>
      <c r="H68" s="377">
        <v>54720</v>
      </c>
      <c r="I68" s="375" t="s">
        <v>710</v>
      </c>
      <c r="J68" s="375" t="s">
        <v>732</v>
      </c>
      <c r="K68" s="375" t="s">
        <v>733</v>
      </c>
      <c r="L68" s="375" t="s">
        <v>742</v>
      </c>
      <c r="M68" s="375" t="s">
        <v>711</v>
      </c>
      <c r="N68" s="375">
        <v>1</v>
      </c>
      <c r="O68" s="377">
        <v>54720</v>
      </c>
      <c r="P68" s="375" t="s">
        <v>722</v>
      </c>
      <c r="Q68" s="540">
        <v>45673.459144826389</v>
      </c>
    </row>
    <row r="69" spans="1:17" ht="30.6" x14ac:dyDescent="0.3">
      <c r="A69" s="375" t="s">
        <v>706</v>
      </c>
      <c r="B69" s="375" t="s">
        <v>707</v>
      </c>
      <c r="C69" s="375" t="s">
        <v>1103</v>
      </c>
      <c r="D69" s="375" t="s">
        <v>1104</v>
      </c>
      <c r="E69" s="375" t="s">
        <v>708</v>
      </c>
      <c r="F69" s="375" t="s">
        <v>708</v>
      </c>
      <c r="G69" s="375" t="s">
        <v>709</v>
      </c>
      <c r="H69" s="377">
        <v>31250</v>
      </c>
      <c r="I69" s="375" t="s">
        <v>710</v>
      </c>
      <c r="J69" s="375" t="s">
        <v>732</v>
      </c>
      <c r="K69" s="375" t="s">
        <v>733</v>
      </c>
      <c r="L69" s="375" t="s">
        <v>742</v>
      </c>
      <c r="M69" s="375" t="s">
        <v>711</v>
      </c>
      <c r="N69" s="375">
        <v>1</v>
      </c>
      <c r="O69" s="377">
        <v>31250</v>
      </c>
      <c r="P69" s="375" t="s">
        <v>722</v>
      </c>
      <c r="Q69" s="540">
        <v>45673.45914540509</v>
      </c>
    </row>
    <row r="70" spans="1:17" ht="30.6" x14ac:dyDescent="0.3">
      <c r="A70" s="375" t="s">
        <v>706</v>
      </c>
      <c r="B70" s="375" t="s">
        <v>707</v>
      </c>
      <c r="C70" s="375" t="s">
        <v>1105</v>
      </c>
      <c r="D70" s="375" t="s">
        <v>802</v>
      </c>
      <c r="E70" s="375" t="s">
        <v>708</v>
      </c>
      <c r="F70" s="375" t="s">
        <v>708</v>
      </c>
      <c r="G70" s="375" t="s">
        <v>709</v>
      </c>
      <c r="H70" s="377">
        <v>150000</v>
      </c>
      <c r="I70" s="375" t="s">
        <v>710</v>
      </c>
      <c r="J70" s="375" t="s">
        <v>719</v>
      </c>
      <c r="K70" s="375" t="s">
        <v>720</v>
      </c>
      <c r="L70" s="375" t="s">
        <v>721</v>
      </c>
      <c r="M70" s="375" t="s">
        <v>711</v>
      </c>
      <c r="N70" s="375">
        <v>1</v>
      </c>
      <c r="O70" s="377">
        <v>150060</v>
      </c>
      <c r="P70" s="375" t="s">
        <v>722</v>
      </c>
      <c r="Q70" s="540">
        <v>45673.501053206019</v>
      </c>
    </row>
    <row r="71" spans="1:17" ht="30.6" x14ac:dyDescent="0.3">
      <c r="A71" s="375" t="s">
        <v>706</v>
      </c>
      <c r="B71" s="375" t="s">
        <v>707</v>
      </c>
      <c r="C71" s="375" t="s">
        <v>1106</v>
      </c>
      <c r="D71" s="375" t="s">
        <v>1107</v>
      </c>
      <c r="E71" s="375" t="s">
        <v>708</v>
      </c>
      <c r="F71" s="375" t="s">
        <v>708</v>
      </c>
      <c r="G71" s="375" t="s">
        <v>709</v>
      </c>
      <c r="H71" s="377">
        <v>145500</v>
      </c>
      <c r="I71" s="375" t="s">
        <v>710</v>
      </c>
      <c r="J71" s="375" t="s">
        <v>800</v>
      </c>
      <c r="K71" s="375" t="s">
        <v>801</v>
      </c>
      <c r="L71" s="375" t="s">
        <v>686</v>
      </c>
      <c r="M71" s="375" t="s">
        <v>711</v>
      </c>
      <c r="N71" s="375">
        <v>1</v>
      </c>
      <c r="O71" s="377">
        <v>160215</v>
      </c>
      <c r="P71" s="375" t="s">
        <v>712</v>
      </c>
      <c r="Q71" s="540">
        <v>45673.520864699072</v>
      </c>
    </row>
    <row r="72" spans="1:17" ht="30.6" x14ac:dyDescent="0.3">
      <c r="A72" s="375" t="s">
        <v>706</v>
      </c>
      <c r="B72" s="375" t="s">
        <v>707</v>
      </c>
      <c r="C72" s="375" t="s">
        <v>1108</v>
      </c>
      <c r="D72" s="375" t="s">
        <v>1109</v>
      </c>
      <c r="E72" s="375" t="s">
        <v>708</v>
      </c>
      <c r="F72" s="375" t="s">
        <v>708</v>
      </c>
      <c r="G72" s="375" t="s">
        <v>718</v>
      </c>
      <c r="H72" s="377">
        <v>1800000</v>
      </c>
      <c r="I72" s="375" t="s">
        <v>710</v>
      </c>
      <c r="J72" s="375" t="s">
        <v>719</v>
      </c>
      <c r="K72" s="375" t="s">
        <v>720</v>
      </c>
      <c r="L72" s="375"/>
      <c r="M72" s="375"/>
      <c r="N72" s="375">
        <v>0</v>
      </c>
      <c r="O72" s="377"/>
      <c r="P72" s="375" t="s">
        <v>722</v>
      </c>
      <c r="Q72" s="540">
        <v>45673.541687881945</v>
      </c>
    </row>
    <row r="73" spans="1:17" ht="30.6" x14ac:dyDescent="0.3">
      <c r="A73" s="375" t="s">
        <v>706</v>
      </c>
      <c r="B73" s="375" t="s">
        <v>707</v>
      </c>
      <c r="C73" s="375" t="s">
        <v>1110</v>
      </c>
      <c r="D73" s="375" t="s">
        <v>1111</v>
      </c>
      <c r="E73" s="375" t="s">
        <v>1112</v>
      </c>
      <c r="F73" s="375" t="s">
        <v>708</v>
      </c>
      <c r="G73" s="375" t="s">
        <v>718</v>
      </c>
      <c r="H73" s="377">
        <v>1850000</v>
      </c>
      <c r="I73" s="375" t="s">
        <v>710</v>
      </c>
      <c r="J73" s="375" t="s">
        <v>719</v>
      </c>
      <c r="K73" s="375" t="s">
        <v>720</v>
      </c>
      <c r="L73" s="375"/>
      <c r="M73" s="375"/>
      <c r="N73" s="375">
        <v>0</v>
      </c>
      <c r="O73" s="377"/>
      <c r="P73" s="375" t="s">
        <v>722</v>
      </c>
      <c r="Q73" s="540">
        <v>45673.542196064816</v>
      </c>
    </row>
    <row r="74" spans="1:17" ht="30.6" x14ac:dyDescent="0.3">
      <c r="A74" s="375" t="s">
        <v>706</v>
      </c>
      <c r="B74" s="375" t="s">
        <v>707</v>
      </c>
      <c r="C74" s="375" t="s">
        <v>1113</v>
      </c>
      <c r="D74" s="375" t="s">
        <v>1114</v>
      </c>
      <c r="E74" s="375" t="s">
        <v>708</v>
      </c>
      <c r="F74" s="375" t="s">
        <v>708</v>
      </c>
      <c r="G74" s="375" t="s">
        <v>709</v>
      </c>
      <c r="H74" s="377">
        <v>154230</v>
      </c>
      <c r="I74" s="375" t="s">
        <v>710</v>
      </c>
      <c r="J74" s="375" t="s">
        <v>800</v>
      </c>
      <c r="K74" s="375" t="s">
        <v>801</v>
      </c>
      <c r="L74" s="375" t="s">
        <v>686</v>
      </c>
      <c r="M74" s="375" t="s">
        <v>711</v>
      </c>
      <c r="N74" s="375">
        <v>1</v>
      </c>
      <c r="O74" s="377">
        <v>184344</v>
      </c>
      <c r="P74" s="375" t="s">
        <v>712</v>
      </c>
      <c r="Q74" s="540">
        <v>45673.627016782404</v>
      </c>
    </row>
    <row r="75" spans="1:17" ht="30.6" x14ac:dyDescent="0.3">
      <c r="A75" s="375" t="s">
        <v>706</v>
      </c>
      <c r="B75" s="375" t="s">
        <v>707</v>
      </c>
      <c r="C75" s="375" t="s">
        <v>1115</v>
      </c>
      <c r="D75" s="375" t="s">
        <v>1116</v>
      </c>
      <c r="E75" s="375" t="s">
        <v>708</v>
      </c>
      <c r="F75" s="375" t="s">
        <v>708</v>
      </c>
      <c r="G75" s="375" t="s">
        <v>709</v>
      </c>
      <c r="H75" s="377">
        <v>238680</v>
      </c>
      <c r="I75" s="375" t="s">
        <v>710</v>
      </c>
      <c r="J75" s="375" t="s">
        <v>1117</v>
      </c>
      <c r="K75" s="375" t="s">
        <v>1118</v>
      </c>
      <c r="L75" s="375"/>
      <c r="M75" s="375"/>
      <c r="N75" s="375">
        <v>0</v>
      </c>
      <c r="O75" s="377"/>
      <c r="P75" s="375" t="s">
        <v>722</v>
      </c>
      <c r="Q75" s="540">
        <v>45674.430562118054</v>
      </c>
    </row>
    <row r="76" spans="1:17" ht="30.6" x14ac:dyDescent="0.3">
      <c r="A76" s="375" t="s">
        <v>706</v>
      </c>
      <c r="B76" s="375" t="s">
        <v>707</v>
      </c>
      <c r="C76" s="375" t="s">
        <v>1119</v>
      </c>
      <c r="D76" s="375" t="s">
        <v>1120</v>
      </c>
      <c r="E76" s="375" t="s">
        <v>708</v>
      </c>
      <c r="F76" s="375" t="s">
        <v>708</v>
      </c>
      <c r="G76" s="375" t="s">
        <v>709</v>
      </c>
      <c r="H76" s="377">
        <v>53000</v>
      </c>
      <c r="I76" s="375" t="s">
        <v>710</v>
      </c>
      <c r="J76" s="375" t="s">
        <v>743</v>
      </c>
      <c r="K76" s="375" t="s">
        <v>744</v>
      </c>
      <c r="L76" s="375" t="s">
        <v>1037</v>
      </c>
      <c r="M76" s="375" t="s">
        <v>711</v>
      </c>
      <c r="N76" s="375">
        <v>1</v>
      </c>
      <c r="O76" s="377">
        <v>62540</v>
      </c>
      <c r="P76" s="375" t="s">
        <v>712</v>
      </c>
      <c r="Q76" s="540">
        <v>45674.460208831013</v>
      </c>
    </row>
    <row r="77" spans="1:17" ht="30.6" x14ac:dyDescent="0.3">
      <c r="A77" s="375" t="s">
        <v>706</v>
      </c>
      <c r="B77" s="375" t="s">
        <v>707</v>
      </c>
      <c r="C77" s="375" t="s">
        <v>1121</v>
      </c>
      <c r="D77" s="375" t="s">
        <v>1122</v>
      </c>
      <c r="E77" s="375" t="s">
        <v>708</v>
      </c>
      <c r="F77" s="375" t="s">
        <v>708</v>
      </c>
      <c r="G77" s="375" t="s">
        <v>709</v>
      </c>
      <c r="H77" s="377">
        <v>128000</v>
      </c>
      <c r="I77" s="375" t="s">
        <v>710</v>
      </c>
      <c r="J77" s="375" t="s">
        <v>1123</v>
      </c>
      <c r="K77" s="375" t="s">
        <v>1124</v>
      </c>
      <c r="L77" s="375"/>
      <c r="M77" s="375"/>
      <c r="N77" s="375">
        <v>0</v>
      </c>
      <c r="O77" s="377"/>
      <c r="P77" s="375" t="s">
        <v>722</v>
      </c>
      <c r="Q77" s="540">
        <v>45674.468817905094</v>
      </c>
    </row>
    <row r="78" spans="1:17" ht="30.6" x14ac:dyDescent="0.3">
      <c r="A78" s="375" t="s">
        <v>706</v>
      </c>
      <c r="B78" s="375" t="s">
        <v>707</v>
      </c>
      <c r="C78" s="375" t="s">
        <v>1125</v>
      </c>
      <c r="D78" s="375" t="s">
        <v>1126</v>
      </c>
      <c r="E78" s="375" t="s">
        <v>708</v>
      </c>
      <c r="F78" s="375" t="s">
        <v>708</v>
      </c>
      <c r="G78" s="375" t="s">
        <v>709</v>
      </c>
      <c r="H78" s="377">
        <v>48500</v>
      </c>
      <c r="I78" s="375" t="s">
        <v>710</v>
      </c>
      <c r="J78" s="375" t="s">
        <v>1010</v>
      </c>
      <c r="K78" s="375" t="s">
        <v>1011</v>
      </c>
      <c r="L78" s="375" t="s">
        <v>1127</v>
      </c>
      <c r="M78" s="375" t="s">
        <v>711</v>
      </c>
      <c r="N78" s="375">
        <v>1</v>
      </c>
      <c r="O78" s="377">
        <v>57230</v>
      </c>
      <c r="P78" s="375" t="s">
        <v>715</v>
      </c>
      <c r="Q78" s="540">
        <v>45674.559042129629</v>
      </c>
    </row>
    <row r="79" spans="1:17" ht="30.6" x14ac:dyDescent="0.3">
      <c r="A79" s="375" t="s">
        <v>706</v>
      </c>
      <c r="B79" s="375" t="s">
        <v>707</v>
      </c>
      <c r="C79" s="375" t="s">
        <v>1128</v>
      </c>
      <c r="D79" s="375" t="s">
        <v>1102</v>
      </c>
      <c r="E79" s="375" t="s">
        <v>708</v>
      </c>
      <c r="F79" s="375" t="s">
        <v>708</v>
      </c>
      <c r="G79" s="375" t="s">
        <v>709</v>
      </c>
      <c r="H79" s="377">
        <v>179280</v>
      </c>
      <c r="I79" s="375" t="s">
        <v>710</v>
      </c>
      <c r="J79" s="375" t="s">
        <v>732</v>
      </c>
      <c r="K79" s="375" t="s">
        <v>733</v>
      </c>
      <c r="L79" s="375" t="s">
        <v>742</v>
      </c>
      <c r="M79" s="375" t="s">
        <v>711</v>
      </c>
      <c r="N79" s="375">
        <v>1</v>
      </c>
      <c r="O79" s="377">
        <v>179280</v>
      </c>
      <c r="P79" s="375" t="s">
        <v>722</v>
      </c>
      <c r="Q79" s="540">
        <v>45684.418861655089</v>
      </c>
    </row>
    <row r="80" spans="1:17" ht="30.6" x14ac:dyDescent="0.3">
      <c r="A80" s="375" t="s">
        <v>706</v>
      </c>
      <c r="B80" s="375" t="s">
        <v>707</v>
      </c>
      <c r="C80" s="375" t="s">
        <v>1129</v>
      </c>
      <c r="D80" s="375" t="s">
        <v>1130</v>
      </c>
      <c r="E80" s="375" t="s">
        <v>1112</v>
      </c>
      <c r="F80" s="375" t="s">
        <v>708</v>
      </c>
      <c r="G80" s="375" t="s">
        <v>709</v>
      </c>
      <c r="H80" s="377">
        <v>112600</v>
      </c>
      <c r="I80" s="375" t="s">
        <v>710</v>
      </c>
      <c r="J80" s="375" t="s">
        <v>732</v>
      </c>
      <c r="K80" s="375" t="s">
        <v>733</v>
      </c>
      <c r="L80" s="375"/>
      <c r="M80" s="375"/>
      <c r="N80" s="375">
        <v>0</v>
      </c>
      <c r="O80" s="377"/>
      <c r="P80" s="375" t="s">
        <v>722</v>
      </c>
      <c r="Q80" s="540">
        <v>45684.427090196754</v>
      </c>
    </row>
    <row r="81" spans="1:17" ht="30.6" x14ac:dyDescent="0.3">
      <c r="A81" s="375" t="s">
        <v>706</v>
      </c>
      <c r="B81" s="375" t="s">
        <v>707</v>
      </c>
      <c r="C81" s="375" t="s">
        <v>1131</v>
      </c>
      <c r="D81" s="375" t="s">
        <v>1132</v>
      </c>
      <c r="E81" s="375" t="s">
        <v>708</v>
      </c>
      <c r="F81" s="375" t="s">
        <v>708</v>
      </c>
      <c r="G81" s="375" t="s">
        <v>718</v>
      </c>
      <c r="H81" s="377">
        <v>355720</v>
      </c>
      <c r="I81" s="375" t="s">
        <v>710</v>
      </c>
      <c r="J81" s="375" t="s">
        <v>782</v>
      </c>
      <c r="K81" s="375" t="s">
        <v>783</v>
      </c>
      <c r="L81" s="375"/>
      <c r="M81" s="375"/>
      <c r="N81" s="375">
        <v>0</v>
      </c>
      <c r="O81" s="377"/>
      <c r="P81" s="375" t="s">
        <v>722</v>
      </c>
      <c r="Q81" s="540">
        <v>45684.500605868052</v>
      </c>
    </row>
    <row r="82" spans="1:17" ht="30.6" x14ac:dyDescent="0.3">
      <c r="A82" s="375" t="s">
        <v>706</v>
      </c>
      <c r="B82" s="375" t="s">
        <v>707</v>
      </c>
      <c r="C82" s="375" t="s">
        <v>1133</v>
      </c>
      <c r="D82" s="375" t="s">
        <v>968</v>
      </c>
      <c r="E82" s="375" t="s">
        <v>708</v>
      </c>
      <c r="F82" s="375" t="s">
        <v>708</v>
      </c>
      <c r="G82" s="375" t="s">
        <v>718</v>
      </c>
      <c r="H82" s="377">
        <v>848500</v>
      </c>
      <c r="I82" s="375" t="s">
        <v>710</v>
      </c>
      <c r="J82" s="375" t="s">
        <v>969</v>
      </c>
      <c r="K82" s="375" t="s">
        <v>970</v>
      </c>
      <c r="L82" s="375" t="s">
        <v>1134</v>
      </c>
      <c r="M82" s="375" t="s">
        <v>711</v>
      </c>
      <c r="N82" s="375">
        <v>1</v>
      </c>
      <c r="O82" s="377">
        <v>220000</v>
      </c>
      <c r="P82" s="375" t="s">
        <v>715</v>
      </c>
      <c r="Q82" s="540">
        <v>45684.500996215276</v>
      </c>
    </row>
    <row r="83" spans="1:17" ht="61.2" x14ac:dyDescent="0.3">
      <c r="A83" s="375" t="s">
        <v>706</v>
      </c>
      <c r="B83" s="375" t="s">
        <v>707</v>
      </c>
      <c r="C83" s="375" t="s">
        <v>1135</v>
      </c>
      <c r="D83" s="375" t="s">
        <v>1136</v>
      </c>
      <c r="E83" s="375" t="s">
        <v>708</v>
      </c>
      <c r="F83" s="375" t="s">
        <v>708</v>
      </c>
      <c r="G83" s="375" t="s">
        <v>718</v>
      </c>
      <c r="H83" s="377">
        <v>600000</v>
      </c>
      <c r="I83" s="375" t="s">
        <v>710</v>
      </c>
      <c r="J83" s="375" t="s">
        <v>713</v>
      </c>
      <c r="K83" s="375" t="s">
        <v>714</v>
      </c>
      <c r="L83" s="375"/>
      <c r="M83" s="375"/>
      <c r="N83" s="375">
        <v>0</v>
      </c>
      <c r="O83" s="377"/>
      <c r="P83" s="375" t="s">
        <v>722</v>
      </c>
      <c r="Q83" s="540">
        <v>45684.503622488424</v>
      </c>
    </row>
    <row r="84" spans="1:17" ht="30.6" x14ac:dyDescent="0.3">
      <c r="A84" s="375" t="s">
        <v>706</v>
      </c>
      <c r="B84" s="375" t="s">
        <v>707</v>
      </c>
      <c r="C84" s="375" t="s">
        <v>1137</v>
      </c>
      <c r="D84" s="375" t="s">
        <v>1138</v>
      </c>
      <c r="E84" s="375" t="s">
        <v>708</v>
      </c>
      <c r="F84" s="375" t="s">
        <v>708</v>
      </c>
      <c r="G84" s="375" t="s">
        <v>709</v>
      </c>
      <c r="H84" s="377">
        <v>162800</v>
      </c>
      <c r="I84" s="375" t="s">
        <v>710</v>
      </c>
      <c r="J84" s="375" t="s">
        <v>766</v>
      </c>
      <c r="K84" s="375" t="s">
        <v>767</v>
      </c>
      <c r="L84" s="375" t="s">
        <v>655</v>
      </c>
      <c r="M84" s="375" t="s">
        <v>711</v>
      </c>
      <c r="N84" s="375">
        <v>1</v>
      </c>
      <c r="O84" s="377">
        <v>192276</v>
      </c>
      <c r="P84" s="375" t="s">
        <v>722</v>
      </c>
      <c r="Q84" s="540">
        <v>45684.506995949072</v>
      </c>
    </row>
    <row r="85" spans="1:17" ht="30.6" x14ac:dyDescent="0.3">
      <c r="A85" s="375" t="s">
        <v>706</v>
      </c>
      <c r="B85" s="375" t="s">
        <v>707</v>
      </c>
      <c r="C85" s="375" t="s">
        <v>1139</v>
      </c>
      <c r="D85" s="375" t="s">
        <v>1140</v>
      </c>
      <c r="E85" s="375" t="s">
        <v>708</v>
      </c>
      <c r="F85" s="375" t="s">
        <v>708</v>
      </c>
      <c r="G85" s="375" t="s">
        <v>709</v>
      </c>
      <c r="H85" s="377">
        <v>192000</v>
      </c>
      <c r="I85" s="375" t="s">
        <v>710</v>
      </c>
      <c r="J85" s="375" t="s">
        <v>740</v>
      </c>
      <c r="K85" s="375" t="s">
        <v>741</v>
      </c>
      <c r="L85" s="375" t="s">
        <v>1064</v>
      </c>
      <c r="M85" s="375" t="s">
        <v>711</v>
      </c>
      <c r="N85" s="375">
        <v>1</v>
      </c>
      <c r="O85" s="377">
        <v>226560</v>
      </c>
      <c r="P85" s="375" t="s">
        <v>722</v>
      </c>
      <c r="Q85" s="540">
        <v>45684.527791979162</v>
      </c>
    </row>
    <row r="86" spans="1:17" ht="30.6" x14ac:dyDescent="0.3">
      <c r="A86" s="375" t="s">
        <v>706</v>
      </c>
      <c r="B86" s="375" t="s">
        <v>707</v>
      </c>
      <c r="C86" s="375" t="s">
        <v>1141</v>
      </c>
      <c r="D86" s="375" t="s">
        <v>1142</v>
      </c>
      <c r="E86" s="375" t="s">
        <v>1112</v>
      </c>
      <c r="F86" s="375" t="s">
        <v>708</v>
      </c>
      <c r="G86" s="375" t="s">
        <v>709</v>
      </c>
      <c r="H86" s="377">
        <v>220000</v>
      </c>
      <c r="I86" s="375" t="s">
        <v>710</v>
      </c>
      <c r="J86" s="375" t="s">
        <v>746</v>
      </c>
      <c r="K86" s="375" t="s">
        <v>747</v>
      </c>
      <c r="L86" s="375" t="s">
        <v>897</v>
      </c>
      <c r="M86" s="375" t="s">
        <v>711</v>
      </c>
      <c r="N86" s="375">
        <v>1</v>
      </c>
      <c r="O86" s="377">
        <v>229800</v>
      </c>
      <c r="P86" s="375" t="s">
        <v>715</v>
      </c>
      <c r="Q86" s="540">
        <v>45684.542352546297</v>
      </c>
    </row>
    <row r="87" spans="1:17" ht="30.6" x14ac:dyDescent="0.3">
      <c r="A87" s="375" t="s">
        <v>706</v>
      </c>
      <c r="B87" s="375" t="s">
        <v>707</v>
      </c>
      <c r="C87" s="375" t="s">
        <v>1143</v>
      </c>
      <c r="D87" s="375" t="s">
        <v>1144</v>
      </c>
      <c r="E87" s="375" t="s">
        <v>708</v>
      </c>
      <c r="F87" s="375" t="s">
        <v>708</v>
      </c>
      <c r="G87" s="375" t="s">
        <v>709</v>
      </c>
      <c r="H87" s="377">
        <v>142020</v>
      </c>
      <c r="I87" s="375" t="s">
        <v>710</v>
      </c>
      <c r="J87" s="375" t="s">
        <v>965</v>
      </c>
      <c r="K87" s="375" t="s">
        <v>966</v>
      </c>
      <c r="L87" s="375" t="s">
        <v>1145</v>
      </c>
      <c r="M87" s="375" t="s">
        <v>711</v>
      </c>
      <c r="N87" s="375">
        <v>1</v>
      </c>
      <c r="O87" s="377">
        <v>264630</v>
      </c>
      <c r="P87" s="375" t="s">
        <v>722</v>
      </c>
      <c r="Q87" s="540">
        <v>45684.543520451385</v>
      </c>
    </row>
    <row r="88" spans="1:17" ht="30.6" x14ac:dyDescent="0.3">
      <c r="A88" s="375" t="s">
        <v>706</v>
      </c>
      <c r="B88" s="375" t="s">
        <v>707</v>
      </c>
      <c r="C88" s="375" t="s">
        <v>1146</v>
      </c>
      <c r="D88" s="375" t="s">
        <v>1147</v>
      </c>
      <c r="E88" s="375" t="s">
        <v>708</v>
      </c>
      <c r="F88" s="375" t="s">
        <v>708</v>
      </c>
      <c r="G88" s="375" t="s">
        <v>709</v>
      </c>
      <c r="H88" s="377">
        <v>150000</v>
      </c>
      <c r="I88" s="375" t="s">
        <v>710</v>
      </c>
      <c r="J88" s="375" t="s">
        <v>1148</v>
      </c>
      <c r="K88" s="375" t="s">
        <v>1149</v>
      </c>
      <c r="L88" s="375" t="s">
        <v>654</v>
      </c>
      <c r="M88" s="375" t="s">
        <v>1150</v>
      </c>
      <c r="N88" s="375">
        <v>1</v>
      </c>
      <c r="O88" s="377">
        <v>150000</v>
      </c>
      <c r="P88" s="375" t="s">
        <v>722</v>
      </c>
      <c r="Q88" s="540">
        <v>45684.555596956016</v>
      </c>
    </row>
    <row r="89" spans="1:17" ht="30.6" x14ac:dyDescent="0.3">
      <c r="A89" s="375" t="s">
        <v>706</v>
      </c>
      <c r="B89" s="375" t="s">
        <v>707</v>
      </c>
      <c r="C89" s="375" t="s">
        <v>1151</v>
      </c>
      <c r="D89" s="375" t="s">
        <v>1152</v>
      </c>
      <c r="E89" s="375" t="s">
        <v>1112</v>
      </c>
      <c r="F89" s="375" t="s">
        <v>708</v>
      </c>
      <c r="G89" s="375" t="s">
        <v>709</v>
      </c>
      <c r="H89" s="377">
        <v>91000</v>
      </c>
      <c r="I89" s="375" t="s">
        <v>710</v>
      </c>
      <c r="J89" s="375" t="s">
        <v>1153</v>
      </c>
      <c r="K89" s="375" t="s">
        <v>1154</v>
      </c>
      <c r="L89" s="375" t="s">
        <v>1155</v>
      </c>
      <c r="M89" s="375" t="s">
        <v>711</v>
      </c>
      <c r="N89" s="375">
        <v>1</v>
      </c>
      <c r="O89" s="377">
        <v>107609</v>
      </c>
      <c r="P89" s="375" t="s">
        <v>715</v>
      </c>
      <c r="Q89" s="540">
        <v>45684.667177314812</v>
      </c>
    </row>
    <row r="90" spans="1:17" ht="30.6" x14ac:dyDescent="0.3">
      <c r="A90" s="375" t="s">
        <v>706</v>
      </c>
      <c r="B90" s="375" t="s">
        <v>707</v>
      </c>
      <c r="C90" s="375" t="s">
        <v>1156</v>
      </c>
      <c r="D90" s="375" t="s">
        <v>1157</v>
      </c>
      <c r="E90" s="375" t="s">
        <v>708</v>
      </c>
      <c r="F90" s="375" t="s">
        <v>708</v>
      </c>
      <c r="G90" s="375" t="s">
        <v>718</v>
      </c>
      <c r="H90" s="377">
        <v>490000</v>
      </c>
      <c r="I90" s="375" t="s">
        <v>770</v>
      </c>
      <c r="J90" s="375" t="s">
        <v>779</v>
      </c>
      <c r="K90" s="375" t="s">
        <v>780</v>
      </c>
      <c r="L90" s="375"/>
      <c r="M90" s="375"/>
      <c r="N90" s="375">
        <v>0</v>
      </c>
      <c r="O90" s="377"/>
      <c r="P90" s="375" t="s">
        <v>722</v>
      </c>
      <c r="Q90" s="540">
        <v>45685.501080474533</v>
      </c>
    </row>
    <row r="91" spans="1:17" ht="30.6" x14ac:dyDescent="0.3">
      <c r="A91" s="375" t="s">
        <v>706</v>
      </c>
      <c r="B91" s="375" t="s">
        <v>707</v>
      </c>
      <c r="C91" s="375" t="s">
        <v>1158</v>
      </c>
      <c r="D91" s="375" t="s">
        <v>1159</v>
      </c>
      <c r="E91" s="375" t="s">
        <v>1112</v>
      </c>
      <c r="F91" s="375" t="s">
        <v>708</v>
      </c>
      <c r="G91" s="375" t="s">
        <v>709</v>
      </c>
      <c r="H91" s="377">
        <v>102000</v>
      </c>
      <c r="I91" s="375" t="s">
        <v>710</v>
      </c>
      <c r="J91" s="375" t="s">
        <v>1010</v>
      </c>
      <c r="K91" s="375" t="s">
        <v>1011</v>
      </c>
      <c r="L91" s="375"/>
      <c r="M91" s="375"/>
      <c r="N91" s="375">
        <v>0</v>
      </c>
      <c r="O91" s="377"/>
      <c r="P91" s="375" t="s">
        <v>722</v>
      </c>
      <c r="Q91" s="540">
        <v>45685.503302118057</v>
      </c>
    </row>
    <row r="92" spans="1:17" ht="30.6" x14ac:dyDescent="0.3">
      <c r="A92" s="375" t="s">
        <v>706</v>
      </c>
      <c r="B92" s="375" t="s">
        <v>707</v>
      </c>
      <c r="C92" s="375" t="s">
        <v>1160</v>
      </c>
      <c r="D92" s="375" t="s">
        <v>723</v>
      </c>
      <c r="E92" s="375" t="s">
        <v>708</v>
      </c>
      <c r="F92" s="375" t="s">
        <v>708</v>
      </c>
      <c r="G92" s="375" t="s">
        <v>718</v>
      </c>
      <c r="H92" s="377">
        <v>687350</v>
      </c>
      <c r="I92" s="375" t="s">
        <v>770</v>
      </c>
      <c r="J92" s="375" t="s">
        <v>975</v>
      </c>
      <c r="K92" s="375" t="s">
        <v>976</v>
      </c>
      <c r="L92" s="375"/>
      <c r="M92" s="375"/>
      <c r="N92" s="375">
        <v>0</v>
      </c>
      <c r="O92" s="377"/>
      <c r="P92" s="375" t="s">
        <v>722</v>
      </c>
      <c r="Q92" s="540">
        <v>45685.542362615735</v>
      </c>
    </row>
    <row r="93" spans="1:17" ht="30.6" x14ac:dyDescent="0.3">
      <c r="A93" s="375" t="s">
        <v>706</v>
      </c>
      <c r="B93" s="375" t="s">
        <v>707</v>
      </c>
      <c r="C93" s="375" t="s">
        <v>1161</v>
      </c>
      <c r="D93" s="375" t="s">
        <v>1162</v>
      </c>
      <c r="E93" s="375" t="s">
        <v>708</v>
      </c>
      <c r="F93" s="375" t="s">
        <v>708</v>
      </c>
      <c r="G93" s="375" t="s">
        <v>709</v>
      </c>
      <c r="H93" s="377">
        <v>92000</v>
      </c>
      <c r="I93" s="375" t="s">
        <v>710</v>
      </c>
      <c r="J93" s="375" t="s">
        <v>752</v>
      </c>
      <c r="K93" s="375" t="s">
        <v>753</v>
      </c>
      <c r="L93" s="375" t="s">
        <v>754</v>
      </c>
      <c r="M93" s="375" t="s">
        <v>711</v>
      </c>
      <c r="N93" s="375">
        <v>1</v>
      </c>
      <c r="O93" s="377">
        <v>92000</v>
      </c>
      <c r="P93" s="375" t="s">
        <v>722</v>
      </c>
      <c r="Q93" s="540">
        <v>45685.667631168981</v>
      </c>
    </row>
    <row r="94" spans="1:17" ht="30.6" x14ac:dyDescent="0.3">
      <c r="A94" s="375" t="s">
        <v>706</v>
      </c>
      <c r="B94" s="375" t="s">
        <v>707</v>
      </c>
      <c r="C94" s="375" t="s">
        <v>1163</v>
      </c>
      <c r="D94" s="375" t="s">
        <v>1164</v>
      </c>
      <c r="E94" s="375" t="s">
        <v>708</v>
      </c>
      <c r="F94" s="375" t="s">
        <v>708</v>
      </c>
      <c r="G94" s="375" t="s">
        <v>709</v>
      </c>
      <c r="H94" s="377">
        <v>180000</v>
      </c>
      <c r="I94" s="375" t="s">
        <v>710</v>
      </c>
      <c r="J94" s="375" t="s">
        <v>732</v>
      </c>
      <c r="K94" s="375" t="s">
        <v>733</v>
      </c>
      <c r="L94" s="375" t="s">
        <v>742</v>
      </c>
      <c r="M94" s="375" t="s">
        <v>711</v>
      </c>
      <c r="N94" s="375">
        <v>1</v>
      </c>
      <c r="O94" s="377">
        <v>180000</v>
      </c>
      <c r="P94" s="375" t="s">
        <v>722</v>
      </c>
      <c r="Q94" s="540">
        <v>45686.479218599532</v>
      </c>
    </row>
    <row r="95" spans="1:17" ht="40.799999999999997" x14ac:dyDescent="0.3">
      <c r="A95" s="375" t="s">
        <v>706</v>
      </c>
      <c r="B95" s="375" t="s">
        <v>707</v>
      </c>
      <c r="C95" s="375" t="s">
        <v>1165</v>
      </c>
      <c r="D95" s="375" t="s">
        <v>1166</v>
      </c>
      <c r="E95" s="375" t="s">
        <v>708</v>
      </c>
      <c r="F95" s="375" t="s">
        <v>708</v>
      </c>
      <c r="G95" s="375" t="s">
        <v>718</v>
      </c>
      <c r="H95" s="377">
        <v>950010.65</v>
      </c>
      <c r="I95" s="375" t="s">
        <v>1027</v>
      </c>
      <c r="J95" s="375" t="s">
        <v>713</v>
      </c>
      <c r="K95" s="375" t="s">
        <v>714</v>
      </c>
      <c r="L95" s="375"/>
      <c r="M95" s="375"/>
      <c r="N95" s="375">
        <v>0</v>
      </c>
      <c r="O95" s="377"/>
      <c r="P95" s="375" t="s">
        <v>722</v>
      </c>
      <c r="Q95" s="540">
        <v>45686.584650694444</v>
      </c>
    </row>
    <row r="96" spans="1:17" ht="30.6" x14ac:dyDescent="0.3">
      <c r="A96" s="375" t="s">
        <v>706</v>
      </c>
      <c r="B96" s="375" t="s">
        <v>707</v>
      </c>
      <c r="C96" s="375" t="s">
        <v>1167</v>
      </c>
      <c r="D96" s="375" t="s">
        <v>1168</v>
      </c>
      <c r="E96" s="375" t="s">
        <v>708</v>
      </c>
      <c r="F96" s="375" t="s">
        <v>708</v>
      </c>
      <c r="G96" s="375" t="s">
        <v>718</v>
      </c>
      <c r="H96" s="377">
        <v>1599999.1</v>
      </c>
      <c r="I96" s="375" t="s">
        <v>1027</v>
      </c>
      <c r="J96" s="375" t="s">
        <v>713</v>
      </c>
      <c r="K96" s="375" t="s">
        <v>714</v>
      </c>
      <c r="L96" s="375"/>
      <c r="M96" s="375"/>
      <c r="N96" s="375">
        <v>0</v>
      </c>
      <c r="O96" s="377"/>
      <c r="P96" s="375" t="s">
        <v>722</v>
      </c>
      <c r="Q96" s="540">
        <v>45686.584678935185</v>
      </c>
    </row>
    <row r="97" spans="1:17" ht="30.6" x14ac:dyDescent="0.3">
      <c r="A97" s="375" t="s">
        <v>706</v>
      </c>
      <c r="B97" s="375" t="s">
        <v>707</v>
      </c>
      <c r="C97" s="375" t="s">
        <v>1169</v>
      </c>
      <c r="D97" s="375" t="s">
        <v>1170</v>
      </c>
      <c r="E97" s="375" t="s">
        <v>708</v>
      </c>
      <c r="F97" s="375" t="s">
        <v>708</v>
      </c>
      <c r="G97" s="375" t="s">
        <v>718</v>
      </c>
      <c r="H97" s="377">
        <v>614250</v>
      </c>
      <c r="I97" s="375" t="s">
        <v>770</v>
      </c>
      <c r="J97" s="375" t="s">
        <v>1171</v>
      </c>
      <c r="K97" s="375" t="s">
        <v>1172</v>
      </c>
      <c r="L97" s="375"/>
      <c r="M97" s="375"/>
      <c r="N97" s="375">
        <v>0</v>
      </c>
      <c r="O97" s="377"/>
      <c r="P97" s="375" t="s">
        <v>722</v>
      </c>
      <c r="Q97" s="540">
        <v>45686.645882175922</v>
      </c>
    </row>
    <row r="98" spans="1:17" ht="30.6" x14ac:dyDescent="0.3">
      <c r="A98" s="375" t="s">
        <v>706</v>
      </c>
      <c r="B98" s="375" t="s">
        <v>707</v>
      </c>
      <c r="C98" s="375" t="s">
        <v>1173</v>
      </c>
      <c r="D98" s="375" t="s">
        <v>1174</v>
      </c>
      <c r="E98" s="375" t="s">
        <v>708</v>
      </c>
      <c r="F98" s="375" t="s">
        <v>708</v>
      </c>
      <c r="G98" s="375" t="s">
        <v>709</v>
      </c>
      <c r="H98" s="377">
        <v>218000</v>
      </c>
      <c r="I98" s="375" t="s">
        <v>710</v>
      </c>
      <c r="J98" s="375" t="s">
        <v>743</v>
      </c>
      <c r="K98" s="375" t="s">
        <v>744</v>
      </c>
      <c r="L98" s="375" t="s">
        <v>778</v>
      </c>
      <c r="M98" s="375" t="s">
        <v>711</v>
      </c>
      <c r="N98" s="375">
        <v>1</v>
      </c>
      <c r="O98" s="377">
        <v>257240</v>
      </c>
      <c r="P98" s="375" t="s">
        <v>722</v>
      </c>
      <c r="Q98" s="540">
        <v>45686.649331215274</v>
      </c>
    </row>
    <row r="99" spans="1:17" ht="30.6" x14ac:dyDescent="0.3">
      <c r="A99" s="375" t="s">
        <v>706</v>
      </c>
      <c r="B99" s="375" t="s">
        <v>707</v>
      </c>
      <c r="C99" s="375" t="s">
        <v>1175</v>
      </c>
      <c r="D99" s="375" t="s">
        <v>1176</v>
      </c>
      <c r="E99" s="375" t="s">
        <v>708</v>
      </c>
      <c r="F99" s="375" t="s">
        <v>708</v>
      </c>
      <c r="G99" s="375" t="s">
        <v>709</v>
      </c>
      <c r="H99" s="377">
        <v>19200</v>
      </c>
      <c r="I99" s="375" t="s">
        <v>710</v>
      </c>
      <c r="J99" s="375" t="s">
        <v>965</v>
      </c>
      <c r="K99" s="375" t="s">
        <v>966</v>
      </c>
      <c r="L99" s="375" t="s">
        <v>784</v>
      </c>
      <c r="M99" s="375" t="s">
        <v>711</v>
      </c>
      <c r="N99" s="375">
        <v>1</v>
      </c>
      <c r="O99" s="377">
        <v>19520</v>
      </c>
      <c r="P99" s="375" t="s">
        <v>715</v>
      </c>
      <c r="Q99" s="540">
        <v>45686.668395289351</v>
      </c>
    </row>
    <row r="100" spans="1:17" ht="30.6" x14ac:dyDescent="0.3">
      <c r="A100" s="375" t="s">
        <v>706</v>
      </c>
      <c r="B100" s="375" t="s">
        <v>707</v>
      </c>
      <c r="C100" s="375" t="s">
        <v>1177</v>
      </c>
      <c r="D100" s="375" t="s">
        <v>1178</v>
      </c>
      <c r="E100" s="375" t="s">
        <v>1112</v>
      </c>
      <c r="F100" s="375" t="s">
        <v>708</v>
      </c>
      <c r="G100" s="375" t="s">
        <v>709</v>
      </c>
      <c r="H100" s="377">
        <v>195000</v>
      </c>
      <c r="I100" s="375" t="s">
        <v>710</v>
      </c>
      <c r="J100" s="375" t="s">
        <v>735</v>
      </c>
      <c r="K100" s="375" t="s">
        <v>736</v>
      </c>
      <c r="L100" s="375" t="s">
        <v>1032</v>
      </c>
      <c r="M100" s="375" t="s">
        <v>711</v>
      </c>
      <c r="N100" s="375">
        <v>1</v>
      </c>
      <c r="O100" s="377">
        <v>233050</v>
      </c>
      <c r="P100" s="375" t="s">
        <v>715</v>
      </c>
      <c r="Q100" s="540">
        <v>45686.680619479164</v>
      </c>
    </row>
    <row r="101" spans="1:17" ht="30.6" x14ac:dyDescent="0.3">
      <c r="A101" s="375" t="s">
        <v>706</v>
      </c>
      <c r="B101" s="375" t="s">
        <v>707</v>
      </c>
      <c r="C101" s="375" t="s">
        <v>1179</v>
      </c>
      <c r="D101" s="375" t="s">
        <v>1180</v>
      </c>
      <c r="E101" s="375" t="s">
        <v>1112</v>
      </c>
      <c r="F101" s="375" t="s">
        <v>708</v>
      </c>
      <c r="G101" s="375" t="s">
        <v>709</v>
      </c>
      <c r="H101" s="377">
        <v>240000</v>
      </c>
      <c r="I101" s="375" t="s">
        <v>710</v>
      </c>
      <c r="J101" s="375" t="s">
        <v>729</v>
      </c>
      <c r="K101" s="375" t="s">
        <v>730</v>
      </c>
      <c r="L101" s="375" t="s">
        <v>1078</v>
      </c>
      <c r="M101" s="375" t="s">
        <v>711</v>
      </c>
      <c r="N101" s="375">
        <v>1</v>
      </c>
      <c r="O101" s="377">
        <v>268000</v>
      </c>
      <c r="P101" s="375" t="s">
        <v>712</v>
      </c>
      <c r="Q101" s="540">
        <v>45687.438350925921</v>
      </c>
    </row>
    <row r="102" spans="1:17" ht="30.6" x14ac:dyDescent="0.3">
      <c r="A102" s="375" t="s">
        <v>706</v>
      </c>
      <c r="B102" s="375" t="s">
        <v>707</v>
      </c>
      <c r="C102" s="375" t="s">
        <v>1181</v>
      </c>
      <c r="D102" s="375" t="s">
        <v>1182</v>
      </c>
      <c r="E102" s="375" t="s">
        <v>708</v>
      </c>
      <c r="F102" s="375" t="s">
        <v>708</v>
      </c>
      <c r="G102" s="375" t="s">
        <v>709</v>
      </c>
      <c r="H102" s="377">
        <v>105600</v>
      </c>
      <c r="I102" s="375" t="s">
        <v>710</v>
      </c>
      <c r="J102" s="375" t="s">
        <v>1183</v>
      </c>
      <c r="K102" s="375" t="s">
        <v>1184</v>
      </c>
      <c r="L102" s="375" t="s">
        <v>804</v>
      </c>
      <c r="M102" s="375" t="s">
        <v>711</v>
      </c>
      <c r="N102" s="375">
        <v>1</v>
      </c>
      <c r="O102" s="377">
        <v>110948</v>
      </c>
      <c r="P102" s="375" t="s">
        <v>715</v>
      </c>
      <c r="Q102" s="540">
        <v>45687.459349456018</v>
      </c>
    </row>
    <row r="103" spans="1:17" ht="30.6" x14ac:dyDescent="0.3">
      <c r="A103" s="375" t="s">
        <v>706</v>
      </c>
      <c r="B103" s="375" t="s">
        <v>707</v>
      </c>
      <c r="C103" s="375" t="s">
        <v>1185</v>
      </c>
      <c r="D103" s="375" t="s">
        <v>1186</v>
      </c>
      <c r="E103" s="375" t="s">
        <v>1112</v>
      </c>
      <c r="F103" s="375" t="s">
        <v>708</v>
      </c>
      <c r="G103" s="375" t="s">
        <v>709</v>
      </c>
      <c r="H103" s="377">
        <v>14000</v>
      </c>
      <c r="I103" s="375" t="s">
        <v>710</v>
      </c>
      <c r="J103" s="375" t="s">
        <v>729</v>
      </c>
      <c r="K103" s="375" t="s">
        <v>730</v>
      </c>
      <c r="L103" s="375" t="s">
        <v>1078</v>
      </c>
      <c r="M103" s="375" t="s">
        <v>711</v>
      </c>
      <c r="N103" s="375">
        <v>1</v>
      </c>
      <c r="O103" s="377">
        <v>14300</v>
      </c>
      <c r="P103" s="375" t="s">
        <v>712</v>
      </c>
      <c r="Q103" s="540">
        <v>45687.493106828704</v>
      </c>
    </row>
    <row r="104" spans="1:17" ht="51" x14ac:dyDescent="0.3">
      <c r="A104" s="375" t="s">
        <v>706</v>
      </c>
      <c r="B104" s="375" t="s">
        <v>707</v>
      </c>
      <c r="C104" s="375" t="s">
        <v>1187</v>
      </c>
      <c r="D104" s="375" t="s">
        <v>1188</v>
      </c>
      <c r="E104" s="375" t="s">
        <v>708</v>
      </c>
      <c r="F104" s="375" t="s">
        <v>708</v>
      </c>
      <c r="G104" s="375" t="s">
        <v>709</v>
      </c>
      <c r="H104" s="377">
        <v>35600</v>
      </c>
      <c r="I104" s="375" t="s">
        <v>710</v>
      </c>
      <c r="J104" s="375" t="s">
        <v>1189</v>
      </c>
      <c r="K104" s="375" t="s">
        <v>1190</v>
      </c>
      <c r="L104" s="375"/>
      <c r="M104" s="375"/>
      <c r="N104" s="375">
        <v>0</v>
      </c>
      <c r="O104" s="377"/>
      <c r="P104" s="375" t="s">
        <v>722</v>
      </c>
      <c r="Q104" s="540">
        <v>45687.510458715275</v>
      </c>
    </row>
    <row r="105" spans="1:17" ht="30.6" x14ac:dyDescent="0.3">
      <c r="A105" s="375" t="s">
        <v>706</v>
      </c>
      <c r="B105" s="375" t="s">
        <v>707</v>
      </c>
      <c r="C105" s="375" t="s">
        <v>1191</v>
      </c>
      <c r="D105" s="375" t="s">
        <v>1192</v>
      </c>
      <c r="E105" s="375" t="s">
        <v>708</v>
      </c>
      <c r="F105" s="375" t="s">
        <v>708</v>
      </c>
      <c r="G105" s="375" t="s">
        <v>709</v>
      </c>
      <c r="H105" s="377">
        <v>187403</v>
      </c>
      <c r="I105" s="375" t="s">
        <v>710</v>
      </c>
      <c r="J105" s="375" t="s">
        <v>1189</v>
      </c>
      <c r="K105" s="375" t="s">
        <v>1190</v>
      </c>
      <c r="L105" s="375" t="s">
        <v>737</v>
      </c>
      <c r="M105" s="375" t="s">
        <v>711</v>
      </c>
      <c r="N105" s="375">
        <v>1</v>
      </c>
      <c r="O105" s="377">
        <v>237495</v>
      </c>
      <c r="P105" s="375" t="s">
        <v>722</v>
      </c>
      <c r="Q105" s="540">
        <v>45687.543655520829</v>
      </c>
    </row>
    <row r="106" spans="1:17" ht="40.799999999999997" x14ac:dyDescent="0.3">
      <c r="A106" s="375" t="s">
        <v>706</v>
      </c>
      <c r="B106" s="375" t="s">
        <v>707</v>
      </c>
      <c r="C106" s="375" t="s">
        <v>1193</v>
      </c>
      <c r="D106" s="375" t="s">
        <v>1194</v>
      </c>
      <c r="E106" s="375" t="s">
        <v>708</v>
      </c>
      <c r="F106" s="375" t="s">
        <v>708</v>
      </c>
      <c r="G106" s="375" t="s">
        <v>709</v>
      </c>
      <c r="H106" s="377">
        <v>136000</v>
      </c>
      <c r="I106" s="375" t="s">
        <v>710</v>
      </c>
      <c r="J106" s="375" t="s">
        <v>716</v>
      </c>
      <c r="K106" s="375" t="s">
        <v>717</v>
      </c>
      <c r="L106" s="375"/>
      <c r="M106" s="375"/>
      <c r="N106" s="375">
        <v>0</v>
      </c>
      <c r="O106" s="377"/>
      <c r="P106" s="375" t="s">
        <v>722</v>
      </c>
      <c r="Q106" s="540">
        <v>45687.605082175927</v>
      </c>
    </row>
    <row r="107" spans="1:17" ht="30.6" x14ac:dyDescent="0.3">
      <c r="A107" s="375" t="s">
        <v>706</v>
      </c>
      <c r="B107" s="375" t="s">
        <v>707</v>
      </c>
      <c r="C107" s="375" t="s">
        <v>1195</v>
      </c>
      <c r="D107" s="375" t="s">
        <v>1196</v>
      </c>
      <c r="E107" s="375" t="s">
        <v>708</v>
      </c>
      <c r="F107" s="375" t="s">
        <v>708</v>
      </c>
      <c r="G107" s="375" t="s">
        <v>718</v>
      </c>
      <c r="H107" s="377">
        <v>669390</v>
      </c>
      <c r="I107" s="375" t="s">
        <v>1197</v>
      </c>
      <c r="J107" s="375" t="s">
        <v>772</v>
      </c>
      <c r="K107" s="375" t="s">
        <v>773</v>
      </c>
      <c r="L107" s="375"/>
      <c r="M107" s="375"/>
      <c r="N107" s="375">
        <v>0</v>
      </c>
      <c r="O107" s="377"/>
      <c r="P107" s="375" t="s">
        <v>722</v>
      </c>
      <c r="Q107" s="540">
        <v>45688.458341284721</v>
      </c>
    </row>
    <row r="108" spans="1:17" ht="30.6" x14ac:dyDescent="0.3">
      <c r="A108" s="376" t="s">
        <v>706</v>
      </c>
      <c r="B108" s="376" t="s">
        <v>707</v>
      </c>
      <c r="C108" s="376" t="s">
        <v>1198</v>
      </c>
      <c r="D108" s="376" t="s">
        <v>809</v>
      </c>
      <c r="E108" s="376" t="s">
        <v>708</v>
      </c>
      <c r="F108" s="376" t="s">
        <v>708</v>
      </c>
      <c r="G108" s="376" t="s">
        <v>709</v>
      </c>
      <c r="H108" s="378">
        <v>208000</v>
      </c>
      <c r="I108" s="376" t="s">
        <v>710</v>
      </c>
      <c r="J108" s="376" t="s">
        <v>764</v>
      </c>
      <c r="K108" s="376" t="s">
        <v>765</v>
      </c>
      <c r="L108" s="376" t="s">
        <v>798</v>
      </c>
      <c r="M108" s="376" t="s">
        <v>711</v>
      </c>
      <c r="N108" s="376">
        <v>1</v>
      </c>
      <c r="O108" s="378">
        <v>249381</v>
      </c>
      <c r="P108" s="376" t="s">
        <v>722</v>
      </c>
      <c r="Q108" s="541">
        <v>45688.543544016204</v>
      </c>
    </row>
    <row r="109" spans="1:17" customFormat="1" x14ac:dyDescent="0.3">
      <c r="H109" s="170"/>
      <c r="O109" s="170"/>
      <c r="Q109" s="542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1"/>
  <sheetViews>
    <sheetView view="pageBreakPreview" zoomScale="93" zoomScaleNormal="100" zoomScaleSheetLayoutView="93" workbookViewId="0">
      <selection sqref="A1:K501"/>
    </sheetView>
  </sheetViews>
  <sheetFormatPr baseColWidth="10" defaultColWidth="2.88671875" defaultRowHeight="13.2" x14ac:dyDescent="0.25"/>
  <cols>
    <col min="1" max="5" width="3.33203125" style="3" customWidth="1"/>
    <col min="6" max="6" width="52.44140625" style="3" customWidth="1"/>
    <col min="7" max="7" width="17.6640625" style="3" customWidth="1"/>
    <col min="8" max="8" width="17.5546875" style="3" customWidth="1"/>
    <col min="9" max="9" width="13.44140625" style="3" customWidth="1"/>
    <col min="10" max="10" width="14.6640625" style="3" bestFit="1" customWidth="1"/>
    <col min="11" max="11" width="12.33203125" style="3" bestFit="1" customWidth="1"/>
    <col min="12" max="12" width="14.88671875" style="3" bestFit="1" customWidth="1"/>
    <col min="13" max="13" width="14.5546875" style="3" bestFit="1" customWidth="1"/>
    <col min="14" max="14" width="15" style="3" bestFit="1" customWidth="1"/>
    <col min="15" max="16" width="14.5546875" style="3" bestFit="1" customWidth="1"/>
    <col min="17" max="253" width="11.44140625" style="3" customWidth="1"/>
    <col min="254" max="254" width="3.33203125" style="3" customWidth="1"/>
    <col min="255" max="255" width="4.109375" style="3" customWidth="1"/>
    <col min="256" max="16384" width="2.88671875" style="3"/>
  </cols>
  <sheetData>
    <row r="1" spans="1:15" ht="14.4" x14ac:dyDescent="0.3">
      <c r="A1" s="95" t="s">
        <v>345</v>
      </c>
      <c r="B1" s="94"/>
      <c r="C1" s="94"/>
      <c r="D1" s="94"/>
      <c r="E1" s="94"/>
      <c r="F1" s="94"/>
      <c r="G1" s="94"/>
      <c r="H1" s="94"/>
      <c r="I1" s="94"/>
      <c r="J1" s="93"/>
      <c r="K1" s="92"/>
    </row>
    <row r="2" spans="1:15" ht="23.4" x14ac:dyDescent="0.45">
      <c r="A2" s="555"/>
      <c r="B2" s="556"/>
      <c r="C2" s="556"/>
      <c r="D2" s="556"/>
      <c r="E2" s="556"/>
      <c r="F2" s="556"/>
      <c r="G2" s="556"/>
      <c r="H2" s="556"/>
      <c r="I2" s="556"/>
      <c r="J2" s="91"/>
      <c r="K2" s="90"/>
    </row>
    <row r="3" spans="1:15" ht="25.8" x14ac:dyDescent="0.5">
      <c r="A3" s="557" t="s">
        <v>344</v>
      </c>
      <c r="B3" s="558"/>
      <c r="C3" s="558"/>
      <c r="D3" s="558"/>
      <c r="E3" s="558"/>
      <c r="F3" s="558"/>
      <c r="G3" s="558"/>
      <c r="H3" s="558"/>
      <c r="I3" s="558"/>
      <c r="J3" s="558"/>
      <c r="K3" s="559"/>
    </row>
    <row r="4" spans="1:15" ht="18" x14ac:dyDescent="0.35">
      <c r="A4" s="560" t="s">
        <v>421</v>
      </c>
      <c r="B4" s="561"/>
      <c r="C4" s="561"/>
      <c r="D4" s="561"/>
      <c r="E4" s="561"/>
      <c r="F4" s="561"/>
      <c r="G4" s="561"/>
      <c r="H4" s="561"/>
      <c r="I4" s="561"/>
      <c r="J4" s="561"/>
      <c r="K4" s="562"/>
    </row>
    <row r="5" spans="1:15" ht="14.4" x14ac:dyDescent="0.3">
      <c r="A5" s="563" t="s">
        <v>343</v>
      </c>
      <c r="B5" s="564"/>
      <c r="C5" s="564"/>
      <c r="D5" s="564"/>
      <c r="E5" s="564"/>
      <c r="F5" s="564"/>
      <c r="G5" s="564"/>
      <c r="H5" s="564"/>
      <c r="I5" s="564"/>
      <c r="J5" s="564"/>
      <c r="K5" s="565"/>
    </row>
    <row r="6" spans="1:15" ht="15.6" x14ac:dyDescent="0.3">
      <c r="A6" s="566" t="s">
        <v>611</v>
      </c>
      <c r="B6" s="567"/>
      <c r="C6" s="567"/>
      <c r="D6" s="567"/>
      <c r="E6" s="567"/>
      <c r="F6" s="567"/>
      <c r="G6" s="567"/>
      <c r="H6" s="567"/>
      <c r="I6" s="567"/>
      <c r="J6" s="567"/>
      <c r="K6" s="568"/>
    </row>
    <row r="7" spans="1:15" ht="15.6" x14ac:dyDescent="0.3">
      <c r="A7" s="569" t="s">
        <v>936</v>
      </c>
      <c r="B7" s="570"/>
      <c r="C7" s="570"/>
      <c r="D7" s="570"/>
      <c r="E7" s="570"/>
      <c r="F7" s="570"/>
      <c r="G7" s="570"/>
      <c r="H7" s="570"/>
      <c r="I7" s="570"/>
      <c r="J7" s="570"/>
      <c r="K7" s="571"/>
    </row>
    <row r="8" spans="1:15" ht="15.6" x14ac:dyDescent="0.3">
      <c r="A8" s="89"/>
      <c r="B8" s="88"/>
      <c r="C8" s="88" t="s">
        <v>342</v>
      </c>
      <c r="D8" s="88"/>
      <c r="E8" s="88"/>
      <c r="F8" s="88"/>
      <c r="G8" s="88"/>
      <c r="H8" s="88"/>
      <c r="I8" s="88"/>
      <c r="J8" s="88"/>
      <c r="K8" s="87"/>
    </row>
    <row r="9" spans="1:15" ht="15.6" x14ac:dyDescent="0.3">
      <c r="A9" s="73"/>
      <c r="B9" s="72"/>
      <c r="C9" s="72"/>
      <c r="D9" s="72"/>
      <c r="E9" s="86" t="s">
        <v>341</v>
      </c>
      <c r="F9" s="60"/>
      <c r="G9" s="85"/>
      <c r="H9" s="85"/>
      <c r="I9" s="85"/>
      <c r="J9" s="85"/>
      <c r="K9" s="59"/>
    </row>
    <row r="10" spans="1:15" ht="15.6" x14ac:dyDescent="0.3">
      <c r="A10" s="73"/>
      <c r="B10" s="72"/>
      <c r="C10" s="72"/>
      <c r="D10" s="72"/>
      <c r="E10" s="78" t="s">
        <v>339</v>
      </c>
      <c r="F10" s="60"/>
      <c r="G10" s="74">
        <v>0</v>
      </c>
      <c r="H10" s="82" t="s">
        <v>338</v>
      </c>
      <c r="I10" s="82"/>
      <c r="J10" s="74"/>
      <c r="K10" s="59"/>
      <c r="M10" s="122" t="s">
        <v>383</v>
      </c>
    </row>
    <row r="11" spans="1:15" ht="15.6" x14ac:dyDescent="0.3">
      <c r="A11" s="73"/>
      <c r="B11" s="72"/>
      <c r="C11" s="72"/>
      <c r="D11" s="72"/>
      <c r="E11" s="78" t="s">
        <v>334</v>
      </c>
      <c r="F11" s="60"/>
      <c r="G11" s="74">
        <v>0</v>
      </c>
      <c r="H11" s="84"/>
      <c r="I11" s="82"/>
      <c r="J11" s="79"/>
      <c r="K11" s="59"/>
    </row>
    <row r="12" spans="1:15" ht="15.6" x14ac:dyDescent="0.3">
      <c r="A12" s="73"/>
      <c r="B12" s="72"/>
      <c r="C12" s="72"/>
      <c r="D12" s="72"/>
      <c r="E12" s="78" t="s">
        <v>333</v>
      </c>
      <c r="F12" s="60"/>
      <c r="G12" s="81">
        <v>2244994.14</v>
      </c>
      <c r="H12" s="80"/>
      <c r="I12" s="80"/>
      <c r="J12" s="79"/>
      <c r="K12" s="59"/>
    </row>
    <row r="13" spans="1:15" ht="15.6" x14ac:dyDescent="0.3">
      <c r="A13" s="73"/>
      <c r="B13" s="72"/>
      <c r="C13" s="72"/>
      <c r="D13" s="72"/>
      <c r="E13" s="83" t="s">
        <v>340</v>
      </c>
      <c r="F13" s="60"/>
      <c r="G13" s="79"/>
      <c r="H13" s="79"/>
      <c r="I13" s="79"/>
      <c r="J13" s="79"/>
      <c r="K13" s="59"/>
    </row>
    <row r="14" spans="1:15" ht="15.6" x14ac:dyDescent="0.3">
      <c r="A14" s="73"/>
      <c r="B14" s="72"/>
      <c r="C14" s="72"/>
      <c r="D14" s="72"/>
      <c r="E14" s="78" t="s">
        <v>339</v>
      </c>
      <c r="F14" s="60"/>
      <c r="G14" s="74"/>
      <c r="H14" s="82" t="s">
        <v>338</v>
      </c>
      <c r="I14" s="82"/>
      <c r="J14" s="74">
        <f>+'INGRESOS SEGUN ORIGEN'!E8</f>
        <v>15763473.25</v>
      </c>
      <c r="K14" s="59"/>
      <c r="M14" s="3" t="s">
        <v>337</v>
      </c>
      <c r="N14" s="3" t="s">
        <v>336</v>
      </c>
      <c r="O14" s="3" t="s">
        <v>335</v>
      </c>
    </row>
    <row r="15" spans="1:15" ht="15.6" x14ac:dyDescent="0.3">
      <c r="A15" s="73"/>
      <c r="B15" s="72"/>
      <c r="C15" s="72"/>
      <c r="D15" s="72"/>
      <c r="E15" s="78" t="s">
        <v>334</v>
      </c>
      <c r="F15" s="60"/>
      <c r="G15" s="81"/>
      <c r="H15" s="80" t="s">
        <v>325</v>
      </c>
      <c r="I15" s="80"/>
      <c r="J15" s="74">
        <f>+'INGRESOS SEGUN ORIGEN'!E7</f>
        <v>84553321.829999998</v>
      </c>
      <c r="K15" s="285"/>
      <c r="M15" s="3">
        <v>2.1</v>
      </c>
      <c r="N15" s="58">
        <f>G26</f>
        <v>65091179.920000002</v>
      </c>
      <c r="O15" s="58">
        <f>H26</f>
        <v>0</v>
      </c>
    </row>
    <row r="16" spans="1:15" ht="15.6" x14ac:dyDescent="0.3">
      <c r="A16" s="73"/>
      <c r="B16" s="72"/>
      <c r="C16" s="72"/>
      <c r="D16" s="72"/>
      <c r="E16" s="78" t="s">
        <v>333</v>
      </c>
      <c r="F16" s="60"/>
      <c r="G16" s="81">
        <f>+'INGRESOS SEGUN ORIGEN'!E26+'INGRESOS SEGUN ORIGEN'!E31</f>
        <v>6032481.209999999</v>
      </c>
      <c r="H16" s="80"/>
      <c r="I16" s="80"/>
      <c r="J16" s="79"/>
      <c r="K16" s="59"/>
      <c r="M16" s="3">
        <v>2.2000000000000002</v>
      </c>
      <c r="N16" s="58">
        <f>G87</f>
        <v>0</v>
      </c>
      <c r="O16" s="58">
        <f>H87</f>
        <v>2733844.2900000005</v>
      </c>
    </row>
    <row r="17" spans="1:17" ht="15.6" x14ac:dyDescent="0.3">
      <c r="A17" s="73"/>
      <c r="B17" s="72"/>
      <c r="C17" s="72"/>
      <c r="D17" s="72"/>
      <c r="E17" s="78"/>
      <c r="F17" s="60"/>
      <c r="G17" s="77"/>
      <c r="H17" s="76" t="s">
        <v>332</v>
      </c>
      <c r="I17" s="75"/>
      <c r="J17" s="74">
        <f>+G10+G11+G12+J10+G14+G15+G16+J14+J15</f>
        <v>108594270.43000001</v>
      </c>
      <c r="K17" s="59"/>
      <c r="M17" s="3">
        <v>2.2999999999999998</v>
      </c>
      <c r="N17" s="58">
        <f>'CONS. FUENTES FINAN'!G212</f>
        <v>4970601.1899999995</v>
      </c>
      <c r="O17" s="58">
        <f>'CONS. FUENTES FINAN'!H212</f>
        <v>3062630.67</v>
      </c>
    </row>
    <row r="18" spans="1:17" ht="15.6" x14ac:dyDescent="0.3">
      <c r="A18" s="73"/>
      <c r="B18" s="72"/>
      <c r="C18" s="72"/>
      <c r="D18" s="72"/>
      <c r="E18" s="71"/>
      <c r="F18" s="70"/>
      <c r="G18" s="69"/>
      <c r="H18" s="69"/>
      <c r="I18" s="60"/>
      <c r="J18" s="60"/>
      <c r="K18" s="59"/>
      <c r="M18" s="3">
        <v>2.4</v>
      </c>
      <c r="N18" s="58">
        <f>G330</f>
        <v>0</v>
      </c>
      <c r="O18" s="58">
        <f>H330</f>
        <v>136966.70000000001</v>
      </c>
    </row>
    <row r="19" spans="1:17" ht="15.6" x14ac:dyDescent="0.3">
      <c r="A19" s="68"/>
      <c r="B19" s="66"/>
      <c r="C19" s="67"/>
      <c r="D19" s="66"/>
      <c r="E19" s="65"/>
      <c r="F19" s="64"/>
      <c r="G19" s="64"/>
      <c r="H19" s="64"/>
      <c r="I19" s="63"/>
      <c r="J19" s="63"/>
      <c r="K19" s="62"/>
      <c r="M19" s="3">
        <v>2.6</v>
      </c>
      <c r="N19" s="58">
        <f>G336</f>
        <v>0</v>
      </c>
      <c r="O19" s="58">
        <f>H336</f>
        <v>887994.84</v>
      </c>
    </row>
    <row r="20" spans="1:17" ht="13.8" x14ac:dyDescent="0.3">
      <c r="A20" s="61"/>
      <c r="B20" s="60"/>
      <c r="C20" s="60"/>
      <c r="D20" s="60"/>
      <c r="E20" s="60"/>
      <c r="F20" s="60"/>
      <c r="G20" s="60"/>
      <c r="H20" s="60"/>
      <c r="I20" s="60"/>
      <c r="J20" s="60"/>
      <c r="K20" s="59"/>
      <c r="M20" s="3">
        <v>2.7</v>
      </c>
      <c r="N20" s="58">
        <f>'CONS. FUENTES FINAN'!G463</f>
        <v>0</v>
      </c>
      <c r="O20" s="58">
        <f>'CONS. FUENTES FINAN'!H463</f>
        <v>0</v>
      </c>
    </row>
    <row r="21" spans="1:17" x14ac:dyDescent="0.25">
      <c r="A21" s="572">
        <v>1</v>
      </c>
      <c r="B21" s="572"/>
      <c r="C21" s="572"/>
      <c r="D21" s="572"/>
      <c r="E21" s="572"/>
      <c r="F21" s="57">
        <v>2</v>
      </c>
      <c r="G21" s="573">
        <v>3</v>
      </c>
      <c r="H21" s="574"/>
      <c r="I21" s="574"/>
      <c r="J21" s="56">
        <v>4</v>
      </c>
      <c r="K21" s="56">
        <v>5</v>
      </c>
    </row>
    <row r="22" spans="1:17" ht="12" customHeight="1" x14ac:dyDescent="0.25">
      <c r="A22" s="575" t="s">
        <v>331</v>
      </c>
      <c r="B22" s="575"/>
      <c r="C22" s="575"/>
      <c r="D22" s="575"/>
      <c r="E22" s="575"/>
      <c r="F22" s="588" t="s">
        <v>330</v>
      </c>
      <c r="G22" s="591" t="s">
        <v>329</v>
      </c>
      <c r="H22" s="592"/>
      <c r="I22" s="593"/>
      <c r="J22" s="581" t="s">
        <v>328</v>
      </c>
      <c r="K22" s="576" t="s">
        <v>72</v>
      </c>
    </row>
    <row r="23" spans="1:17" ht="29.25" customHeight="1" x14ac:dyDescent="0.25">
      <c r="A23" s="579" t="s">
        <v>76</v>
      </c>
      <c r="B23" s="579" t="s">
        <v>75</v>
      </c>
      <c r="C23" s="579" t="s">
        <v>74</v>
      </c>
      <c r="D23" s="579" t="s">
        <v>327</v>
      </c>
      <c r="E23" s="579" t="s">
        <v>73</v>
      </c>
      <c r="F23" s="589"/>
      <c r="G23" s="584" t="s">
        <v>424</v>
      </c>
      <c r="H23" s="586" t="s">
        <v>326</v>
      </c>
      <c r="I23" s="586" t="s">
        <v>325</v>
      </c>
      <c r="J23" s="582"/>
      <c r="K23" s="577"/>
      <c r="L23" s="174"/>
      <c r="M23" s="554"/>
      <c r="N23" s="554"/>
      <c r="O23" s="554"/>
      <c r="P23" s="554"/>
      <c r="Q23" s="554"/>
    </row>
    <row r="24" spans="1:17" ht="18.75" customHeight="1" x14ac:dyDescent="0.25">
      <c r="A24" s="580"/>
      <c r="B24" s="580"/>
      <c r="C24" s="580"/>
      <c r="D24" s="580"/>
      <c r="E24" s="580"/>
      <c r="F24" s="590"/>
      <c r="G24" s="585"/>
      <c r="H24" s="587"/>
      <c r="I24" s="587"/>
      <c r="J24" s="583"/>
      <c r="K24" s="578"/>
      <c r="L24" s="174"/>
      <c r="M24" s="282"/>
      <c r="N24" s="282"/>
      <c r="O24" s="282"/>
      <c r="P24" s="282"/>
      <c r="Q24" s="282"/>
    </row>
    <row r="25" spans="1:17" ht="13.8" thickBot="1" x14ac:dyDescent="0.3">
      <c r="A25" s="55">
        <v>2</v>
      </c>
      <c r="B25" s="54"/>
      <c r="C25" s="54"/>
      <c r="D25" s="54"/>
      <c r="E25" s="54"/>
      <c r="F25" s="53" t="s">
        <v>324</v>
      </c>
      <c r="G25" s="52">
        <f>+G26+G87+G212+G330+G336+G463</f>
        <v>70061781.109999999</v>
      </c>
      <c r="H25" s="52">
        <f>+H26+H87+H212+H330+H336+H463</f>
        <v>6821436.5000000009</v>
      </c>
      <c r="I25" s="52">
        <f>+I26+I87+I212+I330+I336+I463</f>
        <v>0</v>
      </c>
      <c r="J25" s="52">
        <f>SUM(G25:I25)</f>
        <v>76883217.609999999</v>
      </c>
      <c r="K25" s="51">
        <f>+K26+K87+K212+K330+K336+K463</f>
        <v>1.0000000000000002</v>
      </c>
      <c r="L25" s="174"/>
      <c r="M25" s="174"/>
      <c r="N25" s="174"/>
      <c r="O25" s="174"/>
      <c r="P25" s="174"/>
      <c r="Q25" s="174"/>
    </row>
    <row r="26" spans="1:17" ht="14.4" thickTop="1" x14ac:dyDescent="0.25">
      <c r="A26" s="50">
        <v>2</v>
      </c>
      <c r="B26" s="49">
        <v>1</v>
      </c>
      <c r="C26" s="49"/>
      <c r="D26" s="49"/>
      <c r="E26" s="49"/>
      <c r="F26" s="48" t="s">
        <v>323</v>
      </c>
      <c r="G26" s="47">
        <f>+G27+G51+G64+G71+G78</f>
        <v>65091179.920000002</v>
      </c>
      <c r="H26" s="47">
        <f>+H27+H51+H64+H71+H78</f>
        <v>0</v>
      </c>
      <c r="I26" s="47">
        <f>+I27+I51+I64+I71+I78</f>
        <v>0</v>
      </c>
      <c r="J26" s="47">
        <f t="shared" ref="J26:J87" si="0">SUM(G26:I26)</f>
        <v>65091179.920000002</v>
      </c>
      <c r="K26" s="20">
        <f t="shared" ref="K26:K34" si="1">J26/$J$25</f>
        <v>0.84662403504212558</v>
      </c>
      <c r="L26" s="174"/>
      <c r="M26" s="174"/>
      <c r="N26" s="174"/>
      <c r="O26" s="174"/>
      <c r="P26" s="174"/>
      <c r="Q26" s="174"/>
    </row>
    <row r="27" spans="1:17" ht="13.8" x14ac:dyDescent="0.25">
      <c r="A27" s="31">
        <v>2</v>
      </c>
      <c r="B27" s="23">
        <v>1</v>
      </c>
      <c r="C27" s="23">
        <v>1</v>
      </c>
      <c r="D27" s="23"/>
      <c r="E27" s="23"/>
      <c r="F27" s="31" t="s">
        <v>322</v>
      </c>
      <c r="G27" s="21">
        <f>+G28+G35+G42+G44+G46</f>
        <v>53640338.710000001</v>
      </c>
      <c r="H27" s="21">
        <f>+H28+H35+H42+H44+H46</f>
        <v>0</v>
      </c>
      <c r="I27" s="21">
        <f>+I28+I35+I42+I44+I46</f>
        <v>0</v>
      </c>
      <c r="J27" s="21">
        <f t="shared" si="0"/>
        <v>53640338.710000001</v>
      </c>
      <c r="K27" s="20">
        <f t="shared" si="1"/>
        <v>0.69768592389170692</v>
      </c>
      <c r="L27" s="174"/>
      <c r="M27" s="174"/>
      <c r="N27" s="174"/>
      <c r="O27" s="174"/>
      <c r="P27" s="174"/>
      <c r="Q27" s="174"/>
    </row>
    <row r="28" spans="1:17" ht="13.8" x14ac:dyDescent="0.25">
      <c r="A28" s="17">
        <v>2</v>
      </c>
      <c r="B28" s="16">
        <v>1</v>
      </c>
      <c r="C28" s="16">
        <v>1</v>
      </c>
      <c r="D28" s="16">
        <v>1</v>
      </c>
      <c r="E28" s="16"/>
      <c r="F28" s="17" t="s">
        <v>321</v>
      </c>
      <c r="G28" s="13">
        <f>SUM(G29:G34)</f>
        <v>52666807.68</v>
      </c>
      <c r="H28" s="13">
        <f>SUM(H29:H34)</f>
        <v>0</v>
      </c>
      <c r="I28" s="13">
        <f>SUM(I29:I34)</f>
        <v>0</v>
      </c>
      <c r="J28" s="13">
        <f>SUM(G28:I28)</f>
        <v>52666807.68</v>
      </c>
      <c r="K28" s="280">
        <f t="shared" si="1"/>
        <v>0.6850234591788178</v>
      </c>
    </row>
    <row r="29" spans="1:17" ht="13.8" x14ac:dyDescent="0.25">
      <c r="A29" s="11">
        <v>2</v>
      </c>
      <c r="B29" s="10">
        <v>1</v>
      </c>
      <c r="C29" s="10">
        <v>1</v>
      </c>
      <c r="D29" s="10">
        <v>1</v>
      </c>
      <c r="E29" s="25" t="s">
        <v>44</v>
      </c>
      <c r="F29" s="11" t="s">
        <v>388</v>
      </c>
      <c r="G29" s="7">
        <f>'CUENTA T FONDO 100'!A288</f>
        <v>52666807.68</v>
      </c>
      <c r="H29" s="7">
        <f>'CUENTA T VS'!A81</f>
        <v>0</v>
      </c>
      <c r="I29" s="7">
        <f>'CUENTA T NOMINA SNS'!A58</f>
        <v>0</v>
      </c>
      <c r="J29" s="7">
        <f t="shared" si="0"/>
        <v>52666807.68</v>
      </c>
      <c r="K29" s="281">
        <f t="shared" si="1"/>
        <v>0.6850234591788178</v>
      </c>
    </row>
    <row r="30" spans="1:17" ht="13.8" x14ac:dyDescent="0.25">
      <c r="A30" s="11">
        <v>2</v>
      </c>
      <c r="B30" s="10">
        <v>1</v>
      </c>
      <c r="C30" s="10">
        <v>1</v>
      </c>
      <c r="D30" s="10">
        <v>1</v>
      </c>
      <c r="E30" s="25" t="s">
        <v>43</v>
      </c>
      <c r="F30" s="44" t="s">
        <v>320</v>
      </c>
      <c r="G30" s="7">
        <f>'CUENTA T FONDO 100'!B288</f>
        <v>0</v>
      </c>
      <c r="H30" s="7">
        <f>'CUENTA T VS'!B81</f>
        <v>0</v>
      </c>
      <c r="I30" s="7">
        <f>'CUENTA T NOMINA SNS'!B58</f>
        <v>0</v>
      </c>
      <c r="J30" s="7">
        <f t="shared" si="0"/>
        <v>0</v>
      </c>
      <c r="K30" s="281">
        <f t="shared" si="1"/>
        <v>0</v>
      </c>
    </row>
    <row r="31" spans="1:17" ht="13.8" x14ac:dyDescent="0.25">
      <c r="A31" s="11">
        <v>2</v>
      </c>
      <c r="B31" s="10">
        <v>1</v>
      </c>
      <c r="C31" s="10">
        <v>1</v>
      </c>
      <c r="D31" s="10">
        <v>1</v>
      </c>
      <c r="E31" s="25" t="s">
        <v>104</v>
      </c>
      <c r="F31" s="44" t="s">
        <v>319</v>
      </c>
      <c r="G31" s="7">
        <f>'CUENTA T FONDO 100'!C288</f>
        <v>0</v>
      </c>
      <c r="H31" s="7">
        <f>'CUENTA T VS'!C81</f>
        <v>0</v>
      </c>
      <c r="I31" s="7">
        <f>'CUENTA T NOMINA SNS'!C58</f>
        <v>0</v>
      </c>
      <c r="J31" s="7">
        <f t="shared" si="0"/>
        <v>0</v>
      </c>
      <c r="K31" s="281">
        <f t="shared" si="1"/>
        <v>0</v>
      </c>
    </row>
    <row r="32" spans="1:17" ht="13.8" x14ac:dyDescent="0.25">
      <c r="A32" s="11">
        <v>2</v>
      </c>
      <c r="B32" s="10">
        <v>1</v>
      </c>
      <c r="C32" s="10">
        <v>1</v>
      </c>
      <c r="D32" s="10">
        <v>1</v>
      </c>
      <c r="E32" s="25" t="s">
        <v>172</v>
      </c>
      <c r="F32" s="44" t="s">
        <v>318</v>
      </c>
      <c r="G32" s="7">
        <f>'CUENTA T FONDO 100'!D288</f>
        <v>0</v>
      </c>
      <c r="H32" s="7">
        <f>'CUENTA T VS'!D81</f>
        <v>0</v>
      </c>
      <c r="I32" s="7">
        <f>'CUENTA T NOMINA SNS'!D58</f>
        <v>0</v>
      </c>
      <c r="J32" s="7">
        <f t="shared" si="0"/>
        <v>0</v>
      </c>
      <c r="K32" s="6">
        <f t="shared" si="1"/>
        <v>0</v>
      </c>
    </row>
    <row r="33" spans="1:11" ht="13.8" x14ac:dyDescent="0.25">
      <c r="A33" s="11">
        <v>2</v>
      </c>
      <c r="B33" s="10">
        <v>1</v>
      </c>
      <c r="C33" s="10">
        <v>1</v>
      </c>
      <c r="D33" s="10">
        <v>1</v>
      </c>
      <c r="E33" s="25" t="s">
        <v>170</v>
      </c>
      <c r="F33" s="44" t="s">
        <v>317</v>
      </c>
      <c r="G33" s="7">
        <f>'CUENTA T FONDO 100'!E288</f>
        <v>0</v>
      </c>
      <c r="H33" s="7">
        <f>'CUENTA T VS'!E81</f>
        <v>0</v>
      </c>
      <c r="I33" s="7">
        <f>'CUENTA T NOMINA SNS'!E58</f>
        <v>0</v>
      </c>
      <c r="J33" s="7">
        <f t="shared" si="0"/>
        <v>0</v>
      </c>
      <c r="K33" s="6">
        <f t="shared" si="1"/>
        <v>0</v>
      </c>
    </row>
    <row r="34" spans="1:11" ht="13.8" x14ac:dyDescent="0.25">
      <c r="A34" s="11">
        <v>2</v>
      </c>
      <c r="B34" s="10">
        <v>1</v>
      </c>
      <c r="C34" s="10">
        <v>1</v>
      </c>
      <c r="D34" s="10">
        <v>1</v>
      </c>
      <c r="E34" s="25" t="s">
        <v>61</v>
      </c>
      <c r="F34" s="44" t="s">
        <v>387</v>
      </c>
      <c r="G34" s="7">
        <f>'CUENTA T FONDO 100'!F288</f>
        <v>0</v>
      </c>
      <c r="H34" s="7">
        <f>'CUENTA T VS'!F81</f>
        <v>0</v>
      </c>
      <c r="I34" s="7">
        <f>'CUENTA T NOMINA SNS'!F58</f>
        <v>0</v>
      </c>
      <c r="J34" s="7">
        <f t="shared" si="0"/>
        <v>0</v>
      </c>
      <c r="K34" s="6">
        <f t="shared" si="1"/>
        <v>0</v>
      </c>
    </row>
    <row r="35" spans="1:11" ht="13.8" x14ac:dyDescent="0.25">
      <c r="A35" s="17">
        <v>2</v>
      </c>
      <c r="B35" s="16">
        <v>1</v>
      </c>
      <c r="C35" s="16">
        <v>1</v>
      </c>
      <c r="D35" s="16">
        <v>2</v>
      </c>
      <c r="E35" s="16"/>
      <c r="F35" s="45" t="s">
        <v>316</v>
      </c>
      <c r="G35" s="13">
        <f>SUM(G36:G41)</f>
        <v>973531.03</v>
      </c>
      <c r="H35" s="13">
        <f>SUM(H36:H41)</f>
        <v>0</v>
      </c>
      <c r="I35" s="13">
        <f>SUM(I36:I41)</f>
        <v>0</v>
      </c>
      <c r="J35" s="13">
        <f>SUM(G35:I35)</f>
        <v>973531.03</v>
      </c>
      <c r="K35" s="12"/>
    </row>
    <row r="36" spans="1:11" ht="13.8" x14ac:dyDescent="0.25">
      <c r="A36" s="11">
        <v>2</v>
      </c>
      <c r="B36" s="10">
        <v>1</v>
      </c>
      <c r="C36" s="10">
        <v>1</v>
      </c>
      <c r="D36" s="10">
        <v>2</v>
      </c>
      <c r="E36" s="25" t="s">
        <v>104</v>
      </c>
      <c r="F36" s="44" t="s">
        <v>315</v>
      </c>
      <c r="G36" s="7">
        <f>'CUENTA T FONDO 100'!G288</f>
        <v>0</v>
      </c>
      <c r="H36" s="7">
        <f>'CUENTA T VS'!G81</f>
        <v>0</v>
      </c>
      <c r="I36" s="7">
        <f>'CUENTA T NOMINA SNS'!G58</f>
        <v>0</v>
      </c>
      <c r="J36" s="7">
        <f t="shared" si="0"/>
        <v>0</v>
      </c>
      <c r="K36" s="6">
        <f t="shared" ref="K36:K41" si="2">J36/$J$25</f>
        <v>0</v>
      </c>
    </row>
    <row r="37" spans="1:11" ht="13.8" x14ac:dyDescent="0.25">
      <c r="A37" s="11">
        <v>2</v>
      </c>
      <c r="B37" s="10">
        <v>1</v>
      </c>
      <c r="C37" s="10">
        <v>1</v>
      </c>
      <c r="D37" s="10">
        <v>2</v>
      </c>
      <c r="E37" s="25" t="s">
        <v>170</v>
      </c>
      <c r="F37" s="44" t="s">
        <v>314</v>
      </c>
      <c r="G37" s="7">
        <f>'CUENTA T FONDO 100'!H288</f>
        <v>0</v>
      </c>
      <c r="H37" s="7">
        <f>'CUENTA T VS'!H81</f>
        <v>0</v>
      </c>
      <c r="I37" s="7">
        <f>'CUENTA T NOMINA SNS'!H58</f>
        <v>0</v>
      </c>
      <c r="J37" s="7">
        <f t="shared" si="0"/>
        <v>0</v>
      </c>
      <c r="K37" s="6">
        <f t="shared" si="2"/>
        <v>0</v>
      </c>
    </row>
    <row r="38" spans="1:11" ht="13.8" x14ac:dyDescent="0.25">
      <c r="A38" s="11">
        <v>2</v>
      </c>
      <c r="B38" s="10">
        <v>1</v>
      </c>
      <c r="C38" s="10">
        <v>1</v>
      </c>
      <c r="D38" s="10">
        <v>2</v>
      </c>
      <c r="E38" s="25" t="s">
        <v>61</v>
      </c>
      <c r="F38" s="44" t="s">
        <v>313</v>
      </c>
      <c r="G38" s="7">
        <f>'CUENTA T FONDO 100'!I288</f>
        <v>0</v>
      </c>
      <c r="H38" s="7">
        <f>'CUENTA T VS'!I81</f>
        <v>0</v>
      </c>
      <c r="I38" s="7">
        <f>'CUENTA T NOMINA SNS'!I58</f>
        <v>0</v>
      </c>
      <c r="J38" s="7">
        <f t="shared" si="0"/>
        <v>0</v>
      </c>
      <c r="K38" s="6">
        <f t="shared" si="2"/>
        <v>0</v>
      </c>
    </row>
    <row r="39" spans="1:11" ht="13.8" x14ac:dyDescent="0.25">
      <c r="A39" s="11">
        <v>2</v>
      </c>
      <c r="B39" s="10">
        <v>1</v>
      </c>
      <c r="C39" s="10">
        <v>1</v>
      </c>
      <c r="D39" s="10">
        <v>2</v>
      </c>
      <c r="E39" s="25" t="s">
        <v>234</v>
      </c>
      <c r="F39" s="44" t="s">
        <v>389</v>
      </c>
      <c r="G39" s="7">
        <f>'CUENTA T FONDO 100'!J288</f>
        <v>973531.03</v>
      </c>
      <c r="H39" s="7">
        <f>'CUENTA T VS'!J81</f>
        <v>0</v>
      </c>
      <c r="I39" s="7">
        <f>'CUENTA T NOMINA SNS'!J58</f>
        <v>0</v>
      </c>
      <c r="J39" s="7">
        <f t="shared" si="0"/>
        <v>973531.03</v>
      </c>
      <c r="K39" s="6">
        <f t="shared" si="2"/>
        <v>1.2662464712889116E-2</v>
      </c>
    </row>
    <row r="40" spans="1:11" ht="13.8" x14ac:dyDescent="0.25">
      <c r="A40" s="11">
        <v>2</v>
      </c>
      <c r="B40" s="10">
        <v>1</v>
      </c>
      <c r="C40" s="10">
        <v>1</v>
      </c>
      <c r="D40" s="10">
        <v>2</v>
      </c>
      <c r="E40" s="25" t="s">
        <v>300</v>
      </c>
      <c r="F40" s="44" t="s">
        <v>384</v>
      </c>
      <c r="G40" s="7">
        <f>'CUENTA T FONDO 100'!K288</f>
        <v>0</v>
      </c>
      <c r="H40" s="7">
        <f>'CUENTA T VS'!K81</f>
        <v>0</v>
      </c>
      <c r="I40" s="7">
        <f>'CUENTA T NOMINA SNS'!K58</f>
        <v>0</v>
      </c>
      <c r="J40" s="7">
        <f t="shared" si="0"/>
        <v>0</v>
      </c>
      <c r="K40" s="6">
        <f t="shared" si="2"/>
        <v>0</v>
      </c>
    </row>
    <row r="41" spans="1:11" ht="13.8" x14ac:dyDescent="0.25">
      <c r="A41" s="11">
        <v>2</v>
      </c>
      <c r="B41" s="10">
        <v>1</v>
      </c>
      <c r="C41" s="10">
        <v>1</v>
      </c>
      <c r="D41" s="10">
        <v>2</v>
      </c>
      <c r="E41" s="25" t="s">
        <v>381</v>
      </c>
      <c r="F41" s="44" t="s">
        <v>390</v>
      </c>
      <c r="G41" s="7">
        <f>'CUENTA T FONDO 100'!L288</f>
        <v>0</v>
      </c>
      <c r="H41" s="7">
        <f>'CUENTA T VS'!L81</f>
        <v>0</v>
      </c>
      <c r="I41" s="7">
        <f>'CUENTA T NOMINA SNS'!L58</f>
        <v>0</v>
      </c>
      <c r="J41" s="7">
        <f>SUM(G41:I41)</f>
        <v>0</v>
      </c>
      <c r="K41" s="6">
        <f t="shared" si="2"/>
        <v>0</v>
      </c>
    </row>
    <row r="42" spans="1:11" ht="13.8" x14ac:dyDescent="0.25">
      <c r="A42" s="17">
        <v>2</v>
      </c>
      <c r="B42" s="16">
        <v>1</v>
      </c>
      <c r="C42" s="16">
        <v>1</v>
      </c>
      <c r="D42" s="16">
        <v>3</v>
      </c>
      <c r="E42" s="16"/>
      <c r="F42" s="45" t="s">
        <v>312</v>
      </c>
      <c r="G42" s="13">
        <f>SUM(G43)</f>
        <v>0</v>
      </c>
      <c r="H42" s="13">
        <f>SUM(H43)</f>
        <v>0</v>
      </c>
      <c r="I42" s="13">
        <f>SUM(I43)</f>
        <v>0</v>
      </c>
      <c r="J42" s="13">
        <f t="shared" si="0"/>
        <v>0</v>
      </c>
      <c r="K42" s="12"/>
    </row>
    <row r="43" spans="1:11" ht="13.8" x14ac:dyDescent="0.25">
      <c r="A43" s="11">
        <v>2</v>
      </c>
      <c r="B43" s="10">
        <v>1</v>
      </c>
      <c r="C43" s="10">
        <v>1</v>
      </c>
      <c r="D43" s="10">
        <v>3</v>
      </c>
      <c r="E43" s="25" t="s">
        <v>44</v>
      </c>
      <c r="F43" s="44" t="s">
        <v>312</v>
      </c>
      <c r="G43" s="7">
        <f>'CUENTA T FONDO 100'!M288</f>
        <v>0</v>
      </c>
      <c r="H43" s="7">
        <f>'CUENTA T VS'!M81</f>
        <v>0</v>
      </c>
      <c r="I43" s="7">
        <f>'CUENTA T NOMINA SNS'!M58</f>
        <v>0</v>
      </c>
      <c r="J43" s="7">
        <f t="shared" si="0"/>
        <v>0</v>
      </c>
      <c r="K43" s="6">
        <f>J43/$J$25</f>
        <v>0</v>
      </c>
    </row>
    <row r="44" spans="1:11" ht="13.8" x14ac:dyDescent="0.25">
      <c r="A44" s="17">
        <v>2</v>
      </c>
      <c r="B44" s="16">
        <v>1</v>
      </c>
      <c r="C44" s="16">
        <v>1</v>
      </c>
      <c r="D44" s="16">
        <v>4</v>
      </c>
      <c r="E44" s="16"/>
      <c r="F44" s="45" t="s">
        <v>391</v>
      </c>
      <c r="G44" s="13">
        <f>SUM(G45)</f>
        <v>0</v>
      </c>
      <c r="H44" s="13">
        <f>SUM(H45)</f>
        <v>0</v>
      </c>
      <c r="I44" s="13">
        <f>SUM(I45)</f>
        <v>0</v>
      </c>
      <c r="J44" s="13">
        <f t="shared" si="0"/>
        <v>0</v>
      </c>
      <c r="K44" s="12"/>
    </row>
    <row r="45" spans="1:11" ht="13.8" x14ac:dyDescent="0.25">
      <c r="A45" s="11">
        <v>2</v>
      </c>
      <c r="B45" s="10">
        <v>1</v>
      </c>
      <c r="C45" s="10">
        <v>1</v>
      </c>
      <c r="D45" s="10">
        <v>4</v>
      </c>
      <c r="E45" s="25" t="s">
        <v>44</v>
      </c>
      <c r="F45" s="44" t="s">
        <v>391</v>
      </c>
      <c r="G45" s="7">
        <f>'CUENTA T FONDO 100'!N288</f>
        <v>0</v>
      </c>
      <c r="H45" s="7">
        <f>'CUENTA T VS'!N81</f>
        <v>0</v>
      </c>
      <c r="I45" s="7">
        <f>'CUENTA T NOMINA SNS'!N58</f>
        <v>0</v>
      </c>
      <c r="J45" s="7">
        <f t="shared" si="0"/>
        <v>0</v>
      </c>
      <c r="K45" s="6">
        <f>J45/$J$25</f>
        <v>0</v>
      </c>
    </row>
    <row r="46" spans="1:11" ht="13.8" x14ac:dyDescent="0.25">
      <c r="A46" s="17">
        <v>2</v>
      </c>
      <c r="B46" s="16">
        <v>1</v>
      </c>
      <c r="C46" s="16">
        <v>1</v>
      </c>
      <c r="D46" s="16">
        <v>5</v>
      </c>
      <c r="E46" s="16"/>
      <c r="F46" s="45" t="s">
        <v>392</v>
      </c>
      <c r="G46" s="13">
        <f>SUM(G47:G50)</f>
        <v>0</v>
      </c>
      <c r="H46" s="13">
        <f>SUM(H47:H50)</f>
        <v>0</v>
      </c>
      <c r="I46" s="13">
        <f>SUM(I47:I50)</f>
        <v>0</v>
      </c>
      <c r="J46" s="13">
        <f t="shared" si="0"/>
        <v>0</v>
      </c>
      <c r="K46" s="12"/>
    </row>
    <row r="47" spans="1:11" ht="13.8" x14ac:dyDescent="0.25">
      <c r="A47" s="11">
        <v>2</v>
      </c>
      <c r="B47" s="10">
        <v>1</v>
      </c>
      <c r="C47" s="10">
        <v>1</v>
      </c>
      <c r="D47" s="10">
        <v>5</v>
      </c>
      <c r="E47" s="25" t="s">
        <v>44</v>
      </c>
      <c r="F47" s="44" t="s">
        <v>392</v>
      </c>
      <c r="G47" s="7">
        <f>'CUENTA T FONDO 100'!O288</f>
        <v>0</v>
      </c>
      <c r="H47" s="7">
        <f>'CUENTA T VS'!O81</f>
        <v>0</v>
      </c>
      <c r="I47" s="7">
        <f>'CUENTA T NOMINA SNS'!O58</f>
        <v>0</v>
      </c>
      <c r="J47" s="7">
        <f t="shared" si="0"/>
        <v>0</v>
      </c>
      <c r="K47" s="6">
        <f>J47/$J$25</f>
        <v>0</v>
      </c>
    </row>
    <row r="48" spans="1:11" ht="13.8" x14ac:dyDescent="0.25">
      <c r="A48" s="11">
        <v>2</v>
      </c>
      <c r="B48" s="10">
        <v>1</v>
      </c>
      <c r="C48" s="10">
        <v>1</v>
      </c>
      <c r="D48" s="10">
        <v>5</v>
      </c>
      <c r="E48" s="25" t="s">
        <v>43</v>
      </c>
      <c r="F48" s="44" t="s">
        <v>311</v>
      </c>
      <c r="G48" s="7">
        <f>'CUENTA T FONDO 100'!P288</f>
        <v>0</v>
      </c>
      <c r="H48" s="7">
        <f>'CUENTA T VS'!P81</f>
        <v>0</v>
      </c>
      <c r="I48" s="7">
        <f>'CUENTA T NOMINA SNS'!P58</f>
        <v>0</v>
      </c>
      <c r="J48" s="7">
        <f t="shared" si="0"/>
        <v>0</v>
      </c>
      <c r="K48" s="6">
        <f>J48/$J$25</f>
        <v>0</v>
      </c>
    </row>
    <row r="49" spans="1:11" ht="13.8" x14ac:dyDescent="0.25">
      <c r="A49" s="11">
        <v>2</v>
      </c>
      <c r="B49" s="10">
        <v>1</v>
      </c>
      <c r="C49" s="10">
        <v>1</v>
      </c>
      <c r="D49" s="10">
        <v>5</v>
      </c>
      <c r="E49" s="25" t="s">
        <v>104</v>
      </c>
      <c r="F49" s="44" t="s">
        <v>310</v>
      </c>
      <c r="G49" s="7">
        <f>'CUENTA T FONDO 100'!Q288</f>
        <v>0</v>
      </c>
      <c r="H49" s="7">
        <f>'CUENTA T VS'!Q81</f>
        <v>0</v>
      </c>
      <c r="I49" s="7">
        <f>'CUENTA T NOMINA SNS'!Q58</f>
        <v>0</v>
      </c>
      <c r="J49" s="7">
        <f t="shared" si="0"/>
        <v>0</v>
      </c>
      <c r="K49" s="6">
        <f>J49/$J$25</f>
        <v>0</v>
      </c>
    </row>
    <row r="50" spans="1:11" ht="13.8" x14ac:dyDescent="0.25">
      <c r="A50" s="11">
        <v>2</v>
      </c>
      <c r="B50" s="10">
        <v>1</v>
      </c>
      <c r="C50" s="10">
        <v>1</v>
      </c>
      <c r="D50" s="10">
        <v>5</v>
      </c>
      <c r="E50" s="25" t="s">
        <v>172</v>
      </c>
      <c r="F50" s="44" t="s">
        <v>309</v>
      </c>
      <c r="G50" s="7">
        <f>'CUENTA T FONDO 100'!R288</f>
        <v>0</v>
      </c>
      <c r="H50" s="7">
        <f>'CUENTA T VS'!R81</f>
        <v>0</v>
      </c>
      <c r="I50" s="7">
        <f>'CUENTA T NOMINA SNS'!R58</f>
        <v>0</v>
      </c>
      <c r="J50" s="7">
        <f t="shared" si="0"/>
        <v>0</v>
      </c>
      <c r="K50" s="6">
        <f>J50/$J$25</f>
        <v>0</v>
      </c>
    </row>
    <row r="51" spans="1:11" ht="13.8" x14ac:dyDescent="0.25">
      <c r="A51" s="31">
        <v>2</v>
      </c>
      <c r="B51" s="23">
        <v>1</v>
      </c>
      <c r="C51" s="23">
        <v>2</v>
      </c>
      <c r="D51" s="23"/>
      <c r="E51" s="23"/>
      <c r="F51" s="46" t="s">
        <v>308</v>
      </c>
      <c r="G51" s="21">
        <f>+G52+G54</f>
        <v>3196999.6</v>
      </c>
      <c r="H51" s="21">
        <f>+H52+H54</f>
        <v>0</v>
      </c>
      <c r="I51" s="21">
        <f>+I52+I54</f>
        <v>0</v>
      </c>
      <c r="J51" s="21">
        <f t="shared" si="0"/>
        <v>3196999.6</v>
      </c>
      <c r="K51" s="20"/>
    </row>
    <row r="52" spans="1:11" ht="13.8" x14ac:dyDescent="0.25">
      <c r="A52" s="17">
        <v>2</v>
      </c>
      <c r="B52" s="16">
        <v>1</v>
      </c>
      <c r="C52" s="16">
        <v>2</v>
      </c>
      <c r="D52" s="16">
        <v>1</v>
      </c>
      <c r="E52" s="16"/>
      <c r="F52" s="45" t="s">
        <v>307</v>
      </c>
      <c r="G52" s="13">
        <f>SUM(G53)</f>
        <v>2752136.5</v>
      </c>
      <c r="H52" s="13">
        <f>SUM(H53)</f>
        <v>0</v>
      </c>
      <c r="I52" s="13">
        <f>SUM(I53)</f>
        <v>0</v>
      </c>
      <c r="J52" s="13">
        <f t="shared" si="0"/>
        <v>2752136.5</v>
      </c>
      <c r="K52" s="12"/>
    </row>
    <row r="53" spans="1:11" ht="13.8" x14ac:dyDescent="0.25">
      <c r="A53" s="11">
        <v>2</v>
      </c>
      <c r="B53" s="10">
        <v>1</v>
      </c>
      <c r="C53" s="10">
        <v>2</v>
      </c>
      <c r="D53" s="10">
        <v>1</v>
      </c>
      <c r="E53" s="25" t="s">
        <v>44</v>
      </c>
      <c r="F53" s="44" t="s">
        <v>307</v>
      </c>
      <c r="G53" s="7">
        <f>'CUENTA T FONDO 100'!S288</f>
        <v>2752136.5</v>
      </c>
      <c r="H53" s="7">
        <f>'CUENTA T VS'!S81</f>
        <v>0</v>
      </c>
      <c r="I53" s="7">
        <f>'CUENTA T NOMINA SNS'!S58</f>
        <v>0</v>
      </c>
      <c r="J53" s="7">
        <f t="shared" si="0"/>
        <v>2752136.5</v>
      </c>
      <c r="K53" s="6">
        <f>J53/$J$25</f>
        <v>3.5796323119052668E-2</v>
      </c>
    </row>
    <row r="54" spans="1:11" ht="13.8" x14ac:dyDescent="0.25">
      <c r="A54" s="17">
        <v>2</v>
      </c>
      <c r="B54" s="16">
        <v>1</v>
      </c>
      <c r="C54" s="16">
        <v>2</v>
      </c>
      <c r="D54" s="16">
        <v>2</v>
      </c>
      <c r="E54" s="16"/>
      <c r="F54" s="45" t="s">
        <v>306</v>
      </c>
      <c r="G54" s="13">
        <f>SUM(G55:G63)</f>
        <v>444863.1</v>
      </c>
      <c r="H54" s="13">
        <f>SUM(H55:H63)</f>
        <v>0</v>
      </c>
      <c r="I54" s="13">
        <f>SUM(I55:I63)</f>
        <v>0</v>
      </c>
      <c r="J54" s="13">
        <f t="shared" si="0"/>
        <v>444863.1</v>
      </c>
      <c r="K54" s="12"/>
    </row>
    <row r="55" spans="1:11" ht="13.8" x14ac:dyDescent="0.25">
      <c r="A55" s="11">
        <v>2</v>
      </c>
      <c r="B55" s="10">
        <v>1</v>
      </c>
      <c r="C55" s="10">
        <v>2</v>
      </c>
      <c r="D55" s="10">
        <v>2</v>
      </c>
      <c r="E55" s="25" t="s">
        <v>44</v>
      </c>
      <c r="F55" s="44" t="s">
        <v>305</v>
      </c>
      <c r="G55" s="7">
        <f>'CUENTA T FONDO 100'!T288</f>
        <v>0</v>
      </c>
      <c r="H55" s="7">
        <f>'CUENTA T VS'!T81</f>
        <v>0</v>
      </c>
      <c r="I55" s="7">
        <f>'CUENTA T NOMINA SNS'!T58</f>
        <v>0</v>
      </c>
      <c r="J55" s="7">
        <f t="shared" si="0"/>
        <v>0</v>
      </c>
      <c r="K55" s="6">
        <f t="shared" ref="K55:K63" si="3">J55/$J$25</f>
        <v>0</v>
      </c>
    </row>
    <row r="56" spans="1:11" ht="13.8" x14ac:dyDescent="0.25">
      <c r="A56" s="11">
        <v>2</v>
      </c>
      <c r="B56" s="10">
        <v>1</v>
      </c>
      <c r="C56" s="10">
        <v>2</v>
      </c>
      <c r="D56" s="10">
        <v>2</v>
      </c>
      <c r="E56" s="25" t="s">
        <v>104</v>
      </c>
      <c r="F56" s="9" t="s">
        <v>393</v>
      </c>
      <c r="G56" s="7">
        <f>'CUENTA T FONDO 100'!U288</f>
        <v>0</v>
      </c>
      <c r="H56" s="7">
        <f>'CUENTA T VS'!U81</f>
        <v>0</v>
      </c>
      <c r="I56" s="7">
        <f>'CUENTA T NOMINA SNS'!U58</f>
        <v>0</v>
      </c>
      <c r="J56" s="7">
        <f t="shared" si="0"/>
        <v>0</v>
      </c>
      <c r="K56" s="6">
        <f t="shared" si="3"/>
        <v>0</v>
      </c>
    </row>
    <row r="57" spans="1:11" ht="13.8" x14ac:dyDescent="0.25">
      <c r="A57" s="11">
        <v>2</v>
      </c>
      <c r="B57" s="10">
        <v>1</v>
      </c>
      <c r="C57" s="10">
        <v>2</v>
      </c>
      <c r="D57" s="10">
        <v>2</v>
      </c>
      <c r="E57" s="25" t="s">
        <v>172</v>
      </c>
      <c r="F57" s="44" t="s">
        <v>304</v>
      </c>
      <c r="G57" s="7">
        <f>'CUENTA T FONDO 100'!V288</f>
        <v>0</v>
      </c>
      <c r="H57" s="7">
        <f>'CUENTA T VS'!V81</f>
        <v>0</v>
      </c>
      <c r="I57" s="7">
        <f>'CUENTA T NOMINA SNS'!V58</f>
        <v>0</v>
      </c>
      <c r="J57" s="7">
        <f t="shared" si="0"/>
        <v>0</v>
      </c>
      <c r="K57" s="6">
        <f t="shared" si="3"/>
        <v>0</v>
      </c>
    </row>
    <row r="58" spans="1:11" ht="13.8" x14ac:dyDescent="0.25">
      <c r="A58" s="11">
        <v>2</v>
      </c>
      <c r="B58" s="10">
        <v>1</v>
      </c>
      <c r="C58" s="10">
        <v>2</v>
      </c>
      <c r="D58" s="10">
        <v>2</v>
      </c>
      <c r="E58" s="25" t="s">
        <v>170</v>
      </c>
      <c r="F58" s="44" t="s">
        <v>303</v>
      </c>
      <c r="G58" s="7">
        <f>'CUENTA T FONDO 100'!W288</f>
        <v>45000</v>
      </c>
      <c r="H58" s="7">
        <f>'CUENTA T VS'!W81</f>
        <v>0</v>
      </c>
      <c r="I58" s="7">
        <f>'CUENTA T NOMINA SNS'!W58</f>
        <v>0</v>
      </c>
      <c r="J58" s="7">
        <f t="shared" si="0"/>
        <v>45000</v>
      </c>
      <c r="K58" s="6">
        <f t="shared" si="3"/>
        <v>5.8530328723061886E-4</v>
      </c>
    </row>
    <row r="59" spans="1:11" ht="13.8" x14ac:dyDescent="0.25">
      <c r="A59" s="11">
        <v>2</v>
      </c>
      <c r="B59" s="10">
        <v>1</v>
      </c>
      <c r="C59" s="10">
        <v>2</v>
      </c>
      <c r="D59" s="10">
        <v>2</v>
      </c>
      <c r="E59" s="25" t="s">
        <v>61</v>
      </c>
      <c r="F59" s="44" t="s">
        <v>380</v>
      </c>
      <c r="G59" s="7">
        <f>'CUENTA T FONDO 100'!X288</f>
        <v>0</v>
      </c>
      <c r="H59" s="7">
        <f>'CUENTA T VS'!X81</f>
        <v>0</v>
      </c>
      <c r="I59" s="7">
        <f>'CUENTA T NOMINA SNS'!X58</f>
        <v>0</v>
      </c>
      <c r="J59" s="7">
        <f t="shared" si="0"/>
        <v>0</v>
      </c>
      <c r="K59" s="6">
        <f t="shared" si="3"/>
        <v>0</v>
      </c>
    </row>
    <row r="60" spans="1:11" ht="13.8" x14ac:dyDescent="0.25">
      <c r="A60" s="11">
        <v>2</v>
      </c>
      <c r="B60" s="10">
        <v>1</v>
      </c>
      <c r="C60" s="10">
        <v>2</v>
      </c>
      <c r="D60" s="10">
        <v>2</v>
      </c>
      <c r="E60" s="25" t="s">
        <v>60</v>
      </c>
      <c r="F60" s="44" t="s">
        <v>302</v>
      </c>
      <c r="G60" s="7">
        <f>'CUENTA T FONDO 100'!Y288</f>
        <v>0</v>
      </c>
      <c r="H60" s="7">
        <f>'CUENTA T VS'!Y81</f>
        <v>0</v>
      </c>
      <c r="I60" s="7">
        <f>'CUENTA T NOMINA SNS'!Y58</f>
        <v>0</v>
      </c>
      <c r="J60" s="7">
        <f t="shared" si="0"/>
        <v>0</v>
      </c>
      <c r="K60" s="6">
        <f t="shared" si="3"/>
        <v>0</v>
      </c>
    </row>
    <row r="61" spans="1:11" ht="13.8" x14ac:dyDescent="0.25">
      <c r="A61" s="11">
        <v>2</v>
      </c>
      <c r="B61" s="10">
        <v>1</v>
      </c>
      <c r="C61" s="10">
        <v>2</v>
      </c>
      <c r="D61" s="10">
        <v>2</v>
      </c>
      <c r="E61" s="25" t="s">
        <v>234</v>
      </c>
      <c r="F61" s="44" t="s">
        <v>301</v>
      </c>
      <c r="G61" s="7">
        <f>'CUENTA T FONDO 100'!Z288</f>
        <v>330200</v>
      </c>
      <c r="H61" s="7">
        <f>'CUENTA T VS'!Z81</f>
        <v>0</v>
      </c>
      <c r="I61" s="7">
        <f>'CUENTA T NOMINA SNS'!Z58</f>
        <v>0</v>
      </c>
      <c r="J61" s="7">
        <f t="shared" si="0"/>
        <v>330200</v>
      </c>
      <c r="K61" s="6">
        <f t="shared" si="3"/>
        <v>4.2948254543011188E-3</v>
      </c>
    </row>
    <row r="62" spans="1:11" ht="13.8" x14ac:dyDescent="0.25">
      <c r="A62" s="11">
        <v>2</v>
      </c>
      <c r="B62" s="10">
        <v>1</v>
      </c>
      <c r="C62" s="10">
        <v>2</v>
      </c>
      <c r="D62" s="10">
        <v>2</v>
      </c>
      <c r="E62" s="25" t="s">
        <v>300</v>
      </c>
      <c r="F62" s="44" t="s">
        <v>394</v>
      </c>
      <c r="G62" s="7">
        <f>'CUENTA T FONDO 100'!AA288</f>
        <v>0</v>
      </c>
      <c r="H62" s="7">
        <f>'CUENTA T VS'!AA81</f>
        <v>0</v>
      </c>
      <c r="I62" s="7">
        <f>'CUENTA T NOMINA SNS'!AA58</f>
        <v>0</v>
      </c>
      <c r="J62" s="7">
        <f t="shared" si="0"/>
        <v>0</v>
      </c>
      <c r="K62" s="6">
        <f t="shared" si="3"/>
        <v>0</v>
      </c>
    </row>
    <row r="63" spans="1:11" ht="13.8" x14ac:dyDescent="0.25">
      <c r="A63" s="11">
        <v>2</v>
      </c>
      <c r="B63" s="10">
        <v>1</v>
      </c>
      <c r="C63" s="10">
        <v>2</v>
      </c>
      <c r="D63" s="10">
        <v>2</v>
      </c>
      <c r="E63" s="10">
        <v>10</v>
      </c>
      <c r="F63" s="9" t="s">
        <v>395</v>
      </c>
      <c r="G63" s="7">
        <f>'CUENTA T FONDO 100'!AB288</f>
        <v>69663.099999999991</v>
      </c>
      <c r="H63" s="7">
        <f>'CUENTA T VS'!AB81</f>
        <v>0</v>
      </c>
      <c r="I63" s="7">
        <f>'CUENTA T NOMINA SNS'!AB58</f>
        <v>0</v>
      </c>
      <c r="J63" s="7">
        <f t="shared" si="0"/>
        <v>69663.099999999991</v>
      </c>
      <c r="K63" s="6">
        <f t="shared" si="3"/>
        <v>9.0608980952611813E-4</v>
      </c>
    </row>
    <row r="64" spans="1:11" ht="13.8" x14ac:dyDescent="0.3">
      <c r="A64" s="24">
        <v>2</v>
      </c>
      <c r="B64" s="23">
        <v>1</v>
      </c>
      <c r="C64" s="23">
        <v>3</v>
      </c>
      <c r="D64" s="23"/>
      <c r="E64" s="23"/>
      <c r="F64" s="42" t="s">
        <v>299</v>
      </c>
      <c r="G64" s="21">
        <f>+G65+G68</f>
        <v>0</v>
      </c>
      <c r="H64" s="21">
        <f>+H65+H68</f>
        <v>0</v>
      </c>
      <c r="I64" s="21">
        <f>+I65+I68</f>
        <v>0</v>
      </c>
      <c r="J64" s="21">
        <f t="shared" si="0"/>
        <v>0</v>
      </c>
      <c r="K64" s="20"/>
    </row>
    <row r="65" spans="1:11" ht="13.8" x14ac:dyDescent="0.3">
      <c r="A65" s="19">
        <v>2</v>
      </c>
      <c r="B65" s="16">
        <v>1</v>
      </c>
      <c r="C65" s="16">
        <v>3</v>
      </c>
      <c r="D65" s="16">
        <v>1</v>
      </c>
      <c r="E65" s="16"/>
      <c r="F65" s="39" t="s">
        <v>298</v>
      </c>
      <c r="G65" s="13">
        <f>SUM(G66:G67)</f>
        <v>0</v>
      </c>
      <c r="H65" s="13">
        <f>SUM(H66:H67)</f>
        <v>0</v>
      </c>
      <c r="I65" s="13">
        <f>SUM(I66:I67)</f>
        <v>0</v>
      </c>
      <c r="J65" s="13">
        <f t="shared" si="0"/>
        <v>0</v>
      </c>
      <c r="K65" s="12"/>
    </row>
    <row r="66" spans="1:11" ht="13.8" x14ac:dyDescent="0.3">
      <c r="A66" s="18">
        <v>2</v>
      </c>
      <c r="B66" s="10">
        <v>1</v>
      </c>
      <c r="C66" s="10">
        <v>3</v>
      </c>
      <c r="D66" s="10">
        <v>1</v>
      </c>
      <c r="E66" s="25" t="s">
        <v>44</v>
      </c>
      <c r="F66" s="41" t="s">
        <v>297</v>
      </c>
      <c r="G66" s="7">
        <f>'CUENTA T FONDO 100'!AC288</f>
        <v>0</v>
      </c>
      <c r="H66" s="7">
        <f>'CUENTA T VS'!AC81</f>
        <v>0</v>
      </c>
      <c r="I66" s="7">
        <f>'CUENTA T NOMINA SNS'!AC58</f>
        <v>0</v>
      </c>
      <c r="J66" s="7">
        <f t="shared" si="0"/>
        <v>0</v>
      </c>
      <c r="K66" s="6">
        <f>J66/$J$25</f>
        <v>0</v>
      </c>
    </row>
    <row r="67" spans="1:11" ht="13.8" x14ac:dyDescent="0.3">
      <c r="A67" s="18">
        <v>2</v>
      </c>
      <c r="B67" s="10">
        <v>1</v>
      </c>
      <c r="C67" s="10">
        <v>3</v>
      </c>
      <c r="D67" s="10">
        <v>1</v>
      </c>
      <c r="E67" s="25" t="s">
        <v>43</v>
      </c>
      <c r="F67" s="41" t="s">
        <v>296</v>
      </c>
      <c r="G67" s="7">
        <f>'CUENTA T FONDO 100'!AD288</f>
        <v>0</v>
      </c>
      <c r="H67" s="7">
        <f>'CUENTA T VS'!AD81</f>
        <v>0</v>
      </c>
      <c r="I67" s="7">
        <f>'CUENTA T NOMINA SNS'!AD58</f>
        <v>0</v>
      </c>
      <c r="J67" s="7">
        <f t="shared" si="0"/>
        <v>0</v>
      </c>
      <c r="K67" s="6">
        <f>J67/$J$25</f>
        <v>0</v>
      </c>
    </row>
    <row r="68" spans="1:11" ht="13.8" x14ac:dyDescent="0.3">
      <c r="A68" s="19">
        <v>2</v>
      </c>
      <c r="B68" s="16">
        <v>1</v>
      </c>
      <c r="C68" s="16">
        <v>3</v>
      </c>
      <c r="D68" s="16">
        <v>2</v>
      </c>
      <c r="E68" s="16"/>
      <c r="F68" s="39" t="s">
        <v>295</v>
      </c>
      <c r="G68" s="13">
        <f>SUM(G69:G70)</f>
        <v>0</v>
      </c>
      <c r="H68" s="13">
        <f>SUM(H69:H70)</f>
        <v>0</v>
      </c>
      <c r="I68" s="13">
        <f>SUM(I69:I70)</f>
        <v>0</v>
      </c>
      <c r="J68" s="13">
        <f t="shared" si="0"/>
        <v>0</v>
      </c>
      <c r="K68" s="12"/>
    </row>
    <row r="69" spans="1:11" ht="13.8" x14ac:dyDescent="0.3">
      <c r="A69" s="18">
        <v>2</v>
      </c>
      <c r="B69" s="10">
        <v>1</v>
      </c>
      <c r="C69" s="10">
        <v>3</v>
      </c>
      <c r="D69" s="10">
        <v>2</v>
      </c>
      <c r="E69" s="25" t="s">
        <v>44</v>
      </c>
      <c r="F69" s="41" t="s">
        <v>294</v>
      </c>
      <c r="G69" s="7">
        <f>'CUENTA T FONDO 100'!AE288</f>
        <v>0</v>
      </c>
      <c r="H69" s="7">
        <f>'CUENTA T VS'!AE81</f>
        <v>0</v>
      </c>
      <c r="I69" s="7">
        <f>'CUENTA T NOMINA SNS'!AE58</f>
        <v>0</v>
      </c>
      <c r="J69" s="7">
        <f t="shared" si="0"/>
        <v>0</v>
      </c>
      <c r="K69" s="6">
        <f>J69/$J$25</f>
        <v>0</v>
      </c>
    </row>
    <row r="70" spans="1:11" ht="13.8" x14ac:dyDescent="0.3">
      <c r="A70" s="18">
        <v>2</v>
      </c>
      <c r="B70" s="10">
        <v>1</v>
      </c>
      <c r="C70" s="10">
        <v>3</v>
      </c>
      <c r="D70" s="10">
        <v>2</v>
      </c>
      <c r="E70" s="25" t="s">
        <v>43</v>
      </c>
      <c r="F70" s="41" t="s">
        <v>293</v>
      </c>
      <c r="G70" s="7">
        <f>'CUENTA T FONDO 100'!AF288</f>
        <v>0</v>
      </c>
      <c r="H70" s="7">
        <f>'CUENTA T VS'!AF81</f>
        <v>0</v>
      </c>
      <c r="I70" s="7">
        <f>'CUENTA T NOMINA SNS'!AF58</f>
        <v>0</v>
      </c>
      <c r="J70" s="7">
        <f t="shared" si="0"/>
        <v>0</v>
      </c>
      <c r="K70" s="6">
        <f>J70/$J$25</f>
        <v>0</v>
      </c>
    </row>
    <row r="71" spans="1:11" ht="13.8" x14ac:dyDescent="0.3">
      <c r="A71" s="24">
        <v>2</v>
      </c>
      <c r="B71" s="23">
        <v>1</v>
      </c>
      <c r="C71" s="23">
        <v>4</v>
      </c>
      <c r="D71" s="23"/>
      <c r="E71" s="23"/>
      <c r="F71" s="42" t="s">
        <v>292</v>
      </c>
      <c r="G71" s="21">
        <f>+G72+G74</f>
        <v>0</v>
      </c>
      <c r="H71" s="21">
        <f>+H72+H74</f>
        <v>0</v>
      </c>
      <c r="I71" s="21">
        <f>+I72+I74</f>
        <v>0</v>
      </c>
      <c r="J71" s="21">
        <f t="shared" si="0"/>
        <v>0</v>
      </c>
      <c r="K71" s="20"/>
    </row>
    <row r="72" spans="1:11" ht="13.8" x14ac:dyDescent="0.25">
      <c r="A72" s="17">
        <v>2</v>
      </c>
      <c r="B72" s="16">
        <v>1</v>
      </c>
      <c r="C72" s="16">
        <v>4</v>
      </c>
      <c r="D72" s="16">
        <v>1</v>
      </c>
      <c r="E72" s="16"/>
      <c r="F72" s="45" t="s">
        <v>291</v>
      </c>
      <c r="G72" s="13">
        <f>SUM(G73)</f>
        <v>0</v>
      </c>
      <c r="H72" s="13">
        <f>SUM(H73)</f>
        <v>0</v>
      </c>
      <c r="I72" s="13">
        <f>SUM(I73)</f>
        <v>0</v>
      </c>
      <c r="J72" s="13">
        <f t="shared" si="0"/>
        <v>0</v>
      </c>
      <c r="K72" s="12"/>
    </row>
    <row r="73" spans="1:11" ht="13.8" x14ac:dyDescent="0.25">
      <c r="A73" s="11">
        <v>2</v>
      </c>
      <c r="B73" s="10">
        <v>1</v>
      </c>
      <c r="C73" s="10">
        <v>4</v>
      </c>
      <c r="D73" s="10">
        <v>1</v>
      </c>
      <c r="E73" s="25" t="s">
        <v>44</v>
      </c>
      <c r="F73" s="44" t="s">
        <v>291</v>
      </c>
      <c r="G73" s="7">
        <f>'CUENTA T FONDO 100'!AG288</f>
        <v>0</v>
      </c>
      <c r="H73" s="7">
        <f>'CUENTA T VS'!AG81</f>
        <v>0</v>
      </c>
      <c r="I73" s="7">
        <f>'CUENTA T NOMINA SNS'!AG58</f>
        <v>0</v>
      </c>
      <c r="J73" s="7">
        <f t="shared" si="0"/>
        <v>0</v>
      </c>
      <c r="K73" s="6">
        <f>J73/$J$25</f>
        <v>0</v>
      </c>
    </row>
    <row r="74" spans="1:11" ht="13.8" x14ac:dyDescent="0.25">
      <c r="A74" s="17">
        <v>2</v>
      </c>
      <c r="B74" s="16">
        <v>1</v>
      </c>
      <c r="C74" s="16">
        <v>4</v>
      </c>
      <c r="D74" s="16">
        <v>2</v>
      </c>
      <c r="E74" s="16"/>
      <c r="F74" s="45" t="s">
        <v>290</v>
      </c>
      <c r="G74" s="13">
        <f>SUM(G75:G77)</f>
        <v>0</v>
      </c>
      <c r="H74" s="13">
        <f>SUM(H75:H77)</f>
        <v>0</v>
      </c>
      <c r="I74" s="13">
        <f>SUM(I75:I77)</f>
        <v>0</v>
      </c>
      <c r="J74" s="13">
        <f t="shared" si="0"/>
        <v>0</v>
      </c>
      <c r="K74" s="12"/>
    </row>
    <row r="75" spans="1:11" ht="13.8" x14ac:dyDescent="0.25">
      <c r="A75" s="11">
        <v>2</v>
      </c>
      <c r="B75" s="10">
        <v>1</v>
      </c>
      <c r="C75" s="10">
        <v>4</v>
      </c>
      <c r="D75" s="10">
        <v>2</v>
      </c>
      <c r="E75" s="25" t="s">
        <v>44</v>
      </c>
      <c r="F75" s="44" t="s">
        <v>289</v>
      </c>
      <c r="G75" s="7">
        <f>'CUENTA T FONDO 100'!AH288</f>
        <v>0</v>
      </c>
      <c r="H75" s="7">
        <f>'CUENTA T VS'!AH81</f>
        <v>0</v>
      </c>
      <c r="I75" s="7">
        <f>'CUENTA T NOMINA SNS'!AH58</f>
        <v>0</v>
      </c>
      <c r="J75" s="7">
        <f t="shared" si="0"/>
        <v>0</v>
      </c>
      <c r="K75" s="6">
        <f>J75/$J$25</f>
        <v>0</v>
      </c>
    </row>
    <row r="76" spans="1:11" ht="13.8" x14ac:dyDescent="0.25">
      <c r="A76" s="11">
        <v>2</v>
      </c>
      <c r="B76" s="10">
        <v>1</v>
      </c>
      <c r="C76" s="10">
        <v>4</v>
      </c>
      <c r="D76" s="10">
        <v>2</v>
      </c>
      <c r="E76" s="25" t="s">
        <v>43</v>
      </c>
      <c r="F76" s="44" t="s">
        <v>288</v>
      </c>
      <c r="G76" s="7">
        <f>'CUENTA T FONDO 100'!AI288</f>
        <v>0</v>
      </c>
      <c r="H76" s="7">
        <f>'CUENTA T VS'!AI81</f>
        <v>0</v>
      </c>
      <c r="I76" s="7">
        <f>'CUENTA T NOMINA SNS'!AI58</f>
        <v>0</v>
      </c>
      <c r="J76" s="7">
        <f t="shared" si="0"/>
        <v>0</v>
      </c>
      <c r="K76" s="6">
        <f>J76/$J$25</f>
        <v>0</v>
      </c>
    </row>
    <row r="77" spans="1:11" ht="13.8" x14ac:dyDescent="0.25">
      <c r="A77" s="11">
        <v>2</v>
      </c>
      <c r="B77" s="10">
        <v>1</v>
      </c>
      <c r="C77" s="10">
        <v>4</v>
      </c>
      <c r="D77" s="10">
        <v>2</v>
      </c>
      <c r="E77" s="25" t="s">
        <v>104</v>
      </c>
      <c r="F77" s="44" t="s">
        <v>287</v>
      </c>
      <c r="G77" s="7">
        <f>'CUENTA T FONDO 100'!AJ288</f>
        <v>0</v>
      </c>
      <c r="H77" s="7">
        <f>'CUENTA T VS'!AJ81</f>
        <v>0</v>
      </c>
      <c r="I77" s="7">
        <f>'CUENTA T NOMINA SNS'!AJ58</f>
        <v>0</v>
      </c>
      <c r="J77" s="7">
        <f t="shared" si="0"/>
        <v>0</v>
      </c>
      <c r="K77" s="6">
        <f>J77/$J$25</f>
        <v>0</v>
      </c>
    </row>
    <row r="78" spans="1:11" ht="13.8" x14ac:dyDescent="0.3">
      <c r="A78" s="24">
        <v>2</v>
      </c>
      <c r="B78" s="23">
        <v>1</v>
      </c>
      <c r="C78" s="23">
        <v>5</v>
      </c>
      <c r="D78" s="23"/>
      <c r="E78" s="23"/>
      <c r="F78" s="42" t="s">
        <v>286</v>
      </c>
      <c r="G78" s="21">
        <f>+G79+G81+G83+G85</f>
        <v>8253841.6100000003</v>
      </c>
      <c r="H78" s="21">
        <f>+H79+H81+H83+H85</f>
        <v>0</v>
      </c>
      <c r="I78" s="21">
        <f>+I79+I81+I83+I85</f>
        <v>0</v>
      </c>
      <c r="J78" s="21">
        <f t="shared" si="0"/>
        <v>8253841.6100000003</v>
      </c>
      <c r="K78" s="20"/>
    </row>
    <row r="79" spans="1:11" ht="13.8" x14ac:dyDescent="0.25">
      <c r="A79" s="17">
        <v>2</v>
      </c>
      <c r="B79" s="16">
        <v>1</v>
      </c>
      <c r="C79" s="16">
        <v>5</v>
      </c>
      <c r="D79" s="16">
        <v>1</v>
      </c>
      <c r="E79" s="16"/>
      <c r="F79" s="45" t="s">
        <v>285</v>
      </c>
      <c r="G79" s="13">
        <f>SUM(G80)</f>
        <v>3803102.29</v>
      </c>
      <c r="H79" s="13">
        <f>SUM(H80)</f>
        <v>0</v>
      </c>
      <c r="I79" s="13">
        <f>SUM(I80)</f>
        <v>0</v>
      </c>
      <c r="J79" s="13">
        <f t="shared" si="0"/>
        <v>3803102.29</v>
      </c>
      <c r="K79" s="12"/>
    </row>
    <row r="80" spans="1:11" ht="13.8" x14ac:dyDescent="0.25">
      <c r="A80" s="11">
        <v>2</v>
      </c>
      <c r="B80" s="10">
        <v>1</v>
      </c>
      <c r="C80" s="10">
        <v>5</v>
      </c>
      <c r="D80" s="10">
        <v>1</v>
      </c>
      <c r="E80" s="25" t="s">
        <v>44</v>
      </c>
      <c r="F80" s="44" t="s">
        <v>285</v>
      </c>
      <c r="G80" s="7">
        <f>'CUENTA T FONDO 100'!AK288</f>
        <v>3803102.29</v>
      </c>
      <c r="H80" s="7">
        <f>'CUENTA T VS'!AK81</f>
        <v>0</v>
      </c>
      <c r="I80" s="7">
        <f>'CUENTA T NOMINA SNS'!AK58</f>
        <v>0</v>
      </c>
      <c r="J80" s="7">
        <f t="shared" si="0"/>
        <v>3803102.29</v>
      </c>
      <c r="K80" s="6">
        <f>J80/$J$25</f>
        <v>4.9465961600250984E-2</v>
      </c>
    </row>
    <row r="81" spans="1:11" ht="13.8" x14ac:dyDescent="0.25">
      <c r="A81" s="17">
        <v>2</v>
      </c>
      <c r="B81" s="16">
        <v>1</v>
      </c>
      <c r="C81" s="16">
        <v>5</v>
      </c>
      <c r="D81" s="16">
        <v>2</v>
      </c>
      <c r="E81" s="16"/>
      <c r="F81" s="45" t="s">
        <v>284</v>
      </c>
      <c r="G81" s="13">
        <f>SUM(G82)</f>
        <v>3808464.5</v>
      </c>
      <c r="H81" s="13">
        <f>SUM(H82)</f>
        <v>0</v>
      </c>
      <c r="I81" s="13">
        <f>SUM(I82)</f>
        <v>0</v>
      </c>
      <c r="J81" s="13">
        <f t="shared" si="0"/>
        <v>3808464.5</v>
      </c>
      <c r="K81" s="12"/>
    </row>
    <row r="82" spans="1:11" ht="13.8" x14ac:dyDescent="0.25">
      <c r="A82" s="11">
        <v>2</v>
      </c>
      <c r="B82" s="10">
        <v>1</v>
      </c>
      <c r="C82" s="10">
        <v>5</v>
      </c>
      <c r="D82" s="10">
        <v>2</v>
      </c>
      <c r="E82" s="25" t="s">
        <v>44</v>
      </c>
      <c r="F82" s="44" t="s">
        <v>284</v>
      </c>
      <c r="G82" s="7">
        <f>'CUENTA T FONDO 100'!AL288</f>
        <v>3808464.5</v>
      </c>
      <c r="H82" s="7">
        <f>'CUENTA T VS'!AL81</f>
        <v>0</v>
      </c>
      <c r="I82" s="7">
        <f>'CUENTA T NOMINA SNS'!AL58</f>
        <v>0</v>
      </c>
      <c r="J82" s="7">
        <f t="shared" si="0"/>
        <v>3808464.5</v>
      </c>
      <c r="K82" s="6">
        <f>J82/$J$25</f>
        <v>4.9535706470024782E-2</v>
      </c>
    </row>
    <row r="83" spans="1:11" ht="13.8" x14ac:dyDescent="0.25">
      <c r="A83" s="17">
        <v>2</v>
      </c>
      <c r="B83" s="16">
        <v>1</v>
      </c>
      <c r="C83" s="16">
        <v>5</v>
      </c>
      <c r="D83" s="16">
        <v>3</v>
      </c>
      <c r="E83" s="16"/>
      <c r="F83" s="45" t="s">
        <v>283</v>
      </c>
      <c r="G83" s="13">
        <f>SUM(G84)</f>
        <v>642274.82000000007</v>
      </c>
      <c r="H83" s="13">
        <f>SUM(H84)</f>
        <v>0</v>
      </c>
      <c r="I83" s="13">
        <f>SUM(I84)</f>
        <v>0</v>
      </c>
      <c r="J83" s="13">
        <f t="shared" si="0"/>
        <v>642274.82000000007</v>
      </c>
      <c r="K83" s="12"/>
    </row>
    <row r="84" spans="1:11" ht="13.8" x14ac:dyDescent="0.25">
      <c r="A84" s="11">
        <v>2</v>
      </c>
      <c r="B84" s="10">
        <v>1</v>
      </c>
      <c r="C84" s="10">
        <v>5</v>
      </c>
      <c r="D84" s="10">
        <v>3</v>
      </c>
      <c r="E84" s="25" t="s">
        <v>44</v>
      </c>
      <c r="F84" s="44" t="s">
        <v>283</v>
      </c>
      <c r="G84" s="7">
        <f>'CUENTA T FONDO 100'!AM288</f>
        <v>642274.82000000007</v>
      </c>
      <c r="H84" s="7">
        <f>'CUENTA T VS'!AM81</f>
        <v>0</v>
      </c>
      <c r="I84" s="7">
        <f>'CUENTA T NOMINA SNS'!AM58</f>
        <v>0</v>
      </c>
      <c r="J84" s="7">
        <f t="shared" si="0"/>
        <v>642274.82000000007</v>
      </c>
      <c r="K84" s="6">
        <f>J84/$J$25</f>
        <v>8.3539014100323123E-3</v>
      </c>
    </row>
    <row r="85" spans="1:11" ht="13.8" x14ac:dyDescent="0.25">
      <c r="A85" s="17">
        <v>2</v>
      </c>
      <c r="B85" s="16">
        <v>1</v>
      </c>
      <c r="C85" s="16">
        <v>5</v>
      </c>
      <c r="D85" s="16">
        <v>4</v>
      </c>
      <c r="E85" s="16"/>
      <c r="F85" s="45" t="s">
        <v>282</v>
      </c>
      <c r="G85" s="13">
        <f>SUM(G86)</f>
        <v>0</v>
      </c>
      <c r="H85" s="13">
        <f>SUM(H86)</f>
        <v>0</v>
      </c>
      <c r="I85" s="13">
        <f>SUM(I86)</f>
        <v>0</v>
      </c>
      <c r="J85" s="13">
        <f t="shared" si="0"/>
        <v>0</v>
      </c>
      <c r="K85" s="12"/>
    </row>
    <row r="86" spans="1:11" ht="13.8" x14ac:dyDescent="0.25">
      <c r="A86" s="11">
        <v>2</v>
      </c>
      <c r="B86" s="10">
        <v>1</v>
      </c>
      <c r="C86" s="10">
        <v>5</v>
      </c>
      <c r="D86" s="10">
        <v>4</v>
      </c>
      <c r="E86" s="25" t="s">
        <v>44</v>
      </c>
      <c r="F86" s="44" t="s">
        <v>282</v>
      </c>
      <c r="G86" s="7">
        <f>'CUENTA T FONDO 100'!AN288</f>
        <v>0</v>
      </c>
      <c r="H86" s="7">
        <f>'CUENTA T VS'!AN81</f>
        <v>0</v>
      </c>
      <c r="I86" s="7">
        <f>'CUENTA T NOMINA SNS'!AN58</f>
        <v>0</v>
      </c>
      <c r="J86" s="7">
        <f t="shared" si="0"/>
        <v>0</v>
      </c>
      <c r="K86" s="6">
        <f>J86/$J$25</f>
        <v>0</v>
      </c>
    </row>
    <row r="87" spans="1:11" ht="13.8" x14ac:dyDescent="0.3">
      <c r="A87" s="24">
        <v>2</v>
      </c>
      <c r="B87" s="43">
        <v>2</v>
      </c>
      <c r="C87" s="23"/>
      <c r="D87" s="23"/>
      <c r="E87" s="23"/>
      <c r="F87" s="42" t="s">
        <v>281</v>
      </c>
      <c r="G87" s="21">
        <f>G88+G106+G111+G116+G125+G148+G157+G179+G208</f>
        <v>0</v>
      </c>
      <c r="H87" s="21">
        <f>H88+H106+H111+H116+H125+H148+H157+H179+H208</f>
        <v>2733844.2900000005</v>
      </c>
      <c r="I87" s="21">
        <f>I88+I106+I111+I116+I125+I148+I157+I179+I208</f>
        <v>0</v>
      </c>
      <c r="J87" s="21">
        <f t="shared" si="0"/>
        <v>2733844.2900000005</v>
      </c>
      <c r="K87" s="20">
        <f>J87/$J$25</f>
        <v>3.5558401104747943E-2</v>
      </c>
    </row>
    <row r="88" spans="1:11" ht="13.8" x14ac:dyDescent="0.3">
      <c r="A88" s="24">
        <v>2</v>
      </c>
      <c r="B88" s="23">
        <v>2</v>
      </c>
      <c r="C88" s="23">
        <v>1</v>
      </c>
      <c r="D88" s="23"/>
      <c r="E88" s="23"/>
      <c r="F88" s="42" t="s">
        <v>280</v>
      </c>
      <c r="G88" s="21">
        <f>+G89+G91+G93+G95+G97+G99+G102+G104</f>
        <v>0</v>
      </c>
      <c r="H88" s="21">
        <f>+H89+H91+H93+H95+H97+H99+H102+H104</f>
        <v>351316.33</v>
      </c>
      <c r="I88" s="21">
        <f>+I89+I91+I93+I95+I97+I99+I102+I104</f>
        <v>0</v>
      </c>
      <c r="J88" s="21">
        <f t="shared" ref="J88:J153" si="4">SUM(G88:I88)</f>
        <v>351316.33</v>
      </c>
      <c r="K88" s="20"/>
    </row>
    <row r="89" spans="1:11" ht="13.8" x14ac:dyDescent="0.3">
      <c r="A89" s="19">
        <v>2</v>
      </c>
      <c r="B89" s="16">
        <v>2</v>
      </c>
      <c r="C89" s="16">
        <v>1</v>
      </c>
      <c r="D89" s="16">
        <v>1</v>
      </c>
      <c r="E89" s="16"/>
      <c r="F89" s="39" t="s">
        <v>279</v>
      </c>
      <c r="G89" s="13">
        <f>SUM(G90)</f>
        <v>0</v>
      </c>
      <c r="H89" s="13">
        <f>SUM(H90)</f>
        <v>0</v>
      </c>
      <c r="I89" s="13">
        <f>SUM(I90)</f>
        <v>0</v>
      </c>
      <c r="J89" s="13">
        <f t="shared" si="4"/>
        <v>0</v>
      </c>
      <c r="K89" s="12"/>
    </row>
    <row r="90" spans="1:11" ht="13.8" x14ac:dyDescent="0.3">
      <c r="A90" s="18">
        <v>2</v>
      </c>
      <c r="B90" s="10">
        <v>2</v>
      </c>
      <c r="C90" s="10">
        <v>1</v>
      </c>
      <c r="D90" s="10">
        <v>1</v>
      </c>
      <c r="E90" s="25" t="s">
        <v>44</v>
      </c>
      <c r="F90" s="41" t="s">
        <v>279</v>
      </c>
      <c r="G90" s="7">
        <f>'CUENTA T FONDO 100'!AO288</f>
        <v>0</v>
      </c>
      <c r="H90" s="7">
        <f>'CUENTA T VS'!AO81</f>
        <v>0</v>
      </c>
      <c r="I90" s="7"/>
      <c r="J90" s="7">
        <f t="shared" si="4"/>
        <v>0</v>
      </c>
      <c r="K90" s="6">
        <f>J90/$J$25</f>
        <v>0</v>
      </c>
    </row>
    <row r="91" spans="1:11" ht="13.8" x14ac:dyDescent="0.3">
      <c r="A91" s="19">
        <v>2</v>
      </c>
      <c r="B91" s="16">
        <v>2</v>
      </c>
      <c r="C91" s="16">
        <v>1</v>
      </c>
      <c r="D91" s="16">
        <v>2</v>
      </c>
      <c r="E91" s="16"/>
      <c r="F91" s="39" t="s">
        <v>278</v>
      </c>
      <c r="G91" s="13">
        <f>SUM(G92)</f>
        <v>0</v>
      </c>
      <c r="H91" s="13">
        <f>SUM(H92)</f>
        <v>0</v>
      </c>
      <c r="I91" s="13">
        <f>SUM(I92)</f>
        <v>0</v>
      </c>
      <c r="J91" s="13">
        <f t="shared" si="4"/>
        <v>0</v>
      </c>
      <c r="K91" s="12"/>
    </row>
    <row r="92" spans="1:11" ht="13.8" x14ac:dyDescent="0.3">
      <c r="A92" s="18">
        <v>2</v>
      </c>
      <c r="B92" s="10">
        <v>2</v>
      </c>
      <c r="C92" s="10">
        <v>1</v>
      </c>
      <c r="D92" s="10">
        <v>2</v>
      </c>
      <c r="E92" s="25" t="s">
        <v>44</v>
      </c>
      <c r="F92" s="41" t="s">
        <v>278</v>
      </c>
      <c r="G92" s="7">
        <f>'CUENTA T FONDO 100'!AP288</f>
        <v>0</v>
      </c>
      <c r="H92" s="7">
        <f>'CUENTA T VS'!AP81</f>
        <v>0</v>
      </c>
      <c r="I92" s="7"/>
      <c r="J92" s="7">
        <f t="shared" si="4"/>
        <v>0</v>
      </c>
      <c r="K92" s="6">
        <f>J92/$J$25</f>
        <v>0</v>
      </c>
    </row>
    <row r="93" spans="1:11" ht="13.8" x14ac:dyDescent="0.3">
      <c r="A93" s="19">
        <v>2</v>
      </c>
      <c r="B93" s="16">
        <v>2</v>
      </c>
      <c r="C93" s="16">
        <v>1</v>
      </c>
      <c r="D93" s="16">
        <v>3</v>
      </c>
      <c r="E93" s="16"/>
      <c r="F93" s="39" t="s">
        <v>71</v>
      </c>
      <c r="G93" s="13">
        <f>SUM(G94)</f>
        <v>0</v>
      </c>
      <c r="H93" s="13">
        <f>SUM(H94)</f>
        <v>301316.33</v>
      </c>
      <c r="I93" s="13">
        <f>SUM(I94)</f>
        <v>0</v>
      </c>
      <c r="J93" s="13">
        <f t="shared" si="4"/>
        <v>301316.33</v>
      </c>
      <c r="K93" s="12"/>
    </row>
    <row r="94" spans="1:11" ht="13.8" x14ac:dyDescent="0.3">
      <c r="A94" s="18">
        <v>2</v>
      </c>
      <c r="B94" s="10">
        <v>2</v>
      </c>
      <c r="C94" s="10">
        <v>1</v>
      </c>
      <c r="D94" s="10">
        <v>3</v>
      </c>
      <c r="E94" s="25" t="s">
        <v>44</v>
      </c>
      <c r="F94" s="41" t="s">
        <v>71</v>
      </c>
      <c r="G94" s="7">
        <f>'CUENTA T FONDO 100'!AQ288</f>
        <v>0</v>
      </c>
      <c r="H94" s="7">
        <f>'CUENTA T VS'!AQ81</f>
        <v>301316.33</v>
      </c>
      <c r="I94" s="7"/>
      <c r="J94" s="7">
        <f t="shared" si="4"/>
        <v>301316.33</v>
      </c>
      <c r="K94" s="6">
        <f>J94/$J$25</f>
        <v>3.9191430765614654E-3</v>
      </c>
    </row>
    <row r="95" spans="1:11" ht="13.8" x14ac:dyDescent="0.3">
      <c r="A95" s="19">
        <v>2</v>
      </c>
      <c r="B95" s="16">
        <v>2</v>
      </c>
      <c r="C95" s="16">
        <v>1</v>
      </c>
      <c r="D95" s="16">
        <v>4</v>
      </c>
      <c r="E95" s="16"/>
      <c r="F95" s="39" t="s">
        <v>70</v>
      </c>
      <c r="G95" s="13">
        <f>SUM(G96)</f>
        <v>0</v>
      </c>
      <c r="H95" s="13">
        <f>SUM(H96)</f>
        <v>0</v>
      </c>
      <c r="I95" s="13">
        <f>SUM(I96)</f>
        <v>0</v>
      </c>
      <c r="J95" s="13">
        <f t="shared" si="4"/>
        <v>0</v>
      </c>
      <c r="K95" s="12"/>
    </row>
    <row r="96" spans="1:11" ht="13.8" x14ac:dyDescent="0.3">
      <c r="A96" s="18">
        <v>2</v>
      </c>
      <c r="B96" s="10">
        <v>2</v>
      </c>
      <c r="C96" s="10">
        <v>1</v>
      </c>
      <c r="D96" s="10">
        <v>4</v>
      </c>
      <c r="E96" s="25" t="s">
        <v>44</v>
      </c>
      <c r="F96" s="41" t="s">
        <v>70</v>
      </c>
      <c r="G96" s="7">
        <f>'CUENTA T FONDO 100'!AR288</f>
        <v>0</v>
      </c>
      <c r="H96" s="7">
        <f>'CUENTA T VS'!AR81</f>
        <v>0</v>
      </c>
      <c r="I96" s="7"/>
      <c r="J96" s="7">
        <f t="shared" si="4"/>
        <v>0</v>
      </c>
      <c r="K96" s="6">
        <f>J96/$J$25</f>
        <v>0</v>
      </c>
    </row>
    <row r="97" spans="1:11" ht="13.8" x14ac:dyDescent="0.3">
      <c r="A97" s="19">
        <v>2</v>
      </c>
      <c r="B97" s="16">
        <v>2</v>
      </c>
      <c r="C97" s="16">
        <v>1</v>
      </c>
      <c r="D97" s="16">
        <v>5</v>
      </c>
      <c r="E97" s="16"/>
      <c r="F97" s="39" t="s">
        <v>277</v>
      </c>
      <c r="G97" s="13">
        <f>SUM(G98)</f>
        <v>0</v>
      </c>
      <c r="H97" s="13">
        <f>SUM(H98)</f>
        <v>0</v>
      </c>
      <c r="I97" s="13">
        <f>SUM(I98)</f>
        <v>0</v>
      </c>
      <c r="J97" s="13">
        <f t="shared" si="4"/>
        <v>0</v>
      </c>
      <c r="K97" s="12"/>
    </row>
    <row r="98" spans="1:11" ht="13.8" x14ac:dyDescent="0.3">
      <c r="A98" s="18">
        <v>2</v>
      </c>
      <c r="B98" s="10">
        <v>2</v>
      </c>
      <c r="C98" s="10">
        <v>1</v>
      </c>
      <c r="D98" s="10">
        <v>5</v>
      </c>
      <c r="E98" s="25" t="s">
        <v>44</v>
      </c>
      <c r="F98" s="41" t="s">
        <v>277</v>
      </c>
      <c r="G98" s="7">
        <f>'CUENTA T FONDO 100'!AS288</f>
        <v>0</v>
      </c>
      <c r="H98" s="7">
        <f>'CUENTA T VS'!AS81</f>
        <v>0</v>
      </c>
      <c r="I98" s="7"/>
      <c r="J98" s="7">
        <f t="shared" si="4"/>
        <v>0</v>
      </c>
      <c r="K98" s="6">
        <f>J98/$J$25</f>
        <v>0</v>
      </c>
    </row>
    <row r="99" spans="1:11" ht="13.8" x14ac:dyDescent="0.3">
      <c r="A99" s="19">
        <v>2</v>
      </c>
      <c r="B99" s="16">
        <v>2</v>
      </c>
      <c r="C99" s="16">
        <v>1</v>
      </c>
      <c r="D99" s="16">
        <v>6</v>
      </c>
      <c r="E99" s="16"/>
      <c r="F99" s="39" t="s">
        <v>69</v>
      </c>
      <c r="G99" s="13">
        <f>SUM(G100:G101)</f>
        <v>0</v>
      </c>
      <c r="H99" s="13">
        <f>SUM(H100:H101)</f>
        <v>0</v>
      </c>
      <c r="I99" s="13">
        <f>SUM(I100:I101)</f>
        <v>0</v>
      </c>
      <c r="J99" s="13">
        <f t="shared" si="4"/>
        <v>0</v>
      </c>
      <c r="K99" s="12"/>
    </row>
    <row r="100" spans="1:11" ht="13.8" x14ac:dyDescent="0.3">
      <c r="A100" s="18">
        <v>2</v>
      </c>
      <c r="B100" s="10">
        <v>2</v>
      </c>
      <c r="C100" s="10">
        <v>1</v>
      </c>
      <c r="D100" s="10">
        <v>6</v>
      </c>
      <c r="E100" s="25" t="s">
        <v>44</v>
      </c>
      <c r="F100" s="41" t="s">
        <v>68</v>
      </c>
      <c r="G100" s="7">
        <f>'CUENTA T FONDO 100'!AT288</f>
        <v>0</v>
      </c>
      <c r="H100" s="7">
        <f>'CUENTA T VS'!AT81</f>
        <v>0</v>
      </c>
      <c r="I100" s="7"/>
      <c r="J100" s="7">
        <f t="shared" si="4"/>
        <v>0</v>
      </c>
      <c r="K100" s="6">
        <f>J100/$J$25</f>
        <v>0</v>
      </c>
    </row>
    <row r="101" spans="1:11" ht="13.8" x14ac:dyDescent="0.3">
      <c r="A101" s="18">
        <v>2</v>
      </c>
      <c r="B101" s="10">
        <v>2</v>
      </c>
      <c r="C101" s="10">
        <v>1</v>
      </c>
      <c r="D101" s="10">
        <v>6</v>
      </c>
      <c r="E101" s="25" t="s">
        <v>43</v>
      </c>
      <c r="F101" s="41" t="s">
        <v>276</v>
      </c>
      <c r="G101" s="7">
        <f>'CUENTA T FONDO 100'!AU288</f>
        <v>0</v>
      </c>
      <c r="H101" s="7">
        <f>'CUENTA T VS'!AU81</f>
        <v>0</v>
      </c>
      <c r="I101" s="7"/>
      <c r="J101" s="7">
        <f t="shared" si="4"/>
        <v>0</v>
      </c>
      <c r="K101" s="6">
        <f>J101/$J$25</f>
        <v>0</v>
      </c>
    </row>
    <row r="102" spans="1:11" ht="13.8" x14ac:dyDescent="0.3">
      <c r="A102" s="19">
        <v>2</v>
      </c>
      <c r="B102" s="16">
        <v>2</v>
      </c>
      <c r="C102" s="16">
        <v>1</v>
      </c>
      <c r="D102" s="16">
        <v>7</v>
      </c>
      <c r="E102" s="16"/>
      <c r="F102" s="39" t="s">
        <v>67</v>
      </c>
      <c r="G102" s="13">
        <f>SUM(G103)</f>
        <v>0</v>
      </c>
      <c r="H102" s="13">
        <f>SUM(H103)</f>
        <v>0</v>
      </c>
      <c r="I102" s="13">
        <f>SUM(I103)</f>
        <v>0</v>
      </c>
      <c r="J102" s="13">
        <f t="shared" si="4"/>
        <v>0</v>
      </c>
      <c r="K102" s="12"/>
    </row>
    <row r="103" spans="1:11" ht="13.8" x14ac:dyDescent="0.3">
      <c r="A103" s="18">
        <v>2</v>
      </c>
      <c r="B103" s="10">
        <v>2</v>
      </c>
      <c r="C103" s="10">
        <v>1</v>
      </c>
      <c r="D103" s="10">
        <v>7</v>
      </c>
      <c r="E103" s="25" t="s">
        <v>44</v>
      </c>
      <c r="F103" s="41" t="s">
        <v>67</v>
      </c>
      <c r="G103" s="7">
        <f>'CUENTA T FONDO 100'!AV288</f>
        <v>0</v>
      </c>
      <c r="H103" s="7">
        <f>'CUENTA T VS'!AV81</f>
        <v>0</v>
      </c>
      <c r="I103" s="7"/>
      <c r="J103" s="7">
        <f t="shared" si="4"/>
        <v>0</v>
      </c>
      <c r="K103" s="6">
        <f>J103/$J$25</f>
        <v>0</v>
      </c>
    </row>
    <row r="104" spans="1:11" ht="13.8" x14ac:dyDescent="0.3">
      <c r="A104" s="19">
        <v>2</v>
      </c>
      <c r="B104" s="16">
        <v>2</v>
      </c>
      <c r="C104" s="16">
        <v>1</v>
      </c>
      <c r="D104" s="16">
        <v>8</v>
      </c>
      <c r="E104" s="16"/>
      <c r="F104" s="39" t="s">
        <v>66</v>
      </c>
      <c r="G104" s="13">
        <f>SUM(G105)</f>
        <v>0</v>
      </c>
      <c r="H104" s="13">
        <f>SUM(H105)</f>
        <v>50000</v>
      </c>
      <c r="I104" s="13">
        <f>SUM(I105)</f>
        <v>0</v>
      </c>
      <c r="J104" s="13">
        <f t="shared" si="4"/>
        <v>50000</v>
      </c>
      <c r="K104" s="12"/>
    </row>
    <row r="105" spans="1:11" ht="13.8" x14ac:dyDescent="0.3">
      <c r="A105" s="18">
        <v>2</v>
      </c>
      <c r="B105" s="10">
        <v>2</v>
      </c>
      <c r="C105" s="10">
        <v>1</v>
      </c>
      <c r="D105" s="10">
        <v>8</v>
      </c>
      <c r="E105" s="25" t="s">
        <v>44</v>
      </c>
      <c r="F105" s="41" t="s">
        <v>66</v>
      </c>
      <c r="G105" s="7">
        <f>'CUENTA T FONDO 100'!AW288</f>
        <v>0</v>
      </c>
      <c r="H105" s="7">
        <f>'CUENTA T VS'!AW81</f>
        <v>50000</v>
      </c>
      <c r="I105" s="7"/>
      <c r="J105" s="7">
        <f t="shared" si="4"/>
        <v>50000</v>
      </c>
      <c r="K105" s="6">
        <f>J105/$J$25</f>
        <v>6.5033698581179868E-4</v>
      </c>
    </row>
    <row r="106" spans="1:11" ht="13.8" x14ac:dyDescent="0.3">
      <c r="A106" s="24">
        <v>2</v>
      </c>
      <c r="B106" s="23">
        <v>2</v>
      </c>
      <c r="C106" s="23">
        <v>2</v>
      </c>
      <c r="D106" s="23"/>
      <c r="E106" s="23"/>
      <c r="F106" s="42" t="s">
        <v>275</v>
      </c>
      <c r="G106" s="21">
        <f>+G107+G109</f>
        <v>0</v>
      </c>
      <c r="H106" s="21">
        <f>+H107+H109</f>
        <v>0</v>
      </c>
      <c r="I106" s="21">
        <f>+I107+I109</f>
        <v>0</v>
      </c>
      <c r="J106" s="21">
        <f t="shared" si="4"/>
        <v>0</v>
      </c>
      <c r="K106" s="20"/>
    </row>
    <row r="107" spans="1:11" ht="13.8" x14ac:dyDescent="0.3">
      <c r="A107" s="19">
        <v>2</v>
      </c>
      <c r="B107" s="16">
        <v>2</v>
      </c>
      <c r="C107" s="16">
        <v>2</v>
      </c>
      <c r="D107" s="16">
        <v>1</v>
      </c>
      <c r="E107" s="16"/>
      <c r="F107" s="39" t="s">
        <v>274</v>
      </c>
      <c r="G107" s="13">
        <f>SUM(G108)</f>
        <v>0</v>
      </c>
      <c r="H107" s="13">
        <f>SUM(H108)</f>
        <v>0</v>
      </c>
      <c r="I107" s="13">
        <f>SUM(I108)</f>
        <v>0</v>
      </c>
      <c r="J107" s="13">
        <f t="shared" si="4"/>
        <v>0</v>
      </c>
      <c r="K107" s="12"/>
    </row>
    <row r="108" spans="1:11" ht="13.8" x14ac:dyDescent="0.3">
      <c r="A108" s="18">
        <v>2</v>
      </c>
      <c r="B108" s="10">
        <v>2</v>
      </c>
      <c r="C108" s="10">
        <v>2</v>
      </c>
      <c r="D108" s="10">
        <v>1</v>
      </c>
      <c r="E108" s="25" t="s">
        <v>44</v>
      </c>
      <c r="F108" s="41" t="s">
        <v>274</v>
      </c>
      <c r="G108" s="7">
        <f>'CUENTA T FONDO 100'!AX288</f>
        <v>0</v>
      </c>
      <c r="H108" s="7">
        <f>'CUENTA T VS'!AX81</f>
        <v>0</v>
      </c>
      <c r="I108" s="7"/>
      <c r="J108" s="7">
        <f t="shared" si="4"/>
        <v>0</v>
      </c>
      <c r="K108" s="6">
        <f>J108/$J$25</f>
        <v>0</v>
      </c>
    </row>
    <row r="109" spans="1:11" ht="13.8" x14ac:dyDescent="0.3">
      <c r="A109" s="19">
        <v>2</v>
      </c>
      <c r="B109" s="16">
        <v>2</v>
      </c>
      <c r="C109" s="16">
        <v>2</v>
      </c>
      <c r="D109" s="16">
        <v>2</v>
      </c>
      <c r="E109" s="16"/>
      <c r="F109" s="39" t="s">
        <v>273</v>
      </c>
      <c r="G109" s="13">
        <f>SUM(G110)</f>
        <v>0</v>
      </c>
      <c r="H109" s="13">
        <f>SUM(H110)</f>
        <v>0</v>
      </c>
      <c r="I109" s="13">
        <f>SUM(I110)</f>
        <v>0</v>
      </c>
      <c r="J109" s="13">
        <f t="shared" si="4"/>
        <v>0</v>
      </c>
      <c r="K109" s="12"/>
    </row>
    <row r="110" spans="1:11" ht="13.8" x14ac:dyDescent="0.3">
      <c r="A110" s="18">
        <v>2</v>
      </c>
      <c r="B110" s="10">
        <v>2</v>
      </c>
      <c r="C110" s="10">
        <v>2</v>
      </c>
      <c r="D110" s="10">
        <v>2</v>
      </c>
      <c r="E110" s="25" t="s">
        <v>44</v>
      </c>
      <c r="F110" s="41" t="s">
        <v>273</v>
      </c>
      <c r="G110" s="7">
        <f>'CUENTA T FONDO 100'!AY288</f>
        <v>0</v>
      </c>
      <c r="H110" s="7">
        <f>'CUENTA T VS'!AY81</f>
        <v>0</v>
      </c>
      <c r="I110" s="7"/>
      <c r="J110" s="7">
        <f t="shared" si="4"/>
        <v>0</v>
      </c>
      <c r="K110" s="6">
        <f>J110/$J$25</f>
        <v>0</v>
      </c>
    </row>
    <row r="111" spans="1:11" ht="13.8" x14ac:dyDescent="0.3">
      <c r="A111" s="24">
        <v>2</v>
      </c>
      <c r="B111" s="23">
        <v>2</v>
      </c>
      <c r="C111" s="23">
        <v>3</v>
      </c>
      <c r="D111" s="23"/>
      <c r="E111" s="23"/>
      <c r="F111" s="42" t="s">
        <v>272</v>
      </c>
      <c r="G111" s="21">
        <f>+G112+G114</f>
        <v>0</v>
      </c>
      <c r="H111" s="21">
        <f>+H112+H114</f>
        <v>0</v>
      </c>
      <c r="I111" s="21">
        <f>+I112+I114</f>
        <v>0</v>
      </c>
      <c r="J111" s="21">
        <f t="shared" si="4"/>
        <v>0</v>
      </c>
      <c r="K111" s="20"/>
    </row>
    <row r="112" spans="1:11" ht="13.8" x14ac:dyDescent="0.3">
      <c r="A112" s="19">
        <v>2</v>
      </c>
      <c r="B112" s="16">
        <v>2</v>
      </c>
      <c r="C112" s="16">
        <v>3</v>
      </c>
      <c r="D112" s="16">
        <v>1</v>
      </c>
      <c r="E112" s="16"/>
      <c r="F112" s="39" t="s">
        <v>271</v>
      </c>
      <c r="G112" s="13">
        <f>SUM(G113)</f>
        <v>0</v>
      </c>
      <c r="H112" s="13">
        <f>SUM(H113)</f>
        <v>0</v>
      </c>
      <c r="I112" s="13">
        <f>SUM(I113)</f>
        <v>0</v>
      </c>
      <c r="J112" s="13">
        <f t="shared" si="4"/>
        <v>0</v>
      </c>
      <c r="K112" s="12"/>
    </row>
    <row r="113" spans="1:11" ht="13.8" x14ac:dyDescent="0.3">
      <c r="A113" s="18">
        <v>2</v>
      </c>
      <c r="B113" s="10">
        <v>2</v>
      </c>
      <c r="C113" s="10">
        <v>3</v>
      </c>
      <c r="D113" s="10">
        <v>1</v>
      </c>
      <c r="E113" s="25" t="s">
        <v>44</v>
      </c>
      <c r="F113" s="41" t="s">
        <v>271</v>
      </c>
      <c r="G113" s="7">
        <f>'CUENTA T FONDO 100'!AZ288</f>
        <v>0</v>
      </c>
      <c r="H113" s="7">
        <f>'CUENTA T VS'!AZ81</f>
        <v>0</v>
      </c>
      <c r="I113" s="7"/>
      <c r="J113" s="7">
        <f t="shared" si="4"/>
        <v>0</v>
      </c>
      <c r="K113" s="6">
        <f>J113/$J$25</f>
        <v>0</v>
      </c>
    </row>
    <row r="114" spans="1:11" ht="13.8" x14ac:dyDescent="0.3">
      <c r="A114" s="19">
        <v>2</v>
      </c>
      <c r="B114" s="16">
        <v>2</v>
      </c>
      <c r="C114" s="16">
        <v>3</v>
      </c>
      <c r="D114" s="16">
        <v>2</v>
      </c>
      <c r="E114" s="16"/>
      <c r="F114" s="39" t="s">
        <v>65</v>
      </c>
      <c r="G114" s="13">
        <f>SUM(G115)</f>
        <v>0</v>
      </c>
      <c r="H114" s="13">
        <f>SUM(H115)</f>
        <v>0</v>
      </c>
      <c r="I114" s="13">
        <f>SUM(I115)</f>
        <v>0</v>
      </c>
      <c r="J114" s="13">
        <f t="shared" si="4"/>
        <v>0</v>
      </c>
      <c r="K114" s="12"/>
    </row>
    <row r="115" spans="1:11" ht="13.8" x14ac:dyDescent="0.3">
      <c r="A115" s="18">
        <v>2</v>
      </c>
      <c r="B115" s="10">
        <v>2</v>
      </c>
      <c r="C115" s="10">
        <v>3</v>
      </c>
      <c r="D115" s="10">
        <v>2</v>
      </c>
      <c r="E115" s="25" t="s">
        <v>44</v>
      </c>
      <c r="F115" s="41" t="s">
        <v>65</v>
      </c>
      <c r="G115" s="7">
        <f>'CUENTA T FONDO 100'!BA288</f>
        <v>0</v>
      </c>
      <c r="H115" s="7">
        <f>'CUENTA T VS'!BA81</f>
        <v>0</v>
      </c>
      <c r="I115" s="7"/>
      <c r="J115" s="7">
        <f t="shared" si="4"/>
        <v>0</v>
      </c>
      <c r="K115" s="6">
        <f>J115/$J$25</f>
        <v>0</v>
      </c>
    </row>
    <row r="116" spans="1:11" ht="13.8" x14ac:dyDescent="0.3">
      <c r="A116" s="24">
        <v>2</v>
      </c>
      <c r="B116" s="23">
        <v>2</v>
      </c>
      <c r="C116" s="23">
        <v>4</v>
      </c>
      <c r="D116" s="23"/>
      <c r="E116" s="23"/>
      <c r="F116" s="42" t="s">
        <v>270</v>
      </c>
      <c r="G116" s="21">
        <f>+G117+G119+G121+G123</f>
        <v>0</v>
      </c>
      <c r="H116" s="21">
        <f>+H117+H119+H121+H123</f>
        <v>0</v>
      </c>
      <c r="I116" s="21">
        <f>+I117+I119+I121+I123</f>
        <v>0</v>
      </c>
      <c r="J116" s="21">
        <f t="shared" si="4"/>
        <v>0</v>
      </c>
      <c r="K116" s="20"/>
    </row>
    <row r="117" spans="1:11" ht="13.8" x14ac:dyDescent="0.3">
      <c r="A117" s="19">
        <v>2</v>
      </c>
      <c r="B117" s="16">
        <v>2</v>
      </c>
      <c r="C117" s="16">
        <v>4</v>
      </c>
      <c r="D117" s="16">
        <v>1</v>
      </c>
      <c r="E117" s="16"/>
      <c r="F117" s="39" t="s">
        <v>269</v>
      </c>
      <c r="G117" s="13">
        <f>SUM(G118)</f>
        <v>0</v>
      </c>
      <c r="H117" s="13">
        <f>SUM(H118)</f>
        <v>0</v>
      </c>
      <c r="I117" s="13">
        <f>SUM(I118)</f>
        <v>0</v>
      </c>
      <c r="J117" s="13">
        <f t="shared" si="4"/>
        <v>0</v>
      </c>
      <c r="K117" s="12"/>
    </row>
    <row r="118" spans="1:11" ht="13.8" x14ac:dyDescent="0.3">
      <c r="A118" s="18">
        <v>2</v>
      </c>
      <c r="B118" s="10">
        <v>2</v>
      </c>
      <c r="C118" s="10">
        <v>4</v>
      </c>
      <c r="D118" s="10">
        <v>1</v>
      </c>
      <c r="E118" s="25" t="s">
        <v>44</v>
      </c>
      <c r="F118" s="41" t="s">
        <v>269</v>
      </c>
      <c r="G118" s="7">
        <f>'CUENTA T FONDO 100'!BB288</f>
        <v>0</v>
      </c>
      <c r="H118" s="7">
        <f>'CUENTA T VS'!BB81</f>
        <v>0</v>
      </c>
      <c r="I118" s="7"/>
      <c r="J118" s="7">
        <f t="shared" si="4"/>
        <v>0</v>
      </c>
      <c r="K118" s="6">
        <f>J118/$J$25</f>
        <v>0</v>
      </c>
    </row>
    <row r="119" spans="1:11" ht="13.8" x14ac:dyDescent="0.3">
      <c r="A119" s="19">
        <v>2</v>
      </c>
      <c r="B119" s="16">
        <v>2</v>
      </c>
      <c r="C119" s="16">
        <v>4</v>
      </c>
      <c r="D119" s="16">
        <v>2</v>
      </c>
      <c r="E119" s="16"/>
      <c r="F119" s="39" t="s">
        <v>64</v>
      </c>
      <c r="G119" s="13">
        <f>SUM(G120)</f>
        <v>0</v>
      </c>
      <c r="H119" s="13">
        <f>SUM(H120)</f>
        <v>0</v>
      </c>
      <c r="I119" s="13">
        <f>SUM(I120)</f>
        <v>0</v>
      </c>
      <c r="J119" s="13">
        <f t="shared" si="4"/>
        <v>0</v>
      </c>
      <c r="K119" s="12"/>
    </row>
    <row r="120" spans="1:11" ht="13.8" x14ac:dyDescent="0.3">
      <c r="A120" s="18">
        <v>2</v>
      </c>
      <c r="B120" s="10">
        <v>2</v>
      </c>
      <c r="C120" s="10">
        <v>4</v>
      </c>
      <c r="D120" s="10">
        <v>2</v>
      </c>
      <c r="E120" s="25" t="s">
        <v>44</v>
      </c>
      <c r="F120" s="41" t="s">
        <v>64</v>
      </c>
      <c r="G120" s="7">
        <f>'CUENTA T FONDO 100'!BC288</f>
        <v>0</v>
      </c>
      <c r="H120" s="7">
        <f>'CUENTA T VS'!BC81</f>
        <v>0</v>
      </c>
      <c r="I120" s="7"/>
      <c r="J120" s="7">
        <f t="shared" si="4"/>
        <v>0</v>
      </c>
      <c r="K120" s="6">
        <f>J120/$J$25</f>
        <v>0</v>
      </c>
    </row>
    <row r="121" spans="1:11" ht="13.8" x14ac:dyDescent="0.3">
      <c r="A121" s="19">
        <v>2</v>
      </c>
      <c r="B121" s="16">
        <v>2</v>
      </c>
      <c r="C121" s="16">
        <v>4</v>
      </c>
      <c r="D121" s="16">
        <v>3</v>
      </c>
      <c r="E121" s="16"/>
      <c r="F121" s="39" t="s">
        <v>268</v>
      </c>
      <c r="G121" s="13">
        <f>SUM(G122)</f>
        <v>0</v>
      </c>
      <c r="H121" s="13">
        <f>SUM(H122)</f>
        <v>0</v>
      </c>
      <c r="I121" s="13">
        <f>SUM(I122)</f>
        <v>0</v>
      </c>
      <c r="J121" s="13">
        <f t="shared" si="4"/>
        <v>0</v>
      </c>
      <c r="K121" s="12"/>
    </row>
    <row r="122" spans="1:11" ht="13.8" x14ac:dyDescent="0.3">
      <c r="A122" s="18">
        <v>2</v>
      </c>
      <c r="B122" s="10">
        <v>2</v>
      </c>
      <c r="C122" s="10">
        <v>4</v>
      </c>
      <c r="D122" s="10">
        <v>3</v>
      </c>
      <c r="E122" s="25" t="s">
        <v>44</v>
      </c>
      <c r="F122" s="41" t="s">
        <v>268</v>
      </c>
      <c r="G122" s="7">
        <f>'CUENTA T FONDO 100'!BD288</f>
        <v>0</v>
      </c>
      <c r="H122" s="7">
        <f>'CUENTA T VS'!BD81</f>
        <v>0</v>
      </c>
      <c r="I122" s="7"/>
      <c r="J122" s="7">
        <f t="shared" si="4"/>
        <v>0</v>
      </c>
      <c r="K122" s="6">
        <f>J122/$J$25</f>
        <v>0</v>
      </c>
    </row>
    <row r="123" spans="1:11" ht="13.8" x14ac:dyDescent="0.3">
      <c r="A123" s="19">
        <v>2</v>
      </c>
      <c r="B123" s="16">
        <v>2</v>
      </c>
      <c r="C123" s="16">
        <v>4</v>
      </c>
      <c r="D123" s="16">
        <v>4</v>
      </c>
      <c r="E123" s="16"/>
      <c r="F123" s="39" t="s">
        <v>267</v>
      </c>
      <c r="G123" s="13">
        <f>SUM(G124)</f>
        <v>0</v>
      </c>
      <c r="H123" s="13">
        <f>SUM(H124)</f>
        <v>0</v>
      </c>
      <c r="I123" s="13">
        <f>SUM(I124)</f>
        <v>0</v>
      </c>
      <c r="J123" s="13">
        <f t="shared" si="4"/>
        <v>0</v>
      </c>
      <c r="K123" s="12"/>
    </row>
    <row r="124" spans="1:11" ht="13.8" x14ac:dyDescent="0.3">
      <c r="A124" s="18">
        <v>2</v>
      </c>
      <c r="B124" s="10">
        <v>2</v>
      </c>
      <c r="C124" s="10">
        <v>4</v>
      </c>
      <c r="D124" s="10">
        <v>4</v>
      </c>
      <c r="E124" s="25" t="s">
        <v>44</v>
      </c>
      <c r="F124" s="41" t="s">
        <v>267</v>
      </c>
      <c r="G124" s="7">
        <f>'CUENTA T FONDO 100'!BE288</f>
        <v>0</v>
      </c>
      <c r="H124" s="7">
        <f>'CUENTA T VS'!BE81</f>
        <v>0</v>
      </c>
      <c r="I124" s="7"/>
      <c r="J124" s="7">
        <f t="shared" si="4"/>
        <v>0</v>
      </c>
      <c r="K124" s="6">
        <f>J124/$J$25</f>
        <v>0</v>
      </c>
    </row>
    <row r="125" spans="1:11" ht="13.8" x14ac:dyDescent="0.3">
      <c r="A125" s="31">
        <v>2</v>
      </c>
      <c r="B125" s="23">
        <v>2</v>
      </c>
      <c r="C125" s="23">
        <v>5</v>
      </c>
      <c r="D125" s="23"/>
      <c r="E125" s="23"/>
      <c r="F125" s="42" t="s">
        <v>266</v>
      </c>
      <c r="G125" s="21">
        <f>+G126+G128+G130+G136+G138+G140+G142+G144+G146</f>
        <v>0</v>
      </c>
      <c r="H125" s="21">
        <f>+H126+H128+H130+H136+H138+H140+H142+H144+H146</f>
        <v>266664.26</v>
      </c>
      <c r="I125" s="21">
        <f>+I126+I128+I130+I136+I138+I140+I142+I144+I146</f>
        <v>0</v>
      </c>
      <c r="J125" s="21">
        <f>SUM(G125:I125)</f>
        <v>266664.26</v>
      </c>
      <c r="K125" s="20"/>
    </row>
    <row r="126" spans="1:11" ht="13.8" x14ac:dyDescent="0.3">
      <c r="A126" s="19">
        <v>2</v>
      </c>
      <c r="B126" s="16">
        <v>2</v>
      </c>
      <c r="C126" s="16">
        <v>5</v>
      </c>
      <c r="D126" s="16">
        <v>1</v>
      </c>
      <c r="E126" s="15"/>
      <c r="F126" s="39" t="s">
        <v>265</v>
      </c>
      <c r="G126" s="13">
        <f>SUM(G127)</f>
        <v>0</v>
      </c>
      <c r="H126" s="13">
        <f>SUM(H127)</f>
        <v>0</v>
      </c>
      <c r="I126" s="13">
        <f>SUM(I127)</f>
        <v>0</v>
      </c>
      <c r="J126" s="13">
        <f t="shared" si="4"/>
        <v>0</v>
      </c>
      <c r="K126" s="12"/>
    </row>
    <row r="127" spans="1:11" ht="13.8" x14ac:dyDescent="0.3">
      <c r="A127" s="18">
        <v>2</v>
      </c>
      <c r="B127" s="10">
        <v>2</v>
      </c>
      <c r="C127" s="10">
        <v>5</v>
      </c>
      <c r="D127" s="10">
        <v>1</v>
      </c>
      <c r="E127" s="25" t="s">
        <v>44</v>
      </c>
      <c r="F127" s="41" t="s">
        <v>265</v>
      </c>
      <c r="G127" s="7">
        <f>'CUENTA T FONDO 100'!BF288</f>
        <v>0</v>
      </c>
      <c r="H127" s="7">
        <f>'CUENTA T VS'!BF81</f>
        <v>0</v>
      </c>
      <c r="I127" s="8"/>
      <c r="J127" s="7">
        <f t="shared" si="4"/>
        <v>0</v>
      </c>
      <c r="K127" s="6">
        <f>J127/$J$25</f>
        <v>0</v>
      </c>
    </row>
    <row r="128" spans="1:11" ht="13.8" x14ac:dyDescent="0.3">
      <c r="A128" s="19">
        <v>2</v>
      </c>
      <c r="B128" s="16">
        <v>2</v>
      </c>
      <c r="C128" s="16">
        <v>5</v>
      </c>
      <c r="D128" s="16">
        <v>2</v>
      </c>
      <c r="E128" s="15"/>
      <c r="F128" s="39" t="s">
        <v>264</v>
      </c>
      <c r="G128" s="13">
        <f>SUM(G129)</f>
        <v>0</v>
      </c>
      <c r="H128" s="13">
        <f>SUM(H129)</f>
        <v>0</v>
      </c>
      <c r="I128" s="13">
        <f>SUM(I129)</f>
        <v>0</v>
      </c>
      <c r="J128" s="13">
        <f t="shared" si="4"/>
        <v>0</v>
      </c>
      <c r="K128" s="12"/>
    </row>
    <row r="129" spans="1:11" ht="13.8" x14ac:dyDescent="0.3">
      <c r="A129" s="18">
        <v>2</v>
      </c>
      <c r="B129" s="10">
        <v>2</v>
      </c>
      <c r="C129" s="10">
        <v>5</v>
      </c>
      <c r="D129" s="10">
        <v>2</v>
      </c>
      <c r="E129" s="25" t="s">
        <v>44</v>
      </c>
      <c r="F129" s="41" t="s">
        <v>396</v>
      </c>
      <c r="G129" s="7">
        <f>'CUENTA T FONDO 100'!BG288</f>
        <v>0</v>
      </c>
      <c r="H129" s="7">
        <f>'CUENTA T VS'!BG81</f>
        <v>0</v>
      </c>
      <c r="I129" s="8"/>
      <c r="J129" s="7">
        <f t="shared" si="4"/>
        <v>0</v>
      </c>
      <c r="K129" s="6">
        <f>J129/$J$25</f>
        <v>0</v>
      </c>
    </row>
    <row r="130" spans="1:11" ht="13.8" x14ac:dyDescent="0.3">
      <c r="A130" s="19">
        <v>2</v>
      </c>
      <c r="B130" s="16">
        <v>2</v>
      </c>
      <c r="C130" s="16">
        <v>5</v>
      </c>
      <c r="D130" s="16">
        <v>3</v>
      </c>
      <c r="E130" s="15"/>
      <c r="F130" s="39" t="s">
        <v>63</v>
      </c>
      <c r="G130" s="13">
        <f>SUM(G131:G135)</f>
        <v>0</v>
      </c>
      <c r="H130" s="13">
        <f>SUM(H131:H135)</f>
        <v>266664.26</v>
      </c>
      <c r="I130" s="13">
        <f>SUM(I131:I135)</f>
        <v>0</v>
      </c>
      <c r="J130" s="13">
        <f t="shared" si="4"/>
        <v>266664.26</v>
      </c>
      <c r="K130" s="12"/>
    </row>
    <row r="131" spans="1:11" ht="13.8" x14ac:dyDescent="0.3">
      <c r="A131" s="18">
        <v>2</v>
      </c>
      <c r="B131" s="10">
        <v>2</v>
      </c>
      <c r="C131" s="10">
        <v>5</v>
      </c>
      <c r="D131" s="10">
        <v>3</v>
      </c>
      <c r="E131" s="25" t="s">
        <v>44</v>
      </c>
      <c r="F131" s="41" t="s">
        <v>263</v>
      </c>
      <c r="G131" s="7">
        <f>'CUENTA T FONDO 100'!BH288</f>
        <v>0</v>
      </c>
      <c r="H131" s="7">
        <f>'CUENTA T VS'!BH81</f>
        <v>0</v>
      </c>
      <c r="I131" s="8"/>
      <c r="J131" s="7">
        <f t="shared" si="4"/>
        <v>0</v>
      </c>
      <c r="K131" s="6">
        <f>J131/$J$25</f>
        <v>0</v>
      </c>
    </row>
    <row r="132" spans="1:11" ht="13.8" x14ac:dyDescent="0.3">
      <c r="A132" s="18">
        <v>2</v>
      </c>
      <c r="B132" s="10">
        <v>2</v>
      </c>
      <c r="C132" s="10">
        <v>5</v>
      </c>
      <c r="D132" s="10">
        <v>3</v>
      </c>
      <c r="E132" s="25" t="s">
        <v>43</v>
      </c>
      <c r="F132" s="41" t="s">
        <v>397</v>
      </c>
      <c r="G132" s="7">
        <f>'CUENTA T FONDO 100'!BI288</f>
        <v>0</v>
      </c>
      <c r="H132" s="7">
        <f>'CUENTA T VS'!BI81</f>
        <v>266664.26</v>
      </c>
      <c r="I132" s="8"/>
      <c r="J132" s="7">
        <f t="shared" si="4"/>
        <v>266664.26</v>
      </c>
      <c r="K132" s="6">
        <f>J132/$J$25</f>
        <v>3.468432621442676E-3</v>
      </c>
    </row>
    <row r="133" spans="1:11" ht="13.8" x14ac:dyDescent="0.3">
      <c r="A133" s="18">
        <v>2</v>
      </c>
      <c r="B133" s="10">
        <v>2</v>
      </c>
      <c r="C133" s="10">
        <v>5</v>
      </c>
      <c r="D133" s="10">
        <v>3</v>
      </c>
      <c r="E133" s="25" t="s">
        <v>104</v>
      </c>
      <c r="F133" s="41" t="s">
        <v>262</v>
      </c>
      <c r="G133" s="7">
        <f>'CUENTA T FONDO 100'!BJ288</f>
        <v>0</v>
      </c>
      <c r="H133" s="7">
        <f>'CUENTA T VS'!BJ81</f>
        <v>0</v>
      </c>
      <c r="I133" s="8"/>
      <c r="J133" s="7">
        <f t="shared" si="4"/>
        <v>0</v>
      </c>
      <c r="K133" s="6">
        <f>J133/$J$25</f>
        <v>0</v>
      </c>
    </row>
    <row r="134" spans="1:11" ht="13.8" x14ac:dyDescent="0.3">
      <c r="A134" s="18">
        <v>2</v>
      </c>
      <c r="B134" s="10">
        <v>2</v>
      </c>
      <c r="C134" s="10">
        <v>5</v>
      </c>
      <c r="D134" s="10">
        <v>3</v>
      </c>
      <c r="E134" s="25" t="s">
        <v>172</v>
      </c>
      <c r="F134" s="41" t="s">
        <v>261</v>
      </c>
      <c r="G134" s="7">
        <f>'CUENTA T FONDO 100'!BK288</f>
        <v>0</v>
      </c>
      <c r="H134" s="7">
        <f>'CUENTA T VS'!BK81</f>
        <v>0</v>
      </c>
      <c r="I134" s="8"/>
      <c r="J134" s="7">
        <f t="shared" si="4"/>
        <v>0</v>
      </c>
      <c r="K134" s="6">
        <f>J134/$J$25</f>
        <v>0</v>
      </c>
    </row>
    <row r="135" spans="1:11" ht="13.8" x14ac:dyDescent="0.3">
      <c r="A135" s="18">
        <v>2</v>
      </c>
      <c r="B135" s="10">
        <v>2</v>
      </c>
      <c r="C135" s="10">
        <v>5</v>
      </c>
      <c r="D135" s="10">
        <v>3</v>
      </c>
      <c r="E135" s="25" t="s">
        <v>170</v>
      </c>
      <c r="F135" s="41" t="s">
        <v>260</v>
      </c>
      <c r="G135" s="7">
        <f>'CUENTA T FONDO 100'!BL288</f>
        <v>0</v>
      </c>
      <c r="H135" s="7">
        <f>'CUENTA T VS'!BL81</f>
        <v>0</v>
      </c>
      <c r="I135" s="8"/>
      <c r="J135" s="7">
        <f t="shared" si="4"/>
        <v>0</v>
      </c>
      <c r="K135" s="6">
        <f>J135/$J$25</f>
        <v>0</v>
      </c>
    </row>
    <row r="136" spans="1:11" ht="13.8" x14ac:dyDescent="0.3">
      <c r="A136" s="19">
        <v>2</v>
      </c>
      <c r="B136" s="16">
        <v>2</v>
      </c>
      <c r="C136" s="16">
        <v>5</v>
      </c>
      <c r="D136" s="16">
        <v>4</v>
      </c>
      <c r="E136" s="15"/>
      <c r="F136" s="39" t="s">
        <v>259</v>
      </c>
      <c r="G136" s="13">
        <f>SUM(G137)</f>
        <v>0</v>
      </c>
      <c r="H136" s="13">
        <f>SUM(H137)</f>
        <v>0</v>
      </c>
      <c r="I136" s="13">
        <f>SUM(I137)</f>
        <v>0</v>
      </c>
      <c r="J136" s="13">
        <f t="shared" si="4"/>
        <v>0</v>
      </c>
      <c r="K136" s="12"/>
    </row>
    <row r="137" spans="1:11" ht="13.8" x14ac:dyDescent="0.3">
      <c r="A137" s="18">
        <v>2</v>
      </c>
      <c r="B137" s="10">
        <v>2</v>
      </c>
      <c r="C137" s="10">
        <v>5</v>
      </c>
      <c r="D137" s="10">
        <v>4</v>
      </c>
      <c r="E137" s="25" t="s">
        <v>44</v>
      </c>
      <c r="F137" s="41" t="s">
        <v>259</v>
      </c>
      <c r="G137" s="7">
        <f>'CUENTA T FONDO 100'!BM288</f>
        <v>0</v>
      </c>
      <c r="H137" s="7">
        <f>'CUENTA T VS'!BM81</f>
        <v>0</v>
      </c>
      <c r="I137" s="8"/>
      <c r="J137" s="7">
        <f t="shared" si="4"/>
        <v>0</v>
      </c>
      <c r="K137" s="6">
        <f>J137/$J$25</f>
        <v>0</v>
      </c>
    </row>
    <row r="138" spans="1:11" ht="13.8" x14ac:dyDescent="0.3">
      <c r="A138" s="19">
        <v>2</v>
      </c>
      <c r="B138" s="16">
        <v>2</v>
      </c>
      <c r="C138" s="16">
        <v>5</v>
      </c>
      <c r="D138" s="16">
        <v>5</v>
      </c>
      <c r="E138" s="15"/>
      <c r="F138" s="39" t="s">
        <v>258</v>
      </c>
      <c r="G138" s="13">
        <f>SUM(G139)</f>
        <v>0</v>
      </c>
      <c r="H138" s="13">
        <f>SUM(H139)</f>
        <v>0</v>
      </c>
      <c r="I138" s="13">
        <f>SUM(I139)</f>
        <v>0</v>
      </c>
      <c r="J138" s="13">
        <f t="shared" si="4"/>
        <v>0</v>
      </c>
      <c r="K138" s="12"/>
    </row>
    <row r="139" spans="1:11" ht="13.8" x14ac:dyDescent="0.3">
      <c r="A139" s="18">
        <v>2</v>
      </c>
      <c r="B139" s="10">
        <v>2</v>
      </c>
      <c r="C139" s="10">
        <v>5</v>
      </c>
      <c r="D139" s="10">
        <v>5</v>
      </c>
      <c r="E139" s="25" t="s">
        <v>44</v>
      </c>
      <c r="F139" s="41" t="s">
        <v>258</v>
      </c>
      <c r="G139" s="7">
        <f>'CUENTA T FONDO 100'!BN288</f>
        <v>0</v>
      </c>
      <c r="H139" s="7">
        <f>'CUENTA T VS'!BN81</f>
        <v>0</v>
      </c>
      <c r="I139" s="8"/>
      <c r="J139" s="7">
        <f t="shared" si="4"/>
        <v>0</v>
      </c>
      <c r="K139" s="6">
        <f>J139/$J$25</f>
        <v>0</v>
      </c>
    </row>
    <row r="140" spans="1:11" ht="13.8" x14ac:dyDescent="0.3">
      <c r="A140" s="19">
        <v>2</v>
      </c>
      <c r="B140" s="16">
        <v>2</v>
      </c>
      <c r="C140" s="16">
        <v>5</v>
      </c>
      <c r="D140" s="16">
        <v>6</v>
      </c>
      <c r="E140" s="15"/>
      <c r="F140" s="39" t="s">
        <v>257</v>
      </c>
      <c r="G140" s="13">
        <f>SUM(G141)</f>
        <v>0</v>
      </c>
      <c r="H140" s="13">
        <f>SUM(H141)</f>
        <v>0</v>
      </c>
      <c r="I140" s="13">
        <f>SUM(I141)</f>
        <v>0</v>
      </c>
      <c r="J140" s="13">
        <f t="shared" si="4"/>
        <v>0</v>
      </c>
      <c r="K140" s="12"/>
    </row>
    <row r="141" spans="1:11" ht="13.8" x14ac:dyDescent="0.3">
      <c r="A141" s="18">
        <v>2</v>
      </c>
      <c r="B141" s="10">
        <v>2</v>
      </c>
      <c r="C141" s="10">
        <v>5</v>
      </c>
      <c r="D141" s="10">
        <v>6</v>
      </c>
      <c r="E141" s="25" t="s">
        <v>44</v>
      </c>
      <c r="F141" s="41" t="s">
        <v>257</v>
      </c>
      <c r="G141" s="7">
        <f>'CUENTA T FONDO 100'!BO288</f>
        <v>0</v>
      </c>
      <c r="H141" s="7">
        <f>'CUENTA T VS'!BO81</f>
        <v>0</v>
      </c>
      <c r="I141" s="8"/>
      <c r="J141" s="7">
        <f t="shared" si="4"/>
        <v>0</v>
      </c>
      <c r="K141" s="6">
        <f>J141/$J$25</f>
        <v>0</v>
      </c>
    </row>
    <row r="142" spans="1:11" ht="13.8" x14ac:dyDescent="0.3">
      <c r="A142" s="19">
        <v>2</v>
      </c>
      <c r="B142" s="16">
        <v>2</v>
      </c>
      <c r="C142" s="16">
        <v>5</v>
      </c>
      <c r="D142" s="16">
        <v>7</v>
      </c>
      <c r="E142" s="15"/>
      <c r="F142" s="39" t="s">
        <v>256</v>
      </c>
      <c r="G142" s="13">
        <f>SUM(G143)</f>
        <v>0</v>
      </c>
      <c r="H142" s="13">
        <f>SUM(H143)</f>
        <v>0</v>
      </c>
      <c r="I142" s="13">
        <f>SUM(I143)</f>
        <v>0</v>
      </c>
      <c r="J142" s="13">
        <f t="shared" si="4"/>
        <v>0</v>
      </c>
      <c r="K142" s="12"/>
    </row>
    <row r="143" spans="1:11" ht="13.8" x14ac:dyDescent="0.3">
      <c r="A143" s="18">
        <v>2</v>
      </c>
      <c r="B143" s="10">
        <v>2</v>
      </c>
      <c r="C143" s="10">
        <v>5</v>
      </c>
      <c r="D143" s="10">
        <v>7</v>
      </c>
      <c r="E143" s="25" t="s">
        <v>44</v>
      </c>
      <c r="F143" s="41" t="s">
        <v>256</v>
      </c>
      <c r="G143" s="7">
        <f>'CUENTA T FONDO 100'!BP288</f>
        <v>0</v>
      </c>
      <c r="H143" s="7">
        <f>'CUENTA T VS'!BP81</f>
        <v>0</v>
      </c>
      <c r="I143" s="8"/>
      <c r="J143" s="7">
        <f t="shared" si="4"/>
        <v>0</v>
      </c>
      <c r="K143" s="6">
        <f>J143/$J$25</f>
        <v>0</v>
      </c>
    </row>
    <row r="144" spans="1:11" ht="13.8" x14ac:dyDescent="0.3">
      <c r="A144" s="19">
        <v>2</v>
      </c>
      <c r="B144" s="16">
        <v>2</v>
      </c>
      <c r="C144" s="16">
        <v>5</v>
      </c>
      <c r="D144" s="16">
        <v>8</v>
      </c>
      <c r="E144" s="15"/>
      <c r="F144" s="39" t="s">
        <v>255</v>
      </c>
      <c r="G144" s="13">
        <f>SUM(G145)</f>
        <v>0</v>
      </c>
      <c r="H144" s="13">
        <f>SUM(H145)</f>
        <v>0</v>
      </c>
      <c r="I144" s="13">
        <f>SUM(I145)</f>
        <v>0</v>
      </c>
      <c r="J144" s="13">
        <f t="shared" si="4"/>
        <v>0</v>
      </c>
      <c r="K144" s="12"/>
    </row>
    <row r="145" spans="1:11" ht="13.8" x14ac:dyDescent="0.3">
      <c r="A145" s="18">
        <v>2</v>
      </c>
      <c r="B145" s="10">
        <v>2</v>
      </c>
      <c r="C145" s="10">
        <v>5</v>
      </c>
      <c r="D145" s="10">
        <v>8</v>
      </c>
      <c r="E145" s="25" t="s">
        <v>44</v>
      </c>
      <c r="F145" s="41" t="s">
        <v>255</v>
      </c>
      <c r="G145" s="7">
        <f>'CUENTA T FONDO 100'!BQ288</f>
        <v>0</v>
      </c>
      <c r="H145" s="7">
        <f>'CUENTA T VS'!BQ81</f>
        <v>0</v>
      </c>
      <c r="I145" s="8"/>
      <c r="J145" s="7">
        <f>SUM(G145:I145)</f>
        <v>0</v>
      </c>
      <c r="K145" s="6">
        <f>J145/$J$25</f>
        <v>0</v>
      </c>
    </row>
    <row r="146" spans="1:11" ht="13.8" x14ac:dyDescent="0.3">
      <c r="A146" s="19">
        <v>2</v>
      </c>
      <c r="B146" s="16">
        <v>2</v>
      </c>
      <c r="C146" s="16">
        <v>5</v>
      </c>
      <c r="D146" s="16">
        <v>9</v>
      </c>
      <c r="E146" s="15"/>
      <c r="F146" s="39" t="s">
        <v>398</v>
      </c>
      <c r="G146" s="13">
        <f>SUM(G147)</f>
        <v>0</v>
      </c>
      <c r="H146" s="13">
        <f>SUM(H147)</f>
        <v>0</v>
      </c>
      <c r="I146" s="13">
        <f>SUM(I147)</f>
        <v>0</v>
      </c>
      <c r="J146" s="13">
        <f>SUM(G146:I146)</f>
        <v>0</v>
      </c>
      <c r="K146" s="12"/>
    </row>
    <row r="147" spans="1:11" ht="13.8" x14ac:dyDescent="0.3">
      <c r="A147" s="18">
        <v>2</v>
      </c>
      <c r="B147" s="10">
        <v>2</v>
      </c>
      <c r="C147" s="10">
        <v>5</v>
      </c>
      <c r="D147" s="10">
        <v>9</v>
      </c>
      <c r="E147" s="25" t="s">
        <v>44</v>
      </c>
      <c r="F147" s="41" t="s">
        <v>399</v>
      </c>
      <c r="G147" s="7">
        <f>'CUENTA T FONDO 100'!BR288</f>
        <v>0</v>
      </c>
      <c r="H147" s="7">
        <f>'CUENTA T VS'!BR81</f>
        <v>0</v>
      </c>
      <c r="I147" s="8"/>
      <c r="J147" s="7">
        <f>SUM(G147:I147)</f>
        <v>0</v>
      </c>
      <c r="K147" s="6">
        <f>J147/$J$25</f>
        <v>0</v>
      </c>
    </row>
    <row r="148" spans="1:11" ht="13.8" x14ac:dyDescent="0.3">
      <c r="A148" s="31">
        <v>2</v>
      </c>
      <c r="B148" s="23">
        <v>2</v>
      </c>
      <c r="C148" s="23">
        <v>6</v>
      </c>
      <c r="D148" s="23"/>
      <c r="E148" s="23"/>
      <c r="F148" s="42" t="s">
        <v>254</v>
      </c>
      <c r="G148" s="21">
        <f>+G149+G151+G153+G155</f>
        <v>0</v>
      </c>
      <c r="H148" s="21">
        <f>+H149+H151+H153+H155</f>
        <v>0</v>
      </c>
      <c r="I148" s="21">
        <f>+I149+I151+I153+I155</f>
        <v>0</v>
      </c>
      <c r="J148" s="21">
        <f t="shared" si="4"/>
        <v>0</v>
      </c>
      <c r="K148" s="20"/>
    </row>
    <row r="149" spans="1:11" ht="13.8" x14ac:dyDescent="0.3">
      <c r="A149" s="19">
        <v>2</v>
      </c>
      <c r="B149" s="16">
        <v>2</v>
      </c>
      <c r="C149" s="16">
        <v>6</v>
      </c>
      <c r="D149" s="16">
        <v>1</v>
      </c>
      <c r="E149" s="15"/>
      <c r="F149" s="39" t="s">
        <v>253</v>
      </c>
      <c r="G149" s="13">
        <f>SUM(G150)</f>
        <v>0</v>
      </c>
      <c r="H149" s="13">
        <f>SUM(H150)</f>
        <v>0</v>
      </c>
      <c r="I149" s="13">
        <f>SUM(I150)</f>
        <v>0</v>
      </c>
      <c r="J149" s="13">
        <f t="shared" si="4"/>
        <v>0</v>
      </c>
      <c r="K149" s="12"/>
    </row>
    <row r="150" spans="1:11" ht="13.8" x14ac:dyDescent="0.3">
      <c r="A150" s="18">
        <v>2</v>
      </c>
      <c r="B150" s="10">
        <v>2</v>
      </c>
      <c r="C150" s="10">
        <v>6</v>
      </c>
      <c r="D150" s="10">
        <v>1</v>
      </c>
      <c r="E150" s="25" t="s">
        <v>44</v>
      </c>
      <c r="F150" s="41" t="s">
        <v>253</v>
      </c>
      <c r="G150" s="7">
        <f>'CUENTA T FONDO 100'!BS288</f>
        <v>0</v>
      </c>
      <c r="H150" s="7">
        <f>'CUENTA T VS'!BS81</f>
        <v>0</v>
      </c>
      <c r="I150" s="8"/>
      <c r="J150" s="7">
        <f t="shared" si="4"/>
        <v>0</v>
      </c>
      <c r="K150" s="6">
        <f>J150/$J$25</f>
        <v>0</v>
      </c>
    </row>
    <row r="151" spans="1:11" ht="13.8" x14ac:dyDescent="0.3">
      <c r="A151" s="19">
        <v>2</v>
      </c>
      <c r="B151" s="16">
        <v>2</v>
      </c>
      <c r="C151" s="16">
        <v>6</v>
      </c>
      <c r="D151" s="16">
        <v>2</v>
      </c>
      <c r="E151" s="16"/>
      <c r="F151" s="39" t="s">
        <v>62</v>
      </c>
      <c r="G151" s="13">
        <f>SUM(G152)</f>
        <v>0</v>
      </c>
      <c r="H151" s="13">
        <f>SUM(H152)</f>
        <v>0</v>
      </c>
      <c r="I151" s="13">
        <f>SUM(I152)</f>
        <v>0</v>
      </c>
      <c r="J151" s="13">
        <f t="shared" si="4"/>
        <v>0</v>
      </c>
      <c r="K151" s="12"/>
    </row>
    <row r="152" spans="1:11" ht="13.8" x14ac:dyDescent="0.3">
      <c r="A152" s="18">
        <v>2</v>
      </c>
      <c r="B152" s="10">
        <v>2</v>
      </c>
      <c r="C152" s="10">
        <v>6</v>
      </c>
      <c r="D152" s="10">
        <v>2</v>
      </c>
      <c r="E152" s="25" t="s">
        <v>44</v>
      </c>
      <c r="F152" s="41" t="s">
        <v>62</v>
      </c>
      <c r="G152" s="7">
        <f>'CUENTA T FONDO 100'!BT288</f>
        <v>0</v>
      </c>
      <c r="H152" s="7">
        <f>'CUENTA T VS'!BT81</f>
        <v>0</v>
      </c>
      <c r="I152" s="8"/>
      <c r="J152" s="7">
        <f t="shared" si="4"/>
        <v>0</v>
      </c>
      <c r="K152" s="6">
        <f>J152/$J$25</f>
        <v>0</v>
      </c>
    </row>
    <row r="153" spans="1:11" ht="13.8" x14ac:dyDescent="0.3">
      <c r="A153" s="19">
        <v>2</v>
      </c>
      <c r="B153" s="16">
        <v>2</v>
      </c>
      <c r="C153" s="16">
        <v>6</v>
      </c>
      <c r="D153" s="16">
        <v>3</v>
      </c>
      <c r="E153" s="16"/>
      <c r="F153" s="39" t="s">
        <v>252</v>
      </c>
      <c r="G153" s="13">
        <f>SUM(G154)</f>
        <v>0</v>
      </c>
      <c r="H153" s="13">
        <f>SUM(H154)</f>
        <v>0</v>
      </c>
      <c r="I153" s="13">
        <f>SUM(I154)</f>
        <v>0</v>
      </c>
      <c r="J153" s="13">
        <f t="shared" si="4"/>
        <v>0</v>
      </c>
      <c r="K153" s="12"/>
    </row>
    <row r="154" spans="1:11" ht="13.8" x14ac:dyDescent="0.3">
      <c r="A154" s="18">
        <v>2</v>
      </c>
      <c r="B154" s="10">
        <v>2</v>
      </c>
      <c r="C154" s="10">
        <v>6</v>
      </c>
      <c r="D154" s="10">
        <v>3</v>
      </c>
      <c r="E154" s="25" t="s">
        <v>44</v>
      </c>
      <c r="F154" s="41" t="s">
        <v>252</v>
      </c>
      <c r="G154" s="7">
        <f>'CUENTA T FONDO 100'!BU288</f>
        <v>0</v>
      </c>
      <c r="H154" s="7">
        <f>'CUENTA T VS'!BU81</f>
        <v>0</v>
      </c>
      <c r="I154" s="8"/>
      <c r="J154" s="7">
        <f t="shared" ref="J154:J218" si="5">SUM(G154:I154)</f>
        <v>0</v>
      </c>
      <c r="K154" s="6">
        <f>J154/$J$25</f>
        <v>0</v>
      </c>
    </row>
    <row r="155" spans="1:11" ht="13.8" x14ac:dyDescent="0.3">
      <c r="A155" s="19">
        <v>2</v>
      </c>
      <c r="B155" s="16">
        <v>2</v>
      </c>
      <c r="C155" s="16">
        <v>6</v>
      </c>
      <c r="D155" s="16">
        <v>4</v>
      </c>
      <c r="E155" s="16"/>
      <c r="F155" s="39" t="s">
        <v>251</v>
      </c>
      <c r="G155" s="13">
        <f>SUM(G156)</f>
        <v>0</v>
      </c>
      <c r="H155" s="13">
        <f>SUM(H156)</f>
        <v>0</v>
      </c>
      <c r="I155" s="13">
        <f>SUM(I156)</f>
        <v>0</v>
      </c>
      <c r="J155" s="13">
        <f t="shared" si="5"/>
        <v>0</v>
      </c>
      <c r="K155" s="12"/>
    </row>
    <row r="156" spans="1:11" ht="13.8" x14ac:dyDescent="0.3">
      <c r="A156" s="18">
        <v>2</v>
      </c>
      <c r="B156" s="10">
        <v>2</v>
      </c>
      <c r="C156" s="10">
        <v>6</v>
      </c>
      <c r="D156" s="10">
        <v>4</v>
      </c>
      <c r="E156" s="25" t="s">
        <v>44</v>
      </c>
      <c r="F156" s="41" t="s">
        <v>251</v>
      </c>
      <c r="G156" s="7">
        <f>'CUENTA T FONDO 100'!BV288</f>
        <v>0</v>
      </c>
      <c r="H156" s="7">
        <f>'CUENTA T VS'!BV81</f>
        <v>0</v>
      </c>
      <c r="I156" s="8"/>
      <c r="J156" s="7">
        <f t="shared" si="5"/>
        <v>0</v>
      </c>
      <c r="K156" s="6">
        <f>J156/$J$25</f>
        <v>0</v>
      </c>
    </row>
    <row r="157" spans="1:11" ht="27.6" x14ac:dyDescent="0.3">
      <c r="A157" s="31">
        <v>2</v>
      </c>
      <c r="B157" s="23">
        <v>2</v>
      </c>
      <c r="C157" s="23">
        <v>7</v>
      </c>
      <c r="D157" s="23"/>
      <c r="E157" s="30"/>
      <c r="F157" s="40" t="s">
        <v>250</v>
      </c>
      <c r="G157" s="21">
        <f>+G158+G167+G177</f>
        <v>0</v>
      </c>
      <c r="H157" s="21">
        <f>+H158+H167+H177</f>
        <v>2064518.35</v>
      </c>
      <c r="I157" s="21">
        <f>+I158+I167+I177</f>
        <v>0</v>
      </c>
      <c r="J157" s="21">
        <f t="shared" si="5"/>
        <v>2064518.35</v>
      </c>
      <c r="K157" s="20"/>
    </row>
    <row r="158" spans="1:11" ht="13.8" x14ac:dyDescent="0.3">
      <c r="A158" s="19">
        <v>2</v>
      </c>
      <c r="B158" s="16">
        <v>2</v>
      </c>
      <c r="C158" s="16">
        <v>7</v>
      </c>
      <c r="D158" s="16">
        <v>1</v>
      </c>
      <c r="E158" s="16"/>
      <c r="F158" s="39" t="s">
        <v>249</v>
      </c>
      <c r="G158" s="13">
        <f>SUM(G159:G166)</f>
        <v>0</v>
      </c>
      <c r="H158" s="13">
        <f>SUM(H159:H166)</f>
        <v>152918.35</v>
      </c>
      <c r="I158" s="13">
        <f>SUM(I159:I166)</f>
        <v>0</v>
      </c>
      <c r="J158" s="13">
        <f t="shared" si="5"/>
        <v>152918.35</v>
      </c>
      <c r="K158" s="12"/>
    </row>
    <row r="159" spans="1:11" ht="13.8" x14ac:dyDescent="0.3">
      <c r="A159" s="11">
        <v>2</v>
      </c>
      <c r="B159" s="10">
        <v>2</v>
      </c>
      <c r="C159" s="10">
        <v>7</v>
      </c>
      <c r="D159" s="10">
        <v>1</v>
      </c>
      <c r="E159" s="25" t="s">
        <v>44</v>
      </c>
      <c r="F159" s="38" t="s">
        <v>248</v>
      </c>
      <c r="G159" s="7">
        <f>'CUENTA T FONDO 100'!BW288</f>
        <v>0</v>
      </c>
      <c r="H159" s="7">
        <f>'CUENTA T VS'!BW81</f>
        <v>21673.46</v>
      </c>
      <c r="I159" s="8"/>
      <c r="J159" s="7">
        <f t="shared" si="5"/>
        <v>21673.46</v>
      </c>
      <c r="K159" s="6">
        <f t="shared" ref="K159:K166" si="6">J159/$J$25</f>
        <v>2.819010529702517E-4</v>
      </c>
    </row>
    <row r="160" spans="1:11" ht="13.8" x14ac:dyDescent="0.3">
      <c r="A160" s="11">
        <v>2</v>
      </c>
      <c r="B160" s="10">
        <v>2</v>
      </c>
      <c r="C160" s="10">
        <v>7</v>
      </c>
      <c r="D160" s="10">
        <v>1</v>
      </c>
      <c r="E160" s="25" t="s">
        <v>43</v>
      </c>
      <c r="F160" s="38" t="s">
        <v>247</v>
      </c>
      <c r="G160" s="7">
        <f>'CUENTA T FONDO 100'!BX288</f>
        <v>0</v>
      </c>
      <c r="H160" s="7">
        <f>'CUENTA T VS'!BX81</f>
        <v>131244.89000000001</v>
      </c>
      <c r="I160" s="8"/>
      <c r="J160" s="7">
        <f t="shared" si="5"/>
        <v>131244.89000000001</v>
      </c>
      <c r="K160" s="6">
        <f t="shared" si="6"/>
        <v>1.7070681233160218E-3</v>
      </c>
    </row>
    <row r="161" spans="1:11" ht="13.8" x14ac:dyDescent="0.3">
      <c r="A161" s="11">
        <v>2</v>
      </c>
      <c r="B161" s="10">
        <v>2</v>
      </c>
      <c r="C161" s="10">
        <v>7</v>
      </c>
      <c r="D161" s="10">
        <v>1</v>
      </c>
      <c r="E161" s="25" t="s">
        <v>104</v>
      </c>
      <c r="F161" s="38" t="s">
        <v>246</v>
      </c>
      <c r="G161" s="7">
        <f>'CUENTA T FONDO 100'!BY288</f>
        <v>0</v>
      </c>
      <c r="H161" s="7">
        <f>'CUENTA T VS'!BY81</f>
        <v>0</v>
      </c>
      <c r="I161" s="8"/>
      <c r="J161" s="7">
        <f t="shared" si="5"/>
        <v>0</v>
      </c>
      <c r="K161" s="6">
        <f t="shared" si="6"/>
        <v>0</v>
      </c>
    </row>
    <row r="162" spans="1:11" ht="27.6" x14ac:dyDescent="0.3">
      <c r="A162" s="11">
        <v>2</v>
      </c>
      <c r="B162" s="10">
        <v>2</v>
      </c>
      <c r="C162" s="10">
        <v>7</v>
      </c>
      <c r="D162" s="10">
        <v>1</v>
      </c>
      <c r="E162" s="25" t="s">
        <v>172</v>
      </c>
      <c r="F162" s="38" t="s">
        <v>245</v>
      </c>
      <c r="G162" s="7">
        <f>'CUENTA T FONDO 100'!BZ288</f>
        <v>0</v>
      </c>
      <c r="H162" s="7">
        <f>'CUENTA T VS'!BZ81</f>
        <v>0</v>
      </c>
      <c r="I162" s="8"/>
      <c r="J162" s="7">
        <f t="shared" si="5"/>
        <v>0</v>
      </c>
      <c r="K162" s="6">
        <f t="shared" si="6"/>
        <v>0</v>
      </c>
    </row>
    <row r="163" spans="1:11" ht="13.8" x14ac:dyDescent="0.3">
      <c r="A163" s="11">
        <v>2</v>
      </c>
      <c r="B163" s="10">
        <v>2</v>
      </c>
      <c r="C163" s="10">
        <v>7</v>
      </c>
      <c r="D163" s="10">
        <v>1</v>
      </c>
      <c r="E163" s="25" t="s">
        <v>170</v>
      </c>
      <c r="F163" s="38" t="s">
        <v>244</v>
      </c>
      <c r="G163" s="7">
        <f>'CUENTA T FONDO 100'!CA288</f>
        <v>0</v>
      </c>
      <c r="H163" s="7">
        <f>'CUENTA T VS'!CA81</f>
        <v>0</v>
      </c>
      <c r="I163" s="8"/>
      <c r="J163" s="7">
        <f t="shared" si="5"/>
        <v>0</v>
      </c>
      <c r="K163" s="6">
        <f t="shared" si="6"/>
        <v>0</v>
      </c>
    </row>
    <row r="164" spans="1:11" ht="13.8" x14ac:dyDescent="0.3">
      <c r="A164" s="11">
        <v>2</v>
      </c>
      <c r="B164" s="10">
        <v>2</v>
      </c>
      <c r="C164" s="10">
        <v>7</v>
      </c>
      <c r="D164" s="10">
        <v>1</v>
      </c>
      <c r="E164" s="25" t="s">
        <v>61</v>
      </c>
      <c r="F164" s="38" t="s">
        <v>243</v>
      </c>
      <c r="G164" s="7">
        <f>'CUENTA T FONDO 100'!CB288</f>
        <v>0</v>
      </c>
      <c r="H164" s="7">
        <f>'CUENTA T VS'!CB81</f>
        <v>0</v>
      </c>
      <c r="I164" s="8"/>
      <c r="J164" s="7">
        <f t="shared" si="5"/>
        <v>0</v>
      </c>
      <c r="K164" s="6">
        <f t="shared" si="6"/>
        <v>0</v>
      </c>
    </row>
    <row r="165" spans="1:11" ht="13.8" x14ac:dyDescent="0.3">
      <c r="A165" s="11">
        <v>2</v>
      </c>
      <c r="B165" s="10">
        <v>2</v>
      </c>
      <c r="C165" s="10">
        <v>7</v>
      </c>
      <c r="D165" s="10">
        <v>1</v>
      </c>
      <c r="E165" s="25" t="s">
        <v>60</v>
      </c>
      <c r="F165" s="38" t="s">
        <v>400</v>
      </c>
      <c r="G165" s="7">
        <f>'CUENTA T FONDO 100'!CC288</f>
        <v>0</v>
      </c>
      <c r="H165" s="7">
        <f>'CUENTA T VS'!CC81</f>
        <v>0</v>
      </c>
      <c r="I165" s="8"/>
      <c r="J165" s="7">
        <f t="shared" si="5"/>
        <v>0</v>
      </c>
      <c r="K165" s="6">
        <f t="shared" si="6"/>
        <v>0</v>
      </c>
    </row>
    <row r="166" spans="1:11" ht="27.6" x14ac:dyDescent="0.3">
      <c r="A166" s="11">
        <v>2</v>
      </c>
      <c r="B166" s="10">
        <v>2</v>
      </c>
      <c r="C166" s="10">
        <v>7</v>
      </c>
      <c r="D166" s="10">
        <v>1</v>
      </c>
      <c r="E166" s="25" t="s">
        <v>7</v>
      </c>
      <c r="F166" s="38" t="s">
        <v>242</v>
      </c>
      <c r="G166" s="7">
        <f>'CUENTA T FONDO 100'!CD288</f>
        <v>0</v>
      </c>
      <c r="H166" s="7">
        <f>'CUENTA T VS'!CD81</f>
        <v>0</v>
      </c>
      <c r="I166" s="8"/>
      <c r="J166" s="7">
        <f t="shared" si="5"/>
        <v>0</v>
      </c>
      <c r="K166" s="6">
        <f t="shared" si="6"/>
        <v>0</v>
      </c>
    </row>
    <row r="167" spans="1:11" ht="13.8" x14ac:dyDescent="0.3">
      <c r="A167" s="19">
        <v>2</v>
      </c>
      <c r="B167" s="16">
        <v>2</v>
      </c>
      <c r="C167" s="16">
        <v>7</v>
      </c>
      <c r="D167" s="16">
        <v>2</v>
      </c>
      <c r="E167" s="16"/>
      <c r="F167" s="39" t="s">
        <v>241</v>
      </c>
      <c r="G167" s="13">
        <f>SUM(G168:G176)</f>
        <v>0</v>
      </c>
      <c r="H167" s="13">
        <f>SUM(H168:H176)</f>
        <v>1911600</v>
      </c>
      <c r="I167" s="13">
        <f>SUM(I168:I176)</f>
        <v>0</v>
      </c>
      <c r="J167" s="13">
        <f t="shared" si="5"/>
        <v>1911600</v>
      </c>
      <c r="K167" s="12"/>
    </row>
    <row r="168" spans="1:11" ht="13.8" x14ac:dyDescent="0.3">
      <c r="A168" s="11">
        <v>2</v>
      </c>
      <c r="B168" s="10">
        <v>2</v>
      </c>
      <c r="C168" s="10">
        <v>7</v>
      </c>
      <c r="D168" s="10">
        <v>2</v>
      </c>
      <c r="E168" s="25" t="s">
        <v>44</v>
      </c>
      <c r="F168" s="38" t="s">
        <v>240</v>
      </c>
      <c r="G168" s="7">
        <f>'CUENTA T FONDO 100'!CE288</f>
        <v>0</v>
      </c>
      <c r="H168" s="7">
        <f>'CUENTA T VS'!CE81</f>
        <v>0</v>
      </c>
      <c r="I168" s="8"/>
      <c r="J168" s="7">
        <f t="shared" si="5"/>
        <v>0</v>
      </c>
      <c r="K168" s="6">
        <f t="shared" ref="K168:K176" si="7">J168/$J$25</f>
        <v>0</v>
      </c>
    </row>
    <row r="169" spans="1:11" ht="13.8" x14ac:dyDescent="0.3">
      <c r="A169" s="11">
        <v>2</v>
      </c>
      <c r="B169" s="10">
        <v>2</v>
      </c>
      <c r="C169" s="10">
        <v>7</v>
      </c>
      <c r="D169" s="10">
        <v>2</v>
      </c>
      <c r="E169" s="25" t="s">
        <v>43</v>
      </c>
      <c r="F169" s="38" t="s">
        <v>401</v>
      </c>
      <c r="G169" s="7">
        <f>'CUENTA T FONDO 100'!CF288</f>
        <v>0</v>
      </c>
      <c r="H169" s="7">
        <f>'CUENTA T VS'!CF81</f>
        <v>0</v>
      </c>
      <c r="I169" s="8"/>
      <c r="J169" s="7">
        <f t="shared" si="5"/>
        <v>0</v>
      </c>
      <c r="K169" s="6">
        <f t="shared" si="7"/>
        <v>0</v>
      </c>
    </row>
    <row r="170" spans="1:11" ht="13.8" x14ac:dyDescent="0.3">
      <c r="A170" s="11">
        <v>2</v>
      </c>
      <c r="B170" s="10">
        <v>2</v>
      </c>
      <c r="C170" s="10">
        <v>7</v>
      </c>
      <c r="D170" s="10">
        <v>2</v>
      </c>
      <c r="E170" s="25" t="s">
        <v>104</v>
      </c>
      <c r="F170" s="38" t="s">
        <v>239</v>
      </c>
      <c r="G170" s="7">
        <f>'CUENTA T FONDO 100'!CG288</f>
        <v>0</v>
      </c>
      <c r="H170" s="7">
        <f>'CUENTA T VS'!CG81</f>
        <v>0</v>
      </c>
      <c r="I170" s="8"/>
      <c r="J170" s="7">
        <f t="shared" si="5"/>
        <v>0</v>
      </c>
      <c r="K170" s="6">
        <f t="shared" si="7"/>
        <v>0</v>
      </c>
    </row>
    <row r="171" spans="1:11" ht="27.6" x14ac:dyDescent="0.3">
      <c r="A171" s="11">
        <v>2</v>
      </c>
      <c r="B171" s="10">
        <v>2</v>
      </c>
      <c r="C171" s="10">
        <v>7</v>
      </c>
      <c r="D171" s="10">
        <v>2</v>
      </c>
      <c r="E171" s="25" t="s">
        <v>172</v>
      </c>
      <c r="F171" s="38" t="s">
        <v>238</v>
      </c>
      <c r="G171" s="7">
        <f>'CUENTA T FONDO 100'!CH288</f>
        <v>0</v>
      </c>
      <c r="H171" s="7">
        <f>'CUENTA T VS'!CH81</f>
        <v>1888000</v>
      </c>
      <c r="I171" s="8"/>
      <c r="J171" s="7">
        <f t="shared" si="5"/>
        <v>1888000</v>
      </c>
      <c r="K171" s="6">
        <f t="shared" si="7"/>
        <v>2.4556724584253519E-2</v>
      </c>
    </row>
    <row r="172" spans="1:11" ht="13.8" x14ac:dyDescent="0.3">
      <c r="A172" s="11">
        <v>2</v>
      </c>
      <c r="B172" s="10">
        <v>2</v>
      </c>
      <c r="C172" s="10">
        <v>7</v>
      </c>
      <c r="D172" s="10">
        <v>2</v>
      </c>
      <c r="E172" s="25" t="s">
        <v>170</v>
      </c>
      <c r="F172" s="38" t="s">
        <v>237</v>
      </c>
      <c r="G172" s="7">
        <f>'CUENTA T FONDO 100'!CI288</f>
        <v>0</v>
      </c>
      <c r="H172" s="7">
        <f>'CUENTA T VS'!CI81</f>
        <v>0</v>
      </c>
      <c r="I172" s="8"/>
      <c r="J172" s="7">
        <f t="shared" si="5"/>
        <v>0</v>
      </c>
      <c r="K172" s="6">
        <f t="shared" si="7"/>
        <v>0</v>
      </c>
    </row>
    <row r="173" spans="1:11" ht="27.6" x14ac:dyDescent="0.25">
      <c r="A173" s="11">
        <v>2</v>
      </c>
      <c r="B173" s="10">
        <v>2</v>
      </c>
      <c r="C173" s="10">
        <v>7</v>
      </c>
      <c r="D173" s="10">
        <v>2</v>
      </c>
      <c r="E173" s="25" t="s">
        <v>61</v>
      </c>
      <c r="F173" s="34" t="s">
        <v>236</v>
      </c>
      <c r="G173" s="7">
        <f>'CUENTA T FONDO 100'!CJ288</f>
        <v>0</v>
      </c>
      <c r="H173" s="7">
        <f>'CUENTA T VS'!CJ81</f>
        <v>23600</v>
      </c>
      <c r="I173" s="7"/>
      <c r="J173" s="7">
        <f t="shared" si="5"/>
        <v>23600</v>
      </c>
      <c r="K173" s="6">
        <f t="shared" si="7"/>
        <v>3.0695905730316898E-4</v>
      </c>
    </row>
    <row r="174" spans="1:11" ht="13.8" x14ac:dyDescent="0.25">
      <c r="A174" s="11">
        <v>2</v>
      </c>
      <c r="B174" s="10">
        <v>2</v>
      </c>
      <c r="C174" s="10">
        <v>7</v>
      </c>
      <c r="D174" s="10">
        <v>2</v>
      </c>
      <c r="E174" s="25" t="s">
        <v>60</v>
      </c>
      <c r="F174" s="34" t="s">
        <v>235</v>
      </c>
      <c r="G174" s="7">
        <f>'CUENTA T FONDO 100'!CK288</f>
        <v>0</v>
      </c>
      <c r="H174" s="7">
        <f>'CUENTA T VS'!CK81</f>
        <v>0</v>
      </c>
      <c r="I174" s="7"/>
      <c r="J174" s="7">
        <f t="shared" si="5"/>
        <v>0</v>
      </c>
      <c r="K174" s="6">
        <f t="shared" si="7"/>
        <v>0</v>
      </c>
    </row>
    <row r="175" spans="1:11" ht="13.8" x14ac:dyDescent="0.25">
      <c r="A175" s="11">
        <v>2</v>
      </c>
      <c r="B175" s="10">
        <v>2</v>
      </c>
      <c r="C175" s="10">
        <v>7</v>
      </c>
      <c r="D175" s="10">
        <v>2</v>
      </c>
      <c r="E175" s="25" t="s">
        <v>234</v>
      </c>
      <c r="F175" s="34" t="s">
        <v>233</v>
      </c>
      <c r="G175" s="7">
        <f>'CUENTA T FONDO 100'!CL288</f>
        <v>0</v>
      </c>
      <c r="H175" s="7">
        <f>'CUENTA T VS'!CL81</f>
        <v>0</v>
      </c>
      <c r="I175" s="7"/>
      <c r="J175" s="7">
        <f t="shared" si="5"/>
        <v>0</v>
      </c>
      <c r="K175" s="6">
        <f t="shared" si="7"/>
        <v>0</v>
      </c>
    </row>
    <row r="176" spans="1:11" ht="27.6" x14ac:dyDescent="0.25">
      <c r="A176" s="11">
        <v>2</v>
      </c>
      <c r="B176" s="10">
        <v>2</v>
      </c>
      <c r="C176" s="10">
        <v>7</v>
      </c>
      <c r="D176" s="10">
        <v>2</v>
      </c>
      <c r="E176" s="25" t="s">
        <v>7</v>
      </c>
      <c r="F176" s="34" t="s">
        <v>232</v>
      </c>
      <c r="G176" s="7">
        <f>'CUENTA T FONDO 100'!CM288</f>
        <v>0</v>
      </c>
      <c r="H176" s="7">
        <f>'CUENTA T VS'!CM81</f>
        <v>0</v>
      </c>
      <c r="I176" s="7"/>
      <c r="J176" s="7">
        <f t="shared" si="5"/>
        <v>0</v>
      </c>
      <c r="K176" s="6">
        <f t="shared" si="7"/>
        <v>0</v>
      </c>
    </row>
    <row r="177" spans="1:11" ht="13.8" x14ac:dyDescent="0.25">
      <c r="A177" s="17">
        <v>2</v>
      </c>
      <c r="B177" s="16">
        <v>2</v>
      </c>
      <c r="C177" s="16">
        <v>7</v>
      </c>
      <c r="D177" s="16">
        <v>3</v>
      </c>
      <c r="E177" s="15"/>
      <c r="F177" s="17" t="s">
        <v>231</v>
      </c>
      <c r="G177" s="13">
        <f>SUM(G178)</f>
        <v>0</v>
      </c>
      <c r="H177" s="13">
        <f>SUM(H178)</f>
        <v>0</v>
      </c>
      <c r="I177" s="13">
        <f>SUM(I178)</f>
        <v>0</v>
      </c>
      <c r="J177" s="13">
        <f t="shared" si="5"/>
        <v>0</v>
      </c>
      <c r="K177" s="12"/>
    </row>
    <row r="178" spans="1:11" ht="13.8" x14ac:dyDescent="0.25">
      <c r="A178" s="11">
        <v>2</v>
      </c>
      <c r="B178" s="10">
        <v>2</v>
      </c>
      <c r="C178" s="10">
        <v>7</v>
      </c>
      <c r="D178" s="10">
        <v>3</v>
      </c>
      <c r="E178" s="25" t="s">
        <v>44</v>
      </c>
      <c r="F178" s="11" t="s">
        <v>231</v>
      </c>
      <c r="G178" s="7">
        <f>'CUENTA T FONDO 100'!CN288</f>
        <v>0</v>
      </c>
      <c r="H178" s="7">
        <f>'CUENTA T VS'!CN81</f>
        <v>0</v>
      </c>
      <c r="I178" s="8"/>
      <c r="J178" s="7">
        <f t="shared" si="5"/>
        <v>0</v>
      </c>
      <c r="K178" s="6">
        <f>J178/$J$25</f>
        <v>0</v>
      </c>
    </row>
    <row r="179" spans="1:11" ht="13.8" x14ac:dyDescent="0.25">
      <c r="A179" s="31">
        <v>2</v>
      </c>
      <c r="B179" s="23">
        <v>2</v>
      </c>
      <c r="C179" s="23">
        <v>8</v>
      </c>
      <c r="D179" s="23"/>
      <c r="E179" s="23"/>
      <c r="F179" s="31" t="s">
        <v>230</v>
      </c>
      <c r="G179" s="21">
        <f>+G180+G182+G184+G186+G188+G192+G197+G204</f>
        <v>0</v>
      </c>
      <c r="H179" s="21">
        <f>+H180+H182+H184+H186+H188+H192+H197+H204</f>
        <v>51345.35</v>
      </c>
      <c r="I179" s="21">
        <f>+I180+I182+I184+I186+I188+I192+I197+I204</f>
        <v>0</v>
      </c>
      <c r="J179" s="21">
        <f t="shared" si="5"/>
        <v>51345.35</v>
      </c>
      <c r="K179" s="20"/>
    </row>
    <row r="180" spans="1:11" ht="13.8" x14ac:dyDescent="0.25">
      <c r="A180" s="17">
        <v>2</v>
      </c>
      <c r="B180" s="16">
        <v>2</v>
      </c>
      <c r="C180" s="16">
        <v>8</v>
      </c>
      <c r="D180" s="16">
        <v>1</v>
      </c>
      <c r="E180" s="16"/>
      <c r="F180" s="17" t="s">
        <v>59</v>
      </c>
      <c r="G180" s="13">
        <f>SUM(G181)</f>
        <v>0</v>
      </c>
      <c r="H180" s="13">
        <f>SUM(H181)</f>
        <v>0</v>
      </c>
      <c r="I180" s="13">
        <f>SUM(I181)</f>
        <v>0</v>
      </c>
      <c r="J180" s="13">
        <f t="shared" si="5"/>
        <v>0</v>
      </c>
      <c r="K180" s="12"/>
    </row>
    <row r="181" spans="1:11" ht="13.8" x14ac:dyDescent="0.25">
      <c r="A181" s="11">
        <v>2</v>
      </c>
      <c r="B181" s="10">
        <v>2</v>
      </c>
      <c r="C181" s="10">
        <v>8</v>
      </c>
      <c r="D181" s="10">
        <v>1</v>
      </c>
      <c r="E181" s="25" t="s">
        <v>44</v>
      </c>
      <c r="F181" s="11" t="s">
        <v>59</v>
      </c>
      <c r="G181" s="7">
        <f>'CUENTA T FONDO 100'!CO288</f>
        <v>0</v>
      </c>
      <c r="H181" s="7">
        <f>'CUENTA T VS'!CO81</f>
        <v>0</v>
      </c>
      <c r="I181" s="7"/>
      <c r="J181" s="7">
        <f t="shared" si="5"/>
        <v>0</v>
      </c>
      <c r="K181" s="6">
        <f>J181/$J$25</f>
        <v>0</v>
      </c>
    </row>
    <row r="182" spans="1:11" ht="13.8" x14ac:dyDescent="0.25">
      <c r="A182" s="17">
        <v>2</v>
      </c>
      <c r="B182" s="16">
        <v>2</v>
      </c>
      <c r="C182" s="16">
        <v>8</v>
      </c>
      <c r="D182" s="16">
        <v>2</v>
      </c>
      <c r="E182" s="16"/>
      <c r="F182" s="17" t="s">
        <v>58</v>
      </c>
      <c r="G182" s="13">
        <f>SUM(G183)</f>
        <v>0</v>
      </c>
      <c r="H182" s="13">
        <f>SUM(H183)</f>
        <v>13357.35</v>
      </c>
      <c r="I182" s="13">
        <f>SUM(I183)</f>
        <v>0</v>
      </c>
      <c r="J182" s="13">
        <f t="shared" si="5"/>
        <v>13357.35</v>
      </c>
      <c r="K182" s="12"/>
    </row>
    <row r="183" spans="1:11" ht="13.8" x14ac:dyDescent="0.25">
      <c r="A183" s="11">
        <v>2</v>
      </c>
      <c r="B183" s="10">
        <v>2</v>
      </c>
      <c r="C183" s="10">
        <v>8</v>
      </c>
      <c r="D183" s="10">
        <v>2</v>
      </c>
      <c r="E183" s="25" t="s">
        <v>44</v>
      </c>
      <c r="F183" s="11" t="s">
        <v>58</v>
      </c>
      <c r="G183" s="7">
        <f>'CUENTA T FONDO 100'!CP288</f>
        <v>0</v>
      </c>
      <c r="H183" s="7">
        <f>'CUENTA T VS'!CP81</f>
        <v>13357.35</v>
      </c>
      <c r="I183" s="7"/>
      <c r="J183" s="7">
        <f t="shared" si="5"/>
        <v>13357.35</v>
      </c>
      <c r="K183" s="6">
        <f>J183/$J$25</f>
        <v>1.737355747486646E-4</v>
      </c>
    </row>
    <row r="184" spans="1:11" ht="13.8" x14ac:dyDescent="0.25">
      <c r="A184" s="17">
        <v>2</v>
      </c>
      <c r="B184" s="16">
        <v>2</v>
      </c>
      <c r="C184" s="16">
        <v>8</v>
      </c>
      <c r="D184" s="16">
        <v>3</v>
      </c>
      <c r="E184" s="16"/>
      <c r="F184" s="17" t="s">
        <v>229</v>
      </c>
      <c r="G184" s="13">
        <f>SUM(G185)</f>
        <v>0</v>
      </c>
      <c r="H184" s="13">
        <f>SUM(H185)</f>
        <v>0</v>
      </c>
      <c r="I184" s="13">
        <f>SUM(I185)</f>
        <v>0</v>
      </c>
      <c r="J184" s="13">
        <f t="shared" si="5"/>
        <v>0</v>
      </c>
      <c r="K184" s="12"/>
    </row>
    <row r="185" spans="1:11" ht="13.8" x14ac:dyDescent="0.25">
      <c r="A185" s="11">
        <v>2</v>
      </c>
      <c r="B185" s="10">
        <v>2</v>
      </c>
      <c r="C185" s="10">
        <v>8</v>
      </c>
      <c r="D185" s="10">
        <v>3</v>
      </c>
      <c r="E185" s="25" t="s">
        <v>44</v>
      </c>
      <c r="F185" s="11" t="s">
        <v>229</v>
      </c>
      <c r="G185" s="7">
        <f>'CUENTA T FONDO 100'!CQ288</f>
        <v>0</v>
      </c>
      <c r="H185" s="7">
        <f>'CUENTA T VS'!CQ81</f>
        <v>0</v>
      </c>
      <c r="I185" s="7"/>
      <c r="J185" s="7">
        <f t="shared" si="5"/>
        <v>0</v>
      </c>
      <c r="K185" s="6">
        <f>J185/$J$25</f>
        <v>0</v>
      </c>
    </row>
    <row r="186" spans="1:11" ht="13.8" x14ac:dyDescent="0.25">
      <c r="A186" s="17">
        <v>2</v>
      </c>
      <c r="B186" s="16">
        <v>2</v>
      </c>
      <c r="C186" s="16">
        <v>8</v>
      </c>
      <c r="D186" s="16">
        <v>4</v>
      </c>
      <c r="E186" s="16"/>
      <c r="F186" s="17" t="s">
        <v>57</v>
      </c>
      <c r="G186" s="13">
        <f>SUM(G187)</f>
        <v>0</v>
      </c>
      <c r="H186" s="13">
        <f>SUM(H187)</f>
        <v>0</v>
      </c>
      <c r="I186" s="13">
        <f>SUM(I187)</f>
        <v>0</v>
      </c>
      <c r="J186" s="13">
        <f t="shared" si="5"/>
        <v>0</v>
      </c>
      <c r="K186" s="12"/>
    </row>
    <row r="187" spans="1:11" ht="13.8" x14ac:dyDescent="0.25">
      <c r="A187" s="11">
        <v>2</v>
      </c>
      <c r="B187" s="10">
        <v>2</v>
      </c>
      <c r="C187" s="10">
        <v>8</v>
      </c>
      <c r="D187" s="10">
        <v>4</v>
      </c>
      <c r="E187" s="25" t="s">
        <v>44</v>
      </c>
      <c r="F187" s="11" t="s">
        <v>57</v>
      </c>
      <c r="G187" s="7">
        <f>'CUENTA T FONDO 100'!CR288</f>
        <v>0</v>
      </c>
      <c r="H187" s="7">
        <f>'CUENTA T VS'!CR81</f>
        <v>0</v>
      </c>
      <c r="I187" s="7"/>
      <c r="J187" s="7">
        <f t="shared" si="5"/>
        <v>0</v>
      </c>
      <c r="K187" s="6">
        <f>J187/$J$25</f>
        <v>0</v>
      </c>
    </row>
    <row r="188" spans="1:11" ht="13.8" x14ac:dyDescent="0.25">
      <c r="A188" s="17">
        <v>2</v>
      </c>
      <c r="B188" s="16">
        <v>2</v>
      </c>
      <c r="C188" s="16">
        <v>8</v>
      </c>
      <c r="D188" s="16">
        <v>5</v>
      </c>
      <c r="E188" s="16"/>
      <c r="F188" s="17" t="s">
        <v>56</v>
      </c>
      <c r="G188" s="13">
        <f>SUM(G189:G191)</f>
        <v>0</v>
      </c>
      <c r="H188" s="13">
        <f>SUM(H189:H191)</f>
        <v>10148</v>
      </c>
      <c r="I188" s="13">
        <f>SUM(I189:I191)</f>
        <v>0</v>
      </c>
      <c r="J188" s="13">
        <f t="shared" si="5"/>
        <v>10148</v>
      </c>
      <c r="K188" s="12"/>
    </row>
    <row r="189" spans="1:11" ht="13.8" x14ac:dyDescent="0.25">
      <c r="A189" s="11">
        <v>2</v>
      </c>
      <c r="B189" s="10">
        <v>2</v>
      </c>
      <c r="C189" s="10">
        <v>8</v>
      </c>
      <c r="D189" s="10">
        <v>5</v>
      </c>
      <c r="E189" s="25" t="s">
        <v>44</v>
      </c>
      <c r="F189" s="11" t="s">
        <v>55</v>
      </c>
      <c r="G189" s="7">
        <f>'CUENTA T FONDO 100'!CS288</f>
        <v>0</v>
      </c>
      <c r="H189" s="7">
        <f>'CUENTA T VS'!CS81</f>
        <v>0</v>
      </c>
      <c r="I189" s="7"/>
      <c r="J189" s="7">
        <f t="shared" si="5"/>
        <v>0</v>
      </c>
      <c r="K189" s="6">
        <f>J189/$J$25</f>
        <v>0</v>
      </c>
    </row>
    <row r="190" spans="1:11" ht="13.8" x14ac:dyDescent="0.25">
      <c r="A190" s="11">
        <v>2</v>
      </c>
      <c r="B190" s="10">
        <v>2</v>
      </c>
      <c r="C190" s="10">
        <v>8</v>
      </c>
      <c r="D190" s="10">
        <v>5</v>
      </c>
      <c r="E190" s="25" t="s">
        <v>43</v>
      </c>
      <c r="F190" s="11" t="s">
        <v>54</v>
      </c>
      <c r="G190" s="7">
        <f>'CUENTA T FONDO 100'!CT288</f>
        <v>0</v>
      </c>
      <c r="H190" s="7">
        <f>'CUENTA T VS'!CT81</f>
        <v>0</v>
      </c>
      <c r="I190" s="7"/>
      <c r="J190" s="7">
        <f t="shared" si="5"/>
        <v>0</v>
      </c>
      <c r="K190" s="6">
        <f>J190/$J$25</f>
        <v>0</v>
      </c>
    </row>
    <row r="191" spans="1:11" ht="13.8" x14ac:dyDescent="0.25">
      <c r="A191" s="11">
        <v>2</v>
      </c>
      <c r="B191" s="10">
        <v>2</v>
      </c>
      <c r="C191" s="10">
        <v>8</v>
      </c>
      <c r="D191" s="10">
        <v>5</v>
      </c>
      <c r="E191" s="25" t="s">
        <v>104</v>
      </c>
      <c r="F191" s="11" t="s">
        <v>53</v>
      </c>
      <c r="G191" s="7">
        <f>'CUENTA T FONDO 100'!CU288</f>
        <v>0</v>
      </c>
      <c r="H191" s="7">
        <f>'CUENTA T VS'!CU81</f>
        <v>10148</v>
      </c>
      <c r="I191" s="7"/>
      <c r="J191" s="7">
        <f t="shared" si="5"/>
        <v>10148</v>
      </c>
      <c r="K191" s="6">
        <f>J191/$J$25</f>
        <v>1.3199239464036267E-4</v>
      </c>
    </row>
    <row r="192" spans="1:11" ht="13.8" x14ac:dyDescent="0.25">
      <c r="A192" s="17">
        <v>2</v>
      </c>
      <c r="B192" s="16">
        <v>2</v>
      </c>
      <c r="C192" s="16">
        <v>8</v>
      </c>
      <c r="D192" s="16">
        <v>6</v>
      </c>
      <c r="E192" s="16"/>
      <c r="F192" s="17" t="s">
        <v>52</v>
      </c>
      <c r="G192" s="13">
        <f>SUM(G193:G196)</f>
        <v>0</v>
      </c>
      <c r="H192" s="13">
        <f>SUM(H193:H196)</f>
        <v>0</v>
      </c>
      <c r="I192" s="13">
        <f>SUM(I193:I196)</f>
        <v>0</v>
      </c>
      <c r="J192" s="13">
        <f t="shared" si="5"/>
        <v>0</v>
      </c>
      <c r="K192" s="12"/>
    </row>
    <row r="193" spans="1:11" ht="13.8" x14ac:dyDescent="0.25">
      <c r="A193" s="11">
        <v>2</v>
      </c>
      <c r="B193" s="10">
        <v>2</v>
      </c>
      <c r="C193" s="10">
        <v>8</v>
      </c>
      <c r="D193" s="10">
        <v>6</v>
      </c>
      <c r="E193" s="25" t="s">
        <v>44</v>
      </c>
      <c r="F193" s="11" t="s">
        <v>228</v>
      </c>
      <c r="G193" s="7">
        <f>'CUENTA T FONDO 100'!CV288</f>
        <v>0</v>
      </c>
      <c r="H193" s="7">
        <f>'CUENTA T VS'!CV81</f>
        <v>0</v>
      </c>
      <c r="I193" s="7"/>
      <c r="J193" s="7">
        <f t="shared" si="5"/>
        <v>0</v>
      </c>
      <c r="K193" s="6">
        <f>J193/$J$25</f>
        <v>0</v>
      </c>
    </row>
    <row r="194" spans="1:11" ht="13.8" x14ac:dyDescent="0.25">
      <c r="A194" s="11">
        <v>2</v>
      </c>
      <c r="B194" s="10">
        <v>2</v>
      </c>
      <c r="C194" s="10">
        <v>8</v>
      </c>
      <c r="D194" s="10">
        <v>6</v>
      </c>
      <c r="E194" s="25" t="s">
        <v>43</v>
      </c>
      <c r="F194" s="11" t="s">
        <v>51</v>
      </c>
      <c r="G194" s="7">
        <f>'CUENTA T FONDO 100'!CW288</f>
        <v>0</v>
      </c>
      <c r="H194" s="7">
        <f>'CUENTA T VS'!CW81</f>
        <v>0</v>
      </c>
      <c r="I194" s="7"/>
      <c r="J194" s="7">
        <f t="shared" si="5"/>
        <v>0</v>
      </c>
      <c r="K194" s="6">
        <f>J194/$J$25</f>
        <v>0</v>
      </c>
    </row>
    <row r="195" spans="1:11" ht="13.8" x14ac:dyDescent="0.25">
      <c r="A195" s="11">
        <v>2</v>
      </c>
      <c r="B195" s="10">
        <v>2</v>
      </c>
      <c r="C195" s="10">
        <v>8</v>
      </c>
      <c r="D195" s="10">
        <v>6</v>
      </c>
      <c r="E195" s="25" t="s">
        <v>104</v>
      </c>
      <c r="F195" s="11" t="s">
        <v>227</v>
      </c>
      <c r="G195" s="7">
        <f>'CUENTA T FONDO 100'!CX288</f>
        <v>0</v>
      </c>
      <c r="H195" s="7">
        <f>'CUENTA T VS'!CX81</f>
        <v>0</v>
      </c>
      <c r="I195" s="7"/>
      <c r="J195" s="7">
        <f t="shared" si="5"/>
        <v>0</v>
      </c>
      <c r="K195" s="6">
        <f>J195/$J$25</f>
        <v>0</v>
      </c>
    </row>
    <row r="196" spans="1:11" ht="13.8" x14ac:dyDescent="0.25">
      <c r="A196" s="11">
        <v>2</v>
      </c>
      <c r="B196" s="10">
        <v>2</v>
      </c>
      <c r="C196" s="10">
        <v>8</v>
      </c>
      <c r="D196" s="10">
        <v>6</v>
      </c>
      <c r="E196" s="25" t="s">
        <v>172</v>
      </c>
      <c r="F196" s="11" t="s">
        <v>226</v>
      </c>
      <c r="G196" s="7">
        <f>'CUENTA T FONDO 100'!CY288</f>
        <v>0</v>
      </c>
      <c r="H196" s="7">
        <f>'CUENTA T VS'!CY81</f>
        <v>0</v>
      </c>
      <c r="I196" s="7"/>
      <c r="J196" s="7">
        <f t="shared" si="5"/>
        <v>0</v>
      </c>
      <c r="K196" s="6">
        <f>J196/$J$25</f>
        <v>0</v>
      </c>
    </row>
    <row r="197" spans="1:11" ht="13.8" x14ac:dyDescent="0.25">
      <c r="A197" s="17">
        <v>2</v>
      </c>
      <c r="B197" s="16">
        <v>2</v>
      </c>
      <c r="C197" s="16">
        <v>8</v>
      </c>
      <c r="D197" s="16">
        <v>7</v>
      </c>
      <c r="E197" s="16"/>
      <c r="F197" s="17" t="s">
        <v>225</v>
      </c>
      <c r="G197" s="13">
        <f>SUM(G198:G203)</f>
        <v>0</v>
      </c>
      <c r="H197" s="13">
        <f>SUM(H198:H203)</f>
        <v>27840</v>
      </c>
      <c r="I197" s="13">
        <f>SUM(I198:I203)</f>
        <v>0</v>
      </c>
      <c r="J197" s="13">
        <f t="shared" si="5"/>
        <v>27840</v>
      </c>
      <c r="K197" s="12"/>
    </row>
    <row r="198" spans="1:11" ht="13.8" x14ac:dyDescent="0.25">
      <c r="A198" s="11">
        <v>2</v>
      </c>
      <c r="B198" s="10">
        <v>2</v>
      </c>
      <c r="C198" s="10">
        <v>8</v>
      </c>
      <c r="D198" s="10">
        <v>7</v>
      </c>
      <c r="E198" s="25" t="s">
        <v>44</v>
      </c>
      <c r="F198" s="34" t="s">
        <v>224</v>
      </c>
      <c r="G198" s="7">
        <f>'CUENTA T FONDO 100'!CZ288</f>
        <v>0</v>
      </c>
      <c r="H198" s="7">
        <f>'CUENTA T VS'!CZ81</f>
        <v>0</v>
      </c>
      <c r="I198" s="7"/>
      <c r="J198" s="7">
        <f t="shared" si="5"/>
        <v>0</v>
      </c>
      <c r="K198" s="6">
        <f t="shared" ref="K198:K203" si="8">J198/$J$25</f>
        <v>0</v>
      </c>
    </row>
    <row r="199" spans="1:11" ht="13.8" x14ac:dyDescent="0.25">
      <c r="A199" s="11">
        <v>2</v>
      </c>
      <c r="B199" s="10">
        <v>2</v>
      </c>
      <c r="C199" s="10">
        <v>8</v>
      </c>
      <c r="D199" s="10">
        <v>7</v>
      </c>
      <c r="E199" s="25" t="s">
        <v>43</v>
      </c>
      <c r="F199" s="34" t="s">
        <v>223</v>
      </c>
      <c r="G199" s="7">
        <f>'CUENTA T FONDO 100'!DA288</f>
        <v>0</v>
      </c>
      <c r="H199" s="7">
        <f>'CUENTA T VS'!DA81</f>
        <v>0</v>
      </c>
      <c r="I199" s="7"/>
      <c r="J199" s="7">
        <f t="shared" si="5"/>
        <v>0</v>
      </c>
      <c r="K199" s="6">
        <f t="shared" si="8"/>
        <v>0</v>
      </c>
    </row>
    <row r="200" spans="1:11" ht="13.8" x14ac:dyDescent="0.25">
      <c r="A200" s="11">
        <v>2</v>
      </c>
      <c r="B200" s="10">
        <v>2</v>
      </c>
      <c r="C200" s="10">
        <v>8</v>
      </c>
      <c r="D200" s="10">
        <v>7</v>
      </c>
      <c r="E200" s="25" t="s">
        <v>104</v>
      </c>
      <c r="F200" s="34" t="s">
        <v>222</v>
      </c>
      <c r="G200" s="7">
        <f>'CUENTA T FONDO 100'!DB288</f>
        <v>0</v>
      </c>
      <c r="H200" s="7">
        <f>'CUENTA T VS'!DB81</f>
        <v>0</v>
      </c>
      <c r="I200" s="7"/>
      <c r="J200" s="7">
        <f t="shared" si="5"/>
        <v>0</v>
      </c>
      <c r="K200" s="6">
        <f t="shared" si="8"/>
        <v>0</v>
      </c>
    </row>
    <row r="201" spans="1:11" ht="13.8" x14ac:dyDescent="0.25">
      <c r="A201" s="11">
        <v>2</v>
      </c>
      <c r="B201" s="10">
        <v>2</v>
      </c>
      <c r="C201" s="10">
        <v>8</v>
      </c>
      <c r="D201" s="10">
        <v>7</v>
      </c>
      <c r="E201" s="25" t="s">
        <v>172</v>
      </c>
      <c r="F201" s="34" t="s">
        <v>221</v>
      </c>
      <c r="G201" s="7">
        <f>'CUENTA T FONDO 100'!DC288</f>
        <v>0</v>
      </c>
      <c r="H201" s="7">
        <f>'CUENTA T VS'!DC81</f>
        <v>0</v>
      </c>
      <c r="I201" s="7"/>
      <c r="J201" s="7">
        <f t="shared" si="5"/>
        <v>0</v>
      </c>
      <c r="K201" s="6">
        <f t="shared" si="8"/>
        <v>0</v>
      </c>
    </row>
    <row r="202" spans="1:11" ht="13.8" x14ac:dyDescent="0.25">
      <c r="A202" s="11">
        <v>2</v>
      </c>
      <c r="B202" s="10">
        <v>2</v>
      </c>
      <c r="C202" s="10">
        <v>8</v>
      </c>
      <c r="D202" s="10">
        <v>7</v>
      </c>
      <c r="E202" s="25" t="s">
        <v>170</v>
      </c>
      <c r="F202" s="34" t="s">
        <v>220</v>
      </c>
      <c r="G202" s="7">
        <f>'CUENTA T FONDO 100'!DD288</f>
        <v>0</v>
      </c>
      <c r="H202" s="7">
        <f>'CUENTA T VS'!DD81</f>
        <v>0</v>
      </c>
      <c r="I202" s="7"/>
      <c r="J202" s="7">
        <f t="shared" si="5"/>
        <v>0</v>
      </c>
      <c r="K202" s="6">
        <f t="shared" si="8"/>
        <v>0</v>
      </c>
    </row>
    <row r="203" spans="1:11" ht="13.8" x14ac:dyDescent="0.25">
      <c r="A203" s="11">
        <v>2</v>
      </c>
      <c r="B203" s="10">
        <v>2</v>
      </c>
      <c r="C203" s="10">
        <v>8</v>
      </c>
      <c r="D203" s="10">
        <v>7</v>
      </c>
      <c r="E203" s="25" t="s">
        <v>61</v>
      </c>
      <c r="F203" s="34" t="s">
        <v>219</v>
      </c>
      <c r="G203" s="7">
        <f>'CUENTA T FONDO 100'!DE288</f>
        <v>0</v>
      </c>
      <c r="H203" s="7">
        <f>'CUENTA T VS'!DE81</f>
        <v>27840</v>
      </c>
      <c r="I203" s="7"/>
      <c r="J203" s="7">
        <f t="shared" si="5"/>
        <v>27840</v>
      </c>
      <c r="K203" s="6">
        <f t="shared" si="8"/>
        <v>3.6210763370000948E-4</v>
      </c>
    </row>
    <row r="204" spans="1:11" ht="13.8" x14ac:dyDescent="0.25">
      <c r="A204" s="17">
        <v>2</v>
      </c>
      <c r="B204" s="16">
        <v>2</v>
      </c>
      <c r="C204" s="16">
        <v>8</v>
      </c>
      <c r="D204" s="16">
        <v>8</v>
      </c>
      <c r="E204" s="16"/>
      <c r="F204" s="35" t="s">
        <v>50</v>
      </c>
      <c r="G204" s="13">
        <f>SUM(G205:G207)</f>
        <v>0</v>
      </c>
      <c r="H204" s="13">
        <f>SUM(H205:H207)</f>
        <v>0</v>
      </c>
      <c r="I204" s="13">
        <f>SUM(I205:I207)</f>
        <v>0</v>
      </c>
      <c r="J204" s="13">
        <f t="shared" si="5"/>
        <v>0</v>
      </c>
      <c r="K204" s="12"/>
    </row>
    <row r="205" spans="1:11" ht="13.8" x14ac:dyDescent="0.25">
      <c r="A205" s="11">
        <v>2</v>
      </c>
      <c r="B205" s="10">
        <v>2</v>
      </c>
      <c r="C205" s="10">
        <v>8</v>
      </c>
      <c r="D205" s="10">
        <v>8</v>
      </c>
      <c r="E205" s="25" t="s">
        <v>44</v>
      </c>
      <c r="F205" s="34" t="s">
        <v>49</v>
      </c>
      <c r="G205" s="7">
        <f>'CUENTA T FONDO 100'!DF288</f>
        <v>0</v>
      </c>
      <c r="H205" s="7">
        <f>'CUENTA T VS'!DF81</f>
        <v>0</v>
      </c>
      <c r="I205" s="7"/>
      <c r="J205" s="7">
        <f t="shared" si="5"/>
        <v>0</v>
      </c>
      <c r="K205" s="6">
        <f>J205/$J$25</f>
        <v>0</v>
      </c>
    </row>
    <row r="206" spans="1:11" ht="13.8" x14ac:dyDescent="0.25">
      <c r="A206" s="11">
        <v>2</v>
      </c>
      <c r="B206" s="10">
        <v>2</v>
      </c>
      <c r="C206" s="10">
        <v>8</v>
      </c>
      <c r="D206" s="10">
        <v>8</v>
      </c>
      <c r="E206" s="25" t="s">
        <v>43</v>
      </c>
      <c r="F206" s="34" t="s">
        <v>48</v>
      </c>
      <c r="G206" s="7">
        <f>'CUENTA T FONDO 100'!DG288</f>
        <v>0</v>
      </c>
      <c r="H206" s="7">
        <f>'CUENTA T VS'!DG81</f>
        <v>0</v>
      </c>
      <c r="I206" s="7"/>
      <c r="J206" s="7">
        <f t="shared" si="5"/>
        <v>0</v>
      </c>
      <c r="K206" s="6">
        <f>J206/$J$25</f>
        <v>0</v>
      </c>
    </row>
    <row r="207" spans="1:11" ht="13.8" x14ac:dyDescent="0.25">
      <c r="A207" s="11">
        <v>2</v>
      </c>
      <c r="B207" s="10">
        <v>2</v>
      </c>
      <c r="C207" s="10">
        <v>8</v>
      </c>
      <c r="D207" s="10">
        <v>8</v>
      </c>
      <c r="E207" s="25" t="s">
        <v>104</v>
      </c>
      <c r="F207" s="34" t="s">
        <v>47</v>
      </c>
      <c r="G207" s="7">
        <f>'CUENTA T FONDO 100'!DH288</f>
        <v>0</v>
      </c>
      <c r="H207" s="7">
        <f>'CUENTA T VS'!DH81</f>
        <v>0</v>
      </c>
      <c r="I207" s="7"/>
      <c r="J207" s="7">
        <f t="shared" si="5"/>
        <v>0</v>
      </c>
      <c r="K207" s="6">
        <f>J207/$J$25</f>
        <v>0</v>
      </c>
    </row>
    <row r="208" spans="1:11" ht="13.8" x14ac:dyDescent="0.25">
      <c r="A208" s="31">
        <v>2</v>
      </c>
      <c r="B208" s="23">
        <v>2</v>
      </c>
      <c r="C208" s="23">
        <v>9</v>
      </c>
      <c r="D208" s="23"/>
      <c r="E208" s="23"/>
      <c r="F208" s="31" t="s">
        <v>218</v>
      </c>
      <c r="G208" s="21">
        <f>+G209</f>
        <v>0</v>
      </c>
      <c r="H208" s="21">
        <f>+H209</f>
        <v>0</v>
      </c>
      <c r="I208" s="21">
        <f>+I209</f>
        <v>0</v>
      </c>
      <c r="J208" s="21">
        <f t="shared" si="5"/>
        <v>0</v>
      </c>
      <c r="K208" s="20"/>
    </row>
    <row r="209" spans="1:11" ht="13.8" x14ac:dyDescent="0.25">
      <c r="A209" s="17">
        <v>2</v>
      </c>
      <c r="B209" s="16">
        <v>2</v>
      </c>
      <c r="C209" s="16">
        <v>9</v>
      </c>
      <c r="D209" s="16">
        <v>2</v>
      </c>
      <c r="E209" s="16"/>
      <c r="F209" s="17" t="s">
        <v>46</v>
      </c>
      <c r="G209" s="13">
        <f>G210+G211</f>
        <v>0</v>
      </c>
      <c r="H209" s="13">
        <f>H210+H211</f>
        <v>0</v>
      </c>
      <c r="I209" s="13">
        <f>I210+I211</f>
        <v>0</v>
      </c>
      <c r="J209" s="13">
        <f t="shared" si="5"/>
        <v>0</v>
      </c>
      <c r="K209" s="12"/>
    </row>
    <row r="210" spans="1:11" ht="13.8" x14ac:dyDescent="0.25">
      <c r="A210" s="11">
        <v>2</v>
      </c>
      <c r="B210" s="10">
        <v>2</v>
      </c>
      <c r="C210" s="10">
        <v>9</v>
      </c>
      <c r="D210" s="10">
        <v>2</v>
      </c>
      <c r="E210" s="25" t="s">
        <v>44</v>
      </c>
      <c r="F210" s="34" t="s">
        <v>385</v>
      </c>
      <c r="G210" s="7">
        <f>'CUENTA T FONDO 100'!DI288</f>
        <v>0</v>
      </c>
      <c r="H210" s="7">
        <f>'CUENTA T VS'!DI81</f>
        <v>0</v>
      </c>
      <c r="I210" s="7"/>
      <c r="J210" s="7">
        <f t="shared" si="5"/>
        <v>0</v>
      </c>
      <c r="K210" s="6">
        <f>J210/$J$25</f>
        <v>0</v>
      </c>
    </row>
    <row r="211" spans="1:11" ht="13.8" x14ac:dyDescent="0.25">
      <c r="A211" s="11">
        <v>2</v>
      </c>
      <c r="B211" s="10">
        <v>2</v>
      </c>
      <c r="C211" s="10">
        <v>9</v>
      </c>
      <c r="D211" s="10">
        <v>2</v>
      </c>
      <c r="E211" s="25" t="s">
        <v>104</v>
      </c>
      <c r="F211" s="34" t="s">
        <v>386</v>
      </c>
      <c r="G211" s="7">
        <f>'CUENTA T FONDO 100'!DJ288</f>
        <v>0</v>
      </c>
      <c r="H211" s="7">
        <f>'CUENTA T VS'!DJ81</f>
        <v>0</v>
      </c>
      <c r="I211" s="7"/>
      <c r="J211" s="7">
        <f t="shared" si="5"/>
        <v>0</v>
      </c>
      <c r="K211" s="6">
        <f>J211/$J$25</f>
        <v>0</v>
      </c>
    </row>
    <row r="212" spans="1:11" ht="13.8" x14ac:dyDescent="0.3">
      <c r="A212" s="24">
        <v>2</v>
      </c>
      <c r="B212" s="23">
        <v>3</v>
      </c>
      <c r="C212" s="23"/>
      <c r="D212" s="23"/>
      <c r="E212" s="23"/>
      <c r="F212" s="31" t="s">
        <v>217</v>
      </c>
      <c r="G212" s="21">
        <f>G213+G225+G232+G245+G250+G261+G286+G303+G308</f>
        <v>4970601.1899999995</v>
      </c>
      <c r="H212" s="21">
        <f>H213+H225+H232+H245+H250+H261+H286+H303+H308</f>
        <v>3062630.67</v>
      </c>
      <c r="I212" s="21">
        <f>I213+I225+I232+I245+I250+I261+I286+I303+I308</f>
        <v>0</v>
      </c>
      <c r="J212" s="21">
        <f t="shared" si="5"/>
        <v>8033231.8599999994</v>
      </c>
      <c r="K212" s="20">
        <f>J212/$J$25</f>
        <v>0.10448615588319417</v>
      </c>
    </row>
    <row r="213" spans="1:11" ht="13.8" x14ac:dyDescent="0.3">
      <c r="A213" s="24">
        <v>2</v>
      </c>
      <c r="B213" s="23">
        <v>3</v>
      </c>
      <c r="C213" s="23">
        <v>1</v>
      </c>
      <c r="D213" s="23"/>
      <c r="E213" s="23"/>
      <c r="F213" s="31" t="s">
        <v>216</v>
      </c>
      <c r="G213" s="21">
        <f>+G214+G217+G219+G223</f>
        <v>0</v>
      </c>
      <c r="H213" s="21">
        <f>+H214+H217+H219+H223</f>
        <v>541265</v>
      </c>
      <c r="I213" s="21">
        <f>+I214+I217+I219+I223</f>
        <v>0</v>
      </c>
      <c r="J213" s="21">
        <f t="shared" si="5"/>
        <v>541265</v>
      </c>
      <c r="K213" s="20"/>
    </row>
    <row r="214" spans="1:11" ht="13.8" x14ac:dyDescent="0.3">
      <c r="A214" s="19">
        <v>2</v>
      </c>
      <c r="B214" s="16">
        <v>3</v>
      </c>
      <c r="C214" s="16">
        <v>1</v>
      </c>
      <c r="D214" s="16">
        <v>1</v>
      </c>
      <c r="E214" s="15"/>
      <c r="F214" s="17" t="s">
        <v>45</v>
      </c>
      <c r="G214" s="13">
        <f>SUM(G215:G216)</f>
        <v>0</v>
      </c>
      <c r="H214" s="13">
        <f>SUM(H215:H216)</f>
        <v>541265</v>
      </c>
      <c r="I214" s="13">
        <f>SUM(I215:I216)</f>
        <v>0</v>
      </c>
      <c r="J214" s="13">
        <f t="shared" si="5"/>
        <v>541265</v>
      </c>
      <c r="K214" s="12"/>
    </row>
    <row r="215" spans="1:11" ht="13.8" x14ac:dyDescent="0.3">
      <c r="A215" s="18">
        <v>2</v>
      </c>
      <c r="B215" s="10">
        <v>3</v>
      </c>
      <c r="C215" s="10">
        <v>1</v>
      </c>
      <c r="D215" s="10">
        <v>1</v>
      </c>
      <c r="E215" s="25" t="s">
        <v>44</v>
      </c>
      <c r="F215" s="11" t="s">
        <v>45</v>
      </c>
      <c r="G215" s="7">
        <f>'CUENTA T FONDO 100'!DK288</f>
        <v>0</v>
      </c>
      <c r="H215" s="7">
        <f>'CUENTA T VS'!DK81</f>
        <v>541265</v>
      </c>
      <c r="I215" s="8"/>
      <c r="J215" s="7">
        <f t="shared" si="5"/>
        <v>541265</v>
      </c>
      <c r="K215" s="6">
        <f>J215/$J$25</f>
        <v>7.0400929725084639E-3</v>
      </c>
    </row>
    <row r="216" spans="1:11" ht="13.8" x14ac:dyDescent="0.3">
      <c r="A216" s="18">
        <v>2</v>
      </c>
      <c r="B216" s="10">
        <v>3</v>
      </c>
      <c r="C216" s="10">
        <v>1</v>
      </c>
      <c r="D216" s="10">
        <v>1</v>
      </c>
      <c r="E216" s="25" t="s">
        <v>43</v>
      </c>
      <c r="F216" s="11" t="s">
        <v>215</v>
      </c>
      <c r="G216" s="7">
        <f>'CUENTA T FONDO 100'!DL288</f>
        <v>0</v>
      </c>
      <c r="H216" s="7">
        <f>'CUENTA T VS'!DL81</f>
        <v>0</v>
      </c>
      <c r="I216" s="8"/>
      <c r="J216" s="7">
        <f t="shared" si="5"/>
        <v>0</v>
      </c>
      <c r="K216" s="6">
        <f>J216/$J$25</f>
        <v>0</v>
      </c>
    </row>
    <row r="217" spans="1:11" ht="13.8" x14ac:dyDescent="0.3">
      <c r="A217" s="19">
        <v>2</v>
      </c>
      <c r="B217" s="16">
        <v>3</v>
      </c>
      <c r="C217" s="16">
        <v>1</v>
      </c>
      <c r="D217" s="16">
        <v>2</v>
      </c>
      <c r="E217" s="15"/>
      <c r="F217" s="17" t="s">
        <v>214</v>
      </c>
      <c r="G217" s="13">
        <f>SUM(G218)</f>
        <v>0</v>
      </c>
      <c r="H217" s="13">
        <f>SUM(H218)</f>
        <v>0</v>
      </c>
      <c r="I217" s="13">
        <f>SUM(I218)</f>
        <v>0</v>
      </c>
      <c r="J217" s="13">
        <f t="shared" si="5"/>
        <v>0</v>
      </c>
      <c r="K217" s="12"/>
    </row>
    <row r="218" spans="1:11" ht="13.8" x14ac:dyDescent="0.3">
      <c r="A218" s="18">
        <v>2</v>
      </c>
      <c r="B218" s="10">
        <v>3</v>
      </c>
      <c r="C218" s="10">
        <v>1</v>
      </c>
      <c r="D218" s="10">
        <v>2</v>
      </c>
      <c r="E218" s="25" t="s">
        <v>44</v>
      </c>
      <c r="F218" s="11" t="s">
        <v>214</v>
      </c>
      <c r="G218" s="7">
        <f>'CUENTA T FONDO 100'!DM288</f>
        <v>0</v>
      </c>
      <c r="H218" s="7">
        <f>'CUENTA T VS'!DM81</f>
        <v>0</v>
      </c>
      <c r="I218" s="8"/>
      <c r="J218" s="7">
        <f t="shared" si="5"/>
        <v>0</v>
      </c>
      <c r="K218" s="6">
        <f>J218/$J$25</f>
        <v>0</v>
      </c>
    </row>
    <row r="219" spans="1:11" ht="13.8" x14ac:dyDescent="0.3">
      <c r="A219" s="19">
        <v>2</v>
      </c>
      <c r="B219" s="16">
        <v>3</v>
      </c>
      <c r="C219" s="16">
        <v>1</v>
      </c>
      <c r="D219" s="16">
        <v>3</v>
      </c>
      <c r="E219" s="16"/>
      <c r="F219" s="17" t="s">
        <v>213</v>
      </c>
      <c r="G219" s="13">
        <f>SUM(G220:G222)</f>
        <v>0</v>
      </c>
      <c r="H219" s="13">
        <f>SUM(H220:H222)</f>
        <v>0</v>
      </c>
      <c r="I219" s="13">
        <f>SUM(I220:I222)</f>
        <v>0</v>
      </c>
      <c r="J219" s="13">
        <f t="shared" ref="J219:J282" si="9">SUM(G219:I219)</f>
        <v>0</v>
      </c>
      <c r="K219" s="12"/>
    </row>
    <row r="220" spans="1:11" ht="13.8" x14ac:dyDescent="0.3">
      <c r="A220" s="18">
        <v>2</v>
      </c>
      <c r="B220" s="10">
        <v>3</v>
      </c>
      <c r="C220" s="10">
        <v>1</v>
      </c>
      <c r="D220" s="10">
        <v>3</v>
      </c>
      <c r="E220" s="25" t="s">
        <v>44</v>
      </c>
      <c r="F220" s="11" t="s">
        <v>212</v>
      </c>
      <c r="G220" s="7">
        <f>'CUENTA T FONDO 100'!DN288</f>
        <v>0</v>
      </c>
      <c r="H220" s="7">
        <f>'CUENTA T VS'!DN81</f>
        <v>0</v>
      </c>
      <c r="I220" s="8"/>
      <c r="J220" s="7">
        <f t="shared" si="9"/>
        <v>0</v>
      </c>
      <c r="K220" s="6">
        <f>J220/$J$25</f>
        <v>0</v>
      </c>
    </row>
    <row r="221" spans="1:11" ht="13.8" x14ac:dyDescent="0.3">
      <c r="A221" s="18">
        <v>2</v>
      </c>
      <c r="B221" s="10">
        <v>3</v>
      </c>
      <c r="C221" s="10">
        <v>1</v>
      </c>
      <c r="D221" s="10">
        <v>3</v>
      </c>
      <c r="E221" s="25" t="s">
        <v>43</v>
      </c>
      <c r="F221" s="11" t="s">
        <v>211</v>
      </c>
      <c r="G221" s="7">
        <f>'CUENTA T FONDO 100'!DO288</f>
        <v>0</v>
      </c>
      <c r="H221" s="7">
        <f>'CUENTA T VS'!DO81</f>
        <v>0</v>
      </c>
      <c r="I221" s="8"/>
      <c r="J221" s="7">
        <f t="shared" si="9"/>
        <v>0</v>
      </c>
      <c r="K221" s="6">
        <f>J221/$J$25</f>
        <v>0</v>
      </c>
    </row>
    <row r="222" spans="1:11" ht="13.8" x14ac:dyDescent="0.3">
      <c r="A222" s="18">
        <v>2</v>
      </c>
      <c r="B222" s="10">
        <v>3</v>
      </c>
      <c r="C222" s="10">
        <v>1</v>
      </c>
      <c r="D222" s="10">
        <v>3</v>
      </c>
      <c r="E222" s="25" t="s">
        <v>104</v>
      </c>
      <c r="F222" s="11" t="s">
        <v>210</v>
      </c>
      <c r="G222" s="7">
        <f>'CUENTA T FONDO 100'!DP288</f>
        <v>0</v>
      </c>
      <c r="H222" s="7">
        <f>'CUENTA T VS'!DP81</f>
        <v>0</v>
      </c>
      <c r="I222" s="8"/>
      <c r="J222" s="7">
        <f t="shared" si="9"/>
        <v>0</v>
      </c>
      <c r="K222" s="6">
        <f>J222/$J$25</f>
        <v>0</v>
      </c>
    </row>
    <row r="223" spans="1:11" ht="13.8" x14ac:dyDescent="0.3">
      <c r="A223" s="19">
        <v>2</v>
      </c>
      <c r="B223" s="16">
        <v>3</v>
      </c>
      <c r="C223" s="16">
        <v>1</v>
      </c>
      <c r="D223" s="16">
        <v>4</v>
      </c>
      <c r="E223" s="16"/>
      <c r="F223" s="17" t="s">
        <v>209</v>
      </c>
      <c r="G223" s="13">
        <f>SUM(G224)</f>
        <v>0</v>
      </c>
      <c r="H223" s="13">
        <f>SUM(H224)</f>
        <v>0</v>
      </c>
      <c r="I223" s="13">
        <f>SUM(I224)</f>
        <v>0</v>
      </c>
      <c r="J223" s="13">
        <f t="shared" si="9"/>
        <v>0</v>
      </c>
      <c r="K223" s="12"/>
    </row>
    <row r="224" spans="1:11" ht="13.8" x14ac:dyDescent="0.3">
      <c r="A224" s="18">
        <v>2</v>
      </c>
      <c r="B224" s="10">
        <v>3</v>
      </c>
      <c r="C224" s="10">
        <v>1</v>
      </c>
      <c r="D224" s="10">
        <v>4</v>
      </c>
      <c r="E224" s="25" t="s">
        <v>44</v>
      </c>
      <c r="F224" s="11" t="s">
        <v>209</v>
      </c>
      <c r="G224" s="7">
        <f>'CUENTA T FONDO 100'!DQ288</f>
        <v>0</v>
      </c>
      <c r="H224" s="7">
        <f>'CUENTA T VS'!DQ81</f>
        <v>0</v>
      </c>
      <c r="I224" s="7"/>
      <c r="J224" s="7">
        <f t="shared" si="9"/>
        <v>0</v>
      </c>
      <c r="K224" s="6">
        <f>J224/$J$25</f>
        <v>0</v>
      </c>
    </row>
    <row r="225" spans="1:11" ht="13.8" x14ac:dyDescent="0.3">
      <c r="A225" s="24">
        <v>2</v>
      </c>
      <c r="B225" s="23">
        <v>3</v>
      </c>
      <c r="C225" s="23">
        <v>2</v>
      </c>
      <c r="D225" s="23"/>
      <c r="E225" s="30"/>
      <c r="F225" s="31" t="s">
        <v>208</v>
      </c>
      <c r="G225" s="21">
        <f>+G226+G228+G230</f>
        <v>0</v>
      </c>
      <c r="H225" s="21">
        <f>+H226+H228+H230</f>
        <v>0</v>
      </c>
      <c r="I225" s="21">
        <f>+I226+I228+I230</f>
        <v>0</v>
      </c>
      <c r="J225" s="21">
        <f t="shared" si="9"/>
        <v>0</v>
      </c>
      <c r="K225" s="20"/>
    </row>
    <row r="226" spans="1:11" ht="13.8" x14ac:dyDescent="0.3">
      <c r="A226" s="19">
        <v>2</v>
      </c>
      <c r="B226" s="16">
        <v>3</v>
      </c>
      <c r="C226" s="16">
        <v>2</v>
      </c>
      <c r="D226" s="16">
        <v>1</v>
      </c>
      <c r="E226" s="16"/>
      <c r="F226" s="17" t="s">
        <v>42</v>
      </c>
      <c r="G226" s="13">
        <f>SUM(G227)</f>
        <v>0</v>
      </c>
      <c r="H226" s="13">
        <f>SUM(H227)</f>
        <v>0</v>
      </c>
      <c r="I226" s="13">
        <f>SUM(I227)</f>
        <v>0</v>
      </c>
      <c r="J226" s="13">
        <f t="shared" si="9"/>
        <v>0</v>
      </c>
      <c r="K226" s="12"/>
    </row>
    <row r="227" spans="1:11" ht="13.8" x14ac:dyDescent="0.3">
      <c r="A227" s="18">
        <v>2</v>
      </c>
      <c r="B227" s="10">
        <v>3</v>
      </c>
      <c r="C227" s="10">
        <v>2</v>
      </c>
      <c r="D227" s="10">
        <v>1</v>
      </c>
      <c r="E227" s="25" t="s">
        <v>44</v>
      </c>
      <c r="F227" s="11" t="s">
        <v>42</v>
      </c>
      <c r="G227" s="7">
        <f>'CUENTA T FONDO 100'!DR288</f>
        <v>0</v>
      </c>
      <c r="H227" s="7">
        <f>'CUENTA T VS'!DR81</f>
        <v>0</v>
      </c>
      <c r="I227" s="7"/>
      <c r="J227" s="7">
        <f t="shared" si="9"/>
        <v>0</v>
      </c>
      <c r="K227" s="6">
        <f>J227/$J$25</f>
        <v>0</v>
      </c>
    </row>
    <row r="228" spans="1:11" ht="13.8" x14ac:dyDescent="0.3">
      <c r="A228" s="19">
        <v>2</v>
      </c>
      <c r="B228" s="16">
        <v>3</v>
      </c>
      <c r="C228" s="16">
        <v>2</v>
      </c>
      <c r="D228" s="16">
        <v>2</v>
      </c>
      <c r="E228" s="16"/>
      <c r="F228" s="17" t="s">
        <v>41</v>
      </c>
      <c r="G228" s="13">
        <f>SUM(G229)</f>
        <v>0</v>
      </c>
      <c r="H228" s="13">
        <f>SUM(H229)</f>
        <v>0</v>
      </c>
      <c r="I228" s="13">
        <f>SUM(I229)</f>
        <v>0</v>
      </c>
      <c r="J228" s="13">
        <f t="shared" si="9"/>
        <v>0</v>
      </c>
      <c r="K228" s="12"/>
    </row>
    <row r="229" spans="1:11" ht="13.8" x14ac:dyDescent="0.3">
      <c r="A229" s="18">
        <v>2</v>
      </c>
      <c r="B229" s="10">
        <v>3</v>
      </c>
      <c r="C229" s="10">
        <v>2</v>
      </c>
      <c r="D229" s="10">
        <v>2</v>
      </c>
      <c r="E229" s="25" t="s">
        <v>44</v>
      </c>
      <c r="F229" s="11" t="s">
        <v>41</v>
      </c>
      <c r="G229" s="7">
        <f>'CUENTA T FONDO 100'!DS288</f>
        <v>0</v>
      </c>
      <c r="H229" s="7">
        <f>'CUENTA T VS'!DS81</f>
        <v>0</v>
      </c>
      <c r="I229" s="8"/>
      <c r="J229" s="7">
        <f t="shared" si="9"/>
        <v>0</v>
      </c>
      <c r="K229" s="6">
        <f>J229/$J$25</f>
        <v>0</v>
      </c>
    </row>
    <row r="230" spans="1:11" ht="13.8" x14ac:dyDescent="0.3">
      <c r="A230" s="19">
        <v>2</v>
      </c>
      <c r="B230" s="16">
        <v>3</v>
      </c>
      <c r="C230" s="16">
        <v>2</v>
      </c>
      <c r="D230" s="16">
        <v>3</v>
      </c>
      <c r="E230" s="16"/>
      <c r="F230" s="17" t="s">
        <v>40</v>
      </c>
      <c r="G230" s="13">
        <f>SUM(G231)</f>
        <v>0</v>
      </c>
      <c r="H230" s="13">
        <f>SUM(H231)</f>
        <v>0</v>
      </c>
      <c r="I230" s="13">
        <f>SUM(I231)</f>
        <v>0</v>
      </c>
      <c r="J230" s="13">
        <f t="shared" si="9"/>
        <v>0</v>
      </c>
      <c r="K230" s="12"/>
    </row>
    <row r="231" spans="1:11" ht="13.8" x14ac:dyDescent="0.3">
      <c r="A231" s="18">
        <v>2</v>
      </c>
      <c r="B231" s="10">
        <v>3</v>
      </c>
      <c r="C231" s="10">
        <v>2</v>
      </c>
      <c r="D231" s="10">
        <v>3</v>
      </c>
      <c r="E231" s="25" t="s">
        <v>44</v>
      </c>
      <c r="F231" s="11" t="s">
        <v>40</v>
      </c>
      <c r="G231" s="7">
        <f>'CUENTA T FONDO 100'!DT288</f>
        <v>0</v>
      </c>
      <c r="H231" s="7">
        <f>'CUENTA T VS'!DT81</f>
        <v>0</v>
      </c>
      <c r="I231" s="8"/>
      <c r="J231" s="7">
        <f t="shared" si="9"/>
        <v>0</v>
      </c>
      <c r="K231" s="6">
        <f>J231/$J$25</f>
        <v>0</v>
      </c>
    </row>
    <row r="232" spans="1:11" ht="13.8" x14ac:dyDescent="0.3">
      <c r="A232" s="24">
        <v>2</v>
      </c>
      <c r="B232" s="23">
        <v>3</v>
      </c>
      <c r="C232" s="23">
        <v>3</v>
      </c>
      <c r="D232" s="23"/>
      <c r="E232" s="30"/>
      <c r="F232" s="31" t="s">
        <v>207</v>
      </c>
      <c r="G232" s="21">
        <f>+G233+G235+G237+G239+G241+G243</f>
        <v>0</v>
      </c>
      <c r="H232" s="21">
        <f>+H233+H235+H237+H239+H241+H243</f>
        <v>85550</v>
      </c>
      <c r="I232" s="21">
        <f>+I233+I235+I237+I239+I241+I243</f>
        <v>0</v>
      </c>
      <c r="J232" s="21">
        <f t="shared" si="9"/>
        <v>85550</v>
      </c>
      <c r="K232" s="20"/>
    </row>
    <row r="233" spans="1:11" ht="13.8" x14ac:dyDescent="0.3">
      <c r="A233" s="19">
        <v>2</v>
      </c>
      <c r="B233" s="16">
        <v>3</v>
      </c>
      <c r="C233" s="16">
        <v>3</v>
      </c>
      <c r="D233" s="16">
        <v>1</v>
      </c>
      <c r="E233" s="16"/>
      <c r="F233" s="17" t="s">
        <v>39</v>
      </c>
      <c r="G233" s="13">
        <f>SUM(G234)</f>
        <v>0</v>
      </c>
      <c r="H233" s="13">
        <f>SUM(H234)</f>
        <v>0</v>
      </c>
      <c r="I233" s="13">
        <f>SUM(I234)</f>
        <v>0</v>
      </c>
      <c r="J233" s="13">
        <f t="shared" si="9"/>
        <v>0</v>
      </c>
      <c r="K233" s="12"/>
    </row>
    <row r="234" spans="1:11" ht="13.8" x14ac:dyDescent="0.3">
      <c r="A234" s="18">
        <v>2</v>
      </c>
      <c r="B234" s="10">
        <v>3</v>
      </c>
      <c r="C234" s="10">
        <v>3</v>
      </c>
      <c r="D234" s="10">
        <v>1</v>
      </c>
      <c r="E234" s="25" t="s">
        <v>44</v>
      </c>
      <c r="F234" s="11" t="s">
        <v>39</v>
      </c>
      <c r="G234" s="7">
        <f>'CUENTA T FONDO 100'!DU288</f>
        <v>0</v>
      </c>
      <c r="H234" s="7">
        <f>'CUENTA T VS'!DU81</f>
        <v>0</v>
      </c>
      <c r="I234" s="8"/>
      <c r="J234" s="7">
        <f t="shared" si="9"/>
        <v>0</v>
      </c>
      <c r="K234" s="6">
        <f>J234/$J$25</f>
        <v>0</v>
      </c>
    </row>
    <row r="235" spans="1:11" ht="13.8" x14ac:dyDescent="0.3">
      <c r="A235" s="19">
        <v>2</v>
      </c>
      <c r="B235" s="16">
        <v>3</v>
      </c>
      <c r="C235" s="16">
        <v>3</v>
      </c>
      <c r="D235" s="16">
        <v>2</v>
      </c>
      <c r="E235" s="16"/>
      <c r="F235" s="17" t="s">
        <v>402</v>
      </c>
      <c r="G235" s="13">
        <f>SUM(G236)</f>
        <v>0</v>
      </c>
      <c r="H235" s="13">
        <f>SUM(H236)</f>
        <v>0</v>
      </c>
      <c r="I235" s="13">
        <f>SUM(I236)</f>
        <v>0</v>
      </c>
      <c r="J235" s="13">
        <f t="shared" si="9"/>
        <v>0</v>
      </c>
      <c r="K235" s="12"/>
    </row>
    <row r="236" spans="1:11" ht="13.8" x14ac:dyDescent="0.3">
      <c r="A236" s="18">
        <v>2</v>
      </c>
      <c r="B236" s="10">
        <v>3</v>
      </c>
      <c r="C236" s="10">
        <v>3</v>
      </c>
      <c r="D236" s="10">
        <v>2</v>
      </c>
      <c r="E236" s="25" t="s">
        <v>44</v>
      </c>
      <c r="F236" s="11" t="s">
        <v>402</v>
      </c>
      <c r="G236" s="7">
        <f>'CUENTA T FONDO 100'!DV288</f>
        <v>0</v>
      </c>
      <c r="H236" s="7">
        <f>'CUENTA T VS'!DV81</f>
        <v>0</v>
      </c>
      <c r="I236" s="7"/>
      <c r="J236" s="7">
        <f t="shared" si="9"/>
        <v>0</v>
      </c>
      <c r="K236" s="6">
        <f>J236/$J$25</f>
        <v>0</v>
      </c>
    </row>
    <row r="237" spans="1:11" ht="13.8" x14ac:dyDescent="0.3">
      <c r="A237" s="19">
        <v>2</v>
      </c>
      <c r="B237" s="16">
        <v>3</v>
      </c>
      <c r="C237" s="16">
        <v>3</v>
      </c>
      <c r="D237" s="16">
        <v>3</v>
      </c>
      <c r="E237" s="16"/>
      <c r="F237" s="17" t="s">
        <v>38</v>
      </c>
      <c r="G237" s="13">
        <f>SUM(G238)</f>
        <v>0</v>
      </c>
      <c r="H237" s="13">
        <f>SUM(H238)</f>
        <v>85550</v>
      </c>
      <c r="I237" s="13">
        <f>SUM(I238)</f>
        <v>0</v>
      </c>
      <c r="J237" s="13">
        <f t="shared" si="9"/>
        <v>85550</v>
      </c>
      <c r="K237" s="12"/>
    </row>
    <row r="238" spans="1:11" ht="13.8" x14ac:dyDescent="0.3">
      <c r="A238" s="18">
        <v>2</v>
      </c>
      <c r="B238" s="10">
        <v>3</v>
      </c>
      <c r="C238" s="10">
        <v>3</v>
      </c>
      <c r="D238" s="10">
        <v>3</v>
      </c>
      <c r="E238" s="25" t="s">
        <v>44</v>
      </c>
      <c r="F238" s="11" t="s">
        <v>38</v>
      </c>
      <c r="G238" s="7">
        <f>'CUENTA T FONDO 100'!DW288</f>
        <v>0</v>
      </c>
      <c r="H238" s="7">
        <f>'CUENTA T VS'!DW81</f>
        <v>85550</v>
      </c>
      <c r="I238" s="7"/>
      <c r="J238" s="7">
        <f t="shared" si="9"/>
        <v>85550</v>
      </c>
      <c r="K238" s="6">
        <f>J238/$J$25</f>
        <v>1.1127265827239876E-3</v>
      </c>
    </row>
    <row r="239" spans="1:11" ht="13.8" x14ac:dyDescent="0.3">
      <c r="A239" s="19">
        <v>2</v>
      </c>
      <c r="B239" s="16">
        <v>3</v>
      </c>
      <c r="C239" s="16">
        <v>3</v>
      </c>
      <c r="D239" s="16">
        <v>4</v>
      </c>
      <c r="E239" s="16"/>
      <c r="F239" s="17" t="s">
        <v>37</v>
      </c>
      <c r="G239" s="13">
        <f>SUM(G240)</f>
        <v>0</v>
      </c>
      <c r="H239" s="13">
        <f>SUM(H240)</f>
        <v>0</v>
      </c>
      <c r="I239" s="13">
        <f>SUM(I240)</f>
        <v>0</v>
      </c>
      <c r="J239" s="13">
        <f t="shared" si="9"/>
        <v>0</v>
      </c>
      <c r="K239" s="12"/>
    </row>
    <row r="240" spans="1:11" ht="13.8" x14ac:dyDescent="0.3">
      <c r="A240" s="18">
        <v>2</v>
      </c>
      <c r="B240" s="10">
        <v>3</v>
      </c>
      <c r="C240" s="10">
        <v>3</v>
      </c>
      <c r="D240" s="10">
        <v>4</v>
      </c>
      <c r="E240" s="25" t="s">
        <v>44</v>
      </c>
      <c r="F240" s="11" t="s">
        <v>37</v>
      </c>
      <c r="G240" s="7">
        <f>'CUENTA T FONDO 100'!DX288</f>
        <v>0</v>
      </c>
      <c r="H240" s="7">
        <f>'CUENTA T VS'!DX81</f>
        <v>0</v>
      </c>
      <c r="I240" s="7"/>
      <c r="J240" s="7">
        <f t="shared" si="9"/>
        <v>0</v>
      </c>
      <c r="K240" s="6">
        <f>J240/$J$25</f>
        <v>0</v>
      </c>
    </row>
    <row r="241" spans="1:11" ht="13.8" x14ac:dyDescent="0.3">
      <c r="A241" s="19">
        <v>2</v>
      </c>
      <c r="B241" s="16">
        <v>3</v>
      </c>
      <c r="C241" s="16">
        <v>3</v>
      </c>
      <c r="D241" s="16">
        <v>5</v>
      </c>
      <c r="E241" s="16"/>
      <c r="F241" s="17" t="s">
        <v>206</v>
      </c>
      <c r="G241" s="13">
        <f>SUM(G242)</f>
        <v>0</v>
      </c>
      <c r="H241" s="13">
        <f>SUM(H242)</f>
        <v>0</v>
      </c>
      <c r="I241" s="13">
        <f>SUM(I242)</f>
        <v>0</v>
      </c>
      <c r="J241" s="13">
        <f t="shared" si="9"/>
        <v>0</v>
      </c>
      <c r="K241" s="12"/>
    </row>
    <row r="242" spans="1:11" ht="13.8" x14ac:dyDescent="0.3">
      <c r="A242" s="18">
        <v>2</v>
      </c>
      <c r="B242" s="10">
        <v>3</v>
      </c>
      <c r="C242" s="10">
        <v>3</v>
      </c>
      <c r="D242" s="10">
        <v>5</v>
      </c>
      <c r="E242" s="25" t="s">
        <v>44</v>
      </c>
      <c r="F242" s="11" t="s">
        <v>206</v>
      </c>
      <c r="G242" s="7">
        <f>'CUENTA T FONDO 100'!DY288</f>
        <v>0</v>
      </c>
      <c r="H242" s="7">
        <f>'CUENTA T VS'!DY81</f>
        <v>0</v>
      </c>
      <c r="I242" s="7"/>
      <c r="J242" s="7">
        <f t="shared" si="9"/>
        <v>0</v>
      </c>
      <c r="K242" s="6">
        <f>J242/$J$25</f>
        <v>0</v>
      </c>
    </row>
    <row r="243" spans="1:11" ht="13.8" x14ac:dyDescent="0.3">
      <c r="A243" s="19">
        <v>2</v>
      </c>
      <c r="B243" s="16">
        <v>3</v>
      </c>
      <c r="C243" s="16">
        <v>3</v>
      </c>
      <c r="D243" s="16">
        <v>6</v>
      </c>
      <c r="E243" s="16"/>
      <c r="F243" s="17" t="s">
        <v>205</v>
      </c>
      <c r="G243" s="13">
        <f>SUM(G244)</f>
        <v>0</v>
      </c>
      <c r="H243" s="13">
        <f>SUM(H244)</f>
        <v>0</v>
      </c>
      <c r="I243" s="13">
        <f>SUM(I244)</f>
        <v>0</v>
      </c>
      <c r="J243" s="13">
        <f t="shared" si="9"/>
        <v>0</v>
      </c>
      <c r="K243" s="12"/>
    </row>
    <row r="244" spans="1:11" ht="13.8" x14ac:dyDescent="0.3">
      <c r="A244" s="18">
        <v>2</v>
      </c>
      <c r="B244" s="10">
        <v>3</v>
      </c>
      <c r="C244" s="10">
        <v>3</v>
      </c>
      <c r="D244" s="10">
        <v>6</v>
      </c>
      <c r="E244" s="25" t="s">
        <v>44</v>
      </c>
      <c r="F244" s="11" t="s">
        <v>205</v>
      </c>
      <c r="G244" s="7">
        <f>'CUENTA T FONDO 100'!DZ288</f>
        <v>0</v>
      </c>
      <c r="H244" s="7">
        <f>'CUENTA T VS'!DZ81</f>
        <v>0</v>
      </c>
      <c r="I244" s="7"/>
      <c r="J244" s="7">
        <f t="shared" si="9"/>
        <v>0</v>
      </c>
      <c r="K244" s="6">
        <f>J244/$J$25</f>
        <v>0</v>
      </c>
    </row>
    <row r="245" spans="1:11" ht="13.8" x14ac:dyDescent="0.3">
      <c r="A245" s="24">
        <v>2</v>
      </c>
      <c r="B245" s="23">
        <v>3</v>
      </c>
      <c r="C245" s="23">
        <v>4</v>
      </c>
      <c r="D245" s="23"/>
      <c r="E245" s="30"/>
      <c r="F245" s="31" t="s">
        <v>204</v>
      </c>
      <c r="G245" s="21">
        <f>+G246+G248</f>
        <v>1862880.8</v>
      </c>
      <c r="H245" s="21">
        <f>+H246+H248</f>
        <v>308000</v>
      </c>
      <c r="I245" s="21">
        <f>+I246+I248</f>
        <v>0</v>
      </c>
      <c r="J245" s="21">
        <f t="shared" si="9"/>
        <v>2170880.7999999998</v>
      </c>
      <c r="K245" s="20"/>
    </row>
    <row r="246" spans="1:11" ht="13.8" x14ac:dyDescent="0.3">
      <c r="A246" s="19">
        <v>2</v>
      </c>
      <c r="B246" s="16">
        <v>3</v>
      </c>
      <c r="C246" s="16">
        <v>4</v>
      </c>
      <c r="D246" s="16">
        <v>1</v>
      </c>
      <c r="E246" s="16"/>
      <c r="F246" s="17" t="s">
        <v>36</v>
      </c>
      <c r="G246" s="13">
        <f>SUM(G247)</f>
        <v>1862880.8</v>
      </c>
      <c r="H246" s="13">
        <f>SUM(H247)</f>
        <v>308000</v>
      </c>
      <c r="I246" s="13">
        <f>SUM(I247)</f>
        <v>0</v>
      </c>
      <c r="J246" s="13">
        <f t="shared" si="9"/>
        <v>2170880.7999999998</v>
      </c>
      <c r="K246" s="12"/>
    </row>
    <row r="247" spans="1:11" ht="13.8" x14ac:dyDescent="0.3">
      <c r="A247" s="18">
        <v>2</v>
      </c>
      <c r="B247" s="10">
        <v>3</v>
      </c>
      <c r="C247" s="10">
        <v>4</v>
      </c>
      <c r="D247" s="10">
        <v>1</v>
      </c>
      <c r="E247" s="25" t="s">
        <v>44</v>
      </c>
      <c r="F247" s="11" t="s">
        <v>36</v>
      </c>
      <c r="G247" s="7">
        <f>'CUENTA T FONDO 100'!EA288</f>
        <v>1862880.8</v>
      </c>
      <c r="H247" s="7">
        <f>'CUENTA T VS'!EA81</f>
        <v>308000</v>
      </c>
      <c r="I247" s="7"/>
      <c r="J247" s="7">
        <f t="shared" si="9"/>
        <v>2170880.7999999998</v>
      </c>
      <c r="K247" s="6">
        <f>J247/$J$25</f>
        <v>2.8236081520574122E-2</v>
      </c>
    </row>
    <row r="248" spans="1:11" ht="13.8" x14ac:dyDescent="0.3">
      <c r="A248" s="19">
        <v>2</v>
      </c>
      <c r="B248" s="16">
        <v>3</v>
      </c>
      <c r="C248" s="16">
        <v>4</v>
      </c>
      <c r="D248" s="16">
        <v>2</v>
      </c>
      <c r="E248" s="16"/>
      <c r="F248" s="17" t="s">
        <v>203</v>
      </c>
      <c r="G248" s="13">
        <f>SUM(G249)</f>
        <v>0</v>
      </c>
      <c r="H248" s="13">
        <f>SUM(H249)</f>
        <v>0</v>
      </c>
      <c r="I248" s="13">
        <f>SUM(I249)</f>
        <v>0</v>
      </c>
      <c r="J248" s="13">
        <f t="shared" si="9"/>
        <v>0</v>
      </c>
      <c r="K248" s="12"/>
    </row>
    <row r="249" spans="1:11" ht="13.8" x14ac:dyDescent="0.3">
      <c r="A249" s="18">
        <v>2</v>
      </c>
      <c r="B249" s="10">
        <v>3</v>
      </c>
      <c r="C249" s="10">
        <v>4</v>
      </c>
      <c r="D249" s="10">
        <v>2</v>
      </c>
      <c r="E249" s="25" t="s">
        <v>44</v>
      </c>
      <c r="F249" s="11" t="s">
        <v>203</v>
      </c>
      <c r="G249" s="7">
        <f>'CUENTA T FONDO 100'!EB288</f>
        <v>0</v>
      </c>
      <c r="H249" s="7">
        <f>'CUENTA T VS'!EB81</f>
        <v>0</v>
      </c>
      <c r="I249" s="7"/>
      <c r="J249" s="7">
        <f t="shared" si="9"/>
        <v>0</v>
      </c>
      <c r="K249" s="6">
        <f>J249/$J$25</f>
        <v>0</v>
      </c>
    </row>
    <row r="250" spans="1:11" ht="13.8" x14ac:dyDescent="0.3">
      <c r="A250" s="24">
        <v>2</v>
      </c>
      <c r="B250" s="23">
        <v>3</v>
      </c>
      <c r="C250" s="23">
        <v>5</v>
      </c>
      <c r="D250" s="23"/>
      <c r="E250" s="30"/>
      <c r="F250" s="31" t="s">
        <v>202</v>
      </c>
      <c r="G250" s="21">
        <f>+G251+G253+G255+G257+G259</f>
        <v>0</v>
      </c>
      <c r="H250" s="21">
        <f>+H251+H253+H255+H257+H259</f>
        <v>0</v>
      </c>
      <c r="I250" s="21">
        <f>+I251+I253+I255+I257+I259</f>
        <v>0</v>
      </c>
      <c r="J250" s="21">
        <f t="shared" si="9"/>
        <v>0</v>
      </c>
      <c r="K250" s="20"/>
    </row>
    <row r="251" spans="1:11" ht="13.8" x14ac:dyDescent="0.3">
      <c r="A251" s="19">
        <v>2</v>
      </c>
      <c r="B251" s="16">
        <v>3</v>
      </c>
      <c r="C251" s="16">
        <v>5</v>
      </c>
      <c r="D251" s="16">
        <v>1</v>
      </c>
      <c r="E251" s="16"/>
      <c r="F251" s="17" t="s">
        <v>35</v>
      </c>
      <c r="G251" s="13">
        <f>SUM(G252)</f>
        <v>0</v>
      </c>
      <c r="H251" s="13">
        <f>SUM(H252)</f>
        <v>0</v>
      </c>
      <c r="I251" s="13">
        <f>SUM(I252)</f>
        <v>0</v>
      </c>
      <c r="J251" s="13">
        <f t="shared" si="9"/>
        <v>0</v>
      </c>
      <c r="K251" s="12"/>
    </row>
    <row r="252" spans="1:11" ht="13.8" x14ac:dyDescent="0.3">
      <c r="A252" s="18">
        <v>2</v>
      </c>
      <c r="B252" s="10">
        <v>3</v>
      </c>
      <c r="C252" s="10">
        <v>5</v>
      </c>
      <c r="D252" s="10">
        <v>1</v>
      </c>
      <c r="E252" s="25" t="s">
        <v>44</v>
      </c>
      <c r="F252" s="11" t="s">
        <v>35</v>
      </c>
      <c r="G252" s="7">
        <f>'CUENTA T FONDO 100'!EC288</f>
        <v>0</v>
      </c>
      <c r="H252" s="7">
        <f>'CUENTA T VS'!EC81</f>
        <v>0</v>
      </c>
      <c r="I252" s="7"/>
      <c r="J252" s="7">
        <f t="shared" si="9"/>
        <v>0</v>
      </c>
      <c r="K252" s="6">
        <f>J252/$J$25</f>
        <v>0</v>
      </c>
    </row>
    <row r="253" spans="1:11" ht="13.8" x14ac:dyDescent="0.3">
      <c r="A253" s="19">
        <v>2</v>
      </c>
      <c r="B253" s="16">
        <v>3</v>
      </c>
      <c r="C253" s="16">
        <v>5</v>
      </c>
      <c r="D253" s="16">
        <v>2</v>
      </c>
      <c r="E253" s="16"/>
      <c r="F253" s="17" t="s">
        <v>34</v>
      </c>
      <c r="G253" s="13">
        <f>SUM(G254)</f>
        <v>0</v>
      </c>
      <c r="H253" s="13">
        <f>SUM(H254)</f>
        <v>0</v>
      </c>
      <c r="I253" s="13">
        <f>SUM(I254)</f>
        <v>0</v>
      </c>
      <c r="J253" s="13">
        <f t="shared" si="9"/>
        <v>0</v>
      </c>
      <c r="K253" s="12"/>
    </row>
    <row r="254" spans="1:11" ht="13.8" x14ac:dyDescent="0.3">
      <c r="A254" s="18">
        <v>2</v>
      </c>
      <c r="B254" s="10">
        <v>3</v>
      </c>
      <c r="C254" s="10">
        <v>5</v>
      </c>
      <c r="D254" s="10">
        <v>2</v>
      </c>
      <c r="E254" s="25" t="s">
        <v>44</v>
      </c>
      <c r="F254" s="11" t="s">
        <v>34</v>
      </c>
      <c r="G254" s="7">
        <f>'CUENTA T FONDO 100'!ED288</f>
        <v>0</v>
      </c>
      <c r="H254" s="7">
        <f>'CUENTA T VS'!ED81</f>
        <v>0</v>
      </c>
      <c r="I254" s="7"/>
      <c r="J254" s="7">
        <f t="shared" si="9"/>
        <v>0</v>
      </c>
      <c r="K254" s="6">
        <f>J254/$J$25</f>
        <v>0</v>
      </c>
    </row>
    <row r="255" spans="1:11" ht="13.8" x14ac:dyDescent="0.3">
      <c r="A255" s="19">
        <v>2</v>
      </c>
      <c r="B255" s="16">
        <v>3</v>
      </c>
      <c r="C255" s="16">
        <v>5</v>
      </c>
      <c r="D255" s="16">
        <v>3</v>
      </c>
      <c r="E255" s="16"/>
      <c r="F255" s="17" t="s">
        <v>33</v>
      </c>
      <c r="G255" s="13">
        <f>SUM(G256)</f>
        <v>0</v>
      </c>
      <c r="H255" s="13">
        <f>SUM(H256)</f>
        <v>0</v>
      </c>
      <c r="I255" s="13">
        <f>SUM(I256)</f>
        <v>0</v>
      </c>
      <c r="J255" s="13">
        <f t="shared" si="9"/>
        <v>0</v>
      </c>
      <c r="K255" s="12"/>
    </row>
    <row r="256" spans="1:11" ht="13.8" x14ac:dyDescent="0.3">
      <c r="A256" s="18">
        <v>2</v>
      </c>
      <c r="B256" s="10">
        <v>3</v>
      </c>
      <c r="C256" s="10">
        <v>5</v>
      </c>
      <c r="D256" s="10">
        <v>3</v>
      </c>
      <c r="E256" s="25" t="s">
        <v>44</v>
      </c>
      <c r="F256" s="11" t="s">
        <v>33</v>
      </c>
      <c r="G256" s="7">
        <f>'CUENTA T FONDO 100'!EE288</f>
        <v>0</v>
      </c>
      <c r="H256" s="7">
        <f>'CUENTA T VS'!EE81</f>
        <v>0</v>
      </c>
      <c r="I256" s="7"/>
      <c r="J256" s="7">
        <f t="shared" si="9"/>
        <v>0</v>
      </c>
      <c r="K256" s="6">
        <f>J256/$J$25</f>
        <v>0</v>
      </c>
    </row>
    <row r="257" spans="1:11" ht="13.8" x14ac:dyDescent="0.3">
      <c r="A257" s="19">
        <v>2</v>
      </c>
      <c r="B257" s="16">
        <v>3</v>
      </c>
      <c r="C257" s="16">
        <v>5</v>
      </c>
      <c r="D257" s="16">
        <v>4</v>
      </c>
      <c r="E257" s="16"/>
      <c r="F257" s="17" t="s">
        <v>32</v>
      </c>
      <c r="G257" s="13">
        <f>SUM(G258)</f>
        <v>0</v>
      </c>
      <c r="H257" s="13">
        <f>SUM(H258)</f>
        <v>0</v>
      </c>
      <c r="I257" s="13">
        <f>SUM(I258)</f>
        <v>0</v>
      </c>
      <c r="J257" s="13">
        <f t="shared" si="9"/>
        <v>0</v>
      </c>
      <c r="K257" s="12"/>
    </row>
    <row r="258" spans="1:11" ht="13.8" x14ac:dyDescent="0.3">
      <c r="A258" s="18">
        <v>2</v>
      </c>
      <c r="B258" s="10">
        <v>3</v>
      </c>
      <c r="C258" s="10">
        <v>5</v>
      </c>
      <c r="D258" s="10">
        <v>4</v>
      </c>
      <c r="E258" s="25" t="s">
        <v>44</v>
      </c>
      <c r="F258" s="11" t="s">
        <v>32</v>
      </c>
      <c r="G258" s="7">
        <f>'CUENTA T FONDO 100'!EF288</f>
        <v>0</v>
      </c>
      <c r="H258" s="7">
        <f>'CUENTA T VS'!EF81</f>
        <v>0</v>
      </c>
      <c r="I258" s="7"/>
      <c r="J258" s="7">
        <f t="shared" si="9"/>
        <v>0</v>
      </c>
      <c r="K258" s="6">
        <f>J258/$J$25</f>
        <v>0</v>
      </c>
    </row>
    <row r="259" spans="1:11" ht="13.8" x14ac:dyDescent="0.3">
      <c r="A259" s="19">
        <v>2</v>
      </c>
      <c r="B259" s="16">
        <v>3</v>
      </c>
      <c r="C259" s="16">
        <v>5</v>
      </c>
      <c r="D259" s="16">
        <v>5</v>
      </c>
      <c r="E259" s="16"/>
      <c r="F259" s="17" t="s">
        <v>31</v>
      </c>
      <c r="G259" s="13">
        <f>SUM(G260)</f>
        <v>0</v>
      </c>
      <c r="H259" s="13">
        <f>SUM(H260)</f>
        <v>0</v>
      </c>
      <c r="I259" s="13">
        <f>SUM(I260)</f>
        <v>0</v>
      </c>
      <c r="J259" s="13">
        <f t="shared" si="9"/>
        <v>0</v>
      </c>
      <c r="K259" s="12"/>
    </row>
    <row r="260" spans="1:11" ht="13.8" x14ac:dyDescent="0.3">
      <c r="A260" s="18">
        <v>2</v>
      </c>
      <c r="B260" s="10">
        <v>3</v>
      </c>
      <c r="C260" s="10">
        <v>5</v>
      </c>
      <c r="D260" s="10">
        <v>5</v>
      </c>
      <c r="E260" s="25" t="s">
        <v>44</v>
      </c>
      <c r="F260" s="11" t="s">
        <v>31</v>
      </c>
      <c r="G260" s="7">
        <f>'CUENTA T FONDO 100'!EG288</f>
        <v>0</v>
      </c>
      <c r="H260" s="7">
        <f>'CUENTA T VS'!EG81</f>
        <v>0</v>
      </c>
      <c r="I260" s="7"/>
      <c r="J260" s="7">
        <f t="shared" si="9"/>
        <v>0</v>
      </c>
      <c r="K260" s="6">
        <f>J260/$J$25</f>
        <v>0</v>
      </c>
    </row>
    <row r="261" spans="1:11" ht="13.8" x14ac:dyDescent="0.3">
      <c r="A261" s="24">
        <v>2</v>
      </c>
      <c r="B261" s="23">
        <v>3</v>
      </c>
      <c r="C261" s="23">
        <v>6</v>
      </c>
      <c r="D261" s="23"/>
      <c r="E261" s="23"/>
      <c r="F261" s="31" t="s">
        <v>201</v>
      </c>
      <c r="G261" s="21">
        <f>+G262+G268+G272+G276+G284</f>
        <v>0</v>
      </c>
      <c r="H261" s="21">
        <f>+H262+H268+H272+H276+H284</f>
        <v>0</v>
      </c>
      <c r="I261" s="21">
        <f>+I262+I268+I272+I276+I284</f>
        <v>0</v>
      </c>
      <c r="J261" s="21">
        <f t="shared" si="9"/>
        <v>0</v>
      </c>
      <c r="K261" s="20"/>
    </row>
    <row r="262" spans="1:11" ht="13.8" x14ac:dyDescent="0.3">
      <c r="A262" s="19">
        <v>2</v>
      </c>
      <c r="B262" s="16">
        <v>3</v>
      </c>
      <c r="C262" s="16">
        <v>6</v>
      </c>
      <c r="D262" s="16">
        <v>1</v>
      </c>
      <c r="E262" s="16"/>
      <c r="F262" s="17" t="s">
        <v>200</v>
      </c>
      <c r="G262" s="13">
        <f>SUM(G263:G267)</f>
        <v>0</v>
      </c>
      <c r="H262" s="13">
        <f>SUM(H263:H267)</f>
        <v>0</v>
      </c>
      <c r="I262" s="13">
        <f>SUM(I263:I267)</f>
        <v>0</v>
      </c>
      <c r="J262" s="13">
        <f t="shared" si="9"/>
        <v>0</v>
      </c>
      <c r="K262" s="12"/>
    </row>
    <row r="263" spans="1:11" ht="13.8" x14ac:dyDescent="0.3">
      <c r="A263" s="18">
        <v>2</v>
      </c>
      <c r="B263" s="10">
        <v>3</v>
      </c>
      <c r="C263" s="10">
        <v>6</v>
      </c>
      <c r="D263" s="10">
        <v>1</v>
      </c>
      <c r="E263" s="25" t="s">
        <v>44</v>
      </c>
      <c r="F263" s="11" t="s">
        <v>30</v>
      </c>
      <c r="G263" s="7">
        <f>'CUENTA T FONDO 100'!EH288</f>
        <v>0</v>
      </c>
      <c r="H263" s="7">
        <f>'CUENTA T VS'!EH81</f>
        <v>0</v>
      </c>
      <c r="I263" s="7"/>
      <c r="J263" s="7">
        <f t="shared" si="9"/>
        <v>0</v>
      </c>
      <c r="K263" s="6">
        <f>J263/$J$25</f>
        <v>0</v>
      </c>
    </row>
    <row r="264" spans="1:11" ht="13.8" x14ac:dyDescent="0.3">
      <c r="A264" s="18">
        <v>2</v>
      </c>
      <c r="B264" s="10">
        <v>3</v>
      </c>
      <c r="C264" s="10">
        <v>6</v>
      </c>
      <c r="D264" s="10">
        <v>1</v>
      </c>
      <c r="E264" s="25" t="s">
        <v>43</v>
      </c>
      <c r="F264" s="11" t="s">
        <v>29</v>
      </c>
      <c r="G264" s="7">
        <f>'CUENTA T FONDO 100'!EI288</f>
        <v>0</v>
      </c>
      <c r="H264" s="7">
        <f>'CUENTA T VS'!EI81</f>
        <v>0</v>
      </c>
      <c r="I264" s="7"/>
      <c r="J264" s="7">
        <f t="shared" si="9"/>
        <v>0</v>
      </c>
      <c r="K264" s="6">
        <f>J264/$J$25</f>
        <v>0</v>
      </c>
    </row>
    <row r="265" spans="1:11" ht="13.8" x14ac:dyDescent="0.3">
      <c r="A265" s="18">
        <v>2</v>
      </c>
      <c r="B265" s="10">
        <v>3</v>
      </c>
      <c r="C265" s="10">
        <v>6</v>
      </c>
      <c r="D265" s="10">
        <v>1</v>
      </c>
      <c r="E265" s="25" t="s">
        <v>104</v>
      </c>
      <c r="F265" s="11" t="s">
        <v>28</v>
      </c>
      <c r="G265" s="7">
        <f>'CUENTA T FONDO 100'!EJ288</f>
        <v>0</v>
      </c>
      <c r="H265" s="7">
        <f>'CUENTA T VS'!EJ81</f>
        <v>0</v>
      </c>
      <c r="I265" s="7"/>
      <c r="J265" s="7">
        <f t="shared" si="9"/>
        <v>0</v>
      </c>
      <c r="K265" s="6">
        <f>J265/$J$25</f>
        <v>0</v>
      </c>
    </row>
    <row r="266" spans="1:11" ht="13.8" x14ac:dyDescent="0.3">
      <c r="A266" s="18">
        <v>2</v>
      </c>
      <c r="B266" s="10">
        <v>3</v>
      </c>
      <c r="C266" s="10">
        <v>6</v>
      </c>
      <c r="D266" s="10">
        <v>1</v>
      </c>
      <c r="E266" s="25" t="s">
        <v>172</v>
      </c>
      <c r="F266" s="11" t="s">
        <v>27</v>
      </c>
      <c r="G266" s="7">
        <f>'CUENTA T FONDO 100'!EK288</f>
        <v>0</v>
      </c>
      <c r="H266" s="7">
        <f>'CUENTA T VS'!EK81</f>
        <v>0</v>
      </c>
      <c r="I266" s="7"/>
      <c r="J266" s="7">
        <f t="shared" si="9"/>
        <v>0</v>
      </c>
      <c r="K266" s="6">
        <f>J266/$J$25</f>
        <v>0</v>
      </c>
    </row>
    <row r="267" spans="1:11" ht="13.8" x14ac:dyDescent="0.3">
      <c r="A267" s="18">
        <v>2</v>
      </c>
      <c r="B267" s="10">
        <v>3</v>
      </c>
      <c r="C267" s="10">
        <v>6</v>
      </c>
      <c r="D267" s="10">
        <v>1</v>
      </c>
      <c r="E267" s="25" t="s">
        <v>170</v>
      </c>
      <c r="F267" s="11" t="s">
        <v>26</v>
      </c>
      <c r="G267" s="7">
        <f>'CUENTA T FONDO 100'!EL288</f>
        <v>0</v>
      </c>
      <c r="H267" s="7">
        <f>'CUENTA T VS'!EL81</f>
        <v>0</v>
      </c>
      <c r="I267" s="7"/>
      <c r="J267" s="7">
        <f t="shared" si="9"/>
        <v>0</v>
      </c>
      <c r="K267" s="6">
        <f>J267/$J$25</f>
        <v>0</v>
      </c>
    </row>
    <row r="268" spans="1:11" ht="13.8" x14ac:dyDescent="0.3">
      <c r="A268" s="19">
        <v>2</v>
      </c>
      <c r="B268" s="16">
        <v>3</v>
      </c>
      <c r="C268" s="16">
        <v>6</v>
      </c>
      <c r="D268" s="16">
        <v>2</v>
      </c>
      <c r="E268" s="16"/>
      <c r="F268" s="17" t="s">
        <v>25</v>
      </c>
      <c r="G268" s="13">
        <f>SUM(G269:G271)</f>
        <v>0</v>
      </c>
      <c r="H268" s="13">
        <f>SUM(H269:H271)</f>
        <v>0</v>
      </c>
      <c r="I268" s="13">
        <f>SUM(I269:I271)</f>
        <v>0</v>
      </c>
      <c r="J268" s="13">
        <f t="shared" si="9"/>
        <v>0</v>
      </c>
      <c r="K268" s="12"/>
    </row>
    <row r="269" spans="1:11" ht="13.8" x14ac:dyDescent="0.3">
      <c r="A269" s="18">
        <v>2</v>
      </c>
      <c r="B269" s="10">
        <v>3</v>
      </c>
      <c r="C269" s="10">
        <v>6</v>
      </c>
      <c r="D269" s="10">
        <v>2</v>
      </c>
      <c r="E269" s="25" t="s">
        <v>44</v>
      </c>
      <c r="F269" s="11" t="s">
        <v>24</v>
      </c>
      <c r="G269" s="7">
        <f>'CUENTA T FONDO 100'!EM288</f>
        <v>0</v>
      </c>
      <c r="H269" s="7">
        <f>'CUENTA T VS'!EM81</f>
        <v>0</v>
      </c>
      <c r="I269" s="7"/>
      <c r="J269" s="7">
        <f t="shared" si="9"/>
        <v>0</v>
      </c>
      <c r="K269" s="6">
        <f>J269/$J$25</f>
        <v>0</v>
      </c>
    </row>
    <row r="270" spans="1:11" ht="13.8" x14ac:dyDescent="0.3">
      <c r="A270" s="18">
        <v>2</v>
      </c>
      <c r="B270" s="10">
        <v>3</v>
      </c>
      <c r="C270" s="10">
        <v>6</v>
      </c>
      <c r="D270" s="10">
        <v>2</v>
      </c>
      <c r="E270" s="25" t="s">
        <v>43</v>
      </c>
      <c r="F270" s="11" t="s">
        <v>23</v>
      </c>
      <c r="G270" s="7">
        <f>'CUENTA T FONDO 100'!EN288</f>
        <v>0</v>
      </c>
      <c r="H270" s="7">
        <f>'CUENTA T VS'!EN81</f>
        <v>0</v>
      </c>
      <c r="I270" s="7"/>
      <c r="J270" s="7">
        <f t="shared" si="9"/>
        <v>0</v>
      </c>
      <c r="K270" s="6">
        <f>J270/$J$25</f>
        <v>0</v>
      </c>
    </row>
    <row r="271" spans="1:11" ht="13.8" x14ac:dyDescent="0.3">
      <c r="A271" s="18">
        <v>2</v>
      </c>
      <c r="B271" s="10">
        <v>3</v>
      </c>
      <c r="C271" s="10">
        <v>6</v>
      </c>
      <c r="D271" s="10">
        <v>2</v>
      </c>
      <c r="E271" s="25" t="s">
        <v>104</v>
      </c>
      <c r="F271" s="11" t="s">
        <v>22</v>
      </c>
      <c r="G271" s="7">
        <f>'CUENTA T FONDO 100'!EO288</f>
        <v>0</v>
      </c>
      <c r="H271" s="7">
        <f>'CUENTA T VS'!EO81</f>
        <v>0</v>
      </c>
      <c r="I271" s="7"/>
      <c r="J271" s="7">
        <f t="shared" si="9"/>
        <v>0</v>
      </c>
      <c r="K271" s="6">
        <f>J271/$J$25</f>
        <v>0</v>
      </c>
    </row>
    <row r="272" spans="1:11" ht="13.8" x14ac:dyDescent="0.3">
      <c r="A272" s="19">
        <v>2</v>
      </c>
      <c r="B272" s="16">
        <v>3</v>
      </c>
      <c r="C272" s="16">
        <v>6</v>
      </c>
      <c r="D272" s="16">
        <v>3</v>
      </c>
      <c r="E272" s="16"/>
      <c r="F272" s="17" t="s">
        <v>21</v>
      </c>
      <c r="G272" s="13">
        <f>SUM(G273:G275)</f>
        <v>0</v>
      </c>
      <c r="H272" s="13">
        <f>SUM(H273:H275)</f>
        <v>0</v>
      </c>
      <c r="I272" s="13">
        <f>SUM(I273:I275)</f>
        <v>0</v>
      </c>
      <c r="J272" s="13">
        <f t="shared" si="9"/>
        <v>0</v>
      </c>
      <c r="K272" s="12"/>
    </row>
    <row r="273" spans="1:11" ht="13.8" x14ac:dyDescent="0.3">
      <c r="A273" s="18">
        <v>2</v>
      </c>
      <c r="B273" s="10">
        <v>3</v>
      </c>
      <c r="C273" s="10">
        <v>6</v>
      </c>
      <c r="D273" s="10">
        <v>3</v>
      </c>
      <c r="E273" s="25" t="s">
        <v>172</v>
      </c>
      <c r="F273" s="34" t="s">
        <v>20</v>
      </c>
      <c r="G273" s="7">
        <f>'CUENTA T FONDO 100'!EP288</f>
        <v>0</v>
      </c>
      <c r="H273" s="7">
        <f>'CUENTA T VS'!EP81</f>
        <v>0</v>
      </c>
      <c r="I273" s="7"/>
      <c r="J273" s="7">
        <f t="shared" si="9"/>
        <v>0</v>
      </c>
      <c r="K273" s="6">
        <f>J273/$J$25</f>
        <v>0</v>
      </c>
    </row>
    <row r="274" spans="1:11" ht="13.8" x14ac:dyDescent="0.3">
      <c r="A274" s="18">
        <v>2</v>
      </c>
      <c r="B274" s="10">
        <v>3</v>
      </c>
      <c r="C274" s="10">
        <v>6</v>
      </c>
      <c r="D274" s="10">
        <v>3</v>
      </c>
      <c r="E274" s="25" t="s">
        <v>170</v>
      </c>
      <c r="F274" s="11" t="s">
        <v>19</v>
      </c>
      <c r="G274" s="7">
        <f>'CUENTA T FONDO 100'!EQ288</f>
        <v>0</v>
      </c>
      <c r="H274" s="7">
        <f>'CUENTA T VS'!EQ81</f>
        <v>0</v>
      </c>
      <c r="I274" s="7"/>
      <c r="J274" s="7">
        <f t="shared" si="9"/>
        <v>0</v>
      </c>
      <c r="K274" s="6">
        <f>J274/$J$25</f>
        <v>0</v>
      </c>
    </row>
    <row r="275" spans="1:11" ht="13.8" x14ac:dyDescent="0.3">
      <c r="A275" s="18">
        <v>2</v>
      </c>
      <c r="B275" s="10">
        <v>3</v>
      </c>
      <c r="C275" s="10">
        <v>6</v>
      </c>
      <c r="D275" s="10">
        <v>3</v>
      </c>
      <c r="E275" s="25" t="s">
        <v>61</v>
      </c>
      <c r="F275" s="11" t="s">
        <v>18</v>
      </c>
      <c r="G275" s="7">
        <f>'CUENTA T FONDO 100'!ER288</f>
        <v>0</v>
      </c>
      <c r="H275" s="7">
        <f>'CUENTA T VS'!ER81</f>
        <v>0</v>
      </c>
      <c r="I275" s="7"/>
      <c r="J275" s="7">
        <f t="shared" si="9"/>
        <v>0</v>
      </c>
      <c r="K275" s="6">
        <f>J275/$J$25</f>
        <v>0</v>
      </c>
    </row>
    <row r="276" spans="1:11" ht="13.8" x14ac:dyDescent="0.3">
      <c r="A276" s="19">
        <v>2</v>
      </c>
      <c r="B276" s="16">
        <v>3</v>
      </c>
      <c r="C276" s="16">
        <v>6</v>
      </c>
      <c r="D276" s="16">
        <v>4</v>
      </c>
      <c r="E276" s="16"/>
      <c r="F276" s="17" t="s">
        <v>17</v>
      </c>
      <c r="G276" s="13">
        <f>SUM(G277:G283)</f>
        <v>0</v>
      </c>
      <c r="H276" s="13">
        <f>SUM(H277:H283)</f>
        <v>0</v>
      </c>
      <c r="I276" s="13">
        <f>SUM(I277:I283)</f>
        <v>0</v>
      </c>
      <c r="J276" s="13">
        <f t="shared" si="9"/>
        <v>0</v>
      </c>
      <c r="K276" s="12"/>
    </row>
    <row r="277" spans="1:11" ht="13.8" x14ac:dyDescent="0.3">
      <c r="A277" s="18">
        <v>2</v>
      </c>
      <c r="B277" s="10">
        <v>3</v>
      </c>
      <c r="C277" s="10">
        <v>6</v>
      </c>
      <c r="D277" s="10">
        <v>4</v>
      </c>
      <c r="E277" s="25" t="s">
        <v>44</v>
      </c>
      <c r="F277" s="11" t="s">
        <v>16</v>
      </c>
      <c r="G277" s="7">
        <f>'CUENTA T FONDO 100'!ES288</f>
        <v>0</v>
      </c>
      <c r="H277" s="7">
        <f>'CUENTA T VS'!ES81</f>
        <v>0</v>
      </c>
      <c r="I277" s="8"/>
      <c r="J277" s="7">
        <f t="shared" si="9"/>
        <v>0</v>
      </c>
      <c r="K277" s="6">
        <f t="shared" ref="K277:K283" si="10">J277/$J$25</f>
        <v>0</v>
      </c>
    </row>
    <row r="278" spans="1:11" ht="13.8" x14ac:dyDescent="0.3">
      <c r="A278" s="18">
        <v>2</v>
      </c>
      <c r="B278" s="10">
        <v>3</v>
      </c>
      <c r="C278" s="10">
        <v>6</v>
      </c>
      <c r="D278" s="10">
        <v>4</v>
      </c>
      <c r="E278" s="25" t="s">
        <v>43</v>
      </c>
      <c r="F278" s="11" t="s">
        <v>199</v>
      </c>
      <c r="G278" s="7">
        <f>'CUENTA T FONDO 100'!ET288</f>
        <v>0</v>
      </c>
      <c r="H278" s="7">
        <f>'CUENTA T VS'!ET81</f>
        <v>0</v>
      </c>
      <c r="I278" s="8"/>
      <c r="J278" s="7">
        <f t="shared" si="9"/>
        <v>0</v>
      </c>
      <c r="K278" s="6">
        <f t="shared" si="10"/>
        <v>0</v>
      </c>
    </row>
    <row r="279" spans="1:11" ht="13.8" x14ac:dyDescent="0.3">
      <c r="A279" s="18">
        <v>2</v>
      </c>
      <c r="B279" s="10">
        <v>3</v>
      </c>
      <c r="C279" s="10">
        <v>6</v>
      </c>
      <c r="D279" s="10">
        <v>4</v>
      </c>
      <c r="E279" s="25" t="s">
        <v>104</v>
      </c>
      <c r="F279" s="11" t="s">
        <v>15</v>
      </c>
      <c r="G279" s="7">
        <f>'CUENTA T FONDO 100'!EU288</f>
        <v>0</v>
      </c>
      <c r="H279" s="7">
        <f>'CUENTA T VS'!EU81</f>
        <v>0</v>
      </c>
      <c r="I279" s="8"/>
      <c r="J279" s="7">
        <f t="shared" si="9"/>
        <v>0</v>
      </c>
      <c r="K279" s="6">
        <f t="shared" si="10"/>
        <v>0</v>
      </c>
    </row>
    <row r="280" spans="1:11" ht="13.8" x14ac:dyDescent="0.3">
      <c r="A280" s="18">
        <v>2</v>
      </c>
      <c r="B280" s="10">
        <v>3</v>
      </c>
      <c r="C280" s="10">
        <v>6</v>
      </c>
      <c r="D280" s="10">
        <v>4</v>
      </c>
      <c r="E280" s="25" t="s">
        <v>172</v>
      </c>
      <c r="F280" s="11" t="s">
        <v>198</v>
      </c>
      <c r="G280" s="7">
        <f>'CUENTA T FONDO 100'!EV288</f>
        <v>0</v>
      </c>
      <c r="H280" s="7">
        <f>'CUENTA T VS'!EV81</f>
        <v>0</v>
      </c>
      <c r="I280" s="8"/>
      <c r="J280" s="7">
        <f t="shared" si="9"/>
        <v>0</v>
      </c>
      <c r="K280" s="6">
        <f t="shared" si="10"/>
        <v>0</v>
      </c>
    </row>
    <row r="281" spans="1:11" ht="13.8" x14ac:dyDescent="0.3">
      <c r="A281" s="18">
        <v>2</v>
      </c>
      <c r="B281" s="10">
        <v>3</v>
      </c>
      <c r="C281" s="10">
        <v>6</v>
      </c>
      <c r="D281" s="10">
        <v>4</v>
      </c>
      <c r="E281" s="25" t="s">
        <v>170</v>
      </c>
      <c r="F281" s="11" t="s">
        <v>197</v>
      </c>
      <c r="G281" s="7">
        <f>'CUENTA T FONDO 100'!EW288</f>
        <v>0</v>
      </c>
      <c r="H281" s="7">
        <f>'CUENTA T VS'!EW81</f>
        <v>0</v>
      </c>
      <c r="I281" s="8"/>
      <c r="J281" s="7">
        <f t="shared" si="9"/>
        <v>0</v>
      </c>
      <c r="K281" s="6">
        <f t="shared" si="10"/>
        <v>0</v>
      </c>
    </row>
    <row r="282" spans="1:11" ht="13.8" x14ac:dyDescent="0.3">
      <c r="A282" s="18">
        <v>2</v>
      </c>
      <c r="B282" s="10">
        <v>3</v>
      </c>
      <c r="C282" s="10">
        <v>6</v>
      </c>
      <c r="D282" s="10">
        <v>4</v>
      </c>
      <c r="E282" s="25" t="s">
        <v>61</v>
      </c>
      <c r="F282" s="11" t="s">
        <v>196</v>
      </c>
      <c r="G282" s="7">
        <f>'CUENTA T FONDO 100'!EX288</f>
        <v>0</v>
      </c>
      <c r="H282" s="7">
        <f>'CUENTA T VS'!EX81</f>
        <v>0</v>
      </c>
      <c r="I282" s="8"/>
      <c r="J282" s="7">
        <f t="shared" si="9"/>
        <v>0</v>
      </c>
      <c r="K282" s="6">
        <f t="shared" si="10"/>
        <v>0</v>
      </c>
    </row>
    <row r="283" spans="1:11" ht="13.8" x14ac:dyDescent="0.3">
      <c r="A283" s="18">
        <v>2</v>
      </c>
      <c r="B283" s="10">
        <v>3</v>
      </c>
      <c r="C283" s="10">
        <v>6</v>
      </c>
      <c r="D283" s="10">
        <v>4</v>
      </c>
      <c r="E283" s="25" t="s">
        <v>60</v>
      </c>
      <c r="F283" s="11" t="s">
        <v>14</v>
      </c>
      <c r="G283" s="7">
        <f>'CUENTA T FONDO 100'!EY288</f>
        <v>0</v>
      </c>
      <c r="H283" s="7">
        <f>'CUENTA T VS'!EY81</f>
        <v>0</v>
      </c>
      <c r="I283" s="8"/>
      <c r="J283" s="7">
        <f t="shared" ref="J283:J348" si="11">SUM(G283:I283)</f>
        <v>0</v>
      </c>
      <c r="K283" s="6">
        <f t="shared" si="10"/>
        <v>0</v>
      </c>
    </row>
    <row r="284" spans="1:11" ht="13.8" x14ac:dyDescent="0.3">
      <c r="A284" s="19">
        <v>2</v>
      </c>
      <c r="B284" s="16">
        <v>3</v>
      </c>
      <c r="C284" s="16">
        <v>6</v>
      </c>
      <c r="D284" s="16">
        <v>9</v>
      </c>
      <c r="E284" s="16"/>
      <c r="F284" s="17" t="s">
        <v>195</v>
      </c>
      <c r="G284" s="13">
        <f>SUM(G285)</f>
        <v>0</v>
      </c>
      <c r="H284" s="13">
        <f>SUM(H285)</f>
        <v>0</v>
      </c>
      <c r="I284" s="13">
        <f>SUM(I285)</f>
        <v>0</v>
      </c>
      <c r="J284" s="13">
        <f t="shared" si="11"/>
        <v>0</v>
      </c>
      <c r="K284" s="12"/>
    </row>
    <row r="285" spans="1:11" ht="13.8" x14ac:dyDescent="0.3">
      <c r="A285" s="18">
        <v>2</v>
      </c>
      <c r="B285" s="10">
        <v>3</v>
      </c>
      <c r="C285" s="10">
        <v>6</v>
      </c>
      <c r="D285" s="10">
        <v>9</v>
      </c>
      <c r="E285" s="25" t="s">
        <v>44</v>
      </c>
      <c r="F285" s="11" t="s">
        <v>403</v>
      </c>
      <c r="G285" s="7">
        <f>'CUENTA T FONDO 100'!EZ288</f>
        <v>0</v>
      </c>
      <c r="H285" s="7">
        <f>'CUENTA T VS'!EZ81</f>
        <v>0</v>
      </c>
      <c r="I285" s="7"/>
      <c r="J285" s="7">
        <f t="shared" si="11"/>
        <v>0</v>
      </c>
      <c r="K285" s="6">
        <f>J285/$J$25</f>
        <v>0</v>
      </c>
    </row>
    <row r="286" spans="1:11" ht="13.8" x14ac:dyDescent="0.25">
      <c r="A286" s="31">
        <v>2</v>
      </c>
      <c r="B286" s="23">
        <v>3</v>
      </c>
      <c r="C286" s="23">
        <v>7</v>
      </c>
      <c r="D286" s="23"/>
      <c r="E286" s="23"/>
      <c r="F286" s="36" t="s">
        <v>194</v>
      </c>
      <c r="G286" s="21">
        <f>G287+G295</f>
        <v>1844663.41</v>
      </c>
      <c r="H286" s="21">
        <f>H287+H295</f>
        <v>228412.84</v>
      </c>
      <c r="I286" s="21">
        <f>I287+I295</f>
        <v>0</v>
      </c>
      <c r="J286" s="21">
        <f t="shared" si="11"/>
        <v>2073076.25</v>
      </c>
      <c r="K286" s="20"/>
    </row>
    <row r="287" spans="1:11" ht="13.8" x14ac:dyDescent="0.3">
      <c r="A287" s="19">
        <v>2</v>
      </c>
      <c r="B287" s="16">
        <v>3</v>
      </c>
      <c r="C287" s="16">
        <v>7</v>
      </c>
      <c r="D287" s="16">
        <v>1</v>
      </c>
      <c r="E287" s="16"/>
      <c r="F287" s="17" t="s">
        <v>13</v>
      </c>
      <c r="G287" s="13">
        <f>SUM(G288:G294)</f>
        <v>0</v>
      </c>
      <c r="H287" s="13">
        <f>SUM(H288:H294)</f>
        <v>221512.84</v>
      </c>
      <c r="I287" s="13">
        <f>SUM(I288:I294)</f>
        <v>0</v>
      </c>
      <c r="J287" s="13">
        <f t="shared" si="11"/>
        <v>221512.84</v>
      </c>
      <c r="K287" s="12"/>
    </row>
    <row r="288" spans="1:11" ht="13.8" x14ac:dyDescent="0.3">
      <c r="A288" s="18">
        <v>2</v>
      </c>
      <c r="B288" s="10">
        <v>3</v>
      </c>
      <c r="C288" s="10">
        <v>7</v>
      </c>
      <c r="D288" s="10">
        <v>1</v>
      </c>
      <c r="E288" s="25" t="s">
        <v>44</v>
      </c>
      <c r="F288" s="11" t="s">
        <v>12</v>
      </c>
      <c r="G288" s="7">
        <f>'CUENTA T FONDO 100'!FA288</f>
        <v>0</v>
      </c>
      <c r="H288" s="7">
        <f>'CUENTA T VS'!FA81</f>
        <v>172000</v>
      </c>
      <c r="I288" s="7"/>
      <c r="J288" s="7">
        <f t="shared" si="11"/>
        <v>172000</v>
      </c>
      <c r="K288" s="6">
        <f t="shared" ref="K288:K294" si="12">J288/$J$25</f>
        <v>2.2371592311925875E-3</v>
      </c>
    </row>
    <row r="289" spans="1:11" ht="13.8" x14ac:dyDescent="0.3">
      <c r="A289" s="18">
        <v>2</v>
      </c>
      <c r="B289" s="10">
        <v>3</v>
      </c>
      <c r="C289" s="10">
        <v>7</v>
      </c>
      <c r="D289" s="10">
        <v>1</v>
      </c>
      <c r="E289" s="25" t="s">
        <v>43</v>
      </c>
      <c r="F289" s="11" t="s">
        <v>11</v>
      </c>
      <c r="G289" s="7">
        <f>'CUENTA T FONDO 100'!FB288</f>
        <v>0</v>
      </c>
      <c r="H289" s="7">
        <f>'CUENTA T VS'!FB81</f>
        <v>0</v>
      </c>
      <c r="I289" s="7"/>
      <c r="J289" s="7">
        <f t="shared" si="11"/>
        <v>0</v>
      </c>
      <c r="K289" s="6">
        <f t="shared" si="12"/>
        <v>0</v>
      </c>
    </row>
    <row r="290" spans="1:11" ht="13.8" x14ac:dyDescent="0.3">
      <c r="A290" s="18">
        <v>2</v>
      </c>
      <c r="B290" s="10">
        <v>3</v>
      </c>
      <c r="C290" s="10">
        <v>7</v>
      </c>
      <c r="D290" s="10">
        <v>1</v>
      </c>
      <c r="E290" s="25" t="s">
        <v>104</v>
      </c>
      <c r="F290" s="11" t="s">
        <v>193</v>
      </c>
      <c r="G290" s="7">
        <f>'CUENTA T FONDO 100'!FC288</f>
        <v>0</v>
      </c>
      <c r="H290" s="7">
        <f>'CUENTA T VS'!FC81</f>
        <v>0</v>
      </c>
      <c r="I290" s="7"/>
      <c r="J290" s="7">
        <f t="shared" si="11"/>
        <v>0</v>
      </c>
      <c r="K290" s="6">
        <f t="shared" si="12"/>
        <v>0</v>
      </c>
    </row>
    <row r="291" spans="1:11" ht="13.8" x14ac:dyDescent="0.3">
      <c r="A291" s="18">
        <v>2</v>
      </c>
      <c r="B291" s="10">
        <v>3</v>
      </c>
      <c r="C291" s="10">
        <v>7</v>
      </c>
      <c r="D291" s="10">
        <v>1</v>
      </c>
      <c r="E291" s="25" t="s">
        <v>172</v>
      </c>
      <c r="F291" s="11" t="s">
        <v>10</v>
      </c>
      <c r="G291" s="7">
        <f>'CUENTA T FONDO 100'!FD288</f>
        <v>0</v>
      </c>
      <c r="H291" s="7">
        <f>'CUENTA T VS'!FD81</f>
        <v>49512.84</v>
      </c>
      <c r="I291" s="7"/>
      <c r="J291" s="7">
        <f t="shared" si="11"/>
        <v>49512.84</v>
      </c>
      <c r="K291" s="6">
        <f t="shared" si="12"/>
        <v>6.4400062249163716E-4</v>
      </c>
    </row>
    <row r="292" spans="1:11" ht="13.8" x14ac:dyDescent="0.3">
      <c r="A292" s="18">
        <v>2</v>
      </c>
      <c r="B292" s="10">
        <v>3</v>
      </c>
      <c r="C292" s="10">
        <v>7</v>
      </c>
      <c r="D292" s="10">
        <v>1</v>
      </c>
      <c r="E292" s="25" t="s">
        <v>170</v>
      </c>
      <c r="F292" s="11" t="s">
        <v>192</v>
      </c>
      <c r="G292" s="7">
        <f>'CUENTA T FONDO 100'!FE288</f>
        <v>0</v>
      </c>
      <c r="H292" s="7">
        <f>'CUENTA T VS'!FE81</f>
        <v>0</v>
      </c>
      <c r="I292" s="7"/>
      <c r="J292" s="7">
        <f t="shared" si="11"/>
        <v>0</v>
      </c>
      <c r="K292" s="6">
        <f t="shared" si="12"/>
        <v>0</v>
      </c>
    </row>
    <row r="293" spans="1:11" ht="13.8" x14ac:dyDescent="0.3">
      <c r="A293" s="18">
        <v>2</v>
      </c>
      <c r="B293" s="10">
        <v>3</v>
      </c>
      <c r="C293" s="10">
        <v>7</v>
      </c>
      <c r="D293" s="10">
        <v>1</v>
      </c>
      <c r="E293" s="25" t="s">
        <v>61</v>
      </c>
      <c r="F293" s="11" t="s">
        <v>9</v>
      </c>
      <c r="G293" s="7">
        <f>'CUENTA T FONDO 100'!FF288</f>
        <v>0</v>
      </c>
      <c r="H293" s="7">
        <f>'CUENTA T VS'!FF81</f>
        <v>0</v>
      </c>
      <c r="I293" s="7"/>
      <c r="J293" s="7">
        <f t="shared" si="11"/>
        <v>0</v>
      </c>
      <c r="K293" s="6">
        <f t="shared" si="12"/>
        <v>0</v>
      </c>
    </row>
    <row r="294" spans="1:11" ht="13.8" x14ac:dyDescent="0.3">
      <c r="A294" s="18">
        <v>2</v>
      </c>
      <c r="B294" s="10">
        <v>3</v>
      </c>
      <c r="C294" s="10">
        <v>7</v>
      </c>
      <c r="D294" s="10">
        <v>1</v>
      </c>
      <c r="E294" s="25" t="s">
        <v>60</v>
      </c>
      <c r="F294" s="11" t="s">
        <v>191</v>
      </c>
      <c r="G294" s="7">
        <f>'CUENTA T FONDO 100'!FG288</f>
        <v>0</v>
      </c>
      <c r="H294" s="7">
        <f>'CUENTA T VS'!FG81</f>
        <v>0</v>
      </c>
      <c r="I294" s="8"/>
      <c r="J294" s="7">
        <f t="shared" si="11"/>
        <v>0</v>
      </c>
      <c r="K294" s="6">
        <f t="shared" si="12"/>
        <v>0</v>
      </c>
    </row>
    <row r="295" spans="1:11" ht="13.8" x14ac:dyDescent="0.3">
      <c r="A295" s="19">
        <v>2</v>
      </c>
      <c r="B295" s="16">
        <v>3</v>
      </c>
      <c r="C295" s="16">
        <v>7</v>
      </c>
      <c r="D295" s="16">
        <v>2</v>
      </c>
      <c r="E295" s="16"/>
      <c r="F295" s="17" t="s">
        <v>8</v>
      </c>
      <c r="G295" s="13">
        <f>SUM(G296:G302)</f>
        <v>1844663.41</v>
      </c>
      <c r="H295" s="13">
        <f>SUM(H296:H302)</f>
        <v>6900</v>
      </c>
      <c r="I295" s="13">
        <f>SUM(I296:I302)</f>
        <v>0</v>
      </c>
      <c r="J295" s="13">
        <f t="shared" si="11"/>
        <v>1851563.41</v>
      </c>
      <c r="K295" s="12"/>
    </row>
    <row r="296" spans="1:11" ht="13.8" x14ac:dyDescent="0.3">
      <c r="A296" s="18">
        <v>2</v>
      </c>
      <c r="B296" s="10">
        <v>3</v>
      </c>
      <c r="C296" s="10">
        <v>7</v>
      </c>
      <c r="D296" s="10">
        <v>2</v>
      </c>
      <c r="E296" s="25" t="s">
        <v>44</v>
      </c>
      <c r="F296" s="11" t="s">
        <v>190</v>
      </c>
      <c r="G296" s="7">
        <f>'CUENTA T FONDO 100'!FH288</f>
        <v>0</v>
      </c>
      <c r="H296" s="7">
        <f>'CUENTA T VS'!FH81</f>
        <v>0</v>
      </c>
      <c r="I296" s="7"/>
      <c r="J296" s="7">
        <f t="shared" si="11"/>
        <v>0</v>
      </c>
      <c r="K296" s="6">
        <f t="shared" ref="K296:K302" si="13">J296/$J$25</f>
        <v>0</v>
      </c>
    </row>
    <row r="297" spans="1:11" ht="13.8" x14ac:dyDescent="0.3">
      <c r="A297" s="18">
        <v>2</v>
      </c>
      <c r="B297" s="10">
        <v>3</v>
      </c>
      <c r="C297" s="10">
        <v>7</v>
      </c>
      <c r="D297" s="10">
        <v>2</v>
      </c>
      <c r="E297" s="25" t="s">
        <v>43</v>
      </c>
      <c r="F297" s="11" t="s">
        <v>189</v>
      </c>
      <c r="G297" s="7">
        <f>'CUENTA T FONDO 100'!FI288</f>
        <v>0</v>
      </c>
      <c r="H297" s="7">
        <f>'CUENTA T VS'!FI81</f>
        <v>0</v>
      </c>
      <c r="I297" s="7"/>
      <c r="J297" s="7">
        <f t="shared" si="11"/>
        <v>0</v>
      </c>
      <c r="K297" s="6">
        <f t="shared" si="13"/>
        <v>0</v>
      </c>
    </row>
    <row r="298" spans="1:11" ht="13.8" x14ac:dyDescent="0.3">
      <c r="A298" s="18">
        <v>2</v>
      </c>
      <c r="B298" s="10">
        <v>3</v>
      </c>
      <c r="C298" s="10">
        <v>7</v>
      </c>
      <c r="D298" s="10">
        <v>2</v>
      </c>
      <c r="E298" s="25" t="s">
        <v>104</v>
      </c>
      <c r="F298" s="11" t="s">
        <v>382</v>
      </c>
      <c r="G298" s="7">
        <f>'CUENTA T FONDO 100'!FJ288</f>
        <v>1844663.41</v>
      </c>
      <c r="H298" s="7">
        <f>'CUENTA T VS'!FJ81</f>
        <v>6900</v>
      </c>
      <c r="I298" s="7"/>
      <c r="J298" s="7">
        <f t="shared" si="11"/>
        <v>1851563.41</v>
      </c>
      <c r="K298" s="6">
        <f t="shared" si="13"/>
        <v>2.4082803341976312E-2</v>
      </c>
    </row>
    <row r="299" spans="1:11" ht="13.8" x14ac:dyDescent="0.3">
      <c r="A299" s="18">
        <v>2</v>
      </c>
      <c r="B299" s="10">
        <v>3</v>
      </c>
      <c r="C299" s="10">
        <v>7</v>
      </c>
      <c r="D299" s="10">
        <v>2</v>
      </c>
      <c r="E299" s="25" t="s">
        <v>172</v>
      </c>
      <c r="F299" s="11" t="s">
        <v>188</v>
      </c>
      <c r="G299" s="7">
        <f>'CUENTA T FONDO 100'!FK288</f>
        <v>0</v>
      </c>
      <c r="H299" s="7">
        <f>'CUENTA T VS'!FK81</f>
        <v>0</v>
      </c>
      <c r="I299" s="7"/>
      <c r="J299" s="7">
        <f t="shared" si="11"/>
        <v>0</v>
      </c>
      <c r="K299" s="6">
        <f t="shared" si="13"/>
        <v>0</v>
      </c>
    </row>
    <row r="300" spans="1:11" ht="13.8" x14ac:dyDescent="0.3">
      <c r="A300" s="18">
        <v>2</v>
      </c>
      <c r="B300" s="10">
        <v>3</v>
      </c>
      <c r="C300" s="10">
        <v>7</v>
      </c>
      <c r="D300" s="10">
        <v>2</v>
      </c>
      <c r="E300" s="25" t="s">
        <v>170</v>
      </c>
      <c r="F300" s="11" t="s">
        <v>187</v>
      </c>
      <c r="G300" s="7">
        <f>'CUENTA T FONDO 100'!FL288</f>
        <v>0</v>
      </c>
      <c r="H300" s="7">
        <f>'CUENTA T VS'!FL81</f>
        <v>0</v>
      </c>
      <c r="I300" s="7"/>
      <c r="J300" s="7">
        <f t="shared" si="11"/>
        <v>0</v>
      </c>
      <c r="K300" s="6">
        <f t="shared" si="13"/>
        <v>0</v>
      </c>
    </row>
    <row r="301" spans="1:11" ht="13.8" x14ac:dyDescent="0.25">
      <c r="A301" s="11">
        <v>2</v>
      </c>
      <c r="B301" s="10">
        <v>3</v>
      </c>
      <c r="C301" s="10">
        <v>7</v>
      </c>
      <c r="D301" s="10">
        <v>2</v>
      </c>
      <c r="E301" s="25" t="s">
        <v>61</v>
      </c>
      <c r="F301" s="37" t="s">
        <v>186</v>
      </c>
      <c r="G301" s="7">
        <f>'CUENTA T FONDO 100'!FM288</f>
        <v>0</v>
      </c>
      <c r="H301" s="7">
        <f>'CUENTA T VS'!FM81</f>
        <v>0</v>
      </c>
      <c r="I301" s="7"/>
      <c r="J301" s="7">
        <f t="shared" si="11"/>
        <v>0</v>
      </c>
      <c r="K301" s="6">
        <f t="shared" si="13"/>
        <v>0</v>
      </c>
    </row>
    <row r="302" spans="1:11" ht="13.8" x14ac:dyDescent="0.25">
      <c r="A302" s="11">
        <v>2</v>
      </c>
      <c r="B302" s="10">
        <v>3</v>
      </c>
      <c r="C302" s="10">
        <v>7</v>
      </c>
      <c r="D302" s="10">
        <v>2</v>
      </c>
      <c r="E302" s="25">
        <v>99</v>
      </c>
      <c r="F302" s="37" t="s">
        <v>6</v>
      </c>
      <c r="G302" s="7">
        <f>'CUENTA T FONDO 100'!FN288</f>
        <v>0</v>
      </c>
      <c r="H302" s="7">
        <f>'CUENTA T VS'!FN81</f>
        <v>0</v>
      </c>
      <c r="I302" s="7"/>
      <c r="J302" s="7">
        <f t="shared" si="11"/>
        <v>0</v>
      </c>
      <c r="K302" s="6">
        <f t="shared" si="13"/>
        <v>0</v>
      </c>
    </row>
    <row r="303" spans="1:11" ht="27.6" x14ac:dyDescent="0.25">
      <c r="A303" s="31">
        <v>2</v>
      </c>
      <c r="B303" s="23">
        <v>3</v>
      </c>
      <c r="C303" s="23">
        <v>8</v>
      </c>
      <c r="D303" s="23"/>
      <c r="E303" s="23"/>
      <c r="F303" s="36" t="s">
        <v>185</v>
      </c>
      <c r="G303" s="21">
        <f>+G304+G306</f>
        <v>0</v>
      </c>
      <c r="H303" s="21">
        <f>+H304+H306</f>
        <v>0</v>
      </c>
      <c r="I303" s="21">
        <f>+I304+I306</f>
        <v>0</v>
      </c>
      <c r="J303" s="21">
        <f t="shared" si="11"/>
        <v>0</v>
      </c>
      <c r="K303" s="20"/>
    </row>
    <row r="304" spans="1:11" ht="13.8" x14ac:dyDescent="0.25">
      <c r="A304" s="17">
        <v>2</v>
      </c>
      <c r="B304" s="16">
        <v>3</v>
      </c>
      <c r="C304" s="16">
        <v>8</v>
      </c>
      <c r="D304" s="16">
        <v>1</v>
      </c>
      <c r="E304" s="16"/>
      <c r="F304" s="17" t="s">
        <v>184</v>
      </c>
      <c r="G304" s="13">
        <f>SUM(G305)</f>
        <v>0</v>
      </c>
      <c r="H304" s="13">
        <f>SUM(H305)</f>
        <v>0</v>
      </c>
      <c r="I304" s="13">
        <f>SUM(I305)</f>
        <v>0</v>
      </c>
      <c r="J304" s="13">
        <f t="shared" si="11"/>
        <v>0</v>
      </c>
      <c r="K304" s="12"/>
    </row>
    <row r="305" spans="1:11" ht="13.8" x14ac:dyDescent="0.25">
      <c r="A305" s="11">
        <v>2</v>
      </c>
      <c r="B305" s="10">
        <v>3</v>
      </c>
      <c r="C305" s="10">
        <v>8</v>
      </c>
      <c r="D305" s="10">
        <v>1</v>
      </c>
      <c r="E305" s="25" t="s">
        <v>44</v>
      </c>
      <c r="F305" s="11" t="s">
        <v>184</v>
      </c>
      <c r="G305" s="7">
        <f>'CUENTA T FONDO 100'!FO288</f>
        <v>0</v>
      </c>
      <c r="H305" s="7">
        <f>'CUENTA T VS'!FO81</f>
        <v>0</v>
      </c>
      <c r="I305" s="7"/>
      <c r="J305" s="7">
        <f t="shared" si="11"/>
        <v>0</v>
      </c>
      <c r="K305" s="6">
        <f>J305/$J$25</f>
        <v>0</v>
      </c>
    </row>
    <row r="306" spans="1:11" ht="27.6" x14ac:dyDescent="0.25">
      <c r="A306" s="17">
        <v>2</v>
      </c>
      <c r="B306" s="16">
        <v>3</v>
      </c>
      <c r="C306" s="16">
        <v>8</v>
      </c>
      <c r="D306" s="16">
        <v>2</v>
      </c>
      <c r="E306" s="16"/>
      <c r="F306" s="35" t="s">
        <v>183</v>
      </c>
      <c r="G306" s="13">
        <f>SUM(G307)</f>
        <v>0</v>
      </c>
      <c r="H306" s="13">
        <f>SUM(H307)</f>
        <v>0</v>
      </c>
      <c r="I306" s="13">
        <f>SUM(I307)</f>
        <v>0</v>
      </c>
      <c r="J306" s="13">
        <f t="shared" si="11"/>
        <v>0</v>
      </c>
      <c r="K306" s="12"/>
    </row>
    <row r="307" spans="1:11" ht="27.6" x14ac:dyDescent="0.25">
      <c r="A307" s="11">
        <v>2</v>
      </c>
      <c r="B307" s="10">
        <v>3</v>
      </c>
      <c r="C307" s="10">
        <v>8</v>
      </c>
      <c r="D307" s="10">
        <v>2</v>
      </c>
      <c r="E307" s="25" t="s">
        <v>44</v>
      </c>
      <c r="F307" s="34" t="s">
        <v>183</v>
      </c>
      <c r="G307" s="7">
        <f>'CUENTA T FONDO 100'!FP288</f>
        <v>0</v>
      </c>
      <c r="H307" s="7">
        <f>'CUENTA T VS'!FP81</f>
        <v>0</v>
      </c>
      <c r="I307" s="7"/>
      <c r="J307" s="7">
        <f t="shared" si="11"/>
        <v>0</v>
      </c>
      <c r="K307" s="6">
        <f>J307/$J$25</f>
        <v>0</v>
      </c>
    </row>
    <row r="308" spans="1:11" ht="13.8" x14ac:dyDescent="0.25">
      <c r="A308" s="31">
        <v>2</v>
      </c>
      <c r="B308" s="23">
        <v>3</v>
      </c>
      <c r="C308" s="23">
        <v>9</v>
      </c>
      <c r="D308" s="23"/>
      <c r="E308" s="23"/>
      <c r="F308" s="31" t="s">
        <v>182</v>
      </c>
      <c r="G308" s="21">
        <f>+G309+G312+G314+G316+G318+G320+G322+G324+G327</f>
        <v>1263056.98</v>
      </c>
      <c r="H308" s="21">
        <f>+H309+H312+H314+H316+H318+H320+H322+H324+H327</f>
        <v>1899402.83</v>
      </c>
      <c r="I308" s="21">
        <f>+I309+I312+I314+I316+I318+I320+I322+I324+I327</f>
        <v>0</v>
      </c>
      <c r="J308" s="21">
        <f t="shared" si="11"/>
        <v>3162459.81</v>
      </c>
      <c r="K308" s="20"/>
    </row>
    <row r="309" spans="1:11" ht="13.8" x14ac:dyDescent="0.3">
      <c r="A309" s="19">
        <v>2</v>
      </c>
      <c r="B309" s="16">
        <v>3</v>
      </c>
      <c r="C309" s="16">
        <v>9</v>
      </c>
      <c r="D309" s="16">
        <v>1</v>
      </c>
      <c r="E309" s="16"/>
      <c r="F309" s="17" t="s">
        <v>5</v>
      </c>
      <c r="G309" s="13">
        <f>SUM(G310:G311)</f>
        <v>0</v>
      </c>
      <c r="H309" s="13">
        <f>SUM(H310:H311)</f>
        <v>0</v>
      </c>
      <c r="I309" s="13">
        <f>SUM(I310:I311)</f>
        <v>0</v>
      </c>
      <c r="J309" s="13">
        <f>SUM(G309:I309)</f>
        <v>0</v>
      </c>
      <c r="K309" s="12"/>
    </row>
    <row r="310" spans="1:11" ht="13.8" x14ac:dyDescent="0.3">
      <c r="A310" s="18">
        <v>2</v>
      </c>
      <c r="B310" s="10">
        <v>3</v>
      </c>
      <c r="C310" s="10">
        <v>9</v>
      </c>
      <c r="D310" s="10">
        <v>1</v>
      </c>
      <c r="E310" s="25" t="s">
        <v>44</v>
      </c>
      <c r="F310" s="11" t="s">
        <v>404</v>
      </c>
      <c r="G310" s="7">
        <f>'CUENTA T FONDO 100'!FQ288</f>
        <v>0</v>
      </c>
      <c r="H310" s="7">
        <f>'CUENTA T VS'!FQ81</f>
        <v>0</v>
      </c>
      <c r="I310" s="7"/>
      <c r="J310" s="7">
        <f t="shared" si="11"/>
        <v>0</v>
      </c>
      <c r="K310" s="6">
        <f>J310/$J$25</f>
        <v>0</v>
      </c>
    </row>
    <row r="311" spans="1:11" ht="13.8" x14ac:dyDescent="0.3">
      <c r="A311" s="18">
        <v>2</v>
      </c>
      <c r="B311" s="10">
        <v>3</v>
      </c>
      <c r="C311" s="10">
        <v>9</v>
      </c>
      <c r="D311" s="10">
        <v>1</v>
      </c>
      <c r="E311" s="25" t="s">
        <v>43</v>
      </c>
      <c r="F311" s="11" t="s">
        <v>405</v>
      </c>
      <c r="G311" s="7">
        <f>'CUENTA T FONDO 100'!FR288</f>
        <v>0</v>
      </c>
      <c r="H311" s="7">
        <f>'CUENTA T VS'!FR81</f>
        <v>0</v>
      </c>
      <c r="I311" s="7"/>
      <c r="J311" s="7">
        <f t="shared" si="11"/>
        <v>0</v>
      </c>
      <c r="K311" s="6">
        <f>J311/$J$25</f>
        <v>0</v>
      </c>
    </row>
    <row r="312" spans="1:11" ht="13.8" x14ac:dyDescent="0.3">
      <c r="A312" s="19">
        <v>2</v>
      </c>
      <c r="B312" s="16">
        <v>3</v>
      </c>
      <c r="C312" s="16">
        <v>9</v>
      </c>
      <c r="D312" s="16">
        <v>2</v>
      </c>
      <c r="E312" s="16"/>
      <c r="F312" s="17" t="s">
        <v>407</v>
      </c>
      <c r="G312" s="13">
        <f>SUM(G313)</f>
        <v>0</v>
      </c>
      <c r="H312" s="13">
        <f>SUM(H313)</f>
        <v>0</v>
      </c>
      <c r="I312" s="13">
        <f>SUM(I313)</f>
        <v>0</v>
      </c>
      <c r="J312" s="13">
        <f t="shared" si="11"/>
        <v>0</v>
      </c>
      <c r="K312" s="12"/>
    </row>
    <row r="313" spans="1:11" ht="13.8" x14ac:dyDescent="0.3">
      <c r="A313" s="18">
        <v>2</v>
      </c>
      <c r="B313" s="10">
        <v>3</v>
      </c>
      <c r="C313" s="10">
        <v>9</v>
      </c>
      <c r="D313" s="10">
        <v>2</v>
      </c>
      <c r="E313" s="25" t="s">
        <v>44</v>
      </c>
      <c r="F313" s="11" t="s">
        <v>406</v>
      </c>
      <c r="G313" s="7">
        <f>'CUENTA T FONDO 100'!FS288</f>
        <v>0</v>
      </c>
      <c r="H313" s="7">
        <f>'CUENTA T VS'!FS81</f>
        <v>0</v>
      </c>
      <c r="I313" s="7"/>
      <c r="J313" s="7">
        <f t="shared" si="11"/>
        <v>0</v>
      </c>
      <c r="K313" s="6">
        <f>J313/$J$25</f>
        <v>0</v>
      </c>
    </row>
    <row r="314" spans="1:11" ht="13.8" x14ac:dyDescent="0.3">
      <c r="A314" s="19">
        <v>2</v>
      </c>
      <c r="B314" s="16">
        <v>3</v>
      </c>
      <c r="C314" s="16">
        <v>9</v>
      </c>
      <c r="D314" s="16">
        <v>3</v>
      </c>
      <c r="E314" s="16"/>
      <c r="F314" s="17" t="s">
        <v>181</v>
      </c>
      <c r="G314" s="13">
        <f>SUM(G315)</f>
        <v>1263056.98</v>
      </c>
      <c r="H314" s="13">
        <f>SUM(H315)</f>
        <v>1799341.1300000001</v>
      </c>
      <c r="I314" s="13">
        <f>SUM(I315)</f>
        <v>0</v>
      </c>
      <c r="J314" s="13">
        <f t="shared" si="11"/>
        <v>3062398.1100000003</v>
      </c>
      <c r="K314" s="12"/>
    </row>
    <row r="315" spans="1:11" ht="13.8" x14ac:dyDescent="0.3">
      <c r="A315" s="18">
        <v>2</v>
      </c>
      <c r="B315" s="10">
        <v>3</v>
      </c>
      <c r="C315" s="10">
        <v>9</v>
      </c>
      <c r="D315" s="10">
        <v>3</v>
      </c>
      <c r="E315" s="25" t="s">
        <v>44</v>
      </c>
      <c r="F315" s="11" t="s">
        <v>181</v>
      </c>
      <c r="G315" s="7">
        <f>'CUENTA T FONDO 100'!FT288</f>
        <v>1263056.98</v>
      </c>
      <c r="H315" s="7">
        <f>'CUENTA T VS'!FT81</f>
        <v>1799341.1300000001</v>
      </c>
      <c r="I315" s="7"/>
      <c r="J315" s="7">
        <f t="shared" si="11"/>
        <v>3062398.1100000003</v>
      </c>
      <c r="K315" s="6">
        <f>J315/$J$25</f>
        <v>3.9831815124262988E-2</v>
      </c>
    </row>
    <row r="316" spans="1:11" ht="13.8" x14ac:dyDescent="0.3">
      <c r="A316" s="19">
        <v>2</v>
      </c>
      <c r="B316" s="16">
        <v>3</v>
      </c>
      <c r="C316" s="16">
        <v>9</v>
      </c>
      <c r="D316" s="16">
        <v>4</v>
      </c>
      <c r="E316" s="16"/>
      <c r="F316" s="17" t="s">
        <v>180</v>
      </c>
      <c r="G316" s="13">
        <f>SUM(G317)</f>
        <v>0</v>
      </c>
      <c r="H316" s="13">
        <f>SUM(H317)</f>
        <v>0</v>
      </c>
      <c r="I316" s="13">
        <f>SUM(I317)</f>
        <v>0</v>
      </c>
      <c r="J316" s="13">
        <f t="shared" si="11"/>
        <v>0</v>
      </c>
      <c r="K316" s="12"/>
    </row>
    <row r="317" spans="1:11" ht="13.8" x14ac:dyDescent="0.3">
      <c r="A317" s="18">
        <v>2</v>
      </c>
      <c r="B317" s="10">
        <v>3</v>
      </c>
      <c r="C317" s="10">
        <v>9</v>
      </c>
      <c r="D317" s="10">
        <v>4</v>
      </c>
      <c r="E317" s="25" t="s">
        <v>44</v>
      </c>
      <c r="F317" s="11" t="s">
        <v>180</v>
      </c>
      <c r="G317" s="7">
        <f>'CUENTA T FONDO 100'!FU288</f>
        <v>0</v>
      </c>
      <c r="H317" s="7">
        <f>'CUENTA T VS'!FU81</f>
        <v>0</v>
      </c>
      <c r="I317" s="7"/>
      <c r="J317" s="7">
        <f t="shared" si="11"/>
        <v>0</v>
      </c>
      <c r="K317" s="6">
        <f>J317/$J$25</f>
        <v>0</v>
      </c>
    </row>
    <row r="318" spans="1:11" ht="13.8" x14ac:dyDescent="0.3">
      <c r="A318" s="19">
        <v>2</v>
      </c>
      <c r="B318" s="16">
        <v>3</v>
      </c>
      <c r="C318" s="16">
        <v>9</v>
      </c>
      <c r="D318" s="16">
        <v>5</v>
      </c>
      <c r="E318" s="16"/>
      <c r="F318" s="17" t="s">
        <v>4</v>
      </c>
      <c r="G318" s="13">
        <f>SUM(G319)</f>
        <v>0</v>
      </c>
      <c r="H318" s="13">
        <f>SUM(H319)</f>
        <v>0</v>
      </c>
      <c r="I318" s="13">
        <f>SUM(I319)</f>
        <v>0</v>
      </c>
      <c r="J318" s="13">
        <f t="shared" si="11"/>
        <v>0</v>
      </c>
      <c r="K318" s="12"/>
    </row>
    <row r="319" spans="1:11" ht="13.8" x14ac:dyDescent="0.3">
      <c r="A319" s="18">
        <v>2</v>
      </c>
      <c r="B319" s="10">
        <v>3</v>
      </c>
      <c r="C319" s="10">
        <v>9</v>
      </c>
      <c r="D319" s="10">
        <v>5</v>
      </c>
      <c r="E319" s="25" t="s">
        <v>44</v>
      </c>
      <c r="F319" s="11" t="s">
        <v>4</v>
      </c>
      <c r="G319" s="7">
        <f>'CUENTA T FONDO 100'!FV288</f>
        <v>0</v>
      </c>
      <c r="H319" s="7">
        <f>'CUENTA T VS'!FV81</f>
        <v>0</v>
      </c>
      <c r="I319" s="7"/>
      <c r="J319" s="7">
        <f t="shared" si="11"/>
        <v>0</v>
      </c>
      <c r="K319" s="6">
        <f>J319/$J$25</f>
        <v>0</v>
      </c>
    </row>
    <row r="320" spans="1:11" ht="13.8" x14ac:dyDescent="0.3">
      <c r="A320" s="19">
        <v>2</v>
      </c>
      <c r="B320" s="16">
        <v>3</v>
      </c>
      <c r="C320" s="16">
        <v>9</v>
      </c>
      <c r="D320" s="16">
        <v>6</v>
      </c>
      <c r="E320" s="16"/>
      <c r="F320" s="17" t="s">
        <v>3</v>
      </c>
      <c r="G320" s="13">
        <f>SUM(G321)</f>
        <v>0</v>
      </c>
      <c r="H320" s="13">
        <f>SUM(H321)</f>
        <v>0</v>
      </c>
      <c r="I320" s="13">
        <f>SUM(I321)</f>
        <v>0</v>
      </c>
      <c r="J320" s="13">
        <f t="shared" si="11"/>
        <v>0</v>
      </c>
      <c r="K320" s="12"/>
    </row>
    <row r="321" spans="1:11" ht="13.8" x14ac:dyDescent="0.3">
      <c r="A321" s="18">
        <v>2</v>
      </c>
      <c r="B321" s="10">
        <v>3</v>
      </c>
      <c r="C321" s="10">
        <v>9</v>
      </c>
      <c r="D321" s="10">
        <v>6</v>
      </c>
      <c r="E321" s="25" t="s">
        <v>44</v>
      </c>
      <c r="F321" s="11" t="s">
        <v>3</v>
      </c>
      <c r="G321" s="7">
        <f>'CUENTA T FONDO 100'!FW288</f>
        <v>0</v>
      </c>
      <c r="H321" s="7">
        <f>'CUENTA T VS'!FW81</f>
        <v>0</v>
      </c>
      <c r="I321" s="7"/>
      <c r="J321" s="7">
        <f t="shared" si="11"/>
        <v>0</v>
      </c>
      <c r="K321" s="6">
        <f>J321/$J$25</f>
        <v>0</v>
      </c>
    </row>
    <row r="322" spans="1:11" ht="13.8" x14ac:dyDescent="0.3">
      <c r="A322" s="19">
        <v>2</v>
      </c>
      <c r="B322" s="16">
        <v>3</v>
      </c>
      <c r="C322" s="16">
        <v>9</v>
      </c>
      <c r="D322" s="16">
        <v>7</v>
      </c>
      <c r="E322" s="16"/>
      <c r="F322" s="17" t="s">
        <v>179</v>
      </c>
      <c r="G322" s="13">
        <f>SUM(G323)</f>
        <v>0</v>
      </c>
      <c r="H322" s="13">
        <f>SUM(H323)</f>
        <v>0</v>
      </c>
      <c r="I322" s="13">
        <f>SUM(I323)</f>
        <v>0</v>
      </c>
      <c r="J322" s="13">
        <f t="shared" si="11"/>
        <v>0</v>
      </c>
      <c r="K322" s="12"/>
    </row>
    <row r="323" spans="1:11" ht="13.8" x14ac:dyDescent="0.3">
      <c r="A323" s="18">
        <v>2</v>
      </c>
      <c r="B323" s="10">
        <v>3</v>
      </c>
      <c r="C323" s="10">
        <v>9</v>
      </c>
      <c r="D323" s="10">
        <v>7</v>
      </c>
      <c r="E323" s="25" t="s">
        <v>44</v>
      </c>
      <c r="F323" s="11" t="s">
        <v>179</v>
      </c>
      <c r="G323" s="7">
        <f>'CUENTA T FONDO 100'!FX288</f>
        <v>0</v>
      </c>
      <c r="H323" s="7">
        <f>'CUENTA T VS'!FX81</f>
        <v>0</v>
      </c>
      <c r="I323" s="7"/>
      <c r="J323" s="7">
        <f t="shared" si="11"/>
        <v>0</v>
      </c>
      <c r="K323" s="6">
        <f>J323/$J$25</f>
        <v>0</v>
      </c>
    </row>
    <row r="324" spans="1:11" ht="13.8" x14ac:dyDescent="0.3">
      <c r="A324" s="19">
        <v>2</v>
      </c>
      <c r="B324" s="16">
        <v>3</v>
      </c>
      <c r="C324" s="16">
        <v>9</v>
      </c>
      <c r="D324" s="16">
        <v>8</v>
      </c>
      <c r="E324" s="16"/>
      <c r="F324" s="17" t="s">
        <v>2</v>
      </c>
      <c r="G324" s="13">
        <f>SUM(G325:G326)</f>
        <v>0</v>
      </c>
      <c r="H324" s="13">
        <f>SUM(H325:H326)</f>
        <v>0</v>
      </c>
      <c r="I324" s="13">
        <f>SUM(I325:I326)</f>
        <v>0</v>
      </c>
      <c r="J324" s="13">
        <f t="shared" si="11"/>
        <v>0</v>
      </c>
      <c r="K324" s="12"/>
    </row>
    <row r="325" spans="1:11" ht="13.8" x14ac:dyDescent="0.3">
      <c r="A325" s="18">
        <v>2</v>
      </c>
      <c r="B325" s="10">
        <v>3</v>
      </c>
      <c r="C325" s="10">
        <v>9</v>
      </c>
      <c r="D325" s="10">
        <v>8</v>
      </c>
      <c r="E325" s="25" t="s">
        <v>44</v>
      </c>
      <c r="F325" s="11" t="s">
        <v>178</v>
      </c>
      <c r="G325" s="7">
        <f>'CUENTA T FONDO 100'!FY288</f>
        <v>0</v>
      </c>
      <c r="H325" s="7">
        <f>'CUENTA T VS'!FY81</f>
        <v>0</v>
      </c>
      <c r="I325" s="7"/>
      <c r="J325" s="7">
        <f t="shared" si="11"/>
        <v>0</v>
      </c>
      <c r="K325" s="6">
        <f>J325/$J$25</f>
        <v>0</v>
      </c>
    </row>
    <row r="326" spans="1:11" ht="13.8" x14ac:dyDescent="0.3">
      <c r="A326" s="18">
        <v>2</v>
      </c>
      <c r="B326" s="10">
        <v>3</v>
      </c>
      <c r="C326" s="10">
        <v>9</v>
      </c>
      <c r="D326" s="10">
        <v>8</v>
      </c>
      <c r="E326" s="25" t="s">
        <v>43</v>
      </c>
      <c r="F326" s="11" t="s">
        <v>177</v>
      </c>
      <c r="G326" s="7">
        <f>'CUENTA T FONDO 100'!FZ288</f>
        <v>0</v>
      </c>
      <c r="H326" s="7">
        <f>'CUENTA T VS'!FZ81</f>
        <v>0</v>
      </c>
      <c r="I326" s="7"/>
      <c r="J326" s="7">
        <f t="shared" si="11"/>
        <v>0</v>
      </c>
      <c r="K326" s="6">
        <f>J326/$J$25</f>
        <v>0</v>
      </c>
    </row>
    <row r="327" spans="1:11" ht="13.8" x14ac:dyDescent="0.3">
      <c r="A327" s="19">
        <v>2</v>
      </c>
      <c r="B327" s="16">
        <v>3</v>
      </c>
      <c r="C327" s="16">
        <v>9</v>
      </c>
      <c r="D327" s="16">
        <v>9</v>
      </c>
      <c r="E327" s="16"/>
      <c r="F327" s="17" t="s">
        <v>1</v>
      </c>
      <c r="G327" s="13">
        <f>SUM(G328:G329)</f>
        <v>0</v>
      </c>
      <c r="H327" s="13">
        <f>SUM(H328:H329)</f>
        <v>100061.7</v>
      </c>
      <c r="I327" s="13">
        <f>SUM(I328)</f>
        <v>0</v>
      </c>
      <c r="J327" s="13">
        <f t="shared" si="11"/>
        <v>100061.7</v>
      </c>
      <c r="K327" s="12"/>
    </row>
    <row r="328" spans="1:11" ht="13.8" x14ac:dyDescent="0.3">
      <c r="A328" s="18">
        <v>2</v>
      </c>
      <c r="B328" s="10">
        <v>3</v>
      </c>
      <c r="C328" s="10">
        <v>9</v>
      </c>
      <c r="D328" s="10">
        <v>9</v>
      </c>
      <c r="E328" s="25" t="s">
        <v>44</v>
      </c>
      <c r="F328" s="11" t="s">
        <v>1</v>
      </c>
      <c r="G328" s="7">
        <f>'CUENTA T FONDO 100'!GA288</f>
        <v>0</v>
      </c>
      <c r="H328" s="7">
        <f>'CUENTA T VS'!GA81</f>
        <v>100061.7</v>
      </c>
      <c r="I328" s="7"/>
      <c r="J328" s="7">
        <f t="shared" si="11"/>
        <v>100061.7</v>
      </c>
      <c r="K328" s="6">
        <f>J328/$J$25</f>
        <v>1.301476487464089E-3</v>
      </c>
    </row>
    <row r="329" spans="1:11" ht="13.8" x14ac:dyDescent="0.3">
      <c r="A329" s="18">
        <v>2</v>
      </c>
      <c r="B329" s="10">
        <v>3</v>
      </c>
      <c r="C329" s="10">
        <v>9</v>
      </c>
      <c r="D329" s="10">
        <v>9</v>
      </c>
      <c r="E329" s="25" t="s">
        <v>172</v>
      </c>
      <c r="F329" s="11" t="s">
        <v>408</v>
      </c>
      <c r="G329" s="7">
        <f>'CUENTA T FONDO 100'!GB288</f>
        <v>0</v>
      </c>
      <c r="H329" s="7">
        <f>'CUENTA T VS'!GB81</f>
        <v>0</v>
      </c>
      <c r="I329" s="7"/>
      <c r="J329" s="7">
        <f>SUM(G329:I329)</f>
        <v>0</v>
      </c>
      <c r="K329" s="6">
        <f>J329/$J$25</f>
        <v>0</v>
      </c>
    </row>
    <row r="330" spans="1:11" ht="13.8" x14ac:dyDescent="0.3">
      <c r="A330" s="24">
        <v>2</v>
      </c>
      <c r="B330" s="23">
        <v>4</v>
      </c>
      <c r="C330" s="23">
        <v>1</v>
      </c>
      <c r="D330" s="23">
        <v>2</v>
      </c>
      <c r="E330" s="23"/>
      <c r="F330" s="22" t="s">
        <v>176</v>
      </c>
      <c r="G330" s="21">
        <f>G331+G332+G333+G334+G335</f>
        <v>0</v>
      </c>
      <c r="H330" s="21">
        <f>H331+H332+H333+H334+H335</f>
        <v>136966.70000000001</v>
      </c>
      <c r="I330" s="21">
        <f>I331+I332+I333+I334+I335</f>
        <v>0</v>
      </c>
      <c r="J330" s="21">
        <f t="shared" si="11"/>
        <v>136966.70000000001</v>
      </c>
      <c r="K330" s="20">
        <f>+J330/J25</f>
        <v>1.781490216691778E-3</v>
      </c>
    </row>
    <row r="331" spans="1:11" ht="13.8" x14ac:dyDescent="0.3">
      <c r="A331" s="18">
        <v>2</v>
      </c>
      <c r="B331" s="10">
        <v>4</v>
      </c>
      <c r="C331" s="10">
        <v>1</v>
      </c>
      <c r="D331" s="10">
        <v>2</v>
      </c>
      <c r="E331" s="25" t="s">
        <v>44</v>
      </c>
      <c r="F331" s="11" t="s">
        <v>175</v>
      </c>
      <c r="G331" s="7">
        <f>'CUENTA T FONDO 100'!GC288</f>
        <v>0</v>
      </c>
      <c r="H331" s="7">
        <f>'CUENTA T VS'!GC81</f>
        <v>6800</v>
      </c>
      <c r="I331" s="7"/>
      <c r="J331" s="7">
        <f t="shared" si="11"/>
        <v>6800</v>
      </c>
      <c r="K331" s="6">
        <f t="shared" ref="K331:K336" si="14">J331/$J$25</f>
        <v>8.8445830070404621E-5</v>
      </c>
    </row>
    <row r="332" spans="1:11" ht="13.8" x14ac:dyDescent="0.3">
      <c r="A332" s="18">
        <v>2</v>
      </c>
      <c r="B332" s="10">
        <v>4</v>
      </c>
      <c r="C332" s="10">
        <v>1</v>
      </c>
      <c r="D332" s="10">
        <v>2</v>
      </c>
      <c r="E332" s="25" t="s">
        <v>43</v>
      </c>
      <c r="F332" s="11" t="s">
        <v>174</v>
      </c>
      <c r="G332" s="7">
        <f>'CUENTA T FONDO 100'!GD288</f>
        <v>0</v>
      </c>
      <c r="H332" s="7">
        <f>'CUENTA T VS'!GD81</f>
        <v>130166.7</v>
      </c>
      <c r="I332" s="7"/>
      <c r="J332" s="7">
        <f t="shared" si="11"/>
        <v>130166.7</v>
      </c>
      <c r="K332" s="6">
        <f t="shared" si="14"/>
        <v>1.693044386621373E-3</v>
      </c>
    </row>
    <row r="333" spans="1:11" ht="13.8" x14ac:dyDescent="0.3">
      <c r="A333" s="18">
        <v>2</v>
      </c>
      <c r="B333" s="10">
        <v>4</v>
      </c>
      <c r="C333" s="10">
        <v>1</v>
      </c>
      <c r="D333" s="10">
        <v>2</v>
      </c>
      <c r="E333" s="25" t="s">
        <v>104</v>
      </c>
      <c r="F333" s="11" t="s">
        <v>173</v>
      </c>
      <c r="G333" s="7">
        <f>'CUENTA T FONDO 100'!GE288</f>
        <v>0</v>
      </c>
      <c r="H333" s="7">
        <f>'CUENTA T VS'!GE81</f>
        <v>0</v>
      </c>
      <c r="I333" s="7"/>
      <c r="J333" s="7">
        <f t="shared" si="11"/>
        <v>0</v>
      </c>
      <c r="K333" s="6">
        <f t="shared" si="14"/>
        <v>0</v>
      </c>
    </row>
    <row r="334" spans="1:11" ht="13.8" x14ac:dyDescent="0.3">
      <c r="A334" s="18">
        <v>2</v>
      </c>
      <c r="B334" s="10">
        <v>4</v>
      </c>
      <c r="C334" s="10">
        <v>1</v>
      </c>
      <c r="D334" s="10">
        <v>2</v>
      </c>
      <c r="E334" s="25" t="s">
        <v>172</v>
      </c>
      <c r="F334" s="11" t="s">
        <v>171</v>
      </c>
      <c r="G334" s="7">
        <f>'CUENTA T FONDO 100'!GF288</f>
        <v>0</v>
      </c>
      <c r="H334" s="7">
        <f>'CUENTA T VS'!GF81</f>
        <v>0</v>
      </c>
      <c r="I334" s="7"/>
      <c r="J334" s="7">
        <f t="shared" si="11"/>
        <v>0</v>
      </c>
      <c r="K334" s="6">
        <f t="shared" si="14"/>
        <v>0</v>
      </c>
    </row>
    <row r="335" spans="1:11" ht="13.8" x14ac:dyDescent="0.3">
      <c r="A335" s="18">
        <v>2</v>
      </c>
      <c r="B335" s="10">
        <v>4</v>
      </c>
      <c r="C335" s="10">
        <v>1</v>
      </c>
      <c r="D335" s="10">
        <v>2</v>
      </c>
      <c r="E335" s="25" t="s">
        <v>170</v>
      </c>
      <c r="F335" s="11" t="s">
        <v>169</v>
      </c>
      <c r="G335" s="7">
        <f>'CUENTA T FONDO 100'!GG288</f>
        <v>0</v>
      </c>
      <c r="H335" s="7">
        <f>'CUENTA T VS'!GG81</f>
        <v>0</v>
      </c>
      <c r="I335" s="7"/>
      <c r="J335" s="7">
        <f t="shared" si="11"/>
        <v>0</v>
      </c>
      <c r="K335" s="6">
        <f t="shared" si="14"/>
        <v>0</v>
      </c>
    </row>
    <row r="336" spans="1:11" ht="13.8" x14ac:dyDescent="0.3">
      <c r="A336" s="24">
        <v>2</v>
      </c>
      <c r="B336" s="23">
        <v>6</v>
      </c>
      <c r="C336" s="23"/>
      <c r="D336" s="23"/>
      <c r="E336" s="23"/>
      <c r="F336" s="22" t="s">
        <v>168</v>
      </c>
      <c r="G336" s="21">
        <f>G337+G348+G357+G366+G383+G400+G405+G424+G446</f>
        <v>0</v>
      </c>
      <c r="H336" s="21">
        <f>H337+H348+H357+H366+H383+H400+H405+H424+H446</f>
        <v>887994.84</v>
      </c>
      <c r="I336" s="21">
        <f>I337+I348+I357+I366+I383+I400+I405+I424+I446</f>
        <v>0</v>
      </c>
      <c r="J336" s="21">
        <f t="shared" si="11"/>
        <v>887994.84</v>
      </c>
      <c r="K336" s="20">
        <f t="shared" si="14"/>
        <v>1.1549917753240609E-2</v>
      </c>
    </row>
    <row r="337" spans="1:11" ht="13.8" x14ac:dyDescent="0.25">
      <c r="A337" s="31">
        <v>2</v>
      </c>
      <c r="B337" s="23">
        <v>6</v>
      </c>
      <c r="C337" s="23">
        <v>1</v>
      </c>
      <c r="D337" s="23"/>
      <c r="E337" s="23"/>
      <c r="F337" s="22" t="s">
        <v>167</v>
      </c>
      <c r="G337" s="21">
        <f>+G338+G340+G342+G344+G346</f>
        <v>0</v>
      </c>
      <c r="H337" s="21">
        <f>+H338+H340+H342+H344+H346</f>
        <v>0</v>
      </c>
      <c r="I337" s="21">
        <f>+I338+I340+I342+I344+I346</f>
        <v>0</v>
      </c>
      <c r="J337" s="21">
        <f t="shared" si="11"/>
        <v>0</v>
      </c>
      <c r="K337" s="20"/>
    </row>
    <row r="338" spans="1:11" ht="13.8" x14ac:dyDescent="0.25">
      <c r="A338" s="17">
        <v>2</v>
      </c>
      <c r="B338" s="16">
        <v>6</v>
      </c>
      <c r="C338" s="16">
        <v>1</v>
      </c>
      <c r="D338" s="16">
        <v>1</v>
      </c>
      <c r="E338" s="16"/>
      <c r="F338" s="14" t="s">
        <v>409</v>
      </c>
      <c r="G338" s="13">
        <f>SUM(G339)</f>
        <v>0</v>
      </c>
      <c r="H338" s="13">
        <f>SUM(H339)</f>
        <v>0</v>
      </c>
      <c r="I338" s="13">
        <f>SUM(I339)</f>
        <v>0</v>
      </c>
      <c r="J338" s="13">
        <f t="shared" si="11"/>
        <v>0</v>
      </c>
      <c r="K338" s="12"/>
    </row>
    <row r="339" spans="1:11" ht="13.8" x14ac:dyDescent="0.25">
      <c r="A339" s="11">
        <v>2</v>
      </c>
      <c r="B339" s="10">
        <v>6</v>
      </c>
      <c r="C339" s="10">
        <v>1</v>
      </c>
      <c r="D339" s="10">
        <v>1</v>
      </c>
      <c r="E339" s="25" t="s">
        <v>44</v>
      </c>
      <c r="F339" s="9" t="s">
        <v>409</v>
      </c>
      <c r="G339" s="7">
        <f>'CUENTA T FONDO 100'!GH288</f>
        <v>0</v>
      </c>
      <c r="H339" s="7">
        <f>'CUENTA T VS'!GH81</f>
        <v>0</v>
      </c>
      <c r="I339" s="8"/>
      <c r="J339" s="7">
        <f t="shared" si="11"/>
        <v>0</v>
      </c>
      <c r="K339" s="6">
        <f>J339/$J$25</f>
        <v>0</v>
      </c>
    </row>
    <row r="340" spans="1:11" ht="13.8" x14ac:dyDescent="0.25">
      <c r="A340" s="17">
        <v>2</v>
      </c>
      <c r="B340" s="16">
        <v>6</v>
      </c>
      <c r="C340" s="16">
        <v>1</v>
      </c>
      <c r="D340" s="16">
        <v>2</v>
      </c>
      <c r="E340" s="16"/>
      <c r="F340" s="14" t="s">
        <v>166</v>
      </c>
      <c r="G340" s="13">
        <f>SUM(G341)</f>
        <v>0</v>
      </c>
      <c r="H340" s="13">
        <f>SUM(H341)</f>
        <v>0</v>
      </c>
      <c r="I340" s="13">
        <f>SUM(I341)</f>
        <v>0</v>
      </c>
      <c r="J340" s="13">
        <f t="shared" si="11"/>
        <v>0</v>
      </c>
      <c r="K340" s="12"/>
    </row>
    <row r="341" spans="1:11" ht="13.8" x14ac:dyDescent="0.25">
      <c r="A341" s="11">
        <v>2</v>
      </c>
      <c r="B341" s="10">
        <v>6</v>
      </c>
      <c r="C341" s="10">
        <v>1</v>
      </c>
      <c r="D341" s="10">
        <v>2</v>
      </c>
      <c r="E341" s="25" t="s">
        <v>44</v>
      </c>
      <c r="F341" s="9" t="s">
        <v>166</v>
      </c>
      <c r="G341" s="7">
        <f>'CUENTA T FONDO 100'!GI288</f>
        <v>0</v>
      </c>
      <c r="H341" s="7">
        <f>'CUENTA T VS'!GI81</f>
        <v>0</v>
      </c>
      <c r="I341" s="8"/>
      <c r="J341" s="7">
        <f t="shared" si="11"/>
        <v>0</v>
      </c>
      <c r="K341" s="6">
        <f>J341/$J$25</f>
        <v>0</v>
      </c>
    </row>
    <row r="342" spans="1:11" ht="13.8" x14ac:dyDescent="0.25">
      <c r="A342" s="17">
        <v>2</v>
      </c>
      <c r="B342" s="16">
        <v>6</v>
      </c>
      <c r="C342" s="16">
        <v>1</v>
      </c>
      <c r="D342" s="16">
        <v>3</v>
      </c>
      <c r="E342" s="16"/>
      <c r="F342" s="14" t="s">
        <v>410</v>
      </c>
      <c r="G342" s="13">
        <f>SUM(G343)</f>
        <v>0</v>
      </c>
      <c r="H342" s="13">
        <f>SUM(H343)</f>
        <v>0</v>
      </c>
      <c r="I342" s="13">
        <f>SUM(I343)</f>
        <v>0</v>
      </c>
      <c r="J342" s="13">
        <f t="shared" si="11"/>
        <v>0</v>
      </c>
      <c r="K342" s="12"/>
    </row>
    <row r="343" spans="1:11" ht="13.8" x14ac:dyDescent="0.25">
      <c r="A343" s="11">
        <v>2</v>
      </c>
      <c r="B343" s="10">
        <v>6</v>
      </c>
      <c r="C343" s="10">
        <v>1</v>
      </c>
      <c r="D343" s="10">
        <v>3</v>
      </c>
      <c r="E343" s="25" t="s">
        <v>44</v>
      </c>
      <c r="F343" s="9" t="s">
        <v>410</v>
      </c>
      <c r="G343" s="7">
        <f>'CUENTA T FONDO 100'!GJ288</f>
        <v>0</v>
      </c>
      <c r="H343" s="7">
        <f>'CUENTA T VS'!GJ81</f>
        <v>0</v>
      </c>
      <c r="I343" s="8"/>
      <c r="J343" s="7">
        <f t="shared" si="11"/>
        <v>0</v>
      </c>
      <c r="K343" s="6">
        <f>J343/$J$25</f>
        <v>0</v>
      </c>
    </row>
    <row r="344" spans="1:11" ht="13.8" x14ac:dyDescent="0.25">
      <c r="A344" s="17">
        <v>2</v>
      </c>
      <c r="B344" s="16">
        <v>6</v>
      </c>
      <c r="C344" s="16">
        <v>1</v>
      </c>
      <c r="D344" s="16">
        <v>4</v>
      </c>
      <c r="E344" s="16"/>
      <c r="F344" s="14" t="s">
        <v>165</v>
      </c>
      <c r="G344" s="13">
        <f>SUM(G345)</f>
        <v>0</v>
      </c>
      <c r="H344" s="13">
        <f>SUM(H345)</f>
        <v>0</v>
      </c>
      <c r="I344" s="13">
        <f>SUM(I345)</f>
        <v>0</v>
      </c>
      <c r="J344" s="13">
        <f t="shared" si="11"/>
        <v>0</v>
      </c>
      <c r="K344" s="12"/>
    </row>
    <row r="345" spans="1:11" ht="13.8" x14ac:dyDescent="0.25">
      <c r="A345" s="11">
        <v>2</v>
      </c>
      <c r="B345" s="10">
        <v>6</v>
      </c>
      <c r="C345" s="10">
        <v>1</v>
      </c>
      <c r="D345" s="10">
        <v>4</v>
      </c>
      <c r="E345" s="25" t="s">
        <v>44</v>
      </c>
      <c r="F345" s="9" t="s">
        <v>165</v>
      </c>
      <c r="G345" s="7">
        <f>'CUENTA T FONDO 100'!GK288</f>
        <v>0</v>
      </c>
      <c r="H345" s="7">
        <f>'CUENTA T VS'!GK81</f>
        <v>0</v>
      </c>
      <c r="I345" s="8"/>
      <c r="J345" s="7">
        <f t="shared" si="11"/>
        <v>0</v>
      </c>
      <c r="K345" s="6">
        <f>J345/$J$25</f>
        <v>0</v>
      </c>
    </row>
    <row r="346" spans="1:11" ht="13.8" x14ac:dyDescent="0.25">
      <c r="A346" s="17">
        <v>2</v>
      </c>
      <c r="B346" s="16">
        <v>6</v>
      </c>
      <c r="C346" s="16">
        <v>1</v>
      </c>
      <c r="D346" s="16">
        <v>9</v>
      </c>
      <c r="E346" s="16"/>
      <c r="F346" s="14" t="s">
        <v>164</v>
      </c>
      <c r="G346" s="13">
        <f>SUM(G347)</f>
        <v>0</v>
      </c>
      <c r="H346" s="13">
        <f>SUM(H347)</f>
        <v>0</v>
      </c>
      <c r="I346" s="13">
        <f>SUM(I347)</f>
        <v>0</v>
      </c>
      <c r="J346" s="13">
        <f t="shared" si="11"/>
        <v>0</v>
      </c>
      <c r="K346" s="12"/>
    </row>
    <row r="347" spans="1:11" ht="13.8" x14ac:dyDescent="0.25">
      <c r="A347" s="11">
        <v>2</v>
      </c>
      <c r="B347" s="10">
        <v>6</v>
      </c>
      <c r="C347" s="10">
        <v>1</v>
      </c>
      <c r="D347" s="10">
        <v>9</v>
      </c>
      <c r="E347" s="25" t="s">
        <v>44</v>
      </c>
      <c r="F347" s="9" t="s">
        <v>164</v>
      </c>
      <c r="G347" s="7">
        <f>'CUENTA T FONDO 100'!GL288</f>
        <v>0</v>
      </c>
      <c r="H347" s="7">
        <f>'CUENTA T VS'!GL81</f>
        <v>0</v>
      </c>
      <c r="I347" s="8"/>
      <c r="J347" s="7">
        <f t="shared" si="11"/>
        <v>0</v>
      </c>
      <c r="K347" s="6">
        <f>J347/$J$25</f>
        <v>0</v>
      </c>
    </row>
    <row r="348" spans="1:11" ht="13.8" x14ac:dyDescent="0.25">
      <c r="A348" s="33">
        <v>2</v>
      </c>
      <c r="B348" s="33">
        <v>6</v>
      </c>
      <c r="C348" s="33">
        <v>2</v>
      </c>
      <c r="D348" s="33"/>
      <c r="E348" s="33"/>
      <c r="F348" s="32" t="s">
        <v>412</v>
      </c>
      <c r="G348" s="21">
        <f>+G349+G351+G353+G355</f>
        <v>0</v>
      </c>
      <c r="H348" s="21">
        <f>+H349+H351+H353+H355</f>
        <v>0</v>
      </c>
      <c r="I348" s="21">
        <f>+I349+I351+I353+I355</f>
        <v>0</v>
      </c>
      <c r="J348" s="21">
        <f t="shared" si="11"/>
        <v>0</v>
      </c>
      <c r="K348" s="20"/>
    </row>
    <row r="349" spans="1:11" ht="13.8" x14ac:dyDescent="0.3">
      <c r="A349" s="19">
        <v>2</v>
      </c>
      <c r="B349" s="16">
        <v>6</v>
      </c>
      <c r="C349" s="16">
        <v>2</v>
      </c>
      <c r="D349" s="16">
        <v>1</v>
      </c>
      <c r="E349" s="15"/>
      <c r="F349" s="14" t="s">
        <v>163</v>
      </c>
      <c r="G349" s="13">
        <f>SUM(G350)</f>
        <v>0</v>
      </c>
      <c r="H349" s="13">
        <f>SUM(H350)</f>
        <v>0</v>
      </c>
      <c r="I349" s="13">
        <f>SUM(I350)</f>
        <v>0</v>
      </c>
      <c r="J349" s="13">
        <f t="shared" ref="J349:J412" si="15">SUM(G349:I349)</f>
        <v>0</v>
      </c>
      <c r="K349" s="12"/>
    </row>
    <row r="350" spans="1:11" ht="13.8" x14ac:dyDescent="0.3">
      <c r="A350" s="18">
        <v>2</v>
      </c>
      <c r="B350" s="10">
        <v>6</v>
      </c>
      <c r="C350" s="10">
        <v>2</v>
      </c>
      <c r="D350" s="10">
        <v>1</v>
      </c>
      <c r="E350" s="25" t="s">
        <v>44</v>
      </c>
      <c r="F350" s="9" t="s">
        <v>163</v>
      </c>
      <c r="G350" s="7">
        <f>'CUENTA T FONDO 100'!GM288</f>
        <v>0</v>
      </c>
      <c r="H350" s="7">
        <f>'CUENTA T VS'!GM81</f>
        <v>0</v>
      </c>
      <c r="I350" s="8"/>
      <c r="J350" s="7">
        <f t="shared" si="15"/>
        <v>0</v>
      </c>
      <c r="K350" s="6">
        <f>J350/$J$25</f>
        <v>0</v>
      </c>
    </row>
    <row r="351" spans="1:11" ht="13.8" x14ac:dyDescent="0.3">
      <c r="A351" s="19">
        <v>2</v>
      </c>
      <c r="B351" s="16">
        <v>6</v>
      </c>
      <c r="C351" s="16">
        <v>2</v>
      </c>
      <c r="D351" s="16">
        <v>2</v>
      </c>
      <c r="E351" s="15"/>
      <c r="F351" s="14" t="s">
        <v>162</v>
      </c>
      <c r="G351" s="13">
        <f>SUM(G352)</f>
        <v>0</v>
      </c>
      <c r="H351" s="13">
        <f>SUM(H352)</f>
        <v>0</v>
      </c>
      <c r="I351" s="13">
        <f>SUM(I352)</f>
        <v>0</v>
      </c>
      <c r="J351" s="13">
        <f t="shared" si="15"/>
        <v>0</v>
      </c>
      <c r="K351" s="12"/>
    </row>
    <row r="352" spans="1:11" ht="13.8" x14ac:dyDescent="0.3">
      <c r="A352" s="18">
        <v>2</v>
      </c>
      <c r="B352" s="10">
        <v>6</v>
      </c>
      <c r="C352" s="10">
        <v>2</v>
      </c>
      <c r="D352" s="10">
        <v>2</v>
      </c>
      <c r="E352" s="25" t="s">
        <v>44</v>
      </c>
      <c r="F352" s="9" t="s">
        <v>162</v>
      </c>
      <c r="G352" s="7">
        <f>'CUENTA T FONDO 100'!GN288</f>
        <v>0</v>
      </c>
      <c r="H352" s="7">
        <f>'CUENTA T VS'!GN81</f>
        <v>0</v>
      </c>
      <c r="I352" s="8"/>
      <c r="J352" s="7">
        <f t="shared" si="15"/>
        <v>0</v>
      </c>
      <c r="K352" s="6">
        <f>J352/$J$25</f>
        <v>0</v>
      </c>
    </row>
    <row r="353" spans="1:11" ht="13.8" x14ac:dyDescent="0.3">
      <c r="A353" s="19">
        <v>2</v>
      </c>
      <c r="B353" s="16">
        <v>6</v>
      </c>
      <c r="C353" s="16">
        <v>2</v>
      </c>
      <c r="D353" s="16">
        <v>3</v>
      </c>
      <c r="E353" s="15"/>
      <c r="F353" s="14" t="s">
        <v>161</v>
      </c>
      <c r="G353" s="13">
        <f>SUM(G354)</f>
        <v>0</v>
      </c>
      <c r="H353" s="13">
        <f>SUM(H354)</f>
        <v>0</v>
      </c>
      <c r="I353" s="13">
        <f>SUM(I354)</f>
        <v>0</v>
      </c>
      <c r="J353" s="13">
        <f t="shared" si="15"/>
        <v>0</v>
      </c>
      <c r="K353" s="12"/>
    </row>
    <row r="354" spans="1:11" ht="13.8" x14ac:dyDescent="0.3">
      <c r="A354" s="18">
        <v>2</v>
      </c>
      <c r="B354" s="10">
        <v>6</v>
      </c>
      <c r="C354" s="10">
        <v>2</v>
      </c>
      <c r="D354" s="10">
        <v>3</v>
      </c>
      <c r="E354" s="25" t="s">
        <v>44</v>
      </c>
      <c r="F354" s="9" t="s">
        <v>161</v>
      </c>
      <c r="G354" s="7">
        <f>'CUENTA T FONDO 100'!GO288</f>
        <v>0</v>
      </c>
      <c r="H354" s="7">
        <f>'CUENTA T VS'!GO81</f>
        <v>0</v>
      </c>
      <c r="I354" s="8"/>
      <c r="J354" s="7">
        <f t="shared" si="15"/>
        <v>0</v>
      </c>
      <c r="K354" s="6">
        <f>J354/$J$25</f>
        <v>0</v>
      </c>
    </row>
    <row r="355" spans="1:11" ht="13.8" x14ac:dyDescent="0.3">
      <c r="A355" s="19">
        <v>2</v>
      </c>
      <c r="B355" s="16">
        <v>6</v>
      </c>
      <c r="C355" s="16">
        <v>2</v>
      </c>
      <c r="D355" s="16">
        <v>4</v>
      </c>
      <c r="E355" s="15"/>
      <c r="F355" s="14" t="s">
        <v>411</v>
      </c>
      <c r="G355" s="13">
        <f>SUM(G356)</f>
        <v>0</v>
      </c>
      <c r="H355" s="13">
        <f>SUM(H356)</f>
        <v>0</v>
      </c>
      <c r="I355" s="13">
        <f>SUM(I356)</f>
        <v>0</v>
      </c>
      <c r="J355" s="13">
        <f t="shared" si="15"/>
        <v>0</v>
      </c>
      <c r="K355" s="12"/>
    </row>
    <row r="356" spans="1:11" ht="13.8" x14ac:dyDescent="0.3">
      <c r="A356" s="18">
        <v>2</v>
      </c>
      <c r="B356" s="10">
        <v>6</v>
      </c>
      <c r="C356" s="10">
        <v>2</v>
      </c>
      <c r="D356" s="10">
        <v>4</v>
      </c>
      <c r="E356" s="25" t="s">
        <v>44</v>
      </c>
      <c r="F356" s="9" t="s">
        <v>411</v>
      </c>
      <c r="G356" s="7">
        <f>'CUENTA T FONDO 100'!GP288</f>
        <v>0</v>
      </c>
      <c r="H356" s="7">
        <f>'CUENTA T VS'!GP81</f>
        <v>0</v>
      </c>
      <c r="I356" s="8"/>
      <c r="J356" s="7">
        <f t="shared" si="15"/>
        <v>0</v>
      </c>
      <c r="K356" s="6">
        <f>J356/$J$25</f>
        <v>0</v>
      </c>
    </row>
    <row r="357" spans="1:11" ht="13.8" x14ac:dyDescent="0.25">
      <c r="A357" s="33">
        <v>2</v>
      </c>
      <c r="B357" s="33">
        <v>6</v>
      </c>
      <c r="C357" s="33">
        <v>3</v>
      </c>
      <c r="D357" s="33"/>
      <c r="E357" s="33"/>
      <c r="F357" s="32" t="s">
        <v>160</v>
      </c>
      <c r="G357" s="21">
        <f>+G358+G360+G362+G364</f>
        <v>0</v>
      </c>
      <c r="H357" s="21">
        <f>+H358+H360+H362+H364</f>
        <v>887994.84</v>
      </c>
      <c r="I357" s="21">
        <f>+I358+I360+I362+I364</f>
        <v>0</v>
      </c>
      <c r="J357" s="21">
        <f t="shared" si="15"/>
        <v>887994.84</v>
      </c>
      <c r="K357" s="20"/>
    </row>
    <row r="358" spans="1:11" ht="13.8" x14ac:dyDescent="0.3">
      <c r="A358" s="19">
        <v>2</v>
      </c>
      <c r="B358" s="16">
        <v>6</v>
      </c>
      <c r="C358" s="16">
        <v>3</v>
      </c>
      <c r="D358" s="16">
        <v>1</v>
      </c>
      <c r="E358" s="15"/>
      <c r="F358" s="14" t="s">
        <v>159</v>
      </c>
      <c r="G358" s="13">
        <f>SUM(G359)</f>
        <v>0</v>
      </c>
      <c r="H358" s="13">
        <f>SUM(H359)</f>
        <v>887994.84</v>
      </c>
      <c r="I358" s="13">
        <f>SUM(I359)</f>
        <v>0</v>
      </c>
      <c r="J358" s="13">
        <f t="shared" si="15"/>
        <v>887994.84</v>
      </c>
      <c r="K358" s="12"/>
    </row>
    <row r="359" spans="1:11" ht="13.8" x14ac:dyDescent="0.3">
      <c r="A359" s="18">
        <v>2</v>
      </c>
      <c r="B359" s="10">
        <v>6</v>
      </c>
      <c r="C359" s="10">
        <v>3</v>
      </c>
      <c r="D359" s="10">
        <v>1</v>
      </c>
      <c r="E359" s="25" t="s">
        <v>44</v>
      </c>
      <c r="F359" s="9" t="s">
        <v>159</v>
      </c>
      <c r="G359" s="7">
        <f>'CUENTA T FONDO 100'!GQ288</f>
        <v>0</v>
      </c>
      <c r="H359" s="7">
        <f>'CUENTA T VS'!GQ81</f>
        <v>887994.84</v>
      </c>
      <c r="I359" s="8"/>
      <c r="J359" s="7">
        <f t="shared" si="15"/>
        <v>887994.84</v>
      </c>
      <c r="K359" s="6">
        <f>J359/$J$25</f>
        <v>1.1549917753240609E-2</v>
      </c>
    </row>
    <row r="360" spans="1:11" ht="13.8" x14ac:dyDescent="0.3">
      <c r="A360" s="19">
        <v>2</v>
      </c>
      <c r="B360" s="16">
        <v>6</v>
      </c>
      <c r="C360" s="16">
        <v>3</v>
      </c>
      <c r="D360" s="16">
        <v>2</v>
      </c>
      <c r="E360" s="15"/>
      <c r="F360" s="14" t="s">
        <v>158</v>
      </c>
      <c r="G360" s="13">
        <f>SUM(G361)</f>
        <v>0</v>
      </c>
      <c r="H360" s="13">
        <f>SUM(H361)</f>
        <v>0</v>
      </c>
      <c r="I360" s="13">
        <f>SUM(I361)</f>
        <v>0</v>
      </c>
      <c r="J360" s="13">
        <f t="shared" si="15"/>
        <v>0</v>
      </c>
      <c r="K360" s="12"/>
    </row>
    <row r="361" spans="1:11" ht="13.8" x14ac:dyDescent="0.3">
      <c r="A361" s="18">
        <v>2</v>
      </c>
      <c r="B361" s="10">
        <v>6</v>
      </c>
      <c r="C361" s="10">
        <v>3</v>
      </c>
      <c r="D361" s="10">
        <v>2</v>
      </c>
      <c r="E361" s="25" t="s">
        <v>44</v>
      </c>
      <c r="F361" s="9" t="s">
        <v>158</v>
      </c>
      <c r="G361" s="7">
        <f>'CUENTA T FONDO 100'!GR288</f>
        <v>0</v>
      </c>
      <c r="H361" s="7">
        <f>'CUENTA T VS'!GR81</f>
        <v>0</v>
      </c>
      <c r="I361" s="8"/>
      <c r="J361" s="7">
        <f t="shared" si="15"/>
        <v>0</v>
      </c>
      <c r="K361" s="6">
        <f>J361/$J$25</f>
        <v>0</v>
      </c>
    </row>
    <row r="362" spans="1:11" ht="13.8" x14ac:dyDescent="0.3">
      <c r="A362" s="19">
        <v>2</v>
      </c>
      <c r="B362" s="16">
        <v>6</v>
      </c>
      <c r="C362" s="16">
        <v>3</v>
      </c>
      <c r="D362" s="16">
        <v>3</v>
      </c>
      <c r="E362" s="15"/>
      <c r="F362" s="14" t="s">
        <v>157</v>
      </c>
      <c r="G362" s="13">
        <f>SUM(G363)</f>
        <v>0</v>
      </c>
      <c r="H362" s="13">
        <f>SUM(H363)</f>
        <v>0</v>
      </c>
      <c r="I362" s="13">
        <f>SUM(I363)</f>
        <v>0</v>
      </c>
      <c r="J362" s="13">
        <f t="shared" si="15"/>
        <v>0</v>
      </c>
      <c r="K362" s="12"/>
    </row>
    <row r="363" spans="1:11" ht="13.8" x14ac:dyDescent="0.3">
      <c r="A363" s="18">
        <v>2</v>
      </c>
      <c r="B363" s="10">
        <v>6</v>
      </c>
      <c r="C363" s="10">
        <v>3</v>
      </c>
      <c r="D363" s="10">
        <v>3</v>
      </c>
      <c r="E363" s="25" t="s">
        <v>44</v>
      </c>
      <c r="F363" s="9" t="s">
        <v>157</v>
      </c>
      <c r="G363" s="7">
        <f>'CUENTA T FONDO 100'!GS288</f>
        <v>0</v>
      </c>
      <c r="H363" s="7">
        <f>'CUENTA T VS'!GS81</f>
        <v>0</v>
      </c>
      <c r="I363" s="8"/>
      <c r="J363" s="7">
        <f t="shared" si="15"/>
        <v>0</v>
      </c>
      <c r="K363" s="6">
        <f>J363/$J$25</f>
        <v>0</v>
      </c>
    </row>
    <row r="364" spans="1:11" ht="13.8" x14ac:dyDescent="0.3">
      <c r="A364" s="19">
        <v>2</v>
      </c>
      <c r="B364" s="16">
        <v>6</v>
      </c>
      <c r="C364" s="16">
        <v>3</v>
      </c>
      <c r="D364" s="16">
        <v>4</v>
      </c>
      <c r="E364" s="16"/>
      <c r="F364" s="14" t="s">
        <v>413</v>
      </c>
      <c r="G364" s="13">
        <f>+G365</f>
        <v>0</v>
      </c>
      <c r="H364" s="13">
        <f>+H365</f>
        <v>0</v>
      </c>
      <c r="I364" s="13">
        <f>+I365</f>
        <v>0</v>
      </c>
      <c r="J364" s="13">
        <f t="shared" si="15"/>
        <v>0</v>
      </c>
      <c r="K364" s="12"/>
    </row>
    <row r="365" spans="1:11" ht="13.8" x14ac:dyDescent="0.3">
      <c r="A365" s="18">
        <v>2</v>
      </c>
      <c r="B365" s="10">
        <v>6</v>
      </c>
      <c r="C365" s="10">
        <v>3</v>
      </c>
      <c r="D365" s="10">
        <v>4</v>
      </c>
      <c r="E365" s="25" t="s">
        <v>44</v>
      </c>
      <c r="F365" s="9" t="s">
        <v>413</v>
      </c>
      <c r="G365" s="7">
        <f>'CUENTA T FONDO 100'!GT288</f>
        <v>0</v>
      </c>
      <c r="H365" s="7">
        <f>'CUENTA T VS'!GT81</f>
        <v>0</v>
      </c>
      <c r="I365" s="8"/>
      <c r="J365" s="7">
        <f t="shared" si="15"/>
        <v>0</v>
      </c>
      <c r="K365" s="6">
        <f>J365/$J$25</f>
        <v>0</v>
      </c>
    </row>
    <row r="366" spans="1:11" ht="13.8" x14ac:dyDescent="0.25">
      <c r="A366" s="31">
        <v>2</v>
      </c>
      <c r="B366" s="23">
        <v>6</v>
      </c>
      <c r="C366" s="23">
        <v>4</v>
      </c>
      <c r="D366" s="23"/>
      <c r="E366" s="30"/>
      <c r="F366" s="22" t="s">
        <v>156</v>
      </c>
      <c r="G366" s="21">
        <f>+G367+G369+G371+G373+G375+G377+G379+G381</f>
        <v>0</v>
      </c>
      <c r="H366" s="21">
        <f>+H367+H369+H371+H373+H375+H377+H379+H381</f>
        <v>0</v>
      </c>
      <c r="I366" s="21">
        <f>+I367+I369+I371+I373+I375+I377+I379+I381</f>
        <v>0</v>
      </c>
      <c r="J366" s="21">
        <f t="shared" si="15"/>
        <v>0</v>
      </c>
      <c r="K366" s="20"/>
    </row>
    <row r="367" spans="1:11" ht="13.8" x14ac:dyDescent="0.3">
      <c r="A367" s="19">
        <v>2</v>
      </c>
      <c r="B367" s="16">
        <v>6</v>
      </c>
      <c r="C367" s="16">
        <v>4</v>
      </c>
      <c r="D367" s="16">
        <v>1</v>
      </c>
      <c r="E367" s="16"/>
      <c r="F367" s="14" t="s">
        <v>155</v>
      </c>
      <c r="G367" s="13">
        <f>SUM(G368)</f>
        <v>0</v>
      </c>
      <c r="H367" s="13">
        <f>SUM(H368)</f>
        <v>0</v>
      </c>
      <c r="I367" s="13">
        <f>SUM(I368)</f>
        <v>0</v>
      </c>
      <c r="J367" s="13">
        <f t="shared" si="15"/>
        <v>0</v>
      </c>
      <c r="K367" s="12"/>
    </row>
    <row r="368" spans="1:11" ht="13.8" x14ac:dyDescent="0.3">
      <c r="A368" s="18">
        <v>2</v>
      </c>
      <c r="B368" s="10">
        <v>6</v>
      </c>
      <c r="C368" s="10">
        <v>4</v>
      </c>
      <c r="D368" s="10">
        <v>1</v>
      </c>
      <c r="E368" s="25" t="s">
        <v>44</v>
      </c>
      <c r="F368" s="9" t="s">
        <v>155</v>
      </c>
      <c r="G368" s="7">
        <f>'CUENTA T FONDO 100'!GU288</f>
        <v>0</v>
      </c>
      <c r="H368" s="7">
        <f>'CUENTA T VS'!GU81</f>
        <v>0</v>
      </c>
      <c r="I368" s="8"/>
      <c r="J368" s="7">
        <f t="shared" si="15"/>
        <v>0</v>
      </c>
      <c r="K368" s="6">
        <f>J368/$J$25</f>
        <v>0</v>
      </c>
    </row>
    <row r="369" spans="1:11" ht="13.8" x14ac:dyDescent="0.3">
      <c r="A369" s="19">
        <v>2</v>
      </c>
      <c r="B369" s="16">
        <v>6</v>
      </c>
      <c r="C369" s="16">
        <v>4</v>
      </c>
      <c r="D369" s="16">
        <v>2</v>
      </c>
      <c r="E369" s="16"/>
      <c r="F369" s="14" t="s">
        <v>154</v>
      </c>
      <c r="G369" s="13">
        <f>SUM(G370)</f>
        <v>0</v>
      </c>
      <c r="H369" s="13">
        <f>SUM(H370)</f>
        <v>0</v>
      </c>
      <c r="I369" s="13">
        <f>SUM(I370)</f>
        <v>0</v>
      </c>
      <c r="J369" s="13">
        <f t="shared" si="15"/>
        <v>0</v>
      </c>
      <c r="K369" s="12"/>
    </row>
    <row r="370" spans="1:11" ht="13.8" x14ac:dyDescent="0.3">
      <c r="A370" s="18">
        <v>2</v>
      </c>
      <c r="B370" s="10">
        <v>6</v>
      </c>
      <c r="C370" s="10">
        <v>4</v>
      </c>
      <c r="D370" s="10">
        <v>2</v>
      </c>
      <c r="E370" s="25" t="s">
        <v>44</v>
      </c>
      <c r="F370" s="9" t="s">
        <v>154</v>
      </c>
      <c r="G370" s="7">
        <f>'CUENTA T FONDO 100'!GV288</f>
        <v>0</v>
      </c>
      <c r="H370" s="7">
        <f>'CUENTA T VS'!GV81</f>
        <v>0</v>
      </c>
      <c r="I370" s="8"/>
      <c r="J370" s="7">
        <f t="shared" si="15"/>
        <v>0</v>
      </c>
      <c r="K370" s="6">
        <f>J370/$J$25</f>
        <v>0</v>
      </c>
    </row>
    <row r="371" spans="1:11" ht="13.8" x14ac:dyDescent="0.3">
      <c r="A371" s="19">
        <v>2</v>
      </c>
      <c r="B371" s="16">
        <v>6</v>
      </c>
      <c r="C371" s="16">
        <v>4</v>
      </c>
      <c r="D371" s="16">
        <v>3</v>
      </c>
      <c r="E371" s="16"/>
      <c r="F371" s="14" t="s">
        <v>153</v>
      </c>
      <c r="G371" s="13">
        <f>SUM(G372)</f>
        <v>0</v>
      </c>
      <c r="H371" s="13">
        <f>SUM(H372)</f>
        <v>0</v>
      </c>
      <c r="I371" s="13">
        <f>SUM(I372)</f>
        <v>0</v>
      </c>
      <c r="J371" s="13">
        <f t="shared" si="15"/>
        <v>0</v>
      </c>
      <c r="K371" s="12"/>
    </row>
    <row r="372" spans="1:11" ht="13.8" x14ac:dyDescent="0.3">
      <c r="A372" s="18">
        <v>2</v>
      </c>
      <c r="B372" s="10">
        <v>6</v>
      </c>
      <c r="C372" s="10">
        <v>4</v>
      </c>
      <c r="D372" s="10">
        <v>3</v>
      </c>
      <c r="E372" s="25" t="s">
        <v>44</v>
      </c>
      <c r="F372" s="9" t="s">
        <v>153</v>
      </c>
      <c r="G372" s="7">
        <f>'CUENTA T FONDO 100'!GW288</f>
        <v>0</v>
      </c>
      <c r="H372" s="7">
        <f>'CUENTA T VS'!GX81</f>
        <v>0</v>
      </c>
      <c r="I372" s="8"/>
      <c r="J372" s="7">
        <f t="shared" si="15"/>
        <v>0</v>
      </c>
      <c r="K372" s="6">
        <f>J372/$J$25</f>
        <v>0</v>
      </c>
    </row>
    <row r="373" spans="1:11" ht="13.8" x14ac:dyDescent="0.3">
      <c r="A373" s="19">
        <v>2</v>
      </c>
      <c r="B373" s="16">
        <v>6</v>
      </c>
      <c r="C373" s="16">
        <v>4</v>
      </c>
      <c r="D373" s="16">
        <v>4</v>
      </c>
      <c r="E373" s="16"/>
      <c r="F373" s="14" t="s">
        <v>152</v>
      </c>
      <c r="G373" s="13">
        <f>SUM(G374)</f>
        <v>0</v>
      </c>
      <c r="H373" s="13">
        <f>SUM(H374)</f>
        <v>0</v>
      </c>
      <c r="I373" s="13">
        <f>SUM(I374)</f>
        <v>0</v>
      </c>
      <c r="J373" s="13">
        <f t="shared" si="15"/>
        <v>0</v>
      </c>
      <c r="K373" s="12"/>
    </row>
    <row r="374" spans="1:11" ht="13.8" x14ac:dyDescent="0.3">
      <c r="A374" s="18">
        <v>2</v>
      </c>
      <c r="B374" s="10">
        <v>6</v>
      </c>
      <c r="C374" s="10">
        <v>4</v>
      </c>
      <c r="D374" s="10">
        <v>4</v>
      </c>
      <c r="E374" s="25" t="s">
        <v>44</v>
      </c>
      <c r="F374" s="9" t="s">
        <v>152</v>
      </c>
      <c r="G374" s="7">
        <f>'CUENTA T FONDO 100'!GX288</f>
        <v>0</v>
      </c>
      <c r="H374" s="7">
        <f>'CUENTA T VS'!GX81</f>
        <v>0</v>
      </c>
      <c r="I374" s="8"/>
      <c r="J374" s="7">
        <f t="shared" si="15"/>
        <v>0</v>
      </c>
      <c r="K374" s="6">
        <f>J374/$J$25</f>
        <v>0</v>
      </c>
    </row>
    <row r="375" spans="1:11" ht="13.8" x14ac:dyDescent="0.3">
      <c r="A375" s="19">
        <v>2</v>
      </c>
      <c r="B375" s="16">
        <v>6</v>
      </c>
      <c r="C375" s="16">
        <v>4</v>
      </c>
      <c r="D375" s="16">
        <v>5</v>
      </c>
      <c r="E375" s="16"/>
      <c r="F375" s="14" t="s">
        <v>151</v>
      </c>
      <c r="G375" s="13">
        <f>SUM(G376)</f>
        <v>0</v>
      </c>
      <c r="H375" s="13">
        <f>SUM(H376)</f>
        <v>0</v>
      </c>
      <c r="I375" s="13">
        <f>SUM(I376)</f>
        <v>0</v>
      </c>
      <c r="J375" s="13">
        <f t="shared" si="15"/>
        <v>0</v>
      </c>
      <c r="K375" s="12"/>
    </row>
    <row r="376" spans="1:11" ht="13.8" x14ac:dyDescent="0.3">
      <c r="A376" s="18">
        <v>2</v>
      </c>
      <c r="B376" s="10">
        <v>6</v>
      </c>
      <c r="C376" s="10">
        <v>4</v>
      </c>
      <c r="D376" s="10">
        <v>5</v>
      </c>
      <c r="E376" s="25" t="s">
        <v>44</v>
      </c>
      <c r="F376" s="9" t="s">
        <v>151</v>
      </c>
      <c r="G376" s="7">
        <f>'CUENTA T FONDO 100'!GY288</f>
        <v>0</v>
      </c>
      <c r="H376" s="7">
        <f>'CUENTA T VS'!GY81</f>
        <v>0</v>
      </c>
      <c r="I376" s="8"/>
      <c r="J376" s="7">
        <f t="shared" si="15"/>
        <v>0</v>
      </c>
      <c r="K376" s="6">
        <f>J376/$J$25</f>
        <v>0</v>
      </c>
    </row>
    <row r="377" spans="1:11" ht="13.8" x14ac:dyDescent="0.3">
      <c r="A377" s="19">
        <v>2</v>
      </c>
      <c r="B377" s="16">
        <v>6</v>
      </c>
      <c r="C377" s="16">
        <v>4</v>
      </c>
      <c r="D377" s="16">
        <v>6</v>
      </c>
      <c r="E377" s="16"/>
      <c r="F377" s="14" t="s">
        <v>150</v>
      </c>
      <c r="G377" s="13">
        <f>SUM(G378)</f>
        <v>0</v>
      </c>
      <c r="H377" s="13">
        <f>SUM(H378)</f>
        <v>0</v>
      </c>
      <c r="I377" s="13">
        <f>SUM(I378)</f>
        <v>0</v>
      </c>
      <c r="J377" s="13">
        <f t="shared" si="15"/>
        <v>0</v>
      </c>
      <c r="K377" s="12"/>
    </row>
    <row r="378" spans="1:11" ht="13.8" x14ac:dyDescent="0.3">
      <c r="A378" s="18">
        <v>2</v>
      </c>
      <c r="B378" s="10">
        <v>6</v>
      </c>
      <c r="C378" s="10">
        <v>4</v>
      </c>
      <c r="D378" s="10">
        <v>6</v>
      </c>
      <c r="E378" s="25" t="s">
        <v>44</v>
      </c>
      <c r="F378" s="9" t="s">
        <v>150</v>
      </c>
      <c r="G378" s="7">
        <f>'CUENTA T FONDO 100'!GZ288</f>
        <v>0</v>
      </c>
      <c r="H378" s="7">
        <f>'CUENTA T VS'!GZ81</f>
        <v>0</v>
      </c>
      <c r="I378" s="8"/>
      <c r="J378" s="7">
        <f t="shared" si="15"/>
        <v>0</v>
      </c>
      <c r="K378" s="6">
        <f>J378/$J$25</f>
        <v>0</v>
      </c>
    </row>
    <row r="379" spans="1:11" ht="13.8" x14ac:dyDescent="0.3">
      <c r="A379" s="19">
        <v>2</v>
      </c>
      <c r="B379" s="16">
        <v>6</v>
      </c>
      <c r="C379" s="16">
        <v>4</v>
      </c>
      <c r="D379" s="16">
        <v>7</v>
      </c>
      <c r="E379" s="16"/>
      <c r="F379" s="14" t="s">
        <v>149</v>
      </c>
      <c r="G379" s="13">
        <f>SUM(G380)</f>
        <v>0</v>
      </c>
      <c r="H379" s="13">
        <f>SUM(H380)</f>
        <v>0</v>
      </c>
      <c r="I379" s="13">
        <f>SUM(I380)</f>
        <v>0</v>
      </c>
      <c r="J379" s="13">
        <f t="shared" si="15"/>
        <v>0</v>
      </c>
      <c r="K379" s="12"/>
    </row>
    <row r="380" spans="1:11" ht="13.8" x14ac:dyDescent="0.3">
      <c r="A380" s="18">
        <v>2</v>
      </c>
      <c r="B380" s="10">
        <v>6</v>
      </c>
      <c r="C380" s="10">
        <v>4</v>
      </c>
      <c r="D380" s="10">
        <v>7</v>
      </c>
      <c r="E380" s="25" t="s">
        <v>44</v>
      </c>
      <c r="F380" s="9" t="s">
        <v>149</v>
      </c>
      <c r="G380" s="7">
        <f>'CUENTA T FONDO 100'!HA288</f>
        <v>0</v>
      </c>
      <c r="H380" s="7">
        <f>'CUENTA T VS'!HA81</f>
        <v>0</v>
      </c>
      <c r="I380" s="8"/>
      <c r="J380" s="7">
        <f t="shared" si="15"/>
        <v>0</v>
      </c>
      <c r="K380" s="6">
        <f>J380/$J$25</f>
        <v>0</v>
      </c>
    </row>
    <row r="381" spans="1:11" ht="13.8" x14ac:dyDescent="0.3">
      <c r="A381" s="19">
        <v>2</v>
      </c>
      <c r="B381" s="16">
        <v>6</v>
      </c>
      <c r="C381" s="16">
        <v>4</v>
      </c>
      <c r="D381" s="16">
        <v>8</v>
      </c>
      <c r="E381" s="16"/>
      <c r="F381" s="14" t="s">
        <v>148</v>
      </c>
      <c r="G381" s="13">
        <f>SUM(G382)</f>
        <v>0</v>
      </c>
      <c r="H381" s="13">
        <f>SUM(H382)</f>
        <v>0</v>
      </c>
      <c r="I381" s="13">
        <f>SUM(I382)</f>
        <v>0</v>
      </c>
      <c r="J381" s="13">
        <f t="shared" si="15"/>
        <v>0</v>
      </c>
      <c r="K381" s="12"/>
    </row>
    <row r="382" spans="1:11" ht="13.8" x14ac:dyDescent="0.3">
      <c r="A382" s="18">
        <v>2</v>
      </c>
      <c r="B382" s="10">
        <v>6</v>
      </c>
      <c r="C382" s="10">
        <v>4</v>
      </c>
      <c r="D382" s="10">
        <v>8</v>
      </c>
      <c r="E382" s="25" t="s">
        <v>44</v>
      </c>
      <c r="F382" s="9" t="s">
        <v>148</v>
      </c>
      <c r="G382" s="7">
        <f>'CUENTA T FONDO 100'!HB288</f>
        <v>0</v>
      </c>
      <c r="H382" s="7">
        <f>'CUENTA T VS'!HB81</f>
        <v>0</v>
      </c>
      <c r="I382" s="8"/>
      <c r="J382" s="7">
        <f t="shared" si="15"/>
        <v>0</v>
      </c>
      <c r="K382" s="6">
        <f>J382/$J$25</f>
        <v>0</v>
      </c>
    </row>
    <row r="383" spans="1:11" ht="13.8" x14ac:dyDescent="0.25">
      <c r="A383" s="31">
        <v>2</v>
      </c>
      <c r="B383" s="23">
        <v>6</v>
      </c>
      <c r="C383" s="23">
        <v>5</v>
      </c>
      <c r="D383" s="23"/>
      <c r="E383" s="30"/>
      <c r="F383" s="22" t="s">
        <v>147</v>
      </c>
      <c r="G383" s="21">
        <f>+G384+G386+G388+G390+G392+G394+G396+G398</f>
        <v>0</v>
      </c>
      <c r="H383" s="21">
        <f>+H384+H386+H388+H390+H392+H394+H396+H398</f>
        <v>0</v>
      </c>
      <c r="I383" s="21">
        <f>+I384+I386+I388+I390+I392+I394+I396+I398</f>
        <v>0</v>
      </c>
      <c r="J383" s="21">
        <f t="shared" si="15"/>
        <v>0</v>
      </c>
      <c r="K383" s="20"/>
    </row>
    <row r="384" spans="1:11" ht="13.8" x14ac:dyDescent="0.25">
      <c r="A384" s="17">
        <v>2</v>
      </c>
      <c r="B384" s="16">
        <v>6</v>
      </c>
      <c r="C384" s="16">
        <v>5</v>
      </c>
      <c r="D384" s="16">
        <v>1</v>
      </c>
      <c r="E384" s="16"/>
      <c r="F384" s="14" t="s">
        <v>146</v>
      </c>
      <c r="G384" s="13">
        <f>SUM(G385)</f>
        <v>0</v>
      </c>
      <c r="H384" s="13">
        <f>SUM(H385)</f>
        <v>0</v>
      </c>
      <c r="I384" s="13">
        <f>SUM(I385)</f>
        <v>0</v>
      </c>
      <c r="J384" s="13">
        <f t="shared" si="15"/>
        <v>0</v>
      </c>
      <c r="K384" s="12"/>
    </row>
    <row r="385" spans="1:11" ht="13.8" x14ac:dyDescent="0.25">
      <c r="A385" s="11">
        <v>2</v>
      </c>
      <c r="B385" s="10">
        <v>6</v>
      </c>
      <c r="C385" s="10">
        <v>5</v>
      </c>
      <c r="D385" s="10">
        <v>1</v>
      </c>
      <c r="E385" s="25" t="s">
        <v>44</v>
      </c>
      <c r="F385" s="9" t="s">
        <v>146</v>
      </c>
      <c r="G385" s="7">
        <f>'CUENTA T FONDO 100'!HC288</f>
        <v>0</v>
      </c>
      <c r="H385" s="7">
        <f>'CUENTA T VS'!HC81</f>
        <v>0</v>
      </c>
      <c r="I385" s="8"/>
      <c r="J385" s="7">
        <f t="shared" si="15"/>
        <v>0</v>
      </c>
      <c r="K385" s="6">
        <f>J385/$J$25</f>
        <v>0</v>
      </c>
    </row>
    <row r="386" spans="1:11" ht="13.8" x14ac:dyDescent="0.25">
      <c r="A386" s="17">
        <v>2</v>
      </c>
      <c r="B386" s="16">
        <v>6</v>
      </c>
      <c r="C386" s="16">
        <v>5</v>
      </c>
      <c r="D386" s="16">
        <v>2</v>
      </c>
      <c r="E386" s="16"/>
      <c r="F386" s="14" t="s">
        <v>145</v>
      </c>
      <c r="G386" s="13">
        <f>SUM(G387)</f>
        <v>0</v>
      </c>
      <c r="H386" s="13">
        <f>SUM(H387)</f>
        <v>0</v>
      </c>
      <c r="I386" s="13">
        <f>SUM(I387)</f>
        <v>0</v>
      </c>
      <c r="J386" s="13">
        <f t="shared" si="15"/>
        <v>0</v>
      </c>
      <c r="K386" s="12"/>
    </row>
    <row r="387" spans="1:11" ht="13.8" x14ac:dyDescent="0.25">
      <c r="A387" s="11">
        <v>2</v>
      </c>
      <c r="B387" s="10">
        <v>6</v>
      </c>
      <c r="C387" s="10">
        <v>5</v>
      </c>
      <c r="D387" s="10">
        <v>2</v>
      </c>
      <c r="E387" s="25" t="s">
        <v>44</v>
      </c>
      <c r="F387" s="9" t="s">
        <v>145</v>
      </c>
      <c r="G387" s="7">
        <f>'CUENTA T FONDO 100'!HD288</f>
        <v>0</v>
      </c>
      <c r="H387" s="7">
        <f>'CUENTA T VS'!HD81</f>
        <v>0</v>
      </c>
      <c r="I387" s="8"/>
      <c r="J387" s="7">
        <f t="shared" si="15"/>
        <v>0</v>
      </c>
      <c r="K387" s="6">
        <f>J387/$J$25</f>
        <v>0</v>
      </c>
    </row>
    <row r="388" spans="1:11" ht="13.8" x14ac:dyDescent="0.25">
      <c r="A388" s="17">
        <v>2</v>
      </c>
      <c r="B388" s="16">
        <v>6</v>
      </c>
      <c r="C388" s="16">
        <v>5</v>
      </c>
      <c r="D388" s="16">
        <v>3</v>
      </c>
      <c r="E388" s="16"/>
      <c r="F388" s="14" t="s">
        <v>144</v>
      </c>
      <c r="G388" s="13">
        <f>SUM(G389)</f>
        <v>0</v>
      </c>
      <c r="H388" s="13">
        <f>SUM(H389)</f>
        <v>0</v>
      </c>
      <c r="I388" s="13">
        <f>SUM(I389)</f>
        <v>0</v>
      </c>
      <c r="J388" s="13">
        <f t="shared" si="15"/>
        <v>0</v>
      </c>
      <c r="K388" s="12"/>
    </row>
    <row r="389" spans="1:11" ht="13.8" x14ac:dyDescent="0.25">
      <c r="A389" s="11">
        <v>2</v>
      </c>
      <c r="B389" s="10">
        <v>6</v>
      </c>
      <c r="C389" s="10">
        <v>5</v>
      </c>
      <c r="D389" s="10">
        <v>3</v>
      </c>
      <c r="E389" s="25" t="s">
        <v>44</v>
      </c>
      <c r="F389" s="9" t="s">
        <v>144</v>
      </c>
      <c r="G389" s="7">
        <f>'CUENTA T FONDO 100'!HE288</f>
        <v>0</v>
      </c>
      <c r="H389" s="7">
        <f>'CUENTA T VS'!HE81</f>
        <v>0</v>
      </c>
      <c r="I389" s="8"/>
      <c r="J389" s="7">
        <f t="shared" si="15"/>
        <v>0</v>
      </c>
      <c r="K389" s="6">
        <f>J389/$J$25</f>
        <v>0</v>
      </c>
    </row>
    <row r="390" spans="1:11" ht="13.8" x14ac:dyDescent="0.25">
      <c r="A390" s="17">
        <v>2</v>
      </c>
      <c r="B390" s="16">
        <v>6</v>
      </c>
      <c r="C390" s="16">
        <v>5</v>
      </c>
      <c r="D390" s="16">
        <v>4</v>
      </c>
      <c r="E390" s="16"/>
      <c r="F390" s="14" t="s">
        <v>414</v>
      </c>
      <c r="G390" s="13">
        <f>SUM(G391)</f>
        <v>0</v>
      </c>
      <c r="H390" s="13">
        <f>SUM(H391)</f>
        <v>0</v>
      </c>
      <c r="I390" s="13">
        <f>SUM(I391)</f>
        <v>0</v>
      </c>
      <c r="J390" s="13">
        <f t="shared" si="15"/>
        <v>0</v>
      </c>
      <c r="K390" s="12"/>
    </row>
    <row r="391" spans="1:11" ht="13.8" x14ac:dyDescent="0.25">
      <c r="A391" s="11">
        <v>2</v>
      </c>
      <c r="B391" s="10">
        <v>6</v>
      </c>
      <c r="C391" s="10">
        <v>5</v>
      </c>
      <c r="D391" s="10">
        <v>4</v>
      </c>
      <c r="E391" s="25" t="s">
        <v>44</v>
      </c>
      <c r="F391" s="9" t="s">
        <v>414</v>
      </c>
      <c r="G391" s="7">
        <f>'CUENTA T FONDO 100'!HF288</f>
        <v>0</v>
      </c>
      <c r="H391" s="7">
        <f>'CUENTA T VS'!HF81</f>
        <v>0</v>
      </c>
      <c r="I391" s="8"/>
      <c r="J391" s="7">
        <f t="shared" si="15"/>
        <v>0</v>
      </c>
      <c r="K391" s="6">
        <f>J391/$J$25</f>
        <v>0</v>
      </c>
    </row>
    <row r="392" spans="1:11" ht="13.8" x14ac:dyDescent="0.25">
      <c r="A392" s="17">
        <v>2</v>
      </c>
      <c r="B392" s="16">
        <v>6</v>
      </c>
      <c r="C392" s="16">
        <v>5</v>
      </c>
      <c r="D392" s="16">
        <v>5</v>
      </c>
      <c r="E392" s="16"/>
      <c r="F392" s="14" t="s">
        <v>143</v>
      </c>
      <c r="G392" s="13">
        <f>SUM(G393)</f>
        <v>0</v>
      </c>
      <c r="H392" s="13">
        <f>SUM(H393)</f>
        <v>0</v>
      </c>
      <c r="I392" s="13">
        <f>SUM(I393)</f>
        <v>0</v>
      </c>
      <c r="J392" s="13">
        <f t="shared" si="15"/>
        <v>0</v>
      </c>
      <c r="K392" s="12"/>
    </row>
    <row r="393" spans="1:11" ht="13.8" x14ac:dyDescent="0.25">
      <c r="A393" s="11">
        <v>2</v>
      </c>
      <c r="B393" s="10">
        <v>6</v>
      </c>
      <c r="C393" s="10">
        <v>5</v>
      </c>
      <c r="D393" s="10">
        <v>5</v>
      </c>
      <c r="E393" s="25" t="s">
        <v>44</v>
      </c>
      <c r="F393" s="9" t="s">
        <v>143</v>
      </c>
      <c r="G393" s="7">
        <f>'CUENTA T FONDO 100'!HG288</f>
        <v>0</v>
      </c>
      <c r="H393" s="7">
        <f>'CUENTA T VS'!HG81</f>
        <v>0</v>
      </c>
      <c r="I393" s="8"/>
      <c r="J393" s="7">
        <f t="shared" si="15"/>
        <v>0</v>
      </c>
      <c r="K393" s="6">
        <f>J393/$J$25</f>
        <v>0</v>
      </c>
    </row>
    <row r="394" spans="1:11" ht="13.8" x14ac:dyDescent="0.25">
      <c r="A394" s="17">
        <v>2</v>
      </c>
      <c r="B394" s="16">
        <v>6</v>
      </c>
      <c r="C394" s="16">
        <v>5</v>
      </c>
      <c r="D394" s="16">
        <v>6</v>
      </c>
      <c r="E394" s="16"/>
      <c r="F394" s="14" t="s">
        <v>415</v>
      </c>
      <c r="G394" s="13">
        <f>SUM(G395)</f>
        <v>0</v>
      </c>
      <c r="H394" s="13">
        <f>SUM(H395)</f>
        <v>0</v>
      </c>
      <c r="I394" s="13">
        <f>SUM(I395)</f>
        <v>0</v>
      </c>
      <c r="J394" s="13">
        <f t="shared" si="15"/>
        <v>0</v>
      </c>
      <c r="K394" s="12"/>
    </row>
    <row r="395" spans="1:11" ht="13.8" x14ac:dyDescent="0.25">
      <c r="A395" s="11">
        <v>2</v>
      </c>
      <c r="B395" s="10">
        <v>6</v>
      </c>
      <c r="C395" s="10">
        <v>5</v>
      </c>
      <c r="D395" s="10">
        <v>6</v>
      </c>
      <c r="E395" s="25" t="s">
        <v>44</v>
      </c>
      <c r="F395" s="9" t="s">
        <v>415</v>
      </c>
      <c r="G395" s="7">
        <f>'CUENTA T FONDO 100'!HH288</f>
        <v>0</v>
      </c>
      <c r="H395" s="7">
        <f>'CUENTA T VS'!HH81</f>
        <v>0</v>
      </c>
      <c r="I395" s="8"/>
      <c r="J395" s="7">
        <f t="shared" si="15"/>
        <v>0</v>
      </c>
      <c r="K395" s="6">
        <f>J395/$J$25</f>
        <v>0</v>
      </c>
    </row>
    <row r="396" spans="1:11" ht="13.8" x14ac:dyDescent="0.25">
      <c r="A396" s="17">
        <v>2</v>
      </c>
      <c r="B396" s="16">
        <v>6</v>
      </c>
      <c r="C396" s="16">
        <v>5</v>
      </c>
      <c r="D396" s="16">
        <v>7</v>
      </c>
      <c r="E396" s="16"/>
      <c r="F396" s="14" t="s">
        <v>416</v>
      </c>
      <c r="G396" s="13">
        <f>SUM(G397)</f>
        <v>0</v>
      </c>
      <c r="H396" s="13">
        <f>SUM(H397)</f>
        <v>0</v>
      </c>
      <c r="I396" s="13">
        <f>SUM(I397)</f>
        <v>0</v>
      </c>
      <c r="J396" s="13">
        <f t="shared" si="15"/>
        <v>0</v>
      </c>
      <c r="K396" s="12"/>
    </row>
    <row r="397" spans="1:11" ht="13.8" x14ac:dyDescent="0.25">
      <c r="A397" s="11">
        <v>2</v>
      </c>
      <c r="B397" s="10">
        <v>6</v>
      </c>
      <c r="C397" s="10">
        <v>5</v>
      </c>
      <c r="D397" s="10">
        <v>7</v>
      </c>
      <c r="E397" s="25" t="s">
        <v>44</v>
      </c>
      <c r="F397" s="9" t="s">
        <v>416</v>
      </c>
      <c r="G397" s="7">
        <f>'CUENTA T FONDO 100'!HI288</f>
        <v>0</v>
      </c>
      <c r="H397" s="7">
        <f>'CUENTA T VS'!HI81</f>
        <v>0</v>
      </c>
      <c r="I397" s="8"/>
      <c r="J397" s="7">
        <f t="shared" si="15"/>
        <v>0</v>
      </c>
      <c r="K397" s="6">
        <f>J397/$J$25</f>
        <v>0</v>
      </c>
    </row>
    <row r="398" spans="1:11" ht="13.8" x14ac:dyDescent="0.25">
      <c r="A398" s="17">
        <v>2</v>
      </c>
      <c r="B398" s="16">
        <v>6</v>
      </c>
      <c r="C398" s="16">
        <v>5</v>
      </c>
      <c r="D398" s="16">
        <v>8</v>
      </c>
      <c r="E398" s="16"/>
      <c r="F398" s="14" t="s">
        <v>142</v>
      </c>
      <c r="G398" s="13">
        <f>SUM(G399)</f>
        <v>0</v>
      </c>
      <c r="H398" s="13">
        <f>SUM(H399)</f>
        <v>0</v>
      </c>
      <c r="I398" s="13">
        <f>SUM(I399)</f>
        <v>0</v>
      </c>
      <c r="J398" s="13">
        <f t="shared" si="15"/>
        <v>0</v>
      </c>
      <c r="K398" s="12"/>
    </row>
    <row r="399" spans="1:11" ht="13.8" x14ac:dyDescent="0.25">
      <c r="A399" s="11">
        <v>2</v>
      </c>
      <c r="B399" s="10">
        <v>6</v>
      </c>
      <c r="C399" s="10">
        <v>5</v>
      </c>
      <c r="D399" s="10">
        <v>8</v>
      </c>
      <c r="E399" s="25" t="s">
        <v>44</v>
      </c>
      <c r="F399" s="9" t="s">
        <v>142</v>
      </c>
      <c r="G399" s="7">
        <f>'CUENTA T FONDO 100'!HJ288</f>
        <v>0</v>
      </c>
      <c r="H399" s="7">
        <f>'CUENTA T VS'!HJ81</f>
        <v>0</v>
      </c>
      <c r="I399" s="8"/>
      <c r="J399" s="7">
        <f t="shared" si="15"/>
        <v>0</v>
      </c>
      <c r="K399" s="6">
        <f>J399/$J$25</f>
        <v>0</v>
      </c>
    </row>
    <row r="400" spans="1:11" ht="13.8" x14ac:dyDescent="0.3">
      <c r="A400" s="24">
        <v>2</v>
      </c>
      <c r="B400" s="23">
        <v>6</v>
      </c>
      <c r="C400" s="23">
        <v>6</v>
      </c>
      <c r="D400" s="23"/>
      <c r="E400" s="23"/>
      <c r="F400" s="22" t="s">
        <v>141</v>
      </c>
      <c r="G400" s="21">
        <f>+G401+G403</f>
        <v>0</v>
      </c>
      <c r="H400" s="21">
        <f>+H401+H403</f>
        <v>0</v>
      </c>
      <c r="I400" s="21">
        <f>+I401+I403</f>
        <v>0</v>
      </c>
      <c r="J400" s="21">
        <f t="shared" si="15"/>
        <v>0</v>
      </c>
      <c r="K400" s="20">
        <f>J400/$J$25</f>
        <v>0</v>
      </c>
    </row>
    <row r="401" spans="1:11" ht="13.8" x14ac:dyDescent="0.3">
      <c r="A401" s="19">
        <v>2</v>
      </c>
      <c r="B401" s="16">
        <v>6</v>
      </c>
      <c r="C401" s="16">
        <v>6</v>
      </c>
      <c r="D401" s="16">
        <v>1</v>
      </c>
      <c r="E401" s="15"/>
      <c r="F401" s="14" t="s">
        <v>140</v>
      </c>
      <c r="G401" s="13">
        <f>+G402</f>
        <v>0</v>
      </c>
      <c r="H401" s="13">
        <f>+H402</f>
        <v>0</v>
      </c>
      <c r="I401" s="13">
        <f>+I402</f>
        <v>0</v>
      </c>
      <c r="J401" s="13">
        <f t="shared" si="15"/>
        <v>0</v>
      </c>
      <c r="K401" s="12"/>
    </row>
    <row r="402" spans="1:11" ht="13.8" x14ac:dyDescent="0.3">
      <c r="A402" s="18">
        <v>2</v>
      </c>
      <c r="B402" s="10">
        <v>6</v>
      </c>
      <c r="C402" s="10">
        <v>6</v>
      </c>
      <c r="D402" s="10">
        <v>1</v>
      </c>
      <c r="E402" s="10" t="s">
        <v>80</v>
      </c>
      <c r="F402" s="9" t="s">
        <v>140</v>
      </c>
      <c r="G402" s="7">
        <f>'CUENTA T FONDO 100'!HK288</f>
        <v>0</v>
      </c>
      <c r="H402" s="7">
        <f>'CUENTA T VS'!HK81</f>
        <v>0</v>
      </c>
      <c r="I402" s="8"/>
      <c r="J402" s="7">
        <f t="shared" si="15"/>
        <v>0</v>
      </c>
      <c r="K402" s="6">
        <f>J402/$J$25</f>
        <v>0</v>
      </c>
    </row>
    <row r="403" spans="1:11" ht="13.8" x14ac:dyDescent="0.3">
      <c r="A403" s="19">
        <v>2</v>
      </c>
      <c r="B403" s="16">
        <v>6</v>
      </c>
      <c r="C403" s="16">
        <v>6</v>
      </c>
      <c r="D403" s="16">
        <v>2</v>
      </c>
      <c r="E403" s="15"/>
      <c r="F403" s="14" t="s">
        <v>139</v>
      </c>
      <c r="G403" s="13">
        <f>+G404</f>
        <v>0</v>
      </c>
      <c r="H403" s="13">
        <f>+H404</f>
        <v>0</v>
      </c>
      <c r="I403" s="13">
        <f>+I404</f>
        <v>0</v>
      </c>
      <c r="J403" s="13">
        <f t="shared" si="15"/>
        <v>0</v>
      </c>
      <c r="K403" s="12"/>
    </row>
    <row r="404" spans="1:11" ht="13.8" x14ac:dyDescent="0.3">
      <c r="A404" s="18">
        <v>2</v>
      </c>
      <c r="B404" s="10">
        <v>6</v>
      </c>
      <c r="C404" s="10">
        <v>6</v>
      </c>
      <c r="D404" s="10">
        <v>2</v>
      </c>
      <c r="E404" s="10" t="s">
        <v>80</v>
      </c>
      <c r="F404" s="9" t="s">
        <v>139</v>
      </c>
      <c r="G404" s="7">
        <f>'CUENTA T FONDO 100'!HL288</f>
        <v>0</v>
      </c>
      <c r="H404" s="7">
        <f>'CUENTA T VS'!HL81</f>
        <v>0</v>
      </c>
      <c r="I404" s="8"/>
      <c r="J404" s="7">
        <f t="shared" si="15"/>
        <v>0</v>
      </c>
      <c r="K404" s="6">
        <f>J404/$J$25</f>
        <v>0</v>
      </c>
    </row>
    <row r="405" spans="1:11" ht="13.8" x14ac:dyDescent="0.25">
      <c r="A405" s="31">
        <v>2</v>
      </c>
      <c r="B405" s="23">
        <v>6</v>
      </c>
      <c r="C405" s="23">
        <v>7</v>
      </c>
      <c r="D405" s="23"/>
      <c r="E405" s="30"/>
      <c r="F405" s="22" t="s">
        <v>138</v>
      </c>
      <c r="G405" s="21">
        <f>+G406+G408+G410+G412+G414+G416+G418+G420+G422</f>
        <v>0</v>
      </c>
      <c r="H405" s="21">
        <f>+H406+H408+H410+H412+H414+H416+H418+H420+H422</f>
        <v>0</v>
      </c>
      <c r="I405" s="21">
        <f>+I406+I408+I410+I412+I414+I416+I418+I420+I422</f>
        <v>0</v>
      </c>
      <c r="J405" s="21">
        <f t="shared" si="15"/>
        <v>0</v>
      </c>
      <c r="K405" s="20"/>
    </row>
    <row r="406" spans="1:11" ht="13.8" x14ac:dyDescent="0.25">
      <c r="A406" s="17">
        <v>2</v>
      </c>
      <c r="B406" s="16">
        <v>6</v>
      </c>
      <c r="C406" s="16">
        <v>7</v>
      </c>
      <c r="D406" s="16">
        <v>1</v>
      </c>
      <c r="E406" s="16"/>
      <c r="F406" s="14" t="s">
        <v>137</v>
      </c>
      <c r="G406" s="13">
        <f>SUM(G407)</f>
        <v>0</v>
      </c>
      <c r="H406" s="13">
        <f>SUM(H407)</f>
        <v>0</v>
      </c>
      <c r="I406" s="13">
        <f>SUM(I407)</f>
        <v>0</v>
      </c>
      <c r="J406" s="13">
        <f t="shared" si="15"/>
        <v>0</v>
      </c>
      <c r="K406" s="12"/>
    </row>
    <row r="407" spans="1:11" ht="13.8" x14ac:dyDescent="0.25">
      <c r="A407" s="11">
        <v>2</v>
      </c>
      <c r="B407" s="10">
        <v>6</v>
      </c>
      <c r="C407" s="10">
        <v>7</v>
      </c>
      <c r="D407" s="10">
        <v>1</v>
      </c>
      <c r="E407" s="25" t="s">
        <v>44</v>
      </c>
      <c r="F407" s="9" t="s">
        <v>137</v>
      </c>
      <c r="G407" s="7">
        <f>'CUENTA T FONDO 100'!HM288</f>
        <v>0</v>
      </c>
      <c r="H407" s="7">
        <f>'CUENTA T VS'!HM81</f>
        <v>0</v>
      </c>
      <c r="I407" s="8"/>
      <c r="J407" s="7">
        <f t="shared" si="15"/>
        <v>0</v>
      </c>
      <c r="K407" s="6">
        <f>J407/$J$25</f>
        <v>0</v>
      </c>
    </row>
    <row r="408" spans="1:11" ht="13.8" x14ac:dyDescent="0.3">
      <c r="A408" s="19">
        <v>2</v>
      </c>
      <c r="B408" s="16">
        <v>6</v>
      </c>
      <c r="C408" s="16">
        <v>7</v>
      </c>
      <c r="D408" s="16">
        <v>2</v>
      </c>
      <c r="E408" s="16"/>
      <c r="F408" s="14" t="s">
        <v>136</v>
      </c>
      <c r="G408" s="13">
        <f>SUM(G409)</f>
        <v>0</v>
      </c>
      <c r="H408" s="13">
        <f>SUM(H409)</f>
        <v>0</v>
      </c>
      <c r="I408" s="13">
        <f>SUM(I409)</f>
        <v>0</v>
      </c>
      <c r="J408" s="13">
        <f t="shared" si="15"/>
        <v>0</v>
      </c>
      <c r="K408" s="12"/>
    </row>
    <row r="409" spans="1:11" ht="13.8" x14ac:dyDescent="0.3">
      <c r="A409" s="18">
        <v>2</v>
      </c>
      <c r="B409" s="10">
        <v>6</v>
      </c>
      <c r="C409" s="10">
        <v>7</v>
      </c>
      <c r="D409" s="10">
        <v>2</v>
      </c>
      <c r="E409" s="25" t="s">
        <v>44</v>
      </c>
      <c r="F409" s="9" t="s">
        <v>136</v>
      </c>
      <c r="G409" s="7">
        <f>'CUENTA T FONDO 100'!HN288</f>
        <v>0</v>
      </c>
      <c r="H409" s="7">
        <f>'CUENTA T VS'!HN81</f>
        <v>0</v>
      </c>
      <c r="I409" s="8"/>
      <c r="J409" s="7">
        <f t="shared" si="15"/>
        <v>0</v>
      </c>
      <c r="K409" s="6">
        <f>J409/$J$25</f>
        <v>0</v>
      </c>
    </row>
    <row r="410" spans="1:11" ht="13.8" x14ac:dyDescent="0.3">
      <c r="A410" s="19">
        <v>2</v>
      </c>
      <c r="B410" s="16">
        <v>6</v>
      </c>
      <c r="C410" s="16">
        <v>7</v>
      </c>
      <c r="D410" s="16">
        <v>3</v>
      </c>
      <c r="E410" s="16"/>
      <c r="F410" s="14" t="s">
        <v>135</v>
      </c>
      <c r="G410" s="13">
        <f>SUM(G411)</f>
        <v>0</v>
      </c>
      <c r="H410" s="13">
        <f>SUM(H411)</f>
        <v>0</v>
      </c>
      <c r="I410" s="13">
        <f>SUM(I411)</f>
        <v>0</v>
      </c>
      <c r="J410" s="13">
        <f t="shared" si="15"/>
        <v>0</v>
      </c>
      <c r="K410" s="12"/>
    </row>
    <row r="411" spans="1:11" ht="13.8" x14ac:dyDescent="0.3">
      <c r="A411" s="18">
        <v>2</v>
      </c>
      <c r="B411" s="10">
        <v>6</v>
      </c>
      <c r="C411" s="10">
        <v>7</v>
      </c>
      <c r="D411" s="10">
        <v>3</v>
      </c>
      <c r="E411" s="25" t="s">
        <v>44</v>
      </c>
      <c r="F411" s="9" t="s">
        <v>135</v>
      </c>
      <c r="G411" s="7">
        <f>'CUENTA T FONDO 100'!HO288</f>
        <v>0</v>
      </c>
      <c r="H411" s="7">
        <f>'CUENTA T VS'!HO81</f>
        <v>0</v>
      </c>
      <c r="I411" s="8"/>
      <c r="J411" s="7">
        <f t="shared" si="15"/>
        <v>0</v>
      </c>
      <c r="K411" s="6">
        <f>J411/$J$25</f>
        <v>0</v>
      </c>
    </row>
    <row r="412" spans="1:11" ht="13.8" x14ac:dyDescent="0.3">
      <c r="A412" s="19">
        <v>2</v>
      </c>
      <c r="B412" s="16">
        <v>6</v>
      </c>
      <c r="C412" s="16">
        <v>7</v>
      </c>
      <c r="D412" s="16">
        <v>4</v>
      </c>
      <c r="E412" s="16"/>
      <c r="F412" s="14" t="s">
        <v>134</v>
      </c>
      <c r="G412" s="13">
        <f>SUM(G413)</f>
        <v>0</v>
      </c>
      <c r="H412" s="13">
        <f>SUM(H413)</f>
        <v>0</v>
      </c>
      <c r="I412" s="13">
        <f>SUM(I413)</f>
        <v>0</v>
      </c>
      <c r="J412" s="13">
        <f t="shared" si="15"/>
        <v>0</v>
      </c>
      <c r="K412" s="12"/>
    </row>
    <row r="413" spans="1:11" ht="13.8" x14ac:dyDescent="0.3">
      <c r="A413" s="18">
        <v>2</v>
      </c>
      <c r="B413" s="10">
        <v>6</v>
      </c>
      <c r="C413" s="10">
        <v>7</v>
      </c>
      <c r="D413" s="10">
        <v>4</v>
      </c>
      <c r="E413" s="25" t="s">
        <v>44</v>
      </c>
      <c r="F413" s="9" t="s">
        <v>134</v>
      </c>
      <c r="G413" s="7">
        <f>'CUENTA T FONDO 100'!HP288</f>
        <v>0</v>
      </c>
      <c r="H413" s="7">
        <f>'CUENTA T VS'!HP81</f>
        <v>0</v>
      </c>
      <c r="I413" s="8"/>
      <c r="J413" s="7">
        <f t="shared" ref="J413:J477" si="16">SUM(G413:I413)</f>
        <v>0</v>
      </c>
      <c r="K413" s="6">
        <f>J413/$J$25</f>
        <v>0</v>
      </c>
    </row>
    <row r="414" spans="1:11" ht="13.8" x14ac:dyDescent="0.3">
      <c r="A414" s="19">
        <v>2</v>
      </c>
      <c r="B414" s="16">
        <v>6</v>
      </c>
      <c r="C414" s="16">
        <v>7</v>
      </c>
      <c r="D414" s="16">
        <v>5</v>
      </c>
      <c r="E414" s="16"/>
      <c r="F414" s="14" t="s">
        <v>133</v>
      </c>
      <c r="G414" s="13">
        <f>SUM(G415)</f>
        <v>0</v>
      </c>
      <c r="H414" s="13">
        <f>SUM(H415)</f>
        <v>0</v>
      </c>
      <c r="I414" s="13">
        <f>SUM(I415)</f>
        <v>0</v>
      </c>
      <c r="J414" s="13">
        <f t="shared" si="16"/>
        <v>0</v>
      </c>
      <c r="K414" s="12"/>
    </row>
    <row r="415" spans="1:11" ht="13.8" x14ac:dyDescent="0.3">
      <c r="A415" s="18">
        <v>2</v>
      </c>
      <c r="B415" s="10">
        <v>6</v>
      </c>
      <c r="C415" s="10">
        <v>7</v>
      </c>
      <c r="D415" s="10">
        <v>5</v>
      </c>
      <c r="E415" s="25" t="s">
        <v>44</v>
      </c>
      <c r="F415" s="9" t="s">
        <v>133</v>
      </c>
      <c r="G415" s="7">
        <f>'CUENTA T FONDO 100'!HQ288</f>
        <v>0</v>
      </c>
      <c r="H415" s="7">
        <f>'CUENTA T VS'!HQ81</f>
        <v>0</v>
      </c>
      <c r="I415" s="8"/>
      <c r="J415" s="7">
        <f t="shared" si="16"/>
        <v>0</v>
      </c>
      <c r="K415" s="6">
        <f>J415/$J$25</f>
        <v>0</v>
      </c>
    </row>
    <row r="416" spans="1:11" ht="13.8" x14ac:dyDescent="0.3">
      <c r="A416" s="19">
        <v>2</v>
      </c>
      <c r="B416" s="16">
        <v>6</v>
      </c>
      <c r="C416" s="16">
        <v>7</v>
      </c>
      <c r="D416" s="16">
        <v>6</v>
      </c>
      <c r="E416" s="16"/>
      <c r="F416" s="14" t="s">
        <v>132</v>
      </c>
      <c r="G416" s="13">
        <f>SUM(G417)</f>
        <v>0</v>
      </c>
      <c r="H416" s="13">
        <f>SUM(H417)</f>
        <v>0</v>
      </c>
      <c r="I416" s="13">
        <f>SUM(I417)</f>
        <v>0</v>
      </c>
      <c r="J416" s="13">
        <f t="shared" si="16"/>
        <v>0</v>
      </c>
      <c r="K416" s="12"/>
    </row>
    <row r="417" spans="1:11" ht="13.8" x14ac:dyDescent="0.3">
      <c r="A417" s="18">
        <v>2</v>
      </c>
      <c r="B417" s="10">
        <v>6</v>
      </c>
      <c r="C417" s="10">
        <v>7</v>
      </c>
      <c r="D417" s="10">
        <v>6</v>
      </c>
      <c r="E417" s="25" t="s">
        <v>44</v>
      </c>
      <c r="F417" s="9" t="s">
        <v>132</v>
      </c>
      <c r="G417" s="7">
        <f>'CUENTA T FONDO 100'!HR288</f>
        <v>0</v>
      </c>
      <c r="H417" s="7">
        <f>'CUENTA T VS'!HR81</f>
        <v>0</v>
      </c>
      <c r="I417" s="8"/>
      <c r="J417" s="7">
        <f t="shared" si="16"/>
        <v>0</v>
      </c>
      <c r="K417" s="6">
        <f>J417/$J$25</f>
        <v>0</v>
      </c>
    </row>
    <row r="418" spans="1:11" ht="13.8" x14ac:dyDescent="0.3">
      <c r="A418" s="19">
        <v>2</v>
      </c>
      <c r="B418" s="16">
        <v>6</v>
      </c>
      <c r="C418" s="16">
        <v>7</v>
      </c>
      <c r="D418" s="16">
        <v>7</v>
      </c>
      <c r="E418" s="16"/>
      <c r="F418" s="14" t="s">
        <v>131</v>
      </c>
      <c r="G418" s="13">
        <f>SUM(G419)</f>
        <v>0</v>
      </c>
      <c r="H418" s="13">
        <f>SUM(H419)</f>
        <v>0</v>
      </c>
      <c r="I418" s="13">
        <f>SUM(I419)</f>
        <v>0</v>
      </c>
      <c r="J418" s="13">
        <f t="shared" si="16"/>
        <v>0</v>
      </c>
      <c r="K418" s="12"/>
    </row>
    <row r="419" spans="1:11" ht="13.8" x14ac:dyDescent="0.3">
      <c r="A419" s="18">
        <v>2</v>
      </c>
      <c r="B419" s="10">
        <v>6</v>
      </c>
      <c r="C419" s="10">
        <v>7</v>
      </c>
      <c r="D419" s="10">
        <v>7</v>
      </c>
      <c r="E419" s="25" t="s">
        <v>44</v>
      </c>
      <c r="F419" s="9" t="s">
        <v>131</v>
      </c>
      <c r="G419" s="7">
        <f>'CUENTA T FONDO 100'!HS288</f>
        <v>0</v>
      </c>
      <c r="H419" s="7">
        <f>'CUENTA T VS'!HS81</f>
        <v>0</v>
      </c>
      <c r="I419" s="8"/>
      <c r="J419" s="7">
        <f t="shared" si="16"/>
        <v>0</v>
      </c>
      <c r="K419" s="6">
        <f>J419/$J$25</f>
        <v>0</v>
      </c>
    </row>
    <row r="420" spans="1:11" ht="13.8" x14ac:dyDescent="0.3">
      <c r="A420" s="19">
        <v>2</v>
      </c>
      <c r="B420" s="16">
        <v>6</v>
      </c>
      <c r="C420" s="16">
        <v>7</v>
      </c>
      <c r="D420" s="16">
        <v>8</v>
      </c>
      <c r="E420" s="16"/>
      <c r="F420" s="14" t="s">
        <v>417</v>
      </c>
      <c r="G420" s="13">
        <f>SUM(G421)</f>
        <v>0</v>
      </c>
      <c r="H420" s="13">
        <f>SUM(H421)</f>
        <v>0</v>
      </c>
      <c r="I420" s="13">
        <f>SUM(I421)</f>
        <v>0</v>
      </c>
      <c r="J420" s="13">
        <f t="shared" si="16"/>
        <v>0</v>
      </c>
      <c r="K420" s="12"/>
    </row>
    <row r="421" spans="1:11" ht="13.8" x14ac:dyDescent="0.3">
      <c r="A421" s="18">
        <v>2</v>
      </c>
      <c r="B421" s="10">
        <v>6</v>
      </c>
      <c r="C421" s="10">
        <v>7</v>
      </c>
      <c r="D421" s="10">
        <v>8</v>
      </c>
      <c r="E421" s="25" t="s">
        <v>44</v>
      </c>
      <c r="F421" s="9" t="s">
        <v>417</v>
      </c>
      <c r="G421" s="7">
        <f>'CUENTA T FONDO 100'!HT288</f>
        <v>0</v>
      </c>
      <c r="H421" s="7">
        <f>'CUENTA T VS'!HT81</f>
        <v>0</v>
      </c>
      <c r="I421" s="8"/>
      <c r="J421" s="7">
        <f t="shared" si="16"/>
        <v>0</v>
      </c>
      <c r="K421" s="6">
        <f>J421/$J$25</f>
        <v>0</v>
      </c>
    </row>
    <row r="422" spans="1:11" ht="13.8" x14ac:dyDescent="0.3">
      <c r="A422" s="19">
        <v>2</v>
      </c>
      <c r="B422" s="16">
        <v>6</v>
      </c>
      <c r="C422" s="16">
        <v>7</v>
      </c>
      <c r="D422" s="16">
        <v>9</v>
      </c>
      <c r="E422" s="16"/>
      <c r="F422" s="14" t="s">
        <v>130</v>
      </c>
      <c r="G422" s="13">
        <f>SUM(G423)</f>
        <v>0</v>
      </c>
      <c r="H422" s="13">
        <f>SUM(H423)</f>
        <v>0</v>
      </c>
      <c r="I422" s="13">
        <f>SUM(I423)</f>
        <v>0</v>
      </c>
      <c r="J422" s="13">
        <f t="shared" si="16"/>
        <v>0</v>
      </c>
      <c r="K422" s="12"/>
    </row>
    <row r="423" spans="1:11" ht="13.8" x14ac:dyDescent="0.3">
      <c r="A423" s="18">
        <v>2</v>
      </c>
      <c r="B423" s="10">
        <v>6</v>
      </c>
      <c r="C423" s="10">
        <v>7</v>
      </c>
      <c r="D423" s="10">
        <v>9</v>
      </c>
      <c r="E423" s="25" t="s">
        <v>44</v>
      </c>
      <c r="F423" s="9" t="s">
        <v>130</v>
      </c>
      <c r="G423" s="7">
        <f>'CUENTA T FONDO 100'!HU288</f>
        <v>0</v>
      </c>
      <c r="H423" s="7">
        <f>'CUENTA T VS'!HU81</f>
        <v>0</v>
      </c>
      <c r="I423" s="8"/>
      <c r="J423" s="7">
        <f t="shared" si="16"/>
        <v>0</v>
      </c>
      <c r="K423" s="6">
        <f>J423/$J$25</f>
        <v>0</v>
      </c>
    </row>
    <row r="424" spans="1:11" ht="13.8" x14ac:dyDescent="0.3">
      <c r="A424" s="24">
        <v>2</v>
      </c>
      <c r="B424" s="23">
        <v>6</v>
      </c>
      <c r="C424" s="23">
        <v>8</v>
      </c>
      <c r="D424" s="23"/>
      <c r="E424" s="23"/>
      <c r="F424" s="22" t="s">
        <v>129</v>
      </c>
      <c r="G424" s="21">
        <f>G425+G427+G429+G432+G434+G436+G438+G440+G444</f>
        <v>0</v>
      </c>
      <c r="H424" s="21">
        <f>H425+H427+H429+H432+H434+H436+H438+H440+H444</f>
        <v>0</v>
      </c>
      <c r="I424" s="21">
        <f>I425+I427+I429+I432+I434+I436+I438+I440+I444</f>
        <v>0</v>
      </c>
      <c r="J424" s="21">
        <f t="shared" si="16"/>
        <v>0</v>
      </c>
      <c r="K424" s="20"/>
    </row>
    <row r="425" spans="1:11" ht="13.8" x14ac:dyDescent="0.3">
      <c r="A425" s="19">
        <v>2</v>
      </c>
      <c r="B425" s="16">
        <v>6</v>
      </c>
      <c r="C425" s="16">
        <v>8</v>
      </c>
      <c r="D425" s="16">
        <v>1</v>
      </c>
      <c r="E425" s="16"/>
      <c r="F425" s="14" t="s">
        <v>128</v>
      </c>
      <c r="G425" s="13">
        <f>+G426</f>
        <v>0</v>
      </c>
      <c r="H425" s="13">
        <f>+H426</f>
        <v>0</v>
      </c>
      <c r="I425" s="13">
        <f>+I426</f>
        <v>0</v>
      </c>
      <c r="J425" s="13">
        <f t="shared" si="16"/>
        <v>0</v>
      </c>
      <c r="K425" s="12"/>
    </row>
    <row r="426" spans="1:11" ht="13.8" x14ac:dyDescent="0.3">
      <c r="A426" s="18">
        <v>2</v>
      </c>
      <c r="B426" s="10">
        <v>6</v>
      </c>
      <c r="C426" s="10">
        <v>8</v>
      </c>
      <c r="D426" s="10">
        <v>1</v>
      </c>
      <c r="E426" s="25" t="s">
        <v>44</v>
      </c>
      <c r="F426" s="9" t="s">
        <v>128</v>
      </c>
      <c r="G426" s="7">
        <f>'CUENTA T FONDO 100'!HV288</f>
        <v>0</v>
      </c>
      <c r="H426" s="7">
        <f>'CUENTA T VS'!HV81</f>
        <v>0</v>
      </c>
      <c r="I426" s="8"/>
      <c r="J426" s="7">
        <f t="shared" si="16"/>
        <v>0</v>
      </c>
      <c r="K426" s="6">
        <f>J426/$J$25</f>
        <v>0</v>
      </c>
    </row>
    <row r="427" spans="1:11" ht="13.8" x14ac:dyDescent="0.3">
      <c r="A427" s="19">
        <v>2</v>
      </c>
      <c r="B427" s="16">
        <v>6</v>
      </c>
      <c r="C427" s="16">
        <v>8</v>
      </c>
      <c r="D427" s="16">
        <v>2</v>
      </c>
      <c r="E427" s="16"/>
      <c r="F427" s="14" t="s">
        <v>127</v>
      </c>
      <c r="G427" s="13">
        <f>+G428</f>
        <v>0</v>
      </c>
      <c r="H427" s="13">
        <f>+H428</f>
        <v>0</v>
      </c>
      <c r="I427" s="13">
        <f>+I428</f>
        <v>0</v>
      </c>
      <c r="J427" s="13">
        <f t="shared" si="16"/>
        <v>0</v>
      </c>
      <c r="K427" s="12"/>
    </row>
    <row r="428" spans="1:11" ht="13.8" x14ac:dyDescent="0.3">
      <c r="A428" s="18">
        <v>2</v>
      </c>
      <c r="B428" s="10">
        <v>6</v>
      </c>
      <c r="C428" s="10">
        <v>8</v>
      </c>
      <c r="D428" s="10">
        <v>2</v>
      </c>
      <c r="E428" s="25" t="s">
        <v>44</v>
      </c>
      <c r="F428" s="9" t="s">
        <v>127</v>
      </c>
      <c r="G428" s="7">
        <f>'CUENTA T FONDO 100'!HW288</f>
        <v>0</v>
      </c>
      <c r="H428" s="7">
        <f>'CUENTA T VS'!HW81</f>
        <v>0</v>
      </c>
      <c r="I428" s="8"/>
      <c r="J428" s="7">
        <f t="shared" si="16"/>
        <v>0</v>
      </c>
      <c r="K428" s="6">
        <f>J428/$J$25</f>
        <v>0</v>
      </c>
    </row>
    <row r="429" spans="1:11" ht="13.8" x14ac:dyDescent="0.3">
      <c r="A429" s="19">
        <v>2</v>
      </c>
      <c r="B429" s="16">
        <v>6</v>
      </c>
      <c r="C429" s="16">
        <v>8</v>
      </c>
      <c r="D429" s="16">
        <v>3</v>
      </c>
      <c r="E429" s="16"/>
      <c r="F429" s="14" t="s">
        <v>126</v>
      </c>
      <c r="G429" s="13">
        <f>SUM(G430:G431)</f>
        <v>0</v>
      </c>
      <c r="H429" s="13">
        <f>SUM(H430:H431)</f>
        <v>0</v>
      </c>
      <c r="I429" s="13">
        <f>SUM(I430:I431)</f>
        <v>0</v>
      </c>
      <c r="J429" s="13">
        <f t="shared" si="16"/>
        <v>0</v>
      </c>
      <c r="K429" s="12"/>
    </row>
    <row r="430" spans="1:11" ht="13.8" x14ac:dyDescent="0.3">
      <c r="A430" s="18">
        <v>2</v>
      </c>
      <c r="B430" s="10">
        <v>6</v>
      </c>
      <c r="C430" s="10">
        <v>8</v>
      </c>
      <c r="D430" s="10">
        <v>3</v>
      </c>
      <c r="E430" s="25" t="s">
        <v>44</v>
      </c>
      <c r="F430" s="9" t="s">
        <v>125</v>
      </c>
      <c r="G430" s="7">
        <f>'CUENTA T FONDO 100'!HX288</f>
        <v>0</v>
      </c>
      <c r="H430" s="7">
        <f>'CUENTA T VS'!HX81</f>
        <v>0</v>
      </c>
      <c r="I430" s="8"/>
      <c r="J430" s="7">
        <f t="shared" si="16"/>
        <v>0</v>
      </c>
      <c r="K430" s="6">
        <f>J430/$J$25</f>
        <v>0</v>
      </c>
    </row>
    <row r="431" spans="1:11" ht="13.8" x14ac:dyDescent="0.3">
      <c r="A431" s="18">
        <v>2</v>
      </c>
      <c r="B431" s="10">
        <v>6</v>
      </c>
      <c r="C431" s="10">
        <v>8</v>
      </c>
      <c r="D431" s="10">
        <v>3</v>
      </c>
      <c r="E431" s="25" t="s">
        <v>43</v>
      </c>
      <c r="F431" s="9" t="s">
        <v>124</v>
      </c>
      <c r="G431" s="7">
        <f>'CUENTA T FONDO 100'!HY288</f>
        <v>0</v>
      </c>
      <c r="H431" s="7">
        <f>'CUENTA T VS'!HY81</f>
        <v>0</v>
      </c>
      <c r="I431" s="8"/>
      <c r="J431" s="7">
        <f t="shared" si="16"/>
        <v>0</v>
      </c>
      <c r="K431" s="6">
        <f>J431/$J$25</f>
        <v>0</v>
      </c>
    </row>
    <row r="432" spans="1:11" ht="13.8" x14ac:dyDescent="0.3">
      <c r="A432" s="19">
        <v>2</v>
      </c>
      <c r="B432" s="16">
        <v>6</v>
      </c>
      <c r="C432" s="16">
        <v>8</v>
      </c>
      <c r="D432" s="16">
        <v>4</v>
      </c>
      <c r="E432" s="16"/>
      <c r="F432" s="14" t="s">
        <v>123</v>
      </c>
      <c r="G432" s="13">
        <f>+G433</f>
        <v>0</v>
      </c>
      <c r="H432" s="13">
        <f>+H433</f>
        <v>0</v>
      </c>
      <c r="I432" s="13">
        <f>+I433</f>
        <v>0</v>
      </c>
      <c r="J432" s="13">
        <f t="shared" si="16"/>
        <v>0</v>
      </c>
      <c r="K432" s="12"/>
    </row>
    <row r="433" spans="1:11" ht="13.8" x14ac:dyDescent="0.3">
      <c r="A433" s="18">
        <v>2</v>
      </c>
      <c r="B433" s="10">
        <v>6</v>
      </c>
      <c r="C433" s="10">
        <v>8</v>
      </c>
      <c r="D433" s="10">
        <v>4</v>
      </c>
      <c r="E433" s="25" t="s">
        <v>44</v>
      </c>
      <c r="F433" s="9" t="s">
        <v>123</v>
      </c>
      <c r="G433" s="7">
        <f>'CUENTA T FONDO 100'!HZ288</f>
        <v>0</v>
      </c>
      <c r="H433" s="7">
        <f>'CUENTA T VS'!HZ81</f>
        <v>0</v>
      </c>
      <c r="I433" s="8"/>
      <c r="J433" s="7">
        <f t="shared" si="16"/>
        <v>0</v>
      </c>
      <c r="K433" s="6">
        <f>J433/$J$25</f>
        <v>0</v>
      </c>
    </row>
    <row r="434" spans="1:11" ht="13.8" x14ac:dyDescent="0.3">
      <c r="A434" s="19">
        <v>2</v>
      </c>
      <c r="B434" s="16">
        <v>6</v>
      </c>
      <c r="C434" s="16">
        <v>8</v>
      </c>
      <c r="D434" s="16">
        <v>5</v>
      </c>
      <c r="E434" s="16"/>
      <c r="F434" s="14" t="s">
        <v>122</v>
      </c>
      <c r="G434" s="13">
        <f>+G435</f>
        <v>0</v>
      </c>
      <c r="H434" s="13">
        <f>+H435</f>
        <v>0</v>
      </c>
      <c r="I434" s="13">
        <f>+I435</f>
        <v>0</v>
      </c>
      <c r="J434" s="13">
        <f t="shared" si="16"/>
        <v>0</v>
      </c>
      <c r="K434" s="12"/>
    </row>
    <row r="435" spans="1:11" ht="13.8" x14ac:dyDescent="0.3">
      <c r="A435" s="18">
        <v>2</v>
      </c>
      <c r="B435" s="10">
        <v>6</v>
      </c>
      <c r="C435" s="10">
        <v>8</v>
      </c>
      <c r="D435" s="10">
        <v>5</v>
      </c>
      <c r="E435" s="25" t="s">
        <v>44</v>
      </c>
      <c r="F435" s="9" t="s">
        <v>122</v>
      </c>
      <c r="G435" s="7">
        <f>'CUENTA T FONDO 100'!IA288</f>
        <v>0</v>
      </c>
      <c r="H435" s="7">
        <f>'CUENTA T VS'!IA81</f>
        <v>0</v>
      </c>
      <c r="I435" s="8"/>
      <c r="J435" s="7">
        <f t="shared" si="16"/>
        <v>0</v>
      </c>
      <c r="K435" s="6">
        <f>J435/$J$25</f>
        <v>0</v>
      </c>
    </row>
    <row r="436" spans="1:11" ht="13.8" x14ac:dyDescent="0.3">
      <c r="A436" s="19">
        <v>2</v>
      </c>
      <c r="B436" s="16">
        <v>6</v>
      </c>
      <c r="C436" s="16">
        <v>8</v>
      </c>
      <c r="D436" s="16">
        <v>6</v>
      </c>
      <c r="E436" s="16"/>
      <c r="F436" s="14" t="s">
        <v>121</v>
      </c>
      <c r="G436" s="13">
        <f>+G437</f>
        <v>0</v>
      </c>
      <c r="H436" s="13">
        <f>+H437</f>
        <v>0</v>
      </c>
      <c r="I436" s="13">
        <f>+I437</f>
        <v>0</v>
      </c>
      <c r="J436" s="13">
        <f t="shared" si="16"/>
        <v>0</v>
      </c>
      <c r="K436" s="12"/>
    </row>
    <row r="437" spans="1:11" ht="13.8" x14ac:dyDescent="0.3">
      <c r="A437" s="18">
        <v>2</v>
      </c>
      <c r="B437" s="10">
        <v>6</v>
      </c>
      <c r="C437" s="10">
        <v>8</v>
      </c>
      <c r="D437" s="10">
        <v>6</v>
      </c>
      <c r="E437" s="25" t="s">
        <v>44</v>
      </c>
      <c r="F437" s="9" t="s">
        <v>121</v>
      </c>
      <c r="G437" s="7">
        <f>'CUENTA T FONDO 100'!IB288</f>
        <v>0</v>
      </c>
      <c r="H437" s="7">
        <f>'CUENTA T VS'!IB81</f>
        <v>0</v>
      </c>
      <c r="I437" s="8"/>
      <c r="J437" s="7">
        <f t="shared" si="16"/>
        <v>0</v>
      </c>
      <c r="K437" s="6">
        <f>J437/$J$25</f>
        <v>0</v>
      </c>
    </row>
    <row r="438" spans="1:11" ht="13.8" x14ac:dyDescent="0.3">
      <c r="A438" s="19">
        <v>2</v>
      </c>
      <c r="B438" s="16">
        <v>6</v>
      </c>
      <c r="C438" s="16">
        <v>8</v>
      </c>
      <c r="D438" s="16">
        <v>7</v>
      </c>
      <c r="E438" s="16"/>
      <c r="F438" s="14" t="s">
        <v>120</v>
      </c>
      <c r="G438" s="13">
        <f>+G439</f>
        <v>0</v>
      </c>
      <c r="H438" s="13">
        <f>+H439</f>
        <v>0</v>
      </c>
      <c r="I438" s="13">
        <f>+I439</f>
        <v>0</v>
      </c>
      <c r="J438" s="13">
        <f t="shared" si="16"/>
        <v>0</v>
      </c>
      <c r="K438" s="12"/>
    </row>
    <row r="439" spans="1:11" ht="13.8" x14ac:dyDescent="0.3">
      <c r="A439" s="18">
        <v>2</v>
      </c>
      <c r="B439" s="10">
        <v>6</v>
      </c>
      <c r="C439" s="10">
        <v>8</v>
      </c>
      <c r="D439" s="10">
        <v>7</v>
      </c>
      <c r="E439" s="25" t="s">
        <v>44</v>
      </c>
      <c r="F439" s="9" t="s">
        <v>120</v>
      </c>
      <c r="G439" s="7">
        <f>'CUENTA T FONDO 100'!IC288</f>
        <v>0</v>
      </c>
      <c r="H439" s="7">
        <f>'CUENTA T VS'!IC81</f>
        <v>0</v>
      </c>
      <c r="I439" s="8"/>
      <c r="J439" s="7">
        <f t="shared" si="16"/>
        <v>0</v>
      </c>
      <c r="K439" s="6">
        <f>J439/$J$25</f>
        <v>0</v>
      </c>
    </row>
    <row r="440" spans="1:11" ht="13.8" x14ac:dyDescent="0.25">
      <c r="A440" s="17">
        <v>2</v>
      </c>
      <c r="B440" s="16">
        <v>6</v>
      </c>
      <c r="C440" s="16">
        <v>8</v>
      </c>
      <c r="D440" s="16">
        <v>8</v>
      </c>
      <c r="E440" s="16"/>
      <c r="F440" s="14" t="s">
        <v>420</v>
      </c>
      <c r="G440" s="13">
        <f>SUM(G441:G443)</f>
        <v>0</v>
      </c>
      <c r="H440" s="13">
        <f>SUM(H441:H443)</f>
        <v>0</v>
      </c>
      <c r="I440" s="13">
        <f>SUM(I441:I443)</f>
        <v>0</v>
      </c>
      <c r="J440" s="13">
        <f t="shared" si="16"/>
        <v>0</v>
      </c>
      <c r="K440" s="12"/>
    </row>
    <row r="441" spans="1:11" ht="13.8" x14ac:dyDescent="0.3">
      <c r="A441" s="18">
        <v>2</v>
      </c>
      <c r="B441" s="10">
        <v>6</v>
      </c>
      <c r="C441" s="10">
        <v>8</v>
      </c>
      <c r="D441" s="10">
        <v>8</v>
      </c>
      <c r="E441" s="10" t="s">
        <v>119</v>
      </c>
      <c r="F441" s="9" t="s">
        <v>118</v>
      </c>
      <c r="G441" s="7">
        <f>'CUENTA T FONDO 100'!ID288</f>
        <v>0</v>
      </c>
      <c r="H441" s="7">
        <f>'CUENTA T VS'!ID81</f>
        <v>0</v>
      </c>
      <c r="I441" s="7"/>
      <c r="J441" s="7">
        <f t="shared" si="16"/>
        <v>0</v>
      </c>
      <c r="K441" s="6">
        <f>J441/$J$25</f>
        <v>0</v>
      </c>
    </row>
    <row r="442" spans="1:11" ht="13.8" x14ac:dyDescent="0.3">
      <c r="A442" s="18">
        <v>2</v>
      </c>
      <c r="B442" s="10">
        <v>6</v>
      </c>
      <c r="C442" s="10">
        <v>8</v>
      </c>
      <c r="D442" s="10">
        <v>8</v>
      </c>
      <c r="E442" s="10" t="s">
        <v>117</v>
      </c>
      <c r="F442" s="9" t="s">
        <v>116</v>
      </c>
      <c r="G442" s="7">
        <f>'CUENTA T FONDO 100'!IE288</f>
        <v>0</v>
      </c>
      <c r="H442" s="7">
        <f>'CUENTA T VS'!IE81</f>
        <v>0</v>
      </c>
      <c r="I442" s="7"/>
      <c r="J442" s="7">
        <f t="shared" si="16"/>
        <v>0</v>
      </c>
      <c r="K442" s="6">
        <f>J442/$J$25</f>
        <v>0</v>
      </c>
    </row>
    <row r="443" spans="1:11" ht="13.8" x14ac:dyDescent="0.3">
      <c r="A443" s="18">
        <v>2</v>
      </c>
      <c r="B443" s="10">
        <v>6</v>
      </c>
      <c r="C443" s="10">
        <v>8</v>
      </c>
      <c r="D443" s="10">
        <v>8</v>
      </c>
      <c r="E443" s="10" t="s">
        <v>115</v>
      </c>
      <c r="F443" s="9" t="s">
        <v>114</v>
      </c>
      <c r="G443" s="7">
        <f>'CUENTA T FONDO 100'!IF288</f>
        <v>0</v>
      </c>
      <c r="H443" s="7">
        <f>'CUENTA T VS'!IF81</f>
        <v>0</v>
      </c>
      <c r="I443" s="7"/>
      <c r="J443" s="7">
        <f t="shared" si="16"/>
        <v>0</v>
      </c>
      <c r="K443" s="6">
        <f>J443/$J$25</f>
        <v>0</v>
      </c>
    </row>
    <row r="444" spans="1:11" ht="13.8" x14ac:dyDescent="0.3">
      <c r="A444" s="19">
        <v>2</v>
      </c>
      <c r="B444" s="16">
        <v>6</v>
      </c>
      <c r="C444" s="16">
        <v>8</v>
      </c>
      <c r="D444" s="16">
        <v>9</v>
      </c>
      <c r="E444" s="16"/>
      <c r="F444" s="14" t="s">
        <v>113</v>
      </c>
      <c r="G444" s="13">
        <f>+G445</f>
        <v>0</v>
      </c>
      <c r="H444" s="13">
        <f>+H445</f>
        <v>0</v>
      </c>
      <c r="I444" s="13">
        <f>+I445</f>
        <v>0</v>
      </c>
      <c r="J444" s="13">
        <f t="shared" si="16"/>
        <v>0</v>
      </c>
      <c r="K444" s="12"/>
    </row>
    <row r="445" spans="1:11" ht="13.8" x14ac:dyDescent="0.3">
      <c r="A445" s="18">
        <v>2</v>
      </c>
      <c r="B445" s="10">
        <v>6</v>
      </c>
      <c r="C445" s="10">
        <v>8</v>
      </c>
      <c r="D445" s="10">
        <v>9</v>
      </c>
      <c r="E445" s="10" t="s">
        <v>80</v>
      </c>
      <c r="F445" s="9" t="s">
        <v>113</v>
      </c>
      <c r="G445" s="7">
        <f>'CUENTA T FONDO 100'!IG288</f>
        <v>0</v>
      </c>
      <c r="H445" s="7">
        <f>'CUENTA T VS'!IG81</f>
        <v>0</v>
      </c>
      <c r="I445" s="7"/>
      <c r="J445" s="7">
        <f t="shared" si="16"/>
        <v>0</v>
      </c>
      <c r="K445" s="6">
        <f>J445/$J$25</f>
        <v>0</v>
      </c>
    </row>
    <row r="446" spans="1:11" ht="13.8" x14ac:dyDescent="0.25">
      <c r="A446" s="31">
        <v>2</v>
      </c>
      <c r="B446" s="23">
        <v>6</v>
      </c>
      <c r="C446" s="23">
        <v>9</v>
      </c>
      <c r="D446" s="23"/>
      <c r="E446" s="30"/>
      <c r="F446" s="22" t="s">
        <v>112</v>
      </c>
      <c r="G446" s="21">
        <f>+G447+G450+G453+G455+G457+G461</f>
        <v>0</v>
      </c>
      <c r="H446" s="21">
        <f>+H447+H450+H453+H455+H457+H461</f>
        <v>0</v>
      </c>
      <c r="I446" s="21">
        <f>+I447+I450+I453+I455+I457+I461</f>
        <v>0</v>
      </c>
      <c r="J446" s="21">
        <f t="shared" si="16"/>
        <v>0</v>
      </c>
      <c r="K446" s="20"/>
    </row>
    <row r="447" spans="1:11" ht="13.8" x14ac:dyDescent="0.3">
      <c r="A447" s="19">
        <v>2</v>
      </c>
      <c r="B447" s="16">
        <v>6</v>
      </c>
      <c r="C447" s="16">
        <v>9</v>
      </c>
      <c r="D447" s="16">
        <v>1</v>
      </c>
      <c r="E447" s="16"/>
      <c r="F447" s="14" t="s">
        <v>111</v>
      </c>
      <c r="G447" s="13">
        <f>+G448+G449</f>
        <v>0</v>
      </c>
      <c r="H447" s="13">
        <f>+H448+H449</f>
        <v>0</v>
      </c>
      <c r="I447" s="13">
        <f>+I448+I449</f>
        <v>0</v>
      </c>
      <c r="J447" s="13">
        <f t="shared" si="16"/>
        <v>0</v>
      </c>
      <c r="K447" s="13"/>
    </row>
    <row r="448" spans="1:11" ht="13.8" x14ac:dyDescent="0.3">
      <c r="A448" s="29">
        <v>2</v>
      </c>
      <c r="B448" s="28">
        <v>6</v>
      </c>
      <c r="C448" s="28">
        <v>9</v>
      </c>
      <c r="D448" s="28">
        <v>1</v>
      </c>
      <c r="E448" s="28" t="s">
        <v>44</v>
      </c>
      <c r="F448" s="27" t="s">
        <v>111</v>
      </c>
      <c r="G448" s="7">
        <f>'CUENTA T FONDO 100'!IH288</f>
        <v>0</v>
      </c>
      <c r="H448" s="26">
        <f>'CUENTA T VS'!IH81</f>
        <v>0</v>
      </c>
      <c r="I448" s="26"/>
      <c r="J448" s="26">
        <f t="shared" si="16"/>
        <v>0</v>
      </c>
      <c r="K448" s="6">
        <f>J448/$J$25</f>
        <v>0</v>
      </c>
    </row>
    <row r="449" spans="1:11" ht="13.8" x14ac:dyDescent="0.3">
      <c r="A449" s="29">
        <v>2</v>
      </c>
      <c r="B449" s="28">
        <v>6</v>
      </c>
      <c r="C449" s="28">
        <v>9</v>
      </c>
      <c r="D449" s="28">
        <v>1</v>
      </c>
      <c r="E449" s="28" t="s">
        <v>43</v>
      </c>
      <c r="F449" s="27" t="s">
        <v>418</v>
      </c>
      <c r="G449" s="7">
        <f>'CUENTA T FONDO 100'!II288</f>
        <v>0</v>
      </c>
      <c r="H449" s="26">
        <f>'CUENTA T VS'!II81</f>
        <v>0</v>
      </c>
      <c r="I449" s="26"/>
      <c r="J449" s="26">
        <f t="shared" si="16"/>
        <v>0</v>
      </c>
      <c r="K449" s="6">
        <f>J449/$J$25</f>
        <v>0</v>
      </c>
    </row>
    <row r="450" spans="1:11" ht="13.8" x14ac:dyDescent="0.3">
      <c r="A450" s="19">
        <v>2</v>
      </c>
      <c r="B450" s="16">
        <v>6</v>
      </c>
      <c r="C450" s="16">
        <v>9</v>
      </c>
      <c r="D450" s="16">
        <v>2</v>
      </c>
      <c r="E450" s="16"/>
      <c r="F450" s="14" t="s">
        <v>110</v>
      </c>
      <c r="G450" s="13">
        <f>SUM(G451:G452)</f>
        <v>0</v>
      </c>
      <c r="H450" s="13">
        <f>SUM(H451:H452)</f>
        <v>0</v>
      </c>
      <c r="I450" s="13">
        <f>SUM(I451:I452)</f>
        <v>0</v>
      </c>
      <c r="J450" s="13">
        <f t="shared" si="16"/>
        <v>0</v>
      </c>
      <c r="K450" s="12"/>
    </row>
    <row r="451" spans="1:11" ht="13.8" x14ac:dyDescent="0.3">
      <c r="A451" s="18">
        <v>2</v>
      </c>
      <c r="B451" s="10">
        <v>6</v>
      </c>
      <c r="C451" s="10">
        <v>9</v>
      </c>
      <c r="D451" s="10">
        <v>2</v>
      </c>
      <c r="E451" s="25" t="s">
        <v>44</v>
      </c>
      <c r="F451" s="9" t="s">
        <v>110</v>
      </c>
      <c r="G451" s="7">
        <f>'CUENTA T FONDO 100'!IJ288</f>
        <v>0</v>
      </c>
      <c r="H451" s="7">
        <f>'CUENTA T VS'!IJ81</f>
        <v>0</v>
      </c>
      <c r="I451" s="8"/>
      <c r="J451" s="7">
        <f t="shared" si="16"/>
        <v>0</v>
      </c>
      <c r="K451" s="6">
        <f>J451/$J$25</f>
        <v>0</v>
      </c>
    </row>
    <row r="452" spans="1:11" ht="13.8" x14ac:dyDescent="0.3">
      <c r="A452" s="18">
        <v>2</v>
      </c>
      <c r="B452" s="10">
        <v>6</v>
      </c>
      <c r="C452" s="10">
        <v>9</v>
      </c>
      <c r="D452" s="10">
        <v>2</v>
      </c>
      <c r="E452" s="25" t="s">
        <v>43</v>
      </c>
      <c r="F452" s="9" t="s">
        <v>419</v>
      </c>
      <c r="G452" s="7">
        <f>'CUENTA T FONDO 100'!IK288</f>
        <v>0</v>
      </c>
      <c r="H452" s="7">
        <f>'CUENTA T VS'!IK81</f>
        <v>0</v>
      </c>
      <c r="I452" s="8"/>
      <c r="J452" s="7">
        <f t="shared" si="16"/>
        <v>0</v>
      </c>
      <c r="K452" s="6">
        <f>J452/$J$25</f>
        <v>0</v>
      </c>
    </row>
    <row r="453" spans="1:11" ht="13.8" x14ac:dyDescent="0.3">
      <c r="A453" s="19">
        <v>2</v>
      </c>
      <c r="B453" s="16">
        <v>6</v>
      </c>
      <c r="C453" s="16">
        <v>9</v>
      </c>
      <c r="D453" s="16">
        <v>3</v>
      </c>
      <c r="E453" s="16"/>
      <c r="F453" s="14" t="s">
        <v>109</v>
      </c>
      <c r="G453" s="13">
        <f>SUM(G454)</f>
        <v>0</v>
      </c>
      <c r="H453" s="13">
        <f>SUM(H454)</f>
        <v>0</v>
      </c>
      <c r="I453" s="13">
        <f>SUM(I454)</f>
        <v>0</v>
      </c>
      <c r="J453" s="13">
        <f t="shared" si="16"/>
        <v>0</v>
      </c>
      <c r="K453" s="13"/>
    </row>
    <row r="454" spans="1:11" ht="13.8" x14ac:dyDescent="0.3">
      <c r="A454" s="18">
        <v>2</v>
      </c>
      <c r="B454" s="10">
        <v>6</v>
      </c>
      <c r="C454" s="10">
        <v>9</v>
      </c>
      <c r="D454" s="10">
        <v>3</v>
      </c>
      <c r="E454" s="25" t="s">
        <v>44</v>
      </c>
      <c r="F454" s="9" t="s">
        <v>109</v>
      </c>
      <c r="G454" s="7">
        <f>'CUENTA T FONDO 100'!IL288</f>
        <v>0</v>
      </c>
      <c r="H454" s="7">
        <f>'CUENTA T VS'!IL81</f>
        <v>0</v>
      </c>
      <c r="I454" s="8"/>
      <c r="J454" s="7">
        <f t="shared" si="16"/>
        <v>0</v>
      </c>
      <c r="K454" s="6">
        <f>J454/$J$25</f>
        <v>0</v>
      </c>
    </row>
    <row r="455" spans="1:11" ht="13.8" x14ac:dyDescent="0.3">
      <c r="A455" s="19">
        <v>2</v>
      </c>
      <c r="B455" s="16">
        <v>6</v>
      </c>
      <c r="C455" s="16">
        <v>9</v>
      </c>
      <c r="D455" s="16">
        <v>4</v>
      </c>
      <c r="E455" s="16"/>
      <c r="F455" s="14" t="s">
        <v>108</v>
      </c>
      <c r="G455" s="13">
        <f>SUM(G456)</f>
        <v>0</v>
      </c>
      <c r="H455" s="13">
        <f>SUM(H456)</f>
        <v>0</v>
      </c>
      <c r="I455" s="13">
        <f>SUM(I456)</f>
        <v>0</v>
      </c>
      <c r="J455" s="13">
        <f t="shared" si="16"/>
        <v>0</v>
      </c>
      <c r="K455" s="12"/>
    </row>
    <row r="456" spans="1:11" ht="13.8" x14ac:dyDescent="0.3">
      <c r="A456" s="18">
        <v>2</v>
      </c>
      <c r="B456" s="10">
        <v>6</v>
      </c>
      <c r="C456" s="10">
        <v>9</v>
      </c>
      <c r="D456" s="10">
        <v>4</v>
      </c>
      <c r="E456" s="25" t="s">
        <v>44</v>
      </c>
      <c r="F456" s="9" t="s">
        <v>108</v>
      </c>
      <c r="G456" s="7">
        <f>'CUENTA T FONDO 100'!IM288</f>
        <v>0</v>
      </c>
      <c r="H456" s="7">
        <f>'CUENTA T VS'!IM81</f>
        <v>0</v>
      </c>
      <c r="I456" s="8"/>
      <c r="J456" s="7">
        <f t="shared" si="16"/>
        <v>0</v>
      </c>
      <c r="K456" s="6">
        <f>J456/$J$25</f>
        <v>0</v>
      </c>
    </row>
    <row r="457" spans="1:11" ht="13.8" x14ac:dyDescent="0.3">
      <c r="A457" s="19">
        <v>2</v>
      </c>
      <c r="B457" s="16">
        <v>6</v>
      </c>
      <c r="C457" s="16">
        <v>9</v>
      </c>
      <c r="D457" s="16">
        <v>5</v>
      </c>
      <c r="E457" s="16"/>
      <c r="F457" s="14" t="s">
        <v>107</v>
      </c>
      <c r="G457" s="13">
        <f>SUM(G458:G460)</f>
        <v>0</v>
      </c>
      <c r="H457" s="13">
        <f>SUM(H458:H460)</f>
        <v>0</v>
      </c>
      <c r="I457" s="13">
        <f>SUM(I458:I460)</f>
        <v>0</v>
      </c>
      <c r="J457" s="13">
        <f t="shared" si="16"/>
        <v>0</v>
      </c>
      <c r="K457" s="12"/>
    </row>
    <row r="458" spans="1:11" ht="13.8" x14ac:dyDescent="0.3">
      <c r="A458" s="18">
        <v>2</v>
      </c>
      <c r="B458" s="10">
        <v>6</v>
      </c>
      <c r="C458" s="10">
        <v>9</v>
      </c>
      <c r="D458" s="10">
        <v>5</v>
      </c>
      <c r="E458" s="25" t="s">
        <v>44</v>
      </c>
      <c r="F458" s="9" t="s">
        <v>106</v>
      </c>
      <c r="G458" s="7">
        <f>'CUENTA T FONDO 100'!IN288</f>
        <v>0</v>
      </c>
      <c r="H458" s="7">
        <f>'CUENTA T VS'!IN81</f>
        <v>0</v>
      </c>
      <c r="I458" s="8"/>
      <c r="J458" s="7">
        <f t="shared" si="16"/>
        <v>0</v>
      </c>
      <c r="K458" s="6">
        <f>J458/$J$25</f>
        <v>0</v>
      </c>
    </row>
    <row r="459" spans="1:11" ht="13.8" x14ac:dyDescent="0.3">
      <c r="A459" s="18">
        <v>2</v>
      </c>
      <c r="B459" s="10">
        <v>6</v>
      </c>
      <c r="C459" s="10">
        <v>9</v>
      </c>
      <c r="D459" s="10">
        <v>5</v>
      </c>
      <c r="E459" s="25" t="s">
        <v>43</v>
      </c>
      <c r="F459" s="9" t="s">
        <v>105</v>
      </c>
      <c r="G459" s="7">
        <f>'CUENTA T FONDO 100'!IO288</f>
        <v>0</v>
      </c>
      <c r="H459" s="7">
        <f>'CUENTA T VS'!IO81</f>
        <v>0</v>
      </c>
      <c r="I459" s="8"/>
      <c r="J459" s="7">
        <f t="shared" si="16"/>
        <v>0</v>
      </c>
      <c r="K459" s="6">
        <f>J459/$J$25</f>
        <v>0</v>
      </c>
    </row>
    <row r="460" spans="1:11" ht="13.8" x14ac:dyDescent="0.3">
      <c r="A460" s="18">
        <v>2</v>
      </c>
      <c r="B460" s="10">
        <v>6</v>
      </c>
      <c r="C460" s="10">
        <v>9</v>
      </c>
      <c r="D460" s="10">
        <v>5</v>
      </c>
      <c r="E460" s="25" t="s">
        <v>104</v>
      </c>
      <c r="F460" s="9" t="s">
        <v>103</v>
      </c>
      <c r="G460" s="7">
        <f>'CUENTA T FONDO 100'!IP288</f>
        <v>0</v>
      </c>
      <c r="H460" s="7">
        <f>'CUENTA T VS'!IP81</f>
        <v>0</v>
      </c>
      <c r="I460" s="8"/>
      <c r="J460" s="7">
        <f t="shared" si="16"/>
        <v>0</v>
      </c>
      <c r="K460" s="6">
        <f>J460/$J$25</f>
        <v>0</v>
      </c>
    </row>
    <row r="461" spans="1:11" ht="13.8" x14ac:dyDescent="0.3">
      <c r="A461" s="19">
        <v>2</v>
      </c>
      <c r="B461" s="16">
        <v>6</v>
      </c>
      <c r="C461" s="16">
        <v>9</v>
      </c>
      <c r="D461" s="16">
        <v>9</v>
      </c>
      <c r="E461" s="16"/>
      <c r="F461" s="14" t="s">
        <v>102</v>
      </c>
      <c r="G461" s="13">
        <f>SUM(G462)</f>
        <v>0</v>
      </c>
      <c r="H461" s="13">
        <f>SUM(H462)</f>
        <v>0</v>
      </c>
      <c r="I461" s="13">
        <f>SUM(I462)</f>
        <v>0</v>
      </c>
      <c r="J461" s="13">
        <f t="shared" si="16"/>
        <v>0</v>
      </c>
      <c r="K461" s="12"/>
    </row>
    <row r="462" spans="1:11" ht="13.8" x14ac:dyDescent="0.3">
      <c r="A462" s="18">
        <v>2</v>
      </c>
      <c r="B462" s="10">
        <v>6</v>
      </c>
      <c r="C462" s="10">
        <v>9</v>
      </c>
      <c r="D462" s="10">
        <v>9</v>
      </c>
      <c r="E462" s="25" t="s">
        <v>44</v>
      </c>
      <c r="F462" s="9" t="s">
        <v>102</v>
      </c>
      <c r="G462" s="7">
        <f>'CUENTA T FONDO 100'!IQ288</f>
        <v>0</v>
      </c>
      <c r="H462" s="7">
        <f>'CUENTA T VS'!IQ81</f>
        <v>0</v>
      </c>
      <c r="I462" s="8"/>
      <c r="J462" s="7">
        <f t="shared" si="16"/>
        <v>0</v>
      </c>
      <c r="K462" s="6">
        <f>J462/$J$25</f>
        <v>0</v>
      </c>
    </row>
    <row r="463" spans="1:11" ht="13.8" x14ac:dyDescent="0.3">
      <c r="A463" s="24">
        <v>2</v>
      </c>
      <c r="B463" s="23">
        <v>7</v>
      </c>
      <c r="C463" s="23"/>
      <c r="D463" s="23"/>
      <c r="E463" s="23"/>
      <c r="F463" s="22" t="s">
        <v>101</v>
      </c>
      <c r="G463" s="21">
        <f>G464+G473+G492+G497</f>
        <v>0</v>
      </c>
      <c r="H463" s="21">
        <f>H464+H473+H492+H497</f>
        <v>0</v>
      </c>
      <c r="I463" s="21">
        <f>I464+I473+I492+I497</f>
        <v>0</v>
      </c>
      <c r="J463" s="21">
        <f t="shared" si="16"/>
        <v>0</v>
      </c>
      <c r="K463" s="20">
        <f>J463/$J$25</f>
        <v>0</v>
      </c>
    </row>
    <row r="464" spans="1:11" ht="13.8" x14ac:dyDescent="0.3">
      <c r="A464" s="24">
        <v>2</v>
      </c>
      <c r="B464" s="23">
        <v>7</v>
      </c>
      <c r="C464" s="23">
        <v>1</v>
      </c>
      <c r="D464" s="23"/>
      <c r="E464" s="23"/>
      <c r="F464" s="22" t="s">
        <v>100</v>
      </c>
      <c r="G464" s="21">
        <f>+G465+G467+G469+G471</f>
        <v>0</v>
      </c>
      <c r="H464" s="21">
        <f>+H465+H467+H469+H471</f>
        <v>0</v>
      </c>
      <c r="I464" s="21">
        <f>+I465+I467+I469+I471</f>
        <v>0</v>
      </c>
      <c r="J464" s="21">
        <f t="shared" si="16"/>
        <v>0</v>
      </c>
      <c r="K464" s="20"/>
    </row>
    <row r="465" spans="1:11" ht="13.8" x14ac:dyDescent="0.3">
      <c r="A465" s="19">
        <v>2</v>
      </c>
      <c r="B465" s="16">
        <v>7</v>
      </c>
      <c r="C465" s="16">
        <v>1</v>
      </c>
      <c r="D465" s="16">
        <v>1</v>
      </c>
      <c r="E465" s="15"/>
      <c r="F465" s="14" t="s">
        <v>99</v>
      </c>
      <c r="G465" s="13">
        <f>+G466</f>
        <v>0</v>
      </c>
      <c r="H465" s="13">
        <f>+H466</f>
        <v>0</v>
      </c>
      <c r="I465" s="13">
        <f>+I466</f>
        <v>0</v>
      </c>
      <c r="J465" s="13">
        <f t="shared" si="16"/>
        <v>0</v>
      </c>
      <c r="K465" s="12"/>
    </row>
    <row r="466" spans="1:11" ht="13.8" x14ac:dyDescent="0.3">
      <c r="A466" s="18">
        <v>2</v>
      </c>
      <c r="B466" s="10">
        <v>7</v>
      </c>
      <c r="C466" s="10">
        <v>1</v>
      </c>
      <c r="D466" s="10">
        <v>1</v>
      </c>
      <c r="E466" s="10" t="s">
        <v>80</v>
      </c>
      <c r="F466" s="9" t="s">
        <v>99</v>
      </c>
      <c r="G466" s="7">
        <f>'CUENTA T FONDO 100'!IR288</f>
        <v>0</v>
      </c>
      <c r="H466" s="7">
        <f>'CUENTA T VS'!IR81</f>
        <v>0</v>
      </c>
      <c r="I466" s="8"/>
      <c r="J466" s="7">
        <f t="shared" si="16"/>
        <v>0</v>
      </c>
      <c r="K466" s="6">
        <f>J466/$J$25</f>
        <v>0</v>
      </c>
    </row>
    <row r="467" spans="1:11" ht="13.8" x14ac:dyDescent="0.3">
      <c r="A467" s="19">
        <v>2</v>
      </c>
      <c r="B467" s="16">
        <v>7</v>
      </c>
      <c r="C467" s="16">
        <v>1</v>
      </c>
      <c r="D467" s="16">
        <v>2</v>
      </c>
      <c r="E467" s="15"/>
      <c r="F467" s="14" t="s">
        <v>98</v>
      </c>
      <c r="G467" s="13">
        <f>+G468</f>
        <v>0</v>
      </c>
      <c r="H467" s="13">
        <f>+H468</f>
        <v>0</v>
      </c>
      <c r="I467" s="13">
        <f>+I468</f>
        <v>0</v>
      </c>
      <c r="J467" s="13">
        <f t="shared" si="16"/>
        <v>0</v>
      </c>
      <c r="K467" s="12"/>
    </row>
    <row r="468" spans="1:11" ht="13.8" x14ac:dyDescent="0.3">
      <c r="A468" s="18">
        <v>2</v>
      </c>
      <c r="B468" s="10">
        <v>7</v>
      </c>
      <c r="C468" s="10">
        <v>1</v>
      </c>
      <c r="D468" s="10">
        <v>2</v>
      </c>
      <c r="E468" s="10" t="s">
        <v>80</v>
      </c>
      <c r="F468" s="9" t="s">
        <v>98</v>
      </c>
      <c r="G468" s="7">
        <f>'CUENTA T FONDO 100'!IS288</f>
        <v>0</v>
      </c>
      <c r="H468" s="7">
        <f>'CUENTA T VS'!IS81</f>
        <v>0</v>
      </c>
      <c r="I468" s="8"/>
      <c r="J468" s="7">
        <f t="shared" si="16"/>
        <v>0</v>
      </c>
      <c r="K468" s="6">
        <f>J468/$J$25</f>
        <v>0</v>
      </c>
    </row>
    <row r="469" spans="1:11" ht="13.8" x14ac:dyDescent="0.3">
      <c r="A469" s="19">
        <v>2</v>
      </c>
      <c r="B469" s="16">
        <v>7</v>
      </c>
      <c r="C469" s="16">
        <v>1</v>
      </c>
      <c r="D469" s="16">
        <v>3</v>
      </c>
      <c r="E469" s="15"/>
      <c r="F469" s="14" t="s">
        <v>97</v>
      </c>
      <c r="G469" s="13">
        <f>+G470</f>
        <v>0</v>
      </c>
      <c r="H469" s="13">
        <f>+H470</f>
        <v>0</v>
      </c>
      <c r="I469" s="13">
        <f>+I470</f>
        <v>0</v>
      </c>
      <c r="J469" s="13">
        <f t="shared" si="16"/>
        <v>0</v>
      </c>
      <c r="K469" s="12"/>
    </row>
    <row r="470" spans="1:11" ht="13.8" x14ac:dyDescent="0.3">
      <c r="A470" s="18">
        <v>2</v>
      </c>
      <c r="B470" s="10">
        <v>7</v>
      </c>
      <c r="C470" s="10">
        <v>1</v>
      </c>
      <c r="D470" s="10">
        <v>3</v>
      </c>
      <c r="E470" s="10" t="s">
        <v>80</v>
      </c>
      <c r="F470" s="9" t="s">
        <v>97</v>
      </c>
      <c r="G470" s="7">
        <f>'CUENTA T FONDO 100'!IT288</f>
        <v>0</v>
      </c>
      <c r="H470" s="7">
        <f>'CUENTA T VS'!IT81</f>
        <v>0</v>
      </c>
      <c r="I470" s="8"/>
      <c r="J470" s="7">
        <f t="shared" si="16"/>
        <v>0</v>
      </c>
      <c r="K470" s="6">
        <f>J470/$J$25</f>
        <v>0</v>
      </c>
    </row>
    <row r="471" spans="1:11" ht="13.8" x14ac:dyDescent="0.3">
      <c r="A471" s="19">
        <v>2</v>
      </c>
      <c r="B471" s="16">
        <v>7</v>
      </c>
      <c r="C471" s="16">
        <v>1</v>
      </c>
      <c r="D471" s="16">
        <v>4</v>
      </c>
      <c r="E471" s="15"/>
      <c r="F471" s="14" t="s">
        <v>96</v>
      </c>
      <c r="G471" s="13">
        <f>+G472</f>
        <v>0</v>
      </c>
      <c r="H471" s="13">
        <f>+H472</f>
        <v>0</v>
      </c>
      <c r="I471" s="13">
        <f>+I472</f>
        <v>0</v>
      </c>
      <c r="J471" s="13">
        <f t="shared" si="16"/>
        <v>0</v>
      </c>
      <c r="K471" s="12"/>
    </row>
    <row r="472" spans="1:11" ht="13.8" x14ac:dyDescent="0.3">
      <c r="A472" s="18">
        <v>2</v>
      </c>
      <c r="B472" s="10">
        <v>7</v>
      </c>
      <c r="C472" s="10">
        <v>1</v>
      </c>
      <c r="D472" s="10">
        <v>4</v>
      </c>
      <c r="E472" s="10" t="s">
        <v>80</v>
      </c>
      <c r="F472" s="9" t="s">
        <v>96</v>
      </c>
      <c r="G472" s="7">
        <f>'CUENTA T FONDO 100'!IU288</f>
        <v>0</v>
      </c>
      <c r="H472" s="7">
        <f>'CUENTA T VS'!IU81</f>
        <v>0</v>
      </c>
      <c r="I472" s="8"/>
      <c r="J472" s="7">
        <f t="shared" si="16"/>
        <v>0</v>
      </c>
      <c r="K472" s="6">
        <f>J472/$J$25</f>
        <v>0</v>
      </c>
    </row>
    <row r="473" spans="1:11" ht="13.8" x14ac:dyDescent="0.3">
      <c r="A473" s="24">
        <v>2</v>
      </c>
      <c r="B473" s="23">
        <v>7</v>
      </c>
      <c r="C473" s="23">
        <v>2</v>
      </c>
      <c r="D473" s="23"/>
      <c r="E473" s="23"/>
      <c r="F473" s="22" t="s">
        <v>95</v>
      </c>
      <c r="G473" s="21">
        <f>+G474+G476+G478+G480+G482+G484+G486+G488+G490</f>
        <v>0</v>
      </c>
      <c r="H473" s="21">
        <f>+H474+H476+H478+H480+H482+H484+H486+H488+H490</f>
        <v>0</v>
      </c>
      <c r="I473" s="21">
        <f>+I474+I476+I478+I480+I482+I484+I486+I488+I490</f>
        <v>0</v>
      </c>
      <c r="J473" s="21">
        <f t="shared" si="16"/>
        <v>0</v>
      </c>
      <c r="K473" s="20"/>
    </row>
    <row r="474" spans="1:11" ht="13.8" x14ac:dyDescent="0.3">
      <c r="A474" s="19">
        <v>2</v>
      </c>
      <c r="B474" s="16">
        <v>7</v>
      </c>
      <c r="C474" s="16">
        <v>2</v>
      </c>
      <c r="D474" s="16">
        <v>1</v>
      </c>
      <c r="E474" s="15"/>
      <c r="F474" s="14" t="s">
        <v>94</v>
      </c>
      <c r="G474" s="13">
        <f>+G475</f>
        <v>0</v>
      </c>
      <c r="H474" s="13">
        <f>+H475</f>
        <v>0</v>
      </c>
      <c r="I474" s="13">
        <f>+I475</f>
        <v>0</v>
      </c>
      <c r="J474" s="13">
        <f t="shared" si="16"/>
        <v>0</v>
      </c>
      <c r="K474" s="12"/>
    </row>
    <row r="475" spans="1:11" ht="13.8" x14ac:dyDescent="0.3">
      <c r="A475" s="18">
        <v>2</v>
      </c>
      <c r="B475" s="10">
        <v>7</v>
      </c>
      <c r="C475" s="10">
        <v>2</v>
      </c>
      <c r="D475" s="10">
        <v>1</v>
      </c>
      <c r="E475" s="10" t="s">
        <v>80</v>
      </c>
      <c r="F475" s="9" t="s">
        <v>94</v>
      </c>
      <c r="G475" s="7">
        <f>'CUENTA T FONDO 100'!IV288</f>
        <v>0</v>
      </c>
      <c r="H475" s="7">
        <f>'CUENTA T VS'!IV81</f>
        <v>0</v>
      </c>
      <c r="I475" s="7"/>
      <c r="J475" s="7">
        <f t="shared" si="16"/>
        <v>0</v>
      </c>
      <c r="K475" s="6">
        <f>J475/$J$25</f>
        <v>0</v>
      </c>
    </row>
    <row r="476" spans="1:11" ht="13.8" x14ac:dyDescent="0.3">
      <c r="A476" s="19">
        <v>2</v>
      </c>
      <c r="B476" s="16">
        <v>7</v>
      </c>
      <c r="C476" s="16">
        <v>2</v>
      </c>
      <c r="D476" s="16">
        <v>2</v>
      </c>
      <c r="E476" s="15"/>
      <c r="F476" s="14" t="s">
        <v>93</v>
      </c>
      <c r="G476" s="13">
        <f>+G477</f>
        <v>0</v>
      </c>
      <c r="H476" s="13">
        <f>+H477</f>
        <v>0</v>
      </c>
      <c r="I476" s="13">
        <f>+I477</f>
        <v>0</v>
      </c>
      <c r="J476" s="13">
        <f t="shared" si="16"/>
        <v>0</v>
      </c>
      <c r="K476" s="12"/>
    </row>
    <row r="477" spans="1:11" ht="13.8" x14ac:dyDescent="0.3">
      <c r="A477" s="18">
        <v>2</v>
      </c>
      <c r="B477" s="10">
        <v>7</v>
      </c>
      <c r="C477" s="10">
        <v>2</v>
      </c>
      <c r="D477" s="10">
        <v>2</v>
      </c>
      <c r="E477" s="10" t="s">
        <v>80</v>
      </c>
      <c r="F477" s="9" t="s">
        <v>93</v>
      </c>
      <c r="G477" s="7">
        <f>'CUENTA T FONDO 100'!IW288</f>
        <v>0</v>
      </c>
      <c r="H477" s="7">
        <f>'CUENTA T VS'!IW81</f>
        <v>0</v>
      </c>
      <c r="I477" s="7"/>
      <c r="J477" s="7">
        <f t="shared" si="16"/>
        <v>0</v>
      </c>
      <c r="K477" s="6">
        <f>J477/$J$25</f>
        <v>0</v>
      </c>
    </row>
    <row r="478" spans="1:11" ht="13.8" x14ac:dyDescent="0.3">
      <c r="A478" s="19">
        <v>2</v>
      </c>
      <c r="B478" s="16">
        <v>7</v>
      </c>
      <c r="C478" s="16">
        <v>2</v>
      </c>
      <c r="D478" s="16">
        <v>3</v>
      </c>
      <c r="E478" s="15"/>
      <c r="F478" s="14" t="s">
        <v>92</v>
      </c>
      <c r="G478" s="13">
        <f>+G479</f>
        <v>0</v>
      </c>
      <c r="H478" s="13">
        <f>+H479</f>
        <v>0</v>
      </c>
      <c r="I478" s="13">
        <f>+I479</f>
        <v>0</v>
      </c>
      <c r="J478" s="13">
        <f t="shared" ref="J478:J501" si="17">SUM(G478:I478)</f>
        <v>0</v>
      </c>
      <c r="K478" s="12"/>
    </row>
    <row r="479" spans="1:11" ht="13.8" x14ac:dyDescent="0.3">
      <c r="A479" s="18">
        <v>2</v>
      </c>
      <c r="B479" s="10">
        <v>7</v>
      </c>
      <c r="C479" s="10">
        <v>2</v>
      </c>
      <c r="D479" s="10">
        <v>3</v>
      </c>
      <c r="E479" s="10" t="s">
        <v>80</v>
      </c>
      <c r="F479" s="9" t="s">
        <v>92</v>
      </c>
      <c r="G479" s="7">
        <f>'CUENTA T FONDO 100'!IX288</f>
        <v>0</v>
      </c>
      <c r="H479" s="7">
        <f>'CUENTA T VS'!IX81</f>
        <v>0</v>
      </c>
      <c r="I479" s="7"/>
      <c r="J479" s="7">
        <f t="shared" si="17"/>
        <v>0</v>
      </c>
      <c r="K479" s="6">
        <f>J479/$J$25</f>
        <v>0</v>
      </c>
    </row>
    <row r="480" spans="1:11" ht="13.8" x14ac:dyDescent="0.3">
      <c r="A480" s="19">
        <v>2</v>
      </c>
      <c r="B480" s="16">
        <v>7</v>
      </c>
      <c r="C480" s="16">
        <v>2</v>
      </c>
      <c r="D480" s="16">
        <v>4</v>
      </c>
      <c r="E480" s="15"/>
      <c r="F480" s="14" t="s">
        <v>91</v>
      </c>
      <c r="G480" s="13">
        <f>+G481</f>
        <v>0</v>
      </c>
      <c r="H480" s="13">
        <f>+H481</f>
        <v>0</v>
      </c>
      <c r="I480" s="13">
        <f>+I481</f>
        <v>0</v>
      </c>
      <c r="J480" s="13">
        <f t="shared" si="17"/>
        <v>0</v>
      </c>
      <c r="K480" s="12"/>
    </row>
    <row r="481" spans="1:11" ht="13.8" x14ac:dyDescent="0.3">
      <c r="A481" s="18">
        <v>2</v>
      </c>
      <c r="B481" s="10">
        <v>7</v>
      </c>
      <c r="C481" s="10">
        <v>2</v>
      </c>
      <c r="D481" s="10">
        <v>4</v>
      </c>
      <c r="E481" s="10" t="s">
        <v>80</v>
      </c>
      <c r="F481" s="9" t="s">
        <v>91</v>
      </c>
      <c r="G481" s="7">
        <f>'CUENTA T FONDO 100'!IY288</f>
        <v>0</v>
      </c>
      <c r="H481" s="7">
        <f>'CUENTA T VS'!IY81</f>
        <v>0</v>
      </c>
      <c r="I481" s="7"/>
      <c r="J481" s="7">
        <f t="shared" si="17"/>
        <v>0</v>
      </c>
      <c r="K481" s="6">
        <f>J481/$J$25</f>
        <v>0</v>
      </c>
    </row>
    <row r="482" spans="1:11" ht="13.8" x14ac:dyDescent="0.3">
      <c r="A482" s="19">
        <v>2</v>
      </c>
      <c r="B482" s="16">
        <v>7</v>
      </c>
      <c r="C482" s="16">
        <v>2</v>
      </c>
      <c r="D482" s="16">
        <v>5</v>
      </c>
      <c r="E482" s="15"/>
      <c r="F482" s="14" t="s">
        <v>90</v>
      </c>
      <c r="G482" s="13">
        <f>+G483</f>
        <v>0</v>
      </c>
      <c r="H482" s="13">
        <f>+H483</f>
        <v>0</v>
      </c>
      <c r="I482" s="13">
        <f>+I483</f>
        <v>0</v>
      </c>
      <c r="J482" s="13">
        <f t="shared" si="17"/>
        <v>0</v>
      </c>
      <c r="K482" s="12"/>
    </row>
    <row r="483" spans="1:11" ht="13.8" x14ac:dyDescent="0.3">
      <c r="A483" s="18">
        <v>2</v>
      </c>
      <c r="B483" s="10">
        <v>7</v>
      </c>
      <c r="C483" s="10">
        <v>2</v>
      </c>
      <c r="D483" s="10">
        <v>5</v>
      </c>
      <c r="E483" s="10" t="s">
        <v>80</v>
      </c>
      <c r="F483" s="9" t="s">
        <v>90</v>
      </c>
      <c r="G483" s="7">
        <f>'CUENTA T FONDO 100'!IZ288</f>
        <v>0</v>
      </c>
      <c r="H483" s="7">
        <f>'CUENTA T VS'!IZ81</f>
        <v>0</v>
      </c>
      <c r="I483" s="7"/>
      <c r="J483" s="7">
        <f t="shared" si="17"/>
        <v>0</v>
      </c>
      <c r="K483" s="6">
        <f>J483/$J$25</f>
        <v>0</v>
      </c>
    </row>
    <row r="484" spans="1:11" ht="13.8" x14ac:dyDescent="0.3">
      <c r="A484" s="19">
        <v>2</v>
      </c>
      <c r="B484" s="16">
        <v>7</v>
      </c>
      <c r="C484" s="16">
        <v>2</v>
      </c>
      <c r="D484" s="16">
        <v>6</v>
      </c>
      <c r="E484" s="15"/>
      <c r="F484" s="14" t="s">
        <v>89</v>
      </c>
      <c r="G484" s="13">
        <f>+G485</f>
        <v>0</v>
      </c>
      <c r="H484" s="13">
        <f>+H485</f>
        <v>0</v>
      </c>
      <c r="I484" s="13">
        <f>+I485</f>
        <v>0</v>
      </c>
      <c r="J484" s="13">
        <f t="shared" si="17"/>
        <v>0</v>
      </c>
      <c r="K484" s="12"/>
    </row>
    <row r="485" spans="1:11" ht="13.8" x14ac:dyDescent="0.3">
      <c r="A485" s="18">
        <v>2</v>
      </c>
      <c r="B485" s="10">
        <v>7</v>
      </c>
      <c r="C485" s="10">
        <v>2</v>
      </c>
      <c r="D485" s="10">
        <v>6</v>
      </c>
      <c r="E485" s="10" t="s">
        <v>80</v>
      </c>
      <c r="F485" s="9" t="s">
        <v>89</v>
      </c>
      <c r="G485" s="7">
        <f>'CUENTA T FONDO 100'!JA288</f>
        <v>0</v>
      </c>
      <c r="H485" s="7">
        <f>'CUENTA T VS'!JA81</f>
        <v>0</v>
      </c>
      <c r="I485" s="7"/>
      <c r="J485" s="7">
        <f t="shared" si="17"/>
        <v>0</v>
      </c>
      <c r="K485" s="6">
        <f>J485/$J$25</f>
        <v>0</v>
      </c>
    </row>
    <row r="486" spans="1:11" ht="13.8" x14ac:dyDescent="0.3">
      <c r="A486" s="19">
        <v>2</v>
      </c>
      <c r="B486" s="16">
        <v>7</v>
      </c>
      <c r="C486" s="16">
        <v>2</v>
      </c>
      <c r="D486" s="16">
        <v>7</v>
      </c>
      <c r="E486" s="15"/>
      <c r="F486" s="14" t="s">
        <v>88</v>
      </c>
      <c r="G486" s="13">
        <f>+G487</f>
        <v>0</v>
      </c>
      <c r="H486" s="13">
        <f>+H487</f>
        <v>0</v>
      </c>
      <c r="I486" s="13">
        <f>+I487</f>
        <v>0</v>
      </c>
      <c r="J486" s="13">
        <f t="shared" si="17"/>
        <v>0</v>
      </c>
      <c r="K486" s="12"/>
    </row>
    <row r="487" spans="1:11" ht="13.8" x14ac:dyDescent="0.3">
      <c r="A487" s="18">
        <v>2</v>
      </c>
      <c r="B487" s="10">
        <v>7</v>
      </c>
      <c r="C487" s="10">
        <v>2</v>
      </c>
      <c r="D487" s="10">
        <v>7</v>
      </c>
      <c r="E487" s="10" t="s">
        <v>80</v>
      </c>
      <c r="F487" s="9" t="s">
        <v>88</v>
      </c>
      <c r="G487" s="7">
        <f>'CUENTA T FONDO 100'!JB288</f>
        <v>0</v>
      </c>
      <c r="H487" s="7">
        <f>'CUENTA T VS'!JB81</f>
        <v>0</v>
      </c>
      <c r="I487" s="7"/>
      <c r="J487" s="7">
        <f t="shared" si="17"/>
        <v>0</v>
      </c>
      <c r="K487" s="6">
        <f>J487/$J$25</f>
        <v>0</v>
      </c>
    </row>
    <row r="488" spans="1:11" ht="13.8" x14ac:dyDescent="0.3">
      <c r="A488" s="19">
        <v>2</v>
      </c>
      <c r="B488" s="16">
        <v>7</v>
      </c>
      <c r="C488" s="16">
        <v>2</v>
      </c>
      <c r="D488" s="16">
        <v>8</v>
      </c>
      <c r="E488" s="15"/>
      <c r="F488" s="14" t="s">
        <v>87</v>
      </c>
      <c r="G488" s="13">
        <f>+G489</f>
        <v>0</v>
      </c>
      <c r="H488" s="13">
        <f>+H489</f>
        <v>0</v>
      </c>
      <c r="I488" s="13">
        <f>+I489</f>
        <v>0</v>
      </c>
      <c r="J488" s="13">
        <f t="shared" si="17"/>
        <v>0</v>
      </c>
      <c r="K488" s="12"/>
    </row>
    <row r="489" spans="1:11" ht="13.8" x14ac:dyDescent="0.3">
      <c r="A489" s="18">
        <v>2</v>
      </c>
      <c r="B489" s="10">
        <v>7</v>
      </c>
      <c r="C489" s="10">
        <v>2</v>
      </c>
      <c r="D489" s="10">
        <v>8</v>
      </c>
      <c r="E489" s="10" t="s">
        <v>80</v>
      </c>
      <c r="F489" s="9" t="s">
        <v>87</v>
      </c>
      <c r="G489" s="7">
        <f>'CUENTA T FONDO 100'!JC288</f>
        <v>0</v>
      </c>
      <c r="H489" s="7">
        <f>'CUENTA T VS'!JC81</f>
        <v>0</v>
      </c>
      <c r="I489" s="7"/>
      <c r="J489" s="7">
        <f t="shared" si="17"/>
        <v>0</v>
      </c>
      <c r="K489" s="6">
        <f>J489/$J$25</f>
        <v>0</v>
      </c>
    </row>
    <row r="490" spans="1:11" ht="13.8" x14ac:dyDescent="0.3">
      <c r="A490" s="19">
        <v>2</v>
      </c>
      <c r="B490" s="16">
        <v>7</v>
      </c>
      <c r="C490" s="16">
        <v>2</v>
      </c>
      <c r="D490" s="16">
        <v>9</v>
      </c>
      <c r="E490" s="15"/>
      <c r="F490" s="14" t="s">
        <v>86</v>
      </c>
      <c r="G490" s="13">
        <f>+G491</f>
        <v>0</v>
      </c>
      <c r="H490" s="13">
        <f>+H491</f>
        <v>0</v>
      </c>
      <c r="I490" s="13">
        <f>+I491</f>
        <v>0</v>
      </c>
      <c r="J490" s="13">
        <f t="shared" si="17"/>
        <v>0</v>
      </c>
      <c r="K490" s="12"/>
    </row>
    <row r="491" spans="1:11" ht="13.8" x14ac:dyDescent="0.3">
      <c r="A491" s="18">
        <v>2</v>
      </c>
      <c r="B491" s="10">
        <v>7</v>
      </c>
      <c r="C491" s="10">
        <v>2</v>
      </c>
      <c r="D491" s="10">
        <v>9</v>
      </c>
      <c r="E491" s="10" t="s">
        <v>80</v>
      </c>
      <c r="F491" s="9" t="s">
        <v>86</v>
      </c>
      <c r="G491" s="7">
        <f>'CUENTA T FONDO 100'!JD288</f>
        <v>0</v>
      </c>
      <c r="H491" s="7">
        <f>'CUENTA T VS'!JD81</f>
        <v>0</v>
      </c>
      <c r="I491" s="7"/>
      <c r="J491" s="7">
        <f t="shared" si="17"/>
        <v>0</v>
      </c>
      <c r="K491" s="6">
        <f>J491/$J$25</f>
        <v>0</v>
      </c>
    </row>
    <row r="492" spans="1:11" ht="13.8" x14ac:dyDescent="0.3">
      <c r="A492" s="24">
        <v>2</v>
      </c>
      <c r="B492" s="23">
        <v>7</v>
      </c>
      <c r="C492" s="23">
        <v>3</v>
      </c>
      <c r="D492" s="23"/>
      <c r="E492" s="23"/>
      <c r="F492" s="22" t="s">
        <v>85</v>
      </c>
      <c r="G492" s="21">
        <f>+G493+G495</f>
        <v>0</v>
      </c>
      <c r="H492" s="21">
        <f>+H493+H495</f>
        <v>0</v>
      </c>
      <c r="I492" s="21">
        <f>+I493+I495</f>
        <v>0</v>
      </c>
      <c r="J492" s="21">
        <f t="shared" si="17"/>
        <v>0</v>
      </c>
      <c r="K492" s="20"/>
    </row>
    <row r="493" spans="1:11" ht="13.8" x14ac:dyDescent="0.3">
      <c r="A493" s="19">
        <v>2</v>
      </c>
      <c r="B493" s="16">
        <v>7</v>
      </c>
      <c r="C493" s="16">
        <v>3</v>
      </c>
      <c r="D493" s="16">
        <v>1</v>
      </c>
      <c r="E493" s="15"/>
      <c r="F493" s="14" t="s">
        <v>84</v>
      </c>
      <c r="G493" s="13">
        <f>+G494</f>
        <v>0</v>
      </c>
      <c r="H493" s="13">
        <f>+H494</f>
        <v>0</v>
      </c>
      <c r="I493" s="13">
        <f>+I494</f>
        <v>0</v>
      </c>
      <c r="J493" s="13">
        <f t="shared" si="17"/>
        <v>0</v>
      </c>
      <c r="K493" s="12"/>
    </row>
    <row r="494" spans="1:11" ht="13.8" x14ac:dyDescent="0.3">
      <c r="A494" s="18">
        <v>2</v>
      </c>
      <c r="B494" s="10">
        <v>7</v>
      </c>
      <c r="C494" s="10">
        <v>3</v>
      </c>
      <c r="D494" s="10">
        <v>1</v>
      </c>
      <c r="E494" s="10" t="s">
        <v>80</v>
      </c>
      <c r="F494" s="9" t="s">
        <v>84</v>
      </c>
      <c r="G494" s="7">
        <f>'CUENTA T FONDO 100'!JE288</f>
        <v>0</v>
      </c>
      <c r="H494" s="7">
        <f>'CUENTA T VS'!JE81</f>
        <v>0</v>
      </c>
      <c r="I494" s="7"/>
      <c r="J494" s="7">
        <f t="shared" si="17"/>
        <v>0</v>
      </c>
      <c r="K494" s="6">
        <f>J494/$J$25</f>
        <v>0</v>
      </c>
    </row>
    <row r="495" spans="1:11" ht="13.8" x14ac:dyDescent="0.3">
      <c r="A495" s="19">
        <v>2</v>
      </c>
      <c r="B495" s="16">
        <v>7</v>
      </c>
      <c r="C495" s="16">
        <v>3</v>
      </c>
      <c r="D495" s="16">
        <v>2</v>
      </c>
      <c r="E495" s="15"/>
      <c r="F495" s="14" t="s">
        <v>83</v>
      </c>
      <c r="G495" s="13">
        <f>+G496</f>
        <v>0</v>
      </c>
      <c r="H495" s="13">
        <f>+H496</f>
        <v>0</v>
      </c>
      <c r="I495" s="13">
        <f>+I496</f>
        <v>0</v>
      </c>
      <c r="J495" s="13">
        <f t="shared" si="17"/>
        <v>0</v>
      </c>
      <c r="K495" s="12"/>
    </row>
    <row r="496" spans="1:11" ht="13.8" x14ac:dyDescent="0.3">
      <c r="A496" s="18">
        <v>2</v>
      </c>
      <c r="B496" s="10">
        <v>7</v>
      </c>
      <c r="C496" s="10">
        <v>3</v>
      </c>
      <c r="D496" s="10">
        <v>2</v>
      </c>
      <c r="E496" s="10" t="s">
        <v>80</v>
      </c>
      <c r="F496" s="9" t="s">
        <v>83</v>
      </c>
      <c r="G496" s="7">
        <f>'CUENTA T FONDO 100'!JF288</f>
        <v>0</v>
      </c>
      <c r="H496" s="7">
        <f>'CUENTA T VS'!JF81</f>
        <v>0</v>
      </c>
      <c r="I496" s="7"/>
      <c r="J496" s="7">
        <f t="shared" si="17"/>
        <v>0</v>
      </c>
      <c r="K496" s="6">
        <f>J496/$J$25</f>
        <v>0</v>
      </c>
    </row>
    <row r="497" spans="1:11" ht="27.6" x14ac:dyDescent="0.3">
      <c r="A497" s="24">
        <v>2</v>
      </c>
      <c r="B497" s="23">
        <v>7</v>
      </c>
      <c r="C497" s="23">
        <v>4</v>
      </c>
      <c r="D497" s="23"/>
      <c r="E497" s="23"/>
      <c r="F497" s="22" t="s">
        <v>82</v>
      </c>
      <c r="G497" s="21">
        <f>+G498+G500</f>
        <v>0</v>
      </c>
      <c r="H497" s="21">
        <f>+H498+H500</f>
        <v>0</v>
      </c>
      <c r="I497" s="21">
        <f>+I498+I500</f>
        <v>0</v>
      </c>
      <c r="J497" s="21">
        <f t="shared" si="17"/>
        <v>0</v>
      </c>
      <c r="K497" s="20"/>
    </row>
    <row r="498" spans="1:11" ht="13.8" x14ac:dyDescent="0.3">
      <c r="A498" s="19">
        <v>2</v>
      </c>
      <c r="B498" s="16">
        <v>7</v>
      </c>
      <c r="C498" s="16">
        <v>4</v>
      </c>
      <c r="D498" s="16">
        <v>1</v>
      </c>
      <c r="E498" s="15"/>
      <c r="F498" s="14" t="s">
        <v>81</v>
      </c>
      <c r="G498" s="13">
        <f>+G499</f>
        <v>0</v>
      </c>
      <c r="H498" s="13">
        <f>+H499</f>
        <v>0</v>
      </c>
      <c r="I498" s="13">
        <f>+I499</f>
        <v>0</v>
      </c>
      <c r="J498" s="13">
        <f t="shared" si="17"/>
        <v>0</v>
      </c>
      <c r="K498" s="12"/>
    </row>
    <row r="499" spans="1:11" ht="13.8" x14ac:dyDescent="0.3">
      <c r="A499" s="18">
        <v>2</v>
      </c>
      <c r="B499" s="10">
        <v>7</v>
      </c>
      <c r="C499" s="10">
        <v>4</v>
      </c>
      <c r="D499" s="10">
        <v>1</v>
      </c>
      <c r="E499" s="10" t="s">
        <v>80</v>
      </c>
      <c r="F499" s="9" t="s">
        <v>81</v>
      </c>
      <c r="G499" s="7">
        <f>'CUENTA T FONDO 100'!JG288</f>
        <v>0</v>
      </c>
      <c r="H499" s="7">
        <f>'CUENTA T VS'!JG81</f>
        <v>0</v>
      </c>
      <c r="I499" s="7"/>
      <c r="J499" s="7">
        <f t="shared" si="17"/>
        <v>0</v>
      </c>
      <c r="K499" s="6">
        <f>J499/$J$25</f>
        <v>0</v>
      </c>
    </row>
    <row r="500" spans="1:11" ht="27.6" x14ac:dyDescent="0.25">
      <c r="A500" s="17">
        <v>2</v>
      </c>
      <c r="B500" s="16">
        <v>7</v>
      </c>
      <c r="C500" s="16">
        <v>4</v>
      </c>
      <c r="D500" s="16">
        <v>2</v>
      </c>
      <c r="E500" s="15"/>
      <c r="F500" s="14" t="s">
        <v>79</v>
      </c>
      <c r="G500" s="13">
        <f>+G501</f>
        <v>0</v>
      </c>
      <c r="H500" s="13">
        <f>+H501</f>
        <v>0</v>
      </c>
      <c r="I500" s="13">
        <f>+I501</f>
        <v>0</v>
      </c>
      <c r="J500" s="13">
        <f t="shared" si="17"/>
        <v>0</v>
      </c>
      <c r="K500" s="12"/>
    </row>
    <row r="501" spans="1:11" ht="27.6" x14ac:dyDescent="0.25">
      <c r="A501" s="11">
        <v>2</v>
      </c>
      <c r="B501" s="10">
        <v>7</v>
      </c>
      <c r="C501" s="10">
        <v>4</v>
      </c>
      <c r="D501" s="10">
        <v>2</v>
      </c>
      <c r="E501" s="10" t="s">
        <v>80</v>
      </c>
      <c r="F501" s="9" t="s">
        <v>79</v>
      </c>
      <c r="G501" s="7">
        <f>'CUENTA T FONDO 100'!JH288</f>
        <v>0</v>
      </c>
      <c r="H501" s="7">
        <f>'CUENTA T VS'!JH81</f>
        <v>0</v>
      </c>
      <c r="I501" s="8"/>
      <c r="J501" s="7">
        <f t="shared" si="17"/>
        <v>0</v>
      </c>
      <c r="K501" s="6">
        <f>J501/$J$25</f>
        <v>0</v>
      </c>
    </row>
    <row r="502" spans="1:11" ht="14.4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</row>
    <row r="503" spans="1:11" ht="14.4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spans="1:11" ht="14.4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spans="1:11" ht="14.4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spans="1:11" ht="14.4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spans="1:11" ht="14.4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spans="1:11" ht="14.4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spans="1:11" ht="14.4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spans="1:11" ht="14.4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spans="1:11" ht="14.4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J22:J24"/>
    <mergeCell ref="G23:G24"/>
    <mergeCell ref="H23:H24"/>
    <mergeCell ref="I23:I24"/>
    <mergeCell ref="F22:F24"/>
    <mergeCell ref="G22:I22"/>
    <mergeCell ref="M23:Q23"/>
    <mergeCell ref="A2:I2"/>
    <mergeCell ref="A3:K3"/>
    <mergeCell ref="A4:K4"/>
    <mergeCell ref="A5:K5"/>
    <mergeCell ref="A6:K6"/>
    <mergeCell ref="A7:K7"/>
    <mergeCell ref="A21:E21"/>
    <mergeCell ref="G21:I21"/>
    <mergeCell ref="A22:E22"/>
    <mergeCell ref="K22:K24"/>
    <mergeCell ref="A23:A24"/>
    <mergeCell ref="B23:B24"/>
    <mergeCell ref="C23:C24"/>
    <mergeCell ref="D23:D24"/>
    <mergeCell ref="E23:E24"/>
  </mergeCells>
  <phoneticPr fontId="44" type="noConversion"/>
  <printOptions horizontalCentered="1"/>
  <pageMargins left="0.70866141732283472" right="0.70866141732283472" top="0.15748031496062992" bottom="0" header="0.11811023622047245" footer="0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W421"/>
  <sheetViews>
    <sheetView topLeftCell="DR1" zoomScale="90" zoomScaleNormal="90" workbookViewId="0">
      <pane ySplit="2" topLeftCell="A167" activePane="bottomLeft" state="frozen"/>
      <selection activeCell="DT1" sqref="DT1"/>
      <selection pane="bottomLeft" activeCell="EA188" sqref="EA188"/>
    </sheetView>
  </sheetViews>
  <sheetFormatPr baseColWidth="10" defaultColWidth="11.44140625" defaultRowHeight="14.4" x14ac:dyDescent="0.3"/>
  <cols>
    <col min="1" max="1" width="14.88671875" bestFit="1" customWidth="1"/>
    <col min="2" max="9" width="7.88671875" bestFit="1" customWidth="1"/>
    <col min="10" max="10" width="13.88671875" bestFit="1" customWidth="1"/>
    <col min="11" max="16" width="7.88671875" bestFit="1" customWidth="1"/>
    <col min="17" max="18" width="12.109375" bestFit="1" customWidth="1"/>
    <col min="19" max="19" width="13.88671875" bestFit="1" customWidth="1"/>
    <col min="20" max="22" width="7.88671875" bestFit="1" customWidth="1"/>
    <col min="23" max="23" width="11.109375" bestFit="1" customWidth="1"/>
    <col min="24" max="25" width="7.88671875" bestFit="1" customWidth="1"/>
    <col min="26" max="26" width="12.109375" bestFit="1" customWidth="1"/>
    <col min="27" max="27" width="7.88671875" bestFit="1" customWidth="1"/>
    <col min="28" max="28" width="11.109375" bestFit="1" customWidth="1"/>
    <col min="29" max="36" width="7.88671875" bestFit="1" customWidth="1"/>
    <col min="37" max="38" width="13.88671875" bestFit="1" customWidth="1"/>
    <col min="39" max="39" width="12.109375" bestFit="1" customWidth="1"/>
    <col min="40" max="50" width="7.88671875" bestFit="1" customWidth="1"/>
    <col min="51" max="51" width="13.88671875" bestFit="1" customWidth="1"/>
    <col min="52" max="69" width="7.88671875" bestFit="1" customWidth="1"/>
    <col min="70" max="70" width="13.88671875" bestFit="1" customWidth="1"/>
    <col min="71" max="74" width="7.88671875" bestFit="1" customWidth="1"/>
    <col min="75" max="75" width="14.88671875" bestFit="1" customWidth="1"/>
    <col min="76" max="77" width="7.88671875" bestFit="1" customWidth="1"/>
    <col min="78" max="78" width="13.88671875" bestFit="1" customWidth="1"/>
    <col min="79" max="85" width="7.88671875" bestFit="1" customWidth="1"/>
    <col min="86" max="86" width="13.88671875" bestFit="1" customWidth="1"/>
    <col min="87" max="89" width="7.88671875" bestFit="1" customWidth="1"/>
    <col min="90" max="90" width="12.109375" bestFit="1" customWidth="1"/>
    <col min="91" max="108" width="7.88671875" bestFit="1" customWidth="1"/>
    <col min="109" max="109" width="12.109375" bestFit="1" customWidth="1"/>
    <col min="110" max="114" width="7.88671875" bestFit="1" customWidth="1"/>
    <col min="115" max="115" width="13.88671875" bestFit="1" customWidth="1"/>
    <col min="116" max="122" width="7.88671875" bestFit="1" customWidth="1"/>
    <col min="123" max="123" width="11.109375" bestFit="1" customWidth="1"/>
    <col min="124" max="124" width="7.88671875" bestFit="1" customWidth="1"/>
    <col min="125" max="127" width="12.109375" bestFit="1" customWidth="1"/>
    <col min="128" max="130" width="7.88671875" bestFit="1" customWidth="1"/>
    <col min="131" max="131" width="14.88671875" bestFit="1" customWidth="1"/>
    <col min="132" max="136" width="7.88671875" bestFit="1" customWidth="1"/>
    <col min="137" max="137" width="12.109375" bestFit="1" customWidth="1"/>
    <col min="138" max="140" width="7.88671875" bestFit="1" customWidth="1"/>
    <col min="141" max="141" width="11.109375" bestFit="1" customWidth="1"/>
    <col min="142" max="142" width="7.88671875" bestFit="1" customWidth="1"/>
    <col min="143" max="143" width="8.44140625" bestFit="1" customWidth="1"/>
    <col min="144" max="145" width="7.88671875" bestFit="1" customWidth="1"/>
    <col min="146" max="146" width="10" bestFit="1" customWidth="1"/>
    <col min="147" max="147" width="7.88671875" bestFit="1" customWidth="1"/>
    <col min="148" max="148" width="10" bestFit="1" customWidth="1"/>
    <col min="149" max="153" width="7.88671875" bestFit="1" customWidth="1"/>
    <col min="154" max="154" width="11.109375" bestFit="1" customWidth="1"/>
    <col min="155" max="157" width="7.88671875" bestFit="1" customWidth="1"/>
    <col min="158" max="158" width="13.88671875" bestFit="1" customWidth="1"/>
    <col min="159" max="165" width="7.88671875" bestFit="1" customWidth="1"/>
    <col min="166" max="166" width="13.88671875" bestFit="1" customWidth="1"/>
    <col min="167" max="168" width="7.88671875" bestFit="1" customWidth="1"/>
    <col min="169" max="170" width="12.109375" bestFit="1" customWidth="1"/>
    <col min="171" max="172" width="7.88671875" bestFit="1" customWidth="1"/>
    <col min="173" max="173" width="13.88671875" bestFit="1" customWidth="1"/>
    <col min="174" max="174" width="7.88671875" bestFit="1" customWidth="1"/>
    <col min="175" max="175" width="12.109375" bestFit="1" customWidth="1"/>
    <col min="176" max="176" width="14.88671875" bestFit="1" customWidth="1"/>
    <col min="177" max="177" width="7.88671875" bestFit="1" customWidth="1"/>
    <col min="178" max="179" width="12.109375" bestFit="1" customWidth="1"/>
    <col min="180" max="180" width="7.88671875" bestFit="1" customWidth="1"/>
    <col min="181" max="181" width="13.88671875" bestFit="1" customWidth="1"/>
    <col min="182" max="182" width="12.109375" bestFit="1" customWidth="1"/>
    <col min="183" max="183" width="10" bestFit="1" customWidth="1"/>
    <col min="184" max="184" width="12.109375" bestFit="1" customWidth="1"/>
    <col min="185" max="189" width="7.88671875" bestFit="1" customWidth="1"/>
    <col min="190" max="190" width="13.88671875" bestFit="1" customWidth="1"/>
    <col min="191" max="191" width="11.109375" bestFit="1" customWidth="1"/>
    <col min="192" max="192" width="13.88671875" bestFit="1" customWidth="1"/>
    <col min="193" max="195" width="12.109375" bestFit="1" customWidth="1"/>
    <col min="196" max="198" width="7.88671875" bestFit="1" customWidth="1"/>
    <col min="199" max="199" width="14.88671875" bestFit="1" customWidth="1"/>
    <col min="200" max="200" width="13.88671875" bestFit="1" customWidth="1"/>
    <col min="201" max="201" width="7.88671875" bestFit="1" customWidth="1"/>
    <col min="202" max="202" width="13.88671875" bestFit="1" customWidth="1"/>
    <col min="203" max="213" width="7.88671875" bestFit="1" customWidth="1"/>
    <col min="214" max="214" width="13.88671875" bestFit="1" customWidth="1"/>
    <col min="215" max="215" width="12.109375" bestFit="1" customWidth="1"/>
    <col min="216" max="216" width="7.88671875" bestFit="1" customWidth="1"/>
    <col min="217" max="217" width="12.109375" bestFit="1" customWidth="1"/>
    <col min="218" max="249" width="7.88671875" bestFit="1" customWidth="1"/>
    <col min="250" max="250" width="11.109375" bestFit="1" customWidth="1"/>
    <col min="251" max="251" width="9" bestFit="1" customWidth="1"/>
    <col min="252" max="268" width="7.88671875" bestFit="1" customWidth="1"/>
    <col min="269" max="269" width="16" bestFit="1" customWidth="1"/>
    <col min="270" max="270" width="13.33203125" style="302" bestFit="1" customWidth="1"/>
    <col min="271" max="271" width="16" bestFit="1" customWidth="1"/>
    <col min="272" max="272" width="11.109375" bestFit="1" customWidth="1"/>
    <col min="273" max="273" width="17.6640625" bestFit="1" customWidth="1"/>
    <col min="274" max="274" width="11.5546875" customWidth="1"/>
    <col min="275" max="275" width="13.44140625" customWidth="1"/>
    <col min="276" max="276" width="18.44140625" bestFit="1" customWidth="1"/>
    <col min="277" max="277" width="13.88671875" bestFit="1" customWidth="1"/>
    <col min="278" max="278" width="12.109375" bestFit="1" customWidth="1"/>
    <col min="1141" max="1141" width="11.44140625" style="1"/>
  </cols>
  <sheetData>
    <row r="1" spans="1:277" ht="23.4" x14ac:dyDescent="0.45">
      <c r="A1" s="594" t="s">
        <v>78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4"/>
      <c r="AT1" s="594"/>
      <c r="AU1" s="594"/>
      <c r="AV1" s="594"/>
      <c r="AW1" s="594"/>
      <c r="AX1" s="594"/>
      <c r="AY1" s="594"/>
      <c r="AZ1" s="594"/>
      <c r="BA1" s="594"/>
      <c r="BB1" s="594"/>
      <c r="BC1" s="594"/>
      <c r="BD1" s="594"/>
      <c r="BE1" s="594"/>
      <c r="BF1" s="594"/>
      <c r="BG1" s="594"/>
      <c r="BH1" s="594"/>
      <c r="BI1" s="594"/>
      <c r="BJ1" s="594"/>
      <c r="BK1" s="594"/>
      <c r="BL1" s="594"/>
      <c r="BM1" s="594"/>
      <c r="BN1" s="594"/>
      <c r="BO1" s="594"/>
      <c r="BP1" s="594"/>
      <c r="BQ1" s="594"/>
      <c r="BR1" s="594"/>
      <c r="BS1" s="594"/>
      <c r="BT1" s="594"/>
      <c r="BU1" s="594"/>
      <c r="BV1" s="594"/>
      <c r="BW1" s="594"/>
      <c r="BX1" s="594"/>
      <c r="BY1" s="594"/>
      <c r="BZ1" s="594"/>
      <c r="CA1" s="594"/>
      <c r="CB1" s="594"/>
      <c r="CC1" s="594"/>
      <c r="CD1" s="594"/>
      <c r="CE1" s="594"/>
      <c r="CF1" s="594"/>
      <c r="CG1" s="594"/>
      <c r="CH1" s="594"/>
      <c r="CI1" s="594"/>
      <c r="CJ1" s="594"/>
      <c r="CK1" s="594"/>
      <c r="CL1" s="594"/>
      <c r="CM1" s="594"/>
      <c r="CN1" s="594"/>
      <c r="CO1" s="594"/>
      <c r="CP1" s="594"/>
      <c r="CQ1" s="594"/>
      <c r="CR1" s="594"/>
      <c r="CS1" s="594"/>
      <c r="CT1" s="594"/>
      <c r="CU1" s="594"/>
      <c r="CV1" s="594"/>
      <c r="CW1" s="594"/>
      <c r="CX1" s="594"/>
      <c r="CY1" s="594"/>
      <c r="CZ1" s="594"/>
      <c r="DA1" s="594"/>
      <c r="DB1" s="594"/>
      <c r="DC1" s="594"/>
      <c r="DD1" s="594"/>
      <c r="DE1" s="594"/>
      <c r="DF1" s="594"/>
      <c r="DG1" s="594"/>
      <c r="DH1" s="594"/>
      <c r="DI1" s="594"/>
      <c r="DJ1" s="594"/>
      <c r="DK1" s="594"/>
      <c r="DL1" s="594"/>
      <c r="DM1" s="594"/>
      <c r="DN1" s="594"/>
      <c r="DO1" s="594"/>
      <c r="DP1" s="594"/>
      <c r="DQ1" s="594"/>
      <c r="DR1" s="594"/>
      <c r="DS1" s="594"/>
      <c r="DT1" s="594"/>
      <c r="DU1" s="594"/>
      <c r="DV1" s="594"/>
      <c r="DW1" s="594"/>
      <c r="DX1" s="594"/>
      <c r="DY1" s="594"/>
      <c r="DZ1" s="594"/>
      <c r="EA1" s="594"/>
      <c r="EB1" s="594"/>
      <c r="EC1" s="594"/>
      <c r="ED1" s="594"/>
      <c r="EE1" s="594"/>
      <c r="EF1" s="594"/>
      <c r="EG1" s="594"/>
      <c r="EH1" s="594"/>
      <c r="EI1" s="594"/>
      <c r="EJ1" s="594"/>
      <c r="EK1" s="594"/>
      <c r="EL1" s="594"/>
      <c r="EM1" s="594"/>
      <c r="EN1" s="594"/>
      <c r="EO1" s="594"/>
      <c r="EP1" s="594"/>
      <c r="EQ1" s="594"/>
      <c r="ER1" s="594"/>
      <c r="ES1" s="594"/>
      <c r="ET1" s="594"/>
      <c r="EU1" s="594"/>
      <c r="EV1" s="594"/>
      <c r="EW1" s="594"/>
      <c r="EX1" s="594"/>
      <c r="EY1" s="594"/>
      <c r="EZ1" s="594"/>
      <c r="FA1" s="594"/>
      <c r="FB1" s="594"/>
      <c r="FC1" s="594"/>
      <c r="FD1" s="594"/>
      <c r="FE1" s="594"/>
      <c r="FF1" s="594"/>
      <c r="FG1" s="594"/>
      <c r="FH1" s="594"/>
      <c r="FI1" s="594"/>
      <c r="FJ1" s="594"/>
      <c r="FK1" s="594"/>
      <c r="FL1" s="594"/>
      <c r="FM1" s="594"/>
      <c r="FN1" s="594"/>
      <c r="FO1" s="594"/>
      <c r="FP1" s="594"/>
      <c r="FQ1" s="594"/>
      <c r="FR1" s="594"/>
      <c r="FS1" s="594"/>
      <c r="FT1" s="594"/>
      <c r="FU1" s="594"/>
      <c r="FV1" s="594"/>
      <c r="FW1" s="594"/>
      <c r="FX1" s="594"/>
      <c r="FY1" s="594"/>
      <c r="FZ1" s="594"/>
      <c r="GA1" s="594"/>
      <c r="GB1" s="594"/>
      <c r="GC1" s="594"/>
      <c r="GD1" s="594"/>
      <c r="GE1" s="594"/>
      <c r="GF1" s="594"/>
      <c r="GG1" s="594"/>
      <c r="GH1" s="594"/>
      <c r="GI1" s="594"/>
      <c r="GJ1" s="594"/>
      <c r="GK1" s="594"/>
      <c r="GL1" s="594"/>
      <c r="GM1" s="594"/>
      <c r="GN1" s="594"/>
      <c r="GO1" s="594"/>
      <c r="GP1" s="594"/>
      <c r="GQ1" s="594"/>
      <c r="GR1" s="594"/>
      <c r="GS1" s="594"/>
      <c r="GT1" s="594"/>
      <c r="GU1" s="594"/>
      <c r="GV1" s="594"/>
      <c r="GW1" s="594"/>
      <c r="GX1" s="594"/>
      <c r="GY1" s="594"/>
      <c r="GZ1" s="594"/>
      <c r="HA1" s="594"/>
      <c r="HB1" s="594"/>
      <c r="HC1" s="594"/>
      <c r="HD1" s="594"/>
      <c r="HE1" s="594"/>
      <c r="HF1" s="594"/>
      <c r="HG1" s="594"/>
      <c r="HH1" s="594"/>
      <c r="HI1" s="594"/>
      <c r="HJ1" s="594"/>
      <c r="HK1" s="594"/>
      <c r="HL1" s="594"/>
      <c r="HM1" s="594"/>
      <c r="HN1" s="594"/>
      <c r="HO1" s="594"/>
      <c r="HP1" s="594"/>
      <c r="HQ1" s="594"/>
      <c r="HR1" s="594"/>
      <c r="HS1" s="594"/>
      <c r="HT1" s="594"/>
      <c r="HU1" s="594"/>
      <c r="HV1" s="594"/>
      <c r="HW1" s="594"/>
      <c r="HX1" s="594"/>
      <c r="HY1" s="594"/>
      <c r="HZ1" s="594"/>
      <c r="IA1" s="594"/>
      <c r="IB1" s="594"/>
      <c r="IC1" s="594"/>
      <c r="ID1" s="594"/>
      <c r="IE1" s="594"/>
      <c r="IF1" s="594"/>
      <c r="IG1" s="594"/>
      <c r="IH1" s="594"/>
      <c r="II1" s="594"/>
      <c r="IJ1" s="594"/>
      <c r="IK1" s="594"/>
      <c r="IL1" s="594"/>
      <c r="IM1" s="594"/>
      <c r="IN1" s="594"/>
      <c r="IO1" s="594"/>
      <c r="IP1" s="594"/>
      <c r="IQ1" s="594"/>
      <c r="IR1" s="594"/>
      <c r="IS1" s="594"/>
      <c r="IT1" s="594"/>
      <c r="IU1" s="594"/>
      <c r="IV1" s="594"/>
      <c r="IW1" s="594"/>
      <c r="IX1" s="594"/>
      <c r="IY1" s="594"/>
      <c r="IZ1" s="594"/>
      <c r="JA1" s="594"/>
      <c r="JB1" s="594"/>
      <c r="JC1" s="594"/>
      <c r="JD1" s="594"/>
      <c r="JE1" s="594"/>
      <c r="JF1" s="594"/>
      <c r="JG1" s="594"/>
      <c r="JH1" s="594"/>
    </row>
    <row r="2" spans="1:277" ht="18" x14ac:dyDescent="0.35">
      <c r="A2" s="119">
        <v>211101</v>
      </c>
      <c r="B2" s="119">
        <v>211102</v>
      </c>
      <c r="C2" s="119">
        <v>211103</v>
      </c>
      <c r="D2" s="119">
        <v>211104</v>
      </c>
      <c r="E2" s="119">
        <v>211105</v>
      </c>
      <c r="F2" s="119">
        <v>211106</v>
      </c>
      <c r="G2" s="119">
        <v>211203</v>
      </c>
      <c r="H2" s="119">
        <v>211205</v>
      </c>
      <c r="I2" s="119">
        <v>211206</v>
      </c>
      <c r="J2" s="119">
        <v>211208</v>
      </c>
      <c r="K2" s="119">
        <v>211209</v>
      </c>
      <c r="L2" s="119">
        <v>211211</v>
      </c>
      <c r="M2" s="119">
        <v>211301</v>
      </c>
      <c r="N2" s="119">
        <v>211401</v>
      </c>
      <c r="O2" s="119">
        <v>211501</v>
      </c>
      <c r="P2" s="119">
        <v>211502</v>
      </c>
      <c r="Q2" s="119">
        <v>211503</v>
      </c>
      <c r="R2" s="119">
        <v>211504</v>
      </c>
      <c r="S2" s="119">
        <v>212101</v>
      </c>
      <c r="T2" s="119">
        <v>212201</v>
      </c>
      <c r="U2" s="119">
        <v>212203</v>
      </c>
      <c r="V2" s="119">
        <v>212204</v>
      </c>
      <c r="W2" s="119">
        <v>212205</v>
      </c>
      <c r="X2" s="119">
        <v>212206</v>
      </c>
      <c r="Y2" s="119">
        <v>212207</v>
      </c>
      <c r="Z2" s="119">
        <v>212208</v>
      </c>
      <c r="AA2" s="119">
        <v>212209</v>
      </c>
      <c r="AB2" s="119">
        <v>212210</v>
      </c>
      <c r="AC2" s="119">
        <v>213101</v>
      </c>
      <c r="AD2" s="119">
        <v>213102</v>
      </c>
      <c r="AE2" s="119">
        <v>213201</v>
      </c>
      <c r="AF2" s="119">
        <v>213202</v>
      </c>
      <c r="AG2" s="119">
        <v>214101</v>
      </c>
      <c r="AH2" s="119">
        <v>214201</v>
      </c>
      <c r="AI2" s="119">
        <v>214202</v>
      </c>
      <c r="AJ2" s="119">
        <v>214203</v>
      </c>
      <c r="AK2" s="119">
        <v>215101</v>
      </c>
      <c r="AL2" s="119">
        <v>215201</v>
      </c>
      <c r="AM2" s="119">
        <v>215301</v>
      </c>
      <c r="AN2" s="119">
        <v>215401</v>
      </c>
      <c r="AO2" s="119">
        <v>221101</v>
      </c>
      <c r="AP2" s="119">
        <v>221201</v>
      </c>
      <c r="AQ2" s="119">
        <v>221301</v>
      </c>
      <c r="AR2" s="119">
        <v>221401</v>
      </c>
      <c r="AS2" s="119">
        <v>221501</v>
      </c>
      <c r="AT2" s="119">
        <v>221601</v>
      </c>
      <c r="AU2" s="119">
        <v>221602</v>
      </c>
      <c r="AV2" s="119">
        <v>221701</v>
      </c>
      <c r="AW2" s="119">
        <v>221801</v>
      </c>
      <c r="AX2" s="119">
        <v>222101</v>
      </c>
      <c r="AY2" s="119">
        <v>222201</v>
      </c>
      <c r="AZ2" s="119">
        <v>223101</v>
      </c>
      <c r="BA2" s="119">
        <v>223201</v>
      </c>
      <c r="BB2" s="119">
        <v>224101</v>
      </c>
      <c r="BC2" s="119">
        <v>224201</v>
      </c>
      <c r="BD2" s="119">
        <v>224301</v>
      </c>
      <c r="BE2" s="119">
        <v>224401</v>
      </c>
      <c r="BF2" s="119">
        <v>225101</v>
      </c>
      <c r="BG2" s="119">
        <v>225201</v>
      </c>
      <c r="BH2" s="119">
        <v>225301</v>
      </c>
      <c r="BI2" s="119">
        <v>225302</v>
      </c>
      <c r="BJ2" s="119">
        <v>225303</v>
      </c>
      <c r="BK2" s="119">
        <v>225304</v>
      </c>
      <c r="BL2" s="119">
        <v>225305</v>
      </c>
      <c r="BM2" s="119">
        <v>225401</v>
      </c>
      <c r="BN2" s="119">
        <v>225501</v>
      </c>
      <c r="BO2" s="119">
        <v>225601</v>
      </c>
      <c r="BP2" s="119">
        <v>225701</v>
      </c>
      <c r="BQ2" s="119">
        <v>225801</v>
      </c>
      <c r="BR2" s="119">
        <v>225901</v>
      </c>
      <c r="BS2" s="119">
        <v>226101</v>
      </c>
      <c r="BT2" s="119">
        <v>226201</v>
      </c>
      <c r="BU2" s="119">
        <v>226301</v>
      </c>
      <c r="BV2" s="119">
        <v>226401</v>
      </c>
      <c r="BW2" s="119">
        <v>227101</v>
      </c>
      <c r="BX2" s="119">
        <v>227102</v>
      </c>
      <c r="BY2" s="119">
        <v>227103</v>
      </c>
      <c r="BZ2" s="119">
        <v>227104</v>
      </c>
      <c r="CA2" s="119">
        <v>227105</v>
      </c>
      <c r="CB2" s="119">
        <v>227106</v>
      </c>
      <c r="CC2" s="119">
        <v>227107</v>
      </c>
      <c r="CD2" s="119">
        <v>227199</v>
      </c>
      <c r="CE2" s="119">
        <v>227201</v>
      </c>
      <c r="CF2" s="119">
        <v>227202</v>
      </c>
      <c r="CG2" s="119">
        <v>227203</v>
      </c>
      <c r="CH2" s="119">
        <v>227204</v>
      </c>
      <c r="CI2" s="119">
        <v>227205</v>
      </c>
      <c r="CJ2" s="119">
        <v>227206</v>
      </c>
      <c r="CK2" s="119">
        <v>227207</v>
      </c>
      <c r="CL2" s="119">
        <v>227208</v>
      </c>
      <c r="CM2" s="119">
        <v>227299</v>
      </c>
      <c r="CN2" s="119">
        <v>227301</v>
      </c>
      <c r="CO2" s="119">
        <v>228101</v>
      </c>
      <c r="CP2" s="119">
        <v>228201</v>
      </c>
      <c r="CQ2" s="119">
        <v>228301</v>
      </c>
      <c r="CR2" s="119">
        <v>228401</v>
      </c>
      <c r="CS2" s="119">
        <v>228501</v>
      </c>
      <c r="CT2" s="119">
        <v>228502</v>
      </c>
      <c r="CU2" s="119">
        <v>228503</v>
      </c>
      <c r="CV2" s="119">
        <v>228601</v>
      </c>
      <c r="CW2" s="119">
        <v>228602</v>
      </c>
      <c r="CX2" s="119">
        <v>228603</v>
      </c>
      <c r="CY2" s="119">
        <v>228604</v>
      </c>
      <c r="CZ2" s="119">
        <v>228701</v>
      </c>
      <c r="DA2" s="119">
        <v>228702</v>
      </c>
      <c r="DB2" s="119">
        <v>228703</v>
      </c>
      <c r="DC2" s="119">
        <v>228704</v>
      </c>
      <c r="DD2" s="119">
        <v>228705</v>
      </c>
      <c r="DE2" s="119">
        <v>228706</v>
      </c>
      <c r="DF2" s="119">
        <v>228801</v>
      </c>
      <c r="DG2" s="119">
        <v>228802</v>
      </c>
      <c r="DH2" s="119">
        <v>228803</v>
      </c>
      <c r="DI2" s="119">
        <v>229201</v>
      </c>
      <c r="DJ2" s="119">
        <v>229203</v>
      </c>
      <c r="DK2" s="119">
        <v>231101</v>
      </c>
      <c r="DL2" s="119">
        <v>231102</v>
      </c>
      <c r="DM2" s="119">
        <v>231201</v>
      </c>
      <c r="DN2" s="119">
        <v>231301</v>
      </c>
      <c r="DO2" s="119">
        <v>231302</v>
      </c>
      <c r="DP2" s="119">
        <v>231303</v>
      </c>
      <c r="DQ2" s="119">
        <v>231401</v>
      </c>
      <c r="DR2" s="119">
        <v>232101</v>
      </c>
      <c r="DS2" s="119">
        <v>232201</v>
      </c>
      <c r="DT2" s="119">
        <v>232301</v>
      </c>
      <c r="DU2" s="119">
        <v>233101</v>
      </c>
      <c r="DV2" s="119">
        <v>233201</v>
      </c>
      <c r="DW2" s="119">
        <v>233301</v>
      </c>
      <c r="DX2" s="119">
        <v>233401</v>
      </c>
      <c r="DY2" s="119">
        <v>233501</v>
      </c>
      <c r="DZ2" s="119">
        <v>233601</v>
      </c>
      <c r="EA2" s="119">
        <v>234101</v>
      </c>
      <c r="EB2" s="119">
        <v>234201</v>
      </c>
      <c r="EC2" s="119">
        <v>235101</v>
      </c>
      <c r="ED2" s="119">
        <v>235201</v>
      </c>
      <c r="EE2" s="119">
        <v>235301</v>
      </c>
      <c r="EF2" s="119">
        <v>235401</v>
      </c>
      <c r="EG2" s="119">
        <v>235501</v>
      </c>
      <c r="EH2" s="119">
        <v>236101</v>
      </c>
      <c r="EI2" s="119">
        <v>236102</v>
      </c>
      <c r="EJ2" s="119">
        <v>236103</v>
      </c>
      <c r="EK2" s="119">
        <v>236104</v>
      </c>
      <c r="EL2" s="119">
        <v>236105</v>
      </c>
      <c r="EM2" s="119">
        <v>236201</v>
      </c>
      <c r="EN2" s="119">
        <v>236202</v>
      </c>
      <c r="EO2" s="119">
        <v>236203</v>
      </c>
      <c r="EP2" s="119">
        <v>236304</v>
      </c>
      <c r="EQ2" s="119">
        <v>236305</v>
      </c>
      <c r="ER2" s="119">
        <v>236306</v>
      </c>
      <c r="ES2" s="119">
        <v>236401</v>
      </c>
      <c r="ET2" s="119">
        <v>236402</v>
      </c>
      <c r="EU2" s="119">
        <v>236403</v>
      </c>
      <c r="EV2" s="119">
        <v>236404</v>
      </c>
      <c r="EW2" s="119">
        <v>236405</v>
      </c>
      <c r="EX2" s="119">
        <v>236406</v>
      </c>
      <c r="EY2" s="119">
        <v>236407</v>
      </c>
      <c r="EZ2" s="119">
        <v>236901</v>
      </c>
      <c r="FA2" s="119">
        <v>237101</v>
      </c>
      <c r="FB2" s="119">
        <v>237102</v>
      </c>
      <c r="FC2" s="119">
        <v>237103</v>
      </c>
      <c r="FD2" s="119">
        <v>237104</v>
      </c>
      <c r="FE2" s="119">
        <v>237105</v>
      </c>
      <c r="FF2" s="119">
        <v>237106</v>
      </c>
      <c r="FG2" s="119">
        <v>237107</v>
      </c>
      <c r="FH2" s="119">
        <v>237201</v>
      </c>
      <c r="FI2" s="119">
        <v>237202</v>
      </c>
      <c r="FJ2" s="119">
        <v>237203</v>
      </c>
      <c r="FK2" s="119">
        <v>237204</v>
      </c>
      <c r="FL2" s="119">
        <v>237205</v>
      </c>
      <c r="FM2" s="119">
        <v>237206</v>
      </c>
      <c r="FN2" s="119">
        <v>237299</v>
      </c>
      <c r="FO2" s="119">
        <v>238101</v>
      </c>
      <c r="FP2" s="119">
        <v>238201</v>
      </c>
      <c r="FQ2" s="119">
        <v>239101</v>
      </c>
      <c r="FR2" s="119">
        <v>239102</v>
      </c>
      <c r="FS2" s="119">
        <v>239201</v>
      </c>
      <c r="FT2" s="119">
        <v>239301</v>
      </c>
      <c r="FU2" s="119">
        <v>239401</v>
      </c>
      <c r="FV2" s="119">
        <v>239501</v>
      </c>
      <c r="FW2" s="119">
        <v>239601</v>
      </c>
      <c r="FX2" s="119">
        <v>239701</v>
      </c>
      <c r="FY2" s="119">
        <v>239801</v>
      </c>
      <c r="FZ2" s="119">
        <v>239802</v>
      </c>
      <c r="GA2" s="119">
        <v>239901</v>
      </c>
      <c r="GB2" s="119">
        <v>239904</v>
      </c>
      <c r="GC2" s="119">
        <v>241201</v>
      </c>
      <c r="GD2" s="119">
        <v>241202</v>
      </c>
      <c r="GE2" s="119">
        <v>241203</v>
      </c>
      <c r="GF2" s="119">
        <v>241204</v>
      </c>
      <c r="GG2" s="119">
        <v>241205</v>
      </c>
      <c r="GH2" s="119">
        <v>261101</v>
      </c>
      <c r="GI2" s="119">
        <v>261201</v>
      </c>
      <c r="GJ2" s="119">
        <v>261301</v>
      </c>
      <c r="GK2" s="119">
        <v>261401</v>
      </c>
      <c r="GL2" s="119">
        <v>261901</v>
      </c>
      <c r="GM2" s="119">
        <v>262101</v>
      </c>
      <c r="GN2" s="119">
        <v>262201</v>
      </c>
      <c r="GO2" s="119">
        <v>262301</v>
      </c>
      <c r="GP2" s="119">
        <v>262401</v>
      </c>
      <c r="GQ2" s="119">
        <v>263101</v>
      </c>
      <c r="GR2" s="119">
        <v>263201</v>
      </c>
      <c r="GS2" s="119">
        <v>263301</v>
      </c>
      <c r="GT2" s="119">
        <v>263401</v>
      </c>
      <c r="GU2" s="119">
        <v>264101</v>
      </c>
      <c r="GV2" s="119">
        <v>264201</v>
      </c>
      <c r="GW2" s="119">
        <v>264301</v>
      </c>
      <c r="GX2" s="119">
        <v>264401</v>
      </c>
      <c r="GY2" s="119">
        <v>264501</v>
      </c>
      <c r="GZ2" s="119">
        <v>264601</v>
      </c>
      <c r="HA2" s="119">
        <v>264701</v>
      </c>
      <c r="HB2" s="119">
        <v>264801</v>
      </c>
      <c r="HC2" s="119">
        <v>265101</v>
      </c>
      <c r="HD2" s="119">
        <v>265201</v>
      </c>
      <c r="HE2" s="119">
        <v>265301</v>
      </c>
      <c r="HF2" s="119">
        <v>265401</v>
      </c>
      <c r="HG2" s="119">
        <v>265501</v>
      </c>
      <c r="HH2" s="119">
        <v>265601</v>
      </c>
      <c r="HI2" s="119">
        <v>265701</v>
      </c>
      <c r="HJ2" s="119">
        <v>265801</v>
      </c>
      <c r="HK2" s="119">
        <v>266101</v>
      </c>
      <c r="HL2" s="119">
        <v>266201</v>
      </c>
      <c r="HM2" s="119">
        <v>267101</v>
      </c>
      <c r="HN2" s="119">
        <v>267201</v>
      </c>
      <c r="HO2" s="119">
        <v>267301</v>
      </c>
      <c r="HP2" s="119">
        <v>267401</v>
      </c>
      <c r="HQ2" s="119">
        <v>267501</v>
      </c>
      <c r="HR2" s="119">
        <v>267601</v>
      </c>
      <c r="HS2" s="119">
        <v>267701</v>
      </c>
      <c r="HT2" s="119">
        <v>267801</v>
      </c>
      <c r="HU2" s="119">
        <v>267901</v>
      </c>
      <c r="HV2" s="119">
        <v>268101</v>
      </c>
      <c r="HW2" s="119">
        <v>268201</v>
      </c>
      <c r="HX2" s="119">
        <v>268301</v>
      </c>
      <c r="HY2" s="119">
        <v>268302</v>
      </c>
      <c r="HZ2" s="119">
        <v>268401</v>
      </c>
      <c r="IA2" s="119">
        <v>268501</v>
      </c>
      <c r="IB2" s="119">
        <v>268601</v>
      </c>
      <c r="IC2" s="119">
        <v>268701</v>
      </c>
      <c r="ID2" s="119">
        <v>268802</v>
      </c>
      <c r="IE2" s="119">
        <v>268803</v>
      </c>
      <c r="IF2" s="119">
        <v>268804</v>
      </c>
      <c r="IG2" s="119">
        <v>268901</v>
      </c>
      <c r="IH2" s="119">
        <v>269101</v>
      </c>
      <c r="II2" s="119">
        <v>269102</v>
      </c>
      <c r="IJ2" s="119">
        <v>269201</v>
      </c>
      <c r="IK2" s="119">
        <v>269202</v>
      </c>
      <c r="IL2" s="119">
        <v>269301</v>
      </c>
      <c r="IM2" s="119">
        <v>269401</v>
      </c>
      <c r="IN2" s="119">
        <v>269501</v>
      </c>
      <c r="IO2" s="119">
        <v>269502</v>
      </c>
      <c r="IP2" s="119">
        <v>269503</v>
      </c>
      <c r="IQ2" s="119">
        <v>2269901</v>
      </c>
      <c r="IR2" s="119">
        <v>271101</v>
      </c>
      <c r="IS2" s="119">
        <v>271201</v>
      </c>
      <c r="IT2" s="119">
        <v>271301</v>
      </c>
      <c r="IU2" s="119">
        <v>271401</v>
      </c>
      <c r="IV2" s="119">
        <v>272101</v>
      </c>
      <c r="IW2" s="119">
        <v>272201</v>
      </c>
      <c r="IX2" s="119">
        <v>272301</v>
      </c>
      <c r="IY2" s="119">
        <v>272401</v>
      </c>
      <c r="IZ2" s="119">
        <v>272501</v>
      </c>
      <c r="JA2" s="119">
        <v>272601</v>
      </c>
      <c r="JB2" s="119">
        <v>272701</v>
      </c>
      <c r="JC2" s="119">
        <v>272801</v>
      </c>
      <c r="JD2" s="119">
        <v>272901</v>
      </c>
      <c r="JE2" s="119">
        <v>273101</v>
      </c>
      <c r="JF2" s="119">
        <v>273201</v>
      </c>
      <c r="JG2" s="119">
        <v>274101</v>
      </c>
      <c r="JH2" s="119">
        <v>274201</v>
      </c>
      <c r="JI2" s="121" t="s">
        <v>0</v>
      </c>
      <c r="JJ2" s="124" t="s">
        <v>613</v>
      </c>
      <c r="JK2" s="124" t="s">
        <v>377</v>
      </c>
      <c r="JL2" s="124" t="s">
        <v>374</v>
      </c>
      <c r="JM2" s="124" t="s">
        <v>378</v>
      </c>
      <c r="JN2" s="124">
        <v>2024</v>
      </c>
      <c r="JO2" s="124" t="s">
        <v>348</v>
      </c>
      <c r="JP2" s="124" t="s">
        <v>379</v>
      </c>
    </row>
    <row r="3" spans="1:277" x14ac:dyDescent="0.3">
      <c r="A3" s="392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2"/>
      <c r="AN3" s="392"/>
      <c r="AO3" s="392"/>
      <c r="AP3" s="392"/>
      <c r="AQ3" s="392"/>
      <c r="AR3" s="392"/>
      <c r="AS3" s="392"/>
      <c r="AT3" s="392"/>
      <c r="AU3" s="392"/>
      <c r="AV3" s="392"/>
      <c r="AW3" s="392"/>
      <c r="AX3" s="392"/>
      <c r="AY3" s="392"/>
      <c r="AZ3" s="392"/>
      <c r="BA3" s="392"/>
      <c r="BB3" s="392"/>
      <c r="BC3" s="392"/>
      <c r="BD3" s="392"/>
      <c r="BE3" s="392"/>
      <c r="BF3" s="392"/>
      <c r="BG3" s="392"/>
      <c r="BH3" s="392"/>
      <c r="BI3" s="392"/>
      <c r="BJ3" s="392"/>
      <c r="BK3" s="392"/>
      <c r="BL3" s="392"/>
      <c r="BM3" s="392"/>
      <c r="BN3" s="392"/>
      <c r="BO3" s="392"/>
      <c r="BP3" s="392"/>
      <c r="BQ3" s="392"/>
      <c r="BR3" s="392"/>
      <c r="BS3" s="392"/>
      <c r="BT3" s="392"/>
      <c r="BU3" s="392"/>
      <c r="BV3" s="392"/>
      <c r="BW3" s="392"/>
      <c r="BX3" s="392"/>
      <c r="BY3" s="392"/>
      <c r="BZ3" s="392"/>
      <c r="CA3" s="392"/>
      <c r="CB3" s="392"/>
      <c r="CC3" s="392"/>
      <c r="CD3" s="392"/>
      <c r="CE3" s="392"/>
      <c r="CF3" s="392"/>
      <c r="CG3" s="392"/>
      <c r="CH3" s="392"/>
      <c r="CI3" s="392"/>
      <c r="CJ3" s="392"/>
      <c r="CK3" s="392"/>
      <c r="CL3" s="392"/>
      <c r="CM3" s="392"/>
      <c r="CN3" s="392"/>
      <c r="CO3" s="392"/>
      <c r="CP3" s="392"/>
      <c r="CQ3" s="392"/>
      <c r="CR3" s="392"/>
      <c r="CS3" s="392"/>
      <c r="CT3" s="392"/>
      <c r="CU3" s="392"/>
      <c r="CV3" s="392"/>
      <c r="CW3" s="392"/>
      <c r="CX3" s="392"/>
      <c r="CY3" s="392"/>
      <c r="CZ3" s="392"/>
      <c r="DA3" s="392"/>
      <c r="DB3" s="392"/>
      <c r="DC3" s="392"/>
      <c r="DD3" s="392"/>
      <c r="DE3" s="392"/>
      <c r="DF3" s="392"/>
      <c r="DG3" s="392"/>
      <c r="DH3" s="392"/>
      <c r="DI3" s="392"/>
      <c r="DJ3" s="392"/>
      <c r="DK3" s="392"/>
      <c r="DL3" s="392"/>
      <c r="DM3" s="392"/>
      <c r="DN3" s="392"/>
      <c r="DO3" s="392"/>
      <c r="DP3" s="392"/>
      <c r="DQ3" s="392"/>
      <c r="DR3" s="392"/>
      <c r="DS3" s="392"/>
      <c r="DT3" s="392"/>
      <c r="DU3" s="392"/>
      <c r="DV3" s="392"/>
      <c r="DW3" s="392"/>
      <c r="DX3" s="392"/>
      <c r="DY3" s="392"/>
      <c r="DZ3" s="392"/>
      <c r="EA3" s="392"/>
      <c r="EB3" s="392"/>
      <c r="EC3" s="392"/>
      <c r="ED3" s="392"/>
      <c r="EE3" s="392"/>
      <c r="EF3" s="392"/>
      <c r="EG3" s="392"/>
      <c r="EH3" s="392"/>
      <c r="EI3" s="392"/>
      <c r="EJ3" s="392"/>
      <c r="EK3" s="392"/>
      <c r="EL3" s="392"/>
      <c r="EM3" s="392"/>
      <c r="EN3" s="392"/>
      <c r="EO3" s="392"/>
      <c r="EP3" s="392"/>
      <c r="EQ3" s="392"/>
      <c r="ER3" s="392"/>
      <c r="ES3" s="392"/>
      <c r="ET3" s="392"/>
      <c r="EU3" s="392"/>
      <c r="EV3" s="392"/>
      <c r="EW3" s="392"/>
      <c r="EX3" s="392"/>
      <c r="EY3" s="392"/>
      <c r="EZ3" s="392"/>
      <c r="FA3" s="392"/>
      <c r="FB3" s="392"/>
      <c r="FC3" s="392"/>
      <c r="FD3" s="392"/>
      <c r="FE3" s="392"/>
      <c r="FF3" s="392"/>
      <c r="FG3" s="392"/>
      <c r="FH3" s="392"/>
      <c r="FI3" s="392"/>
      <c r="FJ3" s="392"/>
      <c r="FK3" s="392"/>
      <c r="FL3" s="392"/>
      <c r="FM3" s="392"/>
      <c r="FN3" s="392"/>
      <c r="FO3" s="392"/>
      <c r="FP3" s="392"/>
      <c r="FQ3" s="392"/>
      <c r="FR3" s="392"/>
      <c r="FS3" s="392"/>
      <c r="FT3" s="392"/>
      <c r="FU3" s="392"/>
      <c r="FV3" s="392"/>
      <c r="FW3" s="392"/>
      <c r="FX3" s="392"/>
      <c r="FY3" s="392"/>
      <c r="FZ3" s="392"/>
      <c r="GA3" s="392"/>
      <c r="GB3" s="392"/>
      <c r="GC3" s="392"/>
      <c r="GD3" s="392"/>
      <c r="GE3" s="392"/>
      <c r="GF3" s="392"/>
      <c r="GG3" s="392"/>
      <c r="GH3" s="392"/>
      <c r="GI3" s="392"/>
      <c r="GJ3" s="392"/>
      <c r="GK3" s="392"/>
      <c r="GL3" s="392"/>
      <c r="GM3" s="392"/>
      <c r="GN3" s="392"/>
      <c r="GO3" s="392"/>
      <c r="GP3" s="392"/>
      <c r="GQ3" s="392"/>
      <c r="GR3" s="392"/>
      <c r="GS3" s="392"/>
      <c r="GT3" s="392"/>
      <c r="GU3" s="392"/>
      <c r="GV3" s="392"/>
      <c r="GW3" s="392"/>
      <c r="GX3" s="392"/>
      <c r="GY3" s="392"/>
      <c r="GZ3" s="392"/>
      <c r="HA3" s="392"/>
      <c r="HB3" s="392"/>
      <c r="HC3" s="392"/>
      <c r="HD3" s="392"/>
      <c r="HE3" s="392"/>
      <c r="HF3" s="392"/>
      <c r="HG3" s="392"/>
      <c r="HH3" s="392"/>
      <c r="HI3" s="392"/>
      <c r="HJ3" s="392"/>
      <c r="HK3" s="392"/>
      <c r="HL3" s="392"/>
      <c r="HM3" s="392"/>
      <c r="HN3" s="392"/>
      <c r="HO3" s="392"/>
      <c r="HP3" s="392"/>
      <c r="HQ3" s="392"/>
      <c r="HR3" s="392"/>
      <c r="HS3" s="392"/>
      <c r="HT3" s="392"/>
      <c r="HU3" s="392"/>
      <c r="HV3" s="392"/>
      <c r="HW3" s="392"/>
      <c r="HX3" s="392"/>
      <c r="HY3" s="392"/>
      <c r="HZ3" s="392"/>
      <c r="IA3" s="392"/>
      <c r="IB3" s="392"/>
      <c r="IC3" s="392"/>
      <c r="ID3" s="392"/>
      <c r="IE3" s="392"/>
      <c r="IF3" s="392"/>
      <c r="IG3" s="392"/>
      <c r="IH3" s="392"/>
      <c r="II3" s="392"/>
      <c r="IJ3" s="392"/>
      <c r="IK3" s="392"/>
      <c r="IL3" s="392"/>
      <c r="IM3" s="392"/>
      <c r="IN3" s="392"/>
      <c r="IO3" s="392"/>
      <c r="IP3" s="392"/>
      <c r="IQ3" s="392"/>
      <c r="IR3" s="392"/>
      <c r="IS3" s="392"/>
      <c r="IT3" s="392"/>
      <c r="IU3" s="392"/>
      <c r="IV3" s="392"/>
      <c r="IW3" s="392"/>
      <c r="IX3" s="392"/>
      <c r="IY3" s="392"/>
      <c r="IZ3" s="392"/>
      <c r="JA3" s="392"/>
      <c r="JB3" s="392"/>
      <c r="JC3" s="392"/>
      <c r="JD3" s="392"/>
      <c r="JE3" s="392"/>
      <c r="JF3" s="392"/>
      <c r="JG3" s="392"/>
      <c r="JH3" s="392"/>
      <c r="JI3" s="393">
        <f>SUM(A3:JH3)</f>
        <v>0</v>
      </c>
      <c r="JJ3" s="2">
        <v>5642</v>
      </c>
      <c r="JK3" s="392">
        <f>+JI3-JL3</f>
        <v>0</v>
      </c>
      <c r="JL3" s="284"/>
      <c r="JM3" s="284"/>
      <c r="JN3" s="284"/>
      <c r="JO3" s="284"/>
      <c r="JP3" s="284"/>
      <c r="JQ3" s="170"/>
    </row>
    <row r="4" spans="1:277" x14ac:dyDescent="0.3">
      <c r="A4" s="392"/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392"/>
      <c r="AA4" s="392"/>
      <c r="AB4" s="392"/>
      <c r="AC4" s="392"/>
      <c r="AD4" s="392"/>
      <c r="AE4" s="392"/>
      <c r="AF4" s="392"/>
      <c r="AG4" s="392"/>
      <c r="AH4" s="392"/>
      <c r="AI4" s="392"/>
      <c r="AJ4" s="392"/>
      <c r="AK4" s="392"/>
      <c r="AL4" s="392"/>
      <c r="AM4" s="392"/>
      <c r="AN4" s="392"/>
      <c r="AO4" s="392"/>
      <c r="AP4" s="392"/>
      <c r="AQ4" s="392"/>
      <c r="AR4" s="392"/>
      <c r="AS4" s="392"/>
      <c r="AT4" s="392"/>
      <c r="AU4" s="392"/>
      <c r="AV4" s="392"/>
      <c r="AW4" s="392"/>
      <c r="AX4" s="392"/>
      <c r="AY4" s="392"/>
      <c r="AZ4" s="392"/>
      <c r="BA4" s="392"/>
      <c r="BB4" s="392"/>
      <c r="BC4" s="392"/>
      <c r="BD4" s="392"/>
      <c r="BE4" s="392"/>
      <c r="BF4" s="392"/>
      <c r="BG4" s="392"/>
      <c r="BH4" s="392"/>
      <c r="BI4" s="392"/>
      <c r="BJ4" s="392"/>
      <c r="BK4" s="392"/>
      <c r="BL4" s="392"/>
      <c r="BM4" s="392"/>
      <c r="BN4" s="392"/>
      <c r="BO4" s="392"/>
      <c r="BP4" s="392"/>
      <c r="BQ4" s="392"/>
      <c r="BR4" s="392"/>
      <c r="BS4" s="392"/>
      <c r="BT4" s="392"/>
      <c r="BU4" s="392"/>
      <c r="BV4" s="392"/>
      <c r="BW4" s="392"/>
      <c r="BX4" s="392"/>
      <c r="BY4" s="392"/>
      <c r="BZ4" s="392"/>
      <c r="CA4" s="392"/>
      <c r="CB4" s="392"/>
      <c r="CC4" s="392"/>
      <c r="CD4" s="392"/>
      <c r="CE4" s="392"/>
      <c r="CF4" s="392"/>
      <c r="CG4" s="392"/>
      <c r="CH4" s="392"/>
      <c r="CI4" s="392"/>
      <c r="CJ4" s="392"/>
      <c r="CK4" s="392"/>
      <c r="CL4" s="392"/>
      <c r="CM4" s="392"/>
      <c r="CN4" s="392"/>
      <c r="CO4" s="392"/>
      <c r="CP4" s="392"/>
      <c r="CQ4" s="392"/>
      <c r="CR4" s="392"/>
      <c r="CS4" s="392"/>
      <c r="CT4" s="392"/>
      <c r="CU4" s="392"/>
      <c r="CV4" s="392"/>
      <c r="CW4" s="392"/>
      <c r="CX4" s="392"/>
      <c r="CY4" s="392"/>
      <c r="CZ4" s="392"/>
      <c r="DA4" s="392"/>
      <c r="DB4" s="392"/>
      <c r="DC4" s="392"/>
      <c r="DD4" s="392"/>
      <c r="DE4" s="392"/>
      <c r="DF4" s="392"/>
      <c r="DG4" s="392"/>
      <c r="DH4" s="392"/>
      <c r="DI4" s="392"/>
      <c r="DJ4" s="392"/>
      <c r="DK4" s="392"/>
      <c r="DL4" s="392"/>
      <c r="DM4" s="392"/>
      <c r="DN4" s="392"/>
      <c r="DO4" s="392"/>
      <c r="DP4" s="392"/>
      <c r="DQ4" s="392"/>
      <c r="DR4" s="392"/>
      <c r="DS4" s="392"/>
      <c r="DT4" s="392"/>
      <c r="DU4" s="392"/>
      <c r="DV4" s="392"/>
      <c r="DW4" s="392"/>
      <c r="DX4" s="392"/>
      <c r="DY4" s="392"/>
      <c r="DZ4" s="392"/>
      <c r="EA4" s="392"/>
      <c r="EB4" s="392"/>
      <c r="EC4" s="392"/>
      <c r="ED4" s="392"/>
      <c r="EE4" s="392"/>
      <c r="EF4" s="392"/>
      <c r="EG4" s="392"/>
      <c r="EH4" s="392"/>
      <c r="EI4" s="392"/>
      <c r="EJ4" s="392"/>
      <c r="EK4" s="392"/>
      <c r="EL4" s="392"/>
      <c r="EM4" s="392"/>
      <c r="EN4" s="392"/>
      <c r="EO4" s="392"/>
      <c r="EP4" s="392"/>
      <c r="EQ4" s="392"/>
      <c r="ER4" s="392"/>
      <c r="ES4" s="392"/>
      <c r="ET4" s="392"/>
      <c r="EU4" s="392"/>
      <c r="EV4" s="392"/>
      <c r="EW4" s="392"/>
      <c r="EX4" s="392"/>
      <c r="EY4" s="392"/>
      <c r="EZ4" s="392"/>
      <c r="FA4" s="392"/>
      <c r="FB4" s="392"/>
      <c r="FC4" s="392"/>
      <c r="FD4" s="392"/>
      <c r="FE4" s="392"/>
      <c r="FF4" s="392"/>
      <c r="FG4" s="392"/>
      <c r="FH4" s="392"/>
      <c r="FI4" s="392"/>
      <c r="FJ4" s="392"/>
      <c r="FK4" s="392"/>
      <c r="FL4" s="392"/>
      <c r="FM4" s="392"/>
      <c r="FN4" s="392"/>
      <c r="FO4" s="392"/>
      <c r="FP4" s="392"/>
      <c r="FQ4" s="392"/>
      <c r="FR4" s="392"/>
      <c r="FS4" s="392"/>
      <c r="FT4" s="392"/>
      <c r="FU4" s="392"/>
      <c r="FV4" s="392"/>
      <c r="FW4" s="392"/>
      <c r="FX4" s="392"/>
      <c r="FY4" s="392"/>
      <c r="FZ4" s="392"/>
      <c r="GA4" s="392"/>
      <c r="GB4" s="392"/>
      <c r="GC4" s="392"/>
      <c r="GD4" s="392"/>
      <c r="GE4" s="392"/>
      <c r="GF4" s="392"/>
      <c r="GG4" s="392"/>
      <c r="GH4" s="392"/>
      <c r="GI4" s="392"/>
      <c r="GJ4" s="392"/>
      <c r="GK4" s="392"/>
      <c r="GL4" s="392"/>
      <c r="GM4" s="392"/>
      <c r="GN4" s="392"/>
      <c r="GO4" s="392"/>
      <c r="GP4" s="392"/>
      <c r="GQ4" s="392"/>
      <c r="GR4" s="392"/>
      <c r="GS4" s="392"/>
      <c r="GT4" s="392"/>
      <c r="GU4" s="392"/>
      <c r="GV4" s="392"/>
      <c r="GW4" s="392"/>
      <c r="GX4" s="392"/>
      <c r="GY4" s="392"/>
      <c r="GZ4" s="392"/>
      <c r="HA4" s="392"/>
      <c r="HB4" s="392"/>
      <c r="HC4" s="392"/>
      <c r="HD4" s="392"/>
      <c r="HE4" s="392"/>
      <c r="HF4" s="392"/>
      <c r="HG4" s="392"/>
      <c r="HH4" s="392"/>
      <c r="HI4" s="392"/>
      <c r="HJ4" s="392"/>
      <c r="HK4" s="392"/>
      <c r="HL4" s="392"/>
      <c r="HM4" s="392"/>
      <c r="HN4" s="392"/>
      <c r="HO4" s="392"/>
      <c r="HP4" s="392"/>
      <c r="HQ4" s="392"/>
      <c r="HR4" s="392"/>
      <c r="HS4" s="392"/>
      <c r="HT4" s="392"/>
      <c r="HU4" s="392"/>
      <c r="HV4" s="392"/>
      <c r="HW4" s="392"/>
      <c r="HX4" s="392"/>
      <c r="HY4" s="392"/>
      <c r="HZ4" s="392"/>
      <c r="IA4" s="392"/>
      <c r="IB4" s="392"/>
      <c r="IC4" s="392"/>
      <c r="ID4" s="392"/>
      <c r="IE4" s="392"/>
      <c r="IF4" s="392"/>
      <c r="IG4" s="392"/>
      <c r="IH4" s="392"/>
      <c r="II4" s="392"/>
      <c r="IJ4" s="392"/>
      <c r="IK4" s="392"/>
      <c r="IL4" s="392"/>
      <c r="IM4" s="392"/>
      <c r="IN4" s="392"/>
      <c r="IO4" s="392"/>
      <c r="IP4" s="392"/>
      <c r="IQ4" s="392"/>
      <c r="IR4" s="392"/>
      <c r="IS4" s="392"/>
      <c r="IT4" s="392"/>
      <c r="IU4" s="392"/>
      <c r="IV4" s="392"/>
      <c r="IW4" s="392"/>
      <c r="IX4" s="392"/>
      <c r="IY4" s="392"/>
      <c r="IZ4" s="392"/>
      <c r="JA4" s="392"/>
      <c r="JB4" s="392"/>
      <c r="JC4" s="392"/>
      <c r="JD4" s="392"/>
      <c r="JE4" s="392"/>
      <c r="JF4" s="392"/>
      <c r="JG4" s="392"/>
      <c r="JH4" s="392"/>
      <c r="JI4" s="393">
        <f t="shared" ref="JI4:JI69" si="0">SUM(A4:JH4)</f>
        <v>0</v>
      </c>
      <c r="JJ4" s="2">
        <v>5646</v>
      </c>
      <c r="JK4" s="392">
        <f t="shared" ref="JK4:JK67" si="1">+JI4-JL4</f>
        <v>0</v>
      </c>
      <c r="JL4" s="284"/>
      <c r="JM4" s="284"/>
      <c r="JN4" s="284"/>
      <c r="JO4" s="284"/>
      <c r="JP4" s="284"/>
      <c r="JQ4" s="170"/>
    </row>
    <row r="5" spans="1:277" x14ac:dyDescent="0.3">
      <c r="A5" s="392"/>
      <c r="B5" s="392"/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92"/>
      <c r="S5" s="392"/>
      <c r="T5" s="392"/>
      <c r="U5" s="392"/>
      <c r="V5" s="392"/>
      <c r="W5" s="392"/>
      <c r="X5" s="392"/>
      <c r="Y5" s="392"/>
      <c r="Z5" s="392"/>
      <c r="AA5" s="392"/>
      <c r="AB5" s="392"/>
      <c r="AC5" s="392"/>
      <c r="AD5" s="392"/>
      <c r="AE5" s="392"/>
      <c r="AF5" s="392"/>
      <c r="AG5" s="392"/>
      <c r="AH5" s="392"/>
      <c r="AI5" s="392"/>
      <c r="AJ5" s="392"/>
      <c r="AK5" s="392"/>
      <c r="AL5" s="392"/>
      <c r="AM5" s="392"/>
      <c r="AN5" s="392"/>
      <c r="AO5" s="392"/>
      <c r="AP5" s="392"/>
      <c r="AQ5" s="392"/>
      <c r="AR5" s="392"/>
      <c r="AS5" s="392"/>
      <c r="AT5" s="392"/>
      <c r="AU5" s="392"/>
      <c r="AV5" s="392"/>
      <c r="AW5" s="392"/>
      <c r="AX5" s="392"/>
      <c r="AY5" s="392"/>
      <c r="AZ5" s="392"/>
      <c r="BA5" s="392"/>
      <c r="BB5" s="392"/>
      <c r="BC5" s="392"/>
      <c r="BD5" s="392"/>
      <c r="BE5" s="392"/>
      <c r="BF5" s="392"/>
      <c r="BG5" s="392"/>
      <c r="BH5" s="392"/>
      <c r="BI5" s="392"/>
      <c r="BJ5" s="392"/>
      <c r="BK5" s="392"/>
      <c r="BL5" s="392"/>
      <c r="BM5" s="392"/>
      <c r="BN5" s="392"/>
      <c r="BO5" s="392"/>
      <c r="BP5" s="392"/>
      <c r="BQ5" s="392"/>
      <c r="BR5" s="392"/>
      <c r="BS5" s="392"/>
      <c r="BT5" s="392"/>
      <c r="BU5" s="392"/>
      <c r="BV5" s="392"/>
      <c r="BW5" s="392"/>
      <c r="BX5" s="392"/>
      <c r="BY5" s="392"/>
      <c r="BZ5" s="392"/>
      <c r="CA5" s="392"/>
      <c r="CB5" s="392"/>
      <c r="CC5" s="392"/>
      <c r="CD5" s="392"/>
      <c r="CE5" s="392"/>
      <c r="CF5" s="392"/>
      <c r="CG5" s="392"/>
      <c r="CH5" s="392"/>
      <c r="CI5" s="392"/>
      <c r="CJ5" s="392"/>
      <c r="CK5" s="392"/>
      <c r="CL5" s="392"/>
      <c r="CM5" s="392"/>
      <c r="CN5" s="392"/>
      <c r="CO5" s="392"/>
      <c r="CP5" s="392"/>
      <c r="CQ5" s="392"/>
      <c r="CR5" s="392"/>
      <c r="CS5" s="392"/>
      <c r="CT5" s="392"/>
      <c r="CU5" s="392"/>
      <c r="CV5" s="392"/>
      <c r="CW5" s="392"/>
      <c r="CX5" s="392"/>
      <c r="CY5" s="392"/>
      <c r="CZ5" s="392"/>
      <c r="DA5" s="392"/>
      <c r="DB5" s="392"/>
      <c r="DC5" s="392"/>
      <c r="DD5" s="392"/>
      <c r="DE5" s="392"/>
      <c r="DF5" s="392"/>
      <c r="DG5" s="392"/>
      <c r="DH5" s="392"/>
      <c r="DI5" s="392"/>
      <c r="DJ5" s="392"/>
      <c r="DK5" s="392"/>
      <c r="DL5" s="392"/>
      <c r="DM5" s="392"/>
      <c r="DN5" s="392"/>
      <c r="DO5" s="392"/>
      <c r="DP5" s="392"/>
      <c r="DQ5" s="392"/>
      <c r="DR5" s="392"/>
      <c r="DS5" s="392"/>
      <c r="DT5" s="392"/>
      <c r="DU5" s="392"/>
      <c r="DV5" s="392"/>
      <c r="DW5" s="392"/>
      <c r="DX5" s="392"/>
      <c r="DY5" s="392"/>
      <c r="DZ5" s="392"/>
      <c r="EA5" s="392"/>
      <c r="EB5" s="392"/>
      <c r="EC5" s="392"/>
      <c r="ED5" s="392"/>
      <c r="EE5" s="392"/>
      <c r="EF5" s="392"/>
      <c r="EG5" s="392"/>
      <c r="EH5" s="392"/>
      <c r="EI5" s="392"/>
      <c r="EJ5" s="392"/>
      <c r="EK5" s="392"/>
      <c r="EL5" s="392"/>
      <c r="EM5" s="392"/>
      <c r="EN5" s="392"/>
      <c r="EO5" s="392"/>
      <c r="EP5" s="392"/>
      <c r="EQ5" s="392"/>
      <c r="ER5" s="392"/>
      <c r="ES5" s="392"/>
      <c r="ET5" s="392"/>
      <c r="EU5" s="392"/>
      <c r="EV5" s="392"/>
      <c r="EW5" s="392"/>
      <c r="EX5" s="392"/>
      <c r="EY5" s="392"/>
      <c r="EZ5" s="392"/>
      <c r="FA5" s="392"/>
      <c r="FB5" s="392"/>
      <c r="FC5" s="392"/>
      <c r="FD5" s="392"/>
      <c r="FE5" s="392"/>
      <c r="FF5" s="392"/>
      <c r="FG5" s="392"/>
      <c r="FH5" s="392"/>
      <c r="FI5" s="392"/>
      <c r="FJ5" s="392"/>
      <c r="FK5" s="392"/>
      <c r="FL5" s="392"/>
      <c r="FM5" s="392"/>
      <c r="FN5" s="392"/>
      <c r="FO5" s="392"/>
      <c r="FP5" s="392"/>
      <c r="FQ5" s="392"/>
      <c r="FR5" s="392"/>
      <c r="FS5" s="392"/>
      <c r="FT5" s="392"/>
      <c r="FU5" s="392"/>
      <c r="FV5" s="392"/>
      <c r="FW5" s="392"/>
      <c r="FX5" s="392"/>
      <c r="FY5" s="392"/>
      <c r="FZ5" s="392"/>
      <c r="GA5" s="392"/>
      <c r="GB5" s="392"/>
      <c r="GC5" s="392"/>
      <c r="GD5" s="392"/>
      <c r="GE5" s="392"/>
      <c r="GF5" s="392"/>
      <c r="GG5" s="392"/>
      <c r="GH5" s="392"/>
      <c r="GI5" s="392"/>
      <c r="GJ5" s="392"/>
      <c r="GK5" s="392"/>
      <c r="GL5" s="392"/>
      <c r="GM5" s="392"/>
      <c r="GN5" s="392"/>
      <c r="GO5" s="392"/>
      <c r="GP5" s="392"/>
      <c r="GQ5" s="392"/>
      <c r="GR5" s="392"/>
      <c r="GS5" s="392"/>
      <c r="GT5" s="392"/>
      <c r="GU5" s="392"/>
      <c r="GV5" s="392"/>
      <c r="GW5" s="392"/>
      <c r="GX5" s="392"/>
      <c r="GY5" s="392"/>
      <c r="GZ5" s="392"/>
      <c r="HA5" s="392"/>
      <c r="HB5" s="392"/>
      <c r="HC5" s="392"/>
      <c r="HD5" s="392"/>
      <c r="HE5" s="392"/>
      <c r="HF5" s="392"/>
      <c r="HG5" s="392"/>
      <c r="HH5" s="392"/>
      <c r="HI5" s="392"/>
      <c r="HJ5" s="392"/>
      <c r="HK5" s="392"/>
      <c r="HL5" s="392"/>
      <c r="HM5" s="392"/>
      <c r="HN5" s="392"/>
      <c r="HO5" s="392"/>
      <c r="HP5" s="392"/>
      <c r="HQ5" s="392"/>
      <c r="HR5" s="392"/>
      <c r="HS5" s="392"/>
      <c r="HT5" s="392"/>
      <c r="HU5" s="392"/>
      <c r="HV5" s="392"/>
      <c r="HW5" s="392"/>
      <c r="HX5" s="392"/>
      <c r="HY5" s="392"/>
      <c r="HZ5" s="392"/>
      <c r="IA5" s="392"/>
      <c r="IB5" s="392"/>
      <c r="IC5" s="392"/>
      <c r="ID5" s="392"/>
      <c r="IE5" s="392"/>
      <c r="IF5" s="392"/>
      <c r="IG5" s="392"/>
      <c r="IH5" s="392"/>
      <c r="II5" s="392"/>
      <c r="IJ5" s="392"/>
      <c r="IK5" s="392"/>
      <c r="IL5" s="392"/>
      <c r="IM5" s="392"/>
      <c r="IN5" s="392"/>
      <c r="IO5" s="392"/>
      <c r="IP5" s="392"/>
      <c r="IQ5" s="392"/>
      <c r="IR5" s="392"/>
      <c r="IS5" s="392"/>
      <c r="IT5" s="392"/>
      <c r="IU5" s="392"/>
      <c r="IV5" s="392"/>
      <c r="IW5" s="392"/>
      <c r="IX5" s="392"/>
      <c r="IY5" s="392"/>
      <c r="IZ5" s="392"/>
      <c r="JA5" s="392"/>
      <c r="JB5" s="392"/>
      <c r="JC5" s="392"/>
      <c r="JD5" s="392"/>
      <c r="JE5" s="392"/>
      <c r="JF5" s="392"/>
      <c r="JG5" s="392"/>
      <c r="JH5" s="392"/>
      <c r="JI5" s="393">
        <f t="shared" si="0"/>
        <v>0</v>
      </c>
      <c r="JJ5" s="2">
        <v>5650</v>
      </c>
      <c r="JK5" s="392">
        <f t="shared" si="1"/>
        <v>0</v>
      </c>
      <c r="JL5" s="284"/>
      <c r="JM5" s="284"/>
      <c r="JN5" s="284"/>
      <c r="JO5" s="284"/>
      <c r="JP5" s="284"/>
      <c r="JQ5" s="170"/>
    </row>
    <row r="6" spans="1:277" x14ac:dyDescent="0.3">
      <c r="A6" s="392"/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2"/>
      <c r="AM6" s="392"/>
      <c r="AN6" s="392"/>
      <c r="AO6" s="392"/>
      <c r="AP6" s="392"/>
      <c r="AQ6" s="392"/>
      <c r="AR6" s="392"/>
      <c r="AS6" s="392"/>
      <c r="AT6" s="392"/>
      <c r="AU6" s="392"/>
      <c r="AV6" s="392"/>
      <c r="AW6" s="392"/>
      <c r="AX6" s="392"/>
      <c r="AY6" s="392"/>
      <c r="AZ6" s="392"/>
      <c r="BA6" s="392"/>
      <c r="BB6" s="392"/>
      <c r="BC6" s="392"/>
      <c r="BD6" s="392"/>
      <c r="BE6" s="392"/>
      <c r="BF6" s="392"/>
      <c r="BG6" s="392"/>
      <c r="BH6" s="392"/>
      <c r="BI6" s="392"/>
      <c r="BJ6" s="392"/>
      <c r="BK6" s="392"/>
      <c r="BL6" s="392"/>
      <c r="BM6" s="392"/>
      <c r="BN6" s="392"/>
      <c r="BO6" s="392"/>
      <c r="BP6" s="392"/>
      <c r="BQ6" s="392"/>
      <c r="BR6" s="392"/>
      <c r="BS6" s="392"/>
      <c r="BT6" s="392"/>
      <c r="BU6" s="392"/>
      <c r="BV6" s="392"/>
      <c r="BW6" s="392"/>
      <c r="BX6" s="392"/>
      <c r="BY6" s="392"/>
      <c r="BZ6" s="392"/>
      <c r="CA6" s="392"/>
      <c r="CB6" s="392"/>
      <c r="CC6" s="392"/>
      <c r="CD6" s="392"/>
      <c r="CE6" s="392"/>
      <c r="CF6" s="392"/>
      <c r="CG6" s="392"/>
      <c r="CH6" s="392"/>
      <c r="CI6" s="392"/>
      <c r="CJ6" s="392"/>
      <c r="CK6" s="392"/>
      <c r="CL6" s="392"/>
      <c r="CM6" s="392"/>
      <c r="CN6" s="392"/>
      <c r="CO6" s="392"/>
      <c r="CP6" s="392"/>
      <c r="CQ6" s="392"/>
      <c r="CR6" s="392"/>
      <c r="CS6" s="392"/>
      <c r="CT6" s="392"/>
      <c r="CU6" s="392"/>
      <c r="CV6" s="392"/>
      <c r="CW6" s="392"/>
      <c r="CX6" s="392"/>
      <c r="CY6" s="392"/>
      <c r="CZ6" s="392"/>
      <c r="DA6" s="392"/>
      <c r="DB6" s="392"/>
      <c r="DC6" s="392"/>
      <c r="DD6" s="392"/>
      <c r="DE6" s="392"/>
      <c r="DF6" s="392"/>
      <c r="DG6" s="392"/>
      <c r="DH6" s="392"/>
      <c r="DI6" s="392"/>
      <c r="DJ6" s="392"/>
      <c r="DK6" s="392"/>
      <c r="DL6" s="392"/>
      <c r="DM6" s="392"/>
      <c r="DN6" s="392"/>
      <c r="DO6" s="392"/>
      <c r="DP6" s="392"/>
      <c r="DQ6" s="392"/>
      <c r="DR6" s="392"/>
      <c r="DS6" s="392"/>
      <c r="DT6" s="392"/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2"/>
      <c r="EF6" s="392"/>
      <c r="EG6" s="392"/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2"/>
      <c r="ES6" s="392"/>
      <c r="ET6" s="392"/>
      <c r="EU6" s="392"/>
      <c r="EV6" s="392"/>
      <c r="EW6" s="392"/>
      <c r="EX6" s="392"/>
      <c r="EY6" s="392"/>
      <c r="EZ6" s="392"/>
      <c r="FA6" s="392"/>
      <c r="FB6" s="392"/>
      <c r="FC6" s="392"/>
      <c r="FD6" s="392"/>
      <c r="FE6" s="392"/>
      <c r="FF6" s="392"/>
      <c r="FG6" s="392"/>
      <c r="FH6" s="392"/>
      <c r="FI6" s="392"/>
      <c r="FJ6" s="392"/>
      <c r="FK6" s="392"/>
      <c r="FL6" s="392"/>
      <c r="FM6" s="392"/>
      <c r="FN6" s="392"/>
      <c r="FO6" s="392"/>
      <c r="FP6" s="392"/>
      <c r="FQ6" s="392"/>
      <c r="FR6" s="392"/>
      <c r="FS6" s="392"/>
      <c r="FT6" s="392"/>
      <c r="FU6" s="392"/>
      <c r="FV6" s="392"/>
      <c r="FW6" s="392"/>
      <c r="FX6" s="392"/>
      <c r="FY6" s="392"/>
      <c r="FZ6" s="392"/>
      <c r="GA6" s="392"/>
      <c r="GB6" s="392"/>
      <c r="GC6" s="392"/>
      <c r="GD6" s="392"/>
      <c r="GE6" s="392"/>
      <c r="GF6" s="392"/>
      <c r="GG6" s="392"/>
      <c r="GH6" s="392"/>
      <c r="GI6" s="392"/>
      <c r="GJ6" s="392"/>
      <c r="GK6" s="392"/>
      <c r="GL6" s="392"/>
      <c r="GM6" s="392"/>
      <c r="GN6" s="392"/>
      <c r="GO6" s="392"/>
      <c r="GP6" s="392"/>
      <c r="GQ6" s="392"/>
      <c r="GR6" s="392"/>
      <c r="GS6" s="392"/>
      <c r="GT6" s="392"/>
      <c r="GU6" s="392"/>
      <c r="GV6" s="392"/>
      <c r="GW6" s="392"/>
      <c r="GX6" s="392"/>
      <c r="GY6" s="392"/>
      <c r="GZ6" s="392"/>
      <c r="HA6" s="392"/>
      <c r="HB6" s="392"/>
      <c r="HC6" s="392"/>
      <c r="HD6" s="392"/>
      <c r="HE6" s="392"/>
      <c r="HF6" s="392"/>
      <c r="HG6" s="392"/>
      <c r="HH6" s="392"/>
      <c r="HI6" s="392"/>
      <c r="HJ6" s="392"/>
      <c r="HK6" s="392"/>
      <c r="HL6" s="392"/>
      <c r="HM6" s="392"/>
      <c r="HN6" s="392"/>
      <c r="HO6" s="392"/>
      <c r="HP6" s="392"/>
      <c r="HQ6" s="392"/>
      <c r="HR6" s="392"/>
      <c r="HS6" s="392"/>
      <c r="HT6" s="392"/>
      <c r="HU6" s="392"/>
      <c r="HV6" s="392"/>
      <c r="HW6" s="392"/>
      <c r="HX6" s="392"/>
      <c r="HY6" s="392"/>
      <c r="HZ6" s="392"/>
      <c r="IA6" s="392"/>
      <c r="IB6" s="392"/>
      <c r="IC6" s="392"/>
      <c r="ID6" s="392"/>
      <c r="IE6" s="392"/>
      <c r="IF6" s="392"/>
      <c r="IG6" s="392"/>
      <c r="IH6" s="392"/>
      <c r="II6" s="392"/>
      <c r="IJ6" s="392"/>
      <c r="IK6" s="392"/>
      <c r="IL6" s="392"/>
      <c r="IM6" s="392"/>
      <c r="IN6" s="392"/>
      <c r="IO6" s="392"/>
      <c r="IP6" s="392"/>
      <c r="IQ6" s="392"/>
      <c r="IR6" s="392"/>
      <c r="IS6" s="392"/>
      <c r="IT6" s="392"/>
      <c r="IU6" s="392"/>
      <c r="IV6" s="392"/>
      <c r="IW6" s="392"/>
      <c r="IX6" s="392"/>
      <c r="IY6" s="392"/>
      <c r="IZ6" s="392"/>
      <c r="JA6" s="392"/>
      <c r="JB6" s="392"/>
      <c r="JC6" s="392"/>
      <c r="JD6" s="392"/>
      <c r="JE6" s="392"/>
      <c r="JF6" s="392"/>
      <c r="JG6" s="392"/>
      <c r="JH6" s="392"/>
      <c r="JI6" s="393">
        <f t="shared" si="0"/>
        <v>0</v>
      </c>
      <c r="JJ6" s="2">
        <v>5654</v>
      </c>
      <c r="JK6" s="392">
        <f t="shared" si="1"/>
        <v>0</v>
      </c>
      <c r="JL6" s="284"/>
      <c r="JM6" s="394"/>
      <c r="JN6" s="284"/>
      <c r="JO6" s="284"/>
      <c r="JP6" s="394"/>
      <c r="JQ6" s="170"/>
    </row>
    <row r="7" spans="1:277" x14ac:dyDescent="0.3">
      <c r="A7" s="392"/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2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392"/>
      <c r="AV7" s="392"/>
      <c r="AW7" s="392"/>
      <c r="AX7" s="392"/>
      <c r="AY7" s="392"/>
      <c r="AZ7" s="392"/>
      <c r="BA7" s="392"/>
      <c r="BB7" s="392"/>
      <c r="BC7" s="392"/>
      <c r="BD7" s="392"/>
      <c r="BE7" s="392"/>
      <c r="BF7" s="392"/>
      <c r="BG7" s="392"/>
      <c r="BH7" s="392"/>
      <c r="BI7" s="392"/>
      <c r="BJ7" s="392"/>
      <c r="BK7" s="392"/>
      <c r="BL7" s="392"/>
      <c r="BM7" s="392"/>
      <c r="BN7" s="392"/>
      <c r="BO7" s="392"/>
      <c r="BP7" s="392"/>
      <c r="BQ7" s="392"/>
      <c r="BR7" s="392"/>
      <c r="BS7" s="392"/>
      <c r="BT7" s="392"/>
      <c r="BU7" s="392"/>
      <c r="BV7" s="392"/>
      <c r="BW7" s="392"/>
      <c r="BX7" s="392"/>
      <c r="BY7" s="392"/>
      <c r="BZ7" s="392"/>
      <c r="CA7" s="392"/>
      <c r="CB7" s="392"/>
      <c r="CC7" s="392"/>
      <c r="CD7" s="392"/>
      <c r="CE7" s="392"/>
      <c r="CF7" s="392"/>
      <c r="CG7" s="392"/>
      <c r="CH7" s="392"/>
      <c r="CI7" s="392"/>
      <c r="CJ7" s="392"/>
      <c r="CK7" s="392"/>
      <c r="CL7" s="392"/>
      <c r="CM7" s="392"/>
      <c r="CN7" s="392"/>
      <c r="CO7" s="392"/>
      <c r="CP7" s="392"/>
      <c r="CQ7" s="392"/>
      <c r="CR7" s="392"/>
      <c r="CS7" s="392"/>
      <c r="CT7" s="392"/>
      <c r="CU7" s="392"/>
      <c r="CV7" s="392"/>
      <c r="CW7" s="392"/>
      <c r="CX7" s="392"/>
      <c r="CY7" s="392"/>
      <c r="CZ7" s="392"/>
      <c r="DA7" s="392"/>
      <c r="DB7" s="392"/>
      <c r="DC7" s="392"/>
      <c r="DD7" s="392"/>
      <c r="DE7" s="392"/>
      <c r="DF7" s="392"/>
      <c r="DG7" s="392"/>
      <c r="DH7" s="392"/>
      <c r="DI7" s="392"/>
      <c r="DJ7" s="392"/>
      <c r="DK7" s="392"/>
      <c r="DL7" s="392"/>
      <c r="DM7" s="392"/>
      <c r="DN7" s="392"/>
      <c r="DO7" s="392"/>
      <c r="DP7" s="392"/>
      <c r="DQ7" s="392"/>
      <c r="DR7" s="392"/>
      <c r="DS7" s="392"/>
      <c r="DT7" s="392"/>
      <c r="DU7" s="392"/>
      <c r="DV7" s="392"/>
      <c r="DW7" s="392"/>
      <c r="DX7" s="392"/>
      <c r="DY7" s="392"/>
      <c r="DZ7" s="392"/>
      <c r="EA7" s="392"/>
      <c r="EB7" s="392"/>
      <c r="EC7" s="392"/>
      <c r="ED7" s="392"/>
      <c r="EE7" s="392"/>
      <c r="EF7" s="392"/>
      <c r="EG7" s="392"/>
      <c r="EH7" s="392"/>
      <c r="EI7" s="392"/>
      <c r="EJ7" s="392"/>
      <c r="EK7" s="392"/>
      <c r="EL7" s="392"/>
      <c r="EM7" s="392"/>
      <c r="EN7" s="392"/>
      <c r="EO7" s="392"/>
      <c r="EP7" s="392"/>
      <c r="EQ7" s="392"/>
      <c r="ER7" s="392"/>
      <c r="ES7" s="392"/>
      <c r="ET7" s="392"/>
      <c r="EU7" s="392"/>
      <c r="EV7" s="392"/>
      <c r="EW7" s="392"/>
      <c r="EX7" s="392"/>
      <c r="EY7" s="392"/>
      <c r="EZ7" s="392"/>
      <c r="FA7" s="392"/>
      <c r="FB7" s="392"/>
      <c r="FC7" s="392"/>
      <c r="FD7" s="392"/>
      <c r="FE7" s="392"/>
      <c r="FF7" s="392"/>
      <c r="FG7" s="392"/>
      <c r="FH7" s="392"/>
      <c r="FI7" s="392"/>
      <c r="FJ7" s="392"/>
      <c r="FK7" s="392"/>
      <c r="FL7" s="392"/>
      <c r="FM7" s="392"/>
      <c r="FN7" s="392"/>
      <c r="FO7" s="392"/>
      <c r="FP7" s="392"/>
      <c r="FQ7" s="392"/>
      <c r="FR7" s="392"/>
      <c r="FS7" s="392"/>
      <c r="FT7" s="392"/>
      <c r="FU7" s="392"/>
      <c r="FV7" s="392"/>
      <c r="FW7" s="392"/>
      <c r="FX7" s="392"/>
      <c r="FY7" s="392"/>
      <c r="FZ7" s="392"/>
      <c r="GA7" s="392"/>
      <c r="GB7" s="392"/>
      <c r="GC7" s="392"/>
      <c r="GD7" s="392"/>
      <c r="GE7" s="392"/>
      <c r="GF7" s="392"/>
      <c r="GG7" s="392"/>
      <c r="GH7" s="392"/>
      <c r="GI7" s="392"/>
      <c r="GJ7" s="392"/>
      <c r="GK7" s="392"/>
      <c r="GL7" s="392"/>
      <c r="GM7" s="392"/>
      <c r="GN7" s="392"/>
      <c r="GO7" s="392"/>
      <c r="GP7" s="392"/>
      <c r="GQ7" s="392"/>
      <c r="GR7" s="392"/>
      <c r="GS7" s="392"/>
      <c r="GT7" s="392"/>
      <c r="GU7" s="392"/>
      <c r="GV7" s="392"/>
      <c r="GW7" s="392"/>
      <c r="GX7" s="392"/>
      <c r="GY7" s="392"/>
      <c r="GZ7" s="392"/>
      <c r="HA7" s="392"/>
      <c r="HB7" s="392"/>
      <c r="HC7" s="392"/>
      <c r="HD7" s="392"/>
      <c r="HE7" s="392"/>
      <c r="HF7" s="392"/>
      <c r="HG7" s="392"/>
      <c r="HH7" s="392"/>
      <c r="HI7" s="392"/>
      <c r="HJ7" s="392"/>
      <c r="HK7" s="392"/>
      <c r="HL7" s="392"/>
      <c r="HM7" s="392"/>
      <c r="HN7" s="392"/>
      <c r="HO7" s="392"/>
      <c r="HP7" s="392"/>
      <c r="HQ7" s="392"/>
      <c r="HR7" s="392"/>
      <c r="HS7" s="392"/>
      <c r="HT7" s="392"/>
      <c r="HU7" s="392"/>
      <c r="HV7" s="392"/>
      <c r="HW7" s="392"/>
      <c r="HX7" s="392"/>
      <c r="HY7" s="392"/>
      <c r="HZ7" s="392"/>
      <c r="IA7" s="392"/>
      <c r="IB7" s="392"/>
      <c r="IC7" s="392"/>
      <c r="ID7" s="392"/>
      <c r="IE7" s="392"/>
      <c r="IF7" s="392"/>
      <c r="IG7" s="392"/>
      <c r="IH7" s="392"/>
      <c r="II7" s="392"/>
      <c r="IJ7" s="392"/>
      <c r="IK7" s="392"/>
      <c r="IL7" s="392"/>
      <c r="IM7" s="392"/>
      <c r="IN7" s="392"/>
      <c r="IO7" s="392"/>
      <c r="IP7" s="392"/>
      <c r="IQ7" s="392"/>
      <c r="IR7" s="392"/>
      <c r="IS7" s="392"/>
      <c r="IT7" s="392"/>
      <c r="IU7" s="392"/>
      <c r="IV7" s="392"/>
      <c r="IW7" s="392"/>
      <c r="IX7" s="392"/>
      <c r="IY7" s="392"/>
      <c r="IZ7" s="392"/>
      <c r="JA7" s="392"/>
      <c r="JB7" s="392"/>
      <c r="JC7" s="392"/>
      <c r="JD7" s="392"/>
      <c r="JE7" s="392"/>
      <c r="JF7" s="392"/>
      <c r="JG7" s="392"/>
      <c r="JH7" s="392"/>
      <c r="JI7" s="393">
        <f t="shared" si="0"/>
        <v>0</v>
      </c>
      <c r="JJ7" s="2">
        <v>5670</v>
      </c>
      <c r="JK7" s="392">
        <f t="shared" si="1"/>
        <v>0</v>
      </c>
      <c r="JL7" s="284"/>
      <c r="JM7" s="284"/>
      <c r="JN7" s="284"/>
      <c r="JO7" s="284"/>
      <c r="JP7" s="284"/>
      <c r="JQ7" s="170"/>
    </row>
    <row r="8" spans="1:277" x14ac:dyDescent="0.3">
      <c r="A8" s="392"/>
      <c r="B8" s="392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  <c r="Z8" s="392"/>
      <c r="AA8" s="392"/>
      <c r="AB8" s="392"/>
      <c r="AC8" s="392"/>
      <c r="AD8" s="392"/>
      <c r="AE8" s="392"/>
      <c r="AF8" s="392"/>
      <c r="AG8" s="392"/>
      <c r="AH8" s="392"/>
      <c r="AI8" s="392"/>
      <c r="AJ8" s="392"/>
      <c r="AK8" s="392"/>
      <c r="AL8" s="392"/>
      <c r="AM8" s="392"/>
      <c r="AN8" s="392"/>
      <c r="AO8" s="392"/>
      <c r="AP8" s="392"/>
      <c r="AQ8" s="392"/>
      <c r="AR8" s="392"/>
      <c r="AS8" s="392"/>
      <c r="AT8" s="392"/>
      <c r="AU8" s="392"/>
      <c r="AV8" s="392"/>
      <c r="AW8" s="392"/>
      <c r="AX8" s="392"/>
      <c r="AY8" s="392"/>
      <c r="AZ8" s="392"/>
      <c r="BA8" s="392"/>
      <c r="BB8" s="392"/>
      <c r="BC8" s="392"/>
      <c r="BD8" s="392"/>
      <c r="BE8" s="392"/>
      <c r="BF8" s="392"/>
      <c r="BG8" s="392"/>
      <c r="BH8" s="392"/>
      <c r="BI8" s="392"/>
      <c r="BJ8" s="392"/>
      <c r="BK8" s="392"/>
      <c r="BL8" s="392"/>
      <c r="BM8" s="392"/>
      <c r="BN8" s="392"/>
      <c r="BO8" s="392"/>
      <c r="BP8" s="392"/>
      <c r="BQ8" s="392"/>
      <c r="BR8" s="392"/>
      <c r="BS8" s="392"/>
      <c r="BT8" s="392"/>
      <c r="BU8" s="392"/>
      <c r="BV8" s="392"/>
      <c r="BW8" s="392"/>
      <c r="BX8" s="392"/>
      <c r="BY8" s="392"/>
      <c r="BZ8" s="392"/>
      <c r="CA8" s="392"/>
      <c r="CB8" s="392"/>
      <c r="CC8" s="392"/>
      <c r="CD8" s="392"/>
      <c r="CE8" s="392"/>
      <c r="CF8" s="392"/>
      <c r="CG8" s="392"/>
      <c r="CH8" s="392"/>
      <c r="CI8" s="392"/>
      <c r="CJ8" s="392"/>
      <c r="CK8" s="392"/>
      <c r="CL8" s="392"/>
      <c r="CM8" s="392"/>
      <c r="CN8" s="392"/>
      <c r="CO8" s="392"/>
      <c r="CP8" s="392"/>
      <c r="CQ8" s="392"/>
      <c r="CR8" s="392"/>
      <c r="CS8" s="392"/>
      <c r="CT8" s="392"/>
      <c r="CU8" s="392"/>
      <c r="CV8" s="392"/>
      <c r="CW8" s="392"/>
      <c r="CX8" s="392"/>
      <c r="CY8" s="392"/>
      <c r="CZ8" s="392"/>
      <c r="DA8" s="392"/>
      <c r="DB8" s="392"/>
      <c r="DC8" s="392"/>
      <c r="DD8" s="392"/>
      <c r="DE8" s="392"/>
      <c r="DF8" s="392"/>
      <c r="DG8" s="392"/>
      <c r="DH8" s="392"/>
      <c r="DI8" s="392"/>
      <c r="DJ8" s="392"/>
      <c r="DK8" s="392"/>
      <c r="DL8" s="392"/>
      <c r="DM8" s="392"/>
      <c r="DN8" s="392"/>
      <c r="DO8" s="392"/>
      <c r="DP8" s="392"/>
      <c r="DQ8" s="392"/>
      <c r="DR8" s="392"/>
      <c r="DS8" s="392"/>
      <c r="DT8" s="392"/>
      <c r="DU8" s="392"/>
      <c r="DV8" s="392"/>
      <c r="DW8" s="392"/>
      <c r="DX8" s="392"/>
      <c r="DY8" s="392"/>
      <c r="DZ8" s="392"/>
      <c r="EA8" s="392"/>
      <c r="EB8" s="392"/>
      <c r="EC8" s="392"/>
      <c r="ED8" s="392"/>
      <c r="EE8" s="392"/>
      <c r="EF8" s="392"/>
      <c r="EG8" s="392"/>
      <c r="EH8" s="392"/>
      <c r="EI8" s="392"/>
      <c r="EJ8" s="392"/>
      <c r="EK8" s="392"/>
      <c r="EL8" s="392"/>
      <c r="EM8" s="392"/>
      <c r="EN8" s="392"/>
      <c r="EO8" s="392"/>
      <c r="EP8" s="392"/>
      <c r="EQ8" s="392"/>
      <c r="ER8" s="392"/>
      <c r="ES8" s="392"/>
      <c r="ET8" s="392"/>
      <c r="EU8" s="392"/>
      <c r="EV8" s="392"/>
      <c r="EW8" s="392"/>
      <c r="EX8" s="392"/>
      <c r="EY8" s="392"/>
      <c r="EZ8" s="392"/>
      <c r="FA8" s="392"/>
      <c r="FB8" s="392"/>
      <c r="FC8" s="392"/>
      <c r="FD8" s="392"/>
      <c r="FE8" s="392"/>
      <c r="FF8" s="392"/>
      <c r="FG8" s="392"/>
      <c r="FH8" s="392"/>
      <c r="FI8" s="392"/>
      <c r="FJ8" s="392"/>
      <c r="FK8" s="392"/>
      <c r="FL8" s="392"/>
      <c r="FM8" s="392"/>
      <c r="FN8" s="392"/>
      <c r="FO8" s="392"/>
      <c r="FP8" s="392"/>
      <c r="FQ8" s="392"/>
      <c r="FR8" s="392"/>
      <c r="FS8" s="392"/>
      <c r="FT8" s="392"/>
      <c r="FU8" s="392"/>
      <c r="FV8" s="392"/>
      <c r="FW8" s="392"/>
      <c r="FX8" s="392"/>
      <c r="FY8" s="392"/>
      <c r="FZ8" s="392"/>
      <c r="GA8" s="392"/>
      <c r="GB8" s="392"/>
      <c r="GC8" s="392"/>
      <c r="GD8" s="392"/>
      <c r="GE8" s="392"/>
      <c r="GF8" s="392"/>
      <c r="GG8" s="392"/>
      <c r="GH8" s="392"/>
      <c r="GI8" s="392"/>
      <c r="GJ8" s="392"/>
      <c r="GK8" s="392"/>
      <c r="GL8" s="392"/>
      <c r="GM8" s="392"/>
      <c r="GN8" s="392"/>
      <c r="GO8" s="392"/>
      <c r="GP8" s="392"/>
      <c r="GQ8" s="392"/>
      <c r="GR8" s="392"/>
      <c r="GS8" s="392"/>
      <c r="GT8" s="392"/>
      <c r="GU8" s="392"/>
      <c r="GV8" s="392"/>
      <c r="GW8" s="392"/>
      <c r="GX8" s="392"/>
      <c r="GY8" s="392"/>
      <c r="GZ8" s="392"/>
      <c r="HA8" s="392"/>
      <c r="HB8" s="392"/>
      <c r="HC8" s="392"/>
      <c r="HD8" s="392"/>
      <c r="HE8" s="392"/>
      <c r="HF8" s="392"/>
      <c r="HG8" s="392"/>
      <c r="HH8" s="392"/>
      <c r="HI8" s="392"/>
      <c r="HJ8" s="392"/>
      <c r="HK8" s="392"/>
      <c r="HL8" s="392"/>
      <c r="HM8" s="392"/>
      <c r="HN8" s="392"/>
      <c r="HO8" s="392"/>
      <c r="HP8" s="392"/>
      <c r="HQ8" s="392"/>
      <c r="HR8" s="392"/>
      <c r="HS8" s="392"/>
      <c r="HT8" s="392"/>
      <c r="HU8" s="392"/>
      <c r="HV8" s="392"/>
      <c r="HW8" s="392"/>
      <c r="HX8" s="392"/>
      <c r="HY8" s="392"/>
      <c r="HZ8" s="392"/>
      <c r="IA8" s="392"/>
      <c r="IB8" s="392"/>
      <c r="IC8" s="392"/>
      <c r="ID8" s="392"/>
      <c r="IE8" s="392"/>
      <c r="IF8" s="392"/>
      <c r="IG8" s="392"/>
      <c r="IH8" s="392"/>
      <c r="II8" s="392"/>
      <c r="IJ8" s="392"/>
      <c r="IK8" s="392"/>
      <c r="IL8" s="392"/>
      <c r="IM8" s="392"/>
      <c r="IN8" s="392"/>
      <c r="IO8" s="392"/>
      <c r="IP8" s="392"/>
      <c r="IQ8" s="392"/>
      <c r="IR8" s="392"/>
      <c r="IS8" s="392"/>
      <c r="IT8" s="392"/>
      <c r="IU8" s="392"/>
      <c r="IV8" s="392"/>
      <c r="IW8" s="392"/>
      <c r="IX8" s="392"/>
      <c r="IY8" s="392"/>
      <c r="IZ8" s="392"/>
      <c r="JA8" s="392"/>
      <c r="JB8" s="392"/>
      <c r="JC8" s="392"/>
      <c r="JD8" s="392"/>
      <c r="JE8" s="392"/>
      <c r="JF8" s="392"/>
      <c r="JG8" s="392"/>
      <c r="JH8" s="392"/>
      <c r="JI8" s="393">
        <f t="shared" si="0"/>
        <v>0</v>
      </c>
      <c r="JJ8" s="2">
        <v>5671</v>
      </c>
      <c r="JK8" s="392">
        <f t="shared" si="1"/>
        <v>0</v>
      </c>
      <c r="JL8" s="284"/>
      <c r="JM8" s="284"/>
      <c r="JN8" s="284"/>
      <c r="JO8" s="284"/>
      <c r="JP8" s="284"/>
      <c r="JQ8" s="170"/>
    </row>
    <row r="9" spans="1:277" x14ac:dyDescent="0.3">
      <c r="A9" s="392"/>
      <c r="B9" s="392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392"/>
      <c r="AJ9" s="392"/>
      <c r="AK9" s="392"/>
      <c r="AL9" s="392"/>
      <c r="AM9" s="392"/>
      <c r="AN9" s="392"/>
      <c r="AO9" s="392"/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2"/>
      <c r="BN9" s="392"/>
      <c r="BO9" s="392"/>
      <c r="BP9" s="392"/>
      <c r="BQ9" s="392"/>
      <c r="BR9" s="392"/>
      <c r="BS9" s="392"/>
      <c r="BT9" s="392"/>
      <c r="BU9" s="392"/>
      <c r="BV9" s="392"/>
      <c r="BW9" s="392"/>
      <c r="BX9" s="392"/>
      <c r="BY9" s="392"/>
      <c r="BZ9" s="392"/>
      <c r="CA9" s="392"/>
      <c r="CB9" s="392"/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92"/>
      <c r="DN9" s="392"/>
      <c r="DO9" s="392"/>
      <c r="DP9" s="392"/>
      <c r="DQ9" s="392"/>
      <c r="DR9" s="392"/>
      <c r="DS9" s="392"/>
      <c r="DT9" s="392"/>
      <c r="DU9" s="392"/>
      <c r="DV9" s="392"/>
      <c r="DW9" s="392"/>
      <c r="DX9" s="392"/>
      <c r="DY9" s="392"/>
      <c r="DZ9" s="392"/>
      <c r="EA9" s="392"/>
      <c r="EB9" s="392"/>
      <c r="EC9" s="392"/>
      <c r="ED9" s="392"/>
      <c r="EE9" s="392"/>
      <c r="EF9" s="392"/>
      <c r="EG9" s="392"/>
      <c r="EH9" s="392"/>
      <c r="EI9" s="392"/>
      <c r="EJ9" s="392"/>
      <c r="EK9" s="392"/>
      <c r="EL9" s="392"/>
      <c r="EM9" s="392"/>
      <c r="EN9" s="392"/>
      <c r="EO9" s="392"/>
      <c r="EP9" s="392"/>
      <c r="EQ9" s="392"/>
      <c r="ER9" s="392"/>
      <c r="ES9" s="392"/>
      <c r="ET9" s="392"/>
      <c r="EU9" s="392"/>
      <c r="EV9" s="392"/>
      <c r="EW9" s="392"/>
      <c r="EX9" s="392"/>
      <c r="EY9" s="392"/>
      <c r="EZ9" s="392"/>
      <c r="FA9" s="392"/>
      <c r="FB9" s="392"/>
      <c r="FC9" s="392"/>
      <c r="FD9" s="392"/>
      <c r="FE9" s="392"/>
      <c r="FF9" s="392"/>
      <c r="FG9" s="392"/>
      <c r="FH9" s="392"/>
      <c r="FI9" s="392"/>
      <c r="FJ9" s="392"/>
      <c r="FK9" s="392"/>
      <c r="FL9" s="392"/>
      <c r="FM9" s="392"/>
      <c r="FN9" s="392"/>
      <c r="FO9" s="392"/>
      <c r="FP9" s="392"/>
      <c r="FQ9" s="392"/>
      <c r="FR9" s="392"/>
      <c r="FS9" s="392"/>
      <c r="FT9" s="392"/>
      <c r="FU9" s="392"/>
      <c r="FV9" s="392"/>
      <c r="FW9" s="392"/>
      <c r="FX9" s="392"/>
      <c r="FY9" s="392"/>
      <c r="FZ9" s="392"/>
      <c r="GA9" s="392"/>
      <c r="GB9" s="392"/>
      <c r="GC9" s="392"/>
      <c r="GD9" s="392"/>
      <c r="GE9" s="392"/>
      <c r="GF9" s="392"/>
      <c r="GG9" s="392"/>
      <c r="GH9" s="392"/>
      <c r="GI9" s="392"/>
      <c r="GJ9" s="392"/>
      <c r="GK9" s="392"/>
      <c r="GL9" s="392"/>
      <c r="GM9" s="392"/>
      <c r="GN9" s="392"/>
      <c r="GO9" s="392"/>
      <c r="GP9" s="392"/>
      <c r="GQ9" s="392"/>
      <c r="GR9" s="392"/>
      <c r="GS9" s="392"/>
      <c r="GT9" s="392"/>
      <c r="GU9" s="392"/>
      <c r="GV9" s="392"/>
      <c r="GW9" s="392"/>
      <c r="GX9" s="392"/>
      <c r="GY9" s="392"/>
      <c r="GZ9" s="392"/>
      <c r="HA9" s="392"/>
      <c r="HB9" s="392"/>
      <c r="HC9" s="392"/>
      <c r="HD9" s="392"/>
      <c r="HE9" s="392"/>
      <c r="HF9" s="392"/>
      <c r="HG9" s="392"/>
      <c r="HH9" s="392"/>
      <c r="HI9" s="392"/>
      <c r="HJ9" s="392"/>
      <c r="HK9" s="392"/>
      <c r="HL9" s="392"/>
      <c r="HM9" s="392"/>
      <c r="HN9" s="392"/>
      <c r="HO9" s="392"/>
      <c r="HP9" s="392"/>
      <c r="HQ9" s="392"/>
      <c r="HR9" s="392"/>
      <c r="HS9" s="392"/>
      <c r="HT9" s="392"/>
      <c r="HU9" s="392"/>
      <c r="HV9" s="392"/>
      <c r="HW9" s="392"/>
      <c r="HX9" s="392"/>
      <c r="HY9" s="392"/>
      <c r="HZ9" s="392"/>
      <c r="IA9" s="392"/>
      <c r="IB9" s="392"/>
      <c r="IC9" s="392"/>
      <c r="ID9" s="392"/>
      <c r="IE9" s="392"/>
      <c r="IF9" s="392"/>
      <c r="IG9" s="392"/>
      <c r="IH9" s="392"/>
      <c r="II9" s="392"/>
      <c r="IJ9" s="392"/>
      <c r="IK9" s="392"/>
      <c r="IL9" s="392"/>
      <c r="IM9" s="392"/>
      <c r="IN9" s="392"/>
      <c r="IO9" s="392"/>
      <c r="IP9" s="392"/>
      <c r="IQ9" s="392"/>
      <c r="IR9" s="392"/>
      <c r="IS9" s="392"/>
      <c r="IT9" s="392"/>
      <c r="IU9" s="392"/>
      <c r="IV9" s="392"/>
      <c r="IW9" s="392"/>
      <c r="IX9" s="392"/>
      <c r="IY9" s="392"/>
      <c r="IZ9" s="392"/>
      <c r="JA9" s="392"/>
      <c r="JB9" s="392"/>
      <c r="JC9" s="392"/>
      <c r="JD9" s="392"/>
      <c r="JE9" s="392"/>
      <c r="JF9" s="392"/>
      <c r="JG9" s="392"/>
      <c r="JH9" s="392"/>
      <c r="JI9" s="393">
        <f t="shared" si="0"/>
        <v>0</v>
      </c>
      <c r="JJ9" s="2">
        <v>5675</v>
      </c>
      <c r="JK9" s="392">
        <f t="shared" si="1"/>
        <v>0</v>
      </c>
      <c r="JL9" s="284"/>
      <c r="JM9" s="284"/>
      <c r="JN9" s="284"/>
      <c r="JO9" s="284"/>
      <c r="JP9" s="284"/>
      <c r="JQ9" s="170"/>
    </row>
    <row r="10" spans="1:277" x14ac:dyDescent="0.3">
      <c r="A10" s="392"/>
      <c r="B10" s="392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2"/>
      <c r="AJ10" s="392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392"/>
      <c r="BY10" s="392"/>
      <c r="BZ10" s="392"/>
      <c r="CA10" s="392"/>
      <c r="CB10" s="392"/>
      <c r="CC10" s="392"/>
      <c r="CD10" s="392"/>
      <c r="CE10" s="392"/>
      <c r="CF10" s="392"/>
      <c r="CG10" s="392"/>
      <c r="CH10" s="392"/>
      <c r="CI10" s="392"/>
      <c r="CJ10" s="392"/>
      <c r="CK10" s="392"/>
      <c r="CL10" s="392"/>
      <c r="CM10" s="392"/>
      <c r="CN10" s="392"/>
      <c r="CO10" s="392"/>
      <c r="CP10" s="392"/>
      <c r="CQ10" s="392"/>
      <c r="CR10" s="392"/>
      <c r="CS10" s="392"/>
      <c r="CT10" s="392"/>
      <c r="CU10" s="392"/>
      <c r="CV10" s="392"/>
      <c r="CW10" s="392"/>
      <c r="CX10" s="392"/>
      <c r="CY10" s="392"/>
      <c r="CZ10" s="392"/>
      <c r="DA10" s="392"/>
      <c r="DB10" s="392"/>
      <c r="DC10" s="392"/>
      <c r="DD10" s="392"/>
      <c r="DE10" s="392"/>
      <c r="DF10" s="392"/>
      <c r="DG10" s="392"/>
      <c r="DH10" s="392"/>
      <c r="DI10" s="392"/>
      <c r="DJ10" s="392"/>
      <c r="DK10" s="392"/>
      <c r="DL10" s="392"/>
      <c r="DM10" s="392"/>
      <c r="DN10" s="392"/>
      <c r="DO10" s="392"/>
      <c r="DP10" s="392"/>
      <c r="DQ10" s="392"/>
      <c r="DR10" s="392"/>
      <c r="DS10" s="392"/>
      <c r="DT10" s="392"/>
      <c r="DU10" s="392"/>
      <c r="DV10" s="392"/>
      <c r="DW10" s="392"/>
      <c r="DX10" s="392"/>
      <c r="DY10" s="392"/>
      <c r="DZ10" s="392"/>
      <c r="EA10" s="392"/>
      <c r="EB10" s="392"/>
      <c r="EC10" s="392"/>
      <c r="ED10" s="392"/>
      <c r="EE10" s="392"/>
      <c r="EF10" s="392"/>
      <c r="EG10" s="392"/>
      <c r="EH10" s="392"/>
      <c r="EI10" s="392"/>
      <c r="EJ10" s="392"/>
      <c r="EK10" s="392"/>
      <c r="EL10" s="392"/>
      <c r="EM10" s="392"/>
      <c r="EN10" s="392"/>
      <c r="EO10" s="392"/>
      <c r="EP10" s="392"/>
      <c r="EQ10" s="392"/>
      <c r="ER10" s="392"/>
      <c r="ES10" s="392"/>
      <c r="ET10" s="392"/>
      <c r="EU10" s="392"/>
      <c r="EV10" s="392"/>
      <c r="EW10" s="392"/>
      <c r="EX10" s="392"/>
      <c r="EY10" s="392"/>
      <c r="EZ10" s="392"/>
      <c r="FA10" s="392"/>
      <c r="FB10" s="392"/>
      <c r="FC10" s="392"/>
      <c r="FD10" s="392"/>
      <c r="FE10" s="392"/>
      <c r="FF10" s="392"/>
      <c r="FG10" s="392"/>
      <c r="FH10" s="392"/>
      <c r="FI10" s="392"/>
      <c r="FJ10" s="392"/>
      <c r="FK10" s="392"/>
      <c r="FL10" s="392"/>
      <c r="FM10" s="392"/>
      <c r="FN10" s="392"/>
      <c r="FO10" s="392"/>
      <c r="FP10" s="392"/>
      <c r="FQ10" s="392"/>
      <c r="FR10" s="392"/>
      <c r="FS10" s="392"/>
      <c r="FT10" s="392"/>
      <c r="FU10" s="392"/>
      <c r="FV10" s="392"/>
      <c r="FW10" s="392"/>
      <c r="FX10" s="392"/>
      <c r="FY10" s="392"/>
      <c r="FZ10" s="392"/>
      <c r="GA10" s="392"/>
      <c r="GB10" s="392"/>
      <c r="GC10" s="392"/>
      <c r="GD10" s="392"/>
      <c r="GE10" s="392"/>
      <c r="GF10" s="392"/>
      <c r="GG10" s="392"/>
      <c r="GH10" s="392"/>
      <c r="GI10" s="392"/>
      <c r="GJ10" s="392"/>
      <c r="GK10" s="392"/>
      <c r="GL10" s="392"/>
      <c r="GM10" s="392"/>
      <c r="GN10" s="392"/>
      <c r="GO10" s="392"/>
      <c r="GP10" s="392"/>
      <c r="GQ10" s="392"/>
      <c r="GR10" s="392"/>
      <c r="GS10" s="392"/>
      <c r="GT10" s="392"/>
      <c r="GU10" s="392"/>
      <c r="GV10" s="392"/>
      <c r="GW10" s="392"/>
      <c r="GX10" s="392"/>
      <c r="GY10" s="392"/>
      <c r="GZ10" s="392"/>
      <c r="HA10" s="392"/>
      <c r="HB10" s="392"/>
      <c r="HC10" s="392"/>
      <c r="HD10" s="392"/>
      <c r="HE10" s="392"/>
      <c r="HF10" s="392"/>
      <c r="HG10" s="392"/>
      <c r="HH10" s="392"/>
      <c r="HI10" s="392"/>
      <c r="HJ10" s="392"/>
      <c r="HK10" s="392"/>
      <c r="HL10" s="392"/>
      <c r="HM10" s="392"/>
      <c r="HN10" s="392"/>
      <c r="HO10" s="392"/>
      <c r="HP10" s="392"/>
      <c r="HQ10" s="392"/>
      <c r="HR10" s="392"/>
      <c r="HS10" s="392"/>
      <c r="HT10" s="392"/>
      <c r="HU10" s="392"/>
      <c r="HV10" s="392"/>
      <c r="HW10" s="392"/>
      <c r="HX10" s="392"/>
      <c r="HY10" s="392"/>
      <c r="HZ10" s="392"/>
      <c r="IA10" s="392"/>
      <c r="IB10" s="392"/>
      <c r="IC10" s="392"/>
      <c r="ID10" s="392"/>
      <c r="IE10" s="392"/>
      <c r="IF10" s="392"/>
      <c r="IG10" s="392"/>
      <c r="IH10" s="392"/>
      <c r="II10" s="392"/>
      <c r="IJ10" s="392"/>
      <c r="IK10" s="392"/>
      <c r="IL10" s="392"/>
      <c r="IM10" s="392"/>
      <c r="IN10" s="392"/>
      <c r="IO10" s="392"/>
      <c r="IP10" s="392"/>
      <c r="IQ10" s="392"/>
      <c r="IR10" s="392"/>
      <c r="IS10" s="392"/>
      <c r="IT10" s="392"/>
      <c r="IU10" s="392"/>
      <c r="IV10" s="392"/>
      <c r="IW10" s="392"/>
      <c r="IX10" s="392"/>
      <c r="IY10" s="392"/>
      <c r="IZ10" s="392"/>
      <c r="JA10" s="392"/>
      <c r="JB10" s="392"/>
      <c r="JC10" s="392"/>
      <c r="JD10" s="392"/>
      <c r="JE10" s="392"/>
      <c r="JF10" s="392"/>
      <c r="JG10" s="392"/>
      <c r="JH10" s="392"/>
      <c r="JI10" s="393">
        <f t="shared" si="0"/>
        <v>0</v>
      </c>
      <c r="JJ10" s="2">
        <v>5680</v>
      </c>
      <c r="JK10" s="392">
        <f t="shared" si="1"/>
        <v>0</v>
      </c>
      <c r="JL10" s="284"/>
      <c r="JM10" s="284"/>
      <c r="JN10" s="284"/>
      <c r="JO10" s="284"/>
      <c r="JP10" s="284"/>
      <c r="JQ10" s="170"/>
    </row>
    <row r="11" spans="1:277" x14ac:dyDescent="0.3">
      <c r="A11" s="392"/>
      <c r="B11" s="392"/>
      <c r="C11" s="392"/>
      <c r="D11" s="392"/>
      <c r="E11" s="392"/>
      <c r="F11" s="392"/>
      <c r="G11" s="392"/>
      <c r="H11" s="392"/>
      <c r="I11" s="392"/>
      <c r="J11" s="392"/>
      <c r="K11" s="392"/>
      <c r="L11" s="392"/>
      <c r="M11" s="392"/>
      <c r="N11" s="392"/>
      <c r="O11" s="392"/>
      <c r="P11" s="392"/>
      <c r="Q11" s="392"/>
      <c r="R11" s="392"/>
      <c r="S11" s="392"/>
      <c r="T11" s="392"/>
      <c r="U11" s="392"/>
      <c r="V11" s="392"/>
      <c r="W11" s="392"/>
      <c r="X11" s="392"/>
      <c r="Y11" s="392"/>
      <c r="Z11" s="392"/>
      <c r="AA11" s="392"/>
      <c r="AB11" s="392"/>
      <c r="AC11" s="392"/>
      <c r="AD11" s="392"/>
      <c r="AE11" s="392"/>
      <c r="AF11" s="392"/>
      <c r="AG11" s="392"/>
      <c r="AH11" s="392"/>
      <c r="AI11" s="392"/>
      <c r="AJ11" s="392"/>
      <c r="AK11" s="392"/>
      <c r="AL11" s="392"/>
      <c r="AM11" s="392"/>
      <c r="AN11" s="392"/>
      <c r="AO11" s="392"/>
      <c r="AP11" s="392"/>
      <c r="AQ11" s="392"/>
      <c r="AR11" s="392"/>
      <c r="AS11" s="392"/>
      <c r="AT11" s="392"/>
      <c r="AU11" s="392"/>
      <c r="AV11" s="392"/>
      <c r="AW11" s="392"/>
      <c r="AX11" s="392"/>
      <c r="AY11" s="392"/>
      <c r="AZ11" s="392"/>
      <c r="BA11" s="392"/>
      <c r="BB11" s="392"/>
      <c r="BC11" s="392"/>
      <c r="BD11" s="392"/>
      <c r="BE11" s="392"/>
      <c r="BF11" s="392"/>
      <c r="BG11" s="392"/>
      <c r="BH11" s="392"/>
      <c r="BI11" s="392"/>
      <c r="BJ11" s="392"/>
      <c r="BK11" s="392"/>
      <c r="BL11" s="392"/>
      <c r="BM11" s="392"/>
      <c r="BN11" s="392"/>
      <c r="BO11" s="392"/>
      <c r="BP11" s="392"/>
      <c r="BQ11" s="392"/>
      <c r="BR11" s="392"/>
      <c r="BS11" s="392"/>
      <c r="BT11" s="392"/>
      <c r="BU11" s="392"/>
      <c r="BV11" s="392"/>
      <c r="BW11" s="392"/>
      <c r="BX11" s="392"/>
      <c r="BY11" s="392"/>
      <c r="BZ11" s="392"/>
      <c r="CA11" s="392"/>
      <c r="CB11" s="392"/>
      <c r="CC11" s="392"/>
      <c r="CD11" s="392"/>
      <c r="CE11" s="392"/>
      <c r="CF11" s="392"/>
      <c r="CG11" s="392"/>
      <c r="CH11" s="392"/>
      <c r="CI11" s="392"/>
      <c r="CJ11" s="392"/>
      <c r="CK11" s="392"/>
      <c r="CL11" s="392"/>
      <c r="CM11" s="392"/>
      <c r="CN11" s="392"/>
      <c r="CO11" s="392"/>
      <c r="CP11" s="392"/>
      <c r="CQ11" s="392"/>
      <c r="CR11" s="392"/>
      <c r="CS11" s="392"/>
      <c r="CT11" s="392"/>
      <c r="CU11" s="392"/>
      <c r="CV11" s="392"/>
      <c r="CW11" s="392"/>
      <c r="CX11" s="392"/>
      <c r="CY11" s="392"/>
      <c r="CZ11" s="392"/>
      <c r="DA11" s="392"/>
      <c r="DB11" s="392"/>
      <c r="DC11" s="392"/>
      <c r="DD11" s="392"/>
      <c r="DE11" s="392"/>
      <c r="DF11" s="392"/>
      <c r="DG11" s="392"/>
      <c r="DH11" s="392"/>
      <c r="DI11" s="392"/>
      <c r="DJ11" s="392"/>
      <c r="DK11" s="392"/>
      <c r="DL11" s="392"/>
      <c r="DM11" s="392"/>
      <c r="DN11" s="392"/>
      <c r="DO11" s="392"/>
      <c r="DP11" s="392"/>
      <c r="DQ11" s="392"/>
      <c r="DR11" s="392"/>
      <c r="DS11" s="392"/>
      <c r="DT11" s="392"/>
      <c r="DU11" s="392"/>
      <c r="DV11" s="392"/>
      <c r="DW11" s="392"/>
      <c r="DX11" s="392"/>
      <c r="DY11" s="392"/>
      <c r="DZ11" s="392"/>
      <c r="EA11" s="392"/>
      <c r="EB11" s="392"/>
      <c r="EC11" s="392"/>
      <c r="ED11" s="392"/>
      <c r="EE11" s="392"/>
      <c r="EF11" s="392"/>
      <c r="EG11" s="392"/>
      <c r="EH11" s="392"/>
      <c r="EI11" s="392"/>
      <c r="EJ11" s="392"/>
      <c r="EK11" s="392"/>
      <c r="EL11" s="392"/>
      <c r="EM11" s="392"/>
      <c r="EN11" s="392"/>
      <c r="EO11" s="392"/>
      <c r="EP11" s="392"/>
      <c r="EQ11" s="392"/>
      <c r="ER11" s="392"/>
      <c r="ES11" s="392"/>
      <c r="ET11" s="392"/>
      <c r="EU11" s="392"/>
      <c r="EV11" s="392"/>
      <c r="EW11" s="392"/>
      <c r="EX11" s="392"/>
      <c r="EY11" s="392"/>
      <c r="EZ11" s="392"/>
      <c r="FA11" s="392"/>
      <c r="FB11" s="392"/>
      <c r="FC11" s="392"/>
      <c r="FD11" s="392"/>
      <c r="FE11" s="392"/>
      <c r="FF11" s="392"/>
      <c r="FG11" s="392"/>
      <c r="FH11" s="392"/>
      <c r="FI11" s="392"/>
      <c r="FJ11" s="392"/>
      <c r="FK11" s="392"/>
      <c r="FL11" s="392"/>
      <c r="FM11" s="392"/>
      <c r="FN11" s="392"/>
      <c r="FO11" s="392"/>
      <c r="FP11" s="392"/>
      <c r="FQ11" s="392"/>
      <c r="FR11" s="392"/>
      <c r="FS11" s="392"/>
      <c r="FT11" s="392"/>
      <c r="FU11" s="392"/>
      <c r="FV11" s="392"/>
      <c r="FW11" s="392"/>
      <c r="FX11" s="392"/>
      <c r="FY11" s="392"/>
      <c r="FZ11" s="392"/>
      <c r="GA11" s="392"/>
      <c r="GB11" s="392"/>
      <c r="GC11" s="392"/>
      <c r="GD11" s="392"/>
      <c r="GE11" s="392"/>
      <c r="GF11" s="392"/>
      <c r="GG11" s="392"/>
      <c r="GH11" s="392"/>
      <c r="GI11" s="392"/>
      <c r="GJ11" s="392"/>
      <c r="GK11" s="392"/>
      <c r="GL11" s="392"/>
      <c r="GM11" s="392"/>
      <c r="GN11" s="392"/>
      <c r="GO11" s="392"/>
      <c r="GP11" s="392"/>
      <c r="GQ11" s="392"/>
      <c r="GR11" s="392"/>
      <c r="GS11" s="392"/>
      <c r="GT11" s="392"/>
      <c r="GU11" s="392"/>
      <c r="GV11" s="392"/>
      <c r="GW11" s="392"/>
      <c r="GX11" s="392"/>
      <c r="GY11" s="392"/>
      <c r="GZ11" s="392"/>
      <c r="HA11" s="392"/>
      <c r="HB11" s="392"/>
      <c r="HC11" s="392"/>
      <c r="HD11" s="392"/>
      <c r="HE11" s="392"/>
      <c r="HF11" s="392"/>
      <c r="HG11" s="392"/>
      <c r="HH11" s="392"/>
      <c r="HI11" s="392"/>
      <c r="HJ11" s="392"/>
      <c r="HK11" s="392"/>
      <c r="HL11" s="392"/>
      <c r="HM11" s="392"/>
      <c r="HN11" s="392"/>
      <c r="HO11" s="392"/>
      <c r="HP11" s="392"/>
      <c r="HQ11" s="392"/>
      <c r="HR11" s="392"/>
      <c r="HS11" s="392"/>
      <c r="HT11" s="392"/>
      <c r="HU11" s="392"/>
      <c r="HV11" s="392"/>
      <c r="HW11" s="392"/>
      <c r="HX11" s="392"/>
      <c r="HY11" s="392"/>
      <c r="HZ11" s="392"/>
      <c r="IA11" s="392"/>
      <c r="IB11" s="392"/>
      <c r="IC11" s="392"/>
      <c r="ID11" s="392"/>
      <c r="IE11" s="392"/>
      <c r="IF11" s="392"/>
      <c r="IG11" s="392"/>
      <c r="IH11" s="392"/>
      <c r="II11" s="392"/>
      <c r="IJ11" s="392"/>
      <c r="IK11" s="392"/>
      <c r="IL11" s="392"/>
      <c r="IM11" s="392"/>
      <c r="IN11" s="392"/>
      <c r="IO11" s="392"/>
      <c r="IP11" s="392"/>
      <c r="IQ11" s="392"/>
      <c r="IR11" s="392"/>
      <c r="IS11" s="392"/>
      <c r="IT11" s="392"/>
      <c r="IU11" s="392"/>
      <c r="IV11" s="392"/>
      <c r="IW11" s="392"/>
      <c r="IX11" s="392"/>
      <c r="IY11" s="392"/>
      <c r="IZ11" s="392"/>
      <c r="JA11" s="392"/>
      <c r="JB11" s="392"/>
      <c r="JC11" s="392"/>
      <c r="JD11" s="392"/>
      <c r="JE11" s="392"/>
      <c r="JF11" s="392"/>
      <c r="JG11" s="392"/>
      <c r="JH11" s="392"/>
      <c r="JI11" s="393">
        <f t="shared" si="0"/>
        <v>0</v>
      </c>
      <c r="JJ11" s="2">
        <v>5682</v>
      </c>
      <c r="JK11" s="392">
        <f t="shared" si="1"/>
        <v>0</v>
      </c>
      <c r="JL11" s="284"/>
      <c r="JM11" s="394"/>
      <c r="JN11" s="284"/>
      <c r="JO11" s="284"/>
      <c r="JP11" s="394"/>
      <c r="JQ11" s="170"/>
    </row>
    <row r="12" spans="1:277" x14ac:dyDescent="0.3">
      <c r="A12" s="392"/>
      <c r="B12" s="392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392"/>
      <c r="AA12" s="392"/>
      <c r="AB12" s="392"/>
      <c r="AC12" s="392"/>
      <c r="AD12" s="392"/>
      <c r="AE12" s="392"/>
      <c r="AF12" s="392"/>
      <c r="AG12" s="392"/>
      <c r="AH12" s="392"/>
      <c r="AI12" s="392"/>
      <c r="AJ12" s="392"/>
      <c r="AK12" s="392"/>
      <c r="AL12" s="392"/>
      <c r="AM12" s="392"/>
      <c r="AN12" s="392"/>
      <c r="AO12" s="392"/>
      <c r="AP12" s="392"/>
      <c r="AQ12" s="392"/>
      <c r="AR12" s="392"/>
      <c r="AS12" s="392"/>
      <c r="AT12" s="392"/>
      <c r="AU12" s="392"/>
      <c r="AV12" s="392"/>
      <c r="AW12" s="392"/>
      <c r="AX12" s="392"/>
      <c r="AY12" s="392"/>
      <c r="AZ12" s="392"/>
      <c r="BA12" s="392"/>
      <c r="BB12" s="392"/>
      <c r="BC12" s="392"/>
      <c r="BD12" s="392"/>
      <c r="BE12" s="392"/>
      <c r="BF12" s="392"/>
      <c r="BG12" s="392"/>
      <c r="BH12" s="392"/>
      <c r="BI12" s="392"/>
      <c r="BJ12" s="392"/>
      <c r="BK12" s="392"/>
      <c r="BL12" s="392"/>
      <c r="BM12" s="392"/>
      <c r="BN12" s="392"/>
      <c r="BO12" s="392"/>
      <c r="BP12" s="392"/>
      <c r="BQ12" s="392"/>
      <c r="BR12" s="392"/>
      <c r="BS12" s="392"/>
      <c r="BT12" s="392"/>
      <c r="BU12" s="392"/>
      <c r="BV12" s="392"/>
      <c r="BW12" s="392"/>
      <c r="BX12" s="392"/>
      <c r="BY12" s="392"/>
      <c r="BZ12" s="392"/>
      <c r="CA12" s="392"/>
      <c r="CB12" s="392"/>
      <c r="CC12" s="392"/>
      <c r="CD12" s="392"/>
      <c r="CE12" s="392"/>
      <c r="CF12" s="392"/>
      <c r="CG12" s="392"/>
      <c r="CH12" s="392"/>
      <c r="CI12" s="392"/>
      <c r="CJ12" s="392"/>
      <c r="CK12" s="392"/>
      <c r="CL12" s="392"/>
      <c r="CM12" s="392"/>
      <c r="CN12" s="392"/>
      <c r="CO12" s="392"/>
      <c r="CP12" s="392"/>
      <c r="CQ12" s="392"/>
      <c r="CR12" s="392"/>
      <c r="CS12" s="392"/>
      <c r="CT12" s="392"/>
      <c r="CU12" s="392"/>
      <c r="CV12" s="392"/>
      <c r="CW12" s="392"/>
      <c r="CX12" s="392"/>
      <c r="CY12" s="392"/>
      <c r="CZ12" s="392"/>
      <c r="DA12" s="392"/>
      <c r="DB12" s="392"/>
      <c r="DC12" s="392"/>
      <c r="DD12" s="392"/>
      <c r="DE12" s="392"/>
      <c r="DF12" s="392"/>
      <c r="DG12" s="392"/>
      <c r="DH12" s="392"/>
      <c r="DI12" s="392"/>
      <c r="DJ12" s="392"/>
      <c r="DK12" s="392"/>
      <c r="DL12" s="392"/>
      <c r="DM12" s="392"/>
      <c r="DN12" s="392"/>
      <c r="DO12" s="392"/>
      <c r="DP12" s="392"/>
      <c r="DQ12" s="392"/>
      <c r="DR12" s="392"/>
      <c r="DS12" s="392"/>
      <c r="DT12" s="392"/>
      <c r="DU12" s="392"/>
      <c r="DV12" s="392"/>
      <c r="DW12" s="392"/>
      <c r="DX12" s="392"/>
      <c r="DY12" s="392"/>
      <c r="DZ12" s="392"/>
      <c r="EA12" s="392"/>
      <c r="EB12" s="392"/>
      <c r="EC12" s="392"/>
      <c r="ED12" s="392"/>
      <c r="EE12" s="392"/>
      <c r="EF12" s="392"/>
      <c r="EG12" s="392"/>
      <c r="EH12" s="392"/>
      <c r="EI12" s="392"/>
      <c r="EJ12" s="392"/>
      <c r="EK12" s="392"/>
      <c r="EL12" s="392"/>
      <c r="EM12" s="392"/>
      <c r="EN12" s="392"/>
      <c r="EO12" s="392"/>
      <c r="EP12" s="392"/>
      <c r="EQ12" s="392"/>
      <c r="ER12" s="392"/>
      <c r="ES12" s="392"/>
      <c r="ET12" s="392"/>
      <c r="EU12" s="392"/>
      <c r="EV12" s="392"/>
      <c r="EW12" s="392"/>
      <c r="EX12" s="392"/>
      <c r="EY12" s="392"/>
      <c r="EZ12" s="392"/>
      <c r="FA12" s="392"/>
      <c r="FB12" s="392"/>
      <c r="FC12" s="392"/>
      <c r="FD12" s="392"/>
      <c r="FE12" s="392"/>
      <c r="FF12" s="392"/>
      <c r="FG12" s="392"/>
      <c r="FH12" s="392"/>
      <c r="FI12" s="392"/>
      <c r="FJ12" s="392"/>
      <c r="FK12" s="392"/>
      <c r="FL12" s="392"/>
      <c r="FM12" s="392"/>
      <c r="FN12" s="392"/>
      <c r="FO12" s="392"/>
      <c r="FP12" s="392"/>
      <c r="FQ12" s="392"/>
      <c r="FR12" s="392"/>
      <c r="FS12" s="392"/>
      <c r="FT12" s="392"/>
      <c r="FU12" s="392"/>
      <c r="FV12" s="392"/>
      <c r="FW12" s="392"/>
      <c r="FX12" s="392"/>
      <c r="FY12" s="392"/>
      <c r="FZ12" s="392"/>
      <c r="GA12" s="392"/>
      <c r="GB12" s="392"/>
      <c r="GC12" s="392"/>
      <c r="GD12" s="392"/>
      <c r="GE12" s="392"/>
      <c r="GF12" s="392"/>
      <c r="GG12" s="392"/>
      <c r="GH12" s="392"/>
      <c r="GI12" s="392"/>
      <c r="GJ12" s="392"/>
      <c r="GK12" s="392"/>
      <c r="GL12" s="392"/>
      <c r="GM12" s="392"/>
      <c r="GN12" s="392"/>
      <c r="GO12" s="392"/>
      <c r="GP12" s="392"/>
      <c r="GQ12" s="392"/>
      <c r="GR12" s="392"/>
      <c r="GS12" s="392"/>
      <c r="GT12" s="392"/>
      <c r="GU12" s="392"/>
      <c r="GV12" s="392"/>
      <c r="GW12" s="392"/>
      <c r="GX12" s="392"/>
      <c r="GY12" s="392"/>
      <c r="GZ12" s="392"/>
      <c r="HA12" s="392"/>
      <c r="HB12" s="392"/>
      <c r="HC12" s="392"/>
      <c r="HD12" s="392"/>
      <c r="HE12" s="392"/>
      <c r="HF12" s="392"/>
      <c r="HG12" s="392"/>
      <c r="HH12" s="392"/>
      <c r="HI12" s="392"/>
      <c r="HJ12" s="392"/>
      <c r="HK12" s="392"/>
      <c r="HL12" s="392"/>
      <c r="HM12" s="392"/>
      <c r="HN12" s="392"/>
      <c r="HO12" s="392"/>
      <c r="HP12" s="392"/>
      <c r="HQ12" s="392"/>
      <c r="HR12" s="392"/>
      <c r="HS12" s="392"/>
      <c r="HT12" s="392"/>
      <c r="HU12" s="392"/>
      <c r="HV12" s="392"/>
      <c r="HW12" s="392"/>
      <c r="HX12" s="392"/>
      <c r="HY12" s="392"/>
      <c r="HZ12" s="392"/>
      <c r="IA12" s="392"/>
      <c r="IB12" s="392"/>
      <c r="IC12" s="392"/>
      <c r="ID12" s="392"/>
      <c r="IE12" s="392"/>
      <c r="IF12" s="392"/>
      <c r="IG12" s="392"/>
      <c r="IH12" s="392"/>
      <c r="II12" s="392"/>
      <c r="IJ12" s="392"/>
      <c r="IK12" s="392"/>
      <c r="IL12" s="392"/>
      <c r="IM12" s="392"/>
      <c r="IN12" s="392"/>
      <c r="IO12" s="392"/>
      <c r="IP12" s="392"/>
      <c r="IQ12" s="392"/>
      <c r="IR12" s="392"/>
      <c r="IS12" s="392"/>
      <c r="IT12" s="392"/>
      <c r="IU12" s="392"/>
      <c r="IV12" s="392"/>
      <c r="IW12" s="392"/>
      <c r="IX12" s="392"/>
      <c r="IY12" s="392"/>
      <c r="IZ12" s="392"/>
      <c r="JA12" s="392"/>
      <c r="JB12" s="392"/>
      <c r="JC12" s="392"/>
      <c r="JD12" s="392"/>
      <c r="JE12" s="392"/>
      <c r="JF12" s="392"/>
      <c r="JG12" s="392"/>
      <c r="JH12" s="392"/>
      <c r="JI12" s="393">
        <f t="shared" si="0"/>
        <v>0</v>
      </c>
      <c r="JJ12" s="2">
        <v>5683</v>
      </c>
      <c r="JK12" s="392">
        <f t="shared" si="1"/>
        <v>0</v>
      </c>
      <c r="JL12" s="284"/>
      <c r="JM12" s="284"/>
      <c r="JN12" s="284"/>
      <c r="JO12" s="284"/>
      <c r="JP12" s="284"/>
      <c r="JQ12" s="170"/>
    </row>
    <row r="13" spans="1:277" x14ac:dyDescent="0.3">
      <c r="A13" s="392"/>
      <c r="B13" s="392"/>
      <c r="C13" s="392"/>
      <c r="D13" s="392"/>
      <c r="E13" s="392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  <c r="Z13" s="392"/>
      <c r="AA13" s="392"/>
      <c r="AB13" s="392"/>
      <c r="AC13" s="392"/>
      <c r="AD13" s="392"/>
      <c r="AE13" s="392"/>
      <c r="AF13" s="392"/>
      <c r="AG13" s="392"/>
      <c r="AH13" s="392"/>
      <c r="AI13" s="392"/>
      <c r="AJ13" s="392"/>
      <c r="AK13" s="392"/>
      <c r="AL13" s="392"/>
      <c r="AM13" s="392"/>
      <c r="AN13" s="392"/>
      <c r="AO13" s="392"/>
      <c r="AP13" s="392"/>
      <c r="AQ13" s="392"/>
      <c r="AR13" s="392"/>
      <c r="AS13" s="392"/>
      <c r="AT13" s="392"/>
      <c r="AU13" s="392"/>
      <c r="AV13" s="392"/>
      <c r="AW13" s="392"/>
      <c r="AX13" s="392"/>
      <c r="AY13" s="392"/>
      <c r="AZ13" s="392"/>
      <c r="BA13" s="392"/>
      <c r="BB13" s="392"/>
      <c r="BC13" s="392"/>
      <c r="BD13" s="392"/>
      <c r="BE13" s="392"/>
      <c r="BF13" s="392"/>
      <c r="BG13" s="392"/>
      <c r="BH13" s="392"/>
      <c r="BI13" s="392"/>
      <c r="BJ13" s="392"/>
      <c r="BK13" s="392"/>
      <c r="BL13" s="392"/>
      <c r="BM13" s="392"/>
      <c r="BN13" s="392"/>
      <c r="BO13" s="392"/>
      <c r="BP13" s="392"/>
      <c r="BQ13" s="392"/>
      <c r="BR13" s="392"/>
      <c r="BS13" s="392"/>
      <c r="BT13" s="392"/>
      <c r="BU13" s="392"/>
      <c r="BV13" s="392"/>
      <c r="BW13" s="392"/>
      <c r="BX13" s="392"/>
      <c r="BY13" s="392"/>
      <c r="BZ13" s="392"/>
      <c r="CA13" s="392"/>
      <c r="CB13" s="392"/>
      <c r="CC13" s="392"/>
      <c r="CD13" s="392"/>
      <c r="CE13" s="392"/>
      <c r="CF13" s="392"/>
      <c r="CG13" s="392"/>
      <c r="CH13" s="392"/>
      <c r="CI13" s="392"/>
      <c r="CJ13" s="392"/>
      <c r="CK13" s="392"/>
      <c r="CL13" s="392"/>
      <c r="CM13" s="392"/>
      <c r="CN13" s="392"/>
      <c r="CO13" s="392"/>
      <c r="CP13" s="392"/>
      <c r="CQ13" s="392"/>
      <c r="CR13" s="392"/>
      <c r="CS13" s="392"/>
      <c r="CT13" s="392"/>
      <c r="CU13" s="392"/>
      <c r="CV13" s="392"/>
      <c r="CW13" s="392"/>
      <c r="CX13" s="392"/>
      <c r="CY13" s="392"/>
      <c r="CZ13" s="392"/>
      <c r="DA13" s="392"/>
      <c r="DB13" s="392"/>
      <c r="DC13" s="392"/>
      <c r="DD13" s="392"/>
      <c r="DE13" s="392"/>
      <c r="DF13" s="392"/>
      <c r="DG13" s="392"/>
      <c r="DH13" s="392"/>
      <c r="DI13" s="392"/>
      <c r="DJ13" s="392"/>
      <c r="DK13" s="392"/>
      <c r="DL13" s="392"/>
      <c r="DM13" s="392"/>
      <c r="DN13" s="392"/>
      <c r="DO13" s="392"/>
      <c r="DP13" s="392"/>
      <c r="DQ13" s="392"/>
      <c r="DR13" s="392"/>
      <c r="DS13" s="392"/>
      <c r="DT13" s="392"/>
      <c r="DU13" s="392"/>
      <c r="DV13" s="392"/>
      <c r="DW13" s="392"/>
      <c r="DX13" s="392"/>
      <c r="DY13" s="392"/>
      <c r="DZ13" s="392"/>
      <c r="EA13" s="392"/>
      <c r="EB13" s="392"/>
      <c r="EC13" s="392"/>
      <c r="ED13" s="392"/>
      <c r="EE13" s="392"/>
      <c r="EF13" s="392"/>
      <c r="EG13" s="392"/>
      <c r="EH13" s="392"/>
      <c r="EI13" s="392"/>
      <c r="EJ13" s="392"/>
      <c r="EK13" s="392"/>
      <c r="EL13" s="392"/>
      <c r="EM13" s="392"/>
      <c r="EN13" s="392"/>
      <c r="EO13" s="392"/>
      <c r="EP13" s="392"/>
      <c r="EQ13" s="392"/>
      <c r="ER13" s="392"/>
      <c r="ES13" s="392"/>
      <c r="ET13" s="392"/>
      <c r="EU13" s="392"/>
      <c r="EV13" s="392"/>
      <c r="EW13" s="392"/>
      <c r="EX13" s="392"/>
      <c r="EY13" s="392"/>
      <c r="EZ13" s="392"/>
      <c r="FA13" s="392"/>
      <c r="FB13" s="392"/>
      <c r="FC13" s="392"/>
      <c r="FD13" s="392"/>
      <c r="FE13" s="392"/>
      <c r="FF13" s="392"/>
      <c r="FG13" s="392"/>
      <c r="FH13" s="392"/>
      <c r="FI13" s="392"/>
      <c r="FJ13" s="392"/>
      <c r="FK13" s="392"/>
      <c r="FL13" s="392"/>
      <c r="FM13" s="392"/>
      <c r="FN13" s="392"/>
      <c r="FO13" s="392"/>
      <c r="FP13" s="392"/>
      <c r="FQ13" s="392"/>
      <c r="FR13" s="392"/>
      <c r="FS13" s="392"/>
      <c r="FT13" s="392"/>
      <c r="FU13" s="392"/>
      <c r="FV13" s="392"/>
      <c r="FW13" s="392"/>
      <c r="FX13" s="392"/>
      <c r="FY13" s="392"/>
      <c r="FZ13" s="392"/>
      <c r="GA13" s="392"/>
      <c r="GB13" s="392"/>
      <c r="GC13" s="392"/>
      <c r="GD13" s="392"/>
      <c r="GE13" s="392"/>
      <c r="GF13" s="392"/>
      <c r="GG13" s="392"/>
      <c r="GH13" s="392"/>
      <c r="GI13" s="392"/>
      <c r="GJ13" s="392"/>
      <c r="GK13" s="392"/>
      <c r="GL13" s="392"/>
      <c r="GM13" s="392"/>
      <c r="GN13" s="392"/>
      <c r="GO13" s="392"/>
      <c r="GP13" s="392"/>
      <c r="GQ13" s="392"/>
      <c r="GR13" s="392"/>
      <c r="GS13" s="392"/>
      <c r="GT13" s="392"/>
      <c r="GU13" s="392"/>
      <c r="GV13" s="392"/>
      <c r="GW13" s="392"/>
      <c r="GX13" s="392"/>
      <c r="GY13" s="392"/>
      <c r="GZ13" s="392"/>
      <c r="HA13" s="392"/>
      <c r="HB13" s="392"/>
      <c r="HC13" s="392"/>
      <c r="HD13" s="392"/>
      <c r="HE13" s="392"/>
      <c r="HF13" s="392"/>
      <c r="HG13" s="392"/>
      <c r="HH13" s="392"/>
      <c r="HI13" s="392"/>
      <c r="HJ13" s="392"/>
      <c r="HK13" s="392"/>
      <c r="HL13" s="392"/>
      <c r="HM13" s="392"/>
      <c r="HN13" s="392"/>
      <c r="HO13" s="392"/>
      <c r="HP13" s="392"/>
      <c r="HQ13" s="392"/>
      <c r="HR13" s="392"/>
      <c r="HS13" s="392"/>
      <c r="HT13" s="392"/>
      <c r="HU13" s="392"/>
      <c r="HV13" s="392"/>
      <c r="HW13" s="392"/>
      <c r="HX13" s="392"/>
      <c r="HY13" s="392"/>
      <c r="HZ13" s="392"/>
      <c r="IA13" s="392"/>
      <c r="IB13" s="392"/>
      <c r="IC13" s="392"/>
      <c r="ID13" s="392"/>
      <c r="IE13" s="392"/>
      <c r="IF13" s="392"/>
      <c r="IG13" s="392"/>
      <c r="IH13" s="392"/>
      <c r="II13" s="392"/>
      <c r="IJ13" s="392"/>
      <c r="IK13" s="392"/>
      <c r="IL13" s="392"/>
      <c r="IM13" s="392"/>
      <c r="IN13" s="392"/>
      <c r="IO13" s="392"/>
      <c r="IP13" s="392"/>
      <c r="IQ13" s="392"/>
      <c r="IR13" s="392"/>
      <c r="IS13" s="392"/>
      <c r="IT13" s="392"/>
      <c r="IU13" s="392"/>
      <c r="IV13" s="392"/>
      <c r="IW13" s="392"/>
      <c r="IX13" s="392"/>
      <c r="IY13" s="392"/>
      <c r="IZ13" s="392"/>
      <c r="JA13" s="392"/>
      <c r="JB13" s="392"/>
      <c r="JC13" s="392"/>
      <c r="JD13" s="392"/>
      <c r="JE13" s="392"/>
      <c r="JF13" s="392"/>
      <c r="JG13" s="392"/>
      <c r="JH13" s="392"/>
      <c r="JI13" s="393">
        <f t="shared" si="0"/>
        <v>0</v>
      </c>
      <c r="JJ13" s="2">
        <v>5687</v>
      </c>
      <c r="JK13" s="392">
        <f t="shared" si="1"/>
        <v>0</v>
      </c>
      <c r="JL13" s="284"/>
      <c r="JM13" s="284"/>
      <c r="JN13" s="284"/>
      <c r="JO13" s="284"/>
      <c r="JP13" s="284"/>
      <c r="JQ13" s="170"/>
    </row>
    <row r="14" spans="1:277" x14ac:dyDescent="0.3">
      <c r="A14" s="392"/>
      <c r="B14" s="392"/>
      <c r="C14" s="392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2"/>
      <c r="AF14" s="392"/>
      <c r="AG14" s="392"/>
      <c r="AH14" s="392"/>
      <c r="AI14" s="392"/>
      <c r="AJ14" s="392"/>
      <c r="AK14" s="392"/>
      <c r="AL14" s="392"/>
      <c r="AM14" s="392"/>
      <c r="AN14" s="392"/>
      <c r="AO14" s="392"/>
      <c r="AP14" s="392"/>
      <c r="AQ14" s="392"/>
      <c r="AR14" s="392"/>
      <c r="AS14" s="392"/>
      <c r="AT14" s="392"/>
      <c r="AU14" s="392"/>
      <c r="AV14" s="392"/>
      <c r="AW14" s="392"/>
      <c r="AX14" s="392"/>
      <c r="AY14" s="392"/>
      <c r="AZ14" s="392"/>
      <c r="BA14" s="392"/>
      <c r="BB14" s="392"/>
      <c r="BC14" s="392"/>
      <c r="BD14" s="392"/>
      <c r="BE14" s="392"/>
      <c r="BF14" s="392"/>
      <c r="BG14" s="392"/>
      <c r="BH14" s="392"/>
      <c r="BI14" s="392"/>
      <c r="BJ14" s="392"/>
      <c r="BK14" s="392"/>
      <c r="BL14" s="392"/>
      <c r="BM14" s="392"/>
      <c r="BN14" s="392"/>
      <c r="BO14" s="392"/>
      <c r="BP14" s="392"/>
      <c r="BQ14" s="392"/>
      <c r="BR14" s="392"/>
      <c r="BS14" s="392"/>
      <c r="BT14" s="392"/>
      <c r="BU14" s="392"/>
      <c r="BV14" s="392"/>
      <c r="BW14" s="392"/>
      <c r="BX14" s="392"/>
      <c r="BY14" s="392"/>
      <c r="BZ14" s="392"/>
      <c r="CA14" s="392"/>
      <c r="CB14" s="392"/>
      <c r="CC14" s="392"/>
      <c r="CD14" s="392"/>
      <c r="CE14" s="392"/>
      <c r="CF14" s="392"/>
      <c r="CG14" s="392"/>
      <c r="CH14" s="392"/>
      <c r="CI14" s="392"/>
      <c r="CJ14" s="392"/>
      <c r="CK14" s="392"/>
      <c r="CL14" s="392"/>
      <c r="CM14" s="392"/>
      <c r="CN14" s="392"/>
      <c r="CO14" s="392"/>
      <c r="CP14" s="392"/>
      <c r="CQ14" s="392"/>
      <c r="CR14" s="392"/>
      <c r="CS14" s="392"/>
      <c r="CT14" s="392"/>
      <c r="CU14" s="392"/>
      <c r="CV14" s="392"/>
      <c r="CW14" s="392"/>
      <c r="CX14" s="392"/>
      <c r="CY14" s="392"/>
      <c r="CZ14" s="392"/>
      <c r="DA14" s="392"/>
      <c r="DB14" s="392"/>
      <c r="DC14" s="392"/>
      <c r="DD14" s="392"/>
      <c r="DE14" s="392"/>
      <c r="DF14" s="392"/>
      <c r="DG14" s="392"/>
      <c r="DH14" s="392"/>
      <c r="DI14" s="392"/>
      <c r="DJ14" s="392"/>
      <c r="DK14" s="392"/>
      <c r="DL14" s="392"/>
      <c r="DM14" s="392"/>
      <c r="DN14" s="392"/>
      <c r="DO14" s="392"/>
      <c r="DP14" s="392"/>
      <c r="DQ14" s="392"/>
      <c r="DR14" s="392"/>
      <c r="DS14" s="392"/>
      <c r="DT14" s="392"/>
      <c r="DU14" s="392"/>
      <c r="DV14" s="392"/>
      <c r="DW14" s="392"/>
      <c r="DX14" s="392"/>
      <c r="DY14" s="392"/>
      <c r="DZ14" s="392"/>
      <c r="EA14" s="392"/>
      <c r="EB14" s="392"/>
      <c r="EC14" s="392"/>
      <c r="ED14" s="392"/>
      <c r="EE14" s="392"/>
      <c r="EF14" s="392"/>
      <c r="EG14" s="392"/>
      <c r="EH14" s="392"/>
      <c r="EI14" s="392"/>
      <c r="EJ14" s="392"/>
      <c r="EK14" s="392"/>
      <c r="EL14" s="392"/>
      <c r="EM14" s="392"/>
      <c r="EN14" s="392"/>
      <c r="EO14" s="392"/>
      <c r="EP14" s="392"/>
      <c r="EQ14" s="392"/>
      <c r="ER14" s="392"/>
      <c r="ES14" s="392"/>
      <c r="ET14" s="392"/>
      <c r="EU14" s="392"/>
      <c r="EV14" s="392"/>
      <c r="EW14" s="392"/>
      <c r="EX14" s="392"/>
      <c r="EY14" s="392"/>
      <c r="EZ14" s="392"/>
      <c r="FA14" s="392"/>
      <c r="FB14" s="392"/>
      <c r="FC14" s="392"/>
      <c r="FD14" s="392"/>
      <c r="FE14" s="392"/>
      <c r="FF14" s="392"/>
      <c r="FG14" s="392"/>
      <c r="FH14" s="392"/>
      <c r="FI14" s="392"/>
      <c r="FJ14" s="392"/>
      <c r="FK14" s="392"/>
      <c r="FL14" s="392"/>
      <c r="FM14" s="392"/>
      <c r="FN14" s="392"/>
      <c r="FO14" s="392"/>
      <c r="FP14" s="392"/>
      <c r="FQ14" s="392"/>
      <c r="FR14" s="392"/>
      <c r="FS14" s="392"/>
      <c r="FT14" s="392"/>
      <c r="FU14" s="392"/>
      <c r="FV14" s="392"/>
      <c r="FW14" s="392"/>
      <c r="FX14" s="392"/>
      <c r="FY14" s="392"/>
      <c r="FZ14" s="392"/>
      <c r="GA14" s="392"/>
      <c r="GB14" s="392"/>
      <c r="GC14" s="392"/>
      <c r="GD14" s="392"/>
      <c r="GE14" s="392"/>
      <c r="GF14" s="392"/>
      <c r="GG14" s="392"/>
      <c r="GH14" s="392"/>
      <c r="GI14" s="392"/>
      <c r="GJ14" s="392"/>
      <c r="GK14" s="392"/>
      <c r="GL14" s="392"/>
      <c r="GM14" s="392"/>
      <c r="GN14" s="392"/>
      <c r="GO14" s="392"/>
      <c r="GP14" s="392"/>
      <c r="GQ14" s="392"/>
      <c r="GR14" s="392"/>
      <c r="GS14" s="392"/>
      <c r="GT14" s="392"/>
      <c r="GU14" s="392"/>
      <c r="GV14" s="392"/>
      <c r="GW14" s="392"/>
      <c r="GX14" s="392"/>
      <c r="GY14" s="392"/>
      <c r="GZ14" s="392"/>
      <c r="HA14" s="392"/>
      <c r="HB14" s="392"/>
      <c r="HC14" s="392"/>
      <c r="HD14" s="392"/>
      <c r="HE14" s="392"/>
      <c r="HF14" s="392"/>
      <c r="HG14" s="392"/>
      <c r="HH14" s="392"/>
      <c r="HI14" s="392"/>
      <c r="HJ14" s="392"/>
      <c r="HK14" s="392"/>
      <c r="HL14" s="392"/>
      <c r="HM14" s="392"/>
      <c r="HN14" s="392"/>
      <c r="HO14" s="392"/>
      <c r="HP14" s="392"/>
      <c r="HQ14" s="392"/>
      <c r="HR14" s="392"/>
      <c r="HS14" s="392"/>
      <c r="HT14" s="392"/>
      <c r="HU14" s="392"/>
      <c r="HV14" s="392"/>
      <c r="HW14" s="392"/>
      <c r="HX14" s="392"/>
      <c r="HY14" s="392"/>
      <c r="HZ14" s="392"/>
      <c r="IA14" s="392"/>
      <c r="IB14" s="392"/>
      <c r="IC14" s="392"/>
      <c r="ID14" s="392"/>
      <c r="IE14" s="392"/>
      <c r="IF14" s="392"/>
      <c r="IG14" s="392"/>
      <c r="IH14" s="392"/>
      <c r="II14" s="392"/>
      <c r="IJ14" s="392"/>
      <c r="IK14" s="392"/>
      <c r="IL14" s="392"/>
      <c r="IM14" s="392"/>
      <c r="IN14" s="392"/>
      <c r="IO14" s="392"/>
      <c r="IP14" s="392"/>
      <c r="IQ14" s="392"/>
      <c r="IR14" s="392"/>
      <c r="IS14" s="392"/>
      <c r="IT14" s="392"/>
      <c r="IU14" s="392"/>
      <c r="IV14" s="392"/>
      <c r="IW14" s="392"/>
      <c r="IX14" s="392"/>
      <c r="IY14" s="392"/>
      <c r="IZ14" s="392"/>
      <c r="JA14" s="392"/>
      <c r="JB14" s="392"/>
      <c r="JC14" s="392"/>
      <c r="JD14" s="392"/>
      <c r="JE14" s="392"/>
      <c r="JF14" s="392"/>
      <c r="JG14" s="392"/>
      <c r="JH14" s="392"/>
      <c r="JI14" s="393">
        <f t="shared" si="0"/>
        <v>0</v>
      </c>
      <c r="JJ14" s="2">
        <v>5691</v>
      </c>
      <c r="JK14" s="392">
        <f t="shared" si="1"/>
        <v>0</v>
      </c>
      <c r="JL14" s="284"/>
      <c r="JM14" s="284"/>
      <c r="JN14" s="284"/>
      <c r="JO14" s="284"/>
      <c r="JP14" s="284"/>
      <c r="JQ14" s="170"/>
    </row>
    <row r="15" spans="1:277" x14ac:dyDescent="0.3">
      <c r="A15" s="392"/>
      <c r="B15" s="392"/>
      <c r="C15" s="392"/>
      <c r="D15" s="392"/>
      <c r="E15" s="392"/>
      <c r="F15" s="392"/>
      <c r="G15" s="392"/>
      <c r="H15" s="392"/>
      <c r="I15" s="392"/>
      <c r="J15" s="392"/>
      <c r="K15" s="392"/>
      <c r="L15" s="392"/>
      <c r="M15" s="392"/>
      <c r="N15" s="392"/>
      <c r="O15" s="392"/>
      <c r="P15" s="392"/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2"/>
      <c r="AD15" s="392"/>
      <c r="AE15" s="392"/>
      <c r="AF15" s="392"/>
      <c r="AG15" s="392"/>
      <c r="AH15" s="392"/>
      <c r="AI15" s="392"/>
      <c r="AJ15" s="392"/>
      <c r="AK15" s="392"/>
      <c r="AL15" s="392"/>
      <c r="AM15" s="392"/>
      <c r="AN15" s="392"/>
      <c r="AO15" s="392"/>
      <c r="AP15" s="392"/>
      <c r="AQ15" s="392"/>
      <c r="AR15" s="392"/>
      <c r="AS15" s="392"/>
      <c r="AT15" s="392"/>
      <c r="AU15" s="392"/>
      <c r="AV15" s="392"/>
      <c r="AW15" s="392"/>
      <c r="AX15" s="392"/>
      <c r="AY15" s="392"/>
      <c r="AZ15" s="392"/>
      <c r="BA15" s="392"/>
      <c r="BB15" s="392"/>
      <c r="BC15" s="392"/>
      <c r="BD15" s="392"/>
      <c r="BE15" s="392"/>
      <c r="BF15" s="392"/>
      <c r="BG15" s="392"/>
      <c r="BH15" s="392"/>
      <c r="BI15" s="392"/>
      <c r="BJ15" s="392"/>
      <c r="BK15" s="392"/>
      <c r="BL15" s="392"/>
      <c r="BM15" s="392"/>
      <c r="BN15" s="392"/>
      <c r="BO15" s="392"/>
      <c r="BP15" s="392"/>
      <c r="BQ15" s="392"/>
      <c r="BR15" s="392"/>
      <c r="BS15" s="392"/>
      <c r="BT15" s="392"/>
      <c r="BU15" s="392"/>
      <c r="BV15" s="392"/>
      <c r="BW15" s="392"/>
      <c r="BX15" s="392"/>
      <c r="BY15" s="392"/>
      <c r="BZ15" s="392"/>
      <c r="CA15" s="392"/>
      <c r="CB15" s="392"/>
      <c r="CC15" s="392"/>
      <c r="CD15" s="392"/>
      <c r="CE15" s="392"/>
      <c r="CF15" s="392"/>
      <c r="CG15" s="392"/>
      <c r="CH15" s="392"/>
      <c r="CI15" s="392"/>
      <c r="CJ15" s="392"/>
      <c r="CK15" s="392"/>
      <c r="CL15" s="392"/>
      <c r="CM15" s="392"/>
      <c r="CN15" s="392"/>
      <c r="CO15" s="392"/>
      <c r="CP15" s="392"/>
      <c r="CQ15" s="392"/>
      <c r="CR15" s="392"/>
      <c r="CS15" s="392"/>
      <c r="CT15" s="392"/>
      <c r="CU15" s="392"/>
      <c r="CV15" s="392"/>
      <c r="CW15" s="392"/>
      <c r="CX15" s="392"/>
      <c r="CY15" s="392"/>
      <c r="CZ15" s="392"/>
      <c r="DA15" s="392"/>
      <c r="DB15" s="392"/>
      <c r="DC15" s="392"/>
      <c r="DD15" s="392"/>
      <c r="DE15" s="392"/>
      <c r="DF15" s="392"/>
      <c r="DG15" s="392"/>
      <c r="DH15" s="392"/>
      <c r="DI15" s="392"/>
      <c r="DJ15" s="392"/>
      <c r="DK15" s="392"/>
      <c r="DL15" s="392"/>
      <c r="DM15" s="392"/>
      <c r="DN15" s="392"/>
      <c r="DO15" s="392"/>
      <c r="DP15" s="392"/>
      <c r="DQ15" s="392"/>
      <c r="DR15" s="392"/>
      <c r="DS15" s="392"/>
      <c r="DT15" s="392"/>
      <c r="DU15" s="392"/>
      <c r="DV15" s="392"/>
      <c r="DW15" s="392"/>
      <c r="DX15" s="392"/>
      <c r="DY15" s="392"/>
      <c r="DZ15" s="392"/>
      <c r="EA15" s="392"/>
      <c r="EB15" s="392"/>
      <c r="EC15" s="392"/>
      <c r="ED15" s="392"/>
      <c r="EE15" s="392"/>
      <c r="EF15" s="392"/>
      <c r="EG15" s="392"/>
      <c r="EH15" s="392"/>
      <c r="EI15" s="392"/>
      <c r="EJ15" s="392"/>
      <c r="EK15" s="392"/>
      <c r="EL15" s="392"/>
      <c r="EM15" s="392"/>
      <c r="EN15" s="392"/>
      <c r="EO15" s="392"/>
      <c r="EP15" s="392"/>
      <c r="EQ15" s="392"/>
      <c r="ER15" s="392"/>
      <c r="ES15" s="392"/>
      <c r="ET15" s="392"/>
      <c r="EU15" s="392"/>
      <c r="EV15" s="392"/>
      <c r="EW15" s="392"/>
      <c r="EX15" s="392"/>
      <c r="EY15" s="392"/>
      <c r="EZ15" s="392"/>
      <c r="FA15" s="392"/>
      <c r="FB15" s="392"/>
      <c r="FC15" s="392"/>
      <c r="FD15" s="392"/>
      <c r="FE15" s="392"/>
      <c r="FF15" s="392"/>
      <c r="FG15" s="392"/>
      <c r="FH15" s="392"/>
      <c r="FI15" s="392"/>
      <c r="FJ15" s="392"/>
      <c r="FK15" s="392"/>
      <c r="FL15" s="392"/>
      <c r="FM15" s="392"/>
      <c r="FN15" s="392"/>
      <c r="FO15" s="392"/>
      <c r="FP15" s="392"/>
      <c r="FQ15" s="392"/>
      <c r="FR15" s="392"/>
      <c r="FS15" s="392"/>
      <c r="FT15" s="392"/>
      <c r="FU15" s="392"/>
      <c r="FV15" s="392"/>
      <c r="FW15" s="392"/>
      <c r="FX15" s="392"/>
      <c r="FY15" s="392"/>
      <c r="FZ15" s="392"/>
      <c r="GA15" s="392"/>
      <c r="GB15" s="392"/>
      <c r="GC15" s="392"/>
      <c r="GD15" s="392"/>
      <c r="GE15" s="392"/>
      <c r="GF15" s="392"/>
      <c r="GG15" s="392"/>
      <c r="GH15" s="392"/>
      <c r="GI15" s="392"/>
      <c r="GJ15" s="392"/>
      <c r="GK15" s="392"/>
      <c r="GL15" s="392"/>
      <c r="GM15" s="392"/>
      <c r="GN15" s="392"/>
      <c r="GO15" s="392"/>
      <c r="GP15" s="392"/>
      <c r="GQ15" s="392"/>
      <c r="GR15" s="392"/>
      <c r="GS15" s="392"/>
      <c r="GT15" s="392"/>
      <c r="GU15" s="392"/>
      <c r="GV15" s="392"/>
      <c r="GW15" s="392"/>
      <c r="GX15" s="392"/>
      <c r="GY15" s="392"/>
      <c r="GZ15" s="392"/>
      <c r="HA15" s="392"/>
      <c r="HB15" s="392"/>
      <c r="HC15" s="392"/>
      <c r="HD15" s="392"/>
      <c r="HE15" s="392"/>
      <c r="HF15" s="392"/>
      <c r="HG15" s="392"/>
      <c r="HH15" s="392"/>
      <c r="HI15" s="392"/>
      <c r="HJ15" s="392"/>
      <c r="HK15" s="392"/>
      <c r="HL15" s="392"/>
      <c r="HM15" s="392"/>
      <c r="HN15" s="392"/>
      <c r="HO15" s="392"/>
      <c r="HP15" s="392"/>
      <c r="HQ15" s="392"/>
      <c r="HR15" s="392"/>
      <c r="HS15" s="392"/>
      <c r="HT15" s="392"/>
      <c r="HU15" s="392"/>
      <c r="HV15" s="392"/>
      <c r="HW15" s="392"/>
      <c r="HX15" s="392"/>
      <c r="HY15" s="392"/>
      <c r="HZ15" s="392"/>
      <c r="IA15" s="392"/>
      <c r="IB15" s="392"/>
      <c r="IC15" s="392"/>
      <c r="ID15" s="392"/>
      <c r="IE15" s="392"/>
      <c r="IF15" s="392"/>
      <c r="IG15" s="392"/>
      <c r="IH15" s="392"/>
      <c r="II15" s="392"/>
      <c r="IJ15" s="392"/>
      <c r="IK15" s="392"/>
      <c r="IL15" s="392"/>
      <c r="IM15" s="392"/>
      <c r="IN15" s="392"/>
      <c r="IO15" s="392"/>
      <c r="IP15" s="392"/>
      <c r="IQ15" s="392"/>
      <c r="IR15" s="392"/>
      <c r="IS15" s="392"/>
      <c r="IT15" s="392"/>
      <c r="IU15" s="392"/>
      <c r="IV15" s="392"/>
      <c r="IW15" s="392"/>
      <c r="IX15" s="392"/>
      <c r="IY15" s="392"/>
      <c r="IZ15" s="392"/>
      <c r="JA15" s="392"/>
      <c r="JB15" s="392"/>
      <c r="JC15" s="392"/>
      <c r="JD15" s="392"/>
      <c r="JE15" s="392"/>
      <c r="JF15" s="392"/>
      <c r="JG15" s="392"/>
      <c r="JH15" s="392"/>
      <c r="JI15" s="393">
        <f t="shared" si="0"/>
        <v>0</v>
      </c>
      <c r="JJ15" s="2">
        <v>5695</v>
      </c>
      <c r="JK15" s="392">
        <f t="shared" si="1"/>
        <v>0</v>
      </c>
      <c r="JL15" s="284"/>
      <c r="JM15" s="284"/>
      <c r="JN15" s="284"/>
      <c r="JO15" s="284"/>
      <c r="JP15" s="284"/>
      <c r="JQ15" s="170"/>
    </row>
    <row r="16" spans="1:277" x14ac:dyDescent="0.3">
      <c r="A16" s="392"/>
      <c r="B16" s="392"/>
      <c r="C16" s="392"/>
      <c r="D16" s="392"/>
      <c r="E16" s="392"/>
      <c r="F16" s="392"/>
      <c r="G16" s="392"/>
      <c r="H16" s="392"/>
      <c r="I16" s="392"/>
      <c r="J16" s="392"/>
      <c r="K16" s="392"/>
      <c r="L16" s="392"/>
      <c r="M16" s="392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  <c r="AA16" s="392"/>
      <c r="AB16" s="392"/>
      <c r="AC16" s="392"/>
      <c r="AD16" s="392"/>
      <c r="AE16" s="392"/>
      <c r="AF16" s="392"/>
      <c r="AG16" s="392"/>
      <c r="AH16" s="392"/>
      <c r="AI16" s="392"/>
      <c r="AJ16" s="392"/>
      <c r="AK16" s="392"/>
      <c r="AL16" s="392"/>
      <c r="AM16" s="392"/>
      <c r="AN16" s="392"/>
      <c r="AO16" s="392"/>
      <c r="AP16" s="392"/>
      <c r="AQ16" s="392"/>
      <c r="AR16" s="392"/>
      <c r="AS16" s="392"/>
      <c r="AT16" s="392"/>
      <c r="AU16" s="392"/>
      <c r="AV16" s="392"/>
      <c r="AW16" s="392"/>
      <c r="AX16" s="392"/>
      <c r="AY16" s="392"/>
      <c r="AZ16" s="392"/>
      <c r="BA16" s="392"/>
      <c r="BB16" s="392"/>
      <c r="BC16" s="392"/>
      <c r="BD16" s="392"/>
      <c r="BE16" s="392"/>
      <c r="BF16" s="392"/>
      <c r="BG16" s="392"/>
      <c r="BH16" s="392"/>
      <c r="BI16" s="392"/>
      <c r="BJ16" s="392"/>
      <c r="BK16" s="392"/>
      <c r="BL16" s="392"/>
      <c r="BM16" s="392"/>
      <c r="BN16" s="392"/>
      <c r="BO16" s="392"/>
      <c r="BP16" s="392"/>
      <c r="BQ16" s="392"/>
      <c r="BR16" s="392"/>
      <c r="BS16" s="392"/>
      <c r="BT16" s="392"/>
      <c r="BU16" s="392"/>
      <c r="BV16" s="392"/>
      <c r="BW16" s="392"/>
      <c r="BX16" s="392"/>
      <c r="BY16" s="392"/>
      <c r="BZ16" s="392"/>
      <c r="CA16" s="392"/>
      <c r="CB16" s="392"/>
      <c r="CC16" s="392"/>
      <c r="CD16" s="392"/>
      <c r="CE16" s="392"/>
      <c r="CF16" s="392"/>
      <c r="CG16" s="392"/>
      <c r="CH16" s="392"/>
      <c r="CI16" s="392"/>
      <c r="CJ16" s="392"/>
      <c r="CK16" s="392"/>
      <c r="CL16" s="392"/>
      <c r="CM16" s="392"/>
      <c r="CN16" s="392"/>
      <c r="CO16" s="392"/>
      <c r="CP16" s="392"/>
      <c r="CQ16" s="392"/>
      <c r="CR16" s="392"/>
      <c r="CS16" s="392"/>
      <c r="CT16" s="392"/>
      <c r="CU16" s="392"/>
      <c r="CV16" s="392"/>
      <c r="CW16" s="392"/>
      <c r="CX16" s="392"/>
      <c r="CY16" s="392"/>
      <c r="CZ16" s="392"/>
      <c r="DA16" s="392"/>
      <c r="DB16" s="392"/>
      <c r="DC16" s="392"/>
      <c r="DD16" s="392"/>
      <c r="DE16" s="392"/>
      <c r="DF16" s="392"/>
      <c r="DG16" s="392"/>
      <c r="DH16" s="392"/>
      <c r="DI16" s="392"/>
      <c r="DJ16" s="392"/>
      <c r="DK16" s="392"/>
      <c r="DL16" s="392"/>
      <c r="DM16" s="392"/>
      <c r="DN16" s="392"/>
      <c r="DO16" s="392"/>
      <c r="DP16" s="392"/>
      <c r="DQ16" s="392"/>
      <c r="DR16" s="392"/>
      <c r="DS16" s="392"/>
      <c r="DT16" s="392"/>
      <c r="DU16" s="392"/>
      <c r="DV16" s="392"/>
      <c r="DW16" s="392"/>
      <c r="DX16" s="392"/>
      <c r="DY16" s="392"/>
      <c r="DZ16" s="392"/>
      <c r="EA16" s="392"/>
      <c r="EB16" s="392"/>
      <c r="EC16" s="392"/>
      <c r="ED16" s="392"/>
      <c r="EE16" s="392"/>
      <c r="EF16" s="392"/>
      <c r="EG16" s="392"/>
      <c r="EH16" s="392"/>
      <c r="EI16" s="392"/>
      <c r="EJ16" s="392"/>
      <c r="EK16" s="392"/>
      <c r="EL16" s="392"/>
      <c r="EM16" s="392"/>
      <c r="EN16" s="392"/>
      <c r="EO16" s="392"/>
      <c r="EP16" s="392"/>
      <c r="EQ16" s="392"/>
      <c r="ER16" s="392"/>
      <c r="ES16" s="392"/>
      <c r="ET16" s="392"/>
      <c r="EU16" s="392"/>
      <c r="EV16" s="392"/>
      <c r="EW16" s="392"/>
      <c r="EX16" s="392"/>
      <c r="EY16" s="392"/>
      <c r="EZ16" s="392"/>
      <c r="FA16" s="392"/>
      <c r="FB16" s="392"/>
      <c r="FC16" s="392"/>
      <c r="FD16" s="392"/>
      <c r="FE16" s="392"/>
      <c r="FF16" s="392"/>
      <c r="FG16" s="392"/>
      <c r="FH16" s="392"/>
      <c r="FI16" s="392"/>
      <c r="FJ16" s="392"/>
      <c r="FK16" s="392"/>
      <c r="FL16" s="392"/>
      <c r="FM16" s="392"/>
      <c r="FN16" s="392"/>
      <c r="FO16" s="392"/>
      <c r="FP16" s="392"/>
      <c r="FQ16" s="392"/>
      <c r="FR16" s="392"/>
      <c r="FS16" s="392"/>
      <c r="FT16" s="392"/>
      <c r="FU16" s="392"/>
      <c r="FV16" s="392"/>
      <c r="FW16" s="392"/>
      <c r="FX16" s="392"/>
      <c r="FY16" s="392"/>
      <c r="FZ16" s="392"/>
      <c r="GA16" s="392"/>
      <c r="GB16" s="392"/>
      <c r="GC16" s="392"/>
      <c r="GD16" s="392"/>
      <c r="GE16" s="392"/>
      <c r="GF16" s="392"/>
      <c r="GG16" s="392"/>
      <c r="GH16" s="392"/>
      <c r="GI16" s="392"/>
      <c r="GJ16" s="392"/>
      <c r="GK16" s="392"/>
      <c r="GL16" s="392"/>
      <c r="GM16" s="392"/>
      <c r="GN16" s="392"/>
      <c r="GO16" s="392"/>
      <c r="GP16" s="392"/>
      <c r="GQ16" s="392"/>
      <c r="GR16" s="392"/>
      <c r="GS16" s="392"/>
      <c r="GT16" s="392"/>
      <c r="GU16" s="392"/>
      <c r="GV16" s="392"/>
      <c r="GW16" s="392"/>
      <c r="GX16" s="392"/>
      <c r="GY16" s="392"/>
      <c r="GZ16" s="392"/>
      <c r="HA16" s="392"/>
      <c r="HB16" s="392"/>
      <c r="HC16" s="392"/>
      <c r="HD16" s="392"/>
      <c r="HE16" s="392"/>
      <c r="HF16" s="392"/>
      <c r="HG16" s="392"/>
      <c r="HH16" s="392"/>
      <c r="HI16" s="392"/>
      <c r="HJ16" s="392"/>
      <c r="HK16" s="392"/>
      <c r="HL16" s="392"/>
      <c r="HM16" s="392"/>
      <c r="HN16" s="392"/>
      <c r="HO16" s="392"/>
      <c r="HP16" s="392"/>
      <c r="HQ16" s="392"/>
      <c r="HR16" s="392"/>
      <c r="HS16" s="392"/>
      <c r="HT16" s="392"/>
      <c r="HU16" s="392"/>
      <c r="HV16" s="392"/>
      <c r="HW16" s="392"/>
      <c r="HX16" s="392"/>
      <c r="HY16" s="392"/>
      <c r="HZ16" s="392"/>
      <c r="IA16" s="392"/>
      <c r="IB16" s="392"/>
      <c r="IC16" s="392"/>
      <c r="ID16" s="392"/>
      <c r="IE16" s="392"/>
      <c r="IF16" s="392"/>
      <c r="IG16" s="392"/>
      <c r="IH16" s="392"/>
      <c r="II16" s="392"/>
      <c r="IJ16" s="392"/>
      <c r="IK16" s="392"/>
      <c r="IL16" s="392"/>
      <c r="IM16" s="392"/>
      <c r="IN16" s="392"/>
      <c r="IO16" s="392"/>
      <c r="IP16" s="392"/>
      <c r="IQ16" s="392"/>
      <c r="IR16" s="392"/>
      <c r="IS16" s="392"/>
      <c r="IT16" s="392"/>
      <c r="IU16" s="392"/>
      <c r="IV16" s="392"/>
      <c r="IW16" s="392"/>
      <c r="IX16" s="392"/>
      <c r="IY16" s="392"/>
      <c r="IZ16" s="392"/>
      <c r="JA16" s="392"/>
      <c r="JB16" s="392"/>
      <c r="JC16" s="392"/>
      <c r="JD16" s="392"/>
      <c r="JE16" s="392"/>
      <c r="JF16" s="392"/>
      <c r="JG16" s="392"/>
      <c r="JH16" s="392"/>
      <c r="JI16" s="393">
        <f t="shared" si="0"/>
        <v>0</v>
      </c>
      <c r="JJ16" s="2">
        <v>5711</v>
      </c>
      <c r="JK16" s="392">
        <f t="shared" si="1"/>
        <v>0</v>
      </c>
      <c r="JL16" s="284"/>
      <c r="JM16" s="394"/>
      <c r="JN16" s="284"/>
      <c r="JO16" s="284"/>
      <c r="JP16" s="394"/>
      <c r="JQ16" s="170"/>
    </row>
    <row r="17" spans="1:278" x14ac:dyDescent="0.3">
      <c r="A17" s="392"/>
      <c r="B17" s="392"/>
      <c r="C17" s="392"/>
      <c r="D17" s="392"/>
      <c r="E17" s="392"/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  <c r="AA17" s="392"/>
      <c r="AB17" s="392"/>
      <c r="AC17" s="392"/>
      <c r="AD17" s="392"/>
      <c r="AE17" s="392"/>
      <c r="AF17" s="392"/>
      <c r="AG17" s="392"/>
      <c r="AH17" s="392"/>
      <c r="AI17" s="392"/>
      <c r="AJ17" s="392"/>
      <c r="AK17" s="392"/>
      <c r="AL17" s="392"/>
      <c r="AM17" s="392"/>
      <c r="AN17" s="392"/>
      <c r="AO17" s="392"/>
      <c r="AP17" s="392"/>
      <c r="AQ17" s="392"/>
      <c r="AR17" s="392"/>
      <c r="AS17" s="392"/>
      <c r="AT17" s="392"/>
      <c r="AU17" s="392"/>
      <c r="AV17" s="392"/>
      <c r="AW17" s="392"/>
      <c r="AX17" s="392"/>
      <c r="AY17" s="392"/>
      <c r="AZ17" s="392"/>
      <c r="BA17" s="392"/>
      <c r="BB17" s="392"/>
      <c r="BC17" s="392"/>
      <c r="BD17" s="392"/>
      <c r="BE17" s="392"/>
      <c r="BF17" s="392"/>
      <c r="BG17" s="392"/>
      <c r="BH17" s="392"/>
      <c r="BI17" s="392"/>
      <c r="BJ17" s="392"/>
      <c r="BK17" s="392"/>
      <c r="BL17" s="392"/>
      <c r="BM17" s="392"/>
      <c r="BN17" s="392"/>
      <c r="BO17" s="392"/>
      <c r="BP17" s="392"/>
      <c r="BQ17" s="392"/>
      <c r="BR17" s="392"/>
      <c r="BS17" s="392"/>
      <c r="BT17" s="392"/>
      <c r="BU17" s="392"/>
      <c r="BV17" s="392"/>
      <c r="BW17" s="392"/>
      <c r="BX17" s="392"/>
      <c r="BY17" s="392"/>
      <c r="BZ17" s="392"/>
      <c r="CA17" s="392"/>
      <c r="CB17" s="392"/>
      <c r="CC17" s="392"/>
      <c r="CD17" s="392"/>
      <c r="CE17" s="392"/>
      <c r="CF17" s="392"/>
      <c r="CG17" s="392"/>
      <c r="CH17" s="392"/>
      <c r="CI17" s="392"/>
      <c r="CJ17" s="392"/>
      <c r="CK17" s="392"/>
      <c r="CL17" s="392"/>
      <c r="CM17" s="392"/>
      <c r="CN17" s="392"/>
      <c r="CO17" s="392"/>
      <c r="CP17" s="392"/>
      <c r="CQ17" s="392"/>
      <c r="CR17" s="392"/>
      <c r="CS17" s="392"/>
      <c r="CT17" s="392"/>
      <c r="CU17" s="392"/>
      <c r="CV17" s="392"/>
      <c r="CW17" s="392"/>
      <c r="CX17" s="392"/>
      <c r="CY17" s="392"/>
      <c r="CZ17" s="392"/>
      <c r="DA17" s="392"/>
      <c r="DB17" s="392"/>
      <c r="DC17" s="392"/>
      <c r="DD17" s="392"/>
      <c r="DE17" s="392"/>
      <c r="DF17" s="392"/>
      <c r="DG17" s="392"/>
      <c r="DH17" s="392"/>
      <c r="DI17" s="392"/>
      <c r="DJ17" s="392"/>
      <c r="DK17" s="392"/>
      <c r="DL17" s="392"/>
      <c r="DM17" s="392"/>
      <c r="DN17" s="392"/>
      <c r="DO17" s="392"/>
      <c r="DP17" s="392"/>
      <c r="DQ17" s="392"/>
      <c r="DR17" s="392"/>
      <c r="DS17" s="392"/>
      <c r="DT17" s="392"/>
      <c r="DU17" s="392"/>
      <c r="DV17" s="392"/>
      <c r="DW17" s="392"/>
      <c r="DX17" s="392"/>
      <c r="DY17" s="392"/>
      <c r="DZ17" s="392"/>
      <c r="EA17" s="392"/>
      <c r="EB17" s="392"/>
      <c r="EC17" s="392"/>
      <c r="ED17" s="392"/>
      <c r="EE17" s="392"/>
      <c r="EF17" s="392"/>
      <c r="EG17" s="392"/>
      <c r="EH17" s="392"/>
      <c r="EI17" s="392"/>
      <c r="EJ17" s="392"/>
      <c r="EK17" s="392"/>
      <c r="EL17" s="392"/>
      <c r="EM17" s="392"/>
      <c r="EN17" s="392"/>
      <c r="EO17" s="392"/>
      <c r="EP17" s="392"/>
      <c r="EQ17" s="392"/>
      <c r="ER17" s="392"/>
      <c r="ES17" s="392"/>
      <c r="ET17" s="392"/>
      <c r="EU17" s="392"/>
      <c r="EV17" s="392"/>
      <c r="EW17" s="392"/>
      <c r="EX17" s="392"/>
      <c r="EY17" s="392"/>
      <c r="EZ17" s="392"/>
      <c r="FA17" s="392"/>
      <c r="FB17" s="392"/>
      <c r="FC17" s="392"/>
      <c r="FD17" s="392"/>
      <c r="FE17" s="392"/>
      <c r="FF17" s="392"/>
      <c r="FG17" s="392"/>
      <c r="FH17" s="392"/>
      <c r="FI17" s="392"/>
      <c r="FJ17" s="392"/>
      <c r="FK17" s="392"/>
      <c r="FL17" s="392"/>
      <c r="FM17" s="392"/>
      <c r="FN17" s="392"/>
      <c r="FO17" s="392"/>
      <c r="FP17" s="392"/>
      <c r="FQ17" s="392"/>
      <c r="FR17" s="392"/>
      <c r="FS17" s="392"/>
      <c r="FT17" s="392"/>
      <c r="FU17" s="392"/>
      <c r="FV17" s="392"/>
      <c r="FW17" s="392"/>
      <c r="FX17" s="392"/>
      <c r="FY17" s="392"/>
      <c r="FZ17" s="392"/>
      <c r="GA17" s="392"/>
      <c r="GB17" s="392"/>
      <c r="GC17" s="392"/>
      <c r="GD17" s="392"/>
      <c r="GE17" s="392"/>
      <c r="GF17" s="392"/>
      <c r="GG17" s="392"/>
      <c r="GH17" s="392"/>
      <c r="GI17" s="392"/>
      <c r="GJ17" s="392"/>
      <c r="GK17" s="392"/>
      <c r="GL17" s="392"/>
      <c r="GM17" s="392"/>
      <c r="GN17" s="392"/>
      <c r="GO17" s="392"/>
      <c r="GP17" s="392"/>
      <c r="GQ17" s="392"/>
      <c r="GR17" s="392"/>
      <c r="GS17" s="392"/>
      <c r="GT17" s="392"/>
      <c r="GU17" s="392"/>
      <c r="GV17" s="392"/>
      <c r="GW17" s="392"/>
      <c r="GX17" s="392"/>
      <c r="GY17" s="392"/>
      <c r="GZ17" s="392"/>
      <c r="HA17" s="392"/>
      <c r="HB17" s="392"/>
      <c r="HC17" s="392"/>
      <c r="HD17" s="392"/>
      <c r="HE17" s="392"/>
      <c r="HF17" s="392"/>
      <c r="HG17" s="392"/>
      <c r="HH17" s="392"/>
      <c r="HI17" s="392"/>
      <c r="HJ17" s="392"/>
      <c r="HK17" s="392"/>
      <c r="HL17" s="392"/>
      <c r="HM17" s="392"/>
      <c r="HN17" s="392"/>
      <c r="HO17" s="392"/>
      <c r="HP17" s="392"/>
      <c r="HQ17" s="392"/>
      <c r="HR17" s="392"/>
      <c r="HS17" s="392"/>
      <c r="HT17" s="392"/>
      <c r="HU17" s="392"/>
      <c r="HV17" s="392"/>
      <c r="HW17" s="392"/>
      <c r="HX17" s="392"/>
      <c r="HY17" s="392"/>
      <c r="HZ17" s="392"/>
      <c r="IA17" s="392"/>
      <c r="IB17" s="392"/>
      <c r="IC17" s="392"/>
      <c r="ID17" s="392"/>
      <c r="IE17" s="392"/>
      <c r="IF17" s="392"/>
      <c r="IG17" s="392"/>
      <c r="IH17" s="392"/>
      <c r="II17" s="392"/>
      <c r="IJ17" s="392"/>
      <c r="IK17" s="392"/>
      <c r="IL17" s="392"/>
      <c r="IM17" s="392"/>
      <c r="IN17" s="392"/>
      <c r="IO17" s="392"/>
      <c r="IP17" s="392"/>
      <c r="IQ17" s="392"/>
      <c r="IR17" s="392"/>
      <c r="IS17" s="392"/>
      <c r="IT17" s="392"/>
      <c r="IU17" s="392"/>
      <c r="IV17" s="392"/>
      <c r="IW17" s="392"/>
      <c r="IX17" s="392"/>
      <c r="IY17" s="392"/>
      <c r="IZ17" s="392"/>
      <c r="JA17" s="392"/>
      <c r="JB17" s="392"/>
      <c r="JC17" s="392"/>
      <c r="JD17" s="392"/>
      <c r="JE17" s="392"/>
      <c r="JF17" s="392"/>
      <c r="JG17" s="392"/>
      <c r="JH17" s="392"/>
      <c r="JI17" s="393">
        <f t="shared" si="0"/>
        <v>0</v>
      </c>
      <c r="JJ17" s="2">
        <v>5715</v>
      </c>
      <c r="JK17" s="392">
        <f t="shared" si="1"/>
        <v>0</v>
      </c>
      <c r="JL17" s="284"/>
      <c r="JM17" s="284"/>
      <c r="JN17" s="284"/>
      <c r="JO17" s="284"/>
      <c r="JP17" s="284"/>
      <c r="JQ17" s="170"/>
    </row>
    <row r="18" spans="1:278" x14ac:dyDescent="0.3">
      <c r="A18" s="392"/>
      <c r="B18" s="392"/>
      <c r="C18" s="392"/>
      <c r="D18" s="392"/>
      <c r="E18" s="392"/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2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  <c r="AC18" s="392"/>
      <c r="AD18" s="392"/>
      <c r="AE18" s="392"/>
      <c r="AF18" s="392"/>
      <c r="AG18" s="392"/>
      <c r="AH18" s="392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  <c r="AS18" s="392"/>
      <c r="AT18" s="392"/>
      <c r="AU18" s="392"/>
      <c r="AV18" s="392"/>
      <c r="AW18" s="392"/>
      <c r="AX18" s="392"/>
      <c r="AY18" s="392"/>
      <c r="AZ18" s="392"/>
      <c r="BA18" s="392"/>
      <c r="BB18" s="392"/>
      <c r="BC18" s="392"/>
      <c r="BD18" s="392"/>
      <c r="BE18" s="392"/>
      <c r="BF18" s="392"/>
      <c r="BG18" s="392"/>
      <c r="BH18" s="392"/>
      <c r="BI18" s="392"/>
      <c r="BJ18" s="392"/>
      <c r="BK18" s="392"/>
      <c r="BL18" s="392"/>
      <c r="BM18" s="392"/>
      <c r="BN18" s="392"/>
      <c r="BO18" s="392"/>
      <c r="BP18" s="392"/>
      <c r="BQ18" s="392"/>
      <c r="BR18" s="392"/>
      <c r="BS18" s="392"/>
      <c r="BT18" s="392"/>
      <c r="BU18" s="392"/>
      <c r="BV18" s="392"/>
      <c r="BW18" s="392"/>
      <c r="BX18" s="392"/>
      <c r="BY18" s="392"/>
      <c r="BZ18" s="392"/>
      <c r="CA18" s="392"/>
      <c r="CB18" s="392"/>
      <c r="CC18" s="392"/>
      <c r="CD18" s="392"/>
      <c r="CE18" s="392"/>
      <c r="CF18" s="392"/>
      <c r="CG18" s="392"/>
      <c r="CH18" s="392"/>
      <c r="CI18" s="392"/>
      <c r="CJ18" s="392"/>
      <c r="CK18" s="392"/>
      <c r="CL18" s="392"/>
      <c r="CM18" s="392"/>
      <c r="CN18" s="392"/>
      <c r="CO18" s="392"/>
      <c r="CP18" s="392"/>
      <c r="CQ18" s="392"/>
      <c r="CR18" s="392"/>
      <c r="CS18" s="392"/>
      <c r="CT18" s="392"/>
      <c r="CU18" s="392"/>
      <c r="CV18" s="392"/>
      <c r="CW18" s="392"/>
      <c r="CX18" s="392"/>
      <c r="CY18" s="392"/>
      <c r="CZ18" s="392"/>
      <c r="DA18" s="392"/>
      <c r="DB18" s="392"/>
      <c r="DC18" s="392"/>
      <c r="DD18" s="392"/>
      <c r="DE18" s="392"/>
      <c r="DF18" s="392"/>
      <c r="DG18" s="392"/>
      <c r="DH18" s="392"/>
      <c r="DI18" s="392"/>
      <c r="DJ18" s="392"/>
      <c r="DK18" s="392"/>
      <c r="DL18" s="392"/>
      <c r="DM18" s="392"/>
      <c r="DN18" s="392"/>
      <c r="DO18" s="392"/>
      <c r="DP18" s="392"/>
      <c r="DQ18" s="392"/>
      <c r="DR18" s="392"/>
      <c r="DS18" s="392"/>
      <c r="DT18" s="392"/>
      <c r="DU18" s="392"/>
      <c r="DV18" s="392"/>
      <c r="DW18" s="392"/>
      <c r="DX18" s="392"/>
      <c r="DY18" s="392"/>
      <c r="DZ18" s="392"/>
      <c r="EA18" s="392"/>
      <c r="EB18" s="392"/>
      <c r="EC18" s="392"/>
      <c r="ED18" s="392"/>
      <c r="EE18" s="392"/>
      <c r="EF18" s="392"/>
      <c r="EG18" s="392"/>
      <c r="EH18" s="392"/>
      <c r="EI18" s="392"/>
      <c r="EJ18" s="392"/>
      <c r="EK18" s="392"/>
      <c r="EL18" s="392"/>
      <c r="EM18" s="392"/>
      <c r="EN18" s="392"/>
      <c r="EO18" s="392"/>
      <c r="EP18" s="392"/>
      <c r="EQ18" s="392"/>
      <c r="ER18" s="392"/>
      <c r="ES18" s="392"/>
      <c r="ET18" s="392"/>
      <c r="EU18" s="392"/>
      <c r="EV18" s="392"/>
      <c r="EW18" s="392"/>
      <c r="EX18" s="392"/>
      <c r="EY18" s="392"/>
      <c r="EZ18" s="392"/>
      <c r="FA18" s="392"/>
      <c r="FB18" s="392"/>
      <c r="FC18" s="392"/>
      <c r="FD18" s="392"/>
      <c r="FE18" s="392"/>
      <c r="FF18" s="392"/>
      <c r="FG18" s="392"/>
      <c r="FH18" s="392"/>
      <c r="FI18" s="392"/>
      <c r="FJ18" s="392"/>
      <c r="FK18" s="392"/>
      <c r="FL18" s="392"/>
      <c r="FM18" s="392"/>
      <c r="FN18" s="392"/>
      <c r="FO18" s="392"/>
      <c r="FP18" s="392"/>
      <c r="FQ18" s="392"/>
      <c r="FR18" s="392"/>
      <c r="FS18" s="392"/>
      <c r="FT18" s="392"/>
      <c r="FU18" s="392"/>
      <c r="FV18" s="392"/>
      <c r="FW18" s="392"/>
      <c r="FX18" s="392"/>
      <c r="FY18" s="392"/>
      <c r="FZ18" s="392"/>
      <c r="GA18" s="392"/>
      <c r="GB18" s="392"/>
      <c r="GC18" s="392"/>
      <c r="GD18" s="392"/>
      <c r="GE18" s="392"/>
      <c r="GF18" s="392"/>
      <c r="GG18" s="392"/>
      <c r="GH18" s="392"/>
      <c r="GI18" s="392"/>
      <c r="GJ18" s="392"/>
      <c r="GK18" s="392"/>
      <c r="GL18" s="392"/>
      <c r="GM18" s="392"/>
      <c r="GN18" s="392"/>
      <c r="GO18" s="392"/>
      <c r="GP18" s="392"/>
      <c r="GQ18" s="392"/>
      <c r="GR18" s="392"/>
      <c r="GS18" s="392"/>
      <c r="GT18" s="392"/>
      <c r="GU18" s="392"/>
      <c r="GV18" s="392"/>
      <c r="GW18" s="392"/>
      <c r="GX18" s="392"/>
      <c r="GY18" s="392"/>
      <c r="GZ18" s="392"/>
      <c r="HA18" s="392"/>
      <c r="HB18" s="392"/>
      <c r="HC18" s="392"/>
      <c r="HD18" s="392"/>
      <c r="HE18" s="392"/>
      <c r="HF18" s="392"/>
      <c r="HG18" s="392"/>
      <c r="HH18" s="392"/>
      <c r="HI18" s="392"/>
      <c r="HJ18" s="392"/>
      <c r="HK18" s="392"/>
      <c r="HL18" s="392"/>
      <c r="HM18" s="392"/>
      <c r="HN18" s="392"/>
      <c r="HO18" s="392"/>
      <c r="HP18" s="392"/>
      <c r="HQ18" s="392"/>
      <c r="HR18" s="392"/>
      <c r="HS18" s="392"/>
      <c r="HT18" s="392"/>
      <c r="HU18" s="392"/>
      <c r="HV18" s="392"/>
      <c r="HW18" s="392"/>
      <c r="HX18" s="392"/>
      <c r="HY18" s="392"/>
      <c r="HZ18" s="392"/>
      <c r="IA18" s="392"/>
      <c r="IB18" s="392"/>
      <c r="IC18" s="392"/>
      <c r="ID18" s="392"/>
      <c r="IE18" s="392"/>
      <c r="IF18" s="392"/>
      <c r="IG18" s="392"/>
      <c r="IH18" s="392"/>
      <c r="II18" s="392"/>
      <c r="IJ18" s="392"/>
      <c r="IK18" s="392"/>
      <c r="IL18" s="392"/>
      <c r="IM18" s="392"/>
      <c r="IN18" s="392"/>
      <c r="IO18" s="392"/>
      <c r="IP18" s="392"/>
      <c r="IQ18" s="392"/>
      <c r="IR18" s="392"/>
      <c r="IS18" s="392"/>
      <c r="IT18" s="392"/>
      <c r="IU18" s="392"/>
      <c r="IV18" s="392"/>
      <c r="IW18" s="392"/>
      <c r="IX18" s="392"/>
      <c r="IY18" s="392"/>
      <c r="IZ18" s="392"/>
      <c r="JA18" s="392"/>
      <c r="JB18" s="392"/>
      <c r="JC18" s="392"/>
      <c r="JD18" s="392"/>
      <c r="JE18" s="392"/>
      <c r="JF18" s="392"/>
      <c r="JG18" s="392"/>
      <c r="JH18" s="392"/>
      <c r="JI18" s="393">
        <f t="shared" si="0"/>
        <v>0</v>
      </c>
      <c r="JJ18" s="2">
        <v>5719</v>
      </c>
      <c r="JK18" s="392">
        <f t="shared" si="1"/>
        <v>0</v>
      </c>
      <c r="JL18" s="284"/>
      <c r="JM18" s="284"/>
      <c r="JN18" s="284"/>
      <c r="JO18" s="284"/>
      <c r="JP18" s="284"/>
      <c r="JQ18" s="170"/>
    </row>
    <row r="19" spans="1:278" x14ac:dyDescent="0.3">
      <c r="A19" s="392"/>
      <c r="B19" s="392"/>
      <c r="C19" s="392"/>
      <c r="D19" s="392"/>
      <c r="E19" s="392"/>
      <c r="F19" s="392"/>
      <c r="G19" s="392"/>
      <c r="H19" s="392"/>
      <c r="I19" s="392"/>
      <c r="J19" s="392"/>
      <c r="K19" s="392"/>
      <c r="L19" s="392"/>
      <c r="M19" s="392"/>
      <c r="N19" s="392"/>
      <c r="O19" s="392"/>
      <c r="P19" s="392"/>
      <c r="Q19" s="392"/>
      <c r="R19" s="392"/>
      <c r="S19" s="392"/>
      <c r="T19" s="392"/>
      <c r="U19" s="392"/>
      <c r="V19" s="392"/>
      <c r="W19" s="392"/>
      <c r="X19" s="392"/>
      <c r="Y19" s="392"/>
      <c r="Z19" s="392"/>
      <c r="AA19" s="392"/>
      <c r="AB19" s="392"/>
      <c r="AC19" s="392"/>
      <c r="AD19" s="392"/>
      <c r="AE19" s="392"/>
      <c r="AF19" s="392"/>
      <c r="AG19" s="392"/>
      <c r="AH19" s="392"/>
      <c r="AI19" s="392"/>
      <c r="AJ19" s="392"/>
      <c r="AK19" s="392"/>
      <c r="AL19" s="392"/>
      <c r="AM19" s="392"/>
      <c r="AN19" s="392"/>
      <c r="AO19" s="392"/>
      <c r="AP19" s="392"/>
      <c r="AQ19" s="392"/>
      <c r="AR19" s="392"/>
      <c r="AS19" s="392"/>
      <c r="AT19" s="392"/>
      <c r="AU19" s="392"/>
      <c r="AV19" s="392"/>
      <c r="AW19" s="392"/>
      <c r="AX19" s="392"/>
      <c r="AY19" s="392"/>
      <c r="AZ19" s="392"/>
      <c r="BA19" s="392"/>
      <c r="BB19" s="392"/>
      <c r="BC19" s="392"/>
      <c r="BD19" s="392"/>
      <c r="BE19" s="392"/>
      <c r="BF19" s="392"/>
      <c r="BG19" s="392"/>
      <c r="BH19" s="392"/>
      <c r="BI19" s="392"/>
      <c r="BJ19" s="392"/>
      <c r="BK19" s="392"/>
      <c r="BL19" s="392"/>
      <c r="BM19" s="392"/>
      <c r="BN19" s="392"/>
      <c r="BO19" s="392"/>
      <c r="BP19" s="392"/>
      <c r="BQ19" s="392"/>
      <c r="BR19" s="392"/>
      <c r="BS19" s="392"/>
      <c r="BT19" s="392"/>
      <c r="BU19" s="392"/>
      <c r="BV19" s="392"/>
      <c r="BW19" s="392"/>
      <c r="BX19" s="392"/>
      <c r="BY19" s="392"/>
      <c r="BZ19" s="392"/>
      <c r="CA19" s="392"/>
      <c r="CB19" s="392"/>
      <c r="CC19" s="392"/>
      <c r="CD19" s="392"/>
      <c r="CE19" s="392"/>
      <c r="CF19" s="392"/>
      <c r="CG19" s="392"/>
      <c r="CH19" s="392"/>
      <c r="CI19" s="392"/>
      <c r="CJ19" s="392"/>
      <c r="CK19" s="392"/>
      <c r="CL19" s="392"/>
      <c r="CM19" s="392"/>
      <c r="CN19" s="392"/>
      <c r="CO19" s="392"/>
      <c r="CP19" s="392"/>
      <c r="CQ19" s="392"/>
      <c r="CR19" s="392"/>
      <c r="CS19" s="392"/>
      <c r="CT19" s="392"/>
      <c r="CU19" s="392"/>
      <c r="CV19" s="392"/>
      <c r="CW19" s="392"/>
      <c r="CX19" s="392"/>
      <c r="CY19" s="392"/>
      <c r="CZ19" s="392"/>
      <c r="DA19" s="392"/>
      <c r="DB19" s="392"/>
      <c r="DC19" s="392"/>
      <c r="DD19" s="392"/>
      <c r="DE19" s="392"/>
      <c r="DF19" s="392"/>
      <c r="DG19" s="392"/>
      <c r="DH19" s="392"/>
      <c r="DI19" s="392"/>
      <c r="DJ19" s="392"/>
      <c r="DK19" s="392"/>
      <c r="DL19" s="392"/>
      <c r="DM19" s="392"/>
      <c r="DN19" s="392"/>
      <c r="DO19" s="392"/>
      <c r="DP19" s="392"/>
      <c r="DQ19" s="392"/>
      <c r="DR19" s="392"/>
      <c r="DS19" s="392"/>
      <c r="DT19" s="392"/>
      <c r="DU19" s="392"/>
      <c r="DV19" s="392"/>
      <c r="DW19" s="392"/>
      <c r="DX19" s="392"/>
      <c r="DY19" s="392"/>
      <c r="DZ19" s="392"/>
      <c r="EA19" s="392"/>
      <c r="EB19" s="392"/>
      <c r="EC19" s="392"/>
      <c r="ED19" s="392"/>
      <c r="EE19" s="392"/>
      <c r="EF19" s="392"/>
      <c r="EG19" s="392"/>
      <c r="EH19" s="392"/>
      <c r="EI19" s="392"/>
      <c r="EJ19" s="392"/>
      <c r="EK19" s="392"/>
      <c r="EL19" s="392"/>
      <c r="EM19" s="392"/>
      <c r="EN19" s="392"/>
      <c r="EO19" s="392"/>
      <c r="EP19" s="392"/>
      <c r="EQ19" s="392"/>
      <c r="ER19" s="392"/>
      <c r="ES19" s="392"/>
      <c r="ET19" s="392"/>
      <c r="EU19" s="392"/>
      <c r="EV19" s="392"/>
      <c r="EW19" s="392"/>
      <c r="EX19" s="392"/>
      <c r="EY19" s="392"/>
      <c r="EZ19" s="392"/>
      <c r="FA19" s="392"/>
      <c r="FB19" s="392"/>
      <c r="FC19" s="392"/>
      <c r="FD19" s="392"/>
      <c r="FE19" s="392"/>
      <c r="FF19" s="392"/>
      <c r="FG19" s="392"/>
      <c r="FH19" s="392"/>
      <c r="FI19" s="392"/>
      <c r="FJ19" s="392"/>
      <c r="FK19" s="392"/>
      <c r="FL19" s="392"/>
      <c r="FM19" s="392"/>
      <c r="FN19" s="392"/>
      <c r="FO19" s="392"/>
      <c r="FP19" s="392"/>
      <c r="FQ19" s="392"/>
      <c r="FR19" s="392"/>
      <c r="FS19" s="392"/>
      <c r="FT19" s="392"/>
      <c r="FU19" s="392"/>
      <c r="FV19" s="392"/>
      <c r="FW19" s="392"/>
      <c r="FX19" s="392"/>
      <c r="FY19" s="392"/>
      <c r="FZ19" s="392"/>
      <c r="GA19" s="392"/>
      <c r="GB19" s="392"/>
      <c r="GC19" s="392"/>
      <c r="GD19" s="392"/>
      <c r="GE19" s="392"/>
      <c r="GF19" s="392"/>
      <c r="GG19" s="392"/>
      <c r="GH19" s="392"/>
      <c r="GI19" s="392"/>
      <c r="GJ19" s="392"/>
      <c r="GK19" s="392"/>
      <c r="GL19" s="392"/>
      <c r="GM19" s="392"/>
      <c r="GN19" s="392"/>
      <c r="GO19" s="392"/>
      <c r="GP19" s="392"/>
      <c r="GQ19" s="392"/>
      <c r="GR19" s="392"/>
      <c r="GS19" s="392"/>
      <c r="GT19" s="392"/>
      <c r="GU19" s="392"/>
      <c r="GV19" s="392"/>
      <c r="GW19" s="392"/>
      <c r="GX19" s="392"/>
      <c r="GY19" s="392"/>
      <c r="GZ19" s="392"/>
      <c r="HA19" s="392"/>
      <c r="HB19" s="392"/>
      <c r="HC19" s="392"/>
      <c r="HD19" s="392"/>
      <c r="HE19" s="392"/>
      <c r="HF19" s="392"/>
      <c r="HG19" s="392"/>
      <c r="HH19" s="392"/>
      <c r="HI19" s="392"/>
      <c r="HJ19" s="392"/>
      <c r="HK19" s="392"/>
      <c r="HL19" s="392"/>
      <c r="HM19" s="392"/>
      <c r="HN19" s="392"/>
      <c r="HO19" s="392"/>
      <c r="HP19" s="392"/>
      <c r="HQ19" s="392"/>
      <c r="HR19" s="392"/>
      <c r="HS19" s="392"/>
      <c r="HT19" s="392"/>
      <c r="HU19" s="392"/>
      <c r="HV19" s="392"/>
      <c r="HW19" s="392"/>
      <c r="HX19" s="392"/>
      <c r="HY19" s="392"/>
      <c r="HZ19" s="392"/>
      <c r="IA19" s="392"/>
      <c r="IB19" s="392"/>
      <c r="IC19" s="392"/>
      <c r="ID19" s="392"/>
      <c r="IE19" s="392"/>
      <c r="IF19" s="392"/>
      <c r="IG19" s="392"/>
      <c r="IH19" s="392"/>
      <c r="II19" s="392"/>
      <c r="IJ19" s="392"/>
      <c r="IK19" s="392"/>
      <c r="IL19" s="392"/>
      <c r="IM19" s="392"/>
      <c r="IN19" s="392"/>
      <c r="IO19" s="392"/>
      <c r="IP19" s="392"/>
      <c r="IQ19" s="392"/>
      <c r="IR19" s="392"/>
      <c r="IS19" s="392"/>
      <c r="IT19" s="392"/>
      <c r="IU19" s="392"/>
      <c r="IV19" s="392"/>
      <c r="IW19" s="392"/>
      <c r="IX19" s="392"/>
      <c r="IY19" s="392"/>
      <c r="IZ19" s="392"/>
      <c r="JA19" s="392"/>
      <c r="JB19" s="392"/>
      <c r="JC19" s="392"/>
      <c r="JD19" s="392"/>
      <c r="JE19" s="392"/>
      <c r="JF19" s="392"/>
      <c r="JG19" s="392"/>
      <c r="JH19" s="392"/>
      <c r="JI19" s="393">
        <f>SUM(A19:JH19)</f>
        <v>0</v>
      </c>
      <c r="JJ19" s="2">
        <v>5727</v>
      </c>
      <c r="JK19" s="392">
        <f t="shared" si="1"/>
        <v>0</v>
      </c>
      <c r="JL19" s="284"/>
      <c r="JM19" s="284"/>
      <c r="JN19" s="284"/>
      <c r="JO19" s="284"/>
      <c r="JP19" s="284"/>
      <c r="JQ19" s="170"/>
    </row>
    <row r="20" spans="1:278" x14ac:dyDescent="0.3">
      <c r="A20" s="392"/>
      <c r="B20" s="392"/>
      <c r="C20" s="392"/>
      <c r="D20" s="392"/>
      <c r="E20" s="392"/>
      <c r="F20" s="392"/>
      <c r="G20" s="392"/>
      <c r="H20" s="392"/>
      <c r="I20" s="392"/>
      <c r="J20" s="392"/>
      <c r="K20" s="392"/>
      <c r="L20" s="392"/>
      <c r="M20" s="392"/>
      <c r="N20" s="392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392"/>
      <c r="AA20" s="392"/>
      <c r="AB20" s="392"/>
      <c r="AC20" s="392"/>
      <c r="AD20" s="392"/>
      <c r="AE20" s="392"/>
      <c r="AF20" s="392"/>
      <c r="AG20" s="392"/>
      <c r="AH20" s="392"/>
      <c r="AI20" s="392"/>
      <c r="AJ20" s="392"/>
      <c r="AK20" s="392"/>
      <c r="AL20" s="392"/>
      <c r="AM20" s="392"/>
      <c r="AN20" s="392"/>
      <c r="AO20" s="392"/>
      <c r="AP20" s="392"/>
      <c r="AQ20" s="392"/>
      <c r="AR20" s="392"/>
      <c r="AS20" s="392"/>
      <c r="AT20" s="392"/>
      <c r="AU20" s="392"/>
      <c r="AV20" s="392"/>
      <c r="AW20" s="392"/>
      <c r="AX20" s="392"/>
      <c r="AY20" s="392"/>
      <c r="AZ20" s="392"/>
      <c r="BA20" s="392"/>
      <c r="BB20" s="392"/>
      <c r="BC20" s="392"/>
      <c r="BD20" s="392"/>
      <c r="BE20" s="392"/>
      <c r="BF20" s="392"/>
      <c r="BG20" s="392"/>
      <c r="BH20" s="392"/>
      <c r="BI20" s="392"/>
      <c r="BJ20" s="392"/>
      <c r="BK20" s="392"/>
      <c r="BL20" s="392"/>
      <c r="BM20" s="392"/>
      <c r="BN20" s="392"/>
      <c r="BO20" s="392"/>
      <c r="BP20" s="392"/>
      <c r="BQ20" s="392"/>
      <c r="BR20" s="392"/>
      <c r="BS20" s="392"/>
      <c r="BT20" s="392"/>
      <c r="BU20" s="392"/>
      <c r="BV20" s="392"/>
      <c r="BW20" s="392"/>
      <c r="BX20" s="392"/>
      <c r="BY20" s="392"/>
      <c r="BZ20" s="392"/>
      <c r="CA20" s="392"/>
      <c r="CB20" s="392"/>
      <c r="CC20" s="392"/>
      <c r="CD20" s="392"/>
      <c r="CE20" s="392"/>
      <c r="CF20" s="392"/>
      <c r="CG20" s="392"/>
      <c r="CH20" s="392"/>
      <c r="CI20" s="392"/>
      <c r="CJ20" s="392"/>
      <c r="CK20" s="392"/>
      <c r="CL20" s="392"/>
      <c r="CM20" s="392"/>
      <c r="CN20" s="392"/>
      <c r="CO20" s="392"/>
      <c r="CP20" s="392"/>
      <c r="CQ20" s="392"/>
      <c r="CR20" s="392"/>
      <c r="CS20" s="392"/>
      <c r="CT20" s="392"/>
      <c r="CU20" s="392"/>
      <c r="CV20" s="392"/>
      <c r="CW20" s="392"/>
      <c r="CX20" s="392"/>
      <c r="CY20" s="392"/>
      <c r="CZ20" s="392"/>
      <c r="DA20" s="392"/>
      <c r="DB20" s="392"/>
      <c r="DC20" s="392"/>
      <c r="DD20" s="392"/>
      <c r="DE20" s="392"/>
      <c r="DF20" s="392"/>
      <c r="DG20" s="392"/>
      <c r="DH20" s="392"/>
      <c r="DI20" s="392"/>
      <c r="DJ20" s="392"/>
      <c r="DK20" s="392"/>
      <c r="DL20" s="392"/>
      <c r="DM20" s="392"/>
      <c r="DN20" s="392"/>
      <c r="DO20" s="392"/>
      <c r="DP20" s="392"/>
      <c r="DQ20" s="392"/>
      <c r="DR20" s="392"/>
      <c r="DS20" s="392"/>
      <c r="DT20" s="392"/>
      <c r="DU20" s="392"/>
      <c r="DV20" s="392"/>
      <c r="DW20" s="392"/>
      <c r="DX20" s="392"/>
      <c r="DY20" s="392"/>
      <c r="DZ20" s="392"/>
      <c r="EA20" s="392"/>
      <c r="EB20" s="392"/>
      <c r="EC20" s="392"/>
      <c r="ED20" s="392"/>
      <c r="EE20" s="392"/>
      <c r="EF20" s="392"/>
      <c r="EG20" s="392"/>
      <c r="EH20" s="392"/>
      <c r="EI20" s="392"/>
      <c r="EJ20" s="392"/>
      <c r="EK20" s="392"/>
      <c r="EL20" s="392"/>
      <c r="EM20" s="392"/>
      <c r="EN20" s="392"/>
      <c r="EO20" s="392"/>
      <c r="EP20" s="392"/>
      <c r="EQ20" s="392"/>
      <c r="ER20" s="392"/>
      <c r="ES20" s="392"/>
      <c r="ET20" s="392"/>
      <c r="EU20" s="392"/>
      <c r="EV20" s="392"/>
      <c r="EW20" s="392"/>
      <c r="EX20" s="392"/>
      <c r="EY20" s="392"/>
      <c r="EZ20" s="392"/>
      <c r="FA20" s="392"/>
      <c r="FB20" s="392"/>
      <c r="FC20" s="392"/>
      <c r="FD20" s="392"/>
      <c r="FE20" s="392"/>
      <c r="FF20" s="392"/>
      <c r="FG20" s="392"/>
      <c r="FH20" s="392"/>
      <c r="FI20" s="392"/>
      <c r="FJ20" s="392"/>
      <c r="FK20" s="392"/>
      <c r="FL20" s="392"/>
      <c r="FM20" s="392"/>
      <c r="FN20" s="392"/>
      <c r="FO20" s="392"/>
      <c r="FP20" s="392"/>
      <c r="FQ20" s="392"/>
      <c r="FR20" s="392"/>
      <c r="FS20" s="392"/>
      <c r="FT20" s="392"/>
      <c r="FU20" s="392"/>
      <c r="FV20" s="392"/>
      <c r="FW20" s="392"/>
      <c r="FX20" s="392"/>
      <c r="FY20" s="392"/>
      <c r="FZ20" s="392"/>
      <c r="GA20" s="392"/>
      <c r="GB20" s="392"/>
      <c r="GC20" s="392"/>
      <c r="GD20" s="392"/>
      <c r="GE20" s="392"/>
      <c r="GF20" s="392"/>
      <c r="GG20" s="392"/>
      <c r="GH20" s="392"/>
      <c r="GI20" s="392"/>
      <c r="GJ20" s="392"/>
      <c r="GK20" s="392"/>
      <c r="GL20" s="392"/>
      <c r="GM20" s="392"/>
      <c r="GN20" s="392"/>
      <c r="GO20" s="392"/>
      <c r="GP20" s="392"/>
      <c r="GQ20" s="392"/>
      <c r="GR20" s="392"/>
      <c r="GS20" s="392"/>
      <c r="GT20" s="392"/>
      <c r="GU20" s="392"/>
      <c r="GV20" s="392"/>
      <c r="GW20" s="392"/>
      <c r="GX20" s="392"/>
      <c r="GY20" s="392"/>
      <c r="GZ20" s="392"/>
      <c r="HA20" s="392"/>
      <c r="HB20" s="392"/>
      <c r="HC20" s="392"/>
      <c r="HD20" s="392"/>
      <c r="HE20" s="392"/>
      <c r="HF20" s="392"/>
      <c r="HG20" s="392"/>
      <c r="HH20" s="392"/>
      <c r="HI20" s="392"/>
      <c r="HJ20" s="392"/>
      <c r="HK20" s="392"/>
      <c r="HL20" s="392"/>
      <c r="HM20" s="392"/>
      <c r="HN20" s="392"/>
      <c r="HO20" s="392"/>
      <c r="HP20" s="392"/>
      <c r="HQ20" s="392"/>
      <c r="HR20" s="392"/>
      <c r="HS20" s="392"/>
      <c r="HT20" s="392"/>
      <c r="HU20" s="392"/>
      <c r="HV20" s="392"/>
      <c r="HW20" s="392"/>
      <c r="HX20" s="392"/>
      <c r="HY20" s="392"/>
      <c r="HZ20" s="392"/>
      <c r="IA20" s="392"/>
      <c r="IB20" s="392"/>
      <c r="IC20" s="392"/>
      <c r="ID20" s="392"/>
      <c r="IE20" s="392"/>
      <c r="IF20" s="392"/>
      <c r="IG20" s="392"/>
      <c r="IH20" s="392"/>
      <c r="II20" s="392"/>
      <c r="IJ20" s="392"/>
      <c r="IK20" s="392"/>
      <c r="IL20" s="392"/>
      <c r="IM20" s="392"/>
      <c r="IN20" s="392"/>
      <c r="IO20" s="392"/>
      <c r="IP20" s="392"/>
      <c r="IQ20" s="392"/>
      <c r="IR20" s="392"/>
      <c r="IS20" s="392"/>
      <c r="IT20" s="392"/>
      <c r="IU20" s="392"/>
      <c r="IV20" s="392"/>
      <c r="IW20" s="392"/>
      <c r="IX20" s="392"/>
      <c r="IY20" s="392"/>
      <c r="IZ20" s="392"/>
      <c r="JA20" s="392"/>
      <c r="JB20" s="392"/>
      <c r="JC20" s="392"/>
      <c r="JD20" s="392"/>
      <c r="JE20" s="392"/>
      <c r="JF20" s="392"/>
      <c r="JG20" s="392"/>
      <c r="JH20" s="392"/>
      <c r="JI20" s="393">
        <f t="shared" si="0"/>
        <v>0</v>
      </c>
      <c r="JJ20" s="2">
        <v>5731</v>
      </c>
      <c r="JK20" s="392">
        <f t="shared" si="1"/>
        <v>0</v>
      </c>
      <c r="JL20" s="284"/>
      <c r="JM20" s="284"/>
      <c r="JN20" s="284"/>
      <c r="JO20" s="284"/>
      <c r="JP20" s="284"/>
      <c r="JQ20" s="170"/>
    </row>
    <row r="21" spans="1:278" x14ac:dyDescent="0.3">
      <c r="A21" s="392"/>
      <c r="B21" s="392"/>
      <c r="C21" s="392"/>
      <c r="D21" s="392"/>
      <c r="E21" s="392"/>
      <c r="F21" s="392"/>
      <c r="G21" s="392"/>
      <c r="H21" s="392"/>
      <c r="I21" s="392"/>
      <c r="J21" s="392"/>
      <c r="K21" s="392"/>
      <c r="L21" s="392"/>
      <c r="M21" s="392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  <c r="AA21" s="392"/>
      <c r="AB21" s="392"/>
      <c r="AC21" s="392"/>
      <c r="AD21" s="392"/>
      <c r="AE21" s="392"/>
      <c r="AF21" s="392"/>
      <c r="AG21" s="392"/>
      <c r="AH21" s="392"/>
      <c r="AI21" s="392"/>
      <c r="AJ21" s="392"/>
      <c r="AK21" s="392"/>
      <c r="AL21" s="392"/>
      <c r="AM21" s="392"/>
      <c r="AN21" s="392"/>
      <c r="AO21" s="392"/>
      <c r="AP21" s="392"/>
      <c r="AQ21" s="392"/>
      <c r="AR21" s="392"/>
      <c r="AS21" s="392"/>
      <c r="AT21" s="392"/>
      <c r="AU21" s="392"/>
      <c r="AV21" s="392"/>
      <c r="AW21" s="392"/>
      <c r="AX21" s="392"/>
      <c r="AY21" s="392"/>
      <c r="AZ21" s="392"/>
      <c r="BA21" s="392"/>
      <c r="BB21" s="392"/>
      <c r="BC21" s="392"/>
      <c r="BD21" s="392"/>
      <c r="BE21" s="392"/>
      <c r="BF21" s="392"/>
      <c r="BG21" s="392"/>
      <c r="BH21" s="392"/>
      <c r="BI21" s="392"/>
      <c r="BJ21" s="392"/>
      <c r="BK21" s="392"/>
      <c r="BL21" s="392"/>
      <c r="BM21" s="392"/>
      <c r="BN21" s="392"/>
      <c r="BO21" s="392"/>
      <c r="BP21" s="392"/>
      <c r="BQ21" s="392"/>
      <c r="BR21" s="392"/>
      <c r="BS21" s="392"/>
      <c r="BT21" s="392"/>
      <c r="BU21" s="392"/>
      <c r="BV21" s="392"/>
      <c r="BW21" s="392"/>
      <c r="BX21" s="392"/>
      <c r="BY21" s="392"/>
      <c r="BZ21" s="392"/>
      <c r="CA21" s="392"/>
      <c r="CB21" s="392"/>
      <c r="CC21" s="392"/>
      <c r="CD21" s="392"/>
      <c r="CE21" s="392"/>
      <c r="CF21" s="392"/>
      <c r="CG21" s="392"/>
      <c r="CH21" s="392"/>
      <c r="CI21" s="392"/>
      <c r="CJ21" s="392"/>
      <c r="CK21" s="392"/>
      <c r="CL21" s="392"/>
      <c r="CM21" s="392"/>
      <c r="CN21" s="392"/>
      <c r="CO21" s="392"/>
      <c r="CP21" s="392"/>
      <c r="CQ21" s="392"/>
      <c r="CR21" s="392"/>
      <c r="CS21" s="392"/>
      <c r="CT21" s="392"/>
      <c r="CU21" s="392"/>
      <c r="CV21" s="392"/>
      <c r="CW21" s="392"/>
      <c r="CX21" s="392"/>
      <c r="CY21" s="392"/>
      <c r="CZ21" s="392"/>
      <c r="DA21" s="392"/>
      <c r="DB21" s="392"/>
      <c r="DC21" s="392"/>
      <c r="DD21" s="392"/>
      <c r="DE21" s="392"/>
      <c r="DF21" s="392"/>
      <c r="DG21" s="392"/>
      <c r="DH21" s="392"/>
      <c r="DI21" s="392"/>
      <c r="DJ21" s="392"/>
      <c r="DK21" s="392"/>
      <c r="DL21" s="392"/>
      <c r="DM21" s="392"/>
      <c r="DN21" s="392"/>
      <c r="DO21" s="392"/>
      <c r="DP21" s="392"/>
      <c r="DQ21" s="392"/>
      <c r="DR21" s="392"/>
      <c r="DS21" s="392"/>
      <c r="DT21" s="392"/>
      <c r="DU21" s="392"/>
      <c r="DV21" s="392"/>
      <c r="DW21" s="392"/>
      <c r="DX21" s="392"/>
      <c r="DY21" s="392"/>
      <c r="DZ21" s="392"/>
      <c r="EA21" s="392"/>
      <c r="EB21" s="392"/>
      <c r="EC21" s="392"/>
      <c r="ED21" s="392"/>
      <c r="EE21" s="392"/>
      <c r="EF21" s="392"/>
      <c r="EG21" s="392"/>
      <c r="EH21" s="392"/>
      <c r="EI21" s="392"/>
      <c r="EJ21" s="392"/>
      <c r="EK21" s="392"/>
      <c r="EL21" s="392"/>
      <c r="EM21" s="392"/>
      <c r="EN21" s="392"/>
      <c r="EO21" s="392"/>
      <c r="EP21" s="392"/>
      <c r="EQ21" s="392"/>
      <c r="ER21" s="392"/>
      <c r="ES21" s="392"/>
      <c r="ET21" s="392"/>
      <c r="EU21" s="392"/>
      <c r="EV21" s="392"/>
      <c r="EW21" s="392"/>
      <c r="EX21" s="392"/>
      <c r="EY21" s="392"/>
      <c r="EZ21" s="392"/>
      <c r="FA21" s="392"/>
      <c r="FB21" s="392"/>
      <c r="FC21" s="392"/>
      <c r="FD21" s="392"/>
      <c r="FE21" s="392"/>
      <c r="FF21" s="392"/>
      <c r="FG21" s="392"/>
      <c r="FH21" s="392"/>
      <c r="FI21" s="392"/>
      <c r="FJ21" s="392"/>
      <c r="FK21" s="392"/>
      <c r="FL21" s="392"/>
      <c r="FM21" s="392"/>
      <c r="FN21" s="392"/>
      <c r="FO21" s="392"/>
      <c r="FP21" s="392"/>
      <c r="FQ21" s="392"/>
      <c r="FR21" s="392"/>
      <c r="FS21" s="392"/>
      <c r="FT21" s="392"/>
      <c r="FU21" s="392"/>
      <c r="FV21" s="392"/>
      <c r="FW21" s="392"/>
      <c r="FX21" s="392"/>
      <c r="FY21" s="392"/>
      <c r="FZ21" s="392"/>
      <c r="GA21" s="392"/>
      <c r="GB21" s="392"/>
      <c r="GC21" s="392"/>
      <c r="GD21" s="392"/>
      <c r="GE21" s="392"/>
      <c r="GF21" s="392"/>
      <c r="GG21" s="392"/>
      <c r="GH21" s="392"/>
      <c r="GI21" s="392"/>
      <c r="GJ21" s="392"/>
      <c r="GK21" s="392"/>
      <c r="GL21" s="392"/>
      <c r="GM21" s="392"/>
      <c r="GN21" s="392"/>
      <c r="GO21" s="392"/>
      <c r="GP21" s="392"/>
      <c r="GQ21" s="392"/>
      <c r="GR21" s="392"/>
      <c r="GS21" s="392"/>
      <c r="GT21" s="392"/>
      <c r="GU21" s="392"/>
      <c r="GV21" s="392"/>
      <c r="GW21" s="392"/>
      <c r="GX21" s="392"/>
      <c r="GY21" s="392"/>
      <c r="GZ21" s="392"/>
      <c r="HA21" s="392"/>
      <c r="HB21" s="392"/>
      <c r="HC21" s="392"/>
      <c r="HD21" s="392"/>
      <c r="HE21" s="392"/>
      <c r="HF21" s="392"/>
      <c r="HG21" s="392"/>
      <c r="HH21" s="392"/>
      <c r="HI21" s="392"/>
      <c r="HJ21" s="392"/>
      <c r="HK21" s="392"/>
      <c r="HL21" s="392"/>
      <c r="HM21" s="392"/>
      <c r="HN21" s="392"/>
      <c r="HO21" s="392"/>
      <c r="HP21" s="392"/>
      <c r="HQ21" s="392"/>
      <c r="HR21" s="392"/>
      <c r="HS21" s="392"/>
      <c r="HT21" s="392"/>
      <c r="HU21" s="392"/>
      <c r="HV21" s="392"/>
      <c r="HW21" s="392"/>
      <c r="HX21" s="392"/>
      <c r="HY21" s="392"/>
      <c r="HZ21" s="392"/>
      <c r="IA21" s="392"/>
      <c r="IB21" s="392"/>
      <c r="IC21" s="392"/>
      <c r="ID21" s="392"/>
      <c r="IE21" s="392"/>
      <c r="IF21" s="392"/>
      <c r="IG21" s="392"/>
      <c r="IH21" s="392"/>
      <c r="II21" s="392"/>
      <c r="IJ21" s="392"/>
      <c r="IK21" s="392"/>
      <c r="IL21" s="392"/>
      <c r="IM21" s="392"/>
      <c r="IN21" s="392"/>
      <c r="IO21" s="392"/>
      <c r="IP21" s="392"/>
      <c r="IQ21" s="392"/>
      <c r="IR21" s="392"/>
      <c r="IS21" s="392"/>
      <c r="IT21" s="392"/>
      <c r="IU21" s="392"/>
      <c r="IV21" s="392"/>
      <c r="IW21" s="392"/>
      <c r="IX21" s="392"/>
      <c r="IY21" s="392"/>
      <c r="IZ21" s="392"/>
      <c r="JA21" s="392"/>
      <c r="JB21" s="392"/>
      <c r="JC21" s="392"/>
      <c r="JD21" s="392"/>
      <c r="JE21" s="392"/>
      <c r="JF21" s="392"/>
      <c r="JG21" s="392"/>
      <c r="JH21" s="392"/>
      <c r="JI21" s="393">
        <f t="shared" si="0"/>
        <v>0</v>
      </c>
      <c r="JJ21" s="2">
        <v>5735</v>
      </c>
      <c r="JK21" s="392">
        <f t="shared" si="1"/>
        <v>0</v>
      </c>
      <c r="JL21" s="284"/>
      <c r="JM21" s="284"/>
      <c r="JN21" s="284"/>
      <c r="JO21" s="284"/>
      <c r="JP21" s="284"/>
      <c r="JQ21" s="170"/>
    </row>
    <row r="22" spans="1:278" x14ac:dyDescent="0.3">
      <c r="A22" s="392"/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  <c r="AI22" s="392"/>
      <c r="AJ22" s="392"/>
      <c r="AK22" s="392"/>
      <c r="AL22" s="392"/>
      <c r="AM22" s="392"/>
      <c r="AN22" s="392"/>
      <c r="AO22" s="392"/>
      <c r="AP22" s="392"/>
      <c r="AQ22" s="392"/>
      <c r="AR22" s="392"/>
      <c r="AS22" s="392"/>
      <c r="AT22" s="392"/>
      <c r="AU22" s="392"/>
      <c r="AV22" s="392"/>
      <c r="AW22" s="392"/>
      <c r="AX22" s="392"/>
      <c r="AY22" s="392"/>
      <c r="AZ22" s="392"/>
      <c r="BA22" s="392"/>
      <c r="BB22" s="392"/>
      <c r="BC22" s="392"/>
      <c r="BD22" s="392"/>
      <c r="BE22" s="392"/>
      <c r="BF22" s="392"/>
      <c r="BG22" s="392"/>
      <c r="BH22" s="392"/>
      <c r="BI22" s="392"/>
      <c r="BJ22" s="392"/>
      <c r="BK22" s="392"/>
      <c r="BL22" s="392"/>
      <c r="BM22" s="392"/>
      <c r="BN22" s="392"/>
      <c r="BO22" s="392"/>
      <c r="BP22" s="392"/>
      <c r="BQ22" s="392"/>
      <c r="BR22" s="392"/>
      <c r="BS22" s="392"/>
      <c r="BT22" s="392"/>
      <c r="BU22" s="392"/>
      <c r="BV22" s="392"/>
      <c r="BW22" s="392"/>
      <c r="BX22" s="392"/>
      <c r="BY22" s="392"/>
      <c r="BZ22" s="392"/>
      <c r="CA22" s="392"/>
      <c r="CB22" s="392"/>
      <c r="CC22" s="392"/>
      <c r="CD22" s="392"/>
      <c r="CE22" s="392"/>
      <c r="CF22" s="392"/>
      <c r="CG22" s="392"/>
      <c r="CH22" s="392"/>
      <c r="CI22" s="392"/>
      <c r="CJ22" s="392"/>
      <c r="CK22" s="392"/>
      <c r="CL22" s="392"/>
      <c r="CM22" s="392"/>
      <c r="CN22" s="392"/>
      <c r="CO22" s="392"/>
      <c r="CP22" s="392"/>
      <c r="CQ22" s="392"/>
      <c r="CR22" s="392"/>
      <c r="CS22" s="392"/>
      <c r="CT22" s="392"/>
      <c r="CU22" s="392"/>
      <c r="CV22" s="392"/>
      <c r="CW22" s="392"/>
      <c r="CX22" s="392"/>
      <c r="CY22" s="392"/>
      <c r="CZ22" s="392"/>
      <c r="DA22" s="392"/>
      <c r="DB22" s="392"/>
      <c r="DC22" s="392"/>
      <c r="DD22" s="392"/>
      <c r="DE22" s="392"/>
      <c r="DF22" s="392"/>
      <c r="DG22" s="392"/>
      <c r="DH22" s="392"/>
      <c r="DI22" s="392"/>
      <c r="DJ22" s="392"/>
      <c r="DK22" s="392"/>
      <c r="DL22" s="392"/>
      <c r="DM22" s="392"/>
      <c r="DN22" s="392"/>
      <c r="DO22" s="392"/>
      <c r="DP22" s="392"/>
      <c r="DQ22" s="392"/>
      <c r="DR22" s="392"/>
      <c r="DS22" s="392"/>
      <c r="DT22" s="392"/>
      <c r="DU22" s="392"/>
      <c r="DV22" s="392"/>
      <c r="DW22" s="392"/>
      <c r="DX22" s="392"/>
      <c r="DY22" s="392"/>
      <c r="DZ22" s="392"/>
      <c r="EA22" s="392"/>
      <c r="EB22" s="392"/>
      <c r="EC22" s="392"/>
      <c r="ED22" s="392"/>
      <c r="EE22" s="392"/>
      <c r="EF22" s="392"/>
      <c r="EG22" s="392"/>
      <c r="EH22" s="392"/>
      <c r="EI22" s="392"/>
      <c r="EJ22" s="392"/>
      <c r="EK22" s="392"/>
      <c r="EL22" s="392"/>
      <c r="EM22" s="392"/>
      <c r="EN22" s="392"/>
      <c r="EO22" s="392"/>
      <c r="EP22" s="392"/>
      <c r="EQ22" s="392"/>
      <c r="ER22" s="392"/>
      <c r="ES22" s="392"/>
      <c r="ET22" s="392"/>
      <c r="EU22" s="392"/>
      <c r="EV22" s="392"/>
      <c r="EW22" s="392"/>
      <c r="EX22" s="392"/>
      <c r="EY22" s="392"/>
      <c r="EZ22" s="392"/>
      <c r="FA22" s="392"/>
      <c r="FB22" s="392"/>
      <c r="FC22" s="392"/>
      <c r="FD22" s="392"/>
      <c r="FE22" s="392"/>
      <c r="FF22" s="392"/>
      <c r="FG22" s="392"/>
      <c r="FH22" s="392"/>
      <c r="FI22" s="392"/>
      <c r="FJ22" s="392"/>
      <c r="FK22" s="392"/>
      <c r="FL22" s="392"/>
      <c r="FM22" s="392"/>
      <c r="FN22" s="392"/>
      <c r="FO22" s="392"/>
      <c r="FP22" s="392"/>
      <c r="FQ22" s="392"/>
      <c r="FR22" s="392"/>
      <c r="FS22" s="392"/>
      <c r="FT22" s="392"/>
      <c r="FU22" s="392"/>
      <c r="FV22" s="392"/>
      <c r="FW22" s="392"/>
      <c r="FX22" s="392"/>
      <c r="FY22" s="392"/>
      <c r="FZ22" s="392"/>
      <c r="GA22" s="392"/>
      <c r="GB22" s="392"/>
      <c r="GC22" s="392"/>
      <c r="GD22" s="392"/>
      <c r="GE22" s="392"/>
      <c r="GF22" s="392"/>
      <c r="GG22" s="392"/>
      <c r="GH22" s="392"/>
      <c r="GI22" s="392"/>
      <c r="GJ22" s="392"/>
      <c r="GK22" s="392"/>
      <c r="GL22" s="392"/>
      <c r="GM22" s="392"/>
      <c r="GN22" s="392"/>
      <c r="GO22" s="392"/>
      <c r="GP22" s="392"/>
      <c r="GQ22" s="392"/>
      <c r="GR22" s="392"/>
      <c r="GS22" s="392"/>
      <c r="GT22" s="392"/>
      <c r="GU22" s="392"/>
      <c r="GV22" s="392"/>
      <c r="GW22" s="392"/>
      <c r="GX22" s="392"/>
      <c r="GY22" s="392"/>
      <c r="GZ22" s="392"/>
      <c r="HA22" s="392"/>
      <c r="HB22" s="392"/>
      <c r="HC22" s="392"/>
      <c r="HD22" s="392"/>
      <c r="HE22" s="392"/>
      <c r="HF22" s="392"/>
      <c r="HG22" s="392"/>
      <c r="HH22" s="392"/>
      <c r="HI22" s="392"/>
      <c r="HJ22" s="392"/>
      <c r="HK22" s="392"/>
      <c r="HL22" s="392"/>
      <c r="HM22" s="392"/>
      <c r="HN22" s="392"/>
      <c r="HO22" s="392"/>
      <c r="HP22" s="392"/>
      <c r="HQ22" s="392"/>
      <c r="HR22" s="392"/>
      <c r="HS22" s="392"/>
      <c r="HT22" s="392"/>
      <c r="HU22" s="392"/>
      <c r="HV22" s="392"/>
      <c r="HW22" s="392"/>
      <c r="HX22" s="392"/>
      <c r="HY22" s="392"/>
      <c r="HZ22" s="392"/>
      <c r="IA22" s="392"/>
      <c r="IB22" s="392"/>
      <c r="IC22" s="392"/>
      <c r="ID22" s="392"/>
      <c r="IE22" s="392"/>
      <c r="IF22" s="392"/>
      <c r="IG22" s="392"/>
      <c r="IH22" s="392"/>
      <c r="II22" s="392"/>
      <c r="IJ22" s="392"/>
      <c r="IK22" s="392"/>
      <c r="IL22" s="392"/>
      <c r="IM22" s="392"/>
      <c r="IN22" s="392"/>
      <c r="IO22" s="392"/>
      <c r="IP22" s="392"/>
      <c r="IQ22" s="392"/>
      <c r="IR22" s="392"/>
      <c r="IS22" s="392"/>
      <c r="IT22" s="392"/>
      <c r="IU22" s="392"/>
      <c r="IV22" s="392"/>
      <c r="IW22" s="392"/>
      <c r="IX22" s="392"/>
      <c r="IY22" s="392"/>
      <c r="IZ22" s="392"/>
      <c r="JA22" s="392"/>
      <c r="JB22" s="392"/>
      <c r="JC22" s="392"/>
      <c r="JD22" s="392"/>
      <c r="JE22" s="392"/>
      <c r="JF22" s="392"/>
      <c r="JG22" s="392"/>
      <c r="JH22" s="392"/>
      <c r="JI22" s="393">
        <f t="shared" si="0"/>
        <v>0</v>
      </c>
      <c r="JJ22" s="2">
        <v>5739</v>
      </c>
      <c r="JK22" s="392">
        <f t="shared" si="1"/>
        <v>0</v>
      </c>
      <c r="JL22" s="284"/>
      <c r="JM22" s="284"/>
      <c r="JN22" s="284"/>
      <c r="JO22" s="284"/>
      <c r="JP22" s="284"/>
      <c r="JQ22" s="170"/>
    </row>
    <row r="23" spans="1:278" x14ac:dyDescent="0.3">
      <c r="A23" s="392"/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2"/>
      <c r="M23" s="392"/>
      <c r="N23" s="392"/>
      <c r="O23" s="392"/>
      <c r="P23" s="392"/>
      <c r="Q23" s="392"/>
      <c r="R23" s="392"/>
      <c r="S23" s="392"/>
      <c r="T23" s="392"/>
      <c r="U23" s="392"/>
      <c r="V23" s="392"/>
      <c r="W23" s="392"/>
      <c r="X23" s="392"/>
      <c r="Y23" s="392"/>
      <c r="Z23" s="392"/>
      <c r="AA23" s="392"/>
      <c r="AB23" s="392"/>
      <c r="AC23" s="392"/>
      <c r="AD23" s="392"/>
      <c r="AE23" s="392"/>
      <c r="AF23" s="392"/>
      <c r="AG23" s="392"/>
      <c r="AH23" s="392"/>
      <c r="AI23" s="392"/>
      <c r="AJ23" s="392"/>
      <c r="AK23" s="392"/>
      <c r="AL23" s="392"/>
      <c r="AM23" s="392"/>
      <c r="AN23" s="392"/>
      <c r="AO23" s="392"/>
      <c r="AP23" s="392"/>
      <c r="AQ23" s="392"/>
      <c r="AR23" s="392"/>
      <c r="AS23" s="392"/>
      <c r="AT23" s="392"/>
      <c r="AU23" s="392"/>
      <c r="AV23" s="392"/>
      <c r="AW23" s="392"/>
      <c r="AX23" s="392"/>
      <c r="AY23" s="392"/>
      <c r="AZ23" s="392"/>
      <c r="BA23" s="392"/>
      <c r="BB23" s="392"/>
      <c r="BC23" s="392"/>
      <c r="BD23" s="392"/>
      <c r="BE23" s="392"/>
      <c r="BF23" s="392"/>
      <c r="BG23" s="392"/>
      <c r="BH23" s="392"/>
      <c r="BI23" s="392"/>
      <c r="BJ23" s="392"/>
      <c r="BK23" s="392"/>
      <c r="BL23" s="392"/>
      <c r="BM23" s="392"/>
      <c r="BN23" s="392"/>
      <c r="BO23" s="392"/>
      <c r="BP23" s="392"/>
      <c r="BQ23" s="392"/>
      <c r="BR23" s="392"/>
      <c r="BS23" s="392"/>
      <c r="BT23" s="392"/>
      <c r="BU23" s="392"/>
      <c r="BV23" s="392"/>
      <c r="BW23" s="392"/>
      <c r="BX23" s="392"/>
      <c r="BY23" s="392"/>
      <c r="BZ23" s="392"/>
      <c r="CA23" s="392"/>
      <c r="CB23" s="392"/>
      <c r="CC23" s="392"/>
      <c r="CD23" s="392"/>
      <c r="CE23" s="392"/>
      <c r="CF23" s="392"/>
      <c r="CG23" s="392"/>
      <c r="CH23" s="392"/>
      <c r="CI23" s="392"/>
      <c r="CJ23" s="392"/>
      <c r="CK23" s="392"/>
      <c r="CL23" s="392"/>
      <c r="CM23" s="392"/>
      <c r="CN23" s="392"/>
      <c r="CO23" s="392"/>
      <c r="CP23" s="392"/>
      <c r="CQ23" s="392"/>
      <c r="CR23" s="392"/>
      <c r="CS23" s="392"/>
      <c r="CT23" s="392"/>
      <c r="CU23" s="392"/>
      <c r="CV23" s="392"/>
      <c r="CW23" s="392"/>
      <c r="CX23" s="392"/>
      <c r="CY23" s="392"/>
      <c r="CZ23" s="392"/>
      <c r="DA23" s="392"/>
      <c r="DB23" s="392"/>
      <c r="DC23" s="392"/>
      <c r="DD23" s="392"/>
      <c r="DE23" s="392"/>
      <c r="DF23" s="392"/>
      <c r="DG23" s="392"/>
      <c r="DH23" s="392"/>
      <c r="DI23" s="392"/>
      <c r="DJ23" s="392"/>
      <c r="DK23" s="392"/>
      <c r="DL23" s="392"/>
      <c r="DM23" s="392"/>
      <c r="DN23" s="392"/>
      <c r="DO23" s="392"/>
      <c r="DP23" s="392"/>
      <c r="DQ23" s="392"/>
      <c r="DR23" s="392"/>
      <c r="DS23" s="392"/>
      <c r="DT23" s="392"/>
      <c r="DU23" s="392"/>
      <c r="DV23" s="392"/>
      <c r="DW23" s="392"/>
      <c r="DX23" s="392"/>
      <c r="DY23" s="392"/>
      <c r="DZ23" s="392"/>
      <c r="EA23" s="392"/>
      <c r="EB23" s="392"/>
      <c r="EC23" s="392"/>
      <c r="ED23" s="392"/>
      <c r="EE23" s="392"/>
      <c r="EF23" s="392"/>
      <c r="EG23" s="392"/>
      <c r="EH23" s="392"/>
      <c r="EI23" s="392"/>
      <c r="EJ23" s="392"/>
      <c r="EK23" s="392"/>
      <c r="EL23" s="392"/>
      <c r="EM23" s="392"/>
      <c r="EN23" s="392"/>
      <c r="EO23" s="392"/>
      <c r="EP23" s="392"/>
      <c r="EQ23" s="392"/>
      <c r="ER23" s="392"/>
      <c r="ES23" s="392"/>
      <c r="ET23" s="392"/>
      <c r="EU23" s="392"/>
      <c r="EV23" s="392"/>
      <c r="EW23" s="392"/>
      <c r="EX23" s="392"/>
      <c r="EY23" s="392"/>
      <c r="EZ23" s="392"/>
      <c r="FA23" s="392"/>
      <c r="FB23" s="392"/>
      <c r="FC23" s="392"/>
      <c r="FD23" s="392"/>
      <c r="FE23" s="392"/>
      <c r="FF23" s="392"/>
      <c r="FG23" s="392"/>
      <c r="FH23" s="392"/>
      <c r="FI23" s="392"/>
      <c r="FJ23" s="392"/>
      <c r="FK23" s="392"/>
      <c r="FL23" s="392"/>
      <c r="FM23" s="392"/>
      <c r="FN23" s="392"/>
      <c r="FO23" s="392"/>
      <c r="FP23" s="392"/>
      <c r="FQ23" s="392"/>
      <c r="FR23" s="392"/>
      <c r="FS23" s="392"/>
      <c r="FT23" s="392"/>
      <c r="FU23" s="392"/>
      <c r="FV23" s="392"/>
      <c r="FW23" s="392"/>
      <c r="FX23" s="392"/>
      <c r="FY23" s="392"/>
      <c r="FZ23" s="392"/>
      <c r="GA23" s="392"/>
      <c r="GB23" s="392"/>
      <c r="GC23" s="392"/>
      <c r="GD23" s="392"/>
      <c r="GE23" s="392"/>
      <c r="GF23" s="392"/>
      <c r="GG23" s="392"/>
      <c r="GH23" s="392"/>
      <c r="GI23" s="392"/>
      <c r="GJ23" s="392"/>
      <c r="GK23" s="392"/>
      <c r="GL23" s="392"/>
      <c r="GM23" s="392"/>
      <c r="GN23" s="392"/>
      <c r="GO23" s="392"/>
      <c r="GP23" s="392"/>
      <c r="GQ23" s="392"/>
      <c r="GR23" s="392"/>
      <c r="GS23" s="392"/>
      <c r="GT23" s="392"/>
      <c r="GU23" s="392"/>
      <c r="GV23" s="392"/>
      <c r="GW23" s="392"/>
      <c r="GX23" s="392"/>
      <c r="GY23" s="392"/>
      <c r="GZ23" s="392"/>
      <c r="HA23" s="392"/>
      <c r="HB23" s="392"/>
      <c r="HC23" s="392"/>
      <c r="HD23" s="392"/>
      <c r="HE23" s="392"/>
      <c r="HF23" s="392"/>
      <c r="HG23" s="392"/>
      <c r="HH23" s="392"/>
      <c r="HI23" s="392"/>
      <c r="HJ23" s="392"/>
      <c r="HK23" s="392"/>
      <c r="HL23" s="392"/>
      <c r="HM23" s="392"/>
      <c r="HN23" s="392"/>
      <c r="HO23" s="392"/>
      <c r="HP23" s="392"/>
      <c r="HQ23" s="392"/>
      <c r="HR23" s="392"/>
      <c r="HS23" s="392"/>
      <c r="HT23" s="392"/>
      <c r="HU23" s="392"/>
      <c r="HV23" s="392"/>
      <c r="HW23" s="392"/>
      <c r="HX23" s="392"/>
      <c r="HY23" s="392"/>
      <c r="HZ23" s="392"/>
      <c r="IA23" s="392"/>
      <c r="IB23" s="392"/>
      <c r="IC23" s="392"/>
      <c r="ID23" s="392"/>
      <c r="IE23" s="392"/>
      <c r="IF23" s="392"/>
      <c r="IG23" s="392"/>
      <c r="IH23" s="392"/>
      <c r="II23" s="392"/>
      <c r="IJ23" s="392"/>
      <c r="IK23" s="392"/>
      <c r="IL23" s="392"/>
      <c r="IM23" s="392"/>
      <c r="IN23" s="392"/>
      <c r="IO23" s="392"/>
      <c r="IP23" s="392"/>
      <c r="IQ23" s="392"/>
      <c r="IR23" s="392"/>
      <c r="IS23" s="392"/>
      <c r="IT23" s="392"/>
      <c r="IU23" s="392"/>
      <c r="IV23" s="392"/>
      <c r="IW23" s="392"/>
      <c r="IX23" s="392"/>
      <c r="IY23" s="392"/>
      <c r="IZ23" s="392"/>
      <c r="JA23" s="392"/>
      <c r="JB23" s="392"/>
      <c r="JC23" s="392"/>
      <c r="JD23" s="392"/>
      <c r="JE23" s="392"/>
      <c r="JF23" s="392"/>
      <c r="JG23" s="392"/>
      <c r="JH23" s="392"/>
      <c r="JI23" s="393">
        <f t="shared" si="0"/>
        <v>0</v>
      </c>
      <c r="JJ23" s="2">
        <v>5743</v>
      </c>
      <c r="JK23" s="392">
        <f t="shared" si="1"/>
        <v>0</v>
      </c>
      <c r="JL23" s="284"/>
      <c r="JM23" s="284"/>
      <c r="JN23" s="284"/>
      <c r="JO23" s="284"/>
      <c r="JP23" s="284"/>
      <c r="JQ23" s="170"/>
    </row>
    <row r="24" spans="1:278" x14ac:dyDescent="0.3">
      <c r="A24" s="392"/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  <c r="O24" s="392"/>
      <c r="P24" s="392"/>
      <c r="Q24" s="392"/>
      <c r="R24" s="392"/>
      <c r="S24" s="392"/>
      <c r="T24" s="392"/>
      <c r="U24" s="392"/>
      <c r="V24" s="392"/>
      <c r="W24" s="392"/>
      <c r="X24" s="392"/>
      <c r="Y24" s="392"/>
      <c r="Z24" s="392"/>
      <c r="AA24" s="392"/>
      <c r="AB24" s="392"/>
      <c r="AC24" s="392"/>
      <c r="AD24" s="392"/>
      <c r="AE24" s="392"/>
      <c r="AF24" s="392"/>
      <c r="AG24" s="392"/>
      <c r="AH24" s="392"/>
      <c r="AI24" s="392"/>
      <c r="AJ24" s="392"/>
      <c r="AK24" s="392"/>
      <c r="AL24" s="392"/>
      <c r="AM24" s="392"/>
      <c r="AN24" s="392"/>
      <c r="AO24" s="392"/>
      <c r="AP24" s="392"/>
      <c r="AQ24" s="392"/>
      <c r="AR24" s="392"/>
      <c r="AS24" s="392"/>
      <c r="AT24" s="392"/>
      <c r="AU24" s="392"/>
      <c r="AV24" s="392"/>
      <c r="AW24" s="392"/>
      <c r="AX24" s="392"/>
      <c r="AY24" s="392"/>
      <c r="AZ24" s="392"/>
      <c r="BA24" s="392"/>
      <c r="BB24" s="392"/>
      <c r="BC24" s="392"/>
      <c r="BD24" s="392"/>
      <c r="BE24" s="392"/>
      <c r="BF24" s="392"/>
      <c r="BG24" s="392"/>
      <c r="BH24" s="392"/>
      <c r="BI24" s="392"/>
      <c r="BJ24" s="392"/>
      <c r="BK24" s="392"/>
      <c r="BL24" s="392"/>
      <c r="BM24" s="392"/>
      <c r="BN24" s="392"/>
      <c r="BO24" s="392"/>
      <c r="BP24" s="392"/>
      <c r="BQ24" s="392"/>
      <c r="BR24" s="392"/>
      <c r="BS24" s="392"/>
      <c r="BT24" s="392"/>
      <c r="BU24" s="392"/>
      <c r="BV24" s="392"/>
      <c r="BW24" s="392"/>
      <c r="BX24" s="392"/>
      <c r="BY24" s="392"/>
      <c r="BZ24" s="392"/>
      <c r="CA24" s="392"/>
      <c r="CB24" s="392"/>
      <c r="CC24" s="392"/>
      <c r="CD24" s="392"/>
      <c r="CE24" s="392"/>
      <c r="CF24" s="392"/>
      <c r="CG24" s="392"/>
      <c r="CH24" s="392"/>
      <c r="CI24" s="392"/>
      <c r="CJ24" s="392"/>
      <c r="CK24" s="392"/>
      <c r="CL24" s="392"/>
      <c r="CM24" s="392"/>
      <c r="CN24" s="392"/>
      <c r="CO24" s="392"/>
      <c r="CP24" s="392"/>
      <c r="CQ24" s="392"/>
      <c r="CR24" s="392"/>
      <c r="CS24" s="392"/>
      <c r="CT24" s="392"/>
      <c r="CU24" s="392"/>
      <c r="CV24" s="392"/>
      <c r="CW24" s="392"/>
      <c r="CX24" s="392"/>
      <c r="CY24" s="392"/>
      <c r="CZ24" s="392"/>
      <c r="DA24" s="392"/>
      <c r="DB24" s="392"/>
      <c r="DC24" s="392"/>
      <c r="DD24" s="392"/>
      <c r="DE24" s="392"/>
      <c r="DF24" s="392"/>
      <c r="DG24" s="392"/>
      <c r="DH24" s="392"/>
      <c r="DI24" s="392"/>
      <c r="DJ24" s="392"/>
      <c r="DK24" s="392"/>
      <c r="DL24" s="392"/>
      <c r="DM24" s="392"/>
      <c r="DN24" s="392"/>
      <c r="DO24" s="392"/>
      <c r="DP24" s="392"/>
      <c r="DQ24" s="392"/>
      <c r="DR24" s="392"/>
      <c r="DS24" s="392"/>
      <c r="DT24" s="392"/>
      <c r="DU24" s="392"/>
      <c r="DV24" s="392"/>
      <c r="DW24" s="392"/>
      <c r="DX24" s="392"/>
      <c r="DY24" s="392"/>
      <c r="DZ24" s="392"/>
      <c r="EA24" s="392"/>
      <c r="EB24" s="392"/>
      <c r="EC24" s="392"/>
      <c r="ED24" s="392"/>
      <c r="EE24" s="392"/>
      <c r="EF24" s="392"/>
      <c r="EG24" s="392"/>
      <c r="EH24" s="392"/>
      <c r="EI24" s="392"/>
      <c r="EJ24" s="392"/>
      <c r="EK24" s="392"/>
      <c r="EL24" s="392"/>
      <c r="EM24" s="392"/>
      <c r="EN24" s="392"/>
      <c r="EO24" s="392"/>
      <c r="EP24" s="392"/>
      <c r="EQ24" s="392"/>
      <c r="ER24" s="392"/>
      <c r="ES24" s="392"/>
      <c r="ET24" s="392"/>
      <c r="EU24" s="392"/>
      <c r="EV24" s="392"/>
      <c r="EW24" s="392"/>
      <c r="EX24" s="392"/>
      <c r="EY24" s="392"/>
      <c r="EZ24" s="392"/>
      <c r="FA24" s="392"/>
      <c r="FB24" s="392"/>
      <c r="FC24" s="392"/>
      <c r="FD24" s="392"/>
      <c r="FE24" s="392"/>
      <c r="FF24" s="392"/>
      <c r="FG24" s="392"/>
      <c r="FH24" s="392"/>
      <c r="FI24" s="392"/>
      <c r="FJ24" s="392"/>
      <c r="FK24" s="392"/>
      <c r="FL24" s="392"/>
      <c r="FM24" s="392"/>
      <c r="FN24" s="392"/>
      <c r="FO24" s="392"/>
      <c r="FP24" s="392"/>
      <c r="FQ24" s="392"/>
      <c r="FR24" s="392"/>
      <c r="FS24" s="392"/>
      <c r="FT24" s="392"/>
      <c r="FU24" s="392"/>
      <c r="FV24" s="392"/>
      <c r="FW24" s="392"/>
      <c r="FX24" s="392"/>
      <c r="FY24" s="392"/>
      <c r="FZ24" s="392"/>
      <c r="GA24" s="392"/>
      <c r="GB24" s="392"/>
      <c r="GC24" s="392"/>
      <c r="GD24" s="392"/>
      <c r="GE24" s="392"/>
      <c r="GF24" s="392"/>
      <c r="GG24" s="392"/>
      <c r="GH24" s="392"/>
      <c r="GI24" s="392"/>
      <c r="GJ24" s="392"/>
      <c r="GK24" s="392"/>
      <c r="GL24" s="392"/>
      <c r="GM24" s="392"/>
      <c r="GN24" s="392"/>
      <c r="GO24" s="392"/>
      <c r="GP24" s="392"/>
      <c r="GQ24" s="392"/>
      <c r="GR24" s="392"/>
      <c r="GS24" s="392"/>
      <c r="GT24" s="392"/>
      <c r="GU24" s="392"/>
      <c r="GV24" s="392"/>
      <c r="GW24" s="392"/>
      <c r="GX24" s="392"/>
      <c r="GY24" s="392"/>
      <c r="GZ24" s="392"/>
      <c r="HA24" s="392"/>
      <c r="HB24" s="392"/>
      <c r="HC24" s="392"/>
      <c r="HD24" s="392"/>
      <c r="HE24" s="392"/>
      <c r="HF24" s="392"/>
      <c r="HG24" s="392"/>
      <c r="HH24" s="392"/>
      <c r="HI24" s="392"/>
      <c r="HJ24" s="392"/>
      <c r="HK24" s="392"/>
      <c r="HL24" s="392"/>
      <c r="HM24" s="392"/>
      <c r="HN24" s="392"/>
      <c r="HO24" s="392"/>
      <c r="HP24" s="392"/>
      <c r="HQ24" s="392"/>
      <c r="HR24" s="392"/>
      <c r="HS24" s="392"/>
      <c r="HT24" s="392"/>
      <c r="HU24" s="392"/>
      <c r="HV24" s="392"/>
      <c r="HW24" s="392"/>
      <c r="HX24" s="392"/>
      <c r="HY24" s="392"/>
      <c r="HZ24" s="392"/>
      <c r="IA24" s="392"/>
      <c r="IB24" s="392"/>
      <c r="IC24" s="392"/>
      <c r="ID24" s="392"/>
      <c r="IE24" s="392"/>
      <c r="IF24" s="392"/>
      <c r="IG24" s="392"/>
      <c r="IH24" s="392"/>
      <c r="II24" s="392"/>
      <c r="IJ24" s="392"/>
      <c r="IK24" s="392"/>
      <c r="IL24" s="392"/>
      <c r="IM24" s="392"/>
      <c r="IN24" s="392"/>
      <c r="IO24" s="392"/>
      <c r="IP24" s="392"/>
      <c r="IQ24" s="392"/>
      <c r="IR24" s="392"/>
      <c r="IS24" s="392"/>
      <c r="IT24" s="392"/>
      <c r="IU24" s="392"/>
      <c r="IV24" s="392"/>
      <c r="IW24" s="392"/>
      <c r="IX24" s="392"/>
      <c r="IY24" s="392"/>
      <c r="IZ24" s="392"/>
      <c r="JA24" s="392"/>
      <c r="JB24" s="392"/>
      <c r="JC24" s="392"/>
      <c r="JD24" s="392"/>
      <c r="JE24" s="392"/>
      <c r="JF24" s="392"/>
      <c r="JG24" s="392"/>
      <c r="JH24" s="392"/>
      <c r="JI24" s="393">
        <f t="shared" si="0"/>
        <v>0</v>
      </c>
      <c r="JJ24" s="2">
        <v>5748</v>
      </c>
      <c r="JK24" s="392">
        <f t="shared" si="1"/>
        <v>0</v>
      </c>
      <c r="JL24" s="284"/>
      <c r="JM24" s="284"/>
      <c r="JN24" s="284"/>
      <c r="JO24" s="284"/>
      <c r="JP24" s="284"/>
      <c r="JQ24" s="170"/>
    </row>
    <row r="25" spans="1:278" x14ac:dyDescent="0.3">
      <c r="A25" s="392"/>
      <c r="B25" s="392"/>
      <c r="C25" s="392"/>
      <c r="D25" s="392"/>
      <c r="E25" s="392"/>
      <c r="F25" s="392"/>
      <c r="G25" s="392"/>
      <c r="H25" s="392"/>
      <c r="I25" s="392"/>
      <c r="J25" s="392"/>
      <c r="K25" s="392"/>
      <c r="L25" s="392"/>
      <c r="M25" s="392"/>
      <c r="N25" s="392"/>
      <c r="O25" s="392"/>
      <c r="P25" s="392"/>
      <c r="Q25" s="392"/>
      <c r="R25" s="392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  <c r="AC25" s="392"/>
      <c r="AD25" s="392"/>
      <c r="AE25" s="392"/>
      <c r="AF25" s="392"/>
      <c r="AG25" s="392"/>
      <c r="AH25" s="392"/>
      <c r="AI25" s="392"/>
      <c r="AJ25" s="392"/>
      <c r="AK25" s="392"/>
      <c r="AL25" s="392"/>
      <c r="AM25" s="392"/>
      <c r="AN25" s="392"/>
      <c r="AO25" s="392"/>
      <c r="AP25" s="392"/>
      <c r="AQ25" s="392"/>
      <c r="AR25" s="392"/>
      <c r="AS25" s="392"/>
      <c r="AT25" s="392"/>
      <c r="AU25" s="392"/>
      <c r="AV25" s="392"/>
      <c r="AW25" s="392"/>
      <c r="AX25" s="392"/>
      <c r="AY25" s="392"/>
      <c r="AZ25" s="392"/>
      <c r="BA25" s="392"/>
      <c r="BB25" s="392"/>
      <c r="BC25" s="392"/>
      <c r="BD25" s="392"/>
      <c r="BE25" s="392"/>
      <c r="BF25" s="392"/>
      <c r="BG25" s="392"/>
      <c r="BH25" s="392"/>
      <c r="BI25" s="392"/>
      <c r="BJ25" s="392"/>
      <c r="BK25" s="392"/>
      <c r="BL25" s="392"/>
      <c r="BM25" s="392"/>
      <c r="BN25" s="392"/>
      <c r="BO25" s="392"/>
      <c r="BP25" s="392"/>
      <c r="BQ25" s="392"/>
      <c r="BR25" s="392"/>
      <c r="BS25" s="392"/>
      <c r="BT25" s="392"/>
      <c r="BU25" s="392"/>
      <c r="BV25" s="392"/>
      <c r="BW25" s="392"/>
      <c r="BX25" s="392"/>
      <c r="BY25" s="392"/>
      <c r="BZ25" s="392"/>
      <c r="CA25" s="392"/>
      <c r="CB25" s="392"/>
      <c r="CC25" s="392"/>
      <c r="CD25" s="392"/>
      <c r="CE25" s="392"/>
      <c r="CF25" s="392"/>
      <c r="CG25" s="392"/>
      <c r="CH25" s="392"/>
      <c r="CI25" s="392"/>
      <c r="CJ25" s="392"/>
      <c r="CK25" s="392"/>
      <c r="CL25" s="392"/>
      <c r="CM25" s="392"/>
      <c r="CN25" s="392"/>
      <c r="CO25" s="392"/>
      <c r="CP25" s="392"/>
      <c r="CQ25" s="392"/>
      <c r="CR25" s="392"/>
      <c r="CS25" s="392"/>
      <c r="CT25" s="392"/>
      <c r="CU25" s="392"/>
      <c r="CV25" s="392"/>
      <c r="CW25" s="392"/>
      <c r="CX25" s="392"/>
      <c r="CY25" s="392"/>
      <c r="CZ25" s="392"/>
      <c r="DA25" s="392"/>
      <c r="DB25" s="392"/>
      <c r="DC25" s="392"/>
      <c r="DD25" s="392"/>
      <c r="DE25" s="392"/>
      <c r="DF25" s="392"/>
      <c r="DG25" s="392"/>
      <c r="DH25" s="392"/>
      <c r="DI25" s="392"/>
      <c r="DJ25" s="392"/>
      <c r="DK25" s="392"/>
      <c r="DL25" s="392"/>
      <c r="DM25" s="392"/>
      <c r="DN25" s="392"/>
      <c r="DO25" s="392"/>
      <c r="DP25" s="392"/>
      <c r="DQ25" s="392"/>
      <c r="DR25" s="392"/>
      <c r="DS25" s="392"/>
      <c r="DT25" s="392"/>
      <c r="DU25" s="392"/>
      <c r="DV25" s="392"/>
      <c r="DW25" s="392"/>
      <c r="DX25" s="392"/>
      <c r="DY25" s="392"/>
      <c r="DZ25" s="392"/>
      <c r="EA25" s="392"/>
      <c r="EB25" s="392"/>
      <c r="EC25" s="392"/>
      <c r="ED25" s="392"/>
      <c r="EE25" s="392"/>
      <c r="EF25" s="392"/>
      <c r="EG25" s="392"/>
      <c r="EH25" s="392"/>
      <c r="EI25" s="392"/>
      <c r="EJ25" s="392"/>
      <c r="EK25" s="392"/>
      <c r="EL25" s="392"/>
      <c r="EM25" s="392"/>
      <c r="EN25" s="392"/>
      <c r="EO25" s="392"/>
      <c r="EP25" s="392"/>
      <c r="EQ25" s="392"/>
      <c r="ER25" s="392"/>
      <c r="ES25" s="392"/>
      <c r="ET25" s="392"/>
      <c r="EU25" s="392"/>
      <c r="EV25" s="392"/>
      <c r="EW25" s="392"/>
      <c r="EX25" s="392"/>
      <c r="EY25" s="392"/>
      <c r="EZ25" s="392"/>
      <c r="FA25" s="392"/>
      <c r="FB25" s="392"/>
      <c r="FC25" s="392"/>
      <c r="FD25" s="392"/>
      <c r="FE25" s="392"/>
      <c r="FF25" s="392"/>
      <c r="FG25" s="392"/>
      <c r="FH25" s="392"/>
      <c r="FI25" s="392"/>
      <c r="FJ25" s="392"/>
      <c r="FK25" s="392"/>
      <c r="FL25" s="392"/>
      <c r="FM25" s="392"/>
      <c r="FN25" s="392"/>
      <c r="FO25" s="392"/>
      <c r="FP25" s="392"/>
      <c r="FQ25" s="392"/>
      <c r="FR25" s="392"/>
      <c r="FS25" s="392"/>
      <c r="FT25" s="392"/>
      <c r="FU25" s="392"/>
      <c r="FV25" s="392"/>
      <c r="FW25" s="392"/>
      <c r="FX25" s="392"/>
      <c r="FY25" s="392"/>
      <c r="FZ25" s="392"/>
      <c r="GA25" s="392"/>
      <c r="GB25" s="392"/>
      <c r="GC25" s="392"/>
      <c r="GD25" s="392"/>
      <c r="GE25" s="392"/>
      <c r="GF25" s="392"/>
      <c r="GG25" s="392"/>
      <c r="GH25" s="392"/>
      <c r="GI25" s="392"/>
      <c r="GJ25" s="392"/>
      <c r="GK25" s="392"/>
      <c r="GL25" s="392"/>
      <c r="GM25" s="392"/>
      <c r="GN25" s="392"/>
      <c r="GO25" s="392"/>
      <c r="GP25" s="392"/>
      <c r="GQ25" s="392"/>
      <c r="GR25" s="392"/>
      <c r="GS25" s="392"/>
      <c r="GT25" s="392"/>
      <c r="GU25" s="392"/>
      <c r="GV25" s="392"/>
      <c r="GW25" s="392"/>
      <c r="GX25" s="392"/>
      <c r="GY25" s="392"/>
      <c r="GZ25" s="392"/>
      <c r="HA25" s="392"/>
      <c r="HB25" s="392"/>
      <c r="HC25" s="392"/>
      <c r="HD25" s="392"/>
      <c r="HE25" s="392"/>
      <c r="HF25" s="392"/>
      <c r="HG25" s="392"/>
      <c r="HH25" s="392"/>
      <c r="HI25" s="392"/>
      <c r="HJ25" s="392"/>
      <c r="HK25" s="392"/>
      <c r="HL25" s="392"/>
      <c r="HM25" s="392"/>
      <c r="HN25" s="392"/>
      <c r="HO25" s="392"/>
      <c r="HP25" s="392"/>
      <c r="HQ25" s="392"/>
      <c r="HR25" s="392"/>
      <c r="HS25" s="392"/>
      <c r="HT25" s="392"/>
      <c r="HU25" s="392"/>
      <c r="HV25" s="392"/>
      <c r="HW25" s="392"/>
      <c r="HX25" s="392"/>
      <c r="HY25" s="392"/>
      <c r="HZ25" s="392"/>
      <c r="IA25" s="392"/>
      <c r="IB25" s="392"/>
      <c r="IC25" s="392"/>
      <c r="ID25" s="392"/>
      <c r="IE25" s="392"/>
      <c r="IF25" s="392"/>
      <c r="IG25" s="392"/>
      <c r="IH25" s="392"/>
      <c r="II25" s="392"/>
      <c r="IJ25" s="392"/>
      <c r="IK25" s="392"/>
      <c r="IL25" s="392"/>
      <c r="IM25" s="392"/>
      <c r="IN25" s="392"/>
      <c r="IO25" s="392"/>
      <c r="IP25" s="392"/>
      <c r="IQ25" s="392"/>
      <c r="IR25" s="392"/>
      <c r="IS25" s="392"/>
      <c r="IT25" s="392"/>
      <c r="IU25" s="392"/>
      <c r="IV25" s="392"/>
      <c r="IW25" s="392"/>
      <c r="IX25" s="392"/>
      <c r="IY25" s="392"/>
      <c r="IZ25" s="392"/>
      <c r="JA25" s="392"/>
      <c r="JB25" s="392"/>
      <c r="JC25" s="392"/>
      <c r="JD25" s="392"/>
      <c r="JE25" s="392"/>
      <c r="JF25" s="392"/>
      <c r="JG25" s="392"/>
      <c r="JH25" s="392"/>
      <c r="JI25" s="393">
        <f t="shared" si="0"/>
        <v>0</v>
      </c>
      <c r="JJ25" s="2">
        <v>5752</v>
      </c>
      <c r="JK25" s="392">
        <f t="shared" si="1"/>
        <v>0</v>
      </c>
      <c r="JL25" s="284"/>
      <c r="JM25" s="284"/>
      <c r="JN25" s="284"/>
      <c r="JO25" s="284"/>
      <c r="JP25" s="284"/>
      <c r="JQ25" s="170"/>
    </row>
    <row r="26" spans="1:278" x14ac:dyDescent="0.3">
      <c r="A26" s="392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92"/>
      <c r="AB26" s="392"/>
      <c r="AC26" s="392"/>
      <c r="AD26" s="392"/>
      <c r="AE26" s="392"/>
      <c r="AF26" s="392"/>
      <c r="AG26" s="392"/>
      <c r="AH26" s="392"/>
      <c r="AI26" s="392"/>
      <c r="AJ26" s="392"/>
      <c r="AK26" s="392"/>
      <c r="AL26" s="392"/>
      <c r="AM26" s="392"/>
      <c r="AN26" s="392"/>
      <c r="AO26" s="392"/>
      <c r="AP26" s="392"/>
      <c r="AQ26" s="392"/>
      <c r="AR26" s="392"/>
      <c r="AS26" s="392"/>
      <c r="AT26" s="392"/>
      <c r="AU26" s="392"/>
      <c r="AV26" s="392"/>
      <c r="AW26" s="392"/>
      <c r="AX26" s="392"/>
      <c r="AY26" s="392"/>
      <c r="AZ26" s="392"/>
      <c r="BA26" s="392"/>
      <c r="BB26" s="392"/>
      <c r="BC26" s="392"/>
      <c r="BD26" s="392"/>
      <c r="BE26" s="392"/>
      <c r="BF26" s="392"/>
      <c r="BG26" s="392"/>
      <c r="BH26" s="392"/>
      <c r="BI26" s="392"/>
      <c r="BJ26" s="392"/>
      <c r="BK26" s="392"/>
      <c r="BL26" s="392"/>
      <c r="BM26" s="392"/>
      <c r="BN26" s="392"/>
      <c r="BO26" s="392"/>
      <c r="BP26" s="392"/>
      <c r="BQ26" s="392"/>
      <c r="BR26" s="392"/>
      <c r="BS26" s="392"/>
      <c r="BT26" s="392"/>
      <c r="BU26" s="392"/>
      <c r="BV26" s="392"/>
      <c r="BW26" s="392"/>
      <c r="BX26" s="392"/>
      <c r="BY26" s="392"/>
      <c r="BZ26" s="392"/>
      <c r="CA26" s="392"/>
      <c r="CB26" s="392"/>
      <c r="CC26" s="392"/>
      <c r="CD26" s="392"/>
      <c r="CE26" s="392"/>
      <c r="CF26" s="392"/>
      <c r="CG26" s="392"/>
      <c r="CH26" s="392"/>
      <c r="CI26" s="392"/>
      <c r="CJ26" s="392"/>
      <c r="CK26" s="392"/>
      <c r="CL26" s="392"/>
      <c r="CM26" s="392"/>
      <c r="CN26" s="392"/>
      <c r="CO26" s="392"/>
      <c r="CP26" s="392"/>
      <c r="CQ26" s="392"/>
      <c r="CR26" s="392"/>
      <c r="CS26" s="392"/>
      <c r="CT26" s="392"/>
      <c r="CU26" s="392"/>
      <c r="CV26" s="392"/>
      <c r="CW26" s="392"/>
      <c r="CX26" s="392"/>
      <c r="CY26" s="392"/>
      <c r="CZ26" s="392"/>
      <c r="DA26" s="392"/>
      <c r="DB26" s="392"/>
      <c r="DC26" s="392"/>
      <c r="DD26" s="392"/>
      <c r="DE26" s="392"/>
      <c r="DF26" s="392"/>
      <c r="DG26" s="392"/>
      <c r="DH26" s="392"/>
      <c r="DI26" s="392"/>
      <c r="DJ26" s="392"/>
      <c r="DK26" s="392"/>
      <c r="DL26" s="392"/>
      <c r="DM26" s="392"/>
      <c r="DN26" s="392"/>
      <c r="DO26" s="392"/>
      <c r="DP26" s="392"/>
      <c r="DQ26" s="392"/>
      <c r="DR26" s="392"/>
      <c r="DS26" s="392"/>
      <c r="DT26" s="392"/>
      <c r="DU26" s="392"/>
      <c r="DV26" s="392"/>
      <c r="DW26" s="392"/>
      <c r="DX26" s="392"/>
      <c r="DY26" s="392"/>
      <c r="DZ26" s="392"/>
      <c r="EA26" s="392"/>
      <c r="EB26" s="392"/>
      <c r="EC26" s="392"/>
      <c r="ED26" s="392"/>
      <c r="EE26" s="392"/>
      <c r="EF26" s="392"/>
      <c r="EG26" s="392"/>
      <c r="EH26" s="392"/>
      <c r="EI26" s="392"/>
      <c r="EJ26" s="392"/>
      <c r="EK26" s="392"/>
      <c r="EL26" s="392"/>
      <c r="EM26" s="392"/>
      <c r="EN26" s="392"/>
      <c r="EO26" s="392"/>
      <c r="EP26" s="392"/>
      <c r="EQ26" s="392"/>
      <c r="ER26" s="392"/>
      <c r="ES26" s="392"/>
      <c r="ET26" s="392"/>
      <c r="EU26" s="392"/>
      <c r="EV26" s="392"/>
      <c r="EW26" s="392"/>
      <c r="EX26" s="392"/>
      <c r="EY26" s="392"/>
      <c r="EZ26" s="392"/>
      <c r="FA26" s="392"/>
      <c r="FB26" s="392"/>
      <c r="FC26" s="392"/>
      <c r="FD26" s="392"/>
      <c r="FE26" s="392"/>
      <c r="FF26" s="392"/>
      <c r="FG26" s="392"/>
      <c r="FH26" s="392"/>
      <c r="FI26" s="392"/>
      <c r="FJ26" s="392"/>
      <c r="FK26" s="392"/>
      <c r="FL26" s="392"/>
      <c r="FM26" s="392"/>
      <c r="FN26" s="392"/>
      <c r="FO26" s="392"/>
      <c r="FP26" s="392"/>
      <c r="FQ26" s="392"/>
      <c r="FR26" s="392"/>
      <c r="FS26" s="392"/>
      <c r="FT26" s="392"/>
      <c r="FU26" s="392"/>
      <c r="FV26" s="392"/>
      <c r="FW26" s="392"/>
      <c r="FX26" s="392"/>
      <c r="FY26" s="392"/>
      <c r="FZ26" s="392"/>
      <c r="GA26" s="392"/>
      <c r="GB26" s="392"/>
      <c r="GC26" s="392"/>
      <c r="GD26" s="392"/>
      <c r="GE26" s="392"/>
      <c r="GF26" s="392"/>
      <c r="GG26" s="392"/>
      <c r="GH26" s="392"/>
      <c r="GI26" s="392"/>
      <c r="GJ26" s="392"/>
      <c r="GK26" s="392"/>
      <c r="GL26" s="392"/>
      <c r="GM26" s="392"/>
      <c r="GN26" s="392"/>
      <c r="GO26" s="392"/>
      <c r="GP26" s="392"/>
      <c r="GQ26" s="392"/>
      <c r="GR26" s="392"/>
      <c r="GS26" s="392"/>
      <c r="GT26" s="392"/>
      <c r="GU26" s="392"/>
      <c r="GV26" s="392"/>
      <c r="GW26" s="392"/>
      <c r="GX26" s="392"/>
      <c r="GY26" s="392"/>
      <c r="GZ26" s="392"/>
      <c r="HA26" s="392"/>
      <c r="HB26" s="392"/>
      <c r="HC26" s="392"/>
      <c r="HD26" s="392"/>
      <c r="HE26" s="392"/>
      <c r="HF26" s="392"/>
      <c r="HG26" s="392"/>
      <c r="HH26" s="392"/>
      <c r="HI26" s="392"/>
      <c r="HJ26" s="392"/>
      <c r="HK26" s="392"/>
      <c r="HL26" s="392"/>
      <c r="HM26" s="392"/>
      <c r="HN26" s="392"/>
      <c r="HO26" s="392"/>
      <c r="HP26" s="392"/>
      <c r="HQ26" s="392"/>
      <c r="HR26" s="392"/>
      <c r="HS26" s="392"/>
      <c r="HT26" s="392"/>
      <c r="HU26" s="392"/>
      <c r="HV26" s="392"/>
      <c r="HW26" s="392"/>
      <c r="HX26" s="392"/>
      <c r="HY26" s="392"/>
      <c r="HZ26" s="392"/>
      <c r="IA26" s="392"/>
      <c r="IB26" s="392"/>
      <c r="IC26" s="392"/>
      <c r="ID26" s="392"/>
      <c r="IE26" s="392"/>
      <c r="IF26" s="392"/>
      <c r="IG26" s="392"/>
      <c r="IH26" s="392"/>
      <c r="II26" s="392"/>
      <c r="IJ26" s="392"/>
      <c r="IK26" s="392"/>
      <c r="IL26" s="392"/>
      <c r="IM26" s="392"/>
      <c r="IN26" s="392"/>
      <c r="IO26" s="392"/>
      <c r="IP26" s="392"/>
      <c r="IQ26" s="392"/>
      <c r="IR26" s="392"/>
      <c r="IS26" s="392"/>
      <c r="IT26" s="392"/>
      <c r="IU26" s="392"/>
      <c r="IV26" s="392"/>
      <c r="IW26" s="392"/>
      <c r="IX26" s="392"/>
      <c r="IY26" s="392"/>
      <c r="IZ26" s="392"/>
      <c r="JA26" s="392"/>
      <c r="JB26" s="392"/>
      <c r="JC26" s="392"/>
      <c r="JD26" s="392"/>
      <c r="JE26" s="392"/>
      <c r="JF26" s="392"/>
      <c r="JG26" s="392"/>
      <c r="JH26" s="392"/>
      <c r="JI26" s="393">
        <f t="shared" si="0"/>
        <v>0</v>
      </c>
      <c r="JJ26" s="2">
        <v>5756</v>
      </c>
      <c r="JK26" s="392">
        <f t="shared" si="1"/>
        <v>0</v>
      </c>
      <c r="JL26" s="284"/>
      <c r="JM26" s="284"/>
      <c r="JN26" s="284"/>
      <c r="JO26" s="284"/>
      <c r="JP26" s="284"/>
      <c r="JQ26" s="170"/>
    </row>
    <row r="27" spans="1:278" x14ac:dyDescent="0.3">
      <c r="A27" s="392"/>
      <c r="B27" s="392"/>
      <c r="C27" s="392"/>
      <c r="D27" s="392"/>
      <c r="E27" s="392"/>
      <c r="F27" s="392"/>
      <c r="G27" s="392"/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  <c r="AA27" s="392"/>
      <c r="AB27" s="392"/>
      <c r="AC27" s="392"/>
      <c r="AD27" s="392"/>
      <c r="AE27" s="392"/>
      <c r="AF27" s="392"/>
      <c r="AG27" s="392"/>
      <c r="AH27" s="392"/>
      <c r="AI27" s="392"/>
      <c r="AJ27" s="392"/>
      <c r="AK27" s="392"/>
      <c r="AL27" s="392"/>
      <c r="AM27" s="392"/>
      <c r="AN27" s="392"/>
      <c r="AO27" s="392"/>
      <c r="AP27" s="392"/>
      <c r="AQ27" s="392"/>
      <c r="AR27" s="392"/>
      <c r="AS27" s="392"/>
      <c r="AT27" s="392"/>
      <c r="AU27" s="392"/>
      <c r="AV27" s="392"/>
      <c r="AW27" s="392"/>
      <c r="AX27" s="392"/>
      <c r="AY27" s="392"/>
      <c r="AZ27" s="392"/>
      <c r="BA27" s="392"/>
      <c r="BB27" s="392"/>
      <c r="BC27" s="392"/>
      <c r="BD27" s="392"/>
      <c r="BE27" s="392"/>
      <c r="BF27" s="392"/>
      <c r="BG27" s="392"/>
      <c r="BH27" s="392"/>
      <c r="BI27" s="392"/>
      <c r="BJ27" s="392"/>
      <c r="BK27" s="392"/>
      <c r="BL27" s="392"/>
      <c r="BM27" s="392"/>
      <c r="BN27" s="392"/>
      <c r="BO27" s="392"/>
      <c r="BP27" s="392"/>
      <c r="BQ27" s="392"/>
      <c r="BR27" s="392"/>
      <c r="BS27" s="392"/>
      <c r="BT27" s="392"/>
      <c r="BU27" s="392"/>
      <c r="BV27" s="392"/>
      <c r="BW27" s="392"/>
      <c r="BX27" s="392"/>
      <c r="BY27" s="392"/>
      <c r="BZ27" s="392"/>
      <c r="CA27" s="392"/>
      <c r="CB27" s="392"/>
      <c r="CC27" s="392"/>
      <c r="CD27" s="392"/>
      <c r="CE27" s="392"/>
      <c r="CF27" s="392"/>
      <c r="CG27" s="392"/>
      <c r="CH27" s="392"/>
      <c r="CI27" s="392"/>
      <c r="CJ27" s="392"/>
      <c r="CK27" s="392"/>
      <c r="CL27" s="392"/>
      <c r="CM27" s="392"/>
      <c r="CN27" s="392"/>
      <c r="CO27" s="392"/>
      <c r="CP27" s="392"/>
      <c r="CQ27" s="392"/>
      <c r="CR27" s="392"/>
      <c r="CS27" s="392"/>
      <c r="CT27" s="392"/>
      <c r="CU27" s="392"/>
      <c r="CV27" s="392"/>
      <c r="CW27" s="392"/>
      <c r="CX27" s="392"/>
      <c r="CY27" s="392"/>
      <c r="CZ27" s="392"/>
      <c r="DA27" s="392"/>
      <c r="DB27" s="392"/>
      <c r="DC27" s="392"/>
      <c r="DD27" s="392"/>
      <c r="DE27" s="392"/>
      <c r="DF27" s="392"/>
      <c r="DG27" s="392"/>
      <c r="DH27" s="392"/>
      <c r="DI27" s="392"/>
      <c r="DJ27" s="392"/>
      <c r="DK27" s="392"/>
      <c r="DL27" s="392"/>
      <c r="DM27" s="392"/>
      <c r="DN27" s="392"/>
      <c r="DO27" s="392"/>
      <c r="DP27" s="392"/>
      <c r="DQ27" s="392"/>
      <c r="DR27" s="392"/>
      <c r="DS27" s="392"/>
      <c r="DT27" s="392"/>
      <c r="DU27" s="392"/>
      <c r="DV27" s="392"/>
      <c r="DW27" s="392"/>
      <c r="DX27" s="392"/>
      <c r="DY27" s="392"/>
      <c r="DZ27" s="392"/>
      <c r="EA27" s="392"/>
      <c r="EB27" s="392"/>
      <c r="EC27" s="392"/>
      <c r="ED27" s="392"/>
      <c r="EE27" s="392"/>
      <c r="EF27" s="392"/>
      <c r="EG27" s="392"/>
      <c r="EH27" s="392"/>
      <c r="EI27" s="392"/>
      <c r="EJ27" s="392"/>
      <c r="EK27" s="392"/>
      <c r="EL27" s="392"/>
      <c r="EM27" s="392"/>
      <c r="EN27" s="392"/>
      <c r="EO27" s="392"/>
      <c r="EP27" s="392"/>
      <c r="EQ27" s="392"/>
      <c r="ER27" s="392"/>
      <c r="ES27" s="392"/>
      <c r="ET27" s="392"/>
      <c r="EU27" s="392"/>
      <c r="EV27" s="392"/>
      <c r="EW27" s="392"/>
      <c r="EX27" s="392"/>
      <c r="EY27" s="392"/>
      <c r="EZ27" s="392"/>
      <c r="FA27" s="392"/>
      <c r="FB27" s="392"/>
      <c r="FC27" s="392"/>
      <c r="FD27" s="392"/>
      <c r="FE27" s="392"/>
      <c r="FF27" s="392"/>
      <c r="FG27" s="392"/>
      <c r="FH27" s="392"/>
      <c r="FI27" s="392"/>
      <c r="FJ27" s="392"/>
      <c r="FK27" s="392"/>
      <c r="FL27" s="392"/>
      <c r="FM27" s="392"/>
      <c r="FN27" s="392"/>
      <c r="FO27" s="392"/>
      <c r="FP27" s="392"/>
      <c r="FQ27" s="392"/>
      <c r="FR27" s="392"/>
      <c r="FS27" s="392"/>
      <c r="FT27" s="392"/>
      <c r="FU27" s="392"/>
      <c r="FV27" s="392"/>
      <c r="FW27" s="392"/>
      <c r="FX27" s="392"/>
      <c r="FY27" s="392"/>
      <c r="FZ27" s="392"/>
      <c r="GA27" s="392"/>
      <c r="GB27" s="392"/>
      <c r="GC27" s="392"/>
      <c r="GD27" s="392"/>
      <c r="GE27" s="392"/>
      <c r="GF27" s="392"/>
      <c r="GG27" s="392"/>
      <c r="GH27" s="392"/>
      <c r="GI27" s="392"/>
      <c r="GJ27" s="392"/>
      <c r="GK27" s="392"/>
      <c r="GL27" s="392"/>
      <c r="GM27" s="392"/>
      <c r="GN27" s="392"/>
      <c r="GO27" s="392"/>
      <c r="GP27" s="392"/>
      <c r="GQ27" s="392"/>
      <c r="GR27" s="392"/>
      <c r="GS27" s="392"/>
      <c r="GT27" s="392"/>
      <c r="GU27" s="392"/>
      <c r="GV27" s="392"/>
      <c r="GW27" s="392"/>
      <c r="GX27" s="392"/>
      <c r="GY27" s="392"/>
      <c r="GZ27" s="392"/>
      <c r="HA27" s="392"/>
      <c r="HB27" s="392"/>
      <c r="HC27" s="392"/>
      <c r="HD27" s="392"/>
      <c r="HE27" s="392"/>
      <c r="HF27" s="392"/>
      <c r="HG27" s="392"/>
      <c r="HH27" s="392"/>
      <c r="HI27" s="392"/>
      <c r="HJ27" s="392"/>
      <c r="HK27" s="392"/>
      <c r="HL27" s="392"/>
      <c r="HM27" s="392"/>
      <c r="HN27" s="392"/>
      <c r="HO27" s="392"/>
      <c r="HP27" s="392"/>
      <c r="HQ27" s="392"/>
      <c r="HR27" s="392"/>
      <c r="HS27" s="392"/>
      <c r="HT27" s="392"/>
      <c r="HU27" s="392"/>
      <c r="HV27" s="392"/>
      <c r="HW27" s="392"/>
      <c r="HX27" s="392"/>
      <c r="HY27" s="392"/>
      <c r="HZ27" s="392"/>
      <c r="IA27" s="392"/>
      <c r="IB27" s="392"/>
      <c r="IC27" s="392"/>
      <c r="ID27" s="392"/>
      <c r="IE27" s="392"/>
      <c r="IF27" s="392"/>
      <c r="IG27" s="392"/>
      <c r="IH27" s="392"/>
      <c r="II27" s="392"/>
      <c r="IJ27" s="392"/>
      <c r="IK27" s="392"/>
      <c r="IL27" s="392"/>
      <c r="IM27" s="392"/>
      <c r="IN27" s="392"/>
      <c r="IO27" s="392"/>
      <c r="IP27" s="392"/>
      <c r="IQ27" s="392"/>
      <c r="IR27" s="392"/>
      <c r="IS27" s="392"/>
      <c r="IT27" s="392"/>
      <c r="IU27" s="392"/>
      <c r="IV27" s="392"/>
      <c r="IW27" s="392"/>
      <c r="IX27" s="392"/>
      <c r="IY27" s="392"/>
      <c r="IZ27" s="392"/>
      <c r="JA27" s="392"/>
      <c r="JB27" s="392"/>
      <c r="JC27" s="392"/>
      <c r="JD27" s="392"/>
      <c r="JE27" s="392"/>
      <c r="JF27" s="392"/>
      <c r="JG27" s="392"/>
      <c r="JH27" s="392"/>
      <c r="JI27" s="393">
        <f t="shared" si="0"/>
        <v>0</v>
      </c>
      <c r="JJ27" s="2">
        <v>5760</v>
      </c>
      <c r="JK27" s="392">
        <f t="shared" si="1"/>
        <v>0</v>
      </c>
      <c r="JL27" s="284"/>
      <c r="JM27" s="284"/>
      <c r="JN27" s="284"/>
      <c r="JO27" s="284"/>
      <c r="JP27" s="284"/>
      <c r="JQ27" s="170"/>
    </row>
    <row r="28" spans="1:278" x14ac:dyDescent="0.3">
      <c r="A28" s="392"/>
      <c r="B28" s="392"/>
      <c r="C28" s="392"/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2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  <c r="AC28" s="392"/>
      <c r="AD28" s="392"/>
      <c r="AE28" s="392"/>
      <c r="AF28" s="392"/>
      <c r="AG28" s="392"/>
      <c r="AH28" s="392"/>
      <c r="AI28" s="392"/>
      <c r="AJ28" s="392"/>
      <c r="AK28" s="392"/>
      <c r="AL28" s="392"/>
      <c r="AM28" s="392"/>
      <c r="AN28" s="392"/>
      <c r="AO28" s="392"/>
      <c r="AP28" s="392"/>
      <c r="AQ28" s="392"/>
      <c r="AR28" s="392"/>
      <c r="AS28" s="392"/>
      <c r="AT28" s="392"/>
      <c r="AU28" s="392"/>
      <c r="AV28" s="392"/>
      <c r="AW28" s="392"/>
      <c r="AX28" s="392"/>
      <c r="AY28" s="392"/>
      <c r="AZ28" s="392"/>
      <c r="BA28" s="392"/>
      <c r="BB28" s="392"/>
      <c r="BC28" s="392"/>
      <c r="BD28" s="392"/>
      <c r="BE28" s="392"/>
      <c r="BF28" s="392"/>
      <c r="BG28" s="392"/>
      <c r="BH28" s="392"/>
      <c r="BI28" s="392"/>
      <c r="BJ28" s="392"/>
      <c r="BK28" s="392"/>
      <c r="BL28" s="392"/>
      <c r="BM28" s="392"/>
      <c r="BN28" s="392"/>
      <c r="BO28" s="392"/>
      <c r="BP28" s="392"/>
      <c r="BQ28" s="392"/>
      <c r="BR28" s="392"/>
      <c r="BS28" s="392"/>
      <c r="BT28" s="392"/>
      <c r="BU28" s="392"/>
      <c r="BV28" s="392"/>
      <c r="BW28" s="392"/>
      <c r="BX28" s="392"/>
      <c r="BY28" s="392"/>
      <c r="BZ28" s="392"/>
      <c r="CA28" s="392"/>
      <c r="CB28" s="392"/>
      <c r="CC28" s="392"/>
      <c r="CD28" s="392"/>
      <c r="CE28" s="392"/>
      <c r="CF28" s="392"/>
      <c r="CG28" s="392"/>
      <c r="CH28" s="392"/>
      <c r="CI28" s="392"/>
      <c r="CJ28" s="392"/>
      <c r="CK28" s="392"/>
      <c r="CL28" s="392"/>
      <c r="CM28" s="392"/>
      <c r="CN28" s="392"/>
      <c r="CO28" s="392"/>
      <c r="CP28" s="392"/>
      <c r="CQ28" s="392"/>
      <c r="CR28" s="392"/>
      <c r="CS28" s="392"/>
      <c r="CT28" s="392"/>
      <c r="CU28" s="392"/>
      <c r="CV28" s="392"/>
      <c r="CW28" s="392"/>
      <c r="CX28" s="392"/>
      <c r="CY28" s="392"/>
      <c r="CZ28" s="392"/>
      <c r="DA28" s="392"/>
      <c r="DB28" s="392"/>
      <c r="DC28" s="392"/>
      <c r="DD28" s="392"/>
      <c r="DE28" s="392"/>
      <c r="DF28" s="392"/>
      <c r="DG28" s="392"/>
      <c r="DH28" s="392"/>
      <c r="DI28" s="392"/>
      <c r="DJ28" s="392"/>
      <c r="DK28" s="392"/>
      <c r="DL28" s="392"/>
      <c r="DM28" s="392"/>
      <c r="DN28" s="392"/>
      <c r="DO28" s="392"/>
      <c r="DP28" s="392"/>
      <c r="DQ28" s="392"/>
      <c r="DR28" s="392"/>
      <c r="DS28" s="392"/>
      <c r="DT28" s="392"/>
      <c r="DU28" s="392"/>
      <c r="DV28" s="392"/>
      <c r="DW28" s="392"/>
      <c r="DX28" s="392"/>
      <c r="DY28" s="392"/>
      <c r="DZ28" s="392"/>
      <c r="EA28" s="392"/>
      <c r="EB28" s="392"/>
      <c r="EC28" s="392"/>
      <c r="ED28" s="392"/>
      <c r="EE28" s="392"/>
      <c r="EF28" s="392"/>
      <c r="EG28" s="392"/>
      <c r="EH28" s="392"/>
      <c r="EI28" s="392"/>
      <c r="EJ28" s="392"/>
      <c r="EK28" s="392"/>
      <c r="EL28" s="392"/>
      <c r="EM28" s="392"/>
      <c r="EN28" s="392"/>
      <c r="EO28" s="392"/>
      <c r="EP28" s="392"/>
      <c r="EQ28" s="392"/>
      <c r="ER28" s="392"/>
      <c r="ES28" s="392"/>
      <c r="ET28" s="392"/>
      <c r="EU28" s="392"/>
      <c r="EV28" s="392"/>
      <c r="EW28" s="392"/>
      <c r="EX28" s="392"/>
      <c r="EY28" s="392"/>
      <c r="EZ28" s="392"/>
      <c r="FA28" s="392"/>
      <c r="FB28" s="392"/>
      <c r="FC28" s="392"/>
      <c r="FD28" s="392"/>
      <c r="FE28" s="392"/>
      <c r="FF28" s="392"/>
      <c r="FG28" s="392"/>
      <c r="FH28" s="392"/>
      <c r="FI28" s="392"/>
      <c r="FJ28" s="392"/>
      <c r="FK28" s="392"/>
      <c r="FL28" s="392"/>
      <c r="FM28" s="392"/>
      <c r="FN28" s="392"/>
      <c r="FO28" s="392"/>
      <c r="FP28" s="392"/>
      <c r="FQ28" s="392"/>
      <c r="FR28" s="392"/>
      <c r="FS28" s="392"/>
      <c r="FT28" s="392"/>
      <c r="FU28" s="392"/>
      <c r="FV28" s="392"/>
      <c r="FW28" s="392"/>
      <c r="FX28" s="392"/>
      <c r="FY28" s="392"/>
      <c r="FZ28" s="392"/>
      <c r="GA28" s="392"/>
      <c r="GB28" s="392"/>
      <c r="GC28" s="392"/>
      <c r="GD28" s="392"/>
      <c r="GE28" s="392"/>
      <c r="GF28" s="392"/>
      <c r="GG28" s="392"/>
      <c r="GH28" s="392"/>
      <c r="GI28" s="392"/>
      <c r="GJ28" s="392"/>
      <c r="GK28" s="392"/>
      <c r="GL28" s="392"/>
      <c r="GM28" s="392"/>
      <c r="GN28" s="392"/>
      <c r="GO28" s="392"/>
      <c r="GP28" s="392"/>
      <c r="GQ28" s="392"/>
      <c r="GR28" s="392"/>
      <c r="GS28" s="392"/>
      <c r="GT28" s="392"/>
      <c r="GU28" s="392"/>
      <c r="GV28" s="392"/>
      <c r="GW28" s="392"/>
      <c r="GX28" s="392"/>
      <c r="GY28" s="392"/>
      <c r="GZ28" s="392"/>
      <c r="HA28" s="392"/>
      <c r="HB28" s="392"/>
      <c r="HC28" s="392"/>
      <c r="HD28" s="392"/>
      <c r="HE28" s="392"/>
      <c r="HF28" s="392"/>
      <c r="HG28" s="392"/>
      <c r="HH28" s="392"/>
      <c r="HI28" s="392"/>
      <c r="HJ28" s="392"/>
      <c r="HK28" s="392"/>
      <c r="HL28" s="392"/>
      <c r="HM28" s="392"/>
      <c r="HN28" s="392"/>
      <c r="HO28" s="392"/>
      <c r="HP28" s="392"/>
      <c r="HQ28" s="392"/>
      <c r="HR28" s="392"/>
      <c r="HS28" s="392"/>
      <c r="HT28" s="392"/>
      <c r="HU28" s="392"/>
      <c r="HV28" s="392"/>
      <c r="HW28" s="392"/>
      <c r="HX28" s="392"/>
      <c r="HY28" s="392"/>
      <c r="HZ28" s="392"/>
      <c r="IA28" s="392"/>
      <c r="IB28" s="392"/>
      <c r="IC28" s="392"/>
      <c r="ID28" s="392"/>
      <c r="IE28" s="392"/>
      <c r="IF28" s="392"/>
      <c r="IG28" s="392"/>
      <c r="IH28" s="392"/>
      <c r="II28" s="392"/>
      <c r="IJ28" s="392"/>
      <c r="IK28" s="392"/>
      <c r="IL28" s="392"/>
      <c r="IM28" s="392"/>
      <c r="IN28" s="392"/>
      <c r="IO28" s="392"/>
      <c r="IP28" s="392"/>
      <c r="IQ28" s="392"/>
      <c r="IR28" s="392"/>
      <c r="IS28" s="392"/>
      <c r="IT28" s="392"/>
      <c r="IU28" s="392"/>
      <c r="IV28" s="392"/>
      <c r="IW28" s="392"/>
      <c r="IX28" s="392"/>
      <c r="IY28" s="392"/>
      <c r="IZ28" s="392"/>
      <c r="JA28" s="392"/>
      <c r="JB28" s="392"/>
      <c r="JC28" s="392"/>
      <c r="JD28" s="392"/>
      <c r="JE28" s="392"/>
      <c r="JF28" s="392"/>
      <c r="JG28" s="392"/>
      <c r="JH28" s="392"/>
      <c r="JI28" s="393">
        <f t="shared" si="0"/>
        <v>0</v>
      </c>
      <c r="JJ28" s="2">
        <v>5764</v>
      </c>
      <c r="JK28" s="392">
        <f t="shared" si="1"/>
        <v>0</v>
      </c>
      <c r="JL28" s="284"/>
      <c r="JM28" s="284"/>
      <c r="JN28" s="284"/>
      <c r="JO28" s="284"/>
      <c r="JP28" s="284"/>
      <c r="JQ28" s="170"/>
    </row>
    <row r="29" spans="1:278" x14ac:dyDescent="0.3">
      <c r="A29" s="392"/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  <c r="AC29" s="392"/>
      <c r="AD29" s="392"/>
      <c r="AE29" s="392"/>
      <c r="AF29" s="392"/>
      <c r="AG29" s="392"/>
      <c r="AH29" s="392"/>
      <c r="AI29" s="392"/>
      <c r="AJ29" s="392"/>
      <c r="AK29" s="392"/>
      <c r="AL29" s="392"/>
      <c r="AM29" s="392"/>
      <c r="AN29" s="392"/>
      <c r="AO29" s="392"/>
      <c r="AP29" s="392"/>
      <c r="AQ29" s="392"/>
      <c r="AR29" s="392"/>
      <c r="AS29" s="392"/>
      <c r="AT29" s="392"/>
      <c r="AU29" s="392"/>
      <c r="AV29" s="392"/>
      <c r="AW29" s="392"/>
      <c r="AX29" s="392"/>
      <c r="AY29" s="392"/>
      <c r="AZ29" s="392"/>
      <c r="BA29" s="392"/>
      <c r="BB29" s="392"/>
      <c r="BC29" s="392"/>
      <c r="BD29" s="392"/>
      <c r="BE29" s="392"/>
      <c r="BF29" s="392"/>
      <c r="BG29" s="392"/>
      <c r="BH29" s="392"/>
      <c r="BI29" s="392"/>
      <c r="BJ29" s="392"/>
      <c r="BK29" s="392"/>
      <c r="BL29" s="392"/>
      <c r="BM29" s="392"/>
      <c r="BN29" s="392"/>
      <c r="BO29" s="392"/>
      <c r="BP29" s="392"/>
      <c r="BQ29" s="392"/>
      <c r="BR29" s="392"/>
      <c r="BS29" s="392"/>
      <c r="BT29" s="392"/>
      <c r="BU29" s="392"/>
      <c r="BV29" s="392"/>
      <c r="BW29" s="392"/>
      <c r="BX29" s="392"/>
      <c r="BY29" s="392"/>
      <c r="BZ29" s="392"/>
      <c r="CA29" s="392"/>
      <c r="CB29" s="392"/>
      <c r="CC29" s="392"/>
      <c r="CD29" s="392"/>
      <c r="CE29" s="392"/>
      <c r="CF29" s="392"/>
      <c r="CG29" s="392"/>
      <c r="CH29" s="392"/>
      <c r="CI29" s="392"/>
      <c r="CJ29" s="392"/>
      <c r="CK29" s="392"/>
      <c r="CL29" s="392"/>
      <c r="CM29" s="392"/>
      <c r="CN29" s="392"/>
      <c r="CO29" s="392"/>
      <c r="CP29" s="392"/>
      <c r="CQ29" s="392"/>
      <c r="CR29" s="392"/>
      <c r="CS29" s="392"/>
      <c r="CT29" s="392"/>
      <c r="CU29" s="392"/>
      <c r="CV29" s="392"/>
      <c r="CW29" s="392"/>
      <c r="CX29" s="392"/>
      <c r="CY29" s="392"/>
      <c r="CZ29" s="392"/>
      <c r="DA29" s="392"/>
      <c r="DB29" s="392"/>
      <c r="DC29" s="392"/>
      <c r="DD29" s="392"/>
      <c r="DE29" s="392"/>
      <c r="DF29" s="392"/>
      <c r="DG29" s="392"/>
      <c r="DH29" s="392"/>
      <c r="DI29" s="392"/>
      <c r="DJ29" s="392"/>
      <c r="DK29" s="392"/>
      <c r="DL29" s="392"/>
      <c r="DM29" s="392"/>
      <c r="DN29" s="392"/>
      <c r="DO29" s="392"/>
      <c r="DP29" s="392"/>
      <c r="DQ29" s="392"/>
      <c r="DR29" s="392"/>
      <c r="DS29" s="392"/>
      <c r="DT29" s="392"/>
      <c r="DU29" s="392"/>
      <c r="DV29" s="392"/>
      <c r="DW29" s="392"/>
      <c r="DX29" s="392"/>
      <c r="DY29" s="392"/>
      <c r="DZ29" s="392"/>
      <c r="EA29" s="392"/>
      <c r="EB29" s="392"/>
      <c r="EC29" s="392"/>
      <c r="ED29" s="392"/>
      <c r="EE29" s="392"/>
      <c r="EF29" s="392"/>
      <c r="EG29" s="392"/>
      <c r="EH29" s="392"/>
      <c r="EI29" s="392"/>
      <c r="EJ29" s="392"/>
      <c r="EK29" s="392"/>
      <c r="EL29" s="392"/>
      <c r="EM29" s="392"/>
      <c r="EN29" s="392"/>
      <c r="EO29" s="392"/>
      <c r="EP29" s="392"/>
      <c r="EQ29" s="392"/>
      <c r="ER29" s="392"/>
      <c r="ES29" s="392"/>
      <c r="ET29" s="392"/>
      <c r="EU29" s="392"/>
      <c r="EV29" s="392"/>
      <c r="EW29" s="392"/>
      <c r="EX29" s="392"/>
      <c r="EY29" s="392"/>
      <c r="EZ29" s="392"/>
      <c r="FA29" s="392"/>
      <c r="FB29" s="392"/>
      <c r="FC29" s="392"/>
      <c r="FD29" s="392"/>
      <c r="FE29" s="392"/>
      <c r="FF29" s="392"/>
      <c r="FG29" s="392"/>
      <c r="FH29" s="392"/>
      <c r="FI29" s="392"/>
      <c r="FJ29" s="392"/>
      <c r="FK29" s="392"/>
      <c r="FL29" s="392"/>
      <c r="FM29" s="392"/>
      <c r="FN29" s="392"/>
      <c r="FO29" s="392"/>
      <c r="FP29" s="392"/>
      <c r="FQ29" s="392"/>
      <c r="FR29" s="392"/>
      <c r="FS29" s="392"/>
      <c r="FT29" s="392"/>
      <c r="FU29" s="392"/>
      <c r="FV29" s="392"/>
      <c r="FW29" s="392"/>
      <c r="FX29" s="392"/>
      <c r="FY29" s="392"/>
      <c r="FZ29" s="392"/>
      <c r="GA29" s="392"/>
      <c r="GB29" s="392"/>
      <c r="GC29" s="392"/>
      <c r="GD29" s="392"/>
      <c r="GE29" s="392"/>
      <c r="GF29" s="392"/>
      <c r="GG29" s="392"/>
      <c r="GH29" s="392"/>
      <c r="GI29" s="392"/>
      <c r="GJ29" s="392"/>
      <c r="GK29" s="392"/>
      <c r="GL29" s="392"/>
      <c r="GM29" s="392"/>
      <c r="GN29" s="392"/>
      <c r="GO29" s="392"/>
      <c r="GP29" s="392"/>
      <c r="GQ29" s="392"/>
      <c r="GR29" s="392"/>
      <c r="GS29" s="392"/>
      <c r="GT29" s="392"/>
      <c r="GU29" s="392"/>
      <c r="GV29" s="392"/>
      <c r="GW29" s="392"/>
      <c r="GX29" s="392"/>
      <c r="GY29" s="392"/>
      <c r="GZ29" s="392"/>
      <c r="HA29" s="392"/>
      <c r="HB29" s="392"/>
      <c r="HC29" s="392"/>
      <c r="HD29" s="392"/>
      <c r="HE29" s="392"/>
      <c r="HF29" s="392"/>
      <c r="HG29" s="392"/>
      <c r="HH29" s="392"/>
      <c r="HI29" s="392"/>
      <c r="HJ29" s="392"/>
      <c r="HK29" s="392"/>
      <c r="HL29" s="392"/>
      <c r="HM29" s="392"/>
      <c r="HN29" s="392"/>
      <c r="HO29" s="392"/>
      <c r="HP29" s="392"/>
      <c r="HQ29" s="392"/>
      <c r="HR29" s="392"/>
      <c r="HS29" s="392"/>
      <c r="HT29" s="392"/>
      <c r="HU29" s="392"/>
      <c r="HV29" s="392"/>
      <c r="HW29" s="392"/>
      <c r="HX29" s="392"/>
      <c r="HY29" s="392"/>
      <c r="HZ29" s="392"/>
      <c r="IA29" s="392"/>
      <c r="IB29" s="392"/>
      <c r="IC29" s="392"/>
      <c r="ID29" s="392"/>
      <c r="IE29" s="392"/>
      <c r="IF29" s="392"/>
      <c r="IG29" s="392"/>
      <c r="IH29" s="392"/>
      <c r="II29" s="392"/>
      <c r="IJ29" s="392"/>
      <c r="IK29" s="392"/>
      <c r="IL29" s="392"/>
      <c r="IM29" s="392"/>
      <c r="IN29" s="392"/>
      <c r="IO29" s="392"/>
      <c r="IP29" s="392"/>
      <c r="IQ29" s="392"/>
      <c r="IR29" s="392"/>
      <c r="IS29" s="392"/>
      <c r="IT29" s="392"/>
      <c r="IU29" s="392"/>
      <c r="IV29" s="392"/>
      <c r="IW29" s="392"/>
      <c r="IX29" s="392"/>
      <c r="IY29" s="392"/>
      <c r="IZ29" s="392"/>
      <c r="JA29" s="392"/>
      <c r="JB29" s="392"/>
      <c r="JC29" s="392"/>
      <c r="JD29" s="392"/>
      <c r="JE29" s="392"/>
      <c r="JF29" s="392"/>
      <c r="JG29" s="392"/>
      <c r="JH29" s="392"/>
      <c r="JI29" s="393">
        <f t="shared" si="0"/>
        <v>0</v>
      </c>
      <c r="JJ29" s="2">
        <v>5778</v>
      </c>
      <c r="JK29" s="392">
        <f t="shared" si="1"/>
        <v>0</v>
      </c>
      <c r="JL29" s="284"/>
      <c r="JM29" s="284"/>
      <c r="JN29" s="284"/>
      <c r="JO29" s="284"/>
      <c r="JP29" s="284"/>
      <c r="JQ29" s="170"/>
      <c r="JR29" s="187"/>
    </row>
    <row r="30" spans="1:278" x14ac:dyDescent="0.3">
      <c r="A30" s="392"/>
      <c r="B30" s="392"/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2"/>
      <c r="Q30" s="392"/>
      <c r="R30" s="392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  <c r="AD30" s="392"/>
      <c r="AE30" s="392"/>
      <c r="AF30" s="392"/>
      <c r="AG30" s="392"/>
      <c r="AH30" s="392"/>
      <c r="AI30" s="392"/>
      <c r="AJ30" s="392"/>
      <c r="AK30" s="392"/>
      <c r="AL30" s="392"/>
      <c r="AM30" s="392"/>
      <c r="AN30" s="392"/>
      <c r="AO30" s="392"/>
      <c r="AP30" s="392"/>
      <c r="AQ30" s="392"/>
      <c r="AR30" s="392"/>
      <c r="AS30" s="392"/>
      <c r="AT30" s="392"/>
      <c r="AU30" s="392"/>
      <c r="AV30" s="392"/>
      <c r="AW30" s="392"/>
      <c r="AX30" s="392"/>
      <c r="AY30" s="392"/>
      <c r="AZ30" s="392"/>
      <c r="BA30" s="392"/>
      <c r="BB30" s="392"/>
      <c r="BC30" s="392"/>
      <c r="BD30" s="392"/>
      <c r="BE30" s="392"/>
      <c r="BF30" s="392"/>
      <c r="BG30" s="392"/>
      <c r="BH30" s="392"/>
      <c r="BI30" s="392"/>
      <c r="BJ30" s="392"/>
      <c r="BK30" s="392"/>
      <c r="BL30" s="392"/>
      <c r="BM30" s="392"/>
      <c r="BN30" s="392"/>
      <c r="BO30" s="392"/>
      <c r="BP30" s="392"/>
      <c r="BQ30" s="392"/>
      <c r="BR30" s="392"/>
      <c r="BS30" s="392"/>
      <c r="BT30" s="392"/>
      <c r="BU30" s="392"/>
      <c r="BV30" s="392"/>
      <c r="BW30" s="392"/>
      <c r="BX30" s="392"/>
      <c r="BY30" s="392"/>
      <c r="BZ30" s="392"/>
      <c r="CA30" s="392"/>
      <c r="CB30" s="392"/>
      <c r="CC30" s="392"/>
      <c r="CD30" s="392"/>
      <c r="CE30" s="392"/>
      <c r="CF30" s="392"/>
      <c r="CG30" s="392"/>
      <c r="CH30" s="392"/>
      <c r="CI30" s="392"/>
      <c r="CJ30" s="392"/>
      <c r="CK30" s="392"/>
      <c r="CL30" s="392"/>
      <c r="CM30" s="392"/>
      <c r="CN30" s="392"/>
      <c r="CO30" s="392"/>
      <c r="CP30" s="392"/>
      <c r="CQ30" s="392"/>
      <c r="CR30" s="392"/>
      <c r="CS30" s="392"/>
      <c r="CT30" s="392"/>
      <c r="CU30" s="392"/>
      <c r="CV30" s="392"/>
      <c r="CW30" s="392"/>
      <c r="CX30" s="392"/>
      <c r="CY30" s="392"/>
      <c r="CZ30" s="392"/>
      <c r="DA30" s="392"/>
      <c r="DB30" s="392"/>
      <c r="DC30" s="392"/>
      <c r="DD30" s="392"/>
      <c r="DE30" s="392"/>
      <c r="DF30" s="392"/>
      <c r="DG30" s="392"/>
      <c r="DH30" s="392"/>
      <c r="DI30" s="392"/>
      <c r="DJ30" s="392"/>
      <c r="DK30" s="392"/>
      <c r="DL30" s="392"/>
      <c r="DM30" s="392"/>
      <c r="DN30" s="392"/>
      <c r="DO30" s="392"/>
      <c r="DP30" s="392"/>
      <c r="DQ30" s="392"/>
      <c r="DR30" s="392"/>
      <c r="DS30" s="392"/>
      <c r="DT30" s="392"/>
      <c r="DU30" s="392"/>
      <c r="DV30" s="392"/>
      <c r="DW30" s="392"/>
      <c r="DX30" s="392"/>
      <c r="DY30" s="392"/>
      <c r="DZ30" s="392"/>
      <c r="EA30" s="392"/>
      <c r="EB30" s="392"/>
      <c r="EC30" s="392"/>
      <c r="ED30" s="392"/>
      <c r="EE30" s="392"/>
      <c r="EF30" s="392"/>
      <c r="EG30" s="392"/>
      <c r="EH30" s="392"/>
      <c r="EI30" s="392"/>
      <c r="EJ30" s="392"/>
      <c r="EK30" s="392"/>
      <c r="EL30" s="392"/>
      <c r="EM30" s="392"/>
      <c r="EN30" s="392"/>
      <c r="EO30" s="392"/>
      <c r="EP30" s="392"/>
      <c r="EQ30" s="392"/>
      <c r="ER30" s="392"/>
      <c r="ES30" s="392"/>
      <c r="ET30" s="392"/>
      <c r="EU30" s="392"/>
      <c r="EV30" s="392"/>
      <c r="EW30" s="392"/>
      <c r="EX30" s="392"/>
      <c r="EY30" s="392"/>
      <c r="EZ30" s="392"/>
      <c r="FA30" s="392"/>
      <c r="FB30" s="392"/>
      <c r="FC30" s="392"/>
      <c r="FD30" s="392"/>
      <c r="FE30" s="392"/>
      <c r="FF30" s="392"/>
      <c r="FG30" s="392"/>
      <c r="FH30" s="392"/>
      <c r="FI30" s="392"/>
      <c r="FJ30" s="392"/>
      <c r="FK30" s="392"/>
      <c r="FL30" s="392"/>
      <c r="FM30" s="392"/>
      <c r="FN30" s="392"/>
      <c r="FO30" s="392"/>
      <c r="FP30" s="392"/>
      <c r="FQ30" s="392"/>
      <c r="FR30" s="392"/>
      <c r="FS30" s="392"/>
      <c r="FT30" s="392"/>
      <c r="FU30" s="392"/>
      <c r="FV30" s="392"/>
      <c r="FW30" s="392"/>
      <c r="FX30" s="392"/>
      <c r="FY30" s="392"/>
      <c r="FZ30" s="392"/>
      <c r="GA30" s="392"/>
      <c r="GB30" s="392"/>
      <c r="GC30" s="392"/>
      <c r="GD30" s="392"/>
      <c r="GE30" s="392"/>
      <c r="GF30" s="392"/>
      <c r="GG30" s="392"/>
      <c r="GH30" s="392"/>
      <c r="GI30" s="392"/>
      <c r="GJ30" s="392"/>
      <c r="GK30" s="392"/>
      <c r="GL30" s="392"/>
      <c r="GM30" s="392"/>
      <c r="GN30" s="392"/>
      <c r="GO30" s="392"/>
      <c r="GP30" s="392"/>
      <c r="GQ30" s="392"/>
      <c r="GR30" s="392"/>
      <c r="GS30" s="392"/>
      <c r="GT30" s="392"/>
      <c r="GU30" s="392"/>
      <c r="GV30" s="392"/>
      <c r="GW30" s="392"/>
      <c r="GX30" s="392"/>
      <c r="GY30" s="392"/>
      <c r="GZ30" s="392"/>
      <c r="HA30" s="392"/>
      <c r="HB30" s="392"/>
      <c r="HC30" s="392"/>
      <c r="HD30" s="392"/>
      <c r="HE30" s="392"/>
      <c r="HF30" s="392"/>
      <c r="HG30" s="392"/>
      <c r="HH30" s="392"/>
      <c r="HI30" s="392"/>
      <c r="HJ30" s="392"/>
      <c r="HK30" s="392"/>
      <c r="HL30" s="392"/>
      <c r="HM30" s="392"/>
      <c r="HN30" s="392"/>
      <c r="HO30" s="392"/>
      <c r="HP30" s="392"/>
      <c r="HQ30" s="392"/>
      <c r="HR30" s="392"/>
      <c r="HS30" s="392"/>
      <c r="HT30" s="392"/>
      <c r="HU30" s="392"/>
      <c r="HV30" s="392"/>
      <c r="HW30" s="392"/>
      <c r="HX30" s="392"/>
      <c r="HY30" s="392"/>
      <c r="HZ30" s="392"/>
      <c r="IA30" s="392"/>
      <c r="IB30" s="392"/>
      <c r="IC30" s="392"/>
      <c r="ID30" s="392"/>
      <c r="IE30" s="392"/>
      <c r="IF30" s="392"/>
      <c r="IG30" s="392"/>
      <c r="IH30" s="392"/>
      <c r="II30" s="392"/>
      <c r="IJ30" s="392"/>
      <c r="IK30" s="392"/>
      <c r="IL30" s="392"/>
      <c r="IM30" s="392"/>
      <c r="IN30" s="392"/>
      <c r="IO30" s="392"/>
      <c r="IP30" s="392"/>
      <c r="IQ30" s="392"/>
      <c r="IR30" s="392"/>
      <c r="IS30" s="392"/>
      <c r="IT30" s="392"/>
      <c r="IU30" s="392"/>
      <c r="IV30" s="392"/>
      <c r="IW30" s="392"/>
      <c r="IX30" s="392"/>
      <c r="IY30" s="392"/>
      <c r="IZ30" s="392"/>
      <c r="JA30" s="392"/>
      <c r="JB30" s="392"/>
      <c r="JC30" s="392"/>
      <c r="JD30" s="392"/>
      <c r="JE30" s="392"/>
      <c r="JF30" s="392"/>
      <c r="JG30" s="392"/>
      <c r="JH30" s="392"/>
      <c r="JI30" s="393">
        <f t="shared" si="0"/>
        <v>0</v>
      </c>
      <c r="JJ30" s="2">
        <v>5782</v>
      </c>
      <c r="JK30" s="392">
        <f t="shared" si="1"/>
        <v>0</v>
      </c>
      <c r="JL30" s="284"/>
      <c r="JM30" s="284"/>
      <c r="JN30" s="284"/>
      <c r="JO30" s="284"/>
      <c r="JP30" s="284"/>
      <c r="JQ30" s="170"/>
    </row>
    <row r="31" spans="1:278" x14ac:dyDescent="0.3">
      <c r="A31" s="392"/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  <c r="AD31" s="392"/>
      <c r="AE31" s="392"/>
      <c r="AF31" s="392"/>
      <c r="AG31" s="392"/>
      <c r="AH31" s="392"/>
      <c r="AI31" s="392"/>
      <c r="AJ31" s="392"/>
      <c r="AK31" s="392"/>
      <c r="AL31" s="392"/>
      <c r="AM31" s="392"/>
      <c r="AN31" s="392"/>
      <c r="AO31" s="392"/>
      <c r="AP31" s="392"/>
      <c r="AQ31" s="392"/>
      <c r="AR31" s="392"/>
      <c r="AS31" s="392"/>
      <c r="AT31" s="392"/>
      <c r="AU31" s="392"/>
      <c r="AV31" s="392"/>
      <c r="AW31" s="392"/>
      <c r="AX31" s="392"/>
      <c r="AY31" s="392"/>
      <c r="AZ31" s="392"/>
      <c r="BA31" s="392"/>
      <c r="BB31" s="392"/>
      <c r="BC31" s="392"/>
      <c r="BD31" s="392"/>
      <c r="BE31" s="392"/>
      <c r="BF31" s="392"/>
      <c r="BG31" s="392"/>
      <c r="BH31" s="392"/>
      <c r="BI31" s="392"/>
      <c r="BJ31" s="392"/>
      <c r="BK31" s="392"/>
      <c r="BL31" s="392"/>
      <c r="BM31" s="392"/>
      <c r="BN31" s="392"/>
      <c r="BO31" s="392"/>
      <c r="BP31" s="392"/>
      <c r="BQ31" s="392"/>
      <c r="BR31" s="392"/>
      <c r="BS31" s="392"/>
      <c r="BT31" s="392"/>
      <c r="BU31" s="392"/>
      <c r="BV31" s="392"/>
      <c r="BW31" s="392"/>
      <c r="BX31" s="392"/>
      <c r="BY31" s="392"/>
      <c r="BZ31" s="392"/>
      <c r="CA31" s="392"/>
      <c r="CB31" s="392"/>
      <c r="CC31" s="392"/>
      <c r="CD31" s="392"/>
      <c r="CE31" s="392"/>
      <c r="CF31" s="392"/>
      <c r="CG31" s="392"/>
      <c r="CH31" s="392"/>
      <c r="CI31" s="392"/>
      <c r="CJ31" s="392"/>
      <c r="CK31" s="392"/>
      <c r="CL31" s="392"/>
      <c r="CM31" s="392"/>
      <c r="CN31" s="392"/>
      <c r="CO31" s="392"/>
      <c r="CP31" s="392"/>
      <c r="CQ31" s="392"/>
      <c r="CR31" s="392"/>
      <c r="CS31" s="392"/>
      <c r="CT31" s="392"/>
      <c r="CU31" s="392"/>
      <c r="CV31" s="392"/>
      <c r="CW31" s="392"/>
      <c r="CX31" s="392"/>
      <c r="CY31" s="392"/>
      <c r="CZ31" s="392"/>
      <c r="DA31" s="392"/>
      <c r="DB31" s="392"/>
      <c r="DC31" s="392"/>
      <c r="DD31" s="392"/>
      <c r="DE31" s="392"/>
      <c r="DF31" s="392"/>
      <c r="DG31" s="392"/>
      <c r="DH31" s="392"/>
      <c r="DI31" s="392"/>
      <c r="DJ31" s="392"/>
      <c r="DK31" s="392"/>
      <c r="DL31" s="392"/>
      <c r="DM31" s="392"/>
      <c r="DN31" s="392"/>
      <c r="DO31" s="392"/>
      <c r="DP31" s="392"/>
      <c r="DQ31" s="392"/>
      <c r="DR31" s="392"/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  <c r="EE31" s="392"/>
      <c r="EF31" s="392"/>
      <c r="EG31" s="392"/>
      <c r="EH31" s="392"/>
      <c r="EI31" s="392"/>
      <c r="EJ31" s="392"/>
      <c r="EK31" s="392"/>
      <c r="EL31" s="392"/>
      <c r="EM31" s="392"/>
      <c r="EN31" s="392"/>
      <c r="EO31" s="392"/>
      <c r="EP31" s="392"/>
      <c r="EQ31" s="392"/>
      <c r="ER31" s="392"/>
      <c r="ES31" s="392"/>
      <c r="ET31" s="392"/>
      <c r="EU31" s="392"/>
      <c r="EV31" s="392"/>
      <c r="EW31" s="392"/>
      <c r="EX31" s="392"/>
      <c r="EY31" s="392"/>
      <c r="EZ31" s="392"/>
      <c r="FA31" s="392"/>
      <c r="FB31" s="392"/>
      <c r="FC31" s="392"/>
      <c r="FD31" s="392"/>
      <c r="FE31" s="392"/>
      <c r="FF31" s="392"/>
      <c r="FG31" s="392"/>
      <c r="FH31" s="392"/>
      <c r="FI31" s="392"/>
      <c r="FJ31" s="392"/>
      <c r="FK31" s="392"/>
      <c r="FL31" s="392"/>
      <c r="FM31" s="392"/>
      <c r="FN31" s="392"/>
      <c r="FO31" s="392"/>
      <c r="FP31" s="392"/>
      <c r="FQ31" s="392"/>
      <c r="FR31" s="392"/>
      <c r="FS31" s="392"/>
      <c r="FT31" s="392"/>
      <c r="FU31" s="392"/>
      <c r="FV31" s="392"/>
      <c r="FW31" s="392"/>
      <c r="FX31" s="392"/>
      <c r="FY31" s="392"/>
      <c r="FZ31" s="392"/>
      <c r="GA31" s="392"/>
      <c r="GB31" s="392"/>
      <c r="GC31" s="392"/>
      <c r="GD31" s="392"/>
      <c r="GE31" s="392"/>
      <c r="GF31" s="392"/>
      <c r="GG31" s="392"/>
      <c r="GH31" s="392"/>
      <c r="GI31" s="392"/>
      <c r="GJ31" s="392"/>
      <c r="GK31" s="392"/>
      <c r="GL31" s="392"/>
      <c r="GM31" s="392"/>
      <c r="GN31" s="392"/>
      <c r="GO31" s="392"/>
      <c r="GP31" s="392"/>
      <c r="GQ31" s="392"/>
      <c r="GR31" s="392"/>
      <c r="GS31" s="392"/>
      <c r="GT31" s="392"/>
      <c r="GU31" s="392"/>
      <c r="GV31" s="392"/>
      <c r="GW31" s="392"/>
      <c r="GX31" s="392"/>
      <c r="GY31" s="392"/>
      <c r="GZ31" s="392"/>
      <c r="HA31" s="392"/>
      <c r="HB31" s="392"/>
      <c r="HC31" s="392"/>
      <c r="HD31" s="392"/>
      <c r="HE31" s="392"/>
      <c r="HF31" s="392"/>
      <c r="HG31" s="392"/>
      <c r="HH31" s="392"/>
      <c r="HI31" s="392"/>
      <c r="HJ31" s="392"/>
      <c r="HK31" s="392"/>
      <c r="HL31" s="392"/>
      <c r="HM31" s="392"/>
      <c r="HN31" s="392"/>
      <c r="HO31" s="392"/>
      <c r="HP31" s="392"/>
      <c r="HQ31" s="392"/>
      <c r="HR31" s="392"/>
      <c r="HS31" s="392"/>
      <c r="HT31" s="392"/>
      <c r="HU31" s="392"/>
      <c r="HV31" s="392"/>
      <c r="HW31" s="392"/>
      <c r="HX31" s="392"/>
      <c r="HY31" s="392"/>
      <c r="HZ31" s="392"/>
      <c r="IA31" s="392"/>
      <c r="IB31" s="392"/>
      <c r="IC31" s="392"/>
      <c r="ID31" s="392"/>
      <c r="IE31" s="392"/>
      <c r="IF31" s="392"/>
      <c r="IG31" s="392"/>
      <c r="IH31" s="392"/>
      <c r="II31" s="392"/>
      <c r="IJ31" s="392"/>
      <c r="IK31" s="392"/>
      <c r="IL31" s="392"/>
      <c r="IM31" s="392"/>
      <c r="IN31" s="392"/>
      <c r="IO31" s="392"/>
      <c r="IP31" s="392"/>
      <c r="IQ31" s="392"/>
      <c r="IR31" s="392"/>
      <c r="IS31" s="392"/>
      <c r="IT31" s="392"/>
      <c r="IU31" s="392"/>
      <c r="IV31" s="392"/>
      <c r="IW31" s="392"/>
      <c r="IX31" s="392"/>
      <c r="IY31" s="392"/>
      <c r="IZ31" s="392"/>
      <c r="JA31" s="392"/>
      <c r="JB31" s="392"/>
      <c r="JC31" s="392"/>
      <c r="JD31" s="392"/>
      <c r="JE31" s="392"/>
      <c r="JF31" s="392"/>
      <c r="JG31" s="392"/>
      <c r="JH31" s="392"/>
      <c r="JI31" s="393">
        <f t="shared" si="0"/>
        <v>0</v>
      </c>
      <c r="JJ31" s="2">
        <v>5786</v>
      </c>
      <c r="JK31" s="392">
        <f t="shared" si="1"/>
        <v>0</v>
      </c>
      <c r="JL31" s="284"/>
      <c r="JM31" s="284"/>
      <c r="JN31" s="284"/>
      <c r="JO31" s="284"/>
      <c r="JP31" s="284"/>
      <c r="JQ31" s="170"/>
    </row>
    <row r="32" spans="1:278" x14ac:dyDescent="0.3">
      <c r="A32" s="392"/>
      <c r="B32" s="392"/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2"/>
      <c r="CI32" s="392"/>
      <c r="CJ32" s="392"/>
      <c r="CK32" s="392"/>
      <c r="CL32" s="392"/>
      <c r="CM32" s="392"/>
      <c r="CN32" s="392"/>
      <c r="CO32" s="392"/>
      <c r="CP32" s="392"/>
      <c r="CQ32" s="392"/>
      <c r="CR32" s="392"/>
      <c r="CS32" s="392"/>
      <c r="CT32" s="392"/>
      <c r="CU32" s="392"/>
      <c r="CV32" s="392"/>
      <c r="CW32" s="392"/>
      <c r="CX32" s="392"/>
      <c r="CY32" s="392"/>
      <c r="CZ32" s="392"/>
      <c r="DA32" s="392"/>
      <c r="DB32" s="392"/>
      <c r="DC32" s="392"/>
      <c r="DD32" s="392"/>
      <c r="DE32" s="392"/>
      <c r="DF32" s="392"/>
      <c r="DG32" s="392"/>
      <c r="DH32" s="392"/>
      <c r="DI32" s="392"/>
      <c r="DJ32" s="392"/>
      <c r="DK32" s="392"/>
      <c r="DL32" s="392"/>
      <c r="DM32" s="392"/>
      <c r="DN32" s="392"/>
      <c r="DO32" s="392"/>
      <c r="DP32" s="392"/>
      <c r="DQ32" s="392"/>
      <c r="DR32" s="392"/>
      <c r="DS32" s="392"/>
      <c r="DT32" s="392"/>
      <c r="DU32" s="392"/>
      <c r="DV32" s="392"/>
      <c r="DW32" s="392"/>
      <c r="DX32" s="392"/>
      <c r="DY32" s="392"/>
      <c r="DZ32" s="392"/>
      <c r="EA32" s="392"/>
      <c r="EB32" s="392"/>
      <c r="EC32" s="392"/>
      <c r="ED32" s="392"/>
      <c r="EE32" s="392"/>
      <c r="EF32" s="392"/>
      <c r="EG32" s="392"/>
      <c r="EH32" s="392"/>
      <c r="EI32" s="392"/>
      <c r="EJ32" s="392"/>
      <c r="EK32" s="392"/>
      <c r="EL32" s="392"/>
      <c r="EM32" s="392"/>
      <c r="EN32" s="392"/>
      <c r="EO32" s="392"/>
      <c r="EP32" s="392"/>
      <c r="EQ32" s="392"/>
      <c r="ER32" s="392"/>
      <c r="ES32" s="392"/>
      <c r="ET32" s="392"/>
      <c r="EU32" s="392"/>
      <c r="EV32" s="392"/>
      <c r="EW32" s="392"/>
      <c r="EX32" s="392"/>
      <c r="EY32" s="392"/>
      <c r="EZ32" s="392"/>
      <c r="FA32" s="392"/>
      <c r="FB32" s="392"/>
      <c r="FC32" s="392"/>
      <c r="FD32" s="392"/>
      <c r="FE32" s="392"/>
      <c r="FF32" s="392"/>
      <c r="FG32" s="392"/>
      <c r="FH32" s="392"/>
      <c r="FI32" s="392"/>
      <c r="FJ32" s="392"/>
      <c r="FK32" s="392"/>
      <c r="FL32" s="392"/>
      <c r="FM32" s="392"/>
      <c r="FN32" s="392"/>
      <c r="FO32" s="392"/>
      <c r="FP32" s="392"/>
      <c r="FQ32" s="392"/>
      <c r="FR32" s="392"/>
      <c r="FS32" s="392"/>
      <c r="FT32" s="392"/>
      <c r="FU32" s="392"/>
      <c r="FV32" s="392"/>
      <c r="FW32" s="392"/>
      <c r="FX32" s="392"/>
      <c r="FY32" s="392"/>
      <c r="FZ32" s="392"/>
      <c r="GA32" s="392"/>
      <c r="GB32" s="392"/>
      <c r="GC32" s="392"/>
      <c r="GD32" s="392"/>
      <c r="GE32" s="392"/>
      <c r="GF32" s="392"/>
      <c r="GG32" s="392"/>
      <c r="GH32" s="392"/>
      <c r="GI32" s="392"/>
      <c r="GJ32" s="392"/>
      <c r="GK32" s="392"/>
      <c r="GL32" s="392"/>
      <c r="GM32" s="392"/>
      <c r="GN32" s="392"/>
      <c r="GO32" s="392"/>
      <c r="GP32" s="392"/>
      <c r="GQ32" s="392"/>
      <c r="GR32" s="392"/>
      <c r="GS32" s="392"/>
      <c r="GT32" s="392"/>
      <c r="GU32" s="392"/>
      <c r="GV32" s="392"/>
      <c r="GW32" s="392"/>
      <c r="GX32" s="392"/>
      <c r="GY32" s="392"/>
      <c r="GZ32" s="392"/>
      <c r="HA32" s="392"/>
      <c r="HB32" s="392"/>
      <c r="HC32" s="392"/>
      <c r="HD32" s="392"/>
      <c r="HE32" s="392"/>
      <c r="HF32" s="392"/>
      <c r="HG32" s="392"/>
      <c r="HH32" s="392"/>
      <c r="HI32" s="392"/>
      <c r="HJ32" s="392"/>
      <c r="HK32" s="392"/>
      <c r="HL32" s="392"/>
      <c r="HM32" s="392"/>
      <c r="HN32" s="392"/>
      <c r="HO32" s="392"/>
      <c r="HP32" s="392"/>
      <c r="HQ32" s="392"/>
      <c r="HR32" s="392"/>
      <c r="HS32" s="392"/>
      <c r="HT32" s="392"/>
      <c r="HU32" s="392"/>
      <c r="HV32" s="392"/>
      <c r="HW32" s="392"/>
      <c r="HX32" s="392"/>
      <c r="HY32" s="392"/>
      <c r="HZ32" s="392"/>
      <c r="IA32" s="392"/>
      <c r="IB32" s="392"/>
      <c r="IC32" s="392"/>
      <c r="ID32" s="392"/>
      <c r="IE32" s="392"/>
      <c r="IF32" s="392"/>
      <c r="IG32" s="392"/>
      <c r="IH32" s="392"/>
      <c r="II32" s="392"/>
      <c r="IJ32" s="392"/>
      <c r="IK32" s="392"/>
      <c r="IL32" s="392"/>
      <c r="IM32" s="392"/>
      <c r="IN32" s="392"/>
      <c r="IO32" s="392"/>
      <c r="IP32" s="392"/>
      <c r="IQ32" s="392"/>
      <c r="IR32" s="392"/>
      <c r="IS32" s="392"/>
      <c r="IT32" s="392"/>
      <c r="IU32" s="392"/>
      <c r="IV32" s="392"/>
      <c r="IW32" s="392"/>
      <c r="IX32" s="392"/>
      <c r="IY32" s="392"/>
      <c r="IZ32" s="392"/>
      <c r="JA32" s="392"/>
      <c r="JB32" s="392"/>
      <c r="JC32" s="392"/>
      <c r="JD32" s="392"/>
      <c r="JE32" s="392"/>
      <c r="JF32" s="392"/>
      <c r="JG32" s="392"/>
      <c r="JH32" s="392"/>
      <c r="JI32" s="393">
        <f t="shared" si="0"/>
        <v>0</v>
      </c>
      <c r="JJ32" s="2">
        <v>5790</v>
      </c>
      <c r="JK32" s="392">
        <f t="shared" si="1"/>
        <v>0</v>
      </c>
      <c r="JL32" s="284"/>
      <c r="JM32" s="284"/>
      <c r="JN32" s="284"/>
      <c r="JO32" s="284"/>
      <c r="JP32" s="284"/>
      <c r="JQ32" s="170"/>
    </row>
    <row r="33" spans="1:277" x14ac:dyDescent="0.3">
      <c r="A33" s="392"/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  <c r="AD33" s="392"/>
      <c r="AE33" s="392"/>
      <c r="AF33" s="392"/>
      <c r="AG33" s="392"/>
      <c r="AH33" s="392"/>
      <c r="AI33" s="392"/>
      <c r="AJ33" s="392"/>
      <c r="AK33" s="392"/>
      <c r="AL33" s="392"/>
      <c r="AM33" s="392"/>
      <c r="AN33" s="392"/>
      <c r="AO33" s="392"/>
      <c r="AP33" s="392"/>
      <c r="AQ33" s="392"/>
      <c r="AR33" s="392"/>
      <c r="AS33" s="392"/>
      <c r="AT33" s="392"/>
      <c r="AU33" s="392"/>
      <c r="AV33" s="392"/>
      <c r="AW33" s="392"/>
      <c r="AX33" s="392"/>
      <c r="AY33" s="392"/>
      <c r="AZ33" s="392"/>
      <c r="BA33" s="392"/>
      <c r="BB33" s="392"/>
      <c r="BC33" s="392"/>
      <c r="BD33" s="392"/>
      <c r="BE33" s="392"/>
      <c r="BF33" s="392"/>
      <c r="BG33" s="392"/>
      <c r="BH33" s="392"/>
      <c r="BI33" s="392"/>
      <c r="BJ33" s="392"/>
      <c r="BK33" s="392"/>
      <c r="BL33" s="392"/>
      <c r="BM33" s="392"/>
      <c r="BN33" s="392"/>
      <c r="BO33" s="392"/>
      <c r="BP33" s="392"/>
      <c r="BQ33" s="392"/>
      <c r="BR33" s="392"/>
      <c r="BS33" s="392"/>
      <c r="BT33" s="392"/>
      <c r="BU33" s="392"/>
      <c r="BV33" s="392"/>
      <c r="BW33" s="392"/>
      <c r="BX33" s="392"/>
      <c r="BY33" s="392"/>
      <c r="BZ33" s="392"/>
      <c r="CA33" s="392"/>
      <c r="CB33" s="392"/>
      <c r="CC33" s="392"/>
      <c r="CD33" s="392"/>
      <c r="CE33" s="392"/>
      <c r="CF33" s="392"/>
      <c r="CG33" s="392"/>
      <c r="CH33" s="392"/>
      <c r="CI33" s="392"/>
      <c r="CJ33" s="392"/>
      <c r="CK33" s="392"/>
      <c r="CL33" s="392"/>
      <c r="CM33" s="392"/>
      <c r="CN33" s="392"/>
      <c r="CO33" s="392"/>
      <c r="CP33" s="392"/>
      <c r="CQ33" s="392"/>
      <c r="CR33" s="392"/>
      <c r="CS33" s="392"/>
      <c r="CT33" s="392"/>
      <c r="CU33" s="392"/>
      <c r="CV33" s="392"/>
      <c r="CW33" s="392"/>
      <c r="CX33" s="392"/>
      <c r="CY33" s="392"/>
      <c r="CZ33" s="392"/>
      <c r="DA33" s="392"/>
      <c r="DB33" s="392"/>
      <c r="DC33" s="392"/>
      <c r="DD33" s="392"/>
      <c r="DE33" s="392"/>
      <c r="DF33" s="392"/>
      <c r="DG33" s="392"/>
      <c r="DH33" s="392"/>
      <c r="DI33" s="392"/>
      <c r="DJ33" s="392"/>
      <c r="DK33" s="392"/>
      <c r="DL33" s="392"/>
      <c r="DM33" s="392"/>
      <c r="DN33" s="392"/>
      <c r="DO33" s="392"/>
      <c r="DP33" s="392"/>
      <c r="DQ33" s="392"/>
      <c r="DR33" s="392"/>
      <c r="DS33" s="392"/>
      <c r="DT33" s="392"/>
      <c r="DU33" s="392"/>
      <c r="DV33" s="392"/>
      <c r="DW33" s="392"/>
      <c r="DX33" s="392"/>
      <c r="DY33" s="392"/>
      <c r="DZ33" s="392"/>
      <c r="EA33" s="392"/>
      <c r="EB33" s="392"/>
      <c r="EC33" s="392"/>
      <c r="ED33" s="392"/>
      <c r="EE33" s="392"/>
      <c r="EF33" s="392"/>
      <c r="EG33" s="392"/>
      <c r="EH33" s="392"/>
      <c r="EI33" s="392"/>
      <c r="EJ33" s="392"/>
      <c r="EK33" s="392"/>
      <c r="EL33" s="392"/>
      <c r="EM33" s="392"/>
      <c r="EN33" s="392"/>
      <c r="EO33" s="392"/>
      <c r="EP33" s="392"/>
      <c r="EQ33" s="392"/>
      <c r="ER33" s="392"/>
      <c r="ES33" s="392"/>
      <c r="ET33" s="392"/>
      <c r="EU33" s="392"/>
      <c r="EV33" s="392"/>
      <c r="EW33" s="392"/>
      <c r="EX33" s="392"/>
      <c r="EY33" s="392"/>
      <c r="EZ33" s="392"/>
      <c r="FA33" s="392"/>
      <c r="FB33" s="392"/>
      <c r="FC33" s="392"/>
      <c r="FD33" s="392"/>
      <c r="FE33" s="392"/>
      <c r="FF33" s="392"/>
      <c r="FG33" s="392"/>
      <c r="FH33" s="392"/>
      <c r="FI33" s="392"/>
      <c r="FJ33" s="392"/>
      <c r="FK33" s="392"/>
      <c r="FL33" s="392"/>
      <c r="FM33" s="392"/>
      <c r="FN33" s="392"/>
      <c r="FO33" s="392"/>
      <c r="FP33" s="392"/>
      <c r="FQ33" s="392"/>
      <c r="FR33" s="392"/>
      <c r="FS33" s="392"/>
      <c r="FT33" s="392"/>
      <c r="FU33" s="392"/>
      <c r="FV33" s="392"/>
      <c r="FW33" s="392"/>
      <c r="FX33" s="392"/>
      <c r="FY33" s="392"/>
      <c r="FZ33" s="392"/>
      <c r="GA33" s="392"/>
      <c r="GB33" s="392"/>
      <c r="GC33" s="392"/>
      <c r="GD33" s="392"/>
      <c r="GE33" s="392"/>
      <c r="GF33" s="392"/>
      <c r="GG33" s="392"/>
      <c r="GH33" s="392"/>
      <c r="GI33" s="392"/>
      <c r="GJ33" s="392"/>
      <c r="GK33" s="392"/>
      <c r="GL33" s="392"/>
      <c r="GM33" s="392"/>
      <c r="GN33" s="392"/>
      <c r="GO33" s="392"/>
      <c r="GP33" s="392"/>
      <c r="GQ33" s="392"/>
      <c r="GR33" s="392"/>
      <c r="GS33" s="392"/>
      <c r="GT33" s="392"/>
      <c r="GU33" s="392"/>
      <c r="GV33" s="392"/>
      <c r="GW33" s="392"/>
      <c r="GX33" s="392"/>
      <c r="GY33" s="392"/>
      <c r="GZ33" s="392"/>
      <c r="HA33" s="392"/>
      <c r="HB33" s="392"/>
      <c r="HC33" s="392"/>
      <c r="HD33" s="392"/>
      <c r="HE33" s="392"/>
      <c r="HF33" s="392"/>
      <c r="HG33" s="392"/>
      <c r="HH33" s="392"/>
      <c r="HI33" s="392"/>
      <c r="HJ33" s="392"/>
      <c r="HK33" s="392"/>
      <c r="HL33" s="392"/>
      <c r="HM33" s="392"/>
      <c r="HN33" s="392"/>
      <c r="HO33" s="392"/>
      <c r="HP33" s="392"/>
      <c r="HQ33" s="392"/>
      <c r="HR33" s="392"/>
      <c r="HS33" s="392"/>
      <c r="HT33" s="392"/>
      <c r="HU33" s="392"/>
      <c r="HV33" s="392"/>
      <c r="HW33" s="392"/>
      <c r="HX33" s="392"/>
      <c r="HY33" s="392"/>
      <c r="HZ33" s="392"/>
      <c r="IA33" s="392"/>
      <c r="IB33" s="392"/>
      <c r="IC33" s="392"/>
      <c r="ID33" s="392"/>
      <c r="IE33" s="392"/>
      <c r="IF33" s="392"/>
      <c r="IG33" s="392"/>
      <c r="IH33" s="392"/>
      <c r="II33" s="392"/>
      <c r="IJ33" s="392"/>
      <c r="IK33" s="392"/>
      <c r="IL33" s="392"/>
      <c r="IM33" s="392"/>
      <c r="IN33" s="392"/>
      <c r="IO33" s="392"/>
      <c r="IP33" s="392"/>
      <c r="IQ33" s="392"/>
      <c r="IR33" s="392"/>
      <c r="IS33" s="392"/>
      <c r="IT33" s="392"/>
      <c r="IU33" s="392"/>
      <c r="IV33" s="392"/>
      <c r="IW33" s="392"/>
      <c r="IX33" s="392"/>
      <c r="IY33" s="392"/>
      <c r="IZ33" s="392"/>
      <c r="JA33" s="392"/>
      <c r="JB33" s="392"/>
      <c r="JC33" s="392"/>
      <c r="JD33" s="392"/>
      <c r="JE33" s="392"/>
      <c r="JF33" s="392"/>
      <c r="JG33" s="392"/>
      <c r="JH33" s="392"/>
      <c r="JI33" s="393">
        <f t="shared" si="0"/>
        <v>0</v>
      </c>
      <c r="JJ33" s="2">
        <v>5794</v>
      </c>
      <c r="JK33" s="392">
        <f t="shared" si="1"/>
        <v>0</v>
      </c>
      <c r="JL33" s="284"/>
      <c r="JM33" s="284"/>
      <c r="JN33" s="284"/>
      <c r="JO33" s="284"/>
      <c r="JP33" s="284"/>
      <c r="JQ33" s="170"/>
    </row>
    <row r="34" spans="1:277" x14ac:dyDescent="0.3">
      <c r="A34" s="392"/>
      <c r="B34" s="392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  <c r="AD34" s="392"/>
      <c r="AE34" s="392"/>
      <c r="AF34" s="392"/>
      <c r="AG34" s="392"/>
      <c r="AH34" s="392"/>
      <c r="AI34" s="392"/>
      <c r="AJ34" s="392"/>
      <c r="AK34" s="392"/>
      <c r="AL34" s="392"/>
      <c r="AM34" s="392"/>
      <c r="AN34" s="392"/>
      <c r="AO34" s="392"/>
      <c r="AP34" s="392"/>
      <c r="AQ34" s="392"/>
      <c r="AR34" s="392"/>
      <c r="AS34" s="392"/>
      <c r="AT34" s="392"/>
      <c r="AU34" s="392"/>
      <c r="AV34" s="392"/>
      <c r="AW34" s="392"/>
      <c r="AX34" s="392"/>
      <c r="AY34" s="392"/>
      <c r="AZ34" s="392"/>
      <c r="BA34" s="392"/>
      <c r="BB34" s="392"/>
      <c r="BC34" s="392"/>
      <c r="BD34" s="392"/>
      <c r="BE34" s="392"/>
      <c r="BF34" s="392"/>
      <c r="BG34" s="392"/>
      <c r="BH34" s="392"/>
      <c r="BI34" s="392"/>
      <c r="BJ34" s="392"/>
      <c r="BK34" s="392"/>
      <c r="BL34" s="392"/>
      <c r="BM34" s="392"/>
      <c r="BN34" s="392"/>
      <c r="BO34" s="392"/>
      <c r="BP34" s="392"/>
      <c r="BQ34" s="392"/>
      <c r="BR34" s="392"/>
      <c r="BS34" s="392"/>
      <c r="BT34" s="392"/>
      <c r="BU34" s="392"/>
      <c r="BV34" s="392"/>
      <c r="BW34" s="392"/>
      <c r="BX34" s="392"/>
      <c r="BY34" s="392"/>
      <c r="BZ34" s="392"/>
      <c r="CA34" s="392"/>
      <c r="CB34" s="392"/>
      <c r="CC34" s="392"/>
      <c r="CD34" s="392"/>
      <c r="CE34" s="392"/>
      <c r="CF34" s="392"/>
      <c r="CG34" s="392"/>
      <c r="CH34" s="392"/>
      <c r="CI34" s="392"/>
      <c r="CJ34" s="392"/>
      <c r="CK34" s="392"/>
      <c r="CL34" s="392"/>
      <c r="CM34" s="392"/>
      <c r="CN34" s="392"/>
      <c r="CO34" s="392"/>
      <c r="CP34" s="392"/>
      <c r="CQ34" s="392"/>
      <c r="CR34" s="392"/>
      <c r="CS34" s="392"/>
      <c r="CT34" s="392"/>
      <c r="CU34" s="392"/>
      <c r="CV34" s="392"/>
      <c r="CW34" s="392"/>
      <c r="CX34" s="392"/>
      <c r="CY34" s="392"/>
      <c r="CZ34" s="392"/>
      <c r="DA34" s="392"/>
      <c r="DB34" s="392"/>
      <c r="DC34" s="392"/>
      <c r="DD34" s="392"/>
      <c r="DE34" s="392"/>
      <c r="DF34" s="392"/>
      <c r="DG34" s="392"/>
      <c r="DH34" s="392"/>
      <c r="DI34" s="392"/>
      <c r="DJ34" s="392"/>
      <c r="DK34" s="392"/>
      <c r="DL34" s="392"/>
      <c r="DM34" s="392"/>
      <c r="DN34" s="392"/>
      <c r="DO34" s="392"/>
      <c r="DP34" s="392"/>
      <c r="DQ34" s="392"/>
      <c r="DR34" s="392"/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  <c r="EE34" s="392"/>
      <c r="EF34" s="392"/>
      <c r="EG34" s="392"/>
      <c r="EH34" s="392"/>
      <c r="EI34" s="392"/>
      <c r="EJ34" s="392"/>
      <c r="EK34" s="392"/>
      <c r="EL34" s="392"/>
      <c r="EM34" s="392"/>
      <c r="EN34" s="392"/>
      <c r="EO34" s="392"/>
      <c r="EP34" s="392"/>
      <c r="EQ34" s="392"/>
      <c r="ER34" s="392"/>
      <c r="ES34" s="392"/>
      <c r="ET34" s="392"/>
      <c r="EU34" s="392"/>
      <c r="EV34" s="392"/>
      <c r="EW34" s="392"/>
      <c r="EX34" s="392"/>
      <c r="EY34" s="392"/>
      <c r="EZ34" s="392"/>
      <c r="FA34" s="392"/>
      <c r="FB34" s="392"/>
      <c r="FC34" s="392"/>
      <c r="FD34" s="392"/>
      <c r="FE34" s="392"/>
      <c r="FF34" s="392"/>
      <c r="FG34" s="392"/>
      <c r="FH34" s="392"/>
      <c r="FI34" s="392"/>
      <c r="FJ34" s="392"/>
      <c r="FK34" s="392"/>
      <c r="FL34" s="392"/>
      <c r="FM34" s="392"/>
      <c r="FN34" s="392"/>
      <c r="FO34" s="392"/>
      <c r="FP34" s="392"/>
      <c r="FQ34" s="392"/>
      <c r="FR34" s="392"/>
      <c r="FS34" s="392"/>
      <c r="FT34" s="392"/>
      <c r="FU34" s="392"/>
      <c r="FV34" s="392"/>
      <c r="FW34" s="392"/>
      <c r="FX34" s="392"/>
      <c r="FY34" s="392"/>
      <c r="FZ34" s="392"/>
      <c r="GA34" s="392"/>
      <c r="GB34" s="392"/>
      <c r="GC34" s="392"/>
      <c r="GD34" s="392"/>
      <c r="GE34" s="392"/>
      <c r="GF34" s="392"/>
      <c r="GG34" s="392"/>
      <c r="GH34" s="392"/>
      <c r="GI34" s="392"/>
      <c r="GJ34" s="392"/>
      <c r="GK34" s="392"/>
      <c r="GL34" s="392"/>
      <c r="GM34" s="392"/>
      <c r="GN34" s="392"/>
      <c r="GO34" s="392"/>
      <c r="GP34" s="392"/>
      <c r="GQ34" s="392"/>
      <c r="GR34" s="392"/>
      <c r="GS34" s="392"/>
      <c r="GT34" s="392"/>
      <c r="GU34" s="392"/>
      <c r="GV34" s="392"/>
      <c r="GW34" s="392"/>
      <c r="GX34" s="392"/>
      <c r="GY34" s="392"/>
      <c r="GZ34" s="392"/>
      <c r="HA34" s="392"/>
      <c r="HB34" s="392"/>
      <c r="HC34" s="392"/>
      <c r="HD34" s="392"/>
      <c r="HE34" s="392"/>
      <c r="HF34" s="392"/>
      <c r="HG34" s="392"/>
      <c r="HH34" s="392"/>
      <c r="HI34" s="392"/>
      <c r="HJ34" s="392"/>
      <c r="HK34" s="392"/>
      <c r="HL34" s="392"/>
      <c r="HM34" s="392"/>
      <c r="HN34" s="392"/>
      <c r="HO34" s="392"/>
      <c r="HP34" s="392"/>
      <c r="HQ34" s="392"/>
      <c r="HR34" s="392"/>
      <c r="HS34" s="392"/>
      <c r="HT34" s="392"/>
      <c r="HU34" s="392"/>
      <c r="HV34" s="392"/>
      <c r="HW34" s="392"/>
      <c r="HX34" s="392"/>
      <c r="HY34" s="392"/>
      <c r="HZ34" s="392"/>
      <c r="IA34" s="392"/>
      <c r="IB34" s="392"/>
      <c r="IC34" s="392"/>
      <c r="ID34" s="392"/>
      <c r="IE34" s="392"/>
      <c r="IF34" s="392"/>
      <c r="IG34" s="392"/>
      <c r="IH34" s="392"/>
      <c r="II34" s="392"/>
      <c r="IJ34" s="392"/>
      <c r="IK34" s="392"/>
      <c r="IL34" s="392"/>
      <c r="IM34" s="392"/>
      <c r="IN34" s="392"/>
      <c r="IO34" s="392"/>
      <c r="IP34" s="392"/>
      <c r="IQ34" s="392"/>
      <c r="IR34" s="392"/>
      <c r="IS34" s="392"/>
      <c r="IT34" s="392"/>
      <c r="IU34" s="392"/>
      <c r="IV34" s="392"/>
      <c r="IW34" s="392"/>
      <c r="IX34" s="392"/>
      <c r="IY34" s="392"/>
      <c r="IZ34" s="392"/>
      <c r="JA34" s="392"/>
      <c r="JB34" s="392"/>
      <c r="JC34" s="392"/>
      <c r="JD34" s="392"/>
      <c r="JE34" s="392"/>
      <c r="JF34" s="392"/>
      <c r="JG34" s="392"/>
      <c r="JH34" s="392"/>
      <c r="JI34" s="393">
        <f t="shared" si="0"/>
        <v>0</v>
      </c>
      <c r="JJ34" s="2">
        <v>5798</v>
      </c>
      <c r="JK34" s="392">
        <f t="shared" si="1"/>
        <v>0</v>
      </c>
      <c r="JL34" s="284"/>
      <c r="JM34" s="284"/>
      <c r="JN34" s="284"/>
      <c r="JO34" s="284"/>
      <c r="JP34" s="284"/>
      <c r="JQ34" s="170"/>
    </row>
    <row r="35" spans="1:277" x14ac:dyDescent="0.3">
      <c r="A35" s="392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92"/>
      <c r="AD35" s="392"/>
      <c r="AE35" s="392"/>
      <c r="AF35" s="392"/>
      <c r="AG35" s="392"/>
      <c r="AH35" s="392"/>
      <c r="AI35" s="392"/>
      <c r="AJ35" s="392"/>
      <c r="AK35" s="392"/>
      <c r="AL35" s="392"/>
      <c r="AM35" s="392"/>
      <c r="AN35" s="392"/>
      <c r="AO35" s="392"/>
      <c r="AP35" s="392"/>
      <c r="AQ35" s="392"/>
      <c r="AR35" s="392"/>
      <c r="AS35" s="392"/>
      <c r="AT35" s="392"/>
      <c r="AU35" s="392"/>
      <c r="AV35" s="392"/>
      <c r="AW35" s="392"/>
      <c r="AX35" s="392"/>
      <c r="AY35" s="392"/>
      <c r="AZ35" s="392"/>
      <c r="BA35" s="392"/>
      <c r="BB35" s="392"/>
      <c r="BC35" s="392"/>
      <c r="BD35" s="392"/>
      <c r="BE35" s="392"/>
      <c r="BF35" s="392"/>
      <c r="BG35" s="392"/>
      <c r="BH35" s="392"/>
      <c r="BI35" s="392"/>
      <c r="BJ35" s="392"/>
      <c r="BK35" s="392"/>
      <c r="BL35" s="392"/>
      <c r="BM35" s="392"/>
      <c r="BN35" s="392"/>
      <c r="BO35" s="392"/>
      <c r="BP35" s="392"/>
      <c r="BQ35" s="392"/>
      <c r="BR35" s="392"/>
      <c r="BS35" s="392"/>
      <c r="BT35" s="392"/>
      <c r="BU35" s="392"/>
      <c r="BV35" s="392"/>
      <c r="BW35" s="392"/>
      <c r="BX35" s="392"/>
      <c r="BY35" s="392"/>
      <c r="BZ35" s="392"/>
      <c r="CA35" s="392"/>
      <c r="CB35" s="392"/>
      <c r="CC35" s="392"/>
      <c r="CD35" s="392"/>
      <c r="CE35" s="392"/>
      <c r="CF35" s="392"/>
      <c r="CG35" s="392"/>
      <c r="CH35" s="392"/>
      <c r="CI35" s="392"/>
      <c r="CJ35" s="392"/>
      <c r="CK35" s="392"/>
      <c r="CL35" s="392"/>
      <c r="CM35" s="392"/>
      <c r="CN35" s="392"/>
      <c r="CO35" s="392"/>
      <c r="CP35" s="392"/>
      <c r="CQ35" s="392"/>
      <c r="CR35" s="392"/>
      <c r="CS35" s="392"/>
      <c r="CT35" s="392"/>
      <c r="CU35" s="392"/>
      <c r="CV35" s="392"/>
      <c r="CW35" s="392"/>
      <c r="CX35" s="392"/>
      <c r="CY35" s="392"/>
      <c r="CZ35" s="392"/>
      <c r="DA35" s="392"/>
      <c r="DB35" s="392"/>
      <c r="DC35" s="392"/>
      <c r="DD35" s="392"/>
      <c r="DE35" s="392"/>
      <c r="DF35" s="392"/>
      <c r="DG35" s="392"/>
      <c r="DH35" s="392"/>
      <c r="DI35" s="392"/>
      <c r="DJ35" s="392"/>
      <c r="DK35" s="392"/>
      <c r="DL35" s="392"/>
      <c r="DM35" s="392"/>
      <c r="DN35" s="392"/>
      <c r="DO35" s="392"/>
      <c r="DP35" s="392"/>
      <c r="DQ35" s="392"/>
      <c r="DR35" s="392"/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  <c r="EE35" s="392"/>
      <c r="EF35" s="392"/>
      <c r="EG35" s="392"/>
      <c r="EH35" s="392"/>
      <c r="EI35" s="392"/>
      <c r="EJ35" s="392"/>
      <c r="EK35" s="392"/>
      <c r="EL35" s="392"/>
      <c r="EM35" s="392"/>
      <c r="EN35" s="392"/>
      <c r="EO35" s="392"/>
      <c r="EP35" s="392"/>
      <c r="EQ35" s="392"/>
      <c r="ER35" s="392"/>
      <c r="ES35" s="392"/>
      <c r="ET35" s="392"/>
      <c r="EU35" s="392"/>
      <c r="EV35" s="392"/>
      <c r="EW35" s="392"/>
      <c r="EX35" s="392"/>
      <c r="EY35" s="392"/>
      <c r="EZ35" s="392"/>
      <c r="FA35" s="392"/>
      <c r="FB35" s="392"/>
      <c r="FC35" s="392"/>
      <c r="FD35" s="392"/>
      <c r="FE35" s="392"/>
      <c r="FF35" s="392"/>
      <c r="FG35" s="392"/>
      <c r="FH35" s="392"/>
      <c r="FI35" s="392"/>
      <c r="FJ35" s="392"/>
      <c r="FK35" s="392"/>
      <c r="FL35" s="392"/>
      <c r="FM35" s="392"/>
      <c r="FN35" s="392"/>
      <c r="FO35" s="392"/>
      <c r="FP35" s="392"/>
      <c r="FQ35" s="392"/>
      <c r="FR35" s="392"/>
      <c r="FS35" s="392"/>
      <c r="FT35" s="392"/>
      <c r="FU35" s="392"/>
      <c r="FV35" s="392"/>
      <c r="FW35" s="392"/>
      <c r="FX35" s="392"/>
      <c r="FY35" s="392"/>
      <c r="FZ35" s="392"/>
      <c r="GA35" s="392"/>
      <c r="GB35" s="392"/>
      <c r="GC35" s="392"/>
      <c r="GD35" s="392"/>
      <c r="GE35" s="392"/>
      <c r="GF35" s="392"/>
      <c r="GG35" s="392"/>
      <c r="GH35" s="392"/>
      <c r="GI35" s="392"/>
      <c r="GJ35" s="392"/>
      <c r="GK35" s="392"/>
      <c r="GL35" s="392"/>
      <c r="GM35" s="392"/>
      <c r="GN35" s="392"/>
      <c r="GO35" s="392"/>
      <c r="GP35" s="392"/>
      <c r="GQ35" s="392"/>
      <c r="GR35" s="392"/>
      <c r="GS35" s="392"/>
      <c r="GT35" s="392"/>
      <c r="GU35" s="392"/>
      <c r="GV35" s="392"/>
      <c r="GW35" s="392"/>
      <c r="GX35" s="392"/>
      <c r="GY35" s="392"/>
      <c r="GZ35" s="392"/>
      <c r="HA35" s="392"/>
      <c r="HB35" s="392"/>
      <c r="HC35" s="392"/>
      <c r="HD35" s="392"/>
      <c r="HE35" s="392"/>
      <c r="HF35" s="392"/>
      <c r="HG35" s="392"/>
      <c r="HH35" s="392"/>
      <c r="HI35" s="392"/>
      <c r="HJ35" s="392"/>
      <c r="HK35" s="392"/>
      <c r="HL35" s="392"/>
      <c r="HM35" s="392"/>
      <c r="HN35" s="392"/>
      <c r="HO35" s="392"/>
      <c r="HP35" s="392"/>
      <c r="HQ35" s="392"/>
      <c r="HR35" s="392"/>
      <c r="HS35" s="392"/>
      <c r="HT35" s="392"/>
      <c r="HU35" s="392"/>
      <c r="HV35" s="392"/>
      <c r="HW35" s="392"/>
      <c r="HX35" s="392"/>
      <c r="HY35" s="392"/>
      <c r="HZ35" s="392"/>
      <c r="IA35" s="392"/>
      <c r="IB35" s="392"/>
      <c r="IC35" s="392"/>
      <c r="ID35" s="392"/>
      <c r="IE35" s="392"/>
      <c r="IF35" s="392"/>
      <c r="IG35" s="392"/>
      <c r="IH35" s="392"/>
      <c r="II35" s="392"/>
      <c r="IJ35" s="392"/>
      <c r="IK35" s="392"/>
      <c r="IL35" s="392"/>
      <c r="IM35" s="392"/>
      <c r="IN35" s="392"/>
      <c r="IO35" s="392"/>
      <c r="IP35" s="392"/>
      <c r="IQ35" s="392"/>
      <c r="IR35" s="392"/>
      <c r="IS35" s="392"/>
      <c r="IT35" s="392"/>
      <c r="IU35" s="392"/>
      <c r="IV35" s="392"/>
      <c r="IW35" s="392"/>
      <c r="IX35" s="392"/>
      <c r="IY35" s="392"/>
      <c r="IZ35" s="392"/>
      <c r="JA35" s="392"/>
      <c r="JB35" s="392"/>
      <c r="JC35" s="392"/>
      <c r="JD35" s="392"/>
      <c r="JE35" s="392"/>
      <c r="JF35" s="392"/>
      <c r="JG35" s="392"/>
      <c r="JH35" s="392"/>
      <c r="JI35" s="393">
        <f t="shared" si="0"/>
        <v>0</v>
      </c>
      <c r="JJ35" s="2">
        <v>5802</v>
      </c>
      <c r="JK35" s="392">
        <f t="shared" si="1"/>
        <v>0</v>
      </c>
      <c r="JL35" s="284"/>
      <c r="JM35" s="284"/>
      <c r="JN35" s="284"/>
      <c r="JO35" s="284"/>
      <c r="JP35" s="284"/>
      <c r="JQ35" s="170"/>
    </row>
    <row r="36" spans="1:277" x14ac:dyDescent="0.3">
      <c r="A36" s="392"/>
      <c r="B36" s="392"/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  <c r="AD36" s="392"/>
      <c r="AE36" s="392"/>
      <c r="AF36" s="392"/>
      <c r="AG36" s="392"/>
      <c r="AH36" s="392"/>
      <c r="AI36" s="392"/>
      <c r="AJ36" s="392"/>
      <c r="AK36" s="392"/>
      <c r="AL36" s="392"/>
      <c r="AM36" s="392"/>
      <c r="AN36" s="392"/>
      <c r="AO36" s="392"/>
      <c r="AP36" s="392"/>
      <c r="AQ36" s="392"/>
      <c r="AR36" s="392"/>
      <c r="AS36" s="392"/>
      <c r="AT36" s="392"/>
      <c r="AU36" s="392"/>
      <c r="AV36" s="392"/>
      <c r="AW36" s="392"/>
      <c r="AX36" s="392"/>
      <c r="AY36" s="392"/>
      <c r="AZ36" s="392"/>
      <c r="BA36" s="392"/>
      <c r="BB36" s="392"/>
      <c r="BC36" s="392"/>
      <c r="BD36" s="392"/>
      <c r="BE36" s="392"/>
      <c r="BF36" s="392"/>
      <c r="BG36" s="392"/>
      <c r="BH36" s="392"/>
      <c r="BI36" s="392"/>
      <c r="BJ36" s="392"/>
      <c r="BK36" s="392"/>
      <c r="BL36" s="392"/>
      <c r="BM36" s="392"/>
      <c r="BN36" s="392"/>
      <c r="BO36" s="392"/>
      <c r="BP36" s="392"/>
      <c r="BQ36" s="392"/>
      <c r="BR36" s="392"/>
      <c r="BS36" s="392"/>
      <c r="BT36" s="392"/>
      <c r="BU36" s="392"/>
      <c r="BV36" s="392"/>
      <c r="BW36" s="392"/>
      <c r="BX36" s="392"/>
      <c r="BY36" s="392"/>
      <c r="BZ36" s="392"/>
      <c r="CA36" s="392"/>
      <c r="CB36" s="392"/>
      <c r="CC36" s="392"/>
      <c r="CD36" s="392"/>
      <c r="CE36" s="392"/>
      <c r="CF36" s="392"/>
      <c r="CG36" s="392"/>
      <c r="CH36" s="392"/>
      <c r="CI36" s="392"/>
      <c r="CJ36" s="392"/>
      <c r="CK36" s="392"/>
      <c r="CL36" s="392"/>
      <c r="CM36" s="392"/>
      <c r="CN36" s="392"/>
      <c r="CO36" s="392"/>
      <c r="CP36" s="392"/>
      <c r="CQ36" s="392"/>
      <c r="CR36" s="392"/>
      <c r="CS36" s="392"/>
      <c r="CT36" s="392"/>
      <c r="CU36" s="392"/>
      <c r="CV36" s="392"/>
      <c r="CW36" s="392"/>
      <c r="CX36" s="392"/>
      <c r="CY36" s="392"/>
      <c r="CZ36" s="392"/>
      <c r="DA36" s="392"/>
      <c r="DB36" s="392"/>
      <c r="DC36" s="392"/>
      <c r="DD36" s="392"/>
      <c r="DE36" s="392"/>
      <c r="DF36" s="392"/>
      <c r="DG36" s="392"/>
      <c r="DH36" s="392"/>
      <c r="DI36" s="392"/>
      <c r="DJ36" s="392"/>
      <c r="DK36" s="392"/>
      <c r="DL36" s="392"/>
      <c r="DM36" s="392"/>
      <c r="DN36" s="392"/>
      <c r="DO36" s="392"/>
      <c r="DP36" s="392"/>
      <c r="DQ36" s="392"/>
      <c r="DR36" s="392"/>
      <c r="DS36" s="392"/>
      <c r="DT36" s="392"/>
      <c r="DU36" s="392"/>
      <c r="DV36" s="392"/>
      <c r="DW36" s="392"/>
      <c r="DX36" s="392"/>
      <c r="DY36" s="392"/>
      <c r="DZ36" s="392"/>
      <c r="EA36" s="392"/>
      <c r="EB36" s="392"/>
      <c r="EC36" s="392"/>
      <c r="ED36" s="392"/>
      <c r="EE36" s="392"/>
      <c r="EF36" s="392"/>
      <c r="EG36" s="392"/>
      <c r="EH36" s="392"/>
      <c r="EI36" s="392"/>
      <c r="EJ36" s="392"/>
      <c r="EK36" s="392"/>
      <c r="EL36" s="392"/>
      <c r="EM36" s="392"/>
      <c r="EN36" s="392"/>
      <c r="EO36" s="392"/>
      <c r="EP36" s="392"/>
      <c r="EQ36" s="392"/>
      <c r="ER36" s="392"/>
      <c r="ES36" s="392"/>
      <c r="ET36" s="392"/>
      <c r="EU36" s="392"/>
      <c r="EV36" s="392"/>
      <c r="EW36" s="392"/>
      <c r="EX36" s="392"/>
      <c r="EY36" s="392"/>
      <c r="EZ36" s="392"/>
      <c r="FA36" s="392"/>
      <c r="FB36" s="392"/>
      <c r="FC36" s="392"/>
      <c r="FD36" s="392"/>
      <c r="FE36" s="392"/>
      <c r="FF36" s="392"/>
      <c r="FG36" s="392"/>
      <c r="FH36" s="392"/>
      <c r="FI36" s="392"/>
      <c r="FJ36" s="392"/>
      <c r="FK36" s="392"/>
      <c r="FL36" s="392"/>
      <c r="FM36" s="392"/>
      <c r="FN36" s="392"/>
      <c r="FO36" s="392"/>
      <c r="FP36" s="392"/>
      <c r="FQ36" s="392"/>
      <c r="FR36" s="392"/>
      <c r="FS36" s="392"/>
      <c r="FT36" s="392"/>
      <c r="FU36" s="392"/>
      <c r="FV36" s="392"/>
      <c r="FW36" s="392"/>
      <c r="FX36" s="392"/>
      <c r="FY36" s="392"/>
      <c r="FZ36" s="392"/>
      <c r="GA36" s="392"/>
      <c r="GB36" s="392"/>
      <c r="GC36" s="392"/>
      <c r="GD36" s="392"/>
      <c r="GE36" s="392"/>
      <c r="GF36" s="392"/>
      <c r="GG36" s="392"/>
      <c r="GH36" s="392"/>
      <c r="GI36" s="392"/>
      <c r="GJ36" s="392"/>
      <c r="GK36" s="392"/>
      <c r="GL36" s="392"/>
      <c r="GM36" s="392"/>
      <c r="GN36" s="392"/>
      <c r="GO36" s="392"/>
      <c r="GP36" s="392"/>
      <c r="GQ36" s="392"/>
      <c r="GR36" s="392"/>
      <c r="GS36" s="392"/>
      <c r="GT36" s="392"/>
      <c r="GU36" s="392"/>
      <c r="GV36" s="392"/>
      <c r="GW36" s="392"/>
      <c r="GX36" s="392"/>
      <c r="GY36" s="392"/>
      <c r="GZ36" s="392"/>
      <c r="HA36" s="392"/>
      <c r="HB36" s="392"/>
      <c r="HC36" s="392"/>
      <c r="HD36" s="392"/>
      <c r="HE36" s="392"/>
      <c r="HF36" s="392"/>
      <c r="HG36" s="392"/>
      <c r="HH36" s="392"/>
      <c r="HI36" s="392"/>
      <c r="HJ36" s="392"/>
      <c r="HK36" s="392"/>
      <c r="HL36" s="392"/>
      <c r="HM36" s="392"/>
      <c r="HN36" s="392"/>
      <c r="HO36" s="392"/>
      <c r="HP36" s="392"/>
      <c r="HQ36" s="392"/>
      <c r="HR36" s="392"/>
      <c r="HS36" s="392"/>
      <c r="HT36" s="392"/>
      <c r="HU36" s="392"/>
      <c r="HV36" s="392"/>
      <c r="HW36" s="392"/>
      <c r="HX36" s="392"/>
      <c r="HY36" s="392"/>
      <c r="HZ36" s="392"/>
      <c r="IA36" s="392"/>
      <c r="IB36" s="392"/>
      <c r="IC36" s="392"/>
      <c r="ID36" s="392"/>
      <c r="IE36" s="392"/>
      <c r="IF36" s="392"/>
      <c r="IG36" s="392"/>
      <c r="IH36" s="392"/>
      <c r="II36" s="392"/>
      <c r="IJ36" s="392"/>
      <c r="IK36" s="392"/>
      <c r="IL36" s="392"/>
      <c r="IM36" s="392"/>
      <c r="IN36" s="392"/>
      <c r="IO36" s="392"/>
      <c r="IP36" s="392"/>
      <c r="IQ36" s="392"/>
      <c r="IR36" s="392"/>
      <c r="IS36" s="392"/>
      <c r="IT36" s="392"/>
      <c r="IU36" s="392"/>
      <c r="IV36" s="392"/>
      <c r="IW36" s="392"/>
      <c r="IX36" s="392"/>
      <c r="IY36" s="392"/>
      <c r="IZ36" s="392"/>
      <c r="JA36" s="392"/>
      <c r="JB36" s="392"/>
      <c r="JC36" s="392"/>
      <c r="JD36" s="392"/>
      <c r="JE36" s="392"/>
      <c r="JF36" s="392"/>
      <c r="JG36" s="392"/>
      <c r="JH36" s="392"/>
      <c r="JI36" s="393">
        <f t="shared" si="0"/>
        <v>0</v>
      </c>
      <c r="JJ36" s="2">
        <v>5806</v>
      </c>
      <c r="JK36" s="392">
        <f t="shared" si="1"/>
        <v>0</v>
      </c>
      <c r="JL36" s="284"/>
      <c r="JM36" s="394"/>
      <c r="JN36" s="284"/>
      <c r="JO36" s="284"/>
      <c r="JP36" s="394"/>
      <c r="JQ36" s="170"/>
    </row>
    <row r="37" spans="1:277" x14ac:dyDescent="0.3">
      <c r="A37" s="392"/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2"/>
      <c r="AD37" s="392"/>
      <c r="AE37" s="392"/>
      <c r="AF37" s="392"/>
      <c r="AG37" s="392"/>
      <c r="AH37" s="392"/>
      <c r="AI37" s="392"/>
      <c r="AJ37" s="392"/>
      <c r="AK37" s="392"/>
      <c r="AL37" s="392"/>
      <c r="AM37" s="392"/>
      <c r="AN37" s="392"/>
      <c r="AO37" s="392"/>
      <c r="AP37" s="392"/>
      <c r="AQ37" s="392"/>
      <c r="AR37" s="392"/>
      <c r="AS37" s="392"/>
      <c r="AT37" s="392"/>
      <c r="AU37" s="392"/>
      <c r="AV37" s="392"/>
      <c r="AW37" s="392"/>
      <c r="AX37" s="392"/>
      <c r="AY37" s="392"/>
      <c r="AZ37" s="392"/>
      <c r="BA37" s="392"/>
      <c r="BB37" s="392"/>
      <c r="BC37" s="392"/>
      <c r="BD37" s="392"/>
      <c r="BE37" s="392"/>
      <c r="BF37" s="392"/>
      <c r="BG37" s="392"/>
      <c r="BH37" s="392"/>
      <c r="BI37" s="392"/>
      <c r="BJ37" s="392"/>
      <c r="BK37" s="392"/>
      <c r="BL37" s="392"/>
      <c r="BM37" s="392"/>
      <c r="BN37" s="392"/>
      <c r="BO37" s="392"/>
      <c r="BP37" s="392"/>
      <c r="BQ37" s="392"/>
      <c r="BR37" s="392"/>
      <c r="BS37" s="392"/>
      <c r="BT37" s="392"/>
      <c r="BU37" s="392"/>
      <c r="BV37" s="392"/>
      <c r="BW37" s="392"/>
      <c r="BX37" s="392"/>
      <c r="BY37" s="392"/>
      <c r="BZ37" s="392"/>
      <c r="CA37" s="392"/>
      <c r="CB37" s="392"/>
      <c r="CC37" s="392"/>
      <c r="CD37" s="392"/>
      <c r="CE37" s="392"/>
      <c r="CF37" s="392"/>
      <c r="CG37" s="392"/>
      <c r="CH37" s="392"/>
      <c r="CI37" s="392"/>
      <c r="CJ37" s="392"/>
      <c r="CK37" s="392"/>
      <c r="CL37" s="392"/>
      <c r="CM37" s="392"/>
      <c r="CN37" s="392"/>
      <c r="CO37" s="392"/>
      <c r="CP37" s="392"/>
      <c r="CQ37" s="392"/>
      <c r="CR37" s="392"/>
      <c r="CS37" s="392"/>
      <c r="CT37" s="392"/>
      <c r="CU37" s="392"/>
      <c r="CV37" s="392"/>
      <c r="CW37" s="392"/>
      <c r="CX37" s="392"/>
      <c r="CY37" s="392"/>
      <c r="CZ37" s="392"/>
      <c r="DA37" s="392"/>
      <c r="DB37" s="392"/>
      <c r="DC37" s="392"/>
      <c r="DD37" s="392"/>
      <c r="DE37" s="392"/>
      <c r="DF37" s="392"/>
      <c r="DG37" s="392"/>
      <c r="DH37" s="392"/>
      <c r="DI37" s="392"/>
      <c r="DJ37" s="392"/>
      <c r="DK37" s="392"/>
      <c r="DL37" s="392"/>
      <c r="DM37" s="392"/>
      <c r="DN37" s="392"/>
      <c r="DO37" s="392"/>
      <c r="DP37" s="392"/>
      <c r="DQ37" s="392"/>
      <c r="DR37" s="392"/>
      <c r="DS37" s="392"/>
      <c r="DT37" s="392"/>
      <c r="DU37" s="392"/>
      <c r="DV37" s="392"/>
      <c r="DW37" s="392"/>
      <c r="DX37" s="392"/>
      <c r="DY37" s="392"/>
      <c r="DZ37" s="392"/>
      <c r="EA37" s="392"/>
      <c r="EB37" s="392"/>
      <c r="EC37" s="392"/>
      <c r="ED37" s="392"/>
      <c r="EE37" s="392"/>
      <c r="EF37" s="392"/>
      <c r="EG37" s="392"/>
      <c r="EH37" s="392"/>
      <c r="EI37" s="392"/>
      <c r="EJ37" s="392"/>
      <c r="EK37" s="392"/>
      <c r="EL37" s="392"/>
      <c r="EM37" s="392"/>
      <c r="EN37" s="392"/>
      <c r="EO37" s="392"/>
      <c r="EP37" s="392"/>
      <c r="EQ37" s="392"/>
      <c r="ER37" s="392"/>
      <c r="ES37" s="392"/>
      <c r="ET37" s="392"/>
      <c r="EU37" s="392"/>
      <c r="EV37" s="392"/>
      <c r="EW37" s="392"/>
      <c r="EX37" s="392"/>
      <c r="EY37" s="392"/>
      <c r="EZ37" s="392"/>
      <c r="FA37" s="392"/>
      <c r="FB37" s="392"/>
      <c r="FC37" s="392"/>
      <c r="FD37" s="392"/>
      <c r="FE37" s="392"/>
      <c r="FF37" s="392"/>
      <c r="FG37" s="392"/>
      <c r="FH37" s="392"/>
      <c r="FI37" s="392"/>
      <c r="FJ37" s="392"/>
      <c r="FK37" s="392"/>
      <c r="FL37" s="392"/>
      <c r="FM37" s="392"/>
      <c r="FN37" s="392"/>
      <c r="FO37" s="392"/>
      <c r="FP37" s="392"/>
      <c r="FQ37" s="392"/>
      <c r="FR37" s="392"/>
      <c r="FS37" s="392"/>
      <c r="FT37" s="392"/>
      <c r="FU37" s="392"/>
      <c r="FV37" s="392"/>
      <c r="FW37" s="392"/>
      <c r="FX37" s="392"/>
      <c r="FY37" s="392"/>
      <c r="FZ37" s="392"/>
      <c r="GA37" s="392"/>
      <c r="GB37" s="392"/>
      <c r="GC37" s="392"/>
      <c r="GD37" s="392"/>
      <c r="GE37" s="392"/>
      <c r="GF37" s="392"/>
      <c r="GG37" s="392"/>
      <c r="GH37" s="392"/>
      <c r="GI37" s="392"/>
      <c r="GJ37" s="392"/>
      <c r="GK37" s="392"/>
      <c r="GL37" s="392"/>
      <c r="GM37" s="392"/>
      <c r="GN37" s="392"/>
      <c r="GO37" s="392"/>
      <c r="GP37" s="392"/>
      <c r="GQ37" s="392"/>
      <c r="GR37" s="392"/>
      <c r="GS37" s="392"/>
      <c r="GT37" s="392"/>
      <c r="GU37" s="392"/>
      <c r="GV37" s="392"/>
      <c r="GW37" s="392"/>
      <c r="GX37" s="392"/>
      <c r="GY37" s="392"/>
      <c r="GZ37" s="392"/>
      <c r="HA37" s="392"/>
      <c r="HB37" s="392"/>
      <c r="HC37" s="392"/>
      <c r="HD37" s="392"/>
      <c r="HE37" s="392"/>
      <c r="HF37" s="392"/>
      <c r="HG37" s="392"/>
      <c r="HH37" s="392"/>
      <c r="HI37" s="392"/>
      <c r="HJ37" s="392"/>
      <c r="HK37" s="392"/>
      <c r="HL37" s="392"/>
      <c r="HM37" s="392"/>
      <c r="HN37" s="392"/>
      <c r="HO37" s="392"/>
      <c r="HP37" s="392"/>
      <c r="HQ37" s="392"/>
      <c r="HR37" s="392"/>
      <c r="HS37" s="392"/>
      <c r="HT37" s="392"/>
      <c r="HU37" s="392"/>
      <c r="HV37" s="392"/>
      <c r="HW37" s="392"/>
      <c r="HX37" s="392"/>
      <c r="HY37" s="392"/>
      <c r="HZ37" s="392"/>
      <c r="IA37" s="392"/>
      <c r="IB37" s="392"/>
      <c r="IC37" s="392"/>
      <c r="ID37" s="392"/>
      <c r="IE37" s="392"/>
      <c r="IF37" s="392"/>
      <c r="IG37" s="392"/>
      <c r="IH37" s="392"/>
      <c r="II37" s="392"/>
      <c r="IJ37" s="392"/>
      <c r="IK37" s="392"/>
      <c r="IL37" s="392"/>
      <c r="IM37" s="392"/>
      <c r="IN37" s="392"/>
      <c r="IO37" s="392"/>
      <c r="IP37" s="392"/>
      <c r="IQ37" s="392"/>
      <c r="IR37" s="392"/>
      <c r="IS37" s="392"/>
      <c r="IT37" s="392"/>
      <c r="IU37" s="392"/>
      <c r="IV37" s="392"/>
      <c r="IW37" s="392"/>
      <c r="IX37" s="392"/>
      <c r="IY37" s="392"/>
      <c r="IZ37" s="392"/>
      <c r="JA37" s="392"/>
      <c r="JB37" s="392"/>
      <c r="JC37" s="392"/>
      <c r="JD37" s="392"/>
      <c r="JE37" s="392"/>
      <c r="JF37" s="392"/>
      <c r="JG37" s="392"/>
      <c r="JH37" s="392"/>
      <c r="JI37" s="393">
        <f t="shared" si="0"/>
        <v>0</v>
      </c>
      <c r="JJ37" s="2">
        <v>5814</v>
      </c>
      <c r="JK37" s="392">
        <f t="shared" si="1"/>
        <v>0</v>
      </c>
      <c r="JL37" s="284"/>
      <c r="JM37" s="284"/>
      <c r="JN37" s="284"/>
      <c r="JO37" s="284"/>
      <c r="JP37" s="284"/>
      <c r="JQ37" s="170"/>
    </row>
    <row r="38" spans="1:277" x14ac:dyDescent="0.3">
      <c r="A38" s="392"/>
      <c r="B38" s="392"/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2"/>
      <c r="AA38" s="392"/>
      <c r="AB38" s="392"/>
      <c r="AC38" s="392"/>
      <c r="AD38" s="392"/>
      <c r="AE38" s="392"/>
      <c r="AF38" s="392"/>
      <c r="AG38" s="392"/>
      <c r="AH38" s="392"/>
      <c r="AI38" s="392"/>
      <c r="AJ38" s="392"/>
      <c r="AK38" s="392"/>
      <c r="AL38" s="392"/>
      <c r="AM38" s="392"/>
      <c r="AN38" s="392"/>
      <c r="AO38" s="392"/>
      <c r="AP38" s="392"/>
      <c r="AQ38" s="392"/>
      <c r="AR38" s="392"/>
      <c r="AS38" s="392"/>
      <c r="AT38" s="392"/>
      <c r="AU38" s="392"/>
      <c r="AV38" s="392"/>
      <c r="AW38" s="392"/>
      <c r="AX38" s="392"/>
      <c r="AY38" s="392"/>
      <c r="AZ38" s="392"/>
      <c r="BA38" s="392"/>
      <c r="BB38" s="392"/>
      <c r="BC38" s="392"/>
      <c r="BD38" s="392"/>
      <c r="BE38" s="392"/>
      <c r="BF38" s="392"/>
      <c r="BG38" s="392"/>
      <c r="BH38" s="392"/>
      <c r="BI38" s="392"/>
      <c r="BJ38" s="392"/>
      <c r="BK38" s="392"/>
      <c r="BL38" s="392"/>
      <c r="BM38" s="392"/>
      <c r="BN38" s="392"/>
      <c r="BO38" s="392"/>
      <c r="BP38" s="392"/>
      <c r="BQ38" s="392"/>
      <c r="BR38" s="392"/>
      <c r="BS38" s="392"/>
      <c r="BT38" s="392"/>
      <c r="BU38" s="392"/>
      <c r="BV38" s="392"/>
      <c r="BW38" s="392"/>
      <c r="BX38" s="392"/>
      <c r="BY38" s="392"/>
      <c r="BZ38" s="392"/>
      <c r="CA38" s="392"/>
      <c r="CB38" s="392"/>
      <c r="CC38" s="392"/>
      <c r="CD38" s="392"/>
      <c r="CE38" s="392"/>
      <c r="CF38" s="392"/>
      <c r="CG38" s="392"/>
      <c r="CH38" s="392"/>
      <c r="CI38" s="392"/>
      <c r="CJ38" s="392"/>
      <c r="CK38" s="392"/>
      <c r="CL38" s="392"/>
      <c r="CM38" s="392"/>
      <c r="CN38" s="392"/>
      <c r="CO38" s="392"/>
      <c r="CP38" s="392"/>
      <c r="CQ38" s="392"/>
      <c r="CR38" s="392"/>
      <c r="CS38" s="392"/>
      <c r="CT38" s="392"/>
      <c r="CU38" s="392"/>
      <c r="CV38" s="392"/>
      <c r="CW38" s="392"/>
      <c r="CX38" s="392"/>
      <c r="CY38" s="392"/>
      <c r="CZ38" s="392"/>
      <c r="DA38" s="392"/>
      <c r="DB38" s="392"/>
      <c r="DC38" s="392"/>
      <c r="DD38" s="392"/>
      <c r="DE38" s="392"/>
      <c r="DF38" s="392"/>
      <c r="DG38" s="392"/>
      <c r="DH38" s="392"/>
      <c r="DI38" s="392"/>
      <c r="DJ38" s="392"/>
      <c r="DK38" s="392"/>
      <c r="DL38" s="392"/>
      <c r="DM38" s="392"/>
      <c r="DN38" s="392"/>
      <c r="DO38" s="392"/>
      <c r="DP38" s="392"/>
      <c r="DQ38" s="392"/>
      <c r="DR38" s="392"/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  <c r="EE38" s="392"/>
      <c r="EF38" s="392"/>
      <c r="EG38" s="392"/>
      <c r="EH38" s="392"/>
      <c r="EI38" s="392"/>
      <c r="EJ38" s="392"/>
      <c r="EK38" s="392"/>
      <c r="EL38" s="392"/>
      <c r="EM38" s="392"/>
      <c r="EN38" s="392"/>
      <c r="EO38" s="392"/>
      <c r="EP38" s="392"/>
      <c r="EQ38" s="392"/>
      <c r="ER38" s="392"/>
      <c r="ES38" s="392"/>
      <c r="ET38" s="392"/>
      <c r="EU38" s="392"/>
      <c r="EV38" s="392"/>
      <c r="EW38" s="392"/>
      <c r="EX38" s="392"/>
      <c r="EY38" s="392"/>
      <c r="EZ38" s="392"/>
      <c r="FA38" s="392"/>
      <c r="FB38" s="392"/>
      <c r="FC38" s="392"/>
      <c r="FD38" s="392"/>
      <c r="FE38" s="392"/>
      <c r="FF38" s="392"/>
      <c r="FG38" s="392"/>
      <c r="FH38" s="392"/>
      <c r="FI38" s="392"/>
      <c r="FJ38" s="392"/>
      <c r="FK38" s="392"/>
      <c r="FL38" s="392"/>
      <c r="FM38" s="392"/>
      <c r="FN38" s="392"/>
      <c r="FO38" s="392"/>
      <c r="FP38" s="392"/>
      <c r="FQ38" s="392"/>
      <c r="FR38" s="392"/>
      <c r="FS38" s="392"/>
      <c r="FT38" s="392"/>
      <c r="FU38" s="392"/>
      <c r="FV38" s="392"/>
      <c r="FW38" s="392"/>
      <c r="FX38" s="392"/>
      <c r="FY38" s="392"/>
      <c r="FZ38" s="392"/>
      <c r="GA38" s="392"/>
      <c r="GB38" s="392"/>
      <c r="GC38" s="392"/>
      <c r="GD38" s="392"/>
      <c r="GE38" s="392"/>
      <c r="GF38" s="392"/>
      <c r="GG38" s="392"/>
      <c r="GH38" s="392"/>
      <c r="GI38" s="392"/>
      <c r="GJ38" s="392"/>
      <c r="GK38" s="392"/>
      <c r="GL38" s="392"/>
      <c r="GM38" s="392"/>
      <c r="GN38" s="392"/>
      <c r="GO38" s="392"/>
      <c r="GP38" s="392"/>
      <c r="GQ38" s="392"/>
      <c r="GR38" s="392"/>
      <c r="GS38" s="392"/>
      <c r="GT38" s="392"/>
      <c r="GU38" s="392"/>
      <c r="GV38" s="392"/>
      <c r="GW38" s="392"/>
      <c r="GX38" s="392"/>
      <c r="GY38" s="392"/>
      <c r="GZ38" s="392"/>
      <c r="HA38" s="392"/>
      <c r="HB38" s="392"/>
      <c r="HC38" s="392"/>
      <c r="HD38" s="392"/>
      <c r="HE38" s="392"/>
      <c r="HF38" s="392"/>
      <c r="HG38" s="392"/>
      <c r="HH38" s="392"/>
      <c r="HI38" s="392"/>
      <c r="HJ38" s="392"/>
      <c r="HK38" s="392"/>
      <c r="HL38" s="392"/>
      <c r="HM38" s="392"/>
      <c r="HN38" s="392"/>
      <c r="HO38" s="392"/>
      <c r="HP38" s="392"/>
      <c r="HQ38" s="392"/>
      <c r="HR38" s="392"/>
      <c r="HS38" s="392"/>
      <c r="HT38" s="392"/>
      <c r="HU38" s="392"/>
      <c r="HV38" s="392"/>
      <c r="HW38" s="392"/>
      <c r="HX38" s="392"/>
      <c r="HY38" s="392"/>
      <c r="HZ38" s="392"/>
      <c r="IA38" s="392"/>
      <c r="IB38" s="392"/>
      <c r="IC38" s="392"/>
      <c r="ID38" s="392"/>
      <c r="IE38" s="392"/>
      <c r="IF38" s="392"/>
      <c r="IG38" s="392"/>
      <c r="IH38" s="392"/>
      <c r="II38" s="392"/>
      <c r="IJ38" s="392"/>
      <c r="IK38" s="392"/>
      <c r="IL38" s="392"/>
      <c r="IM38" s="392"/>
      <c r="IN38" s="392"/>
      <c r="IO38" s="392"/>
      <c r="IP38" s="392"/>
      <c r="IQ38" s="392"/>
      <c r="IR38" s="392"/>
      <c r="IS38" s="392"/>
      <c r="IT38" s="392"/>
      <c r="IU38" s="392"/>
      <c r="IV38" s="392"/>
      <c r="IW38" s="392"/>
      <c r="IX38" s="392"/>
      <c r="IY38" s="392"/>
      <c r="IZ38" s="392"/>
      <c r="JA38" s="392"/>
      <c r="JB38" s="392"/>
      <c r="JC38" s="392"/>
      <c r="JD38" s="392"/>
      <c r="JE38" s="392"/>
      <c r="JF38" s="392"/>
      <c r="JG38" s="392"/>
      <c r="JH38" s="392"/>
      <c r="JI38" s="393">
        <f t="shared" si="0"/>
        <v>0</v>
      </c>
      <c r="JJ38" s="2">
        <v>5822</v>
      </c>
      <c r="JK38" s="392">
        <f t="shared" si="1"/>
        <v>0</v>
      </c>
      <c r="JL38" s="284"/>
      <c r="JM38" s="284"/>
      <c r="JN38" s="284"/>
      <c r="JO38" s="284"/>
      <c r="JP38" s="284"/>
      <c r="JQ38" s="170"/>
    </row>
    <row r="39" spans="1:277" x14ac:dyDescent="0.3">
      <c r="A39" s="392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2"/>
      <c r="AN39" s="392"/>
      <c r="AO39" s="392"/>
      <c r="AP39" s="392"/>
      <c r="AQ39" s="392"/>
      <c r="AR39" s="392"/>
      <c r="AS39" s="392"/>
      <c r="AT39" s="392"/>
      <c r="AU39" s="392"/>
      <c r="AV39" s="392"/>
      <c r="AW39" s="392"/>
      <c r="AX39" s="392"/>
      <c r="AY39" s="392"/>
      <c r="AZ39" s="392"/>
      <c r="BA39" s="392"/>
      <c r="BB39" s="392"/>
      <c r="BC39" s="392"/>
      <c r="BD39" s="392"/>
      <c r="BE39" s="392"/>
      <c r="BF39" s="392"/>
      <c r="BG39" s="392"/>
      <c r="BH39" s="392"/>
      <c r="BI39" s="392"/>
      <c r="BJ39" s="392"/>
      <c r="BK39" s="392"/>
      <c r="BL39" s="392"/>
      <c r="BM39" s="392"/>
      <c r="BN39" s="392"/>
      <c r="BO39" s="392"/>
      <c r="BP39" s="392"/>
      <c r="BQ39" s="392"/>
      <c r="BR39" s="392"/>
      <c r="BS39" s="392"/>
      <c r="BT39" s="392"/>
      <c r="BU39" s="392"/>
      <c r="BV39" s="392"/>
      <c r="BW39" s="392"/>
      <c r="BX39" s="392"/>
      <c r="BY39" s="392"/>
      <c r="BZ39" s="392"/>
      <c r="CA39" s="392"/>
      <c r="CB39" s="392"/>
      <c r="CC39" s="392"/>
      <c r="CD39" s="392"/>
      <c r="CE39" s="392"/>
      <c r="CF39" s="392"/>
      <c r="CG39" s="392"/>
      <c r="CH39" s="392"/>
      <c r="CI39" s="392"/>
      <c r="CJ39" s="392"/>
      <c r="CK39" s="392"/>
      <c r="CL39" s="392"/>
      <c r="CM39" s="392"/>
      <c r="CN39" s="392"/>
      <c r="CO39" s="392"/>
      <c r="CP39" s="392"/>
      <c r="CQ39" s="392"/>
      <c r="CR39" s="392"/>
      <c r="CS39" s="392"/>
      <c r="CT39" s="392"/>
      <c r="CU39" s="392"/>
      <c r="CV39" s="392"/>
      <c r="CW39" s="392"/>
      <c r="CX39" s="392"/>
      <c r="CY39" s="392"/>
      <c r="CZ39" s="392"/>
      <c r="DA39" s="392"/>
      <c r="DB39" s="392"/>
      <c r="DC39" s="392"/>
      <c r="DD39" s="392"/>
      <c r="DE39" s="392"/>
      <c r="DF39" s="392"/>
      <c r="DG39" s="392"/>
      <c r="DH39" s="392"/>
      <c r="DI39" s="392"/>
      <c r="DJ39" s="392"/>
      <c r="DK39" s="392"/>
      <c r="DL39" s="392"/>
      <c r="DM39" s="392"/>
      <c r="DN39" s="392"/>
      <c r="DO39" s="392"/>
      <c r="DP39" s="392"/>
      <c r="DQ39" s="392"/>
      <c r="DR39" s="392"/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  <c r="EE39" s="392"/>
      <c r="EF39" s="392"/>
      <c r="EG39" s="392"/>
      <c r="EH39" s="392"/>
      <c r="EI39" s="392"/>
      <c r="EJ39" s="392"/>
      <c r="EK39" s="392"/>
      <c r="EL39" s="392"/>
      <c r="EM39" s="392"/>
      <c r="EN39" s="392"/>
      <c r="EO39" s="392"/>
      <c r="EP39" s="392"/>
      <c r="EQ39" s="392"/>
      <c r="ER39" s="392"/>
      <c r="ES39" s="392"/>
      <c r="ET39" s="392"/>
      <c r="EU39" s="392"/>
      <c r="EV39" s="392"/>
      <c r="EW39" s="392"/>
      <c r="EX39" s="392"/>
      <c r="EY39" s="392"/>
      <c r="EZ39" s="392"/>
      <c r="FA39" s="392"/>
      <c r="FB39" s="392"/>
      <c r="FC39" s="392"/>
      <c r="FD39" s="392"/>
      <c r="FE39" s="392"/>
      <c r="FF39" s="392"/>
      <c r="FG39" s="392"/>
      <c r="FH39" s="392"/>
      <c r="FI39" s="392"/>
      <c r="FJ39" s="392"/>
      <c r="FK39" s="392"/>
      <c r="FL39" s="392"/>
      <c r="FM39" s="392"/>
      <c r="FN39" s="392"/>
      <c r="FO39" s="392"/>
      <c r="FP39" s="392"/>
      <c r="FQ39" s="392"/>
      <c r="FR39" s="392"/>
      <c r="FS39" s="392"/>
      <c r="FT39" s="392"/>
      <c r="FU39" s="392"/>
      <c r="FV39" s="392"/>
      <c r="FW39" s="392"/>
      <c r="FX39" s="392"/>
      <c r="FY39" s="392"/>
      <c r="FZ39" s="392"/>
      <c r="GA39" s="392"/>
      <c r="GB39" s="392"/>
      <c r="GC39" s="392"/>
      <c r="GD39" s="392"/>
      <c r="GE39" s="392"/>
      <c r="GF39" s="392"/>
      <c r="GG39" s="392"/>
      <c r="GH39" s="392"/>
      <c r="GI39" s="392"/>
      <c r="GJ39" s="392"/>
      <c r="GK39" s="392"/>
      <c r="GL39" s="392"/>
      <c r="GM39" s="392"/>
      <c r="GN39" s="392"/>
      <c r="GO39" s="392"/>
      <c r="GP39" s="392"/>
      <c r="GQ39" s="392"/>
      <c r="GR39" s="392"/>
      <c r="GS39" s="392"/>
      <c r="GT39" s="392"/>
      <c r="GU39" s="392"/>
      <c r="GV39" s="392"/>
      <c r="GW39" s="392"/>
      <c r="GX39" s="392"/>
      <c r="GY39" s="392"/>
      <c r="GZ39" s="392"/>
      <c r="HA39" s="392"/>
      <c r="HB39" s="392"/>
      <c r="HC39" s="392"/>
      <c r="HD39" s="392"/>
      <c r="HE39" s="392"/>
      <c r="HF39" s="392"/>
      <c r="HG39" s="392"/>
      <c r="HH39" s="392"/>
      <c r="HI39" s="392"/>
      <c r="HJ39" s="392"/>
      <c r="HK39" s="392"/>
      <c r="HL39" s="392"/>
      <c r="HM39" s="392"/>
      <c r="HN39" s="392"/>
      <c r="HO39" s="392"/>
      <c r="HP39" s="392"/>
      <c r="HQ39" s="392"/>
      <c r="HR39" s="392"/>
      <c r="HS39" s="392"/>
      <c r="HT39" s="392"/>
      <c r="HU39" s="392"/>
      <c r="HV39" s="392"/>
      <c r="HW39" s="392"/>
      <c r="HX39" s="392"/>
      <c r="HY39" s="392"/>
      <c r="HZ39" s="392"/>
      <c r="IA39" s="392"/>
      <c r="IB39" s="392"/>
      <c r="IC39" s="392"/>
      <c r="ID39" s="392"/>
      <c r="IE39" s="392"/>
      <c r="IF39" s="392"/>
      <c r="IG39" s="392"/>
      <c r="IH39" s="392"/>
      <c r="II39" s="392"/>
      <c r="IJ39" s="392"/>
      <c r="IK39" s="392"/>
      <c r="IL39" s="392"/>
      <c r="IM39" s="392"/>
      <c r="IN39" s="392"/>
      <c r="IO39" s="392"/>
      <c r="IP39" s="392"/>
      <c r="IQ39" s="392"/>
      <c r="IR39" s="392"/>
      <c r="IS39" s="392"/>
      <c r="IT39" s="392"/>
      <c r="IU39" s="392"/>
      <c r="IV39" s="392"/>
      <c r="IW39" s="392"/>
      <c r="IX39" s="392"/>
      <c r="IY39" s="392"/>
      <c r="IZ39" s="392"/>
      <c r="JA39" s="392"/>
      <c r="JB39" s="392"/>
      <c r="JC39" s="392"/>
      <c r="JD39" s="392"/>
      <c r="JE39" s="392"/>
      <c r="JF39" s="392"/>
      <c r="JG39" s="392"/>
      <c r="JH39" s="392"/>
      <c r="JI39" s="393">
        <f t="shared" si="0"/>
        <v>0</v>
      </c>
      <c r="JJ39" s="2">
        <v>5826</v>
      </c>
      <c r="JK39" s="392">
        <f t="shared" si="1"/>
        <v>0</v>
      </c>
      <c r="JL39" s="284"/>
      <c r="JM39" s="284"/>
      <c r="JN39" s="284"/>
      <c r="JO39" s="284"/>
      <c r="JP39" s="284"/>
      <c r="JQ39" s="170"/>
    </row>
    <row r="40" spans="1:277" x14ac:dyDescent="0.3">
      <c r="A40" s="392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392"/>
      <c r="BD40" s="392"/>
      <c r="BE40" s="392"/>
      <c r="BF40" s="392"/>
      <c r="BG40" s="392"/>
      <c r="BH40" s="392"/>
      <c r="BI40" s="392"/>
      <c r="BJ40" s="392"/>
      <c r="BK40" s="392"/>
      <c r="BL40" s="392"/>
      <c r="BM40" s="392"/>
      <c r="BN40" s="392"/>
      <c r="BO40" s="392"/>
      <c r="BP40" s="392"/>
      <c r="BQ40" s="392"/>
      <c r="BR40" s="392"/>
      <c r="BS40" s="392"/>
      <c r="BT40" s="392"/>
      <c r="BU40" s="392"/>
      <c r="BV40" s="392"/>
      <c r="BW40" s="392"/>
      <c r="BX40" s="392"/>
      <c r="BY40" s="392"/>
      <c r="BZ40" s="392"/>
      <c r="CA40" s="392"/>
      <c r="CB40" s="392"/>
      <c r="CC40" s="392"/>
      <c r="CD40" s="392"/>
      <c r="CE40" s="392"/>
      <c r="CF40" s="392"/>
      <c r="CG40" s="392"/>
      <c r="CH40" s="392"/>
      <c r="CI40" s="392"/>
      <c r="CJ40" s="392"/>
      <c r="CK40" s="392"/>
      <c r="CL40" s="392"/>
      <c r="CM40" s="392"/>
      <c r="CN40" s="392"/>
      <c r="CO40" s="392"/>
      <c r="CP40" s="392"/>
      <c r="CQ40" s="392"/>
      <c r="CR40" s="392"/>
      <c r="CS40" s="392"/>
      <c r="CT40" s="392"/>
      <c r="CU40" s="392"/>
      <c r="CV40" s="392"/>
      <c r="CW40" s="392"/>
      <c r="CX40" s="392"/>
      <c r="CY40" s="392"/>
      <c r="CZ40" s="392"/>
      <c r="DA40" s="392"/>
      <c r="DB40" s="392"/>
      <c r="DC40" s="392"/>
      <c r="DD40" s="392"/>
      <c r="DE40" s="392"/>
      <c r="DF40" s="392"/>
      <c r="DG40" s="392"/>
      <c r="DH40" s="392"/>
      <c r="DI40" s="392"/>
      <c r="DJ40" s="392"/>
      <c r="DK40" s="392"/>
      <c r="DL40" s="392"/>
      <c r="DM40" s="392"/>
      <c r="DN40" s="392"/>
      <c r="DO40" s="392"/>
      <c r="DP40" s="392"/>
      <c r="DQ40" s="392"/>
      <c r="DR40" s="392"/>
      <c r="DS40" s="392"/>
      <c r="DT40" s="392"/>
      <c r="DU40" s="392"/>
      <c r="DV40" s="392"/>
      <c r="DW40" s="392"/>
      <c r="DX40" s="392"/>
      <c r="DY40" s="392"/>
      <c r="DZ40" s="392"/>
      <c r="EA40" s="392"/>
      <c r="EB40" s="392"/>
      <c r="EC40" s="392"/>
      <c r="ED40" s="392"/>
      <c r="EE40" s="392"/>
      <c r="EF40" s="392"/>
      <c r="EG40" s="392"/>
      <c r="EH40" s="392"/>
      <c r="EI40" s="392"/>
      <c r="EJ40" s="392"/>
      <c r="EK40" s="392"/>
      <c r="EL40" s="392"/>
      <c r="EM40" s="392"/>
      <c r="EN40" s="392"/>
      <c r="EO40" s="392"/>
      <c r="EP40" s="392"/>
      <c r="EQ40" s="392"/>
      <c r="ER40" s="392"/>
      <c r="ES40" s="392"/>
      <c r="ET40" s="392"/>
      <c r="EU40" s="392"/>
      <c r="EV40" s="392"/>
      <c r="EW40" s="392"/>
      <c r="EX40" s="392"/>
      <c r="EY40" s="392"/>
      <c r="EZ40" s="392"/>
      <c r="FA40" s="392"/>
      <c r="FB40" s="392"/>
      <c r="FC40" s="392"/>
      <c r="FD40" s="392"/>
      <c r="FE40" s="392"/>
      <c r="FF40" s="392"/>
      <c r="FG40" s="392"/>
      <c r="FH40" s="392"/>
      <c r="FI40" s="392"/>
      <c r="FJ40" s="392"/>
      <c r="FK40" s="392"/>
      <c r="FL40" s="392"/>
      <c r="FM40" s="392"/>
      <c r="FN40" s="392"/>
      <c r="FO40" s="392"/>
      <c r="FP40" s="392"/>
      <c r="FQ40" s="392"/>
      <c r="FR40" s="392"/>
      <c r="FS40" s="392"/>
      <c r="FT40" s="392"/>
      <c r="FU40" s="392"/>
      <c r="FV40" s="392"/>
      <c r="FW40" s="392"/>
      <c r="FX40" s="392"/>
      <c r="FY40" s="392"/>
      <c r="FZ40" s="392"/>
      <c r="GA40" s="392"/>
      <c r="GB40" s="392"/>
      <c r="GC40" s="392"/>
      <c r="GD40" s="392"/>
      <c r="GE40" s="392"/>
      <c r="GF40" s="392"/>
      <c r="GG40" s="392"/>
      <c r="GH40" s="392"/>
      <c r="GI40" s="392"/>
      <c r="GJ40" s="392"/>
      <c r="GK40" s="392"/>
      <c r="GL40" s="392"/>
      <c r="GM40" s="392"/>
      <c r="GN40" s="392"/>
      <c r="GO40" s="392"/>
      <c r="GP40" s="392"/>
      <c r="GQ40" s="392"/>
      <c r="GR40" s="392"/>
      <c r="GS40" s="392"/>
      <c r="GT40" s="392"/>
      <c r="GU40" s="392"/>
      <c r="GV40" s="392"/>
      <c r="GW40" s="392"/>
      <c r="GX40" s="392"/>
      <c r="GY40" s="392"/>
      <c r="GZ40" s="392"/>
      <c r="HA40" s="392"/>
      <c r="HB40" s="392"/>
      <c r="HC40" s="392"/>
      <c r="HD40" s="392"/>
      <c r="HE40" s="392"/>
      <c r="HF40" s="392"/>
      <c r="HG40" s="392"/>
      <c r="HH40" s="392"/>
      <c r="HI40" s="392"/>
      <c r="HJ40" s="392"/>
      <c r="HK40" s="392"/>
      <c r="HL40" s="392"/>
      <c r="HM40" s="392"/>
      <c r="HN40" s="392"/>
      <c r="HO40" s="392"/>
      <c r="HP40" s="392"/>
      <c r="HQ40" s="392"/>
      <c r="HR40" s="392"/>
      <c r="HS40" s="392"/>
      <c r="HT40" s="392"/>
      <c r="HU40" s="392"/>
      <c r="HV40" s="392"/>
      <c r="HW40" s="392"/>
      <c r="HX40" s="392"/>
      <c r="HY40" s="392"/>
      <c r="HZ40" s="392"/>
      <c r="IA40" s="392"/>
      <c r="IB40" s="392"/>
      <c r="IC40" s="392"/>
      <c r="ID40" s="392"/>
      <c r="IE40" s="392"/>
      <c r="IF40" s="392"/>
      <c r="IG40" s="392"/>
      <c r="IH40" s="392"/>
      <c r="II40" s="392"/>
      <c r="IJ40" s="392"/>
      <c r="IK40" s="392"/>
      <c r="IL40" s="392"/>
      <c r="IM40" s="392"/>
      <c r="IN40" s="392"/>
      <c r="IO40" s="392"/>
      <c r="IP40" s="392"/>
      <c r="IQ40" s="392"/>
      <c r="IR40" s="392"/>
      <c r="IS40" s="392"/>
      <c r="IT40" s="392"/>
      <c r="IU40" s="392"/>
      <c r="IV40" s="392"/>
      <c r="IW40" s="392"/>
      <c r="IX40" s="392"/>
      <c r="IY40" s="392"/>
      <c r="IZ40" s="392"/>
      <c r="JA40" s="392"/>
      <c r="JB40" s="392"/>
      <c r="JC40" s="392"/>
      <c r="JD40" s="392"/>
      <c r="JE40" s="392"/>
      <c r="JF40" s="392"/>
      <c r="JG40" s="392"/>
      <c r="JH40" s="392"/>
      <c r="JI40" s="393">
        <f t="shared" si="0"/>
        <v>0</v>
      </c>
      <c r="JJ40" s="2">
        <v>5830</v>
      </c>
      <c r="JK40" s="392">
        <f t="shared" si="1"/>
        <v>0</v>
      </c>
      <c r="JL40" s="284"/>
      <c r="JM40" s="284"/>
      <c r="JN40" s="284"/>
      <c r="JO40" s="284"/>
      <c r="JP40" s="284"/>
      <c r="JQ40" s="170"/>
    </row>
    <row r="41" spans="1:277" x14ac:dyDescent="0.3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2"/>
      <c r="AO41" s="392"/>
      <c r="AP41" s="392"/>
      <c r="AQ41" s="392"/>
      <c r="AR41" s="392"/>
      <c r="AS41" s="392"/>
      <c r="AT41" s="392"/>
      <c r="AU41" s="392"/>
      <c r="AV41" s="392"/>
      <c r="AW41" s="392"/>
      <c r="AX41" s="392"/>
      <c r="AY41" s="392"/>
      <c r="AZ41" s="392"/>
      <c r="BA41" s="392"/>
      <c r="BB41" s="392"/>
      <c r="BC41" s="392"/>
      <c r="BD41" s="392"/>
      <c r="BE41" s="392"/>
      <c r="BF41" s="392"/>
      <c r="BG41" s="392"/>
      <c r="BH41" s="392"/>
      <c r="BI41" s="392"/>
      <c r="BJ41" s="392"/>
      <c r="BK41" s="392"/>
      <c r="BL41" s="392"/>
      <c r="BM41" s="392"/>
      <c r="BN41" s="392"/>
      <c r="BO41" s="392"/>
      <c r="BP41" s="392"/>
      <c r="BQ41" s="392"/>
      <c r="BR41" s="392"/>
      <c r="BS41" s="392"/>
      <c r="BT41" s="392"/>
      <c r="BU41" s="392"/>
      <c r="BV41" s="392"/>
      <c r="BW41" s="392"/>
      <c r="BX41" s="392"/>
      <c r="BY41" s="392"/>
      <c r="BZ41" s="392"/>
      <c r="CA41" s="392"/>
      <c r="CB41" s="392"/>
      <c r="CC41" s="392"/>
      <c r="CD41" s="392"/>
      <c r="CE41" s="392"/>
      <c r="CF41" s="392"/>
      <c r="CG41" s="392"/>
      <c r="CH41" s="392"/>
      <c r="CI41" s="392"/>
      <c r="CJ41" s="392"/>
      <c r="CK41" s="392"/>
      <c r="CL41" s="392"/>
      <c r="CM41" s="392"/>
      <c r="CN41" s="392"/>
      <c r="CO41" s="392"/>
      <c r="CP41" s="392"/>
      <c r="CQ41" s="392"/>
      <c r="CR41" s="392"/>
      <c r="CS41" s="392"/>
      <c r="CT41" s="392"/>
      <c r="CU41" s="392"/>
      <c r="CV41" s="392"/>
      <c r="CW41" s="392"/>
      <c r="CX41" s="392"/>
      <c r="CY41" s="392"/>
      <c r="CZ41" s="392"/>
      <c r="DA41" s="392"/>
      <c r="DB41" s="392"/>
      <c r="DC41" s="392"/>
      <c r="DD41" s="392"/>
      <c r="DE41" s="392"/>
      <c r="DF41" s="392"/>
      <c r="DG41" s="392"/>
      <c r="DH41" s="392"/>
      <c r="DI41" s="392"/>
      <c r="DJ41" s="392"/>
      <c r="DK41" s="392"/>
      <c r="DL41" s="392"/>
      <c r="DM41" s="392"/>
      <c r="DN41" s="392"/>
      <c r="DO41" s="392"/>
      <c r="DP41" s="392"/>
      <c r="DQ41" s="392"/>
      <c r="DR41" s="392"/>
      <c r="DS41" s="392"/>
      <c r="DT41" s="392"/>
      <c r="DU41" s="392"/>
      <c r="DV41" s="392"/>
      <c r="DW41" s="392"/>
      <c r="DX41" s="392"/>
      <c r="DY41" s="392"/>
      <c r="DZ41" s="392"/>
      <c r="EA41" s="392"/>
      <c r="EB41" s="392"/>
      <c r="EC41" s="392"/>
      <c r="ED41" s="392"/>
      <c r="EE41" s="392"/>
      <c r="EF41" s="392"/>
      <c r="EG41" s="392"/>
      <c r="EH41" s="392"/>
      <c r="EI41" s="392"/>
      <c r="EJ41" s="392"/>
      <c r="EK41" s="392"/>
      <c r="EL41" s="392"/>
      <c r="EM41" s="392"/>
      <c r="EN41" s="392"/>
      <c r="EO41" s="392"/>
      <c r="EP41" s="392"/>
      <c r="EQ41" s="392"/>
      <c r="ER41" s="392"/>
      <c r="ES41" s="392"/>
      <c r="ET41" s="392"/>
      <c r="EU41" s="392"/>
      <c r="EV41" s="392"/>
      <c r="EW41" s="392"/>
      <c r="EX41" s="392"/>
      <c r="EY41" s="392"/>
      <c r="EZ41" s="392"/>
      <c r="FA41" s="392"/>
      <c r="FB41" s="392"/>
      <c r="FC41" s="392"/>
      <c r="FD41" s="392"/>
      <c r="FE41" s="392"/>
      <c r="FF41" s="392"/>
      <c r="FG41" s="392"/>
      <c r="FH41" s="392"/>
      <c r="FI41" s="392"/>
      <c r="FJ41" s="392"/>
      <c r="FK41" s="392"/>
      <c r="FL41" s="392"/>
      <c r="FM41" s="392"/>
      <c r="FN41" s="392"/>
      <c r="FO41" s="392"/>
      <c r="FP41" s="392"/>
      <c r="FQ41" s="392"/>
      <c r="FR41" s="392"/>
      <c r="FS41" s="392"/>
      <c r="FT41" s="392"/>
      <c r="FU41" s="392"/>
      <c r="FV41" s="392"/>
      <c r="FW41" s="392"/>
      <c r="FX41" s="392"/>
      <c r="FY41" s="392"/>
      <c r="FZ41" s="392"/>
      <c r="GA41" s="392"/>
      <c r="GB41" s="392"/>
      <c r="GC41" s="392"/>
      <c r="GD41" s="392"/>
      <c r="GE41" s="392"/>
      <c r="GF41" s="392"/>
      <c r="GG41" s="392"/>
      <c r="GH41" s="392"/>
      <c r="GI41" s="392"/>
      <c r="GJ41" s="392"/>
      <c r="GK41" s="392"/>
      <c r="GL41" s="392"/>
      <c r="GM41" s="392"/>
      <c r="GN41" s="392"/>
      <c r="GO41" s="392"/>
      <c r="GP41" s="392"/>
      <c r="GQ41" s="392"/>
      <c r="GR41" s="392"/>
      <c r="GS41" s="392"/>
      <c r="GT41" s="392"/>
      <c r="GU41" s="392"/>
      <c r="GV41" s="392"/>
      <c r="GW41" s="392"/>
      <c r="GX41" s="392"/>
      <c r="GY41" s="392"/>
      <c r="GZ41" s="392"/>
      <c r="HA41" s="392"/>
      <c r="HB41" s="392"/>
      <c r="HC41" s="392"/>
      <c r="HD41" s="392"/>
      <c r="HE41" s="392"/>
      <c r="HF41" s="392"/>
      <c r="HG41" s="392"/>
      <c r="HH41" s="392"/>
      <c r="HI41" s="392"/>
      <c r="HJ41" s="392"/>
      <c r="HK41" s="392"/>
      <c r="HL41" s="392"/>
      <c r="HM41" s="392"/>
      <c r="HN41" s="392"/>
      <c r="HO41" s="392"/>
      <c r="HP41" s="392"/>
      <c r="HQ41" s="392"/>
      <c r="HR41" s="392"/>
      <c r="HS41" s="392"/>
      <c r="HT41" s="392"/>
      <c r="HU41" s="392"/>
      <c r="HV41" s="392"/>
      <c r="HW41" s="392"/>
      <c r="HX41" s="392"/>
      <c r="HY41" s="392"/>
      <c r="HZ41" s="392"/>
      <c r="IA41" s="392"/>
      <c r="IB41" s="392"/>
      <c r="IC41" s="392"/>
      <c r="ID41" s="392"/>
      <c r="IE41" s="392"/>
      <c r="IF41" s="392"/>
      <c r="IG41" s="392"/>
      <c r="IH41" s="392"/>
      <c r="II41" s="392"/>
      <c r="IJ41" s="392"/>
      <c r="IK41" s="392"/>
      <c r="IL41" s="392"/>
      <c r="IM41" s="392"/>
      <c r="IN41" s="392"/>
      <c r="IO41" s="392"/>
      <c r="IP41" s="392"/>
      <c r="IQ41" s="392"/>
      <c r="IR41" s="392"/>
      <c r="IS41" s="392"/>
      <c r="IT41" s="392"/>
      <c r="IU41" s="392"/>
      <c r="IV41" s="392"/>
      <c r="IW41" s="392"/>
      <c r="IX41" s="392"/>
      <c r="IY41" s="392"/>
      <c r="IZ41" s="392"/>
      <c r="JA41" s="392"/>
      <c r="JB41" s="392"/>
      <c r="JC41" s="392"/>
      <c r="JD41" s="392"/>
      <c r="JE41" s="392"/>
      <c r="JF41" s="392"/>
      <c r="JG41" s="392"/>
      <c r="JH41" s="392"/>
      <c r="JI41" s="393">
        <f t="shared" si="0"/>
        <v>0</v>
      </c>
      <c r="JJ41" s="2">
        <v>5834</v>
      </c>
      <c r="JK41" s="392">
        <f t="shared" si="1"/>
        <v>0</v>
      </c>
      <c r="JL41" s="284"/>
      <c r="JM41" s="284"/>
      <c r="JN41" s="284"/>
      <c r="JO41" s="284"/>
      <c r="JP41" s="284"/>
      <c r="JQ41" s="170"/>
    </row>
    <row r="42" spans="1:277" x14ac:dyDescent="0.3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92"/>
      <c r="N42" s="392"/>
      <c r="O42" s="392"/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92"/>
      <c r="AA42" s="392"/>
      <c r="AB42" s="392"/>
      <c r="AC42" s="392"/>
      <c r="AD42" s="392"/>
      <c r="AE42" s="392"/>
      <c r="AF42" s="392"/>
      <c r="AG42" s="392"/>
      <c r="AH42" s="392"/>
      <c r="AI42" s="392"/>
      <c r="AJ42" s="392"/>
      <c r="AK42" s="392"/>
      <c r="AL42" s="392"/>
      <c r="AM42" s="392"/>
      <c r="AN42" s="392"/>
      <c r="AO42" s="392"/>
      <c r="AP42" s="392"/>
      <c r="AQ42" s="392"/>
      <c r="AR42" s="392"/>
      <c r="AS42" s="392"/>
      <c r="AT42" s="392"/>
      <c r="AU42" s="392"/>
      <c r="AV42" s="392"/>
      <c r="AW42" s="392"/>
      <c r="AX42" s="392"/>
      <c r="AY42" s="392"/>
      <c r="AZ42" s="392"/>
      <c r="BA42" s="392"/>
      <c r="BB42" s="392"/>
      <c r="BC42" s="392"/>
      <c r="BD42" s="392"/>
      <c r="BE42" s="392"/>
      <c r="BF42" s="392"/>
      <c r="BG42" s="392"/>
      <c r="BH42" s="392"/>
      <c r="BI42" s="392"/>
      <c r="BJ42" s="392"/>
      <c r="BK42" s="392"/>
      <c r="BL42" s="392"/>
      <c r="BM42" s="392"/>
      <c r="BN42" s="392"/>
      <c r="BO42" s="392"/>
      <c r="BP42" s="392"/>
      <c r="BQ42" s="392"/>
      <c r="BR42" s="392"/>
      <c r="BS42" s="392"/>
      <c r="BT42" s="392"/>
      <c r="BU42" s="392"/>
      <c r="BV42" s="392"/>
      <c r="BW42" s="392"/>
      <c r="BX42" s="392"/>
      <c r="BY42" s="392"/>
      <c r="BZ42" s="392"/>
      <c r="CA42" s="392"/>
      <c r="CB42" s="392"/>
      <c r="CC42" s="392"/>
      <c r="CD42" s="392"/>
      <c r="CE42" s="392"/>
      <c r="CF42" s="392"/>
      <c r="CG42" s="392"/>
      <c r="CH42" s="392"/>
      <c r="CI42" s="392"/>
      <c r="CJ42" s="392"/>
      <c r="CK42" s="392"/>
      <c r="CL42" s="392"/>
      <c r="CM42" s="392"/>
      <c r="CN42" s="392"/>
      <c r="CO42" s="392"/>
      <c r="CP42" s="392"/>
      <c r="CQ42" s="392"/>
      <c r="CR42" s="392"/>
      <c r="CS42" s="392"/>
      <c r="CT42" s="392"/>
      <c r="CU42" s="392"/>
      <c r="CV42" s="392"/>
      <c r="CW42" s="392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2"/>
      <c r="DS42" s="392"/>
      <c r="DT42" s="392"/>
      <c r="DU42" s="392"/>
      <c r="DV42" s="392"/>
      <c r="DW42" s="392"/>
      <c r="DX42" s="392"/>
      <c r="DY42" s="392"/>
      <c r="DZ42" s="392"/>
      <c r="EA42" s="392"/>
      <c r="EB42" s="392"/>
      <c r="EC42" s="392"/>
      <c r="ED42" s="392"/>
      <c r="EE42" s="392"/>
      <c r="EF42" s="392"/>
      <c r="EG42" s="392"/>
      <c r="EH42" s="392"/>
      <c r="EI42" s="392"/>
      <c r="EJ42" s="392"/>
      <c r="EK42" s="392"/>
      <c r="EL42" s="392"/>
      <c r="EM42" s="392"/>
      <c r="EN42" s="392"/>
      <c r="EO42" s="392"/>
      <c r="EP42" s="392"/>
      <c r="EQ42" s="392"/>
      <c r="ER42" s="392"/>
      <c r="ES42" s="392"/>
      <c r="ET42" s="392"/>
      <c r="EU42" s="392"/>
      <c r="EV42" s="392"/>
      <c r="EW42" s="392"/>
      <c r="EX42" s="392"/>
      <c r="EY42" s="392"/>
      <c r="EZ42" s="392"/>
      <c r="FA42" s="392"/>
      <c r="FB42" s="392"/>
      <c r="FC42" s="392"/>
      <c r="FD42" s="392"/>
      <c r="FE42" s="392"/>
      <c r="FF42" s="392"/>
      <c r="FG42" s="392"/>
      <c r="FH42" s="392"/>
      <c r="FI42" s="392"/>
      <c r="FJ42" s="392"/>
      <c r="FK42" s="392"/>
      <c r="FL42" s="392"/>
      <c r="FM42" s="392"/>
      <c r="FN42" s="392"/>
      <c r="FO42" s="392"/>
      <c r="FP42" s="392"/>
      <c r="FQ42" s="392"/>
      <c r="FR42" s="392"/>
      <c r="FS42" s="392"/>
      <c r="FT42" s="392"/>
      <c r="FU42" s="392"/>
      <c r="FV42" s="392"/>
      <c r="FW42" s="392"/>
      <c r="FX42" s="392"/>
      <c r="FY42" s="392"/>
      <c r="FZ42" s="392"/>
      <c r="GA42" s="392"/>
      <c r="GB42" s="392"/>
      <c r="GC42" s="392"/>
      <c r="GD42" s="392"/>
      <c r="GE42" s="392"/>
      <c r="GF42" s="392"/>
      <c r="GG42" s="392"/>
      <c r="GH42" s="392"/>
      <c r="GI42" s="392"/>
      <c r="GJ42" s="392"/>
      <c r="GK42" s="392"/>
      <c r="GL42" s="392"/>
      <c r="GM42" s="392"/>
      <c r="GN42" s="392"/>
      <c r="GO42" s="392"/>
      <c r="GP42" s="392"/>
      <c r="GQ42" s="392"/>
      <c r="GR42" s="392"/>
      <c r="GS42" s="392"/>
      <c r="GT42" s="392"/>
      <c r="GU42" s="392"/>
      <c r="GV42" s="392"/>
      <c r="GW42" s="392"/>
      <c r="GX42" s="392"/>
      <c r="GY42" s="392"/>
      <c r="GZ42" s="392"/>
      <c r="HA42" s="392"/>
      <c r="HB42" s="392"/>
      <c r="HC42" s="392"/>
      <c r="HD42" s="392"/>
      <c r="HE42" s="392"/>
      <c r="HF42" s="392"/>
      <c r="HG42" s="392"/>
      <c r="HH42" s="392"/>
      <c r="HI42" s="392"/>
      <c r="HJ42" s="392"/>
      <c r="HK42" s="392"/>
      <c r="HL42" s="392"/>
      <c r="HM42" s="392"/>
      <c r="HN42" s="392"/>
      <c r="HO42" s="392"/>
      <c r="HP42" s="392"/>
      <c r="HQ42" s="392"/>
      <c r="HR42" s="392"/>
      <c r="HS42" s="392"/>
      <c r="HT42" s="392"/>
      <c r="HU42" s="392"/>
      <c r="HV42" s="392"/>
      <c r="HW42" s="392"/>
      <c r="HX42" s="392"/>
      <c r="HY42" s="392"/>
      <c r="HZ42" s="392"/>
      <c r="IA42" s="392"/>
      <c r="IB42" s="392"/>
      <c r="IC42" s="392"/>
      <c r="ID42" s="392"/>
      <c r="IE42" s="392"/>
      <c r="IF42" s="392"/>
      <c r="IG42" s="392"/>
      <c r="IH42" s="392"/>
      <c r="II42" s="392"/>
      <c r="IJ42" s="392"/>
      <c r="IK42" s="392"/>
      <c r="IL42" s="392"/>
      <c r="IM42" s="392"/>
      <c r="IN42" s="392"/>
      <c r="IO42" s="392"/>
      <c r="IP42" s="392"/>
      <c r="IQ42" s="392"/>
      <c r="IR42" s="392"/>
      <c r="IS42" s="392"/>
      <c r="IT42" s="392"/>
      <c r="IU42" s="392"/>
      <c r="IV42" s="392"/>
      <c r="IW42" s="392"/>
      <c r="IX42" s="392"/>
      <c r="IY42" s="392"/>
      <c r="IZ42" s="392"/>
      <c r="JA42" s="392"/>
      <c r="JB42" s="392"/>
      <c r="JC42" s="392"/>
      <c r="JD42" s="392"/>
      <c r="JE42" s="392"/>
      <c r="JF42" s="392"/>
      <c r="JG42" s="392"/>
      <c r="JH42" s="392"/>
      <c r="JI42" s="393">
        <f t="shared" si="0"/>
        <v>0</v>
      </c>
      <c r="JJ42" s="2">
        <v>5838</v>
      </c>
      <c r="JK42" s="392">
        <f t="shared" si="1"/>
        <v>0</v>
      </c>
      <c r="JL42" s="284"/>
      <c r="JM42" s="284"/>
      <c r="JN42" s="284"/>
      <c r="JO42" s="284"/>
      <c r="JP42" s="284"/>
      <c r="JQ42" s="170"/>
    </row>
    <row r="43" spans="1:277" x14ac:dyDescent="0.3">
      <c r="A43" s="392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  <c r="AD43" s="392"/>
      <c r="AE43" s="392"/>
      <c r="AF43" s="392"/>
      <c r="AG43" s="392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2"/>
      <c r="AU43" s="392"/>
      <c r="AV43" s="392"/>
      <c r="AW43" s="392"/>
      <c r="AX43" s="392"/>
      <c r="AY43" s="392"/>
      <c r="AZ43" s="392"/>
      <c r="BA43" s="392"/>
      <c r="BB43" s="392"/>
      <c r="BC43" s="392"/>
      <c r="BD43" s="392"/>
      <c r="BE43" s="392"/>
      <c r="BF43" s="392"/>
      <c r="BG43" s="392"/>
      <c r="BH43" s="392"/>
      <c r="BI43" s="392"/>
      <c r="BJ43" s="392"/>
      <c r="BK43" s="392"/>
      <c r="BL43" s="392"/>
      <c r="BM43" s="392"/>
      <c r="BN43" s="392"/>
      <c r="BO43" s="392"/>
      <c r="BP43" s="392"/>
      <c r="BQ43" s="392"/>
      <c r="BR43" s="392"/>
      <c r="BS43" s="392"/>
      <c r="BT43" s="392"/>
      <c r="BU43" s="392"/>
      <c r="BV43" s="392"/>
      <c r="BW43" s="392"/>
      <c r="BX43" s="392"/>
      <c r="BY43" s="392"/>
      <c r="BZ43" s="392"/>
      <c r="CA43" s="392"/>
      <c r="CB43" s="392"/>
      <c r="CC43" s="392"/>
      <c r="CD43" s="392"/>
      <c r="CE43" s="392"/>
      <c r="CF43" s="392"/>
      <c r="CG43" s="392"/>
      <c r="CH43" s="392"/>
      <c r="CI43" s="392"/>
      <c r="CJ43" s="392"/>
      <c r="CK43" s="392"/>
      <c r="CL43" s="392"/>
      <c r="CM43" s="392"/>
      <c r="CN43" s="392"/>
      <c r="CO43" s="392"/>
      <c r="CP43" s="392"/>
      <c r="CQ43" s="392"/>
      <c r="CR43" s="392"/>
      <c r="CS43" s="392"/>
      <c r="CT43" s="392"/>
      <c r="CU43" s="392"/>
      <c r="CV43" s="392"/>
      <c r="CW43" s="392"/>
      <c r="CX43" s="392"/>
      <c r="CY43" s="392"/>
      <c r="CZ43" s="392"/>
      <c r="DA43" s="392"/>
      <c r="DB43" s="392"/>
      <c r="DC43" s="392"/>
      <c r="DD43" s="392"/>
      <c r="DE43" s="392"/>
      <c r="DF43" s="392"/>
      <c r="DG43" s="392"/>
      <c r="DH43" s="392"/>
      <c r="DI43" s="392"/>
      <c r="DJ43" s="392"/>
      <c r="DK43" s="392"/>
      <c r="DL43" s="392"/>
      <c r="DM43" s="392"/>
      <c r="DN43" s="392"/>
      <c r="DO43" s="392"/>
      <c r="DP43" s="392"/>
      <c r="DQ43" s="392"/>
      <c r="DR43" s="392"/>
      <c r="DS43" s="392"/>
      <c r="DT43" s="392"/>
      <c r="DU43" s="392"/>
      <c r="DV43" s="392"/>
      <c r="DW43" s="392"/>
      <c r="DX43" s="392"/>
      <c r="DY43" s="392"/>
      <c r="DZ43" s="392"/>
      <c r="EA43" s="392"/>
      <c r="EB43" s="392"/>
      <c r="EC43" s="392"/>
      <c r="ED43" s="392"/>
      <c r="EE43" s="392"/>
      <c r="EF43" s="392"/>
      <c r="EG43" s="392"/>
      <c r="EH43" s="392"/>
      <c r="EI43" s="392"/>
      <c r="EJ43" s="392"/>
      <c r="EK43" s="392"/>
      <c r="EL43" s="392"/>
      <c r="EM43" s="392"/>
      <c r="EN43" s="392"/>
      <c r="EO43" s="392"/>
      <c r="EP43" s="392"/>
      <c r="EQ43" s="392"/>
      <c r="ER43" s="392"/>
      <c r="ES43" s="392"/>
      <c r="ET43" s="392"/>
      <c r="EU43" s="392"/>
      <c r="EV43" s="392"/>
      <c r="EW43" s="392"/>
      <c r="EX43" s="392"/>
      <c r="EY43" s="392"/>
      <c r="EZ43" s="392"/>
      <c r="FA43" s="392"/>
      <c r="FB43" s="392"/>
      <c r="FC43" s="392"/>
      <c r="FD43" s="392"/>
      <c r="FE43" s="392"/>
      <c r="FF43" s="392"/>
      <c r="FG43" s="392"/>
      <c r="FH43" s="392"/>
      <c r="FI43" s="392"/>
      <c r="FJ43" s="392"/>
      <c r="FK43" s="392"/>
      <c r="FL43" s="392"/>
      <c r="FM43" s="392"/>
      <c r="FN43" s="392"/>
      <c r="FO43" s="392"/>
      <c r="FP43" s="392"/>
      <c r="FQ43" s="392"/>
      <c r="FR43" s="392"/>
      <c r="FS43" s="392"/>
      <c r="FT43" s="392"/>
      <c r="FU43" s="392"/>
      <c r="FV43" s="392"/>
      <c r="FW43" s="392"/>
      <c r="FX43" s="392"/>
      <c r="FY43" s="392"/>
      <c r="FZ43" s="392"/>
      <c r="GA43" s="392"/>
      <c r="GB43" s="392"/>
      <c r="GC43" s="392"/>
      <c r="GD43" s="392"/>
      <c r="GE43" s="392"/>
      <c r="GF43" s="392"/>
      <c r="GG43" s="392"/>
      <c r="GH43" s="392"/>
      <c r="GI43" s="392"/>
      <c r="GJ43" s="392"/>
      <c r="GK43" s="392"/>
      <c r="GL43" s="392"/>
      <c r="GM43" s="392"/>
      <c r="GN43" s="392"/>
      <c r="GO43" s="392"/>
      <c r="GP43" s="392"/>
      <c r="GQ43" s="392"/>
      <c r="GR43" s="392"/>
      <c r="GS43" s="392"/>
      <c r="GT43" s="392"/>
      <c r="GU43" s="392"/>
      <c r="GV43" s="392"/>
      <c r="GW43" s="392"/>
      <c r="GX43" s="392"/>
      <c r="GY43" s="392"/>
      <c r="GZ43" s="392"/>
      <c r="HA43" s="392"/>
      <c r="HB43" s="392"/>
      <c r="HC43" s="392"/>
      <c r="HD43" s="392"/>
      <c r="HE43" s="392"/>
      <c r="HF43" s="392"/>
      <c r="HG43" s="392"/>
      <c r="HH43" s="392"/>
      <c r="HI43" s="392"/>
      <c r="HJ43" s="392"/>
      <c r="HK43" s="392"/>
      <c r="HL43" s="392"/>
      <c r="HM43" s="392"/>
      <c r="HN43" s="392"/>
      <c r="HO43" s="392"/>
      <c r="HP43" s="392"/>
      <c r="HQ43" s="392"/>
      <c r="HR43" s="392"/>
      <c r="HS43" s="392"/>
      <c r="HT43" s="392"/>
      <c r="HU43" s="392"/>
      <c r="HV43" s="392"/>
      <c r="HW43" s="392"/>
      <c r="HX43" s="392"/>
      <c r="HY43" s="392"/>
      <c r="HZ43" s="392"/>
      <c r="IA43" s="392"/>
      <c r="IB43" s="392"/>
      <c r="IC43" s="392"/>
      <c r="ID43" s="392"/>
      <c r="IE43" s="392"/>
      <c r="IF43" s="392"/>
      <c r="IG43" s="392"/>
      <c r="IH43" s="392"/>
      <c r="II43" s="392"/>
      <c r="IJ43" s="392"/>
      <c r="IK43" s="392"/>
      <c r="IL43" s="392"/>
      <c r="IM43" s="392"/>
      <c r="IN43" s="392"/>
      <c r="IO43" s="392"/>
      <c r="IP43" s="392"/>
      <c r="IQ43" s="392"/>
      <c r="IR43" s="392"/>
      <c r="IS43" s="392"/>
      <c r="IT43" s="392"/>
      <c r="IU43" s="392"/>
      <c r="IV43" s="392"/>
      <c r="IW43" s="392"/>
      <c r="IX43" s="392"/>
      <c r="IY43" s="392"/>
      <c r="IZ43" s="392"/>
      <c r="JA43" s="392"/>
      <c r="JB43" s="392"/>
      <c r="JC43" s="392"/>
      <c r="JD43" s="392"/>
      <c r="JE43" s="392"/>
      <c r="JF43" s="392"/>
      <c r="JG43" s="392"/>
      <c r="JH43" s="392"/>
      <c r="JI43" s="393">
        <f t="shared" si="0"/>
        <v>0</v>
      </c>
      <c r="JJ43" s="2">
        <v>5842</v>
      </c>
      <c r="JK43" s="392">
        <f t="shared" si="1"/>
        <v>0</v>
      </c>
      <c r="JL43" s="284"/>
      <c r="JM43" s="284"/>
      <c r="JN43" s="284"/>
      <c r="JO43" s="284"/>
      <c r="JP43" s="284"/>
      <c r="JQ43" s="170"/>
    </row>
    <row r="44" spans="1:277" x14ac:dyDescent="0.3">
      <c r="A44" s="392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2"/>
      <c r="BF44" s="392"/>
      <c r="BG44" s="392"/>
      <c r="BH44" s="392"/>
      <c r="BI44" s="392"/>
      <c r="BJ44" s="392"/>
      <c r="BK44" s="392"/>
      <c r="BL44" s="392"/>
      <c r="BM44" s="392"/>
      <c r="BN44" s="392"/>
      <c r="BO44" s="392"/>
      <c r="BP44" s="392"/>
      <c r="BQ44" s="392"/>
      <c r="BR44" s="392"/>
      <c r="BS44" s="392"/>
      <c r="BT44" s="392"/>
      <c r="BU44" s="392"/>
      <c r="BV44" s="392"/>
      <c r="BW44" s="392"/>
      <c r="BX44" s="392"/>
      <c r="BY44" s="392"/>
      <c r="BZ44" s="392"/>
      <c r="CA44" s="392"/>
      <c r="CB44" s="392"/>
      <c r="CC44" s="392"/>
      <c r="CD44" s="392"/>
      <c r="CE44" s="392"/>
      <c r="CF44" s="392"/>
      <c r="CG44" s="392"/>
      <c r="CH44" s="392"/>
      <c r="CI44" s="392"/>
      <c r="CJ44" s="392"/>
      <c r="CK44" s="392"/>
      <c r="CL44" s="392"/>
      <c r="CM44" s="392"/>
      <c r="CN44" s="392"/>
      <c r="CO44" s="392"/>
      <c r="CP44" s="392"/>
      <c r="CQ44" s="392"/>
      <c r="CR44" s="392"/>
      <c r="CS44" s="392"/>
      <c r="CT44" s="392"/>
      <c r="CU44" s="392"/>
      <c r="CV44" s="392"/>
      <c r="CW44" s="392"/>
      <c r="CX44" s="392"/>
      <c r="CY44" s="392"/>
      <c r="CZ44" s="392"/>
      <c r="DA44" s="392"/>
      <c r="DB44" s="392"/>
      <c r="DC44" s="392"/>
      <c r="DD44" s="392"/>
      <c r="DE44" s="392"/>
      <c r="DF44" s="392"/>
      <c r="DG44" s="392"/>
      <c r="DH44" s="392"/>
      <c r="DI44" s="392"/>
      <c r="DJ44" s="392"/>
      <c r="DK44" s="392"/>
      <c r="DL44" s="392"/>
      <c r="DM44" s="392"/>
      <c r="DN44" s="392"/>
      <c r="DO44" s="392"/>
      <c r="DP44" s="392"/>
      <c r="DQ44" s="392"/>
      <c r="DR44" s="392"/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  <c r="EE44" s="392"/>
      <c r="EF44" s="392"/>
      <c r="EG44" s="392"/>
      <c r="EH44" s="392"/>
      <c r="EI44" s="392"/>
      <c r="EJ44" s="392"/>
      <c r="EK44" s="392"/>
      <c r="EL44" s="392"/>
      <c r="EM44" s="392"/>
      <c r="EN44" s="392"/>
      <c r="EO44" s="392"/>
      <c r="EP44" s="392"/>
      <c r="EQ44" s="392"/>
      <c r="ER44" s="392"/>
      <c r="ES44" s="392"/>
      <c r="ET44" s="392"/>
      <c r="EU44" s="392"/>
      <c r="EV44" s="392"/>
      <c r="EW44" s="392"/>
      <c r="EX44" s="392"/>
      <c r="EY44" s="392"/>
      <c r="EZ44" s="392"/>
      <c r="FA44" s="392"/>
      <c r="FB44" s="392"/>
      <c r="FC44" s="392"/>
      <c r="FD44" s="392"/>
      <c r="FE44" s="392"/>
      <c r="FF44" s="392"/>
      <c r="FG44" s="392"/>
      <c r="FH44" s="392"/>
      <c r="FI44" s="392"/>
      <c r="FJ44" s="392"/>
      <c r="FK44" s="392"/>
      <c r="FL44" s="392"/>
      <c r="FM44" s="392"/>
      <c r="FN44" s="392"/>
      <c r="FO44" s="392"/>
      <c r="FP44" s="392"/>
      <c r="FQ44" s="392"/>
      <c r="FR44" s="392"/>
      <c r="FS44" s="392"/>
      <c r="FT44" s="392"/>
      <c r="FU44" s="392"/>
      <c r="FV44" s="392"/>
      <c r="FW44" s="392"/>
      <c r="FX44" s="392"/>
      <c r="FY44" s="392"/>
      <c r="FZ44" s="392"/>
      <c r="GA44" s="392"/>
      <c r="GB44" s="392"/>
      <c r="GC44" s="392"/>
      <c r="GD44" s="392"/>
      <c r="GE44" s="392"/>
      <c r="GF44" s="392"/>
      <c r="GG44" s="392"/>
      <c r="GH44" s="392"/>
      <c r="GI44" s="392"/>
      <c r="GJ44" s="392"/>
      <c r="GK44" s="392"/>
      <c r="GL44" s="392"/>
      <c r="GM44" s="392"/>
      <c r="GN44" s="392"/>
      <c r="GO44" s="392"/>
      <c r="GP44" s="392"/>
      <c r="GQ44" s="392"/>
      <c r="GR44" s="392"/>
      <c r="GS44" s="392"/>
      <c r="GT44" s="392"/>
      <c r="GU44" s="392"/>
      <c r="GV44" s="392"/>
      <c r="GW44" s="392"/>
      <c r="GX44" s="392"/>
      <c r="GY44" s="392"/>
      <c r="GZ44" s="392"/>
      <c r="HA44" s="392"/>
      <c r="HB44" s="392"/>
      <c r="HC44" s="392"/>
      <c r="HD44" s="392"/>
      <c r="HE44" s="392"/>
      <c r="HF44" s="392"/>
      <c r="HG44" s="392"/>
      <c r="HH44" s="392"/>
      <c r="HI44" s="392"/>
      <c r="HJ44" s="392"/>
      <c r="HK44" s="392"/>
      <c r="HL44" s="392"/>
      <c r="HM44" s="392"/>
      <c r="HN44" s="392"/>
      <c r="HO44" s="392"/>
      <c r="HP44" s="392"/>
      <c r="HQ44" s="392"/>
      <c r="HR44" s="392"/>
      <c r="HS44" s="392"/>
      <c r="HT44" s="392"/>
      <c r="HU44" s="392"/>
      <c r="HV44" s="392"/>
      <c r="HW44" s="392"/>
      <c r="HX44" s="392"/>
      <c r="HY44" s="392"/>
      <c r="HZ44" s="392"/>
      <c r="IA44" s="392"/>
      <c r="IB44" s="392"/>
      <c r="IC44" s="392"/>
      <c r="ID44" s="392"/>
      <c r="IE44" s="392"/>
      <c r="IF44" s="392"/>
      <c r="IG44" s="392"/>
      <c r="IH44" s="392"/>
      <c r="II44" s="392"/>
      <c r="IJ44" s="392"/>
      <c r="IK44" s="392"/>
      <c r="IL44" s="392"/>
      <c r="IM44" s="392"/>
      <c r="IN44" s="392"/>
      <c r="IO44" s="392"/>
      <c r="IP44" s="392"/>
      <c r="IQ44" s="392"/>
      <c r="IR44" s="392"/>
      <c r="IS44" s="392"/>
      <c r="IT44" s="392"/>
      <c r="IU44" s="392"/>
      <c r="IV44" s="392"/>
      <c r="IW44" s="392"/>
      <c r="IX44" s="392"/>
      <c r="IY44" s="392"/>
      <c r="IZ44" s="392"/>
      <c r="JA44" s="392"/>
      <c r="JB44" s="392"/>
      <c r="JC44" s="392"/>
      <c r="JD44" s="392"/>
      <c r="JE44" s="392"/>
      <c r="JF44" s="392"/>
      <c r="JG44" s="392"/>
      <c r="JH44" s="392"/>
      <c r="JI44" s="393">
        <f t="shared" si="0"/>
        <v>0</v>
      </c>
      <c r="JJ44" s="2">
        <v>5846</v>
      </c>
      <c r="JK44" s="392">
        <f t="shared" si="1"/>
        <v>0</v>
      </c>
      <c r="JL44" s="284"/>
      <c r="JM44" s="284"/>
      <c r="JN44" s="284"/>
      <c r="JO44" s="284"/>
      <c r="JP44" s="284"/>
    </row>
    <row r="45" spans="1:277" x14ac:dyDescent="0.3">
      <c r="A45" s="392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  <c r="AC45" s="392"/>
      <c r="AD45" s="392"/>
      <c r="AE45" s="392"/>
      <c r="AF45" s="392"/>
      <c r="AG45" s="392"/>
      <c r="AH45" s="392"/>
      <c r="AI45" s="392"/>
      <c r="AJ45" s="392"/>
      <c r="AK45" s="392"/>
      <c r="AL45" s="392"/>
      <c r="AM45" s="392"/>
      <c r="AN45" s="392"/>
      <c r="AO45" s="392"/>
      <c r="AP45" s="392"/>
      <c r="AQ45" s="392"/>
      <c r="AR45" s="392"/>
      <c r="AS45" s="392"/>
      <c r="AT45" s="392"/>
      <c r="AU45" s="392"/>
      <c r="AV45" s="392"/>
      <c r="AW45" s="392"/>
      <c r="AX45" s="392"/>
      <c r="AY45" s="392"/>
      <c r="AZ45" s="392"/>
      <c r="BA45" s="392"/>
      <c r="BB45" s="392"/>
      <c r="BC45" s="392"/>
      <c r="BD45" s="392"/>
      <c r="BE45" s="392"/>
      <c r="BF45" s="392"/>
      <c r="BG45" s="392"/>
      <c r="BH45" s="392"/>
      <c r="BI45" s="392"/>
      <c r="BJ45" s="392"/>
      <c r="BK45" s="392"/>
      <c r="BL45" s="392"/>
      <c r="BM45" s="392"/>
      <c r="BN45" s="392"/>
      <c r="BO45" s="392"/>
      <c r="BP45" s="392"/>
      <c r="BQ45" s="392"/>
      <c r="BR45" s="392"/>
      <c r="BS45" s="392"/>
      <c r="BT45" s="392"/>
      <c r="BU45" s="392"/>
      <c r="BV45" s="392"/>
      <c r="BW45" s="392"/>
      <c r="BX45" s="392"/>
      <c r="BY45" s="392"/>
      <c r="BZ45" s="392"/>
      <c r="CA45" s="392"/>
      <c r="CB45" s="392"/>
      <c r="CC45" s="392"/>
      <c r="CD45" s="392"/>
      <c r="CE45" s="392"/>
      <c r="CF45" s="392"/>
      <c r="CG45" s="392"/>
      <c r="CH45" s="392"/>
      <c r="CI45" s="392"/>
      <c r="CJ45" s="392"/>
      <c r="CK45" s="392"/>
      <c r="CL45" s="392"/>
      <c r="CM45" s="392"/>
      <c r="CN45" s="392"/>
      <c r="CO45" s="392"/>
      <c r="CP45" s="392"/>
      <c r="CQ45" s="392"/>
      <c r="CR45" s="392"/>
      <c r="CS45" s="392"/>
      <c r="CT45" s="392"/>
      <c r="CU45" s="392"/>
      <c r="CV45" s="392"/>
      <c r="CW45" s="392"/>
      <c r="CX45" s="392"/>
      <c r="CY45" s="392"/>
      <c r="CZ45" s="392"/>
      <c r="DA45" s="392"/>
      <c r="DB45" s="392"/>
      <c r="DC45" s="392"/>
      <c r="DD45" s="392"/>
      <c r="DE45" s="392"/>
      <c r="DF45" s="392"/>
      <c r="DG45" s="392"/>
      <c r="DH45" s="392"/>
      <c r="DI45" s="392"/>
      <c r="DJ45" s="392"/>
      <c r="DK45" s="392"/>
      <c r="DL45" s="392"/>
      <c r="DM45" s="392"/>
      <c r="DN45" s="392"/>
      <c r="DO45" s="392"/>
      <c r="DP45" s="392"/>
      <c r="DQ45" s="392"/>
      <c r="DR45" s="392"/>
      <c r="DS45" s="392"/>
      <c r="DT45" s="392"/>
      <c r="DU45" s="392"/>
      <c r="DV45" s="392"/>
      <c r="DW45" s="392"/>
      <c r="DX45" s="392"/>
      <c r="DY45" s="392"/>
      <c r="DZ45" s="392"/>
      <c r="EA45" s="392"/>
      <c r="EB45" s="392"/>
      <c r="EC45" s="392"/>
      <c r="ED45" s="392"/>
      <c r="EE45" s="392"/>
      <c r="EF45" s="392"/>
      <c r="EG45" s="392"/>
      <c r="EH45" s="392"/>
      <c r="EI45" s="392"/>
      <c r="EJ45" s="392"/>
      <c r="EK45" s="392"/>
      <c r="EL45" s="392"/>
      <c r="EM45" s="392"/>
      <c r="EN45" s="392"/>
      <c r="EO45" s="392"/>
      <c r="EP45" s="392"/>
      <c r="EQ45" s="392"/>
      <c r="ER45" s="392"/>
      <c r="ES45" s="392"/>
      <c r="ET45" s="392"/>
      <c r="EU45" s="392"/>
      <c r="EV45" s="392"/>
      <c r="EW45" s="392"/>
      <c r="EX45" s="392"/>
      <c r="EY45" s="392"/>
      <c r="EZ45" s="392"/>
      <c r="FA45" s="392"/>
      <c r="FB45" s="392"/>
      <c r="FC45" s="392"/>
      <c r="FD45" s="392"/>
      <c r="FE45" s="392"/>
      <c r="FF45" s="392"/>
      <c r="FG45" s="392"/>
      <c r="FH45" s="392"/>
      <c r="FI45" s="392"/>
      <c r="FJ45" s="392"/>
      <c r="FK45" s="392"/>
      <c r="FL45" s="392"/>
      <c r="FM45" s="392"/>
      <c r="FN45" s="392"/>
      <c r="FO45" s="392"/>
      <c r="FP45" s="392"/>
      <c r="FQ45" s="392"/>
      <c r="FR45" s="392"/>
      <c r="FS45" s="392"/>
      <c r="FT45" s="392"/>
      <c r="FU45" s="392"/>
      <c r="FV45" s="392"/>
      <c r="FW45" s="392"/>
      <c r="FX45" s="392"/>
      <c r="FY45" s="392"/>
      <c r="FZ45" s="392"/>
      <c r="GA45" s="392"/>
      <c r="GB45" s="392"/>
      <c r="GC45" s="392"/>
      <c r="GD45" s="392"/>
      <c r="GE45" s="392"/>
      <c r="GF45" s="392"/>
      <c r="GG45" s="392"/>
      <c r="GH45" s="392"/>
      <c r="GI45" s="392"/>
      <c r="GJ45" s="392"/>
      <c r="GK45" s="392"/>
      <c r="GL45" s="392"/>
      <c r="GM45" s="392"/>
      <c r="GN45" s="392"/>
      <c r="GO45" s="392"/>
      <c r="GP45" s="392"/>
      <c r="GQ45" s="392"/>
      <c r="GR45" s="392"/>
      <c r="GS45" s="392"/>
      <c r="GT45" s="392"/>
      <c r="GU45" s="392"/>
      <c r="GV45" s="392"/>
      <c r="GW45" s="392"/>
      <c r="GX45" s="392"/>
      <c r="GY45" s="392"/>
      <c r="GZ45" s="392"/>
      <c r="HA45" s="392"/>
      <c r="HB45" s="392"/>
      <c r="HC45" s="392"/>
      <c r="HD45" s="392"/>
      <c r="HE45" s="392"/>
      <c r="HF45" s="392"/>
      <c r="HG45" s="392"/>
      <c r="HH45" s="392"/>
      <c r="HI45" s="392"/>
      <c r="HJ45" s="392"/>
      <c r="HK45" s="392"/>
      <c r="HL45" s="392"/>
      <c r="HM45" s="392"/>
      <c r="HN45" s="392"/>
      <c r="HO45" s="392"/>
      <c r="HP45" s="392"/>
      <c r="HQ45" s="392"/>
      <c r="HR45" s="392"/>
      <c r="HS45" s="392"/>
      <c r="HT45" s="392"/>
      <c r="HU45" s="392"/>
      <c r="HV45" s="392"/>
      <c r="HW45" s="392"/>
      <c r="HX45" s="392"/>
      <c r="HY45" s="392"/>
      <c r="HZ45" s="392"/>
      <c r="IA45" s="392"/>
      <c r="IB45" s="392"/>
      <c r="IC45" s="392"/>
      <c r="ID45" s="392"/>
      <c r="IE45" s="392"/>
      <c r="IF45" s="392"/>
      <c r="IG45" s="392"/>
      <c r="IH45" s="392"/>
      <c r="II45" s="392"/>
      <c r="IJ45" s="392"/>
      <c r="IK45" s="392"/>
      <c r="IL45" s="392"/>
      <c r="IM45" s="392"/>
      <c r="IN45" s="392"/>
      <c r="IO45" s="392"/>
      <c r="IP45" s="392"/>
      <c r="IQ45" s="392"/>
      <c r="IR45" s="392"/>
      <c r="IS45" s="392"/>
      <c r="IT45" s="392"/>
      <c r="IU45" s="392"/>
      <c r="IV45" s="392"/>
      <c r="IW45" s="392"/>
      <c r="IX45" s="392"/>
      <c r="IY45" s="392"/>
      <c r="IZ45" s="392"/>
      <c r="JA45" s="392"/>
      <c r="JB45" s="392"/>
      <c r="JC45" s="392"/>
      <c r="JD45" s="392"/>
      <c r="JE45" s="392"/>
      <c r="JF45" s="392"/>
      <c r="JG45" s="392"/>
      <c r="JH45" s="392"/>
      <c r="JI45" s="393">
        <f t="shared" si="0"/>
        <v>0</v>
      </c>
      <c r="JJ45" s="2">
        <v>5880</v>
      </c>
      <c r="JK45" s="392">
        <f t="shared" si="1"/>
        <v>0</v>
      </c>
      <c r="JL45" s="284"/>
      <c r="JM45" s="284"/>
      <c r="JN45" s="284"/>
      <c r="JO45" s="284"/>
      <c r="JP45" s="284"/>
    </row>
    <row r="46" spans="1:277" x14ac:dyDescent="0.3">
      <c r="A46" s="392"/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  <c r="AP46" s="392"/>
      <c r="AQ46" s="392"/>
      <c r="AR46" s="392"/>
      <c r="AS46" s="392"/>
      <c r="AT46" s="392"/>
      <c r="AU46" s="392"/>
      <c r="AV46" s="392"/>
      <c r="AW46" s="392"/>
      <c r="AX46" s="392"/>
      <c r="AY46" s="392"/>
      <c r="AZ46" s="392"/>
      <c r="BA46" s="392"/>
      <c r="BB46" s="392"/>
      <c r="BC46" s="392"/>
      <c r="BD46" s="392"/>
      <c r="BE46" s="392"/>
      <c r="BF46" s="392"/>
      <c r="BG46" s="392"/>
      <c r="BH46" s="392"/>
      <c r="BI46" s="392"/>
      <c r="BJ46" s="392"/>
      <c r="BK46" s="392"/>
      <c r="BL46" s="392"/>
      <c r="BM46" s="392"/>
      <c r="BN46" s="392"/>
      <c r="BO46" s="392"/>
      <c r="BP46" s="392"/>
      <c r="BQ46" s="392"/>
      <c r="BR46" s="392"/>
      <c r="BS46" s="392"/>
      <c r="BT46" s="392"/>
      <c r="BU46" s="392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2"/>
      <c r="CV46" s="392"/>
      <c r="CW46" s="392"/>
      <c r="CX46" s="392"/>
      <c r="CY46" s="392"/>
      <c r="CZ46" s="392"/>
      <c r="DA46" s="392"/>
      <c r="DB46" s="392"/>
      <c r="DC46" s="392"/>
      <c r="DD46" s="392"/>
      <c r="DE46" s="392"/>
      <c r="DF46" s="392"/>
      <c r="DG46" s="392"/>
      <c r="DH46" s="392"/>
      <c r="DI46" s="392"/>
      <c r="DJ46" s="392"/>
      <c r="DK46" s="392"/>
      <c r="DL46" s="392"/>
      <c r="DM46" s="392"/>
      <c r="DN46" s="392"/>
      <c r="DO46" s="392"/>
      <c r="DP46" s="392"/>
      <c r="DQ46" s="392"/>
      <c r="DR46" s="392"/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  <c r="EE46" s="392"/>
      <c r="EF46" s="392"/>
      <c r="EG46" s="392"/>
      <c r="EH46" s="392"/>
      <c r="EI46" s="392"/>
      <c r="EJ46" s="392"/>
      <c r="EK46" s="392"/>
      <c r="EL46" s="392"/>
      <c r="EM46" s="392"/>
      <c r="EN46" s="392"/>
      <c r="EO46" s="392"/>
      <c r="EP46" s="392"/>
      <c r="EQ46" s="392"/>
      <c r="ER46" s="392"/>
      <c r="ES46" s="392"/>
      <c r="ET46" s="392"/>
      <c r="EU46" s="392"/>
      <c r="EV46" s="392"/>
      <c r="EW46" s="392"/>
      <c r="EX46" s="392"/>
      <c r="EY46" s="392"/>
      <c r="EZ46" s="392"/>
      <c r="FA46" s="392"/>
      <c r="FB46" s="392"/>
      <c r="FC46" s="392"/>
      <c r="FD46" s="392"/>
      <c r="FE46" s="392"/>
      <c r="FF46" s="392"/>
      <c r="FG46" s="392"/>
      <c r="FH46" s="392"/>
      <c r="FI46" s="392"/>
      <c r="FJ46" s="392"/>
      <c r="FK46" s="392"/>
      <c r="FL46" s="392"/>
      <c r="FM46" s="392"/>
      <c r="FN46" s="392"/>
      <c r="FO46" s="392"/>
      <c r="FP46" s="392"/>
      <c r="FQ46" s="392"/>
      <c r="FR46" s="392"/>
      <c r="FS46" s="392"/>
      <c r="FT46" s="392"/>
      <c r="FU46" s="392"/>
      <c r="FV46" s="392"/>
      <c r="FW46" s="392"/>
      <c r="FX46" s="392"/>
      <c r="FY46" s="392"/>
      <c r="FZ46" s="392"/>
      <c r="GA46" s="392"/>
      <c r="GB46" s="392"/>
      <c r="GC46" s="392"/>
      <c r="GD46" s="392"/>
      <c r="GE46" s="392"/>
      <c r="GF46" s="392"/>
      <c r="GG46" s="392"/>
      <c r="GH46" s="392"/>
      <c r="GI46" s="392"/>
      <c r="GJ46" s="392"/>
      <c r="GK46" s="392"/>
      <c r="GL46" s="392"/>
      <c r="GM46" s="392"/>
      <c r="GN46" s="392"/>
      <c r="GO46" s="392"/>
      <c r="GP46" s="392"/>
      <c r="GQ46" s="392"/>
      <c r="GR46" s="392"/>
      <c r="GS46" s="392"/>
      <c r="GT46" s="392"/>
      <c r="GU46" s="392"/>
      <c r="GV46" s="392"/>
      <c r="GW46" s="392"/>
      <c r="GX46" s="392"/>
      <c r="GY46" s="392"/>
      <c r="GZ46" s="392"/>
      <c r="HA46" s="392"/>
      <c r="HB46" s="392"/>
      <c r="HC46" s="392"/>
      <c r="HD46" s="392"/>
      <c r="HE46" s="392"/>
      <c r="HF46" s="392"/>
      <c r="HG46" s="392"/>
      <c r="HH46" s="392"/>
      <c r="HI46" s="392"/>
      <c r="HJ46" s="392"/>
      <c r="HK46" s="392"/>
      <c r="HL46" s="392"/>
      <c r="HM46" s="392"/>
      <c r="HN46" s="392"/>
      <c r="HO46" s="392"/>
      <c r="HP46" s="392"/>
      <c r="HQ46" s="392"/>
      <c r="HR46" s="392"/>
      <c r="HS46" s="392"/>
      <c r="HT46" s="392"/>
      <c r="HU46" s="392"/>
      <c r="HV46" s="392"/>
      <c r="HW46" s="392"/>
      <c r="HX46" s="392"/>
      <c r="HY46" s="392"/>
      <c r="HZ46" s="392"/>
      <c r="IA46" s="392"/>
      <c r="IB46" s="392"/>
      <c r="IC46" s="392"/>
      <c r="ID46" s="392"/>
      <c r="IE46" s="392"/>
      <c r="IF46" s="392"/>
      <c r="IG46" s="392"/>
      <c r="IH46" s="392"/>
      <c r="II46" s="392"/>
      <c r="IJ46" s="392"/>
      <c r="IK46" s="392"/>
      <c r="IL46" s="392"/>
      <c r="IM46" s="392"/>
      <c r="IN46" s="392"/>
      <c r="IO46" s="392"/>
      <c r="IP46" s="392"/>
      <c r="IQ46" s="392"/>
      <c r="IR46" s="392"/>
      <c r="IS46" s="392"/>
      <c r="IT46" s="392"/>
      <c r="IU46" s="392"/>
      <c r="IV46" s="392"/>
      <c r="IW46" s="392"/>
      <c r="IX46" s="392"/>
      <c r="IY46" s="392"/>
      <c r="IZ46" s="392"/>
      <c r="JA46" s="392"/>
      <c r="JB46" s="392"/>
      <c r="JC46" s="392"/>
      <c r="JD46" s="392"/>
      <c r="JE46" s="392"/>
      <c r="JF46" s="392"/>
      <c r="JG46" s="392"/>
      <c r="JH46" s="392"/>
      <c r="JI46" s="393">
        <f t="shared" si="0"/>
        <v>0</v>
      </c>
      <c r="JJ46" s="2">
        <v>5909</v>
      </c>
      <c r="JK46" s="392">
        <f t="shared" si="1"/>
        <v>0</v>
      </c>
      <c r="JL46" s="284"/>
      <c r="JM46" s="284"/>
      <c r="JN46" s="284"/>
      <c r="JO46" s="284"/>
      <c r="JP46" s="284"/>
    </row>
    <row r="47" spans="1:277" x14ac:dyDescent="0.3">
      <c r="A47" s="392"/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392"/>
      <c r="AQ47" s="392"/>
      <c r="AR47" s="392"/>
      <c r="AS47" s="392"/>
      <c r="AT47" s="392"/>
      <c r="AU47" s="392"/>
      <c r="AV47" s="392"/>
      <c r="AW47" s="392"/>
      <c r="AX47" s="392"/>
      <c r="AY47" s="392"/>
      <c r="AZ47" s="392"/>
      <c r="BA47" s="392"/>
      <c r="BB47" s="392"/>
      <c r="BC47" s="392"/>
      <c r="BD47" s="392"/>
      <c r="BE47" s="392"/>
      <c r="BF47" s="392"/>
      <c r="BG47" s="392"/>
      <c r="BH47" s="392"/>
      <c r="BI47" s="392"/>
      <c r="BJ47" s="392"/>
      <c r="BK47" s="392"/>
      <c r="BL47" s="392"/>
      <c r="BM47" s="392"/>
      <c r="BN47" s="392"/>
      <c r="BO47" s="392"/>
      <c r="BP47" s="392"/>
      <c r="BQ47" s="392"/>
      <c r="BR47" s="392"/>
      <c r="BS47" s="392"/>
      <c r="BT47" s="392"/>
      <c r="BU47" s="392"/>
      <c r="BV47" s="392"/>
      <c r="BW47" s="392"/>
      <c r="BX47" s="392"/>
      <c r="BY47" s="392"/>
      <c r="BZ47" s="392"/>
      <c r="CA47" s="392"/>
      <c r="CB47" s="392"/>
      <c r="CC47" s="392"/>
      <c r="CD47" s="392"/>
      <c r="CE47" s="392"/>
      <c r="CF47" s="392"/>
      <c r="CG47" s="392"/>
      <c r="CH47" s="392"/>
      <c r="CI47" s="392"/>
      <c r="CJ47" s="392"/>
      <c r="CK47" s="392"/>
      <c r="CL47" s="392"/>
      <c r="CM47" s="392"/>
      <c r="CN47" s="392"/>
      <c r="CO47" s="392"/>
      <c r="CP47" s="392"/>
      <c r="CQ47" s="392"/>
      <c r="CR47" s="392"/>
      <c r="CS47" s="392"/>
      <c r="CT47" s="392"/>
      <c r="CU47" s="392"/>
      <c r="CV47" s="392"/>
      <c r="CW47" s="392"/>
      <c r="CX47" s="392"/>
      <c r="CY47" s="392"/>
      <c r="CZ47" s="392"/>
      <c r="DA47" s="392"/>
      <c r="DB47" s="392"/>
      <c r="DC47" s="392"/>
      <c r="DD47" s="392"/>
      <c r="DE47" s="392"/>
      <c r="DF47" s="392"/>
      <c r="DG47" s="392"/>
      <c r="DH47" s="392"/>
      <c r="DI47" s="392"/>
      <c r="DJ47" s="392"/>
      <c r="DK47" s="392"/>
      <c r="DL47" s="392"/>
      <c r="DM47" s="392"/>
      <c r="DN47" s="392"/>
      <c r="DO47" s="392"/>
      <c r="DP47" s="392"/>
      <c r="DQ47" s="392"/>
      <c r="DR47" s="392"/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  <c r="EE47" s="392"/>
      <c r="EF47" s="392"/>
      <c r="EG47" s="392"/>
      <c r="EH47" s="392"/>
      <c r="EI47" s="392"/>
      <c r="EJ47" s="392"/>
      <c r="EK47" s="392"/>
      <c r="EL47" s="392"/>
      <c r="EM47" s="392"/>
      <c r="EN47" s="392"/>
      <c r="EO47" s="392"/>
      <c r="EP47" s="392"/>
      <c r="EQ47" s="392"/>
      <c r="ER47" s="392"/>
      <c r="ES47" s="392"/>
      <c r="ET47" s="392"/>
      <c r="EU47" s="392"/>
      <c r="EV47" s="392"/>
      <c r="EW47" s="392"/>
      <c r="EX47" s="392"/>
      <c r="EY47" s="392"/>
      <c r="EZ47" s="392"/>
      <c r="FA47" s="392"/>
      <c r="FB47" s="392"/>
      <c r="FC47" s="392"/>
      <c r="FD47" s="392"/>
      <c r="FE47" s="392"/>
      <c r="FF47" s="392"/>
      <c r="FG47" s="392"/>
      <c r="FH47" s="392"/>
      <c r="FI47" s="392"/>
      <c r="FJ47" s="392"/>
      <c r="FK47" s="392"/>
      <c r="FL47" s="392"/>
      <c r="FM47" s="392"/>
      <c r="FN47" s="392"/>
      <c r="FO47" s="392"/>
      <c r="FP47" s="392"/>
      <c r="FQ47" s="392"/>
      <c r="FR47" s="392"/>
      <c r="FS47" s="392"/>
      <c r="FT47" s="392"/>
      <c r="FU47" s="392"/>
      <c r="FV47" s="392"/>
      <c r="FW47" s="392"/>
      <c r="FX47" s="392"/>
      <c r="FY47" s="392"/>
      <c r="FZ47" s="392"/>
      <c r="GA47" s="392"/>
      <c r="GB47" s="392"/>
      <c r="GC47" s="392"/>
      <c r="GD47" s="392"/>
      <c r="GE47" s="392"/>
      <c r="GF47" s="392"/>
      <c r="GG47" s="392"/>
      <c r="GH47" s="392"/>
      <c r="GI47" s="392"/>
      <c r="GJ47" s="392"/>
      <c r="GK47" s="392"/>
      <c r="GL47" s="392"/>
      <c r="GM47" s="392"/>
      <c r="GN47" s="392"/>
      <c r="GO47" s="392"/>
      <c r="GP47" s="392"/>
      <c r="GQ47" s="392"/>
      <c r="GR47" s="392"/>
      <c r="GS47" s="392"/>
      <c r="GT47" s="392"/>
      <c r="GU47" s="392"/>
      <c r="GV47" s="392"/>
      <c r="GW47" s="392"/>
      <c r="GX47" s="392"/>
      <c r="GY47" s="392"/>
      <c r="GZ47" s="392"/>
      <c r="HA47" s="392"/>
      <c r="HB47" s="392"/>
      <c r="HC47" s="392"/>
      <c r="HD47" s="392"/>
      <c r="HE47" s="392"/>
      <c r="HF47" s="392"/>
      <c r="HG47" s="392"/>
      <c r="HH47" s="392"/>
      <c r="HI47" s="392"/>
      <c r="HJ47" s="392"/>
      <c r="HK47" s="392"/>
      <c r="HL47" s="392"/>
      <c r="HM47" s="392"/>
      <c r="HN47" s="392"/>
      <c r="HO47" s="392"/>
      <c r="HP47" s="392"/>
      <c r="HQ47" s="392"/>
      <c r="HR47" s="392"/>
      <c r="HS47" s="392"/>
      <c r="HT47" s="392"/>
      <c r="HU47" s="392"/>
      <c r="HV47" s="392"/>
      <c r="HW47" s="392"/>
      <c r="HX47" s="392"/>
      <c r="HY47" s="392"/>
      <c r="HZ47" s="392"/>
      <c r="IA47" s="392"/>
      <c r="IB47" s="392"/>
      <c r="IC47" s="392"/>
      <c r="ID47" s="392"/>
      <c r="IE47" s="392"/>
      <c r="IF47" s="392"/>
      <c r="IG47" s="392"/>
      <c r="IH47" s="392"/>
      <c r="II47" s="392"/>
      <c r="IJ47" s="392"/>
      <c r="IK47" s="392"/>
      <c r="IL47" s="392"/>
      <c r="IM47" s="392"/>
      <c r="IN47" s="392"/>
      <c r="IO47" s="392"/>
      <c r="IP47" s="392"/>
      <c r="IQ47" s="392"/>
      <c r="IR47" s="392"/>
      <c r="IS47" s="392"/>
      <c r="IT47" s="392"/>
      <c r="IU47" s="392"/>
      <c r="IV47" s="392"/>
      <c r="IW47" s="392"/>
      <c r="IX47" s="392"/>
      <c r="IY47" s="392"/>
      <c r="IZ47" s="392"/>
      <c r="JA47" s="392"/>
      <c r="JB47" s="392"/>
      <c r="JC47" s="392"/>
      <c r="JD47" s="392"/>
      <c r="JE47" s="392"/>
      <c r="JF47" s="392"/>
      <c r="JG47" s="392"/>
      <c r="JH47" s="392"/>
      <c r="JI47" s="393">
        <f t="shared" si="0"/>
        <v>0</v>
      </c>
      <c r="JJ47" s="2">
        <v>5910</v>
      </c>
      <c r="JK47" s="392">
        <f t="shared" si="1"/>
        <v>0</v>
      </c>
      <c r="JL47" s="284"/>
      <c r="JM47" s="284"/>
      <c r="JN47" s="284"/>
      <c r="JO47" s="284"/>
      <c r="JP47" s="284"/>
    </row>
    <row r="48" spans="1:277" x14ac:dyDescent="0.3">
      <c r="A48" s="392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/>
      <c r="AE48" s="392"/>
      <c r="AF48" s="392"/>
      <c r="AG48" s="392"/>
      <c r="AH48" s="392"/>
      <c r="AI48" s="392"/>
      <c r="AJ48" s="392"/>
      <c r="AK48" s="392"/>
      <c r="AL48" s="392"/>
      <c r="AM48" s="392"/>
      <c r="AN48" s="392"/>
      <c r="AO48" s="392"/>
      <c r="AP48" s="392"/>
      <c r="AQ48" s="392"/>
      <c r="AR48" s="392"/>
      <c r="AS48" s="392"/>
      <c r="AT48" s="392"/>
      <c r="AU48" s="392"/>
      <c r="AV48" s="392"/>
      <c r="AW48" s="392"/>
      <c r="AX48" s="392"/>
      <c r="AY48" s="392"/>
      <c r="AZ48" s="392"/>
      <c r="BA48" s="392"/>
      <c r="BB48" s="392"/>
      <c r="BC48" s="392"/>
      <c r="BD48" s="392"/>
      <c r="BE48" s="392"/>
      <c r="BF48" s="392"/>
      <c r="BG48" s="392"/>
      <c r="BH48" s="392"/>
      <c r="BI48" s="392"/>
      <c r="BJ48" s="392"/>
      <c r="BK48" s="392"/>
      <c r="BL48" s="392"/>
      <c r="BM48" s="392"/>
      <c r="BN48" s="392"/>
      <c r="BO48" s="392"/>
      <c r="BP48" s="392"/>
      <c r="BQ48" s="392"/>
      <c r="BR48" s="392"/>
      <c r="BS48" s="392"/>
      <c r="BT48" s="392"/>
      <c r="BU48" s="392"/>
      <c r="BV48" s="392"/>
      <c r="BW48" s="392"/>
      <c r="BX48" s="392"/>
      <c r="BY48" s="392"/>
      <c r="BZ48" s="392"/>
      <c r="CA48" s="392"/>
      <c r="CB48" s="392"/>
      <c r="CC48" s="392"/>
      <c r="CD48" s="392"/>
      <c r="CE48" s="392"/>
      <c r="CF48" s="392"/>
      <c r="CG48" s="392"/>
      <c r="CH48" s="392"/>
      <c r="CI48" s="392"/>
      <c r="CJ48" s="392"/>
      <c r="CK48" s="392"/>
      <c r="CL48" s="392"/>
      <c r="CM48" s="392"/>
      <c r="CN48" s="392"/>
      <c r="CO48" s="392"/>
      <c r="CP48" s="392"/>
      <c r="CQ48" s="392"/>
      <c r="CR48" s="392"/>
      <c r="CS48" s="392"/>
      <c r="CT48" s="392"/>
      <c r="CU48" s="392"/>
      <c r="CV48" s="392"/>
      <c r="CW48" s="392"/>
      <c r="CX48" s="392"/>
      <c r="CY48" s="392"/>
      <c r="CZ48" s="392"/>
      <c r="DA48" s="392"/>
      <c r="DB48" s="392"/>
      <c r="DC48" s="392"/>
      <c r="DD48" s="392"/>
      <c r="DE48" s="392"/>
      <c r="DF48" s="392"/>
      <c r="DG48" s="392"/>
      <c r="DH48" s="392"/>
      <c r="DI48" s="392"/>
      <c r="DJ48" s="392"/>
      <c r="DK48" s="392"/>
      <c r="DL48" s="392"/>
      <c r="DM48" s="392"/>
      <c r="DN48" s="392"/>
      <c r="DO48" s="392"/>
      <c r="DP48" s="392"/>
      <c r="DQ48" s="392"/>
      <c r="DR48" s="392"/>
      <c r="DS48" s="392"/>
      <c r="DT48" s="392"/>
      <c r="DU48" s="392"/>
      <c r="DV48" s="392"/>
      <c r="DW48" s="392"/>
      <c r="DX48" s="392"/>
      <c r="DY48" s="392"/>
      <c r="DZ48" s="392"/>
      <c r="EA48" s="392"/>
      <c r="EB48" s="392"/>
      <c r="EC48" s="392"/>
      <c r="ED48" s="392"/>
      <c r="EE48" s="392"/>
      <c r="EF48" s="392"/>
      <c r="EG48" s="392"/>
      <c r="EH48" s="392"/>
      <c r="EI48" s="392"/>
      <c r="EJ48" s="392"/>
      <c r="EK48" s="392"/>
      <c r="EL48" s="392"/>
      <c r="EM48" s="392"/>
      <c r="EN48" s="392"/>
      <c r="EO48" s="392"/>
      <c r="EP48" s="392"/>
      <c r="EQ48" s="392"/>
      <c r="ER48" s="392"/>
      <c r="ES48" s="392"/>
      <c r="ET48" s="392"/>
      <c r="EU48" s="392"/>
      <c r="EV48" s="392"/>
      <c r="EW48" s="392"/>
      <c r="EX48" s="392"/>
      <c r="EY48" s="392"/>
      <c r="EZ48" s="392"/>
      <c r="FA48" s="392"/>
      <c r="FB48" s="392"/>
      <c r="FC48" s="392"/>
      <c r="FD48" s="392"/>
      <c r="FE48" s="392"/>
      <c r="FF48" s="392"/>
      <c r="FG48" s="392"/>
      <c r="FH48" s="392"/>
      <c r="FI48" s="392"/>
      <c r="FJ48" s="392"/>
      <c r="FK48" s="392"/>
      <c r="FL48" s="392"/>
      <c r="FM48" s="392"/>
      <c r="FN48" s="392"/>
      <c r="FO48" s="392"/>
      <c r="FP48" s="392"/>
      <c r="FQ48" s="392"/>
      <c r="FR48" s="392"/>
      <c r="FS48" s="392"/>
      <c r="FT48" s="392"/>
      <c r="FU48" s="392"/>
      <c r="FV48" s="392"/>
      <c r="FW48" s="392"/>
      <c r="FX48" s="392"/>
      <c r="FY48" s="392"/>
      <c r="FZ48" s="392"/>
      <c r="GA48" s="392"/>
      <c r="GB48" s="392"/>
      <c r="GC48" s="392"/>
      <c r="GD48" s="392"/>
      <c r="GE48" s="392"/>
      <c r="GF48" s="392"/>
      <c r="GG48" s="392"/>
      <c r="GH48" s="392"/>
      <c r="GI48" s="392"/>
      <c r="GJ48" s="392"/>
      <c r="GK48" s="392"/>
      <c r="GL48" s="392"/>
      <c r="GM48" s="392"/>
      <c r="GN48" s="392"/>
      <c r="GO48" s="392"/>
      <c r="GP48" s="392"/>
      <c r="GQ48" s="392"/>
      <c r="GR48" s="392"/>
      <c r="GS48" s="392"/>
      <c r="GT48" s="392"/>
      <c r="GU48" s="392"/>
      <c r="GV48" s="392"/>
      <c r="GW48" s="392"/>
      <c r="GX48" s="392"/>
      <c r="GY48" s="392"/>
      <c r="GZ48" s="392"/>
      <c r="HA48" s="392"/>
      <c r="HB48" s="392"/>
      <c r="HC48" s="392"/>
      <c r="HD48" s="392"/>
      <c r="HE48" s="392"/>
      <c r="HF48" s="392"/>
      <c r="HG48" s="392"/>
      <c r="HH48" s="392"/>
      <c r="HI48" s="392"/>
      <c r="HJ48" s="392"/>
      <c r="HK48" s="392"/>
      <c r="HL48" s="392"/>
      <c r="HM48" s="392"/>
      <c r="HN48" s="392"/>
      <c r="HO48" s="392"/>
      <c r="HP48" s="392"/>
      <c r="HQ48" s="392"/>
      <c r="HR48" s="392"/>
      <c r="HS48" s="392"/>
      <c r="HT48" s="392"/>
      <c r="HU48" s="392"/>
      <c r="HV48" s="392"/>
      <c r="HW48" s="392"/>
      <c r="HX48" s="392"/>
      <c r="HY48" s="392"/>
      <c r="HZ48" s="392"/>
      <c r="IA48" s="392"/>
      <c r="IB48" s="392"/>
      <c r="IC48" s="392"/>
      <c r="ID48" s="392"/>
      <c r="IE48" s="392"/>
      <c r="IF48" s="392"/>
      <c r="IG48" s="392"/>
      <c r="IH48" s="392"/>
      <c r="II48" s="392"/>
      <c r="IJ48" s="392"/>
      <c r="IK48" s="392"/>
      <c r="IL48" s="392"/>
      <c r="IM48" s="392"/>
      <c r="IN48" s="392"/>
      <c r="IO48" s="392"/>
      <c r="IP48" s="392"/>
      <c r="IQ48" s="392"/>
      <c r="IR48" s="392"/>
      <c r="IS48" s="392"/>
      <c r="IT48" s="392"/>
      <c r="IU48" s="392"/>
      <c r="IV48" s="392"/>
      <c r="IW48" s="392"/>
      <c r="IX48" s="392"/>
      <c r="IY48" s="392"/>
      <c r="IZ48" s="392"/>
      <c r="JA48" s="392"/>
      <c r="JB48" s="392"/>
      <c r="JC48" s="392"/>
      <c r="JD48" s="392"/>
      <c r="JE48" s="392"/>
      <c r="JF48" s="392"/>
      <c r="JG48" s="392"/>
      <c r="JH48" s="392"/>
      <c r="JI48" s="393">
        <f t="shared" si="0"/>
        <v>0</v>
      </c>
      <c r="JJ48" s="2">
        <v>5913</v>
      </c>
      <c r="JK48" s="392">
        <f t="shared" si="1"/>
        <v>0</v>
      </c>
      <c r="JL48" s="284"/>
      <c r="JM48" s="284"/>
      <c r="JN48" s="284"/>
      <c r="JO48" s="284"/>
      <c r="JP48" s="284"/>
    </row>
    <row r="49" spans="1:27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284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284"/>
      <c r="FL49" s="284"/>
      <c r="FM49" s="284"/>
      <c r="FN49" s="284"/>
      <c r="FO49" s="284"/>
      <c r="FP49" s="284"/>
      <c r="FQ49" s="284"/>
      <c r="FR49" s="284"/>
      <c r="FS49" s="284"/>
      <c r="FT49" s="284"/>
      <c r="FU49" s="284"/>
      <c r="FV49" s="284"/>
      <c r="FW49" s="284"/>
      <c r="FX49" s="284"/>
      <c r="FY49" s="284"/>
      <c r="FZ49" s="284"/>
      <c r="GA49" s="284"/>
      <c r="GB49" s="284"/>
      <c r="GC49" s="1"/>
      <c r="GD49" s="1"/>
      <c r="GE49" s="1"/>
      <c r="GF49" s="1"/>
      <c r="GG49" s="1"/>
      <c r="GH49" s="284"/>
      <c r="GI49" s="284"/>
      <c r="GJ49" s="284"/>
      <c r="GK49" s="284"/>
      <c r="GL49" s="284"/>
      <c r="GM49" s="284"/>
      <c r="GN49" s="284"/>
      <c r="GO49" s="284"/>
      <c r="GP49" s="284"/>
      <c r="GQ49" s="284"/>
      <c r="GR49" s="284"/>
      <c r="GS49" s="284"/>
      <c r="GT49" s="284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392"/>
      <c r="JI49" s="393">
        <f t="shared" si="0"/>
        <v>0</v>
      </c>
      <c r="JJ49" s="2">
        <v>5917</v>
      </c>
      <c r="JK49" s="392">
        <f t="shared" si="1"/>
        <v>0</v>
      </c>
      <c r="JL49" s="284"/>
      <c r="JM49" s="394"/>
      <c r="JN49" s="284"/>
      <c r="JO49" s="284"/>
      <c r="JP49" s="394"/>
    </row>
    <row r="50" spans="1:276" x14ac:dyDescent="0.3">
      <c r="A50" s="392"/>
      <c r="B50" s="392"/>
      <c r="C50" s="392"/>
      <c r="D50" s="392"/>
      <c r="E50" s="392"/>
      <c r="F50" s="392"/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2"/>
      <c r="AA50" s="392"/>
      <c r="AB50" s="392"/>
      <c r="AC50" s="392"/>
      <c r="AD50" s="392"/>
      <c r="AE50" s="392"/>
      <c r="AF50" s="392"/>
      <c r="AG50" s="392"/>
      <c r="AH50" s="392"/>
      <c r="AI50" s="392"/>
      <c r="AJ50" s="392"/>
      <c r="AK50" s="392"/>
      <c r="AL50" s="392"/>
      <c r="AM50" s="392"/>
      <c r="AN50" s="392"/>
      <c r="AO50" s="392"/>
      <c r="AP50" s="392"/>
      <c r="AQ50" s="392"/>
      <c r="AR50" s="392"/>
      <c r="AS50" s="392"/>
      <c r="AT50" s="392"/>
      <c r="AU50" s="392"/>
      <c r="AV50" s="392"/>
      <c r="AW50" s="392"/>
      <c r="AX50" s="392"/>
      <c r="AY50" s="392"/>
      <c r="AZ50" s="392"/>
      <c r="BA50" s="392"/>
      <c r="BB50" s="392"/>
      <c r="BC50" s="392"/>
      <c r="BD50" s="392"/>
      <c r="BE50" s="392"/>
      <c r="BF50" s="392"/>
      <c r="BG50" s="392"/>
      <c r="BH50" s="392"/>
      <c r="BI50" s="392"/>
      <c r="BJ50" s="392"/>
      <c r="BK50" s="392"/>
      <c r="BL50" s="392"/>
      <c r="BM50" s="392"/>
      <c r="BN50" s="392"/>
      <c r="BO50" s="392"/>
      <c r="BP50" s="392"/>
      <c r="BQ50" s="392"/>
      <c r="BR50" s="392"/>
      <c r="BS50" s="392"/>
      <c r="BT50" s="392"/>
      <c r="BU50" s="392"/>
      <c r="BV50" s="392"/>
      <c r="BW50" s="392"/>
      <c r="BX50" s="392"/>
      <c r="BY50" s="392"/>
      <c r="BZ50" s="392"/>
      <c r="CA50" s="392"/>
      <c r="CB50" s="392"/>
      <c r="CC50" s="392"/>
      <c r="CD50" s="392"/>
      <c r="CE50" s="392"/>
      <c r="CF50" s="392"/>
      <c r="CG50" s="392"/>
      <c r="CH50" s="392"/>
      <c r="CI50" s="392"/>
      <c r="CJ50" s="392"/>
      <c r="CK50" s="392"/>
      <c r="CL50" s="392"/>
      <c r="CM50" s="392"/>
      <c r="CN50" s="392"/>
      <c r="CO50" s="392"/>
      <c r="CP50" s="392"/>
      <c r="CQ50" s="392"/>
      <c r="CR50" s="392"/>
      <c r="CS50" s="392"/>
      <c r="CT50" s="392"/>
      <c r="CU50" s="392"/>
      <c r="CV50" s="392"/>
      <c r="CW50" s="392"/>
      <c r="CX50" s="392"/>
      <c r="CY50" s="392"/>
      <c r="CZ50" s="392"/>
      <c r="DA50" s="392"/>
      <c r="DB50" s="392"/>
      <c r="DC50" s="392"/>
      <c r="DD50" s="392"/>
      <c r="DE50" s="392"/>
      <c r="DF50" s="392"/>
      <c r="DG50" s="392"/>
      <c r="DH50" s="392"/>
      <c r="DI50" s="392"/>
      <c r="DJ50" s="392"/>
      <c r="DK50" s="392"/>
      <c r="DL50" s="392"/>
      <c r="DM50" s="392"/>
      <c r="DN50" s="392"/>
      <c r="DO50" s="392"/>
      <c r="DP50" s="392"/>
      <c r="DQ50" s="392"/>
      <c r="DR50" s="392"/>
      <c r="DS50" s="392"/>
      <c r="DT50" s="392"/>
      <c r="DU50" s="392"/>
      <c r="DV50" s="392"/>
      <c r="DW50" s="392"/>
      <c r="DX50" s="392"/>
      <c r="DY50" s="392"/>
      <c r="DZ50" s="392"/>
      <c r="EA50" s="392"/>
      <c r="EB50" s="392"/>
      <c r="EC50" s="392"/>
      <c r="ED50" s="392"/>
      <c r="EE50" s="392"/>
      <c r="EF50" s="392"/>
      <c r="EG50" s="392"/>
      <c r="EH50" s="392"/>
      <c r="EI50" s="392"/>
      <c r="EJ50" s="392"/>
      <c r="EK50" s="392"/>
      <c r="EL50" s="392"/>
      <c r="EM50" s="392"/>
      <c r="EN50" s="392"/>
      <c r="EO50" s="392"/>
      <c r="EP50" s="392"/>
      <c r="EQ50" s="392"/>
      <c r="ER50" s="392"/>
      <c r="ES50" s="392"/>
      <c r="ET50" s="392"/>
      <c r="EU50" s="392"/>
      <c r="EV50" s="392"/>
      <c r="EW50" s="392"/>
      <c r="EX50" s="392"/>
      <c r="EY50" s="392"/>
      <c r="EZ50" s="392"/>
      <c r="FA50" s="392"/>
      <c r="FB50" s="392"/>
      <c r="FC50" s="392"/>
      <c r="FD50" s="392"/>
      <c r="FE50" s="392"/>
      <c r="FF50" s="392"/>
      <c r="FG50" s="392"/>
      <c r="FH50" s="392"/>
      <c r="FI50" s="392"/>
      <c r="FJ50" s="392"/>
      <c r="FK50" s="392"/>
      <c r="FL50" s="392"/>
      <c r="FM50" s="392"/>
      <c r="FN50" s="392"/>
      <c r="FO50" s="392"/>
      <c r="FP50" s="392"/>
      <c r="FQ50" s="392"/>
      <c r="FR50" s="392"/>
      <c r="FS50" s="392"/>
      <c r="FT50" s="392"/>
      <c r="FU50" s="392"/>
      <c r="FV50" s="392"/>
      <c r="FW50" s="392"/>
      <c r="FX50" s="392"/>
      <c r="FY50" s="392"/>
      <c r="FZ50" s="392"/>
      <c r="GA50" s="392"/>
      <c r="GB50" s="392"/>
      <c r="GC50" s="392"/>
      <c r="GD50" s="392"/>
      <c r="GE50" s="392"/>
      <c r="GF50" s="392"/>
      <c r="GG50" s="392"/>
      <c r="GH50" s="392"/>
      <c r="GI50" s="392"/>
      <c r="GJ50" s="392"/>
      <c r="GK50" s="392"/>
      <c r="GL50" s="392"/>
      <c r="GM50" s="392"/>
      <c r="GN50" s="392"/>
      <c r="GO50" s="392"/>
      <c r="GP50" s="392"/>
      <c r="GQ50" s="392"/>
      <c r="GR50" s="392"/>
      <c r="GS50" s="392"/>
      <c r="GT50" s="392"/>
      <c r="GU50" s="392"/>
      <c r="GV50" s="392"/>
      <c r="GW50" s="392"/>
      <c r="GX50" s="392"/>
      <c r="GY50" s="392"/>
      <c r="GZ50" s="392"/>
      <c r="HA50" s="392"/>
      <c r="HB50" s="392"/>
      <c r="HC50" s="392"/>
      <c r="HD50" s="392"/>
      <c r="HE50" s="392"/>
      <c r="HF50" s="392"/>
      <c r="HG50" s="392"/>
      <c r="HH50" s="392"/>
      <c r="HI50" s="392"/>
      <c r="HJ50" s="392"/>
      <c r="HK50" s="392"/>
      <c r="HL50" s="392"/>
      <c r="HM50" s="392"/>
      <c r="HN50" s="392"/>
      <c r="HO50" s="392"/>
      <c r="HP50" s="392"/>
      <c r="HQ50" s="392"/>
      <c r="HR50" s="392"/>
      <c r="HS50" s="392"/>
      <c r="HT50" s="392"/>
      <c r="HU50" s="392"/>
      <c r="HV50" s="392"/>
      <c r="HW50" s="392"/>
      <c r="HX50" s="392"/>
      <c r="HY50" s="392"/>
      <c r="HZ50" s="392"/>
      <c r="IA50" s="392"/>
      <c r="IB50" s="392"/>
      <c r="IC50" s="392"/>
      <c r="ID50" s="392"/>
      <c r="IE50" s="392"/>
      <c r="IF50" s="392"/>
      <c r="IG50" s="392"/>
      <c r="IH50" s="392"/>
      <c r="II50" s="392"/>
      <c r="IJ50" s="392"/>
      <c r="IK50" s="392"/>
      <c r="IL50" s="392"/>
      <c r="IM50" s="392"/>
      <c r="IN50" s="392"/>
      <c r="IO50" s="392"/>
      <c r="IP50" s="392"/>
      <c r="IQ50" s="392"/>
      <c r="IR50" s="392"/>
      <c r="IS50" s="392"/>
      <c r="IT50" s="392"/>
      <c r="IU50" s="392"/>
      <c r="IV50" s="392"/>
      <c r="IW50" s="392"/>
      <c r="IX50" s="392"/>
      <c r="IY50" s="392"/>
      <c r="IZ50" s="392"/>
      <c r="JA50" s="392"/>
      <c r="JB50" s="392"/>
      <c r="JC50" s="392"/>
      <c r="JD50" s="392"/>
      <c r="JE50" s="392"/>
      <c r="JF50" s="392"/>
      <c r="JG50" s="392"/>
      <c r="JH50" s="392"/>
      <c r="JI50" s="393">
        <f t="shared" si="0"/>
        <v>0</v>
      </c>
      <c r="JJ50" s="2">
        <v>5921</v>
      </c>
      <c r="JK50" s="392">
        <f t="shared" si="1"/>
        <v>0</v>
      </c>
      <c r="JL50" s="284"/>
      <c r="JM50" s="284"/>
      <c r="JN50" s="284"/>
      <c r="JO50" s="284"/>
      <c r="JP50" s="284"/>
    </row>
    <row r="51" spans="1:276" x14ac:dyDescent="0.3">
      <c r="A51" s="392"/>
      <c r="B51" s="392"/>
      <c r="C51" s="392"/>
      <c r="D51" s="392"/>
      <c r="E51" s="392"/>
      <c r="F51" s="392"/>
      <c r="G51" s="392"/>
      <c r="H51" s="392"/>
      <c r="I51" s="392"/>
      <c r="J51" s="392"/>
      <c r="K51" s="392"/>
      <c r="L51" s="392"/>
      <c r="M51" s="39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392"/>
      <c r="Z51" s="392"/>
      <c r="AA51" s="392"/>
      <c r="AB51" s="392"/>
      <c r="AC51" s="392"/>
      <c r="AD51" s="392"/>
      <c r="AE51" s="392"/>
      <c r="AF51" s="392"/>
      <c r="AG51" s="392"/>
      <c r="AH51" s="392"/>
      <c r="AI51" s="392"/>
      <c r="AJ51" s="392"/>
      <c r="AK51" s="392"/>
      <c r="AL51" s="392"/>
      <c r="AM51" s="392"/>
      <c r="AN51" s="392"/>
      <c r="AO51" s="392"/>
      <c r="AP51" s="392"/>
      <c r="AQ51" s="392"/>
      <c r="AR51" s="392"/>
      <c r="AS51" s="392"/>
      <c r="AT51" s="392"/>
      <c r="AU51" s="392"/>
      <c r="AV51" s="392"/>
      <c r="AW51" s="392"/>
      <c r="AX51" s="392"/>
      <c r="AY51" s="392"/>
      <c r="AZ51" s="392"/>
      <c r="BA51" s="392"/>
      <c r="BB51" s="392"/>
      <c r="BC51" s="392"/>
      <c r="BD51" s="392"/>
      <c r="BE51" s="392"/>
      <c r="BF51" s="392"/>
      <c r="BG51" s="392"/>
      <c r="BH51" s="392"/>
      <c r="BI51" s="392"/>
      <c r="BJ51" s="392"/>
      <c r="BK51" s="392"/>
      <c r="BL51" s="392"/>
      <c r="BM51" s="392"/>
      <c r="BN51" s="392"/>
      <c r="BO51" s="392"/>
      <c r="BP51" s="392"/>
      <c r="BQ51" s="392"/>
      <c r="BR51" s="392"/>
      <c r="BS51" s="392"/>
      <c r="BT51" s="392"/>
      <c r="BU51" s="392"/>
      <c r="BV51" s="392"/>
      <c r="BW51" s="392"/>
      <c r="BX51" s="392"/>
      <c r="BY51" s="392"/>
      <c r="BZ51" s="392"/>
      <c r="CA51" s="392"/>
      <c r="CB51" s="392"/>
      <c r="CC51" s="392"/>
      <c r="CD51" s="392"/>
      <c r="CE51" s="392"/>
      <c r="CF51" s="392"/>
      <c r="CG51" s="392"/>
      <c r="CH51" s="392"/>
      <c r="CI51" s="392"/>
      <c r="CJ51" s="392"/>
      <c r="CK51" s="392"/>
      <c r="CL51" s="392"/>
      <c r="CM51" s="392"/>
      <c r="CN51" s="392"/>
      <c r="CO51" s="392"/>
      <c r="CP51" s="392"/>
      <c r="CQ51" s="392"/>
      <c r="CR51" s="392"/>
      <c r="CS51" s="392"/>
      <c r="CT51" s="392"/>
      <c r="CU51" s="392"/>
      <c r="CV51" s="392"/>
      <c r="CW51" s="392"/>
      <c r="CX51" s="392"/>
      <c r="CY51" s="392"/>
      <c r="CZ51" s="392"/>
      <c r="DA51" s="392"/>
      <c r="DB51" s="392"/>
      <c r="DC51" s="392"/>
      <c r="DD51" s="392"/>
      <c r="DE51" s="392"/>
      <c r="DF51" s="392"/>
      <c r="DG51" s="392"/>
      <c r="DH51" s="392"/>
      <c r="DI51" s="392"/>
      <c r="DJ51" s="392"/>
      <c r="DK51" s="392"/>
      <c r="DL51" s="392"/>
      <c r="DM51" s="392"/>
      <c r="DN51" s="392"/>
      <c r="DO51" s="392"/>
      <c r="DP51" s="392"/>
      <c r="DQ51" s="392"/>
      <c r="DR51" s="392"/>
      <c r="DS51" s="392"/>
      <c r="DT51" s="392"/>
      <c r="DU51" s="392"/>
      <c r="DV51" s="392"/>
      <c r="DW51" s="392"/>
      <c r="DX51" s="392"/>
      <c r="DY51" s="392"/>
      <c r="DZ51" s="392"/>
      <c r="EA51" s="392"/>
      <c r="EB51" s="392"/>
      <c r="EC51" s="392"/>
      <c r="ED51" s="392"/>
      <c r="EE51" s="392"/>
      <c r="EF51" s="392"/>
      <c r="EG51" s="392"/>
      <c r="EH51" s="392"/>
      <c r="EI51" s="392"/>
      <c r="EJ51" s="392"/>
      <c r="EK51" s="392"/>
      <c r="EL51" s="392"/>
      <c r="EM51" s="392"/>
      <c r="EN51" s="392"/>
      <c r="EO51" s="392"/>
      <c r="EP51" s="392"/>
      <c r="EQ51" s="392"/>
      <c r="ER51" s="392"/>
      <c r="ES51" s="392"/>
      <c r="ET51" s="392"/>
      <c r="EU51" s="392"/>
      <c r="EV51" s="392"/>
      <c r="EW51" s="392"/>
      <c r="EX51" s="392"/>
      <c r="EY51" s="392"/>
      <c r="EZ51" s="392"/>
      <c r="FA51" s="392"/>
      <c r="FB51" s="392"/>
      <c r="FC51" s="392"/>
      <c r="FD51" s="392"/>
      <c r="FE51" s="392"/>
      <c r="FF51" s="392"/>
      <c r="FG51" s="392"/>
      <c r="FH51" s="392"/>
      <c r="FI51" s="392"/>
      <c r="FJ51" s="392"/>
      <c r="FK51" s="392"/>
      <c r="FL51" s="392"/>
      <c r="FM51" s="392"/>
      <c r="FN51" s="392"/>
      <c r="FO51" s="392"/>
      <c r="FP51" s="392"/>
      <c r="FQ51" s="392"/>
      <c r="FR51" s="392"/>
      <c r="FS51" s="392"/>
      <c r="FT51" s="392"/>
      <c r="FU51" s="392"/>
      <c r="FV51" s="392"/>
      <c r="FW51" s="392"/>
      <c r="FX51" s="392"/>
      <c r="FY51" s="392"/>
      <c r="FZ51" s="392"/>
      <c r="GA51" s="392"/>
      <c r="GB51" s="392"/>
      <c r="GC51" s="392"/>
      <c r="GD51" s="392"/>
      <c r="GE51" s="392"/>
      <c r="GF51" s="392"/>
      <c r="GG51" s="392"/>
      <c r="GH51" s="392"/>
      <c r="GI51" s="392"/>
      <c r="GJ51" s="392"/>
      <c r="GK51" s="392"/>
      <c r="GL51" s="392"/>
      <c r="GM51" s="392"/>
      <c r="GN51" s="392"/>
      <c r="GO51" s="392"/>
      <c r="GP51" s="392"/>
      <c r="GQ51" s="392"/>
      <c r="GR51" s="392"/>
      <c r="GS51" s="392"/>
      <c r="GT51" s="392"/>
      <c r="GU51" s="392"/>
      <c r="GV51" s="392"/>
      <c r="GW51" s="392"/>
      <c r="GX51" s="392"/>
      <c r="GY51" s="392"/>
      <c r="GZ51" s="392"/>
      <c r="HA51" s="392"/>
      <c r="HB51" s="392"/>
      <c r="HC51" s="392"/>
      <c r="HD51" s="392"/>
      <c r="HE51" s="392"/>
      <c r="HF51" s="392"/>
      <c r="HG51" s="392"/>
      <c r="HH51" s="392"/>
      <c r="HI51" s="392"/>
      <c r="HJ51" s="392"/>
      <c r="HK51" s="392"/>
      <c r="HL51" s="392"/>
      <c r="HM51" s="392"/>
      <c r="HN51" s="392"/>
      <c r="HO51" s="392"/>
      <c r="HP51" s="392"/>
      <c r="HQ51" s="392"/>
      <c r="HR51" s="392"/>
      <c r="HS51" s="392"/>
      <c r="HT51" s="392"/>
      <c r="HU51" s="392"/>
      <c r="HV51" s="392"/>
      <c r="HW51" s="392"/>
      <c r="HX51" s="392"/>
      <c r="HY51" s="392"/>
      <c r="HZ51" s="392"/>
      <c r="IA51" s="392"/>
      <c r="IB51" s="392"/>
      <c r="IC51" s="392"/>
      <c r="ID51" s="392"/>
      <c r="IE51" s="392"/>
      <c r="IF51" s="392"/>
      <c r="IG51" s="392"/>
      <c r="IH51" s="392"/>
      <c r="II51" s="392"/>
      <c r="IJ51" s="392"/>
      <c r="IK51" s="392"/>
      <c r="IL51" s="392"/>
      <c r="IM51" s="392"/>
      <c r="IN51" s="392"/>
      <c r="IO51" s="392"/>
      <c r="IP51" s="392"/>
      <c r="IQ51" s="392"/>
      <c r="IR51" s="392"/>
      <c r="IS51" s="392"/>
      <c r="IT51" s="392"/>
      <c r="IU51" s="392"/>
      <c r="IV51" s="392"/>
      <c r="IW51" s="392"/>
      <c r="IX51" s="392"/>
      <c r="IY51" s="392"/>
      <c r="IZ51" s="392"/>
      <c r="JA51" s="392"/>
      <c r="JB51" s="392"/>
      <c r="JC51" s="392"/>
      <c r="JD51" s="392"/>
      <c r="JE51" s="392"/>
      <c r="JF51" s="392"/>
      <c r="JG51" s="392"/>
      <c r="JH51" s="392"/>
      <c r="JI51" s="393">
        <f t="shared" si="0"/>
        <v>0</v>
      </c>
      <c r="JJ51" s="2">
        <v>5925</v>
      </c>
      <c r="JK51" s="392">
        <f t="shared" si="1"/>
        <v>0</v>
      </c>
      <c r="JL51" s="284"/>
      <c r="JM51" s="284"/>
      <c r="JN51" s="284"/>
      <c r="JO51" s="284"/>
      <c r="JP51" s="284"/>
    </row>
    <row r="52" spans="1:276" x14ac:dyDescent="0.3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2"/>
      <c r="AA52" s="392"/>
      <c r="AB52" s="392"/>
      <c r="AC52" s="392"/>
      <c r="AD52" s="392"/>
      <c r="AE52" s="392"/>
      <c r="AF52" s="392"/>
      <c r="AG52" s="392"/>
      <c r="AH52" s="392"/>
      <c r="AI52" s="392"/>
      <c r="AJ52" s="39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2"/>
      <c r="BF52" s="392"/>
      <c r="BG52" s="392"/>
      <c r="BH52" s="392"/>
      <c r="BI52" s="392"/>
      <c r="BJ52" s="392"/>
      <c r="BK52" s="392"/>
      <c r="BL52" s="392"/>
      <c r="BM52" s="392"/>
      <c r="BN52" s="392"/>
      <c r="BO52" s="392"/>
      <c r="BP52" s="392"/>
      <c r="BQ52" s="392"/>
      <c r="BR52" s="392"/>
      <c r="BS52" s="392"/>
      <c r="BT52" s="392"/>
      <c r="BU52" s="392"/>
      <c r="BV52" s="392"/>
      <c r="BW52" s="392"/>
      <c r="BX52" s="392"/>
      <c r="BY52" s="392"/>
      <c r="BZ52" s="392"/>
      <c r="CA52" s="392"/>
      <c r="CB52" s="392"/>
      <c r="CC52" s="392"/>
      <c r="CD52" s="392"/>
      <c r="CE52" s="392"/>
      <c r="CF52" s="392"/>
      <c r="CG52" s="392"/>
      <c r="CH52" s="392"/>
      <c r="CI52" s="392"/>
      <c r="CJ52" s="392"/>
      <c r="CK52" s="392"/>
      <c r="CL52" s="392"/>
      <c r="CM52" s="392"/>
      <c r="CN52" s="392"/>
      <c r="CO52" s="392"/>
      <c r="CP52" s="392"/>
      <c r="CQ52" s="392"/>
      <c r="CR52" s="392"/>
      <c r="CS52" s="392"/>
      <c r="CT52" s="392"/>
      <c r="CU52" s="392"/>
      <c r="CV52" s="392"/>
      <c r="CW52" s="392"/>
      <c r="CX52" s="392"/>
      <c r="CY52" s="392"/>
      <c r="CZ52" s="392"/>
      <c r="DA52" s="392"/>
      <c r="DB52" s="392"/>
      <c r="DC52" s="392"/>
      <c r="DD52" s="392"/>
      <c r="DE52" s="392"/>
      <c r="DF52" s="392"/>
      <c r="DG52" s="392"/>
      <c r="DH52" s="392"/>
      <c r="DI52" s="392"/>
      <c r="DJ52" s="392"/>
      <c r="DK52" s="392"/>
      <c r="DL52" s="392"/>
      <c r="DM52" s="392"/>
      <c r="DN52" s="392"/>
      <c r="DO52" s="392"/>
      <c r="DP52" s="392"/>
      <c r="DQ52" s="392"/>
      <c r="DR52" s="392"/>
      <c r="DS52" s="392"/>
      <c r="DT52" s="392"/>
      <c r="DU52" s="392"/>
      <c r="DV52" s="392"/>
      <c r="DW52" s="392"/>
      <c r="DX52" s="392"/>
      <c r="DY52" s="392"/>
      <c r="DZ52" s="392"/>
      <c r="EA52" s="392"/>
      <c r="EB52" s="392"/>
      <c r="EC52" s="392"/>
      <c r="ED52" s="392"/>
      <c r="EE52" s="392"/>
      <c r="EF52" s="392"/>
      <c r="EG52" s="392"/>
      <c r="EH52" s="392"/>
      <c r="EI52" s="392"/>
      <c r="EJ52" s="392"/>
      <c r="EK52" s="392"/>
      <c r="EL52" s="392"/>
      <c r="EM52" s="392"/>
      <c r="EN52" s="392"/>
      <c r="EO52" s="392"/>
      <c r="EP52" s="392"/>
      <c r="EQ52" s="392"/>
      <c r="ER52" s="392"/>
      <c r="ES52" s="392"/>
      <c r="ET52" s="392"/>
      <c r="EU52" s="392"/>
      <c r="EV52" s="392"/>
      <c r="EW52" s="392"/>
      <c r="EX52" s="392"/>
      <c r="EY52" s="392"/>
      <c r="EZ52" s="392"/>
      <c r="FA52" s="392"/>
      <c r="FB52" s="392"/>
      <c r="FC52" s="392"/>
      <c r="FD52" s="392"/>
      <c r="FE52" s="392"/>
      <c r="FF52" s="392"/>
      <c r="FG52" s="392"/>
      <c r="FH52" s="392"/>
      <c r="FI52" s="392"/>
      <c r="FJ52" s="392"/>
      <c r="FK52" s="392"/>
      <c r="FL52" s="392"/>
      <c r="FM52" s="392"/>
      <c r="FN52" s="392"/>
      <c r="FO52" s="392"/>
      <c r="FP52" s="392"/>
      <c r="FQ52" s="392"/>
      <c r="FR52" s="392"/>
      <c r="FS52" s="392"/>
      <c r="FT52" s="392"/>
      <c r="FU52" s="392"/>
      <c r="FV52" s="392"/>
      <c r="FW52" s="392"/>
      <c r="FX52" s="392"/>
      <c r="FY52" s="392"/>
      <c r="FZ52" s="392"/>
      <c r="GA52" s="392"/>
      <c r="GB52" s="392"/>
      <c r="GC52" s="392"/>
      <c r="GD52" s="392"/>
      <c r="GE52" s="392"/>
      <c r="GF52" s="392"/>
      <c r="GG52" s="392"/>
      <c r="GH52" s="392"/>
      <c r="GI52" s="392"/>
      <c r="GJ52" s="392"/>
      <c r="GK52" s="392"/>
      <c r="GL52" s="392"/>
      <c r="GM52" s="392"/>
      <c r="GN52" s="392"/>
      <c r="GO52" s="392"/>
      <c r="GP52" s="392"/>
      <c r="GQ52" s="392"/>
      <c r="GR52" s="392"/>
      <c r="GS52" s="392"/>
      <c r="GT52" s="392"/>
      <c r="GU52" s="392"/>
      <c r="GV52" s="392"/>
      <c r="GW52" s="392"/>
      <c r="GX52" s="392"/>
      <c r="GY52" s="392"/>
      <c r="GZ52" s="392"/>
      <c r="HA52" s="392"/>
      <c r="HB52" s="392"/>
      <c r="HC52" s="392"/>
      <c r="HD52" s="392"/>
      <c r="HE52" s="392"/>
      <c r="HF52" s="392"/>
      <c r="HG52" s="392"/>
      <c r="HH52" s="392"/>
      <c r="HI52" s="392"/>
      <c r="HJ52" s="392"/>
      <c r="HK52" s="392"/>
      <c r="HL52" s="392"/>
      <c r="HM52" s="392"/>
      <c r="HN52" s="392"/>
      <c r="HO52" s="392"/>
      <c r="HP52" s="392"/>
      <c r="HQ52" s="392"/>
      <c r="HR52" s="392"/>
      <c r="HS52" s="392"/>
      <c r="HT52" s="392"/>
      <c r="HU52" s="392"/>
      <c r="HV52" s="392"/>
      <c r="HW52" s="392"/>
      <c r="HX52" s="392"/>
      <c r="HY52" s="392"/>
      <c r="HZ52" s="392"/>
      <c r="IA52" s="392"/>
      <c r="IB52" s="392"/>
      <c r="IC52" s="392"/>
      <c r="ID52" s="392"/>
      <c r="IE52" s="392"/>
      <c r="IF52" s="392"/>
      <c r="IG52" s="392"/>
      <c r="IH52" s="392"/>
      <c r="II52" s="392"/>
      <c r="IJ52" s="392"/>
      <c r="IK52" s="392"/>
      <c r="IL52" s="392"/>
      <c r="IM52" s="392"/>
      <c r="IN52" s="392"/>
      <c r="IO52" s="392"/>
      <c r="IP52" s="392"/>
      <c r="IQ52" s="392"/>
      <c r="IR52" s="392"/>
      <c r="IS52" s="392"/>
      <c r="IT52" s="392"/>
      <c r="IU52" s="392"/>
      <c r="IV52" s="392"/>
      <c r="IW52" s="392"/>
      <c r="IX52" s="392"/>
      <c r="IY52" s="392"/>
      <c r="IZ52" s="392"/>
      <c r="JA52" s="392"/>
      <c r="JB52" s="392"/>
      <c r="JC52" s="392"/>
      <c r="JD52" s="392"/>
      <c r="JE52" s="392"/>
      <c r="JF52" s="392"/>
      <c r="JG52" s="392"/>
      <c r="JH52" s="392"/>
      <c r="JI52" s="393">
        <f t="shared" si="0"/>
        <v>0</v>
      </c>
      <c r="JJ52" s="2">
        <v>5929</v>
      </c>
      <c r="JK52" s="392">
        <f t="shared" si="1"/>
        <v>0</v>
      </c>
      <c r="JL52" s="284"/>
      <c r="JM52" s="284"/>
      <c r="JN52" s="284"/>
      <c r="JO52" s="284"/>
      <c r="JP52" s="284"/>
    </row>
    <row r="53" spans="1:27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284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284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25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284"/>
      <c r="FK53" s="284"/>
      <c r="FL53" s="284"/>
      <c r="FM53" s="284"/>
      <c r="FN53" s="284"/>
      <c r="FO53" s="284"/>
      <c r="FP53" s="284"/>
      <c r="FQ53" s="284"/>
      <c r="FR53" s="284"/>
      <c r="FS53" s="284"/>
      <c r="FT53" s="284"/>
      <c r="FU53" s="284"/>
      <c r="FV53" s="284"/>
      <c r="FW53" s="284"/>
      <c r="FX53" s="284"/>
      <c r="FY53" s="284"/>
      <c r="FZ53" s="284"/>
      <c r="GA53" s="284"/>
      <c r="GB53" s="284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393">
        <f t="shared" si="0"/>
        <v>0</v>
      </c>
      <c r="JJ53" s="2">
        <v>5933</v>
      </c>
      <c r="JK53" s="392">
        <f t="shared" si="1"/>
        <v>0</v>
      </c>
      <c r="JL53" s="284"/>
      <c r="JM53" s="284"/>
      <c r="JN53" s="284"/>
      <c r="JO53" s="284"/>
      <c r="JP53" s="284"/>
    </row>
    <row r="54" spans="1:276" x14ac:dyDescent="0.3">
      <c r="A54" s="392"/>
      <c r="B54" s="392"/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  <c r="AC54" s="392"/>
      <c r="AD54" s="392"/>
      <c r="AE54" s="392"/>
      <c r="AF54" s="392"/>
      <c r="AG54" s="392"/>
      <c r="AH54" s="392"/>
      <c r="AI54" s="392"/>
      <c r="AJ54" s="392"/>
      <c r="AK54" s="392"/>
      <c r="AL54" s="392"/>
      <c r="AM54" s="392"/>
      <c r="AN54" s="392"/>
      <c r="AO54" s="392"/>
      <c r="AP54" s="392"/>
      <c r="AQ54" s="392"/>
      <c r="AR54" s="392"/>
      <c r="AS54" s="392"/>
      <c r="AT54" s="392"/>
      <c r="AU54" s="392"/>
      <c r="AV54" s="392"/>
      <c r="AW54" s="392"/>
      <c r="AX54" s="392"/>
      <c r="AY54" s="392"/>
      <c r="AZ54" s="392"/>
      <c r="BA54" s="392"/>
      <c r="BB54" s="392"/>
      <c r="BC54" s="392"/>
      <c r="BD54" s="392"/>
      <c r="BE54" s="392"/>
      <c r="BF54" s="392"/>
      <c r="BG54" s="392"/>
      <c r="BH54" s="392"/>
      <c r="BI54" s="392"/>
      <c r="BJ54" s="392"/>
      <c r="BK54" s="392"/>
      <c r="BL54" s="392"/>
      <c r="BM54" s="392"/>
      <c r="BN54" s="392"/>
      <c r="BO54" s="392"/>
      <c r="BP54" s="392"/>
      <c r="BQ54" s="392"/>
      <c r="BR54" s="392"/>
      <c r="BS54" s="392"/>
      <c r="BT54" s="392"/>
      <c r="BU54" s="392"/>
      <c r="BV54" s="392"/>
      <c r="BW54" s="392"/>
      <c r="BX54" s="392"/>
      <c r="BY54" s="392"/>
      <c r="BZ54" s="392"/>
      <c r="CA54" s="392"/>
      <c r="CB54" s="392"/>
      <c r="CC54" s="392"/>
      <c r="CD54" s="392"/>
      <c r="CE54" s="392"/>
      <c r="CF54" s="392"/>
      <c r="CG54" s="392"/>
      <c r="CH54" s="392"/>
      <c r="CI54" s="392"/>
      <c r="CJ54" s="392"/>
      <c r="CK54" s="392"/>
      <c r="CL54" s="392"/>
      <c r="CM54" s="392"/>
      <c r="CN54" s="392"/>
      <c r="CO54" s="392"/>
      <c r="CP54" s="392"/>
      <c r="CQ54" s="392"/>
      <c r="CR54" s="392"/>
      <c r="CS54" s="392"/>
      <c r="CT54" s="392"/>
      <c r="CU54" s="392"/>
      <c r="CV54" s="392"/>
      <c r="CW54" s="392"/>
      <c r="CX54" s="392"/>
      <c r="CY54" s="392"/>
      <c r="CZ54" s="392"/>
      <c r="DA54" s="392"/>
      <c r="DB54" s="392"/>
      <c r="DC54" s="392"/>
      <c r="DD54" s="392"/>
      <c r="DE54" s="392"/>
      <c r="DF54" s="392"/>
      <c r="DG54" s="392"/>
      <c r="DH54" s="392"/>
      <c r="DI54" s="392"/>
      <c r="DJ54" s="392"/>
      <c r="DK54" s="392"/>
      <c r="DL54" s="392"/>
      <c r="DM54" s="392"/>
      <c r="DN54" s="392"/>
      <c r="DO54" s="392"/>
      <c r="DP54" s="392"/>
      <c r="DQ54" s="392"/>
      <c r="DR54" s="392"/>
      <c r="DS54" s="392"/>
      <c r="DT54" s="392"/>
      <c r="DU54" s="392"/>
      <c r="DV54" s="392"/>
      <c r="DW54" s="392"/>
      <c r="DX54" s="392"/>
      <c r="DY54" s="392"/>
      <c r="DZ54" s="392"/>
      <c r="EA54" s="392"/>
      <c r="EB54" s="392"/>
      <c r="EC54" s="392"/>
      <c r="ED54" s="392"/>
      <c r="EE54" s="392"/>
      <c r="EF54" s="392"/>
      <c r="EG54" s="392"/>
      <c r="EH54" s="392"/>
      <c r="EI54" s="392"/>
      <c r="EJ54" s="392"/>
      <c r="EK54" s="392"/>
      <c r="EL54" s="392"/>
      <c r="EM54" s="392"/>
      <c r="EN54" s="392"/>
      <c r="EO54" s="392"/>
      <c r="EP54" s="392"/>
      <c r="EQ54" s="392"/>
      <c r="ER54" s="392"/>
      <c r="ES54" s="392"/>
      <c r="ET54" s="392"/>
      <c r="EU54" s="392"/>
      <c r="EV54" s="392"/>
      <c r="EW54" s="392"/>
      <c r="EX54" s="392"/>
      <c r="EY54" s="392"/>
      <c r="EZ54" s="392"/>
      <c r="FA54" s="392"/>
      <c r="FB54" s="392"/>
      <c r="FC54" s="392"/>
      <c r="FD54" s="392"/>
      <c r="FE54" s="392"/>
      <c r="FF54" s="392"/>
      <c r="FG54" s="392"/>
      <c r="FH54" s="392"/>
      <c r="FI54" s="392"/>
      <c r="FJ54" s="392"/>
      <c r="FK54" s="392"/>
      <c r="FL54" s="392"/>
      <c r="FM54" s="392"/>
      <c r="FN54" s="392"/>
      <c r="FO54" s="392"/>
      <c r="FP54" s="392"/>
      <c r="FQ54" s="392"/>
      <c r="FR54" s="392"/>
      <c r="FS54" s="392"/>
      <c r="FT54" s="392"/>
      <c r="FU54" s="392"/>
      <c r="FV54" s="392"/>
      <c r="FW54" s="392"/>
      <c r="FX54" s="392"/>
      <c r="FY54" s="392"/>
      <c r="FZ54" s="392"/>
      <c r="GA54" s="392"/>
      <c r="GB54" s="392"/>
      <c r="GC54" s="392"/>
      <c r="GD54" s="392"/>
      <c r="GE54" s="392"/>
      <c r="GF54" s="392"/>
      <c r="GG54" s="392"/>
      <c r="GH54" s="392"/>
      <c r="GI54" s="392"/>
      <c r="GJ54" s="392"/>
      <c r="GK54" s="392"/>
      <c r="GL54" s="392"/>
      <c r="GM54" s="392"/>
      <c r="GN54" s="392"/>
      <c r="GO54" s="392"/>
      <c r="GP54" s="392"/>
      <c r="GQ54" s="392"/>
      <c r="GR54" s="392"/>
      <c r="GS54" s="392"/>
      <c r="GT54" s="392"/>
      <c r="GU54" s="392"/>
      <c r="GV54" s="392"/>
      <c r="GW54" s="392"/>
      <c r="GX54" s="392"/>
      <c r="GY54" s="392"/>
      <c r="GZ54" s="392"/>
      <c r="HA54" s="392"/>
      <c r="HB54" s="392"/>
      <c r="HC54" s="392"/>
      <c r="HD54" s="392"/>
      <c r="HE54" s="392"/>
      <c r="HF54" s="392"/>
      <c r="HG54" s="392"/>
      <c r="HH54" s="392"/>
      <c r="HI54" s="392"/>
      <c r="HJ54" s="392"/>
      <c r="HK54" s="392"/>
      <c r="HL54" s="392"/>
      <c r="HM54" s="392"/>
      <c r="HN54" s="392"/>
      <c r="HO54" s="392"/>
      <c r="HP54" s="392"/>
      <c r="HQ54" s="392"/>
      <c r="HR54" s="392"/>
      <c r="HS54" s="392"/>
      <c r="HT54" s="392"/>
      <c r="HU54" s="392"/>
      <c r="HV54" s="392"/>
      <c r="HW54" s="392"/>
      <c r="HX54" s="392"/>
      <c r="HY54" s="392"/>
      <c r="HZ54" s="392"/>
      <c r="IA54" s="392"/>
      <c r="IB54" s="392"/>
      <c r="IC54" s="392"/>
      <c r="ID54" s="392"/>
      <c r="IE54" s="392"/>
      <c r="IF54" s="392"/>
      <c r="IG54" s="392"/>
      <c r="IH54" s="392"/>
      <c r="II54" s="392"/>
      <c r="IJ54" s="392"/>
      <c r="IK54" s="392"/>
      <c r="IL54" s="392"/>
      <c r="IM54" s="392"/>
      <c r="IN54" s="392"/>
      <c r="IO54" s="392"/>
      <c r="IP54" s="392"/>
      <c r="IQ54" s="392"/>
      <c r="IR54" s="392"/>
      <c r="IS54" s="392"/>
      <c r="IT54" s="392"/>
      <c r="IU54" s="392"/>
      <c r="IV54" s="392"/>
      <c r="IW54" s="392"/>
      <c r="IX54" s="392"/>
      <c r="IY54" s="392"/>
      <c r="IZ54" s="392"/>
      <c r="JA54" s="392"/>
      <c r="JB54" s="392"/>
      <c r="JC54" s="392"/>
      <c r="JD54" s="392"/>
      <c r="JE54" s="392"/>
      <c r="JF54" s="392"/>
      <c r="JG54" s="392"/>
      <c r="JH54" s="392"/>
      <c r="JI54" s="393">
        <f t="shared" si="0"/>
        <v>0</v>
      </c>
      <c r="JJ54" s="2">
        <v>5937</v>
      </c>
      <c r="JK54" s="392">
        <f t="shared" si="1"/>
        <v>0</v>
      </c>
      <c r="JL54" s="284"/>
      <c r="JM54" s="284"/>
      <c r="JN54" s="284"/>
      <c r="JO54" s="284"/>
      <c r="JP54" s="284"/>
    </row>
    <row r="55" spans="1:276" x14ac:dyDescent="0.3">
      <c r="A55" s="392"/>
      <c r="B55" s="392"/>
      <c r="C55" s="392"/>
      <c r="D55" s="392"/>
      <c r="E55" s="392"/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2"/>
      <c r="AA55" s="392"/>
      <c r="AB55" s="392"/>
      <c r="AC55" s="392"/>
      <c r="AD55" s="392"/>
      <c r="AE55" s="392"/>
      <c r="AF55" s="392"/>
      <c r="AG55" s="392"/>
      <c r="AH55" s="392"/>
      <c r="AI55" s="392"/>
      <c r="AJ55" s="392"/>
      <c r="AK55" s="392"/>
      <c r="AL55" s="392"/>
      <c r="AM55" s="392"/>
      <c r="AN55" s="392"/>
      <c r="AO55" s="392"/>
      <c r="AP55" s="392"/>
      <c r="AQ55" s="392"/>
      <c r="AR55" s="392"/>
      <c r="AS55" s="392"/>
      <c r="AT55" s="392"/>
      <c r="AU55" s="392"/>
      <c r="AV55" s="392"/>
      <c r="AW55" s="392"/>
      <c r="AX55" s="392"/>
      <c r="AY55" s="392"/>
      <c r="AZ55" s="392"/>
      <c r="BA55" s="392"/>
      <c r="BB55" s="392"/>
      <c r="BC55" s="392"/>
      <c r="BD55" s="392"/>
      <c r="BE55" s="392"/>
      <c r="BF55" s="392"/>
      <c r="BG55" s="392"/>
      <c r="BH55" s="392"/>
      <c r="BI55" s="392"/>
      <c r="BJ55" s="392"/>
      <c r="BK55" s="392"/>
      <c r="BL55" s="392"/>
      <c r="BM55" s="392"/>
      <c r="BN55" s="392"/>
      <c r="BO55" s="392"/>
      <c r="BP55" s="392"/>
      <c r="BQ55" s="392"/>
      <c r="BR55" s="392"/>
      <c r="BS55" s="392"/>
      <c r="BT55" s="392"/>
      <c r="BU55" s="392"/>
      <c r="BV55" s="392"/>
      <c r="BW55" s="392"/>
      <c r="BX55" s="392"/>
      <c r="BY55" s="392"/>
      <c r="BZ55" s="392"/>
      <c r="CA55" s="392"/>
      <c r="CB55" s="392"/>
      <c r="CC55" s="392"/>
      <c r="CD55" s="392"/>
      <c r="CE55" s="392"/>
      <c r="CF55" s="392"/>
      <c r="CG55" s="392"/>
      <c r="CH55" s="392"/>
      <c r="CI55" s="392"/>
      <c r="CJ55" s="392"/>
      <c r="CK55" s="392"/>
      <c r="CL55" s="392"/>
      <c r="CM55" s="392"/>
      <c r="CN55" s="392"/>
      <c r="CO55" s="392"/>
      <c r="CP55" s="392"/>
      <c r="CQ55" s="392"/>
      <c r="CR55" s="392"/>
      <c r="CS55" s="392"/>
      <c r="CT55" s="392"/>
      <c r="CU55" s="392"/>
      <c r="CV55" s="392"/>
      <c r="CW55" s="392"/>
      <c r="CX55" s="392"/>
      <c r="CY55" s="392"/>
      <c r="CZ55" s="392"/>
      <c r="DA55" s="392"/>
      <c r="DB55" s="392"/>
      <c r="DC55" s="392"/>
      <c r="DD55" s="392"/>
      <c r="DE55" s="392"/>
      <c r="DF55" s="392"/>
      <c r="DG55" s="392"/>
      <c r="DH55" s="392"/>
      <c r="DI55" s="392"/>
      <c r="DJ55" s="392"/>
      <c r="DK55" s="392"/>
      <c r="DL55" s="392"/>
      <c r="DM55" s="392"/>
      <c r="DN55" s="392"/>
      <c r="DO55" s="392"/>
      <c r="DP55" s="392"/>
      <c r="DQ55" s="392"/>
      <c r="DR55" s="392"/>
      <c r="DS55" s="392"/>
      <c r="DT55" s="392"/>
      <c r="DU55" s="392"/>
      <c r="DV55" s="392"/>
      <c r="DW55" s="392"/>
      <c r="DX55" s="392"/>
      <c r="DY55" s="392"/>
      <c r="DZ55" s="392"/>
      <c r="EA55" s="392"/>
      <c r="EB55" s="392"/>
      <c r="EC55" s="392"/>
      <c r="ED55" s="392"/>
      <c r="EE55" s="392"/>
      <c r="EF55" s="392"/>
      <c r="EG55" s="392"/>
      <c r="EH55" s="392"/>
      <c r="EI55" s="392"/>
      <c r="EJ55" s="392"/>
      <c r="EK55" s="392"/>
      <c r="EL55" s="392"/>
      <c r="EM55" s="392"/>
      <c r="EN55" s="392"/>
      <c r="EO55" s="392"/>
      <c r="EP55" s="392"/>
      <c r="EQ55" s="392"/>
      <c r="ER55" s="392"/>
      <c r="ES55" s="392"/>
      <c r="ET55" s="392"/>
      <c r="EU55" s="392"/>
      <c r="EV55" s="392"/>
      <c r="EW55" s="392"/>
      <c r="EX55" s="392"/>
      <c r="EY55" s="392"/>
      <c r="EZ55" s="392"/>
      <c r="FA55" s="392"/>
      <c r="FB55" s="392"/>
      <c r="FC55" s="392"/>
      <c r="FD55" s="392"/>
      <c r="FE55" s="392"/>
      <c r="FF55" s="392"/>
      <c r="FG55" s="392"/>
      <c r="FH55" s="392"/>
      <c r="FI55" s="392"/>
      <c r="FJ55" s="392"/>
      <c r="FK55" s="392"/>
      <c r="FL55" s="392"/>
      <c r="FM55" s="392"/>
      <c r="FN55" s="392"/>
      <c r="FO55" s="392"/>
      <c r="FP55" s="392"/>
      <c r="FQ55" s="392"/>
      <c r="FR55" s="392"/>
      <c r="FS55" s="392"/>
      <c r="FT55" s="392"/>
      <c r="FU55" s="392"/>
      <c r="FV55" s="392"/>
      <c r="FW55" s="392"/>
      <c r="FX55" s="392"/>
      <c r="FY55" s="392"/>
      <c r="FZ55" s="392"/>
      <c r="GA55" s="392"/>
      <c r="GB55" s="392"/>
      <c r="GC55" s="392"/>
      <c r="GD55" s="392"/>
      <c r="GE55" s="392"/>
      <c r="GF55" s="392"/>
      <c r="GG55" s="392"/>
      <c r="GH55" s="392"/>
      <c r="GI55" s="392"/>
      <c r="GJ55" s="392"/>
      <c r="GK55" s="392"/>
      <c r="GL55" s="392"/>
      <c r="GM55" s="392"/>
      <c r="GN55" s="392"/>
      <c r="GO55" s="392"/>
      <c r="GP55" s="392"/>
      <c r="GQ55" s="392"/>
      <c r="GR55" s="392"/>
      <c r="GS55" s="392"/>
      <c r="GT55" s="392"/>
      <c r="GU55" s="392"/>
      <c r="GV55" s="392"/>
      <c r="GW55" s="392"/>
      <c r="GX55" s="392"/>
      <c r="GY55" s="392"/>
      <c r="GZ55" s="392"/>
      <c r="HA55" s="392"/>
      <c r="HB55" s="392"/>
      <c r="HC55" s="392"/>
      <c r="HD55" s="392"/>
      <c r="HE55" s="392"/>
      <c r="HF55" s="392"/>
      <c r="HG55" s="392"/>
      <c r="HH55" s="392"/>
      <c r="HI55" s="392"/>
      <c r="HJ55" s="392"/>
      <c r="HK55" s="392"/>
      <c r="HL55" s="392"/>
      <c r="HM55" s="392"/>
      <c r="HN55" s="392"/>
      <c r="HO55" s="392"/>
      <c r="HP55" s="392"/>
      <c r="HQ55" s="392"/>
      <c r="HR55" s="392"/>
      <c r="HS55" s="392"/>
      <c r="HT55" s="392"/>
      <c r="HU55" s="392"/>
      <c r="HV55" s="392"/>
      <c r="HW55" s="392"/>
      <c r="HX55" s="392"/>
      <c r="HY55" s="392"/>
      <c r="HZ55" s="392"/>
      <c r="IA55" s="392"/>
      <c r="IB55" s="392"/>
      <c r="IC55" s="392"/>
      <c r="ID55" s="392"/>
      <c r="IE55" s="392"/>
      <c r="IF55" s="392"/>
      <c r="IG55" s="392"/>
      <c r="IH55" s="392"/>
      <c r="II55" s="392"/>
      <c r="IJ55" s="392"/>
      <c r="IK55" s="392"/>
      <c r="IL55" s="392"/>
      <c r="IM55" s="392"/>
      <c r="IN55" s="392"/>
      <c r="IO55" s="392"/>
      <c r="IP55" s="392"/>
      <c r="IQ55" s="392"/>
      <c r="IR55" s="392"/>
      <c r="IS55" s="392"/>
      <c r="IT55" s="392"/>
      <c r="IU55" s="392"/>
      <c r="IV55" s="392"/>
      <c r="IW55" s="392"/>
      <c r="IX55" s="392"/>
      <c r="IY55" s="392"/>
      <c r="IZ55" s="392"/>
      <c r="JA55" s="392"/>
      <c r="JB55" s="392"/>
      <c r="JC55" s="392"/>
      <c r="JD55" s="392"/>
      <c r="JE55" s="392"/>
      <c r="JF55" s="392"/>
      <c r="JG55" s="392"/>
      <c r="JH55" s="392"/>
      <c r="JI55" s="393">
        <f t="shared" si="0"/>
        <v>0</v>
      </c>
      <c r="JJ55" s="2">
        <v>5941</v>
      </c>
      <c r="JK55" s="392">
        <f t="shared" si="1"/>
        <v>0</v>
      </c>
      <c r="JL55" s="284"/>
      <c r="JM55" s="284"/>
      <c r="JN55" s="284"/>
      <c r="JO55" s="284"/>
      <c r="JP55" s="284"/>
    </row>
    <row r="56" spans="1:276" x14ac:dyDescent="0.3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2"/>
      <c r="L56" s="392"/>
      <c r="M56" s="392"/>
      <c r="N56" s="392"/>
      <c r="O56" s="392"/>
      <c r="P56" s="392"/>
      <c r="Q56" s="392"/>
      <c r="R56" s="392"/>
      <c r="S56" s="392"/>
      <c r="T56" s="392"/>
      <c r="U56" s="392"/>
      <c r="V56" s="392"/>
      <c r="W56" s="392"/>
      <c r="X56" s="392"/>
      <c r="Y56" s="392"/>
      <c r="Z56" s="392"/>
      <c r="AA56" s="392"/>
      <c r="AB56" s="392"/>
      <c r="AC56" s="392"/>
      <c r="AD56" s="392"/>
      <c r="AE56" s="392"/>
      <c r="AF56" s="392"/>
      <c r="AG56" s="392"/>
      <c r="AH56" s="392"/>
      <c r="AI56" s="392"/>
      <c r="AJ56" s="392"/>
      <c r="AK56" s="392"/>
      <c r="AL56" s="392"/>
      <c r="AM56" s="392"/>
      <c r="AN56" s="392"/>
      <c r="AO56" s="392"/>
      <c r="AP56" s="392"/>
      <c r="AQ56" s="392"/>
      <c r="AR56" s="392"/>
      <c r="AS56" s="392"/>
      <c r="AT56" s="392"/>
      <c r="AU56" s="392"/>
      <c r="AV56" s="392"/>
      <c r="AW56" s="392"/>
      <c r="AX56" s="392"/>
      <c r="AY56" s="392"/>
      <c r="AZ56" s="392"/>
      <c r="BA56" s="392"/>
      <c r="BB56" s="392"/>
      <c r="BC56" s="392"/>
      <c r="BD56" s="392"/>
      <c r="BE56" s="392"/>
      <c r="BF56" s="392"/>
      <c r="BG56" s="392"/>
      <c r="BH56" s="392"/>
      <c r="BI56" s="392"/>
      <c r="BJ56" s="392"/>
      <c r="BK56" s="392"/>
      <c r="BL56" s="392"/>
      <c r="BM56" s="392"/>
      <c r="BN56" s="392"/>
      <c r="BO56" s="392"/>
      <c r="BP56" s="392"/>
      <c r="BQ56" s="392"/>
      <c r="BR56" s="392"/>
      <c r="BS56" s="392"/>
      <c r="BT56" s="392"/>
      <c r="BU56" s="392"/>
      <c r="BV56" s="392"/>
      <c r="BW56" s="392"/>
      <c r="BX56" s="392"/>
      <c r="BY56" s="392"/>
      <c r="BZ56" s="392"/>
      <c r="CA56" s="392"/>
      <c r="CB56" s="392"/>
      <c r="CC56" s="392"/>
      <c r="CD56" s="392"/>
      <c r="CE56" s="392"/>
      <c r="CF56" s="392"/>
      <c r="CG56" s="392"/>
      <c r="CH56" s="392"/>
      <c r="CI56" s="392"/>
      <c r="CJ56" s="392"/>
      <c r="CK56" s="392"/>
      <c r="CL56" s="392"/>
      <c r="CM56" s="392"/>
      <c r="CN56" s="392"/>
      <c r="CO56" s="392"/>
      <c r="CP56" s="392"/>
      <c r="CQ56" s="392"/>
      <c r="CR56" s="392"/>
      <c r="CS56" s="392"/>
      <c r="CT56" s="392"/>
      <c r="CU56" s="392"/>
      <c r="CV56" s="392"/>
      <c r="CW56" s="392"/>
      <c r="CX56" s="392"/>
      <c r="CY56" s="392"/>
      <c r="CZ56" s="392"/>
      <c r="DA56" s="392"/>
      <c r="DB56" s="392"/>
      <c r="DC56" s="392"/>
      <c r="DD56" s="392"/>
      <c r="DE56" s="392"/>
      <c r="DF56" s="392"/>
      <c r="DG56" s="392"/>
      <c r="DH56" s="392"/>
      <c r="DI56" s="392"/>
      <c r="DJ56" s="392"/>
      <c r="DK56" s="392"/>
      <c r="DL56" s="392"/>
      <c r="DM56" s="392"/>
      <c r="DN56" s="392"/>
      <c r="DO56" s="392"/>
      <c r="DP56" s="392"/>
      <c r="DQ56" s="392"/>
      <c r="DR56" s="392"/>
      <c r="DS56" s="392"/>
      <c r="DT56" s="392"/>
      <c r="DU56" s="392"/>
      <c r="DV56" s="392"/>
      <c r="DW56" s="392"/>
      <c r="DX56" s="392"/>
      <c r="DY56" s="392"/>
      <c r="DZ56" s="392"/>
      <c r="EA56" s="392"/>
      <c r="EB56" s="392"/>
      <c r="EC56" s="392"/>
      <c r="ED56" s="392"/>
      <c r="EE56" s="392"/>
      <c r="EF56" s="392"/>
      <c r="EG56" s="392"/>
      <c r="EH56" s="392"/>
      <c r="EI56" s="392"/>
      <c r="EJ56" s="392"/>
      <c r="EK56" s="392"/>
      <c r="EL56" s="392"/>
      <c r="EM56" s="392"/>
      <c r="EN56" s="392"/>
      <c r="EO56" s="392"/>
      <c r="EP56" s="392"/>
      <c r="EQ56" s="392"/>
      <c r="ER56" s="392"/>
      <c r="ES56" s="392"/>
      <c r="ET56" s="392"/>
      <c r="EU56" s="392"/>
      <c r="EV56" s="392"/>
      <c r="EW56" s="392"/>
      <c r="EX56" s="392"/>
      <c r="EY56" s="392"/>
      <c r="EZ56" s="392"/>
      <c r="FA56" s="392"/>
      <c r="FB56" s="392"/>
      <c r="FC56" s="392"/>
      <c r="FD56" s="392"/>
      <c r="FE56" s="392"/>
      <c r="FF56" s="392"/>
      <c r="FG56" s="392"/>
      <c r="FH56" s="392"/>
      <c r="FI56" s="392"/>
      <c r="FJ56" s="392"/>
      <c r="FK56" s="392"/>
      <c r="FL56" s="392"/>
      <c r="FM56" s="392"/>
      <c r="FN56" s="392"/>
      <c r="FO56" s="392"/>
      <c r="FP56" s="392"/>
      <c r="FQ56" s="392"/>
      <c r="FR56" s="392"/>
      <c r="FS56" s="392"/>
      <c r="FT56" s="392"/>
      <c r="FU56" s="392"/>
      <c r="FV56" s="392"/>
      <c r="FW56" s="392"/>
      <c r="FX56" s="392"/>
      <c r="FY56" s="392"/>
      <c r="FZ56" s="392"/>
      <c r="GA56" s="392"/>
      <c r="GB56" s="392"/>
      <c r="GC56" s="392"/>
      <c r="GD56" s="392"/>
      <c r="GE56" s="392"/>
      <c r="GF56" s="392"/>
      <c r="GG56" s="392"/>
      <c r="GH56" s="392"/>
      <c r="GI56" s="392"/>
      <c r="GJ56" s="392"/>
      <c r="GK56" s="392"/>
      <c r="GL56" s="392"/>
      <c r="GM56" s="392"/>
      <c r="GN56" s="392"/>
      <c r="GO56" s="392"/>
      <c r="GP56" s="392"/>
      <c r="GQ56" s="392"/>
      <c r="GR56" s="392"/>
      <c r="GS56" s="392"/>
      <c r="GT56" s="392"/>
      <c r="GU56" s="392"/>
      <c r="GV56" s="392"/>
      <c r="GW56" s="392"/>
      <c r="GX56" s="392"/>
      <c r="GY56" s="392"/>
      <c r="GZ56" s="392"/>
      <c r="HA56" s="392"/>
      <c r="HB56" s="392"/>
      <c r="HC56" s="392"/>
      <c r="HD56" s="392"/>
      <c r="HE56" s="392"/>
      <c r="HF56" s="392"/>
      <c r="HG56" s="392"/>
      <c r="HH56" s="392"/>
      <c r="HI56" s="392"/>
      <c r="HJ56" s="392"/>
      <c r="HK56" s="392"/>
      <c r="HL56" s="392"/>
      <c r="HM56" s="392"/>
      <c r="HN56" s="392"/>
      <c r="HO56" s="392"/>
      <c r="HP56" s="392"/>
      <c r="HQ56" s="392"/>
      <c r="HR56" s="392"/>
      <c r="HS56" s="392"/>
      <c r="HT56" s="392"/>
      <c r="HU56" s="392"/>
      <c r="HV56" s="392"/>
      <c r="HW56" s="392"/>
      <c r="HX56" s="392"/>
      <c r="HY56" s="392"/>
      <c r="HZ56" s="392"/>
      <c r="IA56" s="392"/>
      <c r="IB56" s="392"/>
      <c r="IC56" s="392"/>
      <c r="ID56" s="392"/>
      <c r="IE56" s="392"/>
      <c r="IF56" s="392"/>
      <c r="IG56" s="392"/>
      <c r="IH56" s="392"/>
      <c r="II56" s="392"/>
      <c r="IJ56" s="392"/>
      <c r="IK56" s="392"/>
      <c r="IL56" s="392"/>
      <c r="IM56" s="392"/>
      <c r="IN56" s="392"/>
      <c r="IO56" s="392"/>
      <c r="IP56" s="392"/>
      <c r="IQ56" s="392"/>
      <c r="IR56" s="392"/>
      <c r="IS56" s="392"/>
      <c r="IT56" s="392"/>
      <c r="IU56" s="392"/>
      <c r="IV56" s="392"/>
      <c r="IW56" s="392"/>
      <c r="IX56" s="392"/>
      <c r="IY56" s="392"/>
      <c r="IZ56" s="392"/>
      <c r="JA56" s="392"/>
      <c r="JB56" s="392"/>
      <c r="JC56" s="392"/>
      <c r="JD56" s="392"/>
      <c r="JE56" s="392"/>
      <c r="JF56" s="392"/>
      <c r="JG56" s="392"/>
      <c r="JH56" s="392"/>
      <c r="JI56" s="393">
        <f t="shared" si="0"/>
        <v>0</v>
      </c>
      <c r="JJ56" s="2">
        <v>5961</v>
      </c>
      <c r="JK56" s="392">
        <f t="shared" si="1"/>
        <v>0</v>
      </c>
      <c r="JL56" s="284"/>
      <c r="JM56" s="284"/>
      <c r="JN56" s="284"/>
      <c r="JO56" s="284"/>
      <c r="JP56" s="284"/>
    </row>
    <row r="57" spans="1:276" x14ac:dyDescent="0.3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2"/>
      <c r="L57" s="392"/>
      <c r="M57" s="392"/>
      <c r="N57" s="392"/>
      <c r="O57" s="392"/>
      <c r="P57" s="392"/>
      <c r="Q57" s="392"/>
      <c r="R57" s="392"/>
      <c r="S57" s="392"/>
      <c r="T57" s="392"/>
      <c r="U57" s="392"/>
      <c r="V57" s="392"/>
      <c r="W57" s="392"/>
      <c r="X57" s="392"/>
      <c r="Y57" s="392"/>
      <c r="Z57" s="392"/>
      <c r="AA57" s="392"/>
      <c r="AB57" s="392"/>
      <c r="AC57" s="392"/>
      <c r="AD57" s="392"/>
      <c r="AE57" s="392"/>
      <c r="AF57" s="392"/>
      <c r="AG57" s="392"/>
      <c r="AH57" s="392"/>
      <c r="AI57" s="392"/>
      <c r="AJ57" s="392"/>
      <c r="AK57" s="392"/>
      <c r="AL57" s="392"/>
      <c r="AM57" s="392"/>
      <c r="AN57" s="392"/>
      <c r="AO57" s="392"/>
      <c r="AP57" s="392"/>
      <c r="AQ57" s="392"/>
      <c r="AR57" s="392"/>
      <c r="AS57" s="392"/>
      <c r="AT57" s="392"/>
      <c r="AU57" s="392"/>
      <c r="AV57" s="392"/>
      <c r="AW57" s="392"/>
      <c r="AX57" s="392"/>
      <c r="AY57" s="392"/>
      <c r="AZ57" s="392"/>
      <c r="BA57" s="392"/>
      <c r="BB57" s="392"/>
      <c r="BC57" s="392"/>
      <c r="BD57" s="392"/>
      <c r="BE57" s="392"/>
      <c r="BF57" s="392"/>
      <c r="BG57" s="392"/>
      <c r="BH57" s="392"/>
      <c r="BI57" s="392"/>
      <c r="BJ57" s="392"/>
      <c r="BK57" s="392"/>
      <c r="BL57" s="392"/>
      <c r="BM57" s="392"/>
      <c r="BN57" s="392"/>
      <c r="BO57" s="392"/>
      <c r="BP57" s="392"/>
      <c r="BQ57" s="392"/>
      <c r="BR57" s="392"/>
      <c r="BS57" s="392"/>
      <c r="BT57" s="392"/>
      <c r="BU57" s="392"/>
      <c r="BV57" s="392"/>
      <c r="BW57" s="392"/>
      <c r="BX57" s="392"/>
      <c r="BY57" s="392"/>
      <c r="BZ57" s="392"/>
      <c r="CA57" s="392"/>
      <c r="CB57" s="392"/>
      <c r="CC57" s="392"/>
      <c r="CD57" s="392"/>
      <c r="CE57" s="392"/>
      <c r="CF57" s="392"/>
      <c r="CG57" s="392"/>
      <c r="CH57" s="392"/>
      <c r="CI57" s="392"/>
      <c r="CJ57" s="392"/>
      <c r="CK57" s="392"/>
      <c r="CL57" s="392"/>
      <c r="CM57" s="392"/>
      <c r="CN57" s="392"/>
      <c r="CO57" s="392"/>
      <c r="CP57" s="392"/>
      <c r="CQ57" s="392"/>
      <c r="CR57" s="392"/>
      <c r="CS57" s="392"/>
      <c r="CT57" s="392"/>
      <c r="CU57" s="392"/>
      <c r="CV57" s="392"/>
      <c r="CW57" s="392"/>
      <c r="CX57" s="392"/>
      <c r="CY57" s="392"/>
      <c r="CZ57" s="392"/>
      <c r="DA57" s="392"/>
      <c r="DB57" s="392"/>
      <c r="DC57" s="392"/>
      <c r="DD57" s="392"/>
      <c r="DE57" s="392"/>
      <c r="DF57" s="392"/>
      <c r="DG57" s="392"/>
      <c r="DH57" s="392"/>
      <c r="DI57" s="392"/>
      <c r="DJ57" s="392"/>
      <c r="DK57" s="392"/>
      <c r="DL57" s="392"/>
      <c r="DM57" s="392"/>
      <c r="DN57" s="392"/>
      <c r="DO57" s="392"/>
      <c r="DP57" s="392"/>
      <c r="DQ57" s="392"/>
      <c r="DR57" s="392"/>
      <c r="DS57" s="392"/>
      <c r="DT57" s="392"/>
      <c r="DU57" s="392"/>
      <c r="DV57" s="392"/>
      <c r="DW57" s="392"/>
      <c r="DX57" s="392"/>
      <c r="DY57" s="392"/>
      <c r="DZ57" s="392"/>
      <c r="EA57" s="392"/>
      <c r="EB57" s="392"/>
      <c r="EC57" s="392"/>
      <c r="ED57" s="392"/>
      <c r="EE57" s="392"/>
      <c r="EF57" s="392"/>
      <c r="EG57" s="392"/>
      <c r="EH57" s="392"/>
      <c r="EI57" s="392"/>
      <c r="EJ57" s="392"/>
      <c r="EK57" s="392"/>
      <c r="EL57" s="392"/>
      <c r="EM57" s="392"/>
      <c r="EN57" s="392"/>
      <c r="EO57" s="392"/>
      <c r="EP57" s="392"/>
      <c r="EQ57" s="392"/>
      <c r="ER57" s="392"/>
      <c r="ES57" s="392"/>
      <c r="ET57" s="392"/>
      <c r="EU57" s="392"/>
      <c r="EV57" s="392"/>
      <c r="EW57" s="392"/>
      <c r="EX57" s="392"/>
      <c r="EY57" s="392"/>
      <c r="EZ57" s="392"/>
      <c r="FA57" s="392"/>
      <c r="FB57" s="392"/>
      <c r="FC57" s="392"/>
      <c r="FD57" s="392"/>
      <c r="FE57" s="392"/>
      <c r="FF57" s="392"/>
      <c r="FG57" s="392"/>
      <c r="FH57" s="392"/>
      <c r="FI57" s="392"/>
      <c r="FJ57" s="392"/>
      <c r="FK57" s="392"/>
      <c r="FL57" s="392"/>
      <c r="FM57" s="392"/>
      <c r="FN57" s="392"/>
      <c r="FO57" s="392"/>
      <c r="FP57" s="392"/>
      <c r="FQ57" s="392"/>
      <c r="FR57" s="392"/>
      <c r="FS57" s="392"/>
      <c r="FT57" s="392"/>
      <c r="FU57" s="392"/>
      <c r="FV57" s="392"/>
      <c r="FW57" s="392"/>
      <c r="FX57" s="392"/>
      <c r="FY57" s="392"/>
      <c r="FZ57" s="392"/>
      <c r="GA57" s="392"/>
      <c r="GB57" s="392"/>
      <c r="GC57" s="392"/>
      <c r="GD57" s="392"/>
      <c r="GE57" s="392"/>
      <c r="GF57" s="392"/>
      <c r="GG57" s="392"/>
      <c r="GH57" s="392"/>
      <c r="GI57" s="392"/>
      <c r="GJ57" s="392"/>
      <c r="GK57" s="392"/>
      <c r="GL57" s="392"/>
      <c r="GM57" s="392"/>
      <c r="GN57" s="392"/>
      <c r="GO57" s="392"/>
      <c r="GP57" s="392"/>
      <c r="GQ57" s="392"/>
      <c r="GR57" s="392"/>
      <c r="GS57" s="392"/>
      <c r="GT57" s="392"/>
      <c r="GU57" s="392"/>
      <c r="GV57" s="392"/>
      <c r="GW57" s="392"/>
      <c r="GX57" s="392"/>
      <c r="GY57" s="392"/>
      <c r="GZ57" s="392"/>
      <c r="HA57" s="392"/>
      <c r="HB57" s="392"/>
      <c r="HC57" s="392"/>
      <c r="HD57" s="392"/>
      <c r="HE57" s="392"/>
      <c r="HF57" s="392"/>
      <c r="HG57" s="392"/>
      <c r="HH57" s="392"/>
      <c r="HI57" s="392"/>
      <c r="HJ57" s="392"/>
      <c r="HK57" s="392"/>
      <c r="HL57" s="392"/>
      <c r="HM57" s="392"/>
      <c r="HN57" s="392"/>
      <c r="HO57" s="392"/>
      <c r="HP57" s="392"/>
      <c r="HQ57" s="392"/>
      <c r="HR57" s="392"/>
      <c r="HS57" s="392"/>
      <c r="HT57" s="392"/>
      <c r="HU57" s="392"/>
      <c r="HV57" s="392"/>
      <c r="HW57" s="392"/>
      <c r="HX57" s="392"/>
      <c r="HY57" s="392"/>
      <c r="HZ57" s="392"/>
      <c r="IA57" s="392"/>
      <c r="IB57" s="392"/>
      <c r="IC57" s="392"/>
      <c r="ID57" s="392"/>
      <c r="IE57" s="392"/>
      <c r="IF57" s="392"/>
      <c r="IG57" s="392"/>
      <c r="IH57" s="392"/>
      <c r="II57" s="392"/>
      <c r="IJ57" s="392"/>
      <c r="IK57" s="392"/>
      <c r="IL57" s="392"/>
      <c r="IM57" s="392"/>
      <c r="IN57" s="392"/>
      <c r="IO57" s="392"/>
      <c r="IP57" s="392"/>
      <c r="IQ57" s="392"/>
      <c r="IR57" s="392"/>
      <c r="IS57" s="392"/>
      <c r="IT57" s="392"/>
      <c r="IU57" s="392"/>
      <c r="IV57" s="392"/>
      <c r="IW57" s="392"/>
      <c r="IX57" s="392"/>
      <c r="IY57" s="392"/>
      <c r="IZ57" s="392"/>
      <c r="JA57" s="392"/>
      <c r="JB57" s="392"/>
      <c r="JC57" s="392"/>
      <c r="JD57" s="392"/>
      <c r="JE57" s="392"/>
      <c r="JF57" s="392"/>
      <c r="JG57" s="392"/>
      <c r="JH57" s="392"/>
      <c r="JI57" s="393">
        <f t="shared" si="0"/>
        <v>0</v>
      </c>
      <c r="JJ57" s="2">
        <v>5965</v>
      </c>
      <c r="JK57" s="392">
        <f t="shared" si="1"/>
        <v>0</v>
      </c>
      <c r="JL57" s="284"/>
      <c r="JM57" s="284"/>
      <c r="JN57" s="284"/>
      <c r="JO57" s="284"/>
      <c r="JP57" s="284"/>
    </row>
    <row r="58" spans="1:276" x14ac:dyDescent="0.3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2"/>
      <c r="AA58" s="392"/>
      <c r="AB58" s="392"/>
      <c r="AC58" s="392"/>
      <c r="AD58" s="392"/>
      <c r="AE58" s="392"/>
      <c r="AF58" s="392"/>
      <c r="AG58" s="392"/>
      <c r="AH58" s="392"/>
      <c r="AI58" s="392"/>
      <c r="AJ58" s="392"/>
      <c r="AK58" s="392"/>
      <c r="AL58" s="392"/>
      <c r="AM58" s="392"/>
      <c r="AN58" s="392"/>
      <c r="AO58" s="392"/>
      <c r="AP58" s="392"/>
      <c r="AQ58" s="392"/>
      <c r="AR58" s="392"/>
      <c r="AS58" s="392"/>
      <c r="AT58" s="392"/>
      <c r="AU58" s="392"/>
      <c r="AV58" s="392"/>
      <c r="AW58" s="392"/>
      <c r="AX58" s="392"/>
      <c r="AY58" s="392"/>
      <c r="AZ58" s="392"/>
      <c r="BA58" s="392"/>
      <c r="BB58" s="392"/>
      <c r="BC58" s="392"/>
      <c r="BD58" s="392"/>
      <c r="BE58" s="392"/>
      <c r="BF58" s="392"/>
      <c r="BG58" s="392"/>
      <c r="BH58" s="392"/>
      <c r="BI58" s="392"/>
      <c r="BJ58" s="392"/>
      <c r="BK58" s="392"/>
      <c r="BL58" s="392"/>
      <c r="BM58" s="392"/>
      <c r="BN58" s="392"/>
      <c r="BO58" s="392"/>
      <c r="BP58" s="392"/>
      <c r="BQ58" s="392"/>
      <c r="BR58" s="392"/>
      <c r="BS58" s="392"/>
      <c r="BT58" s="392"/>
      <c r="BU58" s="392"/>
      <c r="BV58" s="392"/>
      <c r="BW58" s="392"/>
      <c r="BX58" s="392"/>
      <c r="BY58" s="392"/>
      <c r="BZ58" s="392"/>
      <c r="CA58" s="392"/>
      <c r="CB58" s="392"/>
      <c r="CC58" s="392"/>
      <c r="CD58" s="392"/>
      <c r="CE58" s="392"/>
      <c r="CF58" s="392"/>
      <c r="CG58" s="392"/>
      <c r="CH58" s="392"/>
      <c r="CI58" s="392"/>
      <c r="CJ58" s="392"/>
      <c r="CK58" s="392"/>
      <c r="CL58" s="392"/>
      <c r="CM58" s="392"/>
      <c r="CN58" s="392"/>
      <c r="CO58" s="392"/>
      <c r="CP58" s="392"/>
      <c r="CQ58" s="392"/>
      <c r="CR58" s="392"/>
      <c r="CS58" s="392"/>
      <c r="CT58" s="392"/>
      <c r="CU58" s="392"/>
      <c r="CV58" s="392"/>
      <c r="CW58" s="392"/>
      <c r="CX58" s="392"/>
      <c r="CY58" s="392"/>
      <c r="CZ58" s="392"/>
      <c r="DA58" s="392"/>
      <c r="DB58" s="392"/>
      <c r="DC58" s="392"/>
      <c r="DD58" s="392"/>
      <c r="DE58" s="392"/>
      <c r="DF58" s="392"/>
      <c r="DG58" s="392"/>
      <c r="DH58" s="392"/>
      <c r="DI58" s="392"/>
      <c r="DJ58" s="392"/>
      <c r="DK58" s="392"/>
      <c r="DL58" s="392"/>
      <c r="DM58" s="392"/>
      <c r="DN58" s="392"/>
      <c r="DO58" s="392"/>
      <c r="DP58" s="392"/>
      <c r="DQ58" s="392"/>
      <c r="DR58" s="392"/>
      <c r="DS58" s="392"/>
      <c r="DT58" s="392"/>
      <c r="DU58" s="392"/>
      <c r="DV58" s="392"/>
      <c r="DW58" s="392"/>
      <c r="DX58" s="392"/>
      <c r="DY58" s="392"/>
      <c r="DZ58" s="392"/>
      <c r="EA58" s="392"/>
      <c r="EB58" s="392"/>
      <c r="EC58" s="392"/>
      <c r="ED58" s="392"/>
      <c r="EE58" s="392"/>
      <c r="EF58" s="392"/>
      <c r="EG58" s="392"/>
      <c r="EH58" s="392"/>
      <c r="EI58" s="392"/>
      <c r="EJ58" s="392"/>
      <c r="EK58" s="392"/>
      <c r="EL58" s="392"/>
      <c r="EM58" s="392"/>
      <c r="EN58" s="392"/>
      <c r="EO58" s="392"/>
      <c r="EP58" s="392"/>
      <c r="EQ58" s="392"/>
      <c r="ER58" s="392"/>
      <c r="ES58" s="392"/>
      <c r="ET58" s="392"/>
      <c r="EU58" s="392"/>
      <c r="EV58" s="392"/>
      <c r="EW58" s="392"/>
      <c r="EX58" s="392"/>
      <c r="EY58" s="392"/>
      <c r="EZ58" s="392"/>
      <c r="FA58" s="392"/>
      <c r="FB58" s="392"/>
      <c r="FC58" s="392"/>
      <c r="FD58" s="392"/>
      <c r="FE58" s="392"/>
      <c r="FF58" s="392"/>
      <c r="FG58" s="392"/>
      <c r="FH58" s="392"/>
      <c r="FI58" s="392"/>
      <c r="FJ58" s="392"/>
      <c r="FK58" s="392"/>
      <c r="FL58" s="392"/>
      <c r="FM58" s="392"/>
      <c r="FN58" s="392"/>
      <c r="FO58" s="392"/>
      <c r="FP58" s="392"/>
      <c r="FQ58" s="392"/>
      <c r="FR58" s="392"/>
      <c r="FS58" s="392"/>
      <c r="FT58" s="392"/>
      <c r="FU58" s="392"/>
      <c r="FV58" s="392"/>
      <c r="FW58" s="392"/>
      <c r="FX58" s="392"/>
      <c r="FY58" s="392"/>
      <c r="FZ58" s="392"/>
      <c r="GA58" s="392"/>
      <c r="GB58" s="392"/>
      <c r="GC58" s="392"/>
      <c r="GD58" s="392"/>
      <c r="GE58" s="392"/>
      <c r="GF58" s="392"/>
      <c r="GG58" s="392"/>
      <c r="GH58" s="392"/>
      <c r="GI58" s="392"/>
      <c r="GJ58" s="392"/>
      <c r="GK58" s="392"/>
      <c r="GL58" s="392"/>
      <c r="GM58" s="392"/>
      <c r="GN58" s="392"/>
      <c r="GO58" s="392"/>
      <c r="GP58" s="392"/>
      <c r="GQ58" s="392"/>
      <c r="GR58" s="392"/>
      <c r="GS58" s="392"/>
      <c r="GT58" s="392"/>
      <c r="GU58" s="392"/>
      <c r="GV58" s="392"/>
      <c r="GW58" s="392"/>
      <c r="GX58" s="392"/>
      <c r="GY58" s="392"/>
      <c r="GZ58" s="392"/>
      <c r="HA58" s="392"/>
      <c r="HB58" s="392"/>
      <c r="HC58" s="392"/>
      <c r="HD58" s="392"/>
      <c r="HE58" s="392"/>
      <c r="HF58" s="392"/>
      <c r="HG58" s="392"/>
      <c r="HH58" s="392"/>
      <c r="HI58" s="392"/>
      <c r="HJ58" s="392"/>
      <c r="HK58" s="392"/>
      <c r="HL58" s="392"/>
      <c r="HM58" s="392"/>
      <c r="HN58" s="392"/>
      <c r="HO58" s="392"/>
      <c r="HP58" s="392"/>
      <c r="HQ58" s="392"/>
      <c r="HR58" s="392"/>
      <c r="HS58" s="392"/>
      <c r="HT58" s="392"/>
      <c r="HU58" s="392"/>
      <c r="HV58" s="392"/>
      <c r="HW58" s="392"/>
      <c r="HX58" s="392"/>
      <c r="HY58" s="392"/>
      <c r="HZ58" s="392"/>
      <c r="IA58" s="392"/>
      <c r="IB58" s="392"/>
      <c r="IC58" s="392"/>
      <c r="ID58" s="392"/>
      <c r="IE58" s="392"/>
      <c r="IF58" s="392"/>
      <c r="IG58" s="392"/>
      <c r="IH58" s="392"/>
      <c r="II58" s="392"/>
      <c r="IJ58" s="392"/>
      <c r="IK58" s="392"/>
      <c r="IL58" s="392"/>
      <c r="IM58" s="392"/>
      <c r="IN58" s="392"/>
      <c r="IO58" s="392"/>
      <c r="IP58" s="392"/>
      <c r="IQ58" s="392"/>
      <c r="IR58" s="392"/>
      <c r="IS58" s="392"/>
      <c r="IT58" s="392"/>
      <c r="IU58" s="392"/>
      <c r="IV58" s="392"/>
      <c r="IW58" s="392"/>
      <c r="IX58" s="392"/>
      <c r="IY58" s="392"/>
      <c r="IZ58" s="392"/>
      <c r="JA58" s="392"/>
      <c r="JB58" s="392"/>
      <c r="JC58" s="392"/>
      <c r="JD58" s="392"/>
      <c r="JE58" s="392"/>
      <c r="JF58" s="392"/>
      <c r="JG58" s="392"/>
      <c r="JH58" s="392"/>
      <c r="JI58" s="393">
        <f t="shared" si="0"/>
        <v>0</v>
      </c>
      <c r="JJ58" s="2">
        <v>5969</v>
      </c>
      <c r="JK58" s="392">
        <f t="shared" si="1"/>
        <v>0</v>
      </c>
      <c r="JL58" s="284"/>
      <c r="JM58" s="284"/>
      <c r="JN58" s="284"/>
      <c r="JO58" s="284"/>
      <c r="JP58" s="284"/>
    </row>
    <row r="59" spans="1:276" x14ac:dyDescent="0.3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392"/>
      <c r="S59" s="392"/>
      <c r="T59" s="392"/>
      <c r="U59" s="392"/>
      <c r="V59" s="392"/>
      <c r="W59" s="392"/>
      <c r="X59" s="392"/>
      <c r="Y59" s="392"/>
      <c r="Z59" s="392"/>
      <c r="AA59" s="392"/>
      <c r="AB59" s="392"/>
      <c r="AC59" s="392"/>
      <c r="AD59" s="392"/>
      <c r="AE59" s="392"/>
      <c r="AF59" s="392"/>
      <c r="AG59" s="392"/>
      <c r="AH59" s="392"/>
      <c r="AI59" s="392"/>
      <c r="AJ59" s="392"/>
      <c r="AK59" s="392"/>
      <c r="AL59" s="392"/>
      <c r="AM59" s="392"/>
      <c r="AN59" s="392"/>
      <c r="AO59" s="392"/>
      <c r="AP59" s="392"/>
      <c r="AQ59" s="392"/>
      <c r="AR59" s="392"/>
      <c r="AS59" s="392"/>
      <c r="AT59" s="392"/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2"/>
      <c r="BF59" s="392"/>
      <c r="BG59" s="392"/>
      <c r="BH59" s="392"/>
      <c r="BI59" s="392"/>
      <c r="BJ59" s="392"/>
      <c r="BK59" s="392"/>
      <c r="BL59" s="392"/>
      <c r="BM59" s="392"/>
      <c r="BN59" s="392"/>
      <c r="BO59" s="392"/>
      <c r="BP59" s="392"/>
      <c r="BQ59" s="392"/>
      <c r="BR59" s="392"/>
      <c r="BS59" s="392"/>
      <c r="BT59" s="392"/>
      <c r="BU59" s="392"/>
      <c r="BV59" s="392"/>
      <c r="BW59" s="392"/>
      <c r="BX59" s="392"/>
      <c r="BY59" s="392"/>
      <c r="BZ59" s="392"/>
      <c r="CA59" s="392"/>
      <c r="CB59" s="392"/>
      <c r="CC59" s="392"/>
      <c r="CD59" s="392"/>
      <c r="CE59" s="392"/>
      <c r="CF59" s="392"/>
      <c r="CG59" s="392"/>
      <c r="CH59" s="392"/>
      <c r="CI59" s="392"/>
      <c r="CJ59" s="392"/>
      <c r="CK59" s="392"/>
      <c r="CL59" s="392"/>
      <c r="CM59" s="392"/>
      <c r="CN59" s="392"/>
      <c r="CO59" s="392"/>
      <c r="CP59" s="392"/>
      <c r="CQ59" s="392"/>
      <c r="CR59" s="392"/>
      <c r="CS59" s="392"/>
      <c r="CT59" s="392"/>
      <c r="CU59" s="392"/>
      <c r="CV59" s="392"/>
      <c r="CW59" s="392"/>
      <c r="CX59" s="392"/>
      <c r="CY59" s="392"/>
      <c r="CZ59" s="392"/>
      <c r="DA59" s="392"/>
      <c r="DB59" s="392"/>
      <c r="DC59" s="392"/>
      <c r="DD59" s="392"/>
      <c r="DE59" s="392"/>
      <c r="DF59" s="392"/>
      <c r="DG59" s="392"/>
      <c r="DH59" s="392"/>
      <c r="DI59" s="392"/>
      <c r="DJ59" s="392"/>
      <c r="DK59" s="392"/>
      <c r="DL59" s="392"/>
      <c r="DM59" s="392"/>
      <c r="DN59" s="392"/>
      <c r="DO59" s="392"/>
      <c r="DP59" s="392"/>
      <c r="DQ59" s="392"/>
      <c r="DR59" s="392"/>
      <c r="DS59" s="392"/>
      <c r="DT59" s="392"/>
      <c r="DU59" s="392"/>
      <c r="DV59" s="392"/>
      <c r="DW59" s="392"/>
      <c r="DX59" s="392"/>
      <c r="DY59" s="392"/>
      <c r="DZ59" s="392"/>
      <c r="EA59" s="392"/>
      <c r="EB59" s="392"/>
      <c r="EC59" s="392"/>
      <c r="ED59" s="392"/>
      <c r="EE59" s="392"/>
      <c r="EF59" s="392"/>
      <c r="EG59" s="392"/>
      <c r="EH59" s="392"/>
      <c r="EI59" s="392"/>
      <c r="EJ59" s="392"/>
      <c r="EK59" s="392"/>
      <c r="EL59" s="392"/>
      <c r="EM59" s="392"/>
      <c r="EN59" s="392"/>
      <c r="EO59" s="392"/>
      <c r="EP59" s="392"/>
      <c r="EQ59" s="392"/>
      <c r="ER59" s="392"/>
      <c r="ES59" s="392"/>
      <c r="ET59" s="392"/>
      <c r="EU59" s="392"/>
      <c r="EV59" s="392"/>
      <c r="EW59" s="392"/>
      <c r="EX59" s="392"/>
      <c r="EY59" s="392"/>
      <c r="EZ59" s="392"/>
      <c r="FA59" s="392"/>
      <c r="FB59" s="392"/>
      <c r="FC59" s="392"/>
      <c r="FD59" s="392"/>
      <c r="FE59" s="392"/>
      <c r="FF59" s="392"/>
      <c r="FG59" s="392"/>
      <c r="FH59" s="392"/>
      <c r="FI59" s="392"/>
      <c r="FJ59" s="392"/>
      <c r="FK59" s="392"/>
      <c r="FL59" s="392"/>
      <c r="FM59" s="392"/>
      <c r="FN59" s="392"/>
      <c r="FO59" s="392"/>
      <c r="FP59" s="392"/>
      <c r="FQ59" s="392"/>
      <c r="FR59" s="392"/>
      <c r="FS59" s="392"/>
      <c r="FT59" s="392"/>
      <c r="FU59" s="392"/>
      <c r="FV59" s="392"/>
      <c r="FW59" s="392"/>
      <c r="FX59" s="392"/>
      <c r="FY59" s="392"/>
      <c r="FZ59" s="392"/>
      <c r="GA59" s="392"/>
      <c r="GB59" s="392"/>
      <c r="GC59" s="392"/>
      <c r="GD59" s="392"/>
      <c r="GE59" s="392"/>
      <c r="GF59" s="392"/>
      <c r="GG59" s="392"/>
      <c r="GH59" s="392"/>
      <c r="GI59" s="392"/>
      <c r="GJ59" s="392"/>
      <c r="GK59" s="392"/>
      <c r="GL59" s="392"/>
      <c r="GM59" s="392"/>
      <c r="GN59" s="392"/>
      <c r="GO59" s="392"/>
      <c r="GP59" s="392"/>
      <c r="GQ59" s="392"/>
      <c r="GR59" s="392"/>
      <c r="GS59" s="392"/>
      <c r="GT59" s="392"/>
      <c r="GU59" s="392"/>
      <c r="GV59" s="392"/>
      <c r="GW59" s="392"/>
      <c r="GX59" s="392"/>
      <c r="GY59" s="392"/>
      <c r="GZ59" s="392"/>
      <c r="HA59" s="392"/>
      <c r="HB59" s="392"/>
      <c r="HC59" s="392"/>
      <c r="HD59" s="392"/>
      <c r="HE59" s="392"/>
      <c r="HF59" s="392"/>
      <c r="HG59" s="392"/>
      <c r="HH59" s="392"/>
      <c r="HI59" s="392"/>
      <c r="HJ59" s="392"/>
      <c r="HK59" s="392"/>
      <c r="HL59" s="392"/>
      <c r="HM59" s="392"/>
      <c r="HN59" s="392"/>
      <c r="HO59" s="392"/>
      <c r="HP59" s="392"/>
      <c r="HQ59" s="392"/>
      <c r="HR59" s="392"/>
      <c r="HS59" s="392"/>
      <c r="HT59" s="392"/>
      <c r="HU59" s="392"/>
      <c r="HV59" s="392"/>
      <c r="HW59" s="392"/>
      <c r="HX59" s="392"/>
      <c r="HY59" s="392"/>
      <c r="HZ59" s="392"/>
      <c r="IA59" s="392"/>
      <c r="IB59" s="392"/>
      <c r="IC59" s="392"/>
      <c r="ID59" s="392"/>
      <c r="IE59" s="392"/>
      <c r="IF59" s="392"/>
      <c r="IG59" s="392"/>
      <c r="IH59" s="392"/>
      <c r="II59" s="392"/>
      <c r="IJ59" s="392"/>
      <c r="IK59" s="392"/>
      <c r="IL59" s="392"/>
      <c r="IM59" s="392"/>
      <c r="IN59" s="392"/>
      <c r="IO59" s="392"/>
      <c r="IP59" s="392"/>
      <c r="IQ59" s="392"/>
      <c r="IR59" s="392"/>
      <c r="IS59" s="392"/>
      <c r="IT59" s="392"/>
      <c r="IU59" s="392"/>
      <c r="IV59" s="392"/>
      <c r="IW59" s="392"/>
      <c r="IX59" s="392"/>
      <c r="IY59" s="392"/>
      <c r="IZ59" s="392"/>
      <c r="JA59" s="392"/>
      <c r="JB59" s="392"/>
      <c r="JC59" s="392"/>
      <c r="JD59" s="392"/>
      <c r="JE59" s="392"/>
      <c r="JF59" s="392"/>
      <c r="JG59" s="392"/>
      <c r="JH59" s="392"/>
      <c r="JI59" s="393">
        <f t="shared" si="0"/>
        <v>0</v>
      </c>
      <c r="JJ59" s="2">
        <v>5974</v>
      </c>
      <c r="JK59" s="392">
        <f t="shared" si="1"/>
        <v>0</v>
      </c>
      <c r="JL59" s="284"/>
      <c r="JM59" s="284"/>
      <c r="JN59" s="284"/>
      <c r="JO59" s="284"/>
      <c r="JP59" s="284"/>
    </row>
    <row r="60" spans="1:276" x14ac:dyDescent="0.3">
      <c r="A60" s="392"/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2"/>
      <c r="M60" s="392"/>
      <c r="N60" s="392"/>
      <c r="O60" s="392"/>
      <c r="P60" s="392"/>
      <c r="Q60" s="392"/>
      <c r="R60" s="392"/>
      <c r="S60" s="392"/>
      <c r="T60" s="392"/>
      <c r="U60" s="392"/>
      <c r="V60" s="392"/>
      <c r="W60" s="392"/>
      <c r="X60" s="392"/>
      <c r="Y60" s="392"/>
      <c r="Z60" s="392"/>
      <c r="AA60" s="392"/>
      <c r="AB60" s="392"/>
      <c r="AC60" s="392"/>
      <c r="AD60" s="392"/>
      <c r="AE60" s="392"/>
      <c r="AF60" s="392"/>
      <c r="AG60" s="392"/>
      <c r="AH60" s="392"/>
      <c r="AI60" s="392"/>
      <c r="AJ60" s="392"/>
      <c r="AK60" s="392"/>
      <c r="AL60" s="392"/>
      <c r="AM60" s="392"/>
      <c r="AN60" s="392"/>
      <c r="AO60" s="392"/>
      <c r="AP60" s="392"/>
      <c r="AQ60" s="392"/>
      <c r="AR60" s="392"/>
      <c r="AS60" s="392"/>
      <c r="AT60" s="392"/>
      <c r="AU60" s="392"/>
      <c r="AV60" s="392"/>
      <c r="AW60" s="392"/>
      <c r="AX60" s="392"/>
      <c r="AY60" s="392"/>
      <c r="AZ60" s="392"/>
      <c r="BA60" s="392"/>
      <c r="BB60" s="392"/>
      <c r="BC60" s="392"/>
      <c r="BD60" s="392"/>
      <c r="BE60" s="392"/>
      <c r="BF60" s="392"/>
      <c r="BG60" s="392"/>
      <c r="BH60" s="392"/>
      <c r="BI60" s="392"/>
      <c r="BJ60" s="392"/>
      <c r="BK60" s="392"/>
      <c r="BL60" s="392"/>
      <c r="BM60" s="392"/>
      <c r="BN60" s="392"/>
      <c r="BO60" s="392"/>
      <c r="BP60" s="392"/>
      <c r="BQ60" s="392"/>
      <c r="BR60" s="392"/>
      <c r="BS60" s="392"/>
      <c r="BT60" s="392"/>
      <c r="BU60" s="392"/>
      <c r="BV60" s="392"/>
      <c r="BW60" s="392"/>
      <c r="BX60" s="392"/>
      <c r="BY60" s="392"/>
      <c r="BZ60" s="392"/>
      <c r="CA60" s="392"/>
      <c r="CB60" s="392"/>
      <c r="CC60" s="392"/>
      <c r="CD60" s="392"/>
      <c r="CE60" s="392"/>
      <c r="CF60" s="392"/>
      <c r="CG60" s="392"/>
      <c r="CH60" s="392"/>
      <c r="CI60" s="392"/>
      <c r="CJ60" s="392"/>
      <c r="CK60" s="392"/>
      <c r="CL60" s="392"/>
      <c r="CM60" s="392"/>
      <c r="CN60" s="392"/>
      <c r="CO60" s="392"/>
      <c r="CP60" s="392"/>
      <c r="CQ60" s="392"/>
      <c r="CR60" s="392"/>
      <c r="CS60" s="392"/>
      <c r="CT60" s="392"/>
      <c r="CU60" s="392"/>
      <c r="CV60" s="392"/>
      <c r="CW60" s="392"/>
      <c r="CX60" s="392"/>
      <c r="CY60" s="392"/>
      <c r="CZ60" s="392"/>
      <c r="DA60" s="392"/>
      <c r="DB60" s="392"/>
      <c r="DC60" s="392"/>
      <c r="DD60" s="392"/>
      <c r="DE60" s="392"/>
      <c r="DF60" s="392"/>
      <c r="DG60" s="392"/>
      <c r="DH60" s="392"/>
      <c r="DI60" s="392"/>
      <c r="DJ60" s="392"/>
      <c r="DK60" s="392"/>
      <c r="DL60" s="392"/>
      <c r="DM60" s="392"/>
      <c r="DN60" s="392"/>
      <c r="DO60" s="392"/>
      <c r="DP60" s="392"/>
      <c r="DQ60" s="392"/>
      <c r="DR60" s="392"/>
      <c r="DS60" s="392"/>
      <c r="DT60" s="392"/>
      <c r="DU60" s="392"/>
      <c r="DV60" s="392"/>
      <c r="DW60" s="392"/>
      <c r="DX60" s="392"/>
      <c r="DY60" s="392"/>
      <c r="DZ60" s="392"/>
      <c r="EA60" s="392"/>
      <c r="EB60" s="392"/>
      <c r="EC60" s="392"/>
      <c r="ED60" s="392"/>
      <c r="EE60" s="392"/>
      <c r="EF60" s="392"/>
      <c r="EG60" s="392"/>
      <c r="EH60" s="392"/>
      <c r="EI60" s="392"/>
      <c r="EJ60" s="392"/>
      <c r="EK60" s="392"/>
      <c r="EL60" s="392"/>
      <c r="EM60" s="392"/>
      <c r="EN60" s="392"/>
      <c r="EO60" s="392"/>
      <c r="EP60" s="392"/>
      <c r="EQ60" s="392"/>
      <c r="ER60" s="392"/>
      <c r="ES60" s="392"/>
      <c r="ET60" s="392"/>
      <c r="EU60" s="392"/>
      <c r="EV60" s="392"/>
      <c r="EW60" s="392"/>
      <c r="EX60" s="392"/>
      <c r="EY60" s="392"/>
      <c r="EZ60" s="392"/>
      <c r="FA60" s="392"/>
      <c r="FB60" s="392"/>
      <c r="FC60" s="392"/>
      <c r="FD60" s="392"/>
      <c r="FE60" s="392"/>
      <c r="FF60" s="392"/>
      <c r="FG60" s="392"/>
      <c r="FH60" s="392"/>
      <c r="FI60" s="392"/>
      <c r="FJ60" s="392"/>
      <c r="FK60" s="392"/>
      <c r="FL60" s="392"/>
      <c r="FM60" s="392"/>
      <c r="FN60" s="392"/>
      <c r="FO60" s="392"/>
      <c r="FP60" s="392"/>
      <c r="FQ60" s="392"/>
      <c r="FR60" s="392"/>
      <c r="FS60" s="392"/>
      <c r="FT60" s="392"/>
      <c r="FU60" s="392"/>
      <c r="FV60" s="392"/>
      <c r="FW60" s="392"/>
      <c r="FX60" s="392"/>
      <c r="FY60" s="392"/>
      <c r="FZ60" s="392"/>
      <c r="GA60" s="392"/>
      <c r="GB60" s="392"/>
      <c r="GC60" s="392"/>
      <c r="GD60" s="392"/>
      <c r="GE60" s="392"/>
      <c r="GF60" s="392"/>
      <c r="GG60" s="392"/>
      <c r="GH60" s="392"/>
      <c r="GI60" s="392"/>
      <c r="GJ60" s="392"/>
      <c r="GK60" s="392"/>
      <c r="GL60" s="392"/>
      <c r="GM60" s="392"/>
      <c r="GN60" s="392"/>
      <c r="GO60" s="392"/>
      <c r="GP60" s="392"/>
      <c r="GQ60" s="392"/>
      <c r="GR60" s="392"/>
      <c r="GS60" s="392"/>
      <c r="GT60" s="392"/>
      <c r="GU60" s="392"/>
      <c r="GV60" s="392"/>
      <c r="GW60" s="392"/>
      <c r="GX60" s="392"/>
      <c r="GY60" s="392"/>
      <c r="GZ60" s="392"/>
      <c r="HA60" s="392"/>
      <c r="HB60" s="392"/>
      <c r="HC60" s="392"/>
      <c r="HD60" s="392"/>
      <c r="HE60" s="392"/>
      <c r="HF60" s="392"/>
      <c r="HG60" s="392"/>
      <c r="HH60" s="392"/>
      <c r="HI60" s="392"/>
      <c r="HJ60" s="392"/>
      <c r="HK60" s="392"/>
      <c r="HL60" s="392"/>
      <c r="HM60" s="392"/>
      <c r="HN60" s="392"/>
      <c r="HO60" s="392"/>
      <c r="HP60" s="392"/>
      <c r="HQ60" s="392"/>
      <c r="HR60" s="392"/>
      <c r="HS60" s="392"/>
      <c r="HT60" s="392"/>
      <c r="HU60" s="392"/>
      <c r="HV60" s="392"/>
      <c r="HW60" s="392"/>
      <c r="HX60" s="392"/>
      <c r="HY60" s="392"/>
      <c r="HZ60" s="392"/>
      <c r="IA60" s="392"/>
      <c r="IB60" s="392"/>
      <c r="IC60" s="392"/>
      <c r="ID60" s="392"/>
      <c r="IE60" s="392"/>
      <c r="IF60" s="392"/>
      <c r="IG60" s="392"/>
      <c r="IH60" s="392"/>
      <c r="II60" s="392"/>
      <c r="IJ60" s="392"/>
      <c r="IK60" s="392"/>
      <c r="IL60" s="392"/>
      <c r="IM60" s="392"/>
      <c r="IN60" s="392"/>
      <c r="IO60" s="392"/>
      <c r="IP60" s="392"/>
      <c r="IQ60" s="392"/>
      <c r="IR60" s="392"/>
      <c r="IS60" s="392"/>
      <c r="IT60" s="392"/>
      <c r="IU60" s="392"/>
      <c r="IV60" s="392"/>
      <c r="IW60" s="392"/>
      <c r="IX60" s="392"/>
      <c r="IY60" s="392"/>
      <c r="IZ60" s="392"/>
      <c r="JA60" s="392"/>
      <c r="JB60" s="392"/>
      <c r="JC60" s="392"/>
      <c r="JD60" s="392"/>
      <c r="JE60" s="392"/>
      <c r="JF60" s="392"/>
      <c r="JG60" s="392"/>
      <c r="JH60" s="392"/>
      <c r="JI60" s="393">
        <f t="shared" si="0"/>
        <v>0</v>
      </c>
      <c r="JJ60" s="2">
        <v>5977</v>
      </c>
      <c r="JK60" s="392">
        <f t="shared" si="1"/>
        <v>0</v>
      </c>
      <c r="JL60" s="284"/>
      <c r="JM60" s="284"/>
      <c r="JN60" s="284"/>
      <c r="JO60" s="284"/>
      <c r="JP60" s="284"/>
    </row>
    <row r="61" spans="1:276" x14ac:dyDescent="0.3">
      <c r="A61" s="392"/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  <c r="AC61" s="392"/>
      <c r="AD61" s="392"/>
      <c r="AE61" s="392"/>
      <c r="AF61" s="392"/>
      <c r="AG61" s="392"/>
      <c r="AH61" s="392"/>
      <c r="AI61" s="392"/>
      <c r="AJ61" s="392"/>
      <c r="AK61" s="392"/>
      <c r="AL61" s="392"/>
      <c r="AM61" s="392"/>
      <c r="AN61" s="392"/>
      <c r="AO61" s="392"/>
      <c r="AP61" s="392"/>
      <c r="AQ61" s="392"/>
      <c r="AR61" s="392"/>
      <c r="AS61" s="392"/>
      <c r="AT61" s="392"/>
      <c r="AU61" s="392"/>
      <c r="AV61" s="392"/>
      <c r="AW61" s="392"/>
      <c r="AX61" s="392"/>
      <c r="AY61" s="392"/>
      <c r="AZ61" s="392"/>
      <c r="BA61" s="392"/>
      <c r="BB61" s="392"/>
      <c r="BC61" s="392"/>
      <c r="BD61" s="392"/>
      <c r="BE61" s="392"/>
      <c r="BF61" s="392"/>
      <c r="BG61" s="392"/>
      <c r="BH61" s="392"/>
      <c r="BI61" s="392"/>
      <c r="BJ61" s="392"/>
      <c r="BK61" s="392"/>
      <c r="BL61" s="392"/>
      <c r="BM61" s="392"/>
      <c r="BN61" s="392"/>
      <c r="BO61" s="392"/>
      <c r="BP61" s="392"/>
      <c r="BQ61" s="392"/>
      <c r="BR61" s="392"/>
      <c r="BS61" s="392"/>
      <c r="BT61" s="392"/>
      <c r="BU61" s="392"/>
      <c r="BV61" s="392"/>
      <c r="BW61" s="392"/>
      <c r="BX61" s="392"/>
      <c r="BY61" s="392"/>
      <c r="BZ61" s="392"/>
      <c r="CA61" s="392"/>
      <c r="CB61" s="392"/>
      <c r="CC61" s="392"/>
      <c r="CD61" s="392"/>
      <c r="CE61" s="392"/>
      <c r="CF61" s="392"/>
      <c r="CG61" s="392"/>
      <c r="CH61" s="392"/>
      <c r="CI61" s="392"/>
      <c r="CJ61" s="392"/>
      <c r="CK61" s="392"/>
      <c r="CL61" s="392"/>
      <c r="CM61" s="392"/>
      <c r="CN61" s="392"/>
      <c r="CO61" s="392"/>
      <c r="CP61" s="392"/>
      <c r="CQ61" s="392"/>
      <c r="CR61" s="392"/>
      <c r="CS61" s="392"/>
      <c r="CT61" s="392"/>
      <c r="CU61" s="392"/>
      <c r="CV61" s="392"/>
      <c r="CW61" s="392"/>
      <c r="CX61" s="392"/>
      <c r="CY61" s="392"/>
      <c r="CZ61" s="392"/>
      <c r="DA61" s="392"/>
      <c r="DB61" s="392"/>
      <c r="DC61" s="392"/>
      <c r="DD61" s="392"/>
      <c r="DE61" s="392"/>
      <c r="DF61" s="392"/>
      <c r="DG61" s="392"/>
      <c r="DH61" s="392"/>
      <c r="DI61" s="392"/>
      <c r="DJ61" s="392"/>
      <c r="DK61" s="392"/>
      <c r="DL61" s="392"/>
      <c r="DM61" s="392"/>
      <c r="DN61" s="392"/>
      <c r="DO61" s="392"/>
      <c r="DP61" s="392"/>
      <c r="DQ61" s="392"/>
      <c r="DR61" s="392"/>
      <c r="DS61" s="392"/>
      <c r="DT61" s="392"/>
      <c r="DU61" s="392"/>
      <c r="DV61" s="392"/>
      <c r="DW61" s="392"/>
      <c r="DX61" s="392"/>
      <c r="DY61" s="392"/>
      <c r="DZ61" s="392"/>
      <c r="EA61" s="392"/>
      <c r="EB61" s="392"/>
      <c r="EC61" s="392"/>
      <c r="ED61" s="392"/>
      <c r="EE61" s="392"/>
      <c r="EF61" s="392"/>
      <c r="EG61" s="392"/>
      <c r="EH61" s="392"/>
      <c r="EI61" s="392"/>
      <c r="EJ61" s="392"/>
      <c r="EK61" s="392"/>
      <c r="EL61" s="392"/>
      <c r="EM61" s="392"/>
      <c r="EN61" s="392"/>
      <c r="EO61" s="392"/>
      <c r="EP61" s="392"/>
      <c r="EQ61" s="392"/>
      <c r="ER61" s="392"/>
      <c r="ES61" s="392"/>
      <c r="ET61" s="392"/>
      <c r="EU61" s="392"/>
      <c r="EV61" s="392"/>
      <c r="EW61" s="392"/>
      <c r="EX61" s="392"/>
      <c r="EY61" s="392"/>
      <c r="EZ61" s="392"/>
      <c r="FA61" s="392"/>
      <c r="FB61" s="392"/>
      <c r="FC61" s="392"/>
      <c r="FD61" s="392"/>
      <c r="FE61" s="392"/>
      <c r="FF61" s="392"/>
      <c r="FG61" s="392"/>
      <c r="FH61" s="392"/>
      <c r="FI61" s="392"/>
      <c r="FJ61" s="392"/>
      <c r="FK61" s="392"/>
      <c r="FL61" s="392"/>
      <c r="FM61" s="392"/>
      <c r="FN61" s="392"/>
      <c r="FO61" s="392"/>
      <c r="FP61" s="392"/>
      <c r="FQ61" s="392"/>
      <c r="FR61" s="392"/>
      <c r="FS61" s="392"/>
      <c r="FT61" s="392"/>
      <c r="FU61" s="392"/>
      <c r="FV61" s="392"/>
      <c r="FW61" s="392"/>
      <c r="FX61" s="392"/>
      <c r="FY61" s="392"/>
      <c r="FZ61" s="392"/>
      <c r="GA61" s="392"/>
      <c r="GB61" s="392"/>
      <c r="GC61" s="392"/>
      <c r="GD61" s="392"/>
      <c r="GE61" s="392"/>
      <c r="GF61" s="392"/>
      <c r="GG61" s="392"/>
      <c r="GH61" s="392"/>
      <c r="GI61" s="392"/>
      <c r="GJ61" s="392"/>
      <c r="GK61" s="392"/>
      <c r="GL61" s="392"/>
      <c r="GM61" s="392"/>
      <c r="GN61" s="392"/>
      <c r="GO61" s="392"/>
      <c r="GP61" s="392"/>
      <c r="GQ61" s="392"/>
      <c r="GR61" s="392"/>
      <c r="GS61" s="392"/>
      <c r="GT61" s="392"/>
      <c r="GU61" s="392"/>
      <c r="GV61" s="392"/>
      <c r="GW61" s="392"/>
      <c r="GX61" s="392"/>
      <c r="GY61" s="392"/>
      <c r="GZ61" s="392"/>
      <c r="HA61" s="392"/>
      <c r="HB61" s="392"/>
      <c r="HC61" s="392"/>
      <c r="HD61" s="392"/>
      <c r="HE61" s="392"/>
      <c r="HF61" s="392"/>
      <c r="HG61" s="392"/>
      <c r="HH61" s="392"/>
      <c r="HI61" s="392"/>
      <c r="HJ61" s="392"/>
      <c r="HK61" s="392"/>
      <c r="HL61" s="392"/>
      <c r="HM61" s="392"/>
      <c r="HN61" s="392"/>
      <c r="HO61" s="392"/>
      <c r="HP61" s="392"/>
      <c r="HQ61" s="392"/>
      <c r="HR61" s="392"/>
      <c r="HS61" s="392"/>
      <c r="HT61" s="392"/>
      <c r="HU61" s="392"/>
      <c r="HV61" s="392"/>
      <c r="HW61" s="392"/>
      <c r="HX61" s="392"/>
      <c r="HY61" s="392"/>
      <c r="HZ61" s="392"/>
      <c r="IA61" s="392"/>
      <c r="IB61" s="392"/>
      <c r="IC61" s="392"/>
      <c r="ID61" s="392"/>
      <c r="IE61" s="392"/>
      <c r="IF61" s="392"/>
      <c r="IG61" s="392"/>
      <c r="IH61" s="392"/>
      <c r="II61" s="392"/>
      <c r="IJ61" s="392"/>
      <c r="IK61" s="392"/>
      <c r="IL61" s="392"/>
      <c r="IM61" s="392"/>
      <c r="IN61" s="392"/>
      <c r="IO61" s="392"/>
      <c r="IP61" s="392"/>
      <c r="IQ61" s="392"/>
      <c r="IR61" s="392"/>
      <c r="IS61" s="392"/>
      <c r="IT61" s="392"/>
      <c r="IU61" s="392"/>
      <c r="IV61" s="392"/>
      <c r="IW61" s="392"/>
      <c r="IX61" s="392"/>
      <c r="IY61" s="392"/>
      <c r="IZ61" s="392"/>
      <c r="JA61" s="392"/>
      <c r="JB61" s="392"/>
      <c r="JC61" s="392"/>
      <c r="JD61" s="392"/>
      <c r="JE61" s="392"/>
      <c r="JF61" s="392"/>
      <c r="JG61" s="392"/>
      <c r="JH61" s="392"/>
      <c r="JI61" s="393">
        <f t="shared" si="0"/>
        <v>0</v>
      </c>
      <c r="JJ61" s="2">
        <v>5981</v>
      </c>
      <c r="JK61" s="392">
        <f t="shared" si="1"/>
        <v>0</v>
      </c>
      <c r="JL61" s="284"/>
      <c r="JM61" s="284"/>
      <c r="JN61" s="284"/>
      <c r="JO61" s="284"/>
      <c r="JP61" s="284"/>
    </row>
    <row r="62" spans="1:276" x14ac:dyDescent="0.3">
      <c r="A62" s="392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2"/>
      <c r="M62" s="392"/>
      <c r="N62" s="392"/>
      <c r="O62" s="392"/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2"/>
      <c r="AA62" s="392"/>
      <c r="AB62" s="392"/>
      <c r="AC62" s="392"/>
      <c r="AD62" s="392"/>
      <c r="AE62" s="392"/>
      <c r="AF62" s="392"/>
      <c r="AG62" s="392"/>
      <c r="AH62" s="392"/>
      <c r="AI62" s="392"/>
      <c r="AJ62" s="392"/>
      <c r="AK62" s="392"/>
      <c r="AL62" s="392"/>
      <c r="AM62" s="392"/>
      <c r="AN62" s="392"/>
      <c r="AO62" s="392"/>
      <c r="AP62" s="392"/>
      <c r="AQ62" s="392"/>
      <c r="AR62" s="392"/>
      <c r="AS62" s="392"/>
      <c r="AT62" s="392"/>
      <c r="AU62" s="392"/>
      <c r="AV62" s="392"/>
      <c r="AW62" s="392"/>
      <c r="AX62" s="392"/>
      <c r="AY62" s="392"/>
      <c r="AZ62" s="392"/>
      <c r="BA62" s="392"/>
      <c r="BB62" s="392"/>
      <c r="BC62" s="392"/>
      <c r="BD62" s="392"/>
      <c r="BE62" s="392"/>
      <c r="BF62" s="392"/>
      <c r="BG62" s="392"/>
      <c r="BH62" s="392"/>
      <c r="BI62" s="392"/>
      <c r="BJ62" s="392"/>
      <c r="BK62" s="392"/>
      <c r="BL62" s="392"/>
      <c r="BM62" s="392"/>
      <c r="BN62" s="392"/>
      <c r="BO62" s="392"/>
      <c r="BP62" s="392"/>
      <c r="BQ62" s="392"/>
      <c r="BR62" s="392"/>
      <c r="BS62" s="392"/>
      <c r="BT62" s="392"/>
      <c r="BU62" s="392"/>
      <c r="BV62" s="392"/>
      <c r="BW62" s="392"/>
      <c r="BX62" s="392"/>
      <c r="BY62" s="392"/>
      <c r="BZ62" s="392"/>
      <c r="CA62" s="392"/>
      <c r="CB62" s="392"/>
      <c r="CC62" s="392"/>
      <c r="CD62" s="392"/>
      <c r="CE62" s="392"/>
      <c r="CF62" s="392"/>
      <c r="CG62" s="392"/>
      <c r="CH62" s="392"/>
      <c r="CI62" s="392"/>
      <c r="CJ62" s="392"/>
      <c r="CK62" s="392"/>
      <c r="CL62" s="392"/>
      <c r="CM62" s="392"/>
      <c r="CN62" s="392"/>
      <c r="CO62" s="392"/>
      <c r="CP62" s="392"/>
      <c r="CQ62" s="392"/>
      <c r="CR62" s="392"/>
      <c r="CS62" s="392"/>
      <c r="CT62" s="392"/>
      <c r="CU62" s="392"/>
      <c r="CV62" s="392"/>
      <c r="CW62" s="392"/>
      <c r="CX62" s="392"/>
      <c r="CY62" s="392"/>
      <c r="CZ62" s="392"/>
      <c r="DA62" s="392"/>
      <c r="DB62" s="392"/>
      <c r="DC62" s="392"/>
      <c r="DD62" s="392"/>
      <c r="DE62" s="392"/>
      <c r="DF62" s="392"/>
      <c r="DG62" s="392"/>
      <c r="DH62" s="392"/>
      <c r="DI62" s="392"/>
      <c r="DJ62" s="392"/>
      <c r="DK62" s="392"/>
      <c r="DL62" s="392"/>
      <c r="DM62" s="392"/>
      <c r="DN62" s="392"/>
      <c r="DO62" s="392"/>
      <c r="DP62" s="392"/>
      <c r="DQ62" s="392"/>
      <c r="DR62" s="392"/>
      <c r="DS62" s="392"/>
      <c r="DT62" s="392"/>
      <c r="DU62" s="392"/>
      <c r="DV62" s="392"/>
      <c r="DW62" s="392"/>
      <c r="DX62" s="392"/>
      <c r="DY62" s="392"/>
      <c r="DZ62" s="392"/>
      <c r="EA62" s="392"/>
      <c r="EB62" s="392"/>
      <c r="EC62" s="392"/>
      <c r="ED62" s="392"/>
      <c r="EE62" s="392"/>
      <c r="EF62" s="392"/>
      <c r="EG62" s="392"/>
      <c r="EH62" s="392"/>
      <c r="EI62" s="392"/>
      <c r="EJ62" s="392"/>
      <c r="EK62" s="392"/>
      <c r="EL62" s="392"/>
      <c r="EM62" s="392"/>
      <c r="EN62" s="392"/>
      <c r="EO62" s="392"/>
      <c r="EP62" s="392"/>
      <c r="EQ62" s="392"/>
      <c r="ER62" s="392"/>
      <c r="ES62" s="392"/>
      <c r="ET62" s="392"/>
      <c r="EU62" s="392"/>
      <c r="EV62" s="392"/>
      <c r="EW62" s="392"/>
      <c r="EX62" s="392"/>
      <c r="EY62" s="392"/>
      <c r="EZ62" s="392"/>
      <c r="FA62" s="392"/>
      <c r="FB62" s="392"/>
      <c r="FC62" s="392"/>
      <c r="FD62" s="392"/>
      <c r="FE62" s="392"/>
      <c r="FF62" s="392"/>
      <c r="FG62" s="392"/>
      <c r="FH62" s="392"/>
      <c r="FI62" s="392"/>
      <c r="FJ62" s="392"/>
      <c r="FK62" s="392"/>
      <c r="FL62" s="392"/>
      <c r="FM62" s="392"/>
      <c r="FN62" s="392"/>
      <c r="FO62" s="392"/>
      <c r="FP62" s="392"/>
      <c r="FQ62" s="392"/>
      <c r="FR62" s="392"/>
      <c r="FS62" s="392"/>
      <c r="FT62" s="392"/>
      <c r="FU62" s="392"/>
      <c r="FV62" s="392"/>
      <c r="FW62" s="392"/>
      <c r="FX62" s="392"/>
      <c r="FY62" s="392"/>
      <c r="FZ62" s="392"/>
      <c r="GA62" s="392"/>
      <c r="GB62" s="392"/>
      <c r="GC62" s="392"/>
      <c r="GD62" s="392"/>
      <c r="GE62" s="392"/>
      <c r="GF62" s="392"/>
      <c r="GG62" s="392"/>
      <c r="GH62" s="392"/>
      <c r="GI62" s="392"/>
      <c r="GJ62" s="392"/>
      <c r="GK62" s="392"/>
      <c r="GL62" s="392"/>
      <c r="GM62" s="392"/>
      <c r="GN62" s="392"/>
      <c r="GO62" s="392"/>
      <c r="GP62" s="392"/>
      <c r="GQ62" s="392"/>
      <c r="GR62" s="392"/>
      <c r="GS62" s="392"/>
      <c r="GT62" s="392"/>
      <c r="GU62" s="392"/>
      <c r="GV62" s="392"/>
      <c r="GW62" s="392"/>
      <c r="GX62" s="392"/>
      <c r="GY62" s="392"/>
      <c r="GZ62" s="392"/>
      <c r="HA62" s="392"/>
      <c r="HB62" s="392"/>
      <c r="HC62" s="392"/>
      <c r="HD62" s="392"/>
      <c r="HE62" s="392"/>
      <c r="HF62" s="392"/>
      <c r="HG62" s="392"/>
      <c r="HH62" s="392"/>
      <c r="HI62" s="392"/>
      <c r="HJ62" s="392"/>
      <c r="HK62" s="392"/>
      <c r="HL62" s="392"/>
      <c r="HM62" s="392"/>
      <c r="HN62" s="392"/>
      <c r="HO62" s="392"/>
      <c r="HP62" s="392"/>
      <c r="HQ62" s="392"/>
      <c r="HR62" s="392"/>
      <c r="HS62" s="392"/>
      <c r="HT62" s="392"/>
      <c r="HU62" s="392"/>
      <c r="HV62" s="392"/>
      <c r="HW62" s="392"/>
      <c r="HX62" s="392"/>
      <c r="HY62" s="392"/>
      <c r="HZ62" s="392"/>
      <c r="IA62" s="392"/>
      <c r="IB62" s="392"/>
      <c r="IC62" s="392"/>
      <c r="ID62" s="392"/>
      <c r="IE62" s="392"/>
      <c r="IF62" s="392"/>
      <c r="IG62" s="392"/>
      <c r="IH62" s="392"/>
      <c r="II62" s="392"/>
      <c r="IJ62" s="392"/>
      <c r="IK62" s="392"/>
      <c r="IL62" s="392"/>
      <c r="IM62" s="392"/>
      <c r="IN62" s="392"/>
      <c r="IO62" s="392"/>
      <c r="IP62" s="392"/>
      <c r="IQ62" s="392"/>
      <c r="IR62" s="392"/>
      <c r="IS62" s="392"/>
      <c r="IT62" s="392"/>
      <c r="IU62" s="392"/>
      <c r="IV62" s="392"/>
      <c r="IW62" s="392"/>
      <c r="IX62" s="392"/>
      <c r="IY62" s="392"/>
      <c r="IZ62" s="392"/>
      <c r="JA62" s="392"/>
      <c r="JB62" s="392"/>
      <c r="JC62" s="392"/>
      <c r="JD62" s="392"/>
      <c r="JE62" s="392"/>
      <c r="JF62" s="392"/>
      <c r="JG62" s="392"/>
      <c r="JH62" s="392"/>
      <c r="JI62" s="393">
        <f t="shared" si="0"/>
        <v>0</v>
      </c>
      <c r="JJ62" s="2">
        <v>5985</v>
      </c>
      <c r="JK62" s="392">
        <f t="shared" si="1"/>
        <v>0</v>
      </c>
      <c r="JL62" s="284"/>
      <c r="JM62" s="284"/>
      <c r="JN62" s="284"/>
      <c r="JO62" s="284"/>
      <c r="JP62" s="284"/>
    </row>
    <row r="63" spans="1:276" x14ac:dyDescent="0.3">
      <c r="A63" s="392"/>
      <c r="B63" s="392"/>
      <c r="C63" s="392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2"/>
      <c r="AA63" s="392"/>
      <c r="AB63" s="392"/>
      <c r="AC63" s="392"/>
      <c r="AD63" s="392"/>
      <c r="AE63" s="392"/>
      <c r="AF63" s="392"/>
      <c r="AG63" s="392"/>
      <c r="AH63" s="392"/>
      <c r="AI63" s="392"/>
      <c r="AJ63" s="392"/>
      <c r="AK63" s="392"/>
      <c r="AL63" s="392"/>
      <c r="AM63" s="392"/>
      <c r="AN63" s="392"/>
      <c r="AO63" s="392"/>
      <c r="AP63" s="392"/>
      <c r="AQ63" s="392"/>
      <c r="AR63" s="392"/>
      <c r="AS63" s="392"/>
      <c r="AT63" s="392"/>
      <c r="AU63" s="392"/>
      <c r="AV63" s="392"/>
      <c r="AW63" s="392"/>
      <c r="AX63" s="392"/>
      <c r="AY63" s="392"/>
      <c r="AZ63" s="392"/>
      <c r="BA63" s="392"/>
      <c r="BB63" s="392"/>
      <c r="BC63" s="392"/>
      <c r="BD63" s="392"/>
      <c r="BE63" s="392"/>
      <c r="BF63" s="392"/>
      <c r="BG63" s="392"/>
      <c r="BH63" s="392"/>
      <c r="BI63" s="392"/>
      <c r="BJ63" s="392"/>
      <c r="BK63" s="392"/>
      <c r="BL63" s="392"/>
      <c r="BM63" s="392"/>
      <c r="BN63" s="392"/>
      <c r="BO63" s="392"/>
      <c r="BP63" s="392"/>
      <c r="BQ63" s="392"/>
      <c r="BR63" s="392"/>
      <c r="BS63" s="392"/>
      <c r="BT63" s="392"/>
      <c r="BU63" s="392"/>
      <c r="BV63" s="392"/>
      <c r="BW63" s="392"/>
      <c r="BX63" s="392"/>
      <c r="BY63" s="392"/>
      <c r="BZ63" s="392"/>
      <c r="CA63" s="392"/>
      <c r="CB63" s="392"/>
      <c r="CC63" s="392"/>
      <c r="CD63" s="392"/>
      <c r="CE63" s="392"/>
      <c r="CF63" s="392"/>
      <c r="CG63" s="392"/>
      <c r="CH63" s="392"/>
      <c r="CI63" s="392"/>
      <c r="CJ63" s="392"/>
      <c r="CK63" s="392"/>
      <c r="CL63" s="392"/>
      <c r="CM63" s="392"/>
      <c r="CN63" s="392"/>
      <c r="CO63" s="392"/>
      <c r="CP63" s="392"/>
      <c r="CQ63" s="392"/>
      <c r="CR63" s="392"/>
      <c r="CS63" s="392"/>
      <c r="CT63" s="392"/>
      <c r="CU63" s="392"/>
      <c r="CV63" s="392"/>
      <c r="CW63" s="392"/>
      <c r="CX63" s="392"/>
      <c r="CY63" s="392"/>
      <c r="CZ63" s="392"/>
      <c r="DA63" s="392"/>
      <c r="DB63" s="392"/>
      <c r="DC63" s="392"/>
      <c r="DD63" s="392"/>
      <c r="DE63" s="392"/>
      <c r="DF63" s="392"/>
      <c r="DG63" s="392"/>
      <c r="DH63" s="392"/>
      <c r="DI63" s="392"/>
      <c r="DJ63" s="392"/>
      <c r="DK63" s="392"/>
      <c r="DL63" s="392"/>
      <c r="DM63" s="392"/>
      <c r="DN63" s="392"/>
      <c r="DO63" s="392"/>
      <c r="DP63" s="392"/>
      <c r="DQ63" s="392"/>
      <c r="DR63" s="392"/>
      <c r="DS63" s="392"/>
      <c r="DT63" s="392"/>
      <c r="DU63" s="392"/>
      <c r="DV63" s="392"/>
      <c r="DW63" s="392"/>
      <c r="DX63" s="392"/>
      <c r="DY63" s="392"/>
      <c r="DZ63" s="392"/>
      <c r="EA63" s="392"/>
      <c r="EB63" s="392"/>
      <c r="EC63" s="392"/>
      <c r="ED63" s="392"/>
      <c r="EE63" s="392"/>
      <c r="EF63" s="392"/>
      <c r="EG63" s="392"/>
      <c r="EH63" s="392"/>
      <c r="EI63" s="392"/>
      <c r="EJ63" s="392"/>
      <c r="EK63" s="392"/>
      <c r="EL63" s="392"/>
      <c r="EM63" s="392"/>
      <c r="EN63" s="392"/>
      <c r="EO63" s="392"/>
      <c r="EP63" s="392"/>
      <c r="EQ63" s="392"/>
      <c r="ER63" s="392"/>
      <c r="ES63" s="392"/>
      <c r="ET63" s="392"/>
      <c r="EU63" s="392"/>
      <c r="EV63" s="392"/>
      <c r="EW63" s="392"/>
      <c r="EX63" s="392"/>
      <c r="EY63" s="392"/>
      <c r="EZ63" s="392"/>
      <c r="FA63" s="392"/>
      <c r="FB63" s="392"/>
      <c r="FC63" s="392"/>
      <c r="FD63" s="392"/>
      <c r="FE63" s="392"/>
      <c r="FF63" s="392"/>
      <c r="FG63" s="392"/>
      <c r="FH63" s="392"/>
      <c r="FI63" s="392"/>
      <c r="FJ63" s="392"/>
      <c r="FK63" s="392"/>
      <c r="FL63" s="392"/>
      <c r="FM63" s="392"/>
      <c r="FN63" s="392"/>
      <c r="FO63" s="392"/>
      <c r="FP63" s="392"/>
      <c r="FQ63" s="392"/>
      <c r="FR63" s="392"/>
      <c r="FS63" s="392"/>
      <c r="FT63" s="392"/>
      <c r="FU63" s="392"/>
      <c r="FV63" s="392"/>
      <c r="FW63" s="392"/>
      <c r="FX63" s="392"/>
      <c r="FY63" s="392"/>
      <c r="FZ63" s="392"/>
      <c r="GA63" s="392"/>
      <c r="GB63" s="392"/>
      <c r="GC63" s="392"/>
      <c r="GD63" s="392"/>
      <c r="GE63" s="392"/>
      <c r="GF63" s="392"/>
      <c r="GG63" s="392"/>
      <c r="GH63" s="392"/>
      <c r="GI63" s="392"/>
      <c r="GJ63" s="392"/>
      <c r="GK63" s="392"/>
      <c r="GL63" s="392"/>
      <c r="GM63" s="392"/>
      <c r="GN63" s="392"/>
      <c r="GO63" s="392"/>
      <c r="GP63" s="392"/>
      <c r="GQ63" s="392"/>
      <c r="GR63" s="392"/>
      <c r="GS63" s="392"/>
      <c r="GT63" s="392"/>
      <c r="GU63" s="392"/>
      <c r="GV63" s="392"/>
      <c r="GW63" s="392"/>
      <c r="GX63" s="392"/>
      <c r="GY63" s="392"/>
      <c r="GZ63" s="392"/>
      <c r="HA63" s="392"/>
      <c r="HB63" s="392"/>
      <c r="HC63" s="392"/>
      <c r="HD63" s="392"/>
      <c r="HE63" s="392"/>
      <c r="HF63" s="392"/>
      <c r="HG63" s="392"/>
      <c r="HH63" s="392"/>
      <c r="HI63" s="392"/>
      <c r="HJ63" s="392"/>
      <c r="HK63" s="392"/>
      <c r="HL63" s="392"/>
      <c r="HM63" s="392"/>
      <c r="HN63" s="392"/>
      <c r="HO63" s="392"/>
      <c r="HP63" s="392"/>
      <c r="HQ63" s="392"/>
      <c r="HR63" s="392"/>
      <c r="HS63" s="392"/>
      <c r="HT63" s="392"/>
      <c r="HU63" s="392"/>
      <c r="HV63" s="392"/>
      <c r="HW63" s="392"/>
      <c r="HX63" s="392"/>
      <c r="HY63" s="392"/>
      <c r="HZ63" s="392"/>
      <c r="IA63" s="392"/>
      <c r="IB63" s="392"/>
      <c r="IC63" s="392"/>
      <c r="ID63" s="392"/>
      <c r="IE63" s="392"/>
      <c r="IF63" s="392"/>
      <c r="IG63" s="392"/>
      <c r="IH63" s="392"/>
      <c r="II63" s="392"/>
      <c r="IJ63" s="392"/>
      <c r="IK63" s="392"/>
      <c r="IL63" s="392"/>
      <c r="IM63" s="392"/>
      <c r="IN63" s="392"/>
      <c r="IO63" s="392"/>
      <c r="IP63" s="392"/>
      <c r="IQ63" s="392"/>
      <c r="IR63" s="392"/>
      <c r="IS63" s="392"/>
      <c r="IT63" s="392"/>
      <c r="IU63" s="392"/>
      <c r="IV63" s="392"/>
      <c r="IW63" s="392"/>
      <c r="IX63" s="392"/>
      <c r="IY63" s="392"/>
      <c r="IZ63" s="392"/>
      <c r="JA63" s="392"/>
      <c r="JB63" s="392"/>
      <c r="JC63" s="392"/>
      <c r="JD63" s="392"/>
      <c r="JE63" s="392"/>
      <c r="JF63" s="392"/>
      <c r="JG63" s="392"/>
      <c r="JH63" s="392"/>
      <c r="JI63" s="393">
        <f t="shared" si="0"/>
        <v>0</v>
      </c>
      <c r="JJ63" s="2">
        <v>5989</v>
      </c>
      <c r="JK63" s="392">
        <f t="shared" si="1"/>
        <v>0</v>
      </c>
      <c r="JL63" s="284"/>
      <c r="JM63" s="284"/>
      <c r="JN63" s="284"/>
      <c r="JO63" s="284"/>
      <c r="JP63" s="284"/>
    </row>
    <row r="64" spans="1:276" x14ac:dyDescent="0.3">
      <c r="A64" s="392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392"/>
      <c r="AC64" s="392"/>
      <c r="AD64" s="392"/>
      <c r="AE64" s="392"/>
      <c r="AF64" s="392"/>
      <c r="AG64" s="392"/>
      <c r="AH64" s="392"/>
      <c r="AI64" s="392"/>
      <c r="AJ64" s="392"/>
      <c r="AK64" s="392"/>
      <c r="AL64" s="392"/>
      <c r="AM64" s="392"/>
      <c r="AN64" s="392"/>
      <c r="AO64" s="392"/>
      <c r="AP64" s="392"/>
      <c r="AQ64" s="392"/>
      <c r="AR64" s="392"/>
      <c r="AS64" s="392"/>
      <c r="AT64" s="392"/>
      <c r="AU64" s="392"/>
      <c r="AV64" s="392"/>
      <c r="AW64" s="392"/>
      <c r="AX64" s="392"/>
      <c r="AY64" s="392"/>
      <c r="AZ64" s="392"/>
      <c r="BA64" s="392"/>
      <c r="BB64" s="392"/>
      <c r="BC64" s="392"/>
      <c r="BD64" s="392"/>
      <c r="BE64" s="392"/>
      <c r="BF64" s="392"/>
      <c r="BG64" s="392"/>
      <c r="BH64" s="392"/>
      <c r="BI64" s="392"/>
      <c r="BJ64" s="392"/>
      <c r="BK64" s="392"/>
      <c r="BL64" s="392"/>
      <c r="BM64" s="392"/>
      <c r="BN64" s="392"/>
      <c r="BO64" s="392"/>
      <c r="BP64" s="392"/>
      <c r="BQ64" s="392"/>
      <c r="BR64" s="392"/>
      <c r="BS64" s="392"/>
      <c r="BT64" s="392"/>
      <c r="BU64" s="392"/>
      <c r="BV64" s="392"/>
      <c r="BW64" s="392"/>
      <c r="BX64" s="392"/>
      <c r="BY64" s="392"/>
      <c r="BZ64" s="392"/>
      <c r="CA64" s="392"/>
      <c r="CB64" s="392"/>
      <c r="CC64" s="392"/>
      <c r="CD64" s="392"/>
      <c r="CE64" s="392"/>
      <c r="CF64" s="392"/>
      <c r="CG64" s="392"/>
      <c r="CH64" s="392"/>
      <c r="CI64" s="392"/>
      <c r="CJ64" s="392"/>
      <c r="CK64" s="392"/>
      <c r="CL64" s="392"/>
      <c r="CM64" s="392"/>
      <c r="CN64" s="392"/>
      <c r="CO64" s="392"/>
      <c r="CP64" s="392"/>
      <c r="CQ64" s="392"/>
      <c r="CR64" s="392"/>
      <c r="CS64" s="392"/>
      <c r="CT64" s="392"/>
      <c r="CU64" s="392"/>
      <c r="CV64" s="392"/>
      <c r="CW64" s="392"/>
      <c r="CX64" s="392"/>
      <c r="CY64" s="392"/>
      <c r="CZ64" s="392"/>
      <c r="DA64" s="392"/>
      <c r="DB64" s="392"/>
      <c r="DC64" s="392"/>
      <c r="DD64" s="392"/>
      <c r="DE64" s="392"/>
      <c r="DF64" s="392"/>
      <c r="DG64" s="392"/>
      <c r="DH64" s="392"/>
      <c r="DI64" s="392"/>
      <c r="DJ64" s="392"/>
      <c r="DK64" s="392"/>
      <c r="DL64" s="392"/>
      <c r="DM64" s="392"/>
      <c r="DN64" s="392"/>
      <c r="DO64" s="392"/>
      <c r="DP64" s="392"/>
      <c r="DQ64" s="392"/>
      <c r="DR64" s="392"/>
      <c r="DS64" s="392"/>
      <c r="DT64" s="392"/>
      <c r="DU64" s="392"/>
      <c r="DV64" s="392"/>
      <c r="DW64" s="392"/>
      <c r="DX64" s="392"/>
      <c r="DY64" s="392"/>
      <c r="DZ64" s="392"/>
      <c r="EA64" s="392"/>
      <c r="EB64" s="392"/>
      <c r="EC64" s="392"/>
      <c r="ED64" s="392"/>
      <c r="EE64" s="392"/>
      <c r="EF64" s="392"/>
      <c r="EG64" s="392"/>
      <c r="EH64" s="392"/>
      <c r="EI64" s="392"/>
      <c r="EJ64" s="392"/>
      <c r="EK64" s="392"/>
      <c r="EL64" s="392"/>
      <c r="EM64" s="392"/>
      <c r="EN64" s="392"/>
      <c r="EO64" s="392"/>
      <c r="EP64" s="392"/>
      <c r="EQ64" s="392"/>
      <c r="ER64" s="392"/>
      <c r="ES64" s="392"/>
      <c r="ET64" s="392"/>
      <c r="EU64" s="392"/>
      <c r="EV64" s="392"/>
      <c r="EW64" s="392"/>
      <c r="EX64" s="392"/>
      <c r="EY64" s="392"/>
      <c r="EZ64" s="392"/>
      <c r="FA64" s="392"/>
      <c r="FB64" s="392"/>
      <c r="FC64" s="392"/>
      <c r="FD64" s="392"/>
      <c r="FE64" s="392"/>
      <c r="FF64" s="392"/>
      <c r="FG64" s="392"/>
      <c r="FH64" s="392"/>
      <c r="FI64" s="392"/>
      <c r="FJ64" s="392"/>
      <c r="FK64" s="392"/>
      <c r="FL64" s="392"/>
      <c r="FM64" s="392"/>
      <c r="FN64" s="392"/>
      <c r="FO64" s="392"/>
      <c r="FP64" s="392"/>
      <c r="FQ64" s="392"/>
      <c r="FR64" s="392"/>
      <c r="FS64" s="392"/>
      <c r="FT64" s="392"/>
      <c r="FU64" s="392"/>
      <c r="FV64" s="392"/>
      <c r="FW64" s="392"/>
      <c r="FX64" s="392"/>
      <c r="FY64" s="392"/>
      <c r="FZ64" s="392"/>
      <c r="GA64" s="392"/>
      <c r="GB64" s="392"/>
      <c r="GC64" s="392"/>
      <c r="GD64" s="392"/>
      <c r="GE64" s="392"/>
      <c r="GF64" s="392"/>
      <c r="GG64" s="392"/>
      <c r="GH64" s="392"/>
      <c r="GI64" s="392"/>
      <c r="GJ64" s="392"/>
      <c r="GK64" s="392"/>
      <c r="GL64" s="392"/>
      <c r="GM64" s="392"/>
      <c r="GN64" s="392"/>
      <c r="GO64" s="392"/>
      <c r="GP64" s="392"/>
      <c r="GQ64" s="392"/>
      <c r="GR64" s="392"/>
      <c r="GS64" s="392"/>
      <c r="GT64" s="392"/>
      <c r="GU64" s="392"/>
      <c r="GV64" s="392"/>
      <c r="GW64" s="392"/>
      <c r="GX64" s="392"/>
      <c r="GY64" s="392"/>
      <c r="GZ64" s="392"/>
      <c r="HA64" s="392"/>
      <c r="HB64" s="392"/>
      <c r="HC64" s="392"/>
      <c r="HD64" s="392"/>
      <c r="HE64" s="392"/>
      <c r="HF64" s="392"/>
      <c r="HG64" s="392"/>
      <c r="HH64" s="392"/>
      <c r="HI64" s="392"/>
      <c r="HJ64" s="392"/>
      <c r="HK64" s="392"/>
      <c r="HL64" s="392"/>
      <c r="HM64" s="392"/>
      <c r="HN64" s="392"/>
      <c r="HO64" s="392"/>
      <c r="HP64" s="392"/>
      <c r="HQ64" s="392"/>
      <c r="HR64" s="392"/>
      <c r="HS64" s="392"/>
      <c r="HT64" s="392"/>
      <c r="HU64" s="392"/>
      <c r="HV64" s="392"/>
      <c r="HW64" s="392"/>
      <c r="HX64" s="392"/>
      <c r="HY64" s="392"/>
      <c r="HZ64" s="392"/>
      <c r="IA64" s="392"/>
      <c r="IB64" s="392"/>
      <c r="IC64" s="392"/>
      <c r="ID64" s="392"/>
      <c r="IE64" s="392"/>
      <c r="IF64" s="392"/>
      <c r="IG64" s="392"/>
      <c r="IH64" s="392"/>
      <c r="II64" s="392"/>
      <c r="IJ64" s="392"/>
      <c r="IK64" s="392"/>
      <c r="IL64" s="392"/>
      <c r="IM64" s="392"/>
      <c r="IN64" s="392"/>
      <c r="IO64" s="392"/>
      <c r="IP64" s="392"/>
      <c r="IQ64" s="392"/>
      <c r="IR64" s="392"/>
      <c r="IS64" s="392"/>
      <c r="IT64" s="392"/>
      <c r="IU64" s="392"/>
      <c r="IV64" s="392"/>
      <c r="IW64" s="392"/>
      <c r="IX64" s="392"/>
      <c r="IY64" s="392"/>
      <c r="IZ64" s="392"/>
      <c r="JA64" s="392"/>
      <c r="JB64" s="392"/>
      <c r="JC64" s="392"/>
      <c r="JD64" s="392"/>
      <c r="JE64" s="392"/>
      <c r="JF64" s="392"/>
      <c r="JG64" s="392"/>
      <c r="JH64" s="392"/>
      <c r="JI64" s="393">
        <f t="shared" si="0"/>
        <v>0</v>
      </c>
      <c r="JJ64" s="2">
        <v>5996</v>
      </c>
      <c r="JK64" s="392">
        <f t="shared" si="1"/>
        <v>0</v>
      </c>
      <c r="JL64" s="284"/>
      <c r="JM64" s="284"/>
      <c r="JN64" s="284"/>
      <c r="JO64" s="284"/>
      <c r="JP64" s="284"/>
    </row>
    <row r="65" spans="1:276" x14ac:dyDescent="0.3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92"/>
      <c r="Z65" s="392"/>
      <c r="AA65" s="392"/>
      <c r="AB65" s="392"/>
      <c r="AC65" s="392"/>
      <c r="AD65" s="392"/>
      <c r="AE65" s="392"/>
      <c r="AF65" s="392"/>
      <c r="AG65" s="392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392"/>
      <c r="AV65" s="392"/>
      <c r="AW65" s="392"/>
      <c r="AX65" s="392"/>
      <c r="AY65" s="392"/>
      <c r="AZ65" s="392"/>
      <c r="BA65" s="392"/>
      <c r="BB65" s="392"/>
      <c r="BC65" s="392"/>
      <c r="BD65" s="392"/>
      <c r="BE65" s="392"/>
      <c r="BF65" s="392"/>
      <c r="BG65" s="392"/>
      <c r="BH65" s="392"/>
      <c r="BI65" s="392"/>
      <c r="BJ65" s="392"/>
      <c r="BK65" s="392"/>
      <c r="BL65" s="392"/>
      <c r="BM65" s="392"/>
      <c r="BN65" s="392"/>
      <c r="BO65" s="392"/>
      <c r="BP65" s="392"/>
      <c r="BQ65" s="392"/>
      <c r="BR65" s="392"/>
      <c r="BS65" s="392"/>
      <c r="BT65" s="392"/>
      <c r="BU65" s="392"/>
      <c r="BV65" s="392"/>
      <c r="BW65" s="392"/>
      <c r="BX65" s="392"/>
      <c r="BY65" s="392"/>
      <c r="BZ65" s="392"/>
      <c r="CA65" s="392"/>
      <c r="CB65" s="392"/>
      <c r="CC65" s="392"/>
      <c r="CD65" s="392"/>
      <c r="CE65" s="392"/>
      <c r="CF65" s="392"/>
      <c r="CG65" s="392"/>
      <c r="CH65" s="392"/>
      <c r="CI65" s="392"/>
      <c r="CJ65" s="392"/>
      <c r="CK65" s="392"/>
      <c r="CL65" s="392"/>
      <c r="CM65" s="392"/>
      <c r="CN65" s="392"/>
      <c r="CO65" s="392"/>
      <c r="CP65" s="392"/>
      <c r="CQ65" s="392"/>
      <c r="CR65" s="392"/>
      <c r="CS65" s="392"/>
      <c r="CT65" s="392"/>
      <c r="CU65" s="392"/>
      <c r="CV65" s="392"/>
      <c r="CW65" s="392"/>
      <c r="CX65" s="392"/>
      <c r="CY65" s="392"/>
      <c r="CZ65" s="392"/>
      <c r="DA65" s="392"/>
      <c r="DB65" s="392"/>
      <c r="DC65" s="392"/>
      <c r="DD65" s="392"/>
      <c r="DE65" s="392"/>
      <c r="DF65" s="392"/>
      <c r="DG65" s="392"/>
      <c r="DH65" s="392"/>
      <c r="DI65" s="392"/>
      <c r="DJ65" s="392"/>
      <c r="DK65" s="392"/>
      <c r="DL65" s="392"/>
      <c r="DM65" s="392"/>
      <c r="DN65" s="392"/>
      <c r="DO65" s="392"/>
      <c r="DP65" s="392"/>
      <c r="DQ65" s="392"/>
      <c r="DR65" s="392"/>
      <c r="DS65" s="392"/>
      <c r="DT65" s="392"/>
      <c r="DU65" s="392"/>
      <c r="DV65" s="392"/>
      <c r="DW65" s="392"/>
      <c r="DX65" s="392"/>
      <c r="DY65" s="392"/>
      <c r="DZ65" s="392"/>
      <c r="EA65" s="392"/>
      <c r="EB65" s="392"/>
      <c r="EC65" s="392"/>
      <c r="ED65" s="392"/>
      <c r="EE65" s="392"/>
      <c r="EF65" s="392"/>
      <c r="EG65" s="392"/>
      <c r="EH65" s="392"/>
      <c r="EI65" s="392"/>
      <c r="EJ65" s="392"/>
      <c r="EK65" s="392"/>
      <c r="EL65" s="392"/>
      <c r="EM65" s="392"/>
      <c r="EN65" s="392"/>
      <c r="EO65" s="392"/>
      <c r="EP65" s="392"/>
      <c r="EQ65" s="392"/>
      <c r="ER65" s="392"/>
      <c r="ES65" s="392"/>
      <c r="ET65" s="392"/>
      <c r="EU65" s="392"/>
      <c r="EV65" s="392"/>
      <c r="EW65" s="392"/>
      <c r="EX65" s="392"/>
      <c r="EY65" s="392"/>
      <c r="EZ65" s="392"/>
      <c r="FA65" s="392"/>
      <c r="FB65" s="392"/>
      <c r="FC65" s="392"/>
      <c r="FD65" s="392"/>
      <c r="FE65" s="392"/>
      <c r="FF65" s="392"/>
      <c r="FG65" s="392"/>
      <c r="FH65" s="392"/>
      <c r="FI65" s="392"/>
      <c r="FJ65" s="392"/>
      <c r="FK65" s="392"/>
      <c r="FL65" s="392"/>
      <c r="FM65" s="392"/>
      <c r="FN65" s="392"/>
      <c r="FO65" s="392"/>
      <c r="FP65" s="392"/>
      <c r="FQ65" s="392"/>
      <c r="FR65" s="392"/>
      <c r="FS65" s="392"/>
      <c r="FT65" s="392"/>
      <c r="FU65" s="392"/>
      <c r="FV65" s="392"/>
      <c r="FW65" s="392"/>
      <c r="FX65" s="392"/>
      <c r="FY65" s="392"/>
      <c r="FZ65" s="392"/>
      <c r="GA65" s="392"/>
      <c r="GB65" s="392"/>
      <c r="GC65" s="392"/>
      <c r="GD65" s="392"/>
      <c r="GE65" s="392"/>
      <c r="GF65" s="392"/>
      <c r="GG65" s="392"/>
      <c r="GH65" s="392"/>
      <c r="GI65" s="392"/>
      <c r="GJ65" s="392"/>
      <c r="GK65" s="392"/>
      <c r="GL65" s="392"/>
      <c r="GM65" s="392"/>
      <c r="GN65" s="392"/>
      <c r="GO65" s="392"/>
      <c r="GP65" s="392"/>
      <c r="GQ65" s="392"/>
      <c r="GR65" s="392"/>
      <c r="GS65" s="392"/>
      <c r="GT65" s="392"/>
      <c r="GU65" s="392"/>
      <c r="GV65" s="392"/>
      <c r="GW65" s="392"/>
      <c r="GX65" s="392"/>
      <c r="GY65" s="392"/>
      <c r="GZ65" s="392"/>
      <c r="HA65" s="392"/>
      <c r="HB65" s="392"/>
      <c r="HC65" s="392"/>
      <c r="HD65" s="392"/>
      <c r="HE65" s="392"/>
      <c r="HF65" s="392"/>
      <c r="HG65" s="392"/>
      <c r="HH65" s="392"/>
      <c r="HI65" s="392"/>
      <c r="HJ65" s="392"/>
      <c r="HK65" s="392"/>
      <c r="HL65" s="392"/>
      <c r="HM65" s="392"/>
      <c r="HN65" s="392"/>
      <c r="HO65" s="392"/>
      <c r="HP65" s="392"/>
      <c r="HQ65" s="392"/>
      <c r="HR65" s="392"/>
      <c r="HS65" s="392"/>
      <c r="HT65" s="392"/>
      <c r="HU65" s="392"/>
      <c r="HV65" s="392"/>
      <c r="HW65" s="392"/>
      <c r="HX65" s="392"/>
      <c r="HY65" s="392"/>
      <c r="HZ65" s="392"/>
      <c r="IA65" s="392"/>
      <c r="IB65" s="392"/>
      <c r="IC65" s="392"/>
      <c r="ID65" s="392"/>
      <c r="IE65" s="392"/>
      <c r="IF65" s="392"/>
      <c r="IG65" s="392"/>
      <c r="IH65" s="392"/>
      <c r="II65" s="392"/>
      <c r="IJ65" s="392"/>
      <c r="IK65" s="392"/>
      <c r="IL65" s="392"/>
      <c r="IM65" s="392"/>
      <c r="IN65" s="392"/>
      <c r="IO65" s="392"/>
      <c r="IP65" s="392"/>
      <c r="IQ65" s="392"/>
      <c r="IR65" s="392"/>
      <c r="IS65" s="392"/>
      <c r="IT65" s="392"/>
      <c r="IU65" s="392"/>
      <c r="IV65" s="392"/>
      <c r="IW65" s="392"/>
      <c r="IX65" s="392"/>
      <c r="IY65" s="392"/>
      <c r="IZ65" s="392"/>
      <c r="JA65" s="392"/>
      <c r="JB65" s="392"/>
      <c r="JC65" s="392"/>
      <c r="JD65" s="392"/>
      <c r="JE65" s="392"/>
      <c r="JF65" s="392"/>
      <c r="JG65" s="392"/>
      <c r="JH65" s="392"/>
      <c r="JI65" s="393">
        <f t="shared" si="0"/>
        <v>0</v>
      </c>
      <c r="JJ65" s="2">
        <v>5997</v>
      </c>
      <c r="JK65" s="392">
        <f t="shared" si="1"/>
        <v>0</v>
      </c>
      <c r="JL65" s="284"/>
      <c r="JM65" s="284"/>
      <c r="JN65" s="284"/>
      <c r="JO65" s="284"/>
      <c r="JP65" s="284"/>
    </row>
    <row r="66" spans="1:276" x14ac:dyDescent="0.3">
      <c r="A66" s="392"/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2"/>
      <c r="AA66" s="392"/>
      <c r="AB66" s="392"/>
      <c r="AC66" s="392"/>
      <c r="AD66" s="392"/>
      <c r="AE66" s="392"/>
      <c r="AF66" s="392"/>
      <c r="AG66" s="392"/>
      <c r="AH66" s="392"/>
      <c r="AI66" s="392"/>
      <c r="AJ66" s="392"/>
      <c r="AK66" s="392"/>
      <c r="AL66" s="392"/>
      <c r="AM66" s="392"/>
      <c r="AN66" s="392"/>
      <c r="AO66" s="392"/>
      <c r="AP66" s="392"/>
      <c r="AQ66" s="392"/>
      <c r="AR66" s="392"/>
      <c r="AS66" s="392"/>
      <c r="AT66" s="392"/>
      <c r="AU66" s="392"/>
      <c r="AV66" s="392"/>
      <c r="AW66" s="392"/>
      <c r="AX66" s="392"/>
      <c r="AY66" s="392"/>
      <c r="AZ66" s="392"/>
      <c r="BA66" s="392"/>
      <c r="BB66" s="392"/>
      <c r="BC66" s="392"/>
      <c r="BD66" s="392"/>
      <c r="BE66" s="392"/>
      <c r="BF66" s="392"/>
      <c r="BG66" s="392"/>
      <c r="BH66" s="392"/>
      <c r="BI66" s="392"/>
      <c r="BJ66" s="392"/>
      <c r="BK66" s="392"/>
      <c r="BL66" s="392"/>
      <c r="BM66" s="392"/>
      <c r="BN66" s="392"/>
      <c r="BO66" s="392"/>
      <c r="BP66" s="392"/>
      <c r="BQ66" s="392"/>
      <c r="BR66" s="392"/>
      <c r="BS66" s="392"/>
      <c r="BT66" s="392"/>
      <c r="BU66" s="392"/>
      <c r="BV66" s="392"/>
      <c r="BW66" s="392"/>
      <c r="BX66" s="392"/>
      <c r="BY66" s="392"/>
      <c r="BZ66" s="392"/>
      <c r="CA66" s="392"/>
      <c r="CB66" s="392"/>
      <c r="CC66" s="392"/>
      <c r="CD66" s="392"/>
      <c r="CE66" s="392"/>
      <c r="CF66" s="392"/>
      <c r="CG66" s="392"/>
      <c r="CH66" s="392"/>
      <c r="CI66" s="392"/>
      <c r="CJ66" s="392"/>
      <c r="CK66" s="392"/>
      <c r="CL66" s="392"/>
      <c r="CM66" s="392"/>
      <c r="CN66" s="392"/>
      <c r="CO66" s="392"/>
      <c r="CP66" s="392"/>
      <c r="CQ66" s="392"/>
      <c r="CR66" s="392"/>
      <c r="CS66" s="392"/>
      <c r="CT66" s="392"/>
      <c r="CU66" s="392"/>
      <c r="CV66" s="392"/>
      <c r="CW66" s="392"/>
      <c r="CX66" s="392"/>
      <c r="CY66" s="392"/>
      <c r="CZ66" s="392"/>
      <c r="DA66" s="392"/>
      <c r="DB66" s="392"/>
      <c r="DC66" s="392"/>
      <c r="DD66" s="392"/>
      <c r="DE66" s="392"/>
      <c r="DF66" s="392"/>
      <c r="DG66" s="392"/>
      <c r="DH66" s="392"/>
      <c r="DI66" s="392"/>
      <c r="DJ66" s="392"/>
      <c r="DK66" s="392"/>
      <c r="DL66" s="392"/>
      <c r="DM66" s="392"/>
      <c r="DN66" s="392"/>
      <c r="DO66" s="392"/>
      <c r="DP66" s="392"/>
      <c r="DQ66" s="392"/>
      <c r="DR66" s="392"/>
      <c r="DS66" s="392"/>
      <c r="DT66" s="392"/>
      <c r="DU66" s="392"/>
      <c r="DV66" s="392"/>
      <c r="DW66" s="392"/>
      <c r="DX66" s="392"/>
      <c r="DY66" s="392"/>
      <c r="DZ66" s="392"/>
      <c r="EA66" s="392"/>
      <c r="EB66" s="392"/>
      <c r="EC66" s="392"/>
      <c r="ED66" s="392"/>
      <c r="EE66" s="392"/>
      <c r="EF66" s="392"/>
      <c r="EG66" s="392"/>
      <c r="EH66" s="392"/>
      <c r="EI66" s="392"/>
      <c r="EJ66" s="392"/>
      <c r="EK66" s="392"/>
      <c r="EL66" s="392"/>
      <c r="EM66" s="392"/>
      <c r="EN66" s="392"/>
      <c r="EO66" s="392"/>
      <c r="EP66" s="392"/>
      <c r="EQ66" s="392"/>
      <c r="ER66" s="392"/>
      <c r="ES66" s="392"/>
      <c r="ET66" s="392"/>
      <c r="EU66" s="392"/>
      <c r="EV66" s="392"/>
      <c r="EW66" s="392"/>
      <c r="EX66" s="392"/>
      <c r="EY66" s="392"/>
      <c r="EZ66" s="392"/>
      <c r="FA66" s="392"/>
      <c r="FB66" s="392"/>
      <c r="FC66" s="392"/>
      <c r="FD66" s="392"/>
      <c r="FE66" s="392"/>
      <c r="FF66" s="392"/>
      <c r="FG66" s="392"/>
      <c r="FH66" s="392"/>
      <c r="FI66" s="392"/>
      <c r="FJ66" s="392"/>
      <c r="FK66" s="392"/>
      <c r="FL66" s="392"/>
      <c r="FM66" s="392"/>
      <c r="FN66" s="392"/>
      <c r="FO66" s="392"/>
      <c r="FP66" s="392"/>
      <c r="FQ66" s="392"/>
      <c r="FR66" s="392"/>
      <c r="FS66" s="392"/>
      <c r="FT66" s="392"/>
      <c r="FU66" s="392"/>
      <c r="FV66" s="392"/>
      <c r="FW66" s="392"/>
      <c r="FX66" s="392"/>
      <c r="FY66" s="392"/>
      <c r="FZ66" s="392"/>
      <c r="GA66" s="392"/>
      <c r="GB66" s="392"/>
      <c r="GC66" s="392"/>
      <c r="GD66" s="392"/>
      <c r="GE66" s="392"/>
      <c r="GF66" s="392"/>
      <c r="GG66" s="392"/>
      <c r="GH66" s="392"/>
      <c r="GI66" s="392"/>
      <c r="GJ66" s="392"/>
      <c r="GK66" s="392"/>
      <c r="GL66" s="392"/>
      <c r="GM66" s="392"/>
      <c r="GN66" s="392"/>
      <c r="GO66" s="392"/>
      <c r="GP66" s="392"/>
      <c r="GQ66" s="392"/>
      <c r="GR66" s="392"/>
      <c r="GS66" s="392"/>
      <c r="GT66" s="392"/>
      <c r="GU66" s="392"/>
      <c r="GV66" s="392"/>
      <c r="GW66" s="392"/>
      <c r="GX66" s="392"/>
      <c r="GY66" s="392"/>
      <c r="GZ66" s="392"/>
      <c r="HA66" s="392"/>
      <c r="HB66" s="392"/>
      <c r="HC66" s="392"/>
      <c r="HD66" s="392"/>
      <c r="HE66" s="392"/>
      <c r="HF66" s="392"/>
      <c r="HG66" s="392"/>
      <c r="HH66" s="392"/>
      <c r="HI66" s="392"/>
      <c r="HJ66" s="392"/>
      <c r="HK66" s="392"/>
      <c r="HL66" s="392"/>
      <c r="HM66" s="392"/>
      <c r="HN66" s="392"/>
      <c r="HO66" s="392"/>
      <c r="HP66" s="392"/>
      <c r="HQ66" s="392"/>
      <c r="HR66" s="392"/>
      <c r="HS66" s="392"/>
      <c r="HT66" s="392"/>
      <c r="HU66" s="392"/>
      <c r="HV66" s="392"/>
      <c r="HW66" s="392"/>
      <c r="HX66" s="392"/>
      <c r="HY66" s="392"/>
      <c r="HZ66" s="392"/>
      <c r="IA66" s="392"/>
      <c r="IB66" s="392"/>
      <c r="IC66" s="392"/>
      <c r="ID66" s="392"/>
      <c r="IE66" s="392"/>
      <c r="IF66" s="392"/>
      <c r="IG66" s="392"/>
      <c r="IH66" s="392"/>
      <c r="II66" s="392"/>
      <c r="IJ66" s="392"/>
      <c r="IK66" s="392"/>
      <c r="IL66" s="392"/>
      <c r="IM66" s="392"/>
      <c r="IN66" s="392"/>
      <c r="IO66" s="392"/>
      <c r="IP66" s="392"/>
      <c r="IQ66" s="392"/>
      <c r="IR66" s="392"/>
      <c r="IS66" s="392"/>
      <c r="IT66" s="392"/>
      <c r="IU66" s="392"/>
      <c r="IV66" s="392"/>
      <c r="IW66" s="392"/>
      <c r="IX66" s="392"/>
      <c r="IY66" s="392"/>
      <c r="IZ66" s="392"/>
      <c r="JA66" s="392"/>
      <c r="JB66" s="392"/>
      <c r="JC66" s="392"/>
      <c r="JD66" s="392"/>
      <c r="JE66" s="392"/>
      <c r="JF66" s="392"/>
      <c r="JG66" s="392"/>
      <c r="JH66" s="392"/>
      <c r="JI66" s="393">
        <f t="shared" si="0"/>
        <v>0</v>
      </c>
      <c r="JJ66" s="2">
        <v>6001</v>
      </c>
      <c r="JK66" s="392">
        <f t="shared" si="1"/>
        <v>0</v>
      </c>
      <c r="JL66" s="284"/>
      <c r="JM66" s="284"/>
      <c r="JN66" s="284"/>
      <c r="JO66" s="284"/>
      <c r="JP66" s="284"/>
    </row>
    <row r="67" spans="1:276" x14ac:dyDescent="0.3">
      <c r="A67" s="392"/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92"/>
      <c r="AA67" s="392"/>
      <c r="AB67" s="392"/>
      <c r="AC67" s="392"/>
      <c r="AD67" s="392"/>
      <c r="AE67" s="392"/>
      <c r="AF67" s="392"/>
      <c r="AG67" s="392"/>
      <c r="AH67" s="392"/>
      <c r="AI67" s="392"/>
      <c r="AJ67" s="392"/>
      <c r="AK67" s="392"/>
      <c r="AL67" s="392"/>
      <c r="AM67" s="392"/>
      <c r="AN67" s="392"/>
      <c r="AO67" s="392"/>
      <c r="AP67" s="392"/>
      <c r="AQ67" s="392"/>
      <c r="AR67" s="392"/>
      <c r="AS67" s="392"/>
      <c r="AT67" s="392"/>
      <c r="AU67" s="392"/>
      <c r="AV67" s="392"/>
      <c r="AW67" s="392"/>
      <c r="AX67" s="392"/>
      <c r="AY67" s="392"/>
      <c r="AZ67" s="392"/>
      <c r="BA67" s="392"/>
      <c r="BB67" s="392"/>
      <c r="BC67" s="392"/>
      <c r="BD67" s="392"/>
      <c r="BE67" s="392"/>
      <c r="BF67" s="392"/>
      <c r="BG67" s="392"/>
      <c r="BH67" s="392"/>
      <c r="BI67" s="392"/>
      <c r="BJ67" s="392"/>
      <c r="BK67" s="392"/>
      <c r="BL67" s="392"/>
      <c r="BM67" s="392"/>
      <c r="BN67" s="392"/>
      <c r="BO67" s="392"/>
      <c r="BP67" s="392"/>
      <c r="BQ67" s="392"/>
      <c r="BR67" s="392"/>
      <c r="BS67" s="392"/>
      <c r="BT67" s="392"/>
      <c r="BU67" s="392"/>
      <c r="BV67" s="392"/>
      <c r="BW67" s="392"/>
      <c r="BX67" s="392"/>
      <c r="BY67" s="392"/>
      <c r="BZ67" s="392"/>
      <c r="CA67" s="392"/>
      <c r="CB67" s="392"/>
      <c r="CC67" s="392"/>
      <c r="CD67" s="392"/>
      <c r="CE67" s="392"/>
      <c r="CF67" s="392"/>
      <c r="CG67" s="392"/>
      <c r="CH67" s="392"/>
      <c r="CI67" s="392"/>
      <c r="CJ67" s="392"/>
      <c r="CK67" s="392"/>
      <c r="CL67" s="392"/>
      <c r="CM67" s="392"/>
      <c r="CN67" s="392"/>
      <c r="CO67" s="392"/>
      <c r="CP67" s="392"/>
      <c r="CQ67" s="392"/>
      <c r="CR67" s="392"/>
      <c r="CS67" s="392"/>
      <c r="CT67" s="392"/>
      <c r="CU67" s="392"/>
      <c r="CV67" s="392"/>
      <c r="CW67" s="392"/>
      <c r="CX67" s="392"/>
      <c r="CY67" s="392"/>
      <c r="CZ67" s="392"/>
      <c r="DA67" s="392"/>
      <c r="DB67" s="392"/>
      <c r="DC67" s="392"/>
      <c r="DD67" s="392"/>
      <c r="DE67" s="392"/>
      <c r="DF67" s="392"/>
      <c r="DG67" s="392"/>
      <c r="DH67" s="392"/>
      <c r="DI67" s="392"/>
      <c r="DJ67" s="392"/>
      <c r="DK67" s="392"/>
      <c r="DL67" s="392"/>
      <c r="DM67" s="392"/>
      <c r="DN67" s="392"/>
      <c r="DO67" s="392"/>
      <c r="DP67" s="392"/>
      <c r="DQ67" s="392"/>
      <c r="DR67" s="392"/>
      <c r="DS67" s="392"/>
      <c r="DT67" s="392"/>
      <c r="DU67" s="392"/>
      <c r="DV67" s="392"/>
      <c r="DW67" s="392"/>
      <c r="DX67" s="392"/>
      <c r="DY67" s="392"/>
      <c r="DZ67" s="392"/>
      <c r="EA67" s="392"/>
      <c r="EB67" s="392"/>
      <c r="EC67" s="392"/>
      <c r="ED67" s="392"/>
      <c r="EE67" s="392"/>
      <c r="EF67" s="392"/>
      <c r="EG67" s="392"/>
      <c r="EH67" s="392"/>
      <c r="EI67" s="392"/>
      <c r="EJ67" s="392"/>
      <c r="EK67" s="392"/>
      <c r="EL67" s="392"/>
      <c r="EM67" s="392"/>
      <c r="EN67" s="392"/>
      <c r="EO67" s="392"/>
      <c r="EP67" s="392"/>
      <c r="EQ67" s="392"/>
      <c r="ER67" s="392"/>
      <c r="ES67" s="392"/>
      <c r="ET67" s="392"/>
      <c r="EU67" s="392"/>
      <c r="EV67" s="392"/>
      <c r="EW67" s="392"/>
      <c r="EX67" s="392"/>
      <c r="EY67" s="392"/>
      <c r="EZ67" s="392"/>
      <c r="FA67" s="392"/>
      <c r="FB67" s="392"/>
      <c r="FC67" s="392"/>
      <c r="FD67" s="392"/>
      <c r="FE67" s="392"/>
      <c r="FF67" s="392"/>
      <c r="FG67" s="392"/>
      <c r="FH67" s="392"/>
      <c r="FI67" s="392"/>
      <c r="FJ67" s="392"/>
      <c r="FK67" s="392"/>
      <c r="FL67" s="392"/>
      <c r="FM67" s="392"/>
      <c r="FN67" s="392"/>
      <c r="FO67" s="392"/>
      <c r="FP67" s="392"/>
      <c r="FQ67" s="392"/>
      <c r="FR67" s="392"/>
      <c r="FS67" s="392"/>
      <c r="FT67" s="392"/>
      <c r="FU67" s="392"/>
      <c r="FV67" s="392"/>
      <c r="FW67" s="392"/>
      <c r="FX67" s="392"/>
      <c r="FY67" s="392"/>
      <c r="FZ67" s="392"/>
      <c r="GA67" s="392"/>
      <c r="GB67" s="392"/>
      <c r="GC67" s="392"/>
      <c r="GD67" s="392"/>
      <c r="GE67" s="392"/>
      <c r="GF67" s="392"/>
      <c r="GG67" s="392"/>
      <c r="GH67" s="392"/>
      <c r="GI67" s="392"/>
      <c r="GJ67" s="392"/>
      <c r="GK67" s="392"/>
      <c r="GL67" s="392"/>
      <c r="GM67" s="392"/>
      <c r="GN67" s="392"/>
      <c r="GO67" s="392"/>
      <c r="GP67" s="392"/>
      <c r="GQ67" s="392"/>
      <c r="GR67" s="392"/>
      <c r="GS67" s="392"/>
      <c r="GT67" s="392"/>
      <c r="GU67" s="392"/>
      <c r="GV67" s="392"/>
      <c r="GW67" s="392"/>
      <c r="GX67" s="392"/>
      <c r="GY67" s="392"/>
      <c r="GZ67" s="392"/>
      <c r="HA67" s="392"/>
      <c r="HB67" s="392"/>
      <c r="HC67" s="392"/>
      <c r="HD67" s="392"/>
      <c r="HE67" s="392"/>
      <c r="HF67" s="392"/>
      <c r="HG67" s="392"/>
      <c r="HH67" s="392"/>
      <c r="HI67" s="392"/>
      <c r="HJ67" s="392"/>
      <c r="HK67" s="392"/>
      <c r="HL67" s="392"/>
      <c r="HM67" s="392"/>
      <c r="HN67" s="392"/>
      <c r="HO67" s="392"/>
      <c r="HP67" s="392"/>
      <c r="HQ67" s="392"/>
      <c r="HR67" s="392"/>
      <c r="HS67" s="392"/>
      <c r="HT67" s="392"/>
      <c r="HU67" s="392"/>
      <c r="HV67" s="392"/>
      <c r="HW67" s="392"/>
      <c r="HX67" s="392"/>
      <c r="HY67" s="392"/>
      <c r="HZ67" s="392"/>
      <c r="IA67" s="392"/>
      <c r="IB67" s="392"/>
      <c r="IC67" s="392"/>
      <c r="ID67" s="392"/>
      <c r="IE67" s="392"/>
      <c r="IF67" s="392"/>
      <c r="IG67" s="392"/>
      <c r="IH67" s="392"/>
      <c r="II67" s="392"/>
      <c r="IJ67" s="392"/>
      <c r="IK67" s="392"/>
      <c r="IL67" s="392"/>
      <c r="IM67" s="392"/>
      <c r="IN67" s="392"/>
      <c r="IO67" s="392"/>
      <c r="IP67" s="392"/>
      <c r="IQ67" s="392"/>
      <c r="IR67" s="392"/>
      <c r="IS67" s="392"/>
      <c r="IT67" s="392"/>
      <c r="IU67" s="392"/>
      <c r="IV67" s="392"/>
      <c r="IW67" s="392"/>
      <c r="IX67" s="392"/>
      <c r="IY67" s="392"/>
      <c r="IZ67" s="392"/>
      <c r="JA67" s="392"/>
      <c r="JB67" s="392"/>
      <c r="JC67" s="392"/>
      <c r="JD67" s="392"/>
      <c r="JE67" s="392"/>
      <c r="JF67" s="392"/>
      <c r="JG67" s="392"/>
      <c r="JH67" s="392"/>
      <c r="JI67" s="393">
        <f t="shared" si="0"/>
        <v>0</v>
      </c>
      <c r="JJ67" s="2">
        <v>6005</v>
      </c>
      <c r="JK67" s="392">
        <f t="shared" si="1"/>
        <v>0</v>
      </c>
      <c r="JL67" s="284"/>
      <c r="JM67" s="284"/>
      <c r="JN67" s="284"/>
      <c r="JO67" s="284"/>
      <c r="JP67" s="284"/>
    </row>
    <row r="68" spans="1:276" x14ac:dyDescent="0.3">
      <c r="A68" s="392"/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92"/>
      <c r="AA68" s="392"/>
      <c r="AB68" s="392"/>
      <c r="AC68" s="392"/>
      <c r="AD68" s="392"/>
      <c r="AE68" s="392"/>
      <c r="AF68" s="392"/>
      <c r="AG68" s="392"/>
      <c r="AH68" s="392"/>
      <c r="AI68" s="392"/>
      <c r="AJ68" s="392"/>
      <c r="AK68" s="392"/>
      <c r="AL68" s="392"/>
      <c r="AM68" s="392"/>
      <c r="AN68" s="392"/>
      <c r="AO68" s="392"/>
      <c r="AP68" s="392"/>
      <c r="AQ68" s="392"/>
      <c r="AR68" s="392"/>
      <c r="AS68" s="392"/>
      <c r="AT68" s="392"/>
      <c r="AU68" s="392"/>
      <c r="AV68" s="392"/>
      <c r="AW68" s="392"/>
      <c r="AX68" s="392"/>
      <c r="AY68" s="392"/>
      <c r="AZ68" s="392"/>
      <c r="BA68" s="392"/>
      <c r="BB68" s="392"/>
      <c r="BC68" s="392"/>
      <c r="BD68" s="392"/>
      <c r="BE68" s="392"/>
      <c r="BF68" s="392"/>
      <c r="BG68" s="392"/>
      <c r="BH68" s="392"/>
      <c r="BI68" s="392"/>
      <c r="BJ68" s="392"/>
      <c r="BK68" s="392"/>
      <c r="BL68" s="392"/>
      <c r="BM68" s="392"/>
      <c r="BN68" s="392"/>
      <c r="BO68" s="392"/>
      <c r="BP68" s="392"/>
      <c r="BQ68" s="392"/>
      <c r="BR68" s="392"/>
      <c r="BS68" s="392"/>
      <c r="BT68" s="392"/>
      <c r="BU68" s="392"/>
      <c r="BV68" s="392"/>
      <c r="BW68" s="392"/>
      <c r="BX68" s="392"/>
      <c r="BY68" s="392"/>
      <c r="BZ68" s="392"/>
      <c r="CA68" s="392"/>
      <c r="CB68" s="392"/>
      <c r="CC68" s="392"/>
      <c r="CD68" s="392"/>
      <c r="CE68" s="392"/>
      <c r="CF68" s="392"/>
      <c r="CG68" s="392"/>
      <c r="CH68" s="392"/>
      <c r="CI68" s="392"/>
      <c r="CJ68" s="392"/>
      <c r="CK68" s="392"/>
      <c r="CL68" s="392"/>
      <c r="CM68" s="392"/>
      <c r="CN68" s="392"/>
      <c r="CO68" s="392"/>
      <c r="CP68" s="392"/>
      <c r="CQ68" s="392"/>
      <c r="CR68" s="392"/>
      <c r="CS68" s="392"/>
      <c r="CT68" s="392"/>
      <c r="CU68" s="392"/>
      <c r="CV68" s="392"/>
      <c r="CW68" s="392"/>
      <c r="CX68" s="392"/>
      <c r="CY68" s="392"/>
      <c r="CZ68" s="392"/>
      <c r="DA68" s="392"/>
      <c r="DB68" s="392"/>
      <c r="DC68" s="392"/>
      <c r="DD68" s="392"/>
      <c r="DE68" s="392"/>
      <c r="DF68" s="392"/>
      <c r="DG68" s="392"/>
      <c r="DH68" s="392"/>
      <c r="DI68" s="392"/>
      <c r="DJ68" s="392"/>
      <c r="DK68" s="392"/>
      <c r="DL68" s="392"/>
      <c r="DM68" s="392"/>
      <c r="DN68" s="392"/>
      <c r="DO68" s="392"/>
      <c r="DP68" s="392"/>
      <c r="DQ68" s="392"/>
      <c r="DR68" s="392"/>
      <c r="DS68" s="392"/>
      <c r="DT68" s="392"/>
      <c r="DU68" s="392"/>
      <c r="DV68" s="392"/>
      <c r="DW68" s="392"/>
      <c r="DX68" s="392"/>
      <c r="DY68" s="392"/>
      <c r="DZ68" s="392"/>
      <c r="EA68" s="392"/>
      <c r="EB68" s="392"/>
      <c r="EC68" s="392"/>
      <c r="ED68" s="392"/>
      <c r="EE68" s="392"/>
      <c r="EF68" s="392"/>
      <c r="EG68" s="392"/>
      <c r="EH68" s="392"/>
      <c r="EI68" s="392"/>
      <c r="EJ68" s="392"/>
      <c r="EK68" s="392"/>
      <c r="EL68" s="392"/>
      <c r="EM68" s="392"/>
      <c r="EN68" s="392"/>
      <c r="EO68" s="392"/>
      <c r="EP68" s="392"/>
      <c r="EQ68" s="392"/>
      <c r="ER68" s="392"/>
      <c r="ES68" s="392"/>
      <c r="ET68" s="392"/>
      <c r="EU68" s="392"/>
      <c r="EV68" s="392"/>
      <c r="EW68" s="392"/>
      <c r="EX68" s="392"/>
      <c r="EY68" s="392"/>
      <c r="EZ68" s="392"/>
      <c r="FA68" s="392"/>
      <c r="FB68" s="392"/>
      <c r="FC68" s="392"/>
      <c r="FD68" s="392"/>
      <c r="FE68" s="392"/>
      <c r="FF68" s="392"/>
      <c r="FG68" s="392"/>
      <c r="FH68" s="392"/>
      <c r="FI68" s="392"/>
      <c r="FJ68" s="392"/>
      <c r="FK68" s="392"/>
      <c r="FL68" s="392"/>
      <c r="FM68" s="392"/>
      <c r="FN68" s="392"/>
      <c r="FO68" s="392"/>
      <c r="FP68" s="392"/>
      <c r="FQ68" s="392"/>
      <c r="FR68" s="392"/>
      <c r="FS68" s="392"/>
      <c r="FT68" s="392"/>
      <c r="FU68" s="392"/>
      <c r="FV68" s="392"/>
      <c r="FW68" s="392"/>
      <c r="FX68" s="392"/>
      <c r="FY68" s="392"/>
      <c r="FZ68" s="392"/>
      <c r="GA68" s="392"/>
      <c r="GB68" s="392"/>
      <c r="GC68" s="392"/>
      <c r="GD68" s="392"/>
      <c r="GE68" s="392"/>
      <c r="GF68" s="392"/>
      <c r="GG68" s="392"/>
      <c r="GH68" s="392"/>
      <c r="GI68" s="392"/>
      <c r="GJ68" s="392"/>
      <c r="GK68" s="392"/>
      <c r="GL68" s="392"/>
      <c r="GM68" s="392"/>
      <c r="GN68" s="392"/>
      <c r="GO68" s="392"/>
      <c r="GP68" s="392"/>
      <c r="GQ68" s="392"/>
      <c r="GR68" s="392"/>
      <c r="GS68" s="392"/>
      <c r="GT68" s="392"/>
      <c r="GU68" s="392"/>
      <c r="GV68" s="392"/>
      <c r="GW68" s="392"/>
      <c r="GX68" s="392"/>
      <c r="GY68" s="392"/>
      <c r="GZ68" s="392"/>
      <c r="HA68" s="392"/>
      <c r="HB68" s="392"/>
      <c r="HC68" s="392"/>
      <c r="HD68" s="392"/>
      <c r="HE68" s="392"/>
      <c r="HF68" s="392"/>
      <c r="HG68" s="392"/>
      <c r="HH68" s="392"/>
      <c r="HI68" s="392"/>
      <c r="HJ68" s="392"/>
      <c r="HK68" s="392"/>
      <c r="HL68" s="392"/>
      <c r="HM68" s="392"/>
      <c r="HN68" s="392"/>
      <c r="HO68" s="392"/>
      <c r="HP68" s="392"/>
      <c r="HQ68" s="392"/>
      <c r="HR68" s="392"/>
      <c r="HS68" s="392"/>
      <c r="HT68" s="392"/>
      <c r="HU68" s="392"/>
      <c r="HV68" s="392"/>
      <c r="HW68" s="392"/>
      <c r="HX68" s="392"/>
      <c r="HY68" s="392"/>
      <c r="HZ68" s="392"/>
      <c r="IA68" s="392"/>
      <c r="IB68" s="392"/>
      <c r="IC68" s="392"/>
      <c r="ID68" s="392"/>
      <c r="IE68" s="392"/>
      <c r="IF68" s="392"/>
      <c r="IG68" s="392"/>
      <c r="IH68" s="392"/>
      <c r="II68" s="392"/>
      <c r="IJ68" s="392"/>
      <c r="IK68" s="392"/>
      <c r="IL68" s="392"/>
      <c r="IM68" s="392"/>
      <c r="IN68" s="392"/>
      <c r="IO68" s="392"/>
      <c r="IP68" s="392"/>
      <c r="IQ68" s="392"/>
      <c r="IR68" s="392"/>
      <c r="IS68" s="392"/>
      <c r="IT68" s="392"/>
      <c r="IU68" s="392"/>
      <c r="IV68" s="392"/>
      <c r="IW68" s="392"/>
      <c r="IX68" s="392"/>
      <c r="IY68" s="392"/>
      <c r="IZ68" s="392"/>
      <c r="JA68" s="392"/>
      <c r="JB68" s="392"/>
      <c r="JC68" s="392"/>
      <c r="JD68" s="392"/>
      <c r="JE68" s="392"/>
      <c r="JF68" s="392"/>
      <c r="JG68" s="392"/>
      <c r="JH68" s="392"/>
      <c r="JI68" s="393">
        <f t="shared" si="0"/>
        <v>0</v>
      </c>
      <c r="JJ68" s="2">
        <v>6009</v>
      </c>
      <c r="JK68" s="392">
        <f t="shared" ref="JK68:JK107" si="2">+JI68-JL68</f>
        <v>0</v>
      </c>
      <c r="JL68" s="284"/>
      <c r="JM68" s="284"/>
      <c r="JN68" s="284"/>
      <c r="JO68" s="284"/>
      <c r="JP68" s="284"/>
    </row>
    <row r="69" spans="1:276" x14ac:dyDescent="0.3">
      <c r="A69" s="392"/>
      <c r="B69" s="392"/>
      <c r="C69" s="392"/>
      <c r="D69" s="392"/>
      <c r="E69" s="392"/>
      <c r="F69" s="392"/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392"/>
      <c r="S69" s="392"/>
      <c r="T69" s="392"/>
      <c r="U69" s="392"/>
      <c r="V69" s="392"/>
      <c r="W69" s="392"/>
      <c r="X69" s="392"/>
      <c r="Y69" s="392"/>
      <c r="Z69" s="392"/>
      <c r="AA69" s="392"/>
      <c r="AB69" s="392"/>
      <c r="AC69" s="392"/>
      <c r="AD69" s="392"/>
      <c r="AE69" s="392"/>
      <c r="AF69" s="392"/>
      <c r="AG69" s="392"/>
      <c r="AH69" s="392"/>
      <c r="AI69" s="392"/>
      <c r="AJ69" s="392"/>
      <c r="AK69" s="392"/>
      <c r="AL69" s="392"/>
      <c r="AM69" s="392"/>
      <c r="AN69" s="392"/>
      <c r="AO69" s="392"/>
      <c r="AP69" s="392"/>
      <c r="AQ69" s="392"/>
      <c r="AR69" s="392"/>
      <c r="AS69" s="392"/>
      <c r="AT69" s="392"/>
      <c r="AU69" s="392"/>
      <c r="AV69" s="392"/>
      <c r="AW69" s="392"/>
      <c r="AX69" s="392"/>
      <c r="AY69" s="392"/>
      <c r="AZ69" s="392"/>
      <c r="BA69" s="392"/>
      <c r="BB69" s="392"/>
      <c r="BC69" s="392"/>
      <c r="BD69" s="392"/>
      <c r="BE69" s="392"/>
      <c r="BF69" s="392"/>
      <c r="BG69" s="392"/>
      <c r="BH69" s="392"/>
      <c r="BI69" s="392"/>
      <c r="BJ69" s="392"/>
      <c r="BK69" s="392"/>
      <c r="BL69" s="392"/>
      <c r="BM69" s="392"/>
      <c r="BN69" s="392"/>
      <c r="BO69" s="392"/>
      <c r="BP69" s="392"/>
      <c r="BQ69" s="392"/>
      <c r="BR69" s="392"/>
      <c r="BS69" s="392"/>
      <c r="BT69" s="392"/>
      <c r="BU69" s="392"/>
      <c r="BV69" s="392"/>
      <c r="BW69" s="392"/>
      <c r="BX69" s="392"/>
      <c r="BY69" s="392"/>
      <c r="BZ69" s="392"/>
      <c r="CA69" s="392"/>
      <c r="CB69" s="392"/>
      <c r="CC69" s="392"/>
      <c r="CD69" s="392"/>
      <c r="CE69" s="392"/>
      <c r="CF69" s="392"/>
      <c r="CG69" s="392"/>
      <c r="CH69" s="392"/>
      <c r="CI69" s="392"/>
      <c r="CJ69" s="392"/>
      <c r="CK69" s="392"/>
      <c r="CL69" s="392"/>
      <c r="CM69" s="392"/>
      <c r="CN69" s="392"/>
      <c r="CO69" s="392"/>
      <c r="CP69" s="392"/>
      <c r="CQ69" s="392"/>
      <c r="CR69" s="392"/>
      <c r="CS69" s="392"/>
      <c r="CT69" s="392"/>
      <c r="CU69" s="392"/>
      <c r="CV69" s="392"/>
      <c r="CW69" s="392"/>
      <c r="CX69" s="392"/>
      <c r="CY69" s="392"/>
      <c r="CZ69" s="392"/>
      <c r="DA69" s="392"/>
      <c r="DB69" s="392"/>
      <c r="DC69" s="392"/>
      <c r="DD69" s="392"/>
      <c r="DE69" s="392"/>
      <c r="DF69" s="392"/>
      <c r="DG69" s="392"/>
      <c r="DH69" s="392"/>
      <c r="DI69" s="392"/>
      <c r="DJ69" s="392"/>
      <c r="DK69" s="392"/>
      <c r="DL69" s="392"/>
      <c r="DM69" s="392"/>
      <c r="DN69" s="392"/>
      <c r="DO69" s="392"/>
      <c r="DP69" s="392"/>
      <c r="DQ69" s="392"/>
      <c r="DR69" s="392"/>
      <c r="DS69" s="392"/>
      <c r="DT69" s="392"/>
      <c r="DU69" s="392"/>
      <c r="DV69" s="392"/>
      <c r="DW69" s="392"/>
      <c r="DX69" s="392"/>
      <c r="DY69" s="392"/>
      <c r="DZ69" s="392"/>
      <c r="EA69" s="392"/>
      <c r="EB69" s="392"/>
      <c r="EC69" s="392"/>
      <c r="ED69" s="392"/>
      <c r="EE69" s="392"/>
      <c r="EF69" s="392"/>
      <c r="EG69" s="392"/>
      <c r="EH69" s="392"/>
      <c r="EI69" s="392"/>
      <c r="EJ69" s="392"/>
      <c r="EK69" s="392"/>
      <c r="EL69" s="392"/>
      <c r="EM69" s="392"/>
      <c r="EN69" s="392"/>
      <c r="EO69" s="392"/>
      <c r="EP69" s="392"/>
      <c r="EQ69" s="392"/>
      <c r="ER69" s="392"/>
      <c r="ES69" s="392"/>
      <c r="ET69" s="392"/>
      <c r="EU69" s="392"/>
      <c r="EV69" s="392"/>
      <c r="EW69" s="392"/>
      <c r="EX69" s="392"/>
      <c r="EY69" s="392"/>
      <c r="EZ69" s="392"/>
      <c r="FA69" s="392"/>
      <c r="FB69" s="392"/>
      <c r="FC69" s="392"/>
      <c r="FD69" s="392"/>
      <c r="FE69" s="392"/>
      <c r="FF69" s="392"/>
      <c r="FG69" s="392"/>
      <c r="FH69" s="392"/>
      <c r="FI69" s="392"/>
      <c r="FJ69" s="392"/>
      <c r="FK69" s="392"/>
      <c r="FL69" s="392"/>
      <c r="FM69" s="392"/>
      <c r="FN69" s="392"/>
      <c r="FO69" s="392"/>
      <c r="FP69" s="392"/>
      <c r="FQ69" s="392"/>
      <c r="FR69" s="392"/>
      <c r="FS69" s="392"/>
      <c r="FT69" s="392"/>
      <c r="FU69" s="392"/>
      <c r="FV69" s="392"/>
      <c r="FW69" s="392"/>
      <c r="FX69" s="392"/>
      <c r="FY69" s="392"/>
      <c r="FZ69" s="392"/>
      <c r="GA69" s="392"/>
      <c r="GB69" s="392"/>
      <c r="GC69" s="392"/>
      <c r="GD69" s="392"/>
      <c r="GE69" s="392"/>
      <c r="GF69" s="392"/>
      <c r="GG69" s="392"/>
      <c r="GH69" s="392"/>
      <c r="GI69" s="392"/>
      <c r="GJ69" s="392"/>
      <c r="GK69" s="392"/>
      <c r="GL69" s="392"/>
      <c r="GM69" s="392"/>
      <c r="GN69" s="392"/>
      <c r="GO69" s="392"/>
      <c r="GP69" s="392"/>
      <c r="GQ69" s="392"/>
      <c r="GR69" s="392"/>
      <c r="GS69" s="392"/>
      <c r="GT69" s="392"/>
      <c r="GU69" s="392"/>
      <c r="GV69" s="392"/>
      <c r="GW69" s="392"/>
      <c r="GX69" s="392"/>
      <c r="GY69" s="392"/>
      <c r="GZ69" s="392"/>
      <c r="HA69" s="392"/>
      <c r="HB69" s="392"/>
      <c r="HC69" s="392"/>
      <c r="HD69" s="392"/>
      <c r="HE69" s="392"/>
      <c r="HF69" s="392"/>
      <c r="HG69" s="392"/>
      <c r="HH69" s="392"/>
      <c r="HI69" s="392"/>
      <c r="HJ69" s="392"/>
      <c r="HK69" s="392"/>
      <c r="HL69" s="392"/>
      <c r="HM69" s="392"/>
      <c r="HN69" s="392"/>
      <c r="HO69" s="392"/>
      <c r="HP69" s="392"/>
      <c r="HQ69" s="392"/>
      <c r="HR69" s="392"/>
      <c r="HS69" s="392"/>
      <c r="HT69" s="392"/>
      <c r="HU69" s="392"/>
      <c r="HV69" s="392"/>
      <c r="HW69" s="392"/>
      <c r="HX69" s="392"/>
      <c r="HY69" s="392"/>
      <c r="HZ69" s="392"/>
      <c r="IA69" s="392"/>
      <c r="IB69" s="392"/>
      <c r="IC69" s="392"/>
      <c r="ID69" s="392"/>
      <c r="IE69" s="392"/>
      <c r="IF69" s="392"/>
      <c r="IG69" s="392"/>
      <c r="IH69" s="392"/>
      <c r="II69" s="392"/>
      <c r="IJ69" s="392"/>
      <c r="IK69" s="392"/>
      <c r="IL69" s="392"/>
      <c r="IM69" s="392"/>
      <c r="IN69" s="392"/>
      <c r="IO69" s="392"/>
      <c r="IP69" s="392"/>
      <c r="IQ69" s="392"/>
      <c r="IR69" s="392"/>
      <c r="IS69" s="392"/>
      <c r="IT69" s="392"/>
      <c r="IU69" s="392"/>
      <c r="IV69" s="392"/>
      <c r="IW69" s="392"/>
      <c r="IX69" s="392"/>
      <c r="IY69" s="392"/>
      <c r="IZ69" s="392"/>
      <c r="JA69" s="392"/>
      <c r="JB69" s="392"/>
      <c r="JC69" s="392"/>
      <c r="JD69" s="392"/>
      <c r="JE69" s="392"/>
      <c r="JF69" s="392"/>
      <c r="JG69" s="392"/>
      <c r="JH69" s="392"/>
      <c r="JI69" s="393">
        <f t="shared" si="0"/>
        <v>0</v>
      </c>
      <c r="JJ69" s="2">
        <v>6013</v>
      </c>
      <c r="JK69" s="392">
        <f t="shared" si="2"/>
        <v>0</v>
      </c>
      <c r="JL69" s="284"/>
      <c r="JM69" s="284"/>
      <c r="JN69" s="284"/>
      <c r="JO69" s="284"/>
      <c r="JP69" s="284"/>
    </row>
    <row r="70" spans="1:276" x14ac:dyDescent="0.3">
      <c r="A70" s="392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392"/>
      <c r="S70" s="392"/>
      <c r="T70" s="392"/>
      <c r="U70" s="392"/>
      <c r="V70" s="392"/>
      <c r="W70" s="392"/>
      <c r="X70" s="392"/>
      <c r="Y70" s="392"/>
      <c r="Z70" s="392"/>
      <c r="AA70" s="392"/>
      <c r="AB70" s="392"/>
      <c r="AC70" s="392"/>
      <c r="AD70" s="392"/>
      <c r="AE70" s="392"/>
      <c r="AF70" s="392"/>
      <c r="AG70" s="392"/>
      <c r="AH70" s="392"/>
      <c r="AI70" s="392"/>
      <c r="AJ70" s="392"/>
      <c r="AK70" s="392"/>
      <c r="AL70" s="392"/>
      <c r="AM70" s="392"/>
      <c r="AN70" s="392"/>
      <c r="AO70" s="392"/>
      <c r="AP70" s="392"/>
      <c r="AQ70" s="392"/>
      <c r="AR70" s="392"/>
      <c r="AS70" s="392"/>
      <c r="AT70" s="392"/>
      <c r="AU70" s="392"/>
      <c r="AV70" s="392"/>
      <c r="AW70" s="392"/>
      <c r="AX70" s="392"/>
      <c r="AY70" s="392"/>
      <c r="AZ70" s="392"/>
      <c r="BA70" s="392"/>
      <c r="BB70" s="392"/>
      <c r="BC70" s="392"/>
      <c r="BD70" s="392"/>
      <c r="BE70" s="392"/>
      <c r="BF70" s="392"/>
      <c r="BG70" s="392"/>
      <c r="BH70" s="392"/>
      <c r="BI70" s="392"/>
      <c r="BJ70" s="392"/>
      <c r="BK70" s="392"/>
      <c r="BL70" s="392"/>
      <c r="BM70" s="392"/>
      <c r="BN70" s="392"/>
      <c r="BO70" s="392"/>
      <c r="BP70" s="392"/>
      <c r="BQ70" s="392"/>
      <c r="BR70" s="392"/>
      <c r="BS70" s="392"/>
      <c r="BT70" s="392"/>
      <c r="BU70" s="392"/>
      <c r="BV70" s="392"/>
      <c r="BW70" s="392"/>
      <c r="BX70" s="392"/>
      <c r="BY70" s="392"/>
      <c r="BZ70" s="392"/>
      <c r="CA70" s="392"/>
      <c r="CB70" s="392"/>
      <c r="CC70" s="392"/>
      <c r="CD70" s="392"/>
      <c r="CE70" s="392"/>
      <c r="CF70" s="392"/>
      <c r="CG70" s="392"/>
      <c r="CH70" s="392"/>
      <c r="CI70" s="392"/>
      <c r="CJ70" s="392"/>
      <c r="CK70" s="392"/>
      <c r="CL70" s="392"/>
      <c r="CM70" s="392"/>
      <c r="CN70" s="392"/>
      <c r="CO70" s="392"/>
      <c r="CP70" s="392"/>
      <c r="CQ70" s="392"/>
      <c r="CR70" s="392"/>
      <c r="CS70" s="392"/>
      <c r="CT70" s="392"/>
      <c r="CU70" s="392"/>
      <c r="CV70" s="392"/>
      <c r="CW70" s="392"/>
      <c r="CX70" s="392"/>
      <c r="CY70" s="392"/>
      <c r="CZ70" s="392"/>
      <c r="DA70" s="392"/>
      <c r="DB70" s="392"/>
      <c r="DC70" s="392"/>
      <c r="DD70" s="392"/>
      <c r="DE70" s="392"/>
      <c r="DF70" s="392"/>
      <c r="DG70" s="392"/>
      <c r="DH70" s="392"/>
      <c r="DI70" s="392"/>
      <c r="DJ70" s="392"/>
      <c r="DK70" s="392"/>
      <c r="DL70" s="392"/>
      <c r="DM70" s="392"/>
      <c r="DN70" s="392"/>
      <c r="DO70" s="392"/>
      <c r="DP70" s="392"/>
      <c r="DQ70" s="392"/>
      <c r="DR70" s="392"/>
      <c r="DS70" s="392"/>
      <c r="DT70" s="392"/>
      <c r="DU70" s="392"/>
      <c r="DV70" s="392"/>
      <c r="DW70" s="392"/>
      <c r="DX70" s="392"/>
      <c r="DY70" s="392"/>
      <c r="DZ70" s="392"/>
      <c r="EA70" s="392"/>
      <c r="EB70" s="392"/>
      <c r="EC70" s="392"/>
      <c r="ED70" s="392"/>
      <c r="EE70" s="392"/>
      <c r="EF70" s="392"/>
      <c r="EG70" s="392"/>
      <c r="EH70" s="392"/>
      <c r="EI70" s="392"/>
      <c r="EJ70" s="392"/>
      <c r="EK70" s="392"/>
      <c r="EL70" s="392"/>
      <c r="EM70" s="392"/>
      <c r="EN70" s="392"/>
      <c r="EO70" s="392"/>
      <c r="EP70" s="392"/>
      <c r="EQ70" s="392"/>
      <c r="ER70" s="392"/>
      <c r="ES70" s="392"/>
      <c r="ET70" s="392"/>
      <c r="EU70" s="392"/>
      <c r="EV70" s="392"/>
      <c r="EW70" s="392"/>
      <c r="EX70" s="392"/>
      <c r="EY70" s="392"/>
      <c r="EZ70" s="392"/>
      <c r="FA70" s="392"/>
      <c r="FB70" s="392"/>
      <c r="FC70" s="392"/>
      <c r="FD70" s="392"/>
      <c r="FE70" s="392"/>
      <c r="FF70" s="392"/>
      <c r="FG70" s="392"/>
      <c r="FH70" s="392"/>
      <c r="FI70" s="392"/>
      <c r="FJ70" s="392"/>
      <c r="FK70" s="392"/>
      <c r="FL70" s="392"/>
      <c r="FM70" s="392"/>
      <c r="FN70" s="392"/>
      <c r="FO70" s="392"/>
      <c r="FP70" s="392"/>
      <c r="FQ70" s="392"/>
      <c r="FR70" s="392"/>
      <c r="FS70" s="392"/>
      <c r="FT70" s="392"/>
      <c r="FU70" s="392"/>
      <c r="FV70" s="392"/>
      <c r="FW70" s="392"/>
      <c r="FX70" s="392"/>
      <c r="FY70" s="392"/>
      <c r="FZ70" s="392"/>
      <c r="GA70" s="392"/>
      <c r="GB70" s="392"/>
      <c r="GC70" s="392"/>
      <c r="GD70" s="392"/>
      <c r="GE70" s="392"/>
      <c r="GF70" s="392"/>
      <c r="GG70" s="392"/>
      <c r="GH70" s="392"/>
      <c r="GI70" s="392"/>
      <c r="GJ70" s="392"/>
      <c r="GK70" s="392"/>
      <c r="GL70" s="392"/>
      <c r="GM70" s="392"/>
      <c r="GN70" s="392"/>
      <c r="GO70" s="392"/>
      <c r="GP70" s="392"/>
      <c r="GQ70" s="392"/>
      <c r="GR70" s="392"/>
      <c r="GS70" s="392"/>
      <c r="GT70" s="392"/>
      <c r="GU70" s="392"/>
      <c r="GV70" s="392"/>
      <c r="GW70" s="392"/>
      <c r="GX70" s="392"/>
      <c r="GY70" s="392"/>
      <c r="GZ70" s="392"/>
      <c r="HA70" s="392"/>
      <c r="HB70" s="392"/>
      <c r="HC70" s="392"/>
      <c r="HD70" s="392"/>
      <c r="HE70" s="392"/>
      <c r="HF70" s="392"/>
      <c r="HG70" s="392"/>
      <c r="HH70" s="392"/>
      <c r="HI70" s="392"/>
      <c r="HJ70" s="392"/>
      <c r="HK70" s="392"/>
      <c r="HL70" s="392"/>
      <c r="HM70" s="392"/>
      <c r="HN70" s="392"/>
      <c r="HO70" s="392"/>
      <c r="HP70" s="392"/>
      <c r="HQ70" s="392"/>
      <c r="HR70" s="392"/>
      <c r="HS70" s="392"/>
      <c r="HT70" s="392"/>
      <c r="HU70" s="392"/>
      <c r="HV70" s="392"/>
      <c r="HW70" s="392"/>
      <c r="HX70" s="392"/>
      <c r="HY70" s="392"/>
      <c r="HZ70" s="392"/>
      <c r="IA70" s="392"/>
      <c r="IB70" s="392"/>
      <c r="IC70" s="392"/>
      <c r="ID70" s="392"/>
      <c r="IE70" s="392"/>
      <c r="IF70" s="392"/>
      <c r="IG70" s="392"/>
      <c r="IH70" s="392"/>
      <c r="II70" s="392"/>
      <c r="IJ70" s="392"/>
      <c r="IK70" s="392"/>
      <c r="IL70" s="392"/>
      <c r="IM70" s="392"/>
      <c r="IN70" s="392"/>
      <c r="IO70" s="392"/>
      <c r="IP70" s="392"/>
      <c r="IQ70" s="392"/>
      <c r="IR70" s="392"/>
      <c r="IS70" s="392"/>
      <c r="IT70" s="392"/>
      <c r="IU70" s="392"/>
      <c r="IV70" s="392"/>
      <c r="IW70" s="392"/>
      <c r="IX70" s="392"/>
      <c r="IY70" s="392"/>
      <c r="IZ70" s="392"/>
      <c r="JA70" s="392"/>
      <c r="JB70" s="392"/>
      <c r="JC70" s="392"/>
      <c r="JD70" s="392"/>
      <c r="JE70" s="392"/>
      <c r="JF70" s="392"/>
      <c r="JG70" s="392"/>
      <c r="JH70" s="392"/>
      <c r="JI70" s="393">
        <f t="shared" ref="JI70:JI127" si="3">SUM(A70:JH70)</f>
        <v>0</v>
      </c>
      <c r="JJ70" s="2">
        <v>6017</v>
      </c>
      <c r="JK70" s="392">
        <f t="shared" si="2"/>
        <v>0</v>
      </c>
      <c r="JL70" s="284"/>
      <c r="JM70" s="284"/>
      <c r="JN70" s="284"/>
      <c r="JO70" s="284"/>
      <c r="JP70" s="284"/>
    </row>
    <row r="71" spans="1:276" x14ac:dyDescent="0.3">
      <c r="A71" s="392"/>
      <c r="B71" s="392"/>
      <c r="C71" s="392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2"/>
      <c r="P71" s="392"/>
      <c r="Q71" s="392"/>
      <c r="R71" s="392"/>
      <c r="S71" s="392"/>
      <c r="T71" s="392"/>
      <c r="U71" s="392"/>
      <c r="V71" s="392"/>
      <c r="W71" s="392"/>
      <c r="X71" s="392"/>
      <c r="Y71" s="392"/>
      <c r="Z71" s="392"/>
      <c r="AA71" s="392"/>
      <c r="AB71" s="392"/>
      <c r="AC71" s="392"/>
      <c r="AD71" s="392"/>
      <c r="AE71" s="392"/>
      <c r="AF71" s="392"/>
      <c r="AG71" s="392"/>
      <c r="AH71" s="392"/>
      <c r="AI71" s="392"/>
      <c r="AJ71" s="392"/>
      <c r="AK71" s="392"/>
      <c r="AL71" s="392"/>
      <c r="AM71" s="392"/>
      <c r="AN71" s="392"/>
      <c r="AO71" s="392"/>
      <c r="AP71" s="392"/>
      <c r="AQ71" s="392"/>
      <c r="AR71" s="392"/>
      <c r="AS71" s="392"/>
      <c r="AT71" s="392"/>
      <c r="AU71" s="392"/>
      <c r="AV71" s="392"/>
      <c r="AW71" s="392"/>
      <c r="AX71" s="392"/>
      <c r="AY71" s="392"/>
      <c r="AZ71" s="392"/>
      <c r="BA71" s="392"/>
      <c r="BB71" s="392"/>
      <c r="BC71" s="392"/>
      <c r="BD71" s="392"/>
      <c r="BE71" s="392"/>
      <c r="BF71" s="392"/>
      <c r="BG71" s="392"/>
      <c r="BH71" s="392"/>
      <c r="BI71" s="392"/>
      <c r="BJ71" s="392"/>
      <c r="BK71" s="392"/>
      <c r="BL71" s="392"/>
      <c r="BM71" s="392"/>
      <c r="BN71" s="392"/>
      <c r="BO71" s="392"/>
      <c r="BP71" s="392"/>
      <c r="BQ71" s="392"/>
      <c r="BR71" s="392"/>
      <c r="BS71" s="392"/>
      <c r="BT71" s="392"/>
      <c r="BU71" s="392"/>
      <c r="BV71" s="392"/>
      <c r="BW71" s="392"/>
      <c r="BX71" s="392"/>
      <c r="BY71" s="392"/>
      <c r="BZ71" s="392"/>
      <c r="CA71" s="392"/>
      <c r="CB71" s="392"/>
      <c r="CC71" s="392"/>
      <c r="CD71" s="392"/>
      <c r="CE71" s="392"/>
      <c r="CF71" s="392"/>
      <c r="CG71" s="392"/>
      <c r="CH71" s="392"/>
      <c r="CI71" s="392"/>
      <c r="CJ71" s="392"/>
      <c r="CK71" s="392"/>
      <c r="CL71" s="392"/>
      <c r="CM71" s="392"/>
      <c r="CN71" s="392"/>
      <c r="CO71" s="392"/>
      <c r="CP71" s="392"/>
      <c r="CQ71" s="392"/>
      <c r="CR71" s="392"/>
      <c r="CS71" s="392"/>
      <c r="CT71" s="392"/>
      <c r="CU71" s="392"/>
      <c r="CV71" s="392"/>
      <c r="CW71" s="392"/>
      <c r="CX71" s="392"/>
      <c r="CY71" s="392"/>
      <c r="CZ71" s="392"/>
      <c r="DA71" s="392"/>
      <c r="DB71" s="392"/>
      <c r="DC71" s="392"/>
      <c r="DD71" s="392"/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  <c r="DQ71" s="392"/>
      <c r="DR71" s="392"/>
      <c r="DS71" s="392"/>
      <c r="DT71" s="392"/>
      <c r="DU71" s="392"/>
      <c r="DV71" s="392"/>
      <c r="DW71" s="392"/>
      <c r="DX71" s="392"/>
      <c r="DY71" s="392"/>
      <c r="DZ71" s="392"/>
      <c r="EA71" s="392"/>
      <c r="EB71" s="392"/>
      <c r="EC71" s="392"/>
      <c r="ED71" s="392"/>
      <c r="EE71" s="392"/>
      <c r="EF71" s="392"/>
      <c r="EG71" s="392"/>
      <c r="EH71" s="392"/>
      <c r="EI71" s="392"/>
      <c r="EJ71" s="392"/>
      <c r="EK71" s="392"/>
      <c r="EL71" s="392"/>
      <c r="EM71" s="392"/>
      <c r="EN71" s="392"/>
      <c r="EO71" s="392"/>
      <c r="EP71" s="392"/>
      <c r="EQ71" s="392"/>
      <c r="ER71" s="392"/>
      <c r="ES71" s="392"/>
      <c r="ET71" s="392"/>
      <c r="EU71" s="392"/>
      <c r="EV71" s="392"/>
      <c r="EW71" s="392"/>
      <c r="EX71" s="392"/>
      <c r="EY71" s="392"/>
      <c r="EZ71" s="392"/>
      <c r="FA71" s="392"/>
      <c r="FB71" s="392"/>
      <c r="FC71" s="392"/>
      <c r="FD71" s="392"/>
      <c r="FE71" s="392"/>
      <c r="FF71" s="392"/>
      <c r="FG71" s="392"/>
      <c r="FH71" s="392"/>
      <c r="FI71" s="392"/>
      <c r="FJ71" s="392"/>
      <c r="FK71" s="392"/>
      <c r="FL71" s="392"/>
      <c r="FM71" s="392"/>
      <c r="FN71" s="392"/>
      <c r="FO71" s="392"/>
      <c r="FP71" s="392"/>
      <c r="FQ71" s="392"/>
      <c r="FR71" s="392"/>
      <c r="FS71" s="392"/>
      <c r="FT71" s="392"/>
      <c r="FU71" s="392"/>
      <c r="FV71" s="392"/>
      <c r="FW71" s="392"/>
      <c r="FX71" s="392"/>
      <c r="FY71" s="392"/>
      <c r="FZ71" s="392"/>
      <c r="GA71" s="392"/>
      <c r="GB71" s="392"/>
      <c r="GC71" s="392"/>
      <c r="GD71" s="392"/>
      <c r="GE71" s="392"/>
      <c r="GF71" s="392"/>
      <c r="GG71" s="392"/>
      <c r="GH71" s="392"/>
      <c r="GI71" s="392"/>
      <c r="GJ71" s="392"/>
      <c r="GK71" s="392"/>
      <c r="GL71" s="392"/>
      <c r="GM71" s="392"/>
      <c r="GN71" s="392"/>
      <c r="GO71" s="392"/>
      <c r="GP71" s="392"/>
      <c r="GQ71" s="392"/>
      <c r="GR71" s="392"/>
      <c r="GS71" s="392"/>
      <c r="GT71" s="392"/>
      <c r="GU71" s="392"/>
      <c r="GV71" s="392"/>
      <c r="GW71" s="392"/>
      <c r="GX71" s="392"/>
      <c r="GY71" s="392"/>
      <c r="GZ71" s="392"/>
      <c r="HA71" s="392"/>
      <c r="HB71" s="392"/>
      <c r="HC71" s="392"/>
      <c r="HD71" s="392"/>
      <c r="HE71" s="392"/>
      <c r="HF71" s="392"/>
      <c r="HG71" s="392"/>
      <c r="HH71" s="392"/>
      <c r="HI71" s="392"/>
      <c r="HJ71" s="392"/>
      <c r="HK71" s="392"/>
      <c r="HL71" s="392"/>
      <c r="HM71" s="392"/>
      <c r="HN71" s="392"/>
      <c r="HO71" s="392"/>
      <c r="HP71" s="392"/>
      <c r="HQ71" s="392"/>
      <c r="HR71" s="392"/>
      <c r="HS71" s="392"/>
      <c r="HT71" s="392"/>
      <c r="HU71" s="392"/>
      <c r="HV71" s="392"/>
      <c r="HW71" s="392"/>
      <c r="HX71" s="392"/>
      <c r="HY71" s="392"/>
      <c r="HZ71" s="392"/>
      <c r="IA71" s="392"/>
      <c r="IB71" s="392"/>
      <c r="IC71" s="392"/>
      <c r="ID71" s="392"/>
      <c r="IE71" s="392"/>
      <c r="IF71" s="392"/>
      <c r="IG71" s="392"/>
      <c r="IH71" s="392"/>
      <c r="II71" s="392"/>
      <c r="IJ71" s="392"/>
      <c r="IK71" s="392"/>
      <c r="IL71" s="392"/>
      <c r="IM71" s="392"/>
      <c r="IN71" s="392"/>
      <c r="IO71" s="392"/>
      <c r="IP71" s="392"/>
      <c r="IQ71" s="392"/>
      <c r="IR71" s="392"/>
      <c r="IS71" s="392"/>
      <c r="IT71" s="392"/>
      <c r="IU71" s="392"/>
      <c r="IV71" s="392"/>
      <c r="IW71" s="392"/>
      <c r="IX71" s="392"/>
      <c r="IY71" s="392"/>
      <c r="IZ71" s="392"/>
      <c r="JA71" s="392"/>
      <c r="JB71" s="392"/>
      <c r="JC71" s="392"/>
      <c r="JD71" s="392"/>
      <c r="JE71" s="392"/>
      <c r="JF71" s="392"/>
      <c r="JG71" s="392"/>
      <c r="JH71" s="392"/>
      <c r="JI71" s="393">
        <f t="shared" si="3"/>
        <v>0</v>
      </c>
      <c r="JJ71" s="2">
        <v>6021</v>
      </c>
      <c r="JK71" s="392">
        <f t="shared" si="2"/>
        <v>0</v>
      </c>
      <c r="JL71" s="284"/>
      <c r="JM71" s="284"/>
      <c r="JN71" s="284"/>
      <c r="JO71" s="284"/>
      <c r="JP71" s="284"/>
    </row>
    <row r="72" spans="1:276" x14ac:dyDescent="0.3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  <c r="O72" s="392"/>
      <c r="P72" s="392"/>
      <c r="Q72" s="392"/>
      <c r="R72" s="392"/>
      <c r="S72" s="392"/>
      <c r="T72" s="392"/>
      <c r="U72" s="392"/>
      <c r="V72" s="392"/>
      <c r="W72" s="392"/>
      <c r="X72" s="392"/>
      <c r="Y72" s="392"/>
      <c r="Z72" s="392"/>
      <c r="AA72" s="392"/>
      <c r="AB72" s="392"/>
      <c r="AC72" s="392"/>
      <c r="AD72" s="392"/>
      <c r="AE72" s="392"/>
      <c r="AF72" s="392"/>
      <c r="AG72" s="392"/>
      <c r="AH72" s="392"/>
      <c r="AI72" s="392"/>
      <c r="AJ72" s="392"/>
      <c r="AK72" s="392"/>
      <c r="AL72" s="392"/>
      <c r="AM72" s="392"/>
      <c r="AN72" s="392"/>
      <c r="AO72" s="392"/>
      <c r="AP72" s="392"/>
      <c r="AQ72" s="392"/>
      <c r="AR72" s="392"/>
      <c r="AS72" s="392"/>
      <c r="AT72" s="392"/>
      <c r="AU72" s="392"/>
      <c r="AV72" s="392"/>
      <c r="AW72" s="392"/>
      <c r="AX72" s="392"/>
      <c r="AY72" s="392"/>
      <c r="AZ72" s="392"/>
      <c r="BA72" s="392"/>
      <c r="BB72" s="392"/>
      <c r="BC72" s="392"/>
      <c r="BD72" s="392"/>
      <c r="BE72" s="392"/>
      <c r="BF72" s="392"/>
      <c r="BG72" s="392"/>
      <c r="BH72" s="392"/>
      <c r="BI72" s="392"/>
      <c r="BJ72" s="392"/>
      <c r="BK72" s="392"/>
      <c r="BL72" s="392"/>
      <c r="BM72" s="392"/>
      <c r="BN72" s="392"/>
      <c r="BO72" s="392"/>
      <c r="BP72" s="392"/>
      <c r="BQ72" s="392"/>
      <c r="BR72" s="392"/>
      <c r="BS72" s="392"/>
      <c r="BT72" s="392"/>
      <c r="BU72" s="392"/>
      <c r="BV72" s="392"/>
      <c r="BW72" s="392"/>
      <c r="BX72" s="392"/>
      <c r="BY72" s="392"/>
      <c r="BZ72" s="392"/>
      <c r="CA72" s="392"/>
      <c r="CB72" s="392"/>
      <c r="CC72" s="392"/>
      <c r="CD72" s="392"/>
      <c r="CE72" s="392"/>
      <c r="CF72" s="392"/>
      <c r="CG72" s="392"/>
      <c r="CH72" s="392"/>
      <c r="CI72" s="392"/>
      <c r="CJ72" s="392"/>
      <c r="CK72" s="392"/>
      <c r="CL72" s="392"/>
      <c r="CM72" s="392"/>
      <c r="CN72" s="392"/>
      <c r="CO72" s="392"/>
      <c r="CP72" s="392"/>
      <c r="CQ72" s="392"/>
      <c r="CR72" s="392"/>
      <c r="CS72" s="392"/>
      <c r="CT72" s="392"/>
      <c r="CU72" s="392"/>
      <c r="CV72" s="392"/>
      <c r="CW72" s="392"/>
      <c r="CX72" s="392"/>
      <c r="CY72" s="392"/>
      <c r="CZ72" s="392"/>
      <c r="DA72" s="392"/>
      <c r="DB72" s="392"/>
      <c r="DC72" s="392"/>
      <c r="DD72" s="392"/>
      <c r="DE72" s="392"/>
      <c r="DF72" s="392"/>
      <c r="DG72" s="392"/>
      <c r="DH72" s="392"/>
      <c r="DI72" s="392"/>
      <c r="DJ72" s="392"/>
      <c r="DK72" s="392"/>
      <c r="DL72" s="392"/>
      <c r="DM72" s="392"/>
      <c r="DN72" s="392"/>
      <c r="DO72" s="392"/>
      <c r="DP72" s="392"/>
      <c r="DQ72" s="392"/>
      <c r="DR72" s="392"/>
      <c r="DS72" s="392"/>
      <c r="DT72" s="392"/>
      <c r="DU72" s="392"/>
      <c r="DV72" s="392"/>
      <c r="DW72" s="392"/>
      <c r="DX72" s="392"/>
      <c r="DY72" s="392"/>
      <c r="DZ72" s="392"/>
      <c r="EA72" s="392"/>
      <c r="EB72" s="392"/>
      <c r="EC72" s="392"/>
      <c r="ED72" s="392"/>
      <c r="EE72" s="392"/>
      <c r="EF72" s="392"/>
      <c r="EG72" s="392"/>
      <c r="EH72" s="392"/>
      <c r="EI72" s="392"/>
      <c r="EJ72" s="392"/>
      <c r="EK72" s="392"/>
      <c r="EL72" s="392"/>
      <c r="EM72" s="392"/>
      <c r="EN72" s="392"/>
      <c r="EO72" s="392"/>
      <c r="EP72" s="392"/>
      <c r="EQ72" s="392"/>
      <c r="ER72" s="392"/>
      <c r="ES72" s="392"/>
      <c r="ET72" s="392"/>
      <c r="EU72" s="392"/>
      <c r="EV72" s="392"/>
      <c r="EW72" s="392"/>
      <c r="EX72" s="392"/>
      <c r="EY72" s="392"/>
      <c r="EZ72" s="392"/>
      <c r="FA72" s="392"/>
      <c r="FB72" s="392"/>
      <c r="FC72" s="392"/>
      <c r="FD72" s="392"/>
      <c r="FE72" s="392"/>
      <c r="FF72" s="392"/>
      <c r="FG72" s="392"/>
      <c r="FH72" s="392"/>
      <c r="FI72" s="392"/>
      <c r="FJ72" s="392"/>
      <c r="FK72" s="392"/>
      <c r="FL72" s="392"/>
      <c r="FM72" s="392"/>
      <c r="FN72" s="392"/>
      <c r="FO72" s="392"/>
      <c r="FP72" s="392"/>
      <c r="FQ72" s="392"/>
      <c r="FR72" s="392"/>
      <c r="FS72" s="392"/>
      <c r="FT72" s="392"/>
      <c r="FU72" s="392"/>
      <c r="FV72" s="392"/>
      <c r="FW72" s="392"/>
      <c r="FX72" s="392"/>
      <c r="FY72" s="392"/>
      <c r="FZ72" s="392"/>
      <c r="GA72" s="392"/>
      <c r="GB72" s="392"/>
      <c r="GC72" s="392"/>
      <c r="GD72" s="392"/>
      <c r="GE72" s="392"/>
      <c r="GF72" s="392"/>
      <c r="GG72" s="392"/>
      <c r="GH72" s="392"/>
      <c r="GI72" s="392"/>
      <c r="GJ72" s="392"/>
      <c r="GK72" s="392"/>
      <c r="GL72" s="392"/>
      <c r="GM72" s="392"/>
      <c r="GN72" s="392"/>
      <c r="GO72" s="392"/>
      <c r="GP72" s="392"/>
      <c r="GQ72" s="392"/>
      <c r="GR72" s="392"/>
      <c r="GS72" s="392"/>
      <c r="GT72" s="392"/>
      <c r="GU72" s="392"/>
      <c r="GV72" s="392"/>
      <c r="GW72" s="392"/>
      <c r="GX72" s="392"/>
      <c r="GY72" s="392"/>
      <c r="GZ72" s="392"/>
      <c r="HA72" s="392"/>
      <c r="HB72" s="392"/>
      <c r="HC72" s="392"/>
      <c r="HD72" s="392"/>
      <c r="HE72" s="392"/>
      <c r="HF72" s="392"/>
      <c r="HG72" s="392"/>
      <c r="HH72" s="392"/>
      <c r="HI72" s="392"/>
      <c r="HJ72" s="392"/>
      <c r="HK72" s="392"/>
      <c r="HL72" s="392"/>
      <c r="HM72" s="392"/>
      <c r="HN72" s="392"/>
      <c r="HO72" s="392"/>
      <c r="HP72" s="392"/>
      <c r="HQ72" s="392"/>
      <c r="HR72" s="392"/>
      <c r="HS72" s="392"/>
      <c r="HT72" s="392"/>
      <c r="HU72" s="392"/>
      <c r="HV72" s="392"/>
      <c r="HW72" s="392"/>
      <c r="HX72" s="392"/>
      <c r="HY72" s="392"/>
      <c r="HZ72" s="392"/>
      <c r="IA72" s="392"/>
      <c r="IB72" s="392"/>
      <c r="IC72" s="392"/>
      <c r="ID72" s="392"/>
      <c r="IE72" s="392"/>
      <c r="IF72" s="392"/>
      <c r="IG72" s="392"/>
      <c r="IH72" s="392"/>
      <c r="II72" s="392"/>
      <c r="IJ72" s="392"/>
      <c r="IK72" s="392"/>
      <c r="IL72" s="392"/>
      <c r="IM72" s="392"/>
      <c r="IN72" s="392"/>
      <c r="IO72" s="392"/>
      <c r="IP72" s="392"/>
      <c r="IQ72" s="392"/>
      <c r="IR72" s="392"/>
      <c r="IS72" s="392"/>
      <c r="IT72" s="392"/>
      <c r="IU72" s="392"/>
      <c r="IV72" s="392"/>
      <c r="IW72" s="392"/>
      <c r="IX72" s="392"/>
      <c r="IY72" s="392"/>
      <c r="IZ72" s="392"/>
      <c r="JA72" s="392"/>
      <c r="JB72" s="392"/>
      <c r="JC72" s="392"/>
      <c r="JD72" s="392"/>
      <c r="JE72" s="392"/>
      <c r="JF72" s="392"/>
      <c r="JG72" s="392"/>
      <c r="JH72" s="392"/>
      <c r="JI72" s="393">
        <f t="shared" si="3"/>
        <v>0</v>
      </c>
      <c r="JJ72" s="2">
        <v>6026</v>
      </c>
      <c r="JK72" s="392">
        <f t="shared" si="2"/>
        <v>0</v>
      </c>
      <c r="JL72" s="284"/>
      <c r="JM72" s="284"/>
      <c r="JN72" s="284"/>
      <c r="JO72" s="284"/>
      <c r="JP72" s="284"/>
    </row>
    <row r="73" spans="1:276" x14ac:dyDescent="0.3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  <c r="O73" s="392"/>
      <c r="P73" s="392"/>
      <c r="Q73" s="392"/>
      <c r="R73" s="392"/>
      <c r="S73" s="392"/>
      <c r="T73" s="392"/>
      <c r="U73" s="392"/>
      <c r="V73" s="392"/>
      <c r="W73" s="392"/>
      <c r="X73" s="392"/>
      <c r="Y73" s="392"/>
      <c r="Z73" s="392"/>
      <c r="AA73" s="392"/>
      <c r="AB73" s="392"/>
      <c r="AC73" s="392"/>
      <c r="AD73" s="392"/>
      <c r="AE73" s="392"/>
      <c r="AF73" s="392"/>
      <c r="AG73" s="392"/>
      <c r="AH73" s="392"/>
      <c r="AI73" s="392"/>
      <c r="AJ73" s="392"/>
      <c r="AK73" s="392"/>
      <c r="AL73" s="392"/>
      <c r="AM73" s="392"/>
      <c r="AN73" s="392"/>
      <c r="AO73" s="392"/>
      <c r="AP73" s="392"/>
      <c r="AQ73" s="392"/>
      <c r="AR73" s="392"/>
      <c r="AS73" s="392"/>
      <c r="AT73" s="392"/>
      <c r="AU73" s="392"/>
      <c r="AV73" s="392"/>
      <c r="AW73" s="392"/>
      <c r="AX73" s="392"/>
      <c r="AY73" s="392"/>
      <c r="AZ73" s="392"/>
      <c r="BA73" s="392"/>
      <c r="BB73" s="392"/>
      <c r="BC73" s="392"/>
      <c r="BD73" s="392"/>
      <c r="BE73" s="392"/>
      <c r="BF73" s="392"/>
      <c r="BG73" s="392"/>
      <c r="BH73" s="392"/>
      <c r="BI73" s="392"/>
      <c r="BJ73" s="392"/>
      <c r="BK73" s="392"/>
      <c r="BL73" s="392"/>
      <c r="BM73" s="392"/>
      <c r="BN73" s="392"/>
      <c r="BO73" s="392"/>
      <c r="BP73" s="392"/>
      <c r="BQ73" s="392"/>
      <c r="BR73" s="392"/>
      <c r="BS73" s="392"/>
      <c r="BT73" s="392"/>
      <c r="BU73" s="392"/>
      <c r="BV73" s="392"/>
      <c r="BW73" s="392"/>
      <c r="BX73" s="392"/>
      <c r="BY73" s="392"/>
      <c r="BZ73" s="392"/>
      <c r="CA73" s="392"/>
      <c r="CB73" s="392"/>
      <c r="CC73" s="392"/>
      <c r="CD73" s="392"/>
      <c r="CE73" s="392"/>
      <c r="CF73" s="392"/>
      <c r="CG73" s="392"/>
      <c r="CH73" s="392"/>
      <c r="CI73" s="392"/>
      <c r="CJ73" s="392"/>
      <c r="CK73" s="392"/>
      <c r="CL73" s="392"/>
      <c r="CM73" s="392"/>
      <c r="CN73" s="392"/>
      <c r="CO73" s="392"/>
      <c r="CP73" s="392"/>
      <c r="CQ73" s="392"/>
      <c r="CR73" s="392"/>
      <c r="CS73" s="392"/>
      <c r="CT73" s="392"/>
      <c r="CU73" s="392"/>
      <c r="CV73" s="392"/>
      <c r="CW73" s="392"/>
      <c r="CX73" s="392"/>
      <c r="CY73" s="392"/>
      <c r="CZ73" s="392"/>
      <c r="DA73" s="392"/>
      <c r="DB73" s="392"/>
      <c r="DC73" s="392"/>
      <c r="DD73" s="392"/>
      <c r="DE73" s="392"/>
      <c r="DF73" s="392"/>
      <c r="DG73" s="392"/>
      <c r="DH73" s="392"/>
      <c r="DI73" s="392"/>
      <c r="DJ73" s="392"/>
      <c r="DK73" s="392"/>
      <c r="DL73" s="392"/>
      <c r="DM73" s="392"/>
      <c r="DN73" s="392"/>
      <c r="DO73" s="392"/>
      <c r="DP73" s="392"/>
      <c r="DQ73" s="392"/>
      <c r="DR73" s="392"/>
      <c r="DS73" s="392"/>
      <c r="DT73" s="392"/>
      <c r="DU73" s="392"/>
      <c r="DV73" s="392"/>
      <c r="DW73" s="392"/>
      <c r="DX73" s="392"/>
      <c r="DY73" s="392"/>
      <c r="DZ73" s="392"/>
      <c r="EA73" s="392"/>
      <c r="EB73" s="392"/>
      <c r="EC73" s="392"/>
      <c r="ED73" s="392"/>
      <c r="EE73" s="392"/>
      <c r="EF73" s="392"/>
      <c r="EG73" s="392"/>
      <c r="EH73" s="392"/>
      <c r="EI73" s="392"/>
      <c r="EJ73" s="392"/>
      <c r="EK73" s="392"/>
      <c r="EL73" s="392"/>
      <c r="EM73" s="392"/>
      <c r="EN73" s="392"/>
      <c r="EO73" s="392"/>
      <c r="EP73" s="392"/>
      <c r="EQ73" s="392"/>
      <c r="ER73" s="392"/>
      <c r="ES73" s="392"/>
      <c r="ET73" s="392"/>
      <c r="EU73" s="392"/>
      <c r="EV73" s="392"/>
      <c r="EW73" s="392"/>
      <c r="EX73" s="392"/>
      <c r="EY73" s="392"/>
      <c r="EZ73" s="392"/>
      <c r="FA73" s="392"/>
      <c r="FB73" s="392"/>
      <c r="FC73" s="392"/>
      <c r="FD73" s="392"/>
      <c r="FE73" s="392"/>
      <c r="FF73" s="392"/>
      <c r="FG73" s="392"/>
      <c r="FH73" s="392"/>
      <c r="FI73" s="392"/>
      <c r="FJ73" s="392"/>
      <c r="FK73" s="392"/>
      <c r="FL73" s="392"/>
      <c r="FM73" s="392"/>
      <c r="FN73" s="392"/>
      <c r="FO73" s="392"/>
      <c r="FP73" s="392"/>
      <c r="FQ73" s="392"/>
      <c r="FR73" s="392"/>
      <c r="FS73" s="392"/>
      <c r="FT73" s="392"/>
      <c r="FU73" s="392"/>
      <c r="FV73" s="392"/>
      <c r="FW73" s="392"/>
      <c r="FX73" s="392"/>
      <c r="FY73" s="392"/>
      <c r="FZ73" s="392"/>
      <c r="GA73" s="392"/>
      <c r="GB73" s="392"/>
      <c r="GC73" s="392"/>
      <c r="GD73" s="392"/>
      <c r="GE73" s="392"/>
      <c r="GF73" s="392"/>
      <c r="GG73" s="392"/>
      <c r="GH73" s="392"/>
      <c r="GI73" s="392"/>
      <c r="GJ73" s="392"/>
      <c r="GK73" s="392"/>
      <c r="GL73" s="392"/>
      <c r="GM73" s="392"/>
      <c r="GN73" s="392"/>
      <c r="GO73" s="392"/>
      <c r="GP73" s="392"/>
      <c r="GQ73" s="392"/>
      <c r="GR73" s="392"/>
      <c r="GS73" s="392"/>
      <c r="GT73" s="392"/>
      <c r="GU73" s="392"/>
      <c r="GV73" s="392"/>
      <c r="GW73" s="392"/>
      <c r="GX73" s="392"/>
      <c r="GY73" s="392"/>
      <c r="GZ73" s="392"/>
      <c r="HA73" s="392"/>
      <c r="HB73" s="392"/>
      <c r="HC73" s="392"/>
      <c r="HD73" s="392"/>
      <c r="HE73" s="392"/>
      <c r="HF73" s="392"/>
      <c r="HG73" s="392"/>
      <c r="HH73" s="392"/>
      <c r="HI73" s="392"/>
      <c r="HJ73" s="392"/>
      <c r="HK73" s="392"/>
      <c r="HL73" s="392"/>
      <c r="HM73" s="392"/>
      <c r="HN73" s="392"/>
      <c r="HO73" s="392"/>
      <c r="HP73" s="392"/>
      <c r="HQ73" s="392"/>
      <c r="HR73" s="392"/>
      <c r="HS73" s="392"/>
      <c r="HT73" s="392"/>
      <c r="HU73" s="392"/>
      <c r="HV73" s="392"/>
      <c r="HW73" s="392"/>
      <c r="HX73" s="392"/>
      <c r="HY73" s="392"/>
      <c r="HZ73" s="392"/>
      <c r="IA73" s="392"/>
      <c r="IB73" s="392"/>
      <c r="IC73" s="392"/>
      <c r="ID73" s="392"/>
      <c r="IE73" s="392"/>
      <c r="IF73" s="392"/>
      <c r="IG73" s="392"/>
      <c r="IH73" s="392"/>
      <c r="II73" s="392"/>
      <c r="IJ73" s="392"/>
      <c r="IK73" s="392"/>
      <c r="IL73" s="392"/>
      <c r="IM73" s="392"/>
      <c r="IN73" s="392"/>
      <c r="IO73" s="392"/>
      <c r="IP73" s="392"/>
      <c r="IQ73" s="392"/>
      <c r="IR73" s="392"/>
      <c r="IS73" s="392"/>
      <c r="IT73" s="392"/>
      <c r="IU73" s="392"/>
      <c r="IV73" s="392"/>
      <c r="IW73" s="392"/>
      <c r="IX73" s="392"/>
      <c r="IY73" s="392"/>
      <c r="IZ73" s="392"/>
      <c r="JA73" s="392"/>
      <c r="JB73" s="392"/>
      <c r="JC73" s="392"/>
      <c r="JD73" s="392"/>
      <c r="JE73" s="392"/>
      <c r="JF73" s="392"/>
      <c r="JG73" s="392"/>
      <c r="JH73" s="392"/>
      <c r="JI73" s="393">
        <f t="shared" si="3"/>
        <v>0</v>
      </c>
      <c r="JJ73" s="2">
        <v>6030</v>
      </c>
      <c r="JK73" s="392">
        <f t="shared" si="2"/>
        <v>0</v>
      </c>
      <c r="JL73" s="284"/>
      <c r="JM73" s="284"/>
      <c r="JN73" s="284"/>
      <c r="JO73" s="284"/>
      <c r="JP73" s="284"/>
    </row>
    <row r="74" spans="1:276" x14ac:dyDescent="0.3">
      <c r="A74" s="392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392"/>
      <c r="T74" s="392"/>
      <c r="U74" s="392"/>
      <c r="V74" s="392"/>
      <c r="W74" s="392"/>
      <c r="X74" s="392"/>
      <c r="Y74" s="392"/>
      <c r="Z74" s="392"/>
      <c r="AA74" s="392"/>
      <c r="AB74" s="392"/>
      <c r="AC74" s="392"/>
      <c r="AD74" s="392"/>
      <c r="AE74" s="392"/>
      <c r="AF74" s="392"/>
      <c r="AG74" s="392"/>
      <c r="AH74" s="392"/>
      <c r="AI74" s="392"/>
      <c r="AJ74" s="392"/>
      <c r="AK74" s="392"/>
      <c r="AL74" s="392"/>
      <c r="AM74" s="392"/>
      <c r="AN74" s="392"/>
      <c r="AO74" s="392"/>
      <c r="AP74" s="392"/>
      <c r="AQ74" s="392"/>
      <c r="AR74" s="392"/>
      <c r="AS74" s="392"/>
      <c r="AT74" s="392"/>
      <c r="AU74" s="392"/>
      <c r="AV74" s="392"/>
      <c r="AW74" s="392"/>
      <c r="AX74" s="392"/>
      <c r="AY74" s="392"/>
      <c r="AZ74" s="392"/>
      <c r="BA74" s="392"/>
      <c r="BB74" s="392"/>
      <c r="BC74" s="392"/>
      <c r="BD74" s="392"/>
      <c r="BE74" s="392"/>
      <c r="BF74" s="392"/>
      <c r="BG74" s="392"/>
      <c r="BH74" s="392"/>
      <c r="BI74" s="392"/>
      <c r="BJ74" s="392"/>
      <c r="BK74" s="392"/>
      <c r="BL74" s="392"/>
      <c r="BM74" s="392"/>
      <c r="BN74" s="392"/>
      <c r="BO74" s="392"/>
      <c r="BP74" s="392"/>
      <c r="BQ74" s="392"/>
      <c r="BR74" s="392"/>
      <c r="BS74" s="392"/>
      <c r="BT74" s="392"/>
      <c r="BU74" s="392"/>
      <c r="BV74" s="392"/>
      <c r="BW74" s="392"/>
      <c r="BX74" s="392"/>
      <c r="BY74" s="392"/>
      <c r="BZ74" s="392"/>
      <c r="CA74" s="392"/>
      <c r="CB74" s="392"/>
      <c r="CC74" s="392"/>
      <c r="CD74" s="392"/>
      <c r="CE74" s="392"/>
      <c r="CF74" s="392"/>
      <c r="CG74" s="392"/>
      <c r="CH74" s="392"/>
      <c r="CI74" s="392"/>
      <c r="CJ74" s="392"/>
      <c r="CK74" s="392"/>
      <c r="CL74" s="392"/>
      <c r="CM74" s="392"/>
      <c r="CN74" s="392"/>
      <c r="CO74" s="392"/>
      <c r="CP74" s="392"/>
      <c r="CQ74" s="392"/>
      <c r="CR74" s="392"/>
      <c r="CS74" s="392"/>
      <c r="CT74" s="392"/>
      <c r="CU74" s="392"/>
      <c r="CV74" s="392"/>
      <c r="CW74" s="392"/>
      <c r="CX74" s="392"/>
      <c r="CY74" s="392"/>
      <c r="CZ74" s="392"/>
      <c r="DA74" s="392"/>
      <c r="DB74" s="392"/>
      <c r="DC74" s="392"/>
      <c r="DD74" s="392"/>
      <c r="DE74" s="392"/>
      <c r="DF74" s="392"/>
      <c r="DG74" s="392"/>
      <c r="DH74" s="392"/>
      <c r="DI74" s="392"/>
      <c r="DJ74" s="392"/>
      <c r="DK74" s="392"/>
      <c r="DL74" s="392"/>
      <c r="DM74" s="392"/>
      <c r="DN74" s="392"/>
      <c r="DO74" s="392"/>
      <c r="DP74" s="392"/>
      <c r="DQ74" s="392"/>
      <c r="DR74" s="392"/>
      <c r="DS74" s="392"/>
      <c r="DT74" s="392"/>
      <c r="DU74" s="392"/>
      <c r="DV74" s="392"/>
      <c r="DW74" s="392"/>
      <c r="DX74" s="392"/>
      <c r="DY74" s="392"/>
      <c r="DZ74" s="392"/>
      <c r="EA74" s="392"/>
      <c r="EB74" s="392"/>
      <c r="EC74" s="392"/>
      <c r="ED74" s="392"/>
      <c r="EE74" s="392"/>
      <c r="EF74" s="392"/>
      <c r="EG74" s="392"/>
      <c r="EH74" s="392"/>
      <c r="EI74" s="392"/>
      <c r="EJ74" s="392"/>
      <c r="EK74" s="392"/>
      <c r="EL74" s="392"/>
      <c r="EM74" s="392"/>
      <c r="EN74" s="392"/>
      <c r="EO74" s="392"/>
      <c r="EP74" s="392"/>
      <c r="EQ74" s="392"/>
      <c r="ER74" s="392"/>
      <c r="ES74" s="392"/>
      <c r="ET74" s="392"/>
      <c r="EU74" s="392"/>
      <c r="EV74" s="392"/>
      <c r="EW74" s="392"/>
      <c r="EX74" s="392"/>
      <c r="EY74" s="392"/>
      <c r="EZ74" s="392"/>
      <c r="FA74" s="392"/>
      <c r="FB74" s="392"/>
      <c r="FC74" s="392"/>
      <c r="FD74" s="392"/>
      <c r="FE74" s="392"/>
      <c r="FF74" s="392"/>
      <c r="FG74" s="392"/>
      <c r="FH74" s="392"/>
      <c r="FI74" s="392"/>
      <c r="FJ74" s="392"/>
      <c r="FK74" s="392"/>
      <c r="FL74" s="392"/>
      <c r="FM74" s="392"/>
      <c r="FN74" s="392"/>
      <c r="FO74" s="392"/>
      <c r="FP74" s="392"/>
      <c r="FQ74" s="392"/>
      <c r="FR74" s="392"/>
      <c r="FS74" s="392"/>
      <c r="FT74" s="392"/>
      <c r="FU74" s="392"/>
      <c r="FV74" s="392"/>
      <c r="FW74" s="392"/>
      <c r="FX74" s="392"/>
      <c r="FY74" s="392"/>
      <c r="FZ74" s="392"/>
      <c r="GA74" s="392"/>
      <c r="GB74" s="392"/>
      <c r="GC74" s="392"/>
      <c r="GD74" s="392"/>
      <c r="GE74" s="392"/>
      <c r="GF74" s="392"/>
      <c r="GG74" s="392"/>
      <c r="GH74" s="392"/>
      <c r="GI74" s="392"/>
      <c r="GJ74" s="392"/>
      <c r="GK74" s="392"/>
      <c r="GL74" s="392"/>
      <c r="GM74" s="392"/>
      <c r="GN74" s="392"/>
      <c r="GO74" s="392"/>
      <c r="GP74" s="392"/>
      <c r="GQ74" s="392"/>
      <c r="GR74" s="392"/>
      <c r="GS74" s="392"/>
      <c r="GT74" s="392"/>
      <c r="GU74" s="392"/>
      <c r="GV74" s="392"/>
      <c r="GW74" s="392"/>
      <c r="GX74" s="392"/>
      <c r="GY74" s="392"/>
      <c r="GZ74" s="392"/>
      <c r="HA74" s="392"/>
      <c r="HB74" s="392"/>
      <c r="HC74" s="392"/>
      <c r="HD74" s="392"/>
      <c r="HE74" s="392"/>
      <c r="HF74" s="392"/>
      <c r="HG74" s="392"/>
      <c r="HH74" s="392"/>
      <c r="HI74" s="392"/>
      <c r="HJ74" s="392"/>
      <c r="HK74" s="392"/>
      <c r="HL74" s="392"/>
      <c r="HM74" s="392"/>
      <c r="HN74" s="392"/>
      <c r="HO74" s="392"/>
      <c r="HP74" s="392"/>
      <c r="HQ74" s="392"/>
      <c r="HR74" s="392"/>
      <c r="HS74" s="392"/>
      <c r="HT74" s="392"/>
      <c r="HU74" s="392"/>
      <c r="HV74" s="392"/>
      <c r="HW74" s="392"/>
      <c r="HX74" s="392"/>
      <c r="HY74" s="392"/>
      <c r="HZ74" s="392"/>
      <c r="IA74" s="392"/>
      <c r="IB74" s="392"/>
      <c r="IC74" s="392"/>
      <c r="ID74" s="392"/>
      <c r="IE74" s="392"/>
      <c r="IF74" s="392"/>
      <c r="IG74" s="392"/>
      <c r="IH74" s="392"/>
      <c r="II74" s="392"/>
      <c r="IJ74" s="392"/>
      <c r="IK74" s="392"/>
      <c r="IL74" s="392"/>
      <c r="IM74" s="392"/>
      <c r="IN74" s="392"/>
      <c r="IO74" s="392"/>
      <c r="IP74" s="392"/>
      <c r="IQ74" s="392"/>
      <c r="IR74" s="392"/>
      <c r="IS74" s="392"/>
      <c r="IT74" s="392"/>
      <c r="IU74" s="392"/>
      <c r="IV74" s="392"/>
      <c r="IW74" s="392"/>
      <c r="IX74" s="392"/>
      <c r="IY74" s="392"/>
      <c r="IZ74" s="392"/>
      <c r="JA74" s="392"/>
      <c r="JB74" s="392"/>
      <c r="JC74" s="392"/>
      <c r="JD74" s="392"/>
      <c r="JE74" s="392"/>
      <c r="JF74" s="392"/>
      <c r="JG74" s="392"/>
      <c r="JH74" s="392"/>
      <c r="JI74" s="393">
        <f t="shared" si="3"/>
        <v>0</v>
      </c>
      <c r="JJ74" s="2">
        <v>6039</v>
      </c>
      <c r="JK74" s="392">
        <f t="shared" si="2"/>
        <v>0</v>
      </c>
      <c r="JL74" s="284"/>
      <c r="JM74" s="284"/>
      <c r="JN74" s="284"/>
      <c r="JO74" s="284"/>
      <c r="JP74" s="284"/>
    </row>
    <row r="75" spans="1:276" x14ac:dyDescent="0.3">
      <c r="A75" s="392"/>
      <c r="B75" s="392"/>
      <c r="C75" s="392"/>
      <c r="D75" s="392"/>
      <c r="E75" s="392"/>
      <c r="F75" s="392"/>
      <c r="G75" s="392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392"/>
      <c r="T75" s="392"/>
      <c r="U75" s="392"/>
      <c r="V75" s="392"/>
      <c r="W75" s="392"/>
      <c r="X75" s="392"/>
      <c r="Y75" s="392"/>
      <c r="Z75" s="392"/>
      <c r="AA75" s="392"/>
      <c r="AB75" s="392"/>
      <c r="AC75" s="392"/>
      <c r="AD75" s="392"/>
      <c r="AE75" s="392"/>
      <c r="AF75" s="392"/>
      <c r="AG75" s="392"/>
      <c r="AH75" s="392"/>
      <c r="AI75" s="392"/>
      <c r="AJ75" s="392"/>
      <c r="AK75" s="392"/>
      <c r="AL75" s="392"/>
      <c r="AM75" s="392"/>
      <c r="AN75" s="392"/>
      <c r="AO75" s="392"/>
      <c r="AP75" s="392"/>
      <c r="AQ75" s="392"/>
      <c r="AR75" s="392"/>
      <c r="AS75" s="392"/>
      <c r="AT75" s="392"/>
      <c r="AU75" s="392"/>
      <c r="AV75" s="392"/>
      <c r="AW75" s="392"/>
      <c r="AX75" s="392"/>
      <c r="AY75" s="392"/>
      <c r="AZ75" s="392"/>
      <c r="BA75" s="392"/>
      <c r="BB75" s="392"/>
      <c r="BC75" s="392"/>
      <c r="BD75" s="392"/>
      <c r="BE75" s="392"/>
      <c r="BF75" s="392"/>
      <c r="BG75" s="392"/>
      <c r="BH75" s="392"/>
      <c r="BI75" s="392"/>
      <c r="BJ75" s="392"/>
      <c r="BK75" s="392"/>
      <c r="BL75" s="392"/>
      <c r="BM75" s="392"/>
      <c r="BN75" s="392"/>
      <c r="BO75" s="392"/>
      <c r="BP75" s="392"/>
      <c r="BQ75" s="392"/>
      <c r="BR75" s="392"/>
      <c r="BS75" s="392"/>
      <c r="BT75" s="392"/>
      <c r="BU75" s="392"/>
      <c r="BV75" s="392"/>
      <c r="BW75" s="392"/>
      <c r="BX75" s="392"/>
      <c r="BY75" s="392"/>
      <c r="BZ75" s="392"/>
      <c r="CA75" s="392"/>
      <c r="CB75" s="392"/>
      <c r="CC75" s="392"/>
      <c r="CD75" s="392"/>
      <c r="CE75" s="392"/>
      <c r="CF75" s="392"/>
      <c r="CG75" s="392"/>
      <c r="CH75" s="392"/>
      <c r="CI75" s="392"/>
      <c r="CJ75" s="392"/>
      <c r="CK75" s="392"/>
      <c r="CL75" s="392"/>
      <c r="CM75" s="392"/>
      <c r="CN75" s="392"/>
      <c r="CO75" s="392"/>
      <c r="CP75" s="392"/>
      <c r="CQ75" s="392"/>
      <c r="CR75" s="392"/>
      <c r="CS75" s="392"/>
      <c r="CT75" s="392"/>
      <c r="CU75" s="392"/>
      <c r="CV75" s="392"/>
      <c r="CW75" s="392"/>
      <c r="CX75" s="392"/>
      <c r="CY75" s="392"/>
      <c r="CZ75" s="392"/>
      <c r="DA75" s="392"/>
      <c r="DB75" s="392"/>
      <c r="DC75" s="392"/>
      <c r="DD75" s="392"/>
      <c r="DE75" s="392"/>
      <c r="DF75" s="392"/>
      <c r="DG75" s="392"/>
      <c r="DH75" s="392"/>
      <c r="DI75" s="392"/>
      <c r="DJ75" s="392"/>
      <c r="DK75" s="392"/>
      <c r="DL75" s="392"/>
      <c r="DM75" s="392"/>
      <c r="DN75" s="392"/>
      <c r="DO75" s="392"/>
      <c r="DP75" s="392"/>
      <c r="DQ75" s="392"/>
      <c r="DR75" s="392"/>
      <c r="DS75" s="392"/>
      <c r="DT75" s="392"/>
      <c r="DU75" s="392"/>
      <c r="DV75" s="392"/>
      <c r="DW75" s="392"/>
      <c r="DX75" s="392"/>
      <c r="DY75" s="392"/>
      <c r="DZ75" s="392"/>
      <c r="EA75" s="392"/>
      <c r="EB75" s="392"/>
      <c r="EC75" s="392"/>
      <c r="ED75" s="392"/>
      <c r="EE75" s="392"/>
      <c r="EF75" s="392"/>
      <c r="EG75" s="392"/>
      <c r="EH75" s="392"/>
      <c r="EI75" s="392"/>
      <c r="EJ75" s="392"/>
      <c r="EK75" s="392"/>
      <c r="EL75" s="392"/>
      <c r="EM75" s="392"/>
      <c r="EN75" s="392"/>
      <c r="EO75" s="392"/>
      <c r="EP75" s="392"/>
      <c r="EQ75" s="392"/>
      <c r="ER75" s="392"/>
      <c r="ES75" s="392"/>
      <c r="ET75" s="392"/>
      <c r="EU75" s="392"/>
      <c r="EV75" s="392"/>
      <c r="EW75" s="392"/>
      <c r="EX75" s="392"/>
      <c r="EY75" s="392"/>
      <c r="EZ75" s="392"/>
      <c r="FA75" s="392"/>
      <c r="FB75" s="392"/>
      <c r="FC75" s="392"/>
      <c r="FD75" s="392"/>
      <c r="FE75" s="392"/>
      <c r="FF75" s="392"/>
      <c r="FG75" s="392"/>
      <c r="FH75" s="392"/>
      <c r="FI75" s="392"/>
      <c r="FJ75" s="392"/>
      <c r="FK75" s="392"/>
      <c r="FL75" s="392"/>
      <c r="FM75" s="392"/>
      <c r="FN75" s="392"/>
      <c r="FO75" s="392"/>
      <c r="FP75" s="392"/>
      <c r="FQ75" s="392"/>
      <c r="FR75" s="392"/>
      <c r="FS75" s="392"/>
      <c r="FT75" s="392"/>
      <c r="FU75" s="392"/>
      <c r="FV75" s="392"/>
      <c r="FW75" s="392"/>
      <c r="FX75" s="392"/>
      <c r="FY75" s="392"/>
      <c r="FZ75" s="392"/>
      <c r="GA75" s="392"/>
      <c r="GB75" s="392"/>
      <c r="GC75" s="392"/>
      <c r="GD75" s="392"/>
      <c r="GE75" s="392"/>
      <c r="GF75" s="392"/>
      <c r="GG75" s="392"/>
      <c r="GH75" s="392"/>
      <c r="GI75" s="392"/>
      <c r="GJ75" s="392"/>
      <c r="GK75" s="392"/>
      <c r="GL75" s="392"/>
      <c r="GM75" s="392"/>
      <c r="GN75" s="392"/>
      <c r="GO75" s="392"/>
      <c r="GP75" s="392"/>
      <c r="GQ75" s="392"/>
      <c r="GR75" s="392"/>
      <c r="GS75" s="392"/>
      <c r="GT75" s="392"/>
      <c r="GU75" s="392"/>
      <c r="GV75" s="392"/>
      <c r="GW75" s="392"/>
      <c r="GX75" s="392"/>
      <c r="GY75" s="392"/>
      <c r="GZ75" s="392"/>
      <c r="HA75" s="392"/>
      <c r="HB75" s="392"/>
      <c r="HC75" s="392"/>
      <c r="HD75" s="392"/>
      <c r="HE75" s="392"/>
      <c r="HF75" s="392"/>
      <c r="HG75" s="392"/>
      <c r="HH75" s="392"/>
      <c r="HI75" s="392"/>
      <c r="HJ75" s="392"/>
      <c r="HK75" s="392"/>
      <c r="HL75" s="392"/>
      <c r="HM75" s="392"/>
      <c r="HN75" s="392"/>
      <c r="HO75" s="392"/>
      <c r="HP75" s="392"/>
      <c r="HQ75" s="392"/>
      <c r="HR75" s="392"/>
      <c r="HS75" s="392"/>
      <c r="HT75" s="392"/>
      <c r="HU75" s="392"/>
      <c r="HV75" s="392"/>
      <c r="HW75" s="392"/>
      <c r="HX75" s="392"/>
      <c r="HY75" s="392"/>
      <c r="HZ75" s="392"/>
      <c r="IA75" s="392"/>
      <c r="IB75" s="392"/>
      <c r="IC75" s="392"/>
      <c r="ID75" s="392"/>
      <c r="IE75" s="392"/>
      <c r="IF75" s="392"/>
      <c r="IG75" s="392"/>
      <c r="IH75" s="392"/>
      <c r="II75" s="392"/>
      <c r="IJ75" s="392"/>
      <c r="IK75" s="392"/>
      <c r="IL75" s="392"/>
      <c r="IM75" s="392"/>
      <c r="IN75" s="392"/>
      <c r="IO75" s="392"/>
      <c r="IP75" s="392"/>
      <c r="IQ75" s="392"/>
      <c r="IR75" s="392"/>
      <c r="IS75" s="392"/>
      <c r="IT75" s="392"/>
      <c r="IU75" s="392"/>
      <c r="IV75" s="392"/>
      <c r="IW75" s="392"/>
      <c r="IX75" s="392"/>
      <c r="IY75" s="392"/>
      <c r="IZ75" s="392"/>
      <c r="JA75" s="392"/>
      <c r="JB75" s="392"/>
      <c r="JC75" s="392"/>
      <c r="JD75" s="392"/>
      <c r="JE75" s="392"/>
      <c r="JF75" s="392"/>
      <c r="JG75" s="392"/>
      <c r="JH75" s="392"/>
      <c r="JI75" s="393">
        <f t="shared" si="3"/>
        <v>0</v>
      </c>
      <c r="JJ75" s="2">
        <v>6050</v>
      </c>
      <c r="JK75" s="392">
        <f t="shared" si="2"/>
        <v>0</v>
      </c>
      <c r="JL75" s="284"/>
      <c r="JM75" s="284"/>
      <c r="JN75" s="284"/>
      <c r="JO75" s="284"/>
      <c r="JP75" s="284"/>
    </row>
    <row r="76" spans="1:276" x14ac:dyDescent="0.3">
      <c r="A76" s="392"/>
      <c r="B76" s="392"/>
      <c r="C76" s="392"/>
      <c r="D76" s="392"/>
      <c r="E76" s="392"/>
      <c r="F76" s="392"/>
      <c r="G76" s="392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392"/>
      <c r="S76" s="392"/>
      <c r="T76" s="392"/>
      <c r="U76" s="392"/>
      <c r="V76" s="392"/>
      <c r="W76" s="392"/>
      <c r="X76" s="392"/>
      <c r="Y76" s="392"/>
      <c r="Z76" s="392"/>
      <c r="AA76" s="392"/>
      <c r="AB76" s="392"/>
      <c r="AC76" s="392"/>
      <c r="AD76" s="392"/>
      <c r="AE76" s="392"/>
      <c r="AF76" s="392"/>
      <c r="AG76" s="392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392"/>
      <c r="AV76" s="392"/>
      <c r="AW76" s="392"/>
      <c r="AX76" s="392"/>
      <c r="AY76" s="392"/>
      <c r="AZ76" s="392"/>
      <c r="BA76" s="392"/>
      <c r="BB76" s="392"/>
      <c r="BC76" s="392"/>
      <c r="BD76" s="392"/>
      <c r="BE76" s="392"/>
      <c r="BF76" s="392"/>
      <c r="BG76" s="392"/>
      <c r="BH76" s="392"/>
      <c r="BI76" s="392"/>
      <c r="BJ76" s="392"/>
      <c r="BK76" s="392"/>
      <c r="BL76" s="392"/>
      <c r="BM76" s="392"/>
      <c r="BN76" s="392"/>
      <c r="BO76" s="392"/>
      <c r="BP76" s="392"/>
      <c r="BQ76" s="392"/>
      <c r="BR76" s="392"/>
      <c r="BS76" s="392"/>
      <c r="BT76" s="392"/>
      <c r="BU76" s="392"/>
      <c r="BV76" s="392"/>
      <c r="BW76" s="392"/>
      <c r="BX76" s="392"/>
      <c r="BY76" s="392"/>
      <c r="BZ76" s="392"/>
      <c r="CA76" s="392"/>
      <c r="CB76" s="392"/>
      <c r="CC76" s="392"/>
      <c r="CD76" s="392"/>
      <c r="CE76" s="392"/>
      <c r="CF76" s="392"/>
      <c r="CG76" s="392"/>
      <c r="CH76" s="392"/>
      <c r="CI76" s="392"/>
      <c r="CJ76" s="392"/>
      <c r="CK76" s="392"/>
      <c r="CL76" s="392"/>
      <c r="CM76" s="392"/>
      <c r="CN76" s="392"/>
      <c r="CO76" s="392"/>
      <c r="CP76" s="392"/>
      <c r="CQ76" s="392"/>
      <c r="CR76" s="392"/>
      <c r="CS76" s="392"/>
      <c r="CT76" s="392"/>
      <c r="CU76" s="392"/>
      <c r="CV76" s="392"/>
      <c r="CW76" s="392"/>
      <c r="CX76" s="392"/>
      <c r="CY76" s="392"/>
      <c r="CZ76" s="392"/>
      <c r="DA76" s="392"/>
      <c r="DB76" s="392"/>
      <c r="DC76" s="392"/>
      <c r="DD76" s="392"/>
      <c r="DE76" s="392"/>
      <c r="DF76" s="392"/>
      <c r="DG76" s="392"/>
      <c r="DH76" s="392"/>
      <c r="DI76" s="392"/>
      <c r="DJ76" s="392"/>
      <c r="DK76" s="392"/>
      <c r="DL76" s="392"/>
      <c r="DM76" s="392"/>
      <c r="DN76" s="392"/>
      <c r="DO76" s="392"/>
      <c r="DP76" s="392"/>
      <c r="DQ76" s="392"/>
      <c r="DR76" s="392"/>
      <c r="DS76" s="392"/>
      <c r="DT76" s="392"/>
      <c r="DU76" s="392"/>
      <c r="DV76" s="392"/>
      <c r="DW76" s="392"/>
      <c r="DX76" s="392"/>
      <c r="DY76" s="392"/>
      <c r="DZ76" s="392"/>
      <c r="EA76" s="392"/>
      <c r="EB76" s="392"/>
      <c r="EC76" s="392"/>
      <c r="ED76" s="392"/>
      <c r="EE76" s="392"/>
      <c r="EF76" s="392"/>
      <c r="EG76" s="392"/>
      <c r="EH76" s="392"/>
      <c r="EI76" s="392"/>
      <c r="EJ76" s="392"/>
      <c r="EK76" s="392"/>
      <c r="EL76" s="392"/>
      <c r="EM76" s="392"/>
      <c r="EN76" s="392"/>
      <c r="EO76" s="392"/>
      <c r="EP76" s="392"/>
      <c r="EQ76" s="392"/>
      <c r="ER76" s="392"/>
      <c r="ES76" s="392"/>
      <c r="ET76" s="392"/>
      <c r="EU76" s="392"/>
      <c r="EV76" s="392"/>
      <c r="EW76" s="392"/>
      <c r="EX76" s="392"/>
      <c r="EY76" s="392"/>
      <c r="EZ76" s="392"/>
      <c r="FA76" s="392"/>
      <c r="FB76" s="392"/>
      <c r="FC76" s="392"/>
      <c r="FD76" s="392"/>
      <c r="FE76" s="392"/>
      <c r="FF76" s="392"/>
      <c r="FG76" s="392"/>
      <c r="FH76" s="392"/>
      <c r="FI76" s="392"/>
      <c r="FJ76" s="392"/>
      <c r="FK76" s="392"/>
      <c r="FL76" s="392"/>
      <c r="FM76" s="392"/>
      <c r="FN76" s="392"/>
      <c r="FO76" s="392"/>
      <c r="FP76" s="392"/>
      <c r="FQ76" s="392"/>
      <c r="FR76" s="392"/>
      <c r="FS76" s="392"/>
      <c r="FT76" s="392"/>
      <c r="FU76" s="392"/>
      <c r="FV76" s="392"/>
      <c r="FW76" s="392"/>
      <c r="FX76" s="392"/>
      <c r="FY76" s="392"/>
      <c r="FZ76" s="392"/>
      <c r="GA76" s="392"/>
      <c r="GB76" s="392"/>
      <c r="GC76" s="392"/>
      <c r="GD76" s="392"/>
      <c r="GE76" s="392"/>
      <c r="GF76" s="392"/>
      <c r="GG76" s="392"/>
      <c r="GH76" s="392"/>
      <c r="GI76" s="392"/>
      <c r="GJ76" s="392"/>
      <c r="GK76" s="392"/>
      <c r="GL76" s="392"/>
      <c r="GM76" s="392"/>
      <c r="GN76" s="392"/>
      <c r="GO76" s="392"/>
      <c r="GP76" s="392"/>
      <c r="GQ76" s="392"/>
      <c r="GR76" s="392"/>
      <c r="GS76" s="392"/>
      <c r="GT76" s="392"/>
      <c r="GU76" s="392"/>
      <c r="GV76" s="392"/>
      <c r="GW76" s="392"/>
      <c r="GX76" s="392"/>
      <c r="GY76" s="392"/>
      <c r="GZ76" s="392"/>
      <c r="HA76" s="392"/>
      <c r="HB76" s="392"/>
      <c r="HC76" s="392"/>
      <c r="HD76" s="392"/>
      <c r="HE76" s="392"/>
      <c r="HF76" s="392"/>
      <c r="HG76" s="392"/>
      <c r="HH76" s="392"/>
      <c r="HI76" s="392"/>
      <c r="HJ76" s="392"/>
      <c r="HK76" s="392"/>
      <c r="HL76" s="392"/>
      <c r="HM76" s="392"/>
      <c r="HN76" s="392"/>
      <c r="HO76" s="392"/>
      <c r="HP76" s="392"/>
      <c r="HQ76" s="392"/>
      <c r="HR76" s="392"/>
      <c r="HS76" s="392"/>
      <c r="HT76" s="392"/>
      <c r="HU76" s="392"/>
      <c r="HV76" s="392"/>
      <c r="HW76" s="392"/>
      <c r="HX76" s="392"/>
      <c r="HY76" s="392"/>
      <c r="HZ76" s="392"/>
      <c r="IA76" s="392"/>
      <c r="IB76" s="392"/>
      <c r="IC76" s="392"/>
      <c r="ID76" s="392"/>
      <c r="IE76" s="392"/>
      <c r="IF76" s="392"/>
      <c r="IG76" s="392"/>
      <c r="IH76" s="392"/>
      <c r="II76" s="392"/>
      <c r="IJ76" s="392"/>
      <c r="IK76" s="392"/>
      <c r="IL76" s="392"/>
      <c r="IM76" s="392"/>
      <c r="IN76" s="392"/>
      <c r="IO76" s="392"/>
      <c r="IP76" s="392"/>
      <c r="IQ76" s="392"/>
      <c r="IR76" s="392"/>
      <c r="IS76" s="392"/>
      <c r="IT76" s="392"/>
      <c r="IU76" s="392"/>
      <c r="IV76" s="392"/>
      <c r="IW76" s="392"/>
      <c r="IX76" s="392"/>
      <c r="IY76" s="392"/>
      <c r="IZ76" s="392"/>
      <c r="JA76" s="392"/>
      <c r="JB76" s="392"/>
      <c r="JC76" s="392"/>
      <c r="JD76" s="392"/>
      <c r="JE76" s="392"/>
      <c r="JF76" s="392"/>
      <c r="JG76" s="392"/>
      <c r="JH76" s="392"/>
      <c r="JI76" s="393">
        <f t="shared" si="3"/>
        <v>0</v>
      </c>
      <c r="JJ76" s="2">
        <v>6051</v>
      </c>
      <c r="JK76" s="392">
        <f t="shared" si="2"/>
        <v>0</v>
      </c>
      <c r="JL76" s="284"/>
      <c r="JM76" s="284"/>
      <c r="JN76" s="284"/>
      <c r="JO76" s="284"/>
      <c r="JP76" s="284"/>
    </row>
    <row r="77" spans="1:276" x14ac:dyDescent="0.3">
      <c r="A77" s="392"/>
      <c r="B77" s="392"/>
      <c r="C77" s="392"/>
      <c r="D77" s="392"/>
      <c r="E77" s="392"/>
      <c r="F77" s="392"/>
      <c r="G77" s="392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  <c r="AC77" s="392"/>
      <c r="AD77" s="392"/>
      <c r="AE77" s="392"/>
      <c r="AF77" s="392"/>
      <c r="AG77" s="392"/>
      <c r="AH77" s="392"/>
      <c r="AI77" s="392"/>
      <c r="AJ77" s="392"/>
      <c r="AK77" s="392"/>
      <c r="AL77" s="392"/>
      <c r="AM77" s="392"/>
      <c r="AN77" s="392"/>
      <c r="AO77" s="392"/>
      <c r="AP77" s="392"/>
      <c r="AQ77" s="392"/>
      <c r="AR77" s="392"/>
      <c r="AS77" s="392"/>
      <c r="AT77" s="392"/>
      <c r="AU77" s="392"/>
      <c r="AV77" s="392"/>
      <c r="AW77" s="392"/>
      <c r="AX77" s="392"/>
      <c r="AY77" s="392"/>
      <c r="AZ77" s="392"/>
      <c r="BA77" s="392"/>
      <c r="BB77" s="392"/>
      <c r="BC77" s="392"/>
      <c r="BD77" s="392"/>
      <c r="BE77" s="392"/>
      <c r="BF77" s="392"/>
      <c r="BG77" s="392"/>
      <c r="BH77" s="392"/>
      <c r="BI77" s="392"/>
      <c r="BJ77" s="392"/>
      <c r="BK77" s="392"/>
      <c r="BL77" s="392"/>
      <c r="BM77" s="392"/>
      <c r="BN77" s="392"/>
      <c r="BO77" s="392"/>
      <c r="BP77" s="392"/>
      <c r="BQ77" s="392"/>
      <c r="BR77" s="392"/>
      <c r="BS77" s="392"/>
      <c r="BT77" s="392"/>
      <c r="BU77" s="392"/>
      <c r="BV77" s="392"/>
      <c r="BW77" s="392"/>
      <c r="BX77" s="392"/>
      <c r="BY77" s="392"/>
      <c r="BZ77" s="392"/>
      <c r="CA77" s="392"/>
      <c r="CB77" s="392"/>
      <c r="CC77" s="392"/>
      <c r="CD77" s="392"/>
      <c r="CE77" s="392"/>
      <c r="CF77" s="392"/>
      <c r="CG77" s="392"/>
      <c r="CH77" s="392"/>
      <c r="CI77" s="392"/>
      <c r="CJ77" s="392"/>
      <c r="CK77" s="392"/>
      <c r="CL77" s="392"/>
      <c r="CM77" s="392"/>
      <c r="CN77" s="392"/>
      <c r="CO77" s="392"/>
      <c r="CP77" s="392"/>
      <c r="CQ77" s="392"/>
      <c r="CR77" s="392"/>
      <c r="CS77" s="392"/>
      <c r="CT77" s="392"/>
      <c r="CU77" s="392"/>
      <c r="CV77" s="392"/>
      <c r="CW77" s="392"/>
      <c r="CX77" s="392"/>
      <c r="CY77" s="392"/>
      <c r="CZ77" s="392"/>
      <c r="DA77" s="392"/>
      <c r="DB77" s="392"/>
      <c r="DC77" s="392"/>
      <c r="DD77" s="392"/>
      <c r="DE77" s="392"/>
      <c r="DF77" s="392"/>
      <c r="DG77" s="392"/>
      <c r="DH77" s="392"/>
      <c r="DI77" s="392"/>
      <c r="DJ77" s="392"/>
      <c r="DK77" s="392"/>
      <c r="DL77" s="392"/>
      <c r="DM77" s="392"/>
      <c r="DN77" s="392"/>
      <c r="DO77" s="392"/>
      <c r="DP77" s="392"/>
      <c r="DQ77" s="392"/>
      <c r="DR77" s="392"/>
      <c r="DS77" s="392"/>
      <c r="DT77" s="392"/>
      <c r="DU77" s="392"/>
      <c r="DV77" s="392"/>
      <c r="DW77" s="392"/>
      <c r="DX77" s="392"/>
      <c r="DY77" s="392"/>
      <c r="DZ77" s="392"/>
      <c r="EA77" s="392"/>
      <c r="EB77" s="392"/>
      <c r="EC77" s="392"/>
      <c r="ED77" s="392"/>
      <c r="EE77" s="392"/>
      <c r="EF77" s="392"/>
      <c r="EG77" s="392"/>
      <c r="EH77" s="392"/>
      <c r="EI77" s="392"/>
      <c r="EJ77" s="392"/>
      <c r="EK77" s="392"/>
      <c r="EL77" s="392"/>
      <c r="EM77" s="392"/>
      <c r="EN77" s="392"/>
      <c r="EO77" s="392"/>
      <c r="EP77" s="392"/>
      <c r="EQ77" s="392"/>
      <c r="ER77" s="392"/>
      <c r="ES77" s="392"/>
      <c r="ET77" s="392"/>
      <c r="EU77" s="392"/>
      <c r="EV77" s="392"/>
      <c r="EW77" s="392"/>
      <c r="EX77" s="392"/>
      <c r="EY77" s="392"/>
      <c r="EZ77" s="392"/>
      <c r="FA77" s="392"/>
      <c r="FB77" s="392"/>
      <c r="FC77" s="392"/>
      <c r="FD77" s="392"/>
      <c r="FE77" s="392"/>
      <c r="FF77" s="392"/>
      <c r="FG77" s="392"/>
      <c r="FH77" s="392"/>
      <c r="FI77" s="392"/>
      <c r="FJ77" s="392"/>
      <c r="FK77" s="392"/>
      <c r="FL77" s="392"/>
      <c r="FM77" s="392"/>
      <c r="FN77" s="392"/>
      <c r="FO77" s="392"/>
      <c r="FP77" s="392"/>
      <c r="FQ77" s="392"/>
      <c r="FR77" s="392"/>
      <c r="FS77" s="392"/>
      <c r="FT77" s="392"/>
      <c r="FU77" s="392"/>
      <c r="FV77" s="392"/>
      <c r="FW77" s="392"/>
      <c r="FX77" s="392"/>
      <c r="FY77" s="392"/>
      <c r="FZ77" s="392"/>
      <c r="GA77" s="392"/>
      <c r="GB77" s="392"/>
      <c r="GC77" s="392"/>
      <c r="GD77" s="392"/>
      <c r="GE77" s="392"/>
      <c r="GF77" s="392"/>
      <c r="GG77" s="392"/>
      <c r="GH77" s="392"/>
      <c r="GI77" s="392"/>
      <c r="GJ77" s="392"/>
      <c r="GK77" s="392"/>
      <c r="GL77" s="392"/>
      <c r="GM77" s="392"/>
      <c r="GN77" s="392"/>
      <c r="GO77" s="392"/>
      <c r="GP77" s="392"/>
      <c r="GQ77" s="392"/>
      <c r="GR77" s="392"/>
      <c r="GS77" s="392"/>
      <c r="GT77" s="392"/>
      <c r="GU77" s="392"/>
      <c r="GV77" s="392"/>
      <c r="GW77" s="392"/>
      <c r="GX77" s="392"/>
      <c r="GY77" s="392"/>
      <c r="GZ77" s="392"/>
      <c r="HA77" s="392"/>
      <c r="HB77" s="392"/>
      <c r="HC77" s="392"/>
      <c r="HD77" s="392"/>
      <c r="HE77" s="392"/>
      <c r="HF77" s="392"/>
      <c r="HG77" s="392"/>
      <c r="HH77" s="392"/>
      <c r="HI77" s="392"/>
      <c r="HJ77" s="392"/>
      <c r="HK77" s="392"/>
      <c r="HL77" s="392"/>
      <c r="HM77" s="392"/>
      <c r="HN77" s="392"/>
      <c r="HO77" s="392"/>
      <c r="HP77" s="392"/>
      <c r="HQ77" s="392"/>
      <c r="HR77" s="392"/>
      <c r="HS77" s="392"/>
      <c r="HT77" s="392"/>
      <c r="HU77" s="392"/>
      <c r="HV77" s="392"/>
      <c r="HW77" s="392"/>
      <c r="HX77" s="392"/>
      <c r="HY77" s="392"/>
      <c r="HZ77" s="392"/>
      <c r="IA77" s="392"/>
      <c r="IB77" s="392"/>
      <c r="IC77" s="392"/>
      <c r="ID77" s="392"/>
      <c r="IE77" s="392"/>
      <c r="IF77" s="392"/>
      <c r="IG77" s="392"/>
      <c r="IH77" s="392"/>
      <c r="II77" s="392"/>
      <c r="IJ77" s="392"/>
      <c r="IK77" s="392"/>
      <c r="IL77" s="392"/>
      <c r="IM77" s="392"/>
      <c r="IN77" s="392"/>
      <c r="IO77" s="392"/>
      <c r="IP77" s="392"/>
      <c r="IQ77" s="392"/>
      <c r="IR77" s="392"/>
      <c r="IS77" s="392"/>
      <c r="IT77" s="392"/>
      <c r="IU77" s="392"/>
      <c r="IV77" s="392"/>
      <c r="IW77" s="392"/>
      <c r="IX77" s="392"/>
      <c r="IY77" s="392"/>
      <c r="IZ77" s="392"/>
      <c r="JA77" s="392"/>
      <c r="JB77" s="392"/>
      <c r="JC77" s="392"/>
      <c r="JD77" s="392"/>
      <c r="JE77" s="392"/>
      <c r="JF77" s="392"/>
      <c r="JG77" s="392"/>
      <c r="JH77" s="392"/>
      <c r="JI77" s="393">
        <f t="shared" si="3"/>
        <v>0</v>
      </c>
      <c r="JJ77" s="2">
        <v>6056</v>
      </c>
      <c r="JK77" s="392">
        <f t="shared" si="2"/>
        <v>0</v>
      </c>
      <c r="JL77" s="284"/>
      <c r="JM77" s="284"/>
      <c r="JN77" s="284"/>
      <c r="JO77" s="284"/>
      <c r="JP77" s="284"/>
    </row>
    <row r="78" spans="1:276" x14ac:dyDescent="0.3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92"/>
      <c r="S78" s="392"/>
      <c r="T78" s="392"/>
      <c r="U78" s="392"/>
      <c r="V78" s="392"/>
      <c r="W78" s="392"/>
      <c r="X78" s="392"/>
      <c r="Y78" s="392"/>
      <c r="Z78" s="392"/>
      <c r="AA78" s="392"/>
      <c r="AB78" s="392"/>
      <c r="AC78" s="392"/>
      <c r="AD78" s="392"/>
      <c r="AE78" s="392"/>
      <c r="AF78" s="392"/>
      <c r="AG78" s="392"/>
      <c r="AH78" s="392"/>
      <c r="AI78" s="392"/>
      <c r="AJ78" s="392"/>
      <c r="AK78" s="392"/>
      <c r="AL78" s="392"/>
      <c r="AM78" s="392"/>
      <c r="AN78" s="392"/>
      <c r="AO78" s="392"/>
      <c r="AP78" s="392"/>
      <c r="AQ78" s="392"/>
      <c r="AR78" s="392"/>
      <c r="AS78" s="392"/>
      <c r="AT78" s="392"/>
      <c r="AU78" s="392"/>
      <c r="AV78" s="392"/>
      <c r="AW78" s="392"/>
      <c r="AX78" s="392"/>
      <c r="AY78" s="392"/>
      <c r="AZ78" s="392"/>
      <c r="BA78" s="392"/>
      <c r="BB78" s="392"/>
      <c r="BC78" s="392"/>
      <c r="BD78" s="392"/>
      <c r="BE78" s="392"/>
      <c r="BF78" s="392"/>
      <c r="BG78" s="392"/>
      <c r="BH78" s="392"/>
      <c r="BI78" s="392"/>
      <c r="BJ78" s="392"/>
      <c r="BK78" s="392"/>
      <c r="BL78" s="392"/>
      <c r="BM78" s="392"/>
      <c r="BN78" s="392"/>
      <c r="BO78" s="392"/>
      <c r="BP78" s="392"/>
      <c r="BQ78" s="392"/>
      <c r="BR78" s="392"/>
      <c r="BS78" s="392"/>
      <c r="BT78" s="392"/>
      <c r="BU78" s="392"/>
      <c r="BV78" s="392"/>
      <c r="BW78" s="392"/>
      <c r="BX78" s="392"/>
      <c r="BY78" s="392"/>
      <c r="BZ78" s="392"/>
      <c r="CA78" s="392"/>
      <c r="CB78" s="392"/>
      <c r="CC78" s="392"/>
      <c r="CD78" s="392"/>
      <c r="CE78" s="392"/>
      <c r="CF78" s="392"/>
      <c r="CG78" s="392"/>
      <c r="CH78" s="392"/>
      <c r="CI78" s="392"/>
      <c r="CJ78" s="392"/>
      <c r="CK78" s="392"/>
      <c r="CL78" s="392"/>
      <c r="CM78" s="392"/>
      <c r="CN78" s="392"/>
      <c r="CO78" s="392"/>
      <c r="CP78" s="392"/>
      <c r="CQ78" s="392"/>
      <c r="CR78" s="392"/>
      <c r="CS78" s="392"/>
      <c r="CT78" s="392"/>
      <c r="CU78" s="392"/>
      <c r="CV78" s="392"/>
      <c r="CW78" s="392"/>
      <c r="CX78" s="392"/>
      <c r="CY78" s="392"/>
      <c r="CZ78" s="392"/>
      <c r="DA78" s="392"/>
      <c r="DB78" s="392"/>
      <c r="DC78" s="392"/>
      <c r="DD78" s="392"/>
      <c r="DE78" s="392"/>
      <c r="DF78" s="392"/>
      <c r="DG78" s="392"/>
      <c r="DH78" s="392"/>
      <c r="DI78" s="392"/>
      <c r="DJ78" s="392"/>
      <c r="DK78" s="392"/>
      <c r="DL78" s="392"/>
      <c r="DM78" s="392"/>
      <c r="DN78" s="392"/>
      <c r="DO78" s="392"/>
      <c r="DP78" s="392"/>
      <c r="DQ78" s="392"/>
      <c r="DR78" s="392"/>
      <c r="DS78" s="392"/>
      <c r="DT78" s="392"/>
      <c r="DU78" s="392"/>
      <c r="DV78" s="392"/>
      <c r="DW78" s="392"/>
      <c r="DX78" s="392"/>
      <c r="DY78" s="392"/>
      <c r="DZ78" s="392"/>
      <c r="EA78" s="392"/>
      <c r="EB78" s="392"/>
      <c r="EC78" s="392"/>
      <c r="ED78" s="392"/>
      <c r="EE78" s="392"/>
      <c r="EF78" s="392"/>
      <c r="EG78" s="392"/>
      <c r="EH78" s="392"/>
      <c r="EI78" s="392"/>
      <c r="EJ78" s="392"/>
      <c r="EK78" s="392"/>
      <c r="EL78" s="392"/>
      <c r="EM78" s="392"/>
      <c r="EN78" s="392"/>
      <c r="EO78" s="392"/>
      <c r="EP78" s="392"/>
      <c r="EQ78" s="392"/>
      <c r="ER78" s="392"/>
      <c r="ES78" s="392"/>
      <c r="ET78" s="392"/>
      <c r="EU78" s="392"/>
      <c r="EV78" s="392"/>
      <c r="EW78" s="392"/>
      <c r="EX78" s="392"/>
      <c r="EY78" s="392"/>
      <c r="EZ78" s="392"/>
      <c r="FA78" s="392"/>
      <c r="FB78" s="392"/>
      <c r="FC78" s="392"/>
      <c r="FD78" s="392"/>
      <c r="FE78" s="392"/>
      <c r="FF78" s="392"/>
      <c r="FG78" s="392"/>
      <c r="FH78" s="392"/>
      <c r="FI78" s="392"/>
      <c r="FJ78" s="392"/>
      <c r="FK78" s="392"/>
      <c r="FL78" s="392"/>
      <c r="FM78" s="392"/>
      <c r="FN78" s="392"/>
      <c r="FO78" s="392"/>
      <c r="FP78" s="392"/>
      <c r="FQ78" s="392"/>
      <c r="FR78" s="392"/>
      <c r="FS78" s="392"/>
      <c r="FT78" s="392"/>
      <c r="FU78" s="392"/>
      <c r="FV78" s="392"/>
      <c r="FW78" s="392"/>
      <c r="FX78" s="392"/>
      <c r="FY78" s="392"/>
      <c r="FZ78" s="392"/>
      <c r="GA78" s="392"/>
      <c r="GB78" s="392"/>
      <c r="GC78" s="392"/>
      <c r="GD78" s="392"/>
      <c r="GE78" s="392"/>
      <c r="GF78" s="392"/>
      <c r="GG78" s="392"/>
      <c r="GH78" s="392"/>
      <c r="GI78" s="392"/>
      <c r="GJ78" s="392"/>
      <c r="GK78" s="392"/>
      <c r="GL78" s="392"/>
      <c r="GM78" s="392"/>
      <c r="GN78" s="392"/>
      <c r="GO78" s="392"/>
      <c r="GP78" s="392"/>
      <c r="GQ78" s="392"/>
      <c r="GR78" s="392"/>
      <c r="GS78" s="392"/>
      <c r="GT78" s="392"/>
      <c r="GU78" s="392"/>
      <c r="GV78" s="392"/>
      <c r="GW78" s="392"/>
      <c r="GX78" s="392"/>
      <c r="GY78" s="392"/>
      <c r="GZ78" s="392"/>
      <c r="HA78" s="392"/>
      <c r="HB78" s="392"/>
      <c r="HC78" s="392"/>
      <c r="HD78" s="392"/>
      <c r="HE78" s="392"/>
      <c r="HF78" s="392"/>
      <c r="HG78" s="392"/>
      <c r="HH78" s="392"/>
      <c r="HI78" s="392"/>
      <c r="HJ78" s="392"/>
      <c r="HK78" s="392"/>
      <c r="HL78" s="392"/>
      <c r="HM78" s="392"/>
      <c r="HN78" s="392"/>
      <c r="HO78" s="392"/>
      <c r="HP78" s="392"/>
      <c r="HQ78" s="392"/>
      <c r="HR78" s="392"/>
      <c r="HS78" s="392"/>
      <c r="HT78" s="392"/>
      <c r="HU78" s="392"/>
      <c r="HV78" s="392"/>
      <c r="HW78" s="392"/>
      <c r="HX78" s="392"/>
      <c r="HY78" s="392"/>
      <c r="HZ78" s="392"/>
      <c r="IA78" s="392"/>
      <c r="IB78" s="392"/>
      <c r="IC78" s="392"/>
      <c r="ID78" s="392"/>
      <c r="IE78" s="392"/>
      <c r="IF78" s="392"/>
      <c r="IG78" s="392"/>
      <c r="IH78" s="392"/>
      <c r="II78" s="392"/>
      <c r="IJ78" s="392"/>
      <c r="IK78" s="392"/>
      <c r="IL78" s="392"/>
      <c r="IM78" s="392"/>
      <c r="IN78" s="392"/>
      <c r="IO78" s="392"/>
      <c r="IP78" s="392"/>
      <c r="IQ78" s="392"/>
      <c r="IR78" s="392"/>
      <c r="IS78" s="392"/>
      <c r="IT78" s="392"/>
      <c r="IU78" s="392"/>
      <c r="IV78" s="392"/>
      <c r="IW78" s="392"/>
      <c r="IX78" s="392"/>
      <c r="IY78" s="392"/>
      <c r="IZ78" s="392"/>
      <c r="JA78" s="392"/>
      <c r="JB78" s="392"/>
      <c r="JC78" s="392"/>
      <c r="JD78" s="392"/>
      <c r="JE78" s="392"/>
      <c r="JF78" s="392"/>
      <c r="JG78" s="392"/>
      <c r="JH78" s="392"/>
      <c r="JI78" s="393">
        <f t="shared" si="3"/>
        <v>0</v>
      </c>
      <c r="JJ78" s="2">
        <v>6060</v>
      </c>
      <c r="JK78" s="392">
        <f t="shared" si="2"/>
        <v>0</v>
      </c>
      <c r="JL78" s="284"/>
      <c r="JM78" s="284"/>
      <c r="JN78" s="284"/>
      <c r="JO78" s="284"/>
      <c r="JP78" s="284"/>
    </row>
    <row r="79" spans="1:276" x14ac:dyDescent="0.3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392"/>
      <c r="S79" s="392"/>
      <c r="T79" s="392"/>
      <c r="U79" s="392"/>
      <c r="V79" s="392"/>
      <c r="W79" s="392"/>
      <c r="X79" s="392"/>
      <c r="Y79" s="392"/>
      <c r="Z79" s="392"/>
      <c r="AA79" s="392"/>
      <c r="AB79" s="392"/>
      <c r="AC79" s="392"/>
      <c r="AD79" s="392"/>
      <c r="AE79" s="392"/>
      <c r="AF79" s="392"/>
      <c r="AG79" s="392"/>
      <c r="AH79" s="392"/>
      <c r="AI79" s="392"/>
      <c r="AJ79" s="392"/>
      <c r="AK79" s="392"/>
      <c r="AL79" s="392"/>
      <c r="AM79" s="392"/>
      <c r="AN79" s="392"/>
      <c r="AO79" s="392"/>
      <c r="AP79" s="392"/>
      <c r="AQ79" s="392"/>
      <c r="AR79" s="392"/>
      <c r="AS79" s="392"/>
      <c r="AT79" s="392"/>
      <c r="AU79" s="392"/>
      <c r="AV79" s="392"/>
      <c r="AW79" s="392"/>
      <c r="AX79" s="392"/>
      <c r="AY79" s="392"/>
      <c r="AZ79" s="392"/>
      <c r="BA79" s="392"/>
      <c r="BB79" s="392"/>
      <c r="BC79" s="392"/>
      <c r="BD79" s="392"/>
      <c r="BE79" s="392"/>
      <c r="BF79" s="392"/>
      <c r="BG79" s="392"/>
      <c r="BH79" s="392"/>
      <c r="BI79" s="392"/>
      <c r="BJ79" s="392"/>
      <c r="BK79" s="392"/>
      <c r="BL79" s="392"/>
      <c r="BM79" s="392"/>
      <c r="BN79" s="392"/>
      <c r="BO79" s="392"/>
      <c r="BP79" s="392"/>
      <c r="BQ79" s="392"/>
      <c r="BR79" s="392"/>
      <c r="BS79" s="392"/>
      <c r="BT79" s="392"/>
      <c r="BU79" s="392"/>
      <c r="BV79" s="392"/>
      <c r="BW79" s="392"/>
      <c r="BX79" s="392"/>
      <c r="BY79" s="392"/>
      <c r="BZ79" s="392"/>
      <c r="CA79" s="392"/>
      <c r="CB79" s="392"/>
      <c r="CC79" s="392"/>
      <c r="CD79" s="392"/>
      <c r="CE79" s="392"/>
      <c r="CF79" s="392"/>
      <c r="CG79" s="392"/>
      <c r="CH79" s="392"/>
      <c r="CI79" s="392"/>
      <c r="CJ79" s="392"/>
      <c r="CK79" s="392"/>
      <c r="CL79" s="392"/>
      <c r="CM79" s="392"/>
      <c r="CN79" s="392"/>
      <c r="CO79" s="392"/>
      <c r="CP79" s="392"/>
      <c r="CQ79" s="392"/>
      <c r="CR79" s="392"/>
      <c r="CS79" s="392"/>
      <c r="CT79" s="392"/>
      <c r="CU79" s="392"/>
      <c r="CV79" s="392"/>
      <c r="CW79" s="392"/>
      <c r="CX79" s="392"/>
      <c r="CY79" s="392"/>
      <c r="CZ79" s="392"/>
      <c r="DA79" s="392"/>
      <c r="DB79" s="392"/>
      <c r="DC79" s="392"/>
      <c r="DD79" s="392"/>
      <c r="DE79" s="392"/>
      <c r="DF79" s="392"/>
      <c r="DG79" s="392"/>
      <c r="DH79" s="392"/>
      <c r="DI79" s="392"/>
      <c r="DJ79" s="392"/>
      <c r="DK79" s="392"/>
      <c r="DL79" s="392"/>
      <c r="DM79" s="392"/>
      <c r="DN79" s="392"/>
      <c r="DO79" s="392"/>
      <c r="DP79" s="392"/>
      <c r="DQ79" s="392"/>
      <c r="DR79" s="392"/>
      <c r="DS79" s="392"/>
      <c r="DT79" s="392"/>
      <c r="DU79" s="392"/>
      <c r="DV79" s="392"/>
      <c r="DW79" s="392"/>
      <c r="DX79" s="392"/>
      <c r="DY79" s="392"/>
      <c r="DZ79" s="392"/>
      <c r="EA79" s="392"/>
      <c r="EB79" s="392"/>
      <c r="EC79" s="392"/>
      <c r="ED79" s="392"/>
      <c r="EE79" s="392"/>
      <c r="EF79" s="392"/>
      <c r="EG79" s="392"/>
      <c r="EH79" s="392"/>
      <c r="EI79" s="392"/>
      <c r="EJ79" s="392"/>
      <c r="EK79" s="392"/>
      <c r="EL79" s="392"/>
      <c r="EM79" s="392"/>
      <c r="EN79" s="392"/>
      <c r="EO79" s="392"/>
      <c r="EP79" s="392"/>
      <c r="EQ79" s="392"/>
      <c r="ER79" s="392"/>
      <c r="ES79" s="392"/>
      <c r="ET79" s="392"/>
      <c r="EU79" s="392"/>
      <c r="EV79" s="392"/>
      <c r="EW79" s="392"/>
      <c r="EX79" s="392"/>
      <c r="EY79" s="392"/>
      <c r="EZ79" s="392"/>
      <c r="FA79" s="392"/>
      <c r="FB79" s="392"/>
      <c r="FC79" s="392"/>
      <c r="FD79" s="392"/>
      <c r="FE79" s="392"/>
      <c r="FF79" s="392"/>
      <c r="FG79" s="392"/>
      <c r="FH79" s="392"/>
      <c r="FI79" s="392"/>
      <c r="FJ79" s="392"/>
      <c r="FK79" s="392"/>
      <c r="FL79" s="392"/>
      <c r="FM79" s="392"/>
      <c r="FN79" s="392"/>
      <c r="FO79" s="392"/>
      <c r="FP79" s="392"/>
      <c r="FQ79" s="392"/>
      <c r="FR79" s="392"/>
      <c r="FS79" s="392"/>
      <c r="FT79" s="392"/>
      <c r="FU79" s="392"/>
      <c r="FV79" s="392"/>
      <c r="FW79" s="392"/>
      <c r="FX79" s="392"/>
      <c r="FY79" s="392"/>
      <c r="FZ79" s="392"/>
      <c r="GA79" s="392"/>
      <c r="GB79" s="392"/>
      <c r="GC79" s="392"/>
      <c r="GD79" s="392"/>
      <c r="GE79" s="392"/>
      <c r="GF79" s="392"/>
      <c r="GG79" s="392"/>
      <c r="GH79" s="392"/>
      <c r="GI79" s="392"/>
      <c r="GJ79" s="392"/>
      <c r="GK79" s="392"/>
      <c r="GL79" s="392"/>
      <c r="GM79" s="392"/>
      <c r="GN79" s="392"/>
      <c r="GO79" s="392"/>
      <c r="GP79" s="392"/>
      <c r="GQ79" s="392"/>
      <c r="GR79" s="392"/>
      <c r="GS79" s="392"/>
      <c r="GT79" s="392"/>
      <c r="GU79" s="392"/>
      <c r="GV79" s="392"/>
      <c r="GW79" s="392"/>
      <c r="GX79" s="392"/>
      <c r="GY79" s="392"/>
      <c r="GZ79" s="392"/>
      <c r="HA79" s="392"/>
      <c r="HB79" s="392"/>
      <c r="HC79" s="392"/>
      <c r="HD79" s="392"/>
      <c r="HE79" s="392"/>
      <c r="HF79" s="392"/>
      <c r="HG79" s="392"/>
      <c r="HH79" s="392"/>
      <c r="HI79" s="392"/>
      <c r="HJ79" s="392"/>
      <c r="HK79" s="392"/>
      <c r="HL79" s="392"/>
      <c r="HM79" s="392"/>
      <c r="HN79" s="392"/>
      <c r="HO79" s="392"/>
      <c r="HP79" s="392"/>
      <c r="HQ79" s="392"/>
      <c r="HR79" s="392"/>
      <c r="HS79" s="392"/>
      <c r="HT79" s="392"/>
      <c r="HU79" s="392"/>
      <c r="HV79" s="392"/>
      <c r="HW79" s="392"/>
      <c r="HX79" s="392"/>
      <c r="HY79" s="392"/>
      <c r="HZ79" s="392"/>
      <c r="IA79" s="392"/>
      <c r="IB79" s="392"/>
      <c r="IC79" s="392"/>
      <c r="ID79" s="392"/>
      <c r="IE79" s="392"/>
      <c r="IF79" s="392"/>
      <c r="IG79" s="392"/>
      <c r="IH79" s="392"/>
      <c r="II79" s="392"/>
      <c r="IJ79" s="392"/>
      <c r="IK79" s="392"/>
      <c r="IL79" s="392"/>
      <c r="IM79" s="392"/>
      <c r="IN79" s="392"/>
      <c r="IO79" s="392"/>
      <c r="IP79" s="392"/>
      <c r="IQ79" s="392"/>
      <c r="IR79" s="392"/>
      <c r="IS79" s="392"/>
      <c r="IT79" s="392"/>
      <c r="IU79" s="392"/>
      <c r="IV79" s="392"/>
      <c r="IW79" s="392"/>
      <c r="IX79" s="392"/>
      <c r="IY79" s="392"/>
      <c r="IZ79" s="392"/>
      <c r="JA79" s="392"/>
      <c r="JB79" s="392"/>
      <c r="JC79" s="392"/>
      <c r="JD79" s="392"/>
      <c r="JE79" s="392"/>
      <c r="JF79" s="392"/>
      <c r="JG79" s="392"/>
      <c r="JH79" s="392"/>
      <c r="JI79" s="393">
        <f t="shared" si="3"/>
        <v>0</v>
      </c>
      <c r="JJ79" s="2">
        <v>6067</v>
      </c>
      <c r="JK79" s="392">
        <f t="shared" si="2"/>
        <v>0</v>
      </c>
      <c r="JL79" s="284"/>
      <c r="JM79" s="284"/>
      <c r="JN79" s="284"/>
      <c r="JO79" s="284"/>
      <c r="JP79" s="284"/>
    </row>
    <row r="80" spans="1:276" x14ac:dyDescent="0.3">
      <c r="A80" s="392"/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392"/>
      <c r="T80" s="392"/>
      <c r="U80" s="392"/>
      <c r="V80" s="392"/>
      <c r="W80" s="392"/>
      <c r="X80" s="392"/>
      <c r="Y80" s="392"/>
      <c r="Z80" s="392"/>
      <c r="AA80" s="392"/>
      <c r="AB80" s="392"/>
      <c r="AC80" s="392"/>
      <c r="AD80" s="392"/>
      <c r="AE80" s="392"/>
      <c r="AF80" s="392"/>
      <c r="AG80" s="392"/>
      <c r="AH80" s="392"/>
      <c r="AI80" s="392"/>
      <c r="AJ80" s="392"/>
      <c r="AK80" s="392"/>
      <c r="AL80" s="392"/>
      <c r="AM80" s="392"/>
      <c r="AN80" s="392"/>
      <c r="AO80" s="392"/>
      <c r="AP80" s="392"/>
      <c r="AQ80" s="392"/>
      <c r="AR80" s="392"/>
      <c r="AS80" s="392"/>
      <c r="AT80" s="392"/>
      <c r="AU80" s="392"/>
      <c r="AV80" s="392"/>
      <c r="AW80" s="392"/>
      <c r="AX80" s="392"/>
      <c r="AY80" s="392"/>
      <c r="AZ80" s="392"/>
      <c r="BA80" s="392"/>
      <c r="BB80" s="392"/>
      <c r="BC80" s="392"/>
      <c r="BD80" s="392"/>
      <c r="BE80" s="392"/>
      <c r="BF80" s="392"/>
      <c r="BG80" s="392"/>
      <c r="BH80" s="392"/>
      <c r="BI80" s="392"/>
      <c r="BJ80" s="392"/>
      <c r="BK80" s="392"/>
      <c r="BL80" s="392"/>
      <c r="BM80" s="392"/>
      <c r="BN80" s="392"/>
      <c r="BO80" s="392"/>
      <c r="BP80" s="392"/>
      <c r="BQ80" s="392"/>
      <c r="BR80" s="392"/>
      <c r="BS80" s="392"/>
      <c r="BT80" s="392"/>
      <c r="BU80" s="392"/>
      <c r="BV80" s="392"/>
      <c r="BW80" s="392"/>
      <c r="BX80" s="392"/>
      <c r="BY80" s="392"/>
      <c r="BZ80" s="392"/>
      <c r="CA80" s="392"/>
      <c r="CB80" s="392"/>
      <c r="CC80" s="392"/>
      <c r="CD80" s="392"/>
      <c r="CE80" s="392"/>
      <c r="CF80" s="392"/>
      <c r="CG80" s="392"/>
      <c r="CH80" s="392"/>
      <c r="CI80" s="392"/>
      <c r="CJ80" s="392"/>
      <c r="CK80" s="392"/>
      <c r="CL80" s="392"/>
      <c r="CM80" s="392"/>
      <c r="CN80" s="392"/>
      <c r="CO80" s="392"/>
      <c r="CP80" s="392"/>
      <c r="CQ80" s="392"/>
      <c r="CR80" s="392"/>
      <c r="CS80" s="392"/>
      <c r="CT80" s="392"/>
      <c r="CU80" s="392"/>
      <c r="CV80" s="392"/>
      <c r="CW80" s="392"/>
      <c r="CX80" s="392"/>
      <c r="CY80" s="392"/>
      <c r="CZ80" s="392"/>
      <c r="DA80" s="392"/>
      <c r="DB80" s="392"/>
      <c r="DC80" s="392"/>
      <c r="DD80" s="392"/>
      <c r="DE80" s="392"/>
      <c r="DF80" s="392"/>
      <c r="DG80" s="392"/>
      <c r="DH80" s="392"/>
      <c r="DI80" s="392"/>
      <c r="DJ80" s="392"/>
      <c r="DK80" s="392"/>
      <c r="DL80" s="392"/>
      <c r="DM80" s="392"/>
      <c r="DN80" s="392"/>
      <c r="DO80" s="392"/>
      <c r="DP80" s="392"/>
      <c r="DQ80" s="392"/>
      <c r="DR80" s="392"/>
      <c r="DS80" s="392"/>
      <c r="DT80" s="392"/>
      <c r="DU80" s="392"/>
      <c r="DV80" s="392"/>
      <c r="DW80" s="392"/>
      <c r="DX80" s="392"/>
      <c r="DY80" s="392"/>
      <c r="DZ80" s="392"/>
      <c r="EA80" s="392"/>
      <c r="EB80" s="392"/>
      <c r="EC80" s="392"/>
      <c r="ED80" s="392"/>
      <c r="EE80" s="392"/>
      <c r="EF80" s="392"/>
      <c r="EG80" s="392"/>
      <c r="EH80" s="392"/>
      <c r="EI80" s="392"/>
      <c r="EJ80" s="392"/>
      <c r="EK80" s="392"/>
      <c r="EL80" s="392"/>
      <c r="EM80" s="392"/>
      <c r="EN80" s="392"/>
      <c r="EO80" s="392"/>
      <c r="EP80" s="392"/>
      <c r="EQ80" s="392"/>
      <c r="ER80" s="392"/>
      <c r="ES80" s="392"/>
      <c r="ET80" s="392"/>
      <c r="EU80" s="392"/>
      <c r="EV80" s="392"/>
      <c r="EW80" s="392"/>
      <c r="EX80" s="392"/>
      <c r="EY80" s="392"/>
      <c r="EZ80" s="392"/>
      <c r="FA80" s="392"/>
      <c r="FB80" s="392"/>
      <c r="FC80" s="392"/>
      <c r="FD80" s="392"/>
      <c r="FE80" s="392"/>
      <c r="FF80" s="392"/>
      <c r="FG80" s="392"/>
      <c r="FH80" s="392"/>
      <c r="FI80" s="392"/>
      <c r="FJ80" s="392"/>
      <c r="FK80" s="392"/>
      <c r="FL80" s="392"/>
      <c r="FM80" s="392"/>
      <c r="FN80" s="392"/>
      <c r="FO80" s="392"/>
      <c r="FP80" s="392"/>
      <c r="FQ80" s="392"/>
      <c r="FR80" s="392"/>
      <c r="FS80" s="392"/>
      <c r="FT80" s="392"/>
      <c r="FU80" s="392"/>
      <c r="FV80" s="392"/>
      <c r="FW80" s="392"/>
      <c r="FX80" s="392"/>
      <c r="FY80" s="392"/>
      <c r="FZ80" s="392"/>
      <c r="GA80" s="392"/>
      <c r="GB80" s="392"/>
      <c r="GC80" s="392"/>
      <c r="GD80" s="392"/>
      <c r="GE80" s="392"/>
      <c r="GF80" s="392"/>
      <c r="GG80" s="392"/>
      <c r="GH80" s="392"/>
      <c r="GI80" s="392"/>
      <c r="GJ80" s="392"/>
      <c r="GK80" s="392"/>
      <c r="GL80" s="392"/>
      <c r="GM80" s="392"/>
      <c r="GN80" s="392"/>
      <c r="GO80" s="392"/>
      <c r="GP80" s="392"/>
      <c r="GQ80" s="392"/>
      <c r="GR80" s="392"/>
      <c r="GS80" s="392"/>
      <c r="GT80" s="392"/>
      <c r="GU80" s="392"/>
      <c r="GV80" s="392"/>
      <c r="GW80" s="392"/>
      <c r="GX80" s="392"/>
      <c r="GY80" s="392"/>
      <c r="GZ80" s="392"/>
      <c r="HA80" s="392"/>
      <c r="HB80" s="392"/>
      <c r="HC80" s="392"/>
      <c r="HD80" s="392"/>
      <c r="HE80" s="392"/>
      <c r="HF80" s="392"/>
      <c r="HG80" s="392"/>
      <c r="HH80" s="392"/>
      <c r="HI80" s="392"/>
      <c r="HJ80" s="392"/>
      <c r="HK80" s="392"/>
      <c r="HL80" s="392"/>
      <c r="HM80" s="392"/>
      <c r="HN80" s="392"/>
      <c r="HO80" s="392"/>
      <c r="HP80" s="392"/>
      <c r="HQ80" s="392"/>
      <c r="HR80" s="392"/>
      <c r="HS80" s="392"/>
      <c r="HT80" s="392"/>
      <c r="HU80" s="392"/>
      <c r="HV80" s="392"/>
      <c r="HW80" s="392"/>
      <c r="HX80" s="392"/>
      <c r="HY80" s="392"/>
      <c r="HZ80" s="392"/>
      <c r="IA80" s="392"/>
      <c r="IB80" s="392"/>
      <c r="IC80" s="392"/>
      <c r="ID80" s="392"/>
      <c r="IE80" s="392"/>
      <c r="IF80" s="392"/>
      <c r="IG80" s="392"/>
      <c r="IH80" s="392"/>
      <c r="II80" s="392"/>
      <c r="IJ80" s="392"/>
      <c r="IK80" s="392"/>
      <c r="IL80" s="392"/>
      <c r="IM80" s="392"/>
      <c r="IN80" s="392"/>
      <c r="IO80" s="392"/>
      <c r="IP80" s="392"/>
      <c r="IQ80" s="392"/>
      <c r="IR80" s="392"/>
      <c r="IS80" s="392"/>
      <c r="IT80" s="392"/>
      <c r="IU80" s="392"/>
      <c r="IV80" s="392"/>
      <c r="IW80" s="392"/>
      <c r="IX80" s="392"/>
      <c r="IY80" s="392"/>
      <c r="IZ80" s="392"/>
      <c r="JA80" s="392"/>
      <c r="JB80" s="392"/>
      <c r="JC80" s="392"/>
      <c r="JD80" s="392"/>
      <c r="JE80" s="392"/>
      <c r="JF80" s="392"/>
      <c r="JG80" s="392"/>
      <c r="JH80" s="392"/>
      <c r="JI80" s="393">
        <f t="shared" si="3"/>
        <v>0</v>
      </c>
      <c r="JJ80" s="2">
        <v>6072</v>
      </c>
      <c r="JK80" s="392">
        <f t="shared" si="2"/>
        <v>0</v>
      </c>
      <c r="JL80" s="284"/>
      <c r="JM80" s="284"/>
      <c r="JN80" s="284"/>
      <c r="JO80" s="284"/>
      <c r="JP80" s="284"/>
    </row>
    <row r="81" spans="1:276" x14ac:dyDescent="0.3">
      <c r="A81" s="392"/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2"/>
      <c r="M81" s="392"/>
      <c r="N81" s="392"/>
      <c r="O81" s="392"/>
      <c r="P81" s="392"/>
      <c r="Q81" s="392"/>
      <c r="R81" s="392"/>
      <c r="S81" s="392"/>
      <c r="T81" s="392"/>
      <c r="U81" s="392"/>
      <c r="V81" s="392"/>
      <c r="W81" s="392"/>
      <c r="X81" s="392"/>
      <c r="Y81" s="392"/>
      <c r="Z81" s="392"/>
      <c r="AA81" s="392"/>
      <c r="AB81" s="392"/>
      <c r="AC81" s="392"/>
      <c r="AD81" s="392"/>
      <c r="AE81" s="392"/>
      <c r="AF81" s="392"/>
      <c r="AG81" s="392"/>
      <c r="AH81" s="392"/>
      <c r="AI81" s="392"/>
      <c r="AJ81" s="392"/>
      <c r="AK81" s="392"/>
      <c r="AL81" s="392"/>
      <c r="AM81" s="392"/>
      <c r="AN81" s="392"/>
      <c r="AO81" s="392"/>
      <c r="AP81" s="392"/>
      <c r="AQ81" s="392"/>
      <c r="AR81" s="392"/>
      <c r="AS81" s="392"/>
      <c r="AT81" s="392"/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2"/>
      <c r="BF81" s="392"/>
      <c r="BG81" s="392"/>
      <c r="BH81" s="392"/>
      <c r="BI81" s="392"/>
      <c r="BJ81" s="392"/>
      <c r="BK81" s="392"/>
      <c r="BL81" s="392"/>
      <c r="BM81" s="392"/>
      <c r="BN81" s="392"/>
      <c r="BO81" s="392"/>
      <c r="BP81" s="392"/>
      <c r="BQ81" s="392"/>
      <c r="BR81" s="392"/>
      <c r="BS81" s="392"/>
      <c r="BT81" s="392"/>
      <c r="BU81" s="392"/>
      <c r="BV81" s="392"/>
      <c r="BW81" s="392"/>
      <c r="BX81" s="392"/>
      <c r="BY81" s="392"/>
      <c r="BZ81" s="392"/>
      <c r="CA81" s="392"/>
      <c r="CB81" s="392"/>
      <c r="CC81" s="392"/>
      <c r="CD81" s="392"/>
      <c r="CE81" s="392"/>
      <c r="CF81" s="392"/>
      <c r="CG81" s="392"/>
      <c r="CH81" s="392"/>
      <c r="CI81" s="392"/>
      <c r="CJ81" s="392"/>
      <c r="CK81" s="392"/>
      <c r="CL81" s="392"/>
      <c r="CM81" s="392"/>
      <c r="CN81" s="392"/>
      <c r="CO81" s="392"/>
      <c r="CP81" s="392"/>
      <c r="CQ81" s="392"/>
      <c r="CR81" s="392"/>
      <c r="CS81" s="392"/>
      <c r="CT81" s="392"/>
      <c r="CU81" s="392"/>
      <c r="CV81" s="392"/>
      <c r="CW81" s="392"/>
      <c r="CX81" s="392"/>
      <c r="CY81" s="392"/>
      <c r="CZ81" s="392"/>
      <c r="DA81" s="392"/>
      <c r="DB81" s="392"/>
      <c r="DC81" s="392"/>
      <c r="DD81" s="392"/>
      <c r="DE81" s="392"/>
      <c r="DF81" s="392"/>
      <c r="DG81" s="392"/>
      <c r="DH81" s="392"/>
      <c r="DI81" s="392"/>
      <c r="DJ81" s="392"/>
      <c r="DK81" s="392"/>
      <c r="DL81" s="392"/>
      <c r="DM81" s="392"/>
      <c r="DN81" s="392"/>
      <c r="DO81" s="392"/>
      <c r="DP81" s="392"/>
      <c r="DQ81" s="392"/>
      <c r="DR81" s="392"/>
      <c r="DS81" s="392"/>
      <c r="DT81" s="392"/>
      <c r="DU81" s="392"/>
      <c r="DV81" s="392"/>
      <c r="DW81" s="392"/>
      <c r="DX81" s="392"/>
      <c r="DY81" s="392"/>
      <c r="DZ81" s="392"/>
      <c r="EA81" s="392"/>
      <c r="EB81" s="392"/>
      <c r="EC81" s="392"/>
      <c r="ED81" s="392"/>
      <c r="EE81" s="392"/>
      <c r="EF81" s="392"/>
      <c r="EG81" s="392"/>
      <c r="EH81" s="392"/>
      <c r="EI81" s="392"/>
      <c r="EJ81" s="392"/>
      <c r="EK81" s="392"/>
      <c r="EL81" s="392"/>
      <c r="EM81" s="392"/>
      <c r="EN81" s="392"/>
      <c r="EO81" s="392"/>
      <c r="EP81" s="392"/>
      <c r="EQ81" s="392"/>
      <c r="ER81" s="392"/>
      <c r="ES81" s="392"/>
      <c r="ET81" s="392"/>
      <c r="EU81" s="392"/>
      <c r="EV81" s="392"/>
      <c r="EW81" s="392"/>
      <c r="EX81" s="392"/>
      <c r="EY81" s="392"/>
      <c r="EZ81" s="392"/>
      <c r="FA81" s="392"/>
      <c r="FB81" s="392"/>
      <c r="FC81" s="392"/>
      <c r="FD81" s="392"/>
      <c r="FE81" s="392"/>
      <c r="FF81" s="392"/>
      <c r="FG81" s="392"/>
      <c r="FH81" s="392"/>
      <c r="FI81" s="392"/>
      <c r="FJ81" s="392"/>
      <c r="FK81" s="392"/>
      <c r="FL81" s="392"/>
      <c r="FM81" s="392"/>
      <c r="FN81" s="392"/>
      <c r="FO81" s="392"/>
      <c r="FP81" s="392"/>
      <c r="FQ81" s="392"/>
      <c r="FR81" s="392"/>
      <c r="FS81" s="392"/>
      <c r="FT81" s="392"/>
      <c r="FU81" s="392"/>
      <c r="FV81" s="392"/>
      <c r="FW81" s="392"/>
      <c r="FX81" s="392"/>
      <c r="FY81" s="392"/>
      <c r="FZ81" s="392"/>
      <c r="GA81" s="392"/>
      <c r="GB81" s="392"/>
      <c r="GC81" s="392"/>
      <c r="GD81" s="392"/>
      <c r="GE81" s="392"/>
      <c r="GF81" s="392"/>
      <c r="GG81" s="392"/>
      <c r="GH81" s="392"/>
      <c r="GI81" s="392"/>
      <c r="GJ81" s="392"/>
      <c r="GK81" s="392"/>
      <c r="GL81" s="392"/>
      <c r="GM81" s="392"/>
      <c r="GN81" s="392"/>
      <c r="GO81" s="392"/>
      <c r="GP81" s="392"/>
      <c r="GQ81" s="392"/>
      <c r="GR81" s="392"/>
      <c r="GS81" s="392"/>
      <c r="GT81" s="392"/>
      <c r="GU81" s="392"/>
      <c r="GV81" s="392"/>
      <c r="GW81" s="392"/>
      <c r="GX81" s="392"/>
      <c r="GY81" s="392"/>
      <c r="GZ81" s="392"/>
      <c r="HA81" s="392"/>
      <c r="HB81" s="392"/>
      <c r="HC81" s="392"/>
      <c r="HD81" s="392"/>
      <c r="HE81" s="392"/>
      <c r="HF81" s="392"/>
      <c r="HG81" s="392"/>
      <c r="HH81" s="392"/>
      <c r="HI81" s="392"/>
      <c r="HJ81" s="392"/>
      <c r="HK81" s="392"/>
      <c r="HL81" s="392"/>
      <c r="HM81" s="392"/>
      <c r="HN81" s="392"/>
      <c r="HO81" s="392"/>
      <c r="HP81" s="392"/>
      <c r="HQ81" s="392"/>
      <c r="HR81" s="392"/>
      <c r="HS81" s="392"/>
      <c r="HT81" s="392"/>
      <c r="HU81" s="392"/>
      <c r="HV81" s="392"/>
      <c r="HW81" s="392"/>
      <c r="HX81" s="392"/>
      <c r="HY81" s="392"/>
      <c r="HZ81" s="392"/>
      <c r="IA81" s="392"/>
      <c r="IB81" s="392"/>
      <c r="IC81" s="392"/>
      <c r="ID81" s="392"/>
      <c r="IE81" s="392"/>
      <c r="IF81" s="392"/>
      <c r="IG81" s="392"/>
      <c r="IH81" s="392"/>
      <c r="II81" s="392"/>
      <c r="IJ81" s="392"/>
      <c r="IK81" s="392"/>
      <c r="IL81" s="392"/>
      <c r="IM81" s="392"/>
      <c r="IN81" s="392"/>
      <c r="IO81" s="392"/>
      <c r="IP81" s="392"/>
      <c r="IQ81" s="392"/>
      <c r="IR81" s="392"/>
      <c r="IS81" s="392"/>
      <c r="IT81" s="392"/>
      <c r="IU81" s="392"/>
      <c r="IV81" s="392"/>
      <c r="IW81" s="392"/>
      <c r="IX81" s="392"/>
      <c r="IY81" s="392"/>
      <c r="IZ81" s="392"/>
      <c r="JA81" s="392"/>
      <c r="JB81" s="392"/>
      <c r="JC81" s="392"/>
      <c r="JD81" s="392"/>
      <c r="JE81" s="392"/>
      <c r="JF81" s="392"/>
      <c r="JG81" s="392"/>
      <c r="JH81" s="392"/>
      <c r="JI81" s="393">
        <f t="shared" si="3"/>
        <v>0</v>
      </c>
      <c r="JJ81" s="2">
        <v>6075</v>
      </c>
      <c r="JK81" s="392">
        <f t="shared" si="2"/>
        <v>0</v>
      </c>
      <c r="JL81" s="284"/>
      <c r="JM81" s="284"/>
      <c r="JN81" s="284"/>
      <c r="JO81" s="284"/>
      <c r="JP81" s="284"/>
    </row>
    <row r="82" spans="1:276" x14ac:dyDescent="0.3">
      <c r="A82" s="392"/>
      <c r="B82" s="392"/>
      <c r="C82" s="392"/>
      <c r="D82" s="392"/>
      <c r="E82" s="392"/>
      <c r="F82" s="392"/>
      <c r="G82" s="392"/>
      <c r="H82" s="392"/>
      <c r="I82" s="392"/>
      <c r="J82" s="392"/>
      <c r="K82" s="392"/>
      <c r="L82" s="392"/>
      <c r="M82" s="392"/>
      <c r="N82" s="392"/>
      <c r="O82" s="392"/>
      <c r="P82" s="392"/>
      <c r="Q82" s="392"/>
      <c r="R82" s="392"/>
      <c r="S82" s="392"/>
      <c r="T82" s="392"/>
      <c r="U82" s="392"/>
      <c r="V82" s="392"/>
      <c r="W82" s="392"/>
      <c r="X82" s="392"/>
      <c r="Y82" s="392"/>
      <c r="Z82" s="392"/>
      <c r="AA82" s="392"/>
      <c r="AB82" s="392"/>
      <c r="AC82" s="392"/>
      <c r="AD82" s="392"/>
      <c r="AE82" s="392"/>
      <c r="AF82" s="392"/>
      <c r="AG82" s="392"/>
      <c r="AH82" s="392"/>
      <c r="AI82" s="392"/>
      <c r="AJ82" s="392"/>
      <c r="AK82" s="392"/>
      <c r="AL82" s="392"/>
      <c r="AM82" s="392"/>
      <c r="AN82" s="392"/>
      <c r="AO82" s="392"/>
      <c r="AP82" s="392"/>
      <c r="AQ82" s="392"/>
      <c r="AR82" s="392"/>
      <c r="AS82" s="392"/>
      <c r="AT82" s="392"/>
      <c r="AU82" s="392"/>
      <c r="AV82" s="392"/>
      <c r="AW82" s="392"/>
      <c r="AX82" s="392"/>
      <c r="AY82" s="392"/>
      <c r="AZ82" s="392"/>
      <c r="BA82" s="392"/>
      <c r="BB82" s="392"/>
      <c r="BC82" s="392"/>
      <c r="BD82" s="392"/>
      <c r="BE82" s="392"/>
      <c r="BF82" s="392"/>
      <c r="BG82" s="392"/>
      <c r="BH82" s="392"/>
      <c r="BI82" s="392"/>
      <c r="BJ82" s="392"/>
      <c r="BK82" s="392"/>
      <c r="BL82" s="392"/>
      <c r="BM82" s="392"/>
      <c r="BN82" s="392"/>
      <c r="BO82" s="392"/>
      <c r="BP82" s="392"/>
      <c r="BQ82" s="392"/>
      <c r="BR82" s="392"/>
      <c r="BS82" s="392"/>
      <c r="BT82" s="392"/>
      <c r="BU82" s="392"/>
      <c r="BV82" s="392"/>
      <c r="BW82" s="392"/>
      <c r="BX82" s="392"/>
      <c r="BY82" s="392"/>
      <c r="BZ82" s="392"/>
      <c r="CA82" s="392"/>
      <c r="CB82" s="392"/>
      <c r="CC82" s="392"/>
      <c r="CD82" s="392"/>
      <c r="CE82" s="392"/>
      <c r="CF82" s="392"/>
      <c r="CG82" s="392"/>
      <c r="CH82" s="392"/>
      <c r="CI82" s="392"/>
      <c r="CJ82" s="392"/>
      <c r="CK82" s="392"/>
      <c r="CL82" s="392"/>
      <c r="CM82" s="392"/>
      <c r="CN82" s="392"/>
      <c r="CO82" s="392"/>
      <c r="CP82" s="392"/>
      <c r="CQ82" s="392"/>
      <c r="CR82" s="392"/>
      <c r="CS82" s="392"/>
      <c r="CT82" s="392"/>
      <c r="CU82" s="392"/>
      <c r="CV82" s="392"/>
      <c r="CW82" s="392"/>
      <c r="CX82" s="392"/>
      <c r="CY82" s="392"/>
      <c r="CZ82" s="392"/>
      <c r="DA82" s="392"/>
      <c r="DB82" s="392"/>
      <c r="DC82" s="392"/>
      <c r="DD82" s="392"/>
      <c r="DE82" s="392"/>
      <c r="DF82" s="392"/>
      <c r="DG82" s="392"/>
      <c r="DH82" s="392"/>
      <c r="DI82" s="392"/>
      <c r="DJ82" s="392"/>
      <c r="DK82" s="392"/>
      <c r="DL82" s="392"/>
      <c r="DM82" s="392"/>
      <c r="DN82" s="392"/>
      <c r="DO82" s="392"/>
      <c r="DP82" s="392"/>
      <c r="DQ82" s="392"/>
      <c r="DR82" s="392"/>
      <c r="DS82" s="392"/>
      <c r="DT82" s="392"/>
      <c r="DU82" s="392"/>
      <c r="DV82" s="392"/>
      <c r="DW82" s="392"/>
      <c r="DX82" s="392"/>
      <c r="DY82" s="392"/>
      <c r="DZ82" s="392"/>
      <c r="EA82" s="392"/>
      <c r="EB82" s="392"/>
      <c r="EC82" s="392"/>
      <c r="ED82" s="392"/>
      <c r="EE82" s="392"/>
      <c r="EF82" s="392"/>
      <c r="EG82" s="392"/>
      <c r="EH82" s="392"/>
      <c r="EI82" s="392"/>
      <c r="EJ82" s="392"/>
      <c r="EK82" s="392"/>
      <c r="EL82" s="392"/>
      <c r="EM82" s="392"/>
      <c r="EN82" s="392"/>
      <c r="EO82" s="392"/>
      <c r="EP82" s="392"/>
      <c r="EQ82" s="392"/>
      <c r="ER82" s="392"/>
      <c r="ES82" s="392"/>
      <c r="ET82" s="392"/>
      <c r="EU82" s="392"/>
      <c r="EV82" s="392"/>
      <c r="EW82" s="392"/>
      <c r="EX82" s="392"/>
      <c r="EY82" s="392"/>
      <c r="EZ82" s="392"/>
      <c r="FA82" s="392"/>
      <c r="FB82" s="392"/>
      <c r="FC82" s="392"/>
      <c r="FD82" s="392"/>
      <c r="FE82" s="392"/>
      <c r="FF82" s="392"/>
      <c r="FG82" s="392"/>
      <c r="FH82" s="392"/>
      <c r="FI82" s="392"/>
      <c r="FJ82" s="392"/>
      <c r="FK82" s="392"/>
      <c r="FL82" s="392"/>
      <c r="FM82" s="392"/>
      <c r="FN82" s="392"/>
      <c r="FO82" s="392"/>
      <c r="FP82" s="392"/>
      <c r="FQ82" s="392"/>
      <c r="FR82" s="392"/>
      <c r="FS82" s="392"/>
      <c r="FT82" s="392"/>
      <c r="FU82" s="392"/>
      <c r="FV82" s="392"/>
      <c r="FW82" s="392"/>
      <c r="FX82" s="392"/>
      <c r="FY82" s="392"/>
      <c r="FZ82" s="392"/>
      <c r="GA82" s="392"/>
      <c r="GB82" s="392"/>
      <c r="GC82" s="392"/>
      <c r="GD82" s="392"/>
      <c r="GE82" s="392"/>
      <c r="GF82" s="392"/>
      <c r="GG82" s="392"/>
      <c r="GH82" s="392"/>
      <c r="GI82" s="392"/>
      <c r="GJ82" s="392"/>
      <c r="GK82" s="392"/>
      <c r="GL82" s="392"/>
      <c r="GM82" s="392"/>
      <c r="GN82" s="392"/>
      <c r="GO82" s="392"/>
      <c r="GP82" s="392"/>
      <c r="GQ82" s="392"/>
      <c r="GR82" s="392"/>
      <c r="GS82" s="392"/>
      <c r="GT82" s="392"/>
      <c r="GU82" s="392"/>
      <c r="GV82" s="392"/>
      <c r="GW82" s="392"/>
      <c r="GX82" s="392"/>
      <c r="GY82" s="392"/>
      <c r="GZ82" s="392"/>
      <c r="HA82" s="392"/>
      <c r="HB82" s="392"/>
      <c r="HC82" s="392"/>
      <c r="HD82" s="392"/>
      <c r="HE82" s="392"/>
      <c r="HF82" s="392"/>
      <c r="HG82" s="392"/>
      <c r="HH82" s="392"/>
      <c r="HI82" s="392"/>
      <c r="HJ82" s="392"/>
      <c r="HK82" s="392"/>
      <c r="HL82" s="392"/>
      <c r="HM82" s="392"/>
      <c r="HN82" s="392"/>
      <c r="HO82" s="392"/>
      <c r="HP82" s="392"/>
      <c r="HQ82" s="392"/>
      <c r="HR82" s="392"/>
      <c r="HS82" s="392"/>
      <c r="HT82" s="392"/>
      <c r="HU82" s="392"/>
      <c r="HV82" s="392"/>
      <c r="HW82" s="392"/>
      <c r="HX82" s="392"/>
      <c r="HY82" s="392"/>
      <c r="HZ82" s="392"/>
      <c r="IA82" s="392"/>
      <c r="IB82" s="392"/>
      <c r="IC82" s="392"/>
      <c r="ID82" s="392"/>
      <c r="IE82" s="392"/>
      <c r="IF82" s="392"/>
      <c r="IG82" s="392"/>
      <c r="IH82" s="392"/>
      <c r="II82" s="392"/>
      <c r="IJ82" s="392"/>
      <c r="IK82" s="392"/>
      <c r="IL82" s="392"/>
      <c r="IM82" s="392"/>
      <c r="IN82" s="392"/>
      <c r="IO82" s="392"/>
      <c r="IP82" s="392"/>
      <c r="IQ82" s="392"/>
      <c r="IR82" s="392"/>
      <c r="IS82" s="392"/>
      <c r="IT82" s="392"/>
      <c r="IU82" s="392"/>
      <c r="IV82" s="392"/>
      <c r="IW82" s="392"/>
      <c r="IX82" s="392"/>
      <c r="IY82" s="392"/>
      <c r="IZ82" s="392"/>
      <c r="JA82" s="392"/>
      <c r="JB82" s="392"/>
      <c r="JC82" s="392"/>
      <c r="JD82" s="392"/>
      <c r="JE82" s="392"/>
      <c r="JF82" s="392"/>
      <c r="JG82" s="392"/>
      <c r="JH82" s="392"/>
      <c r="JI82" s="393">
        <f t="shared" si="3"/>
        <v>0</v>
      </c>
      <c r="JJ82" s="2">
        <v>6081</v>
      </c>
      <c r="JK82" s="392">
        <f t="shared" si="2"/>
        <v>0</v>
      </c>
      <c r="JL82" s="284"/>
      <c r="JM82" s="284"/>
      <c r="JN82" s="284"/>
      <c r="JO82" s="284"/>
      <c r="JP82" s="284"/>
    </row>
    <row r="83" spans="1:276" x14ac:dyDescent="0.3">
      <c r="A83" s="392"/>
      <c r="B83" s="392"/>
      <c r="C83" s="392"/>
      <c r="D83" s="392"/>
      <c r="E83" s="392"/>
      <c r="F83" s="392"/>
      <c r="G83" s="392"/>
      <c r="H83" s="392"/>
      <c r="I83" s="392"/>
      <c r="J83" s="392"/>
      <c r="K83" s="392"/>
      <c r="L83" s="392"/>
      <c r="M83" s="392"/>
      <c r="N83" s="392"/>
      <c r="O83" s="392"/>
      <c r="P83" s="392"/>
      <c r="Q83" s="392"/>
      <c r="R83" s="392"/>
      <c r="S83" s="392"/>
      <c r="T83" s="392"/>
      <c r="U83" s="392"/>
      <c r="V83" s="392"/>
      <c r="W83" s="392"/>
      <c r="X83" s="392"/>
      <c r="Y83" s="392"/>
      <c r="Z83" s="392"/>
      <c r="AA83" s="392"/>
      <c r="AB83" s="392"/>
      <c r="AC83" s="392"/>
      <c r="AD83" s="392"/>
      <c r="AE83" s="392"/>
      <c r="AF83" s="392"/>
      <c r="AG83" s="392"/>
      <c r="AH83" s="392"/>
      <c r="AI83" s="392"/>
      <c r="AJ83" s="392"/>
      <c r="AK83" s="392"/>
      <c r="AL83" s="392"/>
      <c r="AM83" s="392"/>
      <c r="AN83" s="392"/>
      <c r="AO83" s="392"/>
      <c r="AP83" s="392"/>
      <c r="AQ83" s="392"/>
      <c r="AR83" s="392"/>
      <c r="AS83" s="392"/>
      <c r="AT83" s="392"/>
      <c r="AU83" s="392"/>
      <c r="AV83" s="392"/>
      <c r="AW83" s="392"/>
      <c r="AX83" s="392"/>
      <c r="AY83" s="392"/>
      <c r="AZ83" s="392"/>
      <c r="BA83" s="392"/>
      <c r="BB83" s="392"/>
      <c r="BC83" s="392"/>
      <c r="BD83" s="392"/>
      <c r="BE83" s="392"/>
      <c r="BF83" s="392"/>
      <c r="BG83" s="392"/>
      <c r="BH83" s="392"/>
      <c r="BI83" s="392"/>
      <c r="BJ83" s="392"/>
      <c r="BK83" s="392"/>
      <c r="BL83" s="392"/>
      <c r="BM83" s="392"/>
      <c r="BN83" s="392"/>
      <c r="BO83" s="392"/>
      <c r="BP83" s="392"/>
      <c r="BQ83" s="392"/>
      <c r="BR83" s="392"/>
      <c r="BS83" s="392"/>
      <c r="BT83" s="392"/>
      <c r="BU83" s="392"/>
      <c r="BV83" s="392"/>
      <c r="BW83" s="392"/>
      <c r="BX83" s="392"/>
      <c r="BY83" s="392"/>
      <c r="BZ83" s="392"/>
      <c r="CA83" s="392"/>
      <c r="CB83" s="392"/>
      <c r="CC83" s="392"/>
      <c r="CD83" s="392"/>
      <c r="CE83" s="392"/>
      <c r="CF83" s="392"/>
      <c r="CG83" s="392"/>
      <c r="CH83" s="392"/>
      <c r="CI83" s="392"/>
      <c r="CJ83" s="392"/>
      <c r="CK83" s="392"/>
      <c r="CL83" s="392"/>
      <c r="CM83" s="392"/>
      <c r="CN83" s="392"/>
      <c r="CO83" s="392"/>
      <c r="CP83" s="392"/>
      <c r="CQ83" s="392"/>
      <c r="CR83" s="392"/>
      <c r="CS83" s="392"/>
      <c r="CT83" s="392"/>
      <c r="CU83" s="392"/>
      <c r="CV83" s="392"/>
      <c r="CW83" s="392"/>
      <c r="CX83" s="392"/>
      <c r="CY83" s="392"/>
      <c r="CZ83" s="392"/>
      <c r="DA83" s="392"/>
      <c r="DB83" s="392"/>
      <c r="DC83" s="392"/>
      <c r="DD83" s="392"/>
      <c r="DE83" s="392"/>
      <c r="DF83" s="392"/>
      <c r="DG83" s="392"/>
      <c r="DH83" s="392"/>
      <c r="DI83" s="392"/>
      <c r="DJ83" s="392"/>
      <c r="DK83" s="392"/>
      <c r="DL83" s="392"/>
      <c r="DM83" s="392"/>
      <c r="DN83" s="392"/>
      <c r="DO83" s="392"/>
      <c r="DP83" s="392"/>
      <c r="DQ83" s="392"/>
      <c r="DR83" s="392"/>
      <c r="DS83" s="392"/>
      <c r="DT83" s="392"/>
      <c r="DU83" s="392"/>
      <c r="DV83" s="392"/>
      <c r="DW83" s="392"/>
      <c r="DX83" s="392"/>
      <c r="DY83" s="392"/>
      <c r="DZ83" s="392"/>
      <c r="EA83" s="392"/>
      <c r="EB83" s="392"/>
      <c r="EC83" s="392"/>
      <c r="ED83" s="392"/>
      <c r="EE83" s="392"/>
      <c r="EF83" s="392"/>
      <c r="EG83" s="392"/>
      <c r="EH83" s="392"/>
      <c r="EI83" s="392"/>
      <c r="EJ83" s="392"/>
      <c r="EK83" s="392"/>
      <c r="EL83" s="392"/>
      <c r="EM83" s="392"/>
      <c r="EN83" s="392"/>
      <c r="EO83" s="392"/>
      <c r="EP83" s="392"/>
      <c r="EQ83" s="392"/>
      <c r="ER83" s="392"/>
      <c r="ES83" s="392"/>
      <c r="ET83" s="392"/>
      <c r="EU83" s="392"/>
      <c r="EV83" s="392"/>
      <c r="EW83" s="392"/>
      <c r="EX83" s="392"/>
      <c r="EY83" s="392"/>
      <c r="EZ83" s="392"/>
      <c r="FA83" s="392"/>
      <c r="FB83" s="392"/>
      <c r="FC83" s="392"/>
      <c r="FD83" s="392"/>
      <c r="FE83" s="392"/>
      <c r="FF83" s="392"/>
      <c r="FG83" s="392"/>
      <c r="FH83" s="392"/>
      <c r="FI83" s="392"/>
      <c r="FJ83" s="392"/>
      <c r="FK83" s="392"/>
      <c r="FL83" s="392"/>
      <c r="FM83" s="392"/>
      <c r="FN83" s="392"/>
      <c r="FO83" s="392"/>
      <c r="FP83" s="392"/>
      <c r="FQ83" s="392"/>
      <c r="FR83" s="392"/>
      <c r="FS83" s="392"/>
      <c r="FT83" s="392"/>
      <c r="FU83" s="392"/>
      <c r="FV83" s="392"/>
      <c r="FW83" s="392"/>
      <c r="FX83" s="392"/>
      <c r="FY83" s="392"/>
      <c r="FZ83" s="392"/>
      <c r="GA83" s="392"/>
      <c r="GB83" s="392"/>
      <c r="GC83" s="392"/>
      <c r="GD83" s="392"/>
      <c r="GE83" s="392"/>
      <c r="GF83" s="392"/>
      <c r="GG83" s="392"/>
      <c r="GH83" s="392"/>
      <c r="GI83" s="392"/>
      <c r="GJ83" s="392"/>
      <c r="GK83" s="392"/>
      <c r="GL83" s="392"/>
      <c r="GM83" s="392"/>
      <c r="GN83" s="392"/>
      <c r="GO83" s="392"/>
      <c r="GP83" s="392"/>
      <c r="GQ83" s="392"/>
      <c r="GR83" s="392"/>
      <c r="GS83" s="392"/>
      <c r="GT83" s="392"/>
      <c r="GU83" s="392"/>
      <c r="GV83" s="392"/>
      <c r="GW83" s="392"/>
      <c r="GX83" s="392"/>
      <c r="GY83" s="392"/>
      <c r="GZ83" s="392"/>
      <c r="HA83" s="392"/>
      <c r="HB83" s="392"/>
      <c r="HC83" s="392"/>
      <c r="HD83" s="392"/>
      <c r="HE83" s="392"/>
      <c r="HF83" s="392"/>
      <c r="HG83" s="392"/>
      <c r="HH83" s="392"/>
      <c r="HI83" s="392"/>
      <c r="HJ83" s="392"/>
      <c r="HK83" s="392"/>
      <c r="HL83" s="392"/>
      <c r="HM83" s="392"/>
      <c r="HN83" s="392"/>
      <c r="HO83" s="392"/>
      <c r="HP83" s="392"/>
      <c r="HQ83" s="392"/>
      <c r="HR83" s="392"/>
      <c r="HS83" s="392"/>
      <c r="HT83" s="392"/>
      <c r="HU83" s="392"/>
      <c r="HV83" s="392"/>
      <c r="HW83" s="392"/>
      <c r="HX83" s="392"/>
      <c r="HY83" s="392"/>
      <c r="HZ83" s="392"/>
      <c r="IA83" s="392"/>
      <c r="IB83" s="392"/>
      <c r="IC83" s="392"/>
      <c r="ID83" s="392"/>
      <c r="IE83" s="392"/>
      <c r="IF83" s="392"/>
      <c r="IG83" s="392"/>
      <c r="IH83" s="392"/>
      <c r="II83" s="392"/>
      <c r="IJ83" s="392"/>
      <c r="IK83" s="392"/>
      <c r="IL83" s="392"/>
      <c r="IM83" s="392"/>
      <c r="IN83" s="392"/>
      <c r="IO83" s="392"/>
      <c r="IP83" s="392"/>
      <c r="IQ83" s="392"/>
      <c r="IR83" s="392"/>
      <c r="IS83" s="392"/>
      <c r="IT83" s="392"/>
      <c r="IU83" s="392"/>
      <c r="IV83" s="392"/>
      <c r="IW83" s="392"/>
      <c r="IX83" s="392"/>
      <c r="IY83" s="392"/>
      <c r="IZ83" s="392"/>
      <c r="JA83" s="392"/>
      <c r="JB83" s="392"/>
      <c r="JC83" s="392"/>
      <c r="JD83" s="392"/>
      <c r="JE83" s="392"/>
      <c r="JF83" s="392"/>
      <c r="JG83" s="392"/>
      <c r="JH83" s="392"/>
      <c r="JI83" s="393">
        <f t="shared" si="3"/>
        <v>0</v>
      </c>
      <c r="JJ83" s="2">
        <v>6086</v>
      </c>
      <c r="JK83" s="392">
        <f t="shared" si="2"/>
        <v>0</v>
      </c>
      <c r="JL83" s="284"/>
      <c r="JM83" s="284"/>
      <c r="JN83" s="284"/>
      <c r="JO83" s="284"/>
      <c r="JP83" s="284"/>
    </row>
    <row r="84" spans="1:276" x14ac:dyDescent="0.3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392"/>
      <c r="R84" s="392"/>
      <c r="S84" s="392"/>
      <c r="T84" s="392"/>
      <c r="U84" s="392"/>
      <c r="V84" s="392"/>
      <c r="W84" s="392"/>
      <c r="X84" s="392"/>
      <c r="Y84" s="392"/>
      <c r="Z84" s="392"/>
      <c r="AA84" s="392"/>
      <c r="AB84" s="392"/>
      <c r="AC84" s="392"/>
      <c r="AD84" s="392"/>
      <c r="AE84" s="392"/>
      <c r="AF84" s="392"/>
      <c r="AG84" s="392"/>
      <c r="AH84" s="392"/>
      <c r="AI84" s="392"/>
      <c r="AJ84" s="392"/>
      <c r="AK84" s="392"/>
      <c r="AL84" s="392"/>
      <c r="AM84" s="392"/>
      <c r="AN84" s="392"/>
      <c r="AO84" s="392"/>
      <c r="AP84" s="392"/>
      <c r="AQ84" s="392"/>
      <c r="AR84" s="392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  <c r="BD84" s="392"/>
      <c r="BE84" s="392"/>
      <c r="BF84" s="392"/>
      <c r="BG84" s="392"/>
      <c r="BH84" s="392"/>
      <c r="BI84" s="392"/>
      <c r="BJ84" s="392"/>
      <c r="BK84" s="392"/>
      <c r="BL84" s="392"/>
      <c r="BM84" s="392"/>
      <c r="BN84" s="392"/>
      <c r="BO84" s="392"/>
      <c r="BP84" s="392"/>
      <c r="BQ84" s="392"/>
      <c r="BR84" s="392"/>
      <c r="BS84" s="392"/>
      <c r="BT84" s="392"/>
      <c r="BU84" s="392"/>
      <c r="BV84" s="392"/>
      <c r="BW84" s="392"/>
      <c r="BX84" s="392"/>
      <c r="BY84" s="392"/>
      <c r="BZ84" s="392"/>
      <c r="CA84" s="392"/>
      <c r="CB84" s="392"/>
      <c r="CC84" s="392"/>
      <c r="CD84" s="392"/>
      <c r="CE84" s="392"/>
      <c r="CF84" s="392"/>
      <c r="CG84" s="392"/>
      <c r="CH84" s="392"/>
      <c r="CI84" s="392"/>
      <c r="CJ84" s="392"/>
      <c r="CK84" s="392"/>
      <c r="CL84" s="392"/>
      <c r="CM84" s="392"/>
      <c r="CN84" s="392"/>
      <c r="CO84" s="392"/>
      <c r="CP84" s="392"/>
      <c r="CQ84" s="392"/>
      <c r="CR84" s="392"/>
      <c r="CS84" s="392"/>
      <c r="CT84" s="392"/>
      <c r="CU84" s="392"/>
      <c r="CV84" s="392"/>
      <c r="CW84" s="392"/>
      <c r="CX84" s="392"/>
      <c r="CY84" s="392"/>
      <c r="CZ84" s="392"/>
      <c r="DA84" s="392"/>
      <c r="DB84" s="392"/>
      <c r="DC84" s="392"/>
      <c r="DD84" s="392"/>
      <c r="DE84" s="392"/>
      <c r="DF84" s="392"/>
      <c r="DG84" s="392"/>
      <c r="DH84" s="392"/>
      <c r="DI84" s="392"/>
      <c r="DJ84" s="392"/>
      <c r="DK84" s="392"/>
      <c r="DL84" s="392"/>
      <c r="DM84" s="392"/>
      <c r="DN84" s="392"/>
      <c r="DO84" s="392"/>
      <c r="DP84" s="392"/>
      <c r="DQ84" s="392"/>
      <c r="DR84" s="392"/>
      <c r="DS84" s="392"/>
      <c r="DT84" s="392"/>
      <c r="DU84" s="392"/>
      <c r="DV84" s="392"/>
      <c r="DW84" s="392"/>
      <c r="DX84" s="392"/>
      <c r="DY84" s="392"/>
      <c r="DZ84" s="392"/>
      <c r="EA84" s="392"/>
      <c r="EB84" s="392"/>
      <c r="EC84" s="392"/>
      <c r="ED84" s="392"/>
      <c r="EE84" s="392"/>
      <c r="EF84" s="392"/>
      <c r="EG84" s="392"/>
      <c r="EH84" s="392"/>
      <c r="EI84" s="392"/>
      <c r="EJ84" s="392"/>
      <c r="EK84" s="392"/>
      <c r="EL84" s="392"/>
      <c r="EM84" s="392"/>
      <c r="EN84" s="392"/>
      <c r="EO84" s="392"/>
      <c r="EP84" s="392"/>
      <c r="EQ84" s="392"/>
      <c r="ER84" s="392"/>
      <c r="ES84" s="392"/>
      <c r="ET84" s="392"/>
      <c r="EU84" s="392"/>
      <c r="EV84" s="392"/>
      <c r="EW84" s="392"/>
      <c r="EX84" s="392"/>
      <c r="EY84" s="392"/>
      <c r="EZ84" s="392"/>
      <c r="FA84" s="392"/>
      <c r="FB84" s="392"/>
      <c r="FC84" s="392"/>
      <c r="FD84" s="392"/>
      <c r="FE84" s="392"/>
      <c r="FF84" s="392"/>
      <c r="FG84" s="392"/>
      <c r="FH84" s="392"/>
      <c r="FI84" s="392"/>
      <c r="FJ84" s="392"/>
      <c r="FK84" s="392"/>
      <c r="FL84" s="392"/>
      <c r="FM84" s="392"/>
      <c r="FN84" s="392"/>
      <c r="FO84" s="392"/>
      <c r="FP84" s="392"/>
      <c r="FQ84" s="392"/>
      <c r="FR84" s="392"/>
      <c r="FS84" s="392"/>
      <c r="FT84" s="392"/>
      <c r="FU84" s="392"/>
      <c r="FV84" s="392"/>
      <c r="FW84" s="392"/>
      <c r="FX84" s="392"/>
      <c r="FY84" s="392"/>
      <c r="FZ84" s="392"/>
      <c r="GA84" s="392"/>
      <c r="GB84" s="392"/>
      <c r="GC84" s="392"/>
      <c r="GD84" s="392"/>
      <c r="GE84" s="392"/>
      <c r="GF84" s="392"/>
      <c r="GG84" s="392"/>
      <c r="GH84" s="392"/>
      <c r="GI84" s="392"/>
      <c r="GJ84" s="392"/>
      <c r="GK84" s="392"/>
      <c r="GL84" s="392"/>
      <c r="GM84" s="392"/>
      <c r="GN84" s="392"/>
      <c r="GO84" s="392"/>
      <c r="GP84" s="392"/>
      <c r="GQ84" s="392"/>
      <c r="GR84" s="392"/>
      <c r="GS84" s="392"/>
      <c r="GT84" s="392"/>
      <c r="GU84" s="392"/>
      <c r="GV84" s="392"/>
      <c r="GW84" s="392"/>
      <c r="GX84" s="392"/>
      <c r="GY84" s="392"/>
      <c r="GZ84" s="392"/>
      <c r="HA84" s="392"/>
      <c r="HB84" s="392"/>
      <c r="HC84" s="392"/>
      <c r="HD84" s="392"/>
      <c r="HE84" s="392"/>
      <c r="HF84" s="392"/>
      <c r="HG84" s="392"/>
      <c r="HH84" s="392"/>
      <c r="HI84" s="392"/>
      <c r="HJ84" s="392"/>
      <c r="HK84" s="392"/>
      <c r="HL84" s="392"/>
      <c r="HM84" s="392"/>
      <c r="HN84" s="392"/>
      <c r="HO84" s="392"/>
      <c r="HP84" s="392"/>
      <c r="HQ84" s="392"/>
      <c r="HR84" s="392"/>
      <c r="HS84" s="392"/>
      <c r="HT84" s="392"/>
      <c r="HU84" s="392"/>
      <c r="HV84" s="392"/>
      <c r="HW84" s="392"/>
      <c r="HX84" s="392"/>
      <c r="HY84" s="392"/>
      <c r="HZ84" s="392"/>
      <c r="IA84" s="392"/>
      <c r="IB84" s="392"/>
      <c r="IC84" s="392"/>
      <c r="ID84" s="392"/>
      <c r="IE84" s="392"/>
      <c r="IF84" s="392"/>
      <c r="IG84" s="392"/>
      <c r="IH84" s="392"/>
      <c r="II84" s="392"/>
      <c r="IJ84" s="392"/>
      <c r="IK84" s="392"/>
      <c r="IL84" s="392"/>
      <c r="IM84" s="392"/>
      <c r="IN84" s="392"/>
      <c r="IO84" s="392"/>
      <c r="IP84" s="392"/>
      <c r="IQ84" s="392"/>
      <c r="IR84" s="392"/>
      <c r="IS84" s="392"/>
      <c r="IT84" s="392"/>
      <c r="IU84" s="392"/>
      <c r="IV84" s="392"/>
      <c r="IW84" s="392"/>
      <c r="IX84" s="392"/>
      <c r="IY84" s="392"/>
      <c r="IZ84" s="392"/>
      <c r="JA84" s="392"/>
      <c r="JB84" s="392"/>
      <c r="JC84" s="392"/>
      <c r="JD84" s="392"/>
      <c r="JE84" s="392"/>
      <c r="JF84" s="392"/>
      <c r="JG84" s="392"/>
      <c r="JH84" s="392"/>
      <c r="JI84" s="393">
        <f t="shared" si="3"/>
        <v>0</v>
      </c>
      <c r="JJ84" s="2">
        <v>6088</v>
      </c>
      <c r="JK84" s="392">
        <f t="shared" si="2"/>
        <v>0</v>
      </c>
      <c r="JL84" s="284"/>
      <c r="JM84" s="284"/>
      <c r="JN84" s="284"/>
      <c r="JO84" s="284"/>
      <c r="JP84" s="284"/>
    </row>
    <row r="85" spans="1:276" x14ac:dyDescent="0.3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392"/>
      <c r="R85" s="392"/>
      <c r="S85" s="392"/>
      <c r="T85" s="392"/>
      <c r="U85" s="392"/>
      <c r="V85" s="392"/>
      <c r="W85" s="392"/>
      <c r="X85" s="392"/>
      <c r="Y85" s="392"/>
      <c r="Z85" s="392"/>
      <c r="AA85" s="392"/>
      <c r="AB85" s="392"/>
      <c r="AC85" s="392"/>
      <c r="AD85" s="392"/>
      <c r="AE85" s="392"/>
      <c r="AF85" s="392"/>
      <c r="AG85" s="392"/>
      <c r="AH85" s="392"/>
      <c r="AI85" s="392"/>
      <c r="AJ85" s="392"/>
      <c r="AK85" s="392"/>
      <c r="AL85" s="392"/>
      <c r="AM85" s="392"/>
      <c r="AN85" s="392"/>
      <c r="AO85" s="392"/>
      <c r="AP85" s="392"/>
      <c r="AQ85" s="392"/>
      <c r="AR85" s="392"/>
      <c r="AS85" s="392"/>
      <c r="AT85" s="392"/>
      <c r="AU85" s="392"/>
      <c r="AV85" s="392"/>
      <c r="AW85" s="392"/>
      <c r="AX85" s="392"/>
      <c r="AY85" s="392"/>
      <c r="AZ85" s="392"/>
      <c r="BA85" s="392"/>
      <c r="BB85" s="392"/>
      <c r="BC85" s="392"/>
      <c r="BD85" s="392"/>
      <c r="BE85" s="392"/>
      <c r="BF85" s="392"/>
      <c r="BG85" s="392"/>
      <c r="BH85" s="392"/>
      <c r="BI85" s="392"/>
      <c r="BJ85" s="392"/>
      <c r="BK85" s="392"/>
      <c r="BL85" s="392"/>
      <c r="BM85" s="392"/>
      <c r="BN85" s="392"/>
      <c r="BO85" s="392"/>
      <c r="BP85" s="392"/>
      <c r="BQ85" s="392"/>
      <c r="BR85" s="392"/>
      <c r="BS85" s="392"/>
      <c r="BT85" s="392"/>
      <c r="BU85" s="392"/>
      <c r="BV85" s="392"/>
      <c r="BW85" s="392"/>
      <c r="BX85" s="392"/>
      <c r="BY85" s="392"/>
      <c r="BZ85" s="392"/>
      <c r="CA85" s="392"/>
      <c r="CB85" s="392"/>
      <c r="CC85" s="392"/>
      <c r="CD85" s="392"/>
      <c r="CE85" s="392"/>
      <c r="CF85" s="392"/>
      <c r="CG85" s="392"/>
      <c r="CH85" s="392"/>
      <c r="CI85" s="392"/>
      <c r="CJ85" s="392"/>
      <c r="CK85" s="392"/>
      <c r="CL85" s="392"/>
      <c r="CM85" s="392"/>
      <c r="CN85" s="392"/>
      <c r="CO85" s="392"/>
      <c r="CP85" s="392"/>
      <c r="CQ85" s="392"/>
      <c r="CR85" s="392"/>
      <c r="CS85" s="392"/>
      <c r="CT85" s="392"/>
      <c r="CU85" s="392"/>
      <c r="CV85" s="392"/>
      <c r="CW85" s="392"/>
      <c r="CX85" s="392"/>
      <c r="CY85" s="392"/>
      <c r="CZ85" s="392"/>
      <c r="DA85" s="392"/>
      <c r="DB85" s="392"/>
      <c r="DC85" s="392"/>
      <c r="DD85" s="392"/>
      <c r="DE85" s="392"/>
      <c r="DF85" s="392"/>
      <c r="DG85" s="392"/>
      <c r="DH85" s="392"/>
      <c r="DI85" s="392"/>
      <c r="DJ85" s="392"/>
      <c r="DK85" s="392"/>
      <c r="DL85" s="392"/>
      <c r="DM85" s="392"/>
      <c r="DN85" s="392"/>
      <c r="DO85" s="392"/>
      <c r="DP85" s="392"/>
      <c r="DQ85" s="392"/>
      <c r="DR85" s="392"/>
      <c r="DS85" s="392"/>
      <c r="DT85" s="392"/>
      <c r="DU85" s="392"/>
      <c r="DV85" s="392"/>
      <c r="DW85" s="392"/>
      <c r="DX85" s="392"/>
      <c r="DY85" s="392"/>
      <c r="DZ85" s="392"/>
      <c r="EA85" s="392"/>
      <c r="EB85" s="392"/>
      <c r="EC85" s="392"/>
      <c r="ED85" s="392"/>
      <c r="EE85" s="392"/>
      <c r="EF85" s="392"/>
      <c r="EG85" s="392"/>
      <c r="EH85" s="392"/>
      <c r="EI85" s="392"/>
      <c r="EJ85" s="392"/>
      <c r="EK85" s="392"/>
      <c r="EL85" s="392"/>
      <c r="EM85" s="392"/>
      <c r="EN85" s="392"/>
      <c r="EO85" s="392"/>
      <c r="EP85" s="392"/>
      <c r="EQ85" s="392"/>
      <c r="ER85" s="392"/>
      <c r="ES85" s="392"/>
      <c r="ET85" s="392"/>
      <c r="EU85" s="392"/>
      <c r="EV85" s="392"/>
      <c r="EW85" s="392"/>
      <c r="EX85" s="392"/>
      <c r="EY85" s="392"/>
      <c r="EZ85" s="392"/>
      <c r="FA85" s="392"/>
      <c r="FB85" s="392"/>
      <c r="FC85" s="392"/>
      <c r="FD85" s="392"/>
      <c r="FE85" s="392"/>
      <c r="FF85" s="392"/>
      <c r="FG85" s="392"/>
      <c r="FH85" s="392"/>
      <c r="FI85" s="392"/>
      <c r="FJ85" s="392"/>
      <c r="FK85" s="392"/>
      <c r="FL85" s="392"/>
      <c r="FM85" s="392"/>
      <c r="FN85" s="392"/>
      <c r="FO85" s="392"/>
      <c r="FP85" s="392"/>
      <c r="FQ85" s="392"/>
      <c r="FR85" s="392"/>
      <c r="FS85" s="392"/>
      <c r="FT85" s="392"/>
      <c r="FU85" s="392"/>
      <c r="FV85" s="392"/>
      <c r="FW85" s="392"/>
      <c r="FX85" s="392"/>
      <c r="FY85" s="392"/>
      <c r="FZ85" s="392"/>
      <c r="GA85" s="392"/>
      <c r="GB85" s="392"/>
      <c r="GC85" s="392"/>
      <c r="GD85" s="392"/>
      <c r="GE85" s="392"/>
      <c r="GF85" s="392"/>
      <c r="GG85" s="392"/>
      <c r="GH85" s="392"/>
      <c r="GI85" s="392"/>
      <c r="GJ85" s="392"/>
      <c r="GK85" s="392"/>
      <c r="GL85" s="392"/>
      <c r="GM85" s="392"/>
      <c r="GN85" s="392"/>
      <c r="GO85" s="392"/>
      <c r="GP85" s="392"/>
      <c r="GQ85" s="392"/>
      <c r="GR85" s="392"/>
      <c r="GS85" s="392"/>
      <c r="GT85" s="392"/>
      <c r="GU85" s="392"/>
      <c r="GV85" s="392"/>
      <c r="GW85" s="392"/>
      <c r="GX85" s="392"/>
      <c r="GY85" s="392"/>
      <c r="GZ85" s="392"/>
      <c r="HA85" s="392"/>
      <c r="HB85" s="392"/>
      <c r="HC85" s="392"/>
      <c r="HD85" s="392"/>
      <c r="HE85" s="392"/>
      <c r="HF85" s="392"/>
      <c r="HG85" s="392"/>
      <c r="HH85" s="392"/>
      <c r="HI85" s="392"/>
      <c r="HJ85" s="392"/>
      <c r="HK85" s="392"/>
      <c r="HL85" s="392"/>
      <c r="HM85" s="392"/>
      <c r="HN85" s="392"/>
      <c r="HO85" s="392"/>
      <c r="HP85" s="392"/>
      <c r="HQ85" s="392"/>
      <c r="HR85" s="392"/>
      <c r="HS85" s="392"/>
      <c r="HT85" s="392"/>
      <c r="HU85" s="392"/>
      <c r="HV85" s="392"/>
      <c r="HW85" s="392"/>
      <c r="HX85" s="392"/>
      <c r="HY85" s="392"/>
      <c r="HZ85" s="392"/>
      <c r="IA85" s="392"/>
      <c r="IB85" s="392"/>
      <c r="IC85" s="392"/>
      <c r="ID85" s="392"/>
      <c r="IE85" s="392"/>
      <c r="IF85" s="392"/>
      <c r="IG85" s="392"/>
      <c r="IH85" s="392"/>
      <c r="II85" s="392"/>
      <c r="IJ85" s="392"/>
      <c r="IK85" s="392"/>
      <c r="IL85" s="392"/>
      <c r="IM85" s="392"/>
      <c r="IN85" s="392"/>
      <c r="IO85" s="392"/>
      <c r="IP85" s="392"/>
      <c r="IQ85" s="392"/>
      <c r="IR85" s="392"/>
      <c r="IS85" s="392"/>
      <c r="IT85" s="392"/>
      <c r="IU85" s="392"/>
      <c r="IV85" s="392"/>
      <c r="IW85" s="392"/>
      <c r="IX85" s="392"/>
      <c r="IY85" s="392"/>
      <c r="IZ85" s="392"/>
      <c r="JA85" s="392"/>
      <c r="JB85" s="392"/>
      <c r="JC85" s="392"/>
      <c r="JD85" s="392"/>
      <c r="JE85" s="392"/>
      <c r="JF85" s="392"/>
      <c r="JG85" s="392"/>
      <c r="JH85" s="392"/>
      <c r="JI85" s="393">
        <f t="shared" si="3"/>
        <v>0</v>
      </c>
      <c r="JJ85" s="2">
        <v>6092</v>
      </c>
      <c r="JK85" s="392">
        <f t="shared" si="2"/>
        <v>0</v>
      </c>
      <c r="JL85" s="284"/>
      <c r="JM85" s="284"/>
      <c r="JN85" s="284"/>
      <c r="JO85" s="284"/>
      <c r="JP85" s="284"/>
    </row>
    <row r="86" spans="1:276" x14ac:dyDescent="0.3">
      <c r="A86" s="392"/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2"/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92"/>
      <c r="AB86" s="392"/>
      <c r="AC86" s="392"/>
      <c r="AD86" s="392"/>
      <c r="AE86" s="392"/>
      <c r="AF86" s="392"/>
      <c r="AG86" s="392"/>
      <c r="AH86" s="392"/>
      <c r="AI86" s="392"/>
      <c r="AJ86" s="392"/>
      <c r="AK86" s="392"/>
      <c r="AL86" s="392"/>
      <c r="AM86" s="392"/>
      <c r="AN86" s="392"/>
      <c r="AO86" s="392"/>
      <c r="AP86" s="392"/>
      <c r="AQ86" s="392"/>
      <c r="AR86" s="392"/>
      <c r="AS86" s="392"/>
      <c r="AT86" s="392"/>
      <c r="AU86" s="392"/>
      <c r="AV86" s="392"/>
      <c r="AW86" s="392"/>
      <c r="AX86" s="392"/>
      <c r="AY86" s="392"/>
      <c r="AZ86" s="392"/>
      <c r="BA86" s="392"/>
      <c r="BB86" s="392"/>
      <c r="BC86" s="392"/>
      <c r="BD86" s="392"/>
      <c r="BE86" s="392"/>
      <c r="BF86" s="392"/>
      <c r="BG86" s="392"/>
      <c r="BH86" s="392"/>
      <c r="BI86" s="392"/>
      <c r="BJ86" s="392"/>
      <c r="BK86" s="392"/>
      <c r="BL86" s="392"/>
      <c r="BM86" s="392"/>
      <c r="BN86" s="392"/>
      <c r="BO86" s="392"/>
      <c r="BP86" s="392"/>
      <c r="BQ86" s="392"/>
      <c r="BR86" s="392"/>
      <c r="BS86" s="392"/>
      <c r="BT86" s="392"/>
      <c r="BU86" s="392"/>
      <c r="BV86" s="392"/>
      <c r="BW86" s="392"/>
      <c r="BX86" s="392"/>
      <c r="BY86" s="392"/>
      <c r="BZ86" s="392"/>
      <c r="CA86" s="392"/>
      <c r="CB86" s="392"/>
      <c r="CC86" s="392"/>
      <c r="CD86" s="392"/>
      <c r="CE86" s="392"/>
      <c r="CF86" s="392"/>
      <c r="CG86" s="392"/>
      <c r="CH86" s="392"/>
      <c r="CI86" s="392"/>
      <c r="CJ86" s="392"/>
      <c r="CK86" s="392"/>
      <c r="CL86" s="392"/>
      <c r="CM86" s="392"/>
      <c r="CN86" s="392"/>
      <c r="CO86" s="392"/>
      <c r="CP86" s="392"/>
      <c r="CQ86" s="392"/>
      <c r="CR86" s="392"/>
      <c r="CS86" s="392"/>
      <c r="CT86" s="392"/>
      <c r="CU86" s="392"/>
      <c r="CV86" s="392"/>
      <c r="CW86" s="392"/>
      <c r="CX86" s="392"/>
      <c r="CY86" s="392"/>
      <c r="CZ86" s="392"/>
      <c r="DA86" s="392"/>
      <c r="DB86" s="392"/>
      <c r="DC86" s="392"/>
      <c r="DD86" s="392"/>
      <c r="DE86" s="392"/>
      <c r="DF86" s="392"/>
      <c r="DG86" s="392"/>
      <c r="DH86" s="392"/>
      <c r="DI86" s="392"/>
      <c r="DJ86" s="392"/>
      <c r="DK86" s="392"/>
      <c r="DL86" s="392"/>
      <c r="DM86" s="392"/>
      <c r="DN86" s="392"/>
      <c r="DO86" s="392"/>
      <c r="DP86" s="392"/>
      <c r="DQ86" s="392"/>
      <c r="DR86" s="392"/>
      <c r="DS86" s="392"/>
      <c r="DT86" s="392"/>
      <c r="DU86" s="392"/>
      <c r="DV86" s="392"/>
      <c r="DW86" s="392"/>
      <c r="DX86" s="392"/>
      <c r="DY86" s="392"/>
      <c r="DZ86" s="392"/>
      <c r="EA86" s="392"/>
      <c r="EB86" s="392"/>
      <c r="EC86" s="392"/>
      <c r="ED86" s="392"/>
      <c r="EE86" s="392"/>
      <c r="EF86" s="392"/>
      <c r="EG86" s="392"/>
      <c r="EH86" s="392"/>
      <c r="EI86" s="392"/>
      <c r="EJ86" s="392"/>
      <c r="EK86" s="392"/>
      <c r="EL86" s="392"/>
      <c r="EM86" s="392"/>
      <c r="EN86" s="392"/>
      <c r="EO86" s="392"/>
      <c r="EP86" s="392"/>
      <c r="EQ86" s="392"/>
      <c r="ER86" s="392"/>
      <c r="ES86" s="392"/>
      <c r="ET86" s="392"/>
      <c r="EU86" s="392"/>
      <c r="EV86" s="392"/>
      <c r="EW86" s="392"/>
      <c r="EX86" s="392"/>
      <c r="EY86" s="392"/>
      <c r="EZ86" s="392"/>
      <c r="FA86" s="392"/>
      <c r="FB86" s="392"/>
      <c r="FC86" s="392"/>
      <c r="FD86" s="392"/>
      <c r="FE86" s="392"/>
      <c r="FF86" s="392"/>
      <c r="FG86" s="392"/>
      <c r="FH86" s="392"/>
      <c r="FI86" s="392"/>
      <c r="FJ86" s="392"/>
      <c r="FK86" s="392"/>
      <c r="FL86" s="392"/>
      <c r="FM86" s="392"/>
      <c r="FN86" s="392"/>
      <c r="FO86" s="392"/>
      <c r="FP86" s="392"/>
      <c r="FQ86" s="392"/>
      <c r="FR86" s="392"/>
      <c r="FS86" s="392"/>
      <c r="FT86" s="392"/>
      <c r="FU86" s="392"/>
      <c r="FV86" s="392"/>
      <c r="FW86" s="392"/>
      <c r="FX86" s="392"/>
      <c r="FY86" s="392"/>
      <c r="FZ86" s="392"/>
      <c r="GA86" s="392"/>
      <c r="GB86" s="392"/>
      <c r="GC86" s="392"/>
      <c r="GD86" s="392"/>
      <c r="GE86" s="392"/>
      <c r="GF86" s="392"/>
      <c r="GG86" s="392"/>
      <c r="GH86" s="392"/>
      <c r="GI86" s="392"/>
      <c r="GJ86" s="392"/>
      <c r="GK86" s="392"/>
      <c r="GL86" s="392"/>
      <c r="GM86" s="392"/>
      <c r="GN86" s="392"/>
      <c r="GO86" s="392"/>
      <c r="GP86" s="392"/>
      <c r="GQ86" s="392"/>
      <c r="GR86" s="392"/>
      <c r="GS86" s="392"/>
      <c r="GT86" s="392"/>
      <c r="GU86" s="392"/>
      <c r="GV86" s="392"/>
      <c r="GW86" s="392"/>
      <c r="GX86" s="392"/>
      <c r="GY86" s="392"/>
      <c r="GZ86" s="392"/>
      <c r="HA86" s="392"/>
      <c r="HB86" s="392"/>
      <c r="HC86" s="392"/>
      <c r="HD86" s="392"/>
      <c r="HE86" s="392"/>
      <c r="HF86" s="392"/>
      <c r="HG86" s="392"/>
      <c r="HH86" s="392"/>
      <c r="HI86" s="392"/>
      <c r="HJ86" s="392"/>
      <c r="HK86" s="392"/>
      <c r="HL86" s="392"/>
      <c r="HM86" s="392"/>
      <c r="HN86" s="392"/>
      <c r="HO86" s="392"/>
      <c r="HP86" s="392"/>
      <c r="HQ86" s="392"/>
      <c r="HR86" s="392"/>
      <c r="HS86" s="392"/>
      <c r="HT86" s="392"/>
      <c r="HU86" s="392"/>
      <c r="HV86" s="392"/>
      <c r="HW86" s="392"/>
      <c r="HX86" s="392"/>
      <c r="HY86" s="392"/>
      <c r="HZ86" s="392"/>
      <c r="IA86" s="392"/>
      <c r="IB86" s="392"/>
      <c r="IC86" s="392"/>
      <c r="ID86" s="392"/>
      <c r="IE86" s="392"/>
      <c r="IF86" s="392"/>
      <c r="IG86" s="392"/>
      <c r="IH86" s="392"/>
      <c r="II86" s="392"/>
      <c r="IJ86" s="392"/>
      <c r="IK86" s="392"/>
      <c r="IL86" s="392"/>
      <c r="IM86" s="392"/>
      <c r="IN86" s="392"/>
      <c r="IO86" s="392"/>
      <c r="IP86" s="392"/>
      <c r="IQ86" s="392"/>
      <c r="IR86" s="392"/>
      <c r="IS86" s="392"/>
      <c r="IT86" s="392"/>
      <c r="IU86" s="392"/>
      <c r="IV86" s="392"/>
      <c r="IW86" s="392"/>
      <c r="IX86" s="392"/>
      <c r="IY86" s="392"/>
      <c r="IZ86" s="392"/>
      <c r="JA86" s="392"/>
      <c r="JB86" s="392"/>
      <c r="JC86" s="392"/>
      <c r="JD86" s="392"/>
      <c r="JE86" s="392"/>
      <c r="JF86" s="392"/>
      <c r="JG86" s="392"/>
      <c r="JH86" s="392"/>
      <c r="JI86" s="393">
        <f t="shared" si="3"/>
        <v>0</v>
      </c>
      <c r="JJ86" s="2">
        <v>6096</v>
      </c>
      <c r="JK86" s="392">
        <f t="shared" si="2"/>
        <v>0</v>
      </c>
      <c r="JL86" s="284"/>
      <c r="JM86" s="284"/>
      <c r="JN86" s="284"/>
      <c r="JO86" s="284"/>
      <c r="JP86" s="284"/>
    </row>
    <row r="87" spans="1:276" x14ac:dyDescent="0.3">
      <c r="A87" s="392"/>
      <c r="B87" s="392"/>
      <c r="C87" s="392"/>
      <c r="D87" s="392"/>
      <c r="E87" s="392"/>
      <c r="F87" s="392"/>
      <c r="G87" s="392"/>
      <c r="H87" s="392"/>
      <c r="I87" s="392"/>
      <c r="J87" s="392"/>
      <c r="K87" s="392"/>
      <c r="L87" s="392"/>
      <c r="M87" s="392"/>
      <c r="N87" s="392"/>
      <c r="O87" s="392"/>
      <c r="P87" s="392"/>
      <c r="Q87" s="392"/>
      <c r="R87" s="392"/>
      <c r="S87" s="392"/>
      <c r="T87" s="392"/>
      <c r="U87" s="392"/>
      <c r="V87" s="392"/>
      <c r="W87" s="392"/>
      <c r="X87" s="392"/>
      <c r="Y87" s="392"/>
      <c r="Z87" s="392"/>
      <c r="AA87" s="392"/>
      <c r="AB87" s="392"/>
      <c r="AC87" s="392"/>
      <c r="AD87" s="392"/>
      <c r="AE87" s="392"/>
      <c r="AF87" s="392"/>
      <c r="AG87" s="392"/>
      <c r="AH87" s="392"/>
      <c r="AI87" s="392"/>
      <c r="AJ87" s="392"/>
      <c r="AK87" s="392"/>
      <c r="AL87" s="392"/>
      <c r="AM87" s="392"/>
      <c r="AN87" s="392"/>
      <c r="AO87" s="392"/>
      <c r="AP87" s="392"/>
      <c r="AQ87" s="392"/>
      <c r="AR87" s="392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2"/>
      <c r="BF87" s="392"/>
      <c r="BG87" s="392"/>
      <c r="BH87" s="392"/>
      <c r="BI87" s="392"/>
      <c r="BJ87" s="392"/>
      <c r="BK87" s="392"/>
      <c r="BL87" s="392"/>
      <c r="BM87" s="392"/>
      <c r="BN87" s="392"/>
      <c r="BO87" s="392"/>
      <c r="BP87" s="392"/>
      <c r="BQ87" s="392"/>
      <c r="BR87" s="392"/>
      <c r="BS87" s="392"/>
      <c r="BT87" s="392"/>
      <c r="BU87" s="392"/>
      <c r="BV87" s="392"/>
      <c r="BW87" s="392"/>
      <c r="BX87" s="392"/>
      <c r="BY87" s="392"/>
      <c r="BZ87" s="392"/>
      <c r="CA87" s="392"/>
      <c r="CB87" s="392"/>
      <c r="CC87" s="392"/>
      <c r="CD87" s="392"/>
      <c r="CE87" s="392"/>
      <c r="CF87" s="392"/>
      <c r="CG87" s="392"/>
      <c r="CH87" s="392"/>
      <c r="CI87" s="392"/>
      <c r="CJ87" s="392"/>
      <c r="CK87" s="392"/>
      <c r="CL87" s="392"/>
      <c r="CM87" s="392"/>
      <c r="CN87" s="392"/>
      <c r="CO87" s="392"/>
      <c r="CP87" s="392"/>
      <c r="CQ87" s="392"/>
      <c r="CR87" s="392"/>
      <c r="CS87" s="392"/>
      <c r="CT87" s="392"/>
      <c r="CU87" s="392"/>
      <c r="CV87" s="392"/>
      <c r="CW87" s="392"/>
      <c r="CX87" s="392"/>
      <c r="CY87" s="392"/>
      <c r="CZ87" s="392"/>
      <c r="DA87" s="392"/>
      <c r="DB87" s="392"/>
      <c r="DC87" s="392"/>
      <c r="DD87" s="392"/>
      <c r="DE87" s="392"/>
      <c r="DF87" s="392"/>
      <c r="DG87" s="392"/>
      <c r="DH87" s="392"/>
      <c r="DI87" s="392"/>
      <c r="DJ87" s="392"/>
      <c r="DK87" s="392"/>
      <c r="DL87" s="392"/>
      <c r="DM87" s="392"/>
      <c r="DN87" s="392"/>
      <c r="DO87" s="392"/>
      <c r="DP87" s="392"/>
      <c r="DQ87" s="392"/>
      <c r="DR87" s="392"/>
      <c r="DS87" s="392"/>
      <c r="DT87" s="392"/>
      <c r="DU87" s="392"/>
      <c r="DV87" s="392"/>
      <c r="DW87" s="392"/>
      <c r="DX87" s="392"/>
      <c r="DY87" s="392"/>
      <c r="DZ87" s="392"/>
      <c r="EA87" s="392"/>
      <c r="EB87" s="392"/>
      <c r="EC87" s="392"/>
      <c r="ED87" s="392"/>
      <c r="EE87" s="392"/>
      <c r="EF87" s="392"/>
      <c r="EG87" s="392"/>
      <c r="EH87" s="392"/>
      <c r="EI87" s="392"/>
      <c r="EJ87" s="392"/>
      <c r="EK87" s="392"/>
      <c r="EL87" s="392"/>
      <c r="EM87" s="392"/>
      <c r="EN87" s="392"/>
      <c r="EO87" s="392"/>
      <c r="EP87" s="392"/>
      <c r="EQ87" s="392"/>
      <c r="ER87" s="392"/>
      <c r="ES87" s="392"/>
      <c r="ET87" s="392"/>
      <c r="EU87" s="392"/>
      <c r="EV87" s="392"/>
      <c r="EW87" s="392"/>
      <c r="EX87" s="392"/>
      <c r="EY87" s="392"/>
      <c r="EZ87" s="392"/>
      <c r="FA87" s="392"/>
      <c r="FB87" s="392"/>
      <c r="FC87" s="392"/>
      <c r="FD87" s="392"/>
      <c r="FE87" s="392"/>
      <c r="FF87" s="392"/>
      <c r="FG87" s="392"/>
      <c r="FH87" s="392"/>
      <c r="FI87" s="392"/>
      <c r="FJ87" s="392"/>
      <c r="FK87" s="392"/>
      <c r="FL87" s="392"/>
      <c r="FM87" s="392"/>
      <c r="FN87" s="392"/>
      <c r="FO87" s="392"/>
      <c r="FP87" s="392"/>
      <c r="FQ87" s="392"/>
      <c r="FR87" s="392"/>
      <c r="FS87" s="392"/>
      <c r="FT87" s="392"/>
      <c r="FU87" s="392"/>
      <c r="FV87" s="392"/>
      <c r="FW87" s="392"/>
      <c r="FX87" s="392"/>
      <c r="FY87" s="392"/>
      <c r="FZ87" s="392"/>
      <c r="GA87" s="392"/>
      <c r="GB87" s="392"/>
      <c r="GC87" s="392"/>
      <c r="GD87" s="392"/>
      <c r="GE87" s="392"/>
      <c r="GF87" s="392"/>
      <c r="GG87" s="392"/>
      <c r="GH87" s="392"/>
      <c r="GI87" s="392"/>
      <c r="GJ87" s="392"/>
      <c r="GK87" s="392"/>
      <c r="GL87" s="392"/>
      <c r="GM87" s="392"/>
      <c r="GN87" s="392"/>
      <c r="GO87" s="392"/>
      <c r="GP87" s="392"/>
      <c r="GQ87" s="392"/>
      <c r="GR87" s="392"/>
      <c r="GS87" s="392"/>
      <c r="GT87" s="392"/>
      <c r="GU87" s="392"/>
      <c r="GV87" s="392"/>
      <c r="GW87" s="392"/>
      <c r="GX87" s="392"/>
      <c r="GY87" s="392"/>
      <c r="GZ87" s="392"/>
      <c r="HA87" s="392"/>
      <c r="HB87" s="392"/>
      <c r="HC87" s="392"/>
      <c r="HD87" s="392"/>
      <c r="HE87" s="392"/>
      <c r="HF87" s="392"/>
      <c r="HG87" s="392"/>
      <c r="HH87" s="392"/>
      <c r="HI87" s="392"/>
      <c r="HJ87" s="392"/>
      <c r="HK87" s="392"/>
      <c r="HL87" s="392"/>
      <c r="HM87" s="392"/>
      <c r="HN87" s="392"/>
      <c r="HO87" s="392"/>
      <c r="HP87" s="392"/>
      <c r="HQ87" s="392"/>
      <c r="HR87" s="392"/>
      <c r="HS87" s="392"/>
      <c r="HT87" s="392"/>
      <c r="HU87" s="392"/>
      <c r="HV87" s="392"/>
      <c r="HW87" s="392"/>
      <c r="HX87" s="392"/>
      <c r="HY87" s="392"/>
      <c r="HZ87" s="392"/>
      <c r="IA87" s="392"/>
      <c r="IB87" s="392"/>
      <c r="IC87" s="392"/>
      <c r="ID87" s="392"/>
      <c r="IE87" s="392"/>
      <c r="IF87" s="392"/>
      <c r="IG87" s="392"/>
      <c r="IH87" s="392"/>
      <c r="II87" s="392"/>
      <c r="IJ87" s="392"/>
      <c r="IK87" s="392"/>
      <c r="IL87" s="392"/>
      <c r="IM87" s="392"/>
      <c r="IN87" s="392"/>
      <c r="IO87" s="392"/>
      <c r="IP87" s="392"/>
      <c r="IQ87" s="392"/>
      <c r="IR87" s="392"/>
      <c r="IS87" s="392"/>
      <c r="IT87" s="392"/>
      <c r="IU87" s="392"/>
      <c r="IV87" s="392"/>
      <c r="IW87" s="392"/>
      <c r="IX87" s="392"/>
      <c r="IY87" s="392"/>
      <c r="IZ87" s="392"/>
      <c r="JA87" s="392"/>
      <c r="JB87" s="392"/>
      <c r="JC87" s="392"/>
      <c r="JD87" s="392"/>
      <c r="JE87" s="392"/>
      <c r="JF87" s="392"/>
      <c r="JG87" s="392"/>
      <c r="JH87" s="392"/>
      <c r="JI87" s="393">
        <f t="shared" si="3"/>
        <v>0</v>
      </c>
      <c r="JJ87" s="2">
        <v>6100</v>
      </c>
      <c r="JK87" s="392">
        <f t="shared" si="2"/>
        <v>0</v>
      </c>
      <c r="JL87" s="284"/>
      <c r="JM87" s="284"/>
      <c r="JN87" s="284"/>
      <c r="JO87" s="284"/>
      <c r="JP87" s="284"/>
    </row>
    <row r="88" spans="1:276" x14ac:dyDescent="0.3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2"/>
      <c r="M88" s="392"/>
      <c r="N88" s="392"/>
      <c r="O88" s="392"/>
      <c r="P88" s="392"/>
      <c r="Q88" s="392"/>
      <c r="R88" s="392"/>
      <c r="S88" s="392"/>
      <c r="T88" s="392"/>
      <c r="U88" s="392"/>
      <c r="V88" s="392"/>
      <c r="W88" s="392"/>
      <c r="X88" s="392"/>
      <c r="Y88" s="392"/>
      <c r="Z88" s="392"/>
      <c r="AA88" s="392"/>
      <c r="AB88" s="392"/>
      <c r="AC88" s="392"/>
      <c r="AD88" s="392"/>
      <c r="AE88" s="392"/>
      <c r="AF88" s="392"/>
      <c r="AG88" s="392"/>
      <c r="AH88" s="392"/>
      <c r="AI88" s="392"/>
      <c r="AJ88" s="392"/>
      <c r="AK88" s="392"/>
      <c r="AL88" s="392"/>
      <c r="AM88" s="392"/>
      <c r="AN88" s="392"/>
      <c r="AO88" s="392"/>
      <c r="AP88" s="392"/>
      <c r="AQ88" s="392"/>
      <c r="AR88" s="392"/>
      <c r="AS88" s="392"/>
      <c r="AT88" s="392"/>
      <c r="AU88" s="392"/>
      <c r="AV88" s="392"/>
      <c r="AW88" s="392"/>
      <c r="AX88" s="392"/>
      <c r="AY88" s="392"/>
      <c r="AZ88" s="392"/>
      <c r="BA88" s="392"/>
      <c r="BB88" s="392"/>
      <c r="BC88" s="392"/>
      <c r="BD88" s="392"/>
      <c r="BE88" s="392"/>
      <c r="BF88" s="392"/>
      <c r="BG88" s="392"/>
      <c r="BH88" s="392"/>
      <c r="BI88" s="392"/>
      <c r="BJ88" s="392"/>
      <c r="BK88" s="392"/>
      <c r="BL88" s="392"/>
      <c r="BM88" s="392"/>
      <c r="BN88" s="392"/>
      <c r="BO88" s="392"/>
      <c r="BP88" s="392"/>
      <c r="BQ88" s="392"/>
      <c r="BR88" s="392"/>
      <c r="BS88" s="392"/>
      <c r="BT88" s="392"/>
      <c r="BU88" s="392"/>
      <c r="BV88" s="392"/>
      <c r="BW88" s="392"/>
      <c r="BX88" s="392"/>
      <c r="BY88" s="392"/>
      <c r="BZ88" s="392"/>
      <c r="CA88" s="392"/>
      <c r="CB88" s="392"/>
      <c r="CC88" s="392"/>
      <c r="CD88" s="392"/>
      <c r="CE88" s="392"/>
      <c r="CF88" s="392"/>
      <c r="CG88" s="392"/>
      <c r="CH88" s="392"/>
      <c r="CI88" s="392"/>
      <c r="CJ88" s="392"/>
      <c r="CK88" s="392"/>
      <c r="CL88" s="392"/>
      <c r="CM88" s="392"/>
      <c r="CN88" s="392"/>
      <c r="CO88" s="392"/>
      <c r="CP88" s="392"/>
      <c r="CQ88" s="392"/>
      <c r="CR88" s="392"/>
      <c r="CS88" s="392"/>
      <c r="CT88" s="392"/>
      <c r="CU88" s="392"/>
      <c r="CV88" s="392"/>
      <c r="CW88" s="392"/>
      <c r="CX88" s="392"/>
      <c r="CY88" s="392"/>
      <c r="CZ88" s="392"/>
      <c r="DA88" s="392"/>
      <c r="DB88" s="392"/>
      <c r="DC88" s="392"/>
      <c r="DD88" s="392"/>
      <c r="DE88" s="392"/>
      <c r="DF88" s="392"/>
      <c r="DG88" s="392"/>
      <c r="DH88" s="392"/>
      <c r="DI88" s="392"/>
      <c r="DJ88" s="392"/>
      <c r="DK88" s="392"/>
      <c r="DL88" s="392"/>
      <c r="DM88" s="392"/>
      <c r="DN88" s="392"/>
      <c r="DO88" s="392"/>
      <c r="DP88" s="392"/>
      <c r="DQ88" s="392"/>
      <c r="DR88" s="392"/>
      <c r="DS88" s="392"/>
      <c r="DT88" s="392"/>
      <c r="DU88" s="392"/>
      <c r="DV88" s="392"/>
      <c r="DW88" s="392"/>
      <c r="DX88" s="392"/>
      <c r="DY88" s="392"/>
      <c r="DZ88" s="392"/>
      <c r="EA88" s="392"/>
      <c r="EB88" s="392"/>
      <c r="EC88" s="392"/>
      <c r="ED88" s="392"/>
      <c r="EE88" s="392"/>
      <c r="EF88" s="392"/>
      <c r="EG88" s="392"/>
      <c r="EH88" s="392"/>
      <c r="EI88" s="392"/>
      <c r="EJ88" s="392"/>
      <c r="EK88" s="392"/>
      <c r="EL88" s="392"/>
      <c r="EM88" s="392"/>
      <c r="EN88" s="392"/>
      <c r="EO88" s="392"/>
      <c r="EP88" s="392"/>
      <c r="EQ88" s="392"/>
      <c r="ER88" s="392"/>
      <c r="ES88" s="392"/>
      <c r="ET88" s="392"/>
      <c r="EU88" s="392"/>
      <c r="EV88" s="392"/>
      <c r="EW88" s="392"/>
      <c r="EX88" s="392"/>
      <c r="EY88" s="392"/>
      <c r="EZ88" s="392"/>
      <c r="FA88" s="392"/>
      <c r="FB88" s="392"/>
      <c r="FC88" s="392"/>
      <c r="FD88" s="392"/>
      <c r="FE88" s="392"/>
      <c r="FF88" s="392"/>
      <c r="FG88" s="392"/>
      <c r="FH88" s="392"/>
      <c r="FI88" s="392"/>
      <c r="FJ88" s="392"/>
      <c r="FK88" s="392"/>
      <c r="FL88" s="392"/>
      <c r="FM88" s="392"/>
      <c r="FN88" s="392"/>
      <c r="FO88" s="392"/>
      <c r="FP88" s="392"/>
      <c r="FQ88" s="392"/>
      <c r="FR88" s="392"/>
      <c r="FS88" s="392"/>
      <c r="FT88" s="392"/>
      <c r="FU88" s="392"/>
      <c r="FV88" s="392"/>
      <c r="FW88" s="392"/>
      <c r="FX88" s="392"/>
      <c r="FY88" s="392"/>
      <c r="FZ88" s="392"/>
      <c r="GA88" s="392"/>
      <c r="GB88" s="392"/>
      <c r="GC88" s="392"/>
      <c r="GD88" s="392"/>
      <c r="GE88" s="392"/>
      <c r="GF88" s="392"/>
      <c r="GG88" s="392"/>
      <c r="GH88" s="392"/>
      <c r="GI88" s="392"/>
      <c r="GJ88" s="392"/>
      <c r="GK88" s="392"/>
      <c r="GL88" s="392"/>
      <c r="GM88" s="392"/>
      <c r="GN88" s="392"/>
      <c r="GO88" s="392"/>
      <c r="GP88" s="392"/>
      <c r="GQ88" s="392"/>
      <c r="GR88" s="392"/>
      <c r="GS88" s="392"/>
      <c r="GT88" s="392"/>
      <c r="GU88" s="392"/>
      <c r="GV88" s="392"/>
      <c r="GW88" s="392"/>
      <c r="GX88" s="392"/>
      <c r="GY88" s="392"/>
      <c r="GZ88" s="392"/>
      <c r="HA88" s="392"/>
      <c r="HB88" s="392"/>
      <c r="HC88" s="392"/>
      <c r="HD88" s="392"/>
      <c r="HE88" s="392"/>
      <c r="HF88" s="392"/>
      <c r="HG88" s="392"/>
      <c r="HH88" s="392"/>
      <c r="HI88" s="392"/>
      <c r="HJ88" s="392"/>
      <c r="HK88" s="392"/>
      <c r="HL88" s="392"/>
      <c r="HM88" s="392"/>
      <c r="HN88" s="392"/>
      <c r="HO88" s="392"/>
      <c r="HP88" s="392"/>
      <c r="HQ88" s="392"/>
      <c r="HR88" s="392"/>
      <c r="HS88" s="392"/>
      <c r="HT88" s="392"/>
      <c r="HU88" s="392"/>
      <c r="HV88" s="392"/>
      <c r="HW88" s="392"/>
      <c r="HX88" s="392"/>
      <c r="HY88" s="392"/>
      <c r="HZ88" s="392"/>
      <c r="IA88" s="392"/>
      <c r="IB88" s="392"/>
      <c r="IC88" s="392"/>
      <c r="ID88" s="392"/>
      <c r="IE88" s="392"/>
      <c r="IF88" s="392"/>
      <c r="IG88" s="392"/>
      <c r="IH88" s="392"/>
      <c r="II88" s="392"/>
      <c r="IJ88" s="392"/>
      <c r="IK88" s="392"/>
      <c r="IL88" s="392"/>
      <c r="IM88" s="392"/>
      <c r="IN88" s="392"/>
      <c r="IO88" s="392"/>
      <c r="IP88" s="392"/>
      <c r="IQ88" s="392"/>
      <c r="IR88" s="392"/>
      <c r="IS88" s="392"/>
      <c r="IT88" s="392"/>
      <c r="IU88" s="392"/>
      <c r="IV88" s="392"/>
      <c r="IW88" s="392"/>
      <c r="IX88" s="392"/>
      <c r="IY88" s="392"/>
      <c r="IZ88" s="392"/>
      <c r="JA88" s="392"/>
      <c r="JB88" s="392"/>
      <c r="JC88" s="392"/>
      <c r="JD88" s="392"/>
      <c r="JE88" s="392"/>
      <c r="JF88" s="392"/>
      <c r="JG88" s="392"/>
      <c r="JH88" s="392"/>
      <c r="JI88" s="393">
        <f t="shared" si="3"/>
        <v>0</v>
      </c>
      <c r="JJ88" s="2">
        <v>6104</v>
      </c>
      <c r="JK88" s="392">
        <f t="shared" si="2"/>
        <v>0</v>
      </c>
      <c r="JL88" s="284"/>
      <c r="JM88" s="284"/>
      <c r="JN88" s="284"/>
      <c r="JO88" s="284"/>
      <c r="JP88" s="284"/>
    </row>
    <row r="89" spans="1:276" x14ac:dyDescent="0.3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2"/>
      <c r="O89" s="392"/>
      <c r="P89" s="392"/>
      <c r="Q89" s="392"/>
      <c r="R89" s="392"/>
      <c r="S89" s="392"/>
      <c r="T89" s="392"/>
      <c r="U89" s="392"/>
      <c r="V89" s="392"/>
      <c r="W89" s="392"/>
      <c r="X89" s="392"/>
      <c r="Y89" s="392"/>
      <c r="Z89" s="392"/>
      <c r="AA89" s="392"/>
      <c r="AB89" s="392"/>
      <c r="AC89" s="392"/>
      <c r="AD89" s="392"/>
      <c r="AE89" s="392"/>
      <c r="AF89" s="392"/>
      <c r="AG89" s="392"/>
      <c r="AH89" s="392"/>
      <c r="AI89" s="392"/>
      <c r="AJ89" s="392"/>
      <c r="AK89" s="392"/>
      <c r="AL89" s="392"/>
      <c r="AM89" s="392"/>
      <c r="AN89" s="392"/>
      <c r="AO89" s="392"/>
      <c r="AP89" s="392"/>
      <c r="AQ89" s="392"/>
      <c r="AR89" s="392"/>
      <c r="AS89" s="392"/>
      <c r="AT89" s="392"/>
      <c r="AU89" s="392"/>
      <c r="AV89" s="392"/>
      <c r="AW89" s="392"/>
      <c r="AX89" s="392"/>
      <c r="AY89" s="392"/>
      <c r="AZ89" s="392"/>
      <c r="BA89" s="392"/>
      <c r="BB89" s="392"/>
      <c r="BC89" s="392"/>
      <c r="BD89" s="392"/>
      <c r="BE89" s="392"/>
      <c r="BF89" s="392"/>
      <c r="BG89" s="392"/>
      <c r="BH89" s="392"/>
      <c r="BI89" s="392"/>
      <c r="BJ89" s="392"/>
      <c r="BK89" s="392"/>
      <c r="BL89" s="392"/>
      <c r="BM89" s="392"/>
      <c r="BN89" s="392"/>
      <c r="BO89" s="392"/>
      <c r="BP89" s="392"/>
      <c r="BQ89" s="392"/>
      <c r="BR89" s="392"/>
      <c r="BS89" s="392"/>
      <c r="BT89" s="392"/>
      <c r="BU89" s="392"/>
      <c r="BV89" s="392"/>
      <c r="BW89" s="392"/>
      <c r="BX89" s="392"/>
      <c r="BY89" s="392"/>
      <c r="BZ89" s="392"/>
      <c r="CA89" s="392"/>
      <c r="CB89" s="392"/>
      <c r="CC89" s="392"/>
      <c r="CD89" s="392"/>
      <c r="CE89" s="392"/>
      <c r="CF89" s="392"/>
      <c r="CG89" s="392"/>
      <c r="CH89" s="392"/>
      <c r="CI89" s="392"/>
      <c r="CJ89" s="392"/>
      <c r="CK89" s="392"/>
      <c r="CL89" s="392"/>
      <c r="CM89" s="392"/>
      <c r="CN89" s="392"/>
      <c r="CO89" s="392"/>
      <c r="CP89" s="392"/>
      <c r="CQ89" s="392"/>
      <c r="CR89" s="392"/>
      <c r="CS89" s="392"/>
      <c r="CT89" s="392"/>
      <c r="CU89" s="392"/>
      <c r="CV89" s="392"/>
      <c r="CW89" s="392"/>
      <c r="CX89" s="392"/>
      <c r="CY89" s="392"/>
      <c r="CZ89" s="392"/>
      <c r="DA89" s="392"/>
      <c r="DB89" s="392"/>
      <c r="DC89" s="392"/>
      <c r="DD89" s="392"/>
      <c r="DE89" s="392"/>
      <c r="DF89" s="392"/>
      <c r="DG89" s="392"/>
      <c r="DH89" s="392"/>
      <c r="DI89" s="392"/>
      <c r="DJ89" s="392"/>
      <c r="DK89" s="392"/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2"/>
      <c r="DW89" s="392"/>
      <c r="DX89" s="392"/>
      <c r="DY89" s="392"/>
      <c r="DZ89" s="392"/>
      <c r="EA89" s="392"/>
      <c r="EB89" s="392"/>
      <c r="EC89" s="392"/>
      <c r="ED89" s="392"/>
      <c r="EE89" s="392"/>
      <c r="EF89" s="392"/>
      <c r="EG89" s="392"/>
      <c r="EH89" s="392"/>
      <c r="EI89" s="392"/>
      <c r="EJ89" s="392"/>
      <c r="EK89" s="392"/>
      <c r="EL89" s="392"/>
      <c r="EM89" s="392"/>
      <c r="EN89" s="392"/>
      <c r="EO89" s="392"/>
      <c r="EP89" s="392"/>
      <c r="EQ89" s="392"/>
      <c r="ER89" s="392"/>
      <c r="ES89" s="392"/>
      <c r="ET89" s="392"/>
      <c r="EU89" s="392"/>
      <c r="EV89" s="392"/>
      <c r="EW89" s="392"/>
      <c r="EX89" s="392"/>
      <c r="EY89" s="392"/>
      <c r="EZ89" s="392"/>
      <c r="FA89" s="392"/>
      <c r="FB89" s="392"/>
      <c r="FC89" s="392"/>
      <c r="FD89" s="392"/>
      <c r="FE89" s="392"/>
      <c r="FF89" s="392"/>
      <c r="FG89" s="392"/>
      <c r="FH89" s="392"/>
      <c r="FI89" s="392"/>
      <c r="FJ89" s="392"/>
      <c r="FK89" s="392"/>
      <c r="FL89" s="392"/>
      <c r="FM89" s="392"/>
      <c r="FN89" s="392"/>
      <c r="FO89" s="392"/>
      <c r="FP89" s="392"/>
      <c r="FQ89" s="392"/>
      <c r="FR89" s="392"/>
      <c r="FS89" s="392"/>
      <c r="FT89" s="392"/>
      <c r="FU89" s="392"/>
      <c r="FV89" s="392"/>
      <c r="FW89" s="392"/>
      <c r="FX89" s="392"/>
      <c r="FY89" s="392"/>
      <c r="FZ89" s="392"/>
      <c r="GA89" s="392"/>
      <c r="GB89" s="392"/>
      <c r="GC89" s="392"/>
      <c r="GD89" s="392"/>
      <c r="GE89" s="392"/>
      <c r="GF89" s="392"/>
      <c r="GG89" s="392"/>
      <c r="GH89" s="392"/>
      <c r="GI89" s="392"/>
      <c r="GJ89" s="392"/>
      <c r="GK89" s="392"/>
      <c r="GL89" s="392"/>
      <c r="GM89" s="392"/>
      <c r="GN89" s="392"/>
      <c r="GO89" s="392"/>
      <c r="GP89" s="392"/>
      <c r="GQ89" s="392"/>
      <c r="GR89" s="392"/>
      <c r="GS89" s="392"/>
      <c r="GT89" s="392"/>
      <c r="GU89" s="392"/>
      <c r="GV89" s="392"/>
      <c r="GW89" s="392"/>
      <c r="GX89" s="392"/>
      <c r="GY89" s="392"/>
      <c r="GZ89" s="392"/>
      <c r="HA89" s="392"/>
      <c r="HB89" s="392"/>
      <c r="HC89" s="392"/>
      <c r="HD89" s="392"/>
      <c r="HE89" s="392"/>
      <c r="HF89" s="392"/>
      <c r="HG89" s="392"/>
      <c r="HH89" s="392"/>
      <c r="HI89" s="392"/>
      <c r="HJ89" s="392"/>
      <c r="HK89" s="392"/>
      <c r="HL89" s="392"/>
      <c r="HM89" s="392"/>
      <c r="HN89" s="392"/>
      <c r="HO89" s="392"/>
      <c r="HP89" s="392"/>
      <c r="HQ89" s="392"/>
      <c r="HR89" s="392"/>
      <c r="HS89" s="392"/>
      <c r="HT89" s="392"/>
      <c r="HU89" s="392"/>
      <c r="HV89" s="392"/>
      <c r="HW89" s="392"/>
      <c r="HX89" s="392"/>
      <c r="HY89" s="392"/>
      <c r="HZ89" s="392"/>
      <c r="IA89" s="392"/>
      <c r="IB89" s="392"/>
      <c r="IC89" s="392"/>
      <c r="ID89" s="392"/>
      <c r="IE89" s="392"/>
      <c r="IF89" s="392"/>
      <c r="IG89" s="392"/>
      <c r="IH89" s="392"/>
      <c r="II89" s="392"/>
      <c r="IJ89" s="392"/>
      <c r="IK89" s="392"/>
      <c r="IL89" s="392"/>
      <c r="IM89" s="392"/>
      <c r="IN89" s="392"/>
      <c r="IO89" s="392"/>
      <c r="IP89" s="392"/>
      <c r="IQ89" s="392"/>
      <c r="IR89" s="392"/>
      <c r="IS89" s="392"/>
      <c r="IT89" s="392"/>
      <c r="IU89" s="392"/>
      <c r="IV89" s="392"/>
      <c r="IW89" s="392"/>
      <c r="IX89" s="392"/>
      <c r="IY89" s="392"/>
      <c r="IZ89" s="392"/>
      <c r="JA89" s="392"/>
      <c r="JB89" s="392"/>
      <c r="JC89" s="392"/>
      <c r="JD89" s="392"/>
      <c r="JE89" s="392"/>
      <c r="JF89" s="392"/>
      <c r="JG89" s="392"/>
      <c r="JH89" s="392"/>
      <c r="JI89" s="393">
        <f t="shared" si="3"/>
        <v>0</v>
      </c>
      <c r="JJ89" s="2">
        <v>6108</v>
      </c>
      <c r="JK89" s="392">
        <f t="shared" si="2"/>
        <v>0</v>
      </c>
      <c r="JL89" s="284"/>
      <c r="JM89" s="284"/>
      <c r="JN89" s="284"/>
      <c r="JO89" s="284"/>
      <c r="JP89" s="284"/>
    </row>
    <row r="90" spans="1:276" x14ac:dyDescent="0.3">
      <c r="A90" s="392"/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2"/>
      <c r="M90" s="392"/>
      <c r="N90" s="392"/>
      <c r="O90" s="392"/>
      <c r="P90" s="392"/>
      <c r="Q90" s="392"/>
      <c r="R90" s="392"/>
      <c r="S90" s="392"/>
      <c r="T90" s="392"/>
      <c r="U90" s="392"/>
      <c r="V90" s="392"/>
      <c r="W90" s="392"/>
      <c r="X90" s="392"/>
      <c r="Y90" s="392"/>
      <c r="Z90" s="392"/>
      <c r="AA90" s="392"/>
      <c r="AB90" s="392"/>
      <c r="AC90" s="392"/>
      <c r="AD90" s="392"/>
      <c r="AE90" s="392"/>
      <c r="AF90" s="392"/>
      <c r="AG90" s="392"/>
      <c r="AH90" s="392"/>
      <c r="AI90" s="392"/>
      <c r="AJ90" s="392"/>
      <c r="AK90" s="392"/>
      <c r="AL90" s="392"/>
      <c r="AM90" s="392"/>
      <c r="AN90" s="392"/>
      <c r="AO90" s="392"/>
      <c r="AP90" s="392"/>
      <c r="AQ90" s="392"/>
      <c r="AR90" s="392"/>
      <c r="AS90" s="392"/>
      <c r="AT90" s="392"/>
      <c r="AU90" s="392"/>
      <c r="AV90" s="392"/>
      <c r="AW90" s="392"/>
      <c r="AX90" s="392"/>
      <c r="AY90" s="392"/>
      <c r="AZ90" s="392"/>
      <c r="BA90" s="392"/>
      <c r="BB90" s="392"/>
      <c r="BC90" s="392"/>
      <c r="BD90" s="392"/>
      <c r="BE90" s="392"/>
      <c r="BF90" s="392"/>
      <c r="BG90" s="392"/>
      <c r="BH90" s="392"/>
      <c r="BI90" s="392"/>
      <c r="BJ90" s="392"/>
      <c r="BK90" s="392"/>
      <c r="BL90" s="392"/>
      <c r="BM90" s="392"/>
      <c r="BN90" s="392"/>
      <c r="BO90" s="392"/>
      <c r="BP90" s="392"/>
      <c r="BQ90" s="392"/>
      <c r="BR90" s="392"/>
      <c r="BS90" s="392"/>
      <c r="BT90" s="392"/>
      <c r="BU90" s="392"/>
      <c r="BV90" s="392"/>
      <c r="BW90" s="392"/>
      <c r="BX90" s="392"/>
      <c r="BY90" s="392"/>
      <c r="BZ90" s="392"/>
      <c r="CA90" s="392"/>
      <c r="CB90" s="392"/>
      <c r="CC90" s="392"/>
      <c r="CD90" s="392"/>
      <c r="CE90" s="392"/>
      <c r="CF90" s="392"/>
      <c r="CG90" s="392"/>
      <c r="CH90" s="392"/>
      <c r="CI90" s="392"/>
      <c r="CJ90" s="392"/>
      <c r="CK90" s="392"/>
      <c r="CL90" s="392"/>
      <c r="CM90" s="392"/>
      <c r="CN90" s="392"/>
      <c r="CO90" s="392"/>
      <c r="CP90" s="392"/>
      <c r="CQ90" s="392"/>
      <c r="CR90" s="392"/>
      <c r="CS90" s="392"/>
      <c r="CT90" s="392"/>
      <c r="CU90" s="392"/>
      <c r="CV90" s="392"/>
      <c r="CW90" s="392"/>
      <c r="CX90" s="392"/>
      <c r="CY90" s="392"/>
      <c r="CZ90" s="392"/>
      <c r="DA90" s="392"/>
      <c r="DB90" s="392"/>
      <c r="DC90" s="392"/>
      <c r="DD90" s="392"/>
      <c r="DE90" s="392"/>
      <c r="DF90" s="392"/>
      <c r="DG90" s="392"/>
      <c r="DH90" s="392"/>
      <c r="DI90" s="392"/>
      <c r="DJ90" s="392"/>
      <c r="DK90" s="392"/>
      <c r="DL90" s="392"/>
      <c r="DM90" s="392"/>
      <c r="DN90" s="392"/>
      <c r="DO90" s="392"/>
      <c r="DP90" s="392"/>
      <c r="DQ90" s="392"/>
      <c r="DR90" s="392"/>
      <c r="DS90" s="392"/>
      <c r="DT90" s="392"/>
      <c r="DU90" s="392"/>
      <c r="DV90" s="392"/>
      <c r="DW90" s="392"/>
      <c r="DX90" s="392"/>
      <c r="DY90" s="392"/>
      <c r="DZ90" s="392"/>
      <c r="EA90" s="392"/>
      <c r="EB90" s="392"/>
      <c r="EC90" s="392"/>
      <c r="ED90" s="392"/>
      <c r="EE90" s="392"/>
      <c r="EF90" s="392"/>
      <c r="EG90" s="392"/>
      <c r="EH90" s="392"/>
      <c r="EI90" s="392"/>
      <c r="EJ90" s="392"/>
      <c r="EK90" s="392"/>
      <c r="EL90" s="392"/>
      <c r="EM90" s="392"/>
      <c r="EN90" s="392"/>
      <c r="EO90" s="392"/>
      <c r="EP90" s="392"/>
      <c r="EQ90" s="392"/>
      <c r="ER90" s="392"/>
      <c r="ES90" s="392"/>
      <c r="ET90" s="392"/>
      <c r="EU90" s="392"/>
      <c r="EV90" s="392"/>
      <c r="EW90" s="392"/>
      <c r="EX90" s="392"/>
      <c r="EY90" s="392"/>
      <c r="EZ90" s="392"/>
      <c r="FA90" s="392"/>
      <c r="FB90" s="392"/>
      <c r="FC90" s="392"/>
      <c r="FD90" s="392"/>
      <c r="FE90" s="392"/>
      <c r="FF90" s="392"/>
      <c r="FG90" s="392"/>
      <c r="FH90" s="392"/>
      <c r="FI90" s="392"/>
      <c r="FJ90" s="392"/>
      <c r="FK90" s="392"/>
      <c r="FL90" s="392"/>
      <c r="FM90" s="392"/>
      <c r="FN90" s="392"/>
      <c r="FO90" s="392"/>
      <c r="FP90" s="392"/>
      <c r="FQ90" s="392"/>
      <c r="FR90" s="392"/>
      <c r="FS90" s="392"/>
      <c r="FT90" s="392"/>
      <c r="FU90" s="392"/>
      <c r="FV90" s="392"/>
      <c r="FW90" s="392"/>
      <c r="FX90" s="392"/>
      <c r="FY90" s="392"/>
      <c r="FZ90" s="392"/>
      <c r="GA90" s="392"/>
      <c r="GB90" s="392"/>
      <c r="GC90" s="392"/>
      <c r="GD90" s="392"/>
      <c r="GE90" s="392"/>
      <c r="GF90" s="392"/>
      <c r="GG90" s="392"/>
      <c r="GH90" s="392"/>
      <c r="GI90" s="392"/>
      <c r="GJ90" s="392"/>
      <c r="GK90" s="392"/>
      <c r="GL90" s="392"/>
      <c r="GM90" s="392"/>
      <c r="GN90" s="392"/>
      <c r="GO90" s="392"/>
      <c r="GP90" s="392"/>
      <c r="GQ90" s="392"/>
      <c r="GR90" s="392"/>
      <c r="GS90" s="392"/>
      <c r="GT90" s="392"/>
      <c r="GU90" s="392"/>
      <c r="GV90" s="392"/>
      <c r="GW90" s="392"/>
      <c r="GX90" s="392"/>
      <c r="GY90" s="392"/>
      <c r="GZ90" s="392"/>
      <c r="HA90" s="392"/>
      <c r="HB90" s="392"/>
      <c r="HC90" s="392"/>
      <c r="HD90" s="392"/>
      <c r="HE90" s="392"/>
      <c r="HF90" s="392"/>
      <c r="HG90" s="392"/>
      <c r="HH90" s="392"/>
      <c r="HI90" s="392"/>
      <c r="HJ90" s="392"/>
      <c r="HK90" s="392"/>
      <c r="HL90" s="392"/>
      <c r="HM90" s="392"/>
      <c r="HN90" s="392"/>
      <c r="HO90" s="392"/>
      <c r="HP90" s="392"/>
      <c r="HQ90" s="392"/>
      <c r="HR90" s="392"/>
      <c r="HS90" s="392"/>
      <c r="HT90" s="392"/>
      <c r="HU90" s="392"/>
      <c r="HV90" s="392"/>
      <c r="HW90" s="392"/>
      <c r="HX90" s="392"/>
      <c r="HY90" s="392"/>
      <c r="HZ90" s="392"/>
      <c r="IA90" s="392"/>
      <c r="IB90" s="392"/>
      <c r="IC90" s="392"/>
      <c r="ID90" s="392"/>
      <c r="IE90" s="392"/>
      <c r="IF90" s="392"/>
      <c r="IG90" s="392"/>
      <c r="IH90" s="392"/>
      <c r="II90" s="392"/>
      <c r="IJ90" s="392"/>
      <c r="IK90" s="392"/>
      <c r="IL90" s="392"/>
      <c r="IM90" s="392"/>
      <c r="IN90" s="392"/>
      <c r="IO90" s="392"/>
      <c r="IP90" s="392"/>
      <c r="IQ90" s="392"/>
      <c r="IR90" s="392"/>
      <c r="IS90" s="392"/>
      <c r="IT90" s="392"/>
      <c r="IU90" s="392"/>
      <c r="IV90" s="392"/>
      <c r="IW90" s="392"/>
      <c r="IX90" s="392"/>
      <c r="IY90" s="392"/>
      <c r="IZ90" s="392"/>
      <c r="JA90" s="392"/>
      <c r="JB90" s="392"/>
      <c r="JC90" s="392"/>
      <c r="JD90" s="392"/>
      <c r="JE90" s="392"/>
      <c r="JF90" s="392"/>
      <c r="JG90" s="392"/>
      <c r="JH90" s="392"/>
      <c r="JI90" s="393">
        <f t="shared" si="3"/>
        <v>0</v>
      </c>
      <c r="JJ90" s="2">
        <v>6112</v>
      </c>
      <c r="JK90" s="392">
        <f t="shared" si="2"/>
        <v>0</v>
      </c>
      <c r="JL90" s="284"/>
      <c r="JM90" s="284"/>
      <c r="JN90" s="284"/>
      <c r="JO90" s="284"/>
      <c r="JP90" s="284"/>
    </row>
    <row r="91" spans="1:276" x14ac:dyDescent="0.3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2"/>
      <c r="M91" s="392"/>
      <c r="N91" s="392"/>
      <c r="O91" s="392"/>
      <c r="P91" s="392"/>
      <c r="Q91" s="392"/>
      <c r="R91" s="392"/>
      <c r="S91" s="392"/>
      <c r="T91" s="392"/>
      <c r="U91" s="392"/>
      <c r="V91" s="392"/>
      <c r="W91" s="392"/>
      <c r="X91" s="392"/>
      <c r="Y91" s="392"/>
      <c r="Z91" s="392"/>
      <c r="AA91" s="392"/>
      <c r="AB91" s="392"/>
      <c r="AC91" s="392"/>
      <c r="AD91" s="392"/>
      <c r="AE91" s="392"/>
      <c r="AF91" s="392"/>
      <c r="AG91" s="392"/>
      <c r="AH91" s="392"/>
      <c r="AI91" s="392"/>
      <c r="AJ91" s="392"/>
      <c r="AK91" s="392"/>
      <c r="AL91" s="392"/>
      <c r="AM91" s="392"/>
      <c r="AN91" s="392"/>
      <c r="AO91" s="392"/>
      <c r="AP91" s="392"/>
      <c r="AQ91" s="392"/>
      <c r="AR91" s="392"/>
      <c r="AS91" s="392"/>
      <c r="AT91" s="392"/>
      <c r="AU91" s="392"/>
      <c r="AV91" s="392"/>
      <c r="AW91" s="392"/>
      <c r="AX91" s="392"/>
      <c r="AY91" s="392"/>
      <c r="AZ91" s="392"/>
      <c r="BA91" s="392"/>
      <c r="BB91" s="392"/>
      <c r="BC91" s="392"/>
      <c r="BD91" s="392"/>
      <c r="BE91" s="392"/>
      <c r="BF91" s="392"/>
      <c r="BG91" s="392"/>
      <c r="BH91" s="392"/>
      <c r="BI91" s="392"/>
      <c r="BJ91" s="392"/>
      <c r="BK91" s="392"/>
      <c r="BL91" s="392"/>
      <c r="BM91" s="392"/>
      <c r="BN91" s="392"/>
      <c r="BO91" s="392"/>
      <c r="BP91" s="392"/>
      <c r="BQ91" s="392"/>
      <c r="BR91" s="392"/>
      <c r="BS91" s="392"/>
      <c r="BT91" s="392"/>
      <c r="BU91" s="392"/>
      <c r="BV91" s="392"/>
      <c r="BW91" s="392"/>
      <c r="BX91" s="392"/>
      <c r="BY91" s="392"/>
      <c r="BZ91" s="392"/>
      <c r="CA91" s="392"/>
      <c r="CB91" s="392"/>
      <c r="CC91" s="392"/>
      <c r="CD91" s="392"/>
      <c r="CE91" s="392"/>
      <c r="CF91" s="392"/>
      <c r="CG91" s="392"/>
      <c r="CH91" s="392"/>
      <c r="CI91" s="392"/>
      <c r="CJ91" s="392"/>
      <c r="CK91" s="392"/>
      <c r="CL91" s="392"/>
      <c r="CM91" s="392"/>
      <c r="CN91" s="392"/>
      <c r="CO91" s="392"/>
      <c r="CP91" s="392"/>
      <c r="CQ91" s="392"/>
      <c r="CR91" s="392"/>
      <c r="CS91" s="392"/>
      <c r="CT91" s="392"/>
      <c r="CU91" s="392"/>
      <c r="CV91" s="392"/>
      <c r="CW91" s="392"/>
      <c r="CX91" s="392"/>
      <c r="CY91" s="392"/>
      <c r="CZ91" s="392"/>
      <c r="DA91" s="392"/>
      <c r="DB91" s="392"/>
      <c r="DC91" s="392"/>
      <c r="DD91" s="392"/>
      <c r="DE91" s="392"/>
      <c r="DF91" s="392"/>
      <c r="DG91" s="392"/>
      <c r="DH91" s="392"/>
      <c r="DI91" s="392"/>
      <c r="DJ91" s="392"/>
      <c r="DK91" s="392"/>
      <c r="DL91" s="392"/>
      <c r="DM91" s="392"/>
      <c r="DN91" s="392"/>
      <c r="DO91" s="392"/>
      <c r="DP91" s="392"/>
      <c r="DQ91" s="392"/>
      <c r="DR91" s="392"/>
      <c r="DS91" s="392"/>
      <c r="DT91" s="392"/>
      <c r="DU91" s="392"/>
      <c r="DV91" s="392"/>
      <c r="DW91" s="392"/>
      <c r="DX91" s="392"/>
      <c r="DY91" s="392"/>
      <c r="DZ91" s="392"/>
      <c r="EA91" s="392"/>
      <c r="EB91" s="392"/>
      <c r="EC91" s="392"/>
      <c r="ED91" s="392"/>
      <c r="EE91" s="392"/>
      <c r="EF91" s="392"/>
      <c r="EG91" s="392"/>
      <c r="EH91" s="392"/>
      <c r="EI91" s="392"/>
      <c r="EJ91" s="392"/>
      <c r="EK91" s="392"/>
      <c r="EL91" s="392"/>
      <c r="EM91" s="392"/>
      <c r="EN91" s="392"/>
      <c r="EO91" s="392"/>
      <c r="EP91" s="392"/>
      <c r="EQ91" s="392"/>
      <c r="ER91" s="392"/>
      <c r="ES91" s="392"/>
      <c r="ET91" s="392"/>
      <c r="EU91" s="392"/>
      <c r="EV91" s="392"/>
      <c r="EW91" s="392"/>
      <c r="EX91" s="392"/>
      <c r="EY91" s="392"/>
      <c r="EZ91" s="392"/>
      <c r="FA91" s="392"/>
      <c r="FB91" s="392"/>
      <c r="FC91" s="392"/>
      <c r="FD91" s="392"/>
      <c r="FE91" s="392"/>
      <c r="FF91" s="392"/>
      <c r="FG91" s="392"/>
      <c r="FH91" s="392"/>
      <c r="FI91" s="392"/>
      <c r="FJ91" s="392"/>
      <c r="FK91" s="392"/>
      <c r="FL91" s="392"/>
      <c r="FM91" s="392"/>
      <c r="FN91" s="392"/>
      <c r="FO91" s="392"/>
      <c r="FP91" s="392"/>
      <c r="FQ91" s="392"/>
      <c r="FR91" s="392"/>
      <c r="FS91" s="392"/>
      <c r="FT91" s="392"/>
      <c r="FU91" s="392"/>
      <c r="FV91" s="392"/>
      <c r="FW91" s="392"/>
      <c r="FX91" s="392"/>
      <c r="FY91" s="392"/>
      <c r="FZ91" s="392"/>
      <c r="GA91" s="392"/>
      <c r="GB91" s="392"/>
      <c r="GC91" s="392"/>
      <c r="GD91" s="392"/>
      <c r="GE91" s="392"/>
      <c r="GF91" s="392"/>
      <c r="GG91" s="392"/>
      <c r="GH91" s="392"/>
      <c r="GI91" s="392"/>
      <c r="GJ91" s="392"/>
      <c r="GK91" s="392"/>
      <c r="GL91" s="392"/>
      <c r="GM91" s="392"/>
      <c r="GN91" s="392"/>
      <c r="GO91" s="392"/>
      <c r="GP91" s="392"/>
      <c r="GQ91" s="392"/>
      <c r="GR91" s="392"/>
      <c r="GS91" s="392"/>
      <c r="GT91" s="392"/>
      <c r="GU91" s="392"/>
      <c r="GV91" s="392"/>
      <c r="GW91" s="392"/>
      <c r="GX91" s="392"/>
      <c r="GY91" s="392"/>
      <c r="GZ91" s="392"/>
      <c r="HA91" s="392"/>
      <c r="HB91" s="392"/>
      <c r="HC91" s="392"/>
      <c r="HD91" s="392"/>
      <c r="HE91" s="392"/>
      <c r="HF91" s="392"/>
      <c r="HG91" s="392"/>
      <c r="HH91" s="392"/>
      <c r="HI91" s="392"/>
      <c r="HJ91" s="392"/>
      <c r="HK91" s="392"/>
      <c r="HL91" s="392"/>
      <c r="HM91" s="392"/>
      <c r="HN91" s="392"/>
      <c r="HO91" s="392"/>
      <c r="HP91" s="392"/>
      <c r="HQ91" s="392"/>
      <c r="HR91" s="392"/>
      <c r="HS91" s="392"/>
      <c r="HT91" s="392"/>
      <c r="HU91" s="392"/>
      <c r="HV91" s="392"/>
      <c r="HW91" s="392"/>
      <c r="HX91" s="392"/>
      <c r="HY91" s="392"/>
      <c r="HZ91" s="392"/>
      <c r="IA91" s="392"/>
      <c r="IB91" s="392"/>
      <c r="IC91" s="392"/>
      <c r="ID91" s="392"/>
      <c r="IE91" s="392"/>
      <c r="IF91" s="392"/>
      <c r="IG91" s="392"/>
      <c r="IH91" s="392"/>
      <c r="II91" s="392"/>
      <c r="IJ91" s="392"/>
      <c r="IK91" s="392"/>
      <c r="IL91" s="392"/>
      <c r="IM91" s="392"/>
      <c r="IN91" s="392"/>
      <c r="IO91" s="392"/>
      <c r="IP91" s="392"/>
      <c r="IQ91" s="392"/>
      <c r="IR91" s="392"/>
      <c r="IS91" s="392"/>
      <c r="IT91" s="392"/>
      <c r="IU91" s="392"/>
      <c r="IV91" s="392"/>
      <c r="IW91" s="392"/>
      <c r="IX91" s="392"/>
      <c r="IY91" s="392"/>
      <c r="IZ91" s="392"/>
      <c r="JA91" s="392"/>
      <c r="JB91" s="392"/>
      <c r="JC91" s="392"/>
      <c r="JD91" s="392"/>
      <c r="JE91" s="392"/>
      <c r="JF91" s="392"/>
      <c r="JG91" s="392"/>
      <c r="JH91" s="392"/>
      <c r="JI91" s="393">
        <f t="shared" si="3"/>
        <v>0</v>
      </c>
      <c r="JJ91" s="2">
        <v>6116</v>
      </c>
      <c r="JK91" s="392">
        <f t="shared" si="2"/>
        <v>0</v>
      </c>
      <c r="JL91" s="284"/>
      <c r="JM91" s="284"/>
      <c r="JN91" s="284"/>
      <c r="JO91" s="284"/>
      <c r="JP91" s="284"/>
    </row>
    <row r="92" spans="1:276" x14ac:dyDescent="0.3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2"/>
      <c r="L92" s="392"/>
      <c r="M92" s="392"/>
      <c r="N92" s="392"/>
      <c r="O92" s="392"/>
      <c r="P92" s="392"/>
      <c r="Q92" s="392"/>
      <c r="R92" s="392"/>
      <c r="S92" s="392"/>
      <c r="T92" s="392"/>
      <c r="U92" s="392"/>
      <c r="V92" s="392"/>
      <c r="W92" s="392"/>
      <c r="X92" s="392"/>
      <c r="Y92" s="392"/>
      <c r="Z92" s="392"/>
      <c r="AA92" s="392"/>
      <c r="AB92" s="392"/>
      <c r="AC92" s="392"/>
      <c r="AD92" s="392"/>
      <c r="AE92" s="392"/>
      <c r="AF92" s="392"/>
      <c r="AG92" s="392"/>
      <c r="AH92" s="392"/>
      <c r="AI92" s="392"/>
      <c r="AJ92" s="392"/>
      <c r="AK92" s="392"/>
      <c r="AL92" s="392"/>
      <c r="AM92" s="392"/>
      <c r="AN92" s="392"/>
      <c r="AO92" s="392"/>
      <c r="AP92" s="392"/>
      <c r="AQ92" s="392"/>
      <c r="AR92" s="392"/>
      <c r="AS92" s="392"/>
      <c r="AT92" s="392"/>
      <c r="AU92" s="392"/>
      <c r="AV92" s="392"/>
      <c r="AW92" s="392"/>
      <c r="AX92" s="392"/>
      <c r="AY92" s="392"/>
      <c r="AZ92" s="392"/>
      <c r="BA92" s="392"/>
      <c r="BB92" s="392"/>
      <c r="BC92" s="392"/>
      <c r="BD92" s="392"/>
      <c r="BE92" s="392"/>
      <c r="BF92" s="392"/>
      <c r="BG92" s="392"/>
      <c r="BH92" s="392"/>
      <c r="BI92" s="392"/>
      <c r="BJ92" s="392"/>
      <c r="BK92" s="392"/>
      <c r="BL92" s="392"/>
      <c r="BM92" s="392"/>
      <c r="BN92" s="392"/>
      <c r="BO92" s="392"/>
      <c r="BP92" s="392"/>
      <c r="BQ92" s="392"/>
      <c r="BR92" s="392"/>
      <c r="BS92" s="392"/>
      <c r="BT92" s="392"/>
      <c r="BU92" s="392"/>
      <c r="BV92" s="392"/>
      <c r="BW92" s="392"/>
      <c r="BX92" s="392"/>
      <c r="BY92" s="392"/>
      <c r="BZ92" s="392"/>
      <c r="CA92" s="392"/>
      <c r="CB92" s="392"/>
      <c r="CC92" s="392"/>
      <c r="CD92" s="392"/>
      <c r="CE92" s="392"/>
      <c r="CF92" s="392"/>
      <c r="CG92" s="392"/>
      <c r="CH92" s="392"/>
      <c r="CI92" s="392"/>
      <c r="CJ92" s="392"/>
      <c r="CK92" s="392"/>
      <c r="CL92" s="392"/>
      <c r="CM92" s="392"/>
      <c r="CN92" s="392"/>
      <c r="CO92" s="392"/>
      <c r="CP92" s="392"/>
      <c r="CQ92" s="392"/>
      <c r="CR92" s="392"/>
      <c r="CS92" s="392"/>
      <c r="CT92" s="392"/>
      <c r="CU92" s="392"/>
      <c r="CV92" s="392"/>
      <c r="CW92" s="392"/>
      <c r="CX92" s="392"/>
      <c r="CY92" s="392"/>
      <c r="CZ92" s="392"/>
      <c r="DA92" s="392"/>
      <c r="DB92" s="392"/>
      <c r="DC92" s="392"/>
      <c r="DD92" s="392"/>
      <c r="DE92" s="392"/>
      <c r="DF92" s="392"/>
      <c r="DG92" s="392"/>
      <c r="DH92" s="392"/>
      <c r="DI92" s="392"/>
      <c r="DJ92" s="392"/>
      <c r="DK92" s="392"/>
      <c r="DL92" s="392"/>
      <c r="DM92" s="392"/>
      <c r="DN92" s="392"/>
      <c r="DO92" s="392"/>
      <c r="DP92" s="392"/>
      <c r="DQ92" s="392"/>
      <c r="DR92" s="392"/>
      <c r="DS92" s="392"/>
      <c r="DT92" s="392"/>
      <c r="DU92" s="392"/>
      <c r="DV92" s="392"/>
      <c r="DW92" s="392"/>
      <c r="DX92" s="392"/>
      <c r="DY92" s="392"/>
      <c r="DZ92" s="392"/>
      <c r="EA92" s="392"/>
      <c r="EB92" s="392"/>
      <c r="EC92" s="392"/>
      <c r="ED92" s="392"/>
      <c r="EE92" s="392"/>
      <c r="EF92" s="392"/>
      <c r="EG92" s="392"/>
      <c r="EH92" s="392"/>
      <c r="EI92" s="392"/>
      <c r="EJ92" s="392"/>
      <c r="EK92" s="392"/>
      <c r="EL92" s="392"/>
      <c r="EM92" s="392"/>
      <c r="EN92" s="392"/>
      <c r="EO92" s="392"/>
      <c r="EP92" s="392"/>
      <c r="EQ92" s="392"/>
      <c r="ER92" s="392"/>
      <c r="ES92" s="392"/>
      <c r="ET92" s="392"/>
      <c r="EU92" s="392"/>
      <c r="EV92" s="392"/>
      <c r="EW92" s="392"/>
      <c r="EX92" s="392"/>
      <c r="EY92" s="392"/>
      <c r="EZ92" s="392"/>
      <c r="FA92" s="392"/>
      <c r="FB92" s="392"/>
      <c r="FC92" s="392"/>
      <c r="FD92" s="392"/>
      <c r="FE92" s="392"/>
      <c r="FF92" s="392"/>
      <c r="FG92" s="392"/>
      <c r="FH92" s="392"/>
      <c r="FI92" s="392"/>
      <c r="FJ92" s="392"/>
      <c r="FK92" s="392"/>
      <c r="FL92" s="392"/>
      <c r="FM92" s="392"/>
      <c r="FN92" s="392"/>
      <c r="FO92" s="392"/>
      <c r="FP92" s="392"/>
      <c r="FQ92" s="392"/>
      <c r="FR92" s="392"/>
      <c r="FS92" s="392"/>
      <c r="FT92" s="392"/>
      <c r="FU92" s="392"/>
      <c r="FV92" s="392"/>
      <c r="FW92" s="392"/>
      <c r="FX92" s="392"/>
      <c r="FY92" s="392"/>
      <c r="FZ92" s="392"/>
      <c r="GA92" s="392"/>
      <c r="GB92" s="392"/>
      <c r="GC92" s="392"/>
      <c r="GD92" s="392"/>
      <c r="GE92" s="392"/>
      <c r="GF92" s="392"/>
      <c r="GG92" s="392"/>
      <c r="GH92" s="392"/>
      <c r="GI92" s="392"/>
      <c r="GJ92" s="392"/>
      <c r="GK92" s="392"/>
      <c r="GL92" s="392"/>
      <c r="GM92" s="392"/>
      <c r="GN92" s="392"/>
      <c r="GO92" s="392"/>
      <c r="GP92" s="392"/>
      <c r="GQ92" s="392"/>
      <c r="GR92" s="392"/>
      <c r="GS92" s="392"/>
      <c r="GT92" s="392"/>
      <c r="GU92" s="392"/>
      <c r="GV92" s="392"/>
      <c r="GW92" s="392"/>
      <c r="GX92" s="392"/>
      <c r="GY92" s="392"/>
      <c r="GZ92" s="392"/>
      <c r="HA92" s="392"/>
      <c r="HB92" s="392"/>
      <c r="HC92" s="392"/>
      <c r="HD92" s="392"/>
      <c r="HE92" s="392"/>
      <c r="HF92" s="392"/>
      <c r="HG92" s="392"/>
      <c r="HH92" s="392"/>
      <c r="HI92" s="392"/>
      <c r="HJ92" s="392"/>
      <c r="HK92" s="392"/>
      <c r="HL92" s="392"/>
      <c r="HM92" s="392"/>
      <c r="HN92" s="392"/>
      <c r="HO92" s="392"/>
      <c r="HP92" s="392"/>
      <c r="HQ92" s="392"/>
      <c r="HR92" s="392"/>
      <c r="HS92" s="392"/>
      <c r="HT92" s="392"/>
      <c r="HU92" s="392"/>
      <c r="HV92" s="392"/>
      <c r="HW92" s="392"/>
      <c r="HX92" s="392"/>
      <c r="HY92" s="392"/>
      <c r="HZ92" s="392"/>
      <c r="IA92" s="392"/>
      <c r="IB92" s="392"/>
      <c r="IC92" s="392"/>
      <c r="ID92" s="392"/>
      <c r="IE92" s="392"/>
      <c r="IF92" s="392"/>
      <c r="IG92" s="392"/>
      <c r="IH92" s="392"/>
      <c r="II92" s="392"/>
      <c r="IJ92" s="392"/>
      <c r="IK92" s="392"/>
      <c r="IL92" s="392"/>
      <c r="IM92" s="392"/>
      <c r="IN92" s="392"/>
      <c r="IO92" s="392"/>
      <c r="IP92" s="392"/>
      <c r="IQ92" s="392"/>
      <c r="IR92" s="392"/>
      <c r="IS92" s="392"/>
      <c r="IT92" s="392"/>
      <c r="IU92" s="392"/>
      <c r="IV92" s="392"/>
      <c r="IW92" s="392"/>
      <c r="IX92" s="392"/>
      <c r="IY92" s="392"/>
      <c r="IZ92" s="392"/>
      <c r="JA92" s="392"/>
      <c r="JB92" s="392"/>
      <c r="JC92" s="392"/>
      <c r="JD92" s="392"/>
      <c r="JE92" s="392"/>
      <c r="JF92" s="392"/>
      <c r="JG92" s="392"/>
      <c r="JH92" s="392"/>
      <c r="JI92" s="393">
        <f t="shared" si="3"/>
        <v>0</v>
      </c>
      <c r="JJ92" s="2">
        <v>6123</v>
      </c>
      <c r="JK92" s="392">
        <f t="shared" si="2"/>
        <v>0</v>
      </c>
      <c r="JL92" s="284"/>
      <c r="JM92" s="284"/>
      <c r="JN92" s="284"/>
      <c r="JO92" s="284"/>
      <c r="JP92" s="284"/>
    </row>
    <row r="93" spans="1:276" x14ac:dyDescent="0.3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2"/>
      <c r="P93" s="392"/>
      <c r="Q93" s="392"/>
      <c r="R93" s="392"/>
      <c r="S93" s="392"/>
      <c r="T93" s="392"/>
      <c r="U93" s="392"/>
      <c r="V93" s="392"/>
      <c r="W93" s="392"/>
      <c r="X93" s="392"/>
      <c r="Y93" s="392"/>
      <c r="Z93" s="392"/>
      <c r="AA93" s="392"/>
      <c r="AB93" s="392"/>
      <c r="AC93" s="392"/>
      <c r="AD93" s="392"/>
      <c r="AE93" s="392"/>
      <c r="AF93" s="392"/>
      <c r="AG93" s="392"/>
      <c r="AH93" s="392"/>
      <c r="AI93" s="392"/>
      <c r="AJ93" s="392"/>
      <c r="AK93" s="392"/>
      <c r="AL93" s="392"/>
      <c r="AM93" s="392"/>
      <c r="AN93" s="392"/>
      <c r="AO93" s="392"/>
      <c r="AP93" s="392"/>
      <c r="AQ93" s="392"/>
      <c r="AR93" s="392"/>
      <c r="AS93" s="392"/>
      <c r="AT93" s="392"/>
      <c r="AU93" s="392"/>
      <c r="AV93" s="392"/>
      <c r="AW93" s="392"/>
      <c r="AX93" s="392"/>
      <c r="AY93" s="392"/>
      <c r="AZ93" s="392"/>
      <c r="BA93" s="392"/>
      <c r="BB93" s="392"/>
      <c r="BC93" s="392"/>
      <c r="BD93" s="392"/>
      <c r="BE93" s="392"/>
      <c r="BF93" s="392"/>
      <c r="BG93" s="392"/>
      <c r="BH93" s="392"/>
      <c r="BI93" s="392"/>
      <c r="BJ93" s="392"/>
      <c r="BK93" s="392"/>
      <c r="BL93" s="392"/>
      <c r="BM93" s="392"/>
      <c r="BN93" s="392"/>
      <c r="BO93" s="392"/>
      <c r="BP93" s="392"/>
      <c r="BQ93" s="392"/>
      <c r="BR93" s="392"/>
      <c r="BS93" s="392"/>
      <c r="BT93" s="392"/>
      <c r="BU93" s="392"/>
      <c r="BV93" s="392"/>
      <c r="BW93" s="392"/>
      <c r="BX93" s="392"/>
      <c r="BY93" s="392"/>
      <c r="BZ93" s="392"/>
      <c r="CA93" s="392"/>
      <c r="CB93" s="392"/>
      <c r="CC93" s="392"/>
      <c r="CD93" s="392"/>
      <c r="CE93" s="392"/>
      <c r="CF93" s="392"/>
      <c r="CG93" s="392"/>
      <c r="CH93" s="392"/>
      <c r="CI93" s="392"/>
      <c r="CJ93" s="392"/>
      <c r="CK93" s="392"/>
      <c r="CL93" s="392"/>
      <c r="CM93" s="392"/>
      <c r="CN93" s="392"/>
      <c r="CO93" s="392"/>
      <c r="CP93" s="392"/>
      <c r="CQ93" s="392"/>
      <c r="CR93" s="392"/>
      <c r="CS93" s="392"/>
      <c r="CT93" s="392"/>
      <c r="CU93" s="392"/>
      <c r="CV93" s="392"/>
      <c r="CW93" s="392"/>
      <c r="CX93" s="392"/>
      <c r="CY93" s="392"/>
      <c r="CZ93" s="392"/>
      <c r="DA93" s="392"/>
      <c r="DB93" s="392"/>
      <c r="DC93" s="392"/>
      <c r="DD93" s="392"/>
      <c r="DE93" s="392"/>
      <c r="DF93" s="392"/>
      <c r="DG93" s="392"/>
      <c r="DH93" s="392"/>
      <c r="DI93" s="392"/>
      <c r="DJ93" s="392"/>
      <c r="DK93" s="392"/>
      <c r="DL93" s="392"/>
      <c r="DM93" s="392"/>
      <c r="DN93" s="392"/>
      <c r="DO93" s="392"/>
      <c r="DP93" s="392"/>
      <c r="DQ93" s="392"/>
      <c r="DR93" s="392"/>
      <c r="DS93" s="392"/>
      <c r="DT93" s="392"/>
      <c r="DU93" s="392"/>
      <c r="DV93" s="392"/>
      <c r="DW93" s="392"/>
      <c r="DX93" s="392"/>
      <c r="DY93" s="392"/>
      <c r="DZ93" s="392"/>
      <c r="EA93" s="392"/>
      <c r="EB93" s="392"/>
      <c r="EC93" s="392"/>
      <c r="ED93" s="392"/>
      <c r="EE93" s="392"/>
      <c r="EF93" s="392"/>
      <c r="EG93" s="392"/>
      <c r="EH93" s="392"/>
      <c r="EI93" s="392"/>
      <c r="EJ93" s="392"/>
      <c r="EK93" s="392"/>
      <c r="EL93" s="392"/>
      <c r="EM93" s="392"/>
      <c r="EN93" s="392"/>
      <c r="EO93" s="392"/>
      <c r="EP93" s="392"/>
      <c r="EQ93" s="392"/>
      <c r="ER93" s="392"/>
      <c r="ES93" s="392"/>
      <c r="ET93" s="392"/>
      <c r="EU93" s="392"/>
      <c r="EV93" s="392"/>
      <c r="EW93" s="392"/>
      <c r="EX93" s="392"/>
      <c r="EY93" s="392"/>
      <c r="EZ93" s="392"/>
      <c r="FA93" s="392"/>
      <c r="FB93" s="392"/>
      <c r="FC93" s="392"/>
      <c r="FD93" s="392"/>
      <c r="FE93" s="392"/>
      <c r="FF93" s="392"/>
      <c r="FG93" s="392"/>
      <c r="FH93" s="392"/>
      <c r="FI93" s="392"/>
      <c r="FJ93" s="392"/>
      <c r="FK93" s="392"/>
      <c r="FL93" s="392"/>
      <c r="FM93" s="392"/>
      <c r="FN93" s="392"/>
      <c r="FO93" s="392"/>
      <c r="FP93" s="392"/>
      <c r="FQ93" s="392"/>
      <c r="FR93" s="392"/>
      <c r="FS93" s="392"/>
      <c r="FT93" s="392"/>
      <c r="FU93" s="392"/>
      <c r="FV93" s="392"/>
      <c r="FW93" s="392"/>
      <c r="FX93" s="392"/>
      <c r="FY93" s="392"/>
      <c r="FZ93" s="392"/>
      <c r="GA93" s="392"/>
      <c r="GB93" s="392"/>
      <c r="GC93" s="392"/>
      <c r="GD93" s="392"/>
      <c r="GE93" s="392"/>
      <c r="GF93" s="392"/>
      <c r="GG93" s="392"/>
      <c r="GH93" s="392"/>
      <c r="GI93" s="392"/>
      <c r="GJ93" s="392"/>
      <c r="GK93" s="392"/>
      <c r="GL93" s="392"/>
      <c r="GM93" s="392"/>
      <c r="GN93" s="392"/>
      <c r="GO93" s="392"/>
      <c r="GP93" s="392"/>
      <c r="GQ93" s="392"/>
      <c r="GR93" s="392"/>
      <c r="GS93" s="392"/>
      <c r="GT93" s="392"/>
      <c r="GU93" s="392"/>
      <c r="GV93" s="392"/>
      <c r="GW93" s="392"/>
      <c r="GX93" s="392"/>
      <c r="GY93" s="392"/>
      <c r="GZ93" s="392"/>
      <c r="HA93" s="392"/>
      <c r="HB93" s="392"/>
      <c r="HC93" s="392"/>
      <c r="HD93" s="392"/>
      <c r="HE93" s="392"/>
      <c r="HF93" s="392"/>
      <c r="HG93" s="392"/>
      <c r="HH93" s="392"/>
      <c r="HI93" s="392"/>
      <c r="HJ93" s="392"/>
      <c r="HK93" s="392"/>
      <c r="HL93" s="392"/>
      <c r="HM93" s="392"/>
      <c r="HN93" s="392"/>
      <c r="HO93" s="392"/>
      <c r="HP93" s="392"/>
      <c r="HQ93" s="392"/>
      <c r="HR93" s="392"/>
      <c r="HS93" s="392"/>
      <c r="HT93" s="392"/>
      <c r="HU93" s="392"/>
      <c r="HV93" s="392"/>
      <c r="HW93" s="392"/>
      <c r="HX93" s="392"/>
      <c r="HY93" s="392"/>
      <c r="HZ93" s="392"/>
      <c r="IA93" s="392"/>
      <c r="IB93" s="392"/>
      <c r="IC93" s="392"/>
      <c r="ID93" s="392"/>
      <c r="IE93" s="392"/>
      <c r="IF93" s="392"/>
      <c r="IG93" s="392"/>
      <c r="IH93" s="392"/>
      <c r="II93" s="392"/>
      <c r="IJ93" s="392"/>
      <c r="IK93" s="392"/>
      <c r="IL93" s="392"/>
      <c r="IM93" s="392"/>
      <c r="IN93" s="392"/>
      <c r="IO93" s="392"/>
      <c r="IP93" s="392"/>
      <c r="IQ93" s="392"/>
      <c r="IR93" s="392"/>
      <c r="IS93" s="392"/>
      <c r="IT93" s="392"/>
      <c r="IU93" s="392"/>
      <c r="IV93" s="392"/>
      <c r="IW93" s="392"/>
      <c r="IX93" s="392"/>
      <c r="IY93" s="392"/>
      <c r="IZ93" s="392"/>
      <c r="JA93" s="392"/>
      <c r="JB93" s="392"/>
      <c r="JC93" s="392"/>
      <c r="JD93" s="392"/>
      <c r="JE93" s="392"/>
      <c r="JF93" s="392"/>
      <c r="JG93" s="392"/>
      <c r="JH93" s="392"/>
      <c r="JI93" s="393">
        <f t="shared" si="3"/>
        <v>0</v>
      </c>
      <c r="JJ93" s="2">
        <v>6129</v>
      </c>
      <c r="JK93" s="392">
        <f t="shared" si="2"/>
        <v>0</v>
      </c>
      <c r="JL93" s="284"/>
      <c r="JM93" s="284"/>
      <c r="JN93" s="284"/>
      <c r="JO93" s="284"/>
      <c r="JP93" s="284"/>
    </row>
    <row r="94" spans="1:276" x14ac:dyDescent="0.3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2"/>
      <c r="P94" s="392"/>
      <c r="Q94" s="392"/>
      <c r="R94" s="392"/>
      <c r="S94" s="392"/>
      <c r="T94" s="392"/>
      <c r="U94" s="392"/>
      <c r="V94" s="392"/>
      <c r="W94" s="392"/>
      <c r="X94" s="392"/>
      <c r="Y94" s="392"/>
      <c r="Z94" s="392"/>
      <c r="AA94" s="392"/>
      <c r="AB94" s="392"/>
      <c r="AC94" s="392"/>
      <c r="AD94" s="392"/>
      <c r="AE94" s="392"/>
      <c r="AF94" s="392"/>
      <c r="AG94" s="392"/>
      <c r="AH94" s="392"/>
      <c r="AI94" s="392"/>
      <c r="AJ94" s="392"/>
      <c r="AK94" s="392"/>
      <c r="AL94" s="392"/>
      <c r="AM94" s="392"/>
      <c r="AN94" s="392"/>
      <c r="AO94" s="392"/>
      <c r="AP94" s="392"/>
      <c r="AQ94" s="392"/>
      <c r="AR94" s="392"/>
      <c r="AS94" s="392"/>
      <c r="AT94" s="392"/>
      <c r="AU94" s="392"/>
      <c r="AV94" s="392"/>
      <c r="AW94" s="392"/>
      <c r="AX94" s="392"/>
      <c r="AY94" s="392"/>
      <c r="AZ94" s="392"/>
      <c r="BA94" s="392"/>
      <c r="BB94" s="392"/>
      <c r="BC94" s="392"/>
      <c r="BD94" s="392"/>
      <c r="BE94" s="392"/>
      <c r="BF94" s="392"/>
      <c r="BG94" s="392"/>
      <c r="BH94" s="392"/>
      <c r="BI94" s="392"/>
      <c r="BJ94" s="392"/>
      <c r="BK94" s="392"/>
      <c r="BL94" s="392"/>
      <c r="BM94" s="392"/>
      <c r="BN94" s="392"/>
      <c r="BO94" s="392"/>
      <c r="BP94" s="392"/>
      <c r="BQ94" s="392"/>
      <c r="BR94" s="392"/>
      <c r="BS94" s="392"/>
      <c r="BT94" s="392"/>
      <c r="BU94" s="392"/>
      <c r="BV94" s="392"/>
      <c r="BW94" s="392"/>
      <c r="BX94" s="392"/>
      <c r="BY94" s="392"/>
      <c r="BZ94" s="392"/>
      <c r="CA94" s="392"/>
      <c r="CB94" s="392"/>
      <c r="CC94" s="392"/>
      <c r="CD94" s="392"/>
      <c r="CE94" s="392"/>
      <c r="CF94" s="392"/>
      <c r="CG94" s="392"/>
      <c r="CH94" s="392"/>
      <c r="CI94" s="392"/>
      <c r="CJ94" s="392"/>
      <c r="CK94" s="392"/>
      <c r="CL94" s="392"/>
      <c r="CM94" s="392"/>
      <c r="CN94" s="392"/>
      <c r="CO94" s="392"/>
      <c r="CP94" s="392"/>
      <c r="CQ94" s="392"/>
      <c r="CR94" s="392"/>
      <c r="CS94" s="392"/>
      <c r="CT94" s="392"/>
      <c r="CU94" s="392"/>
      <c r="CV94" s="392"/>
      <c r="CW94" s="392"/>
      <c r="CX94" s="392"/>
      <c r="CY94" s="392"/>
      <c r="CZ94" s="392"/>
      <c r="DA94" s="392"/>
      <c r="DB94" s="392"/>
      <c r="DC94" s="392"/>
      <c r="DD94" s="392"/>
      <c r="DE94" s="392"/>
      <c r="DF94" s="392"/>
      <c r="DG94" s="392"/>
      <c r="DH94" s="392"/>
      <c r="DI94" s="392"/>
      <c r="DJ94" s="392"/>
      <c r="DK94" s="392"/>
      <c r="DL94" s="392"/>
      <c r="DM94" s="392"/>
      <c r="DN94" s="392"/>
      <c r="DO94" s="392"/>
      <c r="DP94" s="392"/>
      <c r="DQ94" s="392"/>
      <c r="DR94" s="392"/>
      <c r="DS94" s="392"/>
      <c r="DT94" s="392"/>
      <c r="DU94" s="392"/>
      <c r="DV94" s="392"/>
      <c r="DW94" s="392"/>
      <c r="DX94" s="392"/>
      <c r="DY94" s="392"/>
      <c r="DZ94" s="392"/>
      <c r="EA94" s="392"/>
      <c r="EB94" s="392"/>
      <c r="EC94" s="392"/>
      <c r="ED94" s="392"/>
      <c r="EE94" s="392"/>
      <c r="EF94" s="392"/>
      <c r="EG94" s="392"/>
      <c r="EH94" s="392"/>
      <c r="EI94" s="392"/>
      <c r="EJ94" s="392"/>
      <c r="EK94" s="392"/>
      <c r="EL94" s="392"/>
      <c r="EM94" s="392"/>
      <c r="EN94" s="392"/>
      <c r="EO94" s="392"/>
      <c r="EP94" s="392"/>
      <c r="EQ94" s="392"/>
      <c r="ER94" s="392"/>
      <c r="ES94" s="392"/>
      <c r="ET94" s="392"/>
      <c r="EU94" s="392"/>
      <c r="EV94" s="392"/>
      <c r="EW94" s="392"/>
      <c r="EX94" s="392"/>
      <c r="EY94" s="392"/>
      <c r="EZ94" s="392"/>
      <c r="FA94" s="392"/>
      <c r="FB94" s="392"/>
      <c r="FC94" s="392"/>
      <c r="FD94" s="392"/>
      <c r="FE94" s="392"/>
      <c r="FF94" s="392"/>
      <c r="FG94" s="392"/>
      <c r="FH94" s="392"/>
      <c r="FI94" s="392"/>
      <c r="FJ94" s="392"/>
      <c r="FK94" s="392"/>
      <c r="FL94" s="392"/>
      <c r="FM94" s="392"/>
      <c r="FN94" s="392"/>
      <c r="FO94" s="392"/>
      <c r="FP94" s="392"/>
      <c r="FQ94" s="392"/>
      <c r="FR94" s="392"/>
      <c r="FS94" s="392"/>
      <c r="FT94" s="392"/>
      <c r="FU94" s="392"/>
      <c r="FV94" s="392"/>
      <c r="FW94" s="392"/>
      <c r="FX94" s="392"/>
      <c r="FY94" s="392"/>
      <c r="FZ94" s="392"/>
      <c r="GA94" s="392"/>
      <c r="GB94" s="392"/>
      <c r="GC94" s="392"/>
      <c r="GD94" s="392"/>
      <c r="GE94" s="392"/>
      <c r="GF94" s="392"/>
      <c r="GG94" s="392"/>
      <c r="GH94" s="392"/>
      <c r="GI94" s="392"/>
      <c r="GJ94" s="392"/>
      <c r="GK94" s="392"/>
      <c r="GL94" s="392"/>
      <c r="GM94" s="392"/>
      <c r="GN94" s="392"/>
      <c r="GO94" s="392"/>
      <c r="GP94" s="392"/>
      <c r="GQ94" s="392"/>
      <c r="GR94" s="392"/>
      <c r="GS94" s="392"/>
      <c r="GT94" s="392"/>
      <c r="GU94" s="392"/>
      <c r="GV94" s="392"/>
      <c r="GW94" s="392"/>
      <c r="GX94" s="392"/>
      <c r="GY94" s="392"/>
      <c r="GZ94" s="392"/>
      <c r="HA94" s="392"/>
      <c r="HB94" s="392"/>
      <c r="HC94" s="392"/>
      <c r="HD94" s="392"/>
      <c r="HE94" s="392"/>
      <c r="HF94" s="392"/>
      <c r="HG94" s="392"/>
      <c r="HH94" s="392"/>
      <c r="HI94" s="392"/>
      <c r="HJ94" s="392"/>
      <c r="HK94" s="392"/>
      <c r="HL94" s="392"/>
      <c r="HM94" s="392"/>
      <c r="HN94" s="392"/>
      <c r="HO94" s="392"/>
      <c r="HP94" s="392"/>
      <c r="HQ94" s="392"/>
      <c r="HR94" s="392"/>
      <c r="HS94" s="392"/>
      <c r="HT94" s="392"/>
      <c r="HU94" s="392"/>
      <c r="HV94" s="392"/>
      <c r="HW94" s="392"/>
      <c r="HX94" s="392"/>
      <c r="HY94" s="392"/>
      <c r="HZ94" s="392"/>
      <c r="IA94" s="392"/>
      <c r="IB94" s="392"/>
      <c r="IC94" s="392"/>
      <c r="ID94" s="392"/>
      <c r="IE94" s="392"/>
      <c r="IF94" s="392"/>
      <c r="IG94" s="392"/>
      <c r="IH94" s="392"/>
      <c r="II94" s="392"/>
      <c r="IJ94" s="392"/>
      <c r="IK94" s="392"/>
      <c r="IL94" s="392"/>
      <c r="IM94" s="392"/>
      <c r="IN94" s="392"/>
      <c r="IO94" s="392"/>
      <c r="IP94" s="392"/>
      <c r="IQ94" s="392"/>
      <c r="IR94" s="392"/>
      <c r="IS94" s="392"/>
      <c r="IT94" s="392"/>
      <c r="IU94" s="392"/>
      <c r="IV94" s="392"/>
      <c r="IW94" s="392"/>
      <c r="IX94" s="392"/>
      <c r="IY94" s="392"/>
      <c r="IZ94" s="392"/>
      <c r="JA94" s="392"/>
      <c r="JB94" s="392"/>
      <c r="JC94" s="392"/>
      <c r="JD94" s="392"/>
      <c r="JE94" s="392"/>
      <c r="JF94" s="392"/>
      <c r="JG94" s="392"/>
      <c r="JH94" s="392"/>
      <c r="JI94" s="393">
        <f t="shared" si="3"/>
        <v>0</v>
      </c>
      <c r="JJ94" s="2">
        <v>6130</v>
      </c>
      <c r="JK94" s="392">
        <f t="shared" si="2"/>
        <v>0</v>
      </c>
      <c r="JL94" s="284"/>
      <c r="JM94" s="284"/>
      <c r="JN94" s="284"/>
      <c r="JO94" s="284"/>
      <c r="JP94" s="284"/>
    </row>
    <row r="95" spans="1:276" x14ac:dyDescent="0.3">
      <c r="A95" s="392"/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2"/>
      <c r="M95" s="392"/>
      <c r="N95" s="392"/>
      <c r="O95" s="392"/>
      <c r="P95" s="392"/>
      <c r="Q95" s="392"/>
      <c r="R95" s="392"/>
      <c r="S95" s="392"/>
      <c r="T95" s="392"/>
      <c r="U95" s="392"/>
      <c r="V95" s="392"/>
      <c r="W95" s="392"/>
      <c r="X95" s="392"/>
      <c r="Y95" s="392"/>
      <c r="Z95" s="392"/>
      <c r="AA95" s="392"/>
      <c r="AB95" s="392"/>
      <c r="AC95" s="392"/>
      <c r="AD95" s="392"/>
      <c r="AE95" s="392"/>
      <c r="AF95" s="392"/>
      <c r="AG95" s="392"/>
      <c r="AH95" s="392"/>
      <c r="AI95" s="392"/>
      <c r="AJ95" s="392"/>
      <c r="AK95" s="392"/>
      <c r="AL95" s="392"/>
      <c r="AM95" s="392"/>
      <c r="AN95" s="392"/>
      <c r="AO95" s="392"/>
      <c r="AP95" s="392"/>
      <c r="AQ95" s="392"/>
      <c r="AR95" s="392"/>
      <c r="AS95" s="392"/>
      <c r="AT95" s="392"/>
      <c r="AU95" s="392"/>
      <c r="AV95" s="392"/>
      <c r="AW95" s="392"/>
      <c r="AX95" s="392"/>
      <c r="AY95" s="392"/>
      <c r="AZ95" s="392"/>
      <c r="BA95" s="392"/>
      <c r="BB95" s="392"/>
      <c r="BC95" s="392"/>
      <c r="BD95" s="392"/>
      <c r="BE95" s="392"/>
      <c r="BF95" s="392"/>
      <c r="BG95" s="392"/>
      <c r="BH95" s="392"/>
      <c r="BI95" s="392"/>
      <c r="BJ95" s="392"/>
      <c r="BK95" s="392"/>
      <c r="BL95" s="392"/>
      <c r="BM95" s="392"/>
      <c r="BN95" s="392"/>
      <c r="BO95" s="392"/>
      <c r="BP95" s="392"/>
      <c r="BQ95" s="392"/>
      <c r="BR95" s="392"/>
      <c r="BS95" s="392"/>
      <c r="BT95" s="392"/>
      <c r="BU95" s="392"/>
      <c r="BV95" s="392"/>
      <c r="BW95" s="392"/>
      <c r="BX95" s="392"/>
      <c r="BY95" s="392"/>
      <c r="BZ95" s="392"/>
      <c r="CA95" s="392"/>
      <c r="CB95" s="392"/>
      <c r="CC95" s="392"/>
      <c r="CD95" s="392"/>
      <c r="CE95" s="392"/>
      <c r="CF95" s="392"/>
      <c r="CG95" s="392"/>
      <c r="CH95" s="392"/>
      <c r="CI95" s="392"/>
      <c r="CJ95" s="392"/>
      <c r="CK95" s="392"/>
      <c r="CL95" s="392"/>
      <c r="CM95" s="392"/>
      <c r="CN95" s="392"/>
      <c r="CO95" s="392"/>
      <c r="CP95" s="392"/>
      <c r="CQ95" s="392"/>
      <c r="CR95" s="392"/>
      <c r="CS95" s="392"/>
      <c r="CT95" s="392"/>
      <c r="CU95" s="392"/>
      <c r="CV95" s="392"/>
      <c r="CW95" s="392"/>
      <c r="CX95" s="392"/>
      <c r="CY95" s="392"/>
      <c r="CZ95" s="392"/>
      <c r="DA95" s="392"/>
      <c r="DB95" s="392"/>
      <c r="DC95" s="392"/>
      <c r="DD95" s="392"/>
      <c r="DE95" s="392"/>
      <c r="DF95" s="392"/>
      <c r="DG95" s="392"/>
      <c r="DH95" s="392"/>
      <c r="DI95" s="392"/>
      <c r="DJ95" s="392"/>
      <c r="DK95" s="392"/>
      <c r="DL95" s="392"/>
      <c r="DM95" s="392"/>
      <c r="DN95" s="392"/>
      <c r="DO95" s="392"/>
      <c r="DP95" s="392"/>
      <c r="DQ95" s="392"/>
      <c r="DR95" s="392"/>
      <c r="DS95" s="392"/>
      <c r="DT95" s="392"/>
      <c r="DU95" s="392"/>
      <c r="DV95" s="392"/>
      <c r="DW95" s="392"/>
      <c r="DX95" s="392"/>
      <c r="DY95" s="392"/>
      <c r="DZ95" s="392"/>
      <c r="EA95" s="392"/>
      <c r="EB95" s="392"/>
      <c r="EC95" s="392"/>
      <c r="ED95" s="392"/>
      <c r="EE95" s="392"/>
      <c r="EF95" s="392"/>
      <c r="EG95" s="392"/>
      <c r="EH95" s="392"/>
      <c r="EI95" s="392"/>
      <c r="EJ95" s="392"/>
      <c r="EK95" s="392"/>
      <c r="EL95" s="392"/>
      <c r="EM95" s="392"/>
      <c r="EN95" s="392"/>
      <c r="EO95" s="392"/>
      <c r="EP95" s="392"/>
      <c r="EQ95" s="392"/>
      <c r="ER95" s="392"/>
      <c r="ES95" s="392"/>
      <c r="ET95" s="392"/>
      <c r="EU95" s="392"/>
      <c r="EV95" s="392"/>
      <c r="EW95" s="392"/>
      <c r="EX95" s="392"/>
      <c r="EY95" s="392"/>
      <c r="EZ95" s="392"/>
      <c r="FA95" s="392"/>
      <c r="FB95" s="392"/>
      <c r="FC95" s="392"/>
      <c r="FD95" s="392"/>
      <c r="FE95" s="392"/>
      <c r="FF95" s="392"/>
      <c r="FG95" s="392"/>
      <c r="FH95" s="392"/>
      <c r="FI95" s="392"/>
      <c r="FJ95" s="392"/>
      <c r="FK95" s="392"/>
      <c r="FL95" s="392"/>
      <c r="FM95" s="392"/>
      <c r="FN95" s="392"/>
      <c r="FO95" s="392"/>
      <c r="FP95" s="392"/>
      <c r="FQ95" s="392"/>
      <c r="FR95" s="392"/>
      <c r="FS95" s="392"/>
      <c r="FT95" s="392"/>
      <c r="FU95" s="392"/>
      <c r="FV95" s="392"/>
      <c r="FW95" s="392"/>
      <c r="FX95" s="392"/>
      <c r="FY95" s="392"/>
      <c r="FZ95" s="392"/>
      <c r="GA95" s="392"/>
      <c r="GB95" s="392"/>
      <c r="GC95" s="392"/>
      <c r="GD95" s="392"/>
      <c r="GE95" s="392"/>
      <c r="GF95" s="392"/>
      <c r="GG95" s="392"/>
      <c r="GH95" s="392"/>
      <c r="GI95" s="392"/>
      <c r="GJ95" s="392"/>
      <c r="GK95" s="392"/>
      <c r="GL95" s="392"/>
      <c r="GM95" s="392"/>
      <c r="GN95" s="392"/>
      <c r="GO95" s="392"/>
      <c r="GP95" s="392"/>
      <c r="GQ95" s="392"/>
      <c r="GR95" s="392"/>
      <c r="GS95" s="392"/>
      <c r="GT95" s="392"/>
      <c r="GU95" s="392"/>
      <c r="GV95" s="392"/>
      <c r="GW95" s="392"/>
      <c r="GX95" s="392"/>
      <c r="GY95" s="392"/>
      <c r="GZ95" s="392"/>
      <c r="HA95" s="392"/>
      <c r="HB95" s="392"/>
      <c r="HC95" s="392"/>
      <c r="HD95" s="392"/>
      <c r="HE95" s="392"/>
      <c r="HF95" s="392"/>
      <c r="HG95" s="392"/>
      <c r="HH95" s="392"/>
      <c r="HI95" s="392"/>
      <c r="HJ95" s="392"/>
      <c r="HK95" s="392"/>
      <c r="HL95" s="392"/>
      <c r="HM95" s="392"/>
      <c r="HN95" s="392"/>
      <c r="HO95" s="392"/>
      <c r="HP95" s="392"/>
      <c r="HQ95" s="392"/>
      <c r="HR95" s="392"/>
      <c r="HS95" s="392"/>
      <c r="HT95" s="392"/>
      <c r="HU95" s="392"/>
      <c r="HV95" s="392"/>
      <c r="HW95" s="392"/>
      <c r="HX95" s="392"/>
      <c r="HY95" s="392"/>
      <c r="HZ95" s="392"/>
      <c r="IA95" s="392"/>
      <c r="IB95" s="392"/>
      <c r="IC95" s="392"/>
      <c r="ID95" s="392"/>
      <c r="IE95" s="392"/>
      <c r="IF95" s="392"/>
      <c r="IG95" s="392"/>
      <c r="IH95" s="392"/>
      <c r="II95" s="392"/>
      <c r="IJ95" s="392"/>
      <c r="IK95" s="392"/>
      <c r="IL95" s="392"/>
      <c r="IM95" s="392"/>
      <c r="IN95" s="392"/>
      <c r="IO95" s="392"/>
      <c r="IP95" s="392"/>
      <c r="IQ95" s="392"/>
      <c r="IR95" s="392"/>
      <c r="IS95" s="392"/>
      <c r="IT95" s="392"/>
      <c r="IU95" s="392"/>
      <c r="IV95" s="392"/>
      <c r="IW95" s="392"/>
      <c r="IX95" s="392"/>
      <c r="IY95" s="392"/>
      <c r="IZ95" s="392"/>
      <c r="JA95" s="392"/>
      <c r="JB95" s="392"/>
      <c r="JC95" s="392"/>
      <c r="JD95" s="392"/>
      <c r="JE95" s="392"/>
      <c r="JF95" s="392"/>
      <c r="JG95" s="392"/>
      <c r="JH95" s="392"/>
      <c r="JI95" s="393">
        <f t="shared" si="3"/>
        <v>0</v>
      </c>
      <c r="JJ95" s="2">
        <v>6139</v>
      </c>
      <c r="JK95" s="392">
        <f t="shared" si="2"/>
        <v>0</v>
      </c>
      <c r="JL95" s="284"/>
      <c r="JM95" s="284"/>
      <c r="JN95" s="284"/>
      <c r="JO95" s="284"/>
      <c r="JP95" s="284"/>
    </row>
    <row r="96" spans="1:276" x14ac:dyDescent="0.3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392"/>
      <c r="T96" s="392"/>
      <c r="U96" s="392"/>
      <c r="V96" s="392"/>
      <c r="W96" s="392"/>
      <c r="X96" s="392"/>
      <c r="Y96" s="392"/>
      <c r="Z96" s="392"/>
      <c r="AA96" s="392"/>
      <c r="AB96" s="392"/>
      <c r="AC96" s="392"/>
      <c r="AD96" s="392"/>
      <c r="AE96" s="392"/>
      <c r="AF96" s="392"/>
      <c r="AG96" s="392"/>
      <c r="AH96" s="392"/>
      <c r="AI96" s="392"/>
      <c r="AJ96" s="392"/>
      <c r="AK96" s="392"/>
      <c r="AL96" s="392"/>
      <c r="AM96" s="392"/>
      <c r="AN96" s="392"/>
      <c r="AO96" s="392"/>
      <c r="AP96" s="392"/>
      <c r="AQ96" s="392"/>
      <c r="AR96" s="392"/>
      <c r="AS96" s="392"/>
      <c r="AT96" s="392"/>
      <c r="AU96" s="392"/>
      <c r="AV96" s="392"/>
      <c r="AW96" s="392"/>
      <c r="AX96" s="392"/>
      <c r="AY96" s="392"/>
      <c r="AZ96" s="392"/>
      <c r="BA96" s="392"/>
      <c r="BB96" s="392"/>
      <c r="BC96" s="392"/>
      <c r="BD96" s="392"/>
      <c r="BE96" s="392"/>
      <c r="BF96" s="392"/>
      <c r="BG96" s="392"/>
      <c r="BH96" s="392"/>
      <c r="BI96" s="392"/>
      <c r="BJ96" s="392"/>
      <c r="BK96" s="392"/>
      <c r="BL96" s="392"/>
      <c r="BM96" s="392"/>
      <c r="BN96" s="392"/>
      <c r="BO96" s="392"/>
      <c r="BP96" s="392"/>
      <c r="BQ96" s="392"/>
      <c r="BR96" s="392"/>
      <c r="BS96" s="392"/>
      <c r="BT96" s="392"/>
      <c r="BU96" s="392"/>
      <c r="BV96" s="392"/>
      <c r="BW96" s="392"/>
      <c r="BX96" s="392"/>
      <c r="BY96" s="392"/>
      <c r="BZ96" s="392"/>
      <c r="CA96" s="392"/>
      <c r="CB96" s="392"/>
      <c r="CC96" s="392"/>
      <c r="CD96" s="392"/>
      <c r="CE96" s="392"/>
      <c r="CF96" s="392"/>
      <c r="CG96" s="392"/>
      <c r="CH96" s="392"/>
      <c r="CI96" s="392"/>
      <c r="CJ96" s="392"/>
      <c r="CK96" s="392"/>
      <c r="CL96" s="392"/>
      <c r="CM96" s="392"/>
      <c r="CN96" s="392"/>
      <c r="CO96" s="392"/>
      <c r="CP96" s="392"/>
      <c r="CQ96" s="392"/>
      <c r="CR96" s="392"/>
      <c r="CS96" s="392"/>
      <c r="CT96" s="392"/>
      <c r="CU96" s="392"/>
      <c r="CV96" s="392"/>
      <c r="CW96" s="392"/>
      <c r="CX96" s="392"/>
      <c r="CY96" s="392"/>
      <c r="CZ96" s="392"/>
      <c r="DA96" s="392"/>
      <c r="DB96" s="392"/>
      <c r="DC96" s="392"/>
      <c r="DD96" s="392"/>
      <c r="DE96" s="392"/>
      <c r="DF96" s="392"/>
      <c r="DG96" s="392"/>
      <c r="DH96" s="392"/>
      <c r="DI96" s="392"/>
      <c r="DJ96" s="392"/>
      <c r="DK96" s="392"/>
      <c r="DL96" s="392"/>
      <c r="DM96" s="392"/>
      <c r="DN96" s="392"/>
      <c r="DO96" s="392"/>
      <c r="DP96" s="392"/>
      <c r="DQ96" s="392"/>
      <c r="DR96" s="392"/>
      <c r="DS96" s="392"/>
      <c r="DT96" s="392"/>
      <c r="DU96" s="392"/>
      <c r="DV96" s="392"/>
      <c r="DW96" s="392"/>
      <c r="DX96" s="392"/>
      <c r="DY96" s="392"/>
      <c r="DZ96" s="392"/>
      <c r="EA96" s="392"/>
      <c r="EB96" s="392"/>
      <c r="EC96" s="392"/>
      <c r="ED96" s="392"/>
      <c r="EE96" s="392"/>
      <c r="EF96" s="392"/>
      <c r="EG96" s="392"/>
      <c r="EH96" s="392"/>
      <c r="EI96" s="392"/>
      <c r="EJ96" s="392"/>
      <c r="EK96" s="392"/>
      <c r="EL96" s="392"/>
      <c r="EM96" s="392"/>
      <c r="EN96" s="392"/>
      <c r="EO96" s="392"/>
      <c r="EP96" s="392"/>
      <c r="EQ96" s="392"/>
      <c r="ER96" s="392"/>
      <c r="ES96" s="392"/>
      <c r="ET96" s="392"/>
      <c r="EU96" s="392"/>
      <c r="EV96" s="392"/>
      <c r="EW96" s="392"/>
      <c r="EX96" s="392"/>
      <c r="EY96" s="392"/>
      <c r="EZ96" s="392"/>
      <c r="FA96" s="392"/>
      <c r="FB96" s="392"/>
      <c r="FC96" s="392"/>
      <c r="FD96" s="392"/>
      <c r="FE96" s="392"/>
      <c r="FF96" s="392"/>
      <c r="FG96" s="392"/>
      <c r="FH96" s="392"/>
      <c r="FI96" s="392"/>
      <c r="FJ96" s="392"/>
      <c r="FK96" s="392"/>
      <c r="FL96" s="392"/>
      <c r="FM96" s="392"/>
      <c r="FN96" s="392"/>
      <c r="FO96" s="392"/>
      <c r="FP96" s="392"/>
      <c r="FQ96" s="392"/>
      <c r="FR96" s="392"/>
      <c r="FS96" s="392"/>
      <c r="FT96" s="392"/>
      <c r="FU96" s="392"/>
      <c r="FV96" s="392"/>
      <c r="FW96" s="392"/>
      <c r="FX96" s="392"/>
      <c r="FY96" s="392"/>
      <c r="FZ96" s="392"/>
      <c r="GA96" s="392"/>
      <c r="GB96" s="392"/>
      <c r="GC96" s="392"/>
      <c r="GD96" s="392"/>
      <c r="GE96" s="392"/>
      <c r="GF96" s="392"/>
      <c r="GG96" s="392"/>
      <c r="GH96" s="392"/>
      <c r="GI96" s="392"/>
      <c r="GJ96" s="392"/>
      <c r="GK96" s="392"/>
      <c r="GL96" s="392"/>
      <c r="GM96" s="392"/>
      <c r="GN96" s="392"/>
      <c r="GO96" s="392"/>
      <c r="GP96" s="392"/>
      <c r="GQ96" s="392"/>
      <c r="GR96" s="392"/>
      <c r="GS96" s="392"/>
      <c r="GT96" s="392"/>
      <c r="GU96" s="392"/>
      <c r="GV96" s="392"/>
      <c r="GW96" s="392"/>
      <c r="GX96" s="392"/>
      <c r="GY96" s="392"/>
      <c r="GZ96" s="392"/>
      <c r="HA96" s="392"/>
      <c r="HB96" s="392"/>
      <c r="HC96" s="392"/>
      <c r="HD96" s="392"/>
      <c r="HE96" s="392"/>
      <c r="HF96" s="392"/>
      <c r="HG96" s="392"/>
      <c r="HH96" s="392"/>
      <c r="HI96" s="392"/>
      <c r="HJ96" s="392"/>
      <c r="HK96" s="392"/>
      <c r="HL96" s="392"/>
      <c r="HM96" s="392"/>
      <c r="HN96" s="392"/>
      <c r="HO96" s="392"/>
      <c r="HP96" s="392"/>
      <c r="HQ96" s="392"/>
      <c r="HR96" s="392"/>
      <c r="HS96" s="392"/>
      <c r="HT96" s="392"/>
      <c r="HU96" s="392"/>
      <c r="HV96" s="392"/>
      <c r="HW96" s="392"/>
      <c r="HX96" s="392"/>
      <c r="HY96" s="392"/>
      <c r="HZ96" s="392"/>
      <c r="IA96" s="392"/>
      <c r="IB96" s="392"/>
      <c r="IC96" s="392"/>
      <c r="ID96" s="392"/>
      <c r="IE96" s="392"/>
      <c r="IF96" s="392"/>
      <c r="IG96" s="392"/>
      <c r="IH96" s="392"/>
      <c r="II96" s="392"/>
      <c r="IJ96" s="392"/>
      <c r="IK96" s="392"/>
      <c r="IL96" s="392"/>
      <c r="IM96" s="392"/>
      <c r="IN96" s="392"/>
      <c r="IO96" s="392"/>
      <c r="IP96" s="392"/>
      <c r="IQ96" s="392"/>
      <c r="IR96" s="392"/>
      <c r="IS96" s="392"/>
      <c r="IT96" s="392"/>
      <c r="IU96" s="392"/>
      <c r="IV96" s="392"/>
      <c r="IW96" s="392"/>
      <c r="IX96" s="392"/>
      <c r="IY96" s="392"/>
      <c r="IZ96" s="392"/>
      <c r="JA96" s="392"/>
      <c r="JB96" s="392"/>
      <c r="JC96" s="392"/>
      <c r="JD96" s="392"/>
      <c r="JE96" s="392"/>
      <c r="JF96" s="392"/>
      <c r="JG96" s="392"/>
      <c r="JH96" s="392"/>
      <c r="JI96" s="393">
        <f t="shared" si="3"/>
        <v>0</v>
      </c>
      <c r="JJ96" s="2">
        <v>6140</v>
      </c>
      <c r="JK96" s="392">
        <f t="shared" si="2"/>
        <v>0</v>
      </c>
      <c r="JL96" s="284"/>
      <c r="JM96" s="284"/>
      <c r="JN96" s="284"/>
      <c r="JO96" s="284"/>
      <c r="JP96" s="284"/>
    </row>
    <row r="97" spans="1:276" x14ac:dyDescent="0.3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2"/>
      <c r="L97" s="392"/>
      <c r="M97" s="392"/>
      <c r="N97" s="392"/>
      <c r="O97" s="392"/>
      <c r="P97" s="392"/>
      <c r="Q97" s="392"/>
      <c r="R97" s="392"/>
      <c r="S97" s="392"/>
      <c r="T97" s="392"/>
      <c r="U97" s="392"/>
      <c r="V97" s="392"/>
      <c r="W97" s="392"/>
      <c r="X97" s="392"/>
      <c r="Y97" s="392"/>
      <c r="Z97" s="392"/>
      <c r="AA97" s="392"/>
      <c r="AB97" s="392"/>
      <c r="AC97" s="392"/>
      <c r="AD97" s="392"/>
      <c r="AE97" s="392"/>
      <c r="AF97" s="392"/>
      <c r="AG97" s="392"/>
      <c r="AH97" s="392"/>
      <c r="AI97" s="392"/>
      <c r="AJ97" s="392"/>
      <c r="AK97" s="392"/>
      <c r="AL97" s="392"/>
      <c r="AM97" s="392"/>
      <c r="AN97" s="392"/>
      <c r="AO97" s="392"/>
      <c r="AP97" s="392"/>
      <c r="AQ97" s="392"/>
      <c r="AR97" s="392"/>
      <c r="AS97" s="392"/>
      <c r="AT97" s="392"/>
      <c r="AU97" s="392"/>
      <c r="AV97" s="392"/>
      <c r="AW97" s="392"/>
      <c r="AX97" s="392"/>
      <c r="AY97" s="392"/>
      <c r="AZ97" s="392"/>
      <c r="BA97" s="392"/>
      <c r="BB97" s="392"/>
      <c r="BC97" s="392"/>
      <c r="BD97" s="392"/>
      <c r="BE97" s="392"/>
      <c r="BF97" s="392"/>
      <c r="BG97" s="392"/>
      <c r="BH97" s="392"/>
      <c r="BI97" s="392"/>
      <c r="BJ97" s="392"/>
      <c r="BK97" s="392"/>
      <c r="BL97" s="392"/>
      <c r="BM97" s="392"/>
      <c r="BN97" s="392"/>
      <c r="BO97" s="392"/>
      <c r="BP97" s="392"/>
      <c r="BQ97" s="392"/>
      <c r="BR97" s="392"/>
      <c r="BS97" s="392"/>
      <c r="BT97" s="392"/>
      <c r="BU97" s="392"/>
      <c r="BV97" s="392"/>
      <c r="BW97" s="392"/>
      <c r="BX97" s="392"/>
      <c r="BY97" s="392"/>
      <c r="BZ97" s="392"/>
      <c r="CA97" s="392"/>
      <c r="CB97" s="392"/>
      <c r="CC97" s="392"/>
      <c r="CD97" s="392"/>
      <c r="CE97" s="392"/>
      <c r="CF97" s="392"/>
      <c r="CG97" s="392"/>
      <c r="CH97" s="392"/>
      <c r="CI97" s="392"/>
      <c r="CJ97" s="392"/>
      <c r="CK97" s="392"/>
      <c r="CL97" s="392"/>
      <c r="CM97" s="392"/>
      <c r="CN97" s="392"/>
      <c r="CO97" s="392"/>
      <c r="CP97" s="392"/>
      <c r="CQ97" s="392"/>
      <c r="CR97" s="392"/>
      <c r="CS97" s="392"/>
      <c r="CT97" s="392"/>
      <c r="CU97" s="392"/>
      <c r="CV97" s="392"/>
      <c r="CW97" s="392"/>
      <c r="CX97" s="392"/>
      <c r="CY97" s="392"/>
      <c r="CZ97" s="392"/>
      <c r="DA97" s="392"/>
      <c r="DB97" s="392"/>
      <c r="DC97" s="392"/>
      <c r="DD97" s="392"/>
      <c r="DE97" s="392"/>
      <c r="DF97" s="392"/>
      <c r="DG97" s="392"/>
      <c r="DH97" s="392"/>
      <c r="DI97" s="392"/>
      <c r="DJ97" s="392"/>
      <c r="DK97" s="392"/>
      <c r="DL97" s="392"/>
      <c r="DM97" s="392"/>
      <c r="DN97" s="392"/>
      <c r="DO97" s="392"/>
      <c r="DP97" s="392"/>
      <c r="DQ97" s="392"/>
      <c r="DR97" s="392"/>
      <c r="DS97" s="392"/>
      <c r="DT97" s="392"/>
      <c r="DU97" s="392"/>
      <c r="DV97" s="392"/>
      <c r="DW97" s="392"/>
      <c r="DX97" s="392"/>
      <c r="DY97" s="392"/>
      <c r="DZ97" s="392"/>
      <c r="EA97" s="392"/>
      <c r="EB97" s="392"/>
      <c r="EC97" s="392"/>
      <c r="ED97" s="392"/>
      <c r="EE97" s="392"/>
      <c r="EF97" s="392"/>
      <c r="EG97" s="392"/>
      <c r="EH97" s="392"/>
      <c r="EI97" s="392"/>
      <c r="EJ97" s="392"/>
      <c r="EK97" s="392"/>
      <c r="EL97" s="392"/>
      <c r="EM97" s="392"/>
      <c r="EN97" s="392"/>
      <c r="EO97" s="392"/>
      <c r="EP97" s="392"/>
      <c r="EQ97" s="392"/>
      <c r="ER97" s="392"/>
      <c r="ES97" s="392"/>
      <c r="ET97" s="392"/>
      <c r="EU97" s="392"/>
      <c r="EV97" s="392"/>
      <c r="EW97" s="392"/>
      <c r="EX97" s="392"/>
      <c r="EY97" s="392"/>
      <c r="EZ97" s="392"/>
      <c r="FA97" s="392"/>
      <c r="FB97" s="392"/>
      <c r="FC97" s="392"/>
      <c r="FD97" s="392"/>
      <c r="FE97" s="392"/>
      <c r="FF97" s="392"/>
      <c r="FG97" s="392"/>
      <c r="FH97" s="392"/>
      <c r="FI97" s="392"/>
      <c r="FJ97" s="392"/>
      <c r="FK97" s="392"/>
      <c r="FL97" s="392"/>
      <c r="FM97" s="392"/>
      <c r="FN97" s="392"/>
      <c r="FO97" s="392"/>
      <c r="FP97" s="392"/>
      <c r="FQ97" s="392"/>
      <c r="FR97" s="392"/>
      <c r="FS97" s="392"/>
      <c r="FT97" s="392"/>
      <c r="FU97" s="392"/>
      <c r="FV97" s="392"/>
      <c r="FW97" s="392"/>
      <c r="FX97" s="392"/>
      <c r="FY97" s="392"/>
      <c r="FZ97" s="392"/>
      <c r="GA97" s="392"/>
      <c r="GB97" s="392"/>
      <c r="GC97" s="392"/>
      <c r="GD97" s="392"/>
      <c r="GE97" s="392"/>
      <c r="GF97" s="392"/>
      <c r="GG97" s="392"/>
      <c r="GH97" s="392"/>
      <c r="GI97" s="392"/>
      <c r="GJ97" s="392"/>
      <c r="GK97" s="392"/>
      <c r="GL97" s="392"/>
      <c r="GM97" s="392"/>
      <c r="GN97" s="392"/>
      <c r="GO97" s="392"/>
      <c r="GP97" s="392"/>
      <c r="GQ97" s="392"/>
      <c r="GR97" s="392"/>
      <c r="GS97" s="392"/>
      <c r="GT97" s="392"/>
      <c r="GU97" s="392"/>
      <c r="GV97" s="392"/>
      <c r="GW97" s="392"/>
      <c r="GX97" s="392"/>
      <c r="GY97" s="392"/>
      <c r="GZ97" s="392"/>
      <c r="HA97" s="392"/>
      <c r="HB97" s="392"/>
      <c r="HC97" s="392"/>
      <c r="HD97" s="392"/>
      <c r="HE97" s="392"/>
      <c r="HF97" s="392"/>
      <c r="HG97" s="392"/>
      <c r="HH97" s="392"/>
      <c r="HI97" s="392"/>
      <c r="HJ97" s="392"/>
      <c r="HK97" s="392"/>
      <c r="HL97" s="392"/>
      <c r="HM97" s="392"/>
      <c r="HN97" s="392"/>
      <c r="HO97" s="392"/>
      <c r="HP97" s="392"/>
      <c r="HQ97" s="392"/>
      <c r="HR97" s="392"/>
      <c r="HS97" s="392"/>
      <c r="HT97" s="392"/>
      <c r="HU97" s="392"/>
      <c r="HV97" s="392"/>
      <c r="HW97" s="392"/>
      <c r="HX97" s="392"/>
      <c r="HY97" s="392"/>
      <c r="HZ97" s="392"/>
      <c r="IA97" s="392"/>
      <c r="IB97" s="392"/>
      <c r="IC97" s="392"/>
      <c r="ID97" s="392"/>
      <c r="IE97" s="392"/>
      <c r="IF97" s="392"/>
      <c r="IG97" s="392"/>
      <c r="IH97" s="392"/>
      <c r="II97" s="392"/>
      <c r="IJ97" s="392"/>
      <c r="IK97" s="392"/>
      <c r="IL97" s="392"/>
      <c r="IM97" s="392"/>
      <c r="IN97" s="392"/>
      <c r="IO97" s="392"/>
      <c r="IP97" s="392"/>
      <c r="IQ97" s="392"/>
      <c r="IR97" s="392"/>
      <c r="IS97" s="392"/>
      <c r="IT97" s="392"/>
      <c r="IU97" s="392"/>
      <c r="IV97" s="392"/>
      <c r="IW97" s="392"/>
      <c r="IX97" s="392"/>
      <c r="IY97" s="392"/>
      <c r="IZ97" s="392"/>
      <c r="JA97" s="392"/>
      <c r="JB97" s="392"/>
      <c r="JC97" s="392"/>
      <c r="JD97" s="392"/>
      <c r="JE97" s="392"/>
      <c r="JF97" s="392"/>
      <c r="JG97" s="392"/>
      <c r="JH97" s="392"/>
      <c r="JI97" s="393">
        <f t="shared" si="3"/>
        <v>0</v>
      </c>
      <c r="JJ97" s="2">
        <v>6144</v>
      </c>
      <c r="JK97" s="392">
        <f t="shared" si="2"/>
        <v>0</v>
      </c>
      <c r="JL97" s="284"/>
      <c r="JM97" s="284"/>
      <c r="JN97" s="284"/>
      <c r="JO97" s="284"/>
      <c r="JP97" s="284"/>
    </row>
    <row r="98" spans="1:276" x14ac:dyDescent="0.3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  <c r="L98" s="392"/>
      <c r="M98" s="392"/>
      <c r="N98" s="392"/>
      <c r="O98" s="392"/>
      <c r="P98" s="392"/>
      <c r="Q98" s="392"/>
      <c r="R98" s="392"/>
      <c r="S98" s="392"/>
      <c r="T98" s="392"/>
      <c r="U98" s="392"/>
      <c r="V98" s="392"/>
      <c r="W98" s="392"/>
      <c r="X98" s="392"/>
      <c r="Y98" s="392"/>
      <c r="Z98" s="392"/>
      <c r="AA98" s="392"/>
      <c r="AB98" s="392"/>
      <c r="AC98" s="392"/>
      <c r="AD98" s="392"/>
      <c r="AE98" s="392"/>
      <c r="AF98" s="392"/>
      <c r="AG98" s="392"/>
      <c r="AH98" s="392"/>
      <c r="AI98" s="392"/>
      <c r="AJ98" s="392"/>
      <c r="AK98" s="392"/>
      <c r="AL98" s="392"/>
      <c r="AM98" s="392"/>
      <c r="AN98" s="392"/>
      <c r="AO98" s="392"/>
      <c r="AP98" s="392"/>
      <c r="AQ98" s="392"/>
      <c r="AR98" s="392"/>
      <c r="AS98" s="392"/>
      <c r="AT98" s="392"/>
      <c r="AU98" s="392"/>
      <c r="AV98" s="392"/>
      <c r="AW98" s="392"/>
      <c r="AX98" s="392"/>
      <c r="AY98" s="392"/>
      <c r="AZ98" s="392"/>
      <c r="BA98" s="392"/>
      <c r="BB98" s="392"/>
      <c r="BC98" s="392"/>
      <c r="BD98" s="392"/>
      <c r="BE98" s="392"/>
      <c r="BF98" s="392"/>
      <c r="BG98" s="392"/>
      <c r="BH98" s="392"/>
      <c r="BI98" s="392"/>
      <c r="BJ98" s="392"/>
      <c r="BK98" s="392"/>
      <c r="BL98" s="392"/>
      <c r="BM98" s="392"/>
      <c r="BN98" s="392"/>
      <c r="BO98" s="392"/>
      <c r="BP98" s="392"/>
      <c r="BQ98" s="392"/>
      <c r="BR98" s="392"/>
      <c r="BS98" s="392"/>
      <c r="BT98" s="392"/>
      <c r="BU98" s="392"/>
      <c r="BV98" s="392"/>
      <c r="BW98" s="392"/>
      <c r="BX98" s="392"/>
      <c r="BY98" s="392"/>
      <c r="BZ98" s="392"/>
      <c r="CA98" s="392"/>
      <c r="CB98" s="392"/>
      <c r="CC98" s="392"/>
      <c r="CD98" s="392"/>
      <c r="CE98" s="392"/>
      <c r="CF98" s="392"/>
      <c r="CG98" s="392"/>
      <c r="CH98" s="392"/>
      <c r="CI98" s="392"/>
      <c r="CJ98" s="392"/>
      <c r="CK98" s="392"/>
      <c r="CL98" s="392"/>
      <c r="CM98" s="392"/>
      <c r="CN98" s="392"/>
      <c r="CO98" s="392"/>
      <c r="CP98" s="392"/>
      <c r="CQ98" s="392"/>
      <c r="CR98" s="392"/>
      <c r="CS98" s="392"/>
      <c r="CT98" s="392"/>
      <c r="CU98" s="392"/>
      <c r="CV98" s="392"/>
      <c r="CW98" s="392"/>
      <c r="CX98" s="392"/>
      <c r="CY98" s="392"/>
      <c r="CZ98" s="392"/>
      <c r="DA98" s="392"/>
      <c r="DB98" s="392"/>
      <c r="DC98" s="392"/>
      <c r="DD98" s="392"/>
      <c r="DE98" s="392"/>
      <c r="DF98" s="392"/>
      <c r="DG98" s="392"/>
      <c r="DH98" s="392"/>
      <c r="DI98" s="392"/>
      <c r="DJ98" s="392"/>
      <c r="DK98" s="392"/>
      <c r="DL98" s="392"/>
      <c r="DM98" s="392"/>
      <c r="DN98" s="392"/>
      <c r="DO98" s="392"/>
      <c r="DP98" s="392"/>
      <c r="DQ98" s="392"/>
      <c r="DR98" s="392"/>
      <c r="DS98" s="392"/>
      <c r="DT98" s="392"/>
      <c r="DU98" s="392"/>
      <c r="DV98" s="392"/>
      <c r="DW98" s="392"/>
      <c r="DX98" s="392"/>
      <c r="DY98" s="392"/>
      <c r="DZ98" s="392"/>
      <c r="EA98" s="392"/>
      <c r="EB98" s="392"/>
      <c r="EC98" s="392"/>
      <c r="ED98" s="392"/>
      <c r="EE98" s="392"/>
      <c r="EF98" s="392"/>
      <c r="EG98" s="392"/>
      <c r="EH98" s="392"/>
      <c r="EI98" s="392"/>
      <c r="EJ98" s="392"/>
      <c r="EK98" s="392"/>
      <c r="EL98" s="392"/>
      <c r="EM98" s="392"/>
      <c r="EN98" s="392"/>
      <c r="EO98" s="392"/>
      <c r="EP98" s="392"/>
      <c r="EQ98" s="392"/>
      <c r="ER98" s="392"/>
      <c r="ES98" s="392"/>
      <c r="ET98" s="392"/>
      <c r="EU98" s="392"/>
      <c r="EV98" s="392"/>
      <c r="EW98" s="392"/>
      <c r="EX98" s="392"/>
      <c r="EY98" s="392"/>
      <c r="EZ98" s="392"/>
      <c r="FA98" s="392"/>
      <c r="FB98" s="392"/>
      <c r="FC98" s="392"/>
      <c r="FD98" s="392"/>
      <c r="FE98" s="392"/>
      <c r="FF98" s="392"/>
      <c r="FG98" s="392"/>
      <c r="FH98" s="392"/>
      <c r="FI98" s="392"/>
      <c r="FJ98" s="392"/>
      <c r="FK98" s="392"/>
      <c r="FL98" s="392"/>
      <c r="FM98" s="392"/>
      <c r="FN98" s="392"/>
      <c r="FO98" s="392"/>
      <c r="FP98" s="392"/>
      <c r="FQ98" s="392"/>
      <c r="FR98" s="392"/>
      <c r="FS98" s="392"/>
      <c r="FT98" s="392"/>
      <c r="FU98" s="392"/>
      <c r="FV98" s="392"/>
      <c r="FW98" s="392"/>
      <c r="FX98" s="392"/>
      <c r="FY98" s="392"/>
      <c r="FZ98" s="392"/>
      <c r="GA98" s="392"/>
      <c r="GB98" s="392"/>
      <c r="GC98" s="392"/>
      <c r="GD98" s="392"/>
      <c r="GE98" s="392"/>
      <c r="GF98" s="392"/>
      <c r="GG98" s="392"/>
      <c r="GH98" s="392"/>
      <c r="GI98" s="392"/>
      <c r="GJ98" s="392"/>
      <c r="GK98" s="392"/>
      <c r="GL98" s="392"/>
      <c r="GM98" s="392"/>
      <c r="GN98" s="392"/>
      <c r="GO98" s="392"/>
      <c r="GP98" s="392"/>
      <c r="GQ98" s="392"/>
      <c r="GR98" s="392"/>
      <c r="GS98" s="392"/>
      <c r="GT98" s="392"/>
      <c r="GU98" s="392"/>
      <c r="GV98" s="392"/>
      <c r="GW98" s="392"/>
      <c r="GX98" s="392"/>
      <c r="GY98" s="392"/>
      <c r="GZ98" s="392"/>
      <c r="HA98" s="392"/>
      <c r="HB98" s="392"/>
      <c r="HC98" s="392"/>
      <c r="HD98" s="392"/>
      <c r="HE98" s="392"/>
      <c r="HF98" s="392"/>
      <c r="HG98" s="392"/>
      <c r="HH98" s="392"/>
      <c r="HI98" s="392"/>
      <c r="HJ98" s="392"/>
      <c r="HK98" s="392"/>
      <c r="HL98" s="392"/>
      <c r="HM98" s="392"/>
      <c r="HN98" s="392"/>
      <c r="HO98" s="392"/>
      <c r="HP98" s="392"/>
      <c r="HQ98" s="392"/>
      <c r="HR98" s="392"/>
      <c r="HS98" s="392"/>
      <c r="HT98" s="392"/>
      <c r="HU98" s="392"/>
      <c r="HV98" s="392"/>
      <c r="HW98" s="392"/>
      <c r="HX98" s="392"/>
      <c r="HY98" s="392"/>
      <c r="HZ98" s="392"/>
      <c r="IA98" s="392"/>
      <c r="IB98" s="392"/>
      <c r="IC98" s="392"/>
      <c r="ID98" s="392"/>
      <c r="IE98" s="392"/>
      <c r="IF98" s="392"/>
      <c r="IG98" s="392"/>
      <c r="IH98" s="392"/>
      <c r="II98" s="392"/>
      <c r="IJ98" s="392"/>
      <c r="IK98" s="392"/>
      <c r="IL98" s="392"/>
      <c r="IM98" s="392"/>
      <c r="IN98" s="392"/>
      <c r="IO98" s="392"/>
      <c r="IP98" s="392"/>
      <c r="IQ98" s="392"/>
      <c r="IR98" s="392"/>
      <c r="IS98" s="392"/>
      <c r="IT98" s="392"/>
      <c r="IU98" s="392"/>
      <c r="IV98" s="392"/>
      <c r="IW98" s="392"/>
      <c r="IX98" s="392"/>
      <c r="IY98" s="392"/>
      <c r="IZ98" s="392"/>
      <c r="JA98" s="392"/>
      <c r="JB98" s="392"/>
      <c r="JC98" s="392"/>
      <c r="JD98" s="392"/>
      <c r="JE98" s="392"/>
      <c r="JF98" s="392"/>
      <c r="JG98" s="392"/>
      <c r="JH98" s="392"/>
      <c r="JI98" s="393">
        <f t="shared" si="3"/>
        <v>0</v>
      </c>
      <c r="JJ98" s="395">
        <v>6148</v>
      </c>
      <c r="JK98" s="392">
        <f t="shared" si="2"/>
        <v>0</v>
      </c>
      <c r="JL98" s="284"/>
      <c r="JM98" s="284"/>
      <c r="JN98" s="284"/>
      <c r="JO98" s="284"/>
      <c r="JP98" s="284"/>
    </row>
    <row r="99" spans="1:276" x14ac:dyDescent="0.3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2"/>
      <c r="P99" s="392"/>
      <c r="Q99" s="392"/>
      <c r="R99" s="392"/>
      <c r="S99" s="392"/>
      <c r="T99" s="392"/>
      <c r="U99" s="392"/>
      <c r="V99" s="392"/>
      <c r="W99" s="392"/>
      <c r="X99" s="392"/>
      <c r="Y99" s="392"/>
      <c r="Z99" s="392"/>
      <c r="AA99" s="392"/>
      <c r="AB99" s="392"/>
      <c r="AC99" s="392"/>
      <c r="AD99" s="392"/>
      <c r="AE99" s="392"/>
      <c r="AF99" s="392"/>
      <c r="AG99" s="392"/>
      <c r="AH99" s="392"/>
      <c r="AI99" s="392"/>
      <c r="AJ99" s="392"/>
      <c r="AK99" s="392"/>
      <c r="AL99" s="392"/>
      <c r="AM99" s="392"/>
      <c r="AN99" s="392"/>
      <c r="AO99" s="392"/>
      <c r="AP99" s="392"/>
      <c r="AQ99" s="392"/>
      <c r="AR99" s="392"/>
      <c r="AS99" s="392"/>
      <c r="AT99" s="392"/>
      <c r="AU99" s="392"/>
      <c r="AV99" s="392"/>
      <c r="AW99" s="392"/>
      <c r="AX99" s="392"/>
      <c r="AY99" s="392"/>
      <c r="AZ99" s="392"/>
      <c r="BA99" s="392"/>
      <c r="BB99" s="392"/>
      <c r="BC99" s="392"/>
      <c r="BD99" s="392"/>
      <c r="BE99" s="392"/>
      <c r="BF99" s="392"/>
      <c r="BG99" s="392"/>
      <c r="BH99" s="392"/>
      <c r="BI99" s="392"/>
      <c r="BJ99" s="392"/>
      <c r="BK99" s="392"/>
      <c r="BL99" s="392"/>
      <c r="BM99" s="392"/>
      <c r="BN99" s="392"/>
      <c r="BO99" s="392"/>
      <c r="BP99" s="392"/>
      <c r="BQ99" s="392"/>
      <c r="BR99" s="392"/>
      <c r="BS99" s="392"/>
      <c r="BT99" s="392"/>
      <c r="BU99" s="392"/>
      <c r="BV99" s="392"/>
      <c r="BW99" s="392"/>
      <c r="BX99" s="392"/>
      <c r="BY99" s="392"/>
      <c r="BZ99" s="392"/>
      <c r="CA99" s="392"/>
      <c r="CB99" s="392"/>
      <c r="CC99" s="392"/>
      <c r="CD99" s="392"/>
      <c r="CE99" s="392"/>
      <c r="CF99" s="392"/>
      <c r="CG99" s="392"/>
      <c r="CH99" s="392"/>
      <c r="CI99" s="392"/>
      <c r="CJ99" s="392"/>
      <c r="CK99" s="392"/>
      <c r="CL99" s="392"/>
      <c r="CM99" s="392"/>
      <c r="CN99" s="392"/>
      <c r="CO99" s="392"/>
      <c r="CP99" s="392"/>
      <c r="CQ99" s="392"/>
      <c r="CR99" s="392"/>
      <c r="CS99" s="392"/>
      <c r="CT99" s="392"/>
      <c r="CU99" s="392"/>
      <c r="CV99" s="392"/>
      <c r="CW99" s="392"/>
      <c r="CX99" s="392"/>
      <c r="CY99" s="392"/>
      <c r="CZ99" s="392"/>
      <c r="DA99" s="392"/>
      <c r="DB99" s="392"/>
      <c r="DC99" s="392"/>
      <c r="DD99" s="392"/>
      <c r="DE99" s="392"/>
      <c r="DF99" s="392"/>
      <c r="DG99" s="392"/>
      <c r="DH99" s="392"/>
      <c r="DI99" s="392"/>
      <c r="DJ99" s="392"/>
      <c r="DK99" s="392"/>
      <c r="DL99" s="392"/>
      <c r="DM99" s="392"/>
      <c r="DN99" s="392"/>
      <c r="DO99" s="392"/>
      <c r="DP99" s="392"/>
      <c r="DQ99" s="392"/>
      <c r="DR99" s="392"/>
      <c r="DS99" s="392"/>
      <c r="DT99" s="392"/>
      <c r="DU99" s="392"/>
      <c r="DV99" s="392"/>
      <c r="DW99" s="392"/>
      <c r="DX99" s="392"/>
      <c r="DY99" s="392"/>
      <c r="DZ99" s="392"/>
      <c r="EA99" s="392"/>
      <c r="EB99" s="392"/>
      <c r="EC99" s="392"/>
      <c r="ED99" s="392"/>
      <c r="EE99" s="392"/>
      <c r="EF99" s="392"/>
      <c r="EG99" s="392"/>
      <c r="EH99" s="392"/>
      <c r="EI99" s="392"/>
      <c r="EJ99" s="392"/>
      <c r="EK99" s="392"/>
      <c r="EL99" s="392"/>
      <c r="EM99" s="392"/>
      <c r="EN99" s="392"/>
      <c r="EO99" s="392"/>
      <c r="EP99" s="392"/>
      <c r="EQ99" s="392"/>
      <c r="ER99" s="392"/>
      <c r="ES99" s="392"/>
      <c r="ET99" s="392"/>
      <c r="EU99" s="392"/>
      <c r="EV99" s="392"/>
      <c r="EW99" s="392"/>
      <c r="EX99" s="392"/>
      <c r="EY99" s="392"/>
      <c r="EZ99" s="392"/>
      <c r="FA99" s="392"/>
      <c r="FB99" s="392"/>
      <c r="FC99" s="392"/>
      <c r="FD99" s="392"/>
      <c r="FE99" s="392"/>
      <c r="FF99" s="392"/>
      <c r="FG99" s="392"/>
      <c r="FH99" s="392"/>
      <c r="FI99" s="392"/>
      <c r="FJ99" s="392"/>
      <c r="FK99" s="392"/>
      <c r="FL99" s="392"/>
      <c r="FM99" s="392"/>
      <c r="FN99" s="392"/>
      <c r="FO99" s="392"/>
      <c r="FP99" s="392"/>
      <c r="FQ99" s="392"/>
      <c r="FR99" s="392"/>
      <c r="FS99" s="392"/>
      <c r="FT99" s="392"/>
      <c r="FU99" s="392"/>
      <c r="FV99" s="392"/>
      <c r="FW99" s="392"/>
      <c r="FX99" s="392"/>
      <c r="FY99" s="392"/>
      <c r="FZ99" s="392"/>
      <c r="GA99" s="392"/>
      <c r="GB99" s="392"/>
      <c r="GC99" s="392"/>
      <c r="GD99" s="392"/>
      <c r="GE99" s="392"/>
      <c r="GF99" s="392"/>
      <c r="GG99" s="392"/>
      <c r="GH99" s="392"/>
      <c r="GI99" s="392"/>
      <c r="GJ99" s="392"/>
      <c r="GK99" s="392"/>
      <c r="GL99" s="392"/>
      <c r="GM99" s="392"/>
      <c r="GN99" s="392"/>
      <c r="GO99" s="392"/>
      <c r="GP99" s="392"/>
      <c r="GQ99" s="392"/>
      <c r="GR99" s="392"/>
      <c r="GS99" s="392"/>
      <c r="GT99" s="392"/>
      <c r="GU99" s="392"/>
      <c r="GV99" s="392"/>
      <c r="GW99" s="392"/>
      <c r="GX99" s="392"/>
      <c r="GY99" s="392"/>
      <c r="GZ99" s="392"/>
      <c r="HA99" s="392"/>
      <c r="HB99" s="392"/>
      <c r="HC99" s="392"/>
      <c r="HD99" s="392"/>
      <c r="HE99" s="392"/>
      <c r="HF99" s="392"/>
      <c r="HG99" s="392"/>
      <c r="HH99" s="392"/>
      <c r="HI99" s="392"/>
      <c r="HJ99" s="392"/>
      <c r="HK99" s="392"/>
      <c r="HL99" s="392"/>
      <c r="HM99" s="392"/>
      <c r="HN99" s="392"/>
      <c r="HO99" s="392"/>
      <c r="HP99" s="392"/>
      <c r="HQ99" s="392"/>
      <c r="HR99" s="392"/>
      <c r="HS99" s="392"/>
      <c r="HT99" s="392"/>
      <c r="HU99" s="392"/>
      <c r="HV99" s="392"/>
      <c r="HW99" s="392"/>
      <c r="HX99" s="392"/>
      <c r="HY99" s="392"/>
      <c r="HZ99" s="392"/>
      <c r="IA99" s="392"/>
      <c r="IB99" s="392"/>
      <c r="IC99" s="392"/>
      <c r="ID99" s="392"/>
      <c r="IE99" s="392"/>
      <c r="IF99" s="392"/>
      <c r="IG99" s="392"/>
      <c r="IH99" s="392"/>
      <c r="II99" s="392"/>
      <c r="IJ99" s="392"/>
      <c r="IK99" s="392"/>
      <c r="IL99" s="392"/>
      <c r="IM99" s="392"/>
      <c r="IN99" s="392"/>
      <c r="IO99" s="392"/>
      <c r="IP99" s="392"/>
      <c r="IQ99" s="392"/>
      <c r="IR99" s="392"/>
      <c r="IS99" s="392"/>
      <c r="IT99" s="392"/>
      <c r="IU99" s="392"/>
      <c r="IV99" s="392"/>
      <c r="IW99" s="392"/>
      <c r="IX99" s="392"/>
      <c r="IY99" s="392"/>
      <c r="IZ99" s="392"/>
      <c r="JA99" s="392"/>
      <c r="JB99" s="392"/>
      <c r="JC99" s="392"/>
      <c r="JD99" s="392"/>
      <c r="JE99" s="392"/>
      <c r="JF99" s="392"/>
      <c r="JG99" s="392"/>
      <c r="JH99" s="392"/>
      <c r="JI99" s="393">
        <f t="shared" si="3"/>
        <v>0</v>
      </c>
      <c r="JJ99" s="395">
        <v>6152</v>
      </c>
      <c r="JK99" s="392">
        <f t="shared" si="2"/>
        <v>0</v>
      </c>
      <c r="JL99" s="284"/>
      <c r="JM99" s="284"/>
      <c r="JN99" s="284"/>
      <c r="JO99" s="284"/>
      <c r="JP99" s="284"/>
    </row>
    <row r="100" spans="1:276" x14ac:dyDescent="0.3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2"/>
      <c r="L100" s="392"/>
      <c r="M100" s="392"/>
      <c r="N100" s="392"/>
      <c r="O100" s="392"/>
      <c r="P100" s="392"/>
      <c r="Q100" s="392"/>
      <c r="R100" s="392"/>
      <c r="S100" s="392"/>
      <c r="T100" s="392"/>
      <c r="U100" s="392"/>
      <c r="V100" s="392"/>
      <c r="W100" s="392"/>
      <c r="X100" s="392"/>
      <c r="Y100" s="392"/>
      <c r="Z100" s="392"/>
      <c r="AA100" s="392"/>
      <c r="AB100" s="392"/>
      <c r="AC100" s="392"/>
      <c r="AD100" s="392"/>
      <c r="AE100" s="392"/>
      <c r="AF100" s="392"/>
      <c r="AG100" s="392"/>
      <c r="AH100" s="392"/>
      <c r="AI100" s="392"/>
      <c r="AJ100" s="392"/>
      <c r="AK100" s="392"/>
      <c r="AL100" s="392"/>
      <c r="AM100" s="392"/>
      <c r="AN100" s="392"/>
      <c r="AO100" s="392"/>
      <c r="AP100" s="392"/>
      <c r="AQ100" s="392"/>
      <c r="AR100" s="392"/>
      <c r="AS100" s="392"/>
      <c r="AT100" s="392"/>
      <c r="AU100" s="392"/>
      <c r="AV100" s="392"/>
      <c r="AW100" s="392"/>
      <c r="AX100" s="392"/>
      <c r="AY100" s="392"/>
      <c r="AZ100" s="392"/>
      <c r="BA100" s="392"/>
      <c r="BB100" s="392"/>
      <c r="BC100" s="392"/>
      <c r="BD100" s="392"/>
      <c r="BE100" s="392"/>
      <c r="BF100" s="392"/>
      <c r="BG100" s="392"/>
      <c r="BH100" s="392"/>
      <c r="BI100" s="392"/>
      <c r="BJ100" s="392"/>
      <c r="BK100" s="392"/>
      <c r="BL100" s="392"/>
      <c r="BM100" s="392"/>
      <c r="BN100" s="392"/>
      <c r="BO100" s="392"/>
      <c r="BP100" s="392"/>
      <c r="BQ100" s="392"/>
      <c r="BR100" s="392"/>
      <c r="BS100" s="392"/>
      <c r="BT100" s="392"/>
      <c r="BU100" s="392"/>
      <c r="BV100" s="392"/>
      <c r="BW100" s="392"/>
      <c r="BX100" s="392"/>
      <c r="BY100" s="392"/>
      <c r="BZ100" s="392"/>
      <c r="CA100" s="392"/>
      <c r="CB100" s="392"/>
      <c r="CC100" s="392"/>
      <c r="CD100" s="392"/>
      <c r="CE100" s="392"/>
      <c r="CF100" s="392"/>
      <c r="CG100" s="392"/>
      <c r="CH100" s="392"/>
      <c r="CI100" s="392"/>
      <c r="CJ100" s="392"/>
      <c r="CK100" s="392"/>
      <c r="CL100" s="392"/>
      <c r="CM100" s="392"/>
      <c r="CN100" s="392"/>
      <c r="CO100" s="392"/>
      <c r="CP100" s="392"/>
      <c r="CQ100" s="392"/>
      <c r="CR100" s="392"/>
      <c r="CS100" s="392"/>
      <c r="CT100" s="392"/>
      <c r="CU100" s="392"/>
      <c r="CV100" s="392"/>
      <c r="CW100" s="392"/>
      <c r="CX100" s="392"/>
      <c r="CY100" s="392"/>
      <c r="CZ100" s="392"/>
      <c r="DA100" s="392"/>
      <c r="DB100" s="392"/>
      <c r="DC100" s="392"/>
      <c r="DD100" s="392"/>
      <c r="DE100" s="392"/>
      <c r="DF100" s="392"/>
      <c r="DG100" s="392"/>
      <c r="DH100" s="392"/>
      <c r="DI100" s="392"/>
      <c r="DJ100" s="392"/>
      <c r="DK100" s="392"/>
      <c r="DL100" s="392"/>
      <c r="DM100" s="392"/>
      <c r="DN100" s="392"/>
      <c r="DO100" s="392"/>
      <c r="DP100" s="392"/>
      <c r="DQ100" s="392"/>
      <c r="DR100" s="392"/>
      <c r="DS100" s="392"/>
      <c r="DT100" s="392"/>
      <c r="DU100" s="392"/>
      <c r="DV100" s="392"/>
      <c r="DW100" s="392"/>
      <c r="DX100" s="392"/>
      <c r="DY100" s="392"/>
      <c r="DZ100" s="392"/>
      <c r="EA100" s="392"/>
      <c r="EB100" s="392"/>
      <c r="EC100" s="392"/>
      <c r="ED100" s="392"/>
      <c r="EE100" s="392"/>
      <c r="EF100" s="392"/>
      <c r="EG100" s="392"/>
      <c r="EH100" s="392"/>
      <c r="EI100" s="392"/>
      <c r="EJ100" s="392"/>
      <c r="EK100" s="392"/>
      <c r="EL100" s="392"/>
      <c r="EM100" s="392"/>
      <c r="EN100" s="392"/>
      <c r="EO100" s="392"/>
      <c r="EP100" s="392"/>
      <c r="EQ100" s="392"/>
      <c r="ER100" s="392"/>
      <c r="ES100" s="392"/>
      <c r="ET100" s="392"/>
      <c r="EU100" s="392"/>
      <c r="EV100" s="392"/>
      <c r="EW100" s="392"/>
      <c r="EX100" s="392"/>
      <c r="EY100" s="392"/>
      <c r="EZ100" s="392"/>
      <c r="FA100" s="392"/>
      <c r="FB100" s="392"/>
      <c r="FC100" s="392"/>
      <c r="FD100" s="392"/>
      <c r="FE100" s="392"/>
      <c r="FF100" s="392"/>
      <c r="FG100" s="392"/>
      <c r="FH100" s="392"/>
      <c r="FI100" s="392"/>
      <c r="FJ100" s="392"/>
      <c r="FK100" s="392"/>
      <c r="FL100" s="392"/>
      <c r="FM100" s="392"/>
      <c r="FN100" s="392"/>
      <c r="FO100" s="392"/>
      <c r="FP100" s="392"/>
      <c r="FQ100" s="392"/>
      <c r="FR100" s="392"/>
      <c r="FS100" s="392"/>
      <c r="FT100" s="392"/>
      <c r="FU100" s="392"/>
      <c r="FV100" s="392"/>
      <c r="FW100" s="392"/>
      <c r="FX100" s="392"/>
      <c r="FY100" s="392"/>
      <c r="FZ100" s="392"/>
      <c r="GA100" s="392"/>
      <c r="GB100" s="392"/>
      <c r="GC100" s="392"/>
      <c r="GD100" s="392"/>
      <c r="GE100" s="392"/>
      <c r="GF100" s="392"/>
      <c r="GG100" s="392"/>
      <c r="GH100" s="392"/>
      <c r="GI100" s="392"/>
      <c r="GJ100" s="392"/>
      <c r="GK100" s="392"/>
      <c r="GL100" s="392"/>
      <c r="GM100" s="392"/>
      <c r="GN100" s="392"/>
      <c r="GO100" s="392"/>
      <c r="GP100" s="392"/>
      <c r="GQ100" s="392"/>
      <c r="GR100" s="392"/>
      <c r="GS100" s="392"/>
      <c r="GT100" s="392"/>
      <c r="GU100" s="392"/>
      <c r="GV100" s="392"/>
      <c r="GW100" s="392"/>
      <c r="GX100" s="392"/>
      <c r="GY100" s="392"/>
      <c r="GZ100" s="392"/>
      <c r="HA100" s="392"/>
      <c r="HB100" s="392"/>
      <c r="HC100" s="392"/>
      <c r="HD100" s="392"/>
      <c r="HE100" s="392"/>
      <c r="HF100" s="392"/>
      <c r="HG100" s="392"/>
      <c r="HH100" s="392"/>
      <c r="HI100" s="392"/>
      <c r="HJ100" s="392"/>
      <c r="HK100" s="392"/>
      <c r="HL100" s="392"/>
      <c r="HM100" s="392"/>
      <c r="HN100" s="392"/>
      <c r="HO100" s="392"/>
      <c r="HP100" s="392"/>
      <c r="HQ100" s="392"/>
      <c r="HR100" s="392"/>
      <c r="HS100" s="392"/>
      <c r="HT100" s="392"/>
      <c r="HU100" s="392"/>
      <c r="HV100" s="392"/>
      <c r="HW100" s="392"/>
      <c r="HX100" s="392"/>
      <c r="HY100" s="392"/>
      <c r="HZ100" s="392"/>
      <c r="IA100" s="392"/>
      <c r="IB100" s="392"/>
      <c r="IC100" s="392"/>
      <c r="ID100" s="392"/>
      <c r="IE100" s="392"/>
      <c r="IF100" s="392"/>
      <c r="IG100" s="392"/>
      <c r="IH100" s="392"/>
      <c r="II100" s="392"/>
      <c r="IJ100" s="392"/>
      <c r="IK100" s="392"/>
      <c r="IL100" s="392"/>
      <c r="IM100" s="392"/>
      <c r="IN100" s="392"/>
      <c r="IO100" s="392"/>
      <c r="IP100" s="392"/>
      <c r="IQ100" s="392"/>
      <c r="IR100" s="392"/>
      <c r="IS100" s="392"/>
      <c r="IT100" s="392"/>
      <c r="IU100" s="392"/>
      <c r="IV100" s="392"/>
      <c r="IW100" s="392"/>
      <c r="IX100" s="392"/>
      <c r="IY100" s="392"/>
      <c r="IZ100" s="392"/>
      <c r="JA100" s="392"/>
      <c r="JB100" s="392"/>
      <c r="JC100" s="392"/>
      <c r="JD100" s="392"/>
      <c r="JE100" s="392"/>
      <c r="JF100" s="392"/>
      <c r="JG100" s="392"/>
      <c r="JH100" s="392"/>
      <c r="JI100" s="393">
        <f t="shared" si="3"/>
        <v>0</v>
      </c>
      <c r="JJ100" s="395">
        <v>6164</v>
      </c>
      <c r="JK100" s="392">
        <f t="shared" si="2"/>
        <v>0</v>
      </c>
      <c r="JL100" s="284"/>
      <c r="JM100" s="284"/>
      <c r="JN100" s="284"/>
      <c r="JO100" s="284"/>
      <c r="JP100" s="284"/>
    </row>
    <row r="101" spans="1:276" x14ac:dyDescent="0.3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2"/>
      <c r="L101" s="392"/>
      <c r="M101" s="392"/>
      <c r="N101" s="392"/>
      <c r="O101" s="392"/>
      <c r="P101" s="392"/>
      <c r="Q101" s="392"/>
      <c r="R101" s="392"/>
      <c r="S101" s="392"/>
      <c r="T101" s="392"/>
      <c r="U101" s="392"/>
      <c r="V101" s="392"/>
      <c r="W101" s="392"/>
      <c r="X101" s="392"/>
      <c r="Y101" s="392"/>
      <c r="Z101" s="392"/>
      <c r="AA101" s="392"/>
      <c r="AB101" s="392"/>
      <c r="AC101" s="392"/>
      <c r="AD101" s="392"/>
      <c r="AE101" s="392"/>
      <c r="AF101" s="392"/>
      <c r="AG101" s="392"/>
      <c r="AH101" s="392"/>
      <c r="AI101" s="392"/>
      <c r="AJ101" s="392"/>
      <c r="AK101" s="392"/>
      <c r="AL101" s="392"/>
      <c r="AM101" s="392"/>
      <c r="AN101" s="392"/>
      <c r="AO101" s="392"/>
      <c r="AP101" s="392"/>
      <c r="AQ101" s="392"/>
      <c r="AR101" s="392"/>
      <c r="AS101" s="392"/>
      <c r="AT101" s="392"/>
      <c r="AU101" s="392"/>
      <c r="AV101" s="392"/>
      <c r="AW101" s="392"/>
      <c r="AX101" s="392"/>
      <c r="AY101" s="392"/>
      <c r="AZ101" s="392"/>
      <c r="BA101" s="392"/>
      <c r="BB101" s="392"/>
      <c r="BC101" s="392"/>
      <c r="BD101" s="392"/>
      <c r="BE101" s="392"/>
      <c r="BF101" s="392"/>
      <c r="BG101" s="392"/>
      <c r="BH101" s="392"/>
      <c r="BI101" s="392"/>
      <c r="BJ101" s="392"/>
      <c r="BK101" s="392"/>
      <c r="BL101" s="392"/>
      <c r="BM101" s="392"/>
      <c r="BN101" s="392"/>
      <c r="BO101" s="392"/>
      <c r="BP101" s="392"/>
      <c r="BQ101" s="392"/>
      <c r="BR101" s="392"/>
      <c r="BS101" s="392"/>
      <c r="BT101" s="392"/>
      <c r="BU101" s="392"/>
      <c r="BV101" s="392"/>
      <c r="BW101" s="392"/>
      <c r="BX101" s="392"/>
      <c r="BY101" s="392"/>
      <c r="BZ101" s="392"/>
      <c r="CA101" s="392"/>
      <c r="CB101" s="392"/>
      <c r="CC101" s="392"/>
      <c r="CD101" s="392"/>
      <c r="CE101" s="392"/>
      <c r="CF101" s="392"/>
      <c r="CG101" s="392"/>
      <c r="CH101" s="392"/>
      <c r="CI101" s="392"/>
      <c r="CJ101" s="392"/>
      <c r="CK101" s="392"/>
      <c r="CL101" s="392"/>
      <c r="CM101" s="392"/>
      <c r="CN101" s="392"/>
      <c r="CO101" s="392"/>
      <c r="CP101" s="392"/>
      <c r="CQ101" s="392"/>
      <c r="CR101" s="392"/>
      <c r="CS101" s="392"/>
      <c r="CT101" s="392"/>
      <c r="CU101" s="392"/>
      <c r="CV101" s="392"/>
      <c r="CW101" s="392"/>
      <c r="CX101" s="392"/>
      <c r="CY101" s="392"/>
      <c r="CZ101" s="392"/>
      <c r="DA101" s="392"/>
      <c r="DB101" s="392"/>
      <c r="DC101" s="392"/>
      <c r="DD101" s="392"/>
      <c r="DE101" s="392"/>
      <c r="DF101" s="392"/>
      <c r="DG101" s="392"/>
      <c r="DH101" s="392"/>
      <c r="DI101" s="392"/>
      <c r="DJ101" s="392"/>
      <c r="DK101" s="392"/>
      <c r="DL101" s="392"/>
      <c r="DM101" s="392"/>
      <c r="DN101" s="392"/>
      <c r="DO101" s="392"/>
      <c r="DP101" s="392"/>
      <c r="DQ101" s="392"/>
      <c r="DR101" s="392"/>
      <c r="DS101" s="392"/>
      <c r="DT101" s="392"/>
      <c r="DU101" s="392"/>
      <c r="DV101" s="392"/>
      <c r="DW101" s="392"/>
      <c r="DX101" s="392"/>
      <c r="DY101" s="392"/>
      <c r="DZ101" s="392"/>
      <c r="EA101" s="392"/>
      <c r="EB101" s="392"/>
      <c r="EC101" s="392"/>
      <c r="ED101" s="392"/>
      <c r="EE101" s="392"/>
      <c r="EF101" s="392"/>
      <c r="EG101" s="392"/>
      <c r="EH101" s="392"/>
      <c r="EI101" s="392"/>
      <c r="EJ101" s="392"/>
      <c r="EK101" s="392"/>
      <c r="EL101" s="392"/>
      <c r="EM101" s="392"/>
      <c r="EN101" s="392"/>
      <c r="EO101" s="392"/>
      <c r="EP101" s="392"/>
      <c r="EQ101" s="392"/>
      <c r="ER101" s="392"/>
      <c r="ES101" s="392"/>
      <c r="ET101" s="392"/>
      <c r="EU101" s="392"/>
      <c r="EV101" s="392"/>
      <c r="EW101" s="392"/>
      <c r="EX101" s="392"/>
      <c r="EY101" s="392"/>
      <c r="EZ101" s="392"/>
      <c r="FA101" s="392"/>
      <c r="FB101" s="392"/>
      <c r="FC101" s="392"/>
      <c r="FD101" s="392"/>
      <c r="FE101" s="392"/>
      <c r="FF101" s="392"/>
      <c r="FG101" s="392"/>
      <c r="FH101" s="392"/>
      <c r="FI101" s="392"/>
      <c r="FJ101" s="392"/>
      <c r="FK101" s="392"/>
      <c r="FL101" s="392"/>
      <c r="FM101" s="392"/>
      <c r="FN101" s="392"/>
      <c r="FO101" s="392"/>
      <c r="FP101" s="392"/>
      <c r="FQ101" s="392"/>
      <c r="FR101" s="392"/>
      <c r="FS101" s="392"/>
      <c r="FT101" s="392"/>
      <c r="FU101" s="392"/>
      <c r="FV101" s="392"/>
      <c r="FW101" s="392"/>
      <c r="FX101" s="392"/>
      <c r="FY101" s="392"/>
      <c r="FZ101" s="392"/>
      <c r="GA101" s="392"/>
      <c r="GB101" s="392"/>
      <c r="GC101" s="392"/>
      <c r="GD101" s="392"/>
      <c r="GE101" s="392"/>
      <c r="GF101" s="392"/>
      <c r="GG101" s="392"/>
      <c r="GH101" s="392"/>
      <c r="GI101" s="392"/>
      <c r="GJ101" s="392"/>
      <c r="GK101" s="392"/>
      <c r="GL101" s="392"/>
      <c r="GM101" s="392"/>
      <c r="GN101" s="392"/>
      <c r="GO101" s="392"/>
      <c r="GP101" s="392"/>
      <c r="GQ101" s="392"/>
      <c r="GR101" s="392"/>
      <c r="GS101" s="392"/>
      <c r="GT101" s="392"/>
      <c r="GU101" s="392"/>
      <c r="GV101" s="392"/>
      <c r="GW101" s="392"/>
      <c r="GX101" s="392"/>
      <c r="GY101" s="392"/>
      <c r="GZ101" s="392"/>
      <c r="HA101" s="392"/>
      <c r="HB101" s="392"/>
      <c r="HC101" s="392"/>
      <c r="HD101" s="392"/>
      <c r="HE101" s="392"/>
      <c r="HF101" s="392"/>
      <c r="HG101" s="392"/>
      <c r="HH101" s="392"/>
      <c r="HI101" s="392"/>
      <c r="HJ101" s="392"/>
      <c r="HK101" s="392"/>
      <c r="HL101" s="392"/>
      <c r="HM101" s="392"/>
      <c r="HN101" s="392"/>
      <c r="HO101" s="392"/>
      <c r="HP101" s="392"/>
      <c r="HQ101" s="392"/>
      <c r="HR101" s="392"/>
      <c r="HS101" s="392"/>
      <c r="HT101" s="392"/>
      <c r="HU101" s="392"/>
      <c r="HV101" s="392"/>
      <c r="HW101" s="392"/>
      <c r="HX101" s="392"/>
      <c r="HY101" s="392"/>
      <c r="HZ101" s="392"/>
      <c r="IA101" s="392"/>
      <c r="IB101" s="392"/>
      <c r="IC101" s="392"/>
      <c r="ID101" s="392"/>
      <c r="IE101" s="392"/>
      <c r="IF101" s="392"/>
      <c r="IG101" s="392"/>
      <c r="IH101" s="392"/>
      <c r="II101" s="392"/>
      <c r="IJ101" s="392"/>
      <c r="IK101" s="392"/>
      <c r="IL101" s="392"/>
      <c r="IM101" s="392"/>
      <c r="IN101" s="392"/>
      <c r="IO101" s="392"/>
      <c r="IP101" s="392"/>
      <c r="IQ101" s="392"/>
      <c r="IR101" s="392"/>
      <c r="IS101" s="392"/>
      <c r="IT101" s="392"/>
      <c r="IU101" s="392"/>
      <c r="IV101" s="392"/>
      <c r="IW101" s="392"/>
      <c r="IX101" s="392"/>
      <c r="IY101" s="392"/>
      <c r="IZ101" s="392"/>
      <c r="JA101" s="392"/>
      <c r="JB101" s="392"/>
      <c r="JC101" s="392"/>
      <c r="JD101" s="392"/>
      <c r="JE101" s="392"/>
      <c r="JF101" s="392"/>
      <c r="JG101" s="392"/>
      <c r="JH101" s="392"/>
      <c r="JI101" s="393">
        <f t="shared" si="3"/>
        <v>0</v>
      </c>
      <c r="JJ101" s="395">
        <v>6168</v>
      </c>
      <c r="JK101" s="392">
        <f t="shared" si="2"/>
        <v>0</v>
      </c>
      <c r="JL101" s="284"/>
      <c r="JM101" s="284"/>
      <c r="JN101" s="284"/>
      <c r="JO101" s="284"/>
      <c r="JP101" s="284"/>
    </row>
    <row r="102" spans="1:276" x14ac:dyDescent="0.3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92"/>
      <c r="AB102" s="392"/>
      <c r="AC102" s="392"/>
      <c r="AD102" s="392"/>
      <c r="AE102" s="392"/>
      <c r="AF102" s="392"/>
      <c r="AG102" s="392"/>
      <c r="AH102" s="392"/>
      <c r="AI102" s="392"/>
      <c r="AJ102" s="392"/>
      <c r="AK102" s="392"/>
      <c r="AL102" s="392"/>
      <c r="AM102" s="392"/>
      <c r="AN102" s="392"/>
      <c r="AO102" s="392"/>
      <c r="AP102" s="392"/>
      <c r="AQ102" s="392"/>
      <c r="AR102" s="392"/>
      <c r="AS102" s="392"/>
      <c r="AT102" s="392"/>
      <c r="AU102" s="392"/>
      <c r="AV102" s="392"/>
      <c r="AW102" s="392"/>
      <c r="AX102" s="392"/>
      <c r="AY102" s="392"/>
      <c r="AZ102" s="392"/>
      <c r="BA102" s="392"/>
      <c r="BB102" s="392"/>
      <c r="BC102" s="392"/>
      <c r="BD102" s="392"/>
      <c r="BE102" s="392"/>
      <c r="BF102" s="392"/>
      <c r="BG102" s="392"/>
      <c r="BH102" s="392"/>
      <c r="BI102" s="392"/>
      <c r="BJ102" s="392"/>
      <c r="BK102" s="392"/>
      <c r="BL102" s="392"/>
      <c r="BM102" s="392"/>
      <c r="BN102" s="392"/>
      <c r="BO102" s="392"/>
      <c r="BP102" s="392"/>
      <c r="BQ102" s="392"/>
      <c r="BR102" s="392"/>
      <c r="BS102" s="392"/>
      <c r="BT102" s="392"/>
      <c r="BU102" s="392"/>
      <c r="BV102" s="392"/>
      <c r="BW102" s="392"/>
      <c r="BX102" s="392"/>
      <c r="BY102" s="392"/>
      <c r="BZ102" s="392"/>
      <c r="CA102" s="392"/>
      <c r="CB102" s="392"/>
      <c r="CC102" s="392"/>
      <c r="CD102" s="392"/>
      <c r="CE102" s="392"/>
      <c r="CF102" s="392"/>
      <c r="CG102" s="392"/>
      <c r="CH102" s="392"/>
      <c r="CI102" s="392"/>
      <c r="CJ102" s="392"/>
      <c r="CK102" s="392"/>
      <c r="CL102" s="392"/>
      <c r="CM102" s="392"/>
      <c r="CN102" s="392"/>
      <c r="CO102" s="392"/>
      <c r="CP102" s="392"/>
      <c r="CQ102" s="392"/>
      <c r="CR102" s="392"/>
      <c r="CS102" s="392"/>
      <c r="CT102" s="392"/>
      <c r="CU102" s="392"/>
      <c r="CV102" s="392"/>
      <c r="CW102" s="392"/>
      <c r="CX102" s="392"/>
      <c r="CY102" s="392"/>
      <c r="CZ102" s="392"/>
      <c r="DA102" s="392"/>
      <c r="DB102" s="392"/>
      <c r="DC102" s="392"/>
      <c r="DD102" s="392"/>
      <c r="DE102" s="392"/>
      <c r="DF102" s="392"/>
      <c r="DG102" s="392"/>
      <c r="DH102" s="392"/>
      <c r="DI102" s="392"/>
      <c r="DJ102" s="392"/>
      <c r="DK102" s="392"/>
      <c r="DL102" s="392"/>
      <c r="DM102" s="392"/>
      <c r="DN102" s="392"/>
      <c r="DO102" s="392"/>
      <c r="DP102" s="392"/>
      <c r="DQ102" s="392"/>
      <c r="DR102" s="392"/>
      <c r="DS102" s="392"/>
      <c r="DT102" s="392"/>
      <c r="DU102" s="392"/>
      <c r="DV102" s="392"/>
      <c r="DW102" s="392"/>
      <c r="DX102" s="392"/>
      <c r="DY102" s="392"/>
      <c r="DZ102" s="392"/>
      <c r="EA102" s="392"/>
      <c r="EB102" s="392"/>
      <c r="EC102" s="392"/>
      <c r="ED102" s="392"/>
      <c r="EE102" s="392"/>
      <c r="EF102" s="392"/>
      <c r="EG102" s="392"/>
      <c r="EH102" s="392"/>
      <c r="EI102" s="392"/>
      <c r="EJ102" s="392"/>
      <c r="EK102" s="392"/>
      <c r="EL102" s="392"/>
      <c r="EM102" s="392"/>
      <c r="EN102" s="392"/>
      <c r="EO102" s="392"/>
      <c r="EP102" s="392"/>
      <c r="EQ102" s="392"/>
      <c r="ER102" s="392"/>
      <c r="ES102" s="392"/>
      <c r="ET102" s="392"/>
      <c r="EU102" s="392"/>
      <c r="EV102" s="392"/>
      <c r="EW102" s="392"/>
      <c r="EX102" s="392"/>
      <c r="EY102" s="392"/>
      <c r="EZ102" s="392"/>
      <c r="FA102" s="392"/>
      <c r="FB102" s="392"/>
      <c r="FC102" s="392"/>
      <c r="FD102" s="392"/>
      <c r="FE102" s="392"/>
      <c r="FF102" s="392"/>
      <c r="FG102" s="392"/>
      <c r="FH102" s="392"/>
      <c r="FI102" s="392"/>
      <c r="FJ102" s="392"/>
      <c r="FK102" s="392"/>
      <c r="FL102" s="392"/>
      <c r="FM102" s="392"/>
      <c r="FN102" s="392"/>
      <c r="FO102" s="392"/>
      <c r="FP102" s="392"/>
      <c r="FQ102" s="392"/>
      <c r="FR102" s="392"/>
      <c r="FS102" s="392"/>
      <c r="FT102" s="392"/>
      <c r="FU102" s="392"/>
      <c r="FV102" s="392"/>
      <c r="FW102" s="392"/>
      <c r="FX102" s="392"/>
      <c r="FY102" s="392"/>
      <c r="FZ102" s="392"/>
      <c r="GA102" s="392"/>
      <c r="GB102" s="392"/>
      <c r="GC102" s="392"/>
      <c r="GD102" s="392"/>
      <c r="GE102" s="392"/>
      <c r="GF102" s="392"/>
      <c r="GG102" s="392"/>
      <c r="GH102" s="392"/>
      <c r="GI102" s="392"/>
      <c r="GJ102" s="392"/>
      <c r="GK102" s="392"/>
      <c r="GL102" s="392"/>
      <c r="GM102" s="392"/>
      <c r="GN102" s="392"/>
      <c r="GO102" s="392"/>
      <c r="GP102" s="392"/>
      <c r="GQ102" s="392"/>
      <c r="GR102" s="392"/>
      <c r="GS102" s="392"/>
      <c r="GT102" s="392"/>
      <c r="GU102" s="392"/>
      <c r="GV102" s="392"/>
      <c r="GW102" s="392"/>
      <c r="GX102" s="392"/>
      <c r="GY102" s="392"/>
      <c r="GZ102" s="392"/>
      <c r="HA102" s="392"/>
      <c r="HB102" s="392"/>
      <c r="HC102" s="392"/>
      <c r="HD102" s="392"/>
      <c r="HE102" s="392"/>
      <c r="HF102" s="392"/>
      <c r="HG102" s="392"/>
      <c r="HH102" s="392"/>
      <c r="HI102" s="392"/>
      <c r="HJ102" s="392"/>
      <c r="HK102" s="392"/>
      <c r="HL102" s="392"/>
      <c r="HM102" s="392"/>
      <c r="HN102" s="392"/>
      <c r="HO102" s="392"/>
      <c r="HP102" s="392"/>
      <c r="HQ102" s="392"/>
      <c r="HR102" s="392"/>
      <c r="HS102" s="392"/>
      <c r="HT102" s="392"/>
      <c r="HU102" s="392"/>
      <c r="HV102" s="392"/>
      <c r="HW102" s="392"/>
      <c r="HX102" s="392"/>
      <c r="HY102" s="392"/>
      <c r="HZ102" s="392"/>
      <c r="IA102" s="392"/>
      <c r="IB102" s="392"/>
      <c r="IC102" s="392"/>
      <c r="ID102" s="392"/>
      <c r="IE102" s="392"/>
      <c r="IF102" s="392"/>
      <c r="IG102" s="392"/>
      <c r="IH102" s="392"/>
      <c r="II102" s="392"/>
      <c r="IJ102" s="392"/>
      <c r="IK102" s="392"/>
      <c r="IL102" s="392"/>
      <c r="IM102" s="392"/>
      <c r="IN102" s="392"/>
      <c r="IO102" s="392"/>
      <c r="IP102" s="392"/>
      <c r="IQ102" s="392"/>
      <c r="IR102" s="392"/>
      <c r="IS102" s="392"/>
      <c r="IT102" s="392"/>
      <c r="IU102" s="392"/>
      <c r="IV102" s="392"/>
      <c r="IW102" s="392"/>
      <c r="IX102" s="392"/>
      <c r="IY102" s="392"/>
      <c r="IZ102" s="392"/>
      <c r="JA102" s="392"/>
      <c r="JB102" s="392"/>
      <c r="JC102" s="392"/>
      <c r="JD102" s="392"/>
      <c r="JE102" s="392"/>
      <c r="JF102" s="392"/>
      <c r="JG102" s="392"/>
      <c r="JH102" s="392"/>
      <c r="JI102" s="393">
        <f t="shared" si="3"/>
        <v>0</v>
      </c>
      <c r="JJ102" s="395">
        <v>6173</v>
      </c>
      <c r="JK102" s="392">
        <f t="shared" si="2"/>
        <v>0</v>
      </c>
      <c r="JL102" s="284"/>
      <c r="JM102" s="284"/>
      <c r="JN102" s="284"/>
      <c r="JO102" s="284"/>
      <c r="JP102" s="284"/>
    </row>
    <row r="103" spans="1:276" x14ac:dyDescent="0.3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2"/>
      <c r="O103" s="392"/>
      <c r="P103" s="392"/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  <c r="AC103" s="392"/>
      <c r="AD103" s="392"/>
      <c r="AE103" s="392"/>
      <c r="AF103" s="392"/>
      <c r="AG103" s="392"/>
      <c r="AH103" s="392"/>
      <c r="AI103" s="392"/>
      <c r="AJ103" s="392"/>
      <c r="AK103" s="392"/>
      <c r="AL103" s="392"/>
      <c r="AM103" s="392"/>
      <c r="AN103" s="392"/>
      <c r="AO103" s="392"/>
      <c r="AP103" s="392"/>
      <c r="AQ103" s="392"/>
      <c r="AR103" s="392"/>
      <c r="AS103" s="392"/>
      <c r="AT103" s="392"/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2"/>
      <c r="BF103" s="392"/>
      <c r="BG103" s="392"/>
      <c r="BH103" s="392"/>
      <c r="BI103" s="392"/>
      <c r="BJ103" s="392"/>
      <c r="BK103" s="392"/>
      <c r="BL103" s="392"/>
      <c r="BM103" s="392"/>
      <c r="BN103" s="392"/>
      <c r="BO103" s="392"/>
      <c r="BP103" s="392"/>
      <c r="BQ103" s="392"/>
      <c r="BR103" s="392"/>
      <c r="BS103" s="392"/>
      <c r="BT103" s="392"/>
      <c r="BU103" s="392"/>
      <c r="BV103" s="392"/>
      <c r="BW103" s="392"/>
      <c r="BX103" s="392"/>
      <c r="BY103" s="392"/>
      <c r="BZ103" s="392"/>
      <c r="CA103" s="392"/>
      <c r="CB103" s="392"/>
      <c r="CC103" s="392"/>
      <c r="CD103" s="392"/>
      <c r="CE103" s="392"/>
      <c r="CF103" s="392"/>
      <c r="CG103" s="392"/>
      <c r="CH103" s="392"/>
      <c r="CI103" s="392"/>
      <c r="CJ103" s="392"/>
      <c r="CK103" s="392"/>
      <c r="CL103" s="392"/>
      <c r="CM103" s="392"/>
      <c r="CN103" s="392"/>
      <c r="CO103" s="392"/>
      <c r="CP103" s="392"/>
      <c r="CQ103" s="392"/>
      <c r="CR103" s="392"/>
      <c r="CS103" s="392"/>
      <c r="CT103" s="392"/>
      <c r="CU103" s="392"/>
      <c r="CV103" s="392"/>
      <c r="CW103" s="392"/>
      <c r="CX103" s="392"/>
      <c r="CY103" s="392"/>
      <c r="CZ103" s="392"/>
      <c r="DA103" s="392"/>
      <c r="DB103" s="392"/>
      <c r="DC103" s="392"/>
      <c r="DD103" s="392"/>
      <c r="DE103" s="392"/>
      <c r="DF103" s="392"/>
      <c r="DG103" s="392"/>
      <c r="DH103" s="392"/>
      <c r="DI103" s="392"/>
      <c r="DJ103" s="392"/>
      <c r="DK103" s="392"/>
      <c r="DL103" s="392"/>
      <c r="DM103" s="392"/>
      <c r="DN103" s="392"/>
      <c r="DO103" s="392"/>
      <c r="DP103" s="392"/>
      <c r="DQ103" s="392"/>
      <c r="DR103" s="392"/>
      <c r="DS103" s="392"/>
      <c r="DT103" s="392"/>
      <c r="DU103" s="392"/>
      <c r="DV103" s="392"/>
      <c r="DW103" s="392"/>
      <c r="DX103" s="392"/>
      <c r="DY103" s="392"/>
      <c r="DZ103" s="392"/>
      <c r="EA103" s="392"/>
      <c r="EB103" s="392"/>
      <c r="EC103" s="392"/>
      <c r="ED103" s="392"/>
      <c r="EE103" s="392"/>
      <c r="EF103" s="392"/>
      <c r="EG103" s="392"/>
      <c r="EH103" s="392"/>
      <c r="EI103" s="392"/>
      <c r="EJ103" s="392"/>
      <c r="EK103" s="392"/>
      <c r="EL103" s="392"/>
      <c r="EM103" s="392"/>
      <c r="EN103" s="392"/>
      <c r="EO103" s="392"/>
      <c r="EP103" s="392"/>
      <c r="EQ103" s="392"/>
      <c r="ER103" s="392"/>
      <c r="ES103" s="392"/>
      <c r="ET103" s="392"/>
      <c r="EU103" s="392"/>
      <c r="EV103" s="392"/>
      <c r="EW103" s="392"/>
      <c r="EX103" s="392"/>
      <c r="EY103" s="392"/>
      <c r="EZ103" s="392"/>
      <c r="FA103" s="392"/>
      <c r="FB103" s="392"/>
      <c r="FC103" s="392"/>
      <c r="FD103" s="392"/>
      <c r="FE103" s="392"/>
      <c r="FF103" s="392"/>
      <c r="FG103" s="392"/>
      <c r="FH103" s="392"/>
      <c r="FI103" s="392"/>
      <c r="FJ103" s="392"/>
      <c r="FK103" s="392"/>
      <c r="FL103" s="392"/>
      <c r="FM103" s="392"/>
      <c r="FN103" s="392"/>
      <c r="FO103" s="392"/>
      <c r="FP103" s="392"/>
      <c r="FQ103" s="392"/>
      <c r="FR103" s="392"/>
      <c r="FS103" s="392"/>
      <c r="FT103" s="392"/>
      <c r="FU103" s="392"/>
      <c r="FV103" s="392"/>
      <c r="FW103" s="392"/>
      <c r="FX103" s="392"/>
      <c r="FY103" s="392"/>
      <c r="FZ103" s="392"/>
      <c r="GA103" s="392"/>
      <c r="GB103" s="392"/>
      <c r="GC103" s="392"/>
      <c r="GD103" s="392"/>
      <c r="GE103" s="392"/>
      <c r="GF103" s="392"/>
      <c r="GG103" s="392"/>
      <c r="GH103" s="392"/>
      <c r="GI103" s="392"/>
      <c r="GJ103" s="392"/>
      <c r="GK103" s="392"/>
      <c r="GL103" s="392"/>
      <c r="GM103" s="392"/>
      <c r="GN103" s="392"/>
      <c r="GO103" s="392"/>
      <c r="GP103" s="392"/>
      <c r="GQ103" s="392"/>
      <c r="GR103" s="392"/>
      <c r="GS103" s="392"/>
      <c r="GT103" s="392"/>
      <c r="GU103" s="392"/>
      <c r="GV103" s="392"/>
      <c r="GW103" s="392"/>
      <c r="GX103" s="392"/>
      <c r="GY103" s="392"/>
      <c r="GZ103" s="392"/>
      <c r="HA103" s="392"/>
      <c r="HB103" s="392"/>
      <c r="HC103" s="392"/>
      <c r="HD103" s="392"/>
      <c r="HE103" s="392"/>
      <c r="HF103" s="392"/>
      <c r="HG103" s="392"/>
      <c r="HH103" s="392"/>
      <c r="HI103" s="392"/>
      <c r="HJ103" s="392"/>
      <c r="HK103" s="392"/>
      <c r="HL103" s="392"/>
      <c r="HM103" s="392"/>
      <c r="HN103" s="392"/>
      <c r="HO103" s="392"/>
      <c r="HP103" s="392"/>
      <c r="HQ103" s="392"/>
      <c r="HR103" s="392"/>
      <c r="HS103" s="392"/>
      <c r="HT103" s="392"/>
      <c r="HU103" s="392"/>
      <c r="HV103" s="392"/>
      <c r="HW103" s="392"/>
      <c r="HX103" s="392"/>
      <c r="HY103" s="392"/>
      <c r="HZ103" s="392"/>
      <c r="IA103" s="392"/>
      <c r="IB103" s="392"/>
      <c r="IC103" s="392"/>
      <c r="ID103" s="392"/>
      <c r="IE103" s="392"/>
      <c r="IF103" s="392"/>
      <c r="IG103" s="392"/>
      <c r="IH103" s="392"/>
      <c r="II103" s="392"/>
      <c r="IJ103" s="392"/>
      <c r="IK103" s="392"/>
      <c r="IL103" s="392"/>
      <c r="IM103" s="392"/>
      <c r="IN103" s="392"/>
      <c r="IO103" s="392"/>
      <c r="IP103" s="392"/>
      <c r="IQ103" s="392"/>
      <c r="IR103" s="392"/>
      <c r="IS103" s="392"/>
      <c r="IT103" s="392"/>
      <c r="IU103" s="392"/>
      <c r="IV103" s="392"/>
      <c r="IW103" s="392"/>
      <c r="IX103" s="392"/>
      <c r="IY103" s="392"/>
      <c r="IZ103" s="392"/>
      <c r="JA103" s="392"/>
      <c r="JB103" s="392"/>
      <c r="JC103" s="392"/>
      <c r="JD103" s="392"/>
      <c r="JE103" s="392"/>
      <c r="JF103" s="392"/>
      <c r="JG103" s="392"/>
      <c r="JH103" s="392"/>
      <c r="JI103" s="393">
        <f t="shared" si="3"/>
        <v>0</v>
      </c>
      <c r="JJ103" s="2">
        <v>6177</v>
      </c>
      <c r="JK103" s="392">
        <f t="shared" si="2"/>
        <v>0</v>
      </c>
      <c r="JL103" s="284"/>
      <c r="JM103" s="284"/>
      <c r="JN103" s="284"/>
      <c r="JO103" s="284"/>
      <c r="JP103" s="284"/>
    </row>
    <row r="104" spans="1:276" x14ac:dyDescent="0.3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2"/>
      <c r="L104" s="392"/>
      <c r="M104" s="392"/>
      <c r="N104" s="392"/>
      <c r="O104" s="392"/>
      <c r="P104" s="392"/>
      <c r="Q104" s="392"/>
      <c r="R104" s="392"/>
      <c r="S104" s="392"/>
      <c r="T104" s="392"/>
      <c r="U104" s="392"/>
      <c r="V104" s="392"/>
      <c r="W104" s="392"/>
      <c r="X104" s="392"/>
      <c r="Y104" s="392"/>
      <c r="Z104" s="392"/>
      <c r="AA104" s="392"/>
      <c r="AB104" s="392"/>
      <c r="AC104" s="392"/>
      <c r="AD104" s="392"/>
      <c r="AE104" s="392"/>
      <c r="AF104" s="392"/>
      <c r="AG104" s="392"/>
      <c r="AH104" s="392"/>
      <c r="AI104" s="392"/>
      <c r="AJ104" s="392"/>
      <c r="AK104" s="392"/>
      <c r="AL104" s="392"/>
      <c r="AM104" s="392"/>
      <c r="AN104" s="392"/>
      <c r="AO104" s="392"/>
      <c r="AP104" s="392"/>
      <c r="AQ104" s="392"/>
      <c r="AR104" s="392"/>
      <c r="AS104" s="392"/>
      <c r="AT104" s="392"/>
      <c r="AU104" s="392"/>
      <c r="AV104" s="392"/>
      <c r="AW104" s="392"/>
      <c r="AX104" s="392"/>
      <c r="AY104" s="392"/>
      <c r="AZ104" s="392"/>
      <c r="BA104" s="392"/>
      <c r="BB104" s="392"/>
      <c r="BC104" s="392"/>
      <c r="BD104" s="392"/>
      <c r="BE104" s="392"/>
      <c r="BF104" s="392"/>
      <c r="BG104" s="392"/>
      <c r="BH104" s="392"/>
      <c r="BI104" s="392"/>
      <c r="BJ104" s="392"/>
      <c r="BK104" s="392"/>
      <c r="BL104" s="392"/>
      <c r="BM104" s="392"/>
      <c r="BN104" s="392"/>
      <c r="BO104" s="392"/>
      <c r="BP104" s="392"/>
      <c r="BQ104" s="392"/>
      <c r="BR104" s="392"/>
      <c r="BS104" s="392"/>
      <c r="BT104" s="392"/>
      <c r="BU104" s="392"/>
      <c r="BV104" s="392"/>
      <c r="BW104" s="392"/>
      <c r="BX104" s="392"/>
      <c r="BY104" s="392"/>
      <c r="BZ104" s="392"/>
      <c r="CA104" s="392"/>
      <c r="CB104" s="392"/>
      <c r="CC104" s="392"/>
      <c r="CD104" s="392"/>
      <c r="CE104" s="392"/>
      <c r="CF104" s="392"/>
      <c r="CG104" s="392"/>
      <c r="CH104" s="392"/>
      <c r="CI104" s="392"/>
      <c r="CJ104" s="392"/>
      <c r="CK104" s="392"/>
      <c r="CL104" s="392"/>
      <c r="CM104" s="392"/>
      <c r="CN104" s="392"/>
      <c r="CO104" s="392"/>
      <c r="CP104" s="392"/>
      <c r="CQ104" s="392"/>
      <c r="CR104" s="392"/>
      <c r="CS104" s="392"/>
      <c r="CT104" s="392"/>
      <c r="CU104" s="392"/>
      <c r="CV104" s="392"/>
      <c r="CW104" s="392"/>
      <c r="CX104" s="392"/>
      <c r="CY104" s="392"/>
      <c r="CZ104" s="392"/>
      <c r="DA104" s="392"/>
      <c r="DB104" s="392"/>
      <c r="DC104" s="392"/>
      <c r="DD104" s="392"/>
      <c r="DE104" s="392"/>
      <c r="DF104" s="392"/>
      <c r="DG104" s="392"/>
      <c r="DH104" s="392"/>
      <c r="DI104" s="392"/>
      <c r="DJ104" s="392"/>
      <c r="DK104" s="392"/>
      <c r="DL104" s="392"/>
      <c r="DM104" s="392"/>
      <c r="DN104" s="392"/>
      <c r="DO104" s="392"/>
      <c r="DP104" s="392"/>
      <c r="DQ104" s="392"/>
      <c r="DR104" s="392"/>
      <c r="DS104" s="392"/>
      <c r="DT104" s="392"/>
      <c r="DU104" s="392"/>
      <c r="DV104" s="392"/>
      <c r="DW104" s="392"/>
      <c r="DX104" s="392"/>
      <c r="DY104" s="392"/>
      <c r="DZ104" s="392"/>
      <c r="EA104" s="392"/>
      <c r="EB104" s="392"/>
      <c r="EC104" s="392"/>
      <c r="ED104" s="392"/>
      <c r="EE104" s="392"/>
      <c r="EF104" s="392"/>
      <c r="EG104" s="392"/>
      <c r="EH104" s="392"/>
      <c r="EI104" s="392"/>
      <c r="EJ104" s="392"/>
      <c r="EK104" s="392"/>
      <c r="EL104" s="392"/>
      <c r="EM104" s="392"/>
      <c r="EN104" s="392"/>
      <c r="EO104" s="392"/>
      <c r="EP104" s="392"/>
      <c r="EQ104" s="392"/>
      <c r="ER104" s="392"/>
      <c r="ES104" s="392"/>
      <c r="ET104" s="392"/>
      <c r="EU104" s="392"/>
      <c r="EV104" s="392"/>
      <c r="EW104" s="392"/>
      <c r="EX104" s="392"/>
      <c r="EY104" s="392"/>
      <c r="EZ104" s="392"/>
      <c r="FA104" s="392"/>
      <c r="FB104" s="392"/>
      <c r="FC104" s="392"/>
      <c r="FD104" s="392"/>
      <c r="FE104" s="392"/>
      <c r="FF104" s="392"/>
      <c r="FG104" s="392"/>
      <c r="FH104" s="392"/>
      <c r="FI104" s="392"/>
      <c r="FJ104" s="392"/>
      <c r="FK104" s="392"/>
      <c r="FL104" s="392"/>
      <c r="FM104" s="392"/>
      <c r="FN104" s="392"/>
      <c r="FO104" s="392"/>
      <c r="FP104" s="392"/>
      <c r="FQ104" s="392"/>
      <c r="FR104" s="392"/>
      <c r="FS104" s="392"/>
      <c r="FT104" s="392"/>
      <c r="FU104" s="392"/>
      <c r="FV104" s="392"/>
      <c r="FW104" s="392"/>
      <c r="FX104" s="392"/>
      <c r="FY104" s="392"/>
      <c r="FZ104" s="392"/>
      <c r="GA104" s="392"/>
      <c r="GB104" s="392"/>
      <c r="GC104" s="392"/>
      <c r="GD104" s="392"/>
      <c r="GE104" s="392"/>
      <c r="GF104" s="392"/>
      <c r="GG104" s="392"/>
      <c r="GH104" s="392"/>
      <c r="GI104" s="392"/>
      <c r="GJ104" s="392"/>
      <c r="GK104" s="392"/>
      <c r="GL104" s="392"/>
      <c r="GM104" s="392"/>
      <c r="GN104" s="392"/>
      <c r="GO104" s="392"/>
      <c r="GP104" s="392"/>
      <c r="GQ104" s="392"/>
      <c r="GR104" s="392"/>
      <c r="GS104" s="392"/>
      <c r="GT104" s="392"/>
      <c r="GU104" s="392"/>
      <c r="GV104" s="392"/>
      <c r="GW104" s="392"/>
      <c r="GX104" s="392"/>
      <c r="GY104" s="392"/>
      <c r="GZ104" s="392"/>
      <c r="HA104" s="392"/>
      <c r="HB104" s="392"/>
      <c r="HC104" s="392"/>
      <c r="HD104" s="392"/>
      <c r="HE104" s="392"/>
      <c r="HF104" s="392"/>
      <c r="HG104" s="392"/>
      <c r="HH104" s="392"/>
      <c r="HI104" s="392"/>
      <c r="HJ104" s="392"/>
      <c r="HK104" s="392"/>
      <c r="HL104" s="392"/>
      <c r="HM104" s="392"/>
      <c r="HN104" s="392"/>
      <c r="HO104" s="392"/>
      <c r="HP104" s="392"/>
      <c r="HQ104" s="392"/>
      <c r="HR104" s="392"/>
      <c r="HS104" s="392"/>
      <c r="HT104" s="392"/>
      <c r="HU104" s="392"/>
      <c r="HV104" s="392"/>
      <c r="HW104" s="392"/>
      <c r="HX104" s="392"/>
      <c r="HY104" s="392"/>
      <c r="HZ104" s="392"/>
      <c r="IA104" s="392"/>
      <c r="IB104" s="392"/>
      <c r="IC104" s="392"/>
      <c r="ID104" s="392"/>
      <c r="IE104" s="392"/>
      <c r="IF104" s="392"/>
      <c r="IG104" s="392"/>
      <c r="IH104" s="392"/>
      <c r="II104" s="392"/>
      <c r="IJ104" s="392"/>
      <c r="IK104" s="392"/>
      <c r="IL104" s="392"/>
      <c r="IM104" s="392"/>
      <c r="IN104" s="392"/>
      <c r="IO104" s="392"/>
      <c r="IP104" s="392"/>
      <c r="IQ104" s="392"/>
      <c r="IR104" s="392"/>
      <c r="IS104" s="392"/>
      <c r="IT104" s="392"/>
      <c r="IU104" s="392"/>
      <c r="IV104" s="392"/>
      <c r="IW104" s="392"/>
      <c r="IX104" s="392"/>
      <c r="IY104" s="392"/>
      <c r="IZ104" s="392"/>
      <c r="JA104" s="392"/>
      <c r="JB104" s="392"/>
      <c r="JC104" s="392"/>
      <c r="JD104" s="392"/>
      <c r="JE104" s="392"/>
      <c r="JF104" s="392"/>
      <c r="JG104" s="392"/>
      <c r="JH104" s="392"/>
      <c r="JI104" s="393">
        <f t="shared" si="3"/>
        <v>0</v>
      </c>
      <c r="JJ104" s="2">
        <v>6181</v>
      </c>
      <c r="JK104" s="392">
        <f t="shared" si="2"/>
        <v>0</v>
      </c>
      <c r="JL104" s="284"/>
      <c r="JM104" s="284"/>
      <c r="JN104" s="284"/>
      <c r="JO104" s="284"/>
      <c r="JP104" s="284"/>
    </row>
    <row r="105" spans="1:276" x14ac:dyDescent="0.3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  <c r="Q105" s="392"/>
      <c r="R105" s="392"/>
      <c r="S105" s="392"/>
      <c r="T105" s="392"/>
      <c r="U105" s="392"/>
      <c r="V105" s="392"/>
      <c r="W105" s="392"/>
      <c r="X105" s="392"/>
      <c r="Y105" s="392"/>
      <c r="Z105" s="392"/>
      <c r="AA105" s="392"/>
      <c r="AB105" s="392"/>
      <c r="AC105" s="392"/>
      <c r="AD105" s="392"/>
      <c r="AE105" s="392"/>
      <c r="AF105" s="392"/>
      <c r="AG105" s="392"/>
      <c r="AH105" s="392"/>
      <c r="AI105" s="392"/>
      <c r="AJ105" s="392"/>
      <c r="AK105" s="392"/>
      <c r="AL105" s="392"/>
      <c r="AM105" s="392"/>
      <c r="AN105" s="392"/>
      <c r="AO105" s="392"/>
      <c r="AP105" s="392"/>
      <c r="AQ105" s="392"/>
      <c r="AR105" s="392"/>
      <c r="AS105" s="392"/>
      <c r="AT105" s="392"/>
      <c r="AU105" s="392"/>
      <c r="AV105" s="392"/>
      <c r="AW105" s="392"/>
      <c r="AX105" s="392"/>
      <c r="AY105" s="392"/>
      <c r="AZ105" s="392"/>
      <c r="BA105" s="392"/>
      <c r="BB105" s="392"/>
      <c r="BC105" s="392"/>
      <c r="BD105" s="392"/>
      <c r="BE105" s="392"/>
      <c r="BF105" s="392"/>
      <c r="BG105" s="392"/>
      <c r="BH105" s="392"/>
      <c r="BI105" s="392"/>
      <c r="BJ105" s="392"/>
      <c r="BK105" s="392"/>
      <c r="BL105" s="392"/>
      <c r="BM105" s="392"/>
      <c r="BN105" s="392"/>
      <c r="BO105" s="392"/>
      <c r="BP105" s="392"/>
      <c r="BQ105" s="392"/>
      <c r="BR105" s="392"/>
      <c r="BS105" s="392"/>
      <c r="BT105" s="392"/>
      <c r="BU105" s="392"/>
      <c r="BV105" s="392"/>
      <c r="BW105" s="392"/>
      <c r="BX105" s="392"/>
      <c r="BY105" s="392"/>
      <c r="BZ105" s="392"/>
      <c r="CA105" s="392"/>
      <c r="CB105" s="392"/>
      <c r="CC105" s="392"/>
      <c r="CD105" s="392"/>
      <c r="CE105" s="392"/>
      <c r="CF105" s="392"/>
      <c r="CG105" s="392"/>
      <c r="CH105" s="392"/>
      <c r="CI105" s="392"/>
      <c r="CJ105" s="392"/>
      <c r="CK105" s="392"/>
      <c r="CL105" s="392"/>
      <c r="CM105" s="392"/>
      <c r="CN105" s="392"/>
      <c r="CO105" s="392"/>
      <c r="CP105" s="392"/>
      <c r="CQ105" s="392"/>
      <c r="CR105" s="392"/>
      <c r="CS105" s="392"/>
      <c r="CT105" s="392"/>
      <c r="CU105" s="392"/>
      <c r="CV105" s="392"/>
      <c r="CW105" s="392"/>
      <c r="CX105" s="392"/>
      <c r="CY105" s="392"/>
      <c r="CZ105" s="392"/>
      <c r="DA105" s="392"/>
      <c r="DB105" s="392"/>
      <c r="DC105" s="392"/>
      <c r="DD105" s="392"/>
      <c r="DE105" s="392"/>
      <c r="DF105" s="392"/>
      <c r="DG105" s="392"/>
      <c r="DH105" s="392"/>
      <c r="DI105" s="392"/>
      <c r="DJ105" s="392"/>
      <c r="DK105" s="392"/>
      <c r="DL105" s="392"/>
      <c r="DM105" s="392"/>
      <c r="DN105" s="392"/>
      <c r="DO105" s="392"/>
      <c r="DP105" s="392"/>
      <c r="DQ105" s="392"/>
      <c r="DR105" s="392"/>
      <c r="DS105" s="392"/>
      <c r="DT105" s="392"/>
      <c r="DU105" s="392"/>
      <c r="DV105" s="392"/>
      <c r="DW105" s="392"/>
      <c r="DX105" s="392"/>
      <c r="DY105" s="392"/>
      <c r="DZ105" s="392"/>
      <c r="EA105" s="392"/>
      <c r="EB105" s="392"/>
      <c r="EC105" s="392"/>
      <c r="ED105" s="392"/>
      <c r="EE105" s="392"/>
      <c r="EF105" s="392"/>
      <c r="EG105" s="392"/>
      <c r="EH105" s="392"/>
      <c r="EI105" s="392"/>
      <c r="EJ105" s="392"/>
      <c r="EK105" s="392"/>
      <c r="EL105" s="392"/>
      <c r="EM105" s="392"/>
      <c r="EN105" s="392"/>
      <c r="EO105" s="392"/>
      <c r="EP105" s="392"/>
      <c r="EQ105" s="392"/>
      <c r="ER105" s="392"/>
      <c r="ES105" s="392"/>
      <c r="ET105" s="392"/>
      <c r="EU105" s="392"/>
      <c r="EV105" s="392"/>
      <c r="EW105" s="392"/>
      <c r="EX105" s="392"/>
      <c r="EY105" s="392"/>
      <c r="EZ105" s="392"/>
      <c r="FA105" s="392"/>
      <c r="FB105" s="392"/>
      <c r="FC105" s="392"/>
      <c r="FD105" s="392"/>
      <c r="FE105" s="392"/>
      <c r="FF105" s="392"/>
      <c r="FG105" s="392"/>
      <c r="FH105" s="392"/>
      <c r="FI105" s="392"/>
      <c r="FJ105" s="392"/>
      <c r="FK105" s="392"/>
      <c r="FL105" s="392"/>
      <c r="FM105" s="392"/>
      <c r="FN105" s="392"/>
      <c r="FO105" s="392"/>
      <c r="FP105" s="392"/>
      <c r="FQ105" s="392"/>
      <c r="FR105" s="392"/>
      <c r="FS105" s="392"/>
      <c r="FT105" s="392"/>
      <c r="FU105" s="392"/>
      <c r="FV105" s="392"/>
      <c r="FW105" s="392"/>
      <c r="FX105" s="392"/>
      <c r="FY105" s="392"/>
      <c r="FZ105" s="392"/>
      <c r="GA105" s="392"/>
      <c r="GB105" s="392"/>
      <c r="GC105" s="392"/>
      <c r="GD105" s="392"/>
      <c r="GE105" s="392"/>
      <c r="GF105" s="392"/>
      <c r="GG105" s="392"/>
      <c r="GH105" s="392"/>
      <c r="GI105" s="392"/>
      <c r="GJ105" s="392"/>
      <c r="GK105" s="392"/>
      <c r="GL105" s="392"/>
      <c r="GM105" s="392"/>
      <c r="GN105" s="392"/>
      <c r="GO105" s="392"/>
      <c r="GP105" s="392"/>
      <c r="GQ105" s="392"/>
      <c r="GR105" s="392"/>
      <c r="GS105" s="392"/>
      <c r="GT105" s="392"/>
      <c r="GU105" s="392"/>
      <c r="GV105" s="392"/>
      <c r="GW105" s="392"/>
      <c r="GX105" s="392"/>
      <c r="GY105" s="392"/>
      <c r="GZ105" s="392"/>
      <c r="HA105" s="392"/>
      <c r="HB105" s="392"/>
      <c r="HC105" s="392"/>
      <c r="HD105" s="392"/>
      <c r="HE105" s="392"/>
      <c r="HF105" s="392"/>
      <c r="HG105" s="392"/>
      <c r="HH105" s="392"/>
      <c r="HI105" s="392"/>
      <c r="HJ105" s="392"/>
      <c r="HK105" s="392"/>
      <c r="HL105" s="392"/>
      <c r="HM105" s="392"/>
      <c r="HN105" s="392"/>
      <c r="HO105" s="392"/>
      <c r="HP105" s="392"/>
      <c r="HQ105" s="392"/>
      <c r="HR105" s="392"/>
      <c r="HS105" s="392"/>
      <c r="HT105" s="392"/>
      <c r="HU105" s="392"/>
      <c r="HV105" s="392"/>
      <c r="HW105" s="392"/>
      <c r="HX105" s="392"/>
      <c r="HY105" s="392"/>
      <c r="HZ105" s="392"/>
      <c r="IA105" s="392"/>
      <c r="IB105" s="392"/>
      <c r="IC105" s="392"/>
      <c r="ID105" s="392"/>
      <c r="IE105" s="392"/>
      <c r="IF105" s="392"/>
      <c r="IG105" s="392"/>
      <c r="IH105" s="392"/>
      <c r="II105" s="392"/>
      <c r="IJ105" s="392"/>
      <c r="IK105" s="392"/>
      <c r="IL105" s="392"/>
      <c r="IM105" s="392"/>
      <c r="IN105" s="392"/>
      <c r="IO105" s="392"/>
      <c r="IP105" s="392"/>
      <c r="IQ105" s="392"/>
      <c r="IR105" s="392"/>
      <c r="IS105" s="392"/>
      <c r="IT105" s="392"/>
      <c r="IU105" s="392"/>
      <c r="IV105" s="392"/>
      <c r="IW105" s="392"/>
      <c r="IX105" s="392"/>
      <c r="IY105" s="392"/>
      <c r="IZ105" s="392"/>
      <c r="JA105" s="392"/>
      <c r="JB105" s="392"/>
      <c r="JC105" s="392"/>
      <c r="JD105" s="392"/>
      <c r="JE105" s="392"/>
      <c r="JF105" s="392"/>
      <c r="JG105" s="392"/>
      <c r="JH105" s="392"/>
      <c r="JI105" s="393">
        <f t="shared" si="3"/>
        <v>0</v>
      </c>
      <c r="JJ105" s="2">
        <v>6185</v>
      </c>
      <c r="JK105" s="392">
        <f t="shared" si="2"/>
        <v>0</v>
      </c>
      <c r="JL105" s="284"/>
      <c r="JM105" s="284"/>
      <c r="JN105" s="284"/>
      <c r="JO105" s="284"/>
      <c r="JP105" s="284"/>
    </row>
    <row r="106" spans="1:276" x14ac:dyDescent="0.3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2"/>
      <c r="L106" s="392"/>
      <c r="M106" s="392"/>
      <c r="N106" s="392"/>
      <c r="O106" s="392"/>
      <c r="P106" s="392"/>
      <c r="Q106" s="392"/>
      <c r="R106" s="392"/>
      <c r="S106" s="392"/>
      <c r="T106" s="392"/>
      <c r="U106" s="392"/>
      <c r="V106" s="392"/>
      <c r="W106" s="392"/>
      <c r="X106" s="392"/>
      <c r="Y106" s="392"/>
      <c r="Z106" s="392"/>
      <c r="AA106" s="392"/>
      <c r="AB106" s="392"/>
      <c r="AC106" s="392"/>
      <c r="AD106" s="392"/>
      <c r="AE106" s="392"/>
      <c r="AF106" s="392"/>
      <c r="AG106" s="392"/>
      <c r="AH106" s="392"/>
      <c r="AI106" s="392"/>
      <c r="AJ106" s="392"/>
      <c r="AK106" s="392"/>
      <c r="AL106" s="392"/>
      <c r="AM106" s="392"/>
      <c r="AN106" s="392"/>
      <c r="AO106" s="392"/>
      <c r="AP106" s="392"/>
      <c r="AQ106" s="392"/>
      <c r="AR106" s="392"/>
      <c r="AS106" s="392"/>
      <c r="AT106" s="392"/>
      <c r="AU106" s="392"/>
      <c r="AV106" s="392"/>
      <c r="AW106" s="392"/>
      <c r="AX106" s="392"/>
      <c r="AY106" s="392"/>
      <c r="AZ106" s="392"/>
      <c r="BA106" s="392"/>
      <c r="BB106" s="392"/>
      <c r="BC106" s="392"/>
      <c r="BD106" s="392"/>
      <c r="BE106" s="392"/>
      <c r="BF106" s="392"/>
      <c r="BG106" s="392"/>
      <c r="BH106" s="392"/>
      <c r="BI106" s="392"/>
      <c r="BJ106" s="392"/>
      <c r="BK106" s="392"/>
      <c r="BL106" s="392"/>
      <c r="BM106" s="392"/>
      <c r="BN106" s="392"/>
      <c r="BO106" s="392"/>
      <c r="BP106" s="392"/>
      <c r="BQ106" s="392"/>
      <c r="BR106" s="392"/>
      <c r="BS106" s="392"/>
      <c r="BT106" s="392"/>
      <c r="BU106" s="392"/>
      <c r="BV106" s="392"/>
      <c r="BW106" s="392"/>
      <c r="BX106" s="392"/>
      <c r="BY106" s="392"/>
      <c r="BZ106" s="392"/>
      <c r="CA106" s="392"/>
      <c r="CB106" s="392"/>
      <c r="CC106" s="392"/>
      <c r="CD106" s="392"/>
      <c r="CE106" s="392"/>
      <c r="CF106" s="392"/>
      <c r="CG106" s="392"/>
      <c r="CH106" s="392"/>
      <c r="CI106" s="392"/>
      <c r="CJ106" s="392"/>
      <c r="CK106" s="392"/>
      <c r="CL106" s="392"/>
      <c r="CM106" s="392"/>
      <c r="CN106" s="392"/>
      <c r="CO106" s="392"/>
      <c r="CP106" s="392"/>
      <c r="CQ106" s="392"/>
      <c r="CR106" s="392"/>
      <c r="CS106" s="392"/>
      <c r="CT106" s="392"/>
      <c r="CU106" s="392"/>
      <c r="CV106" s="392"/>
      <c r="CW106" s="392"/>
      <c r="CX106" s="392"/>
      <c r="CY106" s="392"/>
      <c r="CZ106" s="392"/>
      <c r="DA106" s="392"/>
      <c r="DB106" s="392"/>
      <c r="DC106" s="392"/>
      <c r="DD106" s="392"/>
      <c r="DE106" s="392"/>
      <c r="DF106" s="392"/>
      <c r="DG106" s="392"/>
      <c r="DH106" s="392"/>
      <c r="DI106" s="392"/>
      <c r="DJ106" s="392"/>
      <c r="DK106" s="392"/>
      <c r="DL106" s="392"/>
      <c r="DM106" s="392"/>
      <c r="DN106" s="392"/>
      <c r="DO106" s="392"/>
      <c r="DP106" s="392"/>
      <c r="DQ106" s="392"/>
      <c r="DR106" s="392"/>
      <c r="DS106" s="392"/>
      <c r="DT106" s="392"/>
      <c r="DU106" s="392"/>
      <c r="DV106" s="392"/>
      <c r="DW106" s="392"/>
      <c r="DX106" s="392"/>
      <c r="DY106" s="392"/>
      <c r="DZ106" s="392"/>
      <c r="EA106" s="392"/>
      <c r="EB106" s="392"/>
      <c r="EC106" s="392"/>
      <c r="ED106" s="392"/>
      <c r="EE106" s="392"/>
      <c r="EF106" s="392"/>
      <c r="EG106" s="392"/>
      <c r="EH106" s="392"/>
      <c r="EI106" s="392"/>
      <c r="EJ106" s="392"/>
      <c r="EK106" s="392"/>
      <c r="EL106" s="392"/>
      <c r="EM106" s="392"/>
      <c r="EN106" s="392"/>
      <c r="EO106" s="392"/>
      <c r="EP106" s="392"/>
      <c r="EQ106" s="392"/>
      <c r="ER106" s="392"/>
      <c r="ES106" s="392"/>
      <c r="ET106" s="392"/>
      <c r="EU106" s="392"/>
      <c r="EV106" s="392"/>
      <c r="EW106" s="392"/>
      <c r="EX106" s="392"/>
      <c r="EY106" s="392"/>
      <c r="EZ106" s="392"/>
      <c r="FA106" s="392"/>
      <c r="FB106" s="392"/>
      <c r="FC106" s="392"/>
      <c r="FD106" s="392"/>
      <c r="FE106" s="392"/>
      <c r="FF106" s="392"/>
      <c r="FG106" s="392"/>
      <c r="FH106" s="392"/>
      <c r="FI106" s="392"/>
      <c r="FJ106" s="392"/>
      <c r="FK106" s="392"/>
      <c r="FL106" s="392"/>
      <c r="FM106" s="392"/>
      <c r="FN106" s="392"/>
      <c r="FO106" s="392"/>
      <c r="FP106" s="392"/>
      <c r="FQ106" s="392"/>
      <c r="FR106" s="392"/>
      <c r="FS106" s="392"/>
      <c r="FT106" s="392"/>
      <c r="FU106" s="392"/>
      <c r="FV106" s="392"/>
      <c r="FW106" s="392"/>
      <c r="FX106" s="392"/>
      <c r="FY106" s="392"/>
      <c r="FZ106" s="392"/>
      <c r="GA106" s="392"/>
      <c r="GB106" s="392"/>
      <c r="GC106" s="392"/>
      <c r="GD106" s="392"/>
      <c r="GE106" s="392"/>
      <c r="GF106" s="392"/>
      <c r="GG106" s="392"/>
      <c r="GH106" s="392"/>
      <c r="GI106" s="392"/>
      <c r="GJ106" s="392"/>
      <c r="GK106" s="392"/>
      <c r="GL106" s="392"/>
      <c r="GM106" s="392"/>
      <c r="GN106" s="392"/>
      <c r="GO106" s="392"/>
      <c r="GP106" s="392"/>
      <c r="GQ106" s="392"/>
      <c r="GR106" s="392"/>
      <c r="GS106" s="392"/>
      <c r="GT106" s="392"/>
      <c r="GU106" s="392"/>
      <c r="GV106" s="392"/>
      <c r="GW106" s="392"/>
      <c r="GX106" s="392"/>
      <c r="GY106" s="392"/>
      <c r="GZ106" s="392"/>
      <c r="HA106" s="392"/>
      <c r="HB106" s="392"/>
      <c r="HC106" s="392"/>
      <c r="HD106" s="392"/>
      <c r="HE106" s="392"/>
      <c r="HF106" s="392"/>
      <c r="HG106" s="392"/>
      <c r="HH106" s="392"/>
      <c r="HI106" s="392"/>
      <c r="HJ106" s="392"/>
      <c r="HK106" s="392"/>
      <c r="HL106" s="392"/>
      <c r="HM106" s="392"/>
      <c r="HN106" s="392"/>
      <c r="HO106" s="392"/>
      <c r="HP106" s="392"/>
      <c r="HQ106" s="392"/>
      <c r="HR106" s="392"/>
      <c r="HS106" s="392"/>
      <c r="HT106" s="392"/>
      <c r="HU106" s="392"/>
      <c r="HV106" s="392"/>
      <c r="HW106" s="392"/>
      <c r="HX106" s="392"/>
      <c r="HY106" s="392"/>
      <c r="HZ106" s="392"/>
      <c r="IA106" s="392"/>
      <c r="IB106" s="392"/>
      <c r="IC106" s="392"/>
      <c r="ID106" s="392"/>
      <c r="IE106" s="392"/>
      <c r="IF106" s="392"/>
      <c r="IG106" s="392"/>
      <c r="IH106" s="392"/>
      <c r="II106" s="392"/>
      <c r="IJ106" s="392"/>
      <c r="IK106" s="392"/>
      <c r="IL106" s="392"/>
      <c r="IM106" s="392"/>
      <c r="IN106" s="392"/>
      <c r="IO106" s="392"/>
      <c r="IP106" s="392"/>
      <c r="IQ106" s="392"/>
      <c r="IR106" s="392"/>
      <c r="IS106" s="392"/>
      <c r="IT106" s="392"/>
      <c r="IU106" s="392"/>
      <c r="IV106" s="392"/>
      <c r="IW106" s="392"/>
      <c r="IX106" s="392"/>
      <c r="IY106" s="392"/>
      <c r="IZ106" s="392"/>
      <c r="JA106" s="392"/>
      <c r="JB106" s="392"/>
      <c r="JC106" s="392"/>
      <c r="JD106" s="392"/>
      <c r="JE106" s="392"/>
      <c r="JF106" s="392"/>
      <c r="JG106" s="392"/>
      <c r="JH106" s="392"/>
      <c r="JI106" s="393">
        <f t="shared" si="3"/>
        <v>0</v>
      </c>
      <c r="JJ106" s="2">
        <v>6189</v>
      </c>
      <c r="JK106" s="392">
        <f t="shared" si="2"/>
        <v>0</v>
      </c>
      <c r="JL106" s="284"/>
      <c r="JM106" s="284"/>
      <c r="JN106" s="284"/>
      <c r="JO106" s="284"/>
      <c r="JP106" s="284"/>
    </row>
    <row r="107" spans="1:276" x14ac:dyDescent="0.3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392"/>
      <c r="R107" s="392"/>
      <c r="S107" s="392"/>
      <c r="T107" s="392"/>
      <c r="U107" s="392"/>
      <c r="V107" s="392"/>
      <c r="W107" s="392"/>
      <c r="X107" s="392"/>
      <c r="Y107" s="392"/>
      <c r="Z107" s="392"/>
      <c r="AA107" s="392"/>
      <c r="AB107" s="392"/>
      <c r="AC107" s="392"/>
      <c r="AD107" s="392"/>
      <c r="AE107" s="392"/>
      <c r="AF107" s="392"/>
      <c r="AG107" s="392"/>
      <c r="AH107" s="392"/>
      <c r="AI107" s="392"/>
      <c r="AJ107" s="392"/>
      <c r="AK107" s="392"/>
      <c r="AL107" s="392"/>
      <c r="AM107" s="392"/>
      <c r="AN107" s="392"/>
      <c r="AO107" s="392"/>
      <c r="AP107" s="392"/>
      <c r="AQ107" s="392"/>
      <c r="AR107" s="392"/>
      <c r="AS107" s="392"/>
      <c r="AT107" s="392"/>
      <c r="AU107" s="392"/>
      <c r="AV107" s="392"/>
      <c r="AW107" s="392"/>
      <c r="AX107" s="392"/>
      <c r="AY107" s="392"/>
      <c r="AZ107" s="392"/>
      <c r="BA107" s="392"/>
      <c r="BB107" s="392"/>
      <c r="BC107" s="392"/>
      <c r="BD107" s="392"/>
      <c r="BE107" s="392"/>
      <c r="BF107" s="392"/>
      <c r="BG107" s="392"/>
      <c r="BH107" s="392"/>
      <c r="BI107" s="392"/>
      <c r="BJ107" s="392"/>
      <c r="BK107" s="392"/>
      <c r="BL107" s="392"/>
      <c r="BM107" s="392"/>
      <c r="BN107" s="392"/>
      <c r="BO107" s="392"/>
      <c r="BP107" s="392"/>
      <c r="BQ107" s="392"/>
      <c r="BR107" s="392"/>
      <c r="BS107" s="392"/>
      <c r="BT107" s="392"/>
      <c r="BU107" s="392"/>
      <c r="BV107" s="392"/>
      <c r="BW107" s="392"/>
      <c r="BX107" s="392"/>
      <c r="BY107" s="392"/>
      <c r="BZ107" s="392"/>
      <c r="CA107" s="392"/>
      <c r="CB107" s="392"/>
      <c r="CC107" s="392"/>
      <c r="CD107" s="392"/>
      <c r="CE107" s="392"/>
      <c r="CF107" s="392"/>
      <c r="CG107" s="392"/>
      <c r="CH107" s="392"/>
      <c r="CI107" s="392"/>
      <c r="CJ107" s="392"/>
      <c r="CK107" s="392"/>
      <c r="CL107" s="392"/>
      <c r="CM107" s="392"/>
      <c r="CN107" s="392"/>
      <c r="CO107" s="392"/>
      <c r="CP107" s="392"/>
      <c r="CQ107" s="392"/>
      <c r="CR107" s="392"/>
      <c r="CS107" s="392"/>
      <c r="CT107" s="392"/>
      <c r="CU107" s="392"/>
      <c r="CV107" s="392"/>
      <c r="CW107" s="392"/>
      <c r="CX107" s="392"/>
      <c r="CY107" s="392"/>
      <c r="CZ107" s="392"/>
      <c r="DA107" s="392"/>
      <c r="DB107" s="392"/>
      <c r="DC107" s="392"/>
      <c r="DD107" s="392"/>
      <c r="DE107" s="392"/>
      <c r="DF107" s="392"/>
      <c r="DG107" s="392"/>
      <c r="DH107" s="392"/>
      <c r="DI107" s="392"/>
      <c r="DJ107" s="392"/>
      <c r="DK107" s="392"/>
      <c r="DL107" s="392"/>
      <c r="DM107" s="392"/>
      <c r="DN107" s="392"/>
      <c r="DO107" s="392"/>
      <c r="DP107" s="392"/>
      <c r="DQ107" s="392"/>
      <c r="DR107" s="392"/>
      <c r="DS107" s="392"/>
      <c r="DT107" s="392"/>
      <c r="DU107" s="392"/>
      <c r="DV107" s="392"/>
      <c r="DW107" s="392"/>
      <c r="DX107" s="392"/>
      <c r="DY107" s="392"/>
      <c r="DZ107" s="392"/>
      <c r="EA107" s="392"/>
      <c r="EB107" s="392"/>
      <c r="EC107" s="392"/>
      <c r="ED107" s="392"/>
      <c r="EE107" s="392"/>
      <c r="EF107" s="392"/>
      <c r="EG107" s="392"/>
      <c r="EH107" s="392"/>
      <c r="EI107" s="392"/>
      <c r="EJ107" s="392"/>
      <c r="EK107" s="392"/>
      <c r="EL107" s="392"/>
      <c r="EM107" s="392"/>
      <c r="EN107" s="392"/>
      <c r="EO107" s="392"/>
      <c r="EP107" s="392"/>
      <c r="EQ107" s="392"/>
      <c r="ER107" s="392"/>
      <c r="ES107" s="392"/>
      <c r="ET107" s="392"/>
      <c r="EU107" s="392"/>
      <c r="EV107" s="392"/>
      <c r="EW107" s="392"/>
      <c r="EX107" s="392"/>
      <c r="EY107" s="392"/>
      <c r="EZ107" s="392"/>
      <c r="FA107" s="392"/>
      <c r="FB107" s="392"/>
      <c r="FC107" s="392"/>
      <c r="FD107" s="392"/>
      <c r="FE107" s="392"/>
      <c r="FF107" s="392"/>
      <c r="FG107" s="392"/>
      <c r="FH107" s="392"/>
      <c r="FI107" s="392"/>
      <c r="FJ107" s="392"/>
      <c r="FK107" s="392"/>
      <c r="FL107" s="392"/>
      <c r="FM107" s="392"/>
      <c r="FN107" s="392"/>
      <c r="FO107" s="392"/>
      <c r="FP107" s="392"/>
      <c r="FQ107" s="392"/>
      <c r="FR107" s="392"/>
      <c r="FS107" s="392"/>
      <c r="FT107" s="392"/>
      <c r="FU107" s="392"/>
      <c r="FV107" s="392"/>
      <c r="FW107" s="392"/>
      <c r="FX107" s="392"/>
      <c r="FY107" s="392"/>
      <c r="FZ107" s="392"/>
      <c r="GA107" s="392"/>
      <c r="GB107" s="392"/>
      <c r="GC107" s="392"/>
      <c r="GD107" s="392"/>
      <c r="GE107" s="392"/>
      <c r="GF107" s="392"/>
      <c r="GG107" s="392"/>
      <c r="GH107" s="392"/>
      <c r="GI107" s="392"/>
      <c r="GJ107" s="392"/>
      <c r="GK107" s="392"/>
      <c r="GL107" s="392"/>
      <c r="GM107" s="392"/>
      <c r="GN107" s="392"/>
      <c r="GO107" s="392"/>
      <c r="GP107" s="392"/>
      <c r="GQ107" s="392"/>
      <c r="GR107" s="392"/>
      <c r="GS107" s="392"/>
      <c r="GT107" s="392"/>
      <c r="GU107" s="392"/>
      <c r="GV107" s="392"/>
      <c r="GW107" s="392"/>
      <c r="GX107" s="392"/>
      <c r="GY107" s="392"/>
      <c r="GZ107" s="392"/>
      <c r="HA107" s="392"/>
      <c r="HB107" s="392"/>
      <c r="HC107" s="392"/>
      <c r="HD107" s="392"/>
      <c r="HE107" s="392"/>
      <c r="HF107" s="392"/>
      <c r="HG107" s="392"/>
      <c r="HH107" s="392"/>
      <c r="HI107" s="392"/>
      <c r="HJ107" s="392"/>
      <c r="HK107" s="392"/>
      <c r="HL107" s="392"/>
      <c r="HM107" s="392"/>
      <c r="HN107" s="392"/>
      <c r="HO107" s="392"/>
      <c r="HP107" s="392"/>
      <c r="HQ107" s="392"/>
      <c r="HR107" s="392"/>
      <c r="HS107" s="392"/>
      <c r="HT107" s="392"/>
      <c r="HU107" s="392"/>
      <c r="HV107" s="392"/>
      <c r="HW107" s="392"/>
      <c r="HX107" s="392"/>
      <c r="HY107" s="392"/>
      <c r="HZ107" s="392"/>
      <c r="IA107" s="392"/>
      <c r="IB107" s="392"/>
      <c r="IC107" s="392"/>
      <c r="ID107" s="392"/>
      <c r="IE107" s="392"/>
      <c r="IF107" s="392"/>
      <c r="IG107" s="392"/>
      <c r="IH107" s="392"/>
      <c r="II107" s="392"/>
      <c r="IJ107" s="392"/>
      <c r="IK107" s="392"/>
      <c r="IL107" s="392"/>
      <c r="IM107" s="392"/>
      <c r="IN107" s="392"/>
      <c r="IO107" s="392"/>
      <c r="IP107" s="392"/>
      <c r="IQ107" s="392"/>
      <c r="IR107" s="392"/>
      <c r="IS107" s="392"/>
      <c r="IT107" s="392"/>
      <c r="IU107" s="392"/>
      <c r="IV107" s="392"/>
      <c r="IW107" s="392"/>
      <c r="IX107" s="392"/>
      <c r="IY107" s="392"/>
      <c r="IZ107" s="392"/>
      <c r="JA107" s="392"/>
      <c r="JB107" s="392"/>
      <c r="JC107" s="392"/>
      <c r="JD107" s="392"/>
      <c r="JE107" s="392"/>
      <c r="JF107" s="392"/>
      <c r="JG107" s="392"/>
      <c r="JH107" s="392"/>
      <c r="JI107" s="393">
        <f t="shared" si="3"/>
        <v>0</v>
      </c>
      <c r="JJ107" s="2">
        <v>6193</v>
      </c>
      <c r="JK107" s="392">
        <f t="shared" si="2"/>
        <v>0</v>
      </c>
      <c r="JL107" s="284"/>
      <c r="JM107" s="284"/>
      <c r="JN107" s="284"/>
      <c r="JO107" s="284"/>
      <c r="JP107" s="284"/>
    </row>
    <row r="108" spans="1:276" x14ac:dyDescent="0.3">
      <c r="EA108" s="396"/>
      <c r="FT108" s="170"/>
      <c r="JI108" s="393">
        <f t="shared" si="3"/>
        <v>0</v>
      </c>
      <c r="JJ108" s="2">
        <v>6197</v>
      </c>
      <c r="JK108" s="392">
        <f>+JI108-JL108</f>
        <v>0</v>
      </c>
      <c r="JL108" s="284"/>
      <c r="JM108" s="284"/>
      <c r="JN108" s="284"/>
      <c r="JO108" s="284"/>
      <c r="JP108" s="284"/>
    </row>
    <row r="109" spans="1:276" x14ac:dyDescent="0.3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2"/>
      <c r="L109" s="392"/>
      <c r="M109" s="392"/>
      <c r="N109" s="392"/>
      <c r="O109" s="392"/>
      <c r="P109" s="392"/>
      <c r="Q109" s="392"/>
      <c r="R109" s="392"/>
      <c r="S109" s="392"/>
      <c r="T109" s="392"/>
      <c r="U109" s="392"/>
      <c r="V109" s="392"/>
      <c r="W109" s="392"/>
      <c r="X109" s="392"/>
      <c r="Y109" s="392"/>
      <c r="Z109" s="392"/>
      <c r="AA109" s="392"/>
      <c r="AB109" s="392"/>
      <c r="AC109" s="392"/>
      <c r="AD109" s="392"/>
      <c r="AE109" s="392"/>
      <c r="AF109" s="392"/>
      <c r="AG109" s="392"/>
      <c r="AH109" s="392"/>
      <c r="AI109" s="392"/>
      <c r="AJ109" s="392"/>
      <c r="AK109" s="392"/>
      <c r="AL109" s="392"/>
      <c r="AM109" s="392"/>
      <c r="AN109" s="392"/>
      <c r="AO109" s="392"/>
      <c r="AP109" s="392"/>
      <c r="AQ109" s="392"/>
      <c r="AR109" s="392"/>
      <c r="AS109" s="392"/>
      <c r="AT109" s="392"/>
      <c r="AU109" s="392"/>
      <c r="AV109" s="392"/>
      <c r="AW109" s="392"/>
      <c r="AX109" s="392"/>
      <c r="AY109" s="392"/>
      <c r="AZ109" s="392"/>
      <c r="BA109" s="392"/>
      <c r="BB109" s="392"/>
      <c r="BC109" s="392"/>
      <c r="BD109" s="392"/>
      <c r="BE109" s="392"/>
      <c r="BF109" s="392"/>
      <c r="BG109" s="392"/>
      <c r="BH109" s="392"/>
      <c r="BI109" s="392"/>
      <c r="BJ109" s="392"/>
      <c r="BK109" s="392"/>
      <c r="BL109" s="392"/>
      <c r="BM109" s="392"/>
      <c r="BN109" s="392"/>
      <c r="BO109" s="392"/>
      <c r="BP109" s="392"/>
      <c r="BQ109" s="392"/>
      <c r="BR109" s="392"/>
      <c r="BS109" s="392"/>
      <c r="BT109" s="392"/>
      <c r="BU109" s="392"/>
      <c r="BV109" s="392"/>
      <c r="BW109" s="392"/>
      <c r="BX109" s="392"/>
      <c r="BY109" s="392"/>
      <c r="BZ109" s="392"/>
      <c r="CA109" s="392"/>
      <c r="CB109" s="392"/>
      <c r="CC109" s="392"/>
      <c r="CD109" s="392"/>
      <c r="CE109" s="392"/>
      <c r="CF109" s="392"/>
      <c r="CG109" s="392"/>
      <c r="CH109" s="392"/>
      <c r="CI109" s="392"/>
      <c r="CJ109" s="392"/>
      <c r="CK109" s="392"/>
      <c r="CL109" s="392"/>
      <c r="CM109" s="392"/>
      <c r="CN109" s="392"/>
      <c r="CO109" s="392"/>
      <c r="CP109" s="392"/>
      <c r="CQ109" s="392"/>
      <c r="CR109" s="392"/>
      <c r="CS109" s="392"/>
      <c r="CT109" s="392"/>
      <c r="CU109" s="392"/>
      <c r="CV109" s="392"/>
      <c r="CW109" s="392"/>
      <c r="CX109" s="392"/>
      <c r="CY109" s="392"/>
      <c r="CZ109" s="392"/>
      <c r="DA109" s="392"/>
      <c r="DB109" s="392"/>
      <c r="DC109" s="392"/>
      <c r="DD109" s="392"/>
      <c r="DE109" s="392"/>
      <c r="DF109" s="392"/>
      <c r="DG109" s="392"/>
      <c r="DH109" s="392"/>
      <c r="DI109" s="392"/>
      <c r="DJ109" s="392"/>
      <c r="DK109" s="392"/>
      <c r="DL109" s="392"/>
      <c r="DM109" s="392"/>
      <c r="DN109" s="392"/>
      <c r="DO109" s="392"/>
      <c r="DP109" s="392"/>
      <c r="DQ109" s="392"/>
      <c r="DR109" s="392"/>
      <c r="DS109" s="392"/>
      <c r="DT109" s="392"/>
      <c r="DU109" s="392"/>
      <c r="DV109" s="392"/>
      <c r="DW109" s="392"/>
      <c r="DX109" s="392"/>
      <c r="DY109" s="392"/>
      <c r="DZ109" s="392"/>
      <c r="EA109" s="392"/>
      <c r="EB109" s="392"/>
      <c r="EC109" s="392"/>
      <c r="ED109" s="392"/>
      <c r="EE109" s="392"/>
      <c r="EF109" s="392"/>
      <c r="EG109" s="392"/>
      <c r="EH109" s="392"/>
      <c r="EI109" s="392"/>
      <c r="EJ109" s="392"/>
      <c r="EK109" s="392"/>
      <c r="EL109" s="392"/>
      <c r="EM109" s="392"/>
      <c r="EN109" s="392"/>
      <c r="EO109" s="392"/>
      <c r="EP109" s="392"/>
      <c r="EQ109" s="392"/>
      <c r="ER109" s="392"/>
      <c r="ES109" s="392"/>
      <c r="ET109" s="392"/>
      <c r="EU109" s="392"/>
      <c r="EV109" s="392"/>
      <c r="EW109" s="392"/>
      <c r="EX109" s="392"/>
      <c r="EY109" s="392"/>
      <c r="EZ109" s="392"/>
      <c r="FA109" s="392"/>
      <c r="FB109" s="392"/>
      <c r="FC109" s="392"/>
      <c r="FD109" s="392"/>
      <c r="FE109" s="392"/>
      <c r="FF109" s="392"/>
      <c r="FG109" s="392"/>
      <c r="FH109" s="392"/>
      <c r="FI109" s="392"/>
      <c r="FJ109" s="392"/>
      <c r="FK109" s="392"/>
      <c r="FL109" s="392"/>
      <c r="FM109" s="392"/>
      <c r="FN109" s="392"/>
      <c r="FO109" s="392"/>
      <c r="FP109" s="392"/>
      <c r="FQ109" s="392"/>
      <c r="FR109" s="392"/>
      <c r="FS109" s="392"/>
      <c r="FT109" s="392"/>
      <c r="FU109" s="392"/>
      <c r="FV109" s="392"/>
      <c r="FW109" s="392"/>
      <c r="FX109" s="392"/>
      <c r="FY109" s="392"/>
      <c r="FZ109" s="392"/>
      <c r="GA109" s="392"/>
      <c r="GB109" s="392"/>
      <c r="GC109" s="392"/>
      <c r="GD109" s="392"/>
      <c r="GE109" s="392"/>
      <c r="GF109" s="392"/>
      <c r="GG109" s="392"/>
      <c r="GH109" s="392"/>
      <c r="GI109" s="392"/>
      <c r="GJ109" s="392"/>
      <c r="GK109" s="392"/>
      <c r="GL109" s="392"/>
      <c r="GM109" s="392"/>
      <c r="GN109" s="392"/>
      <c r="GO109" s="392"/>
      <c r="GP109" s="392"/>
      <c r="GQ109" s="392"/>
      <c r="GR109" s="392"/>
      <c r="GS109" s="392"/>
      <c r="GT109" s="392"/>
      <c r="GU109" s="392"/>
      <c r="GV109" s="392"/>
      <c r="GW109" s="392"/>
      <c r="GX109" s="392"/>
      <c r="GY109" s="392"/>
      <c r="GZ109" s="392"/>
      <c r="HA109" s="392"/>
      <c r="HB109" s="392"/>
      <c r="HC109" s="392"/>
      <c r="HD109" s="392"/>
      <c r="HE109" s="392"/>
      <c r="HF109" s="392"/>
      <c r="HG109" s="392"/>
      <c r="HH109" s="392"/>
      <c r="HI109" s="392"/>
      <c r="HJ109" s="392"/>
      <c r="HK109" s="392"/>
      <c r="HL109" s="392"/>
      <c r="HM109" s="392"/>
      <c r="HN109" s="392"/>
      <c r="HO109" s="392"/>
      <c r="HP109" s="392"/>
      <c r="HQ109" s="392"/>
      <c r="HR109" s="392"/>
      <c r="HS109" s="392"/>
      <c r="HT109" s="392"/>
      <c r="HU109" s="392"/>
      <c r="HV109" s="392"/>
      <c r="HW109" s="392"/>
      <c r="HX109" s="392"/>
      <c r="HY109" s="392"/>
      <c r="HZ109" s="392"/>
      <c r="IA109" s="392"/>
      <c r="IB109" s="392"/>
      <c r="IC109" s="392"/>
      <c r="ID109" s="392"/>
      <c r="IE109" s="392"/>
      <c r="IF109" s="392"/>
      <c r="IG109" s="392"/>
      <c r="IH109" s="392"/>
      <c r="II109" s="392"/>
      <c r="IJ109" s="392"/>
      <c r="IK109" s="392"/>
      <c r="IL109" s="392"/>
      <c r="IM109" s="392"/>
      <c r="IN109" s="392"/>
      <c r="IO109" s="392"/>
      <c r="IP109" s="392"/>
      <c r="IQ109" s="392"/>
      <c r="IR109" s="392"/>
      <c r="IS109" s="392"/>
      <c r="IT109" s="392"/>
      <c r="IU109" s="392"/>
      <c r="IV109" s="392"/>
      <c r="IW109" s="392"/>
      <c r="IX109" s="392"/>
      <c r="IY109" s="392"/>
      <c r="IZ109" s="392"/>
      <c r="JA109" s="392"/>
      <c r="JB109" s="392"/>
      <c r="JC109" s="392"/>
      <c r="JD109" s="392"/>
      <c r="JE109" s="392"/>
      <c r="JF109" s="392"/>
      <c r="JG109" s="392"/>
      <c r="JH109" s="392"/>
      <c r="JI109" s="393">
        <f t="shared" si="3"/>
        <v>0</v>
      </c>
      <c r="JJ109" s="2">
        <v>6201</v>
      </c>
      <c r="JK109" s="392">
        <f t="shared" ref="JK109:JK127" si="4">+JI109-JL109</f>
        <v>0</v>
      </c>
      <c r="JL109" s="284"/>
      <c r="JM109" s="284"/>
      <c r="JN109" s="284"/>
      <c r="JO109" s="284"/>
      <c r="JP109" s="284"/>
    </row>
    <row r="110" spans="1:276" x14ac:dyDescent="0.3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  <c r="Q110" s="392"/>
      <c r="R110" s="392"/>
      <c r="S110" s="392"/>
      <c r="T110" s="392"/>
      <c r="U110" s="392"/>
      <c r="V110" s="392"/>
      <c r="W110" s="392"/>
      <c r="X110" s="392"/>
      <c r="Y110" s="392"/>
      <c r="Z110" s="392"/>
      <c r="AA110" s="392"/>
      <c r="AB110" s="392"/>
      <c r="AC110" s="392"/>
      <c r="AD110" s="392"/>
      <c r="AE110" s="392"/>
      <c r="AF110" s="392"/>
      <c r="AG110" s="392"/>
      <c r="AH110" s="392"/>
      <c r="AI110" s="392"/>
      <c r="AJ110" s="392"/>
      <c r="AK110" s="392"/>
      <c r="AL110" s="392"/>
      <c r="AM110" s="392"/>
      <c r="AN110" s="392"/>
      <c r="AO110" s="392"/>
      <c r="AP110" s="392"/>
      <c r="AQ110" s="392"/>
      <c r="AR110" s="392"/>
      <c r="AS110" s="392"/>
      <c r="AT110" s="392"/>
      <c r="AU110" s="392"/>
      <c r="AV110" s="392"/>
      <c r="AW110" s="392"/>
      <c r="AX110" s="392"/>
      <c r="AY110" s="392"/>
      <c r="AZ110" s="392"/>
      <c r="BA110" s="392"/>
      <c r="BB110" s="392"/>
      <c r="BC110" s="392"/>
      <c r="BD110" s="392"/>
      <c r="BE110" s="392"/>
      <c r="BF110" s="392"/>
      <c r="BG110" s="392"/>
      <c r="BH110" s="392"/>
      <c r="BI110" s="392"/>
      <c r="BJ110" s="392"/>
      <c r="BK110" s="392"/>
      <c r="BL110" s="392"/>
      <c r="BM110" s="392"/>
      <c r="BN110" s="392"/>
      <c r="BO110" s="392"/>
      <c r="BP110" s="392"/>
      <c r="BQ110" s="392"/>
      <c r="BR110" s="392"/>
      <c r="BS110" s="392"/>
      <c r="BT110" s="392"/>
      <c r="BU110" s="392"/>
      <c r="BV110" s="392"/>
      <c r="BW110" s="392"/>
      <c r="BX110" s="392"/>
      <c r="BY110" s="392"/>
      <c r="BZ110" s="392"/>
      <c r="CA110" s="392"/>
      <c r="CB110" s="392"/>
      <c r="CC110" s="392"/>
      <c r="CD110" s="392"/>
      <c r="CE110" s="392"/>
      <c r="CF110" s="392"/>
      <c r="CG110" s="392"/>
      <c r="CH110" s="392"/>
      <c r="CI110" s="392"/>
      <c r="CJ110" s="392"/>
      <c r="CK110" s="392"/>
      <c r="CL110" s="392"/>
      <c r="CM110" s="392"/>
      <c r="CN110" s="392"/>
      <c r="CO110" s="392"/>
      <c r="CP110" s="392"/>
      <c r="CQ110" s="392"/>
      <c r="CR110" s="392"/>
      <c r="CS110" s="392"/>
      <c r="CT110" s="392"/>
      <c r="CU110" s="392"/>
      <c r="CV110" s="392"/>
      <c r="CW110" s="392"/>
      <c r="CX110" s="392"/>
      <c r="CY110" s="392"/>
      <c r="CZ110" s="392"/>
      <c r="DA110" s="392"/>
      <c r="DB110" s="392"/>
      <c r="DC110" s="392"/>
      <c r="DD110" s="392"/>
      <c r="DE110" s="392"/>
      <c r="DF110" s="392"/>
      <c r="DG110" s="392"/>
      <c r="DH110" s="392"/>
      <c r="DI110" s="392"/>
      <c r="DJ110" s="392"/>
      <c r="DK110" s="392"/>
      <c r="DL110" s="392"/>
      <c r="DM110" s="392"/>
      <c r="DN110" s="392"/>
      <c r="DO110" s="392"/>
      <c r="DP110" s="392"/>
      <c r="DQ110" s="392"/>
      <c r="DR110" s="392"/>
      <c r="DS110" s="392"/>
      <c r="DT110" s="392"/>
      <c r="DU110" s="392"/>
      <c r="DV110" s="392"/>
      <c r="DW110" s="392"/>
      <c r="DX110" s="392"/>
      <c r="DY110" s="392"/>
      <c r="DZ110" s="392"/>
      <c r="EA110" s="392"/>
      <c r="EB110" s="392"/>
      <c r="EC110" s="392"/>
      <c r="ED110" s="392"/>
      <c r="EE110" s="392"/>
      <c r="EF110" s="392"/>
      <c r="EG110" s="392"/>
      <c r="EH110" s="392"/>
      <c r="EI110" s="392"/>
      <c r="EJ110" s="392"/>
      <c r="EK110" s="392"/>
      <c r="EL110" s="392"/>
      <c r="EM110" s="392"/>
      <c r="EN110" s="392"/>
      <c r="EO110" s="392"/>
      <c r="EP110" s="392"/>
      <c r="EQ110" s="392"/>
      <c r="ER110" s="392"/>
      <c r="ES110" s="392"/>
      <c r="ET110" s="392"/>
      <c r="EU110" s="392"/>
      <c r="EV110" s="392"/>
      <c r="EW110" s="392"/>
      <c r="EX110" s="392"/>
      <c r="EY110" s="392"/>
      <c r="EZ110" s="392"/>
      <c r="FA110" s="392"/>
      <c r="FB110" s="392"/>
      <c r="FC110" s="392"/>
      <c r="FD110" s="392"/>
      <c r="FE110" s="392"/>
      <c r="FF110" s="392"/>
      <c r="FG110" s="392"/>
      <c r="FH110" s="392"/>
      <c r="FI110" s="392"/>
      <c r="FJ110" s="392"/>
      <c r="FK110" s="392"/>
      <c r="FL110" s="392"/>
      <c r="FM110" s="392"/>
      <c r="FN110" s="392"/>
      <c r="FO110" s="392"/>
      <c r="FP110" s="392"/>
      <c r="FQ110" s="392"/>
      <c r="FR110" s="392"/>
      <c r="FS110" s="392"/>
      <c r="FT110" s="392"/>
      <c r="FU110" s="392"/>
      <c r="FV110" s="392"/>
      <c r="FW110" s="392"/>
      <c r="FX110" s="392"/>
      <c r="FY110" s="392"/>
      <c r="FZ110" s="392"/>
      <c r="GA110" s="392"/>
      <c r="GB110" s="392"/>
      <c r="GC110" s="392"/>
      <c r="GD110" s="392"/>
      <c r="GE110" s="392"/>
      <c r="GF110" s="392"/>
      <c r="GG110" s="392"/>
      <c r="GH110" s="392"/>
      <c r="GI110" s="392"/>
      <c r="GJ110" s="392"/>
      <c r="GK110" s="392"/>
      <c r="GL110" s="392"/>
      <c r="GM110" s="392"/>
      <c r="GN110" s="392"/>
      <c r="GO110" s="392"/>
      <c r="GP110" s="392"/>
      <c r="GQ110" s="392"/>
      <c r="GR110" s="392"/>
      <c r="GS110" s="392"/>
      <c r="GT110" s="392"/>
      <c r="GU110" s="392"/>
      <c r="GV110" s="392"/>
      <c r="GW110" s="392"/>
      <c r="GX110" s="392"/>
      <c r="GY110" s="392"/>
      <c r="GZ110" s="392"/>
      <c r="HA110" s="392"/>
      <c r="HB110" s="392"/>
      <c r="HC110" s="392"/>
      <c r="HD110" s="392"/>
      <c r="HE110" s="392"/>
      <c r="HF110" s="392"/>
      <c r="HG110" s="392"/>
      <c r="HH110" s="392"/>
      <c r="HI110" s="392"/>
      <c r="HJ110" s="392"/>
      <c r="HK110" s="392"/>
      <c r="HL110" s="392"/>
      <c r="HM110" s="392"/>
      <c r="HN110" s="392"/>
      <c r="HO110" s="392"/>
      <c r="HP110" s="392"/>
      <c r="HQ110" s="392"/>
      <c r="HR110" s="392"/>
      <c r="HS110" s="392"/>
      <c r="HT110" s="392"/>
      <c r="HU110" s="392"/>
      <c r="HV110" s="392"/>
      <c r="HW110" s="392"/>
      <c r="HX110" s="392"/>
      <c r="HY110" s="392"/>
      <c r="HZ110" s="392"/>
      <c r="IA110" s="392"/>
      <c r="IB110" s="392"/>
      <c r="IC110" s="392"/>
      <c r="ID110" s="392"/>
      <c r="IE110" s="392"/>
      <c r="IF110" s="392"/>
      <c r="IG110" s="392"/>
      <c r="IH110" s="392"/>
      <c r="II110" s="392"/>
      <c r="IJ110" s="392"/>
      <c r="IK110" s="392"/>
      <c r="IL110" s="392"/>
      <c r="IM110" s="392"/>
      <c r="IN110" s="392"/>
      <c r="IO110" s="392"/>
      <c r="IP110" s="392"/>
      <c r="IQ110" s="392"/>
      <c r="IR110" s="392"/>
      <c r="IS110" s="392"/>
      <c r="IT110" s="392"/>
      <c r="IU110" s="392"/>
      <c r="IV110" s="392"/>
      <c r="IW110" s="392"/>
      <c r="IX110" s="392"/>
      <c r="IY110" s="392"/>
      <c r="IZ110" s="392"/>
      <c r="JA110" s="392"/>
      <c r="JB110" s="392"/>
      <c r="JC110" s="392"/>
      <c r="JD110" s="392"/>
      <c r="JE110" s="392"/>
      <c r="JF110" s="392"/>
      <c r="JG110" s="392"/>
      <c r="JH110" s="392"/>
      <c r="JI110" s="393">
        <f t="shared" si="3"/>
        <v>0</v>
      </c>
      <c r="JJ110" s="2">
        <v>6205</v>
      </c>
      <c r="JK110" s="392">
        <f t="shared" si="4"/>
        <v>0</v>
      </c>
      <c r="JL110" s="284"/>
      <c r="JM110" s="284"/>
      <c r="JN110" s="284"/>
      <c r="JO110" s="284"/>
      <c r="JP110" s="284"/>
    </row>
    <row r="111" spans="1:276" x14ac:dyDescent="0.3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2"/>
      <c r="L111" s="392"/>
      <c r="M111" s="392"/>
      <c r="N111" s="392"/>
      <c r="O111" s="392"/>
      <c r="P111" s="392"/>
      <c r="Q111" s="392"/>
      <c r="R111" s="392"/>
      <c r="S111" s="392"/>
      <c r="T111" s="392"/>
      <c r="U111" s="392"/>
      <c r="V111" s="392"/>
      <c r="W111" s="392"/>
      <c r="X111" s="392"/>
      <c r="Y111" s="392"/>
      <c r="Z111" s="392"/>
      <c r="AA111" s="392"/>
      <c r="AB111" s="392"/>
      <c r="AC111" s="392"/>
      <c r="AD111" s="392"/>
      <c r="AE111" s="392"/>
      <c r="AF111" s="392"/>
      <c r="AG111" s="392"/>
      <c r="AH111" s="392"/>
      <c r="AI111" s="392"/>
      <c r="AJ111" s="392"/>
      <c r="AK111" s="392"/>
      <c r="AL111" s="392"/>
      <c r="AM111" s="392"/>
      <c r="AN111" s="392"/>
      <c r="AO111" s="392"/>
      <c r="AP111" s="392"/>
      <c r="AQ111" s="392"/>
      <c r="AR111" s="392"/>
      <c r="AS111" s="392"/>
      <c r="AT111" s="392"/>
      <c r="AU111" s="392"/>
      <c r="AV111" s="392"/>
      <c r="AW111" s="392"/>
      <c r="AX111" s="392"/>
      <c r="AY111" s="392"/>
      <c r="AZ111" s="392"/>
      <c r="BA111" s="392"/>
      <c r="BB111" s="392"/>
      <c r="BC111" s="392"/>
      <c r="BD111" s="392"/>
      <c r="BE111" s="392"/>
      <c r="BF111" s="392"/>
      <c r="BG111" s="392"/>
      <c r="BH111" s="392"/>
      <c r="BI111" s="392"/>
      <c r="BJ111" s="392"/>
      <c r="BK111" s="392"/>
      <c r="BL111" s="392"/>
      <c r="BM111" s="392"/>
      <c r="BN111" s="392"/>
      <c r="BO111" s="392"/>
      <c r="BP111" s="392"/>
      <c r="BQ111" s="392"/>
      <c r="BR111" s="392"/>
      <c r="BS111" s="392"/>
      <c r="BT111" s="392"/>
      <c r="BU111" s="392"/>
      <c r="BV111" s="392"/>
      <c r="BW111" s="392"/>
      <c r="BX111" s="392"/>
      <c r="BY111" s="392"/>
      <c r="BZ111" s="392"/>
      <c r="CA111" s="392"/>
      <c r="CB111" s="392"/>
      <c r="CC111" s="392"/>
      <c r="CD111" s="392"/>
      <c r="CE111" s="392"/>
      <c r="CF111" s="392"/>
      <c r="CG111" s="392"/>
      <c r="CH111" s="392"/>
      <c r="CI111" s="392"/>
      <c r="CJ111" s="392"/>
      <c r="CK111" s="392"/>
      <c r="CL111" s="392"/>
      <c r="CM111" s="392"/>
      <c r="CN111" s="392"/>
      <c r="CO111" s="392"/>
      <c r="CP111" s="392"/>
      <c r="CQ111" s="392"/>
      <c r="CR111" s="392"/>
      <c r="CS111" s="392"/>
      <c r="CT111" s="392"/>
      <c r="CU111" s="392"/>
      <c r="CV111" s="392"/>
      <c r="CW111" s="392"/>
      <c r="CX111" s="392"/>
      <c r="CY111" s="392"/>
      <c r="CZ111" s="392"/>
      <c r="DA111" s="392"/>
      <c r="DB111" s="392"/>
      <c r="DC111" s="392"/>
      <c r="DD111" s="392"/>
      <c r="DE111" s="392"/>
      <c r="DF111" s="392"/>
      <c r="DG111" s="392"/>
      <c r="DH111" s="392"/>
      <c r="DI111" s="392"/>
      <c r="DJ111" s="392"/>
      <c r="DK111" s="392"/>
      <c r="DL111" s="392"/>
      <c r="DM111" s="392"/>
      <c r="DN111" s="392"/>
      <c r="DO111" s="392"/>
      <c r="DP111" s="392"/>
      <c r="DQ111" s="392"/>
      <c r="DR111" s="392"/>
      <c r="DS111" s="392"/>
      <c r="DT111" s="392"/>
      <c r="DU111" s="392"/>
      <c r="DV111" s="392"/>
      <c r="DW111" s="392"/>
      <c r="DX111" s="392"/>
      <c r="DY111" s="392"/>
      <c r="DZ111" s="392"/>
      <c r="EA111" s="392"/>
      <c r="EB111" s="392"/>
      <c r="EC111" s="392"/>
      <c r="ED111" s="392"/>
      <c r="EE111" s="392"/>
      <c r="EF111" s="392"/>
      <c r="EG111" s="392"/>
      <c r="EH111" s="392"/>
      <c r="EI111" s="392"/>
      <c r="EJ111" s="392"/>
      <c r="EK111" s="392"/>
      <c r="EL111" s="392"/>
      <c r="EM111" s="392"/>
      <c r="EN111" s="392"/>
      <c r="EO111" s="392"/>
      <c r="EP111" s="392"/>
      <c r="EQ111" s="392"/>
      <c r="ER111" s="392"/>
      <c r="ES111" s="392"/>
      <c r="ET111" s="392"/>
      <c r="EU111" s="392"/>
      <c r="EV111" s="392"/>
      <c r="EW111" s="392"/>
      <c r="EX111" s="392"/>
      <c r="EY111" s="392"/>
      <c r="EZ111" s="392"/>
      <c r="FA111" s="392"/>
      <c r="FB111" s="392"/>
      <c r="FC111" s="392"/>
      <c r="FD111" s="392"/>
      <c r="FE111" s="392"/>
      <c r="FF111" s="392"/>
      <c r="FG111" s="392"/>
      <c r="FH111" s="392"/>
      <c r="FI111" s="392"/>
      <c r="FJ111" s="392"/>
      <c r="FK111" s="392"/>
      <c r="FL111" s="392"/>
      <c r="FM111" s="392"/>
      <c r="FN111" s="392"/>
      <c r="FO111" s="392"/>
      <c r="FP111" s="392"/>
      <c r="FQ111" s="392"/>
      <c r="FR111" s="392"/>
      <c r="FS111" s="392"/>
      <c r="FT111" s="392"/>
      <c r="FU111" s="392"/>
      <c r="FV111" s="392"/>
      <c r="FW111" s="392"/>
      <c r="FX111" s="392"/>
      <c r="FY111" s="392"/>
      <c r="FZ111" s="392"/>
      <c r="GA111" s="392"/>
      <c r="GB111" s="392"/>
      <c r="GC111" s="392"/>
      <c r="GD111" s="392"/>
      <c r="GE111" s="392"/>
      <c r="GF111" s="392"/>
      <c r="GG111" s="392"/>
      <c r="GH111" s="392"/>
      <c r="GI111" s="392"/>
      <c r="GJ111" s="392"/>
      <c r="GK111" s="392"/>
      <c r="GL111" s="392"/>
      <c r="GM111" s="392"/>
      <c r="GN111" s="392"/>
      <c r="GO111" s="392"/>
      <c r="GP111" s="392"/>
      <c r="GQ111" s="392"/>
      <c r="GR111" s="392"/>
      <c r="GS111" s="392"/>
      <c r="GT111" s="392"/>
      <c r="GU111" s="392"/>
      <c r="GV111" s="392"/>
      <c r="GW111" s="392"/>
      <c r="GX111" s="392"/>
      <c r="GY111" s="392"/>
      <c r="GZ111" s="392"/>
      <c r="HA111" s="392"/>
      <c r="HB111" s="392"/>
      <c r="HC111" s="392"/>
      <c r="HD111" s="392"/>
      <c r="HE111" s="392"/>
      <c r="HF111" s="392"/>
      <c r="HG111" s="392"/>
      <c r="HH111" s="392"/>
      <c r="HI111" s="392"/>
      <c r="HJ111" s="392"/>
      <c r="HK111" s="392"/>
      <c r="HL111" s="392"/>
      <c r="HM111" s="392"/>
      <c r="HN111" s="392"/>
      <c r="HO111" s="392"/>
      <c r="HP111" s="392"/>
      <c r="HQ111" s="392"/>
      <c r="HR111" s="392"/>
      <c r="HS111" s="392"/>
      <c r="HT111" s="392"/>
      <c r="HU111" s="392"/>
      <c r="HV111" s="392"/>
      <c r="HW111" s="392"/>
      <c r="HX111" s="392"/>
      <c r="HY111" s="392"/>
      <c r="HZ111" s="392"/>
      <c r="IA111" s="392"/>
      <c r="IB111" s="392"/>
      <c r="IC111" s="392"/>
      <c r="ID111" s="392"/>
      <c r="IE111" s="392"/>
      <c r="IF111" s="392"/>
      <c r="IG111" s="392"/>
      <c r="IH111" s="392"/>
      <c r="II111" s="392"/>
      <c r="IJ111" s="392"/>
      <c r="IK111" s="392"/>
      <c r="IL111" s="392"/>
      <c r="IM111" s="392"/>
      <c r="IN111" s="392"/>
      <c r="IO111" s="392"/>
      <c r="IP111" s="392"/>
      <c r="IQ111" s="392"/>
      <c r="IR111" s="392"/>
      <c r="IS111" s="392"/>
      <c r="IT111" s="392"/>
      <c r="IU111" s="392"/>
      <c r="IV111" s="392"/>
      <c r="IW111" s="392"/>
      <c r="IX111" s="392"/>
      <c r="IY111" s="392"/>
      <c r="IZ111" s="392"/>
      <c r="JA111" s="392"/>
      <c r="JB111" s="392"/>
      <c r="JC111" s="392"/>
      <c r="JD111" s="392"/>
      <c r="JE111" s="392"/>
      <c r="JF111" s="392"/>
      <c r="JG111" s="392"/>
      <c r="JH111" s="392"/>
      <c r="JI111" s="393">
        <f t="shared" si="3"/>
        <v>0</v>
      </c>
      <c r="JJ111" s="2">
        <v>6209</v>
      </c>
      <c r="JK111" s="392">
        <f t="shared" si="4"/>
        <v>0</v>
      </c>
      <c r="JL111" s="284"/>
      <c r="JM111" s="284"/>
      <c r="JN111" s="284"/>
      <c r="JO111" s="284"/>
      <c r="JP111" s="284"/>
    </row>
    <row r="112" spans="1:276" x14ac:dyDescent="0.3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2"/>
      <c r="M112" s="392"/>
      <c r="N112" s="392"/>
      <c r="O112" s="392"/>
      <c r="P112" s="392"/>
      <c r="Q112" s="392"/>
      <c r="R112" s="392"/>
      <c r="S112" s="392"/>
      <c r="T112" s="392"/>
      <c r="U112" s="392"/>
      <c r="V112" s="392"/>
      <c r="W112" s="392"/>
      <c r="X112" s="392"/>
      <c r="Y112" s="392"/>
      <c r="Z112" s="392"/>
      <c r="AA112" s="392"/>
      <c r="AB112" s="392"/>
      <c r="AC112" s="392"/>
      <c r="AD112" s="392"/>
      <c r="AE112" s="392"/>
      <c r="AF112" s="392"/>
      <c r="AG112" s="392"/>
      <c r="AH112" s="392"/>
      <c r="AI112" s="392"/>
      <c r="AJ112" s="392"/>
      <c r="AK112" s="392"/>
      <c r="AL112" s="392"/>
      <c r="AM112" s="392"/>
      <c r="AN112" s="392"/>
      <c r="AO112" s="392"/>
      <c r="AP112" s="392"/>
      <c r="AQ112" s="392"/>
      <c r="AR112" s="392"/>
      <c r="AS112" s="392"/>
      <c r="AT112" s="392"/>
      <c r="AU112" s="392"/>
      <c r="AV112" s="392"/>
      <c r="AW112" s="392"/>
      <c r="AX112" s="392"/>
      <c r="AY112" s="392"/>
      <c r="AZ112" s="392"/>
      <c r="BA112" s="392"/>
      <c r="BB112" s="392"/>
      <c r="BC112" s="392"/>
      <c r="BD112" s="392"/>
      <c r="BE112" s="392"/>
      <c r="BF112" s="392"/>
      <c r="BG112" s="392"/>
      <c r="BH112" s="392"/>
      <c r="BI112" s="392"/>
      <c r="BJ112" s="392"/>
      <c r="BK112" s="392"/>
      <c r="BL112" s="392"/>
      <c r="BM112" s="392"/>
      <c r="BN112" s="392"/>
      <c r="BO112" s="392"/>
      <c r="BP112" s="392"/>
      <c r="BQ112" s="392"/>
      <c r="BR112" s="392"/>
      <c r="BS112" s="392"/>
      <c r="BT112" s="392"/>
      <c r="BU112" s="392"/>
      <c r="BV112" s="392"/>
      <c r="BW112" s="392"/>
      <c r="BX112" s="392"/>
      <c r="BY112" s="392"/>
      <c r="BZ112" s="392"/>
      <c r="CA112" s="392"/>
      <c r="CB112" s="392"/>
      <c r="CC112" s="392"/>
      <c r="CD112" s="392"/>
      <c r="CE112" s="392"/>
      <c r="CF112" s="392"/>
      <c r="CG112" s="392"/>
      <c r="CH112" s="392"/>
      <c r="CI112" s="392"/>
      <c r="CJ112" s="392"/>
      <c r="CK112" s="392"/>
      <c r="CL112" s="392"/>
      <c r="CM112" s="392"/>
      <c r="CN112" s="392"/>
      <c r="CO112" s="392"/>
      <c r="CP112" s="392"/>
      <c r="CQ112" s="392"/>
      <c r="CR112" s="392"/>
      <c r="CS112" s="392"/>
      <c r="CT112" s="392"/>
      <c r="CU112" s="392"/>
      <c r="CV112" s="392"/>
      <c r="CW112" s="392"/>
      <c r="CX112" s="392"/>
      <c r="CY112" s="392"/>
      <c r="CZ112" s="392"/>
      <c r="DA112" s="392"/>
      <c r="DB112" s="392"/>
      <c r="DC112" s="392"/>
      <c r="DD112" s="392"/>
      <c r="DE112" s="392"/>
      <c r="DF112" s="392"/>
      <c r="DG112" s="392"/>
      <c r="DH112" s="392"/>
      <c r="DI112" s="392"/>
      <c r="DJ112" s="392"/>
      <c r="DK112" s="392"/>
      <c r="DL112" s="392"/>
      <c r="DM112" s="392"/>
      <c r="DN112" s="392"/>
      <c r="DO112" s="392"/>
      <c r="DP112" s="392"/>
      <c r="DQ112" s="392"/>
      <c r="DR112" s="392"/>
      <c r="DS112" s="392"/>
      <c r="DT112" s="392"/>
      <c r="DU112" s="392"/>
      <c r="DV112" s="392"/>
      <c r="DW112" s="392"/>
      <c r="DX112" s="392"/>
      <c r="DY112" s="392"/>
      <c r="DZ112" s="392"/>
      <c r="EA112" s="392"/>
      <c r="EB112" s="392"/>
      <c r="EC112" s="392"/>
      <c r="ED112" s="392"/>
      <c r="EE112" s="392"/>
      <c r="EF112" s="392"/>
      <c r="EG112" s="392"/>
      <c r="EH112" s="392"/>
      <c r="EI112" s="392"/>
      <c r="EJ112" s="392"/>
      <c r="EK112" s="392"/>
      <c r="EL112" s="392"/>
      <c r="EM112" s="392"/>
      <c r="EN112" s="392"/>
      <c r="EO112" s="392"/>
      <c r="EP112" s="392"/>
      <c r="EQ112" s="392"/>
      <c r="ER112" s="392"/>
      <c r="ES112" s="392"/>
      <c r="ET112" s="392"/>
      <c r="EU112" s="392"/>
      <c r="EV112" s="392"/>
      <c r="EW112" s="392"/>
      <c r="EX112" s="392"/>
      <c r="EY112" s="392"/>
      <c r="EZ112" s="392"/>
      <c r="FA112" s="392"/>
      <c r="FB112" s="392"/>
      <c r="FC112" s="392"/>
      <c r="FD112" s="392"/>
      <c r="FE112" s="392"/>
      <c r="FF112" s="392"/>
      <c r="FG112" s="392"/>
      <c r="FH112" s="392"/>
      <c r="FI112" s="392"/>
      <c r="FJ112" s="392"/>
      <c r="FK112" s="392"/>
      <c r="FL112" s="392"/>
      <c r="FM112" s="392"/>
      <c r="FN112" s="392"/>
      <c r="FO112" s="392"/>
      <c r="FP112" s="392"/>
      <c r="FQ112" s="392"/>
      <c r="FR112" s="392"/>
      <c r="FS112" s="392"/>
      <c r="FT112" s="392"/>
      <c r="FU112" s="392"/>
      <c r="FV112" s="392"/>
      <c r="FW112" s="392"/>
      <c r="FX112" s="392"/>
      <c r="FY112" s="392"/>
      <c r="FZ112" s="392"/>
      <c r="GA112" s="392"/>
      <c r="GB112" s="392"/>
      <c r="GC112" s="392"/>
      <c r="GD112" s="392"/>
      <c r="GE112" s="392"/>
      <c r="GF112" s="392"/>
      <c r="GG112" s="392"/>
      <c r="GH112" s="392"/>
      <c r="GI112" s="392"/>
      <c r="GJ112" s="392"/>
      <c r="GK112" s="392"/>
      <c r="GL112" s="392"/>
      <c r="GM112" s="392"/>
      <c r="GN112" s="392"/>
      <c r="GO112" s="392"/>
      <c r="GP112" s="392"/>
      <c r="GQ112" s="392"/>
      <c r="GR112" s="392"/>
      <c r="GS112" s="392"/>
      <c r="GT112" s="392"/>
      <c r="GU112" s="392"/>
      <c r="GV112" s="392"/>
      <c r="GW112" s="392"/>
      <c r="GX112" s="392"/>
      <c r="GY112" s="392"/>
      <c r="GZ112" s="392"/>
      <c r="HA112" s="392"/>
      <c r="HB112" s="392"/>
      <c r="HC112" s="392"/>
      <c r="HD112" s="392"/>
      <c r="HE112" s="392"/>
      <c r="HF112" s="392"/>
      <c r="HG112" s="392"/>
      <c r="HH112" s="392"/>
      <c r="HI112" s="392"/>
      <c r="HJ112" s="392"/>
      <c r="HK112" s="392"/>
      <c r="HL112" s="392"/>
      <c r="HM112" s="392"/>
      <c r="HN112" s="392"/>
      <c r="HO112" s="392"/>
      <c r="HP112" s="392"/>
      <c r="HQ112" s="392"/>
      <c r="HR112" s="392"/>
      <c r="HS112" s="392"/>
      <c r="HT112" s="392"/>
      <c r="HU112" s="392"/>
      <c r="HV112" s="392"/>
      <c r="HW112" s="392"/>
      <c r="HX112" s="392"/>
      <c r="HY112" s="392"/>
      <c r="HZ112" s="392"/>
      <c r="IA112" s="392"/>
      <c r="IB112" s="392"/>
      <c r="IC112" s="392"/>
      <c r="ID112" s="392"/>
      <c r="IE112" s="392"/>
      <c r="IF112" s="392"/>
      <c r="IG112" s="392"/>
      <c r="IH112" s="392"/>
      <c r="II112" s="392"/>
      <c r="IJ112" s="392"/>
      <c r="IK112" s="392"/>
      <c r="IL112" s="392"/>
      <c r="IM112" s="392"/>
      <c r="IN112" s="392"/>
      <c r="IO112" s="392"/>
      <c r="IP112" s="392"/>
      <c r="IQ112" s="392"/>
      <c r="IR112" s="392"/>
      <c r="IS112" s="392"/>
      <c r="IT112" s="392"/>
      <c r="IU112" s="392"/>
      <c r="IV112" s="392"/>
      <c r="IW112" s="392"/>
      <c r="IX112" s="392"/>
      <c r="IY112" s="392"/>
      <c r="IZ112" s="392"/>
      <c r="JA112" s="392"/>
      <c r="JB112" s="392"/>
      <c r="JC112" s="392"/>
      <c r="JD112" s="392"/>
      <c r="JE112" s="392"/>
      <c r="JF112" s="392"/>
      <c r="JG112" s="392"/>
      <c r="JH112" s="392"/>
      <c r="JI112" s="393">
        <f t="shared" si="3"/>
        <v>0</v>
      </c>
      <c r="JJ112" s="2">
        <v>6213</v>
      </c>
      <c r="JK112" s="392">
        <f t="shared" si="4"/>
        <v>0</v>
      </c>
      <c r="JL112" s="284"/>
      <c r="JM112" s="284"/>
      <c r="JN112" s="284"/>
      <c r="JO112" s="284"/>
      <c r="JP112" s="284"/>
    </row>
    <row r="113" spans="1:276" x14ac:dyDescent="0.3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2"/>
      <c r="M113" s="392"/>
      <c r="N113" s="392"/>
      <c r="O113" s="392"/>
      <c r="P113" s="392"/>
      <c r="Q113" s="392"/>
      <c r="R113" s="392"/>
      <c r="S113" s="392"/>
      <c r="T113" s="392"/>
      <c r="U113" s="392"/>
      <c r="V113" s="392"/>
      <c r="W113" s="392"/>
      <c r="X113" s="392"/>
      <c r="Y113" s="392"/>
      <c r="Z113" s="392"/>
      <c r="AA113" s="392"/>
      <c r="AB113" s="392"/>
      <c r="AC113" s="392"/>
      <c r="AD113" s="392"/>
      <c r="AE113" s="392"/>
      <c r="AF113" s="392"/>
      <c r="AG113" s="392"/>
      <c r="AH113" s="392"/>
      <c r="AI113" s="392"/>
      <c r="AJ113" s="392"/>
      <c r="AK113" s="392"/>
      <c r="AL113" s="392"/>
      <c r="AM113" s="392"/>
      <c r="AN113" s="392"/>
      <c r="AO113" s="392"/>
      <c r="AP113" s="392"/>
      <c r="AQ113" s="392"/>
      <c r="AR113" s="392"/>
      <c r="AS113" s="392"/>
      <c r="AT113" s="392"/>
      <c r="AU113" s="392"/>
      <c r="AV113" s="392"/>
      <c r="AW113" s="392"/>
      <c r="AX113" s="392"/>
      <c r="AY113" s="392"/>
      <c r="AZ113" s="392"/>
      <c r="BA113" s="392"/>
      <c r="BB113" s="392"/>
      <c r="BC113" s="392"/>
      <c r="BD113" s="392"/>
      <c r="BE113" s="392"/>
      <c r="BF113" s="392"/>
      <c r="BG113" s="392"/>
      <c r="BH113" s="392"/>
      <c r="BI113" s="392"/>
      <c r="BJ113" s="392"/>
      <c r="BK113" s="392"/>
      <c r="BL113" s="392"/>
      <c r="BM113" s="392"/>
      <c r="BN113" s="392"/>
      <c r="BO113" s="392"/>
      <c r="BP113" s="392"/>
      <c r="BQ113" s="392"/>
      <c r="BR113" s="392"/>
      <c r="BS113" s="392"/>
      <c r="BT113" s="392"/>
      <c r="BU113" s="392"/>
      <c r="BV113" s="392"/>
      <c r="BW113" s="392"/>
      <c r="BX113" s="392"/>
      <c r="BY113" s="392"/>
      <c r="BZ113" s="392"/>
      <c r="CA113" s="392"/>
      <c r="CB113" s="392"/>
      <c r="CC113" s="392"/>
      <c r="CD113" s="392"/>
      <c r="CE113" s="392"/>
      <c r="CF113" s="392"/>
      <c r="CG113" s="392"/>
      <c r="CH113" s="392"/>
      <c r="CI113" s="392"/>
      <c r="CJ113" s="392"/>
      <c r="CK113" s="392"/>
      <c r="CL113" s="392"/>
      <c r="CM113" s="392"/>
      <c r="CN113" s="392"/>
      <c r="CO113" s="392"/>
      <c r="CP113" s="392"/>
      <c r="CQ113" s="392"/>
      <c r="CR113" s="392"/>
      <c r="CS113" s="392"/>
      <c r="CT113" s="392"/>
      <c r="CU113" s="392"/>
      <c r="CV113" s="392"/>
      <c r="CW113" s="392"/>
      <c r="CX113" s="392"/>
      <c r="CY113" s="392"/>
      <c r="CZ113" s="392"/>
      <c r="DA113" s="392"/>
      <c r="DB113" s="392"/>
      <c r="DC113" s="392"/>
      <c r="DD113" s="392"/>
      <c r="DE113" s="392"/>
      <c r="DF113" s="392"/>
      <c r="DG113" s="392"/>
      <c r="DH113" s="392"/>
      <c r="DI113" s="392"/>
      <c r="DJ113" s="392"/>
      <c r="DK113" s="392"/>
      <c r="DL113" s="392"/>
      <c r="DM113" s="392"/>
      <c r="DN113" s="392"/>
      <c r="DO113" s="392"/>
      <c r="DP113" s="392"/>
      <c r="DQ113" s="392"/>
      <c r="DR113" s="392"/>
      <c r="DS113" s="392"/>
      <c r="DT113" s="392"/>
      <c r="DU113" s="392"/>
      <c r="DV113" s="392"/>
      <c r="DW113" s="392"/>
      <c r="DX113" s="392"/>
      <c r="DY113" s="392"/>
      <c r="DZ113" s="392"/>
      <c r="EA113" s="392"/>
      <c r="EB113" s="392"/>
      <c r="EC113" s="392"/>
      <c r="ED113" s="392"/>
      <c r="EE113" s="392"/>
      <c r="EF113" s="392"/>
      <c r="EG113" s="392"/>
      <c r="EH113" s="392"/>
      <c r="EI113" s="392"/>
      <c r="EJ113" s="392"/>
      <c r="EK113" s="392"/>
      <c r="EL113" s="392"/>
      <c r="EM113" s="392"/>
      <c r="EN113" s="392"/>
      <c r="EO113" s="392"/>
      <c r="EP113" s="392"/>
      <c r="EQ113" s="392"/>
      <c r="ER113" s="392"/>
      <c r="ES113" s="392"/>
      <c r="ET113" s="392"/>
      <c r="EU113" s="392"/>
      <c r="EV113" s="392"/>
      <c r="EW113" s="392"/>
      <c r="EX113" s="392"/>
      <c r="EY113" s="392"/>
      <c r="EZ113" s="392"/>
      <c r="FA113" s="392"/>
      <c r="FB113" s="392"/>
      <c r="FC113" s="392"/>
      <c r="FD113" s="392"/>
      <c r="FE113" s="392"/>
      <c r="FF113" s="392"/>
      <c r="FG113" s="392"/>
      <c r="FH113" s="392"/>
      <c r="FI113" s="392"/>
      <c r="FJ113" s="392"/>
      <c r="FK113" s="392"/>
      <c r="FL113" s="392"/>
      <c r="FM113" s="392"/>
      <c r="FN113" s="392"/>
      <c r="FO113" s="392"/>
      <c r="FP113" s="392"/>
      <c r="FQ113" s="392"/>
      <c r="FR113" s="392"/>
      <c r="FS113" s="392"/>
      <c r="FT113" s="392"/>
      <c r="FU113" s="392"/>
      <c r="FV113" s="392"/>
      <c r="FW113" s="392"/>
      <c r="FX113" s="392"/>
      <c r="FY113" s="392"/>
      <c r="FZ113" s="392"/>
      <c r="GA113" s="392"/>
      <c r="GB113" s="392"/>
      <c r="GC113" s="392"/>
      <c r="GD113" s="392"/>
      <c r="GE113" s="392"/>
      <c r="GF113" s="392"/>
      <c r="GG113" s="392"/>
      <c r="GH113" s="392"/>
      <c r="GI113" s="392"/>
      <c r="GJ113" s="392"/>
      <c r="GK113" s="392"/>
      <c r="GL113" s="392"/>
      <c r="GM113" s="392"/>
      <c r="GN113" s="392"/>
      <c r="GO113" s="392"/>
      <c r="GP113" s="392"/>
      <c r="GQ113" s="392"/>
      <c r="GR113" s="392"/>
      <c r="GS113" s="392"/>
      <c r="GT113" s="392"/>
      <c r="GU113" s="392"/>
      <c r="GV113" s="392"/>
      <c r="GW113" s="392"/>
      <c r="GX113" s="392"/>
      <c r="GY113" s="392"/>
      <c r="GZ113" s="392"/>
      <c r="HA113" s="392"/>
      <c r="HB113" s="392"/>
      <c r="HC113" s="392"/>
      <c r="HD113" s="392"/>
      <c r="HE113" s="392"/>
      <c r="HF113" s="392"/>
      <c r="HG113" s="392"/>
      <c r="HH113" s="392"/>
      <c r="HI113" s="392"/>
      <c r="HJ113" s="392"/>
      <c r="HK113" s="392"/>
      <c r="HL113" s="392"/>
      <c r="HM113" s="392"/>
      <c r="HN113" s="392"/>
      <c r="HO113" s="392"/>
      <c r="HP113" s="392"/>
      <c r="HQ113" s="392"/>
      <c r="HR113" s="392"/>
      <c r="HS113" s="392"/>
      <c r="HT113" s="392"/>
      <c r="HU113" s="392"/>
      <c r="HV113" s="392"/>
      <c r="HW113" s="392"/>
      <c r="HX113" s="392"/>
      <c r="HY113" s="392"/>
      <c r="HZ113" s="392"/>
      <c r="IA113" s="392"/>
      <c r="IB113" s="392"/>
      <c r="IC113" s="392"/>
      <c r="ID113" s="392"/>
      <c r="IE113" s="392"/>
      <c r="IF113" s="392"/>
      <c r="IG113" s="392"/>
      <c r="IH113" s="392"/>
      <c r="II113" s="392"/>
      <c r="IJ113" s="392"/>
      <c r="IK113" s="392"/>
      <c r="IL113" s="392"/>
      <c r="IM113" s="392"/>
      <c r="IN113" s="392"/>
      <c r="IO113" s="392"/>
      <c r="IP113" s="392"/>
      <c r="IQ113" s="392"/>
      <c r="IR113" s="392"/>
      <c r="IS113" s="392"/>
      <c r="IT113" s="392"/>
      <c r="IU113" s="392"/>
      <c r="IV113" s="392"/>
      <c r="IW113" s="392"/>
      <c r="IX113" s="392"/>
      <c r="IY113" s="392"/>
      <c r="IZ113" s="392"/>
      <c r="JA113" s="392"/>
      <c r="JB113" s="392"/>
      <c r="JC113" s="392"/>
      <c r="JD113" s="392"/>
      <c r="JE113" s="392"/>
      <c r="JF113" s="392"/>
      <c r="JG113" s="392"/>
      <c r="JH113" s="392"/>
      <c r="JI113" s="393">
        <f t="shared" si="3"/>
        <v>0</v>
      </c>
      <c r="JJ113" s="2">
        <v>6217</v>
      </c>
      <c r="JK113" s="392">
        <f t="shared" si="4"/>
        <v>0</v>
      </c>
      <c r="JL113" s="284"/>
      <c r="JM113" s="284"/>
      <c r="JN113" s="284"/>
      <c r="JO113" s="284"/>
      <c r="JP113" s="284"/>
    </row>
    <row r="114" spans="1:276" x14ac:dyDescent="0.3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2"/>
      <c r="M114" s="392"/>
      <c r="N114" s="392"/>
      <c r="O114" s="392"/>
      <c r="P114" s="392"/>
      <c r="Q114" s="392"/>
      <c r="R114" s="392"/>
      <c r="S114" s="392"/>
      <c r="T114" s="392"/>
      <c r="U114" s="392"/>
      <c r="V114" s="392"/>
      <c r="W114" s="392"/>
      <c r="X114" s="392"/>
      <c r="Y114" s="392"/>
      <c r="Z114" s="392"/>
      <c r="AA114" s="392"/>
      <c r="AB114" s="392"/>
      <c r="AC114" s="392"/>
      <c r="AD114" s="392"/>
      <c r="AE114" s="392"/>
      <c r="AF114" s="392"/>
      <c r="AG114" s="392"/>
      <c r="AH114" s="392"/>
      <c r="AI114" s="392"/>
      <c r="AJ114" s="392"/>
      <c r="AK114" s="392"/>
      <c r="AL114" s="392"/>
      <c r="AM114" s="392"/>
      <c r="AN114" s="392"/>
      <c r="AO114" s="392"/>
      <c r="AP114" s="392"/>
      <c r="AQ114" s="392"/>
      <c r="AR114" s="392"/>
      <c r="AS114" s="392"/>
      <c r="AT114" s="392"/>
      <c r="AU114" s="392"/>
      <c r="AV114" s="392"/>
      <c r="AW114" s="392"/>
      <c r="AX114" s="392"/>
      <c r="AY114" s="392"/>
      <c r="AZ114" s="392"/>
      <c r="BA114" s="392"/>
      <c r="BB114" s="392"/>
      <c r="BC114" s="392"/>
      <c r="BD114" s="392"/>
      <c r="BE114" s="392"/>
      <c r="BF114" s="392"/>
      <c r="BG114" s="392"/>
      <c r="BH114" s="392"/>
      <c r="BI114" s="392"/>
      <c r="BJ114" s="392"/>
      <c r="BK114" s="392"/>
      <c r="BL114" s="392"/>
      <c r="BM114" s="392"/>
      <c r="BN114" s="392"/>
      <c r="BO114" s="392"/>
      <c r="BP114" s="392"/>
      <c r="BQ114" s="392"/>
      <c r="BR114" s="392"/>
      <c r="BS114" s="392"/>
      <c r="BT114" s="392"/>
      <c r="BU114" s="392"/>
      <c r="BV114" s="392"/>
      <c r="BW114" s="392"/>
      <c r="BX114" s="392"/>
      <c r="BY114" s="392"/>
      <c r="BZ114" s="392"/>
      <c r="CA114" s="392"/>
      <c r="CB114" s="392"/>
      <c r="CC114" s="392"/>
      <c r="CD114" s="392"/>
      <c r="CE114" s="392"/>
      <c r="CF114" s="392"/>
      <c r="CG114" s="392"/>
      <c r="CH114" s="392"/>
      <c r="CI114" s="392"/>
      <c r="CJ114" s="392"/>
      <c r="CK114" s="392"/>
      <c r="CL114" s="392"/>
      <c r="CM114" s="392"/>
      <c r="CN114" s="392"/>
      <c r="CO114" s="392"/>
      <c r="CP114" s="392"/>
      <c r="CQ114" s="392"/>
      <c r="CR114" s="392"/>
      <c r="CS114" s="392"/>
      <c r="CT114" s="392"/>
      <c r="CU114" s="392"/>
      <c r="CV114" s="392"/>
      <c r="CW114" s="392"/>
      <c r="CX114" s="392"/>
      <c r="CY114" s="392"/>
      <c r="CZ114" s="392"/>
      <c r="DA114" s="392"/>
      <c r="DB114" s="392"/>
      <c r="DC114" s="392"/>
      <c r="DD114" s="392"/>
      <c r="DE114" s="392"/>
      <c r="DF114" s="392"/>
      <c r="DG114" s="392"/>
      <c r="DH114" s="392"/>
      <c r="DI114" s="392"/>
      <c r="DJ114" s="392"/>
      <c r="DK114" s="392"/>
      <c r="DL114" s="392"/>
      <c r="DM114" s="392"/>
      <c r="DN114" s="392"/>
      <c r="DO114" s="392"/>
      <c r="DP114" s="392"/>
      <c r="DQ114" s="392"/>
      <c r="DR114" s="392"/>
      <c r="DS114" s="392"/>
      <c r="DT114" s="392"/>
      <c r="DU114" s="392"/>
      <c r="DV114" s="392"/>
      <c r="DW114" s="392"/>
      <c r="DX114" s="392"/>
      <c r="DY114" s="392"/>
      <c r="DZ114" s="392"/>
      <c r="EA114" s="392"/>
      <c r="EB114" s="392"/>
      <c r="EC114" s="392"/>
      <c r="ED114" s="392"/>
      <c r="EE114" s="392"/>
      <c r="EF114" s="392"/>
      <c r="EG114" s="392"/>
      <c r="EH114" s="392"/>
      <c r="EI114" s="392"/>
      <c r="EJ114" s="392"/>
      <c r="EK114" s="392"/>
      <c r="EL114" s="392"/>
      <c r="EM114" s="392"/>
      <c r="EN114" s="392"/>
      <c r="EO114" s="392"/>
      <c r="EP114" s="392"/>
      <c r="EQ114" s="392"/>
      <c r="ER114" s="392"/>
      <c r="ES114" s="392"/>
      <c r="ET114" s="392"/>
      <c r="EU114" s="392"/>
      <c r="EV114" s="392"/>
      <c r="EW114" s="392"/>
      <c r="EX114" s="392"/>
      <c r="EY114" s="392"/>
      <c r="EZ114" s="392"/>
      <c r="FA114" s="392"/>
      <c r="FB114" s="392"/>
      <c r="FC114" s="392"/>
      <c r="FD114" s="392"/>
      <c r="FE114" s="392"/>
      <c r="FF114" s="392"/>
      <c r="FG114" s="392"/>
      <c r="FH114" s="392"/>
      <c r="FI114" s="392"/>
      <c r="FJ114" s="392"/>
      <c r="FK114" s="392"/>
      <c r="FL114" s="392"/>
      <c r="FM114" s="392"/>
      <c r="FN114" s="392"/>
      <c r="FO114" s="392"/>
      <c r="FP114" s="392"/>
      <c r="FQ114" s="392"/>
      <c r="FR114" s="392"/>
      <c r="FS114" s="392"/>
      <c r="FT114" s="392"/>
      <c r="FU114" s="392"/>
      <c r="FV114" s="392"/>
      <c r="FW114" s="392"/>
      <c r="FX114" s="392"/>
      <c r="FY114" s="392"/>
      <c r="FZ114" s="392"/>
      <c r="GA114" s="392"/>
      <c r="GB114" s="392"/>
      <c r="GC114" s="392"/>
      <c r="GD114" s="392"/>
      <c r="GE114" s="392"/>
      <c r="GF114" s="392"/>
      <c r="GG114" s="392"/>
      <c r="GH114" s="392"/>
      <c r="GI114" s="392"/>
      <c r="GJ114" s="392"/>
      <c r="GK114" s="392"/>
      <c r="GL114" s="392"/>
      <c r="GM114" s="392"/>
      <c r="GN114" s="392"/>
      <c r="GO114" s="392"/>
      <c r="GP114" s="392"/>
      <c r="GQ114" s="392"/>
      <c r="GR114" s="392"/>
      <c r="GS114" s="392"/>
      <c r="GT114" s="392"/>
      <c r="GU114" s="392"/>
      <c r="GV114" s="392"/>
      <c r="GW114" s="392"/>
      <c r="GX114" s="392"/>
      <c r="GY114" s="392"/>
      <c r="GZ114" s="392"/>
      <c r="HA114" s="392"/>
      <c r="HB114" s="392"/>
      <c r="HC114" s="392"/>
      <c r="HD114" s="392"/>
      <c r="HE114" s="392"/>
      <c r="HF114" s="392"/>
      <c r="HG114" s="392"/>
      <c r="HH114" s="392"/>
      <c r="HI114" s="392"/>
      <c r="HJ114" s="392"/>
      <c r="HK114" s="392"/>
      <c r="HL114" s="392"/>
      <c r="HM114" s="392"/>
      <c r="HN114" s="392"/>
      <c r="HO114" s="392"/>
      <c r="HP114" s="392"/>
      <c r="HQ114" s="392"/>
      <c r="HR114" s="392"/>
      <c r="HS114" s="392"/>
      <c r="HT114" s="392"/>
      <c r="HU114" s="392"/>
      <c r="HV114" s="392"/>
      <c r="HW114" s="392"/>
      <c r="HX114" s="392"/>
      <c r="HY114" s="392"/>
      <c r="HZ114" s="392"/>
      <c r="IA114" s="392"/>
      <c r="IB114" s="392"/>
      <c r="IC114" s="392"/>
      <c r="ID114" s="392"/>
      <c r="IE114" s="392"/>
      <c r="IF114" s="392"/>
      <c r="IG114" s="392"/>
      <c r="IH114" s="392"/>
      <c r="II114" s="392"/>
      <c r="IJ114" s="392"/>
      <c r="IK114" s="392"/>
      <c r="IL114" s="392"/>
      <c r="IM114" s="392"/>
      <c r="IN114" s="392"/>
      <c r="IO114" s="392"/>
      <c r="IP114" s="392"/>
      <c r="IQ114" s="392"/>
      <c r="IR114" s="392"/>
      <c r="IS114" s="392"/>
      <c r="IT114" s="392"/>
      <c r="IU114" s="392"/>
      <c r="IV114" s="392"/>
      <c r="IW114" s="392"/>
      <c r="IX114" s="392"/>
      <c r="IY114" s="392"/>
      <c r="IZ114" s="392"/>
      <c r="JA114" s="392"/>
      <c r="JB114" s="392"/>
      <c r="JC114" s="392"/>
      <c r="JD114" s="392"/>
      <c r="JE114" s="392"/>
      <c r="JF114" s="392"/>
      <c r="JG114" s="392"/>
      <c r="JH114" s="392"/>
      <c r="JI114" s="393">
        <f t="shared" si="3"/>
        <v>0</v>
      </c>
      <c r="JJ114" s="2">
        <v>6221</v>
      </c>
      <c r="JK114" s="392">
        <f t="shared" si="4"/>
        <v>0</v>
      </c>
      <c r="JL114" s="284"/>
      <c r="JM114" s="284"/>
      <c r="JN114" s="284"/>
      <c r="JO114" s="284"/>
      <c r="JP114" s="284"/>
    </row>
    <row r="115" spans="1:276" x14ac:dyDescent="0.3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392"/>
      <c r="T115" s="392"/>
      <c r="U115" s="392"/>
      <c r="V115" s="392"/>
      <c r="W115" s="392"/>
      <c r="X115" s="392"/>
      <c r="Y115" s="392"/>
      <c r="Z115" s="392"/>
      <c r="AA115" s="392"/>
      <c r="AB115" s="392"/>
      <c r="AC115" s="392"/>
      <c r="AD115" s="392"/>
      <c r="AE115" s="392"/>
      <c r="AF115" s="392"/>
      <c r="AG115" s="392"/>
      <c r="AH115" s="392"/>
      <c r="AI115" s="392"/>
      <c r="AJ115" s="392"/>
      <c r="AK115" s="392"/>
      <c r="AL115" s="392"/>
      <c r="AM115" s="392"/>
      <c r="AN115" s="392"/>
      <c r="AO115" s="392"/>
      <c r="AP115" s="392"/>
      <c r="AQ115" s="392"/>
      <c r="AR115" s="392"/>
      <c r="AS115" s="392"/>
      <c r="AT115" s="392"/>
      <c r="AU115" s="392"/>
      <c r="AV115" s="392"/>
      <c r="AW115" s="392"/>
      <c r="AX115" s="392"/>
      <c r="AY115" s="392"/>
      <c r="AZ115" s="392"/>
      <c r="BA115" s="392"/>
      <c r="BB115" s="392"/>
      <c r="BC115" s="392"/>
      <c r="BD115" s="392"/>
      <c r="BE115" s="392"/>
      <c r="BF115" s="392"/>
      <c r="BG115" s="392"/>
      <c r="BH115" s="392"/>
      <c r="BI115" s="392"/>
      <c r="BJ115" s="392"/>
      <c r="BK115" s="392"/>
      <c r="BL115" s="392"/>
      <c r="BM115" s="392"/>
      <c r="BN115" s="392"/>
      <c r="BO115" s="392"/>
      <c r="BP115" s="392"/>
      <c r="BQ115" s="392"/>
      <c r="BR115" s="392"/>
      <c r="BS115" s="392"/>
      <c r="BT115" s="392"/>
      <c r="BU115" s="392"/>
      <c r="BV115" s="392"/>
      <c r="BW115" s="392"/>
      <c r="BX115" s="392"/>
      <c r="BY115" s="392"/>
      <c r="BZ115" s="392"/>
      <c r="CA115" s="392"/>
      <c r="CB115" s="392"/>
      <c r="CC115" s="392"/>
      <c r="CD115" s="392"/>
      <c r="CE115" s="392"/>
      <c r="CF115" s="392"/>
      <c r="CG115" s="392"/>
      <c r="CH115" s="392"/>
      <c r="CI115" s="392"/>
      <c r="CJ115" s="392"/>
      <c r="CK115" s="392"/>
      <c r="CL115" s="392"/>
      <c r="CM115" s="392"/>
      <c r="CN115" s="392"/>
      <c r="CO115" s="392"/>
      <c r="CP115" s="392"/>
      <c r="CQ115" s="392"/>
      <c r="CR115" s="392"/>
      <c r="CS115" s="392"/>
      <c r="CT115" s="392"/>
      <c r="CU115" s="392"/>
      <c r="CV115" s="392"/>
      <c r="CW115" s="392"/>
      <c r="CX115" s="392"/>
      <c r="CY115" s="392"/>
      <c r="CZ115" s="392"/>
      <c r="DA115" s="392"/>
      <c r="DB115" s="392"/>
      <c r="DC115" s="392"/>
      <c r="DD115" s="392"/>
      <c r="DE115" s="392"/>
      <c r="DF115" s="392"/>
      <c r="DG115" s="392"/>
      <c r="DH115" s="392"/>
      <c r="DI115" s="392"/>
      <c r="DJ115" s="392"/>
      <c r="DK115" s="392"/>
      <c r="DL115" s="392"/>
      <c r="DM115" s="392"/>
      <c r="DN115" s="392"/>
      <c r="DO115" s="392"/>
      <c r="DP115" s="392"/>
      <c r="DQ115" s="392"/>
      <c r="DR115" s="392"/>
      <c r="DS115" s="392"/>
      <c r="DT115" s="392"/>
      <c r="DU115" s="392"/>
      <c r="DV115" s="392"/>
      <c r="DW115" s="392"/>
      <c r="DX115" s="392"/>
      <c r="DY115" s="392"/>
      <c r="DZ115" s="392"/>
      <c r="EA115" s="392"/>
      <c r="EB115" s="392"/>
      <c r="EC115" s="392"/>
      <c r="ED115" s="392"/>
      <c r="EE115" s="392"/>
      <c r="EF115" s="392"/>
      <c r="EG115" s="392"/>
      <c r="EH115" s="392"/>
      <c r="EI115" s="392"/>
      <c r="EJ115" s="392"/>
      <c r="EK115" s="392"/>
      <c r="EL115" s="392"/>
      <c r="EM115" s="392"/>
      <c r="EN115" s="392"/>
      <c r="EO115" s="392"/>
      <c r="EP115" s="392"/>
      <c r="EQ115" s="392"/>
      <c r="ER115" s="392"/>
      <c r="ES115" s="392"/>
      <c r="ET115" s="392"/>
      <c r="EU115" s="392"/>
      <c r="EV115" s="392"/>
      <c r="EW115" s="392"/>
      <c r="EX115" s="392"/>
      <c r="EY115" s="392"/>
      <c r="EZ115" s="392"/>
      <c r="FA115" s="392"/>
      <c r="FB115" s="392"/>
      <c r="FC115" s="392"/>
      <c r="FD115" s="392"/>
      <c r="FE115" s="392"/>
      <c r="FF115" s="392"/>
      <c r="FG115" s="392"/>
      <c r="FH115" s="392"/>
      <c r="FI115" s="392"/>
      <c r="FJ115" s="392"/>
      <c r="FK115" s="392"/>
      <c r="FL115" s="392"/>
      <c r="FM115" s="392"/>
      <c r="FN115" s="392"/>
      <c r="FO115" s="392"/>
      <c r="FP115" s="392"/>
      <c r="FQ115" s="392"/>
      <c r="FR115" s="392"/>
      <c r="FS115" s="392"/>
      <c r="FT115" s="392"/>
      <c r="FU115" s="392"/>
      <c r="FV115" s="392"/>
      <c r="FW115" s="392"/>
      <c r="FX115" s="392"/>
      <c r="FY115" s="392"/>
      <c r="FZ115" s="392"/>
      <c r="GA115" s="392"/>
      <c r="GB115" s="392"/>
      <c r="GC115" s="392"/>
      <c r="GD115" s="392"/>
      <c r="GE115" s="392"/>
      <c r="GF115" s="392"/>
      <c r="GG115" s="392"/>
      <c r="GH115" s="392"/>
      <c r="GI115" s="392"/>
      <c r="GJ115" s="392"/>
      <c r="GK115" s="392"/>
      <c r="GL115" s="392"/>
      <c r="GM115" s="392"/>
      <c r="GN115" s="392"/>
      <c r="GO115" s="392"/>
      <c r="GP115" s="392"/>
      <c r="GQ115" s="392"/>
      <c r="GR115" s="392"/>
      <c r="GS115" s="392"/>
      <c r="GT115" s="392"/>
      <c r="GU115" s="392"/>
      <c r="GV115" s="392"/>
      <c r="GW115" s="392"/>
      <c r="GX115" s="392"/>
      <c r="GY115" s="392"/>
      <c r="GZ115" s="392"/>
      <c r="HA115" s="392"/>
      <c r="HB115" s="392"/>
      <c r="HC115" s="392"/>
      <c r="HD115" s="392"/>
      <c r="HE115" s="392"/>
      <c r="HF115" s="392"/>
      <c r="HG115" s="392"/>
      <c r="HH115" s="392"/>
      <c r="HI115" s="392"/>
      <c r="HJ115" s="392"/>
      <c r="HK115" s="392"/>
      <c r="HL115" s="392"/>
      <c r="HM115" s="392"/>
      <c r="HN115" s="392"/>
      <c r="HO115" s="392"/>
      <c r="HP115" s="392"/>
      <c r="HQ115" s="392"/>
      <c r="HR115" s="392"/>
      <c r="HS115" s="392"/>
      <c r="HT115" s="392"/>
      <c r="HU115" s="392"/>
      <c r="HV115" s="392"/>
      <c r="HW115" s="392"/>
      <c r="HX115" s="392"/>
      <c r="HY115" s="392"/>
      <c r="HZ115" s="392"/>
      <c r="IA115" s="392"/>
      <c r="IB115" s="392"/>
      <c r="IC115" s="392"/>
      <c r="ID115" s="392"/>
      <c r="IE115" s="392"/>
      <c r="IF115" s="392"/>
      <c r="IG115" s="392"/>
      <c r="IH115" s="392"/>
      <c r="II115" s="392"/>
      <c r="IJ115" s="392"/>
      <c r="IK115" s="392"/>
      <c r="IL115" s="392"/>
      <c r="IM115" s="392"/>
      <c r="IN115" s="392"/>
      <c r="IO115" s="392"/>
      <c r="IP115" s="392"/>
      <c r="IQ115" s="392"/>
      <c r="IR115" s="392"/>
      <c r="IS115" s="392"/>
      <c r="IT115" s="392"/>
      <c r="IU115" s="392"/>
      <c r="IV115" s="392"/>
      <c r="IW115" s="392"/>
      <c r="IX115" s="392"/>
      <c r="IY115" s="392"/>
      <c r="IZ115" s="392"/>
      <c r="JA115" s="392"/>
      <c r="JB115" s="392"/>
      <c r="JC115" s="392"/>
      <c r="JD115" s="392"/>
      <c r="JE115" s="392"/>
      <c r="JF115" s="392"/>
      <c r="JG115" s="392"/>
      <c r="JH115" s="392"/>
      <c r="JI115" s="393">
        <f t="shared" si="3"/>
        <v>0</v>
      </c>
      <c r="JJ115" s="2">
        <v>6225</v>
      </c>
      <c r="JK115" s="392">
        <f t="shared" si="4"/>
        <v>0</v>
      </c>
      <c r="JL115" s="284"/>
      <c r="JM115" s="284"/>
      <c r="JN115" s="284"/>
      <c r="JO115" s="284"/>
      <c r="JP115" s="284"/>
    </row>
    <row r="116" spans="1:276" x14ac:dyDescent="0.3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  <c r="L116" s="392"/>
      <c r="M116" s="392"/>
      <c r="N116" s="392"/>
      <c r="O116" s="392"/>
      <c r="P116" s="392"/>
      <c r="Q116" s="392"/>
      <c r="R116" s="392"/>
      <c r="S116" s="392"/>
      <c r="T116" s="392"/>
      <c r="U116" s="392"/>
      <c r="V116" s="392"/>
      <c r="W116" s="392"/>
      <c r="X116" s="392"/>
      <c r="Y116" s="392"/>
      <c r="Z116" s="392"/>
      <c r="AA116" s="392"/>
      <c r="AB116" s="392"/>
      <c r="AC116" s="392"/>
      <c r="AD116" s="392"/>
      <c r="AE116" s="392"/>
      <c r="AF116" s="392"/>
      <c r="AG116" s="392"/>
      <c r="AH116" s="392"/>
      <c r="AI116" s="392"/>
      <c r="AJ116" s="392"/>
      <c r="AK116" s="392"/>
      <c r="AL116" s="392"/>
      <c r="AM116" s="392"/>
      <c r="AN116" s="392"/>
      <c r="AO116" s="392"/>
      <c r="AP116" s="392"/>
      <c r="AQ116" s="392"/>
      <c r="AR116" s="392"/>
      <c r="AS116" s="392"/>
      <c r="AT116" s="392"/>
      <c r="AU116" s="392"/>
      <c r="AV116" s="392"/>
      <c r="AW116" s="392"/>
      <c r="AX116" s="392"/>
      <c r="AY116" s="392"/>
      <c r="AZ116" s="392"/>
      <c r="BA116" s="392"/>
      <c r="BB116" s="392"/>
      <c r="BC116" s="392"/>
      <c r="BD116" s="392"/>
      <c r="BE116" s="392"/>
      <c r="BF116" s="392"/>
      <c r="BG116" s="392"/>
      <c r="BH116" s="392"/>
      <c r="BI116" s="392"/>
      <c r="BJ116" s="392"/>
      <c r="BK116" s="392"/>
      <c r="BL116" s="392"/>
      <c r="BM116" s="392"/>
      <c r="BN116" s="392"/>
      <c r="BO116" s="392"/>
      <c r="BP116" s="392"/>
      <c r="BQ116" s="392"/>
      <c r="BR116" s="392"/>
      <c r="BS116" s="392"/>
      <c r="BT116" s="392"/>
      <c r="BU116" s="392"/>
      <c r="BV116" s="392"/>
      <c r="BW116" s="392"/>
      <c r="BX116" s="392"/>
      <c r="BY116" s="392"/>
      <c r="BZ116" s="392"/>
      <c r="CA116" s="392"/>
      <c r="CB116" s="392"/>
      <c r="CC116" s="392"/>
      <c r="CD116" s="392"/>
      <c r="CE116" s="392"/>
      <c r="CF116" s="392"/>
      <c r="CG116" s="392"/>
      <c r="CH116" s="392"/>
      <c r="CI116" s="392"/>
      <c r="CJ116" s="392"/>
      <c r="CK116" s="392"/>
      <c r="CL116" s="392"/>
      <c r="CM116" s="392"/>
      <c r="CN116" s="392"/>
      <c r="CO116" s="392"/>
      <c r="CP116" s="392"/>
      <c r="CQ116" s="392"/>
      <c r="CR116" s="392"/>
      <c r="CS116" s="392"/>
      <c r="CT116" s="392"/>
      <c r="CU116" s="392"/>
      <c r="CV116" s="392"/>
      <c r="CW116" s="392"/>
      <c r="CX116" s="392"/>
      <c r="CY116" s="392"/>
      <c r="CZ116" s="392"/>
      <c r="DA116" s="392"/>
      <c r="DB116" s="392"/>
      <c r="DC116" s="392"/>
      <c r="DD116" s="392"/>
      <c r="DE116" s="392"/>
      <c r="DF116" s="392"/>
      <c r="DG116" s="392"/>
      <c r="DH116" s="392"/>
      <c r="DI116" s="392"/>
      <c r="DJ116" s="392"/>
      <c r="DK116" s="392"/>
      <c r="DL116" s="392"/>
      <c r="DM116" s="392"/>
      <c r="DN116" s="392"/>
      <c r="DO116" s="392"/>
      <c r="DP116" s="392"/>
      <c r="DQ116" s="392"/>
      <c r="DR116" s="392"/>
      <c r="DS116" s="392"/>
      <c r="DT116" s="392"/>
      <c r="DU116" s="392"/>
      <c r="DV116" s="392"/>
      <c r="DW116" s="392"/>
      <c r="DX116" s="392"/>
      <c r="DY116" s="392"/>
      <c r="DZ116" s="392"/>
      <c r="EA116" s="392"/>
      <c r="EB116" s="392"/>
      <c r="EC116" s="392"/>
      <c r="ED116" s="392"/>
      <c r="EE116" s="392"/>
      <c r="EF116" s="392"/>
      <c r="EG116" s="392"/>
      <c r="EH116" s="392"/>
      <c r="EI116" s="392"/>
      <c r="EJ116" s="392"/>
      <c r="EK116" s="392"/>
      <c r="EL116" s="392"/>
      <c r="EM116" s="392"/>
      <c r="EN116" s="392"/>
      <c r="EO116" s="392"/>
      <c r="EP116" s="392"/>
      <c r="EQ116" s="392"/>
      <c r="ER116" s="392"/>
      <c r="ES116" s="392"/>
      <c r="ET116" s="392"/>
      <c r="EU116" s="392"/>
      <c r="EV116" s="392"/>
      <c r="EW116" s="392"/>
      <c r="EX116" s="392"/>
      <c r="EY116" s="392"/>
      <c r="EZ116" s="392"/>
      <c r="FA116" s="392"/>
      <c r="FB116" s="392"/>
      <c r="FC116" s="392"/>
      <c r="FD116" s="392"/>
      <c r="FE116" s="392"/>
      <c r="FF116" s="392"/>
      <c r="FG116" s="392"/>
      <c r="FH116" s="392"/>
      <c r="FI116" s="392"/>
      <c r="FJ116" s="392"/>
      <c r="FK116" s="392"/>
      <c r="FL116" s="392"/>
      <c r="FM116" s="392"/>
      <c r="FN116" s="392"/>
      <c r="FO116" s="392"/>
      <c r="FP116" s="392"/>
      <c r="FQ116" s="392"/>
      <c r="FR116" s="392"/>
      <c r="FS116" s="392"/>
      <c r="FT116" s="392"/>
      <c r="FU116" s="392"/>
      <c r="FV116" s="392"/>
      <c r="FW116" s="392"/>
      <c r="FX116" s="392"/>
      <c r="FY116" s="392"/>
      <c r="FZ116" s="392"/>
      <c r="GA116" s="392"/>
      <c r="GB116" s="392"/>
      <c r="GC116" s="392"/>
      <c r="GD116" s="392"/>
      <c r="GE116" s="392"/>
      <c r="GF116" s="392"/>
      <c r="GG116" s="392"/>
      <c r="GH116" s="392"/>
      <c r="GI116" s="392"/>
      <c r="GJ116" s="392"/>
      <c r="GK116" s="392"/>
      <c r="GL116" s="392"/>
      <c r="GM116" s="392"/>
      <c r="GN116" s="392"/>
      <c r="GO116" s="392"/>
      <c r="GP116" s="392"/>
      <c r="GQ116" s="392"/>
      <c r="GR116" s="392"/>
      <c r="GS116" s="392"/>
      <c r="GT116" s="392"/>
      <c r="GU116" s="392"/>
      <c r="GV116" s="392"/>
      <c r="GW116" s="392"/>
      <c r="GX116" s="392"/>
      <c r="GY116" s="392"/>
      <c r="GZ116" s="392"/>
      <c r="HA116" s="392"/>
      <c r="HB116" s="392"/>
      <c r="HC116" s="392"/>
      <c r="HD116" s="392"/>
      <c r="HE116" s="392"/>
      <c r="HF116" s="392"/>
      <c r="HG116" s="392"/>
      <c r="HH116" s="392"/>
      <c r="HI116" s="392"/>
      <c r="HJ116" s="392"/>
      <c r="HK116" s="392"/>
      <c r="HL116" s="392"/>
      <c r="HM116" s="392"/>
      <c r="HN116" s="392"/>
      <c r="HO116" s="392"/>
      <c r="HP116" s="392"/>
      <c r="HQ116" s="392"/>
      <c r="HR116" s="392"/>
      <c r="HS116" s="392"/>
      <c r="HT116" s="392"/>
      <c r="HU116" s="392"/>
      <c r="HV116" s="392"/>
      <c r="HW116" s="392"/>
      <c r="HX116" s="392"/>
      <c r="HY116" s="392"/>
      <c r="HZ116" s="392"/>
      <c r="IA116" s="392"/>
      <c r="IB116" s="392"/>
      <c r="IC116" s="392"/>
      <c r="ID116" s="392"/>
      <c r="IE116" s="392"/>
      <c r="IF116" s="392"/>
      <c r="IG116" s="392"/>
      <c r="IH116" s="392"/>
      <c r="II116" s="392"/>
      <c r="IJ116" s="392"/>
      <c r="IK116" s="392"/>
      <c r="IL116" s="392"/>
      <c r="IM116" s="392"/>
      <c r="IN116" s="392"/>
      <c r="IO116" s="392"/>
      <c r="IP116" s="392"/>
      <c r="IQ116" s="392"/>
      <c r="IR116" s="392"/>
      <c r="IS116" s="392"/>
      <c r="IT116" s="392"/>
      <c r="IU116" s="392"/>
      <c r="IV116" s="392"/>
      <c r="IW116" s="392"/>
      <c r="IX116" s="392"/>
      <c r="IY116" s="392"/>
      <c r="IZ116" s="392"/>
      <c r="JA116" s="392"/>
      <c r="JB116" s="392"/>
      <c r="JC116" s="392"/>
      <c r="JD116" s="392"/>
      <c r="JE116" s="392"/>
      <c r="JF116" s="392"/>
      <c r="JG116" s="392"/>
      <c r="JH116" s="392"/>
      <c r="JI116" s="393">
        <f t="shared" si="3"/>
        <v>0</v>
      </c>
      <c r="JJ116" s="2">
        <v>6238</v>
      </c>
      <c r="JK116" s="392">
        <f t="shared" si="4"/>
        <v>0</v>
      </c>
      <c r="JL116" s="284"/>
      <c r="JM116" s="284"/>
      <c r="JN116" s="284"/>
      <c r="JO116" s="284"/>
      <c r="JP116" s="284"/>
    </row>
    <row r="117" spans="1:276" x14ac:dyDescent="0.3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  <c r="L117" s="392"/>
      <c r="M117" s="392"/>
      <c r="N117" s="392"/>
      <c r="O117" s="392"/>
      <c r="P117" s="392"/>
      <c r="Q117" s="392"/>
      <c r="R117" s="392"/>
      <c r="S117" s="392"/>
      <c r="T117" s="392"/>
      <c r="U117" s="392"/>
      <c r="V117" s="392"/>
      <c r="W117" s="392"/>
      <c r="X117" s="392"/>
      <c r="Y117" s="392"/>
      <c r="Z117" s="392"/>
      <c r="AA117" s="392"/>
      <c r="AB117" s="392"/>
      <c r="AC117" s="392"/>
      <c r="AD117" s="392"/>
      <c r="AE117" s="392"/>
      <c r="AF117" s="392"/>
      <c r="AG117" s="392"/>
      <c r="AH117" s="392"/>
      <c r="AI117" s="392"/>
      <c r="AJ117" s="392"/>
      <c r="AK117" s="392"/>
      <c r="AL117" s="392"/>
      <c r="AM117" s="392"/>
      <c r="AN117" s="392"/>
      <c r="AO117" s="392"/>
      <c r="AP117" s="392"/>
      <c r="AQ117" s="392"/>
      <c r="AR117" s="392"/>
      <c r="AS117" s="392"/>
      <c r="AT117" s="392"/>
      <c r="AU117" s="392"/>
      <c r="AV117" s="392"/>
      <c r="AW117" s="392"/>
      <c r="AX117" s="392"/>
      <c r="AY117" s="392"/>
      <c r="AZ117" s="392"/>
      <c r="BA117" s="392"/>
      <c r="BB117" s="392"/>
      <c r="BC117" s="392"/>
      <c r="BD117" s="392"/>
      <c r="BE117" s="392"/>
      <c r="BF117" s="392"/>
      <c r="BG117" s="392"/>
      <c r="BH117" s="392"/>
      <c r="BI117" s="392"/>
      <c r="BJ117" s="392"/>
      <c r="BK117" s="392"/>
      <c r="BL117" s="392"/>
      <c r="BM117" s="392"/>
      <c r="BN117" s="392"/>
      <c r="BO117" s="392"/>
      <c r="BP117" s="392"/>
      <c r="BQ117" s="392"/>
      <c r="BR117" s="392"/>
      <c r="BS117" s="392"/>
      <c r="BT117" s="392"/>
      <c r="BU117" s="392"/>
      <c r="BV117" s="392"/>
      <c r="BW117" s="392"/>
      <c r="BX117" s="392"/>
      <c r="BY117" s="392"/>
      <c r="BZ117" s="392"/>
      <c r="CA117" s="392"/>
      <c r="CB117" s="392"/>
      <c r="CC117" s="392"/>
      <c r="CD117" s="392"/>
      <c r="CE117" s="392"/>
      <c r="CF117" s="392"/>
      <c r="CG117" s="392"/>
      <c r="CH117" s="392"/>
      <c r="CI117" s="392"/>
      <c r="CJ117" s="392"/>
      <c r="CK117" s="392"/>
      <c r="CL117" s="392"/>
      <c r="CM117" s="392"/>
      <c r="CN117" s="392"/>
      <c r="CO117" s="392"/>
      <c r="CP117" s="392"/>
      <c r="CQ117" s="392"/>
      <c r="CR117" s="392"/>
      <c r="CS117" s="392"/>
      <c r="CT117" s="392"/>
      <c r="CU117" s="392"/>
      <c r="CV117" s="392"/>
      <c r="CW117" s="392"/>
      <c r="CX117" s="392"/>
      <c r="CY117" s="392"/>
      <c r="CZ117" s="392"/>
      <c r="DA117" s="392"/>
      <c r="DB117" s="392"/>
      <c r="DC117" s="392"/>
      <c r="DD117" s="392"/>
      <c r="DE117" s="392"/>
      <c r="DF117" s="392"/>
      <c r="DG117" s="392"/>
      <c r="DH117" s="392"/>
      <c r="DI117" s="392"/>
      <c r="DJ117" s="392"/>
      <c r="DK117" s="392"/>
      <c r="DL117" s="392"/>
      <c r="DM117" s="392"/>
      <c r="DN117" s="392"/>
      <c r="DO117" s="392"/>
      <c r="DP117" s="392"/>
      <c r="DQ117" s="392"/>
      <c r="DR117" s="392"/>
      <c r="DS117" s="392"/>
      <c r="DT117" s="392"/>
      <c r="DU117" s="392"/>
      <c r="DV117" s="392"/>
      <c r="DW117" s="392"/>
      <c r="DX117" s="392"/>
      <c r="DY117" s="392"/>
      <c r="DZ117" s="392"/>
      <c r="EA117" s="392"/>
      <c r="EB117" s="392"/>
      <c r="EC117" s="392"/>
      <c r="ED117" s="392"/>
      <c r="EE117" s="392"/>
      <c r="EF117" s="392"/>
      <c r="EG117" s="392"/>
      <c r="EH117" s="392"/>
      <c r="EI117" s="392"/>
      <c r="EJ117" s="392"/>
      <c r="EK117" s="392"/>
      <c r="EL117" s="392"/>
      <c r="EM117" s="392"/>
      <c r="EN117" s="392"/>
      <c r="EO117" s="392"/>
      <c r="EP117" s="392"/>
      <c r="EQ117" s="392"/>
      <c r="ER117" s="392"/>
      <c r="ES117" s="392"/>
      <c r="ET117" s="392"/>
      <c r="EU117" s="392"/>
      <c r="EV117" s="392"/>
      <c r="EW117" s="392"/>
      <c r="EX117" s="392"/>
      <c r="EY117" s="392"/>
      <c r="EZ117" s="392"/>
      <c r="FA117" s="392"/>
      <c r="FB117" s="392"/>
      <c r="FC117" s="392"/>
      <c r="FD117" s="392"/>
      <c r="FE117" s="392"/>
      <c r="FF117" s="392"/>
      <c r="FG117" s="392"/>
      <c r="FH117" s="392"/>
      <c r="FI117" s="392"/>
      <c r="FJ117" s="392"/>
      <c r="FK117" s="392"/>
      <c r="FL117" s="392"/>
      <c r="FM117" s="392"/>
      <c r="FN117" s="392"/>
      <c r="FO117" s="392"/>
      <c r="FP117" s="392"/>
      <c r="FQ117" s="392"/>
      <c r="FR117" s="392"/>
      <c r="FS117" s="392"/>
      <c r="FT117" s="392"/>
      <c r="FU117" s="392"/>
      <c r="FV117" s="392"/>
      <c r="FW117" s="392"/>
      <c r="FX117" s="392"/>
      <c r="FY117" s="392"/>
      <c r="FZ117" s="392"/>
      <c r="GA117" s="392"/>
      <c r="GB117" s="392"/>
      <c r="GC117" s="392"/>
      <c r="GD117" s="392"/>
      <c r="GE117" s="392"/>
      <c r="GF117" s="392"/>
      <c r="GG117" s="392"/>
      <c r="GH117" s="392"/>
      <c r="GI117" s="392"/>
      <c r="GJ117" s="392"/>
      <c r="GK117" s="392"/>
      <c r="GL117" s="392"/>
      <c r="GM117" s="392"/>
      <c r="GN117" s="392"/>
      <c r="GO117" s="392"/>
      <c r="GP117" s="392"/>
      <c r="GQ117" s="392"/>
      <c r="GR117" s="392"/>
      <c r="GS117" s="392"/>
      <c r="GT117" s="392"/>
      <c r="GU117" s="392"/>
      <c r="GV117" s="392"/>
      <c r="GW117" s="392"/>
      <c r="GX117" s="392"/>
      <c r="GY117" s="392"/>
      <c r="GZ117" s="392"/>
      <c r="HA117" s="392"/>
      <c r="HB117" s="392"/>
      <c r="HC117" s="392"/>
      <c r="HD117" s="392"/>
      <c r="HE117" s="392"/>
      <c r="HF117" s="392"/>
      <c r="HG117" s="392"/>
      <c r="HH117" s="392"/>
      <c r="HI117" s="392"/>
      <c r="HJ117" s="392"/>
      <c r="HK117" s="392"/>
      <c r="HL117" s="392"/>
      <c r="HM117" s="392"/>
      <c r="HN117" s="392"/>
      <c r="HO117" s="392"/>
      <c r="HP117" s="392"/>
      <c r="HQ117" s="392"/>
      <c r="HR117" s="392"/>
      <c r="HS117" s="392"/>
      <c r="HT117" s="392"/>
      <c r="HU117" s="392"/>
      <c r="HV117" s="392"/>
      <c r="HW117" s="392"/>
      <c r="HX117" s="392"/>
      <c r="HY117" s="392"/>
      <c r="HZ117" s="392"/>
      <c r="IA117" s="392"/>
      <c r="IB117" s="392"/>
      <c r="IC117" s="392"/>
      <c r="ID117" s="392"/>
      <c r="IE117" s="392"/>
      <c r="IF117" s="392"/>
      <c r="IG117" s="392"/>
      <c r="IH117" s="392"/>
      <c r="II117" s="392"/>
      <c r="IJ117" s="392"/>
      <c r="IK117" s="392"/>
      <c r="IL117" s="392"/>
      <c r="IM117" s="392"/>
      <c r="IN117" s="392"/>
      <c r="IO117" s="392"/>
      <c r="IP117" s="392"/>
      <c r="IQ117" s="392"/>
      <c r="IR117" s="392"/>
      <c r="IS117" s="392"/>
      <c r="IT117" s="392"/>
      <c r="IU117" s="392"/>
      <c r="IV117" s="392"/>
      <c r="IW117" s="392"/>
      <c r="IX117" s="392"/>
      <c r="IY117" s="392"/>
      <c r="IZ117" s="392"/>
      <c r="JA117" s="392"/>
      <c r="JB117" s="392"/>
      <c r="JC117" s="392"/>
      <c r="JD117" s="392"/>
      <c r="JE117" s="392"/>
      <c r="JF117" s="392"/>
      <c r="JG117" s="392"/>
      <c r="JH117" s="392"/>
      <c r="JI117" s="393">
        <f t="shared" si="3"/>
        <v>0</v>
      </c>
      <c r="JJ117" s="2">
        <v>6250</v>
      </c>
      <c r="JK117" s="392">
        <f t="shared" si="4"/>
        <v>0</v>
      </c>
      <c r="JL117" s="284"/>
      <c r="JM117" s="284"/>
      <c r="JN117" s="284"/>
      <c r="JO117" s="284"/>
      <c r="JP117" s="284"/>
    </row>
    <row r="118" spans="1:276" x14ac:dyDescent="0.3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2"/>
      <c r="M118" s="392"/>
      <c r="N118" s="392"/>
      <c r="O118" s="392"/>
      <c r="P118" s="392"/>
      <c r="Q118" s="392"/>
      <c r="R118" s="392"/>
      <c r="S118" s="392"/>
      <c r="T118" s="392"/>
      <c r="U118" s="392"/>
      <c r="V118" s="392"/>
      <c r="W118" s="392"/>
      <c r="X118" s="392"/>
      <c r="Y118" s="392"/>
      <c r="Z118" s="392"/>
      <c r="AA118" s="392"/>
      <c r="AB118" s="392"/>
      <c r="AC118" s="392"/>
      <c r="AD118" s="392"/>
      <c r="AE118" s="392"/>
      <c r="AF118" s="392"/>
      <c r="AG118" s="392"/>
      <c r="AH118" s="392"/>
      <c r="AI118" s="392"/>
      <c r="AJ118" s="392"/>
      <c r="AK118" s="392"/>
      <c r="AL118" s="392"/>
      <c r="AM118" s="392"/>
      <c r="AN118" s="392"/>
      <c r="AO118" s="392"/>
      <c r="AP118" s="392"/>
      <c r="AQ118" s="392"/>
      <c r="AR118" s="392"/>
      <c r="AS118" s="392"/>
      <c r="AT118" s="392"/>
      <c r="AU118" s="392"/>
      <c r="AV118" s="392"/>
      <c r="AW118" s="392"/>
      <c r="AX118" s="392"/>
      <c r="AY118" s="392"/>
      <c r="AZ118" s="392"/>
      <c r="BA118" s="392"/>
      <c r="BB118" s="392"/>
      <c r="BC118" s="392"/>
      <c r="BD118" s="392"/>
      <c r="BE118" s="392"/>
      <c r="BF118" s="392"/>
      <c r="BG118" s="392"/>
      <c r="BH118" s="392"/>
      <c r="BI118" s="392"/>
      <c r="BJ118" s="392"/>
      <c r="BK118" s="392"/>
      <c r="BL118" s="392"/>
      <c r="BM118" s="392"/>
      <c r="BN118" s="392"/>
      <c r="BO118" s="392"/>
      <c r="BP118" s="392"/>
      <c r="BQ118" s="392"/>
      <c r="BR118" s="392"/>
      <c r="BS118" s="392"/>
      <c r="BT118" s="392"/>
      <c r="BU118" s="392"/>
      <c r="BV118" s="392"/>
      <c r="BW118" s="392"/>
      <c r="BX118" s="392"/>
      <c r="BY118" s="392"/>
      <c r="BZ118" s="392"/>
      <c r="CA118" s="392"/>
      <c r="CB118" s="392"/>
      <c r="CC118" s="392"/>
      <c r="CD118" s="392"/>
      <c r="CE118" s="392"/>
      <c r="CF118" s="392"/>
      <c r="CG118" s="392"/>
      <c r="CH118" s="392"/>
      <c r="CI118" s="392"/>
      <c r="CJ118" s="392"/>
      <c r="CK118" s="392"/>
      <c r="CL118" s="392"/>
      <c r="CM118" s="392"/>
      <c r="CN118" s="392"/>
      <c r="CO118" s="392"/>
      <c r="CP118" s="392"/>
      <c r="CQ118" s="392"/>
      <c r="CR118" s="392"/>
      <c r="CS118" s="392"/>
      <c r="CT118" s="392"/>
      <c r="CU118" s="392"/>
      <c r="CV118" s="392"/>
      <c r="CW118" s="392"/>
      <c r="CX118" s="392"/>
      <c r="CY118" s="392"/>
      <c r="CZ118" s="392"/>
      <c r="DA118" s="392"/>
      <c r="DB118" s="392"/>
      <c r="DC118" s="392"/>
      <c r="DD118" s="392"/>
      <c r="DE118" s="392"/>
      <c r="DF118" s="392"/>
      <c r="DG118" s="392"/>
      <c r="DH118" s="392"/>
      <c r="DI118" s="392"/>
      <c r="DJ118" s="392"/>
      <c r="DK118" s="392"/>
      <c r="DL118" s="392"/>
      <c r="DM118" s="392"/>
      <c r="DN118" s="392"/>
      <c r="DO118" s="392"/>
      <c r="DP118" s="392"/>
      <c r="DQ118" s="392"/>
      <c r="DR118" s="392"/>
      <c r="DS118" s="392"/>
      <c r="DT118" s="392"/>
      <c r="DU118" s="392"/>
      <c r="DV118" s="392"/>
      <c r="DW118" s="392"/>
      <c r="DX118" s="392"/>
      <c r="DY118" s="392"/>
      <c r="DZ118" s="392"/>
      <c r="EA118" s="392"/>
      <c r="EB118" s="392"/>
      <c r="EC118" s="392"/>
      <c r="ED118" s="392"/>
      <c r="EE118" s="392"/>
      <c r="EF118" s="392"/>
      <c r="EG118" s="392"/>
      <c r="EH118" s="392"/>
      <c r="EI118" s="392"/>
      <c r="EJ118" s="392"/>
      <c r="EK118" s="392"/>
      <c r="EL118" s="392"/>
      <c r="EM118" s="392"/>
      <c r="EN118" s="392"/>
      <c r="EO118" s="392"/>
      <c r="EP118" s="392"/>
      <c r="EQ118" s="392"/>
      <c r="ER118" s="392"/>
      <c r="ES118" s="392"/>
      <c r="ET118" s="392"/>
      <c r="EU118" s="392"/>
      <c r="EV118" s="392"/>
      <c r="EW118" s="392"/>
      <c r="EX118" s="392"/>
      <c r="EY118" s="392"/>
      <c r="EZ118" s="392"/>
      <c r="FA118" s="392"/>
      <c r="FB118" s="392"/>
      <c r="FC118" s="392"/>
      <c r="FD118" s="392"/>
      <c r="FE118" s="392"/>
      <c r="FF118" s="392"/>
      <c r="FG118" s="392"/>
      <c r="FH118" s="392"/>
      <c r="FI118" s="392"/>
      <c r="FJ118" s="392"/>
      <c r="FK118" s="392"/>
      <c r="FL118" s="392"/>
      <c r="FM118" s="392"/>
      <c r="FN118" s="392"/>
      <c r="FO118" s="392"/>
      <c r="FP118" s="392"/>
      <c r="FQ118" s="392"/>
      <c r="FR118" s="392"/>
      <c r="FS118" s="392"/>
      <c r="FT118" s="392"/>
      <c r="FU118" s="392"/>
      <c r="FV118" s="392"/>
      <c r="FW118" s="392"/>
      <c r="FX118" s="392"/>
      <c r="FY118" s="392"/>
      <c r="FZ118" s="392"/>
      <c r="GA118" s="392"/>
      <c r="GB118" s="392"/>
      <c r="GC118" s="392"/>
      <c r="GD118" s="392"/>
      <c r="GE118" s="392"/>
      <c r="GF118" s="392"/>
      <c r="GG118" s="392"/>
      <c r="GH118" s="392"/>
      <c r="GI118" s="392"/>
      <c r="GJ118" s="392"/>
      <c r="GK118" s="392"/>
      <c r="GL118" s="392"/>
      <c r="GM118" s="392"/>
      <c r="GN118" s="392"/>
      <c r="GO118" s="392"/>
      <c r="GP118" s="392"/>
      <c r="GQ118" s="392"/>
      <c r="GR118" s="392"/>
      <c r="GS118" s="392"/>
      <c r="GT118" s="392"/>
      <c r="GU118" s="392"/>
      <c r="GV118" s="392"/>
      <c r="GW118" s="392"/>
      <c r="GX118" s="392"/>
      <c r="GY118" s="392"/>
      <c r="GZ118" s="392"/>
      <c r="HA118" s="392"/>
      <c r="HB118" s="392"/>
      <c r="HC118" s="392"/>
      <c r="HD118" s="392"/>
      <c r="HE118" s="392"/>
      <c r="HF118" s="392"/>
      <c r="HG118" s="392"/>
      <c r="HH118" s="392"/>
      <c r="HI118" s="392"/>
      <c r="HJ118" s="392"/>
      <c r="HK118" s="392"/>
      <c r="HL118" s="392"/>
      <c r="HM118" s="392"/>
      <c r="HN118" s="392"/>
      <c r="HO118" s="392"/>
      <c r="HP118" s="392"/>
      <c r="HQ118" s="392"/>
      <c r="HR118" s="392"/>
      <c r="HS118" s="392"/>
      <c r="HT118" s="392"/>
      <c r="HU118" s="392"/>
      <c r="HV118" s="392"/>
      <c r="HW118" s="392"/>
      <c r="HX118" s="392"/>
      <c r="HY118" s="392"/>
      <c r="HZ118" s="392"/>
      <c r="IA118" s="392"/>
      <c r="IB118" s="392"/>
      <c r="IC118" s="392"/>
      <c r="ID118" s="392"/>
      <c r="IE118" s="392"/>
      <c r="IF118" s="392"/>
      <c r="IG118" s="392"/>
      <c r="IH118" s="392"/>
      <c r="II118" s="392"/>
      <c r="IJ118" s="392"/>
      <c r="IK118" s="392"/>
      <c r="IL118" s="392"/>
      <c r="IM118" s="392"/>
      <c r="IN118" s="392"/>
      <c r="IO118" s="392"/>
      <c r="IP118" s="392"/>
      <c r="IQ118" s="392"/>
      <c r="IR118" s="392"/>
      <c r="IS118" s="392"/>
      <c r="IT118" s="392"/>
      <c r="IU118" s="392"/>
      <c r="IV118" s="392"/>
      <c r="IW118" s="392"/>
      <c r="IX118" s="392"/>
      <c r="IY118" s="392"/>
      <c r="IZ118" s="392"/>
      <c r="JA118" s="392"/>
      <c r="JB118" s="392"/>
      <c r="JC118" s="392"/>
      <c r="JD118" s="392"/>
      <c r="JE118" s="392"/>
      <c r="JF118" s="392"/>
      <c r="JG118" s="392"/>
      <c r="JH118" s="392"/>
      <c r="JI118" s="393">
        <f t="shared" si="3"/>
        <v>0</v>
      </c>
      <c r="JJ118" s="2">
        <v>6268</v>
      </c>
      <c r="JK118" s="392">
        <f t="shared" si="4"/>
        <v>0</v>
      </c>
      <c r="JL118" s="284"/>
      <c r="JM118" s="284"/>
      <c r="JN118" s="284"/>
      <c r="JO118" s="284"/>
      <c r="JP118" s="284"/>
    </row>
    <row r="119" spans="1:276" x14ac:dyDescent="0.3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2"/>
      <c r="P119" s="392"/>
      <c r="Q119" s="392"/>
      <c r="R119" s="392"/>
      <c r="S119" s="392"/>
      <c r="T119" s="392"/>
      <c r="U119" s="392"/>
      <c r="V119" s="392"/>
      <c r="W119" s="392"/>
      <c r="X119" s="392"/>
      <c r="Y119" s="392"/>
      <c r="Z119" s="392"/>
      <c r="AA119" s="392"/>
      <c r="AB119" s="392"/>
      <c r="AC119" s="392"/>
      <c r="AD119" s="392"/>
      <c r="AE119" s="392"/>
      <c r="AF119" s="392"/>
      <c r="AG119" s="392"/>
      <c r="AH119" s="392"/>
      <c r="AI119" s="392"/>
      <c r="AJ119" s="392"/>
      <c r="AK119" s="392"/>
      <c r="AL119" s="392"/>
      <c r="AM119" s="392"/>
      <c r="AN119" s="392"/>
      <c r="AO119" s="392"/>
      <c r="AP119" s="392"/>
      <c r="AQ119" s="392"/>
      <c r="AR119" s="392"/>
      <c r="AS119" s="392"/>
      <c r="AT119" s="392"/>
      <c r="AU119" s="392"/>
      <c r="AV119" s="392"/>
      <c r="AW119" s="392"/>
      <c r="AX119" s="392"/>
      <c r="AY119" s="392"/>
      <c r="AZ119" s="392"/>
      <c r="BA119" s="392"/>
      <c r="BB119" s="392"/>
      <c r="BC119" s="392"/>
      <c r="BD119" s="392"/>
      <c r="BE119" s="392"/>
      <c r="BF119" s="392"/>
      <c r="BG119" s="392"/>
      <c r="BH119" s="392"/>
      <c r="BI119" s="392"/>
      <c r="BJ119" s="392"/>
      <c r="BK119" s="392"/>
      <c r="BL119" s="392"/>
      <c r="BM119" s="392"/>
      <c r="BN119" s="392"/>
      <c r="BO119" s="392"/>
      <c r="BP119" s="392"/>
      <c r="BQ119" s="392"/>
      <c r="BR119" s="392"/>
      <c r="BS119" s="392"/>
      <c r="BT119" s="392"/>
      <c r="BU119" s="392"/>
      <c r="BV119" s="392"/>
      <c r="BW119" s="392"/>
      <c r="BX119" s="392"/>
      <c r="BY119" s="392"/>
      <c r="BZ119" s="392"/>
      <c r="CA119" s="392"/>
      <c r="CB119" s="392"/>
      <c r="CC119" s="392"/>
      <c r="CD119" s="392"/>
      <c r="CE119" s="392"/>
      <c r="CF119" s="392"/>
      <c r="CG119" s="392"/>
      <c r="CH119" s="392"/>
      <c r="CI119" s="392"/>
      <c r="CJ119" s="392"/>
      <c r="CK119" s="392"/>
      <c r="CL119" s="392"/>
      <c r="CM119" s="392"/>
      <c r="CN119" s="392"/>
      <c r="CO119" s="392"/>
      <c r="CP119" s="392"/>
      <c r="CQ119" s="392"/>
      <c r="CR119" s="392"/>
      <c r="CS119" s="392"/>
      <c r="CT119" s="392"/>
      <c r="CU119" s="392"/>
      <c r="CV119" s="392"/>
      <c r="CW119" s="392"/>
      <c r="CX119" s="392"/>
      <c r="CY119" s="392"/>
      <c r="CZ119" s="392"/>
      <c r="DA119" s="392"/>
      <c r="DB119" s="392"/>
      <c r="DC119" s="392"/>
      <c r="DD119" s="392"/>
      <c r="DE119" s="392"/>
      <c r="DF119" s="392"/>
      <c r="DG119" s="392"/>
      <c r="DH119" s="392"/>
      <c r="DI119" s="392"/>
      <c r="DJ119" s="392"/>
      <c r="DK119" s="392"/>
      <c r="DL119" s="392"/>
      <c r="DM119" s="392"/>
      <c r="DN119" s="392"/>
      <c r="DO119" s="392"/>
      <c r="DP119" s="392"/>
      <c r="DQ119" s="392"/>
      <c r="DR119" s="392"/>
      <c r="DS119" s="392"/>
      <c r="DT119" s="392"/>
      <c r="DU119" s="392"/>
      <c r="DV119" s="392"/>
      <c r="DW119" s="392"/>
      <c r="DX119" s="392"/>
      <c r="DY119" s="392"/>
      <c r="DZ119" s="392"/>
      <c r="EA119" s="392"/>
      <c r="EB119" s="392"/>
      <c r="EC119" s="392"/>
      <c r="ED119" s="392"/>
      <c r="EE119" s="392"/>
      <c r="EF119" s="392"/>
      <c r="EG119" s="392"/>
      <c r="EH119" s="392"/>
      <c r="EI119" s="392"/>
      <c r="EJ119" s="392"/>
      <c r="EK119" s="392"/>
      <c r="EL119" s="392"/>
      <c r="EM119" s="392"/>
      <c r="EN119" s="392"/>
      <c r="EO119" s="392"/>
      <c r="EP119" s="392"/>
      <c r="EQ119" s="392"/>
      <c r="ER119" s="392"/>
      <c r="ES119" s="392"/>
      <c r="ET119" s="392"/>
      <c r="EU119" s="392"/>
      <c r="EV119" s="392"/>
      <c r="EW119" s="392"/>
      <c r="EX119" s="392"/>
      <c r="EY119" s="392"/>
      <c r="EZ119" s="392"/>
      <c r="FA119" s="392"/>
      <c r="FB119" s="392"/>
      <c r="FC119" s="392"/>
      <c r="FD119" s="392"/>
      <c r="FE119" s="392"/>
      <c r="FF119" s="392"/>
      <c r="FG119" s="392"/>
      <c r="FH119" s="392"/>
      <c r="FI119" s="392"/>
      <c r="FJ119" s="392"/>
      <c r="FK119" s="392"/>
      <c r="FL119" s="392"/>
      <c r="FM119" s="392"/>
      <c r="FN119" s="392"/>
      <c r="FO119" s="392"/>
      <c r="FP119" s="392"/>
      <c r="FQ119" s="392"/>
      <c r="FR119" s="392"/>
      <c r="FS119" s="392"/>
      <c r="FT119" s="392"/>
      <c r="FU119" s="392"/>
      <c r="FV119" s="392"/>
      <c r="FW119" s="392"/>
      <c r="FX119" s="392"/>
      <c r="FY119" s="392"/>
      <c r="FZ119" s="392"/>
      <c r="GA119" s="392"/>
      <c r="GB119" s="392"/>
      <c r="GC119" s="392"/>
      <c r="GD119" s="392"/>
      <c r="GE119" s="392"/>
      <c r="GF119" s="392"/>
      <c r="GG119" s="392"/>
      <c r="GH119" s="392"/>
      <c r="GI119" s="392"/>
      <c r="GJ119" s="392"/>
      <c r="GK119" s="392"/>
      <c r="GL119" s="392"/>
      <c r="GM119" s="392"/>
      <c r="GN119" s="392"/>
      <c r="GO119" s="392"/>
      <c r="GP119" s="392"/>
      <c r="GQ119" s="392"/>
      <c r="GR119" s="392"/>
      <c r="GS119" s="392"/>
      <c r="GT119" s="392"/>
      <c r="GU119" s="392"/>
      <c r="GV119" s="392"/>
      <c r="GW119" s="392"/>
      <c r="GX119" s="392"/>
      <c r="GY119" s="392"/>
      <c r="GZ119" s="392"/>
      <c r="HA119" s="392"/>
      <c r="HB119" s="392"/>
      <c r="HC119" s="392"/>
      <c r="HD119" s="392"/>
      <c r="HE119" s="392"/>
      <c r="HF119" s="392"/>
      <c r="HG119" s="392"/>
      <c r="HH119" s="392"/>
      <c r="HI119" s="392"/>
      <c r="HJ119" s="392"/>
      <c r="HK119" s="392"/>
      <c r="HL119" s="392"/>
      <c r="HM119" s="392"/>
      <c r="HN119" s="392"/>
      <c r="HO119" s="392"/>
      <c r="HP119" s="392"/>
      <c r="HQ119" s="392"/>
      <c r="HR119" s="392"/>
      <c r="HS119" s="392"/>
      <c r="HT119" s="392"/>
      <c r="HU119" s="392"/>
      <c r="HV119" s="392"/>
      <c r="HW119" s="392"/>
      <c r="HX119" s="392"/>
      <c r="HY119" s="392"/>
      <c r="HZ119" s="392"/>
      <c r="IA119" s="392"/>
      <c r="IB119" s="392"/>
      <c r="IC119" s="392"/>
      <c r="ID119" s="392"/>
      <c r="IE119" s="392"/>
      <c r="IF119" s="392"/>
      <c r="IG119" s="392"/>
      <c r="IH119" s="392"/>
      <c r="II119" s="392"/>
      <c r="IJ119" s="392"/>
      <c r="IK119" s="392"/>
      <c r="IL119" s="392"/>
      <c r="IM119" s="392"/>
      <c r="IN119" s="392"/>
      <c r="IO119" s="392"/>
      <c r="IP119" s="392"/>
      <c r="IQ119" s="392"/>
      <c r="IR119" s="392"/>
      <c r="IS119" s="392"/>
      <c r="IT119" s="392"/>
      <c r="IU119" s="392"/>
      <c r="IV119" s="392"/>
      <c r="IW119" s="392"/>
      <c r="IX119" s="392"/>
      <c r="IY119" s="392"/>
      <c r="IZ119" s="392"/>
      <c r="JA119" s="392"/>
      <c r="JB119" s="392"/>
      <c r="JC119" s="392"/>
      <c r="JD119" s="392"/>
      <c r="JE119" s="392"/>
      <c r="JF119" s="392"/>
      <c r="JG119" s="392"/>
      <c r="JH119" s="392"/>
      <c r="JI119" s="393">
        <f t="shared" si="3"/>
        <v>0</v>
      </c>
      <c r="JJ119" s="2">
        <v>6279</v>
      </c>
      <c r="JK119" s="392">
        <f t="shared" si="4"/>
        <v>0</v>
      </c>
      <c r="JL119" s="284"/>
      <c r="JM119" s="284"/>
      <c r="JN119" s="284"/>
      <c r="JO119" s="284"/>
      <c r="JP119" s="284"/>
    </row>
    <row r="120" spans="1:276" x14ac:dyDescent="0.3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2"/>
      <c r="M120" s="392"/>
      <c r="N120" s="392"/>
      <c r="O120" s="392"/>
      <c r="P120" s="392"/>
      <c r="Q120" s="392"/>
      <c r="R120" s="392"/>
      <c r="S120" s="392"/>
      <c r="T120" s="392"/>
      <c r="U120" s="392"/>
      <c r="V120" s="392"/>
      <c r="W120" s="392"/>
      <c r="X120" s="392"/>
      <c r="Y120" s="392"/>
      <c r="Z120" s="392"/>
      <c r="AA120" s="392"/>
      <c r="AB120" s="392"/>
      <c r="AC120" s="392"/>
      <c r="AD120" s="392"/>
      <c r="AE120" s="392"/>
      <c r="AF120" s="392"/>
      <c r="AG120" s="392"/>
      <c r="AH120" s="392"/>
      <c r="AI120" s="392"/>
      <c r="AJ120" s="392"/>
      <c r="AK120" s="392"/>
      <c r="AL120" s="392"/>
      <c r="AM120" s="392"/>
      <c r="AN120" s="392"/>
      <c r="AO120" s="392"/>
      <c r="AP120" s="392"/>
      <c r="AQ120" s="392"/>
      <c r="AR120" s="392"/>
      <c r="AS120" s="392"/>
      <c r="AT120" s="392"/>
      <c r="AU120" s="392"/>
      <c r="AV120" s="392"/>
      <c r="AW120" s="392"/>
      <c r="AX120" s="392"/>
      <c r="AY120" s="392"/>
      <c r="AZ120" s="392"/>
      <c r="BA120" s="392"/>
      <c r="BB120" s="392"/>
      <c r="BC120" s="392"/>
      <c r="BD120" s="392"/>
      <c r="BE120" s="392"/>
      <c r="BF120" s="392"/>
      <c r="BG120" s="392"/>
      <c r="BH120" s="392"/>
      <c r="BI120" s="392"/>
      <c r="BJ120" s="392"/>
      <c r="BK120" s="392"/>
      <c r="BL120" s="392"/>
      <c r="BM120" s="392"/>
      <c r="BN120" s="392"/>
      <c r="BO120" s="392"/>
      <c r="BP120" s="392"/>
      <c r="BQ120" s="392"/>
      <c r="BR120" s="392"/>
      <c r="BS120" s="392"/>
      <c r="BT120" s="392"/>
      <c r="BU120" s="392"/>
      <c r="BV120" s="392"/>
      <c r="BW120" s="392"/>
      <c r="BX120" s="392"/>
      <c r="BY120" s="392"/>
      <c r="BZ120" s="392"/>
      <c r="CA120" s="392"/>
      <c r="CB120" s="392"/>
      <c r="CC120" s="392"/>
      <c r="CD120" s="392"/>
      <c r="CE120" s="392"/>
      <c r="CF120" s="392"/>
      <c r="CG120" s="392"/>
      <c r="CH120" s="392"/>
      <c r="CI120" s="392"/>
      <c r="CJ120" s="392"/>
      <c r="CK120" s="392"/>
      <c r="CL120" s="392"/>
      <c r="CM120" s="392"/>
      <c r="CN120" s="392"/>
      <c r="CO120" s="392"/>
      <c r="CP120" s="392"/>
      <c r="CQ120" s="392"/>
      <c r="CR120" s="392"/>
      <c r="CS120" s="392"/>
      <c r="CT120" s="392"/>
      <c r="CU120" s="392"/>
      <c r="CV120" s="392"/>
      <c r="CW120" s="392"/>
      <c r="CX120" s="392"/>
      <c r="CY120" s="392"/>
      <c r="CZ120" s="392"/>
      <c r="DA120" s="392"/>
      <c r="DB120" s="392"/>
      <c r="DC120" s="392"/>
      <c r="DD120" s="392"/>
      <c r="DE120" s="392"/>
      <c r="DF120" s="392"/>
      <c r="DG120" s="392"/>
      <c r="DH120" s="392"/>
      <c r="DI120" s="392"/>
      <c r="DJ120" s="392"/>
      <c r="DK120" s="392"/>
      <c r="DL120" s="392"/>
      <c r="DM120" s="392"/>
      <c r="DN120" s="392"/>
      <c r="DO120" s="392"/>
      <c r="DP120" s="392"/>
      <c r="DQ120" s="392"/>
      <c r="DR120" s="392"/>
      <c r="DS120" s="392"/>
      <c r="DT120" s="392"/>
      <c r="DU120" s="392"/>
      <c r="DV120" s="392"/>
      <c r="DW120" s="392"/>
      <c r="DX120" s="392"/>
      <c r="DY120" s="392"/>
      <c r="DZ120" s="392"/>
      <c r="EA120" s="392"/>
      <c r="EB120" s="392"/>
      <c r="EC120" s="392"/>
      <c r="ED120" s="392"/>
      <c r="EE120" s="392"/>
      <c r="EF120" s="392"/>
      <c r="EG120" s="392"/>
      <c r="EH120" s="392"/>
      <c r="EI120" s="392"/>
      <c r="EJ120" s="392"/>
      <c r="EK120" s="392"/>
      <c r="EL120" s="392"/>
      <c r="EM120" s="392"/>
      <c r="EN120" s="392"/>
      <c r="EO120" s="392"/>
      <c r="EP120" s="392"/>
      <c r="EQ120" s="392"/>
      <c r="ER120" s="392"/>
      <c r="ES120" s="392"/>
      <c r="ET120" s="392"/>
      <c r="EU120" s="392"/>
      <c r="EV120" s="392"/>
      <c r="EW120" s="392"/>
      <c r="EX120" s="392"/>
      <c r="EY120" s="392"/>
      <c r="EZ120" s="392"/>
      <c r="FA120" s="392"/>
      <c r="FB120" s="392"/>
      <c r="FC120" s="392"/>
      <c r="FD120" s="392"/>
      <c r="FE120" s="392"/>
      <c r="FF120" s="392"/>
      <c r="FG120" s="392"/>
      <c r="FH120" s="392"/>
      <c r="FI120" s="392"/>
      <c r="FJ120" s="392"/>
      <c r="FK120" s="392"/>
      <c r="FL120" s="392"/>
      <c r="FM120" s="392"/>
      <c r="FN120" s="392"/>
      <c r="FO120" s="392"/>
      <c r="FP120" s="392"/>
      <c r="FQ120" s="392"/>
      <c r="FR120" s="392"/>
      <c r="FS120" s="392"/>
      <c r="FT120" s="392"/>
      <c r="FU120" s="392"/>
      <c r="FV120" s="392"/>
      <c r="FW120" s="392"/>
      <c r="FX120" s="392"/>
      <c r="FY120" s="392"/>
      <c r="FZ120" s="392"/>
      <c r="GA120" s="392"/>
      <c r="GB120" s="392"/>
      <c r="GC120" s="392"/>
      <c r="GD120" s="392"/>
      <c r="GE120" s="392"/>
      <c r="GF120" s="392"/>
      <c r="GG120" s="392"/>
      <c r="GH120" s="392"/>
      <c r="GI120" s="392"/>
      <c r="GJ120" s="392"/>
      <c r="GK120" s="392"/>
      <c r="GL120" s="392"/>
      <c r="GM120" s="392"/>
      <c r="GN120" s="392"/>
      <c r="GO120" s="392"/>
      <c r="GP120" s="392"/>
      <c r="GQ120" s="392"/>
      <c r="GR120" s="392"/>
      <c r="GS120" s="392"/>
      <c r="GT120" s="392"/>
      <c r="GU120" s="392"/>
      <c r="GV120" s="392"/>
      <c r="GW120" s="392"/>
      <c r="GX120" s="392"/>
      <c r="GY120" s="392"/>
      <c r="GZ120" s="392"/>
      <c r="HA120" s="392"/>
      <c r="HB120" s="392"/>
      <c r="HC120" s="392"/>
      <c r="HD120" s="392"/>
      <c r="HE120" s="392"/>
      <c r="HF120" s="392"/>
      <c r="HG120" s="392"/>
      <c r="HH120" s="392"/>
      <c r="HI120" s="392"/>
      <c r="HJ120" s="392"/>
      <c r="HK120" s="392"/>
      <c r="HL120" s="392"/>
      <c r="HM120" s="392"/>
      <c r="HN120" s="392"/>
      <c r="HO120" s="392"/>
      <c r="HP120" s="392"/>
      <c r="HQ120" s="392"/>
      <c r="HR120" s="392"/>
      <c r="HS120" s="392"/>
      <c r="HT120" s="392"/>
      <c r="HU120" s="392"/>
      <c r="HV120" s="392"/>
      <c r="HW120" s="392"/>
      <c r="HX120" s="392"/>
      <c r="HY120" s="392"/>
      <c r="HZ120" s="392"/>
      <c r="IA120" s="392"/>
      <c r="IB120" s="392"/>
      <c r="IC120" s="392"/>
      <c r="ID120" s="392"/>
      <c r="IE120" s="392"/>
      <c r="IF120" s="392"/>
      <c r="IG120" s="392"/>
      <c r="IH120" s="392"/>
      <c r="II120" s="392"/>
      <c r="IJ120" s="392"/>
      <c r="IK120" s="392"/>
      <c r="IL120" s="392"/>
      <c r="IM120" s="392"/>
      <c r="IN120" s="392"/>
      <c r="IO120" s="392"/>
      <c r="IP120" s="392"/>
      <c r="IQ120" s="392"/>
      <c r="IR120" s="392"/>
      <c r="IS120" s="392"/>
      <c r="IT120" s="392"/>
      <c r="IU120" s="392"/>
      <c r="IV120" s="392"/>
      <c r="IW120" s="392"/>
      <c r="IX120" s="392"/>
      <c r="IY120" s="392"/>
      <c r="IZ120" s="392"/>
      <c r="JA120" s="392"/>
      <c r="JB120" s="392"/>
      <c r="JC120" s="392"/>
      <c r="JD120" s="392"/>
      <c r="JE120" s="392"/>
      <c r="JF120" s="392"/>
      <c r="JG120" s="392"/>
      <c r="JH120" s="392"/>
      <c r="JI120" s="393">
        <f t="shared" si="3"/>
        <v>0</v>
      </c>
      <c r="JJ120" s="2">
        <v>6281</v>
      </c>
      <c r="JK120" s="392">
        <f t="shared" si="4"/>
        <v>0</v>
      </c>
      <c r="JL120" s="284"/>
      <c r="JM120" s="284"/>
      <c r="JN120" s="284"/>
      <c r="JO120" s="284"/>
      <c r="JP120" s="284"/>
    </row>
    <row r="121" spans="1:276" x14ac:dyDescent="0.3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  <c r="Q121" s="392"/>
      <c r="R121" s="392"/>
      <c r="S121" s="392"/>
      <c r="T121" s="392"/>
      <c r="U121" s="392"/>
      <c r="V121" s="392"/>
      <c r="W121" s="392"/>
      <c r="X121" s="392"/>
      <c r="Y121" s="392"/>
      <c r="Z121" s="392"/>
      <c r="AA121" s="392"/>
      <c r="AB121" s="392"/>
      <c r="AC121" s="392"/>
      <c r="AD121" s="392"/>
      <c r="AE121" s="392"/>
      <c r="AF121" s="392"/>
      <c r="AG121" s="392"/>
      <c r="AH121" s="392"/>
      <c r="AI121" s="392"/>
      <c r="AJ121" s="392"/>
      <c r="AK121" s="392"/>
      <c r="AL121" s="392"/>
      <c r="AM121" s="392"/>
      <c r="AN121" s="392"/>
      <c r="AO121" s="392"/>
      <c r="AP121" s="392"/>
      <c r="AQ121" s="392"/>
      <c r="AR121" s="392"/>
      <c r="AS121" s="392"/>
      <c r="AT121" s="392"/>
      <c r="AU121" s="392"/>
      <c r="AV121" s="392"/>
      <c r="AW121" s="392"/>
      <c r="AX121" s="392"/>
      <c r="AY121" s="392"/>
      <c r="AZ121" s="392"/>
      <c r="BA121" s="392"/>
      <c r="BB121" s="392"/>
      <c r="BC121" s="392"/>
      <c r="BD121" s="392"/>
      <c r="BE121" s="392"/>
      <c r="BF121" s="392"/>
      <c r="BG121" s="392"/>
      <c r="BH121" s="392"/>
      <c r="BI121" s="392"/>
      <c r="BJ121" s="392"/>
      <c r="BK121" s="392"/>
      <c r="BL121" s="392"/>
      <c r="BM121" s="392"/>
      <c r="BN121" s="392"/>
      <c r="BO121" s="392"/>
      <c r="BP121" s="392"/>
      <c r="BQ121" s="392"/>
      <c r="BR121" s="392"/>
      <c r="BS121" s="392"/>
      <c r="BT121" s="392"/>
      <c r="BU121" s="392"/>
      <c r="BV121" s="392"/>
      <c r="BW121" s="392"/>
      <c r="BX121" s="392"/>
      <c r="BY121" s="392"/>
      <c r="BZ121" s="392"/>
      <c r="CA121" s="392"/>
      <c r="CB121" s="392"/>
      <c r="CC121" s="392"/>
      <c r="CD121" s="392"/>
      <c r="CE121" s="392"/>
      <c r="CF121" s="392"/>
      <c r="CG121" s="392"/>
      <c r="CH121" s="392"/>
      <c r="CI121" s="392"/>
      <c r="CJ121" s="392"/>
      <c r="CK121" s="392"/>
      <c r="CL121" s="392"/>
      <c r="CM121" s="392"/>
      <c r="CN121" s="392"/>
      <c r="CO121" s="392"/>
      <c r="CP121" s="392"/>
      <c r="CQ121" s="392"/>
      <c r="CR121" s="392"/>
      <c r="CS121" s="392"/>
      <c r="CT121" s="392"/>
      <c r="CU121" s="392"/>
      <c r="CV121" s="392"/>
      <c r="CW121" s="392"/>
      <c r="CX121" s="392"/>
      <c r="CY121" s="392"/>
      <c r="CZ121" s="392"/>
      <c r="DA121" s="392"/>
      <c r="DB121" s="392"/>
      <c r="DC121" s="392"/>
      <c r="DD121" s="392"/>
      <c r="DE121" s="392"/>
      <c r="DF121" s="392"/>
      <c r="DG121" s="392"/>
      <c r="DH121" s="392"/>
      <c r="DI121" s="392"/>
      <c r="DJ121" s="392"/>
      <c r="DK121" s="392"/>
      <c r="DL121" s="392"/>
      <c r="DM121" s="392"/>
      <c r="DN121" s="392"/>
      <c r="DO121" s="392"/>
      <c r="DP121" s="392"/>
      <c r="DQ121" s="392"/>
      <c r="DR121" s="392"/>
      <c r="DS121" s="392"/>
      <c r="DT121" s="392"/>
      <c r="DU121" s="392"/>
      <c r="DV121" s="392"/>
      <c r="DW121" s="392"/>
      <c r="DX121" s="392"/>
      <c r="DY121" s="392"/>
      <c r="DZ121" s="392"/>
      <c r="EA121" s="392"/>
      <c r="EB121" s="392"/>
      <c r="EC121" s="392"/>
      <c r="ED121" s="392"/>
      <c r="EE121" s="392"/>
      <c r="EF121" s="392"/>
      <c r="EG121" s="392"/>
      <c r="EH121" s="392"/>
      <c r="EI121" s="392"/>
      <c r="EJ121" s="392"/>
      <c r="EK121" s="392"/>
      <c r="EL121" s="392"/>
      <c r="EM121" s="392"/>
      <c r="EN121" s="392"/>
      <c r="EO121" s="392"/>
      <c r="EP121" s="392"/>
      <c r="EQ121" s="392"/>
      <c r="ER121" s="392"/>
      <c r="ES121" s="392"/>
      <c r="ET121" s="392"/>
      <c r="EU121" s="392"/>
      <c r="EV121" s="392"/>
      <c r="EW121" s="392"/>
      <c r="EX121" s="392"/>
      <c r="EY121" s="392"/>
      <c r="EZ121" s="392"/>
      <c r="FA121" s="392"/>
      <c r="FB121" s="392"/>
      <c r="FC121" s="392"/>
      <c r="FD121" s="392"/>
      <c r="FE121" s="392"/>
      <c r="FF121" s="392"/>
      <c r="FG121" s="392"/>
      <c r="FH121" s="392"/>
      <c r="FI121" s="392"/>
      <c r="FJ121" s="392"/>
      <c r="FK121" s="392"/>
      <c r="FL121" s="392"/>
      <c r="FM121" s="392"/>
      <c r="FN121" s="392"/>
      <c r="FO121" s="392"/>
      <c r="FP121" s="392"/>
      <c r="FQ121" s="392"/>
      <c r="FR121" s="392"/>
      <c r="FS121" s="392"/>
      <c r="FT121" s="392"/>
      <c r="FU121" s="392"/>
      <c r="FV121" s="392"/>
      <c r="FW121" s="392"/>
      <c r="FX121" s="392"/>
      <c r="FY121" s="392"/>
      <c r="FZ121" s="392"/>
      <c r="GA121" s="392"/>
      <c r="GB121" s="392"/>
      <c r="GC121" s="392"/>
      <c r="GD121" s="392"/>
      <c r="GE121" s="392"/>
      <c r="GF121" s="392"/>
      <c r="GG121" s="392"/>
      <c r="GH121" s="392"/>
      <c r="GI121" s="392"/>
      <c r="GJ121" s="392"/>
      <c r="GK121" s="392"/>
      <c r="GL121" s="392"/>
      <c r="GM121" s="392"/>
      <c r="GN121" s="392"/>
      <c r="GO121" s="392"/>
      <c r="GP121" s="392"/>
      <c r="GQ121" s="392"/>
      <c r="GR121" s="392"/>
      <c r="GS121" s="392"/>
      <c r="GT121" s="392"/>
      <c r="GU121" s="392"/>
      <c r="GV121" s="392"/>
      <c r="GW121" s="392"/>
      <c r="GX121" s="392"/>
      <c r="GY121" s="392"/>
      <c r="GZ121" s="392"/>
      <c r="HA121" s="392"/>
      <c r="HB121" s="392"/>
      <c r="HC121" s="392"/>
      <c r="HD121" s="392"/>
      <c r="HE121" s="392"/>
      <c r="HF121" s="392"/>
      <c r="HG121" s="392"/>
      <c r="HH121" s="392"/>
      <c r="HI121" s="392"/>
      <c r="HJ121" s="392"/>
      <c r="HK121" s="392"/>
      <c r="HL121" s="392"/>
      <c r="HM121" s="392"/>
      <c r="HN121" s="392"/>
      <c r="HO121" s="392"/>
      <c r="HP121" s="392"/>
      <c r="HQ121" s="392"/>
      <c r="HR121" s="392"/>
      <c r="HS121" s="392"/>
      <c r="HT121" s="392"/>
      <c r="HU121" s="392"/>
      <c r="HV121" s="392"/>
      <c r="HW121" s="392"/>
      <c r="HX121" s="392"/>
      <c r="HY121" s="392"/>
      <c r="HZ121" s="392"/>
      <c r="IA121" s="392"/>
      <c r="IB121" s="392"/>
      <c r="IC121" s="392"/>
      <c r="ID121" s="392"/>
      <c r="IE121" s="392"/>
      <c r="IF121" s="392"/>
      <c r="IG121" s="392"/>
      <c r="IH121" s="392"/>
      <c r="II121" s="392"/>
      <c r="IJ121" s="392"/>
      <c r="IK121" s="392"/>
      <c r="IL121" s="392"/>
      <c r="IM121" s="392"/>
      <c r="IN121" s="392"/>
      <c r="IO121" s="392"/>
      <c r="IP121" s="392"/>
      <c r="IQ121" s="392"/>
      <c r="IR121" s="392"/>
      <c r="IS121" s="392"/>
      <c r="IT121" s="392"/>
      <c r="IU121" s="392"/>
      <c r="IV121" s="392"/>
      <c r="IW121" s="392"/>
      <c r="IX121" s="392"/>
      <c r="IY121" s="392"/>
      <c r="IZ121" s="392"/>
      <c r="JA121" s="392"/>
      <c r="JB121" s="392"/>
      <c r="JC121" s="392"/>
      <c r="JD121" s="392"/>
      <c r="JE121" s="392"/>
      <c r="JF121" s="392"/>
      <c r="JG121" s="392"/>
      <c r="JH121" s="392"/>
      <c r="JI121" s="393">
        <f t="shared" si="3"/>
        <v>0</v>
      </c>
      <c r="JJ121" s="2">
        <v>6285</v>
      </c>
      <c r="JK121" s="392">
        <f t="shared" si="4"/>
        <v>0</v>
      </c>
      <c r="JL121" s="284"/>
      <c r="JM121" s="284"/>
      <c r="JN121" s="284"/>
      <c r="JO121" s="284"/>
      <c r="JP121" s="284"/>
    </row>
    <row r="122" spans="1:276" x14ac:dyDescent="0.3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2"/>
      <c r="M122" s="392"/>
      <c r="N122" s="392"/>
      <c r="O122" s="392"/>
      <c r="P122" s="392"/>
      <c r="Q122" s="392"/>
      <c r="R122" s="392"/>
      <c r="S122" s="392"/>
      <c r="T122" s="392"/>
      <c r="U122" s="392"/>
      <c r="V122" s="392"/>
      <c r="W122" s="392"/>
      <c r="X122" s="392"/>
      <c r="Y122" s="392"/>
      <c r="Z122" s="392"/>
      <c r="AA122" s="392"/>
      <c r="AB122" s="392"/>
      <c r="AC122" s="392"/>
      <c r="AD122" s="392"/>
      <c r="AE122" s="392"/>
      <c r="AF122" s="392"/>
      <c r="AG122" s="392"/>
      <c r="AH122" s="392"/>
      <c r="AI122" s="392"/>
      <c r="AJ122" s="392"/>
      <c r="AK122" s="392"/>
      <c r="AL122" s="392"/>
      <c r="AM122" s="392"/>
      <c r="AN122" s="392"/>
      <c r="AO122" s="392"/>
      <c r="AP122" s="392"/>
      <c r="AQ122" s="392"/>
      <c r="AR122" s="392"/>
      <c r="AS122" s="392"/>
      <c r="AT122" s="392"/>
      <c r="AU122" s="392"/>
      <c r="AV122" s="392"/>
      <c r="AW122" s="392"/>
      <c r="AX122" s="392"/>
      <c r="AY122" s="392"/>
      <c r="AZ122" s="392"/>
      <c r="BA122" s="392"/>
      <c r="BB122" s="392"/>
      <c r="BC122" s="392"/>
      <c r="BD122" s="392"/>
      <c r="BE122" s="392"/>
      <c r="BF122" s="392"/>
      <c r="BG122" s="392"/>
      <c r="BH122" s="392"/>
      <c r="BI122" s="392"/>
      <c r="BJ122" s="392"/>
      <c r="BK122" s="392"/>
      <c r="BL122" s="392"/>
      <c r="BM122" s="392"/>
      <c r="BN122" s="392"/>
      <c r="BO122" s="392"/>
      <c r="BP122" s="392"/>
      <c r="BQ122" s="392"/>
      <c r="BR122" s="392"/>
      <c r="BS122" s="392"/>
      <c r="BT122" s="392"/>
      <c r="BU122" s="392"/>
      <c r="BV122" s="392"/>
      <c r="BW122" s="392"/>
      <c r="BX122" s="392"/>
      <c r="BY122" s="392"/>
      <c r="BZ122" s="392"/>
      <c r="CA122" s="392"/>
      <c r="CB122" s="392"/>
      <c r="CC122" s="392"/>
      <c r="CD122" s="392"/>
      <c r="CE122" s="392"/>
      <c r="CF122" s="392"/>
      <c r="CG122" s="392"/>
      <c r="CH122" s="392"/>
      <c r="CI122" s="392"/>
      <c r="CJ122" s="392"/>
      <c r="CK122" s="392"/>
      <c r="CL122" s="392"/>
      <c r="CM122" s="392"/>
      <c r="CN122" s="392"/>
      <c r="CO122" s="392"/>
      <c r="CP122" s="392"/>
      <c r="CQ122" s="392"/>
      <c r="CR122" s="392"/>
      <c r="CS122" s="392"/>
      <c r="CT122" s="392"/>
      <c r="CU122" s="392"/>
      <c r="CV122" s="392"/>
      <c r="CW122" s="392"/>
      <c r="CX122" s="392"/>
      <c r="CY122" s="392"/>
      <c r="CZ122" s="392"/>
      <c r="DA122" s="392"/>
      <c r="DB122" s="392"/>
      <c r="DC122" s="392"/>
      <c r="DD122" s="392"/>
      <c r="DE122" s="392"/>
      <c r="DF122" s="392"/>
      <c r="DG122" s="392"/>
      <c r="DH122" s="392"/>
      <c r="DI122" s="392"/>
      <c r="DJ122" s="392"/>
      <c r="DK122" s="392"/>
      <c r="DL122" s="392"/>
      <c r="DM122" s="392"/>
      <c r="DN122" s="392"/>
      <c r="DO122" s="392"/>
      <c r="DP122" s="392"/>
      <c r="DQ122" s="392"/>
      <c r="DR122" s="392"/>
      <c r="DS122" s="392"/>
      <c r="DT122" s="392"/>
      <c r="DU122" s="392"/>
      <c r="DV122" s="392"/>
      <c r="DW122" s="392"/>
      <c r="DX122" s="392"/>
      <c r="DY122" s="392"/>
      <c r="DZ122" s="392"/>
      <c r="EA122" s="392"/>
      <c r="EB122" s="392"/>
      <c r="EC122" s="392"/>
      <c r="ED122" s="392"/>
      <c r="EE122" s="392"/>
      <c r="EF122" s="392"/>
      <c r="EG122" s="392"/>
      <c r="EH122" s="392"/>
      <c r="EI122" s="392"/>
      <c r="EJ122" s="392"/>
      <c r="EK122" s="392"/>
      <c r="EL122" s="392"/>
      <c r="EM122" s="392"/>
      <c r="EN122" s="392"/>
      <c r="EO122" s="392"/>
      <c r="EP122" s="392"/>
      <c r="EQ122" s="392"/>
      <c r="ER122" s="392"/>
      <c r="ES122" s="392"/>
      <c r="ET122" s="392"/>
      <c r="EU122" s="392"/>
      <c r="EV122" s="392"/>
      <c r="EW122" s="392"/>
      <c r="EX122" s="392"/>
      <c r="EY122" s="392"/>
      <c r="EZ122" s="392"/>
      <c r="FA122" s="392"/>
      <c r="FB122" s="392"/>
      <c r="FC122" s="392"/>
      <c r="FD122" s="392"/>
      <c r="FE122" s="392"/>
      <c r="FF122" s="392"/>
      <c r="FG122" s="392"/>
      <c r="FH122" s="392"/>
      <c r="FI122" s="392"/>
      <c r="FJ122" s="392"/>
      <c r="FK122" s="392"/>
      <c r="FL122" s="392"/>
      <c r="FM122" s="392"/>
      <c r="FN122" s="392"/>
      <c r="FO122" s="392"/>
      <c r="FP122" s="392"/>
      <c r="FQ122" s="392"/>
      <c r="FR122" s="392"/>
      <c r="FS122" s="392"/>
      <c r="FT122" s="392"/>
      <c r="FU122" s="392"/>
      <c r="FV122" s="392"/>
      <c r="FW122" s="392"/>
      <c r="FX122" s="392"/>
      <c r="FY122" s="392"/>
      <c r="FZ122" s="392"/>
      <c r="GA122" s="392"/>
      <c r="GB122" s="392"/>
      <c r="GC122" s="392"/>
      <c r="GD122" s="392"/>
      <c r="GE122" s="392"/>
      <c r="GF122" s="392"/>
      <c r="GG122" s="392"/>
      <c r="GH122" s="392"/>
      <c r="GI122" s="392"/>
      <c r="GJ122" s="392"/>
      <c r="GK122" s="392"/>
      <c r="GL122" s="392"/>
      <c r="GM122" s="392"/>
      <c r="GN122" s="392"/>
      <c r="GO122" s="392"/>
      <c r="GP122" s="392"/>
      <c r="GQ122" s="392"/>
      <c r="GR122" s="392"/>
      <c r="GS122" s="392"/>
      <c r="GT122" s="392"/>
      <c r="GU122" s="392"/>
      <c r="GV122" s="392"/>
      <c r="GW122" s="392"/>
      <c r="GX122" s="392"/>
      <c r="GY122" s="392"/>
      <c r="GZ122" s="392"/>
      <c r="HA122" s="392"/>
      <c r="HB122" s="392"/>
      <c r="HC122" s="392"/>
      <c r="HD122" s="392"/>
      <c r="HE122" s="392"/>
      <c r="HF122" s="392"/>
      <c r="HG122" s="392"/>
      <c r="HH122" s="392"/>
      <c r="HI122" s="392"/>
      <c r="HJ122" s="392"/>
      <c r="HK122" s="392"/>
      <c r="HL122" s="392"/>
      <c r="HM122" s="392"/>
      <c r="HN122" s="392"/>
      <c r="HO122" s="392"/>
      <c r="HP122" s="392"/>
      <c r="HQ122" s="392"/>
      <c r="HR122" s="392"/>
      <c r="HS122" s="392"/>
      <c r="HT122" s="392"/>
      <c r="HU122" s="392"/>
      <c r="HV122" s="392"/>
      <c r="HW122" s="392"/>
      <c r="HX122" s="392"/>
      <c r="HY122" s="392"/>
      <c r="HZ122" s="392"/>
      <c r="IA122" s="392"/>
      <c r="IB122" s="392"/>
      <c r="IC122" s="392"/>
      <c r="ID122" s="392"/>
      <c r="IE122" s="392"/>
      <c r="IF122" s="392"/>
      <c r="IG122" s="392"/>
      <c r="IH122" s="392"/>
      <c r="II122" s="392"/>
      <c r="IJ122" s="392"/>
      <c r="IK122" s="392"/>
      <c r="IL122" s="392"/>
      <c r="IM122" s="392"/>
      <c r="IN122" s="392"/>
      <c r="IO122" s="392"/>
      <c r="IP122" s="392"/>
      <c r="IQ122" s="392"/>
      <c r="IR122" s="392"/>
      <c r="IS122" s="392"/>
      <c r="IT122" s="392"/>
      <c r="IU122" s="392"/>
      <c r="IV122" s="392"/>
      <c r="IW122" s="392"/>
      <c r="IX122" s="392"/>
      <c r="IY122" s="392"/>
      <c r="IZ122" s="392"/>
      <c r="JA122" s="392"/>
      <c r="JB122" s="392"/>
      <c r="JC122" s="392"/>
      <c r="JD122" s="392"/>
      <c r="JE122" s="392"/>
      <c r="JF122" s="392"/>
      <c r="JG122" s="392"/>
      <c r="JH122" s="392"/>
      <c r="JI122" s="393">
        <f t="shared" si="3"/>
        <v>0</v>
      </c>
      <c r="JJ122" s="2">
        <v>6290</v>
      </c>
      <c r="JK122" s="392">
        <f t="shared" si="4"/>
        <v>0</v>
      </c>
      <c r="JL122" s="284"/>
      <c r="JM122" s="284"/>
      <c r="JN122" s="284"/>
      <c r="JO122" s="284"/>
      <c r="JP122" s="284"/>
    </row>
    <row r="123" spans="1:276" x14ac:dyDescent="0.3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  <c r="Q123" s="392"/>
      <c r="R123" s="392"/>
      <c r="S123" s="392"/>
      <c r="T123" s="392"/>
      <c r="U123" s="392"/>
      <c r="V123" s="392"/>
      <c r="W123" s="392"/>
      <c r="X123" s="392"/>
      <c r="Y123" s="392"/>
      <c r="Z123" s="392"/>
      <c r="AA123" s="392"/>
      <c r="AB123" s="392"/>
      <c r="AC123" s="392"/>
      <c r="AD123" s="392"/>
      <c r="AE123" s="392"/>
      <c r="AF123" s="392"/>
      <c r="AG123" s="392"/>
      <c r="AH123" s="392"/>
      <c r="AI123" s="392"/>
      <c r="AJ123" s="392"/>
      <c r="AK123" s="392"/>
      <c r="AL123" s="392"/>
      <c r="AM123" s="392"/>
      <c r="AN123" s="392"/>
      <c r="AO123" s="392"/>
      <c r="AP123" s="392"/>
      <c r="AQ123" s="392"/>
      <c r="AR123" s="392"/>
      <c r="AS123" s="392"/>
      <c r="AT123" s="392"/>
      <c r="AU123" s="392"/>
      <c r="AV123" s="392"/>
      <c r="AW123" s="392"/>
      <c r="AX123" s="392"/>
      <c r="AY123" s="392"/>
      <c r="AZ123" s="392"/>
      <c r="BA123" s="392"/>
      <c r="BB123" s="392"/>
      <c r="BC123" s="392"/>
      <c r="BD123" s="392"/>
      <c r="BE123" s="392"/>
      <c r="BF123" s="392"/>
      <c r="BG123" s="392"/>
      <c r="BH123" s="392"/>
      <c r="BI123" s="392"/>
      <c r="BJ123" s="392"/>
      <c r="BK123" s="392"/>
      <c r="BL123" s="392"/>
      <c r="BM123" s="392"/>
      <c r="BN123" s="392"/>
      <c r="BO123" s="392"/>
      <c r="BP123" s="392"/>
      <c r="BQ123" s="392"/>
      <c r="BR123" s="392"/>
      <c r="BS123" s="392"/>
      <c r="BT123" s="392"/>
      <c r="BU123" s="392"/>
      <c r="BV123" s="392"/>
      <c r="BW123" s="392"/>
      <c r="BX123" s="392"/>
      <c r="BY123" s="392"/>
      <c r="BZ123" s="392"/>
      <c r="CA123" s="392"/>
      <c r="CB123" s="392"/>
      <c r="CC123" s="392"/>
      <c r="CD123" s="392"/>
      <c r="CE123" s="392"/>
      <c r="CF123" s="392"/>
      <c r="CG123" s="392"/>
      <c r="CH123" s="392"/>
      <c r="CI123" s="392"/>
      <c r="CJ123" s="392"/>
      <c r="CK123" s="392"/>
      <c r="CL123" s="392"/>
      <c r="CM123" s="392"/>
      <c r="CN123" s="392"/>
      <c r="CO123" s="392"/>
      <c r="CP123" s="392"/>
      <c r="CQ123" s="392"/>
      <c r="CR123" s="392"/>
      <c r="CS123" s="392"/>
      <c r="CT123" s="392"/>
      <c r="CU123" s="392"/>
      <c r="CV123" s="392"/>
      <c r="CW123" s="392"/>
      <c r="CX123" s="392"/>
      <c r="CY123" s="392"/>
      <c r="CZ123" s="392"/>
      <c r="DA123" s="392"/>
      <c r="DB123" s="392"/>
      <c r="DC123" s="392"/>
      <c r="DD123" s="392"/>
      <c r="DE123" s="392"/>
      <c r="DF123" s="392"/>
      <c r="DG123" s="392"/>
      <c r="DH123" s="392"/>
      <c r="DI123" s="392"/>
      <c r="DJ123" s="392"/>
      <c r="DK123" s="392"/>
      <c r="DL123" s="392"/>
      <c r="DM123" s="392"/>
      <c r="DN123" s="392"/>
      <c r="DO123" s="392"/>
      <c r="DP123" s="392"/>
      <c r="DQ123" s="392"/>
      <c r="DR123" s="392"/>
      <c r="DS123" s="392"/>
      <c r="DT123" s="392"/>
      <c r="DU123" s="392"/>
      <c r="DV123" s="392"/>
      <c r="DW123" s="392"/>
      <c r="DX123" s="392"/>
      <c r="DY123" s="392"/>
      <c r="DZ123" s="392"/>
      <c r="EA123" s="392"/>
      <c r="EB123" s="392"/>
      <c r="EC123" s="392"/>
      <c r="ED123" s="392"/>
      <c r="EE123" s="392"/>
      <c r="EF123" s="392"/>
      <c r="EG123" s="392"/>
      <c r="EH123" s="392"/>
      <c r="EI123" s="392"/>
      <c r="EJ123" s="392"/>
      <c r="EK123" s="392"/>
      <c r="EL123" s="392"/>
      <c r="EM123" s="392"/>
      <c r="EN123" s="392"/>
      <c r="EO123" s="392"/>
      <c r="EP123" s="392"/>
      <c r="EQ123" s="392"/>
      <c r="ER123" s="392"/>
      <c r="ES123" s="392"/>
      <c r="ET123" s="392"/>
      <c r="EU123" s="392"/>
      <c r="EV123" s="392"/>
      <c r="EW123" s="392"/>
      <c r="EX123" s="392"/>
      <c r="EY123" s="392"/>
      <c r="EZ123" s="392"/>
      <c r="FA123" s="392"/>
      <c r="FB123" s="392"/>
      <c r="FC123" s="392"/>
      <c r="FD123" s="392"/>
      <c r="FE123" s="392"/>
      <c r="FF123" s="392"/>
      <c r="FG123" s="392"/>
      <c r="FH123" s="392"/>
      <c r="FI123" s="392"/>
      <c r="FJ123" s="392"/>
      <c r="FK123" s="392"/>
      <c r="FL123" s="392"/>
      <c r="FM123" s="392"/>
      <c r="FN123" s="392"/>
      <c r="FO123" s="392"/>
      <c r="FP123" s="392"/>
      <c r="FQ123" s="392"/>
      <c r="FR123" s="392"/>
      <c r="FS123" s="392"/>
      <c r="FT123" s="392"/>
      <c r="FU123" s="392"/>
      <c r="FV123" s="392"/>
      <c r="FW123" s="392"/>
      <c r="FX123" s="392"/>
      <c r="FY123" s="392"/>
      <c r="FZ123" s="392"/>
      <c r="GA123" s="392"/>
      <c r="GB123" s="392"/>
      <c r="GC123" s="392"/>
      <c r="GD123" s="392"/>
      <c r="GE123" s="392"/>
      <c r="GF123" s="392"/>
      <c r="GG123" s="392"/>
      <c r="GH123" s="392"/>
      <c r="GI123" s="392"/>
      <c r="GJ123" s="392"/>
      <c r="GK123" s="392"/>
      <c r="GL123" s="392"/>
      <c r="GM123" s="392"/>
      <c r="GN123" s="392"/>
      <c r="GO123" s="392"/>
      <c r="GP123" s="392"/>
      <c r="GQ123" s="392"/>
      <c r="GR123" s="392"/>
      <c r="GS123" s="392"/>
      <c r="GT123" s="392"/>
      <c r="GU123" s="392"/>
      <c r="GV123" s="392"/>
      <c r="GW123" s="392"/>
      <c r="GX123" s="392"/>
      <c r="GY123" s="392"/>
      <c r="GZ123" s="392"/>
      <c r="HA123" s="392"/>
      <c r="HB123" s="392"/>
      <c r="HC123" s="392"/>
      <c r="HD123" s="392"/>
      <c r="HE123" s="392"/>
      <c r="HF123" s="392"/>
      <c r="HG123" s="392"/>
      <c r="HH123" s="392"/>
      <c r="HI123" s="392"/>
      <c r="HJ123" s="392"/>
      <c r="HK123" s="392"/>
      <c r="HL123" s="392"/>
      <c r="HM123" s="392"/>
      <c r="HN123" s="392"/>
      <c r="HO123" s="392"/>
      <c r="HP123" s="392"/>
      <c r="HQ123" s="392"/>
      <c r="HR123" s="392"/>
      <c r="HS123" s="392"/>
      <c r="HT123" s="392"/>
      <c r="HU123" s="392"/>
      <c r="HV123" s="392"/>
      <c r="HW123" s="392"/>
      <c r="HX123" s="392"/>
      <c r="HY123" s="392"/>
      <c r="HZ123" s="392"/>
      <c r="IA123" s="392"/>
      <c r="IB123" s="392"/>
      <c r="IC123" s="392"/>
      <c r="ID123" s="392"/>
      <c r="IE123" s="392"/>
      <c r="IF123" s="392"/>
      <c r="IG123" s="392"/>
      <c r="IH123" s="392"/>
      <c r="II123" s="392"/>
      <c r="IJ123" s="392"/>
      <c r="IK123" s="392"/>
      <c r="IL123" s="392"/>
      <c r="IM123" s="392"/>
      <c r="IN123" s="392"/>
      <c r="IO123" s="392"/>
      <c r="IP123" s="392"/>
      <c r="IQ123" s="392"/>
      <c r="IR123" s="392"/>
      <c r="IS123" s="392"/>
      <c r="IT123" s="392"/>
      <c r="IU123" s="392"/>
      <c r="IV123" s="392"/>
      <c r="IW123" s="392"/>
      <c r="IX123" s="392"/>
      <c r="IY123" s="392"/>
      <c r="IZ123" s="392"/>
      <c r="JA123" s="392"/>
      <c r="JB123" s="392"/>
      <c r="JC123" s="392"/>
      <c r="JD123" s="392"/>
      <c r="JE123" s="392"/>
      <c r="JF123" s="392"/>
      <c r="JG123" s="392"/>
      <c r="JH123" s="392"/>
      <c r="JI123" s="393">
        <f t="shared" si="3"/>
        <v>0</v>
      </c>
      <c r="JJ123" s="2">
        <v>6296</v>
      </c>
      <c r="JK123" s="392">
        <f t="shared" si="4"/>
        <v>0</v>
      </c>
      <c r="JL123" s="284"/>
      <c r="JM123" s="284"/>
      <c r="JN123" s="284"/>
      <c r="JO123" s="284"/>
      <c r="JP123" s="284"/>
    </row>
    <row r="124" spans="1:276" x14ac:dyDescent="0.3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2"/>
      <c r="M124" s="392"/>
      <c r="N124" s="392"/>
      <c r="O124" s="392"/>
      <c r="P124" s="392"/>
      <c r="Q124" s="392"/>
      <c r="R124" s="392"/>
      <c r="S124" s="392"/>
      <c r="T124" s="392"/>
      <c r="U124" s="392"/>
      <c r="V124" s="392"/>
      <c r="W124" s="392"/>
      <c r="X124" s="392"/>
      <c r="Y124" s="392"/>
      <c r="Z124" s="392"/>
      <c r="AA124" s="392"/>
      <c r="AB124" s="392"/>
      <c r="AC124" s="392"/>
      <c r="AD124" s="392"/>
      <c r="AE124" s="392"/>
      <c r="AF124" s="392"/>
      <c r="AG124" s="392"/>
      <c r="AH124" s="392"/>
      <c r="AI124" s="392"/>
      <c r="AJ124" s="392"/>
      <c r="AK124" s="392"/>
      <c r="AL124" s="392"/>
      <c r="AM124" s="392"/>
      <c r="AN124" s="392"/>
      <c r="AO124" s="392"/>
      <c r="AP124" s="392"/>
      <c r="AQ124" s="392"/>
      <c r="AR124" s="392"/>
      <c r="AS124" s="392"/>
      <c r="AT124" s="392"/>
      <c r="AU124" s="392"/>
      <c r="AV124" s="392"/>
      <c r="AW124" s="392"/>
      <c r="AX124" s="392"/>
      <c r="AY124" s="392"/>
      <c r="AZ124" s="392"/>
      <c r="BA124" s="392"/>
      <c r="BB124" s="392"/>
      <c r="BC124" s="392"/>
      <c r="BD124" s="392"/>
      <c r="BE124" s="392"/>
      <c r="BF124" s="392"/>
      <c r="BG124" s="392"/>
      <c r="BH124" s="392"/>
      <c r="BI124" s="392"/>
      <c r="BJ124" s="392"/>
      <c r="BK124" s="392"/>
      <c r="BL124" s="392"/>
      <c r="BM124" s="392"/>
      <c r="BN124" s="392"/>
      <c r="BO124" s="392"/>
      <c r="BP124" s="392"/>
      <c r="BQ124" s="392"/>
      <c r="BR124" s="392"/>
      <c r="BS124" s="392"/>
      <c r="BT124" s="392"/>
      <c r="BU124" s="392"/>
      <c r="BV124" s="392"/>
      <c r="BW124" s="392"/>
      <c r="BX124" s="392"/>
      <c r="BY124" s="392"/>
      <c r="BZ124" s="392"/>
      <c r="CA124" s="392"/>
      <c r="CB124" s="392"/>
      <c r="CC124" s="392"/>
      <c r="CD124" s="392"/>
      <c r="CE124" s="392"/>
      <c r="CF124" s="392"/>
      <c r="CG124" s="392"/>
      <c r="CH124" s="392"/>
      <c r="CI124" s="392"/>
      <c r="CJ124" s="392"/>
      <c r="CK124" s="392"/>
      <c r="CL124" s="392"/>
      <c r="CM124" s="392"/>
      <c r="CN124" s="392"/>
      <c r="CO124" s="392"/>
      <c r="CP124" s="392"/>
      <c r="CQ124" s="392"/>
      <c r="CR124" s="392"/>
      <c r="CS124" s="392"/>
      <c r="CT124" s="392"/>
      <c r="CU124" s="392"/>
      <c r="CV124" s="392"/>
      <c r="CW124" s="392"/>
      <c r="CX124" s="392"/>
      <c r="CY124" s="392"/>
      <c r="CZ124" s="392"/>
      <c r="DA124" s="392"/>
      <c r="DB124" s="392"/>
      <c r="DC124" s="392"/>
      <c r="DD124" s="392"/>
      <c r="DE124" s="392"/>
      <c r="DF124" s="392"/>
      <c r="DG124" s="392"/>
      <c r="DH124" s="392"/>
      <c r="DI124" s="392"/>
      <c r="DJ124" s="392"/>
      <c r="DK124" s="392"/>
      <c r="DL124" s="392"/>
      <c r="DM124" s="392"/>
      <c r="DN124" s="392"/>
      <c r="DO124" s="392"/>
      <c r="DP124" s="392"/>
      <c r="DQ124" s="392"/>
      <c r="DR124" s="392"/>
      <c r="DS124" s="392"/>
      <c r="DT124" s="392"/>
      <c r="DU124" s="392"/>
      <c r="DV124" s="392"/>
      <c r="DW124" s="392"/>
      <c r="DX124" s="392"/>
      <c r="DY124" s="392"/>
      <c r="DZ124" s="392"/>
      <c r="EA124" s="392"/>
      <c r="EB124" s="392"/>
      <c r="EC124" s="392"/>
      <c r="ED124" s="392"/>
      <c r="EE124" s="392"/>
      <c r="EF124" s="392"/>
      <c r="EG124" s="392"/>
      <c r="EH124" s="392"/>
      <c r="EI124" s="392"/>
      <c r="EJ124" s="392"/>
      <c r="EK124" s="392"/>
      <c r="EL124" s="392"/>
      <c r="EM124" s="392"/>
      <c r="EN124" s="392"/>
      <c r="EO124" s="392"/>
      <c r="EP124" s="392"/>
      <c r="EQ124" s="392"/>
      <c r="ER124" s="392"/>
      <c r="ES124" s="392"/>
      <c r="ET124" s="392"/>
      <c r="EU124" s="392"/>
      <c r="EV124" s="392"/>
      <c r="EW124" s="392"/>
      <c r="EX124" s="392"/>
      <c r="EY124" s="392"/>
      <c r="EZ124" s="392"/>
      <c r="FA124" s="392"/>
      <c r="FB124" s="392"/>
      <c r="FC124" s="392"/>
      <c r="FD124" s="392"/>
      <c r="FE124" s="392"/>
      <c r="FF124" s="392"/>
      <c r="FG124" s="392"/>
      <c r="FH124" s="392"/>
      <c r="FI124" s="392"/>
      <c r="FJ124" s="392"/>
      <c r="FK124" s="392"/>
      <c r="FL124" s="392"/>
      <c r="FM124" s="392"/>
      <c r="FN124" s="392"/>
      <c r="FO124" s="392"/>
      <c r="FP124" s="392"/>
      <c r="FQ124" s="392"/>
      <c r="FR124" s="392"/>
      <c r="FS124" s="392"/>
      <c r="FT124" s="392"/>
      <c r="FU124" s="392"/>
      <c r="FV124" s="392"/>
      <c r="FW124" s="392"/>
      <c r="FX124" s="392"/>
      <c r="FY124" s="392"/>
      <c r="FZ124" s="392"/>
      <c r="GA124" s="392"/>
      <c r="GB124" s="392"/>
      <c r="GC124" s="392"/>
      <c r="GD124" s="392"/>
      <c r="GE124" s="392"/>
      <c r="GF124" s="392"/>
      <c r="GG124" s="392"/>
      <c r="GH124" s="392"/>
      <c r="GI124" s="392"/>
      <c r="GJ124" s="392"/>
      <c r="GK124" s="392"/>
      <c r="GL124" s="392"/>
      <c r="GM124" s="392"/>
      <c r="GN124" s="392"/>
      <c r="GO124" s="392"/>
      <c r="GP124" s="392"/>
      <c r="GQ124" s="392"/>
      <c r="GR124" s="392"/>
      <c r="GS124" s="392"/>
      <c r="GT124" s="392"/>
      <c r="GU124" s="392"/>
      <c r="GV124" s="392"/>
      <c r="GW124" s="392"/>
      <c r="GX124" s="392"/>
      <c r="GY124" s="392"/>
      <c r="GZ124" s="392"/>
      <c r="HA124" s="392"/>
      <c r="HB124" s="392"/>
      <c r="HC124" s="392"/>
      <c r="HD124" s="392"/>
      <c r="HE124" s="392"/>
      <c r="HF124" s="392"/>
      <c r="HG124" s="392"/>
      <c r="HH124" s="392"/>
      <c r="HI124" s="392"/>
      <c r="HJ124" s="392"/>
      <c r="HK124" s="392"/>
      <c r="HL124" s="392"/>
      <c r="HM124" s="392"/>
      <c r="HN124" s="392"/>
      <c r="HO124" s="392"/>
      <c r="HP124" s="392"/>
      <c r="HQ124" s="392"/>
      <c r="HR124" s="392"/>
      <c r="HS124" s="392"/>
      <c r="HT124" s="392"/>
      <c r="HU124" s="392"/>
      <c r="HV124" s="392"/>
      <c r="HW124" s="392"/>
      <c r="HX124" s="392"/>
      <c r="HY124" s="392"/>
      <c r="HZ124" s="392"/>
      <c r="IA124" s="392"/>
      <c r="IB124" s="392"/>
      <c r="IC124" s="392"/>
      <c r="ID124" s="392"/>
      <c r="IE124" s="392"/>
      <c r="IF124" s="392"/>
      <c r="IG124" s="392"/>
      <c r="IH124" s="392"/>
      <c r="II124" s="392"/>
      <c r="IJ124" s="392"/>
      <c r="IK124" s="392"/>
      <c r="IL124" s="392"/>
      <c r="IM124" s="392"/>
      <c r="IN124" s="392"/>
      <c r="IO124" s="392"/>
      <c r="IP124" s="392"/>
      <c r="IQ124" s="392"/>
      <c r="IR124" s="392"/>
      <c r="IS124" s="392"/>
      <c r="IT124" s="392"/>
      <c r="IU124" s="392"/>
      <c r="IV124" s="392"/>
      <c r="IW124" s="392"/>
      <c r="IX124" s="392"/>
      <c r="IY124" s="392"/>
      <c r="IZ124" s="392"/>
      <c r="JA124" s="392"/>
      <c r="JB124" s="392"/>
      <c r="JC124" s="392"/>
      <c r="JD124" s="392"/>
      <c r="JE124" s="392"/>
      <c r="JF124" s="392"/>
      <c r="JG124" s="392"/>
      <c r="JH124" s="392"/>
      <c r="JI124" s="393">
        <f t="shared" si="3"/>
        <v>0</v>
      </c>
      <c r="JJ124" s="2">
        <v>6300</v>
      </c>
      <c r="JK124" s="392">
        <f t="shared" si="4"/>
        <v>0</v>
      </c>
      <c r="JL124" s="284"/>
      <c r="JM124" s="284"/>
      <c r="JN124" s="284"/>
      <c r="JO124" s="284"/>
      <c r="JP124" s="284"/>
    </row>
    <row r="125" spans="1:276" x14ac:dyDescent="0.3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2"/>
      <c r="M125" s="392"/>
      <c r="N125" s="392"/>
      <c r="O125" s="392"/>
      <c r="P125" s="392"/>
      <c r="Q125" s="392"/>
      <c r="R125" s="392"/>
      <c r="S125" s="392"/>
      <c r="T125" s="392"/>
      <c r="U125" s="392"/>
      <c r="V125" s="392"/>
      <c r="W125" s="392"/>
      <c r="X125" s="392"/>
      <c r="Y125" s="392"/>
      <c r="Z125" s="392"/>
      <c r="AA125" s="392"/>
      <c r="AB125" s="392"/>
      <c r="AC125" s="392"/>
      <c r="AD125" s="392"/>
      <c r="AE125" s="392"/>
      <c r="AF125" s="392"/>
      <c r="AG125" s="392"/>
      <c r="AH125" s="392"/>
      <c r="AI125" s="392"/>
      <c r="AJ125" s="392"/>
      <c r="AK125" s="392"/>
      <c r="AL125" s="392"/>
      <c r="AM125" s="392"/>
      <c r="AN125" s="392"/>
      <c r="AO125" s="392"/>
      <c r="AP125" s="392"/>
      <c r="AQ125" s="392"/>
      <c r="AR125" s="392"/>
      <c r="AS125" s="392"/>
      <c r="AT125" s="392"/>
      <c r="AU125" s="392"/>
      <c r="AV125" s="392"/>
      <c r="AW125" s="392"/>
      <c r="AX125" s="392"/>
      <c r="AY125" s="392"/>
      <c r="AZ125" s="392"/>
      <c r="BA125" s="392"/>
      <c r="BB125" s="392"/>
      <c r="BC125" s="392"/>
      <c r="BD125" s="392"/>
      <c r="BE125" s="392"/>
      <c r="BF125" s="392"/>
      <c r="BG125" s="392"/>
      <c r="BH125" s="392"/>
      <c r="BI125" s="392"/>
      <c r="BJ125" s="392"/>
      <c r="BK125" s="392"/>
      <c r="BL125" s="392"/>
      <c r="BM125" s="392"/>
      <c r="BN125" s="392"/>
      <c r="BO125" s="392"/>
      <c r="BP125" s="392"/>
      <c r="BQ125" s="392"/>
      <c r="BR125" s="392"/>
      <c r="BS125" s="392"/>
      <c r="BT125" s="392"/>
      <c r="BU125" s="392"/>
      <c r="BV125" s="392"/>
      <c r="BW125" s="392"/>
      <c r="BX125" s="392"/>
      <c r="BY125" s="392"/>
      <c r="BZ125" s="392"/>
      <c r="CA125" s="392"/>
      <c r="CB125" s="392"/>
      <c r="CC125" s="392"/>
      <c r="CD125" s="392"/>
      <c r="CE125" s="392"/>
      <c r="CF125" s="392"/>
      <c r="CG125" s="392"/>
      <c r="CH125" s="392"/>
      <c r="CI125" s="392"/>
      <c r="CJ125" s="392"/>
      <c r="CK125" s="392"/>
      <c r="CL125" s="392"/>
      <c r="CM125" s="392"/>
      <c r="CN125" s="392"/>
      <c r="CO125" s="392"/>
      <c r="CP125" s="392"/>
      <c r="CQ125" s="392"/>
      <c r="CR125" s="392"/>
      <c r="CS125" s="392"/>
      <c r="CT125" s="392"/>
      <c r="CU125" s="392"/>
      <c r="CV125" s="392"/>
      <c r="CW125" s="392"/>
      <c r="CX125" s="392"/>
      <c r="CY125" s="392"/>
      <c r="CZ125" s="392"/>
      <c r="DA125" s="392"/>
      <c r="DB125" s="392"/>
      <c r="DC125" s="392"/>
      <c r="DD125" s="392"/>
      <c r="DE125" s="392"/>
      <c r="DF125" s="392"/>
      <c r="DG125" s="392"/>
      <c r="DH125" s="392"/>
      <c r="DI125" s="392"/>
      <c r="DJ125" s="392"/>
      <c r="DK125" s="392"/>
      <c r="DL125" s="392"/>
      <c r="DM125" s="392"/>
      <c r="DN125" s="392"/>
      <c r="DO125" s="392"/>
      <c r="DP125" s="392"/>
      <c r="DQ125" s="392"/>
      <c r="DR125" s="392"/>
      <c r="DS125" s="392"/>
      <c r="DT125" s="392"/>
      <c r="DU125" s="392"/>
      <c r="DV125" s="392"/>
      <c r="DW125" s="392"/>
      <c r="DX125" s="392"/>
      <c r="DY125" s="392"/>
      <c r="DZ125" s="392"/>
      <c r="EA125" s="392"/>
      <c r="EB125" s="392"/>
      <c r="EC125" s="392"/>
      <c r="ED125" s="392"/>
      <c r="EE125" s="392"/>
      <c r="EF125" s="392"/>
      <c r="EG125" s="392"/>
      <c r="EH125" s="392"/>
      <c r="EI125" s="392"/>
      <c r="EJ125" s="392"/>
      <c r="EK125" s="392"/>
      <c r="EL125" s="392"/>
      <c r="EM125" s="392"/>
      <c r="EN125" s="392"/>
      <c r="EO125" s="392"/>
      <c r="EP125" s="392"/>
      <c r="EQ125" s="392"/>
      <c r="ER125" s="392"/>
      <c r="ES125" s="392"/>
      <c r="ET125" s="392"/>
      <c r="EU125" s="392"/>
      <c r="EV125" s="392"/>
      <c r="EW125" s="392"/>
      <c r="EX125" s="392"/>
      <c r="EY125" s="392"/>
      <c r="EZ125" s="392"/>
      <c r="FA125" s="392"/>
      <c r="FB125" s="392"/>
      <c r="FC125" s="392"/>
      <c r="FD125" s="392"/>
      <c r="FE125" s="392"/>
      <c r="FF125" s="392"/>
      <c r="FG125" s="392"/>
      <c r="FH125" s="392"/>
      <c r="FI125" s="392"/>
      <c r="FJ125" s="392"/>
      <c r="FK125" s="392"/>
      <c r="FL125" s="392"/>
      <c r="FM125" s="392"/>
      <c r="FN125" s="392"/>
      <c r="FO125" s="392"/>
      <c r="FP125" s="392"/>
      <c r="FQ125" s="392"/>
      <c r="FR125" s="392"/>
      <c r="FS125" s="392"/>
      <c r="FT125" s="392"/>
      <c r="FU125" s="392"/>
      <c r="FV125" s="392"/>
      <c r="FW125" s="392"/>
      <c r="FX125" s="392"/>
      <c r="FY125" s="392"/>
      <c r="FZ125" s="392"/>
      <c r="GA125" s="392"/>
      <c r="GB125" s="392"/>
      <c r="GC125" s="392"/>
      <c r="GD125" s="392"/>
      <c r="GE125" s="392"/>
      <c r="GF125" s="392"/>
      <c r="GG125" s="392"/>
      <c r="GH125" s="392"/>
      <c r="GI125" s="392"/>
      <c r="GJ125" s="392"/>
      <c r="GK125" s="392"/>
      <c r="GL125" s="392"/>
      <c r="GM125" s="392"/>
      <c r="GN125" s="392"/>
      <c r="GO125" s="392"/>
      <c r="GP125" s="392"/>
      <c r="GQ125" s="392"/>
      <c r="GR125" s="392"/>
      <c r="GS125" s="392"/>
      <c r="GT125" s="392"/>
      <c r="GU125" s="392"/>
      <c r="GV125" s="392"/>
      <c r="GW125" s="392"/>
      <c r="GX125" s="392"/>
      <c r="GY125" s="392"/>
      <c r="GZ125" s="392"/>
      <c r="HA125" s="392"/>
      <c r="HB125" s="392"/>
      <c r="HC125" s="392"/>
      <c r="HD125" s="392"/>
      <c r="HE125" s="392"/>
      <c r="HF125" s="392"/>
      <c r="HG125" s="392"/>
      <c r="HH125" s="392"/>
      <c r="HI125" s="392"/>
      <c r="HJ125" s="392"/>
      <c r="HK125" s="392"/>
      <c r="HL125" s="392"/>
      <c r="HM125" s="392"/>
      <c r="HN125" s="392"/>
      <c r="HO125" s="392"/>
      <c r="HP125" s="392"/>
      <c r="HQ125" s="392"/>
      <c r="HR125" s="392"/>
      <c r="HS125" s="392"/>
      <c r="HT125" s="392"/>
      <c r="HU125" s="392"/>
      <c r="HV125" s="392"/>
      <c r="HW125" s="392"/>
      <c r="HX125" s="392"/>
      <c r="HY125" s="392"/>
      <c r="HZ125" s="392"/>
      <c r="IA125" s="392"/>
      <c r="IB125" s="392"/>
      <c r="IC125" s="392"/>
      <c r="ID125" s="392"/>
      <c r="IE125" s="392"/>
      <c r="IF125" s="392"/>
      <c r="IG125" s="392"/>
      <c r="IH125" s="392"/>
      <c r="II125" s="392"/>
      <c r="IJ125" s="392"/>
      <c r="IK125" s="392"/>
      <c r="IL125" s="392"/>
      <c r="IM125" s="392"/>
      <c r="IN125" s="392"/>
      <c r="IO125" s="392"/>
      <c r="IP125" s="392"/>
      <c r="IQ125" s="392"/>
      <c r="IR125" s="392"/>
      <c r="IS125" s="392"/>
      <c r="IT125" s="392"/>
      <c r="IU125" s="392"/>
      <c r="IV125" s="392"/>
      <c r="IW125" s="392"/>
      <c r="IX125" s="392"/>
      <c r="IY125" s="392"/>
      <c r="IZ125" s="392"/>
      <c r="JA125" s="392"/>
      <c r="JB125" s="392"/>
      <c r="JC125" s="392"/>
      <c r="JD125" s="392"/>
      <c r="JE125" s="392"/>
      <c r="JF125" s="392"/>
      <c r="JG125" s="392"/>
      <c r="JH125" s="392"/>
      <c r="JI125" s="393">
        <f t="shared" si="3"/>
        <v>0</v>
      </c>
      <c r="JJ125" s="2">
        <v>6304</v>
      </c>
      <c r="JK125" s="392">
        <f t="shared" si="4"/>
        <v>0</v>
      </c>
      <c r="JL125" s="284"/>
      <c r="JM125" s="284"/>
      <c r="JN125" s="284"/>
      <c r="JO125" s="284"/>
      <c r="JP125" s="284"/>
    </row>
    <row r="126" spans="1:276" x14ac:dyDescent="0.3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2"/>
      <c r="O126" s="392"/>
      <c r="P126" s="392"/>
      <c r="Q126" s="392"/>
      <c r="R126" s="392"/>
      <c r="S126" s="392"/>
      <c r="T126" s="392"/>
      <c r="U126" s="392"/>
      <c r="V126" s="392"/>
      <c r="W126" s="392"/>
      <c r="X126" s="392"/>
      <c r="Y126" s="392"/>
      <c r="Z126" s="392"/>
      <c r="AA126" s="392"/>
      <c r="AB126" s="392"/>
      <c r="AC126" s="392"/>
      <c r="AD126" s="392"/>
      <c r="AE126" s="392"/>
      <c r="AF126" s="392"/>
      <c r="AG126" s="392"/>
      <c r="AH126" s="392"/>
      <c r="AI126" s="392"/>
      <c r="AJ126" s="392"/>
      <c r="AK126" s="392"/>
      <c r="AL126" s="392"/>
      <c r="AM126" s="392"/>
      <c r="AN126" s="392"/>
      <c r="AO126" s="392"/>
      <c r="AP126" s="392"/>
      <c r="AQ126" s="392"/>
      <c r="AR126" s="392"/>
      <c r="AS126" s="392"/>
      <c r="AT126" s="392"/>
      <c r="AU126" s="392"/>
      <c r="AV126" s="392"/>
      <c r="AW126" s="392"/>
      <c r="AX126" s="392"/>
      <c r="AY126" s="392"/>
      <c r="AZ126" s="392"/>
      <c r="BA126" s="392"/>
      <c r="BB126" s="392"/>
      <c r="BC126" s="392"/>
      <c r="BD126" s="392"/>
      <c r="BE126" s="392"/>
      <c r="BF126" s="392"/>
      <c r="BG126" s="392"/>
      <c r="BH126" s="392"/>
      <c r="BI126" s="392"/>
      <c r="BJ126" s="392"/>
      <c r="BK126" s="392"/>
      <c r="BL126" s="392"/>
      <c r="BM126" s="392"/>
      <c r="BN126" s="392"/>
      <c r="BO126" s="392"/>
      <c r="BP126" s="392"/>
      <c r="BQ126" s="392"/>
      <c r="BR126" s="392"/>
      <c r="BS126" s="392"/>
      <c r="BT126" s="392"/>
      <c r="BU126" s="392"/>
      <c r="BV126" s="392"/>
      <c r="BW126" s="392"/>
      <c r="BX126" s="392"/>
      <c r="BY126" s="392"/>
      <c r="BZ126" s="392"/>
      <c r="CA126" s="392"/>
      <c r="CB126" s="392"/>
      <c r="CC126" s="392"/>
      <c r="CD126" s="392"/>
      <c r="CE126" s="392"/>
      <c r="CF126" s="392"/>
      <c r="CG126" s="392"/>
      <c r="CH126" s="392"/>
      <c r="CI126" s="392"/>
      <c r="CJ126" s="392"/>
      <c r="CK126" s="392"/>
      <c r="CL126" s="392"/>
      <c r="CM126" s="392"/>
      <c r="CN126" s="392"/>
      <c r="CO126" s="392"/>
      <c r="CP126" s="392"/>
      <c r="CQ126" s="392"/>
      <c r="CR126" s="392"/>
      <c r="CS126" s="392"/>
      <c r="CT126" s="392"/>
      <c r="CU126" s="392"/>
      <c r="CV126" s="392"/>
      <c r="CW126" s="392"/>
      <c r="CX126" s="392"/>
      <c r="CY126" s="392"/>
      <c r="CZ126" s="392"/>
      <c r="DA126" s="392"/>
      <c r="DB126" s="392"/>
      <c r="DC126" s="392"/>
      <c r="DD126" s="392"/>
      <c r="DE126" s="392"/>
      <c r="DF126" s="392"/>
      <c r="DG126" s="392"/>
      <c r="DH126" s="392"/>
      <c r="DI126" s="392"/>
      <c r="DJ126" s="392"/>
      <c r="DK126" s="392"/>
      <c r="DL126" s="392"/>
      <c r="DM126" s="392"/>
      <c r="DN126" s="392"/>
      <c r="DO126" s="392"/>
      <c r="DP126" s="392"/>
      <c r="DQ126" s="392"/>
      <c r="DR126" s="392"/>
      <c r="DS126" s="392"/>
      <c r="DT126" s="392"/>
      <c r="DU126" s="392"/>
      <c r="DV126" s="392"/>
      <c r="DW126" s="392"/>
      <c r="DX126" s="392"/>
      <c r="DY126" s="392"/>
      <c r="DZ126" s="392"/>
      <c r="EA126" s="392"/>
      <c r="EB126" s="392"/>
      <c r="EC126" s="392"/>
      <c r="ED126" s="392"/>
      <c r="EE126" s="392"/>
      <c r="EF126" s="392"/>
      <c r="EG126" s="392"/>
      <c r="EH126" s="392"/>
      <c r="EI126" s="392"/>
      <c r="EJ126" s="392"/>
      <c r="EK126" s="392"/>
      <c r="EL126" s="392"/>
      <c r="EM126" s="392"/>
      <c r="EN126" s="392"/>
      <c r="EO126" s="392"/>
      <c r="EP126" s="392"/>
      <c r="EQ126" s="392"/>
      <c r="ER126" s="392"/>
      <c r="ES126" s="392"/>
      <c r="ET126" s="392"/>
      <c r="EU126" s="392"/>
      <c r="EV126" s="392"/>
      <c r="EW126" s="392"/>
      <c r="EX126" s="392"/>
      <c r="EY126" s="392"/>
      <c r="EZ126" s="392"/>
      <c r="FA126" s="392"/>
      <c r="FB126" s="392"/>
      <c r="FC126" s="392"/>
      <c r="FD126" s="392"/>
      <c r="FE126" s="392"/>
      <c r="FF126" s="392"/>
      <c r="FG126" s="392"/>
      <c r="FH126" s="392"/>
      <c r="FI126" s="392"/>
      <c r="FJ126" s="392"/>
      <c r="FK126" s="392"/>
      <c r="FL126" s="392"/>
      <c r="FM126" s="392"/>
      <c r="FN126" s="392"/>
      <c r="FO126" s="392"/>
      <c r="FP126" s="392"/>
      <c r="FQ126" s="392"/>
      <c r="FR126" s="392"/>
      <c r="FS126" s="392"/>
      <c r="FT126" s="392"/>
      <c r="FU126" s="392"/>
      <c r="FV126" s="392"/>
      <c r="FW126" s="392"/>
      <c r="FX126" s="392"/>
      <c r="FY126" s="392"/>
      <c r="FZ126" s="392"/>
      <c r="GA126" s="392"/>
      <c r="GB126" s="392"/>
      <c r="GC126" s="392"/>
      <c r="GD126" s="392"/>
      <c r="GE126" s="392"/>
      <c r="GF126" s="392"/>
      <c r="GG126" s="392"/>
      <c r="GH126" s="392"/>
      <c r="GI126" s="392"/>
      <c r="GJ126" s="392"/>
      <c r="GK126" s="392"/>
      <c r="GL126" s="392"/>
      <c r="GM126" s="392"/>
      <c r="GN126" s="392"/>
      <c r="GO126" s="392"/>
      <c r="GP126" s="392"/>
      <c r="GQ126" s="392"/>
      <c r="GR126" s="392"/>
      <c r="GS126" s="392"/>
      <c r="GT126" s="392"/>
      <c r="GU126" s="392"/>
      <c r="GV126" s="392"/>
      <c r="GW126" s="392"/>
      <c r="GX126" s="392"/>
      <c r="GY126" s="392"/>
      <c r="GZ126" s="392"/>
      <c r="HA126" s="392"/>
      <c r="HB126" s="392"/>
      <c r="HC126" s="392"/>
      <c r="HD126" s="392"/>
      <c r="HE126" s="392"/>
      <c r="HF126" s="392"/>
      <c r="HG126" s="392"/>
      <c r="HH126" s="392"/>
      <c r="HI126" s="392"/>
      <c r="HJ126" s="392"/>
      <c r="HK126" s="392"/>
      <c r="HL126" s="392"/>
      <c r="HM126" s="392"/>
      <c r="HN126" s="392"/>
      <c r="HO126" s="392"/>
      <c r="HP126" s="392"/>
      <c r="HQ126" s="392"/>
      <c r="HR126" s="392"/>
      <c r="HS126" s="392"/>
      <c r="HT126" s="392"/>
      <c r="HU126" s="392"/>
      <c r="HV126" s="392"/>
      <c r="HW126" s="392"/>
      <c r="HX126" s="392"/>
      <c r="HY126" s="392"/>
      <c r="HZ126" s="392"/>
      <c r="IA126" s="392"/>
      <c r="IB126" s="392"/>
      <c r="IC126" s="392"/>
      <c r="ID126" s="392"/>
      <c r="IE126" s="392"/>
      <c r="IF126" s="392"/>
      <c r="IG126" s="392"/>
      <c r="IH126" s="392"/>
      <c r="II126" s="392"/>
      <c r="IJ126" s="392"/>
      <c r="IK126" s="392"/>
      <c r="IL126" s="392"/>
      <c r="IM126" s="392"/>
      <c r="IN126" s="392"/>
      <c r="IO126" s="392"/>
      <c r="IP126" s="392"/>
      <c r="IQ126" s="392"/>
      <c r="IR126" s="392"/>
      <c r="IS126" s="392"/>
      <c r="IT126" s="392"/>
      <c r="IU126" s="392"/>
      <c r="IV126" s="392"/>
      <c r="IW126" s="392"/>
      <c r="IX126" s="392"/>
      <c r="IY126" s="392"/>
      <c r="IZ126" s="392"/>
      <c r="JA126" s="392"/>
      <c r="JB126" s="392"/>
      <c r="JC126" s="392"/>
      <c r="JD126" s="392"/>
      <c r="JE126" s="392"/>
      <c r="JF126" s="392"/>
      <c r="JG126" s="392"/>
      <c r="JH126" s="392"/>
      <c r="JI126" s="393">
        <f t="shared" si="3"/>
        <v>0</v>
      </c>
      <c r="JJ126" s="2">
        <v>6308</v>
      </c>
      <c r="JK126" s="392">
        <f t="shared" si="4"/>
        <v>0</v>
      </c>
      <c r="JL126" s="284"/>
      <c r="JM126" s="284"/>
      <c r="JN126" s="284"/>
      <c r="JO126" s="284"/>
      <c r="JP126" s="284"/>
    </row>
    <row r="127" spans="1:276" x14ac:dyDescent="0.3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  <c r="L127" s="392"/>
      <c r="M127" s="392"/>
      <c r="N127" s="392"/>
      <c r="O127" s="392"/>
      <c r="P127" s="392"/>
      <c r="Q127" s="392"/>
      <c r="R127" s="392"/>
      <c r="S127" s="392"/>
      <c r="T127" s="392"/>
      <c r="U127" s="392"/>
      <c r="V127" s="392"/>
      <c r="W127" s="392"/>
      <c r="X127" s="392"/>
      <c r="Y127" s="392"/>
      <c r="Z127" s="392"/>
      <c r="AA127" s="392"/>
      <c r="AB127" s="392"/>
      <c r="AC127" s="392"/>
      <c r="AD127" s="392"/>
      <c r="AE127" s="392"/>
      <c r="AF127" s="392"/>
      <c r="AG127" s="392"/>
      <c r="AH127" s="392"/>
      <c r="AI127" s="392"/>
      <c r="AJ127" s="392"/>
      <c r="AK127" s="392"/>
      <c r="AL127" s="392"/>
      <c r="AM127" s="392"/>
      <c r="AN127" s="392"/>
      <c r="AO127" s="392"/>
      <c r="AP127" s="392"/>
      <c r="AQ127" s="392"/>
      <c r="AR127" s="392"/>
      <c r="AS127" s="392"/>
      <c r="AT127" s="392"/>
      <c r="AU127" s="392"/>
      <c r="AV127" s="392"/>
      <c r="AW127" s="392"/>
      <c r="AX127" s="392"/>
      <c r="AY127" s="392"/>
      <c r="AZ127" s="392"/>
      <c r="BA127" s="392"/>
      <c r="BB127" s="392"/>
      <c r="BC127" s="392"/>
      <c r="BD127" s="392"/>
      <c r="BE127" s="392"/>
      <c r="BF127" s="392"/>
      <c r="BG127" s="392"/>
      <c r="BH127" s="392"/>
      <c r="BI127" s="392"/>
      <c r="BJ127" s="392"/>
      <c r="BK127" s="392"/>
      <c r="BL127" s="392"/>
      <c r="BM127" s="392"/>
      <c r="BN127" s="392"/>
      <c r="BO127" s="392"/>
      <c r="BP127" s="392"/>
      <c r="BQ127" s="392"/>
      <c r="BR127" s="392"/>
      <c r="BS127" s="392"/>
      <c r="BT127" s="392"/>
      <c r="BU127" s="392"/>
      <c r="BV127" s="392"/>
      <c r="BW127" s="392"/>
      <c r="BX127" s="392"/>
      <c r="BY127" s="392"/>
      <c r="BZ127" s="392"/>
      <c r="CA127" s="392"/>
      <c r="CB127" s="392"/>
      <c r="CC127" s="392"/>
      <c r="CD127" s="392"/>
      <c r="CE127" s="392"/>
      <c r="CF127" s="392"/>
      <c r="CG127" s="392"/>
      <c r="CH127" s="392"/>
      <c r="CI127" s="392"/>
      <c r="CJ127" s="392"/>
      <c r="CK127" s="392"/>
      <c r="CL127" s="392"/>
      <c r="CM127" s="392"/>
      <c r="CN127" s="392"/>
      <c r="CO127" s="392"/>
      <c r="CP127" s="392"/>
      <c r="CQ127" s="392"/>
      <c r="CR127" s="392"/>
      <c r="CS127" s="392"/>
      <c r="CT127" s="392"/>
      <c r="CU127" s="392"/>
      <c r="CV127" s="392"/>
      <c r="CW127" s="392"/>
      <c r="CX127" s="392"/>
      <c r="CY127" s="392"/>
      <c r="CZ127" s="392"/>
      <c r="DA127" s="392"/>
      <c r="DB127" s="392"/>
      <c r="DC127" s="392"/>
      <c r="DD127" s="392"/>
      <c r="DE127" s="392"/>
      <c r="DF127" s="392"/>
      <c r="DG127" s="392"/>
      <c r="DH127" s="392"/>
      <c r="DI127" s="392"/>
      <c r="DJ127" s="392"/>
      <c r="DK127" s="392"/>
      <c r="DL127" s="392"/>
      <c r="DM127" s="392"/>
      <c r="DN127" s="392"/>
      <c r="DO127" s="392"/>
      <c r="DP127" s="392"/>
      <c r="DQ127" s="392"/>
      <c r="DR127" s="392"/>
      <c r="DS127" s="392"/>
      <c r="DT127" s="392"/>
      <c r="DU127" s="392"/>
      <c r="DV127" s="392"/>
      <c r="DW127" s="392"/>
      <c r="DX127" s="392"/>
      <c r="DY127" s="392"/>
      <c r="DZ127" s="392"/>
      <c r="EA127" s="392"/>
      <c r="EB127" s="392"/>
      <c r="EC127" s="392"/>
      <c r="ED127" s="392"/>
      <c r="EE127" s="392"/>
      <c r="EF127" s="392"/>
      <c r="EG127" s="392"/>
      <c r="EH127" s="392"/>
      <c r="EI127" s="392"/>
      <c r="EJ127" s="392"/>
      <c r="EK127" s="392"/>
      <c r="EL127" s="392"/>
      <c r="EM127" s="392"/>
      <c r="EN127" s="392"/>
      <c r="EO127" s="392"/>
      <c r="EP127" s="392"/>
      <c r="EQ127" s="392"/>
      <c r="ER127" s="392"/>
      <c r="ES127" s="392"/>
      <c r="ET127" s="392"/>
      <c r="EU127" s="392"/>
      <c r="EV127" s="392"/>
      <c r="EW127" s="392"/>
      <c r="EX127" s="392"/>
      <c r="EY127" s="392"/>
      <c r="EZ127" s="392"/>
      <c r="FA127" s="392"/>
      <c r="FB127" s="392"/>
      <c r="FC127" s="392"/>
      <c r="FD127" s="392"/>
      <c r="FE127" s="392"/>
      <c r="FF127" s="392"/>
      <c r="FG127" s="392"/>
      <c r="FH127" s="392"/>
      <c r="FI127" s="392"/>
      <c r="FJ127" s="392"/>
      <c r="FK127" s="392"/>
      <c r="FL127" s="392"/>
      <c r="FM127" s="392"/>
      <c r="FN127" s="392"/>
      <c r="FO127" s="392"/>
      <c r="FP127" s="392"/>
      <c r="FQ127" s="392"/>
      <c r="FR127" s="392"/>
      <c r="FS127" s="392"/>
      <c r="FT127" s="392"/>
      <c r="FU127" s="392"/>
      <c r="FV127" s="392"/>
      <c r="FW127" s="392"/>
      <c r="FX127" s="392"/>
      <c r="FY127" s="392"/>
      <c r="FZ127" s="392"/>
      <c r="GA127" s="392"/>
      <c r="GB127" s="392"/>
      <c r="GC127" s="392"/>
      <c r="GD127" s="392"/>
      <c r="GE127" s="392"/>
      <c r="GF127" s="392"/>
      <c r="GG127" s="392"/>
      <c r="GH127" s="392"/>
      <c r="GI127" s="392"/>
      <c r="GJ127" s="392"/>
      <c r="GK127" s="392"/>
      <c r="GL127" s="392"/>
      <c r="GM127" s="392"/>
      <c r="GN127" s="392"/>
      <c r="GO127" s="392"/>
      <c r="GP127" s="392"/>
      <c r="GQ127" s="392"/>
      <c r="GR127" s="392"/>
      <c r="GS127" s="392"/>
      <c r="GT127" s="392"/>
      <c r="GU127" s="392"/>
      <c r="GV127" s="392"/>
      <c r="GW127" s="392"/>
      <c r="GX127" s="392"/>
      <c r="GY127" s="392"/>
      <c r="GZ127" s="392"/>
      <c r="HA127" s="392"/>
      <c r="HB127" s="392"/>
      <c r="HC127" s="392"/>
      <c r="HD127" s="392"/>
      <c r="HE127" s="392"/>
      <c r="HF127" s="392"/>
      <c r="HG127" s="392"/>
      <c r="HH127" s="392"/>
      <c r="HI127" s="392"/>
      <c r="HJ127" s="392"/>
      <c r="HK127" s="392"/>
      <c r="HL127" s="392"/>
      <c r="HM127" s="392"/>
      <c r="HN127" s="392"/>
      <c r="HO127" s="392"/>
      <c r="HP127" s="392"/>
      <c r="HQ127" s="392"/>
      <c r="HR127" s="392"/>
      <c r="HS127" s="392"/>
      <c r="HT127" s="392"/>
      <c r="HU127" s="392"/>
      <c r="HV127" s="392"/>
      <c r="HW127" s="392"/>
      <c r="HX127" s="392"/>
      <c r="HY127" s="392"/>
      <c r="HZ127" s="392"/>
      <c r="IA127" s="392"/>
      <c r="IB127" s="392"/>
      <c r="IC127" s="392"/>
      <c r="ID127" s="392"/>
      <c r="IE127" s="392"/>
      <c r="IF127" s="392"/>
      <c r="IG127" s="392"/>
      <c r="IH127" s="392"/>
      <c r="II127" s="392"/>
      <c r="IJ127" s="392"/>
      <c r="IK127" s="392"/>
      <c r="IL127" s="392"/>
      <c r="IM127" s="392"/>
      <c r="IN127" s="392"/>
      <c r="IO127" s="392"/>
      <c r="IP127" s="392"/>
      <c r="IQ127" s="392"/>
      <c r="IR127" s="392"/>
      <c r="IS127" s="392"/>
      <c r="IT127" s="392"/>
      <c r="IU127" s="392"/>
      <c r="IV127" s="392"/>
      <c r="IW127" s="392"/>
      <c r="IX127" s="392"/>
      <c r="IY127" s="392"/>
      <c r="IZ127" s="392"/>
      <c r="JA127" s="392"/>
      <c r="JB127" s="392"/>
      <c r="JC127" s="392"/>
      <c r="JD127" s="392"/>
      <c r="JE127" s="392"/>
      <c r="JF127" s="392"/>
      <c r="JG127" s="392"/>
      <c r="JH127" s="392"/>
      <c r="JI127" s="393">
        <f t="shared" si="3"/>
        <v>0</v>
      </c>
      <c r="JJ127" s="2">
        <v>6312</v>
      </c>
      <c r="JK127" s="392">
        <f t="shared" si="4"/>
        <v>0</v>
      </c>
      <c r="JL127" s="284"/>
      <c r="JM127" s="284"/>
      <c r="JN127" s="284"/>
      <c r="JO127" s="284"/>
      <c r="JP127" s="284"/>
    </row>
    <row r="128" spans="1:276" x14ac:dyDescent="0.3">
      <c r="A128" s="391"/>
      <c r="B128" s="391"/>
      <c r="C128" s="391"/>
      <c r="D128" s="391"/>
      <c r="E128" s="391"/>
      <c r="F128" s="391"/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  <c r="X128" s="391"/>
      <c r="Y128" s="391"/>
      <c r="Z128" s="391"/>
      <c r="AA128" s="391"/>
      <c r="AB128" s="391"/>
      <c r="AC128" s="391"/>
      <c r="AD128" s="391"/>
      <c r="AE128" s="391"/>
      <c r="AF128" s="391"/>
      <c r="AG128" s="391"/>
      <c r="AH128" s="391"/>
      <c r="AI128" s="391"/>
      <c r="AJ128" s="391"/>
      <c r="AK128" s="391"/>
      <c r="AL128" s="391"/>
      <c r="AM128" s="391"/>
      <c r="AN128" s="391"/>
      <c r="AO128" s="391"/>
      <c r="AP128" s="391"/>
      <c r="AQ128" s="391"/>
      <c r="AR128" s="391"/>
      <c r="AS128" s="391"/>
      <c r="AT128" s="391"/>
      <c r="AU128" s="391"/>
      <c r="AV128" s="391"/>
      <c r="AW128" s="391"/>
      <c r="AX128" s="391"/>
      <c r="AY128" s="391"/>
      <c r="AZ128" s="391"/>
      <c r="BA128" s="391"/>
      <c r="BB128" s="391"/>
      <c r="BC128" s="391"/>
      <c r="BD128" s="391"/>
      <c r="BE128" s="391"/>
      <c r="BF128" s="391"/>
      <c r="BG128" s="391"/>
      <c r="BH128" s="391"/>
      <c r="BI128" s="391"/>
      <c r="BJ128" s="391"/>
      <c r="BK128" s="391"/>
      <c r="BL128" s="391"/>
      <c r="BM128" s="391"/>
      <c r="BN128" s="391"/>
      <c r="BO128" s="391"/>
      <c r="BP128" s="391"/>
      <c r="BQ128" s="391"/>
      <c r="BR128" s="391"/>
      <c r="BS128" s="391"/>
      <c r="BT128" s="391"/>
      <c r="BU128" s="391"/>
      <c r="BV128" s="391"/>
      <c r="BW128" s="391"/>
      <c r="BX128" s="391"/>
      <c r="BY128" s="391"/>
      <c r="BZ128" s="391"/>
      <c r="CA128" s="391"/>
      <c r="CB128" s="391"/>
      <c r="CC128" s="391"/>
      <c r="CD128" s="391"/>
      <c r="CE128" s="391"/>
      <c r="CF128" s="391"/>
      <c r="CG128" s="391"/>
      <c r="CH128" s="391"/>
      <c r="CI128" s="391"/>
      <c r="CJ128" s="391"/>
      <c r="CK128" s="391"/>
      <c r="CL128" s="391"/>
      <c r="CM128" s="391"/>
      <c r="CN128" s="391"/>
      <c r="CO128" s="391"/>
      <c r="CP128" s="391"/>
      <c r="CQ128" s="391"/>
      <c r="CR128" s="391"/>
      <c r="CS128" s="391"/>
      <c r="CT128" s="391"/>
      <c r="CU128" s="391"/>
      <c r="CV128" s="391"/>
      <c r="CW128" s="391"/>
      <c r="CX128" s="391"/>
      <c r="CY128" s="391"/>
      <c r="CZ128" s="391"/>
      <c r="DA128" s="391"/>
      <c r="DB128" s="391"/>
      <c r="DC128" s="391"/>
      <c r="DD128" s="391"/>
      <c r="DE128" s="391"/>
      <c r="DF128" s="391"/>
      <c r="DG128" s="391"/>
      <c r="DH128" s="391"/>
      <c r="DI128" s="391"/>
      <c r="DJ128" s="391"/>
      <c r="DK128" s="391"/>
      <c r="DL128" s="391"/>
      <c r="DM128" s="391"/>
      <c r="DN128" s="391"/>
      <c r="DO128" s="391"/>
      <c r="DP128" s="391"/>
      <c r="DQ128" s="391"/>
      <c r="DR128" s="391"/>
      <c r="DS128" s="391"/>
      <c r="DT128" s="391"/>
      <c r="DU128" s="391"/>
      <c r="DV128" s="391"/>
      <c r="DW128" s="391"/>
      <c r="DX128" s="391"/>
      <c r="DY128" s="391"/>
      <c r="DZ128" s="391"/>
      <c r="EA128" s="391"/>
      <c r="EB128" s="391"/>
      <c r="EC128" s="391"/>
      <c r="ED128" s="391"/>
      <c r="EE128" s="391"/>
      <c r="EF128" s="391"/>
      <c r="EG128" s="391"/>
      <c r="EH128" s="391"/>
      <c r="EI128" s="391"/>
      <c r="EJ128" s="391"/>
      <c r="EK128" s="391"/>
      <c r="EL128" s="391"/>
      <c r="EM128" s="391"/>
      <c r="EN128" s="391"/>
      <c r="EO128" s="391"/>
      <c r="EP128" s="391"/>
      <c r="EQ128" s="391"/>
      <c r="ER128" s="391"/>
      <c r="ES128" s="391"/>
      <c r="ET128" s="391"/>
      <c r="EU128" s="391"/>
      <c r="EV128" s="391"/>
      <c r="EW128" s="391"/>
      <c r="EX128" s="391"/>
      <c r="EY128" s="391"/>
      <c r="EZ128" s="391"/>
      <c r="FA128" s="391"/>
      <c r="FB128" s="391"/>
      <c r="FC128" s="391"/>
      <c r="FD128" s="391"/>
      <c r="FE128" s="391"/>
      <c r="FF128" s="391"/>
      <c r="FG128" s="391"/>
      <c r="FH128" s="391"/>
      <c r="FI128" s="391"/>
      <c r="FJ128" s="391"/>
      <c r="FK128" s="391"/>
      <c r="FL128" s="391"/>
      <c r="FM128" s="391"/>
      <c r="FN128" s="391"/>
      <c r="FO128" s="391"/>
      <c r="FP128" s="391"/>
      <c r="FQ128" s="391"/>
      <c r="FR128" s="391"/>
      <c r="FS128" s="391"/>
      <c r="FT128" s="391"/>
      <c r="FU128" s="391"/>
      <c r="FV128" s="391"/>
      <c r="FW128" s="391"/>
      <c r="FX128" s="391"/>
      <c r="FY128" s="391"/>
      <c r="FZ128" s="391"/>
      <c r="GA128" s="391"/>
      <c r="GB128" s="391"/>
      <c r="GC128" s="391"/>
      <c r="GD128" s="391"/>
      <c r="GE128" s="391"/>
      <c r="GF128" s="391"/>
      <c r="GG128" s="391"/>
      <c r="GH128" s="391"/>
      <c r="GI128" s="391"/>
      <c r="GJ128" s="391"/>
      <c r="GK128" s="391"/>
      <c r="GL128" s="391"/>
      <c r="GM128" s="391"/>
      <c r="GN128" s="391"/>
      <c r="GO128" s="391"/>
      <c r="GP128" s="391"/>
      <c r="GQ128" s="391"/>
      <c r="GR128" s="391"/>
      <c r="GS128" s="391"/>
      <c r="GT128" s="391"/>
      <c r="GU128" s="391"/>
      <c r="GV128" s="391"/>
      <c r="GW128" s="391"/>
      <c r="GX128" s="391"/>
      <c r="GY128" s="391"/>
      <c r="GZ128" s="391"/>
      <c r="HA128" s="391"/>
      <c r="HB128" s="391"/>
      <c r="HC128" s="391"/>
      <c r="HD128" s="391"/>
      <c r="HE128" s="391"/>
      <c r="HF128" s="391"/>
      <c r="HG128" s="391"/>
      <c r="HH128" s="391"/>
      <c r="HI128" s="391"/>
      <c r="HJ128" s="391"/>
      <c r="HK128" s="391"/>
      <c r="HL128" s="391"/>
      <c r="HM128" s="391"/>
      <c r="HN128" s="391"/>
      <c r="HO128" s="391"/>
      <c r="HP128" s="391"/>
      <c r="HQ128" s="391"/>
      <c r="HR128" s="391"/>
      <c r="HS128" s="391"/>
      <c r="HT128" s="391"/>
      <c r="HU128" s="391"/>
      <c r="HV128" s="391"/>
      <c r="HW128" s="391"/>
      <c r="HX128" s="391"/>
      <c r="HY128" s="391"/>
      <c r="HZ128" s="391"/>
      <c r="IA128" s="391"/>
      <c r="IB128" s="391"/>
      <c r="IC128" s="391"/>
      <c r="ID128" s="391"/>
      <c r="IE128" s="391"/>
      <c r="IF128" s="391"/>
      <c r="IG128" s="391"/>
      <c r="IH128" s="391"/>
      <c r="II128" s="391"/>
      <c r="IJ128" s="391"/>
      <c r="IK128" s="391"/>
      <c r="IL128" s="391"/>
      <c r="IM128" s="391"/>
      <c r="IN128" s="391"/>
      <c r="IO128" s="391"/>
      <c r="IP128" s="391"/>
      <c r="IQ128" s="391"/>
      <c r="IR128" s="391"/>
      <c r="IS128" s="391"/>
      <c r="IT128" s="391"/>
      <c r="IU128" s="391"/>
      <c r="IV128" s="391"/>
      <c r="IW128" s="391"/>
      <c r="IX128" s="391"/>
      <c r="IY128" s="391"/>
      <c r="IZ128" s="391"/>
      <c r="JA128" s="391"/>
      <c r="JB128" s="391"/>
      <c r="JC128" s="391"/>
      <c r="JD128" s="391"/>
      <c r="JE128" s="391"/>
      <c r="JF128" s="391"/>
      <c r="JG128" s="391"/>
      <c r="JH128" s="391"/>
      <c r="JI128" s="393">
        <f>SUM(A128:JH128)</f>
        <v>0</v>
      </c>
      <c r="JJ128" s="2">
        <v>6316</v>
      </c>
      <c r="JK128" s="392">
        <f>+JI128-JL128</f>
        <v>0</v>
      </c>
      <c r="JL128" s="284"/>
      <c r="JM128" s="392">
        <f>SUM(JM3:JM59)</f>
        <v>0</v>
      </c>
      <c r="JN128" s="392">
        <f>SUM(JN3:JN59)</f>
        <v>0</v>
      </c>
      <c r="JO128" s="392">
        <f>SUM(JO3:JO59)</f>
        <v>0</v>
      </c>
      <c r="JP128" s="392">
        <f>SUM(JP3:JP59)</f>
        <v>0</v>
      </c>
    </row>
    <row r="129" spans="1:276" x14ac:dyDescent="0.3">
      <c r="A129" s="391"/>
      <c r="B129" s="391"/>
      <c r="C129" s="391"/>
      <c r="D129" s="391"/>
      <c r="E129" s="391"/>
      <c r="F129" s="391"/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  <c r="T129" s="391"/>
      <c r="U129" s="391"/>
      <c r="V129" s="391"/>
      <c r="W129" s="391"/>
      <c r="X129" s="391"/>
      <c r="Y129" s="391"/>
      <c r="Z129" s="391"/>
      <c r="AA129" s="391"/>
      <c r="AB129" s="391"/>
      <c r="AC129" s="391"/>
      <c r="AD129" s="391"/>
      <c r="AE129" s="391"/>
      <c r="AF129" s="391"/>
      <c r="AG129" s="391"/>
      <c r="AH129" s="391"/>
      <c r="AI129" s="391"/>
      <c r="AJ129" s="391"/>
      <c r="AK129" s="391"/>
      <c r="AL129" s="391"/>
      <c r="AM129" s="391"/>
      <c r="AN129" s="391"/>
      <c r="AO129" s="391"/>
      <c r="AP129" s="391"/>
      <c r="AQ129" s="391"/>
      <c r="AR129" s="391"/>
      <c r="AS129" s="391"/>
      <c r="AT129" s="391"/>
      <c r="AU129" s="391"/>
      <c r="AV129" s="391"/>
      <c r="AW129" s="391"/>
      <c r="AX129" s="391"/>
      <c r="AY129" s="391"/>
      <c r="AZ129" s="391"/>
      <c r="BA129" s="391"/>
      <c r="BB129" s="391"/>
      <c r="BC129" s="391"/>
      <c r="BD129" s="391"/>
      <c r="BE129" s="391"/>
      <c r="BF129" s="391"/>
      <c r="BG129" s="391"/>
      <c r="BH129" s="391"/>
      <c r="BI129" s="391"/>
      <c r="BJ129" s="391"/>
      <c r="BK129" s="391"/>
      <c r="BL129" s="391"/>
      <c r="BM129" s="391"/>
      <c r="BN129" s="391"/>
      <c r="BO129" s="391"/>
      <c r="BP129" s="391"/>
      <c r="BQ129" s="391"/>
      <c r="BR129" s="391"/>
      <c r="BS129" s="391"/>
      <c r="BT129" s="391"/>
      <c r="BU129" s="391"/>
      <c r="BV129" s="391"/>
      <c r="BW129" s="391"/>
      <c r="BX129" s="391"/>
      <c r="BY129" s="391"/>
      <c r="BZ129" s="391"/>
      <c r="CA129" s="391"/>
      <c r="CB129" s="391"/>
      <c r="CC129" s="391"/>
      <c r="CD129" s="391"/>
      <c r="CE129" s="391"/>
      <c r="CF129" s="391"/>
      <c r="CG129" s="391"/>
      <c r="CH129" s="391"/>
      <c r="CI129" s="391"/>
      <c r="CJ129" s="391"/>
      <c r="CK129" s="391"/>
      <c r="CL129" s="391"/>
      <c r="CM129" s="391"/>
      <c r="CN129" s="391"/>
      <c r="CO129" s="391"/>
      <c r="CP129" s="391"/>
      <c r="CQ129" s="391"/>
      <c r="CR129" s="391"/>
      <c r="CS129" s="391"/>
      <c r="CT129" s="391"/>
      <c r="CU129" s="391"/>
      <c r="CV129" s="391"/>
      <c r="CW129" s="391"/>
      <c r="CX129" s="391"/>
      <c r="CY129" s="391"/>
      <c r="CZ129" s="391"/>
      <c r="DA129" s="391"/>
      <c r="DB129" s="391"/>
      <c r="DC129" s="391"/>
      <c r="DD129" s="391"/>
      <c r="DE129" s="391"/>
      <c r="DF129" s="391"/>
      <c r="DG129" s="391"/>
      <c r="DH129" s="391"/>
      <c r="DI129" s="391"/>
      <c r="DJ129" s="391"/>
      <c r="DK129" s="391"/>
      <c r="DL129" s="391"/>
      <c r="DM129" s="391"/>
      <c r="DN129" s="391"/>
      <c r="DO129" s="391"/>
      <c r="DP129" s="391"/>
      <c r="DQ129" s="391"/>
      <c r="DR129" s="391"/>
      <c r="DS129" s="391"/>
      <c r="DT129" s="391"/>
      <c r="DU129" s="391"/>
      <c r="DV129" s="391"/>
      <c r="DW129" s="391"/>
      <c r="DX129" s="391"/>
      <c r="DY129" s="391"/>
      <c r="DZ129" s="391"/>
      <c r="EA129" s="391"/>
      <c r="EB129" s="391"/>
      <c r="EC129" s="391"/>
      <c r="ED129" s="391"/>
      <c r="EE129" s="391"/>
      <c r="EF129" s="391"/>
      <c r="EG129" s="391"/>
      <c r="EH129" s="391"/>
      <c r="EI129" s="391"/>
      <c r="EJ129" s="391"/>
      <c r="EK129" s="391"/>
      <c r="EL129" s="391"/>
      <c r="EM129" s="391"/>
      <c r="EN129" s="391"/>
      <c r="EO129" s="391"/>
      <c r="EP129" s="391"/>
      <c r="EQ129" s="391"/>
      <c r="ER129" s="391"/>
      <c r="ES129" s="391"/>
      <c r="ET129" s="391"/>
      <c r="EU129" s="391"/>
      <c r="EV129" s="391"/>
      <c r="EW129" s="391"/>
      <c r="EX129" s="391"/>
      <c r="EY129" s="391"/>
      <c r="EZ129" s="391"/>
      <c r="FA129" s="391"/>
      <c r="FB129" s="391"/>
      <c r="FC129" s="391"/>
      <c r="FD129" s="391"/>
      <c r="FE129" s="391"/>
      <c r="FF129" s="391"/>
      <c r="FG129" s="391"/>
      <c r="FH129" s="391"/>
      <c r="FI129" s="391"/>
      <c r="FJ129" s="391"/>
      <c r="FK129" s="391"/>
      <c r="FL129" s="391"/>
      <c r="FM129" s="391"/>
      <c r="FN129" s="391"/>
      <c r="FO129" s="391"/>
      <c r="FP129" s="391"/>
      <c r="FQ129" s="391"/>
      <c r="FR129" s="391"/>
      <c r="FS129" s="391"/>
      <c r="FT129" s="391"/>
      <c r="FU129" s="391"/>
      <c r="FV129" s="391"/>
      <c r="FW129" s="391"/>
      <c r="FX129" s="391"/>
      <c r="FY129" s="391"/>
      <c r="FZ129" s="391"/>
      <c r="GA129" s="391"/>
      <c r="GB129" s="391"/>
      <c r="GC129" s="391"/>
      <c r="GD129" s="391"/>
      <c r="GE129" s="391"/>
      <c r="GF129" s="391"/>
      <c r="GG129" s="391"/>
      <c r="GH129" s="391"/>
      <c r="GI129" s="391"/>
      <c r="GJ129" s="391"/>
      <c r="GK129" s="391"/>
      <c r="GL129" s="391"/>
      <c r="GM129" s="391"/>
      <c r="GN129" s="391"/>
      <c r="GO129" s="391"/>
      <c r="GP129" s="391"/>
      <c r="GQ129" s="391"/>
      <c r="GR129" s="391"/>
      <c r="GS129" s="391"/>
      <c r="GT129" s="391"/>
      <c r="GU129" s="391"/>
      <c r="GV129" s="391"/>
      <c r="GW129" s="391"/>
      <c r="GX129" s="391"/>
      <c r="GY129" s="391"/>
      <c r="GZ129" s="391"/>
      <c r="HA129" s="391"/>
      <c r="HB129" s="391"/>
      <c r="HC129" s="391"/>
      <c r="HD129" s="391"/>
      <c r="HE129" s="391"/>
      <c r="HF129" s="391"/>
      <c r="HG129" s="391"/>
      <c r="HH129" s="391"/>
      <c r="HI129" s="391"/>
      <c r="HJ129" s="391"/>
      <c r="HK129" s="391"/>
      <c r="HL129" s="391"/>
      <c r="HM129" s="391"/>
      <c r="HN129" s="391"/>
      <c r="HO129" s="391"/>
      <c r="HP129" s="391"/>
      <c r="HQ129" s="391"/>
      <c r="HR129" s="391"/>
      <c r="HS129" s="391"/>
      <c r="HT129" s="391"/>
      <c r="HU129" s="391"/>
      <c r="HV129" s="391"/>
      <c r="HW129" s="391"/>
      <c r="HX129" s="391"/>
      <c r="HY129" s="391"/>
      <c r="HZ129" s="391"/>
      <c r="IA129" s="391"/>
      <c r="IB129" s="391"/>
      <c r="IC129" s="391"/>
      <c r="ID129" s="391"/>
      <c r="IE129" s="391"/>
      <c r="IF129" s="391"/>
      <c r="IG129" s="391"/>
      <c r="IH129" s="391"/>
      <c r="II129" s="391"/>
      <c r="IJ129" s="391"/>
      <c r="IK129" s="391"/>
      <c r="IL129" s="391"/>
      <c r="IM129" s="391"/>
      <c r="IN129" s="391"/>
      <c r="IO129" s="391"/>
      <c r="IP129" s="391"/>
      <c r="IQ129" s="391"/>
      <c r="IR129" s="391"/>
      <c r="IS129" s="391"/>
      <c r="IT129" s="391"/>
      <c r="IU129" s="391"/>
      <c r="IV129" s="391"/>
      <c r="IW129" s="391"/>
      <c r="IX129" s="391"/>
      <c r="IY129" s="391"/>
      <c r="IZ129" s="391"/>
      <c r="JA129" s="391"/>
      <c r="JB129" s="391"/>
      <c r="JC129" s="391"/>
      <c r="JD129" s="391"/>
      <c r="JE129" s="391"/>
      <c r="JF129" s="391"/>
      <c r="JG129" s="391"/>
      <c r="JH129" s="391"/>
      <c r="JI129" s="393">
        <f t="shared" ref="JI129:JI192" si="5">SUM(A129:JH129)</f>
        <v>0</v>
      </c>
      <c r="JJ129" s="2">
        <v>6322</v>
      </c>
      <c r="JK129" s="392">
        <f t="shared" ref="JK129:JK192" si="6">+JI129-JL129</f>
        <v>0</v>
      </c>
      <c r="JL129" s="284"/>
      <c r="JM129" s="392"/>
      <c r="JN129" s="392"/>
      <c r="JO129" s="392"/>
      <c r="JP129" s="392"/>
    </row>
    <row r="130" spans="1:276" x14ac:dyDescent="0.3">
      <c r="A130" s="391"/>
      <c r="B130" s="391"/>
      <c r="C130" s="391"/>
      <c r="D130" s="391"/>
      <c r="E130" s="391"/>
      <c r="F130" s="391"/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  <c r="W130" s="391"/>
      <c r="X130" s="391"/>
      <c r="Y130" s="391"/>
      <c r="Z130" s="391"/>
      <c r="AA130" s="391"/>
      <c r="AB130" s="391"/>
      <c r="AC130" s="391"/>
      <c r="AD130" s="391"/>
      <c r="AE130" s="391"/>
      <c r="AF130" s="391"/>
      <c r="AG130" s="391"/>
      <c r="AH130" s="391"/>
      <c r="AI130" s="391"/>
      <c r="AJ130" s="391"/>
      <c r="AK130" s="391"/>
      <c r="AL130" s="391"/>
      <c r="AM130" s="391"/>
      <c r="AN130" s="391"/>
      <c r="AO130" s="391"/>
      <c r="AP130" s="391"/>
      <c r="AQ130" s="391"/>
      <c r="AR130" s="391"/>
      <c r="AS130" s="391"/>
      <c r="AT130" s="391"/>
      <c r="AU130" s="391"/>
      <c r="AV130" s="391"/>
      <c r="AW130" s="391"/>
      <c r="AX130" s="391"/>
      <c r="AY130" s="391"/>
      <c r="AZ130" s="391"/>
      <c r="BA130" s="391"/>
      <c r="BB130" s="391"/>
      <c r="BC130" s="391"/>
      <c r="BD130" s="391"/>
      <c r="BE130" s="391"/>
      <c r="BF130" s="391"/>
      <c r="BG130" s="391"/>
      <c r="BH130" s="391"/>
      <c r="BI130" s="391"/>
      <c r="BJ130" s="391"/>
      <c r="BK130" s="391"/>
      <c r="BL130" s="391"/>
      <c r="BM130" s="391"/>
      <c r="BN130" s="391"/>
      <c r="BO130" s="391"/>
      <c r="BP130" s="391"/>
      <c r="BQ130" s="391"/>
      <c r="BR130" s="391"/>
      <c r="BS130" s="391"/>
      <c r="BT130" s="391"/>
      <c r="BU130" s="391"/>
      <c r="BV130" s="391"/>
      <c r="BW130" s="391"/>
      <c r="BX130" s="391"/>
      <c r="BY130" s="391"/>
      <c r="BZ130" s="391"/>
      <c r="CA130" s="391"/>
      <c r="CB130" s="391"/>
      <c r="CC130" s="391"/>
      <c r="CD130" s="391"/>
      <c r="CE130" s="391"/>
      <c r="CF130" s="391"/>
      <c r="CG130" s="391"/>
      <c r="CH130" s="391"/>
      <c r="CI130" s="391"/>
      <c r="CJ130" s="391"/>
      <c r="CK130" s="391"/>
      <c r="CL130" s="391"/>
      <c r="CM130" s="391"/>
      <c r="CN130" s="391"/>
      <c r="CO130" s="391"/>
      <c r="CP130" s="391"/>
      <c r="CQ130" s="391"/>
      <c r="CR130" s="391"/>
      <c r="CS130" s="391"/>
      <c r="CT130" s="391"/>
      <c r="CU130" s="391"/>
      <c r="CV130" s="391"/>
      <c r="CW130" s="391"/>
      <c r="CX130" s="391"/>
      <c r="CY130" s="391"/>
      <c r="CZ130" s="391"/>
      <c r="DA130" s="391"/>
      <c r="DB130" s="391"/>
      <c r="DC130" s="391"/>
      <c r="DD130" s="391"/>
      <c r="DE130" s="391"/>
      <c r="DF130" s="391"/>
      <c r="DG130" s="391"/>
      <c r="DH130" s="391"/>
      <c r="DI130" s="391"/>
      <c r="DJ130" s="391"/>
      <c r="DK130" s="391"/>
      <c r="DL130" s="391"/>
      <c r="DM130" s="391"/>
      <c r="DN130" s="391"/>
      <c r="DO130" s="391"/>
      <c r="DP130" s="391"/>
      <c r="DQ130" s="391"/>
      <c r="DR130" s="391"/>
      <c r="DS130" s="391"/>
      <c r="DT130" s="391"/>
      <c r="DU130" s="391"/>
      <c r="DV130" s="391"/>
      <c r="DW130" s="391"/>
      <c r="DX130" s="391"/>
      <c r="DY130" s="391"/>
      <c r="DZ130" s="391"/>
      <c r="EA130" s="391"/>
      <c r="EB130" s="391"/>
      <c r="EC130" s="391"/>
      <c r="ED130" s="391"/>
      <c r="EE130" s="391"/>
      <c r="EF130" s="391"/>
      <c r="EG130" s="391"/>
      <c r="EH130" s="391"/>
      <c r="EI130" s="391"/>
      <c r="EJ130" s="391"/>
      <c r="EK130" s="391"/>
      <c r="EL130" s="391"/>
      <c r="EM130" s="391"/>
      <c r="EN130" s="391"/>
      <c r="EO130" s="391"/>
      <c r="EP130" s="391"/>
      <c r="EQ130" s="391"/>
      <c r="ER130" s="391"/>
      <c r="ES130" s="391"/>
      <c r="ET130" s="391"/>
      <c r="EU130" s="391"/>
      <c r="EV130" s="391"/>
      <c r="EW130" s="391"/>
      <c r="EX130" s="391"/>
      <c r="EY130" s="391"/>
      <c r="EZ130" s="391"/>
      <c r="FA130" s="391"/>
      <c r="FB130" s="391"/>
      <c r="FC130" s="391"/>
      <c r="FD130" s="391"/>
      <c r="FE130" s="391"/>
      <c r="FF130" s="391"/>
      <c r="FG130" s="391"/>
      <c r="FH130" s="391"/>
      <c r="FI130" s="391"/>
      <c r="FJ130" s="391"/>
      <c r="FK130" s="391"/>
      <c r="FL130" s="391"/>
      <c r="FM130" s="391"/>
      <c r="FN130" s="391"/>
      <c r="FO130" s="391"/>
      <c r="FP130" s="391"/>
      <c r="FQ130" s="391"/>
      <c r="FR130" s="391"/>
      <c r="FS130" s="391"/>
      <c r="FT130" s="391"/>
      <c r="FU130" s="391"/>
      <c r="FV130" s="391"/>
      <c r="FW130" s="391"/>
      <c r="FX130" s="391"/>
      <c r="FY130" s="391"/>
      <c r="FZ130" s="391"/>
      <c r="GA130" s="391"/>
      <c r="GB130" s="391"/>
      <c r="GC130" s="391"/>
      <c r="GD130" s="391"/>
      <c r="GE130" s="391"/>
      <c r="GF130" s="391"/>
      <c r="GG130" s="391"/>
      <c r="GH130" s="391"/>
      <c r="GI130" s="391"/>
      <c r="GJ130" s="391"/>
      <c r="GK130" s="391"/>
      <c r="GL130" s="391"/>
      <c r="GM130" s="391"/>
      <c r="GN130" s="391"/>
      <c r="GO130" s="391"/>
      <c r="GP130" s="391"/>
      <c r="GQ130" s="391"/>
      <c r="GR130" s="391"/>
      <c r="GS130" s="391"/>
      <c r="GT130" s="391"/>
      <c r="GU130" s="391"/>
      <c r="GV130" s="391"/>
      <c r="GW130" s="391"/>
      <c r="GX130" s="391"/>
      <c r="GY130" s="391"/>
      <c r="GZ130" s="391"/>
      <c r="HA130" s="391"/>
      <c r="HB130" s="391"/>
      <c r="HC130" s="391"/>
      <c r="HD130" s="391"/>
      <c r="HE130" s="391"/>
      <c r="HF130" s="391"/>
      <c r="HG130" s="391"/>
      <c r="HH130" s="391"/>
      <c r="HI130" s="391"/>
      <c r="HJ130" s="391"/>
      <c r="HK130" s="391"/>
      <c r="HL130" s="391"/>
      <c r="HM130" s="391"/>
      <c r="HN130" s="391"/>
      <c r="HO130" s="391"/>
      <c r="HP130" s="391"/>
      <c r="HQ130" s="391"/>
      <c r="HR130" s="391"/>
      <c r="HS130" s="391"/>
      <c r="HT130" s="391"/>
      <c r="HU130" s="391"/>
      <c r="HV130" s="391"/>
      <c r="HW130" s="391"/>
      <c r="HX130" s="391"/>
      <c r="HY130" s="391"/>
      <c r="HZ130" s="391"/>
      <c r="IA130" s="391"/>
      <c r="IB130" s="391"/>
      <c r="IC130" s="391"/>
      <c r="ID130" s="391"/>
      <c r="IE130" s="391"/>
      <c r="IF130" s="391"/>
      <c r="IG130" s="391"/>
      <c r="IH130" s="391"/>
      <c r="II130" s="391"/>
      <c r="IJ130" s="391"/>
      <c r="IK130" s="391"/>
      <c r="IL130" s="391"/>
      <c r="IM130" s="391"/>
      <c r="IN130" s="391"/>
      <c r="IO130" s="391"/>
      <c r="IP130" s="391"/>
      <c r="IQ130" s="391"/>
      <c r="IR130" s="391"/>
      <c r="IS130" s="391"/>
      <c r="IT130" s="391"/>
      <c r="IU130" s="391"/>
      <c r="IV130" s="391"/>
      <c r="IW130" s="391"/>
      <c r="IX130" s="391"/>
      <c r="IY130" s="391"/>
      <c r="IZ130" s="391"/>
      <c r="JA130" s="391"/>
      <c r="JB130" s="391"/>
      <c r="JC130" s="391"/>
      <c r="JD130" s="391"/>
      <c r="JE130" s="391"/>
      <c r="JF130" s="391"/>
      <c r="JG130" s="391"/>
      <c r="JH130" s="391"/>
      <c r="JI130" s="393">
        <f t="shared" si="5"/>
        <v>0</v>
      </c>
      <c r="JJ130" s="2">
        <v>6326</v>
      </c>
      <c r="JK130" s="392">
        <f t="shared" si="6"/>
        <v>0</v>
      </c>
      <c r="JL130" s="284"/>
      <c r="JM130" s="392"/>
      <c r="JN130" s="392"/>
      <c r="JO130" s="392"/>
      <c r="JP130" s="392"/>
    </row>
    <row r="131" spans="1:276" x14ac:dyDescent="0.3">
      <c r="A131" s="391"/>
      <c r="B131" s="391"/>
      <c r="C131" s="391"/>
      <c r="D131" s="391"/>
      <c r="E131" s="391"/>
      <c r="F131" s="391"/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391"/>
      <c r="X131" s="391"/>
      <c r="Y131" s="391"/>
      <c r="Z131" s="391"/>
      <c r="AA131" s="391"/>
      <c r="AB131" s="391"/>
      <c r="AC131" s="391"/>
      <c r="AD131" s="391"/>
      <c r="AE131" s="391"/>
      <c r="AF131" s="391"/>
      <c r="AG131" s="391"/>
      <c r="AH131" s="391"/>
      <c r="AI131" s="391"/>
      <c r="AJ131" s="391"/>
      <c r="AK131" s="391"/>
      <c r="AL131" s="391"/>
      <c r="AM131" s="391"/>
      <c r="AN131" s="391"/>
      <c r="AO131" s="391"/>
      <c r="AP131" s="391"/>
      <c r="AQ131" s="391"/>
      <c r="AR131" s="391"/>
      <c r="AS131" s="391"/>
      <c r="AT131" s="391"/>
      <c r="AU131" s="391"/>
      <c r="AV131" s="391"/>
      <c r="AW131" s="391"/>
      <c r="AX131" s="391"/>
      <c r="AY131" s="391"/>
      <c r="AZ131" s="391"/>
      <c r="BA131" s="391"/>
      <c r="BB131" s="391"/>
      <c r="BC131" s="391"/>
      <c r="BD131" s="391"/>
      <c r="BE131" s="391"/>
      <c r="BF131" s="391"/>
      <c r="BG131" s="391"/>
      <c r="BH131" s="391"/>
      <c r="BI131" s="391"/>
      <c r="BJ131" s="391"/>
      <c r="BK131" s="391"/>
      <c r="BL131" s="391"/>
      <c r="BM131" s="391"/>
      <c r="BN131" s="391"/>
      <c r="BO131" s="391"/>
      <c r="BP131" s="391"/>
      <c r="BQ131" s="391"/>
      <c r="BR131" s="391"/>
      <c r="BS131" s="391"/>
      <c r="BT131" s="391"/>
      <c r="BU131" s="391"/>
      <c r="BV131" s="391"/>
      <c r="BW131" s="391"/>
      <c r="BX131" s="391"/>
      <c r="BY131" s="391"/>
      <c r="BZ131" s="391"/>
      <c r="CA131" s="391"/>
      <c r="CB131" s="391"/>
      <c r="CC131" s="391"/>
      <c r="CD131" s="391"/>
      <c r="CE131" s="391"/>
      <c r="CF131" s="391"/>
      <c r="CG131" s="391"/>
      <c r="CH131" s="391"/>
      <c r="CI131" s="391"/>
      <c r="CJ131" s="391"/>
      <c r="CK131" s="391"/>
      <c r="CL131" s="391"/>
      <c r="CM131" s="391"/>
      <c r="CN131" s="391"/>
      <c r="CO131" s="391"/>
      <c r="CP131" s="391"/>
      <c r="CQ131" s="391"/>
      <c r="CR131" s="391"/>
      <c r="CS131" s="391"/>
      <c r="CT131" s="391"/>
      <c r="CU131" s="391"/>
      <c r="CV131" s="391"/>
      <c r="CW131" s="391"/>
      <c r="CX131" s="391"/>
      <c r="CY131" s="391"/>
      <c r="CZ131" s="391"/>
      <c r="DA131" s="391"/>
      <c r="DB131" s="391"/>
      <c r="DC131" s="391"/>
      <c r="DD131" s="391"/>
      <c r="DE131" s="391"/>
      <c r="DF131" s="391"/>
      <c r="DG131" s="391"/>
      <c r="DH131" s="391"/>
      <c r="DI131" s="391"/>
      <c r="DJ131" s="391"/>
      <c r="DK131" s="391"/>
      <c r="DL131" s="391"/>
      <c r="DM131" s="391"/>
      <c r="DN131" s="391"/>
      <c r="DO131" s="391"/>
      <c r="DP131" s="391"/>
      <c r="DQ131" s="391"/>
      <c r="DR131" s="391"/>
      <c r="DS131" s="391"/>
      <c r="DT131" s="391"/>
      <c r="DU131" s="391"/>
      <c r="DV131" s="391"/>
      <c r="DW131" s="391"/>
      <c r="DX131" s="391"/>
      <c r="DY131" s="391"/>
      <c r="DZ131" s="391"/>
      <c r="EA131" s="391"/>
      <c r="EB131" s="391"/>
      <c r="EC131" s="391"/>
      <c r="ED131" s="391"/>
      <c r="EE131" s="391"/>
      <c r="EF131" s="391"/>
      <c r="EG131" s="391"/>
      <c r="EH131" s="391"/>
      <c r="EI131" s="391"/>
      <c r="EJ131" s="391"/>
      <c r="EK131" s="391"/>
      <c r="EL131" s="391"/>
      <c r="EM131" s="391"/>
      <c r="EN131" s="391"/>
      <c r="EO131" s="391"/>
      <c r="EP131" s="391"/>
      <c r="EQ131" s="391"/>
      <c r="ER131" s="391"/>
      <c r="ES131" s="391"/>
      <c r="ET131" s="391"/>
      <c r="EU131" s="391"/>
      <c r="EV131" s="391"/>
      <c r="EW131" s="391"/>
      <c r="EX131" s="391"/>
      <c r="EY131" s="391"/>
      <c r="EZ131" s="391"/>
      <c r="FA131" s="391"/>
      <c r="FB131" s="391"/>
      <c r="FC131" s="391"/>
      <c r="FD131" s="391"/>
      <c r="FE131" s="391"/>
      <c r="FF131" s="391"/>
      <c r="FG131" s="391"/>
      <c r="FH131" s="391"/>
      <c r="FI131" s="391"/>
      <c r="FJ131" s="391"/>
      <c r="FK131" s="391"/>
      <c r="FL131" s="391"/>
      <c r="FM131" s="391"/>
      <c r="FN131" s="391"/>
      <c r="FO131" s="391"/>
      <c r="FP131" s="391"/>
      <c r="FQ131" s="391"/>
      <c r="FR131" s="391"/>
      <c r="FS131" s="391"/>
      <c r="FT131" s="391"/>
      <c r="FU131" s="391"/>
      <c r="FV131" s="391"/>
      <c r="FW131" s="391"/>
      <c r="FX131" s="391"/>
      <c r="FY131" s="391"/>
      <c r="FZ131" s="391"/>
      <c r="GA131" s="391"/>
      <c r="GB131" s="391"/>
      <c r="GC131" s="391"/>
      <c r="GD131" s="391"/>
      <c r="GE131" s="391"/>
      <c r="GF131" s="391"/>
      <c r="GG131" s="391"/>
      <c r="GH131" s="391"/>
      <c r="GI131" s="391"/>
      <c r="GJ131" s="391"/>
      <c r="GK131" s="391"/>
      <c r="GL131" s="391"/>
      <c r="GM131" s="391"/>
      <c r="GN131" s="391"/>
      <c r="GO131" s="391"/>
      <c r="GP131" s="391"/>
      <c r="GQ131" s="391"/>
      <c r="GR131" s="391"/>
      <c r="GS131" s="391"/>
      <c r="GT131" s="391"/>
      <c r="GU131" s="391"/>
      <c r="GV131" s="391"/>
      <c r="GW131" s="391"/>
      <c r="GX131" s="391"/>
      <c r="GY131" s="391"/>
      <c r="GZ131" s="391"/>
      <c r="HA131" s="391"/>
      <c r="HB131" s="391"/>
      <c r="HC131" s="391"/>
      <c r="HD131" s="391"/>
      <c r="HE131" s="391"/>
      <c r="HF131" s="391"/>
      <c r="HG131" s="391"/>
      <c r="HH131" s="391"/>
      <c r="HI131" s="391"/>
      <c r="HJ131" s="391"/>
      <c r="HK131" s="391"/>
      <c r="HL131" s="391"/>
      <c r="HM131" s="391"/>
      <c r="HN131" s="391"/>
      <c r="HO131" s="391"/>
      <c r="HP131" s="391"/>
      <c r="HQ131" s="391"/>
      <c r="HR131" s="391"/>
      <c r="HS131" s="391"/>
      <c r="HT131" s="391"/>
      <c r="HU131" s="391"/>
      <c r="HV131" s="391"/>
      <c r="HW131" s="391"/>
      <c r="HX131" s="391"/>
      <c r="HY131" s="391"/>
      <c r="HZ131" s="391"/>
      <c r="IA131" s="391"/>
      <c r="IB131" s="391"/>
      <c r="IC131" s="391"/>
      <c r="ID131" s="391"/>
      <c r="IE131" s="391"/>
      <c r="IF131" s="391"/>
      <c r="IG131" s="391"/>
      <c r="IH131" s="391"/>
      <c r="II131" s="391"/>
      <c r="IJ131" s="391"/>
      <c r="IK131" s="391"/>
      <c r="IL131" s="391"/>
      <c r="IM131" s="391"/>
      <c r="IN131" s="391"/>
      <c r="IO131" s="391"/>
      <c r="IP131" s="391"/>
      <c r="IQ131" s="391"/>
      <c r="IR131" s="391"/>
      <c r="IS131" s="391"/>
      <c r="IT131" s="391"/>
      <c r="IU131" s="391"/>
      <c r="IV131" s="391"/>
      <c r="IW131" s="391"/>
      <c r="IX131" s="391"/>
      <c r="IY131" s="391"/>
      <c r="IZ131" s="391"/>
      <c r="JA131" s="391"/>
      <c r="JB131" s="391"/>
      <c r="JC131" s="391"/>
      <c r="JD131" s="391"/>
      <c r="JE131" s="391"/>
      <c r="JF131" s="391"/>
      <c r="JG131" s="391"/>
      <c r="JH131" s="391"/>
      <c r="JI131" s="393">
        <f t="shared" si="5"/>
        <v>0</v>
      </c>
      <c r="JJ131" s="2">
        <v>6330</v>
      </c>
      <c r="JK131" s="392">
        <f t="shared" si="6"/>
        <v>0</v>
      </c>
      <c r="JL131" s="284"/>
      <c r="JM131" s="392"/>
      <c r="JN131" s="392"/>
      <c r="JO131" s="392"/>
      <c r="JP131" s="392"/>
    </row>
    <row r="132" spans="1:27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2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393">
        <f t="shared" si="5"/>
        <v>0</v>
      </c>
      <c r="JJ132" s="2">
        <v>6332</v>
      </c>
      <c r="JK132" s="392">
        <f t="shared" si="6"/>
        <v>0</v>
      </c>
      <c r="JL132" s="284"/>
      <c r="JM132" s="392"/>
      <c r="JN132" s="392"/>
      <c r="JO132" s="392"/>
      <c r="JP132" s="392"/>
    </row>
    <row r="133" spans="1:276" x14ac:dyDescent="0.3">
      <c r="A133" s="391"/>
      <c r="B133" s="391"/>
      <c r="C133" s="391"/>
      <c r="D133" s="391"/>
      <c r="E133" s="391"/>
      <c r="F133" s="391"/>
      <c r="G133" s="391"/>
      <c r="H133" s="391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  <c r="AA133" s="391"/>
      <c r="AB133" s="391"/>
      <c r="AC133" s="391"/>
      <c r="AD133" s="391"/>
      <c r="AE133" s="391"/>
      <c r="AF133" s="391"/>
      <c r="AG133" s="391"/>
      <c r="AH133" s="391"/>
      <c r="AI133" s="391"/>
      <c r="AJ133" s="391"/>
      <c r="AK133" s="391"/>
      <c r="AL133" s="391"/>
      <c r="AM133" s="391"/>
      <c r="AN133" s="391"/>
      <c r="AO133" s="391"/>
      <c r="AP133" s="391"/>
      <c r="AQ133" s="391"/>
      <c r="AR133" s="391"/>
      <c r="AS133" s="391"/>
      <c r="AT133" s="391"/>
      <c r="AU133" s="391"/>
      <c r="AV133" s="391"/>
      <c r="AW133" s="391"/>
      <c r="AX133" s="391"/>
      <c r="AY133" s="391"/>
      <c r="AZ133" s="391"/>
      <c r="BA133" s="391"/>
      <c r="BB133" s="391"/>
      <c r="BC133" s="391"/>
      <c r="BD133" s="391"/>
      <c r="BE133" s="391"/>
      <c r="BF133" s="391"/>
      <c r="BG133" s="391"/>
      <c r="BH133" s="391"/>
      <c r="BI133" s="391"/>
      <c r="BJ133" s="391"/>
      <c r="BK133" s="391"/>
      <c r="BL133" s="391"/>
      <c r="BM133" s="391"/>
      <c r="BN133" s="391"/>
      <c r="BO133" s="391"/>
      <c r="BP133" s="391"/>
      <c r="BQ133" s="391"/>
      <c r="BR133" s="391"/>
      <c r="BS133" s="391"/>
      <c r="BT133" s="391"/>
      <c r="BU133" s="391"/>
      <c r="BV133" s="391"/>
      <c r="BW133" s="391"/>
      <c r="BX133" s="391"/>
      <c r="BY133" s="391"/>
      <c r="BZ133" s="391"/>
      <c r="CA133" s="391"/>
      <c r="CB133" s="391"/>
      <c r="CC133" s="391"/>
      <c r="CD133" s="391"/>
      <c r="CE133" s="391"/>
      <c r="CF133" s="391"/>
      <c r="CG133" s="391"/>
      <c r="CH133" s="391"/>
      <c r="CI133" s="391"/>
      <c r="CJ133" s="391"/>
      <c r="CK133" s="391"/>
      <c r="CL133" s="391"/>
      <c r="CM133" s="391"/>
      <c r="CN133" s="391"/>
      <c r="CO133" s="391"/>
      <c r="CP133" s="391"/>
      <c r="CQ133" s="391"/>
      <c r="CR133" s="391"/>
      <c r="CS133" s="391"/>
      <c r="CT133" s="391"/>
      <c r="CU133" s="391"/>
      <c r="CV133" s="391"/>
      <c r="CW133" s="391"/>
      <c r="CX133" s="391"/>
      <c r="CY133" s="391"/>
      <c r="CZ133" s="391"/>
      <c r="DA133" s="391"/>
      <c r="DB133" s="391"/>
      <c r="DC133" s="391"/>
      <c r="DD133" s="391"/>
      <c r="DE133" s="391"/>
      <c r="DF133" s="391"/>
      <c r="DG133" s="391"/>
      <c r="DH133" s="391"/>
      <c r="DI133" s="391"/>
      <c r="DJ133" s="391"/>
      <c r="DK133" s="391"/>
      <c r="DL133" s="391"/>
      <c r="DM133" s="391"/>
      <c r="DN133" s="391"/>
      <c r="DO133" s="391"/>
      <c r="DP133" s="391"/>
      <c r="DQ133" s="391"/>
      <c r="DR133" s="391"/>
      <c r="DS133" s="391"/>
      <c r="DT133" s="391"/>
      <c r="DU133" s="391"/>
      <c r="DV133" s="391"/>
      <c r="DW133" s="391"/>
      <c r="DX133" s="391"/>
      <c r="DY133" s="391"/>
      <c r="DZ133" s="391"/>
      <c r="EA133" s="391"/>
      <c r="EB133" s="391"/>
      <c r="EC133" s="391"/>
      <c r="ED133" s="391"/>
      <c r="EE133" s="391"/>
      <c r="EF133" s="391"/>
      <c r="EG133" s="391"/>
      <c r="EH133" s="391"/>
      <c r="EI133" s="391"/>
      <c r="EJ133" s="391"/>
      <c r="EK133" s="391"/>
      <c r="EL133" s="391"/>
      <c r="EM133" s="391"/>
      <c r="EN133" s="391"/>
      <c r="EO133" s="391"/>
      <c r="EP133" s="391"/>
      <c r="EQ133" s="391"/>
      <c r="ER133" s="391"/>
      <c r="ES133" s="391"/>
      <c r="ET133" s="391"/>
      <c r="EU133" s="391"/>
      <c r="EV133" s="391"/>
      <c r="EW133" s="391"/>
      <c r="EX133" s="391"/>
      <c r="EY133" s="391"/>
      <c r="EZ133" s="391"/>
      <c r="FA133" s="391"/>
      <c r="FB133" s="391"/>
      <c r="FC133" s="391"/>
      <c r="FD133" s="391"/>
      <c r="FE133" s="391"/>
      <c r="FF133" s="391"/>
      <c r="FG133" s="391"/>
      <c r="FH133" s="391"/>
      <c r="FI133" s="391"/>
      <c r="FJ133" s="391"/>
      <c r="FK133" s="391"/>
      <c r="FL133" s="391"/>
      <c r="FM133" s="391"/>
      <c r="FN133" s="391"/>
      <c r="FO133" s="391"/>
      <c r="FP133" s="391"/>
      <c r="FQ133" s="391"/>
      <c r="FR133" s="391"/>
      <c r="FS133" s="391"/>
      <c r="FT133" s="391"/>
      <c r="FU133" s="391"/>
      <c r="FV133" s="391"/>
      <c r="FW133" s="391"/>
      <c r="FX133" s="391"/>
      <c r="FY133" s="391"/>
      <c r="FZ133" s="391"/>
      <c r="GA133" s="391"/>
      <c r="GB133" s="391"/>
      <c r="GC133" s="391"/>
      <c r="GD133" s="391"/>
      <c r="GE133" s="391"/>
      <c r="GF133" s="391"/>
      <c r="GG133" s="391"/>
      <c r="GH133" s="391"/>
      <c r="GI133" s="391"/>
      <c r="GJ133" s="391"/>
      <c r="GK133" s="391"/>
      <c r="GL133" s="391"/>
      <c r="GM133" s="391"/>
      <c r="GN133" s="391"/>
      <c r="GO133" s="391"/>
      <c r="GP133" s="391"/>
      <c r="GQ133" s="391"/>
      <c r="GR133" s="391"/>
      <c r="GS133" s="391"/>
      <c r="GT133" s="391"/>
      <c r="GU133" s="391"/>
      <c r="GV133" s="391"/>
      <c r="GW133" s="391"/>
      <c r="GX133" s="391"/>
      <c r="GY133" s="391"/>
      <c r="GZ133" s="391"/>
      <c r="HA133" s="391"/>
      <c r="HB133" s="391"/>
      <c r="HC133" s="391"/>
      <c r="HD133" s="391"/>
      <c r="HE133" s="391"/>
      <c r="HF133" s="391"/>
      <c r="HG133" s="391"/>
      <c r="HH133" s="391"/>
      <c r="HI133" s="391"/>
      <c r="HJ133" s="391"/>
      <c r="HK133" s="391"/>
      <c r="HL133" s="391"/>
      <c r="HM133" s="391"/>
      <c r="HN133" s="391"/>
      <c r="HO133" s="391"/>
      <c r="HP133" s="391"/>
      <c r="HQ133" s="391"/>
      <c r="HR133" s="391"/>
      <c r="HS133" s="391"/>
      <c r="HT133" s="391"/>
      <c r="HU133" s="391"/>
      <c r="HV133" s="391"/>
      <c r="HW133" s="391"/>
      <c r="HX133" s="391"/>
      <c r="HY133" s="391"/>
      <c r="HZ133" s="391"/>
      <c r="IA133" s="391"/>
      <c r="IB133" s="391"/>
      <c r="IC133" s="391"/>
      <c r="ID133" s="391"/>
      <c r="IE133" s="391"/>
      <c r="IF133" s="391"/>
      <c r="IG133" s="391"/>
      <c r="IH133" s="391"/>
      <c r="II133" s="391"/>
      <c r="IJ133" s="391"/>
      <c r="IK133" s="391"/>
      <c r="IL133" s="391"/>
      <c r="IM133" s="391"/>
      <c r="IN133" s="391"/>
      <c r="IO133" s="391"/>
      <c r="IP133" s="391"/>
      <c r="IQ133" s="391"/>
      <c r="IR133" s="391"/>
      <c r="IS133" s="391"/>
      <c r="IT133" s="391"/>
      <c r="IU133" s="391"/>
      <c r="IV133" s="391"/>
      <c r="IW133" s="391"/>
      <c r="IX133" s="391"/>
      <c r="IY133" s="391"/>
      <c r="IZ133" s="391"/>
      <c r="JA133" s="391"/>
      <c r="JB133" s="391"/>
      <c r="JC133" s="391"/>
      <c r="JD133" s="391"/>
      <c r="JE133" s="391"/>
      <c r="JF133" s="391"/>
      <c r="JG133" s="391"/>
      <c r="JH133" s="391"/>
      <c r="JI133" s="393">
        <f t="shared" si="5"/>
        <v>0</v>
      </c>
      <c r="JJ133" s="2">
        <v>6344</v>
      </c>
      <c r="JK133" s="392">
        <f t="shared" si="6"/>
        <v>0</v>
      </c>
      <c r="JL133" s="284"/>
      <c r="JM133" s="392"/>
      <c r="JN133" s="392"/>
      <c r="JO133" s="392"/>
      <c r="JP133" s="392"/>
    </row>
    <row r="134" spans="1:276" x14ac:dyDescent="0.3">
      <c r="A134" s="391"/>
      <c r="B134" s="391"/>
      <c r="C134" s="391"/>
      <c r="D134" s="391"/>
      <c r="E134" s="391"/>
      <c r="F134" s="391"/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  <c r="W134" s="391"/>
      <c r="X134" s="391"/>
      <c r="Y134" s="391"/>
      <c r="Z134" s="391"/>
      <c r="AA134" s="391"/>
      <c r="AB134" s="391"/>
      <c r="AC134" s="391"/>
      <c r="AD134" s="391"/>
      <c r="AE134" s="391"/>
      <c r="AF134" s="391"/>
      <c r="AG134" s="391"/>
      <c r="AH134" s="391"/>
      <c r="AI134" s="391"/>
      <c r="AJ134" s="391"/>
      <c r="AK134" s="391"/>
      <c r="AL134" s="391"/>
      <c r="AM134" s="391"/>
      <c r="AN134" s="391"/>
      <c r="AO134" s="391"/>
      <c r="AP134" s="391"/>
      <c r="AQ134" s="391"/>
      <c r="AR134" s="391"/>
      <c r="AS134" s="391"/>
      <c r="AT134" s="391"/>
      <c r="AU134" s="391"/>
      <c r="AV134" s="391"/>
      <c r="AW134" s="391"/>
      <c r="AX134" s="391"/>
      <c r="AY134" s="391"/>
      <c r="AZ134" s="391"/>
      <c r="BA134" s="391"/>
      <c r="BB134" s="391"/>
      <c r="BC134" s="391"/>
      <c r="BD134" s="391"/>
      <c r="BE134" s="391"/>
      <c r="BF134" s="391"/>
      <c r="BG134" s="391"/>
      <c r="BH134" s="391"/>
      <c r="BI134" s="391"/>
      <c r="BJ134" s="391"/>
      <c r="BK134" s="391"/>
      <c r="BL134" s="391"/>
      <c r="BM134" s="391"/>
      <c r="BN134" s="391"/>
      <c r="BO134" s="391"/>
      <c r="BP134" s="391"/>
      <c r="BQ134" s="391"/>
      <c r="BR134" s="391"/>
      <c r="BS134" s="391"/>
      <c r="BT134" s="391"/>
      <c r="BU134" s="391"/>
      <c r="BV134" s="391"/>
      <c r="BW134" s="391"/>
      <c r="BX134" s="391"/>
      <c r="BY134" s="391"/>
      <c r="BZ134" s="391"/>
      <c r="CA134" s="391"/>
      <c r="CB134" s="391"/>
      <c r="CC134" s="391"/>
      <c r="CD134" s="391"/>
      <c r="CE134" s="391"/>
      <c r="CF134" s="391"/>
      <c r="CG134" s="391"/>
      <c r="CH134" s="391"/>
      <c r="CI134" s="391"/>
      <c r="CJ134" s="391"/>
      <c r="CK134" s="391"/>
      <c r="CL134" s="391"/>
      <c r="CM134" s="391"/>
      <c r="CN134" s="391"/>
      <c r="CO134" s="391"/>
      <c r="CP134" s="391"/>
      <c r="CQ134" s="391"/>
      <c r="CR134" s="391"/>
      <c r="CS134" s="391"/>
      <c r="CT134" s="391"/>
      <c r="CU134" s="391"/>
      <c r="CV134" s="391"/>
      <c r="CW134" s="391"/>
      <c r="CX134" s="391"/>
      <c r="CY134" s="391"/>
      <c r="CZ134" s="391"/>
      <c r="DA134" s="391"/>
      <c r="DB134" s="391"/>
      <c r="DC134" s="391"/>
      <c r="DD134" s="391"/>
      <c r="DE134" s="391"/>
      <c r="DF134" s="391"/>
      <c r="DG134" s="391"/>
      <c r="DH134" s="391"/>
      <c r="DI134" s="391"/>
      <c r="DJ134" s="391"/>
      <c r="DK134" s="391"/>
      <c r="DL134" s="391"/>
      <c r="DM134" s="391"/>
      <c r="DN134" s="391"/>
      <c r="DO134" s="391"/>
      <c r="DP134" s="391"/>
      <c r="DQ134" s="391"/>
      <c r="DR134" s="391"/>
      <c r="DS134" s="391"/>
      <c r="DT134" s="391"/>
      <c r="DU134" s="391"/>
      <c r="DV134" s="391"/>
      <c r="DW134" s="391"/>
      <c r="DX134" s="391"/>
      <c r="DY134" s="391"/>
      <c r="DZ134" s="391"/>
      <c r="EA134" s="391"/>
      <c r="EB134" s="391"/>
      <c r="EC134" s="391"/>
      <c r="ED134" s="391"/>
      <c r="EE134" s="391"/>
      <c r="EF134" s="391"/>
      <c r="EG134" s="391"/>
      <c r="EH134" s="391"/>
      <c r="EI134" s="391"/>
      <c r="EJ134" s="391"/>
      <c r="EK134" s="391"/>
      <c r="EL134" s="391"/>
      <c r="EM134" s="391"/>
      <c r="EN134" s="391"/>
      <c r="EO134" s="391"/>
      <c r="EP134" s="391"/>
      <c r="EQ134" s="391"/>
      <c r="ER134" s="391"/>
      <c r="ES134" s="391"/>
      <c r="ET134" s="391"/>
      <c r="EU134" s="391"/>
      <c r="EV134" s="391"/>
      <c r="EW134" s="391"/>
      <c r="EX134" s="391"/>
      <c r="EY134" s="391"/>
      <c r="EZ134" s="391"/>
      <c r="FA134" s="391"/>
      <c r="FB134" s="391"/>
      <c r="FC134" s="391"/>
      <c r="FD134" s="391"/>
      <c r="FE134" s="391"/>
      <c r="FF134" s="391"/>
      <c r="FG134" s="391"/>
      <c r="FH134" s="391"/>
      <c r="FI134" s="391"/>
      <c r="FJ134" s="391"/>
      <c r="FK134" s="391"/>
      <c r="FL134" s="391"/>
      <c r="FM134" s="391"/>
      <c r="FN134" s="391"/>
      <c r="FO134" s="391"/>
      <c r="FP134" s="391"/>
      <c r="FQ134" s="391"/>
      <c r="FR134" s="391"/>
      <c r="FS134" s="391"/>
      <c r="FT134" s="391"/>
      <c r="FU134" s="391"/>
      <c r="FV134" s="391"/>
      <c r="FW134" s="391"/>
      <c r="FX134" s="391"/>
      <c r="FY134" s="391"/>
      <c r="FZ134" s="391"/>
      <c r="GA134" s="391"/>
      <c r="GB134" s="391"/>
      <c r="GC134" s="391"/>
      <c r="GD134" s="391"/>
      <c r="GE134" s="391"/>
      <c r="GF134" s="391"/>
      <c r="GG134" s="391"/>
      <c r="GH134" s="391"/>
      <c r="GI134" s="391"/>
      <c r="GJ134" s="391"/>
      <c r="GK134" s="391"/>
      <c r="GL134" s="391"/>
      <c r="GM134" s="391"/>
      <c r="GN134" s="391"/>
      <c r="GO134" s="391"/>
      <c r="GP134" s="391"/>
      <c r="GQ134" s="391"/>
      <c r="GR134" s="391"/>
      <c r="GS134" s="391"/>
      <c r="GT134" s="391"/>
      <c r="GU134" s="391"/>
      <c r="GV134" s="391"/>
      <c r="GW134" s="391"/>
      <c r="GX134" s="391"/>
      <c r="GY134" s="391"/>
      <c r="GZ134" s="391"/>
      <c r="HA134" s="391"/>
      <c r="HB134" s="391"/>
      <c r="HC134" s="391"/>
      <c r="HD134" s="391"/>
      <c r="HE134" s="391"/>
      <c r="HF134" s="391"/>
      <c r="HG134" s="391"/>
      <c r="HH134" s="391"/>
      <c r="HI134" s="391"/>
      <c r="HJ134" s="391"/>
      <c r="HK134" s="391"/>
      <c r="HL134" s="391"/>
      <c r="HM134" s="391"/>
      <c r="HN134" s="391"/>
      <c r="HO134" s="391"/>
      <c r="HP134" s="391"/>
      <c r="HQ134" s="391"/>
      <c r="HR134" s="391"/>
      <c r="HS134" s="391"/>
      <c r="HT134" s="391"/>
      <c r="HU134" s="391"/>
      <c r="HV134" s="391"/>
      <c r="HW134" s="391"/>
      <c r="HX134" s="391"/>
      <c r="HY134" s="391"/>
      <c r="HZ134" s="391"/>
      <c r="IA134" s="391"/>
      <c r="IB134" s="391"/>
      <c r="IC134" s="391"/>
      <c r="ID134" s="391"/>
      <c r="IE134" s="391"/>
      <c r="IF134" s="391"/>
      <c r="IG134" s="391"/>
      <c r="IH134" s="391"/>
      <c r="II134" s="391"/>
      <c r="IJ134" s="391"/>
      <c r="IK134" s="391"/>
      <c r="IL134" s="391"/>
      <c r="IM134" s="391"/>
      <c r="IN134" s="391"/>
      <c r="IO134" s="391"/>
      <c r="IP134" s="391"/>
      <c r="IQ134" s="391"/>
      <c r="IR134" s="391"/>
      <c r="IS134" s="391"/>
      <c r="IT134" s="391"/>
      <c r="IU134" s="391"/>
      <c r="IV134" s="391"/>
      <c r="IW134" s="391"/>
      <c r="IX134" s="391"/>
      <c r="IY134" s="391"/>
      <c r="IZ134" s="391"/>
      <c r="JA134" s="391"/>
      <c r="JB134" s="391"/>
      <c r="JC134" s="391"/>
      <c r="JD134" s="391"/>
      <c r="JE134" s="391"/>
      <c r="JF134" s="391"/>
      <c r="JG134" s="391"/>
      <c r="JH134" s="391"/>
      <c r="JI134" s="393">
        <f t="shared" si="5"/>
        <v>0</v>
      </c>
      <c r="JJ134" s="2">
        <v>6346</v>
      </c>
      <c r="JK134" s="392">
        <f t="shared" si="6"/>
        <v>0</v>
      </c>
      <c r="JL134" s="284"/>
      <c r="JM134" s="392"/>
      <c r="JN134" s="392"/>
      <c r="JO134" s="392"/>
      <c r="JP134" s="392"/>
    </row>
    <row r="135" spans="1:276" x14ac:dyDescent="0.3">
      <c r="A135" s="391"/>
      <c r="B135" s="391"/>
      <c r="C135" s="391"/>
      <c r="D135" s="391"/>
      <c r="E135" s="391"/>
      <c r="F135" s="391"/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391"/>
      <c r="X135" s="391"/>
      <c r="Y135" s="391"/>
      <c r="Z135" s="391"/>
      <c r="AA135" s="391"/>
      <c r="AB135" s="391"/>
      <c r="AC135" s="391"/>
      <c r="AD135" s="391"/>
      <c r="AE135" s="391"/>
      <c r="AF135" s="391"/>
      <c r="AG135" s="391"/>
      <c r="AH135" s="391"/>
      <c r="AI135" s="391"/>
      <c r="AJ135" s="391"/>
      <c r="AK135" s="391"/>
      <c r="AL135" s="391"/>
      <c r="AM135" s="391"/>
      <c r="AN135" s="391"/>
      <c r="AO135" s="391"/>
      <c r="AP135" s="391"/>
      <c r="AQ135" s="391"/>
      <c r="AR135" s="391"/>
      <c r="AS135" s="391"/>
      <c r="AT135" s="391"/>
      <c r="AU135" s="391"/>
      <c r="AV135" s="391"/>
      <c r="AW135" s="391"/>
      <c r="AX135" s="391"/>
      <c r="AY135" s="391"/>
      <c r="AZ135" s="391"/>
      <c r="BA135" s="391"/>
      <c r="BB135" s="391"/>
      <c r="BC135" s="391"/>
      <c r="BD135" s="391"/>
      <c r="BE135" s="391"/>
      <c r="BF135" s="391"/>
      <c r="BG135" s="391"/>
      <c r="BH135" s="391"/>
      <c r="BI135" s="391"/>
      <c r="BJ135" s="391"/>
      <c r="BK135" s="391"/>
      <c r="BL135" s="391"/>
      <c r="BM135" s="391"/>
      <c r="BN135" s="391"/>
      <c r="BO135" s="391"/>
      <c r="BP135" s="391"/>
      <c r="BQ135" s="391"/>
      <c r="BR135" s="391"/>
      <c r="BS135" s="391"/>
      <c r="BT135" s="391"/>
      <c r="BU135" s="391"/>
      <c r="BV135" s="391"/>
      <c r="BW135" s="391"/>
      <c r="BX135" s="391"/>
      <c r="BY135" s="391"/>
      <c r="BZ135" s="391"/>
      <c r="CA135" s="391"/>
      <c r="CB135" s="391"/>
      <c r="CC135" s="391"/>
      <c r="CD135" s="391"/>
      <c r="CE135" s="391"/>
      <c r="CF135" s="391"/>
      <c r="CG135" s="391"/>
      <c r="CH135" s="391"/>
      <c r="CI135" s="391"/>
      <c r="CJ135" s="391"/>
      <c r="CK135" s="391"/>
      <c r="CL135" s="391"/>
      <c r="CM135" s="391"/>
      <c r="CN135" s="391"/>
      <c r="CO135" s="391"/>
      <c r="CP135" s="391"/>
      <c r="CQ135" s="391"/>
      <c r="CR135" s="391"/>
      <c r="CS135" s="391"/>
      <c r="CT135" s="391"/>
      <c r="CU135" s="391"/>
      <c r="CV135" s="391"/>
      <c r="CW135" s="391"/>
      <c r="CX135" s="391"/>
      <c r="CY135" s="391"/>
      <c r="CZ135" s="391"/>
      <c r="DA135" s="391"/>
      <c r="DB135" s="391"/>
      <c r="DC135" s="391"/>
      <c r="DD135" s="391"/>
      <c r="DE135" s="391"/>
      <c r="DF135" s="391"/>
      <c r="DG135" s="391"/>
      <c r="DH135" s="391"/>
      <c r="DI135" s="391"/>
      <c r="DJ135" s="391"/>
      <c r="DK135" s="391"/>
      <c r="DL135" s="391"/>
      <c r="DM135" s="391"/>
      <c r="DN135" s="391"/>
      <c r="DO135" s="391"/>
      <c r="DP135" s="391"/>
      <c r="DQ135" s="391"/>
      <c r="DR135" s="391"/>
      <c r="DS135" s="391"/>
      <c r="DT135" s="391"/>
      <c r="DU135" s="391"/>
      <c r="DV135" s="391"/>
      <c r="DW135" s="391"/>
      <c r="DX135" s="391"/>
      <c r="DY135" s="391"/>
      <c r="DZ135" s="391"/>
      <c r="EA135" s="391"/>
      <c r="EB135" s="391"/>
      <c r="EC135" s="391"/>
      <c r="ED135" s="391"/>
      <c r="EE135" s="391"/>
      <c r="EF135" s="391"/>
      <c r="EG135" s="391"/>
      <c r="EH135" s="391"/>
      <c r="EI135" s="391"/>
      <c r="EJ135" s="391"/>
      <c r="EK135" s="391"/>
      <c r="EL135" s="391"/>
      <c r="EM135" s="391"/>
      <c r="EN135" s="391"/>
      <c r="EO135" s="391"/>
      <c r="EP135" s="391"/>
      <c r="EQ135" s="391"/>
      <c r="ER135" s="391"/>
      <c r="ES135" s="391"/>
      <c r="ET135" s="391"/>
      <c r="EU135" s="391"/>
      <c r="EV135" s="391"/>
      <c r="EW135" s="391"/>
      <c r="EX135" s="391"/>
      <c r="EY135" s="391"/>
      <c r="EZ135" s="391"/>
      <c r="FA135" s="391"/>
      <c r="FB135" s="391"/>
      <c r="FC135" s="391"/>
      <c r="FD135" s="391"/>
      <c r="FE135" s="391"/>
      <c r="FF135" s="391"/>
      <c r="FG135" s="391"/>
      <c r="FH135" s="391"/>
      <c r="FI135" s="391"/>
      <c r="FJ135" s="391"/>
      <c r="FK135" s="391"/>
      <c r="FL135" s="391"/>
      <c r="FM135" s="391"/>
      <c r="FN135" s="391"/>
      <c r="FO135" s="391"/>
      <c r="FP135" s="391"/>
      <c r="FQ135" s="391"/>
      <c r="FR135" s="391"/>
      <c r="FS135" s="391"/>
      <c r="FT135" s="391"/>
      <c r="FU135" s="391"/>
      <c r="FV135" s="391"/>
      <c r="FW135" s="391"/>
      <c r="FX135" s="391"/>
      <c r="FY135" s="391"/>
      <c r="FZ135" s="391"/>
      <c r="GA135" s="391"/>
      <c r="GB135" s="391"/>
      <c r="GC135" s="391"/>
      <c r="GD135" s="391"/>
      <c r="GE135" s="391"/>
      <c r="GF135" s="391"/>
      <c r="GG135" s="391"/>
      <c r="GH135" s="391"/>
      <c r="GI135" s="391"/>
      <c r="GJ135" s="391"/>
      <c r="GK135" s="391"/>
      <c r="GL135" s="391"/>
      <c r="GM135" s="391"/>
      <c r="GN135" s="391"/>
      <c r="GO135" s="391"/>
      <c r="GP135" s="391"/>
      <c r="GQ135" s="391"/>
      <c r="GR135" s="391"/>
      <c r="GS135" s="391"/>
      <c r="GT135" s="391"/>
      <c r="GU135" s="391"/>
      <c r="GV135" s="391"/>
      <c r="GW135" s="391"/>
      <c r="GX135" s="391"/>
      <c r="GY135" s="391"/>
      <c r="GZ135" s="391"/>
      <c r="HA135" s="391"/>
      <c r="HB135" s="391"/>
      <c r="HC135" s="391"/>
      <c r="HD135" s="391"/>
      <c r="HE135" s="391"/>
      <c r="HF135" s="391"/>
      <c r="HG135" s="391"/>
      <c r="HH135" s="391"/>
      <c r="HI135" s="391"/>
      <c r="HJ135" s="391"/>
      <c r="HK135" s="391"/>
      <c r="HL135" s="391"/>
      <c r="HM135" s="391"/>
      <c r="HN135" s="391"/>
      <c r="HO135" s="391"/>
      <c r="HP135" s="391"/>
      <c r="HQ135" s="391"/>
      <c r="HR135" s="391"/>
      <c r="HS135" s="391"/>
      <c r="HT135" s="391"/>
      <c r="HU135" s="391"/>
      <c r="HV135" s="391"/>
      <c r="HW135" s="391"/>
      <c r="HX135" s="391"/>
      <c r="HY135" s="391"/>
      <c r="HZ135" s="391"/>
      <c r="IA135" s="391"/>
      <c r="IB135" s="391"/>
      <c r="IC135" s="391"/>
      <c r="ID135" s="391"/>
      <c r="IE135" s="391"/>
      <c r="IF135" s="391"/>
      <c r="IG135" s="391"/>
      <c r="IH135" s="391"/>
      <c r="II135" s="391"/>
      <c r="IJ135" s="391"/>
      <c r="IK135" s="391"/>
      <c r="IL135" s="391"/>
      <c r="IM135" s="391"/>
      <c r="IN135" s="391"/>
      <c r="IO135" s="391"/>
      <c r="IP135" s="391"/>
      <c r="IQ135" s="391"/>
      <c r="IR135" s="391"/>
      <c r="IS135" s="391"/>
      <c r="IT135" s="391"/>
      <c r="IU135" s="391"/>
      <c r="IV135" s="391"/>
      <c r="IW135" s="391"/>
      <c r="IX135" s="391"/>
      <c r="IY135" s="391"/>
      <c r="IZ135" s="391"/>
      <c r="JA135" s="391"/>
      <c r="JB135" s="391"/>
      <c r="JC135" s="391"/>
      <c r="JD135" s="391"/>
      <c r="JE135" s="391"/>
      <c r="JF135" s="391"/>
      <c r="JG135" s="391"/>
      <c r="JH135" s="391"/>
      <c r="JI135" s="393">
        <f t="shared" si="5"/>
        <v>0</v>
      </c>
      <c r="JJ135" s="2">
        <v>6355</v>
      </c>
      <c r="JK135" s="392">
        <f t="shared" si="6"/>
        <v>0</v>
      </c>
      <c r="JL135" s="284"/>
      <c r="JM135" s="392"/>
      <c r="JN135" s="392"/>
      <c r="JO135" s="392"/>
      <c r="JP135" s="392"/>
    </row>
    <row r="136" spans="1:276" x14ac:dyDescent="0.3">
      <c r="A136" s="391"/>
      <c r="B136" s="391"/>
      <c r="C136" s="391"/>
      <c r="D136" s="391"/>
      <c r="E136" s="391"/>
      <c r="F136" s="391"/>
      <c r="G136" s="391"/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391"/>
      <c r="X136" s="391"/>
      <c r="Y136" s="391"/>
      <c r="Z136" s="391"/>
      <c r="AA136" s="391"/>
      <c r="AB136" s="391"/>
      <c r="AC136" s="391"/>
      <c r="AD136" s="391"/>
      <c r="AE136" s="391"/>
      <c r="AF136" s="391"/>
      <c r="AG136" s="391"/>
      <c r="AH136" s="391"/>
      <c r="AI136" s="391"/>
      <c r="AJ136" s="391"/>
      <c r="AK136" s="391"/>
      <c r="AL136" s="391"/>
      <c r="AM136" s="391"/>
      <c r="AN136" s="391"/>
      <c r="AO136" s="391"/>
      <c r="AP136" s="391"/>
      <c r="AQ136" s="391"/>
      <c r="AR136" s="391"/>
      <c r="AS136" s="391"/>
      <c r="AT136" s="391"/>
      <c r="AU136" s="391"/>
      <c r="AV136" s="391"/>
      <c r="AW136" s="391"/>
      <c r="AX136" s="391"/>
      <c r="AY136" s="391"/>
      <c r="AZ136" s="391"/>
      <c r="BA136" s="391"/>
      <c r="BB136" s="391"/>
      <c r="BC136" s="391"/>
      <c r="BD136" s="391"/>
      <c r="BE136" s="391"/>
      <c r="BF136" s="391"/>
      <c r="BG136" s="391"/>
      <c r="BH136" s="391"/>
      <c r="BI136" s="391"/>
      <c r="BJ136" s="391"/>
      <c r="BK136" s="391"/>
      <c r="BL136" s="391"/>
      <c r="BM136" s="391"/>
      <c r="BN136" s="391"/>
      <c r="BO136" s="391"/>
      <c r="BP136" s="391"/>
      <c r="BQ136" s="391"/>
      <c r="BR136" s="391"/>
      <c r="BS136" s="391"/>
      <c r="BT136" s="391"/>
      <c r="BU136" s="391"/>
      <c r="BV136" s="391"/>
      <c r="BW136" s="391"/>
      <c r="BX136" s="391"/>
      <c r="BY136" s="391"/>
      <c r="BZ136" s="391"/>
      <c r="CA136" s="391"/>
      <c r="CB136" s="391"/>
      <c r="CC136" s="391"/>
      <c r="CD136" s="391"/>
      <c r="CE136" s="391"/>
      <c r="CF136" s="391"/>
      <c r="CG136" s="391"/>
      <c r="CH136" s="391"/>
      <c r="CI136" s="391"/>
      <c r="CJ136" s="391"/>
      <c r="CK136" s="391"/>
      <c r="CL136" s="391"/>
      <c r="CM136" s="391"/>
      <c r="CN136" s="391"/>
      <c r="CO136" s="391"/>
      <c r="CP136" s="391"/>
      <c r="CQ136" s="391"/>
      <c r="CR136" s="391"/>
      <c r="CS136" s="391"/>
      <c r="CT136" s="391"/>
      <c r="CU136" s="391"/>
      <c r="CV136" s="391"/>
      <c r="CW136" s="391"/>
      <c r="CX136" s="391"/>
      <c r="CY136" s="391"/>
      <c r="CZ136" s="391"/>
      <c r="DA136" s="391"/>
      <c r="DB136" s="391"/>
      <c r="DC136" s="391"/>
      <c r="DD136" s="391"/>
      <c r="DE136" s="391"/>
      <c r="DF136" s="391"/>
      <c r="DG136" s="391"/>
      <c r="DH136" s="391"/>
      <c r="DI136" s="391"/>
      <c r="DJ136" s="391"/>
      <c r="DK136" s="391"/>
      <c r="DL136" s="391"/>
      <c r="DM136" s="391"/>
      <c r="DN136" s="391"/>
      <c r="DO136" s="391"/>
      <c r="DP136" s="391"/>
      <c r="DQ136" s="391"/>
      <c r="DR136" s="391"/>
      <c r="DS136" s="391"/>
      <c r="DT136" s="391"/>
      <c r="DU136" s="391"/>
      <c r="DV136" s="391"/>
      <c r="DW136" s="391"/>
      <c r="DX136" s="391"/>
      <c r="DY136" s="391"/>
      <c r="DZ136" s="391"/>
      <c r="EA136" s="391"/>
      <c r="EB136" s="391"/>
      <c r="EC136" s="391"/>
      <c r="ED136" s="391"/>
      <c r="EE136" s="391"/>
      <c r="EF136" s="391"/>
      <c r="EG136" s="391"/>
      <c r="EH136" s="391"/>
      <c r="EI136" s="391"/>
      <c r="EJ136" s="391"/>
      <c r="EK136" s="391"/>
      <c r="EL136" s="391"/>
      <c r="EM136" s="391"/>
      <c r="EN136" s="391"/>
      <c r="EO136" s="391"/>
      <c r="EP136" s="391"/>
      <c r="EQ136" s="391"/>
      <c r="ER136" s="391"/>
      <c r="ES136" s="391"/>
      <c r="ET136" s="391"/>
      <c r="EU136" s="391"/>
      <c r="EV136" s="391"/>
      <c r="EW136" s="391"/>
      <c r="EX136" s="391"/>
      <c r="EY136" s="391"/>
      <c r="EZ136" s="391"/>
      <c r="FA136" s="391"/>
      <c r="FB136" s="391"/>
      <c r="FC136" s="391"/>
      <c r="FD136" s="391"/>
      <c r="FE136" s="391"/>
      <c r="FF136" s="391"/>
      <c r="FG136" s="391"/>
      <c r="FH136" s="391"/>
      <c r="FI136" s="391"/>
      <c r="FJ136" s="391"/>
      <c r="FK136" s="391"/>
      <c r="FL136" s="391"/>
      <c r="FM136" s="391"/>
      <c r="FN136" s="391"/>
      <c r="FO136" s="391"/>
      <c r="FP136" s="391"/>
      <c r="FQ136" s="391"/>
      <c r="FR136" s="391"/>
      <c r="FS136" s="391"/>
      <c r="FT136" s="391"/>
      <c r="FU136" s="391"/>
      <c r="FV136" s="391"/>
      <c r="FW136" s="391"/>
      <c r="FX136" s="391"/>
      <c r="FY136" s="391"/>
      <c r="FZ136" s="391"/>
      <c r="GA136" s="391"/>
      <c r="GB136" s="391"/>
      <c r="GC136" s="391"/>
      <c r="GD136" s="391"/>
      <c r="GE136" s="391"/>
      <c r="GF136" s="391"/>
      <c r="GG136" s="391"/>
      <c r="GH136" s="391"/>
      <c r="GI136" s="391"/>
      <c r="GJ136" s="391"/>
      <c r="GK136" s="391"/>
      <c r="GL136" s="391"/>
      <c r="GM136" s="391"/>
      <c r="GN136" s="391"/>
      <c r="GO136" s="391"/>
      <c r="GP136" s="391"/>
      <c r="GQ136" s="391"/>
      <c r="GR136" s="391"/>
      <c r="GS136" s="391"/>
      <c r="GT136" s="391"/>
      <c r="GU136" s="391"/>
      <c r="GV136" s="391"/>
      <c r="GW136" s="391"/>
      <c r="GX136" s="391"/>
      <c r="GY136" s="391"/>
      <c r="GZ136" s="391"/>
      <c r="HA136" s="391"/>
      <c r="HB136" s="391"/>
      <c r="HC136" s="391"/>
      <c r="HD136" s="391"/>
      <c r="HE136" s="391"/>
      <c r="HF136" s="391"/>
      <c r="HG136" s="391"/>
      <c r="HH136" s="391"/>
      <c r="HI136" s="391"/>
      <c r="HJ136" s="391"/>
      <c r="HK136" s="391"/>
      <c r="HL136" s="391"/>
      <c r="HM136" s="391"/>
      <c r="HN136" s="391"/>
      <c r="HO136" s="391"/>
      <c r="HP136" s="391"/>
      <c r="HQ136" s="391"/>
      <c r="HR136" s="391"/>
      <c r="HS136" s="391"/>
      <c r="HT136" s="391"/>
      <c r="HU136" s="391"/>
      <c r="HV136" s="391"/>
      <c r="HW136" s="391"/>
      <c r="HX136" s="391"/>
      <c r="HY136" s="391"/>
      <c r="HZ136" s="391"/>
      <c r="IA136" s="391"/>
      <c r="IB136" s="391"/>
      <c r="IC136" s="391"/>
      <c r="ID136" s="391"/>
      <c r="IE136" s="391"/>
      <c r="IF136" s="391"/>
      <c r="IG136" s="391"/>
      <c r="IH136" s="391"/>
      <c r="II136" s="391"/>
      <c r="IJ136" s="391"/>
      <c r="IK136" s="391"/>
      <c r="IL136" s="391"/>
      <c r="IM136" s="391"/>
      <c r="IN136" s="391"/>
      <c r="IO136" s="391"/>
      <c r="IP136" s="391"/>
      <c r="IQ136" s="391"/>
      <c r="IR136" s="391"/>
      <c r="IS136" s="391"/>
      <c r="IT136" s="391"/>
      <c r="IU136" s="391"/>
      <c r="IV136" s="391"/>
      <c r="IW136" s="391"/>
      <c r="IX136" s="391"/>
      <c r="IY136" s="391"/>
      <c r="IZ136" s="391"/>
      <c r="JA136" s="391"/>
      <c r="JB136" s="391"/>
      <c r="JC136" s="391"/>
      <c r="JD136" s="391"/>
      <c r="JE136" s="391"/>
      <c r="JF136" s="391"/>
      <c r="JG136" s="391"/>
      <c r="JH136" s="391"/>
      <c r="JI136" s="393">
        <f t="shared" si="5"/>
        <v>0</v>
      </c>
      <c r="JJ136" s="2">
        <v>6359</v>
      </c>
      <c r="JK136" s="392">
        <f t="shared" si="6"/>
        <v>0</v>
      </c>
      <c r="JL136" s="284"/>
      <c r="JM136" s="392"/>
      <c r="JN136" s="392"/>
      <c r="JO136" s="392"/>
      <c r="JP136" s="392"/>
    </row>
    <row r="137" spans="1:276" x14ac:dyDescent="0.3">
      <c r="A137" s="391"/>
      <c r="B137" s="391"/>
      <c r="C137" s="391"/>
      <c r="D137" s="391"/>
      <c r="E137" s="391"/>
      <c r="F137" s="391"/>
      <c r="G137" s="391"/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391"/>
      <c r="X137" s="391"/>
      <c r="Y137" s="391"/>
      <c r="Z137" s="391"/>
      <c r="AA137" s="391"/>
      <c r="AB137" s="391"/>
      <c r="AC137" s="391"/>
      <c r="AD137" s="391"/>
      <c r="AE137" s="391"/>
      <c r="AF137" s="391"/>
      <c r="AG137" s="391"/>
      <c r="AH137" s="391"/>
      <c r="AI137" s="391"/>
      <c r="AJ137" s="391"/>
      <c r="AK137" s="391"/>
      <c r="AL137" s="391"/>
      <c r="AM137" s="391"/>
      <c r="AN137" s="391"/>
      <c r="AO137" s="391"/>
      <c r="AP137" s="391"/>
      <c r="AQ137" s="391"/>
      <c r="AR137" s="391"/>
      <c r="AS137" s="391"/>
      <c r="AT137" s="391"/>
      <c r="AU137" s="391"/>
      <c r="AV137" s="391"/>
      <c r="AW137" s="391"/>
      <c r="AX137" s="391"/>
      <c r="AY137" s="391"/>
      <c r="AZ137" s="391"/>
      <c r="BA137" s="391"/>
      <c r="BB137" s="391"/>
      <c r="BC137" s="391"/>
      <c r="BD137" s="391"/>
      <c r="BE137" s="391"/>
      <c r="BF137" s="391"/>
      <c r="BG137" s="391"/>
      <c r="BH137" s="391"/>
      <c r="BI137" s="391"/>
      <c r="BJ137" s="391"/>
      <c r="BK137" s="391"/>
      <c r="BL137" s="391"/>
      <c r="BM137" s="391"/>
      <c r="BN137" s="391"/>
      <c r="BO137" s="391"/>
      <c r="BP137" s="391"/>
      <c r="BQ137" s="391"/>
      <c r="BR137" s="391"/>
      <c r="BS137" s="391"/>
      <c r="BT137" s="391"/>
      <c r="BU137" s="391"/>
      <c r="BV137" s="391"/>
      <c r="BW137" s="391"/>
      <c r="BX137" s="391"/>
      <c r="BY137" s="391"/>
      <c r="BZ137" s="391"/>
      <c r="CA137" s="391"/>
      <c r="CB137" s="391"/>
      <c r="CC137" s="391"/>
      <c r="CD137" s="391"/>
      <c r="CE137" s="391"/>
      <c r="CF137" s="391"/>
      <c r="CG137" s="391"/>
      <c r="CH137" s="391"/>
      <c r="CI137" s="391"/>
      <c r="CJ137" s="391"/>
      <c r="CK137" s="391"/>
      <c r="CL137" s="391"/>
      <c r="CM137" s="391"/>
      <c r="CN137" s="391"/>
      <c r="CO137" s="391"/>
      <c r="CP137" s="391"/>
      <c r="CQ137" s="391"/>
      <c r="CR137" s="391"/>
      <c r="CS137" s="391"/>
      <c r="CT137" s="391"/>
      <c r="CU137" s="391"/>
      <c r="CV137" s="391"/>
      <c r="CW137" s="391"/>
      <c r="CX137" s="391"/>
      <c r="CY137" s="391"/>
      <c r="CZ137" s="391"/>
      <c r="DA137" s="391"/>
      <c r="DB137" s="391"/>
      <c r="DC137" s="391"/>
      <c r="DD137" s="391"/>
      <c r="DE137" s="391"/>
      <c r="DF137" s="391"/>
      <c r="DG137" s="391"/>
      <c r="DH137" s="391"/>
      <c r="DI137" s="391"/>
      <c r="DJ137" s="391"/>
      <c r="DK137" s="391"/>
      <c r="DL137" s="391"/>
      <c r="DM137" s="391"/>
      <c r="DN137" s="391"/>
      <c r="DO137" s="391"/>
      <c r="DP137" s="391"/>
      <c r="DQ137" s="391"/>
      <c r="DR137" s="391"/>
      <c r="DS137" s="391"/>
      <c r="DT137" s="391"/>
      <c r="DU137" s="391"/>
      <c r="DV137" s="391"/>
      <c r="DW137" s="391"/>
      <c r="DX137" s="391"/>
      <c r="DY137" s="391"/>
      <c r="DZ137" s="391"/>
      <c r="EA137" s="391"/>
      <c r="EB137" s="391"/>
      <c r="EC137" s="391"/>
      <c r="ED137" s="391"/>
      <c r="EE137" s="391"/>
      <c r="EF137" s="391"/>
      <c r="EG137" s="391"/>
      <c r="EH137" s="391"/>
      <c r="EI137" s="391"/>
      <c r="EJ137" s="391"/>
      <c r="EK137" s="391"/>
      <c r="EL137" s="391"/>
      <c r="EM137" s="391"/>
      <c r="EN137" s="391"/>
      <c r="EO137" s="391"/>
      <c r="EP137" s="391"/>
      <c r="EQ137" s="391"/>
      <c r="ER137" s="391"/>
      <c r="ES137" s="391"/>
      <c r="ET137" s="391"/>
      <c r="EU137" s="391"/>
      <c r="EV137" s="391"/>
      <c r="EW137" s="391"/>
      <c r="EX137" s="391"/>
      <c r="EY137" s="391"/>
      <c r="EZ137" s="391"/>
      <c r="FA137" s="391"/>
      <c r="FB137" s="391"/>
      <c r="FC137" s="391"/>
      <c r="FD137" s="391"/>
      <c r="FE137" s="391"/>
      <c r="FF137" s="391"/>
      <c r="FG137" s="391"/>
      <c r="FH137" s="391"/>
      <c r="FI137" s="391"/>
      <c r="FJ137" s="391"/>
      <c r="FK137" s="391"/>
      <c r="FL137" s="391"/>
      <c r="FM137" s="391"/>
      <c r="FN137" s="391"/>
      <c r="FO137" s="391"/>
      <c r="FP137" s="391"/>
      <c r="FQ137" s="391"/>
      <c r="FR137" s="391"/>
      <c r="FS137" s="391"/>
      <c r="FT137" s="391"/>
      <c r="FU137" s="391"/>
      <c r="FV137" s="391"/>
      <c r="FW137" s="391"/>
      <c r="FX137" s="391"/>
      <c r="FY137" s="391"/>
      <c r="FZ137" s="391"/>
      <c r="GA137" s="391"/>
      <c r="GB137" s="391"/>
      <c r="GC137" s="391"/>
      <c r="GD137" s="391"/>
      <c r="GE137" s="391"/>
      <c r="GF137" s="391"/>
      <c r="GG137" s="391"/>
      <c r="GH137" s="391"/>
      <c r="GI137" s="391"/>
      <c r="GJ137" s="391"/>
      <c r="GK137" s="391"/>
      <c r="GL137" s="391"/>
      <c r="GM137" s="391"/>
      <c r="GN137" s="391"/>
      <c r="GO137" s="391"/>
      <c r="GP137" s="391"/>
      <c r="GQ137" s="391"/>
      <c r="GR137" s="391"/>
      <c r="GS137" s="391"/>
      <c r="GT137" s="391"/>
      <c r="GU137" s="391"/>
      <c r="GV137" s="391"/>
      <c r="GW137" s="391"/>
      <c r="GX137" s="391"/>
      <c r="GY137" s="391"/>
      <c r="GZ137" s="391"/>
      <c r="HA137" s="391"/>
      <c r="HB137" s="391"/>
      <c r="HC137" s="391"/>
      <c r="HD137" s="391"/>
      <c r="HE137" s="391"/>
      <c r="HF137" s="391"/>
      <c r="HG137" s="391"/>
      <c r="HH137" s="391"/>
      <c r="HI137" s="391"/>
      <c r="HJ137" s="391"/>
      <c r="HK137" s="391"/>
      <c r="HL137" s="391"/>
      <c r="HM137" s="391"/>
      <c r="HN137" s="391"/>
      <c r="HO137" s="391"/>
      <c r="HP137" s="391"/>
      <c r="HQ137" s="391"/>
      <c r="HR137" s="391"/>
      <c r="HS137" s="391"/>
      <c r="HT137" s="391"/>
      <c r="HU137" s="391"/>
      <c r="HV137" s="391"/>
      <c r="HW137" s="391"/>
      <c r="HX137" s="391"/>
      <c r="HY137" s="391"/>
      <c r="HZ137" s="391"/>
      <c r="IA137" s="391"/>
      <c r="IB137" s="391"/>
      <c r="IC137" s="391"/>
      <c r="ID137" s="391"/>
      <c r="IE137" s="391"/>
      <c r="IF137" s="391"/>
      <c r="IG137" s="391"/>
      <c r="IH137" s="391"/>
      <c r="II137" s="391"/>
      <c r="IJ137" s="391"/>
      <c r="IK137" s="391"/>
      <c r="IL137" s="391"/>
      <c r="IM137" s="391"/>
      <c r="IN137" s="391"/>
      <c r="IO137" s="391"/>
      <c r="IP137" s="391"/>
      <c r="IQ137" s="391"/>
      <c r="IR137" s="391"/>
      <c r="IS137" s="391"/>
      <c r="IT137" s="391"/>
      <c r="IU137" s="391"/>
      <c r="IV137" s="391"/>
      <c r="IW137" s="391"/>
      <c r="IX137" s="391"/>
      <c r="IY137" s="391"/>
      <c r="IZ137" s="391"/>
      <c r="JA137" s="391"/>
      <c r="JB137" s="391"/>
      <c r="JC137" s="391"/>
      <c r="JD137" s="391"/>
      <c r="JE137" s="391"/>
      <c r="JF137" s="391"/>
      <c r="JG137" s="391"/>
      <c r="JH137" s="391"/>
      <c r="JI137" s="393">
        <f t="shared" si="5"/>
        <v>0</v>
      </c>
      <c r="JJ137" s="2">
        <v>6361</v>
      </c>
      <c r="JK137" s="392">
        <f t="shared" si="6"/>
        <v>0</v>
      </c>
      <c r="JL137" s="391"/>
      <c r="JM137" s="392"/>
      <c r="JN137" s="392"/>
      <c r="JO137" s="392"/>
      <c r="JP137" s="392"/>
    </row>
    <row r="138" spans="1:276" x14ac:dyDescent="0.3">
      <c r="A138" s="391"/>
      <c r="B138" s="391"/>
      <c r="C138" s="391"/>
      <c r="D138" s="391"/>
      <c r="E138" s="391"/>
      <c r="F138" s="391"/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391"/>
      <c r="X138" s="391"/>
      <c r="Y138" s="391"/>
      <c r="Z138" s="391"/>
      <c r="AA138" s="391"/>
      <c r="AB138" s="391"/>
      <c r="AC138" s="391"/>
      <c r="AD138" s="391"/>
      <c r="AE138" s="391"/>
      <c r="AF138" s="391"/>
      <c r="AG138" s="391"/>
      <c r="AH138" s="391"/>
      <c r="AI138" s="391"/>
      <c r="AJ138" s="391"/>
      <c r="AK138" s="391"/>
      <c r="AL138" s="391"/>
      <c r="AM138" s="120"/>
      <c r="AN138" s="391"/>
      <c r="AO138" s="391"/>
      <c r="AP138" s="391"/>
      <c r="AQ138" s="391"/>
      <c r="AR138" s="391"/>
      <c r="AS138" s="391"/>
      <c r="AT138" s="391"/>
      <c r="AU138" s="391"/>
      <c r="AV138" s="391"/>
      <c r="AW138" s="391"/>
      <c r="AX138" s="391"/>
      <c r="AY138" s="391"/>
      <c r="AZ138" s="391"/>
      <c r="BA138" s="391"/>
      <c r="BB138" s="391"/>
      <c r="BC138" s="391"/>
      <c r="BD138" s="391"/>
      <c r="BE138" s="391"/>
      <c r="BF138" s="391"/>
      <c r="BG138" s="391"/>
      <c r="BH138" s="391"/>
      <c r="BI138" s="391"/>
      <c r="BJ138" s="391"/>
      <c r="BK138" s="391"/>
      <c r="BL138" s="391"/>
      <c r="BM138" s="391"/>
      <c r="BN138" s="391"/>
      <c r="BO138" s="391"/>
      <c r="BP138" s="391"/>
      <c r="BQ138" s="391"/>
      <c r="BR138" s="391"/>
      <c r="BS138" s="391"/>
      <c r="BT138" s="391"/>
      <c r="BU138" s="391"/>
      <c r="BV138" s="391"/>
      <c r="BW138" s="391"/>
      <c r="BX138" s="391"/>
      <c r="BY138" s="391"/>
      <c r="BZ138" s="391"/>
      <c r="CA138" s="391"/>
      <c r="CB138" s="391"/>
      <c r="CC138" s="391"/>
      <c r="CD138" s="391"/>
      <c r="CE138" s="391"/>
      <c r="CF138" s="391"/>
      <c r="CG138" s="391"/>
      <c r="CH138" s="391"/>
      <c r="CI138" s="391"/>
      <c r="CJ138" s="391"/>
      <c r="CK138" s="391"/>
      <c r="CL138" s="391"/>
      <c r="CM138" s="391"/>
      <c r="CN138" s="391"/>
      <c r="CO138" s="391"/>
      <c r="CP138" s="391"/>
      <c r="CQ138" s="391"/>
      <c r="CR138" s="391"/>
      <c r="CS138" s="391"/>
      <c r="CT138" s="391"/>
      <c r="CU138" s="391"/>
      <c r="CV138" s="391"/>
      <c r="CW138" s="391"/>
      <c r="CX138" s="391"/>
      <c r="CY138" s="391"/>
      <c r="CZ138" s="391"/>
      <c r="DA138" s="391"/>
      <c r="DB138" s="391"/>
      <c r="DC138" s="391"/>
      <c r="DD138" s="391"/>
      <c r="DE138" s="391"/>
      <c r="DF138" s="391"/>
      <c r="DG138" s="391"/>
      <c r="DH138" s="391"/>
      <c r="DI138" s="391"/>
      <c r="DJ138" s="391"/>
      <c r="DK138" s="391"/>
      <c r="DL138" s="391"/>
      <c r="DM138" s="391"/>
      <c r="DN138" s="391"/>
      <c r="DO138" s="391"/>
      <c r="DP138" s="391"/>
      <c r="DQ138" s="391"/>
      <c r="DR138" s="391"/>
      <c r="DS138" s="391"/>
      <c r="DT138" s="391"/>
      <c r="DU138" s="391"/>
      <c r="DV138" s="391"/>
      <c r="DW138" s="391"/>
      <c r="DX138" s="391"/>
      <c r="DY138" s="391"/>
      <c r="DZ138" s="391"/>
      <c r="EA138" s="391"/>
      <c r="EB138" s="391"/>
      <c r="EC138" s="391"/>
      <c r="ED138" s="391"/>
      <c r="EE138" s="391"/>
      <c r="EF138" s="391"/>
      <c r="EG138" s="391"/>
      <c r="EH138" s="391"/>
      <c r="EI138" s="391"/>
      <c r="EJ138" s="391"/>
      <c r="EK138" s="391"/>
      <c r="EL138" s="391"/>
      <c r="EM138" s="391"/>
      <c r="EN138" s="391"/>
      <c r="EO138" s="391"/>
      <c r="EP138" s="391"/>
      <c r="EQ138" s="391"/>
      <c r="ER138" s="391"/>
      <c r="ES138" s="391"/>
      <c r="ET138" s="391"/>
      <c r="EU138" s="391"/>
      <c r="EV138" s="391"/>
      <c r="EW138" s="391"/>
      <c r="EX138" s="391"/>
      <c r="EY138" s="391"/>
      <c r="EZ138" s="391"/>
      <c r="FA138" s="391"/>
      <c r="FB138" s="391"/>
      <c r="FC138" s="391"/>
      <c r="FD138" s="391"/>
      <c r="FE138" s="391"/>
      <c r="FF138" s="391"/>
      <c r="FG138" s="391"/>
      <c r="FH138" s="391"/>
      <c r="FI138" s="391"/>
      <c r="FJ138" s="391"/>
      <c r="FK138" s="391"/>
      <c r="FL138" s="391"/>
      <c r="FM138" s="391"/>
      <c r="FN138" s="391"/>
      <c r="FO138" s="391"/>
      <c r="FP138" s="391"/>
      <c r="FQ138" s="391"/>
      <c r="FR138" s="391"/>
      <c r="FS138" s="391"/>
      <c r="FT138" s="391"/>
      <c r="FU138" s="391"/>
      <c r="FV138" s="391"/>
      <c r="FW138" s="391"/>
      <c r="FX138" s="391"/>
      <c r="FY138" s="391"/>
      <c r="FZ138" s="391"/>
      <c r="GA138" s="391"/>
      <c r="GB138" s="391"/>
      <c r="GC138" s="391"/>
      <c r="GD138" s="391"/>
      <c r="GE138" s="391"/>
      <c r="GF138" s="391"/>
      <c r="GG138" s="391"/>
      <c r="GH138" s="391"/>
      <c r="GI138" s="391"/>
      <c r="GJ138" s="391"/>
      <c r="GK138" s="391"/>
      <c r="GL138" s="391"/>
      <c r="GM138" s="391"/>
      <c r="GN138" s="391"/>
      <c r="GO138" s="391"/>
      <c r="GP138" s="391"/>
      <c r="GQ138" s="391"/>
      <c r="GR138" s="391"/>
      <c r="GS138" s="391"/>
      <c r="GT138" s="391"/>
      <c r="GU138" s="391"/>
      <c r="GV138" s="391"/>
      <c r="GW138" s="391"/>
      <c r="GX138" s="391"/>
      <c r="GY138" s="391"/>
      <c r="GZ138" s="391"/>
      <c r="HA138" s="391"/>
      <c r="HB138" s="391"/>
      <c r="HC138" s="391"/>
      <c r="HD138" s="391"/>
      <c r="HE138" s="391"/>
      <c r="HF138" s="391"/>
      <c r="HG138" s="391"/>
      <c r="HH138" s="391"/>
      <c r="HI138" s="391"/>
      <c r="HJ138" s="391"/>
      <c r="HK138" s="391"/>
      <c r="HL138" s="391"/>
      <c r="HM138" s="391"/>
      <c r="HN138" s="391"/>
      <c r="HO138" s="391"/>
      <c r="HP138" s="391"/>
      <c r="HQ138" s="391"/>
      <c r="HR138" s="391"/>
      <c r="HS138" s="391"/>
      <c r="HT138" s="391"/>
      <c r="HU138" s="391"/>
      <c r="HV138" s="391"/>
      <c r="HW138" s="391"/>
      <c r="HX138" s="391"/>
      <c r="HY138" s="391"/>
      <c r="HZ138" s="391"/>
      <c r="IA138" s="391"/>
      <c r="IB138" s="391"/>
      <c r="IC138" s="391"/>
      <c r="ID138" s="391"/>
      <c r="IE138" s="391"/>
      <c r="IF138" s="391"/>
      <c r="IG138" s="391"/>
      <c r="IH138" s="391"/>
      <c r="II138" s="391"/>
      <c r="IJ138" s="391"/>
      <c r="IK138" s="391"/>
      <c r="IL138" s="391"/>
      <c r="IM138" s="391"/>
      <c r="IN138" s="391"/>
      <c r="IO138" s="391"/>
      <c r="IP138" s="391"/>
      <c r="IQ138" s="391"/>
      <c r="IR138" s="391"/>
      <c r="IS138" s="391"/>
      <c r="IT138" s="391"/>
      <c r="IU138" s="391"/>
      <c r="IV138" s="391"/>
      <c r="IW138" s="391"/>
      <c r="IX138" s="391"/>
      <c r="IY138" s="391"/>
      <c r="IZ138" s="391"/>
      <c r="JA138" s="391"/>
      <c r="JB138" s="391"/>
      <c r="JC138" s="391"/>
      <c r="JD138" s="391"/>
      <c r="JE138" s="391"/>
      <c r="JF138" s="391"/>
      <c r="JG138" s="391"/>
      <c r="JH138" s="391"/>
      <c r="JI138" s="393">
        <f t="shared" si="5"/>
        <v>0</v>
      </c>
      <c r="JJ138" s="2">
        <v>6363</v>
      </c>
      <c r="JK138" s="392">
        <f t="shared" si="6"/>
        <v>0</v>
      </c>
      <c r="JL138" s="391"/>
      <c r="JM138" s="392"/>
      <c r="JN138" s="392"/>
      <c r="JO138" s="392"/>
      <c r="JP138" s="392"/>
    </row>
    <row r="139" spans="1:276" x14ac:dyDescent="0.3">
      <c r="A139" s="391"/>
      <c r="B139" s="391"/>
      <c r="C139" s="391"/>
      <c r="D139" s="391"/>
      <c r="E139" s="391"/>
      <c r="F139" s="391"/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391"/>
      <c r="X139" s="391"/>
      <c r="Y139" s="391"/>
      <c r="Z139" s="391"/>
      <c r="AA139" s="391"/>
      <c r="AB139" s="391"/>
      <c r="AC139" s="391"/>
      <c r="AD139" s="391"/>
      <c r="AE139" s="391"/>
      <c r="AF139" s="391"/>
      <c r="AG139" s="391"/>
      <c r="AH139" s="391"/>
      <c r="AI139" s="391"/>
      <c r="AJ139" s="391"/>
      <c r="AK139" s="391"/>
      <c r="AL139" s="391"/>
      <c r="AM139" s="391"/>
      <c r="AN139" s="391"/>
      <c r="AO139" s="391"/>
      <c r="AP139" s="391"/>
      <c r="AQ139" s="391"/>
      <c r="AR139" s="391"/>
      <c r="AS139" s="391"/>
      <c r="AT139" s="391"/>
      <c r="AU139" s="391"/>
      <c r="AV139" s="391"/>
      <c r="AW139" s="391"/>
      <c r="AX139" s="391"/>
      <c r="AY139" s="391"/>
      <c r="AZ139" s="391"/>
      <c r="BA139" s="391"/>
      <c r="BB139" s="391"/>
      <c r="BC139" s="391"/>
      <c r="BD139" s="391"/>
      <c r="BE139" s="391"/>
      <c r="BF139" s="391"/>
      <c r="BG139" s="391"/>
      <c r="BH139" s="391"/>
      <c r="BI139" s="391"/>
      <c r="BJ139" s="391"/>
      <c r="BK139" s="391"/>
      <c r="BL139" s="391"/>
      <c r="BM139" s="391"/>
      <c r="BN139" s="391"/>
      <c r="BO139" s="391"/>
      <c r="BP139" s="391"/>
      <c r="BQ139" s="391"/>
      <c r="BR139" s="391"/>
      <c r="BS139" s="391"/>
      <c r="BT139" s="391"/>
      <c r="BU139" s="391"/>
      <c r="BV139" s="391"/>
      <c r="BW139" s="391"/>
      <c r="BX139" s="391"/>
      <c r="BY139" s="391"/>
      <c r="BZ139" s="391"/>
      <c r="CA139" s="391"/>
      <c r="CB139" s="391"/>
      <c r="CC139" s="391"/>
      <c r="CD139" s="391"/>
      <c r="CE139" s="391"/>
      <c r="CF139" s="391"/>
      <c r="CG139" s="391"/>
      <c r="CH139" s="391"/>
      <c r="CI139" s="391"/>
      <c r="CJ139" s="391"/>
      <c r="CK139" s="391"/>
      <c r="CL139" s="391"/>
      <c r="CM139" s="391"/>
      <c r="CN139" s="391"/>
      <c r="CO139" s="391"/>
      <c r="CP139" s="391"/>
      <c r="CQ139" s="391"/>
      <c r="CR139" s="391"/>
      <c r="CS139" s="391"/>
      <c r="CT139" s="391"/>
      <c r="CU139" s="391"/>
      <c r="CV139" s="391"/>
      <c r="CW139" s="391"/>
      <c r="CX139" s="391"/>
      <c r="CY139" s="391"/>
      <c r="CZ139" s="391"/>
      <c r="DA139" s="391"/>
      <c r="DB139" s="391"/>
      <c r="DC139" s="391"/>
      <c r="DD139" s="391"/>
      <c r="DE139" s="391"/>
      <c r="DF139" s="391"/>
      <c r="DG139" s="391"/>
      <c r="DH139" s="391"/>
      <c r="DI139" s="391"/>
      <c r="DJ139" s="391"/>
      <c r="DK139" s="391"/>
      <c r="DL139" s="391"/>
      <c r="DM139" s="391"/>
      <c r="DN139" s="391"/>
      <c r="DO139" s="391"/>
      <c r="DP139" s="391"/>
      <c r="DQ139" s="391"/>
      <c r="DR139" s="391"/>
      <c r="DS139" s="391"/>
      <c r="DT139" s="391"/>
      <c r="DU139" s="391"/>
      <c r="DV139" s="391"/>
      <c r="DW139" s="391"/>
      <c r="DX139" s="391"/>
      <c r="DY139" s="391"/>
      <c r="DZ139" s="391"/>
      <c r="EA139" s="391"/>
      <c r="EB139" s="391"/>
      <c r="EC139" s="391"/>
      <c r="ED139" s="391"/>
      <c r="EE139" s="391"/>
      <c r="EF139" s="391"/>
      <c r="EG139" s="391"/>
      <c r="EH139" s="391"/>
      <c r="EI139" s="391"/>
      <c r="EJ139" s="391"/>
      <c r="EK139" s="391"/>
      <c r="EL139" s="391"/>
      <c r="EM139" s="391"/>
      <c r="EN139" s="391"/>
      <c r="EO139" s="391"/>
      <c r="EP139" s="391"/>
      <c r="EQ139" s="391"/>
      <c r="ER139" s="391"/>
      <c r="ES139" s="391"/>
      <c r="ET139" s="391"/>
      <c r="EU139" s="391"/>
      <c r="EV139" s="391"/>
      <c r="EW139" s="391"/>
      <c r="EX139" s="391"/>
      <c r="EY139" s="391"/>
      <c r="EZ139" s="391"/>
      <c r="FA139" s="391"/>
      <c r="FB139" s="391"/>
      <c r="FC139" s="391"/>
      <c r="FD139" s="391"/>
      <c r="FE139" s="391"/>
      <c r="FF139" s="391"/>
      <c r="FG139" s="391"/>
      <c r="FH139" s="391"/>
      <c r="FI139" s="391"/>
      <c r="FJ139" s="391"/>
      <c r="FK139" s="391"/>
      <c r="FL139" s="391"/>
      <c r="FM139" s="391"/>
      <c r="FN139" s="391"/>
      <c r="FO139" s="391"/>
      <c r="FP139" s="391"/>
      <c r="FQ139" s="391"/>
      <c r="FR139" s="391"/>
      <c r="FS139" s="391"/>
      <c r="FT139" s="391"/>
      <c r="FU139" s="391"/>
      <c r="FV139" s="391"/>
      <c r="FW139" s="391"/>
      <c r="FX139" s="391"/>
      <c r="FY139" s="391"/>
      <c r="FZ139" s="391"/>
      <c r="GA139" s="391"/>
      <c r="GB139" s="391"/>
      <c r="GC139" s="391"/>
      <c r="GD139" s="391"/>
      <c r="GE139" s="391"/>
      <c r="GF139" s="391"/>
      <c r="GG139" s="391"/>
      <c r="GH139" s="391"/>
      <c r="GI139" s="391"/>
      <c r="GJ139" s="391"/>
      <c r="GK139" s="391"/>
      <c r="GL139" s="391"/>
      <c r="GM139" s="391"/>
      <c r="GN139" s="391"/>
      <c r="GO139" s="391"/>
      <c r="GP139" s="391"/>
      <c r="GQ139" s="391"/>
      <c r="GR139" s="391"/>
      <c r="GS139" s="391"/>
      <c r="GT139" s="391"/>
      <c r="GU139" s="391"/>
      <c r="GV139" s="391"/>
      <c r="GW139" s="391"/>
      <c r="GX139" s="391"/>
      <c r="GY139" s="391"/>
      <c r="GZ139" s="391"/>
      <c r="HA139" s="391"/>
      <c r="HB139" s="391"/>
      <c r="HC139" s="391"/>
      <c r="HD139" s="391"/>
      <c r="HE139" s="391"/>
      <c r="HF139" s="391"/>
      <c r="HG139" s="391"/>
      <c r="HH139" s="391"/>
      <c r="HI139" s="391"/>
      <c r="HJ139" s="391"/>
      <c r="HK139" s="391"/>
      <c r="HL139" s="391"/>
      <c r="HM139" s="391"/>
      <c r="HN139" s="391"/>
      <c r="HO139" s="391"/>
      <c r="HP139" s="391"/>
      <c r="HQ139" s="391"/>
      <c r="HR139" s="391"/>
      <c r="HS139" s="391"/>
      <c r="HT139" s="391"/>
      <c r="HU139" s="391"/>
      <c r="HV139" s="391"/>
      <c r="HW139" s="391"/>
      <c r="HX139" s="391"/>
      <c r="HY139" s="391"/>
      <c r="HZ139" s="391"/>
      <c r="IA139" s="391"/>
      <c r="IB139" s="391"/>
      <c r="IC139" s="391"/>
      <c r="ID139" s="391"/>
      <c r="IE139" s="391"/>
      <c r="IF139" s="391"/>
      <c r="IG139" s="391"/>
      <c r="IH139" s="391"/>
      <c r="II139" s="391"/>
      <c r="IJ139" s="391"/>
      <c r="IK139" s="391"/>
      <c r="IL139" s="391"/>
      <c r="IM139" s="391"/>
      <c r="IN139" s="391"/>
      <c r="IO139" s="391"/>
      <c r="IP139" s="391"/>
      <c r="IQ139" s="391"/>
      <c r="IR139" s="391"/>
      <c r="IS139" s="391"/>
      <c r="IT139" s="391"/>
      <c r="IU139" s="391"/>
      <c r="IV139" s="391"/>
      <c r="IW139" s="391"/>
      <c r="IX139" s="391"/>
      <c r="IY139" s="391"/>
      <c r="IZ139" s="391"/>
      <c r="JA139" s="391"/>
      <c r="JB139" s="391"/>
      <c r="JC139" s="391"/>
      <c r="JD139" s="391"/>
      <c r="JE139" s="391"/>
      <c r="JF139" s="391"/>
      <c r="JG139" s="391"/>
      <c r="JH139" s="391"/>
      <c r="JI139" s="393">
        <f t="shared" si="5"/>
        <v>0</v>
      </c>
      <c r="JJ139" s="2">
        <v>6369</v>
      </c>
      <c r="JK139" s="392">
        <f t="shared" si="6"/>
        <v>0</v>
      </c>
      <c r="JL139" s="391"/>
      <c r="JM139" s="392"/>
      <c r="JN139" s="392"/>
      <c r="JO139" s="392"/>
      <c r="JP139" s="392"/>
    </row>
    <row r="140" spans="1:276" x14ac:dyDescent="0.3">
      <c r="A140" s="391"/>
      <c r="B140" s="391"/>
      <c r="C140" s="391"/>
      <c r="D140" s="391"/>
      <c r="E140" s="391"/>
      <c r="F140" s="391"/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391"/>
      <c r="X140" s="391"/>
      <c r="Y140" s="391"/>
      <c r="Z140" s="391"/>
      <c r="AA140" s="391"/>
      <c r="AB140" s="391"/>
      <c r="AC140" s="391"/>
      <c r="AD140" s="391"/>
      <c r="AE140" s="391"/>
      <c r="AF140" s="391"/>
      <c r="AG140" s="391"/>
      <c r="AH140" s="391"/>
      <c r="AI140" s="391"/>
      <c r="AJ140" s="391"/>
      <c r="AK140" s="391"/>
      <c r="AL140" s="391"/>
      <c r="AM140" s="391"/>
      <c r="AN140" s="391"/>
      <c r="AO140" s="391"/>
      <c r="AP140" s="391"/>
      <c r="AQ140" s="391"/>
      <c r="AR140" s="391"/>
      <c r="AS140" s="391"/>
      <c r="AT140" s="391"/>
      <c r="AU140" s="391"/>
      <c r="AV140" s="391"/>
      <c r="AW140" s="391"/>
      <c r="AX140" s="391"/>
      <c r="AY140" s="391"/>
      <c r="AZ140" s="391"/>
      <c r="BA140" s="391"/>
      <c r="BB140" s="391"/>
      <c r="BC140" s="391"/>
      <c r="BD140" s="391"/>
      <c r="BE140" s="391"/>
      <c r="BF140" s="391"/>
      <c r="BG140" s="391"/>
      <c r="BH140" s="391"/>
      <c r="BI140" s="391"/>
      <c r="BJ140" s="391"/>
      <c r="BK140" s="391"/>
      <c r="BL140" s="391"/>
      <c r="BM140" s="391"/>
      <c r="BN140" s="391"/>
      <c r="BO140" s="391"/>
      <c r="BP140" s="391"/>
      <c r="BQ140" s="391"/>
      <c r="BR140" s="391"/>
      <c r="BS140" s="391"/>
      <c r="BT140" s="391"/>
      <c r="BU140" s="391"/>
      <c r="BV140" s="391"/>
      <c r="BW140" s="391"/>
      <c r="BX140" s="391"/>
      <c r="BY140" s="391"/>
      <c r="BZ140" s="391"/>
      <c r="CA140" s="391"/>
      <c r="CB140" s="391"/>
      <c r="CC140" s="391"/>
      <c r="CD140" s="391"/>
      <c r="CE140" s="391"/>
      <c r="CF140" s="391"/>
      <c r="CG140" s="391"/>
      <c r="CH140" s="391"/>
      <c r="CI140" s="391"/>
      <c r="CJ140" s="391"/>
      <c r="CK140" s="391"/>
      <c r="CL140" s="391"/>
      <c r="CM140" s="391"/>
      <c r="CN140" s="391"/>
      <c r="CO140" s="391"/>
      <c r="CP140" s="391"/>
      <c r="CQ140" s="391"/>
      <c r="CR140" s="391"/>
      <c r="CS140" s="391"/>
      <c r="CT140" s="391"/>
      <c r="CU140" s="391"/>
      <c r="CV140" s="391"/>
      <c r="CW140" s="391"/>
      <c r="CX140" s="391"/>
      <c r="CY140" s="391"/>
      <c r="CZ140" s="391"/>
      <c r="DA140" s="391"/>
      <c r="DB140" s="391"/>
      <c r="DC140" s="391"/>
      <c r="DD140" s="391"/>
      <c r="DE140" s="391"/>
      <c r="DF140" s="391"/>
      <c r="DG140" s="391"/>
      <c r="DH140" s="391"/>
      <c r="DI140" s="391"/>
      <c r="DJ140" s="391"/>
      <c r="DK140" s="391"/>
      <c r="DL140" s="391"/>
      <c r="DM140" s="391"/>
      <c r="DN140" s="391"/>
      <c r="DO140" s="391"/>
      <c r="DP140" s="391"/>
      <c r="DQ140" s="391"/>
      <c r="DR140" s="391"/>
      <c r="DS140" s="391"/>
      <c r="DT140" s="391"/>
      <c r="DU140" s="391"/>
      <c r="DV140" s="391"/>
      <c r="DW140" s="391"/>
      <c r="DX140" s="391"/>
      <c r="DY140" s="391"/>
      <c r="DZ140" s="391"/>
      <c r="EA140" s="391"/>
      <c r="EB140" s="391"/>
      <c r="EC140" s="391"/>
      <c r="ED140" s="391"/>
      <c r="EE140" s="391"/>
      <c r="EF140" s="391"/>
      <c r="EG140" s="391"/>
      <c r="EH140" s="391"/>
      <c r="EI140" s="391"/>
      <c r="EJ140" s="391"/>
      <c r="EK140" s="391"/>
      <c r="EL140" s="391"/>
      <c r="EM140" s="391"/>
      <c r="EN140" s="391"/>
      <c r="EO140" s="391"/>
      <c r="EP140" s="391"/>
      <c r="EQ140" s="391"/>
      <c r="ER140" s="391"/>
      <c r="ES140" s="391"/>
      <c r="ET140" s="391"/>
      <c r="EU140" s="391"/>
      <c r="EV140" s="391"/>
      <c r="EW140" s="391"/>
      <c r="EX140" s="391"/>
      <c r="EY140" s="391"/>
      <c r="EZ140" s="391"/>
      <c r="FA140" s="391"/>
      <c r="FB140" s="391"/>
      <c r="FC140" s="391"/>
      <c r="FD140" s="391"/>
      <c r="FE140" s="391"/>
      <c r="FF140" s="391"/>
      <c r="FG140" s="391"/>
      <c r="FH140" s="391"/>
      <c r="FI140" s="391"/>
      <c r="FJ140" s="391"/>
      <c r="FK140" s="391"/>
      <c r="FL140" s="391"/>
      <c r="FM140" s="391"/>
      <c r="FN140" s="391"/>
      <c r="FO140" s="391"/>
      <c r="FP140" s="391"/>
      <c r="FQ140" s="391"/>
      <c r="FR140" s="391"/>
      <c r="FS140" s="391"/>
      <c r="FT140" s="391"/>
      <c r="FU140" s="391"/>
      <c r="FV140" s="391"/>
      <c r="FW140" s="391"/>
      <c r="FX140" s="391"/>
      <c r="FY140" s="391"/>
      <c r="FZ140" s="391"/>
      <c r="GA140" s="391"/>
      <c r="GB140" s="391"/>
      <c r="GC140" s="391"/>
      <c r="GD140" s="391"/>
      <c r="GE140" s="391"/>
      <c r="GF140" s="391"/>
      <c r="GG140" s="391"/>
      <c r="GH140" s="391"/>
      <c r="GI140" s="391"/>
      <c r="GJ140" s="391"/>
      <c r="GK140" s="391"/>
      <c r="GL140" s="391"/>
      <c r="GM140" s="391"/>
      <c r="GN140" s="391"/>
      <c r="GO140" s="391"/>
      <c r="GP140" s="391"/>
      <c r="GQ140" s="391"/>
      <c r="GR140" s="391"/>
      <c r="GS140" s="391"/>
      <c r="GT140" s="391"/>
      <c r="GU140" s="391"/>
      <c r="GV140" s="391"/>
      <c r="GW140" s="391"/>
      <c r="GX140" s="391"/>
      <c r="GY140" s="391"/>
      <c r="GZ140" s="391"/>
      <c r="HA140" s="391"/>
      <c r="HB140" s="391"/>
      <c r="HC140" s="391"/>
      <c r="HD140" s="391"/>
      <c r="HE140" s="391"/>
      <c r="HF140" s="391"/>
      <c r="HG140" s="391"/>
      <c r="HH140" s="391"/>
      <c r="HI140" s="391"/>
      <c r="HJ140" s="391"/>
      <c r="HK140" s="391"/>
      <c r="HL140" s="391"/>
      <c r="HM140" s="391"/>
      <c r="HN140" s="391"/>
      <c r="HO140" s="391"/>
      <c r="HP140" s="391"/>
      <c r="HQ140" s="391"/>
      <c r="HR140" s="391"/>
      <c r="HS140" s="391"/>
      <c r="HT140" s="391"/>
      <c r="HU140" s="391"/>
      <c r="HV140" s="391"/>
      <c r="HW140" s="391"/>
      <c r="HX140" s="391"/>
      <c r="HY140" s="391"/>
      <c r="HZ140" s="391"/>
      <c r="IA140" s="391"/>
      <c r="IB140" s="391"/>
      <c r="IC140" s="391"/>
      <c r="ID140" s="391"/>
      <c r="IE140" s="391"/>
      <c r="IF140" s="391"/>
      <c r="IG140" s="391"/>
      <c r="IH140" s="391"/>
      <c r="II140" s="391"/>
      <c r="IJ140" s="391"/>
      <c r="IK140" s="391"/>
      <c r="IL140" s="391"/>
      <c r="IM140" s="391"/>
      <c r="IN140" s="391"/>
      <c r="IO140" s="391"/>
      <c r="IP140" s="391"/>
      <c r="IQ140" s="391"/>
      <c r="IR140" s="391"/>
      <c r="IS140" s="391"/>
      <c r="IT140" s="391"/>
      <c r="IU140" s="391"/>
      <c r="IV140" s="391"/>
      <c r="IW140" s="391"/>
      <c r="IX140" s="391"/>
      <c r="IY140" s="391"/>
      <c r="IZ140" s="391"/>
      <c r="JA140" s="391"/>
      <c r="JB140" s="391"/>
      <c r="JC140" s="391"/>
      <c r="JD140" s="391"/>
      <c r="JE140" s="391"/>
      <c r="JF140" s="391"/>
      <c r="JG140" s="391"/>
      <c r="JH140" s="391"/>
      <c r="JI140" s="393">
        <f t="shared" si="5"/>
        <v>0</v>
      </c>
      <c r="JJ140" s="2">
        <v>6370</v>
      </c>
      <c r="JK140" s="392">
        <f t="shared" si="6"/>
        <v>0</v>
      </c>
      <c r="JL140" s="391"/>
      <c r="JM140" s="392"/>
      <c r="JN140" s="392"/>
      <c r="JO140" s="392"/>
      <c r="JP140" s="392"/>
    </row>
    <row r="141" spans="1:276" x14ac:dyDescent="0.3">
      <c r="A141" s="391"/>
      <c r="B141" s="391"/>
      <c r="C141" s="391"/>
      <c r="D141" s="391"/>
      <c r="E141" s="391"/>
      <c r="F141" s="391"/>
      <c r="G141" s="391"/>
      <c r="H141" s="391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  <c r="T141" s="391"/>
      <c r="U141" s="391"/>
      <c r="V141" s="391"/>
      <c r="W141" s="391"/>
      <c r="X141" s="391"/>
      <c r="Y141" s="391"/>
      <c r="Z141" s="391"/>
      <c r="AA141" s="391"/>
      <c r="AB141" s="391"/>
      <c r="AC141" s="391"/>
      <c r="AD141" s="391"/>
      <c r="AE141" s="391"/>
      <c r="AF141" s="391"/>
      <c r="AG141" s="391"/>
      <c r="AH141" s="391"/>
      <c r="AI141" s="391"/>
      <c r="AJ141" s="391"/>
      <c r="AK141" s="391"/>
      <c r="AL141" s="391"/>
      <c r="AM141" s="391"/>
      <c r="AN141" s="391"/>
      <c r="AO141" s="391"/>
      <c r="AP141" s="391"/>
      <c r="AQ141" s="391"/>
      <c r="AR141" s="391"/>
      <c r="AS141" s="391"/>
      <c r="AT141" s="391"/>
      <c r="AU141" s="391"/>
      <c r="AV141" s="391"/>
      <c r="AW141" s="391"/>
      <c r="AX141" s="391"/>
      <c r="AY141" s="391"/>
      <c r="AZ141" s="391"/>
      <c r="BA141" s="391"/>
      <c r="BB141" s="391"/>
      <c r="BC141" s="391"/>
      <c r="BD141" s="391"/>
      <c r="BE141" s="391"/>
      <c r="BF141" s="391"/>
      <c r="BG141" s="391"/>
      <c r="BH141" s="391"/>
      <c r="BI141" s="391"/>
      <c r="BJ141" s="391"/>
      <c r="BK141" s="391"/>
      <c r="BL141" s="391"/>
      <c r="BM141" s="391"/>
      <c r="BN141" s="391"/>
      <c r="BO141" s="391"/>
      <c r="BP141" s="391"/>
      <c r="BQ141" s="391"/>
      <c r="BR141" s="391"/>
      <c r="BS141" s="391"/>
      <c r="BT141" s="391"/>
      <c r="BU141" s="391"/>
      <c r="BV141" s="391"/>
      <c r="BW141" s="391"/>
      <c r="BX141" s="391"/>
      <c r="BY141" s="391"/>
      <c r="BZ141" s="391"/>
      <c r="CA141" s="391"/>
      <c r="CB141" s="391"/>
      <c r="CC141" s="391"/>
      <c r="CD141" s="391"/>
      <c r="CE141" s="391"/>
      <c r="CF141" s="391"/>
      <c r="CG141" s="391"/>
      <c r="CH141" s="391"/>
      <c r="CI141" s="391"/>
      <c r="CJ141" s="391"/>
      <c r="CK141" s="391"/>
      <c r="CL141" s="391"/>
      <c r="CM141" s="391"/>
      <c r="CN141" s="391"/>
      <c r="CO141" s="391"/>
      <c r="CP141" s="391"/>
      <c r="CQ141" s="391"/>
      <c r="CR141" s="391"/>
      <c r="CS141" s="391"/>
      <c r="CT141" s="391"/>
      <c r="CU141" s="391"/>
      <c r="CV141" s="391"/>
      <c r="CW141" s="391"/>
      <c r="CX141" s="391"/>
      <c r="CY141" s="391"/>
      <c r="CZ141" s="391"/>
      <c r="DA141" s="391"/>
      <c r="DB141" s="391"/>
      <c r="DC141" s="391"/>
      <c r="DD141" s="391"/>
      <c r="DE141" s="391"/>
      <c r="DF141" s="391"/>
      <c r="DG141" s="391"/>
      <c r="DH141" s="391"/>
      <c r="DI141" s="391"/>
      <c r="DJ141" s="391"/>
      <c r="DK141" s="391"/>
      <c r="DL141" s="391"/>
      <c r="DM141" s="391"/>
      <c r="DN141" s="391"/>
      <c r="DO141" s="391"/>
      <c r="DP141" s="391"/>
      <c r="DQ141" s="391"/>
      <c r="DR141" s="391"/>
      <c r="DS141" s="391"/>
      <c r="DT141" s="391"/>
      <c r="DU141" s="391"/>
      <c r="DV141" s="391"/>
      <c r="DW141" s="391"/>
      <c r="DX141" s="391"/>
      <c r="DY141" s="391"/>
      <c r="DZ141" s="391"/>
      <c r="EA141" s="391"/>
      <c r="EB141" s="391"/>
      <c r="EC141" s="391"/>
      <c r="ED141" s="391"/>
      <c r="EE141" s="391"/>
      <c r="EF141" s="391"/>
      <c r="EG141" s="391"/>
      <c r="EH141" s="391"/>
      <c r="EI141" s="391"/>
      <c r="EJ141" s="391"/>
      <c r="EK141" s="391"/>
      <c r="EL141" s="391"/>
      <c r="EM141" s="391"/>
      <c r="EN141" s="391"/>
      <c r="EO141" s="391"/>
      <c r="EP141" s="391"/>
      <c r="EQ141" s="391"/>
      <c r="ER141" s="391"/>
      <c r="ES141" s="391"/>
      <c r="ET141" s="391"/>
      <c r="EU141" s="391"/>
      <c r="EV141" s="391"/>
      <c r="EW141" s="391"/>
      <c r="EX141" s="391"/>
      <c r="EY141" s="391"/>
      <c r="EZ141" s="391"/>
      <c r="FA141" s="391"/>
      <c r="FB141" s="391"/>
      <c r="FC141" s="391"/>
      <c r="FD141" s="391"/>
      <c r="FE141" s="391"/>
      <c r="FF141" s="391"/>
      <c r="FG141" s="391"/>
      <c r="FH141" s="391"/>
      <c r="FI141" s="391"/>
      <c r="FJ141" s="391"/>
      <c r="FK141" s="391"/>
      <c r="FL141" s="391"/>
      <c r="FM141" s="391"/>
      <c r="FN141" s="391"/>
      <c r="FO141" s="391"/>
      <c r="FP141" s="391"/>
      <c r="FQ141" s="391"/>
      <c r="FR141" s="391"/>
      <c r="FS141" s="391"/>
      <c r="FT141" s="391"/>
      <c r="FU141" s="391"/>
      <c r="FV141" s="391"/>
      <c r="FW141" s="391"/>
      <c r="FX141" s="391"/>
      <c r="FY141" s="391"/>
      <c r="FZ141" s="391"/>
      <c r="GA141" s="391"/>
      <c r="GB141" s="391"/>
      <c r="GC141" s="391"/>
      <c r="GD141" s="391"/>
      <c r="GE141" s="391"/>
      <c r="GF141" s="391"/>
      <c r="GG141" s="391"/>
      <c r="GH141" s="391"/>
      <c r="GI141" s="391"/>
      <c r="GJ141" s="391"/>
      <c r="GK141" s="391"/>
      <c r="GL141" s="391"/>
      <c r="GM141" s="391"/>
      <c r="GN141" s="391"/>
      <c r="GO141" s="391"/>
      <c r="GP141" s="391"/>
      <c r="GQ141" s="391"/>
      <c r="GR141" s="391"/>
      <c r="GS141" s="391"/>
      <c r="GT141" s="391"/>
      <c r="GU141" s="391"/>
      <c r="GV141" s="391"/>
      <c r="GW141" s="391"/>
      <c r="GX141" s="391"/>
      <c r="GY141" s="391"/>
      <c r="GZ141" s="391"/>
      <c r="HA141" s="391"/>
      <c r="HB141" s="391"/>
      <c r="HC141" s="391"/>
      <c r="HD141" s="391"/>
      <c r="HE141" s="391"/>
      <c r="HF141" s="391"/>
      <c r="HG141" s="391"/>
      <c r="HH141" s="391"/>
      <c r="HI141" s="391"/>
      <c r="HJ141" s="391"/>
      <c r="HK141" s="391"/>
      <c r="HL141" s="391"/>
      <c r="HM141" s="391"/>
      <c r="HN141" s="391"/>
      <c r="HO141" s="391"/>
      <c r="HP141" s="391"/>
      <c r="HQ141" s="391"/>
      <c r="HR141" s="391"/>
      <c r="HS141" s="391"/>
      <c r="HT141" s="391"/>
      <c r="HU141" s="391"/>
      <c r="HV141" s="391"/>
      <c r="HW141" s="391"/>
      <c r="HX141" s="391"/>
      <c r="HY141" s="391"/>
      <c r="HZ141" s="391"/>
      <c r="IA141" s="391"/>
      <c r="IB141" s="391"/>
      <c r="IC141" s="391"/>
      <c r="ID141" s="391"/>
      <c r="IE141" s="391"/>
      <c r="IF141" s="391"/>
      <c r="IG141" s="391"/>
      <c r="IH141" s="391"/>
      <c r="II141" s="391"/>
      <c r="IJ141" s="391"/>
      <c r="IK141" s="391"/>
      <c r="IL141" s="391"/>
      <c r="IM141" s="391"/>
      <c r="IN141" s="391"/>
      <c r="IO141" s="391"/>
      <c r="IP141" s="391"/>
      <c r="IQ141" s="391"/>
      <c r="IR141" s="391"/>
      <c r="IS141" s="391"/>
      <c r="IT141" s="391"/>
      <c r="IU141" s="391"/>
      <c r="IV141" s="391"/>
      <c r="IW141" s="391"/>
      <c r="IX141" s="391"/>
      <c r="IY141" s="391"/>
      <c r="IZ141" s="391"/>
      <c r="JA141" s="391"/>
      <c r="JB141" s="391"/>
      <c r="JC141" s="391"/>
      <c r="JD141" s="391"/>
      <c r="JE141" s="391"/>
      <c r="JF141" s="391"/>
      <c r="JG141" s="391"/>
      <c r="JH141" s="391"/>
      <c r="JI141" s="393">
        <f t="shared" si="5"/>
        <v>0</v>
      </c>
      <c r="JJ141" s="2">
        <v>6374</v>
      </c>
      <c r="JK141" s="392">
        <f t="shared" si="6"/>
        <v>0</v>
      </c>
      <c r="JL141" s="391"/>
      <c r="JM141" s="392"/>
      <c r="JN141" s="392"/>
      <c r="JO141" s="392"/>
      <c r="JP141" s="392"/>
    </row>
    <row r="142" spans="1:276" x14ac:dyDescent="0.3">
      <c r="A142" s="391"/>
      <c r="B142" s="391"/>
      <c r="C142" s="391"/>
      <c r="D142" s="391"/>
      <c r="E142" s="391"/>
      <c r="F142" s="391"/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  <c r="W142" s="391"/>
      <c r="X142" s="391"/>
      <c r="Y142" s="391"/>
      <c r="Z142" s="391"/>
      <c r="AA142" s="391"/>
      <c r="AB142" s="391"/>
      <c r="AC142" s="391"/>
      <c r="AD142" s="391"/>
      <c r="AE142" s="391"/>
      <c r="AF142" s="391"/>
      <c r="AG142" s="391"/>
      <c r="AH142" s="391"/>
      <c r="AI142" s="391"/>
      <c r="AJ142" s="391"/>
      <c r="AK142" s="391"/>
      <c r="AL142" s="391"/>
      <c r="AM142" s="391"/>
      <c r="AN142" s="391"/>
      <c r="AO142" s="391"/>
      <c r="AP142" s="391"/>
      <c r="AQ142" s="391"/>
      <c r="AR142" s="391"/>
      <c r="AS142" s="391"/>
      <c r="AT142" s="391"/>
      <c r="AU142" s="391"/>
      <c r="AV142" s="391"/>
      <c r="AW142" s="391"/>
      <c r="AX142" s="391"/>
      <c r="AY142" s="391"/>
      <c r="AZ142" s="391"/>
      <c r="BA142" s="391"/>
      <c r="BB142" s="391"/>
      <c r="BC142" s="391"/>
      <c r="BD142" s="391"/>
      <c r="BE142" s="391"/>
      <c r="BF142" s="391"/>
      <c r="BG142" s="391"/>
      <c r="BH142" s="391"/>
      <c r="BI142" s="391"/>
      <c r="BJ142" s="391"/>
      <c r="BK142" s="391"/>
      <c r="BL142" s="391"/>
      <c r="BM142" s="391"/>
      <c r="BN142" s="391"/>
      <c r="BO142" s="391"/>
      <c r="BP142" s="391"/>
      <c r="BQ142" s="391"/>
      <c r="BR142" s="391"/>
      <c r="BS142" s="391"/>
      <c r="BT142" s="391"/>
      <c r="BU142" s="391"/>
      <c r="BV142" s="391"/>
      <c r="BW142" s="391"/>
      <c r="BX142" s="391"/>
      <c r="BY142" s="391"/>
      <c r="BZ142" s="391"/>
      <c r="CA142" s="391"/>
      <c r="CB142" s="391"/>
      <c r="CC142" s="391"/>
      <c r="CD142" s="391"/>
      <c r="CE142" s="391"/>
      <c r="CF142" s="391"/>
      <c r="CG142" s="391"/>
      <c r="CH142" s="391"/>
      <c r="CI142" s="391"/>
      <c r="CJ142" s="391"/>
      <c r="CK142" s="391"/>
      <c r="CL142" s="391"/>
      <c r="CM142" s="391"/>
      <c r="CN142" s="391"/>
      <c r="CO142" s="391"/>
      <c r="CP142" s="391"/>
      <c r="CQ142" s="391"/>
      <c r="CR142" s="391"/>
      <c r="CS142" s="391"/>
      <c r="CT142" s="391"/>
      <c r="CU142" s="391"/>
      <c r="CV142" s="391"/>
      <c r="CW142" s="391"/>
      <c r="CX142" s="391"/>
      <c r="CY142" s="391"/>
      <c r="CZ142" s="391"/>
      <c r="DA142" s="391"/>
      <c r="DB142" s="391"/>
      <c r="DC142" s="391"/>
      <c r="DD142" s="391"/>
      <c r="DE142" s="391"/>
      <c r="DF142" s="391"/>
      <c r="DG142" s="391"/>
      <c r="DH142" s="391"/>
      <c r="DI142" s="391"/>
      <c r="DJ142" s="391"/>
      <c r="DK142" s="391"/>
      <c r="DL142" s="391"/>
      <c r="DM142" s="391"/>
      <c r="DN142" s="391"/>
      <c r="DO142" s="391"/>
      <c r="DP142" s="391"/>
      <c r="DQ142" s="391"/>
      <c r="DR142" s="391"/>
      <c r="DS142" s="391"/>
      <c r="DT142" s="391"/>
      <c r="DU142" s="391"/>
      <c r="DV142" s="391"/>
      <c r="DW142" s="391"/>
      <c r="DX142" s="391"/>
      <c r="DY142" s="391"/>
      <c r="DZ142" s="391"/>
      <c r="EA142" s="391"/>
      <c r="EB142" s="391"/>
      <c r="EC142" s="391"/>
      <c r="ED142" s="391"/>
      <c r="EE142" s="391"/>
      <c r="EF142" s="391"/>
      <c r="EG142" s="391"/>
      <c r="EH142" s="391"/>
      <c r="EI142" s="391"/>
      <c r="EJ142" s="391"/>
      <c r="EK142" s="391"/>
      <c r="EL142" s="391"/>
      <c r="EM142" s="391"/>
      <c r="EN142" s="391"/>
      <c r="EO142" s="391"/>
      <c r="EP142" s="391"/>
      <c r="EQ142" s="391"/>
      <c r="ER142" s="391"/>
      <c r="ES142" s="391"/>
      <c r="ET142" s="391"/>
      <c r="EU142" s="391"/>
      <c r="EV142" s="391"/>
      <c r="EW142" s="391"/>
      <c r="EX142" s="391"/>
      <c r="EY142" s="391"/>
      <c r="EZ142" s="391"/>
      <c r="FA142" s="391"/>
      <c r="FB142" s="391"/>
      <c r="FC142" s="391"/>
      <c r="FD142" s="391"/>
      <c r="FE142" s="391"/>
      <c r="FF142" s="391"/>
      <c r="FG142" s="391"/>
      <c r="FH142" s="391"/>
      <c r="FI142" s="391"/>
      <c r="FJ142" s="391"/>
      <c r="FK142" s="391"/>
      <c r="FL142" s="391"/>
      <c r="FM142" s="391"/>
      <c r="FN142" s="391"/>
      <c r="FO142" s="391"/>
      <c r="FP142" s="391"/>
      <c r="FQ142" s="391"/>
      <c r="FR142" s="391"/>
      <c r="FS142" s="391"/>
      <c r="FT142" s="391"/>
      <c r="FU142" s="391"/>
      <c r="FV142" s="391"/>
      <c r="FW142" s="391"/>
      <c r="FX142" s="391"/>
      <c r="FY142" s="391"/>
      <c r="FZ142" s="391"/>
      <c r="GA142" s="391"/>
      <c r="GB142" s="391"/>
      <c r="GC142" s="391"/>
      <c r="GD142" s="391"/>
      <c r="GE142" s="391"/>
      <c r="GF142" s="391"/>
      <c r="GG142" s="391"/>
      <c r="GH142" s="391"/>
      <c r="GI142" s="391"/>
      <c r="GJ142" s="391"/>
      <c r="GK142" s="391"/>
      <c r="GL142" s="391"/>
      <c r="GM142" s="391"/>
      <c r="GN142" s="391"/>
      <c r="GO142" s="391"/>
      <c r="GP142" s="391"/>
      <c r="GQ142" s="391"/>
      <c r="GR142" s="391"/>
      <c r="GS142" s="391"/>
      <c r="GT142" s="391"/>
      <c r="GU142" s="391"/>
      <c r="GV142" s="391"/>
      <c r="GW142" s="391"/>
      <c r="GX142" s="391"/>
      <c r="GY142" s="391"/>
      <c r="GZ142" s="391"/>
      <c r="HA142" s="391"/>
      <c r="HB142" s="391"/>
      <c r="HC142" s="391"/>
      <c r="HD142" s="391"/>
      <c r="HE142" s="391"/>
      <c r="HF142" s="391"/>
      <c r="HG142" s="391"/>
      <c r="HH142" s="391"/>
      <c r="HI142" s="391"/>
      <c r="HJ142" s="391"/>
      <c r="HK142" s="391"/>
      <c r="HL142" s="391"/>
      <c r="HM142" s="391"/>
      <c r="HN142" s="391"/>
      <c r="HO142" s="391"/>
      <c r="HP142" s="391"/>
      <c r="HQ142" s="391"/>
      <c r="HR142" s="391"/>
      <c r="HS142" s="391"/>
      <c r="HT142" s="391"/>
      <c r="HU142" s="391"/>
      <c r="HV142" s="391"/>
      <c r="HW142" s="391"/>
      <c r="HX142" s="391"/>
      <c r="HY142" s="391"/>
      <c r="HZ142" s="391"/>
      <c r="IA142" s="391"/>
      <c r="IB142" s="391"/>
      <c r="IC142" s="391"/>
      <c r="ID142" s="391"/>
      <c r="IE142" s="391"/>
      <c r="IF142" s="391"/>
      <c r="IG142" s="391"/>
      <c r="IH142" s="391"/>
      <c r="II142" s="391"/>
      <c r="IJ142" s="391"/>
      <c r="IK142" s="391"/>
      <c r="IL142" s="391"/>
      <c r="IM142" s="391"/>
      <c r="IN142" s="391"/>
      <c r="IO142" s="391"/>
      <c r="IP142" s="391"/>
      <c r="IQ142" s="391"/>
      <c r="IR142" s="391"/>
      <c r="IS142" s="391"/>
      <c r="IT142" s="391"/>
      <c r="IU142" s="391"/>
      <c r="IV142" s="391"/>
      <c r="IW142" s="391"/>
      <c r="IX142" s="391"/>
      <c r="IY142" s="391"/>
      <c r="IZ142" s="391"/>
      <c r="JA142" s="391"/>
      <c r="JB142" s="391"/>
      <c r="JC142" s="391"/>
      <c r="JD142" s="391"/>
      <c r="JE142" s="391"/>
      <c r="JF142" s="391"/>
      <c r="JG142" s="391"/>
      <c r="JH142" s="391"/>
      <c r="JI142" s="393">
        <f t="shared" si="5"/>
        <v>0</v>
      </c>
      <c r="JJ142" s="2">
        <v>6378</v>
      </c>
      <c r="JK142" s="392">
        <f t="shared" si="6"/>
        <v>0</v>
      </c>
      <c r="JL142" s="391"/>
      <c r="JM142" s="392"/>
      <c r="JN142" s="392"/>
      <c r="JO142" s="392"/>
      <c r="JP142" s="392"/>
    </row>
    <row r="143" spans="1:276" x14ac:dyDescent="0.3">
      <c r="A143" s="391"/>
      <c r="B143" s="391"/>
      <c r="C143" s="391"/>
      <c r="D143" s="391"/>
      <c r="E143" s="391"/>
      <c r="F143" s="391"/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  <c r="W143" s="391"/>
      <c r="X143" s="391"/>
      <c r="Y143" s="391"/>
      <c r="Z143" s="391"/>
      <c r="AA143" s="391"/>
      <c r="AB143" s="391"/>
      <c r="AC143" s="391"/>
      <c r="AD143" s="391"/>
      <c r="AE143" s="391"/>
      <c r="AF143" s="391"/>
      <c r="AG143" s="391"/>
      <c r="AH143" s="391"/>
      <c r="AI143" s="391"/>
      <c r="AJ143" s="391"/>
      <c r="AK143" s="391"/>
      <c r="AL143" s="391"/>
      <c r="AM143" s="391"/>
      <c r="AN143" s="391"/>
      <c r="AO143" s="391"/>
      <c r="AP143" s="391"/>
      <c r="AQ143" s="391"/>
      <c r="AR143" s="391"/>
      <c r="AS143" s="391"/>
      <c r="AT143" s="391"/>
      <c r="AU143" s="391"/>
      <c r="AV143" s="391"/>
      <c r="AW143" s="391"/>
      <c r="AX143" s="391"/>
      <c r="AY143" s="391"/>
      <c r="AZ143" s="391"/>
      <c r="BA143" s="391"/>
      <c r="BB143" s="391"/>
      <c r="BC143" s="391"/>
      <c r="BD143" s="391"/>
      <c r="BE143" s="391"/>
      <c r="BF143" s="391"/>
      <c r="BG143" s="391"/>
      <c r="BH143" s="391"/>
      <c r="BI143" s="391"/>
      <c r="BJ143" s="391"/>
      <c r="BK143" s="391"/>
      <c r="BL143" s="391"/>
      <c r="BM143" s="391"/>
      <c r="BN143" s="391"/>
      <c r="BO143" s="391"/>
      <c r="BP143" s="391"/>
      <c r="BQ143" s="391"/>
      <c r="BR143" s="391"/>
      <c r="BS143" s="391"/>
      <c r="BT143" s="391"/>
      <c r="BU143" s="391"/>
      <c r="BV143" s="391"/>
      <c r="BW143" s="391"/>
      <c r="BX143" s="391"/>
      <c r="BY143" s="391"/>
      <c r="BZ143" s="391"/>
      <c r="CA143" s="391"/>
      <c r="CB143" s="391"/>
      <c r="CC143" s="391"/>
      <c r="CD143" s="391"/>
      <c r="CE143" s="391"/>
      <c r="CF143" s="391"/>
      <c r="CG143" s="391"/>
      <c r="CH143" s="391"/>
      <c r="CI143" s="391"/>
      <c r="CJ143" s="391"/>
      <c r="CK143" s="391"/>
      <c r="CL143" s="391"/>
      <c r="CM143" s="391"/>
      <c r="CN143" s="391"/>
      <c r="CO143" s="391"/>
      <c r="CP143" s="391"/>
      <c r="CQ143" s="391"/>
      <c r="CR143" s="391"/>
      <c r="CS143" s="391"/>
      <c r="CT143" s="391"/>
      <c r="CU143" s="391"/>
      <c r="CV143" s="391"/>
      <c r="CW143" s="391"/>
      <c r="CX143" s="391"/>
      <c r="CY143" s="391"/>
      <c r="CZ143" s="391"/>
      <c r="DA143" s="391"/>
      <c r="DB143" s="391"/>
      <c r="DC143" s="391"/>
      <c r="DD143" s="391"/>
      <c r="DE143" s="391"/>
      <c r="DF143" s="391"/>
      <c r="DG143" s="391"/>
      <c r="DH143" s="391"/>
      <c r="DI143" s="391"/>
      <c r="DJ143" s="391"/>
      <c r="DK143" s="391"/>
      <c r="DL143" s="391"/>
      <c r="DM143" s="391"/>
      <c r="DN143" s="391"/>
      <c r="DO143" s="391"/>
      <c r="DP143" s="391"/>
      <c r="DQ143" s="391"/>
      <c r="DR143" s="391"/>
      <c r="DS143" s="391"/>
      <c r="DT143" s="391"/>
      <c r="DU143" s="391"/>
      <c r="DV143" s="391"/>
      <c r="DW143" s="391"/>
      <c r="DX143" s="391"/>
      <c r="DY143" s="391"/>
      <c r="DZ143" s="391"/>
      <c r="EA143" s="391"/>
      <c r="EB143" s="391"/>
      <c r="EC143" s="391"/>
      <c r="ED143" s="391"/>
      <c r="EE143" s="391"/>
      <c r="EF143" s="391"/>
      <c r="EG143" s="391"/>
      <c r="EH143" s="391"/>
      <c r="EI143" s="391"/>
      <c r="EJ143" s="391"/>
      <c r="EK143" s="391"/>
      <c r="EL143" s="391"/>
      <c r="EM143" s="391"/>
      <c r="EN143" s="391"/>
      <c r="EO143" s="391"/>
      <c r="EP143" s="391"/>
      <c r="EQ143" s="391"/>
      <c r="ER143" s="391"/>
      <c r="ES143" s="391"/>
      <c r="ET143" s="391"/>
      <c r="EU143" s="391"/>
      <c r="EV143" s="391"/>
      <c r="EW143" s="391"/>
      <c r="EX143" s="391"/>
      <c r="EY143" s="391"/>
      <c r="EZ143" s="391"/>
      <c r="FA143" s="391"/>
      <c r="FB143" s="391"/>
      <c r="FC143" s="391"/>
      <c r="FD143" s="391"/>
      <c r="FE143" s="391"/>
      <c r="FF143" s="391"/>
      <c r="FG143" s="391"/>
      <c r="FH143" s="391"/>
      <c r="FI143" s="391"/>
      <c r="FJ143" s="391"/>
      <c r="FK143" s="391"/>
      <c r="FL143" s="391"/>
      <c r="FM143" s="391"/>
      <c r="FN143" s="391"/>
      <c r="FO143" s="391"/>
      <c r="FP143" s="391"/>
      <c r="FQ143" s="391"/>
      <c r="FR143" s="391"/>
      <c r="FS143" s="391"/>
      <c r="FT143" s="391"/>
      <c r="FU143" s="391"/>
      <c r="FV143" s="391"/>
      <c r="FW143" s="391"/>
      <c r="FX143" s="391"/>
      <c r="FY143" s="391"/>
      <c r="FZ143" s="391"/>
      <c r="GA143" s="391"/>
      <c r="GB143" s="391"/>
      <c r="GC143" s="391"/>
      <c r="GD143" s="391"/>
      <c r="GE143" s="391"/>
      <c r="GF143" s="391"/>
      <c r="GG143" s="391"/>
      <c r="GH143" s="391"/>
      <c r="GI143" s="391"/>
      <c r="GJ143" s="391"/>
      <c r="GK143" s="391"/>
      <c r="GL143" s="391"/>
      <c r="GM143" s="391"/>
      <c r="GN143" s="391"/>
      <c r="GO143" s="391"/>
      <c r="GP143" s="391"/>
      <c r="GQ143" s="391"/>
      <c r="GR143" s="391"/>
      <c r="GS143" s="391"/>
      <c r="GT143" s="391"/>
      <c r="GU143" s="391"/>
      <c r="GV143" s="391"/>
      <c r="GW143" s="391"/>
      <c r="GX143" s="391"/>
      <c r="GY143" s="391"/>
      <c r="GZ143" s="391"/>
      <c r="HA143" s="391"/>
      <c r="HB143" s="391"/>
      <c r="HC143" s="391"/>
      <c r="HD143" s="391"/>
      <c r="HE143" s="391"/>
      <c r="HF143" s="391"/>
      <c r="HG143" s="391"/>
      <c r="HH143" s="391"/>
      <c r="HI143" s="391"/>
      <c r="HJ143" s="391"/>
      <c r="HK143" s="391"/>
      <c r="HL143" s="391"/>
      <c r="HM143" s="391"/>
      <c r="HN143" s="391"/>
      <c r="HO143" s="391"/>
      <c r="HP143" s="391"/>
      <c r="HQ143" s="391"/>
      <c r="HR143" s="391"/>
      <c r="HS143" s="391"/>
      <c r="HT143" s="391"/>
      <c r="HU143" s="391"/>
      <c r="HV143" s="391"/>
      <c r="HW143" s="391"/>
      <c r="HX143" s="391"/>
      <c r="HY143" s="391"/>
      <c r="HZ143" s="391"/>
      <c r="IA143" s="391"/>
      <c r="IB143" s="391"/>
      <c r="IC143" s="391"/>
      <c r="ID143" s="391"/>
      <c r="IE143" s="391"/>
      <c r="IF143" s="391"/>
      <c r="IG143" s="391"/>
      <c r="IH143" s="391"/>
      <c r="II143" s="391"/>
      <c r="IJ143" s="391"/>
      <c r="IK143" s="391"/>
      <c r="IL143" s="391"/>
      <c r="IM143" s="391"/>
      <c r="IN143" s="391"/>
      <c r="IO143" s="391"/>
      <c r="IP143" s="391"/>
      <c r="IQ143" s="391"/>
      <c r="IR143" s="391"/>
      <c r="IS143" s="391"/>
      <c r="IT143" s="391"/>
      <c r="IU143" s="391"/>
      <c r="IV143" s="391"/>
      <c r="IW143" s="391"/>
      <c r="IX143" s="391"/>
      <c r="IY143" s="391"/>
      <c r="IZ143" s="391"/>
      <c r="JA143" s="391"/>
      <c r="JB143" s="391"/>
      <c r="JC143" s="391"/>
      <c r="JD143" s="391"/>
      <c r="JE143" s="391"/>
      <c r="JF143" s="391"/>
      <c r="JG143" s="391"/>
      <c r="JH143" s="391"/>
      <c r="JI143" s="393">
        <f t="shared" si="5"/>
        <v>0</v>
      </c>
      <c r="JJ143" s="2">
        <v>6382</v>
      </c>
      <c r="JK143" s="392">
        <f t="shared" si="6"/>
        <v>0</v>
      </c>
      <c r="JL143" s="391"/>
      <c r="JM143" s="392"/>
      <c r="JN143" s="392"/>
      <c r="JO143" s="392"/>
      <c r="JP143" s="392"/>
    </row>
    <row r="144" spans="1:276" x14ac:dyDescent="0.3">
      <c r="A144" s="391"/>
      <c r="B144" s="391"/>
      <c r="C144" s="391"/>
      <c r="D144" s="391"/>
      <c r="E144" s="391"/>
      <c r="F144" s="391"/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391"/>
      <c r="X144" s="391"/>
      <c r="Y144" s="391"/>
      <c r="Z144" s="391"/>
      <c r="AA144" s="391"/>
      <c r="AB144" s="391"/>
      <c r="AC144" s="391"/>
      <c r="AD144" s="391"/>
      <c r="AE144" s="391"/>
      <c r="AF144" s="391"/>
      <c r="AG144" s="391"/>
      <c r="AH144" s="391"/>
      <c r="AI144" s="391"/>
      <c r="AJ144" s="391"/>
      <c r="AK144" s="391"/>
      <c r="AL144" s="391"/>
      <c r="AM144" s="391"/>
      <c r="AN144" s="391"/>
      <c r="AO144" s="391"/>
      <c r="AP144" s="391"/>
      <c r="AQ144" s="391"/>
      <c r="AR144" s="391"/>
      <c r="AS144" s="391"/>
      <c r="AT144" s="391"/>
      <c r="AU144" s="391"/>
      <c r="AV144" s="391"/>
      <c r="AW144" s="391"/>
      <c r="AX144" s="391"/>
      <c r="AY144" s="391"/>
      <c r="AZ144" s="391"/>
      <c r="BA144" s="391"/>
      <c r="BB144" s="391"/>
      <c r="BC144" s="391"/>
      <c r="BD144" s="391"/>
      <c r="BE144" s="391"/>
      <c r="BF144" s="391"/>
      <c r="BG144" s="391"/>
      <c r="BH144" s="391"/>
      <c r="BI144" s="391"/>
      <c r="BJ144" s="391"/>
      <c r="BK144" s="391"/>
      <c r="BL144" s="391"/>
      <c r="BM144" s="391"/>
      <c r="BN144" s="391"/>
      <c r="BO144" s="391"/>
      <c r="BP144" s="391"/>
      <c r="BQ144" s="391"/>
      <c r="BR144" s="391"/>
      <c r="BS144" s="391"/>
      <c r="BT144" s="391"/>
      <c r="BU144" s="391"/>
      <c r="BV144" s="391"/>
      <c r="BW144" s="391"/>
      <c r="BX144" s="391"/>
      <c r="BY144" s="391"/>
      <c r="BZ144" s="391"/>
      <c r="CA144" s="391"/>
      <c r="CB144" s="391"/>
      <c r="CC144" s="391"/>
      <c r="CD144" s="391"/>
      <c r="CE144" s="391"/>
      <c r="CF144" s="391"/>
      <c r="CG144" s="391"/>
      <c r="CH144" s="391"/>
      <c r="CI144" s="391"/>
      <c r="CJ144" s="391"/>
      <c r="CK144" s="391"/>
      <c r="CL144" s="391"/>
      <c r="CM144" s="391"/>
      <c r="CN144" s="391"/>
      <c r="CO144" s="391"/>
      <c r="CP144" s="391"/>
      <c r="CQ144" s="391"/>
      <c r="CR144" s="391"/>
      <c r="CS144" s="391"/>
      <c r="CT144" s="391"/>
      <c r="CU144" s="391"/>
      <c r="CV144" s="391"/>
      <c r="CW144" s="391"/>
      <c r="CX144" s="391"/>
      <c r="CY144" s="391"/>
      <c r="CZ144" s="391"/>
      <c r="DA144" s="391"/>
      <c r="DB144" s="391"/>
      <c r="DC144" s="391"/>
      <c r="DD144" s="391"/>
      <c r="DE144" s="391"/>
      <c r="DF144" s="391"/>
      <c r="DG144" s="391"/>
      <c r="DH144" s="391"/>
      <c r="DI144" s="391"/>
      <c r="DJ144" s="391"/>
      <c r="DK144" s="391"/>
      <c r="DL144" s="391"/>
      <c r="DM144" s="391"/>
      <c r="DN144" s="391"/>
      <c r="DO144" s="391"/>
      <c r="DP144" s="391"/>
      <c r="DQ144" s="391"/>
      <c r="DR144" s="391"/>
      <c r="DS144" s="391"/>
      <c r="DT144" s="391"/>
      <c r="DU144" s="391"/>
      <c r="DV144" s="391"/>
      <c r="DW144" s="391"/>
      <c r="DX144" s="391"/>
      <c r="DY144" s="391"/>
      <c r="DZ144" s="391"/>
      <c r="EA144" s="391"/>
      <c r="EB144" s="391"/>
      <c r="EC144" s="391"/>
      <c r="ED144" s="391"/>
      <c r="EE144" s="391"/>
      <c r="EF144" s="391"/>
      <c r="EG144" s="391"/>
      <c r="EH144" s="391"/>
      <c r="EI144" s="391"/>
      <c r="EJ144" s="391"/>
      <c r="EK144" s="391"/>
      <c r="EL144" s="391"/>
      <c r="EM144" s="391"/>
      <c r="EN144" s="391"/>
      <c r="EO144" s="391"/>
      <c r="EP144" s="391"/>
      <c r="EQ144" s="391"/>
      <c r="ER144" s="391"/>
      <c r="ES144" s="391"/>
      <c r="ET144" s="391"/>
      <c r="EU144" s="391"/>
      <c r="EV144" s="391"/>
      <c r="EW144" s="391"/>
      <c r="EX144" s="391"/>
      <c r="EY144" s="391"/>
      <c r="EZ144" s="391"/>
      <c r="FA144" s="391"/>
      <c r="FB144" s="391"/>
      <c r="FC144" s="391"/>
      <c r="FD144" s="391"/>
      <c r="FE144" s="391"/>
      <c r="FF144" s="391"/>
      <c r="FG144" s="391"/>
      <c r="FH144" s="391"/>
      <c r="FI144" s="391"/>
      <c r="FJ144" s="391"/>
      <c r="FK144" s="391"/>
      <c r="FL144" s="391"/>
      <c r="FM144" s="391"/>
      <c r="FN144" s="391"/>
      <c r="FO144" s="391"/>
      <c r="FP144" s="391"/>
      <c r="FQ144" s="391"/>
      <c r="FR144" s="391"/>
      <c r="FS144" s="391"/>
      <c r="FT144" s="391"/>
      <c r="FU144" s="391"/>
      <c r="FV144" s="391"/>
      <c r="FW144" s="391"/>
      <c r="FX144" s="391"/>
      <c r="FY144" s="391"/>
      <c r="FZ144" s="391"/>
      <c r="GA144" s="391"/>
      <c r="GB144" s="391"/>
      <c r="GC144" s="391"/>
      <c r="GD144" s="391"/>
      <c r="GE144" s="391"/>
      <c r="GF144" s="391"/>
      <c r="GG144" s="391"/>
      <c r="GH144" s="391"/>
      <c r="GI144" s="391"/>
      <c r="GJ144" s="391"/>
      <c r="GK144" s="391"/>
      <c r="GL144" s="391"/>
      <c r="GM144" s="391"/>
      <c r="GN144" s="391"/>
      <c r="GO144" s="391"/>
      <c r="GP144" s="391"/>
      <c r="GQ144" s="391"/>
      <c r="GR144" s="391"/>
      <c r="GS144" s="391"/>
      <c r="GT144" s="391"/>
      <c r="GU144" s="391"/>
      <c r="GV144" s="391"/>
      <c r="GW144" s="391"/>
      <c r="GX144" s="391"/>
      <c r="GY144" s="391"/>
      <c r="GZ144" s="391"/>
      <c r="HA144" s="391"/>
      <c r="HB144" s="391"/>
      <c r="HC144" s="391"/>
      <c r="HD144" s="391"/>
      <c r="HE144" s="391"/>
      <c r="HF144" s="391"/>
      <c r="HG144" s="391"/>
      <c r="HH144" s="391"/>
      <c r="HI144" s="391"/>
      <c r="HJ144" s="391"/>
      <c r="HK144" s="391"/>
      <c r="HL144" s="391"/>
      <c r="HM144" s="391"/>
      <c r="HN144" s="391"/>
      <c r="HO144" s="391"/>
      <c r="HP144" s="391"/>
      <c r="HQ144" s="391"/>
      <c r="HR144" s="391"/>
      <c r="HS144" s="391"/>
      <c r="HT144" s="391"/>
      <c r="HU144" s="391"/>
      <c r="HV144" s="391"/>
      <c r="HW144" s="391"/>
      <c r="HX144" s="391"/>
      <c r="HY144" s="391"/>
      <c r="HZ144" s="391"/>
      <c r="IA144" s="391"/>
      <c r="IB144" s="391"/>
      <c r="IC144" s="391"/>
      <c r="ID144" s="391"/>
      <c r="IE144" s="391"/>
      <c r="IF144" s="391"/>
      <c r="IG144" s="391"/>
      <c r="IH144" s="391"/>
      <c r="II144" s="391"/>
      <c r="IJ144" s="391"/>
      <c r="IK144" s="391"/>
      <c r="IL144" s="391"/>
      <c r="IM144" s="391"/>
      <c r="IN144" s="391"/>
      <c r="IO144" s="391"/>
      <c r="IP144" s="391"/>
      <c r="IQ144" s="391"/>
      <c r="IR144" s="391"/>
      <c r="IS144" s="391"/>
      <c r="IT144" s="391"/>
      <c r="IU144" s="391"/>
      <c r="IV144" s="391"/>
      <c r="IW144" s="391"/>
      <c r="IX144" s="391"/>
      <c r="IY144" s="391"/>
      <c r="IZ144" s="391"/>
      <c r="JA144" s="391"/>
      <c r="JB144" s="391"/>
      <c r="JC144" s="391"/>
      <c r="JD144" s="391"/>
      <c r="JE144" s="391"/>
      <c r="JF144" s="391"/>
      <c r="JG144" s="391"/>
      <c r="JH144" s="391"/>
      <c r="JI144" s="393">
        <f t="shared" si="5"/>
        <v>0</v>
      </c>
      <c r="JJ144" s="2">
        <v>6392</v>
      </c>
      <c r="JK144" s="392">
        <f t="shared" si="6"/>
        <v>0</v>
      </c>
      <c r="JL144" s="391"/>
      <c r="JM144" s="392"/>
      <c r="JN144" s="392"/>
      <c r="JO144" s="392"/>
      <c r="JP144" s="392"/>
    </row>
    <row r="145" spans="1:276" x14ac:dyDescent="0.3">
      <c r="A145" s="391"/>
      <c r="B145" s="391"/>
      <c r="C145" s="391"/>
      <c r="D145" s="391"/>
      <c r="E145" s="391"/>
      <c r="F145" s="391"/>
      <c r="G145" s="391"/>
      <c r="H145" s="391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  <c r="T145" s="391"/>
      <c r="U145" s="391"/>
      <c r="V145" s="391"/>
      <c r="W145" s="391"/>
      <c r="X145" s="391"/>
      <c r="Y145" s="391"/>
      <c r="Z145" s="391"/>
      <c r="AA145" s="391"/>
      <c r="AB145" s="391"/>
      <c r="AC145" s="391"/>
      <c r="AD145" s="391"/>
      <c r="AE145" s="391"/>
      <c r="AF145" s="391"/>
      <c r="AG145" s="391"/>
      <c r="AH145" s="391"/>
      <c r="AI145" s="391"/>
      <c r="AJ145" s="391"/>
      <c r="AK145" s="391"/>
      <c r="AL145" s="391"/>
      <c r="AM145" s="391"/>
      <c r="AN145" s="391"/>
      <c r="AO145" s="391"/>
      <c r="AP145" s="391"/>
      <c r="AQ145" s="391"/>
      <c r="AR145" s="391"/>
      <c r="AS145" s="391"/>
      <c r="AT145" s="391"/>
      <c r="AU145" s="391"/>
      <c r="AV145" s="391"/>
      <c r="AW145" s="391"/>
      <c r="AX145" s="391"/>
      <c r="AY145" s="391"/>
      <c r="AZ145" s="391"/>
      <c r="BA145" s="391"/>
      <c r="BB145" s="391"/>
      <c r="BC145" s="391"/>
      <c r="BD145" s="391"/>
      <c r="BE145" s="391"/>
      <c r="BF145" s="391"/>
      <c r="BG145" s="391"/>
      <c r="BH145" s="391"/>
      <c r="BI145" s="391"/>
      <c r="BJ145" s="391"/>
      <c r="BK145" s="391"/>
      <c r="BL145" s="391"/>
      <c r="BM145" s="391"/>
      <c r="BN145" s="391"/>
      <c r="BO145" s="391"/>
      <c r="BP145" s="391"/>
      <c r="BQ145" s="391"/>
      <c r="BR145" s="391"/>
      <c r="BS145" s="391"/>
      <c r="BT145" s="391"/>
      <c r="BU145" s="391"/>
      <c r="BV145" s="391"/>
      <c r="BW145" s="391"/>
      <c r="BX145" s="391"/>
      <c r="BY145" s="391"/>
      <c r="BZ145" s="391"/>
      <c r="CA145" s="391"/>
      <c r="CB145" s="391"/>
      <c r="CC145" s="391"/>
      <c r="CD145" s="391"/>
      <c r="CE145" s="391"/>
      <c r="CF145" s="391"/>
      <c r="CG145" s="391"/>
      <c r="CH145" s="391"/>
      <c r="CI145" s="391"/>
      <c r="CJ145" s="391"/>
      <c r="CK145" s="391"/>
      <c r="CL145" s="391"/>
      <c r="CM145" s="391"/>
      <c r="CN145" s="391"/>
      <c r="CO145" s="391"/>
      <c r="CP145" s="391"/>
      <c r="CQ145" s="391"/>
      <c r="CR145" s="391"/>
      <c r="CS145" s="391"/>
      <c r="CT145" s="391"/>
      <c r="CU145" s="391"/>
      <c r="CV145" s="391"/>
      <c r="CW145" s="391"/>
      <c r="CX145" s="391"/>
      <c r="CY145" s="391"/>
      <c r="CZ145" s="391"/>
      <c r="DA145" s="391"/>
      <c r="DB145" s="391"/>
      <c r="DC145" s="391"/>
      <c r="DD145" s="391"/>
      <c r="DE145" s="391"/>
      <c r="DF145" s="391"/>
      <c r="DG145" s="391"/>
      <c r="DH145" s="391"/>
      <c r="DI145" s="391"/>
      <c r="DJ145" s="391"/>
      <c r="DK145" s="391"/>
      <c r="DL145" s="391"/>
      <c r="DM145" s="391"/>
      <c r="DN145" s="391"/>
      <c r="DO145" s="391"/>
      <c r="DP145" s="391"/>
      <c r="DQ145" s="391"/>
      <c r="DR145" s="391"/>
      <c r="DS145" s="391"/>
      <c r="DT145" s="391"/>
      <c r="DU145" s="391"/>
      <c r="DV145" s="391"/>
      <c r="DW145" s="391"/>
      <c r="DX145" s="391"/>
      <c r="DY145" s="391"/>
      <c r="DZ145" s="391"/>
      <c r="EA145" s="391"/>
      <c r="EB145" s="391"/>
      <c r="EC145" s="391"/>
      <c r="ED145" s="391"/>
      <c r="EE145" s="391"/>
      <c r="EF145" s="391"/>
      <c r="EG145" s="391"/>
      <c r="EH145" s="391"/>
      <c r="EI145" s="391"/>
      <c r="EJ145" s="391"/>
      <c r="EK145" s="391"/>
      <c r="EL145" s="391"/>
      <c r="EM145" s="391"/>
      <c r="EN145" s="391"/>
      <c r="EO145" s="391"/>
      <c r="EP145" s="391"/>
      <c r="EQ145" s="391"/>
      <c r="ER145" s="391"/>
      <c r="ES145" s="391"/>
      <c r="ET145" s="391"/>
      <c r="EU145" s="391"/>
      <c r="EV145" s="391"/>
      <c r="EW145" s="391"/>
      <c r="EX145" s="391"/>
      <c r="EY145" s="391"/>
      <c r="EZ145" s="391"/>
      <c r="FA145" s="391"/>
      <c r="FB145" s="391"/>
      <c r="FC145" s="391"/>
      <c r="FD145" s="391"/>
      <c r="FE145" s="391"/>
      <c r="FF145" s="391"/>
      <c r="FG145" s="391"/>
      <c r="FH145" s="391"/>
      <c r="FI145" s="391"/>
      <c r="FJ145" s="391"/>
      <c r="FK145" s="391"/>
      <c r="FL145" s="391"/>
      <c r="FM145" s="391"/>
      <c r="FN145" s="391"/>
      <c r="FO145" s="391"/>
      <c r="FP145" s="391"/>
      <c r="FQ145" s="391"/>
      <c r="FR145" s="391"/>
      <c r="FS145" s="391"/>
      <c r="FT145" s="391"/>
      <c r="FU145" s="391"/>
      <c r="FV145" s="391"/>
      <c r="FW145" s="391"/>
      <c r="FX145" s="391"/>
      <c r="FY145" s="391"/>
      <c r="FZ145" s="391"/>
      <c r="GA145" s="391"/>
      <c r="GB145" s="391"/>
      <c r="GC145" s="391"/>
      <c r="GD145" s="391"/>
      <c r="GE145" s="391"/>
      <c r="GF145" s="391"/>
      <c r="GG145" s="391"/>
      <c r="GH145" s="391"/>
      <c r="GI145" s="391"/>
      <c r="GJ145" s="391"/>
      <c r="GK145" s="391"/>
      <c r="GL145" s="391"/>
      <c r="GM145" s="391"/>
      <c r="GN145" s="391"/>
      <c r="GO145" s="391"/>
      <c r="GP145" s="391"/>
      <c r="GQ145" s="391"/>
      <c r="GR145" s="391"/>
      <c r="GS145" s="391"/>
      <c r="GT145" s="391"/>
      <c r="GU145" s="391"/>
      <c r="GV145" s="391"/>
      <c r="GW145" s="391"/>
      <c r="GX145" s="391"/>
      <c r="GY145" s="391"/>
      <c r="GZ145" s="391"/>
      <c r="HA145" s="391"/>
      <c r="HB145" s="391"/>
      <c r="HC145" s="391"/>
      <c r="HD145" s="391"/>
      <c r="HE145" s="391"/>
      <c r="HF145" s="391"/>
      <c r="HG145" s="391"/>
      <c r="HH145" s="391"/>
      <c r="HI145" s="391"/>
      <c r="HJ145" s="391"/>
      <c r="HK145" s="391"/>
      <c r="HL145" s="391"/>
      <c r="HM145" s="391"/>
      <c r="HN145" s="391"/>
      <c r="HO145" s="391"/>
      <c r="HP145" s="391"/>
      <c r="HQ145" s="391"/>
      <c r="HR145" s="391"/>
      <c r="HS145" s="391"/>
      <c r="HT145" s="391"/>
      <c r="HU145" s="391"/>
      <c r="HV145" s="391"/>
      <c r="HW145" s="391"/>
      <c r="HX145" s="391"/>
      <c r="HY145" s="391"/>
      <c r="HZ145" s="391"/>
      <c r="IA145" s="391"/>
      <c r="IB145" s="391"/>
      <c r="IC145" s="391"/>
      <c r="ID145" s="391"/>
      <c r="IE145" s="391"/>
      <c r="IF145" s="391"/>
      <c r="IG145" s="391"/>
      <c r="IH145" s="391"/>
      <c r="II145" s="391"/>
      <c r="IJ145" s="391"/>
      <c r="IK145" s="391"/>
      <c r="IL145" s="391"/>
      <c r="IM145" s="391"/>
      <c r="IN145" s="391"/>
      <c r="IO145" s="391"/>
      <c r="IP145" s="391"/>
      <c r="IQ145" s="391"/>
      <c r="IR145" s="391"/>
      <c r="IS145" s="391"/>
      <c r="IT145" s="391"/>
      <c r="IU145" s="391"/>
      <c r="IV145" s="391"/>
      <c r="IW145" s="391"/>
      <c r="IX145" s="391"/>
      <c r="IY145" s="391"/>
      <c r="IZ145" s="391"/>
      <c r="JA145" s="391"/>
      <c r="JB145" s="391"/>
      <c r="JC145" s="391"/>
      <c r="JD145" s="391"/>
      <c r="JE145" s="391"/>
      <c r="JF145" s="391"/>
      <c r="JG145" s="391"/>
      <c r="JH145" s="391"/>
      <c r="JI145" s="393">
        <f t="shared" si="5"/>
        <v>0</v>
      </c>
      <c r="JJ145" s="2">
        <v>6396</v>
      </c>
      <c r="JK145" s="392">
        <f t="shared" si="6"/>
        <v>0</v>
      </c>
      <c r="JL145" s="391"/>
      <c r="JM145" s="392"/>
      <c r="JN145" s="392"/>
      <c r="JO145" s="392"/>
      <c r="JP145" s="392"/>
    </row>
    <row r="146" spans="1:276" x14ac:dyDescent="0.3">
      <c r="A146" s="391"/>
      <c r="B146" s="391"/>
      <c r="C146" s="391"/>
      <c r="D146" s="391"/>
      <c r="E146" s="391"/>
      <c r="F146" s="391"/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  <c r="W146" s="391"/>
      <c r="X146" s="391"/>
      <c r="Y146" s="391"/>
      <c r="Z146" s="391"/>
      <c r="AA146" s="391"/>
      <c r="AB146" s="391"/>
      <c r="AC146" s="391"/>
      <c r="AD146" s="391"/>
      <c r="AE146" s="391"/>
      <c r="AF146" s="391"/>
      <c r="AG146" s="391"/>
      <c r="AH146" s="391"/>
      <c r="AI146" s="391"/>
      <c r="AJ146" s="391"/>
      <c r="AK146" s="391"/>
      <c r="AL146" s="391"/>
      <c r="AM146" s="391"/>
      <c r="AN146" s="391"/>
      <c r="AO146" s="391"/>
      <c r="AP146" s="391"/>
      <c r="AQ146" s="391"/>
      <c r="AR146" s="391"/>
      <c r="AS146" s="391"/>
      <c r="AT146" s="391"/>
      <c r="AU146" s="391"/>
      <c r="AV146" s="391"/>
      <c r="AW146" s="391"/>
      <c r="AX146" s="391"/>
      <c r="AY146" s="391"/>
      <c r="AZ146" s="391"/>
      <c r="BA146" s="391"/>
      <c r="BB146" s="391"/>
      <c r="BC146" s="391"/>
      <c r="BD146" s="391"/>
      <c r="BE146" s="391"/>
      <c r="BF146" s="391"/>
      <c r="BG146" s="391"/>
      <c r="BH146" s="391"/>
      <c r="BI146" s="391"/>
      <c r="BJ146" s="391"/>
      <c r="BK146" s="391"/>
      <c r="BL146" s="391"/>
      <c r="BM146" s="391"/>
      <c r="BN146" s="391"/>
      <c r="BO146" s="391"/>
      <c r="BP146" s="391"/>
      <c r="BQ146" s="391"/>
      <c r="BR146" s="391"/>
      <c r="BS146" s="391"/>
      <c r="BT146" s="391"/>
      <c r="BU146" s="391"/>
      <c r="BV146" s="391"/>
      <c r="BW146" s="391"/>
      <c r="BX146" s="391"/>
      <c r="BY146" s="391"/>
      <c r="BZ146" s="391"/>
      <c r="CA146" s="391"/>
      <c r="CB146" s="391"/>
      <c r="CC146" s="391"/>
      <c r="CD146" s="391"/>
      <c r="CE146" s="391"/>
      <c r="CF146" s="391"/>
      <c r="CG146" s="391"/>
      <c r="CH146" s="391"/>
      <c r="CI146" s="391"/>
      <c r="CJ146" s="391"/>
      <c r="CK146" s="391"/>
      <c r="CL146" s="391"/>
      <c r="CM146" s="391"/>
      <c r="CN146" s="391"/>
      <c r="CO146" s="391"/>
      <c r="CP146" s="391"/>
      <c r="CQ146" s="391"/>
      <c r="CR146" s="391"/>
      <c r="CS146" s="391"/>
      <c r="CT146" s="391"/>
      <c r="CU146" s="391"/>
      <c r="CV146" s="391"/>
      <c r="CW146" s="391"/>
      <c r="CX146" s="391"/>
      <c r="CY146" s="391"/>
      <c r="CZ146" s="391"/>
      <c r="DA146" s="391"/>
      <c r="DB146" s="391"/>
      <c r="DC146" s="391"/>
      <c r="DD146" s="391"/>
      <c r="DE146" s="391"/>
      <c r="DF146" s="391"/>
      <c r="DG146" s="391"/>
      <c r="DH146" s="391"/>
      <c r="DI146" s="391"/>
      <c r="DJ146" s="391"/>
      <c r="DK146" s="391"/>
      <c r="DL146" s="391"/>
      <c r="DM146" s="391"/>
      <c r="DN146" s="391"/>
      <c r="DO146" s="391"/>
      <c r="DP146" s="391"/>
      <c r="DQ146" s="391"/>
      <c r="DR146" s="391"/>
      <c r="DS146" s="391"/>
      <c r="DT146" s="391"/>
      <c r="DU146" s="391"/>
      <c r="DV146" s="391"/>
      <c r="DW146" s="391"/>
      <c r="DX146" s="391"/>
      <c r="DY146" s="391"/>
      <c r="DZ146" s="391"/>
      <c r="EA146" s="391"/>
      <c r="EB146" s="391"/>
      <c r="EC146" s="391"/>
      <c r="ED146" s="391"/>
      <c r="EE146" s="391"/>
      <c r="EF146" s="391"/>
      <c r="EG146" s="391"/>
      <c r="EH146" s="391"/>
      <c r="EI146" s="391"/>
      <c r="EJ146" s="391"/>
      <c r="EK146" s="391"/>
      <c r="EL146" s="391"/>
      <c r="EM146" s="391"/>
      <c r="EN146" s="391"/>
      <c r="EO146" s="391"/>
      <c r="EP146" s="391"/>
      <c r="EQ146" s="391"/>
      <c r="ER146" s="391"/>
      <c r="ES146" s="391"/>
      <c r="ET146" s="391"/>
      <c r="EU146" s="391"/>
      <c r="EV146" s="391"/>
      <c r="EW146" s="391"/>
      <c r="EX146" s="391"/>
      <c r="EY146" s="391"/>
      <c r="EZ146" s="391"/>
      <c r="FA146" s="391"/>
      <c r="FB146" s="391"/>
      <c r="FC146" s="391"/>
      <c r="FD146" s="391"/>
      <c r="FE146" s="391"/>
      <c r="FF146" s="391"/>
      <c r="FG146" s="391"/>
      <c r="FH146" s="391"/>
      <c r="FI146" s="391"/>
      <c r="FJ146" s="391"/>
      <c r="FK146" s="391"/>
      <c r="FL146" s="391"/>
      <c r="FM146" s="391"/>
      <c r="FN146" s="391"/>
      <c r="FO146" s="391"/>
      <c r="FP146" s="391"/>
      <c r="FQ146" s="391"/>
      <c r="FR146" s="391"/>
      <c r="FS146" s="391"/>
      <c r="FT146" s="391"/>
      <c r="FU146" s="391"/>
      <c r="FV146" s="391"/>
      <c r="FW146" s="391"/>
      <c r="FX146" s="391"/>
      <c r="FY146" s="391"/>
      <c r="FZ146" s="391"/>
      <c r="GA146" s="391"/>
      <c r="GB146" s="391"/>
      <c r="GC146" s="391"/>
      <c r="GD146" s="391"/>
      <c r="GE146" s="391"/>
      <c r="GF146" s="391"/>
      <c r="GG146" s="391"/>
      <c r="GH146" s="391"/>
      <c r="GI146" s="391"/>
      <c r="GJ146" s="391"/>
      <c r="GK146" s="391"/>
      <c r="GL146" s="391"/>
      <c r="GM146" s="391"/>
      <c r="GN146" s="391"/>
      <c r="GO146" s="391"/>
      <c r="GP146" s="391"/>
      <c r="GQ146" s="391"/>
      <c r="GR146" s="391"/>
      <c r="GS146" s="391"/>
      <c r="GT146" s="391"/>
      <c r="GU146" s="391"/>
      <c r="GV146" s="391"/>
      <c r="GW146" s="391"/>
      <c r="GX146" s="391"/>
      <c r="GY146" s="391"/>
      <c r="GZ146" s="391"/>
      <c r="HA146" s="391"/>
      <c r="HB146" s="391"/>
      <c r="HC146" s="391"/>
      <c r="HD146" s="391"/>
      <c r="HE146" s="391"/>
      <c r="HF146" s="391"/>
      <c r="HG146" s="391"/>
      <c r="HH146" s="391"/>
      <c r="HI146" s="391"/>
      <c r="HJ146" s="391"/>
      <c r="HK146" s="391"/>
      <c r="HL146" s="391"/>
      <c r="HM146" s="391"/>
      <c r="HN146" s="391"/>
      <c r="HO146" s="391"/>
      <c r="HP146" s="391"/>
      <c r="HQ146" s="391"/>
      <c r="HR146" s="391"/>
      <c r="HS146" s="391"/>
      <c r="HT146" s="391"/>
      <c r="HU146" s="391"/>
      <c r="HV146" s="391"/>
      <c r="HW146" s="391"/>
      <c r="HX146" s="391"/>
      <c r="HY146" s="391"/>
      <c r="HZ146" s="391"/>
      <c r="IA146" s="391"/>
      <c r="IB146" s="391"/>
      <c r="IC146" s="391"/>
      <c r="ID146" s="391"/>
      <c r="IE146" s="391"/>
      <c r="IF146" s="391"/>
      <c r="IG146" s="391"/>
      <c r="IH146" s="391"/>
      <c r="II146" s="391"/>
      <c r="IJ146" s="391"/>
      <c r="IK146" s="391"/>
      <c r="IL146" s="391"/>
      <c r="IM146" s="391"/>
      <c r="IN146" s="391"/>
      <c r="IO146" s="391"/>
      <c r="IP146" s="391"/>
      <c r="IQ146" s="391"/>
      <c r="IR146" s="391"/>
      <c r="IS146" s="391"/>
      <c r="IT146" s="391"/>
      <c r="IU146" s="391"/>
      <c r="IV146" s="391"/>
      <c r="IW146" s="391"/>
      <c r="IX146" s="391"/>
      <c r="IY146" s="391"/>
      <c r="IZ146" s="391"/>
      <c r="JA146" s="391"/>
      <c r="JB146" s="391"/>
      <c r="JC146" s="391"/>
      <c r="JD146" s="391"/>
      <c r="JE146" s="391"/>
      <c r="JF146" s="391"/>
      <c r="JG146" s="391"/>
      <c r="JH146" s="391"/>
      <c r="JI146" s="393">
        <f t="shared" si="5"/>
        <v>0</v>
      </c>
      <c r="JJ146" s="2">
        <v>6401</v>
      </c>
      <c r="JK146" s="392">
        <f t="shared" si="6"/>
        <v>0</v>
      </c>
      <c r="JL146" s="391"/>
      <c r="JM146" s="392"/>
      <c r="JN146" s="392"/>
      <c r="JO146" s="392"/>
      <c r="JP146" s="392"/>
    </row>
    <row r="147" spans="1:276" x14ac:dyDescent="0.3">
      <c r="A147" s="391"/>
      <c r="B147" s="391"/>
      <c r="C147" s="391"/>
      <c r="D147" s="391"/>
      <c r="E147" s="391"/>
      <c r="F147" s="391"/>
      <c r="G147" s="391"/>
      <c r="H147" s="391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  <c r="W147" s="391"/>
      <c r="X147" s="391"/>
      <c r="Y147" s="391"/>
      <c r="Z147" s="391"/>
      <c r="AA147" s="391"/>
      <c r="AB147" s="391"/>
      <c r="AC147" s="391"/>
      <c r="AD147" s="391"/>
      <c r="AE147" s="391"/>
      <c r="AF147" s="391"/>
      <c r="AG147" s="391"/>
      <c r="AH147" s="391"/>
      <c r="AI147" s="391"/>
      <c r="AJ147" s="391"/>
      <c r="AK147" s="391"/>
      <c r="AL147" s="391"/>
      <c r="AM147" s="391"/>
      <c r="AN147" s="391"/>
      <c r="AO147" s="391"/>
      <c r="AP147" s="391"/>
      <c r="AQ147" s="391"/>
      <c r="AR147" s="391"/>
      <c r="AS147" s="391"/>
      <c r="AT147" s="391"/>
      <c r="AU147" s="391"/>
      <c r="AV147" s="391"/>
      <c r="AW147" s="391"/>
      <c r="AX147" s="391"/>
      <c r="AY147" s="391"/>
      <c r="AZ147" s="391"/>
      <c r="BA147" s="391"/>
      <c r="BB147" s="391"/>
      <c r="BC147" s="391"/>
      <c r="BD147" s="391"/>
      <c r="BE147" s="391"/>
      <c r="BF147" s="391"/>
      <c r="BG147" s="391"/>
      <c r="BH147" s="391"/>
      <c r="BI147" s="391"/>
      <c r="BJ147" s="391"/>
      <c r="BK147" s="391"/>
      <c r="BL147" s="391"/>
      <c r="BM147" s="391"/>
      <c r="BN147" s="391"/>
      <c r="BO147" s="391"/>
      <c r="BP147" s="391"/>
      <c r="BQ147" s="391"/>
      <c r="BR147" s="391"/>
      <c r="BS147" s="391"/>
      <c r="BT147" s="391"/>
      <c r="BU147" s="391"/>
      <c r="BV147" s="391"/>
      <c r="BW147" s="391"/>
      <c r="BX147" s="391"/>
      <c r="BY147" s="391"/>
      <c r="BZ147" s="391"/>
      <c r="CA147" s="391"/>
      <c r="CB147" s="391"/>
      <c r="CC147" s="391"/>
      <c r="CD147" s="391"/>
      <c r="CE147" s="391"/>
      <c r="CF147" s="391"/>
      <c r="CG147" s="391"/>
      <c r="CH147" s="391"/>
      <c r="CI147" s="391"/>
      <c r="CJ147" s="391"/>
      <c r="CK147" s="391"/>
      <c r="CL147" s="391"/>
      <c r="CM147" s="391"/>
      <c r="CN147" s="391"/>
      <c r="CO147" s="391"/>
      <c r="CP147" s="391"/>
      <c r="CQ147" s="391"/>
      <c r="CR147" s="391"/>
      <c r="CS147" s="391"/>
      <c r="CT147" s="391"/>
      <c r="CU147" s="391"/>
      <c r="CV147" s="391"/>
      <c r="CW147" s="391"/>
      <c r="CX147" s="391"/>
      <c r="CY147" s="391"/>
      <c r="CZ147" s="391"/>
      <c r="DA147" s="391"/>
      <c r="DB147" s="391"/>
      <c r="DC147" s="391"/>
      <c r="DD147" s="391"/>
      <c r="DE147" s="391"/>
      <c r="DF147" s="391"/>
      <c r="DG147" s="391"/>
      <c r="DH147" s="391"/>
      <c r="DI147" s="391"/>
      <c r="DJ147" s="391"/>
      <c r="DK147" s="391"/>
      <c r="DL147" s="391"/>
      <c r="DM147" s="391"/>
      <c r="DN147" s="391"/>
      <c r="DO147" s="391"/>
      <c r="DP147" s="391"/>
      <c r="DQ147" s="391"/>
      <c r="DR147" s="391"/>
      <c r="DS147" s="391"/>
      <c r="DT147" s="391"/>
      <c r="DU147" s="391"/>
      <c r="DV147" s="391"/>
      <c r="DW147" s="391"/>
      <c r="DX147" s="391"/>
      <c r="DY147" s="391"/>
      <c r="DZ147" s="391"/>
      <c r="EA147" s="391"/>
      <c r="EB147" s="391"/>
      <c r="EC147" s="391"/>
      <c r="ED147" s="391"/>
      <c r="EE147" s="391"/>
      <c r="EF147" s="391"/>
      <c r="EG147" s="391"/>
      <c r="EH147" s="391"/>
      <c r="EI147" s="391"/>
      <c r="EJ147" s="391"/>
      <c r="EK147" s="391"/>
      <c r="EL147" s="391"/>
      <c r="EM147" s="391"/>
      <c r="EN147" s="391"/>
      <c r="EO147" s="391"/>
      <c r="EP147" s="391"/>
      <c r="EQ147" s="391"/>
      <c r="ER147" s="391"/>
      <c r="ES147" s="391"/>
      <c r="ET147" s="391"/>
      <c r="EU147" s="391"/>
      <c r="EV147" s="391"/>
      <c r="EW147" s="391"/>
      <c r="EX147" s="391"/>
      <c r="EY147" s="391"/>
      <c r="EZ147" s="391"/>
      <c r="FA147" s="391"/>
      <c r="FB147" s="391"/>
      <c r="FC147" s="391"/>
      <c r="FD147" s="391"/>
      <c r="FE147" s="391"/>
      <c r="FF147" s="391"/>
      <c r="FG147" s="391"/>
      <c r="FH147" s="391"/>
      <c r="FI147" s="391"/>
      <c r="FJ147" s="391"/>
      <c r="FK147" s="391"/>
      <c r="FL147" s="391"/>
      <c r="FM147" s="391"/>
      <c r="FN147" s="391"/>
      <c r="FO147" s="391"/>
      <c r="FP147" s="391"/>
      <c r="FQ147" s="391"/>
      <c r="FR147" s="391"/>
      <c r="FS147" s="391"/>
      <c r="FT147" s="391"/>
      <c r="FU147" s="391"/>
      <c r="FV147" s="391"/>
      <c r="FW147" s="391"/>
      <c r="FX147" s="391"/>
      <c r="FY147" s="391"/>
      <c r="FZ147" s="391"/>
      <c r="GA147" s="391"/>
      <c r="GB147" s="391"/>
      <c r="GC147" s="391"/>
      <c r="GD147" s="391"/>
      <c r="GE147" s="391"/>
      <c r="GF147" s="391"/>
      <c r="GG147" s="391"/>
      <c r="GH147" s="391"/>
      <c r="GI147" s="391"/>
      <c r="GJ147" s="391"/>
      <c r="GK147" s="391"/>
      <c r="GL147" s="391"/>
      <c r="GM147" s="391"/>
      <c r="GN147" s="391"/>
      <c r="GO147" s="391"/>
      <c r="GP147" s="391"/>
      <c r="GQ147" s="391"/>
      <c r="GR147" s="391"/>
      <c r="GS147" s="391"/>
      <c r="GT147" s="391"/>
      <c r="GU147" s="391"/>
      <c r="GV147" s="391"/>
      <c r="GW147" s="391"/>
      <c r="GX147" s="391"/>
      <c r="GY147" s="391"/>
      <c r="GZ147" s="391"/>
      <c r="HA147" s="391"/>
      <c r="HB147" s="391"/>
      <c r="HC147" s="391"/>
      <c r="HD147" s="391"/>
      <c r="HE147" s="391"/>
      <c r="HF147" s="391"/>
      <c r="HG147" s="391"/>
      <c r="HH147" s="391"/>
      <c r="HI147" s="391"/>
      <c r="HJ147" s="391"/>
      <c r="HK147" s="391"/>
      <c r="HL147" s="391"/>
      <c r="HM147" s="391"/>
      <c r="HN147" s="391"/>
      <c r="HO147" s="391"/>
      <c r="HP147" s="391"/>
      <c r="HQ147" s="391"/>
      <c r="HR147" s="391"/>
      <c r="HS147" s="391"/>
      <c r="HT147" s="391"/>
      <c r="HU147" s="391"/>
      <c r="HV147" s="391"/>
      <c r="HW147" s="391"/>
      <c r="HX147" s="391"/>
      <c r="HY147" s="391"/>
      <c r="HZ147" s="391"/>
      <c r="IA147" s="391"/>
      <c r="IB147" s="391"/>
      <c r="IC147" s="391"/>
      <c r="ID147" s="391"/>
      <c r="IE147" s="391"/>
      <c r="IF147" s="391"/>
      <c r="IG147" s="391"/>
      <c r="IH147" s="391"/>
      <c r="II147" s="391"/>
      <c r="IJ147" s="391"/>
      <c r="IK147" s="391"/>
      <c r="IL147" s="391"/>
      <c r="IM147" s="391"/>
      <c r="IN147" s="391"/>
      <c r="IO147" s="391"/>
      <c r="IP147" s="391"/>
      <c r="IQ147" s="391"/>
      <c r="IR147" s="391"/>
      <c r="IS147" s="391"/>
      <c r="IT147" s="391"/>
      <c r="IU147" s="391"/>
      <c r="IV147" s="391"/>
      <c r="IW147" s="391"/>
      <c r="IX147" s="391"/>
      <c r="IY147" s="391"/>
      <c r="IZ147" s="391"/>
      <c r="JA147" s="391"/>
      <c r="JB147" s="391"/>
      <c r="JC147" s="391"/>
      <c r="JD147" s="391"/>
      <c r="JE147" s="391"/>
      <c r="JF147" s="391"/>
      <c r="JG147" s="391"/>
      <c r="JH147" s="391"/>
      <c r="JI147" s="393">
        <f t="shared" si="5"/>
        <v>0</v>
      </c>
      <c r="JJ147" s="2">
        <v>6402</v>
      </c>
      <c r="JK147" s="392">
        <f t="shared" si="6"/>
        <v>0</v>
      </c>
      <c r="JL147" s="391"/>
      <c r="JM147" s="392"/>
      <c r="JN147" s="392"/>
      <c r="JO147" s="392"/>
      <c r="JP147" s="392"/>
    </row>
    <row r="148" spans="1:276" x14ac:dyDescent="0.3">
      <c r="A148" s="391"/>
      <c r="B148" s="391"/>
      <c r="C148" s="391"/>
      <c r="D148" s="391"/>
      <c r="E148" s="391"/>
      <c r="F148" s="391"/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  <c r="W148" s="391"/>
      <c r="X148" s="391"/>
      <c r="Y148" s="391"/>
      <c r="Z148" s="391"/>
      <c r="AA148" s="391"/>
      <c r="AB148" s="391"/>
      <c r="AC148" s="391"/>
      <c r="AD148" s="391"/>
      <c r="AE148" s="391"/>
      <c r="AF148" s="391"/>
      <c r="AG148" s="391"/>
      <c r="AH148" s="391"/>
      <c r="AI148" s="391"/>
      <c r="AJ148" s="391"/>
      <c r="AK148" s="391"/>
      <c r="AL148" s="391"/>
      <c r="AM148" s="391"/>
      <c r="AN148" s="391"/>
      <c r="AO148" s="391"/>
      <c r="AP148" s="391"/>
      <c r="AQ148" s="391"/>
      <c r="AR148" s="391"/>
      <c r="AS148" s="391"/>
      <c r="AT148" s="391"/>
      <c r="AU148" s="391"/>
      <c r="AV148" s="391"/>
      <c r="AW148" s="391"/>
      <c r="AX148" s="391"/>
      <c r="AY148" s="391"/>
      <c r="AZ148" s="391"/>
      <c r="BA148" s="391"/>
      <c r="BB148" s="391"/>
      <c r="BC148" s="391"/>
      <c r="BD148" s="391"/>
      <c r="BE148" s="391"/>
      <c r="BF148" s="391"/>
      <c r="BG148" s="391"/>
      <c r="BH148" s="391"/>
      <c r="BI148" s="391"/>
      <c r="BJ148" s="391"/>
      <c r="BK148" s="391"/>
      <c r="BL148" s="391"/>
      <c r="BM148" s="391"/>
      <c r="BN148" s="391"/>
      <c r="BO148" s="391"/>
      <c r="BP148" s="391"/>
      <c r="BQ148" s="391"/>
      <c r="BR148" s="391"/>
      <c r="BS148" s="391"/>
      <c r="BT148" s="391"/>
      <c r="BU148" s="391"/>
      <c r="BV148" s="391"/>
      <c r="BW148" s="391"/>
      <c r="BX148" s="391"/>
      <c r="BY148" s="391"/>
      <c r="BZ148" s="391"/>
      <c r="CA148" s="391"/>
      <c r="CB148" s="391"/>
      <c r="CC148" s="391"/>
      <c r="CD148" s="391"/>
      <c r="CE148" s="391"/>
      <c r="CF148" s="391"/>
      <c r="CG148" s="391"/>
      <c r="CH148" s="391"/>
      <c r="CI148" s="391"/>
      <c r="CJ148" s="391"/>
      <c r="CK148" s="391"/>
      <c r="CL148" s="391"/>
      <c r="CM148" s="391"/>
      <c r="CN148" s="391"/>
      <c r="CO148" s="391"/>
      <c r="CP148" s="391"/>
      <c r="CQ148" s="391"/>
      <c r="CR148" s="391"/>
      <c r="CS148" s="391"/>
      <c r="CT148" s="391"/>
      <c r="CU148" s="391"/>
      <c r="CV148" s="391"/>
      <c r="CW148" s="391"/>
      <c r="CX148" s="391"/>
      <c r="CY148" s="391"/>
      <c r="CZ148" s="391"/>
      <c r="DA148" s="391"/>
      <c r="DB148" s="391"/>
      <c r="DC148" s="391"/>
      <c r="DD148" s="391"/>
      <c r="DE148" s="391"/>
      <c r="DF148" s="391"/>
      <c r="DG148" s="391"/>
      <c r="DH148" s="391"/>
      <c r="DI148" s="391"/>
      <c r="DJ148" s="391"/>
      <c r="DK148" s="391"/>
      <c r="DL148" s="391"/>
      <c r="DM148" s="391"/>
      <c r="DN148" s="391"/>
      <c r="DO148" s="391"/>
      <c r="DP148" s="391"/>
      <c r="DQ148" s="391"/>
      <c r="DR148" s="391"/>
      <c r="DS148" s="391"/>
      <c r="DT148" s="391"/>
      <c r="DU148" s="391"/>
      <c r="DV148" s="391"/>
      <c r="DW148" s="391"/>
      <c r="DX148" s="391"/>
      <c r="DY148" s="391"/>
      <c r="DZ148" s="391"/>
      <c r="EA148" s="391"/>
      <c r="EB148" s="391"/>
      <c r="EC148" s="391"/>
      <c r="ED148" s="391"/>
      <c r="EE148" s="391"/>
      <c r="EF148" s="391"/>
      <c r="EG148" s="391"/>
      <c r="EH148" s="391"/>
      <c r="EI148" s="391"/>
      <c r="EJ148" s="391"/>
      <c r="EK148" s="391"/>
      <c r="EL148" s="391"/>
      <c r="EM148" s="391"/>
      <c r="EN148" s="391"/>
      <c r="EO148" s="391"/>
      <c r="EP148" s="391"/>
      <c r="EQ148" s="391"/>
      <c r="ER148" s="391"/>
      <c r="ES148" s="391"/>
      <c r="ET148" s="391"/>
      <c r="EU148" s="391"/>
      <c r="EV148" s="391"/>
      <c r="EW148" s="391"/>
      <c r="EX148" s="391"/>
      <c r="EY148" s="391"/>
      <c r="EZ148" s="391"/>
      <c r="FA148" s="391"/>
      <c r="FB148" s="391"/>
      <c r="FC148" s="391"/>
      <c r="FD148" s="391"/>
      <c r="FE148" s="391"/>
      <c r="FF148" s="391"/>
      <c r="FG148" s="391"/>
      <c r="FH148" s="391"/>
      <c r="FI148" s="391"/>
      <c r="FJ148" s="391"/>
      <c r="FK148" s="391"/>
      <c r="FL148" s="391"/>
      <c r="FM148" s="391"/>
      <c r="FN148" s="391"/>
      <c r="FO148" s="391"/>
      <c r="FP148" s="391"/>
      <c r="FQ148" s="391"/>
      <c r="FR148" s="391"/>
      <c r="FS148" s="391"/>
      <c r="FT148" s="391"/>
      <c r="FU148" s="391"/>
      <c r="FV148" s="391"/>
      <c r="FW148" s="391"/>
      <c r="FX148" s="391"/>
      <c r="FY148" s="391"/>
      <c r="FZ148" s="391"/>
      <c r="GA148" s="391"/>
      <c r="GB148" s="391"/>
      <c r="GC148" s="391"/>
      <c r="GD148" s="391"/>
      <c r="GE148" s="391"/>
      <c r="GF148" s="391"/>
      <c r="GG148" s="391"/>
      <c r="GH148" s="391"/>
      <c r="GI148" s="391"/>
      <c r="GJ148" s="391"/>
      <c r="GK148" s="391"/>
      <c r="GL148" s="391"/>
      <c r="GM148" s="391"/>
      <c r="GN148" s="391"/>
      <c r="GO148" s="391"/>
      <c r="GP148" s="391"/>
      <c r="GQ148" s="391"/>
      <c r="GR148" s="391"/>
      <c r="GS148" s="391"/>
      <c r="GT148" s="391"/>
      <c r="GU148" s="391"/>
      <c r="GV148" s="391"/>
      <c r="GW148" s="391"/>
      <c r="GX148" s="391"/>
      <c r="GY148" s="391"/>
      <c r="GZ148" s="391"/>
      <c r="HA148" s="391"/>
      <c r="HB148" s="391"/>
      <c r="HC148" s="391"/>
      <c r="HD148" s="391"/>
      <c r="HE148" s="391"/>
      <c r="HF148" s="391"/>
      <c r="HG148" s="391"/>
      <c r="HH148" s="391"/>
      <c r="HI148" s="391"/>
      <c r="HJ148" s="391"/>
      <c r="HK148" s="391"/>
      <c r="HL148" s="391"/>
      <c r="HM148" s="391"/>
      <c r="HN148" s="391"/>
      <c r="HO148" s="391"/>
      <c r="HP148" s="391"/>
      <c r="HQ148" s="391"/>
      <c r="HR148" s="391"/>
      <c r="HS148" s="391"/>
      <c r="HT148" s="391"/>
      <c r="HU148" s="391"/>
      <c r="HV148" s="391"/>
      <c r="HW148" s="391"/>
      <c r="HX148" s="391"/>
      <c r="HY148" s="391"/>
      <c r="HZ148" s="391"/>
      <c r="IA148" s="391"/>
      <c r="IB148" s="391"/>
      <c r="IC148" s="391"/>
      <c r="ID148" s="391"/>
      <c r="IE148" s="391"/>
      <c r="IF148" s="391"/>
      <c r="IG148" s="391"/>
      <c r="IH148" s="391"/>
      <c r="II148" s="391"/>
      <c r="IJ148" s="391"/>
      <c r="IK148" s="391"/>
      <c r="IL148" s="391"/>
      <c r="IM148" s="391"/>
      <c r="IN148" s="391"/>
      <c r="IO148" s="391"/>
      <c r="IP148" s="391"/>
      <c r="IQ148" s="391"/>
      <c r="IR148" s="391"/>
      <c r="IS148" s="391"/>
      <c r="IT148" s="391"/>
      <c r="IU148" s="391"/>
      <c r="IV148" s="391"/>
      <c r="IW148" s="391"/>
      <c r="IX148" s="391"/>
      <c r="IY148" s="391"/>
      <c r="IZ148" s="391"/>
      <c r="JA148" s="391"/>
      <c r="JB148" s="391"/>
      <c r="JC148" s="391"/>
      <c r="JD148" s="391"/>
      <c r="JE148" s="391"/>
      <c r="JF148" s="391"/>
      <c r="JG148" s="391"/>
      <c r="JH148" s="391"/>
      <c r="JI148" s="393">
        <f t="shared" si="5"/>
        <v>0</v>
      </c>
      <c r="JJ148" s="2">
        <v>6406</v>
      </c>
      <c r="JK148" s="392">
        <f t="shared" si="6"/>
        <v>0</v>
      </c>
      <c r="JL148" s="391"/>
      <c r="JM148" s="392"/>
      <c r="JN148" s="392"/>
      <c r="JO148" s="392"/>
      <c r="JP148" s="392"/>
    </row>
    <row r="149" spans="1:276" x14ac:dyDescent="0.3">
      <c r="A149" s="391"/>
      <c r="B149" s="391"/>
      <c r="C149" s="391"/>
      <c r="D149" s="391"/>
      <c r="E149" s="391"/>
      <c r="F149" s="391"/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  <c r="X149" s="391"/>
      <c r="Y149" s="391"/>
      <c r="Z149" s="391"/>
      <c r="AA149" s="391"/>
      <c r="AB149" s="391"/>
      <c r="AC149" s="391"/>
      <c r="AD149" s="391"/>
      <c r="AE149" s="391"/>
      <c r="AF149" s="391"/>
      <c r="AG149" s="391"/>
      <c r="AH149" s="391"/>
      <c r="AI149" s="391"/>
      <c r="AJ149" s="391"/>
      <c r="AK149" s="391"/>
      <c r="AL149" s="391"/>
      <c r="AM149" s="391"/>
      <c r="AN149" s="391"/>
      <c r="AO149" s="391"/>
      <c r="AP149" s="391"/>
      <c r="AQ149" s="391"/>
      <c r="AR149" s="391"/>
      <c r="AS149" s="391"/>
      <c r="AT149" s="391"/>
      <c r="AU149" s="391"/>
      <c r="AV149" s="391"/>
      <c r="AW149" s="391"/>
      <c r="AX149" s="391"/>
      <c r="AY149" s="391"/>
      <c r="AZ149" s="391"/>
      <c r="BA149" s="391"/>
      <c r="BB149" s="391"/>
      <c r="BC149" s="391"/>
      <c r="BD149" s="391"/>
      <c r="BE149" s="391"/>
      <c r="BF149" s="391"/>
      <c r="BG149" s="391"/>
      <c r="BH149" s="391"/>
      <c r="BI149" s="391"/>
      <c r="BJ149" s="391"/>
      <c r="BK149" s="391"/>
      <c r="BL149" s="391"/>
      <c r="BM149" s="391"/>
      <c r="BN149" s="391"/>
      <c r="BO149" s="391"/>
      <c r="BP149" s="391"/>
      <c r="BQ149" s="391"/>
      <c r="BR149" s="391"/>
      <c r="BS149" s="391"/>
      <c r="BT149" s="391"/>
      <c r="BU149" s="391"/>
      <c r="BV149" s="391"/>
      <c r="BW149" s="391"/>
      <c r="BX149" s="391"/>
      <c r="BY149" s="391"/>
      <c r="BZ149" s="391"/>
      <c r="CA149" s="391"/>
      <c r="CB149" s="391"/>
      <c r="CC149" s="391"/>
      <c r="CD149" s="391"/>
      <c r="CE149" s="391"/>
      <c r="CF149" s="391"/>
      <c r="CG149" s="391"/>
      <c r="CH149" s="391"/>
      <c r="CI149" s="391"/>
      <c r="CJ149" s="391"/>
      <c r="CK149" s="391"/>
      <c r="CL149" s="391"/>
      <c r="CM149" s="391"/>
      <c r="CN149" s="391"/>
      <c r="CO149" s="391"/>
      <c r="CP149" s="391"/>
      <c r="CQ149" s="391"/>
      <c r="CR149" s="391"/>
      <c r="CS149" s="391"/>
      <c r="CT149" s="391"/>
      <c r="CU149" s="391"/>
      <c r="CV149" s="391"/>
      <c r="CW149" s="391"/>
      <c r="CX149" s="391"/>
      <c r="CY149" s="391"/>
      <c r="CZ149" s="391"/>
      <c r="DA149" s="391"/>
      <c r="DB149" s="391"/>
      <c r="DC149" s="391"/>
      <c r="DD149" s="391"/>
      <c r="DE149" s="391"/>
      <c r="DF149" s="391"/>
      <c r="DG149" s="391"/>
      <c r="DH149" s="391"/>
      <c r="DI149" s="391"/>
      <c r="DJ149" s="391"/>
      <c r="DK149" s="391"/>
      <c r="DL149" s="391"/>
      <c r="DM149" s="391"/>
      <c r="DN149" s="391"/>
      <c r="DO149" s="391"/>
      <c r="DP149" s="391"/>
      <c r="DQ149" s="391"/>
      <c r="DR149" s="391"/>
      <c r="DS149" s="391"/>
      <c r="DT149" s="391"/>
      <c r="DU149" s="391"/>
      <c r="DV149" s="391"/>
      <c r="DW149" s="391"/>
      <c r="DX149" s="391"/>
      <c r="DY149" s="391"/>
      <c r="DZ149" s="391"/>
      <c r="EA149" s="391"/>
      <c r="EB149" s="391"/>
      <c r="EC149" s="391"/>
      <c r="ED149" s="391"/>
      <c r="EE149" s="391"/>
      <c r="EF149" s="391"/>
      <c r="EG149" s="391"/>
      <c r="EH149" s="391"/>
      <c r="EI149" s="391"/>
      <c r="EJ149" s="391"/>
      <c r="EK149" s="391"/>
      <c r="EL149" s="391"/>
      <c r="EM149" s="391"/>
      <c r="EN149" s="391"/>
      <c r="EO149" s="391"/>
      <c r="EP149" s="391"/>
      <c r="EQ149" s="391"/>
      <c r="ER149" s="391"/>
      <c r="ES149" s="391"/>
      <c r="ET149" s="391"/>
      <c r="EU149" s="391"/>
      <c r="EV149" s="391"/>
      <c r="EW149" s="391"/>
      <c r="EX149" s="391"/>
      <c r="EY149" s="391"/>
      <c r="EZ149" s="391"/>
      <c r="FA149" s="391"/>
      <c r="FB149" s="391"/>
      <c r="FC149" s="391"/>
      <c r="FD149" s="391"/>
      <c r="FE149" s="391"/>
      <c r="FF149" s="391"/>
      <c r="FG149" s="391"/>
      <c r="FH149" s="391"/>
      <c r="FI149" s="391"/>
      <c r="FJ149" s="391"/>
      <c r="FK149" s="391"/>
      <c r="FL149" s="391"/>
      <c r="FM149" s="391"/>
      <c r="FN149" s="391"/>
      <c r="FO149" s="391"/>
      <c r="FP149" s="391"/>
      <c r="FQ149" s="391"/>
      <c r="FR149" s="391"/>
      <c r="FS149" s="391"/>
      <c r="FT149" s="391"/>
      <c r="FU149" s="391"/>
      <c r="FV149" s="391"/>
      <c r="FW149" s="391"/>
      <c r="FX149" s="391"/>
      <c r="FY149" s="391"/>
      <c r="FZ149" s="391"/>
      <c r="GA149" s="391"/>
      <c r="GB149" s="391"/>
      <c r="GC149" s="391"/>
      <c r="GD149" s="391"/>
      <c r="GE149" s="391"/>
      <c r="GF149" s="391"/>
      <c r="GG149" s="391"/>
      <c r="GH149" s="391"/>
      <c r="GI149" s="391"/>
      <c r="GJ149" s="391"/>
      <c r="GK149" s="391"/>
      <c r="GL149" s="391"/>
      <c r="GM149" s="391"/>
      <c r="GN149" s="391"/>
      <c r="GO149" s="391"/>
      <c r="GP149" s="391"/>
      <c r="GQ149" s="391"/>
      <c r="GR149" s="391"/>
      <c r="GS149" s="391"/>
      <c r="GT149" s="391"/>
      <c r="GU149" s="391"/>
      <c r="GV149" s="391"/>
      <c r="GW149" s="391"/>
      <c r="GX149" s="391"/>
      <c r="GY149" s="391"/>
      <c r="GZ149" s="391"/>
      <c r="HA149" s="391"/>
      <c r="HB149" s="391"/>
      <c r="HC149" s="391"/>
      <c r="HD149" s="391"/>
      <c r="HE149" s="391"/>
      <c r="HF149" s="391"/>
      <c r="HG149" s="391"/>
      <c r="HH149" s="391"/>
      <c r="HI149" s="391"/>
      <c r="HJ149" s="391"/>
      <c r="HK149" s="391"/>
      <c r="HL149" s="391"/>
      <c r="HM149" s="391"/>
      <c r="HN149" s="391"/>
      <c r="HO149" s="391"/>
      <c r="HP149" s="391"/>
      <c r="HQ149" s="391"/>
      <c r="HR149" s="391"/>
      <c r="HS149" s="391"/>
      <c r="HT149" s="391"/>
      <c r="HU149" s="391"/>
      <c r="HV149" s="391"/>
      <c r="HW149" s="391"/>
      <c r="HX149" s="391"/>
      <c r="HY149" s="391"/>
      <c r="HZ149" s="391"/>
      <c r="IA149" s="391"/>
      <c r="IB149" s="391"/>
      <c r="IC149" s="391"/>
      <c r="ID149" s="391"/>
      <c r="IE149" s="391"/>
      <c r="IF149" s="391"/>
      <c r="IG149" s="391"/>
      <c r="IH149" s="391"/>
      <c r="II149" s="391"/>
      <c r="IJ149" s="391"/>
      <c r="IK149" s="391"/>
      <c r="IL149" s="391"/>
      <c r="IM149" s="391"/>
      <c r="IN149" s="391"/>
      <c r="IO149" s="391"/>
      <c r="IP149" s="391"/>
      <c r="IQ149" s="391"/>
      <c r="IR149" s="391"/>
      <c r="IS149" s="391"/>
      <c r="IT149" s="391"/>
      <c r="IU149" s="391"/>
      <c r="IV149" s="391"/>
      <c r="IW149" s="391"/>
      <c r="IX149" s="391"/>
      <c r="IY149" s="391"/>
      <c r="IZ149" s="391"/>
      <c r="JA149" s="391"/>
      <c r="JB149" s="391"/>
      <c r="JC149" s="391"/>
      <c r="JD149" s="391"/>
      <c r="JE149" s="391"/>
      <c r="JF149" s="391"/>
      <c r="JG149" s="391"/>
      <c r="JH149" s="391"/>
      <c r="JI149" s="393">
        <f t="shared" si="5"/>
        <v>0</v>
      </c>
      <c r="JJ149" s="2">
        <v>6410</v>
      </c>
      <c r="JK149" s="392">
        <f t="shared" si="6"/>
        <v>0</v>
      </c>
      <c r="JL149" s="391"/>
      <c r="JM149" s="392"/>
      <c r="JN149" s="392"/>
      <c r="JO149" s="392"/>
      <c r="JP149" s="392"/>
    </row>
    <row r="150" spans="1:276" x14ac:dyDescent="0.3">
      <c r="A150" s="391"/>
      <c r="B150" s="391"/>
      <c r="C150" s="391"/>
      <c r="D150" s="391"/>
      <c r="E150" s="391"/>
      <c r="F150" s="391"/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/>
      <c r="X150" s="391"/>
      <c r="Y150" s="391"/>
      <c r="Z150" s="391"/>
      <c r="AA150" s="391"/>
      <c r="AB150" s="391"/>
      <c r="AC150" s="391"/>
      <c r="AD150" s="391"/>
      <c r="AE150" s="391"/>
      <c r="AF150" s="391"/>
      <c r="AG150" s="391"/>
      <c r="AH150" s="391"/>
      <c r="AI150" s="391"/>
      <c r="AJ150" s="391"/>
      <c r="AK150" s="391"/>
      <c r="AL150" s="391"/>
      <c r="AM150" s="391"/>
      <c r="AN150" s="391"/>
      <c r="AO150" s="391"/>
      <c r="AP150" s="391"/>
      <c r="AQ150" s="391"/>
      <c r="AR150" s="391"/>
      <c r="AS150" s="391"/>
      <c r="AT150" s="391"/>
      <c r="AU150" s="391"/>
      <c r="AV150" s="391"/>
      <c r="AW150" s="391"/>
      <c r="AX150" s="391"/>
      <c r="AY150" s="391"/>
      <c r="AZ150" s="391"/>
      <c r="BA150" s="391"/>
      <c r="BB150" s="391"/>
      <c r="BC150" s="391"/>
      <c r="BD150" s="391"/>
      <c r="BE150" s="391"/>
      <c r="BF150" s="391"/>
      <c r="BG150" s="391"/>
      <c r="BH150" s="391"/>
      <c r="BI150" s="391"/>
      <c r="BJ150" s="391"/>
      <c r="BK150" s="391"/>
      <c r="BL150" s="391"/>
      <c r="BM150" s="391"/>
      <c r="BN150" s="391"/>
      <c r="BO150" s="391"/>
      <c r="BP150" s="391"/>
      <c r="BQ150" s="391"/>
      <c r="BR150" s="391"/>
      <c r="BS150" s="391"/>
      <c r="BT150" s="391"/>
      <c r="BU150" s="391"/>
      <c r="BV150" s="391"/>
      <c r="BW150" s="391"/>
      <c r="BX150" s="391"/>
      <c r="BY150" s="391"/>
      <c r="BZ150" s="391"/>
      <c r="CA150" s="391"/>
      <c r="CB150" s="391"/>
      <c r="CC150" s="391"/>
      <c r="CD150" s="391"/>
      <c r="CE150" s="391"/>
      <c r="CF150" s="391"/>
      <c r="CG150" s="391"/>
      <c r="CH150" s="391"/>
      <c r="CI150" s="391"/>
      <c r="CJ150" s="391"/>
      <c r="CK150" s="391"/>
      <c r="CL150" s="391"/>
      <c r="CM150" s="391"/>
      <c r="CN150" s="391"/>
      <c r="CO150" s="391"/>
      <c r="CP150" s="391"/>
      <c r="CQ150" s="391"/>
      <c r="CR150" s="391"/>
      <c r="CS150" s="391"/>
      <c r="CT150" s="391"/>
      <c r="CU150" s="391"/>
      <c r="CV150" s="391"/>
      <c r="CW150" s="391"/>
      <c r="CX150" s="391"/>
      <c r="CY150" s="391"/>
      <c r="CZ150" s="391"/>
      <c r="DA150" s="391"/>
      <c r="DB150" s="391"/>
      <c r="DC150" s="391"/>
      <c r="DD150" s="391"/>
      <c r="DE150" s="391"/>
      <c r="DF150" s="391"/>
      <c r="DG150" s="391"/>
      <c r="DH150" s="391"/>
      <c r="DI150" s="391"/>
      <c r="DJ150" s="391"/>
      <c r="DK150" s="391"/>
      <c r="DL150" s="391"/>
      <c r="DM150" s="391"/>
      <c r="DN150" s="391"/>
      <c r="DO150" s="391"/>
      <c r="DP150" s="391"/>
      <c r="DQ150" s="391"/>
      <c r="DR150" s="391"/>
      <c r="DS150" s="391"/>
      <c r="DT150" s="391"/>
      <c r="DU150" s="391"/>
      <c r="DV150" s="391"/>
      <c r="DW150" s="391"/>
      <c r="DX150" s="391"/>
      <c r="DY150" s="391"/>
      <c r="DZ150" s="391"/>
      <c r="EA150" s="391"/>
      <c r="EB150" s="391"/>
      <c r="EC150" s="391"/>
      <c r="ED150" s="391"/>
      <c r="EE150" s="391"/>
      <c r="EF150" s="391"/>
      <c r="EG150" s="391"/>
      <c r="EH150" s="391"/>
      <c r="EI150" s="391"/>
      <c r="EJ150" s="391"/>
      <c r="EK150" s="391"/>
      <c r="EL150" s="391"/>
      <c r="EM150" s="391"/>
      <c r="EN150" s="391"/>
      <c r="EO150" s="391"/>
      <c r="EP150" s="391"/>
      <c r="EQ150" s="391"/>
      <c r="ER150" s="391"/>
      <c r="ES150" s="391"/>
      <c r="ET150" s="391"/>
      <c r="EU150" s="391"/>
      <c r="EV150" s="391"/>
      <c r="EW150" s="391"/>
      <c r="EX150" s="391"/>
      <c r="EY150" s="391"/>
      <c r="EZ150" s="391"/>
      <c r="FA150" s="391"/>
      <c r="FB150" s="391"/>
      <c r="FC150" s="391"/>
      <c r="FD150" s="391"/>
      <c r="FE150" s="391"/>
      <c r="FF150" s="391"/>
      <c r="FG150" s="391"/>
      <c r="FH150" s="391"/>
      <c r="FI150" s="391"/>
      <c r="FJ150" s="391"/>
      <c r="FK150" s="391"/>
      <c r="FL150" s="391"/>
      <c r="FM150" s="391"/>
      <c r="FN150" s="391"/>
      <c r="FO150" s="391"/>
      <c r="FP150" s="391"/>
      <c r="FQ150" s="391"/>
      <c r="FR150" s="391"/>
      <c r="FS150" s="391"/>
      <c r="FT150" s="391"/>
      <c r="FU150" s="391"/>
      <c r="FV150" s="391"/>
      <c r="FW150" s="391"/>
      <c r="FX150" s="391"/>
      <c r="FY150" s="391"/>
      <c r="FZ150" s="391"/>
      <c r="GA150" s="391"/>
      <c r="GB150" s="391"/>
      <c r="GC150" s="391"/>
      <c r="GD150" s="391"/>
      <c r="GE150" s="391"/>
      <c r="GF150" s="391"/>
      <c r="GG150" s="391"/>
      <c r="GH150" s="391"/>
      <c r="GI150" s="391"/>
      <c r="GJ150" s="391"/>
      <c r="GK150" s="391"/>
      <c r="GL150" s="391"/>
      <c r="GM150" s="391"/>
      <c r="GN150" s="391"/>
      <c r="GO150" s="391"/>
      <c r="GP150" s="391"/>
      <c r="GQ150" s="391"/>
      <c r="GR150" s="391"/>
      <c r="GS150" s="391"/>
      <c r="GT150" s="391"/>
      <c r="GU150" s="391"/>
      <c r="GV150" s="391"/>
      <c r="GW150" s="391"/>
      <c r="GX150" s="391"/>
      <c r="GY150" s="391"/>
      <c r="GZ150" s="391"/>
      <c r="HA150" s="391"/>
      <c r="HB150" s="391"/>
      <c r="HC150" s="391"/>
      <c r="HD150" s="391"/>
      <c r="HE150" s="391"/>
      <c r="HF150" s="391"/>
      <c r="HG150" s="391"/>
      <c r="HH150" s="391"/>
      <c r="HI150" s="391"/>
      <c r="HJ150" s="391"/>
      <c r="HK150" s="391"/>
      <c r="HL150" s="391"/>
      <c r="HM150" s="391"/>
      <c r="HN150" s="391"/>
      <c r="HO150" s="391"/>
      <c r="HP150" s="391"/>
      <c r="HQ150" s="391"/>
      <c r="HR150" s="391"/>
      <c r="HS150" s="391"/>
      <c r="HT150" s="391"/>
      <c r="HU150" s="391"/>
      <c r="HV150" s="391"/>
      <c r="HW150" s="391"/>
      <c r="HX150" s="391"/>
      <c r="HY150" s="391"/>
      <c r="HZ150" s="391"/>
      <c r="IA150" s="391"/>
      <c r="IB150" s="391"/>
      <c r="IC150" s="391"/>
      <c r="ID150" s="391"/>
      <c r="IE150" s="391"/>
      <c r="IF150" s="391"/>
      <c r="IG150" s="391"/>
      <c r="IH150" s="391"/>
      <c r="II150" s="391"/>
      <c r="IJ150" s="391"/>
      <c r="IK150" s="391"/>
      <c r="IL150" s="391"/>
      <c r="IM150" s="391"/>
      <c r="IN150" s="391"/>
      <c r="IO150" s="391"/>
      <c r="IP150" s="391"/>
      <c r="IQ150" s="391"/>
      <c r="IR150" s="391"/>
      <c r="IS150" s="391"/>
      <c r="IT150" s="391"/>
      <c r="IU150" s="391"/>
      <c r="IV150" s="391"/>
      <c r="IW150" s="391"/>
      <c r="IX150" s="391"/>
      <c r="IY150" s="391"/>
      <c r="IZ150" s="391"/>
      <c r="JA150" s="391"/>
      <c r="JB150" s="391"/>
      <c r="JC150" s="391"/>
      <c r="JD150" s="391"/>
      <c r="JE150" s="391"/>
      <c r="JF150" s="391"/>
      <c r="JG150" s="391"/>
      <c r="JH150" s="391"/>
      <c r="JI150" s="393">
        <f t="shared" si="5"/>
        <v>0</v>
      </c>
      <c r="JJ150" s="2">
        <v>6414</v>
      </c>
      <c r="JK150" s="392">
        <f t="shared" si="6"/>
        <v>0</v>
      </c>
      <c r="JL150" s="391"/>
      <c r="JM150" s="392"/>
      <c r="JN150" s="392"/>
      <c r="JO150" s="392"/>
      <c r="JP150" s="392"/>
    </row>
    <row r="151" spans="1:276" x14ac:dyDescent="0.3">
      <c r="A151" s="391"/>
      <c r="B151" s="391"/>
      <c r="C151" s="391"/>
      <c r="D151" s="391"/>
      <c r="E151" s="391"/>
      <c r="F151" s="391"/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  <c r="W151" s="391"/>
      <c r="X151" s="391"/>
      <c r="Y151" s="391"/>
      <c r="Z151" s="391"/>
      <c r="AA151" s="391"/>
      <c r="AB151" s="391"/>
      <c r="AC151" s="391"/>
      <c r="AD151" s="391"/>
      <c r="AE151" s="391"/>
      <c r="AF151" s="391"/>
      <c r="AG151" s="391"/>
      <c r="AH151" s="391"/>
      <c r="AI151" s="391"/>
      <c r="AJ151" s="391"/>
      <c r="AK151" s="391"/>
      <c r="AL151" s="391"/>
      <c r="AM151" s="391"/>
      <c r="AN151" s="391"/>
      <c r="AO151" s="391"/>
      <c r="AP151" s="391"/>
      <c r="AQ151" s="391"/>
      <c r="AR151" s="391"/>
      <c r="AS151" s="391"/>
      <c r="AT151" s="391"/>
      <c r="AU151" s="391"/>
      <c r="AV151" s="391"/>
      <c r="AW151" s="391"/>
      <c r="AX151" s="391"/>
      <c r="AY151" s="391"/>
      <c r="AZ151" s="391"/>
      <c r="BA151" s="391"/>
      <c r="BB151" s="391"/>
      <c r="BC151" s="391"/>
      <c r="BD151" s="391"/>
      <c r="BE151" s="391"/>
      <c r="BF151" s="391"/>
      <c r="BG151" s="391"/>
      <c r="BH151" s="391"/>
      <c r="BI151" s="391"/>
      <c r="BJ151" s="391"/>
      <c r="BK151" s="391"/>
      <c r="BL151" s="391"/>
      <c r="BM151" s="391"/>
      <c r="BN151" s="391"/>
      <c r="BO151" s="391"/>
      <c r="BP151" s="391"/>
      <c r="BQ151" s="391"/>
      <c r="BR151" s="391"/>
      <c r="BS151" s="391"/>
      <c r="BT151" s="391"/>
      <c r="BU151" s="391"/>
      <c r="BV151" s="391"/>
      <c r="BW151" s="391"/>
      <c r="BX151" s="391"/>
      <c r="BY151" s="391"/>
      <c r="BZ151" s="391"/>
      <c r="CA151" s="391"/>
      <c r="CB151" s="391"/>
      <c r="CC151" s="391"/>
      <c r="CD151" s="391"/>
      <c r="CE151" s="391"/>
      <c r="CF151" s="391"/>
      <c r="CG151" s="391"/>
      <c r="CH151" s="391"/>
      <c r="CI151" s="391"/>
      <c r="CJ151" s="391"/>
      <c r="CK151" s="391"/>
      <c r="CL151" s="391"/>
      <c r="CM151" s="391"/>
      <c r="CN151" s="391"/>
      <c r="CO151" s="391"/>
      <c r="CP151" s="391"/>
      <c r="CQ151" s="391"/>
      <c r="CR151" s="391"/>
      <c r="CS151" s="391"/>
      <c r="CT151" s="391"/>
      <c r="CU151" s="391"/>
      <c r="CV151" s="391"/>
      <c r="CW151" s="391"/>
      <c r="CX151" s="391"/>
      <c r="CY151" s="391"/>
      <c r="CZ151" s="391"/>
      <c r="DA151" s="391"/>
      <c r="DB151" s="391"/>
      <c r="DC151" s="391"/>
      <c r="DD151" s="391"/>
      <c r="DE151" s="391"/>
      <c r="DF151" s="391"/>
      <c r="DG151" s="391"/>
      <c r="DH151" s="391"/>
      <c r="DI151" s="391"/>
      <c r="DJ151" s="391"/>
      <c r="DK151" s="391"/>
      <c r="DL151" s="391"/>
      <c r="DM151" s="391"/>
      <c r="DN151" s="391"/>
      <c r="DO151" s="391"/>
      <c r="DP151" s="391"/>
      <c r="DQ151" s="391"/>
      <c r="DR151" s="391"/>
      <c r="DS151" s="391"/>
      <c r="DT151" s="391"/>
      <c r="DU151" s="391"/>
      <c r="DV151" s="391"/>
      <c r="DW151" s="391"/>
      <c r="DX151" s="391"/>
      <c r="DY151" s="391"/>
      <c r="DZ151" s="391"/>
      <c r="EA151" s="391"/>
      <c r="EB151" s="391"/>
      <c r="EC151" s="391"/>
      <c r="ED151" s="391"/>
      <c r="EE151" s="391"/>
      <c r="EF151" s="391"/>
      <c r="EG151" s="391"/>
      <c r="EH151" s="391"/>
      <c r="EI151" s="391"/>
      <c r="EJ151" s="391"/>
      <c r="EK151" s="391"/>
      <c r="EL151" s="391"/>
      <c r="EM151" s="391"/>
      <c r="EN151" s="391"/>
      <c r="EO151" s="391"/>
      <c r="EP151" s="391"/>
      <c r="EQ151" s="391"/>
      <c r="ER151" s="391"/>
      <c r="ES151" s="391"/>
      <c r="ET151" s="391"/>
      <c r="EU151" s="391"/>
      <c r="EV151" s="391"/>
      <c r="EW151" s="391"/>
      <c r="EX151" s="391"/>
      <c r="EY151" s="391"/>
      <c r="EZ151" s="391"/>
      <c r="FA151" s="391"/>
      <c r="FB151" s="391"/>
      <c r="FC151" s="391"/>
      <c r="FD151" s="391"/>
      <c r="FE151" s="391"/>
      <c r="FF151" s="391"/>
      <c r="FG151" s="391"/>
      <c r="FH151" s="391"/>
      <c r="FI151" s="391"/>
      <c r="FJ151" s="391"/>
      <c r="FK151" s="391"/>
      <c r="FL151" s="391"/>
      <c r="FM151" s="391"/>
      <c r="FN151" s="391"/>
      <c r="FO151" s="391"/>
      <c r="FP151" s="391"/>
      <c r="FQ151" s="391"/>
      <c r="FR151" s="391"/>
      <c r="FS151" s="391"/>
      <c r="FT151" s="391"/>
      <c r="FU151" s="391"/>
      <c r="FV151" s="391"/>
      <c r="FW151" s="391"/>
      <c r="FX151" s="391"/>
      <c r="FY151" s="391"/>
      <c r="FZ151" s="391"/>
      <c r="GA151" s="391"/>
      <c r="GB151" s="391"/>
      <c r="GC151" s="391"/>
      <c r="GD151" s="391"/>
      <c r="GE151" s="391"/>
      <c r="GF151" s="391"/>
      <c r="GG151" s="391"/>
      <c r="GH151" s="391"/>
      <c r="GI151" s="391"/>
      <c r="GJ151" s="391"/>
      <c r="GK151" s="391"/>
      <c r="GL151" s="391"/>
      <c r="GM151" s="391"/>
      <c r="GN151" s="391"/>
      <c r="GO151" s="391"/>
      <c r="GP151" s="391"/>
      <c r="GQ151" s="391"/>
      <c r="GR151" s="391"/>
      <c r="GS151" s="391"/>
      <c r="GT151" s="391"/>
      <c r="GU151" s="391"/>
      <c r="GV151" s="391"/>
      <c r="GW151" s="391"/>
      <c r="GX151" s="391"/>
      <c r="GY151" s="391"/>
      <c r="GZ151" s="391"/>
      <c r="HA151" s="391"/>
      <c r="HB151" s="391"/>
      <c r="HC151" s="391"/>
      <c r="HD151" s="391"/>
      <c r="HE151" s="391"/>
      <c r="HF151" s="391"/>
      <c r="HG151" s="391"/>
      <c r="HH151" s="391"/>
      <c r="HI151" s="391"/>
      <c r="HJ151" s="391"/>
      <c r="HK151" s="391"/>
      <c r="HL151" s="391"/>
      <c r="HM151" s="391"/>
      <c r="HN151" s="391"/>
      <c r="HO151" s="391"/>
      <c r="HP151" s="391"/>
      <c r="HQ151" s="391"/>
      <c r="HR151" s="391"/>
      <c r="HS151" s="391"/>
      <c r="HT151" s="391"/>
      <c r="HU151" s="391"/>
      <c r="HV151" s="391"/>
      <c r="HW151" s="391"/>
      <c r="HX151" s="391"/>
      <c r="HY151" s="391"/>
      <c r="HZ151" s="391"/>
      <c r="IA151" s="391"/>
      <c r="IB151" s="391"/>
      <c r="IC151" s="391"/>
      <c r="ID151" s="391"/>
      <c r="IE151" s="391"/>
      <c r="IF151" s="391"/>
      <c r="IG151" s="391"/>
      <c r="IH151" s="391"/>
      <c r="II151" s="391"/>
      <c r="IJ151" s="391"/>
      <c r="IK151" s="391"/>
      <c r="IL151" s="391"/>
      <c r="IM151" s="391"/>
      <c r="IN151" s="391"/>
      <c r="IO151" s="391"/>
      <c r="IP151" s="391"/>
      <c r="IQ151" s="391"/>
      <c r="IR151" s="391"/>
      <c r="IS151" s="391"/>
      <c r="IT151" s="391"/>
      <c r="IU151" s="391"/>
      <c r="IV151" s="391"/>
      <c r="IW151" s="391"/>
      <c r="IX151" s="391"/>
      <c r="IY151" s="391"/>
      <c r="IZ151" s="391"/>
      <c r="JA151" s="391"/>
      <c r="JB151" s="391"/>
      <c r="JC151" s="391"/>
      <c r="JD151" s="391"/>
      <c r="JE151" s="391"/>
      <c r="JF151" s="391"/>
      <c r="JG151" s="391"/>
      <c r="JH151" s="391"/>
      <c r="JI151" s="393">
        <f t="shared" si="5"/>
        <v>0</v>
      </c>
      <c r="JJ151" s="2">
        <v>6418</v>
      </c>
      <c r="JK151" s="392">
        <f t="shared" si="6"/>
        <v>0</v>
      </c>
      <c r="JL151" s="391"/>
      <c r="JM151" s="392"/>
      <c r="JN151" s="392"/>
      <c r="JO151" s="392"/>
      <c r="JP151" s="392"/>
    </row>
    <row r="152" spans="1:276" x14ac:dyDescent="0.3">
      <c r="A152" s="391"/>
      <c r="B152" s="391"/>
      <c r="C152" s="391"/>
      <c r="D152" s="391"/>
      <c r="E152" s="391"/>
      <c r="F152" s="391"/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  <c r="W152" s="391"/>
      <c r="X152" s="391"/>
      <c r="Y152" s="391"/>
      <c r="Z152" s="391"/>
      <c r="AA152" s="391"/>
      <c r="AB152" s="391"/>
      <c r="AC152" s="391"/>
      <c r="AD152" s="391"/>
      <c r="AE152" s="391"/>
      <c r="AF152" s="391"/>
      <c r="AG152" s="391"/>
      <c r="AH152" s="391"/>
      <c r="AI152" s="391"/>
      <c r="AJ152" s="391"/>
      <c r="AK152" s="391"/>
      <c r="AL152" s="391"/>
      <c r="AM152" s="391"/>
      <c r="AN152" s="391"/>
      <c r="AO152" s="391"/>
      <c r="AP152" s="391"/>
      <c r="AQ152" s="391"/>
      <c r="AR152" s="391"/>
      <c r="AS152" s="391"/>
      <c r="AT152" s="391"/>
      <c r="AU152" s="391"/>
      <c r="AV152" s="391"/>
      <c r="AW152" s="391"/>
      <c r="AX152" s="391"/>
      <c r="AY152" s="391"/>
      <c r="AZ152" s="391"/>
      <c r="BA152" s="391"/>
      <c r="BB152" s="391"/>
      <c r="BC152" s="391"/>
      <c r="BD152" s="391"/>
      <c r="BE152" s="391"/>
      <c r="BF152" s="391"/>
      <c r="BG152" s="391"/>
      <c r="BH152" s="391"/>
      <c r="BI152" s="391"/>
      <c r="BJ152" s="391"/>
      <c r="BK152" s="391"/>
      <c r="BL152" s="391"/>
      <c r="BM152" s="391"/>
      <c r="BN152" s="391"/>
      <c r="BO152" s="391"/>
      <c r="BP152" s="391"/>
      <c r="BQ152" s="391"/>
      <c r="BR152" s="391"/>
      <c r="BS152" s="391"/>
      <c r="BT152" s="391"/>
      <c r="BU152" s="391"/>
      <c r="BV152" s="391"/>
      <c r="BW152" s="391"/>
      <c r="BX152" s="391"/>
      <c r="BY152" s="391"/>
      <c r="BZ152" s="391"/>
      <c r="CA152" s="391"/>
      <c r="CB152" s="391"/>
      <c r="CC152" s="391"/>
      <c r="CD152" s="391"/>
      <c r="CE152" s="391"/>
      <c r="CF152" s="391"/>
      <c r="CG152" s="391"/>
      <c r="CH152" s="391"/>
      <c r="CI152" s="391"/>
      <c r="CJ152" s="391"/>
      <c r="CK152" s="391"/>
      <c r="CL152" s="391"/>
      <c r="CM152" s="391"/>
      <c r="CN152" s="391"/>
      <c r="CO152" s="391"/>
      <c r="CP152" s="391"/>
      <c r="CQ152" s="391"/>
      <c r="CR152" s="391"/>
      <c r="CS152" s="391"/>
      <c r="CT152" s="391"/>
      <c r="CU152" s="391"/>
      <c r="CV152" s="391"/>
      <c r="CW152" s="391"/>
      <c r="CX152" s="391"/>
      <c r="CY152" s="391"/>
      <c r="CZ152" s="391"/>
      <c r="DA152" s="391"/>
      <c r="DB152" s="391"/>
      <c r="DC152" s="391"/>
      <c r="DD152" s="391"/>
      <c r="DE152" s="391"/>
      <c r="DF152" s="391"/>
      <c r="DG152" s="391"/>
      <c r="DH152" s="391"/>
      <c r="DI152" s="391"/>
      <c r="DJ152" s="391"/>
      <c r="DK152" s="391"/>
      <c r="DL152" s="391"/>
      <c r="DM152" s="391"/>
      <c r="DN152" s="391"/>
      <c r="DO152" s="391"/>
      <c r="DP152" s="391"/>
      <c r="DQ152" s="391"/>
      <c r="DR152" s="391"/>
      <c r="DS152" s="391"/>
      <c r="DT152" s="391"/>
      <c r="DU152" s="391"/>
      <c r="DV152" s="391"/>
      <c r="DW152" s="391"/>
      <c r="DX152" s="391"/>
      <c r="DY152" s="391"/>
      <c r="DZ152" s="391"/>
      <c r="EA152" s="391"/>
      <c r="EB152" s="391"/>
      <c r="EC152" s="391"/>
      <c r="ED152" s="391"/>
      <c r="EE152" s="391"/>
      <c r="EF152" s="391"/>
      <c r="EG152" s="391"/>
      <c r="EH152" s="391"/>
      <c r="EI152" s="391"/>
      <c r="EJ152" s="391"/>
      <c r="EK152" s="391"/>
      <c r="EL152" s="391"/>
      <c r="EM152" s="391"/>
      <c r="EN152" s="391"/>
      <c r="EO152" s="391"/>
      <c r="EP152" s="391"/>
      <c r="EQ152" s="391"/>
      <c r="ER152" s="391"/>
      <c r="ES152" s="391"/>
      <c r="ET152" s="391"/>
      <c r="EU152" s="391"/>
      <c r="EV152" s="391"/>
      <c r="EW152" s="391"/>
      <c r="EX152" s="391"/>
      <c r="EY152" s="391"/>
      <c r="EZ152" s="391"/>
      <c r="FA152" s="391"/>
      <c r="FB152" s="391"/>
      <c r="FC152" s="391"/>
      <c r="FD152" s="391"/>
      <c r="FE152" s="391"/>
      <c r="FF152" s="391"/>
      <c r="FG152" s="391"/>
      <c r="FH152" s="391"/>
      <c r="FI152" s="391"/>
      <c r="FJ152" s="391"/>
      <c r="FK152" s="391"/>
      <c r="FL152" s="391"/>
      <c r="FM152" s="391"/>
      <c r="FN152" s="391"/>
      <c r="FO152" s="391"/>
      <c r="FP152" s="391"/>
      <c r="FQ152" s="391"/>
      <c r="FR152" s="391"/>
      <c r="FS152" s="391"/>
      <c r="FT152" s="391"/>
      <c r="FU152" s="391"/>
      <c r="FV152" s="391"/>
      <c r="FW152" s="391"/>
      <c r="FX152" s="391"/>
      <c r="FY152" s="391"/>
      <c r="FZ152" s="391"/>
      <c r="GA152" s="391"/>
      <c r="GB152" s="391"/>
      <c r="GC152" s="391"/>
      <c r="GD152" s="391"/>
      <c r="GE152" s="391"/>
      <c r="GF152" s="391"/>
      <c r="GG152" s="391"/>
      <c r="GH152" s="391"/>
      <c r="GI152" s="391"/>
      <c r="GJ152" s="391"/>
      <c r="GK152" s="391"/>
      <c r="GL152" s="391"/>
      <c r="GM152" s="391"/>
      <c r="GN152" s="391"/>
      <c r="GO152" s="391"/>
      <c r="GP152" s="391"/>
      <c r="GQ152" s="391"/>
      <c r="GR152" s="391"/>
      <c r="GS152" s="391"/>
      <c r="GT152" s="391"/>
      <c r="GU152" s="391"/>
      <c r="GV152" s="391"/>
      <c r="GW152" s="391"/>
      <c r="GX152" s="391"/>
      <c r="GY152" s="391"/>
      <c r="GZ152" s="391"/>
      <c r="HA152" s="391"/>
      <c r="HB152" s="391"/>
      <c r="HC152" s="391"/>
      <c r="HD152" s="391"/>
      <c r="HE152" s="391"/>
      <c r="HF152" s="391"/>
      <c r="HG152" s="391"/>
      <c r="HH152" s="391"/>
      <c r="HI152" s="391"/>
      <c r="HJ152" s="391"/>
      <c r="HK152" s="391"/>
      <c r="HL152" s="391"/>
      <c r="HM152" s="391"/>
      <c r="HN152" s="391"/>
      <c r="HO152" s="391"/>
      <c r="HP152" s="391"/>
      <c r="HQ152" s="391"/>
      <c r="HR152" s="391"/>
      <c r="HS152" s="391"/>
      <c r="HT152" s="391"/>
      <c r="HU152" s="391"/>
      <c r="HV152" s="391"/>
      <c r="HW152" s="391"/>
      <c r="HX152" s="391"/>
      <c r="HY152" s="391"/>
      <c r="HZ152" s="391"/>
      <c r="IA152" s="391"/>
      <c r="IB152" s="391"/>
      <c r="IC152" s="391"/>
      <c r="ID152" s="391"/>
      <c r="IE152" s="391"/>
      <c r="IF152" s="391"/>
      <c r="IG152" s="391"/>
      <c r="IH152" s="391"/>
      <c r="II152" s="391"/>
      <c r="IJ152" s="391"/>
      <c r="IK152" s="391"/>
      <c r="IL152" s="391"/>
      <c r="IM152" s="391"/>
      <c r="IN152" s="391"/>
      <c r="IO152" s="391"/>
      <c r="IP152" s="391"/>
      <c r="IQ152" s="391"/>
      <c r="IR152" s="391"/>
      <c r="IS152" s="391"/>
      <c r="IT152" s="391"/>
      <c r="IU152" s="391"/>
      <c r="IV152" s="391"/>
      <c r="IW152" s="391"/>
      <c r="IX152" s="391"/>
      <c r="IY152" s="391"/>
      <c r="IZ152" s="391"/>
      <c r="JA152" s="391"/>
      <c r="JB152" s="391"/>
      <c r="JC152" s="391"/>
      <c r="JD152" s="391"/>
      <c r="JE152" s="391"/>
      <c r="JF152" s="391"/>
      <c r="JG152" s="391"/>
      <c r="JH152" s="391"/>
      <c r="JI152" s="393">
        <f t="shared" si="5"/>
        <v>0</v>
      </c>
      <c r="JJ152" s="2">
        <v>6422</v>
      </c>
      <c r="JK152" s="392">
        <f t="shared" si="6"/>
        <v>0</v>
      </c>
      <c r="JL152" s="391"/>
      <c r="JM152" s="392"/>
      <c r="JN152" s="392"/>
      <c r="JO152" s="392"/>
      <c r="JP152" s="392"/>
    </row>
    <row r="153" spans="1:276" x14ac:dyDescent="0.3">
      <c r="A153" s="391"/>
      <c r="B153" s="391"/>
      <c r="C153" s="391"/>
      <c r="D153" s="391"/>
      <c r="E153" s="391"/>
      <c r="F153" s="391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  <c r="X153" s="391"/>
      <c r="Y153" s="391"/>
      <c r="Z153" s="391"/>
      <c r="AA153" s="391"/>
      <c r="AB153" s="391"/>
      <c r="AC153" s="391"/>
      <c r="AD153" s="391"/>
      <c r="AE153" s="391"/>
      <c r="AF153" s="391"/>
      <c r="AG153" s="391"/>
      <c r="AH153" s="391"/>
      <c r="AI153" s="391"/>
      <c r="AJ153" s="391"/>
      <c r="AK153" s="391"/>
      <c r="AL153" s="391"/>
      <c r="AM153" s="391"/>
      <c r="AN153" s="391"/>
      <c r="AO153" s="391"/>
      <c r="AP153" s="391"/>
      <c r="AQ153" s="391"/>
      <c r="AR153" s="391"/>
      <c r="AS153" s="391"/>
      <c r="AT153" s="391"/>
      <c r="AU153" s="391"/>
      <c r="AV153" s="391"/>
      <c r="AW153" s="391"/>
      <c r="AX153" s="391"/>
      <c r="AY153" s="391"/>
      <c r="AZ153" s="391"/>
      <c r="BA153" s="391"/>
      <c r="BB153" s="391"/>
      <c r="BC153" s="391"/>
      <c r="BD153" s="391"/>
      <c r="BE153" s="391"/>
      <c r="BF153" s="391"/>
      <c r="BG153" s="391"/>
      <c r="BH153" s="391"/>
      <c r="BI153" s="391"/>
      <c r="BJ153" s="391"/>
      <c r="BK153" s="391"/>
      <c r="BL153" s="391"/>
      <c r="BM153" s="391"/>
      <c r="BN153" s="391"/>
      <c r="BO153" s="391"/>
      <c r="BP153" s="391"/>
      <c r="BQ153" s="391"/>
      <c r="BR153" s="391"/>
      <c r="BS153" s="391"/>
      <c r="BT153" s="391"/>
      <c r="BU153" s="391"/>
      <c r="BV153" s="391"/>
      <c r="BW153" s="391"/>
      <c r="BX153" s="391"/>
      <c r="BY153" s="391"/>
      <c r="BZ153" s="391"/>
      <c r="CA153" s="391"/>
      <c r="CB153" s="391"/>
      <c r="CC153" s="391"/>
      <c r="CD153" s="391"/>
      <c r="CE153" s="391"/>
      <c r="CF153" s="391"/>
      <c r="CG153" s="391"/>
      <c r="CH153" s="391"/>
      <c r="CI153" s="391"/>
      <c r="CJ153" s="391"/>
      <c r="CK153" s="391"/>
      <c r="CL153" s="391"/>
      <c r="CM153" s="391"/>
      <c r="CN153" s="391"/>
      <c r="CO153" s="391"/>
      <c r="CP153" s="391"/>
      <c r="CQ153" s="391"/>
      <c r="CR153" s="391"/>
      <c r="CS153" s="391"/>
      <c r="CT153" s="391"/>
      <c r="CU153" s="391"/>
      <c r="CV153" s="391"/>
      <c r="CW153" s="391"/>
      <c r="CX153" s="391"/>
      <c r="CY153" s="391"/>
      <c r="CZ153" s="391"/>
      <c r="DA153" s="391"/>
      <c r="DB153" s="391"/>
      <c r="DC153" s="391"/>
      <c r="DD153" s="391"/>
      <c r="DE153" s="391"/>
      <c r="DF153" s="391"/>
      <c r="DG153" s="391"/>
      <c r="DH153" s="391"/>
      <c r="DI153" s="391"/>
      <c r="DJ153" s="391"/>
      <c r="DK153" s="391"/>
      <c r="DL153" s="391"/>
      <c r="DM153" s="391"/>
      <c r="DN153" s="391"/>
      <c r="DO153" s="391"/>
      <c r="DP153" s="391"/>
      <c r="DQ153" s="391"/>
      <c r="DR153" s="391"/>
      <c r="DS153" s="391"/>
      <c r="DT153" s="391"/>
      <c r="DU153" s="391"/>
      <c r="DV153" s="391"/>
      <c r="DW153" s="391"/>
      <c r="DX153" s="391"/>
      <c r="DY153" s="391"/>
      <c r="DZ153" s="391"/>
      <c r="EA153" s="391"/>
      <c r="EB153" s="391"/>
      <c r="EC153" s="391"/>
      <c r="ED153" s="391"/>
      <c r="EE153" s="391"/>
      <c r="EF153" s="391"/>
      <c r="EG153" s="391"/>
      <c r="EH153" s="391"/>
      <c r="EI153" s="391"/>
      <c r="EJ153" s="391"/>
      <c r="EK153" s="391"/>
      <c r="EL153" s="391"/>
      <c r="EM153" s="391"/>
      <c r="EN153" s="391"/>
      <c r="EO153" s="391"/>
      <c r="EP153" s="391"/>
      <c r="EQ153" s="391"/>
      <c r="ER153" s="391"/>
      <c r="ES153" s="391"/>
      <c r="ET153" s="391"/>
      <c r="EU153" s="391"/>
      <c r="EV153" s="391"/>
      <c r="EW153" s="391"/>
      <c r="EX153" s="391"/>
      <c r="EY153" s="391"/>
      <c r="EZ153" s="391"/>
      <c r="FA153" s="391"/>
      <c r="FB153" s="391"/>
      <c r="FC153" s="391"/>
      <c r="FD153" s="391"/>
      <c r="FE153" s="391"/>
      <c r="FF153" s="391"/>
      <c r="FG153" s="391"/>
      <c r="FH153" s="391"/>
      <c r="FI153" s="391"/>
      <c r="FJ153" s="391"/>
      <c r="FK153" s="391"/>
      <c r="FL153" s="391"/>
      <c r="FM153" s="391"/>
      <c r="FN153" s="391"/>
      <c r="FO153" s="391"/>
      <c r="FP153" s="391"/>
      <c r="FQ153" s="391"/>
      <c r="FR153" s="391"/>
      <c r="FS153" s="391"/>
      <c r="FT153" s="391"/>
      <c r="FU153" s="391"/>
      <c r="FV153" s="391"/>
      <c r="FW153" s="391"/>
      <c r="FX153" s="391"/>
      <c r="FY153" s="391"/>
      <c r="FZ153" s="391"/>
      <c r="GA153" s="391"/>
      <c r="GB153" s="391"/>
      <c r="GC153" s="391"/>
      <c r="GD153" s="391"/>
      <c r="GE153" s="391"/>
      <c r="GF153" s="391"/>
      <c r="GG153" s="391"/>
      <c r="GH153" s="391"/>
      <c r="GI153" s="391"/>
      <c r="GJ153" s="391"/>
      <c r="GK153" s="391"/>
      <c r="GL153" s="391"/>
      <c r="GM153" s="391"/>
      <c r="GN153" s="391"/>
      <c r="GO153" s="391"/>
      <c r="GP153" s="391"/>
      <c r="GQ153" s="391"/>
      <c r="GR153" s="391"/>
      <c r="GS153" s="391"/>
      <c r="GT153" s="391"/>
      <c r="GU153" s="391"/>
      <c r="GV153" s="391"/>
      <c r="GW153" s="391"/>
      <c r="GX153" s="391"/>
      <c r="GY153" s="391"/>
      <c r="GZ153" s="391"/>
      <c r="HA153" s="391"/>
      <c r="HB153" s="391"/>
      <c r="HC153" s="391"/>
      <c r="HD153" s="391"/>
      <c r="HE153" s="391"/>
      <c r="HF153" s="391"/>
      <c r="HG153" s="391"/>
      <c r="HH153" s="391"/>
      <c r="HI153" s="391"/>
      <c r="HJ153" s="391"/>
      <c r="HK153" s="391"/>
      <c r="HL153" s="391"/>
      <c r="HM153" s="391"/>
      <c r="HN153" s="391"/>
      <c r="HO153" s="391"/>
      <c r="HP153" s="391"/>
      <c r="HQ153" s="391"/>
      <c r="HR153" s="391"/>
      <c r="HS153" s="391"/>
      <c r="HT153" s="391"/>
      <c r="HU153" s="391"/>
      <c r="HV153" s="391"/>
      <c r="HW153" s="391"/>
      <c r="HX153" s="391"/>
      <c r="HY153" s="391"/>
      <c r="HZ153" s="391"/>
      <c r="IA153" s="391"/>
      <c r="IB153" s="391"/>
      <c r="IC153" s="391"/>
      <c r="ID153" s="391"/>
      <c r="IE153" s="391"/>
      <c r="IF153" s="391"/>
      <c r="IG153" s="391"/>
      <c r="IH153" s="391"/>
      <c r="II153" s="391"/>
      <c r="IJ153" s="391"/>
      <c r="IK153" s="391"/>
      <c r="IL153" s="391"/>
      <c r="IM153" s="391"/>
      <c r="IN153" s="391"/>
      <c r="IO153" s="391"/>
      <c r="IP153" s="391"/>
      <c r="IQ153" s="391"/>
      <c r="IR153" s="391"/>
      <c r="IS153" s="391"/>
      <c r="IT153" s="391"/>
      <c r="IU153" s="391"/>
      <c r="IV153" s="391"/>
      <c r="IW153" s="391"/>
      <c r="IX153" s="391"/>
      <c r="IY153" s="391"/>
      <c r="IZ153" s="391"/>
      <c r="JA153" s="391"/>
      <c r="JB153" s="391"/>
      <c r="JC153" s="391"/>
      <c r="JD153" s="391"/>
      <c r="JE153" s="391"/>
      <c r="JF153" s="391"/>
      <c r="JG153" s="391"/>
      <c r="JH153" s="391"/>
      <c r="JI153" s="393">
        <f t="shared" si="5"/>
        <v>0</v>
      </c>
      <c r="JJ153" s="2">
        <v>6426</v>
      </c>
      <c r="JK153" s="392">
        <f t="shared" si="6"/>
        <v>0</v>
      </c>
      <c r="JL153" s="391"/>
      <c r="JM153" s="392"/>
      <c r="JN153" s="392"/>
      <c r="JO153" s="392"/>
      <c r="JP153" s="392"/>
    </row>
    <row r="154" spans="1:276" x14ac:dyDescent="0.3">
      <c r="A154" s="391"/>
      <c r="B154" s="391"/>
      <c r="C154" s="391"/>
      <c r="D154" s="391"/>
      <c r="E154" s="391"/>
      <c r="F154" s="391"/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  <c r="W154" s="391"/>
      <c r="X154" s="391"/>
      <c r="Y154" s="391"/>
      <c r="Z154" s="391"/>
      <c r="AA154" s="391"/>
      <c r="AB154" s="391"/>
      <c r="AC154" s="391"/>
      <c r="AD154" s="391"/>
      <c r="AE154" s="391"/>
      <c r="AF154" s="391"/>
      <c r="AG154" s="391"/>
      <c r="AH154" s="391"/>
      <c r="AI154" s="391"/>
      <c r="AJ154" s="391"/>
      <c r="AK154" s="391"/>
      <c r="AL154" s="391"/>
      <c r="AM154" s="391"/>
      <c r="AN154" s="391"/>
      <c r="AO154" s="391"/>
      <c r="AP154" s="391"/>
      <c r="AQ154" s="391"/>
      <c r="AR154" s="391"/>
      <c r="AS154" s="391"/>
      <c r="AT154" s="391"/>
      <c r="AU154" s="391"/>
      <c r="AV154" s="391"/>
      <c r="AW154" s="391"/>
      <c r="AX154" s="391"/>
      <c r="AY154" s="391"/>
      <c r="AZ154" s="391"/>
      <c r="BA154" s="391"/>
      <c r="BB154" s="391"/>
      <c r="BC154" s="391"/>
      <c r="BD154" s="391"/>
      <c r="BE154" s="391"/>
      <c r="BF154" s="391"/>
      <c r="BG154" s="391"/>
      <c r="BH154" s="391"/>
      <c r="BI154" s="391"/>
      <c r="BJ154" s="391"/>
      <c r="BK154" s="391"/>
      <c r="BL154" s="391"/>
      <c r="BM154" s="391"/>
      <c r="BN154" s="391"/>
      <c r="BO154" s="391"/>
      <c r="BP154" s="391"/>
      <c r="BQ154" s="391"/>
      <c r="BR154" s="391"/>
      <c r="BS154" s="391"/>
      <c r="BT154" s="391"/>
      <c r="BU154" s="391"/>
      <c r="BV154" s="391"/>
      <c r="BW154" s="391"/>
      <c r="BX154" s="391"/>
      <c r="BY154" s="391"/>
      <c r="BZ154" s="391"/>
      <c r="CA154" s="391"/>
      <c r="CB154" s="391"/>
      <c r="CC154" s="391"/>
      <c r="CD154" s="391"/>
      <c r="CE154" s="391"/>
      <c r="CF154" s="391"/>
      <c r="CG154" s="391"/>
      <c r="CH154" s="391"/>
      <c r="CI154" s="391"/>
      <c r="CJ154" s="391"/>
      <c r="CK154" s="391"/>
      <c r="CL154" s="391"/>
      <c r="CM154" s="391"/>
      <c r="CN154" s="391"/>
      <c r="CO154" s="391"/>
      <c r="CP154" s="391"/>
      <c r="CQ154" s="391"/>
      <c r="CR154" s="391"/>
      <c r="CS154" s="391"/>
      <c r="CT154" s="391"/>
      <c r="CU154" s="391"/>
      <c r="CV154" s="391"/>
      <c r="CW154" s="391"/>
      <c r="CX154" s="391"/>
      <c r="CY154" s="391"/>
      <c r="CZ154" s="391"/>
      <c r="DA154" s="391"/>
      <c r="DB154" s="391"/>
      <c r="DC154" s="391"/>
      <c r="DD154" s="391"/>
      <c r="DE154" s="391"/>
      <c r="DF154" s="391"/>
      <c r="DG154" s="391"/>
      <c r="DH154" s="391"/>
      <c r="DI154" s="391"/>
      <c r="DJ154" s="391"/>
      <c r="DK154" s="391"/>
      <c r="DL154" s="391"/>
      <c r="DM154" s="391"/>
      <c r="DN154" s="391"/>
      <c r="DO154" s="391"/>
      <c r="DP154" s="391"/>
      <c r="DQ154" s="391"/>
      <c r="DR154" s="391"/>
      <c r="DS154" s="391"/>
      <c r="DT154" s="391"/>
      <c r="DU154" s="391"/>
      <c r="DV154" s="391"/>
      <c r="DW154" s="391"/>
      <c r="DX154" s="391"/>
      <c r="DY154" s="391"/>
      <c r="DZ154" s="391"/>
      <c r="EA154" s="391"/>
      <c r="EB154" s="391"/>
      <c r="EC154" s="391"/>
      <c r="ED154" s="391"/>
      <c r="EE154" s="391"/>
      <c r="EF154" s="391"/>
      <c r="EG154" s="391"/>
      <c r="EH154" s="391"/>
      <c r="EI154" s="391"/>
      <c r="EJ154" s="391"/>
      <c r="EK154" s="391"/>
      <c r="EL154" s="391"/>
      <c r="EM154" s="391"/>
      <c r="EN154" s="391"/>
      <c r="EO154" s="391"/>
      <c r="EP154" s="391"/>
      <c r="EQ154" s="391"/>
      <c r="ER154" s="391"/>
      <c r="ES154" s="391"/>
      <c r="ET154" s="391"/>
      <c r="EU154" s="391"/>
      <c r="EV154" s="391"/>
      <c r="EW154" s="391"/>
      <c r="EX154" s="391"/>
      <c r="EY154" s="391"/>
      <c r="EZ154" s="391"/>
      <c r="FA154" s="391"/>
      <c r="FB154" s="391"/>
      <c r="FC154" s="391"/>
      <c r="FD154" s="391"/>
      <c r="FE154" s="391"/>
      <c r="FF154" s="391"/>
      <c r="FG154" s="391"/>
      <c r="FH154" s="391"/>
      <c r="FI154" s="391"/>
      <c r="FJ154" s="391"/>
      <c r="FK154" s="391"/>
      <c r="FL154" s="391"/>
      <c r="FM154" s="391"/>
      <c r="FN154" s="391"/>
      <c r="FO154" s="391"/>
      <c r="FP154" s="391"/>
      <c r="FQ154" s="391"/>
      <c r="FR154" s="391"/>
      <c r="FS154" s="391"/>
      <c r="FT154" s="391"/>
      <c r="FU154" s="391"/>
      <c r="FV154" s="391"/>
      <c r="FW154" s="391"/>
      <c r="FX154" s="391"/>
      <c r="FY154" s="391"/>
      <c r="FZ154" s="391"/>
      <c r="GA154" s="391"/>
      <c r="GB154" s="391"/>
      <c r="GC154" s="391"/>
      <c r="GD154" s="391"/>
      <c r="GE154" s="391"/>
      <c r="GF154" s="391"/>
      <c r="GG154" s="391"/>
      <c r="GH154" s="391"/>
      <c r="GI154" s="391"/>
      <c r="GJ154" s="391"/>
      <c r="GK154" s="391"/>
      <c r="GL154" s="391"/>
      <c r="GM154" s="391"/>
      <c r="GN154" s="391"/>
      <c r="GO154" s="391"/>
      <c r="GP154" s="391"/>
      <c r="GQ154" s="391"/>
      <c r="GR154" s="391"/>
      <c r="GS154" s="391"/>
      <c r="GT154" s="391"/>
      <c r="GU154" s="391"/>
      <c r="GV154" s="391"/>
      <c r="GW154" s="391"/>
      <c r="GX154" s="391"/>
      <c r="GY154" s="391"/>
      <c r="GZ154" s="391"/>
      <c r="HA154" s="391"/>
      <c r="HB154" s="391"/>
      <c r="HC154" s="391"/>
      <c r="HD154" s="391"/>
      <c r="HE154" s="391"/>
      <c r="HF154" s="391"/>
      <c r="HG154" s="391"/>
      <c r="HH154" s="391"/>
      <c r="HI154" s="391"/>
      <c r="HJ154" s="391"/>
      <c r="HK154" s="391"/>
      <c r="HL154" s="391"/>
      <c r="HM154" s="391"/>
      <c r="HN154" s="391"/>
      <c r="HO154" s="391"/>
      <c r="HP154" s="391"/>
      <c r="HQ154" s="391"/>
      <c r="HR154" s="391"/>
      <c r="HS154" s="391"/>
      <c r="HT154" s="391"/>
      <c r="HU154" s="391"/>
      <c r="HV154" s="391"/>
      <c r="HW154" s="391"/>
      <c r="HX154" s="391"/>
      <c r="HY154" s="391"/>
      <c r="HZ154" s="391"/>
      <c r="IA154" s="391"/>
      <c r="IB154" s="391"/>
      <c r="IC154" s="391"/>
      <c r="ID154" s="391"/>
      <c r="IE154" s="391"/>
      <c r="IF154" s="391"/>
      <c r="IG154" s="391"/>
      <c r="IH154" s="391"/>
      <c r="II154" s="391"/>
      <c r="IJ154" s="391"/>
      <c r="IK154" s="391"/>
      <c r="IL154" s="391"/>
      <c r="IM154" s="391"/>
      <c r="IN154" s="391"/>
      <c r="IO154" s="391"/>
      <c r="IP154" s="391"/>
      <c r="IQ154" s="391"/>
      <c r="IR154" s="391"/>
      <c r="IS154" s="391"/>
      <c r="IT154" s="391"/>
      <c r="IU154" s="391"/>
      <c r="IV154" s="391"/>
      <c r="IW154" s="391"/>
      <c r="IX154" s="391"/>
      <c r="IY154" s="391"/>
      <c r="IZ154" s="391"/>
      <c r="JA154" s="391"/>
      <c r="JB154" s="391"/>
      <c r="JC154" s="391"/>
      <c r="JD154" s="391"/>
      <c r="JE154" s="391"/>
      <c r="JF154" s="391"/>
      <c r="JG154" s="391"/>
      <c r="JH154" s="391"/>
      <c r="JI154" s="393">
        <f t="shared" si="5"/>
        <v>0</v>
      </c>
      <c r="JJ154" s="2">
        <v>6430</v>
      </c>
      <c r="JK154" s="392">
        <f t="shared" si="6"/>
        <v>0</v>
      </c>
      <c r="JL154" s="391"/>
      <c r="JM154" s="392"/>
      <c r="JN154" s="392"/>
      <c r="JO154" s="392"/>
      <c r="JP154" s="392"/>
    </row>
    <row r="155" spans="1:276" x14ac:dyDescent="0.3">
      <c r="A155" s="391"/>
      <c r="B155" s="391"/>
      <c r="C155" s="391"/>
      <c r="D155" s="391"/>
      <c r="E155" s="391"/>
      <c r="F155" s="391"/>
      <c r="G155" s="391"/>
      <c r="H155" s="391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391"/>
      <c r="X155" s="391"/>
      <c r="Y155" s="391"/>
      <c r="Z155" s="391"/>
      <c r="AA155" s="391"/>
      <c r="AB155" s="391"/>
      <c r="AC155" s="391"/>
      <c r="AD155" s="391"/>
      <c r="AE155" s="391"/>
      <c r="AF155" s="391"/>
      <c r="AG155" s="391"/>
      <c r="AH155" s="391"/>
      <c r="AI155" s="391"/>
      <c r="AJ155" s="391"/>
      <c r="AK155" s="391"/>
      <c r="AL155" s="391"/>
      <c r="AM155" s="391"/>
      <c r="AN155" s="391"/>
      <c r="AO155" s="391"/>
      <c r="AP155" s="391"/>
      <c r="AQ155" s="391"/>
      <c r="AR155" s="391"/>
      <c r="AS155" s="391"/>
      <c r="AT155" s="391"/>
      <c r="AU155" s="391"/>
      <c r="AV155" s="391"/>
      <c r="AW155" s="391"/>
      <c r="AX155" s="391"/>
      <c r="AY155" s="391"/>
      <c r="AZ155" s="391"/>
      <c r="BA155" s="391"/>
      <c r="BB155" s="391"/>
      <c r="BC155" s="391"/>
      <c r="BD155" s="391"/>
      <c r="BE155" s="391"/>
      <c r="BF155" s="391"/>
      <c r="BG155" s="391"/>
      <c r="BH155" s="391"/>
      <c r="BI155" s="391"/>
      <c r="BJ155" s="391"/>
      <c r="BK155" s="391"/>
      <c r="BL155" s="391"/>
      <c r="BM155" s="391"/>
      <c r="BN155" s="391"/>
      <c r="BO155" s="391"/>
      <c r="BP155" s="391"/>
      <c r="BQ155" s="391"/>
      <c r="BR155" s="391"/>
      <c r="BS155" s="391"/>
      <c r="BT155" s="391"/>
      <c r="BU155" s="391"/>
      <c r="BV155" s="391"/>
      <c r="BW155" s="391"/>
      <c r="BX155" s="391"/>
      <c r="BY155" s="391"/>
      <c r="BZ155" s="391"/>
      <c r="CA155" s="391"/>
      <c r="CB155" s="391"/>
      <c r="CC155" s="391"/>
      <c r="CD155" s="391"/>
      <c r="CE155" s="391"/>
      <c r="CF155" s="391"/>
      <c r="CG155" s="391"/>
      <c r="CH155" s="391"/>
      <c r="CI155" s="391"/>
      <c r="CJ155" s="391"/>
      <c r="CK155" s="391"/>
      <c r="CL155" s="391"/>
      <c r="CM155" s="391"/>
      <c r="CN155" s="391"/>
      <c r="CO155" s="391"/>
      <c r="CP155" s="391"/>
      <c r="CQ155" s="391"/>
      <c r="CR155" s="391"/>
      <c r="CS155" s="391"/>
      <c r="CT155" s="391"/>
      <c r="CU155" s="391"/>
      <c r="CV155" s="391"/>
      <c r="CW155" s="391"/>
      <c r="CX155" s="391"/>
      <c r="CY155" s="391"/>
      <c r="CZ155" s="391"/>
      <c r="DA155" s="391"/>
      <c r="DB155" s="391"/>
      <c r="DC155" s="391"/>
      <c r="DD155" s="391"/>
      <c r="DE155" s="391"/>
      <c r="DF155" s="391"/>
      <c r="DG155" s="391"/>
      <c r="DH155" s="391"/>
      <c r="DI155" s="391"/>
      <c r="DJ155" s="391"/>
      <c r="DK155" s="391"/>
      <c r="DL155" s="391"/>
      <c r="DM155" s="391"/>
      <c r="DN155" s="391"/>
      <c r="DO155" s="391"/>
      <c r="DP155" s="391"/>
      <c r="DQ155" s="391"/>
      <c r="DR155" s="391"/>
      <c r="DS155" s="391"/>
      <c r="DT155" s="391"/>
      <c r="DU155" s="391"/>
      <c r="DV155" s="391"/>
      <c r="DW155" s="391"/>
      <c r="DX155" s="391"/>
      <c r="DY155" s="391"/>
      <c r="DZ155" s="391"/>
      <c r="EA155" s="391"/>
      <c r="EB155" s="391"/>
      <c r="EC155" s="391"/>
      <c r="ED155" s="391"/>
      <c r="EE155" s="391"/>
      <c r="EF155" s="391"/>
      <c r="EG155" s="391"/>
      <c r="EH155" s="391"/>
      <c r="EI155" s="391"/>
      <c r="EJ155" s="391"/>
      <c r="EK155" s="391"/>
      <c r="EL155" s="391"/>
      <c r="EM155" s="391"/>
      <c r="EN155" s="391"/>
      <c r="EO155" s="391"/>
      <c r="EP155" s="391"/>
      <c r="EQ155" s="391"/>
      <c r="ER155" s="391"/>
      <c r="ES155" s="391"/>
      <c r="ET155" s="391"/>
      <c r="EU155" s="391"/>
      <c r="EV155" s="391"/>
      <c r="EW155" s="391"/>
      <c r="EX155" s="391"/>
      <c r="EY155" s="391"/>
      <c r="EZ155" s="391"/>
      <c r="FA155" s="391"/>
      <c r="FB155" s="391"/>
      <c r="FC155" s="391"/>
      <c r="FD155" s="391"/>
      <c r="FE155" s="391"/>
      <c r="FF155" s="391"/>
      <c r="FG155" s="391"/>
      <c r="FH155" s="391"/>
      <c r="FI155" s="391"/>
      <c r="FJ155" s="391"/>
      <c r="FK155" s="391"/>
      <c r="FL155" s="391"/>
      <c r="FM155" s="391"/>
      <c r="FN155" s="391"/>
      <c r="FO155" s="391"/>
      <c r="FP155" s="391"/>
      <c r="FQ155" s="391"/>
      <c r="FR155" s="391"/>
      <c r="FS155" s="391"/>
      <c r="FT155" s="391"/>
      <c r="FU155" s="391"/>
      <c r="FV155" s="391"/>
      <c r="FW155" s="391"/>
      <c r="FX155" s="391"/>
      <c r="FY155" s="391"/>
      <c r="FZ155" s="391"/>
      <c r="GA155" s="391"/>
      <c r="GB155" s="391"/>
      <c r="GC155" s="391"/>
      <c r="GD155" s="391"/>
      <c r="GE155" s="391"/>
      <c r="GF155" s="391"/>
      <c r="GG155" s="391"/>
      <c r="GH155" s="391"/>
      <c r="GI155" s="391"/>
      <c r="GJ155" s="391"/>
      <c r="GK155" s="391"/>
      <c r="GL155" s="391"/>
      <c r="GM155" s="391"/>
      <c r="GN155" s="391"/>
      <c r="GO155" s="391"/>
      <c r="GP155" s="391"/>
      <c r="GQ155" s="391"/>
      <c r="GR155" s="391"/>
      <c r="GS155" s="391"/>
      <c r="GT155" s="391"/>
      <c r="GU155" s="391"/>
      <c r="GV155" s="391"/>
      <c r="GW155" s="391"/>
      <c r="GX155" s="391"/>
      <c r="GY155" s="391"/>
      <c r="GZ155" s="391"/>
      <c r="HA155" s="391"/>
      <c r="HB155" s="391"/>
      <c r="HC155" s="391"/>
      <c r="HD155" s="391"/>
      <c r="HE155" s="391"/>
      <c r="HF155" s="391"/>
      <c r="HG155" s="391"/>
      <c r="HH155" s="391"/>
      <c r="HI155" s="391"/>
      <c r="HJ155" s="391"/>
      <c r="HK155" s="391"/>
      <c r="HL155" s="391"/>
      <c r="HM155" s="391"/>
      <c r="HN155" s="391"/>
      <c r="HO155" s="391"/>
      <c r="HP155" s="391"/>
      <c r="HQ155" s="391"/>
      <c r="HR155" s="391"/>
      <c r="HS155" s="391"/>
      <c r="HT155" s="391"/>
      <c r="HU155" s="391"/>
      <c r="HV155" s="391"/>
      <c r="HW155" s="391"/>
      <c r="HX155" s="391"/>
      <c r="HY155" s="391"/>
      <c r="HZ155" s="391"/>
      <c r="IA155" s="391"/>
      <c r="IB155" s="391"/>
      <c r="IC155" s="391"/>
      <c r="ID155" s="391"/>
      <c r="IE155" s="391"/>
      <c r="IF155" s="391"/>
      <c r="IG155" s="391"/>
      <c r="IH155" s="391"/>
      <c r="II155" s="391"/>
      <c r="IJ155" s="391"/>
      <c r="IK155" s="391"/>
      <c r="IL155" s="391"/>
      <c r="IM155" s="391"/>
      <c r="IN155" s="391"/>
      <c r="IO155" s="391"/>
      <c r="IP155" s="391"/>
      <c r="IQ155" s="391"/>
      <c r="IR155" s="391"/>
      <c r="IS155" s="391"/>
      <c r="IT155" s="391"/>
      <c r="IU155" s="391"/>
      <c r="IV155" s="391"/>
      <c r="IW155" s="391"/>
      <c r="IX155" s="391"/>
      <c r="IY155" s="391"/>
      <c r="IZ155" s="391"/>
      <c r="JA155" s="391"/>
      <c r="JB155" s="391"/>
      <c r="JC155" s="391"/>
      <c r="JD155" s="391"/>
      <c r="JE155" s="391"/>
      <c r="JF155" s="391"/>
      <c r="JG155" s="391"/>
      <c r="JH155" s="391"/>
      <c r="JI155" s="393">
        <f t="shared" si="5"/>
        <v>0</v>
      </c>
      <c r="JJ155" s="2">
        <v>6434</v>
      </c>
      <c r="JK155" s="392">
        <f t="shared" si="6"/>
        <v>0</v>
      </c>
      <c r="JL155" s="391"/>
      <c r="JM155" s="392"/>
      <c r="JN155" s="392"/>
      <c r="JO155" s="392"/>
      <c r="JP155" s="392"/>
    </row>
    <row r="156" spans="1:276" x14ac:dyDescent="0.3">
      <c r="A156" s="391"/>
      <c r="B156" s="391"/>
      <c r="C156" s="391"/>
      <c r="D156" s="391"/>
      <c r="E156" s="391"/>
      <c r="F156" s="391"/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  <c r="X156" s="391"/>
      <c r="Y156" s="391"/>
      <c r="Z156" s="391"/>
      <c r="AA156" s="391"/>
      <c r="AB156" s="391"/>
      <c r="AC156" s="391"/>
      <c r="AD156" s="391"/>
      <c r="AE156" s="391"/>
      <c r="AF156" s="391"/>
      <c r="AG156" s="391"/>
      <c r="AH156" s="391"/>
      <c r="AI156" s="391"/>
      <c r="AJ156" s="391"/>
      <c r="AK156" s="391"/>
      <c r="AL156" s="391"/>
      <c r="AM156" s="391"/>
      <c r="AN156" s="391"/>
      <c r="AO156" s="391"/>
      <c r="AP156" s="391"/>
      <c r="AQ156" s="391"/>
      <c r="AR156" s="391"/>
      <c r="AS156" s="391"/>
      <c r="AT156" s="391"/>
      <c r="AU156" s="391"/>
      <c r="AV156" s="391"/>
      <c r="AW156" s="391"/>
      <c r="AX156" s="391"/>
      <c r="AY156" s="391"/>
      <c r="AZ156" s="391"/>
      <c r="BA156" s="391"/>
      <c r="BB156" s="391"/>
      <c r="BC156" s="391"/>
      <c r="BD156" s="391"/>
      <c r="BE156" s="391"/>
      <c r="BF156" s="391"/>
      <c r="BG156" s="391"/>
      <c r="BH156" s="391"/>
      <c r="BI156" s="391"/>
      <c r="BJ156" s="391"/>
      <c r="BK156" s="391"/>
      <c r="BL156" s="391"/>
      <c r="BM156" s="391"/>
      <c r="BN156" s="391"/>
      <c r="BO156" s="391"/>
      <c r="BP156" s="391"/>
      <c r="BQ156" s="391"/>
      <c r="BR156" s="391"/>
      <c r="BS156" s="391"/>
      <c r="BT156" s="391"/>
      <c r="BU156" s="391"/>
      <c r="BV156" s="391"/>
      <c r="BW156" s="391"/>
      <c r="BX156" s="391"/>
      <c r="BY156" s="391"/>
      <c r="BZ156" s="391"/>
      <c r="CA156" s="391"/>
      <c r="CB156" s="391"/>
      <c r="CC156" s="391"/>
      <c r="CD156" s="391"/>
      <c r="CE156" s="391"/>
      <c r="CF156" s="391"/>
      <c r="CG156" s="391"/>
      <c r="CH156" s="391"/>
      <c r="CI156" s="391"/>
      <c r="CJ156" s="391"/>
      <c r="CK156" s="391"/>
      <c r="CL156" s="391"/>
      <c r="CM156" s="391"/>
      <c r="CN156" s="391"/>
      <c r="CO156" s="391"/>
      <c r="CP156" s="391"/>
      <c r="CQ156" s="391"/>
      <c r="CR156" s="391"/>
      <c r="CS156" s="391"/>
      <c r="CT156" s="391"/>
      <c r="CU156" s="391"/>
      <c r="CV156" s="391"/>
      <c r="CW156" s="391"/>
      <c r="CX156" s="391"/>
      <c r="CY156" s="391"/>
      <c r="CZ156" s="391"/>
      <c r="DA156" s="391"/>
      <c r="DB156" s="391"/>
      <c r="DC156" s="391"/>
      <c r="DD156" s="391"/>
      <c r="DE156" s="391"/>
      <c r="DF156" s="391"/>
      <c r="DG156" s="391"/>
      <c r="DH156" s="391"/>
      <c r="DI156" s="391"/>
      <c r="DJ156" s="391"/>
      <c r="DK156" s="391"/>
      <c r="DL156" s="391"/>
      <c r="DM156" s="391"/>
      <c r="DN156" s="391"/>
      <c r="DO156" s="391"/>
      <c r="DP156" s="391"/>
      <c r="DQ156" s="391"/>
      <c r="DR156" s="391"/>
      <c r="DS156" s="391"/>
      <c r="DT156" s="391"/>
      <c r="DU156" s="391"/>
      <c r="DV156" s="391"/>
      <c r="DW156" s="391"/>
      <c r="DX156" s="391"/>
      <c r="DY156" s="391"/>
      <c r="DZ156" s="391"/>
      <c r="EA156" s="391"/>
      <c r="EB156" s="391"/>
      <c r="EC156" s="391"/>
      <c r="ED156" s="391"/>
      <c r="EE156" s="391"/>
      <c r="EF156" s="391"/>
      <c r="EG156" s="391"/>
      <c r="EH156" s="391"/>
      <c r="EI156" s="391"/>
      <c r="EJ156" s="391"/>
      <c r="EK156" s="391"/>
      <c r="EL156" s="391"/>
      <c r="EM156" s="391"/>
      <c r="EN156" s="391"/>
      <c r="EO156" s="391"/>
      <c r="EP156" s="391"/>
      <c r="EQ156" s="391"/>
      <c r="ER156" s="391"/>
      <c r="ES156" s="391"/>
      <c r="ET156" s="391"/>
      <c r="EU156" s="391"/>
      <c r="EV156" s="391"/>
      <c r="EW156" s="391"/>
      <c r="EX156" s="391"/>
      <c r="EY156" s="391"/>
      <c r="EZ156" s="391"/>
      <c r="FA156" s="391"/>
      <c r="FB156" s="391"/>
      <c r="FC156" s="391"/>
      <c r="FD156" s="391"/>
      <c r="FE156" s="391"/>
      <c r="FF156" s="391"/>
      <c r="FG156" s="391"/>
      <c r="FH156" s="391"/>
      <c r="FI156" s="391"/>
      <c r="FJ156" s="391"/>
      <c r="FK156" s="391"/>
      <c r="FL156" s="391"/>
      <c r="FM156" s="391"/>
      <c r="FN156" s="391"/>
      <c r="FO156" s="391"/>
      <c r="FP156" s="391"/>
      <c r="FQ156" s="391"/>
      <c r="FR156" s="391"/>
      <c r="FS156" s="391"/>
      <c r="FT156" s="391"/>
      <c r="FU156" s="391"/>
      <c r="FV156" s="391"/>
      <c r="FW156" s="391"/>
      <c r="FX156" s="391"/>
      <c r="FY156" s="391"/>
      <c r="FZ156" s="391"/>
      <c r="GA156" s="391"/>
      <c r="GB156" s="391"/>
      <c r="GC156" s="391"/>
      <c r="GD156" s="391"/>
      <c r="GE156" s="391"/>
      <c r="GF156" s="391"/>
      <c r="GG156" s="391"/>
      <c r="GH156" s="391"/>
      <c r="GI156" s="391"/>
      <c r="GJ156" s="391"/>
      <c r="GK156" s="391"/>
      <c r="GL156" s="391"/>
      <c r="GM156" s="391"/>
      <c r="GN156" s="391"/>
      <c r="GO156" s="391"/>
      <c r="GP156" s="391"/>
      <c r="GQ156" s="391"/>
      <c r="GR156" s="391"/>
      <c r="GS156" s="391"/>
      <c r="GT156" s="391"/>
      <c r="GU156" s="391"/>
      <c r="GV156" s="391"/>
      <c r="GW156" s="391"/>
      <c r="GX156" s="391"/>
      <c r="GY156" s="391"/>
      <c r="GZ156" s="391"/>
      <c r="HA156" s="391"/>
      <c r="HB156" s="391"/>
      <c r="HC156" s="391"/>
      <c r="HD156" s="391"/>
      <c r="HE156" s="391"/>
      <c r="HF156" s="391"/>
      <c r="HG156" s="391"/>
      <c r="HH156" s="391"/>
      <c r="HI156" s="391"/>
      <c r="HJ156" s="391"/>
      <c r="HK156" s="391"/>
      <c r="HL156" s="391"/>
      <c r="HM156" s="391"/>
      <c r="HN156" s="391"/>
      <c r="HO156" s="391"/>
      <c r="HP156" s="391"/>
      <c r="HQ156" s="391"/>
      <c r="HR156" s="391"/>
      <c r="HS156" s="391"/>
      <c r="HT156" s="391"/>
      <c r="HU156" s="391"/>
      <c r="HV156" s="391"/>
      <c r="HW156" s="391"/>
      <c r="HX156" s="391"/>
      <c r="HY156" s="391"/>
      <c r="HZ156" s="391"/>
      <c r="IA156" s="391"/>
      <c r="IB156" s="391"/>
      <c r="IC156" s="391"/>
      <c r="ID156" s="391"/>
      <c r="IE156" s="391"/>
      <c r="IF156" s="391"/>
      <c r="IG156" s="391"/>
      <c r="IH156" s="391"/>
      <c r="II156" s="391"/>
      <c r="IJ156" s="391"/>
      <c r="IK156" s="391"/>
      <c r="IL156" s="391"/>
      <c r="IM156" s="391"/>
      <c r="IN156" s="391"/>
      <c r="IO156" s="391"/>
      <c r="IP156" s="391"/>
      <c r="IQ156" s="391"/>
      <c r="IR156" s="391"/>
      <c r="IS156" s="391"/>
      <c r="IT156" s="391"/>
      <c r="IU156" s="391"/>
      <c r="IV156" s="391"/>
      <c r="IW156" s="391"/>
      <c r="IX156" s="391"/>
      <c r="IY156" s="391"/>
      <c r="IZ156" s="391"/>
      <c r="JA156" s="391"/>
      <c r="JB156" s="391"/>
      <c r="JC156" s="391"/>
      <c r="JD156" s="391"/>
      <c r="JE156" s="391"/>
      <c r="JF156" s="391"/>
      <c r="JG156" s="391"/>
      <c r="JH156" s="391"/>
      <c r="JI156" s="393">
        <f t="shared" si="5"/>
        <v>0</v>
      </c>
      <c r="JJ156" s="2">
        <v>6438</v>
      </c>
      <c r="JK156" s="392">
        <f t="shared" si="6"/>
        <v>0</v>
      </c>
      <c r="JL156" s="391"/>
      <c r="JM156" s="392"/>
      <c r="JN156" s="392"/>
      <c r="JO156" s="392"/>
      <c r="JP156" s="392"/>
    </row>
    <row r="157" spans="1:27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25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393">
        <f t="shared" si="5"/>
        <v>0</v>
      </c>
      <c r="JJ157" s="2">
        <v>6442</v>
      </c>
      <c r="JK157" s="392">
        <f t="shared" si="6"/>
        <v>0</v>
      </c>
      <c r="JL157" s="391"/>
      <c r="JM157" s="392"/>
      <c r="JN157" s="392"/>
      <c r="JO157" s="392"/>
      <c r="JP157" s="392"/>
    </row>
    <row r="158" spans="1:276" x14ac:dyDescent="0.3">
      <c r="A158" s="391"/>
      <c r="B158" s="391"/>
      <c r="C158" s="391"/>
      <c r="D158" s="391"/>
      <c r="E158" s="391"/>
      <c r="F158" s="391"/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  <c r="X158" s="391"/>
      <c r="Y158" s="391"/>
      <c r="Z158" s="391"/>
      <c r="AA158" s="391"/>
      <c r="AB158" s="391"/>
      <c r="AC158" s="391"/>
      <c r="AD158" s="391"/>
      <c r="AE158" s="391"/>
      <c r="AF158" s="391"/>
      <c r="AG158" s="391"/>
      <c r="AH158" s="391"/>
      <c r="AI158" s="391"/>
      <c r="AJ158" s="391"/>
      <c r="AK158" s="391"/>
      <c r="AL158" s="391"/>
      <c r="AM158" s="391"/>
      <c r="AN158" s="391"/>
      <c r="AO158" s="391"/>
      <c r="AP158" s="391"/>
      <c r="AQ158" s="391"/>
      <c r="AR158" s="391"/>
      <c r="AS158" s="391"/>
      <c r="AT158" s="391"/>
      <c r="AU158" s="391"/>
      <c r="AV158" s="391"/>
      <c r="AW158" s="391"/>
      <c r="AX158" s="391"/>
      <c r="AY158" s="391"/>
      <c r="AZ158" s="391"/>
      <c r="BA158" s="391"/>
      <c r="BB158" s="391"/>
      <c r="BC158" s="391"/>
      <c r="BD158" s="391"/>
      <c r="BE158" s="391"/>
      <c r="BF158" s="391"/>
      <c r="BG158" s="391"/>
      <c r="BH158" s="391"/>
      <c r="BI158" s="391"/>
      <c r="BJ158" s="391"/>
      <c r="BK158" s="391"/>
      <c r="BL158" s="391"/>
      <c r="BM158" s="391"/>
      <c r="BN158" s="391"/>
      <c r="BO158" s="391"/>
      <c r="BP158" s="391"/>
      <c r="BQ158" s="391"/>
      <c r="BR158" s="391"/>
      <c r="BS158" s="391"/>
      <c r="BT158" s="391"/>
      <c r="BU158" s="391"/>
      <c r="BV158" s="391"/>
      <c r="BW158" s="391"/>
      <c r="BX158" s="391"/>
      <c r="BY158" s="391"/>
      <c r="BZ158" s="391"/>
      <c r="CA158" s="391"/>
      <c r="CB158" s="391"/>
      <c r="CC158" s="391"/>
      <c r="CD158" s="391"/>
      <c r="CE158" s="391"/>
      <c r="CF158" s="391"/>
      <c r="CG158" s="391"/>
      <c r="CH158" s="391"/>
      <c r="CI158" s="391"/>
      <c r="CJ158" s="391"/>
      <c r="CK158" s="391"/>
      <c r="CL158" s="391"/>
      <c r="CM158" s="391"/>
      <c r="CN158" s="391"/>
      <c r="CO158" s="391"/>
      <c r="CP158" s="391"/>
      <c r="CQ158" s="391"/>
      <c r="CR158" s="391"/>
      <c r="CS158" s="391"/>
      <c r="CT158" s="391"/>
      <c r="CU158" s="391"/>
      <c r="CV158" s="391"/>
      <c r="CW158" s="391"/>
      <c r="CX158" s="391"/>
      <c r="CY158" s="391"/>
      <c r="CZ158" s="391"/>
      <c r="DA158" s="391"/>
      <c r="DB158" s="391"/>
      <c r="DC158" s="391"/>
      <c r="DD158" s="391"/>
      <c r="DE158" s="391"/>
      <c r="DF158" s="391"/>
      <c r="DG158" s="391"/>
      <c r="DH158" s="391"/>
      <c r="DI158" s="391"/>
      <c r="DJ158" s="391"/>
      <c r="DK158" s="391"/>
      <c r="DL158" s="391"/>
      <c r="DM158" s="391"/>
      <c r="DN158" s="391"/>
      <c r="DO158" s="391"/>
      <c r="DP158" s="391"/>
      <c r="DQ158" s="391"/>
      <c r="DR158" s="391"/>
      <c r="DS158" s="391"/>
      <c r="DT158" s="391"/>
      <c r="DU158" s="391"/>
      <c r="DV158" s="391"/>
      <c r="DW158" s="391"/>
      <c r="DX158" s="391"/>
      <c r="DY158" s="391"/>
      <c r="DZ158" s="391"/>
      <c r="EA158" s="391"/>
      <c r="EB158" s="391"/>
      <c r="EC158" s="391"/>
      <c r="ED158" s="391"/>
      <c r="EE158" s="391"/>
      <c r="EF158" s="391"/>
      <c r="EG158" s="391"/>
      <c r="EH158" s="391"/>
      <c r="EI158" s="391"/>
      <c r="EJ158" s="391"/>
      <c r="EK158" s="391"/>
      <c r="EL158" s="391"/>
      <c r="EM158" s="391"/>
      <c r="EN158" s="391"/>
      <c r="EO158" s="391"/>
      <c r="EP158" s="391"/>
      <c r="EQ158" s="391"/>
      <c r="ER158" s="391"/>
      <c r="ES158" s="391"/>
      <c r="ET158" s="391"/>
      <c r="EU158" s="391"/>
      <c r="EV158" s="391"/>
      <c r="EW158" s="391"/>
      <c r="EX158" s="391"/>
      <c r="EY158" s="391"/>
      <c r="EZ158" s="391"/>
      <c r="FA158" s="391"/>
      <c r="FB158" s="391"/>
      <c r="FC158" s="391"/>
      <c r="FD158" s="391"/>
      <c r="FE158" s="391"/>
      <c r="FF158" s="391"/>
      <c r="FG158" s="391"/>
      <c r="FH158" s="391"/>
      <c r="FI158" s="391"/>
      <c r="FJ158" s="391"/>
      <c r="FK158" s="391"/>
      <c r="FL158" s="391"/>
      <c r="FM158" s="391"/>
      <c r="FN158" s="391"/>
      <c r="FO158" s="391"/>
      <c r="FP158" s="391"/>
      <c r="FQ158" s="391"/>
      <c r="FR158" s="391"/>
      <c r="FS158" s="391"/>
      <c r="FT158" s="391"/>
      <c r="FU158" s="391"/>
      <c r="FV158" s="391"/>
      <c r="FW158" s="391"/>
      <c r="FX158" s="391"/>
      <c r="FY158" s="391"/>
      <c r="FZ158" s="391"/>
      <c r="GA158" s="391"/>
      <c r="GB158" s="391"/>
      <c r="GC158" s="391"/>
      <c r="GD158" s="391"/>
      <c r="GE158" s="391"/>
      <c r="GF158" s="391"/>
      <c r="GG158" s="391"/>
      <c r="GH158" s="391"/>
      <c r="GI158" s="391"/>
      <c r="GJ158" s="391"/>
      <c r="GK158" s="391"/>
      <c r="GL158" s="391"/>
      <c r="GM158" s="391"/>
      <c r="GN158" s="391"/>
      <c r="GO158" s="391"/>
      <c r="GP158" s="391"/>
      <c r="GQ158" s="391"/>
      <c r="GR158" s="391"/>
      <c r="GS158" s="391"/>
      <c r="GT158" s="391"/>
      <c r="GU158" s="391"/>
      <c r="GV158" s="391"/>
      <c r="GW158" s="391"/>
      <c r="GX158" s="391"/>
      <c r="GY158" s="391"/>
      <c r="GZ158" s="391"/>
      <c r="HA158" s="391"/>
      <c r="HB158" s="391"/>
      <c r="HC158" s="391"/>
      <c r="HD158" s="391"/>
      <c r="HE158" s="391"/>
      <c r="HF158" s="391"/>
      <c r="HG158" s="391"/>
      <c r="HH158" s="391"/>
      <c r="HI158" s="391"/>
      <c r="HJ158" s="391"/>
      <c r="HK158" s="391"/>
      <c r="HL158" s="391"/>
      <c r="HM158" s="391"/>
      <c r="HN158" s="391"/>
      <c r="HO158" s="391"/>
      <c r="HP158" s="391"/>
      <c r="HQ158" s="391"/>
      <c r="HR158" s="391"/>
      <c r="HS158" s="391"/>
      <c r="HT158" s="391"/>
      <c r="HU158" s="391"/>
      <c r="HV158" s="391"/>
      <c r="HW158" s="391"/>
      <c r="HX158" s="391"/>
      <c r="HY158" s="391"/>
      <c r="HZ158" s="391"/>
      <c r="IA158" s="391"/>
      <c r="IB158" s="391"/>
      <c r="IC158" s="391"/>
      <c r="ID158" s="391"/>
      <c r="IE158" s="391"/>
      <c r="IF158" s="391"/>
      <c r="IG158" s="391"/>
      <c r="IH158" s="391"/>
      <c r="II158" s="391"/>
      <c r="IJ158" s="391"/>
      <c r="IK158" s="391"/>
      <c r="IL158" s="391"/>
      <c r="IM158" s="391"/>
      <c r="IN158" s="391"/>
      <c r="IO158" s="391"/>
      <c r="IP158" s="391"/>
      <c r="IQ158" s="391"/>
      <c r="IR158" s="391"/>
      <c r="IS158" s="391"/>
      <c r="IT158" s="391"/>
      <c r="IU158" s="391"/>
      <c r="IV158" s="391"/>
      <c r="IW158" s="391"/>
      <c r="IX158" s="391"/>
      <c r="IY158" s="391"/>
      <c r="IZ158" s="391"/>
      <c r="JA158" s="391"/>
      <c r="JB158" s="391"/>
      <c r="JC158" s="391"/>
      <c r="JD158" s="391"/>
      <c r="JE158" s="391"/>
      <c r="JF158" s="391"/>
      <c r="JG158" s="391"/>
      <c r="JH158" s="391"/>
      <c r="JI158" s="393">
        <f t="shared" si="5"/>
        <v>0</v>
      </c>
      <c r="JJ158" s="2">
        <v>6446</v>
      </c>
      <c r="JK158" s="392">
        <f t="shared" si="6"/>
        <v>0</v>
      </c>
      <c r="JL158" s="391"/>
      <c r="JM158" s="392"/>
      <c r="JN158" s="392"/>
      <c r="JO158" s="392"/>
      <c r="JP158" s="392"/>
    </row>
    <row r="159" spans="1:276" x14ac:dyDescent="0.3">
      <c r="A159" s="391"/>
      <c r="B159" s="391"/>
      <c r="C159" s="391"/>
      <c r="D159" s="391"/>
      <c r="E159" s="391"/>
      <c r="F159" s="391"/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391"/>
      <c r="X159" s="391"/>
      <c r="Y159" s="391"/>
      <c r="Z159" s="391"/>
      <c r="AA159" s="391"/>
      <c r="AB159" s="391"/>
      <c r="AC159" s="391"/>
      <c r="AD159" s="391"/>
      <c r="AE159" s="391"/>
      <c r="AF159" s="391"/>
      <c r="AG159" s="391"/>
      <c r="AH159" s="391"/>
      <c r="AI159" s="391"/>
      <c r="AJ159" s="391"/>
      <c r="AK159" s="391"/>
      <c r="AL159" s="391"/>
      <c r="AM159" s="391"/>
      <c r="AN159" s="391"/>
      <c r="AO159" s="391"/>
      <c r="AP159" s="391"/>
      <c r="AQ159" s="391"/>
      <c r="AR159" s="391"/>
      <c r="AS159" s="391"/>
      <c r="AT159" s="391"/>
      <c r="AU159" s="391"/>
      <c r="AV159" s="391"/>
      <c r="AW159" s="391"/>
      <c r="AX159" s="391"/>
      <c r="AY159" s="391"/>
      <c r="AZ159" s="391"/>
      <c r="BA159" s="391"/>
      <c r="BB159" s="391"/>
      <c r="BC159" s="391"/>
      <c r="BD159" s="391"/>
      <c r="BE159" s="391"/>
      <c r="BF159" s="391"/>
      <c r="BG159" s="391"/>
      <c r="BH159" s="391"/>
      <c r="BI159" s="391"/>
      <c r="BJ159" s="391"/>
      <c r="BK159" s="391"/>
      <c r="BL159" s="391"/>
      <c r="BM159" s="391"/>
      <c r="BN159" s="391"/>
      <c r="BO159" s="391"/>
      <c r="BP159" s="391"/>
      <c r="BQ159" s="391"/>
      <c r="BR159" s="391"/>
      <c r="BS159" s="391"/>
      <c r="BT159" s="391"/>
      <c r="BU159" s="391"/>
      <c r="BV159" s="391"/>
      <c r="BW159" s="391"/>
      <c r="BX159" s="391"/>
      <c r="BY159" s="391"/>
      <c r="BZ159" s="391"/>
      <c r="CA159" s="391"/>
      <c r="CB159" s="391"/>
      <c r="CC159" s="391"/>
      <c r="CD159" s="391"/>
      <c r="CE159" s="391"/>
      <c r="CF159" s="391"/>
      <c r="CG159" s="391"/>
      <c r="CH159" s="391"/>
      <c r="CI159" s="391"/>
      <c r="CJ159" s="391"/>
      <c r="CK159" s="391"/>
      <c r="CL159" s="391"/>
      <c r="CM159" s="391"/>
      <c r="CN159" s="391"/>
      <c r="CO159" s="391"/>
      <c r="CP159" s="391"/>
      <c r="CQ159" s="391"/>
      <c r="CR159" s="391"/>
      <c r="CS159" s="391"/>
      <c r="CT159" s="391"/>
      <c r="CU159" s="391"/>
      <c r="CV159" s="391"/>
      <c r="CW159" s="391"/>
      <c r="CX159" s="391"/>
      <c r="CY159" s="391"/>
      <c r="CZ159" s="391"/>
      <c r="DA159" s="391"/>
      <c r="DB159" s="391"/>
      <c r="DC159" s="391"/>
      <c r="DD159" s="391"/>
      <c r="DE159" s="391"/>
      <c r="DF159" s="391"/>
      <c r="DG159" s="391"/>
      <c r="DH159" s="391"/>
      <c r="DI159" s="391"/>
      <c r="DJ159" s="391"/>
      <c r="DK159" s="391"/>
      <c r="DL159" s="391"/>
      <c r="DM159" s="391"/>
      <c r="DN159" s="391"/>
      <c r="DO159" s="391"/>
      <c r="DP159" s="391"/>
      <c r="DQ159" s="391"/>
      <c r="DR159" s="391"/>
      <c r="DS159" s="391"/>
      <c r="DT159" s="391"/>
      <c r="DU159" s="391"/>
      <c r="DV159" s="391"/>
      <c r="DW159" s="391"/>
      <c r="DX159" s="391"/>
      <c r="DY159" s="391"/>
      <c r="DZ159" s="391"/>
      <c r="EA159" s="391"/>
      <c r="EB159" s="391"/>
      <c r="EC159" s="391"/>
      <c r="ED159" s="391"/>
      <c r="EE159" s="391"/>
      <c r="EF159" s="391"/>
      <c r="EG159" s="391"/>
      <c r="EH159" s="391"/>
      <c r="EI159" s="391"/>
      <c r="EJ159" s="391"/>
      <c r="EK159" s="391"/>
      <c r="EL159" s="391"/>
      <c r="EM159" s="391"/>
      <c r="EN159" s="391"/>
      <c r="EO159" s="391"/>
      <c r="EP159" s="391"/>
      <c r="EQ159" s="391"/>
      <c r="ER159" s="391"/>
      <c r="ES159" s="391"/>
      <c r="ET159" s="391"/>
      <c r="EU159" s="391"/>
      <c r="EV159" s="391"/>
      <c r="EW159" s="391"/>
      <c r="EX159" s="391"/>
      <c r="EY159" s="391"/>
      <c r="EZ159" s="391"/>
      <c r="FA159" s="391"/>
      <c r="FB159" s="391"/>
      <c r="FC159" s="391"/>
      <c r="FD159" s="391"/>
      <c r="FE159" s="391"/>
      <c r="FF159" s="391"/>
      <c r="FG159" s="391"/>
      <c r="FH159" s="391"/>
      <c r="FI159" s="391"/>
      <c r="FJ159" s="391"/>
      <c r="FK159" s="391"/>
      <c r="FL159" s="391"/>
      <c r="FM159" s="391"/>
      <c r="FN159" s="391"/>
      <c r="FO159" s="391"/>
      <c r="FP159" s="391"/>
      <c r="FQ159" s="391"/>
      <c r="FR159" s="391"/>
      <c r="FS159" s="391"/>
      <c r="FT159" s="391"/>
      <c r="FU159" s="391"/>
      <c r="FV159" s="391"/>
      <c r="FW159" s="391"/>
      <c r="FX159" s="391"/>
      <c r="FY159" s="391"/>
      <c r="FZ159" s="391"/>
      <c r="GA159" s="391"/>
      <c r="GB159" s="391"/>
      <c r="GC159" s="391"/>
      <c r="GD159" s="391"/>
      <c r="GE159" s="391"/>
      <c r="GF159" s="391"/>
      <c r="GG159" s="391"/>
      <c r="GH159" s="391"/>
      <c r="GI159" s="391"/>
      <c r="GJ159" s="391"/>
      <c r="GK159" s="391"/>
      <c r="GL159" s="391"/>
      <c r="GM159" s="391"/>
      <c r="GN159" s="391"/>
      <c r="GO159" s="391"/>
      <c r="GP159" s="391"/>
      <c r="GQ159" s="391"/>
      <c r="GR159" s="391"/>
      <c r="GS159" s="391"/>
      <c r="GT159" s="391"/>
      <c r="GU159" s="391"/>
      <c r="GV159" s="391"/>
      <c r="GW159" s="391"/>
      <c r="GX159" s="391"/>
      <c r="GY159" s="391"/>
      <c r="GZ159" s="391"/>
      <c r="HA159" s="391"/>
      <c r="HB159" s="391"/>
      <c r="HC159" s="391"/>
      <c r="HD159" s="391"/>
      <c r="HE159" s="391"/>
      <c r="HF159" s="391"/>
      <c r="HG159" s="391"/>
      <c r="HH159" s="391"/>
      <c r="HI159" s="391"/>
      <c r="HJ159" s="391"/>
      <c r="HK159" s="391"/>
      <c r="HL159" s="391"/>
      <c r="HM159" s="391"/>
      <c r="HN159" s="391"/>
      <c r="HO159" s="391"/>
      <c r="HP159" s="391"/>
      <c r="HQ159" s="391"/>
      <c r="HR159" s="391"/>
      <c r="HS159" s="391"/>
      <c r="HT159" s="391"/>
      <c r="HU159" s="391"/>
      <c r="HV159" s="391"/>
      <c r="HW159" s="391"/>
      <c r="HX159" s="391"/>
      <c r="HY159" s="391"/>
      <c r="HZ159" s="391"/>
      <c r="IA159" s="391"/>
      <c r="IB159" s="391"/>
      <c r="IC159" s="391"/>
      <c r="ID159" s="391"/>
      <c r="IE159" s="391"/>
      <c r="IF159" s="391"/>
      <c r="IG159" s="391"/>
      <c r="IH159" s="391"/>
      <c r="II159" s="391"/>
      <c r="IJ159" s="391"/>
      <c r="IK159" s="391"/>
      <c r="IL159" s="391"/>
      <c r="IM159" s="391"/>
      <c r="IN159" s="391"/>
      <c r="IO159" s="391"/>
      <c r="IP159" s="391"/>
      <c r="IQ159" s="391"/>
      <c r="IR159" s="391"/>
      <c r="IS159" s="391"/>
      <c r="IT159" s="391"/>
      <c r="IU159" s="391"/>
      <c r="IV159" s="391"/>
      <c r="IW159" s="391"/>
      <c r="IX159" s="391"/>
      <c r="IY159" s="391"/>
      <c r="IZ159" s="391"/>
      <c r="JA159" s="391"/>
      <c r="JB159" s="391"/>
      <c r="JC159" s="391"/>
      <c r="JD159" s="391"/>
      <c r="JE159" s="391"/>
      <c r="JF159" s="391"/>
      <c r="JG159" s="391"/>
      <c r="JH159" s="391"/>
      <c r="JI159" s="393">
        <f t="shared" si="5"/>
        <v>0</v>
      </c>
      <c r="JJ159" s="2">
        <v>6450</v>
      </c>
      <c r="JK159" s="392">
        <f t="shared" si="6"/>
        <v>0</v>
      </c>
      <c r="JL159" s="391"/>
      <c r="JM159" s="392"/>
      <c r="JN159" s="392"/>
      <c r="JO159" s="392"/>
      <c r="JP159" s="392"/>
    </row>
    <row r="160" spans="1:276" x14ac:dyDescent="0.3">
      <c r="A160" s="391"/>
      <c r="B160" s="391"/>
      <c r="C160" s="391"/>
      <c r="D160" s="391"/>
      <c r="E160" s="391"/>
      <c r="F160" s="391"/>
      <c r="G160" s="391"/>
      <c r="H160" s="391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  <c r="T160" s="391"/>
      <c r="U160" s="391"/>
      <c r="V160" s="391"/>
      <c r="W160" s="391"/>
      <c r="X160" s="391"/>
      <c r="Y160" s="391"/>
      <c r="Z160" s="391"/>
      <c r="AA160" s="391"/>
      <c r="AB160" s="391"/>
      <c r="AC160" s="391"/>
      <c r="AD160" s="391"/>
      <c r="AE160" s="391"/>
      <c r="AF160" s="391"/>
      <c r="AG160" s="391"/>
      <c r="AH160" s="391"/>
      <c r="AI160" s="391"/>
      <c r="AJ160" s="391"/>
      <c r="AK160" s="391"/>
      <c r="AL160" s="391"/>
      <c r="AM160" s="391"/>
      <c r="AN160" s="391"/>
      <c r="AO160" s="391"/>
      <c r="AP160" s="391"/>
      <c r="AQ160" s="391"/>
      <c r="AR160" s="391"/>
      <c r="AS160" s="391"/>
      <c r="AT160" s="391"/>
      <c r="AU160" s="391"/>
      <c r="AV160" s="391"/>
      <c r="AW160" s="391"/>
      <c r="AX160" s="391"/>
      <c r="AY160" s="391"/>
      <c r="AZ160" s="391"/>
      <c r="BA160" s="391"/>
      <c r="BB160" s="391"/>
      <c r="BC160" s="391"/>
      <c r="BD160" s="391"/>
      <c r="BE160" s="391"/>
      <c r="BF160" s="391"/>
      <c r="BG160" s="391"/>
      <c r="BH160" s="391"/>
      <c r="BI160" s="391"/>
      <c r="BJ160" s="391"/>
      <c r="BK160" s="391"/>
      <c r="BL160" s="391"/>
      <c r="BM160" s="391"/>
      <c r="BN160" s="391"/>
      <c r="BO160" s="391"/>
      <c r="BP160" s="391"/>
      <c r="BQ160" s="391"/>
      <c r="BR160" s="391"/>
      <c r="BS160" s="391"/>
      <c r="BT160" s="391"/>
      <c r="BU160" s="391"/>
      <c r="BV160" s="391"/>
      <c r="BW160" s="391"/>
      <c r="BX160" s="391"/>
      <c r="BY160" s="391"/>
      <c r="BZ160" s="391"/>
      <c r="CA160" s="391"/>
      <c r="CB160" s="391"/>
      <c r="CC160" s="391"/>
      <c r="CD160" s="391"/>
      <c r="CE160" s="391"/>
      <c r="CF160" s="391"/>
      <c r="CG160" s="391"/>
      <c r="CH160" s="391"/>
      <c r="CI160" s="391"/>
      <c r="CJ160" s="391"/>
      <c r="CK160" s="391"/>
      <c r="CL160" s="391"/>
      <c r="CM160" s="391"/>
      <c r="CN160" s="391"/>
      <c r="CO160" s="391"/>
      <c r="CP160" s="391"/>
      <c r="CQ160" s="391"/>
      <c r="CR160" s="391"/>
      <c r="CS160" s="391"/>
      <c r="CT160" s="391"/>
      <c r="CU160" s="391"/>
      <c r="CV160" s="391"/>
      <c r="CW160" s="391"/>
      <c r="CX160" s="391"/>
      <c r="CY160" s="391"/>
      <c r="CZ160" s="391"/>
      <c r="DA160" s="391"/>
      <c r="DB160" s="391"/>
      <c r="DC160" s="391"/>
      <c r="DD160" s="391"/>
      <c r="DE160" s="391"/>
      <c r="DF160" s="391"/>
      <c r="DG160" s="391"/>
      <c r="DH160" s="391"/>
      <c r="DI160" s="391"/>
      <c r="DJ160" s="391"/>
      <c r="DK160" s="391"/>
      <c r="DL160" s="391"/>
      <c r="DM160" s="391"/>
      <c r="DN160" s="391"/>
      <c r="DO160" s="391"/>
      <c r="DP160" s="391"/>
      <c r="DQ160" s="391"/>
      <c r="DR160" s="391"/>
      <c r="DS160" s="391"/>
      <c r="DT160" s="391"/>
      <c r="DU160" s="391"/>
      <c r="DV160" s="391"/>
      <c r="DW160" s="391"/>
      <c r="DX160" s="391"/>
      <c r="DY160" s="391"/>
      <c r="DZ160" s="391"/>
      <c r="EA160" s="391"/>
      <c r="EB160" s="391"/>
      <c r="EC160" s="391"/>
      <c r="ED160" s="391"/>
      <c r="EE160" s="391"/>
      <c r="EF160" s="391"/>
      <c r="EG160" s="391"/>
      <c r="EH160" s="391"/>
      <c r="EI160" s="391"/>
      <c r="EJ160" s="391"/>
      <c r="EK160" s="391"/>
      <c r="EL160" s="391"/>
      <c r="EM160" s="391"/>
      <c r="EN160" s="391"/>
      <c r="EO160" s="391"/>
      <c r="EP160" s="391"/>
      <c r="EQ160" s="391"/>
      <c r="ER160" s="391"/>
      <c r="ES160" s="391"/>
      <c r="ET160" s="391"/>
      <c r="EU160" s="391"/>
      <c r="EV160" s="391"/>
      <c r="EW160" s="391"/>
      <c r="EX160" s="391"/>
      <c r="EY160" s="391"/>
      <c r="EZ160" s="391"/>
      <c r="FA160" s="391"/>
      <c r="FB160" s="391"/>
      <c r="FC160" s="391"/>
      <c r="FD160" s="391"/>
      <c r="FE160" s="391"/>
      <c r="FF160" s="391"/>
      <c r="FG160" s="391"/>
      <c r="FH160" s="391"/>
      <c r="FI160" s="391"/>
      <c r="FJ160" s="391"/>
      <c r="FK160" s="391"/>
      <c r="FL160" s="391"/>
      <c r="FM160" s="391"/>
      <c r="FN160" s="391"/>
      <c r="FO160" s="391"/>
      <c r="FP160" s="391"/>
      <c r="FQ160" s="391"/>
      <c r="FR160" s="391"/>
      <c r="FS160" s="391"/>
      <c r="FT160" s="391"/>
      <c r="FU160" s="391"/>
      <c r="FV160" s="391"/>
      <c r="FW160" s="391"/>
      <c r="FX160" s="391"/>
      <c r="FY160" s="391"/>
      <c r="FZ160" s="391"/>
      <c r="GA160" s="391"/>
      <c r="GB160" s="391"/>
      <c r="GC160" s="391"/>
      <c r="GD160" s="391"/>
      <c r="GE160" s="391"/>
      <c r="GF160" s="391"/>
      <c r="GG160" s="391"/>
      <c r="GH160" s="391"/>
      <c r="GI160" s="391"/>
      <c r="GJ160" s="391"/>
      <c r="GK160" s="391"/>
      <c r="GL160" s="391"/>
      <c r="GM160" s="391"/>
      <c r="GN160" s="391"/>
      <c r="GO160" s="391"/>
      <c r="GP160" s="391"/>
      <c r="GQ160" s="391"/>
      <c r="GR160" s="391"/>
      <c r="GS160" s="391"/>
      <c r="GT160" s="391"/>
      <c r="GU160" s="391"/>
      <c r="GV160" s="391"/>
      <c r="GW160" s="391"/>
      <c r="GX160" s="391"/>
      <c r="GY160" s="391"/>
      <c r="GZ160" s="391"/>
      <c r="HA160" s="391"/>
      <c r="HB160" s="391"/>
      <c r="HC160" s="391"/>
      <c r="HD160" s="391"/>
      <c r="HE160" s="391"/>
      <c r="HF160" s="391"/>
      <c r="HG160" s="391"/>
      <c r="HH160" s="391"/>
      <c r="HI160" s="391"/>
      <c r="HJ160" s="391"/>
      <c r="HK160" s="391"/>
      <c r="HL160" s="391"/>
      <c r="HM160" s="391"/>
      <c r="HN160" s="391"/>
      <c r="HO160" s="391"/>
      <c r="HP160" s="391"/>
      <c r="HQ160" s="391"/>
      <c r="HR160" s="391"/>
      <c r="HS160" s="391"/>
      <c r="HT160" s="391"/>
      <c r="HU160" s="391"/>
      <c r="HV160" s="391"/>
      <c r="HW160" s="391"/>
      <c r="HX160" s="391"/>
      <c r="HY160" s="391"/>
      <c r="HZ160" s="391"/>
      <c r="IA160" s="391"/>
      <c r="IB160" s="391"/>
      <c r="IC160" s="391"/>
      <c r="ID160" s="391"/>
      <c r="IE160" s="391"/>
      <c r="IF160" s="391"/>
      <c r="IG160" s="391"/>
      <c r="IH160" s="391"/>
      <c r="II160" s="391"/>
      <c r="IJ160" s="391"/>
      <c r="IK160" s="391"/>
      <c r="IL160" s="391"/>
      <c r="IM160" s="391"/>
      <c r="IN160" s="391"/>
      <c r="IO160" s="391"/>
      <c r="IP160" s="391"/>
      <c r="IQ160" s="391"/>
      <c r="IR160" s="391"/>
      <c r="IS160" s="391"/>
      <c r="IT160" s="391"/>
      <c r="IU160" s="391"/>
      <c r="IV160" s="391"/>
      <c r="IW160" s="391"/>
      <c r="IX160" s="391"/>
      <c r="IY160" s="391"/>
      <c r="IZ160" s="391"/>
      <c r="JA160" s="391"/>
      <c r="JB160" s="391"/>
      <c r="JC160" s="391"/>
      <c r="JD160" s="391"/>
      <c r="JE160" s="391"/>
      <c r="JF160" s="391"/>
      <c r="JG160" s="391"/>
      <c r="JH160" s="391"/>
      <c r="JI160" s="393">
        <f t="shared" si="5"/>
        <v>0</v>
      </c>
      <c r="JJ160" s="2">
        <v>6454</v>
      </c>
      <c r="JK160" s="392">
        <f t="shared" si="6"/>
        <v>0</v>
      </c>
      <c r="JL160" s="391"/>
      <c r="JM160" s="392"/>
      <c r="JN160" s="392"/>
      <c r="JO160" s="392"/>
      <c r="JP160" s="392"/>
    </row>
    <row r="161" spans="1:276" x14ac:dyDescent="0.3">
      <c r="A161" s="391"/>
      <c r="B161" s="391"/>
      <c r="C161" s="391"/>
      <c r="D161" s="391"/>
      <c r="E161" s="391"/>
      <c r="F161" s="391"/>
      <c r="G161" s="391"/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391"/>
      <c r="X161" s="391"/>
      <c r="Y161" s="391"/>
      <c r="Z161" s="391"/>
      <c r="AA161" s="391"/>
      <c r="AB161" s="391"/>
      <c r="AC161" s="391"/>
      <c r="AD161" s="391"/>
      <c r="AE161" s="391"/>
      <c r="AF161" s="391"/>
      <c r="AG161" s="391"/>
      <c r="AH161" s="391"/>
      <c r="AI161" s="391"/>
      <c r="AJ161" s="391"/>
      <c r="AK161" s="391"/>
      <c r="AL161" s="391"/>
      <c r="AM161" s="391"/>
      <c r="AN161" s="391"/>
      <c r="AO161" s="391"/>
      <c r="AP161" s="391"/>
      <c r="AQ161" s="391"/>
      <c r="AR161" s="391"/>
      <c r="AS161" s="391"/>
      <c r="AT161" s="391"/>
      <c r="AU161" s="391"/>
      <c r="AV161" s="391"/>
      <c r="AW161" s="391"/>
      <c r="AX161" s="391"/>
      <c r="AY161" s="391"/>
      <c r="AZ161" s="391"/>
      <c r="BA161" s="391"/>
      <c r="BB161" s="391"/>
      <c r="BC161" s="391"/>
      <c r="BD161" s="391"/>
      <c r="BE161" s="391"/>
      <c r="BF161" s="391"/>
      <c r="BG161" s="391"/>
      <c r="BH161" s="391"/>
      <c r="BI161" s="391"/>
      <c r="BJ161" s="391"/>
      <c r="BK161" s="391"/>
      <c r="BL161" s="391"/>
      <c r="BM161" s="391"/>
      <c r="BN161" s="391"/>
      <c r="BO161" s="391"/>
      <c r="BP161" s="391"/>
      <c r="BQ161" s="391"/>
      <c r="BR161" s="391"/>
      <c r="BS161" s="391"/>
      <c r="BT161" s="391"/>
      <c r="BU161" s="391"/>
      <c r="BV161" s="391"/>
      <c r="BW161" s="391"/>
      <c r="BX161" s="391"/>
      <c r="BY161" s="391"/>
      <c r="BZ161" s="391"/>
      <c r="CA161" s="391"/>
      <c r="CB161" s="391"/>
      <c r="CC161" s="391"/>
      <c r="CD161" s="391"/>
      <c r="CE161" s="391"/>
      <c r="CF161" s="391"/>
      <c r="CG161" s="391"/>
      <c r="CH161" s="391"/>
      <c r="CI161" s="391"/>
      <c r="CJ161" s="391"/>
      <c r="CK161" s="391"/>
      <c r="CL161" s="391"/>
      <c r="CM161" s="391"/>
      <c r="CN161" s="391"/>
      <c r="CO161" s="391"/>
      <c r="CP161" s="391"/>
      <c r="CQ161" s="391"/>
      <c r="CR161" s="391"/>
      <c r="CS161" s="391"/>
      <c r="CT161" s="391"/>
      <c r="CU161" s="391"/>
      <c r="CV161" s="391"/>
      <c r="CW161" s="391"/>
      <c r="CX161" s="391"/>
      <c r="CY161" s="391"/>
      <c r="CZ161" s="391"/>
      <c r="DA161" s="391"/>
      <c r="DB161" s="391"/>
      <c r="DC161" s="391"/>
      <c r="DD161" s="391"/>
      <c r="DE161" s="391"/>
      <c r="DF161" s="391"/>
      <c r="DG161" s="391"/>
      <c r="DH161" s="391"/>
      <c r="DI161" s="391"/>
      <c r="DJ161" s="391"/>
      <c r="DK161" s="391"/>
      <c r="DL161" s="391"/>
      <c r="DM161" s="391"/>
      <c r="DN161" s="391"/>
      <c r="DO161" s="391"/>
      <c r="DP161" s="391"/>
      <c r="DQ161" s="391"/>
      <c r="DR161" s="391"/>
      <c r="DS161" s="391"/>
      <c r="DT161" s="391"/>
      <c r="DU161" s="391"/>
      <c r="DV161" s="391"/>
      <c r="DW161" s="391"/>
      <c r="DX161" s="391"/>
      <c r="DY161" s="391"/>
      <c r="DZ161" s="391"/>
      <c r="EA161" s="391"/>
      <c r="EB161" s="391"/>
      <c r="EC161" s="391"/>
      <c r="ED161" s="391"/>
      <c r="EE161" s="391"/>
      <c r="EF161" s="391"/>
      <c r="EG161" s="391"/>
      <c r="EH161" s="391"/>
      <c r="EI161" s="391"/>
      <c r="EJ161" s="391"/>
      <c r="EK161" s="391"/>
      <c r="EL161" s="391"/>
      <c r="EM161" s="391"/>
      <c r="EN161" s="391"/>
      <c r="EO161" s="391"/>
      <c r="EP161" s="391"/>
      <c r="EQ161" s="391"/>
      <c r="ER161" s="391"/>
      <c r="ES161" s="391"/>
      <c r="ET161" s="391"/>
      <c r="EU161" s="391"/>
      <c r="EV161" s="391"/>
      <c r="EW161" s="391"/>
      <c r="EX161" s="391"/>
      <c r="EY161" s="391"/>
      <c r="EZ161" s="391"/>
      <c r="FA161" s="391"/>
      <c r="FB161" s="391"/>
      <c r="FC161" s="391"/>
      <c r="FD161" s="391"/>
      <c r="FE161" s="391"/>
      <c r="FF161" s="391"/>
      <c r="FG161" s="391"/>
      <c r="FH161" s="391"/>
      <c r="FI161" s="391"/>
      <c r="FJ161" s="391"/>
      <c r="FK161" s="391"/>
      <c r="FL161" s="391"/>
      <c r="FM161" s="391"/>
      <c r="FN161" s="391"/>
      <c r="FO161" s="391"/>
      <c r="FP161" s="391"/>
      <c r="FQ161" s="391"/>
      <c r="FR161" s="391"/>
      <c r="FS161" s="391"/>
      <c r="FT161" s="391"/>
      <c r="FU161" s="391"/>
      <c r="FV161" s="391"/>
      <c r="FW161" s="391"/>
      <c r="FX161" s="391"/>
      <c r="FY161" s="391"/>
      <c r="FZ161" s="391"/>
      <c r="GA161" s="391"/>
      <c r="GB161" s="391"/>
      <c r="GC161" s="391"/>
      <c r="GD161" s="391"/>
      <c r="GE161" s="391"/>
      <c r="GF161" s="391"/>
      <c r="GG161" s="391"/>
      <c r="GH161" s="391"/>
      <c r="GI161" s="391"/>
      <c r="GJ161" s="391"/>
      <c r="GK161" s="391"/>
      <c r="GL161" s="391"/>
      <c r="GM161" s="391"/>
      <c r="GN161" s="391"/>
      <c r="GO161" s="391"/>
      <c r="GP161" s="391"/>
      <c r="GQ161" s="391"/>
      <c r="GR161" s="391"/>
      <c r="GS161" s="391"/>
      <c r="GT161" s="391"/>
      <c r="GU161" s="391"/>
      <c r="GV161" s="391"/>
      <c r="GW161" s="391"/>
      <c r="GX161" s="391"/>
      <c r="GY161" s="391"/>
      <c r="GZ161" s="391"/>
      <c r="HA161" s="391"/>
      <c r="HB161" s="391"/>
      <c r="HC161" s="391"/>
      <c r="HD161" s="391"/>
      <c r="HE161" s="391"/>
      <c r="HF161" s="391"/>
      <c r="HG161" s="391"/>
      <c r="HH161" s="391"/>
      <c r="HI161" s="391"/>
      <c r="HJ161" s="391"/>
      <c r="HK161" s="391"/>
      <c r="HL161" s="391"/>
      <c r="HM161" s="391"/>
      <c r="HN161" s="391"/>
      <c r="HO161" s="391"/>
      <c r="HP161" s="391"/>
      <c r="HQ161" s="391"/>
      <c r="HR161" s="391"/>
      <c r="HS161" s="391"/>
      <c r="HT161" s="391"/>
      <c r="HU161" s="391"/>
      <c r="HV161" s="391"/>
      <c r="HW161" s="391"/>
      <c r="HX161" s="391"/>
      <c r="HY161" s="391"/>
      <c r="HZ161" s="391"/>
      <c r="IA161" s="391"/>
      <c r="IB161" s="391"/>
      <c r="IC161" s="391"/>
      <c r="ID161" s="391"/>
      <c r="IE161" s="391"/>
      <c r="IF161" s="391"/>
      <c r="IG161" s="391"/>
      <c r="IH161" s="391"/>
      <c r="II161" s="391"/>
      <c r="IJ161" s="391"/>
      <c r="IK161" s="391"/>
      <c r="IL161" s="391"/>
      <c r="IM161" s="391"/>
      <c r="IN161" s="391"/>
      <c r="IO161" s="391"/>
      <c r="IP161" s="391"/>
      <c r="IQ161" s="391"/>
      <c r="IR161" s="391"/>
      <c r="IS161" s="391"/>
      <c r="IT161" s="391"/>
      <c r="IU161" s="391"/>
      <c r="IV161" s="391"/>
      <c r="IW161" s="391"/>
      <c r="IX161" s="391"/>
      <c r="IY161" s="391"/>
      <c r="IZ161" s="391"/>
      <c r="JA161" s="391"/>
      <c r="JB161" s="391"/>
      <c r="JC161" s="391"/>
      <c r="JD161" s="391"/>
      <c r="JE161" s="391"/>
      <c r="JF161" s="391"/>
      <c r="JG161" s="391"/>
      <c r="JH161" s="391"/>
      <c r="JI161" s="393">
        <f t="shared" si="5"/>
        <v>0</v>
      </c>
      <c r="JJ161" s="2">
        <v>6458</v>
      </c>
      <c r="JK161" s="392">
        <f t="shared" si="6"/>
        <v>0</v>
      </c>
      <c r="JL161" s="391"/>
      <c r="JM161" s="392"/>
      <c r="JN161" s="392"/>
      <c r="JO161" s="392"/>
      <c r="JP161" s="392"/>
    </row>
    <row r="162" spans="1:276" x14ac:dyDescent="0.3">
      <c r="A162" s="391"/>
      <c r="B162" s="391"/>
      <c r="C162" s="391"/>
      <c r="D162" s="391"/>
      <c r="E162" s="391"/>
      <c r="F162" s="391"/>
      <c r="G162" s="391"/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391"/>
      <c r="X162" s="391"/>
      <c r="Y162" s="391"/>
      <c r="Z162" s="391"/>
      <c r="AA162" s="391"/>
      <c r="AB162" s="391"/>
      <c r="AC162" s="391"/>
      <c r="AD162" s="391"/>
      <c r="AE162" s="391"/>
      <c r="AF162" s="391"/>
      <c r="AG162" s="391"/>
      <c r="AH162" s="391"/>
      <c r="AI162" s="391"/>
      <c r="AJ162" s="391"/>
      <c r="AK162" s="391"/>
      <c r="AL162" s="391"/>
      <c r="AM162" s="391"/>
      <c r="AN162" s="391"/>
      <c r="AO162" s="391"/>
      <c r="AP162" s="391"/>
      <c r="AQ162" s="391"/>
      <c r="AR162" s="391"/>
      <c r="AS162" s="391"/>
      <c r="AT162" s="391"/>
      <c r="AU162" s="391"/>
      <c r="AV162" s="391"/>
      <c r="AW162" s="391"/>
      <c r="AX162" s="391"/>
      <c r="AY162" s="391"/>
      <c r="AZ162" s="391"/>
      <c r="BA162" s="391"/>
      <c r="BB162" s="391"/>
      <c r="BC162" s="391"/>
      <c r="BD162" s="391"/>
      <c r="BE162" s="391"/>
      <c r="BF162" s="391"/>
      <c r="BG162" s="391"/>
      <c r="BH162" s="391"/>
      <c r="BI162" s="391"/>
      <c r="BJ162" s="391"/>
      <c r="BK162" s="391"/>
      <c r="BL162" s="391"/>
      <c r="BM162" s="391"/>
      <c r="BN162" s="391"/>
      <c r="BO162" s="391"/>
      <c r="BP162" s="391"/>
      <c r="BQ162" s="391"/>
      <c r="BR162" s="391"/>
      <c r="BS162" s="391"/>
      <c r="BT162" s="391"/>
      <c r="BU162" s="391"/>
      <c r="BV162" s="391"/>
      <c r="BW162" s="391"/>
      <c r="BX162" s="391"/>
      <c r="BY162" s="391"/>
      <c r="BZ162" s="391"/>
      <c r="CA162" s="391"/>
      <c r="CB162" s="391"/>
      <c r="CC162" s="391"/>
      <c r="CD162" s="391"/>
      <c r="CE162" s="391"/>
      <c r="CF162" s="391"/>
      <c r="CG162" s="391"/>
      <c r="CH162" s="391"/>
      <c r="CI162" s="391"/>
      <c r="CJ162" s="391"/>
      <c r="CK162" s="391"/>
      <c r="CL162" s="391"/>
      <c r="CM162" s="391"/>
      <c r="CN162" s="391"/>
      <c r="CO162" s="391"/>
      <c r="CP162" s="391"/>
      <c r="CQ162" s="391"/>
      <c r="CR162" s="391"/>
      <c r="CS162" s="391"/>
      <c r="CT162" s="391"/>
      <c r="CU162" s="391"/>
      <c r="CV162" s="391"/>
      <c r="CW162" s="391"/>
      <c r="CX162" s="391"/>
      <c r="CY162" s="391"/>
      <c r="CZ162" s="391"/>
      <c r="DA162" s="391"/>
      <c r="DB162" s="391"/>
      <c r="DC162" s="391"/>
      <c r="DD162" s="391"/>
      <c r="DE162" s="391"/>
      <c r="DF162" s="391"/>
      <c r="DG162" s="391"/>
      <c r="DH162" s="391"/>
      <c r="DI162" s="391"/>
      <c r="DJ162" s="391"/>
      <c r="DK162" s="391"/>
      <c r="DL162" s="391"/>
      <c r="DM162" s="391"/>
      <c r="DN162" s="391"/>
      <c r="DO162" s="391"/>
      <c r="DP162" s="391"/>
      <c r="DQ162" s="391"/>
      <c r="DR162" s="391"/>
      <c r="DS162" s="391"/>
      <c r="DT162" s="391"/>
      <c r="DU162" s="391"/>
      <c r="DV162" s="391"/>
      <c r="DW162" s="391"/>
      <c r="DX162" s="391"/>
      <c r="DY162" s="391"/>
      <c r="DZ162" s="391"/>
      <c r="EA162" s="391"/>
      <c r="EB162" s="391"/>
      <c r="EC162" s="391"/>
      <c r="ED162" s="391"/>
      <c r="EE162" s="391"/>
      <c r="EF162" s="391"/>
      <c r="EG162" s="391"/>
      <c r="EH162" s="391"/>
      <c r="EI162" s="391"/>
      <c r="EJ162" s="391"/>
      <c r="EK162" s="391"/>
      <c r="EL162" s="391"/>
      <c r="EM162" s="391"/>
      <c r="EN162" s="391"/>
      <c r="EO162" s="391"/>
      <c r="EP162" s="391"/>
      <c r="EQ162" s="391"/>
      <c r="ER162" s="391"/>
      <c r="ES162" s="391"/>
      <c r="ET162" s="391"/>
      <c r="EU162" s="391"/>
      <c r="EV162" s="391"/>
      <c r="EW162" s="391"/>
      <c r="EX162" s="391"/>
      <c r="EY162" s="391"/>
      <c r="EZ162" s="391"/>
      <c r="FA162" s="391"/>
      <c r="FB162" s="391"/>
      <c r="FC162" s="391"/>
      <c r="FD162" s="391"/>
      <c r="FE162" s="391"/>
      <c r="FF162" s="391"/>
      <c r="FG162" s="391"/>
      <c r="FH162" s="391"/>
      <c r="FI162" s="391"/>
      <c r="FJ162" s="391"/>
      <c r="FK162" s="391"/>
      <c r="FL162" s="391"/>
      <c r="FM162" s="391"/>
      <c r="FN162" s="391"/>
      <c r="FO162" s="391"/>
      <c r="FP162" s="391"/>
      <c r="FQ162" s="391"/>
      <c r="FR162" s="391"/>
      <c r="FS162" s="391"/>
      <c r="FT162" s="391"/>
      <c r="FU162" s="391"/>
      <c r="FV162" s="391"/>
      <c r="FW162" s="391"/>
      <c r="FX162" s="391"/>
      <c r="FY162" s="391"/>
      <c r="FZ162" s="391"/>
      <c r="GA162" s="391"/>
      <c r="GB162" s="391"/>
      <c r="GC162" s="391"/>
      <c r="GD162" s="391"/>
      <c r="GE162" s="391"/>
      <c r="GF162" s="391"/>
      <c r="GG162" s="391"/>
      <c r="GH162" s="391"/>
      <c r="GI162" s="391"/>
      <c r="GJ162" s="391"/>
      <c r="GK162" s="391"/>
      <c r="GL162" s="391"/>
      <c r="GM162" s="391"/>
      <c r="GN162" s="391"/>
      <c r="GO162" s="391"/>
      <c r="GP162" s="391"/>
      <c r="GQ162" s="391"/>
      <c r="GR162" s="391"/>
      <c r="GS162" s="391"/>
      <c r="GT162" s="391"/>
      <c r="GU162" s="391"/>
      <c r="GV162" s="391"/>
      <c r="GW162" s="391"/>
      <c r="GX162" s="391"/>
      <c r="GY162" s="391"/>
      <c r="GZ162" s="391"/>
      <c r="HA162" s="391"/>
      <c r="HB162" s="391"/>
      <c r="HC162" s="391"/>
      <c r="HD162" s="391"/>
      <c r="HE162" s="391"/>
      <c r="HF162" s="391"/>
      <c r="HG162" s="391"/>
      <c r="HH162" s="391"/>
      <c r="HI162" s="391"/>
      <c r="HJ162" s="391"/>
      <c r="HK162" s="391"/>
      <c r="HL162" s="391"/>
      <c r="HM162" s="391"/>
      <c r="HN162" s="391"/>
      <c r="HO162" s="391"/>
      <c r="HP162" s="391"/>
      <c r="HQ162" s="391"/>
      <c r="HR162" s="391"/>
      <c r="HS162" s="391"/>
      <c r="HT162" s="391"/>
      <c r="HU162" s="391"/>
      <c r="HV162" s="391"/>
      <c r="HW162" s="391"/>
      <c r="HX162" s="391"/>
      <c r="HY162" s="391"/>
      <c r="HZ162" s="391"/>
      <c r="IA162" s="391"/>
      <c r="IB162" s="391"/>
      <c r="IC162" s="391"/>
      <c r="ID162" s="391"/>
      <c r="IE162" s="391"/>
      <c r="IF162" s="391"/>
      <c r="IG162" s="391"/>
      <c r="IH162" s="391"/>
      <c r="II162" s="391"/>
      <c r="IJ162" s="391"/>
      <c r="IK162" s="391"/>
      <c r="IL162" s="391"/>
      <c r="IM162" s="391"/>
      <c r="IN162" s="391"/>
      <c r="IO162" s="391"/>
      <c r="IP162" s="391"/>
      <c r="IQ162" s="391"/>
      <c r="IR162" s="391"/>
      <c r="IS162" s="391"/>
      <c r="IT162" s="391"/>
      <c r="IU162" s="391"/>
      <c r="IV162" s="391"/>
      <c r="IW162" s="391"/>
      <c r="IX162" s="391"/>
      <c r="IY162" s="391"/>
      <c r="IZ162" s="391"/>
      <c r="JA162" s="391"/>
      <c r="JB162" s="391"/>
      <c r="JC162" s="391"/>
      <c r="JD162" s="391"/>
      <c r="JE162" s="391"/>
      <c r="JF162" s="391"/>
      <c r="JG162" s="391"/>
      <c r="JH162" s="391"/>
      <c r="JI162" s="393">
        <f t="shared" si="5"/>
        <v>0</v>
      </c>
      <c r="JJ162" s="2">
        <v>6462</v>
      </c>
      <c r="JK162" s="392">
        <f t="shared" si="6"/>
        <v>0</v>
      </c>
      <c r="JL162" s="391"/>
      <c r="JM162" s="392"/>
      <c r="JN162" s="392"/>
      <c r="JO162" s="392"/>
      <c r="JP162" s="392"/>
    </row>
    <row r="163" spans="1:276" x14ac:dyDescent="0.3">
      <c r="A163" s="391"/>
      <c r="B163" s="391"/>
      <c r="C163" s="391"/>
      <c r="D163" s="391"/>
      <c r="E163" s="391"/>
      <c r="F163" s="391"/>
      <c r="G163" s="391"/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391"/>
      <c r="X163" s="391"/>
      <c r="Y163" s="391"/>
      <c r="Z163" s="391"/>
      <c r="AA163" s="391"/>
      <c r="AB163" s="391"/>
      <c r="AC163" s="391"/>
      <c r="AD163" s="391"/>
      <c r="AE163" s="391"/>
      <c r="AF163" s="391"/>
      <c r="AG163" s="391"/>
      <c r="AH163" s="391"/>
      <c r="AI163" s="391"/>
      <c r="AJ163" s="391"/>
      <c r="AK163" s="391"/>
      <c r="AL163" s="391"/>
      <c r="AM163" s="391"/>
      <c r="AN163" s="391"/>
      <c r="AO163" s="391"/>
      <c r="AP163" s="391"/>
      <c r="AQ163" s="391"/>
      <c r="AR163" s="391"/>
      <c r="AS163" s="391"/>
      <c r="AT163" s="391"/>
      <c r="AU163" s="391"/>
      <c r="AV163" s="391"/>
      <c r="AW163" s="391"/>
      <c r="AX163" s="391"/>
      <c r="AY163" s="391"/>
      <c r="AZ163" s="391"/>
      <c r="BA163" s="391"/>
      <c r="BB163" s="391"/>
      <c r="BC163" s="391"/>
      <c r="BD163" s="391"/>
      <c r="BE163" s="391"/>
      <c r="BF163" s="391"/>
      <c r="BG163" s="391"/>
      <c r="BH163" s="391"/>
      <c r="BI163" s="391"/>
      <c r="BJ163" s="391"/>
      <c r="BK163" s="391"/>
      <c r="BL163" s="391"/>
      <c r="BM163" s="391"/>
      <c r="BN163" s="391"/>
      <c r="BO163" s="391"/>
      <c r="BP163" s="391"/>
      <c r="BQ163" s="391"/>
      <c r="BR163" s="391"/>
      <c r="BS163" s="391"/>
      <c r="BT163" s="391"/>
      <c r="BU163" s="391"/>
      <c r="BV163" s="391"/>
      <c r="BW163" s="391"/>
      <c r="BX163" s="391"/>
      <c r="BY163" s="391"/>
      <c r="BZ163" s="391"/>
      <c r="CA163" s="391"/>
      <c r="CB163" s="391"/>
      <c r="CC163" s="391"/>
      <c r="CD163" s="391"/>
      <c r="CE163" s="391"/>
      <c r="CF163" s="391"/>
      <c r="CG163" s="391"/>
      <c r="CH163" s="391"/>
      <c r="CI163" s="391"/>
      <c r="CJ163" s="391"/>
      <c r="CK163" s="391"/>
      <c r="CL163" s="391"/>
      <c r="CM163" s="391"/>
      <c r="CN163" s="391"/>
      <c r="CO163" s="391"/>
      <c r="CP163" s="391"/>
      <c r="CQ163" s="391"/>
      <c r="CR163" s="391"/>
      <c r="CS163" s="391"/>
      <c r="CT163" s="391"/>
      <c r="CU163" s="391"/>
      <c r="CV163" s="391"/>
      <c r="CW163" s="391"/>
      <c r="CX163" s="391"/>
      <c r="CY163" s="391"/>
      <c r="CZ163" s="391"/>
      <c r="DA163" s="391"/>
      <c r="DB163" s="391"/>
      <c r="DC163" s="391"/>
      <c r="DD163" s="391"/>
      <c r="DE163" s="391"/>
      <c r="DF163" s="391"/>
      <c r="DG163" s="391"/>
      <c r="DH163" s="391"/>
      <c r="DI163" s="391"/>
      <c r="DJ163" s="391"/>
      <c r="DK163" s="391"/>
      <c r="DL163" s="391"/>
      <c r="DM163" s="391"/>
      <c r="DN163" s="391"/>
      <c r="DO163" s="391"/>
      <c r="DP163" s="391"/>
      <c r="DQ163" s="391"/>
      <c r="DR163" s="391"/>
      <c r="DS163" s="391"/>
      <c r="DT163" s="391"/>
      <c r="DU163" s="391"/>
      <c r="DV163" s="391"/>
      <c r="DW163" s="391"/>
      <c r="DX163" s="391"/>
      <c r="DY163" s="391"/>
      <c r="DZ163" s="391"/>
      <c r="EA163" s="391"/>
      <c r="EB163" s="391"/>
      <c r="EC163" s="391"/>
      <c r="ED163" s="391"/>
      <c r="EE163" s="391"/>
      <c r="EF163" s="391"/>
      <c r="EG163" s="391"/>
      <c r="EH163" s="391"/>
      <c r="EI163" s="391"/>
      <c r="EJ163" s="391"/>
      <c r="EK163" s="391"/>
      <c r="EL163" s="391"/>
      <c r="EM163" s="391"/>
      <c r="EN163" s="391"/>
      <c r="EO163" s="391"/>
      <c r="EP163" s="391"/>
      <c r="EQ163" s="391"/>
      <c r="ER163" s="391"/>
      <c r="ES163" s="391"/>
      <c r="ET163" s="391"/>
      <c r="EU163" s="391"/>
      <c r="EV163" s="391"/>
      <c r="EW163" s="391"/>
      <c r="EX163" s="391"/>
      <c r="EY163" s="391"/>
      <c r="EZ163" s="391"/>
      <c r="FA163" s="391"/>
      <c r="FB163" s="391"/>
      <c r="FC163" s="391"/>
      <c r="FD163" s="391"/>
      <c r="FE163" s="391"/>
      <c r="FF163" s="391"/>
      <c r="FG163" s="391"/>
      <c r="FH163" s="391"/>
      <c r="FI163" s="391"/>
      <c r="FJ163" s="391"/>
      <c r="FK163" s="391"/>
      <c r="FL163" s="391"/>
      <c r="FM163" s="391"/>
      <c r="FN163" s="391"/>
      <c r="FO163" s="391"/>
      <c r="FP163" s="391"/>
      <c r="FQ163" s="391"/>
      <c r="FR163" s="391"/>
      <c r="FS163" s="391"/>
      <c r="FT163" s="391"/>
      <c r="FU163" s="391"/>
      <c r="FV163" s="391"/>
      <c r="FW163" s="391"/>
      <c r="FX163" s="391"/>
      <c r="FY163" s="391"/>
      <c r="FZ163" s="391"/>
      <c r="GA163" s="391"/>
      <c r="GB163" s="391"/>
      <c r="GC163" s="391"/>
      <c r="GD163" s="391"/>
      <c r="GE163" s="391"/>
      <c r="GF163" s="391"/>
      <c r="GG163" s="391"/>
      <c r="GH163" s="391"/>
      <c r="GI163" s="391"/>
      <c r="GJ163" s="391"/>
      <c r="GK163" s="391"/>
      <c r="GL163" s="391"/>
      <c r="GM163" s="391"/>
      <c r="GN163" s="391"/>
      <c r="GO163" s="391"/>
      <c r="GP163" s="391"/>
      <c r="GQ163" s="391"/>
      <c r="GR163" s="391"/>
      <c r="GS163" s="391"/>
      <c r="GT163" s="391"/>
      <c r="GU163" s="391"/>
      <c r="GV163" s="391"/>
      <c r="GW163" s="391"/>
      <c r="GX163" s="391"/>
      <c r="GY163" s="391"/>
      <c r="GZ163" s="391"/>
      <c r="HA163" s="391"/>
      <c r="HB163" s="391"/>
      <c r="HC163" s="391"/>
      <c r="HD163" s="391"/>
      <c r="HE163" s="391"/>
      <c r="HF163" s="391"/>
      <c r="HG163" s="391"/>
      <c r="HH163" s="391"/>
      <c r="HI163" s="391"/>
      <c r="HJ163" s="391"/>
      <c r="HK163" s="391"/>
      <c r="HL163" s="391"/>
      <c r="HM163" s="391"/>
      <c r="HN163" s="391"/>
      <c r="HO163" s="391"/>
      <c r="HP163" s="391"/>
      <c r="HQ163" s="391"/>
      <c r="HR163" s="391"/>
      <c r="HS163" s="391"/>
      <c r="HT163" s="391"/>
      <c r="HU163" s="391"/>
      <c r="HV163" s="391"/>
      <c r="HW163" s="391"/>
      <c r="HX163" s="391"/>
      <c r="HY163" s="391"/>
      <c r="HZ163" s="391"/>
      <c r="IA163" s="391"/>
      <c r="IB163" s="391"/>
      <c r="IC163" s="391"/>
      <c r="ID163" s="391"/>
      <c r="IE163" s="391"/>
      <c r="IF163" s="391"/>
      <c r="IG163" s="391"/>
      <c r="IH163" s="391"/>
      <c r="II163" s="391"/>
      <c r="IJ163" s="391"/>
      <c r="IK163" s="391"/>
      <c r="IL163" s="391"/>
      <c r="IM163" s="391"/>
      <c r="IN163" s="391"/>
      <c r="IO163" s="391"/>
      <c r="IP163" s="391"/>
      <c r="IQ163" s="391"/>
      <c r="IR163" s="391"/>
      <c r="IS163" s="391"/>
      <c r="IT163" s="391"/>
      <c r="IU163" s="391"/>
      <c r="IV163" s="391"/>
      <c r="IW163" s="391"/>
      <c r="IX163" s="391"/>
      <c r="IY163" s="391"/>
      <c r="IZ163" s="391"/>
      <c r="JA163" s="391"/>
      <c r="JB163" s="391"/>
      <c r="JC163" s="391"/>
      <c r="JD163" s="391"/>
      <c r="JE163" s="391"/>
      <c r="JF163" s="391"/>
      <c r="JG163" s="391"/>
      <c r="JH163" s="391"/>
      <c r="JI163" s="393">
        <f t="shared" si="5"/>
        <v>0</v>
      </c>
      <c r="JJ163" s="2">
        <v>6466</v>
      </c>
      <c r="JK163" s="392">
        <f t="shared" si="6"/>
        <v>0</v>
      </c>
      <c r="JL163" s="391"/>
      <c r="JM163" s="392"/>
      <c r="JN163" s="392"/>
      <c r="JO163" s="392"/>
      <c r="JP163" s="392"/>
    </row>
    <row r="164" spans="1:276" x14ac:dyDescent="0.3">
      <c r="A164" s="391"/>
      <c r="B164" s="391"/>
      <c r="C164" s="391"/>
      <c r="D164" s="391"/>
      <c r="E164" s="391"/>
      <c r="F164" s="391"/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  <c r="X164" s="391"/>
      <c r="Y164" s="391"/>
      <c r="Z164" s="391"/>
      <c r="AA164" s="391"/>
      <c r="AB164" s="391"/>
      <c r="AC164" s="391"/>
      <c r="AD164" s="391"/>
      <c r="AE164" s="391"/>
      <c r="AF164" s="391"/>
      <c r="AG164" s="391"/>
      <c r="AH164" s="391"/>
      <c r="AI164" s="391"/>
      <c r="AJ164" s="391"/>
      <c r="AK164" s="391"/>
      <c r="AL164" s="391"/>
      <c r="AM164" s="391"/>
      <c r="AN164" s="391"/>
      <c r="AO164" s="391"/>
      <c r="AP164" s="391"/>
      <c r="AQ164" s="391"/>
      <c r="AR164" s="391"/>
      <c r="AS164" s="391"/>
      <c r="AT164" s="391"/>
      <c r="AU164" s="391"/>
      <c r="AV164" s="391"/>
      <c r="AW164" s="391"/>
      <c r="AX164" s="391"/>
      <c r="AY164" s="391"/>
      <c r="AZ164" s="391"/>
      <c r="BA164" s="391"/>
      <c r="BB164" s="391"/>
      <c r="BC164" s="391"/>
      <c r="BD164" s="391"/>
      <c r="BE164" s="391"/>
      <c r="BF164" s="391"/>
      <c r="BG164" s="391"/>
      <c r="BH164" s="391"/>
      <c r="BI164" s="391"/>
      <c r="BJ164" s="391"/>
      <c r="BK164" s="391"/>
      <c r="BL164" s="391"/>
      <c r="BM164" s="391"/>
      <c r="BN164" s="391"/>
      <c r="BO164" s="391"/>
      <c r="BP164" s="391"/>
      <c r="BQ164" s="391"/>
      <c r="BR164" s="391"/>
      <c r="BS164" s="391"/>
      <c r="BT164" s="391"/>
      <c r="BU164" s="391"/>
      <c r="BV164" s="391"/>
      <c r="BW164" s="391"/>
      <c r="BX164" s="391"/>
      <c r="BY164" s="391"/>
      <c r="BZ164" s="391"/>
      <c r="CA164" s="391"/>
      <c r="CB164" s="391"/>
      <c r="CC164" s="391"/>
      <c r="CD164" s="391"/>
      <c r="CE164" s="391"/>
      <c r="CF164" s="391"/>
      <c r="CG164" s="391"/>
      <c r="CH164" s="391"/>
      <c r="CI164" s="391"/>
      <c r="CJ164" s="391"/>
      <c r="CK164" s="391"/>
      <c r="CL164" s="391"/>
      <c r="CM164" s="391"/>
      <c r="CN164" s="391"/>
      <c r="CO164" s="391"/>
      <c r="CP164" s="391"/>
      <c r="CQ164" s="391"/>
      <c r="CR164" s="391"/>
      <c r="CS164" s="391"/>
      <c r="CT164" s="391"/>
      <c r="CU164" s="391"/>
      <c r="CV164" s="391"/>
      <c r="CW164" s="391"/>
      <c r="CX164" s="391"/>
      <c r="CY164" s="391"/>
      <c r="CZ164" s="391"/>
      <c r="DA164" s="391"/>
      <c r="DB164" s="391"/>
      <c r="DC164" s="391"/>
      <c r="DD164" s="391"/>
      <c r="DE164" s="391"/>
      <c r="DF164" s="391"/>
      <c r="DG164" s="391"/>
      <c r="DH164" s="391"/>
      <c r="DI164" s="391"/>
      <c r="DJ164" s="391"/>
      <c r="DK164" s="391"/>
      <c r="DL164" s="391"/>
      <c r="DM164" s="391"/>
      <c r="DN164" s="391"/>
      <c r="DO164" s="391"/>
      <c r="DP164" s="391"/>
      <c r="DQ164" s="391"/>
      <c r="DR164" s="391"/>
      <c r="DS164" s="391"/>
      <c r="DT164" s="391"/>
      <c r="DU164" s="391"/>
      <c r="DV164" s="391"/>
      <c r="DW164" s="391"/>
      <c r="DX164" s="391"/>
      <c r="DY164" s="391"/>
      <c r="DZ164" s="391"/>
      <c r="EA164" s="391"/>
      <c r="EB164" s="391"/>
      <c r="EC164" s="391"/>
      <c r="ED164" s="391"/>
      <c r="EE164" s="391"/>
      <c r="EF164" s="391"/>
      <c r="EG164" s="391"/>
      <c r="EH164" s="391"/>
      <c r="EI164" s="391"/>
      <c r="EJ164" s="391"/>
      <c r="EK164" s="391"/>
      <c r="EL164" s="391"/>
      <c r="EM164" s="391"/>
      <c r="EN164" s="391"/>
      <c r="EO164" s="391"/>
      <c r="EP164" s="391"/>
      <c r="EQ164" s="391"/>
      <c r="ER164" s="391"/>
      <c r="ES164" s="391"/>
      <c r="ET164" s="391"/>
      <c r="EU164" s="391"/>
      <c r="EV164" s="391"/>
      <c r="EW164" s="391"/>
      <c r="EX164" s="391"/>
      <c r="EY164" s="391"/>
      <c r="EZ164" s="391"/>
      <c r="FA164" s="391"/>
      <c r="FB164" s="391"/>
      <c r="FC164" s="391"/>
      <c r="FD164" s="391"/>
      <c r="FE164" s="391"/>
      <c r="FF164" s="391"/>
      <c r="FG164" s="391"/>
      <c r="FH164" s="391"/>
      <c r="FI164" s="391"/>
      <c r="FJ164" s="391"/>
      <c r="FK164" s="391"/>
      <c r="FL164" s="391"/>
      <c r="FM164" s="391"/>
      <c r="FN164" s="391"/>
      <c r="FO164" s="391"/>
      <c r="FP164" s="391"/>
      <c r="FQ164" s="391"/>
      <c r="FR164" s="391"/>
      <c r="FS164" s="391"/>
      <c r="FT164" s="391"/>
      <c r="FU164" s="391"/>
      <c r="FV164" s="391"/>
      <c r="FW164" s="391"/>
      <c r="FX164" s="391"/>
      <c r="FY164" s="391"/>
      <c r="FZ164" s="391"/>
      <c r="GA164" s="391"/>
      <c r="GB164" s="391"/>
      <c r="GC164" s="391"/>
      <c r="GD164" s="391"/>
      <c r="GE164" s="391"/>
      <c r="GF164" s="391"/>
      <c r="GG164" s="391"/>
      <c r="GH164" s="391"/>
      <c r="GI164" s="391"/>
      <c r="GJ164" s="391"/>
      <c r="GK164" s="391"/>
      <c r="GL164" s="391"/>
      <c r="GM164" s="391"/>
      <c r="GN164" s="391"/>
      <c r="GO164" s="391"/>
      <c r="GP164" s="391"/>
      <c r="GQ164" s="391"/>
      <c r="GR164" s="391"/>
      <c r="GS164" s="391"/>
      <c r="GT164" s="391"/>
      <c r="GU164" s="391"/>
      <c r="GV164" s="391"/>
      <c r="GW164" s="391"/>
      <c r="GX164" s="391"/>
      <c r="GY164" s="391"/>
      <c r="GZ164" s="391"/>
      <c r="HA164" s="391"/>
      <c r="HB164" s="391"/>
      <c r="HC164" s="391"/>
      <c r="HD164" s="391"/>
      <c r="HE164" s="391"/>
      <c r="HF164" s="391"/>
      <c r="HG164" s="391"/>
      <c r="HH164" s="391"/>
      <c r="HI164" s="391"/>
      <c r="HJ164" s="391"/>
      <c r="HK164" s="391"/>
      <c r="HL164" s="391"/>
      <c r="HM164" s="391"/>
      <c r="HN164" s="391"/>
      <c r="HO164" s="391"/>
      <c r="HP164" s="391"/>
      <c r="HQ164" s="391"/>
      <c r="HR164" s="391"/>
      <c r="HS164" s="391"/>
      <c r="HT164" s="391"/>
      <c r="HU164" s="391"/>
      <c r="HV164" s="391"/>
      <c r="HW164" s="391"/>
      <c r="HX164" s="391"/>
      <c r="HY164" s="391"/>
      <c r="HZ164" s="391"/>
      <c r="IA164" s="391"/>
      <c r="IB164" s="391"/>
      <c r="IC164" s="391"/>
      <c r="ID164" s="391"/>
      <c r="IE164" s="391"/>
      <c r="IF164" s="391"/>
      <c r="IG164" s="391"/>
      <c r="IH164" s="391"/>
      <c r="II164" s="391"/>
      <c r="IJ164" s="391"/>
      <c r="IK164" s="391"/>
      <c r="IL164" s="391"/>
      <c r="IM164" s="391"/>
      <c r="IN164" s="391"/>
      <c r="IO164" s="391"/>
      <c r="IP164" s="391"/>
      <c r="IQ164" s="391"/>
      <c r="IR164" s="391"/>
      <c r="IS164" s="391"/>
      <c r="IT164" s="391"/>
      <c r="IU164" s="391"/>
      <c r="IV164" s="391"/>
      <c r="IW164" s="391"/>
      <c r="IX164" s="391"/>
      <c r="IY164" s="391"/>
      <c r="IZ164" s="391"/>
      <c r="JA164" s="391"/>
      <c r="JB164" s="391"/>
      <c r="JC164" s="391"/>
      <c r="JD164" s="391"/>
      <c r="JE164" s="391"/>
      <c r="JF164" s="391"/>
      <c r="JG164" s="391"/>
      <c r="JH164" s="391"/>
      <c r="JI164" s="393">
        <f t="shared" si="5"/>
        <v>0</v>
      </c>
      <c r="JJ164" s="2">
        <v>6470</v>
      </c>
      <c r="JK164" s="392">
        <f t="shared" si="6"/>
        <v>0</v>
      </c>
      <c r="JL164" s="391"/>
      <c r="JM164" s="392"/>
      <c r="JN164" s="392"/>
      <c r="JO164" s="392"/>
      <c r="JP164" s="392"/>
    </row>
    <row r="165" spans="1:276" x14ac:dyDescent="0.3">
      <c r="A165" s="391"/>
      <c r="B165" s="391"/>
      <c r="C165" s="391"/>
      <c r="D165" s="391"/>
      <c r="E165" s="391"/>
      <c r="F165" s="391"/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  <c r="X165" s="391"/>
      <c r="Y165" s="391"/>
      <c r="Z165" s="391"/>
      <c r="AA165" s="391"/>
      <c r="AB165" s="391"/>
      <c r="AC165" s="391"/>
      <c r="AD165" s="391"/>
      <c r="AE165" s="391"/>
      <c r="AF165" s="391"/>
      <c r="AG165" s="391"/>
      <c r="AH165" s="391"/>
      <c r="AI165" s="391"/>
      <c r="AJ165" s="391"/>
      <c r="AK165" s="391"/>
      <c r="AL165" s="391"/>
      <c r="AM165" s="391"/>
      <c r="AN165" s="391"/>
      <c r="AO165" s="391"/>
      <c r="AP165" s="391"/>
      <c r="AQ165" s="391"/>
      <c r="AR165" s="391"/>
      <c r="AS165" s="391"/>
      <c r="AT165" s="391"/>
      <c r="AU165" s="391"/>
      <c r="AV165" s="391"/>
      <c r="AW165" s="391"/>
      <c r="AX165" s="391"/>
      <c r="AY165" s="391"/>
      <c r="AZ165" s="391"/>
      <c r="BA165" s="391"/>
      <c r="BB165" s="391"/>
      <c r="BC165" s="391"/>
      <c r="BD165" s="391"/>
      <c r="BE165" s="391"/>
      <c r="BF165" s="391"/>
      <c r="BG165" s="391"/>
      <c r="BH165" s="391"/>
      <c r="BI165" s="391"/>
      <c r="BJ165" s="391"/>
      <c r="BK165" s="391"/>
      <c r="BL165" s="391"/>
      <c r="BM165" s="391"/>
      <c r="BN165" s="391"/>
      <c r="BO165" s="391"/>
      <c r="BP165" s="391"/>
      <c r="BQ165" s="391"/>
      <c r="BR165" s="391"/>
      <c r="BS165" s="391"/>
      <c r="BT165" s="391"/>
      <c r="BU165" s="391"/>
      <c r="BV165" s="391"/>
      <c r="BW165" s="391"/>
      <c r="BX165" s="391"/>
      <c r="BY165" s="391"/>
      <c r="BZ165" s="391"/>
      <c r="CA165" s="391"/>
      <c r="CB165" s="391"/>
      <c r="CC165" s="391"/>
      <c r="CD165" s="391"/>
      <c r="CE165" s="391"/>
      <c r="CF165" s="391"/>
      <c r="CG165" s="391"/>
      <c r="CH165" s="391"/>
      <c r="CI165" s="391"/>
      <c r="CJ165" s="391"/>
      <c r="CK165" s="391"/>
      <c r="CL165" s="391"/>
      <c r="CM165" s="391"/>
      <c r="CN165" s="391"/>
      <c r="CO165" s="391"/>
      <c r="CP165" s="391"/>
      <c r="CQ165" s="391"/>
      <c r="CR165" s="391"/>
      <c r="CS165" s="391"/>
      <c r="CT165" s="391"/>
      <c r="CU165" s="391"/>
      <c r="CV165" s="391"/>
      <c r="CW165" s="391"/>
      <c r="CX165" s="391"/>
      <c r="CY165" s="391"/>
      <c r="CZ165" s="391"/>
      <c r="DA165" s="391"/>
      <c r="DB165" s="391"/>
      <c r="DC165" s="391"/>
      <c r="DD165" s="391"/>
      <c r="DE165" s="391"/>
      <c r="DF165" s="391"/>
      <c r="DG165" s="391"/>
      <c r="DH165" s="391"/>
      <c r="DI165" s="391"/>
      <c r="DJ165" s="391"/>
      <c r="DK165" s="391"/>
      <c r="DL165" s="391"/>
      <c r="DM165" s="391"/>
      <c r="DN165" s="391"/>
      <c r="DO165" s="391"/>
      <c r="DP165" s="391"/>
      <c r="DQ165" s="391"/>
      <c r="DR165" s="391"/>
      <c r="DS165" s="391"/>
      <c r="DT165" s="391"/>
      <c r="DU165" s="391"/>
      <c r="DV165" s="391"/>
      <c r="DW165" s="391"/>
      <c r="DX165" s="391"/>
      <c r="DY165" s="391"/>
      <c r="DZ165" s="391"/>
      <c r="EA165" s="391"/>
      <c r="EB165" s="391"/>
      <c r="EC165" s="391"/>
      <c r="ED165" s="391"/>
      <c r="EE165" s="391"/>
      <c r="EF165" s="391"/>
      <c r="EG165" s="391"/>
      <c r="EH165" s="391"/>
      <c r="EI165" s="391"/>
      <c r="EJ165" s="391"/>
      <c r="EK165" s="391"/>
      <c r="EL165" s="391"/>
      <c r="EM165" s="391"/>
      <c r="EN165" s="391"/>
      <c r="EO165" s="391"/>
      <c r="EP165" s="391"/>
      <c r="EQ165" s="391"/>
      <c r="ER165" s="391"/>
      <c r="ES165" s="391"/>
      <c r="ET165" s="391"/>
      <c r="EU165" s="391"/>
      <c r="EV165" s="391"/>
      <c r="EW165" s="391"/>
      <c r="EX165" s="391"/>
      <c r="EY165" s="391"/>
      <c r="EZ165" s="391"/>
      <c r="FA165" s="391"/>
      <c r="FB165" s="391"/>
      <c r="FC165" s="391"/>
      <c r="FD165" s="391"/>
      <c r="FE165" s="391"/>
      <c r="FF165" s="391"/>
      <c r="FG165" s="391"/>
      <c r="FH165" s="391"/>
      <c r="FI165" s="391"/>
      <c r="FJ165" s="391"/>
      <c r="FK165" s="391"/>
      <c r="FL165" s="391"/>
      <c r="FM165" s="391"/>
      <c r="FN165" s="391"/>
      <c r="FO165" s="391"/>
      <c r="FP165" s="391"/>
      <c r="FQ165" s="391"/>
      <c r="FR165" s="391"/>
      <c r="FS165" s="391"/>
      <c r="FT165" s="391"/>
      <c r="FU165" s="391"/>
      <c r="FV165" s="391"/>
      <c r="FW165" s="391"/>
      <c r="FX165" s="391"/>
      <c r="FY165" s="391"/>
      <c r="FZ165" s="391"/>
      <c r="GA165" s="391"/>
      <c r="GB165" s="391"/>
      <c r="GC165" s="391"/>
      <c r="GD165" s="391"/>
      <c r="GE165" s="391"/>
      <c r="GF165" s="391"/>
      <c r="GG165" s="391"/>
      <c r="GH165" s="391"/>
      <c r="GI165" s="391"/>
      <c r="GJ165" s="391"/>
      <c r="GK165" s="391"/>
      <c r="GL165" s="391"/>
      <c r="GM165" s="391"/>
      <c r="GN165" s="391"/>
      <c r="GO165" s="391"/>
      <c r="GP165" s="391"/>
      <c r="GQ165" s="391"/>
      <c r="GR165" s="391"/>
      <c r="GS165" s="391"/>
      <c r="GT165" s="391"/>
      <c r="GU165" s="391"/>
      <c r="GV165" s="391"/>
      <c r="GW165" s="391"/>
      <c r="GX165" s="391"/>
      <c r="GY165" s="391"/>
      <c r="GZ165" s="391"/>
      <c r="HA165" s="391"/>
      <c r="HB165" s="391"/>
      <c r="HC165" s="391"/>
      <c r="HD165" s="391"/>
      <c r="HE165" s="391"/>
      <c r="HF165" s="391"/>
      <c r="HG165" s="391"/>
      <c r="HH165" s="391"/>
      <c r="HI165" s="391"/>
      <c r="HJ165" s="391"/>
      <c r="HK165" s="391"/>
      <c r="HL165" s="391"/>
      <c r="HM165" s="391"/>
      <c r="HN165" s="391"/>
      <c r="HO165" s="391"/>
      <c r="HP165" s="391"/>
      <c r="HQ165" s="391"/>
      <c r="HR165" s="391"/>
      <c r="HS165" s="391"/>
      <c r="HT165" s="391"/>
      <c r="HU165" s="391"/>
      <c r="HV165" s="391"/>
      <c r="HW165" s="391"/>
      <c r="HX165" s="391"/>
      <c r="HY165" s="391"/>
      <c r="HZ165" s="391"/>
      <c r="IA165" s="391"/>
      <c r="IB165" s="391"/>
      <c r="IC165" s="391"/>
      <c r="ID165" s="391"/>
      <c r="IE165" s="391"/>
      <c r="IF165" s="391"/>
      <c r="IG165" s="391"/>
      <c r="IH165" s="391"/>
      <c r="II165" s="391"/>
      <c r="IJ165" s="391"/>
      <c r="IK165" s="391"/>
      <c r="IL165" s="391"/>
      <c r="IM165" s="391"/>
      <c r="IN165" s="391"/>
      <c r="IO165" s="391"/>
      <c r="IP165" s="391"/>
      <c r="IQ165" s="391"/>
      <c r="IR165" s="391"/>
      <c r="IS165" s="391"/>
      <c r="IT165" s="391"/>
      <c r="IU165" s="391"/>
      <c r="IV165" s="391"/>
      <c r="IW165" s="391"/>
      <c r="IX165" s="391"/>
      <c r="IY165" s="391"/>
      <c r="IZ165" s="391"/>
      <c r="JA165" s="391"/>
      <c r="JB165" s="391"/>
      <c r="JC165" s="391"/>
      <c r="JD165" s="391"/>
      <c r="JE165" s="391"/>
      <c r="JF165" s="391"/>
      <c r="JG165" s="391"/>
      <c r="JH165" s="391"/>
      <c r="JI165" s="393">
        <f t="shared" si="5"/>
        <v>0</v>
      </c>
      <c r="JJ165" s="2">
        <v>6474</v>
      </c>
      <c r="JK165" s="392">
        <f t="shared" si="6"/>
        <v>0</v>
      </c>
      <c r="JL165" s="391"/>
      <c r="JM165" s="392"/>
      <c r="JN165" s="392"/>
      <c r="JO165" s="392"/>
      <c r="JP165" s="392"/>
    </row>
    <row r="166" spans="1:276" x14ac:dyDescent="0.3">
      <c r="A166" s="391"/>
      <c r="B166" s="391"/>
      <c r="C166" s="391"/>
      <c r="D166" s="391"/>
      <c r="E166" s="391"/>
      <c r="F166" s="391"/>
      <c r="G166" s="391"/>
      <c r="H166" s="391"/>
      <c r="I166" s="391"/>
      <c r="J166" s="391">
        <v>973531.03</v>
      </c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  <c r="AA166" s="391"/>
      <c r="AB166" s="391"/>
      <c r="AC166" s="391"/>
      <c r="AD166" s="391"/>
      <c r="AE166" s="391"/>
      <c r="AF166" s="391"/>
      <c r="AG166" s="391"/>
      <c r="AH166" s="391"/>
      <c r="AI166" s="391"/>
      <c r="AJ166" s="391"/>
      <c r="AK166" s="391">
        <v>69023.350000000006</v>
      </c>
      <c r="AL166" s="391">
        <v>69120.7</v>
      </c>
      <c r="AM166" s="391">
        <v>11471.29</v>
      </c>
      <c r="AN166" s="391"/>
      <c r="AO166" s="391"/>
      <c r="AP166" s="391"/>
      <c r="AQ166" s="391"/>
      <c r="AR166" s="391"/>
      <c r="AS166" s="391"/>
      <c r="AT166" s="391"/>
      <c r="AU166" s="391"/>
      <c r="AV166" s="391"/>
      <c r="AW166" s="391"/>
      <c r="AX166" s="391"/>
      <c r="AY166" s="391"/>
      <c r="AZ166" s="391"/>
      <c r="BA166" s="391"/>
      <c r="BB166" s="391"/>
      <c r="BC166" s="391"/>
      <c r="BD166" s="391"/>
      <c r="BE166" s="391"/>
      <c r="BF166" s="391"/>
      <c r="BG166" s="391"/>
      <c r="BH166" s="391"/>
      <c r="BI166" s="391"/>
      <c r="BJ166" s="391"/>
      <c r="BK166" s="391"/>
      <c r="BL166" s="391"/>
      <c r="BM166" s="391"/>
      <c r="BN166" s="391"/>
      <c r="BO166" s="391"/>
      <c r="BP166" s="391"/>
      <c r="BQ166" s="391"/>
      <c r="BR166" s="391"/>
      <c r="BS166" s="391"/>
      <c r="BT166" s="391"/>
      <c r="BU166" s="391"/>
      <c r="BV166" s="391"/>
      <c r="BW166" s="391"/>
      <c r="BX166" s="391"/>
      <c r="BY166" s="391"/>
      <c r="BZ166" s="391"/>
      <c r="CA166" s="391"/>
      <c r="CB166" s="391"/>
      <c r="CC166" s="391"/>
      <c r="CD166" s="391"/>
      <c r="CE166" s="391"/>
      <c r="CF166" s="391"/>
      <c r="CG166" s="391"/>
      <c r="CH166" s="391"/>
      <c r="CI166" s="391"/>
      <c r="CJ166" s="391"/>
      <c r="CK166" s="391"/>
      <c r="CL166" s="391"/>
      <c r="CM166" s="391"/>
      <c r="CN166" s="391"/>
      <c r="CO166" s="391"/>
      <c r="CP166" s="391"/>
      <c r="CQ166" s="391"/>
      <c r="CR166" s="391"/>
      <c r="CS166" s="391"/>
      <c r="CT166" s="391"/>
      <c r="CU166" s="391"/>
      <c r="CV166" s="391"/>
      <c r="CW166" s="391"/>
      <c r="CX166" s="391"/>
      <c r="CY166" s="391"/>
      <c r="CZ166" s="391"/>
      <c r="DA166" s="391"/>
      <c r="DB166" s="391"/>
      <c r="DC166" s="391"/>
      <c r="DD166" s="391"/>
      <c r="DE166" s="391"/>
      <c r="DF166" s="391"/>
      <c r="DG166" s="391"/>
      <c r="DH166" s="391"/>
      <c r="DI166" s="391"/>
      <c r="DJ166" s="391"/>
      <c r="DK166" s="391"/>
      <c r="DL166" s="391"/>
      <c r="DM166" s="391"/>
      <c r="DN166" s="391"/>
      <c r="DO166" s="391"/>
      <c r="DP166" s="391"/>
      <c r="DQ166" s="391"/>
      <c r="DR166" s="391"/>
      <c r="DS166" s="391"/>
      <c r="DT166" s="391"/>
      <c r="DU166" s="391"/>
      <c r="DV166" s="391"/>
      <c r="DW166" s="391"/>
      <c r="DX166" s="391"/>
      <c r="DY166" s="391"/>
      <c r="DZ166" s="391"/>
      <c r="EA166" s="391"/>
      <c r="EB166" s="391"/>
      <c r="EC166" s="391"/>
      <c r="ED166" s="391"/>
      <c r="EE166" s="391"/>
      <c r="EF166" s="391"/>
      <c r="EG166" s="391"/>
      <c r="EH166" s="391"/>
      <c r="EI166" s="391"/>
      <c r="EJ166" s="391"/>
      <c r="EK166" s="391"/>
      <c r="EL166" s="391"/>
      <c r="EM166" s="391"/>
      <c r="EN166" s="391"/>
      <c r="EO166" s="391"/>
      <c r="EP166" s="391"/>
      <c r="EQ166" s="391"/>
      <c r="ER166" s="391"/>
      <c r="ES166" s="391"/>
      <c r="ET166" s="391"/>
      <c r="EU166" s="391"/>
      <c r="EV166" s="391"/>
      <c r="EW166" s="391"/>
      <c r="EX166" s="391"/>
      <c r="EY166" s="391"/>
      <c r="EZ166" s="391"/>
      <c r="FA166" s="391"/>
      <c r="FB166" s="391"/>
      <c r="FC166" s="391"/>
      <c r="FD166" s="391"/>
      <c r="FE166" s="391"/>
      <c r="FF166" s="391"/>
      <c r="FG166" s="391"/>
      <c r="FH166" s="391"/>
      <c r="FI166" s="391"/>
      <c r="FJ166" s="391"/>
      <c r="FK166" s="391"/>
      <c r="FL166" s="391"/>
      <c r="FM166" s="391"/>
      <c r="FN166" s="391"/>
      <c r="FO166" s="391"/>
      <c r="FP166" s="391"/>
      <c r="FQ166" s="391"/>
      <c r="FR166" s="391"/>
      <c r="FS166" s="391"/>
      <c r="FT166" s="391"/>
      <c r="FU166" s="391"/>
      <c r="FV166" s="391"/>
      <c r="FW166" s="391"/>
      <c r="FX166" s="391"/>
      <c r="FY166" s="391"/>
      <c r="FZ166" s="391"/>
      <c r="GA166" s="391"/>
      <c r="GB166" s="391"/>
      <c r="GC166" s="391"/>
      <c r="GD166" s="391"/>
      <c r="GE166" s="391"/>
      <c r="GF166" s="391"/>
      <c r="GG166" s="391"/>
      <c r="GH166" s="391"/>
      <c r="GI166" s="391"/>
      <c r="GJ166" s="391"/>
      <c r="GK166" s="391"/>
      <c r="GL166" s="391"/>
      <c r="GM166" s="391"/>
      <c r="GN166" s="391"/>
      <c r="GO166" s="391"/>
      <c r="GP166" s="391"/>
      <c r="GQ166" s="391"/>
      <c r="GR166" s="391"/>
      <c r="GS166" s="391"/>
      <c r="GT166" s="391"/>
      <c r="GU166" s="391"/>
      <c r="GV166" s="391"/>
      <c r="GW166" s="391"/>
      <c r="GX166" s="391"/>
      <c r="GY166" s="391"/>
      <c r="GZ166" s="391"/>
      <c r="HA166" s="391"/>
      <c r="HB166" s="391"/>
      <c r="HC166" s="391"/>
      <c r="HD166" s="391"/>
      <c r="HE166" s="391"/>
      <c r="HF166" s="391"/>
      <c r="HG166" s="391"/>
      <c r="HH166" s="391"/>
      <c r="HI166" s="391"/>
      <c r="HJ166" s="391"/>
      <c r="HK166" s="391"/>
      <c r="HL166" s="391"/>
      <c r="HM166" s="391"/>
      <c r="HN166" s="391"/>
      <c r="HO166" s="391"/>
      <c r="HP166" s="391"/>
      <c r="HQ166" s="391"/>
      <c r="HR166" s="391"/>
      <c r="HS166" s="391"/>
      <c r="HT166" s="391"/>
      <c r="HU166" s="391"/>
      <c r="HV166" s="391"/>
      <c r="HW166" s="391"/>
      <c r="HX166" s="391"/>
      <c r="HY166" s="391"/>
      <c r="HZ166" s="391"/>
      <c r="IA166" s="391"/>
      <c r="IB166" s="391"/>
      <c r="IC166" s="391"/>
      <c r="ID166" s="391"/>
      <c r="IE166" s="391"/>
      <c r="IF166" s="391"/>
      <c r="IG166" s="391"/>
      <c r="IH166" s="391"/>
      <c r="II166" s="391"/>
      <c r="IJ166" s="391"/>
      <c r="IK166" s="391"/>
      <c r="IL166" s="391"/>
      <c r="IM166" s="391"/>
      <c r="IN166" s="391"/>
      <c r="IO166" s="391"/>
      <c r="IP166" s="391"/>
      <c r="IQ166" s="391"/>
      <c r="IR166" s="391"/>
      <c r="IS166" s="391"/>
      <c r="IT166" s="391"/>
      <c r="IU166" s="391"/>
      <c r="IV166" s="391"/>
      <c r="IW166" s="391"/>
      <c r="IX166" s="391"/>
      <c r="IY166" s="391"/>
      <c r="IZ166" s="391"/>
      <c r="JA166" s="391"/>
      <c r="JB166" s="391"/>
      <c r="JC166" s="391"/>
      <c r="JD166" s="391"/>
      <c r="JE166" s="391"/>
      <c r="JF166" s="391"/>
      <c r="JG166" s="391"/>
      <c r="JH166" s="391"/>
      <c r="JI166" s="393">
        <f t="shared" si="5"/>
        <v>1123146.3700000001</v>
      </c>
      <c r="JJ166" s="2">
        <v>6478</v>
      </c>
      <c r="JK166" s="392">
        <f t="shared" si="6"/>
        <v>1123146.3700000001</v>
      </c>
      <c r="JL166" s="391"/>
      <c r="JM166" s="392"/>
      <c r="JN166" s="392"/>
      <c r="JO166" s="392"/>
      <c r="JP166" s="392"/>
    </row>
    <row r="167" spans="1:276" x14ac:dyDescent="0.3">
      <c r="A167" s="391"/>
      <c r="B167" s="391"/>
      <c r="C167" s="391"/>
      <c r="D167" s="391"/>
      <c r="E167" s="391"/>
      <c r="F167" s="391"/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  <c r="W167" s="391">
        <v>45000</v>
      </c>
      <c r="X167" s="391"/>
      <c r="Y167" s="391"/>
      <c r="Z167" s="391"/>
      <c r="AA167" s="391"/>
      <c r="AB167" s="391"/>
      <c r="AC167" s="391"/>
      <c r="AD167" s="391"/>
      <c r="AE167" s="391"/>
      <c r="AF167" s="391"/>
      <c r="AG167" s="391"/>
      <c r="AH167" s="391"/>
      <c r="AI167" s="391"/>
      <c r="AJ167" s="391"/>
      <c r="AK167" s="391"/>
      <c r="AL167" s="391"/>
      <c r="AM167" s="391"/>
      <c r="AN167" s="391"/>
      <c r="AO167" s="391"/>
      <c r="AP167" s="391"/>
      <c r="AQ167" s="391"/>
      <c r="AR167" s="391"/>
      <c r="AS167" s="391"/>
      <c r="AT167" s="391"/>
      <c r="AU167" s="391"/>
      <c r="AV167" s="391"/>
      <c r="AW167" s="391"/>
      <c r="AX167" s="391"/>
      <c r="AY167" s="391"/>
      <c r="AZ167" s="391"/>
      <c r="BA167" s="391"/>
      <c r="BB167" s="391"/>
      <c r="BC167" s="391"/>
      <c r="BD167" s="391"/>
      <c r="BE167" s="391"/>
      <c r="BF167" s="391"/>
      <c r="BG167" s="391"/>
      <c r="BH167" s="391"/>
      <c r="BI167" s="391"/>
      <c r="BJ167" s="391"/>
      <c r="BK167" s="391"/>
      <c r="BL167" s="391"/>
      <c r="BM167" s="391"/>
      <c r="BN167" s="391"/>
      <c r="BO167" s="391"/>
      <c r="BP167" s="391"/>
      <c r="BQ167" s="391"/>
      <c r="BR167" s="391"/>
      <c r="BS167" s="391"/>
      <c r="BT167" s="391"/>
      <c r="BU167" s="391"/>
      <c r="BV167" s="391"/>
      <c r="BW167" s="391"/>
      <c r="BX167" s="391"/>
      <c r="BY167" s="391"/>
      <c r="BZ167" s="391"/>
      <c r="CA167" s="391"/>
      <c r="CB167" s="391"/>
      <c r="CC167" s="391"/>
      <c r="CD167" s="391"/>
      <c r="CE167" s="391"/>
      <c r="CF167" s="391"/>
      <c r="CG167" s="391"/>
      <c r="CH167" s="391"/>
      <c r="CI167" s="391"/>
      <c r="CJ167" s="391"/>
      <c r="CK167" s="391"/>
      <c r="CL167" s="391"/>
      <c r="CM167" s="391"/>
      <c r="CN167" s="391"/>
      <c r="CO167" s="391"/>
      <c r="CP167" s="391"/>
      <c r="CQ167" s="391"/>
      <c r="CR167" s="391"/>
      <c r="CS167" s="391"/>
      <c r="CT167" s="391"/>
      <c r="CU167" s="391"/>
      <c r="CV167" s="391"/>
      <c r="CW167" s="391"/>
      <c r="CX167" s="391"/>
      <c r="CY167" s="391"/>
      <c r="CZ167" s="391"/>
      <c r="DA167" s="391"/>
      <c r="DB167" s="391"/>
      <c r="DC167" s="391"/>
      <c r="DD167" s="391"/>
      <c r="DE167" s="391"/>
      <c r="DF167" s="391"/>
      <c r="DG167" s="391"/>
      <c r="DH167" s="391"/>
      <c r="DI167" s="391"/>
      <c r="DJ167" s="391"/>
      <c r="DK167" s="391"/>
      <c r="DL167" s="391"/>
      <c r="DM167" s="391"/>
      <c r="DN167" s="391"/>
      <c r="DO167" s="391"/>
      <c r="DP167" s="391"/>
      <c r="DQ167" s="391"/>
      <c r="DR167" s="391"/>
      <c r="DS167" s="391"/>
      <c r="DT167" s="391"/>
      <c r="DU167" s="391"/>
      <c r="DV167" s="391"/>
      <c r="DW167" s="391"/>
      <c r="DX167" s="391"/>
      <c r="DY167" s="391"/>
      <c r="DZ167" s="391"/>
      <c r="EA167" s="391"/>
      <c r="EB167" s="391"/>
      <c r="EC167" s="391"/>
      <c r="ED167" s="391"/>
      <c r="EE167" s="391"/>
      <c r="EF167" s="391"/>
      <c r="EG167" s="391"/>
      <c r="EH167" s="391"/>
      <c r="EI167" s="391"/>
      <c r="EJ167" s="391"/>
      <c r="EK167" s="391"/>
      <c r="EL167" s="391"/>
      <c r="EM167" s="391"/>
      <c r="EN167" s="391"/>
      <c r="EO167" s="391"/>
      <c r="EP167" s="391"/>
      <c r="EQ167" s="391"/>
      <c r="ER167" s="391"/>
      <c r="ES167" s="391"/>
      <c r="ET167" s="391"/>
      <c r="EU167" s="391"/>
      <c r="EV167" s="391"/>
      <c r="EW167" s="391"/>
      <c r="EX167" s="391"/>
      <c r="EY167" s="391"/>
      <c r="EZ167" s="391"/>
      <c r="FA167" s="391"/>
      <c r="FB167" s="391"/>
      <c r="FC167" s="391"/>
      <c r="FD167" s="391"/>
      <c r="FE167" s="391"/>
      <c r="FF167" s="391"/>
      <c r="FG167" s="391"/>
      <c r="FH167" s="391"/>
      <c r="FI167" s="391"/>
      <c r="FJ167" s="391"/>
      <c r="FK167" s="391"/>
      <c r="FL167" s="391"/>
      <c r="FM167" s="391"/>
      <c r="FN167" s="391"/>
      <c r="FO167" s="391"/>
      <c r="FP167" s="391"/>
      <c r="FQ167" s="391"/>
      <c r="FR167" s="391"/>
      <c r="FS167" s="391"/>
      <c r="FT167" s="391"/>
      <c r="FU167" s="391"/>
      <c r="FV167" s="391"/>
      <c r="FW167" s="391"/>
      <c r="FX167" s="391"/>
      <c r="FY167" s="391"/>
      <c r="FZ167" s="391"/>
      <c r="GA167" s="391"/>
      <c r="GB167" s="391"/>
      <c r="GC167" s="391"/>
      <c r="GD167" s="391"/>
      <c r="GE167" s="391"/>
      <c r="GF167" s="391"/>
      <c r="GG167" s="391"/>
      <c r="GH167" s="391"/>
      <c r="GI167" s="391"/>
      <c r="GJ167" s="391"/>
      <c r="GK167" s="391"/>
      <c r="GL167" s="391"/>
      <c r="GM167" s="391"/>
      <c r="GN167" s="391"/>
      <c r="GO167" s="391"/>
      <c r="GP167" s="391"/>
      <c r="GQ167" s="391"/>
      <c r="GR167" s="391"/>
      <c r="GS167" s="391"/>
      <c r="GT167" s="391"/>
      <c r="GU167" s="391"/>
      <c r="GV167" s="391"/>
      <c r="GW167" s="391"/>
      <c r="GX167" s="391"/>
      <c r="GY167" s="391"/>
      <c r="GZ167" s="391"/>
      <c r="HA167" s="391"/>
      <c r="HB167" s="391"/>
      <c r="HC167" s="391"/>
      <c r="HD167" s="391"/>
      <c r="HE167" s="391"/>
      <c r="HF167" s="391"/>
      <c r="HG167" s="391"/>
      <c r="HH167" s="391"/>
      <c r="HI167" s="391"/>
      <c r="HJ167" s="391"/>
      <c r="HK167" s="391"/>
      <c r="HL167" s="391"/>
      <c r="HM167" s="391"/>
      <c r="HN167" s="391"/>
      <c r="HO167" s="391"/>
      <c r="HP167" s="391"/>
      <c r="HQ167" s="391"/>
      <c r="HR167" s="391"/>
      <c r="HS167" s="391"/>
      <c r="HT167" s="391"/>
      <c r="HU167" s="391"/>
      <c r="HV167" s="391"/>
      <c r="HW167" s="391"/>
      <c r="HX167" s="391"/>
      <c r="HY167" s="391"/>
      <c r="HZ167" s="391"/>
      <c r="IA167" s="391"/>
      <c r="IB167" s="391"/>
      <c r="IC167" s="391"/>
      <c r="ID167" s="391"/>
      <c r="IE167" s="391"/>
      <c r="IF167" s="391"/>
      <c r="IG167" s="391"/>
      <c r="IH167" s="391"/>
      <c r="II167" s="391"/>
      <c r="IJ167" s="391"/>
      <c r="IK167" s="391"/>
      <c r="IL167" s="391"/>
      <c r="IM167" s="391"/>
      <c r="IN167" s="391"/>
      <c r="IO167" s="391"/>
      <c r="IP167" s="391"/>
      <c r="IQ167" s="391"/>
      <c r="IR167" s="391"/>
      <c r="IS167" s="391"/>
      <c r="IT167" s="391"/>
      <c r="IU167" s="391"/>
      <c r="IV167" s="391"/>
      <c r="IW167" s="391"/>
      <c r="IX167" s="391"/>
      <c r="IY167" s="391"/>
      <c r="IZ167" s="391"/>
      <c r="JA167" s="391"/>
      <c r="JB167" s="391"/>
      <c r="JC167" s="391"/>
      <c r="JD167" s="391"/>
      <c r="JE167" s="391"/>
      <c r="JF167" s="391"/>
      <c r="JG167" s="391"/>
      <c r="JH167" s="391"/>
      <c r="JI167" s="393">
        <f t="shared" si="5"/>
        <v>45000</v>
      </c>
      <c r="JJ167" s="2">
        <v>6482</v>
      </c>
      <c r="JK167" s="392">
        <f t="shared" si="6"/>
        <v>45000</v>
      </c>
      <c r="JL167" s="391"/>
      <c r="JM167" s="392"/>
      <c r="JN167" s="392"/>
      <c r="JO167" s="392"/>
      <c r="JP167" s="392"/>
    </row>
    <row r="168" spans="1:276" x14ac:dyDescent="0.3">
      <c r="A168" s="391">
        <v>52666807.68</v>
      </c>
      <c r="B168" s="391"/>
      <c r="C168" s="391"/>
      <c r="D168" s="391"/>
      <c r="E168" s="391"/>
      <c r="F168" s="391"/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>
        <v>2752136.5</v>
      </c>
      <c r="T168" s="391"/>
      <c r="U168" s="391"/>
      <c r="V168" s="391"/>
      <c r="W168" s="120" t="s">
        <v>939</v>
      </c>
      <c r="X168" s="391"/>
      <c r="Y168" s="391"/>
      <c r="Z168" s="391">
        <v>330200</v>
      </c>
      <c r="AA168" s="391"/>
      <c r="AB168" s="391">
        <f>10717.4+58945.7</f>
        <v>69663.099999999991</v>
      </c>
      <c r="AC168" s="391"/>
      <c r="AD168" s="391"/>
      <c r="AE168" s="391"/>
      <c r="AF168" s="391"/>
      <c r="AG168" s="391"/>
      <c r="AH168" s="391"/>
      <c r="AI168" s="391"/>
      <c r="AJ168" s="391"/>
      <c r="AK168" s="391">
        <v>3734078.94</v>
      </c>
      <c r="AL168" s="391">
        <v>3739343.8</v>
      </c>
      <c r="AM168" s="391">
        <v>630803.53</v>
      </c>
      <c r="AN168" s="391"/>
      <c r="AO168" s="391"/>
      <c r="AP168" s="391"/>
      <c r="AQ168" s="391"/>
      <c r="AR168" s="391"/>
      <c r="AS168" s="391"/>
      <c r="AT168" s="391"/>
      <c r="AU168" s="391"/>
      <c r="AV168" s="391"/>
      <c r="AW168" s="391"/>
      <c r="AX168" s="391"/>
      <c r="AY168" s="391"/>
      <c r="AZ168" s="391"/>
      <c r="BA168" s="391"/>
      <c r="BB168" s="391"/>
      <c r="BC168" s="391"/>
      <c r="BD168" s="391"/>
      <c r="BE168" s="391"/>
      <c r="BF168" s="391"/>
      <c r="BG168" s="391"/>
      <c r="BH168" s="391"/>
      <c r="BI168" s="391"/>
      <c r="BJ168" s="391"/>
      <c r="BK168" s="391"/>
      <c r="BL168" s="391"/>
      <c r="BM168" s="391"/>
      <c r="BN168" s="391"/>
      <c r="BO168" s="391"/>
      <c r="BP168" s="391"/>
      <c r="BQ168" s="391"/>
      <c r="BR168" s="391"/>
      <c r="BS168" s="391"/>
      <c r="BT168" s="391"/>
      <c r="BU168" s="391"/>
      <c r="BV168" s="391"/>
      <c r="BW168" s="391"/>
      <c r="BX168" s="391"/>
      <c r="BY168" s="391"/>
      <c r="BZ168" s="391"/>
      <c r="CA168" s="391"/>
      <c r="CB168" s="391"/>
      <c r="CC168" s="391"/>
      <c r="CD168" s="391"/>
      <c r="CE168" s="391"/>
      <c r="CF168" s="391"/>
      <c r="CG168" s="391"/>
      <c r="CH168" s="391"/>
      <c r="CI168" s="391"/>
      <c r="CJ168" s="391"/>
      <c r="CK168" s="391"/>
      <c r="CL168" s="391"/>
      <c r="CM168" s="391"/>
      <c r="CN168" s="391"/>
      <c r="CO168" s="391"/>
      <c r="CP168" s="391"/>
      <c r="CQ168" s="391"/>
      <c r="CR168" s="391"/>
      <c r="CS168" s="391"/>
      <c r="CT168" s="391"/>
      <c r="CU168" s="391"/>
      <c r="CV168" s="391"/>
      <c r="CW168" s="391"/>
      <c r="CX168" s="391"/>
      <c r="CY168" s="391"/>
      <c r="CZ168" s="391"/>
      <c r="DA168" s="391"/>
      <c r="DB168" s="391"/>
      <c r="DC168" s="391"/>
      <c r="DD168" s="391"/>
      <c r="DE168" s="391"/>
      <c r="DF168" s="391"/>
      <c r="DG168" s="391"/>
      <c r="DH168" s="391"/>
      <c r="DI168" s="391"/>
      <c r="DJ168" s="391"/>
      <c r="DK168" s="391"/>
      <c r="DL168" s="391"/>
      <c r="DM168" s="391"/>
      <c r="DN168" s="391"/>
      <c r="DO168" s="391"/>
      <c r="DP168" s="391"/>
      <c r="DQ168" s="391"/>
      <c r="DR168" s="391"/>
      <c r="DS168" s="391"/>
      <c r="DT168" s="391"/>
      <c r="DU168" s="391"/>
      <c r="DV168" s="391"/>
      <c r="DW168" s="391"/>
      <c r="DX168" s="391"/>
      <c r="DY168" s="391"/>
      <c r="DZ168" s="391"/>
      <c r="EA168" s="391"/>
      <c r="EB168" s="391"/>
      <c r="EC168" s="391"/>
      <c r="ED168" s="391"/>
      <c r="EE168" s="391"/>
      <c r="EF168" s="391"/>
      <c r="EG168" s="391"/>
      <c r="EH168" s="391"/>
      <c r="EI168" s="391"/>
      <c r="EJ168" s="391"/>
      <c r="EK168" s="391"/>
      <c r="EL168" s="391"/>
      <c r="EM168" s="391"/>
      <c r="EN168" s="391"/>
      <c r="EO168" s="391"/>
      <c r="EP168" s="391"/>
      <c r="EQ168" s="391"/>
      <c r="ER168" s="391"/>
      <c r="ES168" s="391"/>
      <c r="ET168" s="391"/>
      <c r="EU168" s="391"/>
      <c r="EV168" s="391"/>
      <c r="EW168" s="391"/>
      <c r="EX168" s="391"/>
      <c r="EY168" s="391"/>
      <c r="EZ168" s="391"/>
      <c r="FA168" s="391"/>
      <c r="FB168" s="391"/>
      <c r="FC168" s="391"/>
      <c r="FD168" s="391"/>
      <c r="FE168" s="391"/>
      <c r="FF168" s="391"/>
      <c r="FG168" s="391"/>
      <c r="FH168" s="391"/>
      <c r="FI168" s="391"/>
      <c r="FJ168" s="391"/>
      <c r="FK168" s="391"/>
      <c r="FL168" s="391"/>
      <c r="FM168" s="391"/>
      <c r="FN168" s="391"/>
      <c r="FO168" s="391"/>
      <c r="FP168" s="391"/>
      <c r="FQ168" s="391"/>
      <c r="FR168" s="391"/>
      <c r="FS168" s="391"/>
      <c r="FT168" s="391"/>
      <c r="FU168" s="391"/>
      <c r="FV168" s="391"/>
      <c r="FW168" s="391"/>
      <c r="FX168" s="391"/>
      <c r="FY168" s="391"/>
      <c r="FZ168" s="391"/>
      <c r="GA168" s="391"/>
      <c r="GB168" s="391"/>
      <c r="GC168" s="391"/>
      <c r="GD168" s="391"/>
      <c r="GE168" s="391"/>
      <c r="GF168" s="391"/>
      <c r="GG168" s="391"/>
      <c r="GH168" s="391"/>
      <c r="GI168" s="391"/>
      <c r="GJ168" s="391"/>
      <c r="GK168" s="391"/>
      <c r="GL168" s="391"/>
      <c r="GM168" s="391"/>
      <c r="GN168" s="391"/>
      <c r="GO168" s="391"/>
      <c r="GP168" s="391"/>
      <c r="GQ168" s="391"/>
      <c r="GR168" s="391"/>
      <c r="GS168" s="391"/>
      <c r="GT168" s="391"/>
      <c r="GU168" s="391"/>
      <c r="GV168" s="391"/>
      <c r="GW168" s="391"/>
      <c r="GX168" s="391"/>
      <c r="GY168" s="391"/>
      <c r="GZ168" s="391"/>
      <c r="HA168" s="391"/>
      <c r="HB168" s="391"/>
      <c r="HC168" s="391"/>
      <c r="HD168" s="391"/>
      <c r="HE168" s="391"/>
      <c r="HF168" s="391"/>
      <c r="HG168" s="391"/>
      <c r="HH168" s="391"/>
      <c r="HI168" s="391"/>
      <c r="HJ168" s="391"/>
      <c r="HK168" s="391"/>
      <c r="HL168" s="391"/>
      <c r="HM168" s="391"/>
      <c r="HN168" s="391"/>
      <c r="HO168" s="391"/>
      <c r="HP168" s="391"/>
      <c r="HQ168" s="391"/>
      <c r="HR168" s="391"/>
      <c r="HS168" s="391"/>
      <c r="HT168" s="391"/>
      <c r="HU168" s="391"/>
      <c r="HV168" s="391"/>
      <c r="HW168" s="391"/>
      <c r="HX168" s="391"/>
      <c r="HY168" s="391"/>
      <c r="HZ168" s="391"/>
      <c r="IA168" s="391"/>
      <c r="IB168" s="391"/>
      <c r="IC168" s="391"/>
      <c r="ID168" s="391"/>
      <c r="IE168" s="391"/>
      <c r="IF168" s="391"/>
      <c r="IG168" s="391"/>
      <c r="IH168" s="391"/>
      <c r="II168" s="391"/>
      <c r="IJ168" s="391"/>
      <c r="IK168" s="391"/>
      <c r="IL168" s="391"/>
      <c r="IM168" s="391"/>
      <c r="IN168" s="391"/>
      <c r="IO168" s="391"/>
      <c r="IP168" s="391"/>
      <c r="IQ168" s="391"/>
      <c r="IR168" s="391"/>
      <c r="IS168" s="391"/>
      <c r="IT168" s="391"/>
      <c r="IU168" s="391"/>
      <c r="IV168" s="391"/>
      <c r="IW168" s="391"/>
      <c r="IX168" s="391"/>
      <c r="IY168" s="391"/>
      <c r="IZ168" s="391"/>
      <c r="JA168" s="391"/>
      <c r="JB168" s="391"/>
      <c r="JC168" s="391"/>
      <c r="JD168" s="391"/>
      <c r="JE168" s="391"/>
      <c r="JF168" s="391"/>
      <c r="JG168" s="391"/>
      <c r="JH168" s="391"/>
      <c r="JI168" s="393">
        <f t="shared" si="5"/>
        <v>63923033.549999997</v>
      </c>
      <c r="JJ168" s="2">
        <v>6486</v>
      </c>
      <c r="JK168" s="392">
        <f t="shared" si="6"/>
        <v>63923033.549999997</v>
      </c>
      <c r="JL168" s="391"/>
      <c r="JM168" s="392"/>
      <c r="JN168" s="392"/>
      <c r="JO168" s="392"/>
      <c r="JP168" s="392"/>
    </row>
    <row r="169" spans="1:276" x14ac:dyDescent="0.3">
      <c r="A169" s="391"/>
      <c r="B169" s="391"/>
      <c r="C169" s="391"/>
      <c r="D169" s="391"/>
      <c r="E169" s="391"/>
      <c r="F169" s="391"/>
      <c r="G169" s="391"/>
      <c r="H169" s="391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391"/>
      <c r="X169" s="391"/>
      <c r="Y169" s="391"/>
      <c r="Z169" s="391"/>
      <c r="AA169" s="391"/>
      <c r="AB169" s="391"/>
      <c r="AC169" s="391"/>
      <c r="AD169" s="391"/>
      <c r="AE169" s="391"/>
      <c r="AF169" s="391"/>
      <c r="AG169" s="391"/>
      <c r="AH169" s="391"/>
      <c r="AI169" s="391"/>
      <c r="AJ169" s="391"/>
      <c r="AK169" s="391"/>
      <c r="AL169" s="391"/>
      <c r="AM169" s="391"/>
      <c r="AN169" s="391"/>
      <c r="AO169" s="391"/>
      <c r="AP169" s="391"/>
      <c r="AQ169" s="391"/>
      <c r="AR169" s="391"/>
      <c r="AS169" s="391"/>
      <c r="AT169" s="391"/>
      <c r="AU169" s="391"/>
      <c r="AV169" s="391"/>
      <c r="AW169" s="391"/>
      <c r="AX169" s="391"/>
      <c r="AY169" s="391"/>
      <c r="AZ169" s="391"/>
      <c r="BA169" s="391"/>
      <c r="BB169" s="391"/>
      <c r="BC169" s="391"/>
      <c r="BD169" s="391"/>
      <c r="BE169" s="391"/>
      <c r="BF169" s="391"/>
      <c r="BG169" s="391"/>
      <c r="BH169" s="391"/>
      <c r="BI169" s="391"/>
      <c r="BJ169" s="391"/>
      <c r="BK169" s="391"/>
      <c r="BL169" s="391"/>
      <c r="BM169" s="391"/>
      <c r="BN169" s="391"/>
      <c r="BO169" s="391"/>
      <c r="BP169" s="391"/>
      <c r="BQ169" s="391"/>
      <c r="BR169" s="391"/>
      <c r="BS169" s="391"/>
      <c r="BT169" s="391"/>
      <c r="BU169" s="391"/>
      <c r="BV169" s="391"/>
      <c r="BW169" s="391"/>
      <c r="BX169" s="391"/>
      <c r="BY169" s="391"/>
      <c r="BZ169" s="391"/>
      <c r="CA169" s="391"/>
      <c r="CB169" s="391"/>
      <c r="CC169" s="391"/>
      <c r="CD169" s="391"/>
      <c r="CE169" s="391"/>
      <c r="CF169" s="391"/>
      <c r="CG169" s="391"/>
      <c r="CH169" s="391"/>
      <c r="CI169" s="391"/>
      <c r="CJ169" s="391"/>
      <c r="CK169" s="391"/>
      <c r="CL169" s="391"/>
      <c r="CM169" s="391"/>
      <c r="CN169" s="391"/>
      <c r="CO169" s="391"/>
      <c r="CP169" s="391"/>
      <c r="CQ169" s="391"/>
      <c r="CR169" s="391"/>
      <c r="CS169" s="391"/>
      <c r="CT169" s="391"/>
      <c r="CU169" s="391"/>
      <c r="CV169" s="391"/>
      <c r="CW169" s="391"/>
      <c r="CX169" s="391"/>
      <c r="CY169" s="391"/>
      <c r="CZ169" s="391"/>
      <c r="DA169" s="391"/>
      <c r="DB169" s="391"/>
      <c r="DC169" s="391"/>
      <c r="DD169" s="391"/>
      <c r="DE169" s="391"/>
      <c r="DF169" s="391"/>
      <c r="DG169" s="391"/>
      <c r="DH169" s="391"/>
      <c r="DI169" s="391"/>
      <c r="DJ169" s="391"/>
      <c r="DK169" s="391"/>
      <c r="DL169" s="391"/>
      <c r="DM169" s="391"/>
      <c r="DN169" s="391"/>
      <c r="DO169" s="391"/>
      <c r="DP169" s="391"/>
      <c r="DQ169" s="391"/>
      <c r="DR169" s="391"/>
      <c r="DS169" s="391"/>
      <c r="DT169" s="391"/>
      <c r="DU169" s="391"/>
      <c r="DV169" s="391"/>
      <c r="DW169" s="391"/>
      <c r="DX169" s="391"/>
      <c r="DY169" s="391"/>
      <c r="DZ169" s="391"/>
      <c r="EA169" s="391">
        <v>55550</v>
      </c>
      <c r="EB169" s="391"/>
      <c r="EC169" s="391"/>
      <c r="ED169" s="391"/>
      <c r="EE169" s="391"/>
      <c r="EF169" s="391"/>
      <c r="EG169" s="391"/>
      <c r="EH169" s="391"/>
      <c r="EI169" s="391"/>
      <c r="EJ169" s="391"/>
      <c r="EK169" s="391"/>
      <c r="EL169" s="391"/>
      <c r="EM169" s="391"/>
      <c r="EN169" s="391"/>
      <c r="EO169" s="391"/>
      <c r="EP169" s="391"/>
      <c r="EQ169" s="391"/>
      <c r="ER169" s="391"/>
      <c r="ES169" s="391"/>
      <c r="ET169" s="391"/>
      <c r="EU169" s="391"/>
      <c r="EV169" s="391"/>
      <c r="EW169" s="391"/>
      <c r="EX169" s="391"/>
      <c r="EY169" s="391"/>
      <c r="EZ169" s="391"/>
      <c r="FA169" s="391"/>
      <c r="FB169" s="391"/>
      <c r="FC169" s="391"/>
      <c r="FD169" s="391"/>
      <c r="FE169" s="391"/>
      <c r="FF169" s="391"/>
      <c r="FG169" s="391"/>
      <c r="FH169" s="391"/>
      <c r="FI169" s="391"/>
      <c r="FJ169" s="391"/>
      <c r="FK169" s="391"/>
      <c r="FL169" s="391"/>
      <c r="FM169" s="391"/>
      <c r="FN169" s="391"/>
      <c r="FO169" s="391"/>
      <c r="FP169" s="391"/>
      <c r="FQ169" s="391"/>
      <c r="FR169" s="391"/>
      <c r="FS169" s="391"/>
      <c r="FT169" s="391"/>
      <c r="FU169" s="391"/>
      <c r="FV169" s="391"/>
      <c r="FW169" s="391"/>
      <c r="FX169" s="391"/>
      <c r="FY169" s="391"/>
      <c r="FZ169" s="391"/>
      <c r="GA169" s="391"/>
      <c r="GB169" s="391"/>
      <c r="GC169" s="391"/>
      <c r="GD169" s="391"/>
      <c r="GE169" s="391"/>
      <c r="GF169" s="391"/>
      <c r="GG169" s="391"/>
      <c r="GH169" s="391"/>
      <c r="GI169" s="391"/>
      <c r="GJ169" s="391"/>
      <c r="GK169" s="391"/>
      <c r="GL169" s="391"/>
      <c r="GM169" s="391"/>
      <c r="GN169" s="391"/>
      <c r="GO169" s="391"/>
      <c r="GP169" s="391"/>
      <c r="GQ169" s="391"/>
      <c r="GR169" s="391"/>
      <c r="GS169" s="391"/>
      <c r="GT169" s="391"/>
      <c r="GU169" s="391"/>
      <c r="GV169" s="391"/>
      <c r="GW169" s="391"/>
      <c r="GX169" s="391"/>
      <c r="GY169" s="391"/>
      <c r="GZ169" s="391"/>
      <c r="HA169" s="391"/>
      <c r="HB169" s="391"/>
      <c r="HC169" s="391"/>
      <c r="HD169" s="391"/>
      <c r="HE169" s="391"/>
      <c r="HF169" s="391"/>
      <c r="HG169" s="391"/>
      <c r="HH169" s="391"/>
      <c r="HI169" s="391"/>
      <c r="HJ169" s="391"/>
      <c r="HK169" s="391"/>
      <c r="HL169" s="391"/>
      <c r="HM169" s="391"/>
      <c r="HN169" s="391"/>
      <c r="HO169" s="391"/>
      <c r="HP169" s="391"/>
      <c r="HQ169" s="391"/>
      <c r="HR169" s="391"/>
      <c r="HS169" s="391"/>
      <c r="HT169" s="391"/>
      <c r="HU169" s="391"/>
      <c r="HV169" s="391"/>
      <c r="HW169" s="391"/>
      <c r="HX169" s="391"/>
      <c r="HY169" s="391"/>
      <c r="HZ169" s="391"/>
      <c r="IA169" s="391"/>
      <c r="IB169" s="391"/>
      <c r="IC169" s="391"/>
      <c r="ID169" s="391"/>
      <c r="IE169" s="391"/>
      <c r="IF169" s="391"/>
      <c r="IG169" s="391"/>
      <c r="IH169" s="391"/>
      <c r="II169" s="391"/>
      <c r="IJ169" s="391"/>
      <c r="IK169" s="391"/>
      <c r="IL169" s="391"/>
      <c r="IM169" s="391"/>
      <c r="IN169" s="391"/>
      <c r="IO169" s="391"/>
      <c r="IP169" s="391"/>
      <c r="IQ169" s="391"/>
      <c r="IR169" s="391"/>
      <c r="IS169" s="391"/>
      <c r="IT169" s="391"/>
      <c r="IU169" s="391"/>
      <c r="IV169" s="391"/>
      <c r="IW169" s="391"/>
      <c r="IX169" s="391"/>
      <c r="IY169" s="391"/>
      <c r="IZ169" s="391"/>
      <c r="JA169" s="391"/>
      <c r="JB169" s="391"/>
      <c r="JC169" s="391"/>
      <c r="JD169" s="391"/>
      <c r="JE169" s="391"/>
      <c r="JF169" s="391"/>
      <c r="JG169" s="391"/>
      <c r="JH169" s="391"/>
      <c r="JI169" s="393">
        <f t="shared" si="5"/>
        <v>55550</v>
      </c>
      <c r="JJ169" s="2">
        <v>6492</v>
      </c>
      <c r="JK169" s="392">
        <f t="shared" si="6"/>
        <v>55550</v>
      </c>
      <c r="JL169" s="391"/>
      <c r="JM169" s="392"/>
      <c r="JN169" s="392"/>
      <c r="JO169" s="392"/>
      <c r="JP169" s="392"/>
    </row>
    <row r="170" spans="1:276" x14ac:dyDescent="0.3">
      <c r="A170" s="391"/>
      <c r="B170" s="391"/>
      <c r="C170" s="391"/>
      <c r="D170" s="391"/>
      <c r="E170" s="391"/>
      <c r="F170" s="391"/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391"/>
      <c r="X170" s="391"/>
      <c r="Y170" s="391"/>
      <c r="Z170" s="391"/>
      <c r="AA170" s="391"/>
      <c r="AB170" s="391"/>
      <c r="AC170" s="391"/>
      <c r="AD170" s="391"/>
      <c r="AE170" s="391"/>
      <c r="AF170" s="391"/>
      <c r="AG170" s="391"/>
      <c r="AH170" s="391"/>
      <c r="AI170" s="391"/>
      <c r="AJ170" s="391"/>
      <c r="AK170" s="391"/>
      <c r="AL170" s="391"/>
      <c r="AM170" s="391"/>
      <c r="AN170" s="391"/>
      <c r="AO170" s="391"/>
      <c r="AP170" s="391"/>
      <c r="AQ170" s="391"/>
      <c r="AR170" s="391"/>
      <c r="AS170" s="391"/>
      <c r="AT170" s="391"/>
      <c r="AU170" s="391"/>
      <c r="AV170" s="391"/>
      <c r="AW170" s="391"/>
      <c r="AX170" s="391"/>
      <c r="AY170" s="391"/>
      <c r="AZ170" s="391"/>
      <c r="BA170" s="391"/>
      <c r="BB170" s="391"/>
      <c r="BC170" s="391"/>
      <c r="BD170" s="391"/>
      <c r="BE170" s="391"/>
      <c r="BF170" s="391"/>
      <c r="BG170" s="391"/>
      <c r="BH170" s="391"/>
      <c r="BI170" s="391"/>
      <c r="BJ170" s="391"/>
      <c r="BK170" s="391"/>
      <c r="BL170" s="391"/>
      <c r="BM170" s="391"/>
      <c r="BN170" s="391"/>
      <c r="BO170" s="391"/>
      <c r="BP170" s="391"/>
      <c r="BQ170" s="391"/>
      <c r="BR170" s="391"/>
      <c r="BS170" s="391"/>
      <c r="BT170" s="391"/>
      <c r="BU170" s="391"/>
      <c r="BV170" s="391"/>
      <c r="BW170" s="391"/>
      <c r="BX170" s="391"/>
      <c r="BY170" s="391"/>
      <c r="BZ170" s="391"/>
      <c r="CA170" s="391"/>
      <c r="CB170" s="391"/>
      <c r="CC170" s="391"/>
      <c r="CD170" s="391"/>
      <c r="CE170" s="391"/>
      <c r="CF170" s="391"/>
      <c r="CG170" s="391"/>
      <c r="CH170" s="391"/>
      <c r="CI170" s="391"/>
      <c r="CJ170" s="391"/>
      <c r="CK170" s="391"/>
      <c r="CL170" s="391"/>
      <c r="CM170" s="391"/>
      <c r="CN170" s="391"/>
      <c r="CO170" s="391"/>
      <c r="CP170" s="391"/>
      <c r="CQ170" s="391"/>
      <c r="CR170" s="391"/>
      <c r="CS170" s="391"/>
      <c r="CT170" s="391"/>
      <c r="CU170" s="391"/>
      <c r="CV170" s="391"/>
      <c r="CW170" s="391"/>
      <c r="CX170" s="391"/>
      <c r="CY170" s="391"/>
      <c r="CZ170" s="391"/>
      <c r="DA170" s="391"/>
      <c r="DB170" s="391"/>
      <c r="DC170" s="391"/>
      <c r="DD170" s="391"/>
      <c r="DE170" s="391"/>
      <c r="DF170" s="391"/>
      <c r="DG170" s="391"/>
      <c r="DH170" s="391"/>
      <c r="DI170" s="391"/>
      <c r="DJ170" s="391"/>
      <c r="DK170" s="391"/>
      <c r="DL170" s="391"/>
      <c r="DM170" s="391"/>
      <c r="DN170" s="391"/>
      <c r="DO170" s="391"/>
      <c r="DP170" s="391"/>
      <c r="DQ170" s="391"/>
      <c r="DR170" s="391"/>
      <c r="DS170" s="391"/>
      <c r="DT170" s="391"/>
      <c r="DU170" s="391"/>
      <c r="DV170" s="391"/>
      <c r="DW170" s="391"/>
      <c r="DX170" s="391"/>
      <c r="DY170" s="391"/>
      <c r="DZ170" s="391"/>
      <c r="EA170" s="391">
        <v>252000</v>
      </c>
      <c r="EB170" s="391"/>
      <c r="EC170" s="391"/>
      <c r="ED170" s="391"/>
      <c r="EE170" s="391"/>
      <c r="EF170" s="391"/>
      <c r="EG170" s="391"/>
      <c r="EH170" s="391"/>
      <c r="EI170" s="391"/>
      <c r="EJ170" s="391"/>
      <c r="EK170" s="391"/>
      <c r="EL170" s="391"/>
      <c r="EM170" s="391"/>
      <c r="EN170" s="391"/>
      <c r="EO170" s="391"/>
      <c r="EP170" s="391"/>
      <c r="EQ170" s="391"/>
      <c r="ER170" s="391"/>
      <c r="ES170" s="391"/>
      <c r="ET170" s="391"/>
      <c r="EU170" s="391"/>
      <c r="EV170" s="391"/>
      <c r="EW170" s="391"/>
      <c r="EX170" s="391"/>
      <c r="EY170" s="391"/>
      <c r="EZ170" s="391"/>
      <c r="FA170" s="391"/>
      <c r="FB170" s="391"/>
      <c r="FC170" s="391"/>
      <c r="FD170" s="391"/>
      <c r="FE170" s="391"/>
      <c r="FF170" s="391"/>
      <c r="FG170" s="391"/>
      <c r="FH170" s="391"/>
      <c r="FI170" s="391"/>
      <c r="FJ170" s="391"/>
      <c r="FK170" s="391"/>
      <c r="FL170" s="391"/>
      <c r="FM170" s="391"/>
      <c r="FN170" s="391"/>
      <c r="FO170" s="391"/>
      <c r="FP170" s="391"/>
      <c r="FQ170" s="391"/>
      <c r="FR170" s="391"/>
      <c r="FS170" s="391"/>
      <c r="FT170" s="120"/>
      <c r="FU170" s="391"/>
      <c r="FV170" s="391"/>
      <c r="FW170" s="391"/>
      <c r="FX170" s="391"/>
      <c r="FY170" s="391"/>
      <c r="FZ170" s="391"/>
      <c r="GA170" s="391"/>
      <c r="GB170" s="391"/>
      <c r="GC170" s="391"/>
      <c r="GD170" s="391"/>
      <c r="GE170" s="391"/>
      <c r="GF170" s="391"/>
      <c r="GG170" s="391"/>
      <c r="GH170" s="391"/>
      <c r="GI170" s="391"/>
      <c r="GJ170" s="391"/>
      <c r="GK170" s="391"/>
      <c r="GL170" s="391"/>
      <c r="GM170" s="391"/>
      <c r="GN170" s="391"/>
      <c r="GO170" s="391"/>
      <c r="GP170" s="391"/>
      <c r="GQ170" s="391"/>
      <c r="GR170" s="391"/>
      <c r="GS170" s="391"/>
      <c r="GT170" s="391"/>
      <c r="GU170" s="391"/>
      <c r="GV170" s="391"/>
      <c r="GW170" s="391"/>
      <c r="GX170" s="391"/>
      <c r="GY170" s="391"/>
      <c r="GZ170" s="391"/>
      <c r="HA170" s="391"/>
      <c r="HB170" s="391"/>
      <c r="HC170" s="391"/>
      <c r="HD170" s="391"/>
      <c r="HE170" s="391"/>
      <c r="HF170" s="391"/>
      <c r="HG170" s="391"/>
      <c r="HH170" s="391"/>
      <c r="HI170" s="391"/>
      <c r="HJ170" s="391"/>
      <c r="HK170" s="391"/>
      <c r="HL170" s="391"/>
      <c r="HM170" s="391"/>
      <c r="HN170" s="391"/>
      <c r="HO170" s="391"/>
      <c r="HP170" s="391"/>
      <c r="HQ170" s="391"/>
      <c r="HR170" s="391"/>
      <c r="HS170" s="391"/>
      <c r="HT170" s="391"/>
      <c r="HU170" s="391"/>
      <c r="HV170" s="391"/>
      <c r="HW170" s="391"/>
      <c r="HX170" s="391"/>
      <c r="HY170" s="391"/>
      <c r="HZ170" s="391"/>
      <c r="IA170" s="391"/>
      <c r="IB170" s="391"/>
      <c r="IC170" s="391"/>
      <c r="ID170" s="391"/>
      <c r="IE170" s="391"/>
      <c r="IF170" s="391"/>
      <c r="IG170" s="391"/>
      <c r="IH170" s="391"/>
      <c r="II170" s="391"/>
      <c r="IJ170" s="391"/>
      <c r="IK170" s="391"/>
      <c r="IL170" s="391"/>
      <c r="IM170" s="391"/>
      <c r="IN170" s="391"/>
      <c r="IO170" s="391"/>
      <c r="IP170" s="391"/>
      <c r="IQ170" s="391"/>
      <c r="IR170" s="391"/>
      <c r="IS170" s="391"/>
      <c r="IT170" s="391"/>
      <c r="IU170" s="391"/>
      <c r="IV170" s="391"/>
      <c r="IW170" s="391"/>
      <c r="IX170" s="391"/>
      <c r="IY170" s="391"/>
      <c r="IZ170" s="391"/>
      <c r="JA170" s="391"/>
      <c r="JB170" s="391"/>
      <c r="JC170" s="391"/>
      <c r="JD170" s="391"/>
      <c r="JE170" s="391"/>
      <c r="JF170" s="391"/>
      <c r="JG170" s="391"/>
      <c r="JH170" s="391"/>
      <c r="JI170" s="393">
        <f t="shared" si="5"/>
        <v>252000</v>
      </c>
      <c r="JJ170" s="2">
        <v>6496</v>
      </c>
      <c r="JK170" s="392">
        <f t="shared" si="6"/>
        <v>252000</v>
      </c>
      <c r="JL170" s="391"/>
      <c r="JM170" s="392"/>
      <c r="JN170" s="392"/>
      <c r="JO170" s="392"/>
      <c r="JP170" s="392"/>
    </row>
    <row r="171" spans="1:276" x14ac:dyDescent="0.3">
      <c r="A171" s="391"/>
      <c r="B171" s="391"/>
      <c r="C171" s="391"/>
      <c r="D171" s="391"/>
      <c r="E171" s="391"/>
      <c r="F171" s="391"/>
      <c r="G171" s="391"/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391"/>
      <c r="X171" s="391"/>
      <c r="Y171" s="391"/>
      <c r="Z171" s="391"/>
      <c r="AA171" s="391"/>
      <c r="AB171" s="391"/>
      <c r="AC171" s="391"/>
      <c r="AD171" s="391"/>
      <c r="AE171" s="391"/>
      <c r="AF171" s="391"/>
      <c r="AG171" s="391"/>
      <c r="AH171" s="391"/>
      <c r="AI171" s="391"/>
      <c r="AJ171" s="391"/>
      <c r="AK171" s="391"/>
      <c r="AL171" s="391"/>
      <c r="AM171" s="391"/>
      <c r="AN171" s="391"/>
      <c r="AO171" s="391"/>
      <c r="AP171" s="391"/>
      <c r="AQ171" s="391"/>
      <c r="AR171" s="391"/>
      <c r="AS171" s="391"/>
      <c r="AT171" s="391"/>
      <c r="AU171" s="391"/>
      <c r="AV171" s="391"/>
      <c r="AW171" s="391"/>
      <c r="AX171" s="391"/>
      <c r="AY171" s="391"/>
      <c r="AZ171" s="391"/>
      <c r="BA171" s="391"/>
      <c r="BB171" s="391"/>
      <c r="BC171" s="391"/>
      <c r="BD171" s="391"/>
      <c r="BE171" s="391"/>
      <c r="BF171" s="391"/>
      <c r="BG171" s="391"/>
      <c r="BH171" s="391"/>
      <c r="BI171" s="391"/>
      <c r="BJ171" s="391"/>
      <c r="BK171" s="391"/>
      <c r="BL171" s="391"/>
      <c r="BM171" s="391"/>
      <c r="BN171" s="391"/>
      <c r="BO171" s="391"/>
      <c r="BP171" s="391"/>
      <c r="BQ171" s="391"/>
      <c r="BR171" s="391"/>
      <c r="BS171" s="391"/>
      <c r="BT171" s="391"/>
      <c r="BU171" s="391"/>
      <c r="BV171" s="391"/>
      <c r="BW171" s="391"/>
      <c r="BX171" s="391"/>
      <c r="BY171" s="391"/>
      <c r="BZ171" s="391"/>
      <c r="CA171" s="391"/>
      <c r="CB171" s="391"/>
      <c r="CC171" s="391"/>
      <c r="CD171" s="391"/>
      <c r="CE171" s="391"/>
      <c r="CF171" s="391"/>
      <c r="CG171" s="391"/>
      <c r="CH171" s="391"/>
      <c r="CI171" s="391"/>
      <c r="CJ171" s="391"/>
      <c r="CK171" s="391"/>
      <c r="CL171" s="391"/>
      <c r="CM171" s="391"/>
      <c r="CN171" s="391"/>
      <c r="CO171" s="391"/>
      <c r="CP171" s="391"/>
      <c r="CQ171" s="391"/>
      <c r="CR171" s="391"/>
      <c r="CS171" s="391"/>
      <c r="CT171" s="391"/>
      <c r="CU171" s="391"/>
      <c r="CV171" s="391"/>
      <c r="CW171" s="391"/>
      <c r="CX171" s="391"/>
      <c r="CY171" s="391"/>
      <c r="CZ171" s="391"/>
      <c r="DA171" s="391"/>
      <c r="DB171" s="391"/>
      <c r="DC171" s="391"/>
      <c r="DD171" s="391"/>
      <c r="DE171" s="391"/>
      <c r="DF171" s="391"/>
      <c r="DG171" s="391"/>
      <c r="DH171" s="391"/>
      <c r="DI171" s="391"/>
      <c r="DJ171" s="391"/>
      <c r="DK171" s="391"/>
      <c r="DL171" s="391"/>
      <c r="DM171" s="391"/>
      <c r="DN171" s="391"/>
      <c r="DO171" s="391"/>
      <c r="DP171" s="391"/>
      <c r="DQ171" s="391"/>
      <c r="DR171" s="391"/>
      <c r="DS171" s="391"/>
      <c r="DT171" s="391"/>
      <c r="DU171" s="391"/>
      <c r="DV171" s="391"/>
      <c r="DW171" s="391"/>
      <c r="DX171" s="391"/>
      <c r="DY171" s="391"/>
      <c r="DZ171" s="391"/>
      <c r="EA171" s="391"/>
      <c r="EB171" s="391"/>
      <c r="EC171" s="391"/>
      <c r="ED171" s="391"/>
      <c r="EE171" s="391"/>
      <c r="EF171" s="391"/>
      <c r="EG171" s="391"/>
      <c r="EH171" s="391"/>
      <c r="EI171" s="391"/>
      <c r="EJ171" s="391"/>
      <c r="EK171" s="391"/>
      <c r="EL171" s="391"/>
      <c r="EM171" s="391"/>
      <c r="EN171" s="391"/>
      <c r="EO171" s="391"/>
      <c r="EP171" s="391"/>
      <c r="EQ171" s="391"/>
      <c r="ER171" s="391"/>
      <c r="ES171" s="391"/>
      <c r="ET171" s="391"/>
      <c r="EU171" s="391"/>
      <c r="EV171" s="391"/>
      <c r="EW171" s="391"/>
      <c r="EX171" s="391"/>
      <c r="EY171" s="391"/>
      <c r="EZ171" s="391"/>
      <c r="FA171" s="391"/>
      <c r="FB171" s="391"/>
      <c r="FC171" s="391"/>
      <c r="FD171" s="391"/>
      <c r="FE171" s="391"/>
      <c r="FF171" s="391"/>
      <c r="FG171" s="391"/>
      <c r="FH171" s="391"/>
      <c r="FI171" s="391"/>
      <c r="FJ171" s="391">
        <v>467802</v>
      </c>
      <c r="FK171" s="391"/>
      <c r="FL171" s="391"/>
      <c r="FM171" s="391"/>
      <c r="FN171" s="391"/>
      <c r="FO171" s="391"/>
      <c r="FP171" s="391"/>
      <c r="FQ171" s="391"/>
      <c r="FR171" s="391"/>
      <c r="FS171" s="391"/>
      <c r="FT171" s="391"/>
      <c r="FU171" s="391"/>
      <c r="FV171" s="391"/>
      <c r="FW171" s="391"/>
      <c r="FX171" s="391"/>
      <c r="FY171" s="391"/>
      <c r="FZ171" s="391"/>
      <c r="GA171" s="391"/>
      <c r="GB171" s="391"/>
      <c r="GC171" s="391"/>
      <c r="GD171" s="391"/>
      <c r="GE171" s="391"/>
      <c r="GF171" s="391"/>
      <c r="GG171" s="391"/>
      <c r="GH171" s="391"/>
      <c r="GI171" s="391"/>
      <c r="GJ171" s="391"/>
      <c r="GK171" s="391"/>
      <c r="GL171" s="391"/>
      <c r="GM171" s="391"/>
      <c r="GN171" s="391"/>
      <c r="GO171" s="391"/>
      <c r="GP171" s="391"/>
      <c r="GQ171" s="391"/>
      <c r="GR171" s="391"/>
      <c r="GS171" s="391"/>
      <c r="GT171" s="391"/>
      <c r="GU171" s="391"/>
      <c r="GV171" s="391"/>
      <c r="GW171" s="391"/>
      <c r="GX171" s="391"/>
      <c r="GY171" s="391"/>
      <c r="GZ171" s="391"/>
      <c r="HA171" s="391"/>
      <c r="HB171" s="391"/>
      <c r="HC171" s="391"/>
      <c r="HD171" s="391"/>
      <c r="HE171" s="391"/>
      <c r="HF171" s="391"/>
      <c r="HG171" s="391"/>
      <c r="HH171" s="391"/>
      <c r="HI171" s="391"/>
      <c r="HJ171" s="391"/>
      <c r="HK171" s="391"/>
      <c r="HL171" s="391"/>
      <c r="HM171" s="391"/>
      <c r="HN171" s="391"/>
      <c r="HO171" s="391"/>
      <c r="HP171" s="391"/>
      <c r="HQ171" s="391"/>
      <c r="HR171" s="391"/>
      <c r="HS171" s="391"/>
      <c r="HT171" s="391"/>
      <c r="HU171" s="391"/>
      <c r="HV171" s="391"/>
      <c r="HW171" s="391"/>
      <c r="HX171" s="391"/>
      <c r="HY171" s="391"/>
      <c r="HZ171" s="391"/>
      <c r="IA171" s="391"/>
      <c r="IB171" s="391"/>
      <c r="IC171" s="391"/>
      <c r="ID171" s="391"/>
      <c r="IE171" s="391"/>
      <c r="IF171" s="391"/>
      <c r="IG171" s="391"/>
      <c r="IH171" s="391"/>
      <c r="II171" s="391"/>
      <c r="IJ171" s="391"/>
      <c r="IK171" s="391"/>
      <c r="IL171" s="391"/>
      <c r="IM171" s="391"/>
      <c r="IN171" s="391"/>
      <c r="IO171" s="391"/>
      <c r="IP171" s="391"/>
      <c r="IQ171" s="391"/>
      <c r="IR171" s="391"/>
      <c r="IS171" s="391"/>
      <c r="IT171" s="391"/>
      <c r="IU171" s="391"/>
      <c r="IV171" s="391"/>
      <c r="IW171" s="391"/>
      <c r="IX171" s="391"/>
      <c r="IY171" s="391"/>
      <c r="IZ171" s="391"/>
      <c r="JA171" s="391"/>
      <c r="JB171" s="391"/>
      <c r="JC171" s="391"/>
      <c r="JD171" s="391"/>
      <c r="JE171" s="391"/>
      <c r="JF171" s="391"/>
      <c r="JG171" s="391"/>
      <c r="JH171" s="391"/>
      <c r="JI171" s="393">
        <f t="shared" si="5"/>
        <v>467802</v>
      </c>
      <c r="JJ171" s="2">
        <v>6500</v>
      </c>
      <c r="JK171" s="392">
        <f t="shared" si="6"/>
        <v>467802</v>
      </c>
      <c r="JL171" s="391"/>
      <c r="JM171" s="392"/>
      <c r="JN171" s="392"/>
      <c r="JO171" s="392"/>
      <c r="JP171" s="392"/>
    </row>
    <row r="172" spans="1:276" x14ac:dyDescent="0.3">
      <c r="A172" s="391"/>
      <c r="B172" s="391"/>
      <c r="C172" s="391"/>
      <c r="D172" s="391"/>
      <c r="E172" s="391"/>
      <c r="F172" s="391"/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391"/>
      <c r="X172" s="391"/>
      <c r="Y172" s="391"/>
      <c r="Z172" s="391"/>
      <c r="AA172" s="391"/>
      <c r="AB172" s="391"/>
      <c r="AC172" s="391"/>
      <c r="AD172" s="391"/>
      <c r="AE172" s="391"/>
      <c r="AF172" s="391"/>
      <c r="AG172" s="391"/>
      <c r="AH172" s="391"/>
      <c r="AI172" s="391"/>
      <c r="AJ172" s="391"/>
      <c r="AK172" s="391"/>
      <c r="AL172" s="391"/>
      <c r="AM172" s="391"/>
      <c r="AN172" s="391"/>
      <c r="AO172" s="391"/>
      <c r="AP172" s="391"/>
      <c r="AQ172" s="391"/>
      <c r="AR172" s="391"/>
      <c r="AS172" s="391"/>
      <c r="AT172" s="391"/>
      <c r="AU172" s="391"/>
      <c r="AV172" s="391"/>
      <c r="AW172" s="391"/>
      <c r="AX172" s="391"/>
      <c r="AY172" s="391"/>
      <c r="AZ172" s="391"/>
      <c r="BA172" s="391"/>
      <c r="BB172" s="391"/>
      <c r="BC172" s="391"/>
      <c r="BD172" s="391"/>
      <c r="BE172" s="391"/>
      <c r="BF172" s="391"/>
      <c r="BG172" s="391"/>
      <c r="BH172" s="391"/>
      <c r="BI172" s="391"/>
      <c r="BJ172" s="391"/>
      <c r="BK172" s="391"/>
      <c r="BL172" s="391"/>
      <c r="BM172" s="391"/>
      <c r="BN172" s="391"/>
      <c r="BO172" s="391"/>
      <c r="BP172" s="391"/>
      <c r="BQ172" s="391"/>
      <c r="BR172" s="391"/>
      <c r="BS172" s="391"/>
      <c r="BT172" s="391"/>
      <c r="BU172" s="391"/>
      <c r="BV172" s="391"/>
      <c r="BW172" s="391"/>
      <c r="BX172" s="391"/>
      <c r="BY172" s="391"/>
      <c r="BZ172" s="391"/>
      <c r="CA172" s="391"/>
      <c r="CB172" s="391"/>
      <c r="CC172" s="391"/>
      <c r="CD172" s="391"/>
      <c r="CE172" s="391"/>
      <c r="CF172" s="391"/>
      <c r="CG172" s="391"/>
      <c r="CH172" s="391"/>
      <c r="CI172" s="391"/>
      <c r="CJ172" s="391"/>
      <c r="CK172" s="391"/>
      <c r="CL172" s="391"/>
      <c r="CM172" s="391"/>
      <c r="CN172" s="391"/>
      <c r="CO172" s="391"/>
      <c r="CP172" s="391"/>
      <c r="CQ172" s="391"/>
      <c r="CR172" s="391"/>
      <c r="CS172" s="391"/>
      <c r="CT172" s="391"/>
      <c r="CU172" s="391"/>
      <c r="CV172" s="391"/>
      <c r="CW172" s="391"/>
      <c r="CX172" s="391"/>
      <c r="CY172" s="391"/>
      <c r="CZ172" s="391"/>
      <c r="DA172" s="391"/>
      <c r="DB172" s="391"/>
      <c r="DC172" s="391"/>
      <c r="DD172" s="391"/>
      <c r="DE172" s="391"/>
      <c r="DF172" s="391"/>
      <c r="DG172" s="391"/>
      <c r="DH172" s="391"/>
      <c r="DI172" s="391"/>
      <c r="DJ172" s="391"/>
      <c r="DK172" s="391"/>
      <c r="DL172" s="391"/>
      <c r="DM172" s="391"/>
      <c r="DN172" s="391"/>
      <c r="DO172" s="391"/>
      <c r="DP172" s="391"/>
      <c r="DQ172" s="391"/>
      <c r="DR172" s="391"/>
      <c r="DS172" s="391"/>
      <c r="DT172" s="391"/>
      <c r="DU172" s="391"/>
      <c r="DV172" s="391"/>
      <c r="DW172" s="391"/>
      <c r="DX172" s="391"/>
      <c r="DY172" s="391"/>
      <c r="DZ172" s="391"/>
      <c r="EA172" s="391"/>
      <c r="EB172" s="391"/>
      <c r="EC172" s="391"/>
      <c r="ED172" s="391"/>
      <c r="EE172" s="391"/>
      <c r="EF172" s="391"/>
      <c r="EG172" s="391"/>
      <c r="EH172" s="391"/>
      <c r="EI172" s="391"/>
      <c r="EJ172" s="391"/>
      <c r="EK172" s="391"/>
      <c r="EL172" s="391"/>
      <c r="EM172" s="391"/>
      <c r="EN172" s="391"/>
      <c r="EO172" s="391"/>
      <c r="EP172" s="391"/>
      <c r="EQ172" s="391"/>
      <c r="ER172" s="391"/>
      <c r="ES172" s="391"/>
      <c r="ET172" s="391"/>
      <c r="EU172" s="391"/>
      <c r="EV172" s="391"/>
      <c r="EW172" s="391"/>
      <c r="EX172" s="391"/>
      <c r="EY172" s="391"/>
      <c r="EZ172" s="391"/>
      <c r="FA172" s="391"/>
      <c r="FB172" s="391"/>
      <c r="FC172" s="391"/>
      <c r="FD172" s="391"/>
      <c r="FE172" s="391"/>
      <c r="FF172" s="391"/>
      <c r="FG172" s="391"/>
      <c r="FH172" s="391"/>
      <c r="FI172" s="391"/>
      <c r="FJ172" s="391">
        <v>332252</v>
      </c>
      <c r="FK172" s="391"/>
      <c r="FL172" s="391"/>
      <c r="FM172" s="391"/>
      <c r="FN172" s="391"/>
      <c r="FO172" s="391"/>
      <c r="FP172" s="391"/>
      <c r="FQ172" s="391"/>
      <c r="FR172" s="391"/>
      <c r="FS172" s="391"/>
      <c r="FT172" s="391"/>
      <c r="FU172" s="391"/>
      <c r="FV172" s="391"/>
      <c r="FW172" s="391"/>
      <c r="FX172" s="391"/>
      <c r="FY172" s="391"/>
      <c r="FZ172" s="391"/>
      <c r="GA172" s="391"/>
      <c r="GB172" s="391"/>
      <c r="GC172" s="391"/>
      <c r="GD172" s="391"/>
      <c r="GE172" s="391"/>
      <c r="GF172" s="391"/>
      <c r="GG172" s="391"/>
      <c r="GH172" s="391"/>
      <c r="GI172" s="391"/>
      <c r="GJ172" s="391"/>
      <c r="GK172" s="391"/>
      <c r="GL172" s="391"/>
      <c r="GM172" s="391"/>
      <c r="GN172" s="391"/>
      <c r="GO172" s="391"/>
      <c r="GP172" s="391"/>
      <c r="GQ172" s="391"/>
      <c r="GR172" s="391"/>
      <c r="GS172" s="391"/>
      <c r="GT172" s="391"/>
      <c r="GU172" s="391"/>
      <c r="GV172" s="391"/>
      <c r="GW172" s="391"/>
      <c r="GX172" s="391"/>
      <c r="GY172" s="391"/>
      <c r="GZ172" s="391"/>
      <c r="HA172" s="391"/>
      <c r="HB172" s="391"/>
      <c r="HC172" s="391"/>
      <c r="HD172" s="391"/>
      <c r="HE172" s="391"/>
      <c r="HF172" s="391"/>
      <c r="HG172" s="391"/>
      <c r="HH172" s="391"/>
      <c r="HI172" s="391"/>
      <c r="HJ172" s="391"/>
      <c r="HK172" s="391"/>
      <c r="HL172" s="391"/>
      <c r="HM172" s="391"/>
      <c r="HN172" s="391"/>
      <c r="HO172" s="391"/>
      <c r="HP172" s="391"/>
      <c r="HQ172" s="391"/>
      <c r="HR172" s="391"/>
      <c r="HS172" s="391"/>
      <c r="HT172" s="391"/>
      <c r="HU172" s="391"/>
      <c r="HV172" s="391"/>
      <c r="HW172" s="391"/>
      <c r="HX172" s="391"/>
      <c r="HY172" s="391"/>
      <c r="HZ172" s="391"/>
      <c r="IA172" s="391"/>
      <c r="IB172" s="391"/>
      <c r="IC172" s="391"/>
      <c r="ID172" s="391"/>
      <c r="IE172" s="391"/>
      <c r="IF172" s="391"/>
      <c r="IG172" s="391"/>
      <c r="IH172" s="391"/>
      <c r="II172" s="391"/>
      <c r="IJ172" s="391"/>
      <c r="IK172" s="391"/>
      <c r="IL172" s="391"/>
      <c r="IM172" s="391"/>
      <c r="IN172" s="391"/>
      <c r="IO172" s="391"/>
      <c r="IP172" s="391"/>
      <c r="IQ172" s="391"/>
      <c r="IR172" s="391"/>
      <c r="IS172" s="391"/>
      <c r="IT172" s="391"/>
      <c r="IU172" s="391"/>
      <c r="IV172" s="391"/>
      <c r="IW172" s="391"/>
      <c r="IX172" s="391"/>
      <c r="IY172" s="391"/>
      <c r="IZ172" s="391"/>
      <c r="JA172" s="391"/>
      <c r="JB172" s="391"/>
      <c r="JC172" s="391"/>
      <c r="JD172" s="391"/>
      <c r="JE172" s="391"/>
      <c r="JF172" s="391"/>
      <c r="JG172" s="391"/>
      <c r="JH172" s="391"/>
      <c r="JI172" s="393">
        <f t="shared" si="5"/>
        <v>332252</v>
      </c>
      <c r="JJ172" s="2">
        <v>6504</v>
      </c>
      <c r="JK172" s="392">
        <f t="shared" si="6"/>
        <v>332252</v>
      </c>
      <c r="JL172" s="391"/>
      <c r="JM172" s="392"/>
      <c r="JN172" s="392"/>
      <c r="JO172" s="392"/>
      <c r="JP172" s="392"/>
    </row>
    <row r="173" spans="1:276" x14ac:dyDescent="0.3">
      <c r="A173" s="391"/>
      <c r="B173" s="391"/>
      <c r="C173" s="391"/>
      <c r="D173" s="391"/>
      <c r="E173" s="391"/>
      <c r="F173" s="391"/>
      <c r="G173" s="391"/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391"/>
      <c r="X173" s="391"/>
      <c r="Y173" s="391"/>
      <c r="Z173" s="391"/>
      <c r="AA173" s="391"/>
      <c r="AB173" s="391"/>
      <c r="AC173" s="391"/>
      <c r="AD173" s="391"/>
      <c r="AE173" s="391"/>
      <c r="AF173" s="391"/>
      <c r="AG173" s="391"/>
      <c r="AH173" s="391"/>
      <c r="AI173" s="391"/>
      <c r="AJ173" s="391"/>
      <c r="AK173" s="391"/>
      <c r="AL173" s="391"/>
      <c r="AM173" s="391"/>
      <c r="AN173" s="391"/>
      <c r="AO173" s="391"/>
      <c r="AP173" s="391"/>
      <c r="AQ173" s="391"/>
      <c r="AR173" s="391"/>
      <c r="AS173" s="391"/>
      <c r="AT173" s="391"/>
      <c r="AU173" s="391"/>
      <c r="AV173" s="391"/>
      <c r="AW173" s="391"/>
      <c r="AX173" s="391"/>
      <c r="AY173" s="391"/>
      <c r="AZ173" s="391"/>
      <c r="BA173" s="391"/>
      <c r="BB173" s="391"/>
      <c r="BC173" s="391"/>
      <c r="BD173" s="391"/>
      <c r="BE173" s="391"/>
      <c r="BF173" s="391"/>
      <c r="BG173" s="391"/>
      <c r="BH173" s="391"/>
      <c r="BI173" s="391"/>
      <c r="BJ173" s="391"/>
      <c r="BK173" s="391"/>
      <c r="BL173" s="391"/>
      <c r="BM173" s="391"/>
      <c r="BN173" s="391"/>
      <c r="BO173" s="391"/>
      <c r="BP173" s="391"/>
      <c r="BQ173" s="391"/>
      <c r="BR173" s="391"/>
      <c r="BS173" s="391"/>
      <c r="BT173" s="391"/>
      <c r="BU173" s="391"/>
      <c r="BV173" s="391"/>
      <c r="BW173" s="391"/>
      <c r="BX173" s="391"/>
      <c r="BY173" s="391"/>
      <c r="BZ173" s="391"/>
      <c r="CA173" s="391"/>
      <c r="CB173" s="391"/>
      <c r="CC173" s="391"/>
      <c r="CD173" s="391"/>
      <c r="CE173" s="391"/>
      <c r="CF173" s="391"/>
      <c r="CG173" s="391"/>
      <c r="CH173" s="391"/>
      <c r="CI173" s="391"/>
      <c r="CJ173" s="391"/>
      <c r="CK173" s="391"/>
      <c r="CL173" s="391"/>
      <c r="CM173" s="391"/>
      <c r="CN173" s="391"/>
      <c r="CO173" s="391"/>
      <c r="CP173" s="391"/>
      <c r="CQ173" s="391"/>
      <c r="CR173" s="391"/>
      <c r="CS173" s="391"/>
      <c r="CT173" s="391"/>
      <c r="CU173" s="391"/>
      <c r="CV173" s="391"/>
      <c r="CW173" s="391"/>
      <c r="CX173" s="391"/>
      <c r="CY173" s="391"/>
      <c r="CZ173" s="391"/>
      <c r="DA173" s="391"/>
      <c r="DB173" s="391"/>
      <c r="DC173" s="391"/>
      <c r="DD173" s="391"/>
      <c r="DE173" s="391"/>
      <c r="DF173" s="391"/>
      <c r="DG173" s="391"/>
      <c r="DH173" s="391"/>
      <c r="DI173" s="391"/>
      <c r="DJ173" s="391"/>
      <c r="DK173" s="391"/>
      <c r="DL173" s="391"/>
      <c r="DM173" s="391"/>
      <c r="DN173" s="391"/>
      <c r="DO173" s="391"/>
      <c r="DP173" s="391"/>
      <c r="DQ173" s="391"/>
      <c r="DR173" s="391"/>
      <c r="DS173" s="391"/>
      <c r="DT173" s="391"/>
      <c r="DU173" s="391"/>
      <c r="DV173" s="391"/>
      <c r="DW173" s="391"/>
      <c r="DX173" s="391"/>
      <c r="DY173" s="391"/>
      <c r="DZ173" s="391"/>
      <c r="EA173" s="391">
        <v>271350</v>
      </c>
      <c r="EB173" s="391"/>
      <c r="EC173" s="391"/>
      <c r="ED173" s="391"/>
      <c r="EE173" s="391"/>
      <c r="EF173" s="391"/>
      <c r="EG173" s="391"/>
      <c r="EH173" s="391"/>
      <c r="EI173" s="391"/>
      <c r="EJ173" s="391"/>
      <c r="EK173" s="391"/>
      <c r="EL173" s="391"/>
      <c r="EM173" s="391"/>
      <c r="EN173" s="391"/>
      <c r="EO173" s="391"/>
      <c r="EP173" s="391"/>
      <c r="EQ173" s="391"/>
      <c r="ER173" s="391"/>
      <c r="ES173" s="391"/>
      <c r="ET173" s="391"/>
      <c r="EU173" s="391"/>
      <c r="EV173" s="391"/>
      <c r="EW173" s="391"/>
      <c r="EX173" s="391"/>
      <c r="EY173" s="391"/>
      <c r="EZ173" s="391"/>
      <c r="FA173" s="391"/>
      <c r="FB173" s="391"/>
      <c r="FC173" s="391"/>
      <c r="FD173" s="391"/>
      <c r="FE173" s="391"/>
      <c r="FF173" s="391"/>
      <c r="FG173" s="391"/>
      <c r="FH173" s="391"/>
      <c r="FI173" s="391"/>
      <c r="FJ173" s="391"/>
      <c r="FK173" s="391"/>
      <c r="FL173" s="391"/>
      <c r="FM173" s="391"/>
      <c r="FN173" s="391"/>
      <c r="FO173" s="391"/>
      <c r="FP173" s="391"/>
      <c r="FQ173" s="391"/>
      <c r="FR173" s="391"/>
      <c r="FS173" s="391"/>
      <c r="FT173" s="391"/>
      <c r="FU173" s="391"/>
      <c r="FV173" s="391"/>
      <c r="FW173" s="391"/>
      <c r="FX173" s="391"/>
      <c r="FY173" s="391"/>
      <c r="FZ173" s="391"/>
      <c r="GA173" s="391"/>
      <c r="GB173" s="391"/>
      <c r="GC173" s="391"/>
      <c r="GD173" s="391"/>
      <c r="GE173" s="391"/>
      <c r="GF173" s="391"/>
      <c r="GG173" s="391"/>
      <c r="GH173" s="391"/>
      <c r="GI173" s="391"/>
      <c r="GJ173" s="391"/>
      <c r="GK173" s="391"/>
      <c r="GL173" s="391"/>
      <c r="GM173" s="391"/>
      <c r="GN173" s="391"/>
      <c r="GO173" s="391"/>
      <c r="GP173" s="391"/>
      <c r="GQ173" s="391"/>
      <c r="GR173" s="391"/>
      <c r="GS173" s="391"/>
      <c r="GT173" s="391"/>
      <c r="GU173" s="391"/>
      <c r="GV173" s="391"/>
      <c r="GW173" s="391"/>
      <c r="GX173" s="391"/>
      <c r="GY173" s="391"/>
      <c r="GZ173" s="391"/>
      <c r="HA173" s="391"/>
      <c r="HB173" s="391"/>
      <c r="HC173" s="391"/>
      <c r="HD173" s="391"/>
      <c r="HE173" s="391"/>
      <c r="HF173" s="391"/>
      <c r="HG173" s="391"/>
      <c r="HH173" s="391"/>
      <c r="HI173" s="391"/>
      <c r="HJ173" s="391"/>
      <c r="HK173" s="391"/>
      <c r="HL173" s="391"/>
      <c r="HM173" s="391"/>
      <c r="HN173" s="391"/>
      <c r="HO173" s="391"/>
      <c r="HP173" s="391"/>
      <c r="HQ173" s="391"/>
      <c r="HR173" s="391"/>
      <c r="HS173" s="391"/>
      <c r="HT173" s="391"/>
      <c r="HU173" s="391"/>
      <c r="HV173" s="391"/>
      <c r="HW173" s="391"/>
      <c r="HX173" s="391"/>
      <c r="HY173" s="391"/>
      <c r="HZ173" s="391"/>
      <c r="IA173" s="391"/>
      <c r="IB173" s="391"/>
      <c r="IC173" s="391"/>
      <c r="ID173" s="391"/>
      <c r="IE173" s="391"/>
      <c r="IF173" s="391"/>
      <c r="IG173" s="391"/>
      <c r="IH173" s="391"/>
      <c r="II173" s="391"/>
      <c r="IJ173" s="391"/>
      <c r="IK173" s="391"/>
      <c r="IL173" s="391"/>
      <c r="IM173" s="391"/>
      <c r="IN173" s="391"/>
      <c r="IO173" s="391"/>
      <c r="IP173" s="391"/>
      <c r="IQ173" s="391"/>
      <c r="IR173" s="391"/>
      <c r="IS173" s="391"/>
      <c r="IT173" s="391"/>
      <c r="IU173" s="391"/>
      <c r="IV173" s="391"/>
      <c r="IW173" s="391"/>
      <c r="IX173" s="391"/>
      <c r="IY173" s="391"/>
      <c r="IZ173" s="391"/>
      <c r="JA173" s="391"/>
      <c r="JB173" s="391"/>
      <c r="JC173" s="391"/>
      <c r="JD173" s="391"/>
      <c r="JE173" s="391"/>
      <c r="JF173" s="391"/>
      <c r="JG173" s="391"/>
      <c r="JH173" s="391"/>
      <c r="JI173" s="393">
        <f t="shared" si="5"/>
        <v>271350</v>
      </c>
      <c r="JJ173" s="2">
        <v>6516</v>
      </c>
      <c r="JK173" s="392">
        <f t="shared" si="6"/>
        <v>271350</v>
      </c>
      <c r="JL173" s="391"/>
      <c r="JM173" s="392"/>
      <c r="JN173" s="392"/>
      <c r="JO173" s="392"/>
      <c r="JP173" s="392"/>
    </row>
    <row r="174" spans="1:276" x14ac:dyDescent="0.3">
      <c r="A174" s="391"/>
      <c r="B174" s="391"/>
      <c r="C174" s="391"/>
      <c r="D174" s="391"/>
      <c r="E174" s="391"/>
      <c r="F174" s="391"/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  <c r="X174" s="391"/>
      <c r="Y174" s="391"/>
      <c r="Z174" s="391"/>
      <c r="AA174" s="391"/>
      <c r="AB174" s="391"/>
      <c r="AC174" s="391"/>
      <c r="AD174" s="391"/>
      <c r="AE174" s="391"/>
      <c r="AF174" s="391"/>
      <c r="AG174" s="391"/>
      <c r="AH174" s="391"/>
      <c r="AI174" s="391"/>
      <c r="AJ174" s="391"/>
      <c r="AK174" s="391"/>
      <c r="AL174" s="391"/>
      <c r="AM174" s="391"/>
      <c r="AN174" s="391"/>
      <c r="AO174" s="391"/>
      <c r="AP174" s="391"/>
      <c r="AQ174" s="391"/>
      <c r="AR174" s="391"/>
      <c r="AS174" s="391"/>
      <c r="AT174" s="391"/>
      <c r="AU174" s="391"/>
      <c r="AV174" s="391"/>
      <c r="AW174" s="391"/>
      <c r="AX174" s="391"/>
      <c r="AY174" s="391"/>
      <c r="AZ174" s="391"/>
      <c r="BA174" s="391"/>
      <c r="BB174" s="391"/>
      <c r="BC174" s="391"/>
      <c r="BD174" s="391"/>
      <c r="BE174" s="391"/>
      <c r="BF174" s="391"/>
      <c r="BG174" s="391"/>
      <c r="BH174" s="391"/>
      <c r="BI174" s="391"/>
      <c r="BJ174" s="391"/>
      <c r="BK174" s="391"/>
      <c r="BL174" s="391"/>
      <c r="BM174" s="391"/>
      <c r="BN174" s="391"/>
      <c r="BO174" s="391"/>
      <c r="BP174" s="391"/>
      <c r="BQ174" s="391"/>
      <c r="BR174" s="391"/>
      <c r="BS174" s="391"/>
      <c r="BT174" s="391"/>
      <c r="BU174" s="391"/>
      <c r="BV174" s="391"/>
      <c r="BW174" s="391"/>
      <c r="BX174" s="391"/>
      <c r="BY174" s="391"/>
      <c r="BZ174" s="391"/>
      <c r="CA174" s="391"/>
      <c r="CB174" s="391"/>
      <c r="CC174" s="391"/>
      <c r="CD174" s="391"/>
      <c r="CE174" s="391"/>
      <c r="CF174" s="391"/>
      <c r="CG174" s="391"/>
      <c r="CH174" s="391"/>
      <c r="CI174" s="391"/>
      <c r="CJ174" s="391"/>
      <c r="CK174" s="391"/>
      <c r="CL174" s="391"/>
      <c r="CM174" s="391"/>
      <c r="CN174" s="391"/>
      <c r="CO174" s="391"/>
      <c r="CP174" s="391"/>
      <c r="CQ174" s="391"/>
      <c r="CR174" s="391"/>
      <c r="CS174" s="391"/>
      <c r="CT174" s="391"/>
      <c r="CU174" s="391"/>
      <c r="CV174" s="391"/>
      <c r="CW174" s="391"/>
      <c r="CX174" s="391"/>
      <c r="CY174" s="391"/>
      <c r="CZ174" s="391"/>
      <c r="DA174" s="391"/>
      <c r="DB174" s="391"/>
      <c r="DC174" s="391"/>
      <c r="DD174" s="391"/>
      <c r="DE174" s="391"/>
      <c r="DF174" s="391"/>
      <c r="DG174" s="391"/>
      <c r="DH174" s="391"/>
      <c r="DI174" s="391"/>
      <c r="DJ174" s="391"/>
      <c r="DK174" s="391"/>
      <c r="DL174" s="391"/>
      <c r="DM174" s="391"/>
      <c r="DN174" s="391"/>
      <c r="DO174" s="391"/>
      <c r="DP174" s="391"/>
      <c r="DQ174" s="391"/>
      <c r="DR174" s="391"/>
      <c r="DS174" s="391"/>
      <c r="DT174" s="391"/>
      <c r="DU174" s="391"/>
      <c r="DV174" s="391"/>
      <c r="DW174" s="391"/>
      <c r="DX174" s="391"/>
      <c r="DY174" s="391"/>
      <c r="DZ174" s="391"/>
      <c r="EA174" s="1"/>
      <c r="EB174" s="391"/>
      <c r="EC174" s="391"/>
      <c r="ED174" s="391"/>
      <c r="EE174" s="391"/>
      <c r="EF174" s="391"/>
      <c r="EG174" s="391"/>
      <c r="EH174" s="391"/>
      <c r="EI174" s="391"/>
      <c r="EJ174" s="391"/>
      <c r="EK174" s="391"/>
      <c r="EL174" s="391"/>
      <c r="EM174" s="391"/>
      <c r="EN174" s="391"/>
      <c r="EO174" s="391"/>
      <c r="EP174" s="391"/>
      <c r="EQ174" s="391"/>
      <c r="ER174" s="391"/>
      <c r="ES174" s="391"/>
      <c r="ET174" s="391"/>
      <c r="EU174" s="391"/>
      <c r="EV174" s="391"/>
      <c r="EW174" s="391"/>
      <c r="EX174" s="391"/>
      <c r="EY174" s="391"/>
      <c r="EZ174" s="391"/>
      <c r="FA174" s="391"/>
      <c r="FB174" s="391"/>
      <c r="FC174" s="391"/>
      <c r="FD174" s="391"/>
      <c r="FE174" s="391"/>
      <c r="FF174" s="391"/>
      <c r="FG174" s="391"/>
      <c r="FH174" s="391"/>
      <c r="FI174" s="391"/>
      <c r="FJ174" s="391"/>
      <c r="FK174" s="391"/>
      <c r="FL174" s="391"/>
      <c r="FM174" s="391"/>
      <c r="FN174" s="391"/>
      <c r="FO174" s="391"/>
      <c r="FP174" s="391"/>
      <c r="FQ174" s="391"/>
      <c r="FR174" s="391"/>
      <c r="FS174" s="391"/>
      <c r="FT174" s="391">
        <v>129664</v>
      </c>
      <c r="FU174" s="391"/>
      <c r="FV174" s="391"/>
      <c r="FW174" s="391"/>
      <c r="FX174" s="391"/>
      <c r="FY174" s="391"/>
      <c r="FZ174" s="391"/>
      <c r="GA174" s="391"/>
      <c r="GB174" s="391"/>
      <c r="GC174" s="391"/>
      <c r="GD174" s="391"/>
      <c r="GE174" s="391"/>
      <c r="GF174" s="391"/>
      <c r="GG174" s="391"/>
      <c r="GH174" s="391"/>
      <c r="GI174" s="391"/>
      <c r="GJ174" s="391"/>
      <c r="GK174" s="391"/>
      <c r="GL174" s="391"/>
      <c r="GM174" s="391"/>
      <c r="GN174" s="391"/>
      <c r="GO174" s="391"/>
      <c r="GP174" s="391"/>
      <c r="GQ174" s="391"/>
      <c r="GR174" s="391"/>
      <c r="GS174" s="391"/>
      <c r="GT174" s="391"/>
      <c r="GU174" s="391"/>
      <c r="GV174" s="391"/>
      <c r="GW174" s="391"/>
      <c r="GX174" s="391"/>
      <c r="GY174" s="391"/>
      <c r="GZ174" s="391"/>
      <c r="HA174" s="391"/>
      <c r="HB174" s="391"/>
      <c r="HC174" s="391"/>
      <c r="HD174" s="391"/>
      <c r="HE174" s="391"/>
      <c r="HF174" s="391"/>
      <c r="HG174" s="391"/>
      <c r="HH174" s="391"/>
      <c r="HI174" s="391"/>
      <c r="HJ174" s="391"/>
      <c r="HK174" s="391"/>
      <c r="HL174" s="391"/>
      <c r="HM174" s="391"/>
      <c r="HN174" s="391"/>
      <c r="HO174" s="391"/>
      <c r="HP174" s="391"/>
      <c r="HQ174" s="391"/>
      <c r="HR174" s="391"/>
      <c r="HS174" s="391"/>
      <c r="HT174" s="391"/>
      <c r="HU174" s="391"/>
      <c r="HV174" s="391"/>
      <c r="HW174" s="391"/>
      <c r="HX174" s="391"/>
      <c r="HY174" s="391"/>
      <c r="HZ174" s="391"/>
      <c r="IA174" s="391"/>
      <c r="IB174" s="391"/>
      <c r="IC174" s="391"/>
      <c r="ID174" s="391"/>
      <c r="IE174" s="391"/>
      <c r="IF174" s="391"/>
      <c r="IG174" s="391"/>
      <c r="IH174" s="391"/>
      <c r="II174" s="391"/>
      <c r="IJ174" s="391"/>
      <c r="IK174" s="391"/>
      <c r="IL174" s="391"/>
      <c r="IM174" s="391"/>
      <c r="IN174" s="391"/>
      <c r="IO174" s="391"/>
      <c r="IP174" s="391"/>
      <c r="IQ174" s="391"/>
      <c r="IR174" s="391"/>
      <c r="IS174" s="391"/>
      <c r="IT174" s="391"/>
      <c r="IU174" s="391"/>
      <c r="IV174" s="391"/>
      <c r="IW174" s="391"/>
      <c r="IX174" s="391"/>
      <c r="IY174" s="391"/>
      <c r="IZ174" s="391"/>
      <c r="JA174" s="391"/>
      <c r="JB174" s="391"/>
      <c r="JC174" s="391"/>
      <c r="JD174" s="391"/>
      <c r="JE174" s="391"/>
      <c r="JF174" s="391"/>
      <c r="JG174" s="391"/>
      <c r="JH174" s="391"/>
      <c r="JI174" s="393">
        <f t="shared" si="5"/>
        <v>129664</v>
      </c>
      <c r="JJ174" s="2">
        <v>6523</v>
      </c>
      <c r="JK174" s="392">
        <f t="shared" si="6"/>
        <v>129664</v>
      </c>
      <c r="JL174" s="391"/>
      <c r="JM174" s="392"/>
      <c r="JN174" s="392"/>
      <c r="JO174" s="392"/>
      <c r="JP174" s="392"/>
    </row>
    <row r="175" spans="1:276" x14ac:dyDescent="0.3">
      <c r="A175" s="391"/>
      <c r="B175" s="391"/>
      <c r="C175" s="391"/>
      <c r="D175" s="391"/>
      <c r="E175" s="391"/>
      <c r="F175" s="391"/>
      <c r="G175" s="391"/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391"/>
      <c r="X175" s="391"/>
      <c r="Y175" s="391"/>
      <c r="Z175" s="391"/>
      <c r="AA175" s="391"/>
      <c r="AB175" s="391"/>
      <c r="AC175" s="391"/>
      <c r="AD175" s="391"/>
      <c r="AE175" s="391"/>
      <c r="AF175" s="391"/>
      <c r="AG175" s="391"/>
      <c r="AH175" s="391"/>
      <c r="AI175" s="391"/>
      <c r="AJ175" s="391"/>
      <c r="AK175" s="391"/>
      <c r="AL175" s="391"/>
      <c r="AM175" s="391"/>
      <c r="AN175" s="391"/>
      <c r="AO175" s="391"/>
      <c r="AP175" s="391"/>
      <c r="AQ175" s="391"/>
      <c r="AR175" s="391"/>
      <c r="AS175" s="391"/>
      <c r="AT175" s="391"/>
      <c r="AU175" s="391"/>
      <c r="AV175" s="391"/>
      <c r="AW175" s="391"/>
      <c r="AX175" s="391"/>
      <c r="AY175" s="391"/>
      <c r="AZ175" s="391"/>
      <c r="BA175" s="391"/>
      <c r="BB175" s="391"/>
      <c r="BC175" s="391"/>
      <c r="BD175" s="391"/>
      <c r="BE175" s="391"/>
      <c r="BF175" s="391"/>
      <c r="BG175" s="391"/>
      <c r="BH175" s="391"/>
      <c r="BI175" s="391"/>
      <c r="BJ175" s="391"/>
      <c r="BK175" s="391"/>
      <c r="BL175" s="391"/>
      <c r="BM175" s="391"/>
      <c r="BN175" s="391"/>
      <c r="BO175" s="391"/>
      <c r="BP175" s="391"/>
      <c r="BQ175" s="391"/>
      <c r="BR175" s="391"/>
      <c r="BS175" s="391"/>
      <c r="BT175" s="391"/>
      <c r="BU175" s="391"/>
      <c r="BV175" s="391"/>
      <c r="BW175" s="391"/>
      <c r="BX175" s="391"/>
      <c r="BY175" s="391"/>
      <c r="BZ175" s="391"/>
      <c r="CA175" s="391"/>
      <c r="CB175" s="391"/>
      <c r="CC175" s="391"/>
      <c r="CD175" s="391"/>
      <c r="CE175" s="391"/>
      <c r="CF175" s="391"/>
      <c r="CG175" s="391"/>
      <c r="CH175" s="391"/>
      <c r="CI175" s="391"/>
      <c r="CJ175" s="391"/>
      <c r="CK175" s="391"/>
      <c r="CL175" s="391"/>
      <c r="CM175" s="391"/>
      <c r="CN175" s="391"/>
      <c r="CO175" s="391"/>
      <c r="CP175" s="391"/>
      <c r="CQ175" s="391"/>
      <c r="CR175" s="391"/>
      <c r="CS175" s="391"/>
      <c r="CT175" s="391"/>
      <c r="CU175" s="391"/>
      <c r="CV175" s="391"/>
      <c r="CW175" s="391"/>
      <c r="CX175" s="391"/>
      <c r="CY175" s="391"/>
      <c r="CZ175" s="391"/>
      <c r="DA175" s="391"/>
      <c r="DB175" s="391"/>
      <c r="DC175" s="391"/>
      <c r="DD175" s="391"/>
      <c r="DE175" s="391"/>
      <c r="DF175" s="391"/>
      <c r="DG175" s="391"/>
      <c r="DH175" s="391"/>
      <c r="DI175" s="391"/>
      <c r="DJ175" s="391"/>
      <c r="DK175" s="391"/>
      <c r="DL175" s="391"/>
      <c r="DM175" s="391"/>
      <c r="DN175" s="391"/>
      <c r="DO175" s="391"/>
      <c r="DP175" s="391"/>
      <c r="DQ175" s="391"/>
      <c r="DR175" s="391"/>
      <c r="DS175" s="391"/>
      <c r="DT175" s="391"/>
      <c r="DU175" s="391"/>
      <c r="DV175" s="391"/>
      <c r="DW175" s="391"/>
      <c r="DX175" s="391"/>
      <c r="DY175" s="391"/>
      <c r="DZ175" s="391"/>
      <c r="EA175" s="391"/>
      <c r="EB175" s="391"/>
      <c r="EC175" s="391"/>
      <c r="ED175" s="391"/>
      <c r="EE175" s="391"/>
      <c r="EF175" s="391"/>
      <c r="EG175" s="391"/>
      <c r="EH175" s="391"/>
      <c r="EI175" s="391"/>
      <c r="EJ175" s="391"/>
      <c r="EK175" s="391"/>
      <c r="EL175" s="391"/>
      <c r="EM175" s="391"/>
      <c r="EN175" s="391"/>
      <c r="EO175" s="391"/>
      <c r="EP175" s="391"/>
      <c r="EQ175" s="391"/>
      <c r="ER175" s="391"/>
      <c r="ES175" s="391"/>
      <c r="ET175" s="391"/>
      <c r="EU175" s="391"/>
      <c r="EV175" s="391"/>
      <c r="EW175" s="391"/>
      <c r="EX175" s="391"/>
      <c r="EY175" s="391"/>
      <c r="EZ175" s="391"/>
      <c r="FA175" s="391"/>
      <c r="FB175" s="391"/>
      <c r="FC175" s="391"/>
      <c r="FD175" s="391"/>
      <c r="FE175" s="391"/>
      <c r="FF175" s="391"/>
      <c r="FG175" s="391"/>
      <c r="FH175" s="391"/>
      <c r="FI175" s="391"/>
      <c r="FJ175" s="391"/>
      <c r="FK175" s="391"/>
      <c r="FL175" s="391"/>
      <c r="FM175" s="391"/>
      <c r="FN175" s="391"/>
      <c r="FO175" s="391"/>
      <c r="FP175" s="391"/>
      <c r="FQ175" s="391"/>
      <c r="FR175" s="391"/>
      <c r="FS175" s="391"/>
      <c r="FT175" s="391">
        <v>235971.68</v>
      </c>
      <c r="FU175" s="391"/>
      <c r="FV175" s="391"/>
      <c r="FW175" s="391"/>
      <c r="FX175" s="391"/>
      <c r="FY175" s="391"/>
      <c r="FZ175" s="391"/>
      <c r="GA175" s="391"/>
      <c r="GB175" s="391"/>
      <c r="GC175" s="391"/>
      <c r="GD175" s="391"/>
      <c r="GE175" s="391"/>
      <c r="GF175" s="391"/>
      <c r="GG175" s="391"/>
      <c r="GH175" s="391"/>
      <c r="GI175" s="391"/>
      <c r="GJ175" s="391"/>
      <c r="GK175" s="391"/>
      <c r="GL175" s="391"/>
      <c r="GM175" s="391"/>
      <c r="GN175" s="391"/>
      <c r="GO175" s="391"/>
      <c r="GP175" s="391"/>
      <c r="GQ175" s="391"/>
      <c r="GR175" s="391"/>
      <c r="GS175" s="391"/>
      <c r="GT175" s="391"/>
      <c r="GU175" s="391"/>
      <c r="GV175" s="391"/>
      <c r="GW175" s="391"/>
      <c r="GX175" s="391"/>
      <c r="GY175" s="391"/>
      <c r="GZ175" s="391"/>
      <c r="HA175" s="391"/>
      <c r="HB175" s="391"/>
      <c r="HC175" s="391"/>
      <c r="HD175" s="391"/>
      <c r="HE175" s="391"/>
      <c r="HF175" s="391"/>
      <c r="HG175" s="391"/>
      <c r="HH175" s="391"/>
      <c r="HI175" s="391"/>
      <c r="HJ175" s="391"/>
      <c r="HK175" s="391"/>
      <c r="HL175" s="391"/>
      <c r="HM175" s="391"/>
      <c r="HN175" s="391"/>
      <c r="HO175" s="391"/>
      <c r="HP175" s="391"/>
      <c r="HQ175" s="391"/>
      <c r="HR175" s="391"/>
      <c r="HS175" s="391"/>
      <c r="HT175" s="391"/>
      <c r="HU175" s="391"/>
      <c r="HV175" s="391"/>
      <c r="HW175" s="391"/>
      <c r="HX175" s="391"/>
      <c r="HY175" s="391"/>
      <c r="HZ175" s="391"/>
      <c r="IA175" s="391"/>
      <c r="IB175" s="391"/>
      <c r="IC175" s="391"/>
      <c r="ID175" s="391"/>
      <c r="IE175" s="391"/>
      <c r="IF175" s="391"/>
      <c r="IG175" s="391"/>
      <c r="IH175" s="391"/>
      <c r="II175" s="391"/>
      <c r="IJ175" s="391"/>
      <c r="IK175" s="391"/>
      <c r="IL175" s="391"/>
      <c r="IM175" s="391"/>
      <c r="IN175" s="391"/>
      <c r="IO175" s="391"/>
      <c r="IP175" s="391"/>
      <c r="IQ175" s="391"/>
      <c r="IR175" s="391"/>
      <c r="IS175" s="391"/>
      <c r="IT175" s="391"/>
      <c r="IU175" s="391"/>
      <c r="IV175" s="391"/>
      <c r="IW175" s="391"/>
      <c r="IX175" s="391"/>
      <c r="IY175" s="391"/>
      <c r="IZ175" s="391"/>
      <c r="JA175" s="391"/>
      <c r="JB175" s="391"/>
      <c r="JC175" s="391"/>
      <c r="JD175" s="391"/>
      <c r="JE175" s="391"/>
      <c r="JF175" s="391"/>
      <c r="JG175" s="391"/>
      <c r="JH175" s="391"/>
      <c r="JI175" s="393">
        <f t="shared" si="5"/>
        <v>235971.68</v>
      </c>
      <c r="JJ175" s="2">
        <v>6524</v>
      </c>
      <c r="JK175" s="392">
        <f t="shared" si="6"/>
        <v>235971.68</v>
      </c>
      <c r="JL175" s="391"/>
      <c r="JM175" s="392"/>
      <c r="JN175" s="392"/>
      <c r="JO175" s="392"/>
      <c r="JP175" s="392"/>
    </row>
    <row r="176" spans="1:276" x14ac:dyDescent="0.3">
      <c r="A176" s="391"/>
      <c r="B176" s="391"/>
      <c r="C176" s="391"/>
      <c r="D176" s="391"/>
      <c r="E176" s="391"/>
      <c r="F176" s="391"/>
      <c r="G176" s="391"/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391"/>
      <c r="X176" s="391"/>
      <c r="Y176" s="391"/>
      <c r="Z176" s="391"/>
      <c r="AA176" s="391"/>
      <c r="AB176" s="391"/>
      <c r="AC176" s="391"/>
      <c r="AD176" s="391"/>
      <c r="AE176" s="391"/>
      <c r="AF176" s="391"/>
      <c r="AG176" s="391"/>
      <c r="AH176" s="391"/>
      <c r="AI176" s="391"/>
      <c r="AJ176" s="391"/>
      <c r="AK176" s="391"/>
      <c r="AL176" s="391"/>
      <c r="AM176" s="391"/>
      <c r="AN176" s="391"/>
      <c r="AO176" s="391"/>
      <c r="AP176" s="391"/>
      <c r="AQ176" s="391"/>
      <c r="AR176" s="391"/>
      <c r="AS176" s="391"/>
      <c r="AT176" s="391"/>
      <c r="AU176" s="391"/>
      <c r="AV176" s="391"/>
      <c r="AW176" s="391"/>
      <c r="AX176" s="391"/>
      <c r="AY176" s="391"/>
      <c r="AZ176" s="391"/>
      <c r="BA176" s="391"/>
      <c r="BB176" s="391"/>
      <c r="BC176" s="391"/>
      <c r="BD176" s="391"/>
      <c r="BE176" s="391"/>
      <c r="BF176" s="391"/>
      <c r="BG176" s="391"/>
      <c r="BH176" s="391"/>
      <c r="BI176" s="391"/>
      <c r="BJ176" s="391"/>
      <c r="BK176" s="391"/>
      <c r="BL176" s="391"/>
      <c r="BM176" s="391"/>
      <c r="BN176" s="391"/>
      <c r="BO176" s="391"/>
      <c r="BP176" s="391"/>
      <c r="BQ176" s="391"/>
      <c r="BR176" s="391"/>
      <c r="BS176" s="391"/>
      <c r="BT176" s="391"/>
      <c r="BU176" s="391"/>
      <c r="BV176" s="391"/>
      <c r="BW176" s="391"/>
      <c r="BX176" s="391"/>
      <c r="BY176" s="391"/>
      <c r="BZ176" s="391"/>
      <c r="CA176" s="391"/>
      <c r="CB176" s="391"/>
      <c r="CC176" s="391"/>
      <c r="CD176" s="391"/>
      <c r="CE176" s="391"/>
      <c r="CF176" s="391"/>
      <c r="CG176" s="391"/>
      <c r="CH176" s="391"/>
      <c r="CI176" s="391"/>
      <c r="CJ176" s="391"/>
      <c r="CK176" s="391"/>
      <c r="CL176" s="391"/>
      <c r="CM176" s="391"/>
      <c r="CN176" s="391"/>
      <c r="CO176" s="391"/>
      <c r="CP176" s="391"/>
      <c r="CQ176" s="391"/>
      <c r="CR176" s="391"/>
      <c r="CS176" s="391"/>
      <c r="CT176" s="391"/>
      <c r="CU176" s="391"/>
      <c r="CV176" s="391"/>
      <c r="CW176" s="391"/>
      <c r="CX176" s="391"/>
      <c r="CY176" s="391"/>
      <c r="CZ176" s="391"/>
      <c r="DA176" s="391"/>
      <c r="DB176" s="391"/>
      <c r="DC176" s="391"/>
      <c r="DD176" s="391"/>
      <c r="DE176" s="391"/>
      <c r="DF176" s="391"/>
      <c r="DG176" s="391"/>
      <c r="DH176" s="391"/>
      <c r="DI176" s="391"/>
      <c r="DJ176" s="391"/>
      <c r="DK176" s="391"/>
      <c r="DL176" s="391"/>
      <c r="DM176" s="391"/>
      <c r="DN176" s="391"/>
      <c r="DO176" s="391"/>
      <c r="DP176" s="391"/>
      <c r="DQ176" s="391"/>
      <c r="DR176" s="391"/>
      <c r="DS176" s="391"/>
      <c r="DT176" s="391"/>
      <c r="DU176" s="391"/>
      <c r="DV176" s="391"/>
      <c r="DW176" s="391"/>
      <c r="DX176" s="391"/>
      <c r="DY176" s="391"/>
      <c r="DZ176" s="391"/>
      <c r="EA176" s="391">
        <v>240000</v>
      </c>
      <c r="EB176" s="391"/>
      <c r="EC176" s="391"/>
      <c r="ED176" s="391"/>
      <c r="EE176" s="391"/>
      <c r="EF176" s="391"/>
      <c r="EG176" s="391"/>
      <c r="EH176" s="391"/>
      <c r="EI176" s="391"/>
      <c r="EJ176" s="391"/>
      <c r="EK176" s="391"/>
      <c r="EL176" s="391"/>
      <c r="EM176" s="391"/>
      <c r="EN176" s="391"/>
      <c r="EO176" s="391"/>
      <c r="EP176" s="391"/>
      <c r="EQ176" s="391"/>
      <c r="ER176" s="391"/>
      <c r="ES176" s="391"/>
      <c r="ET176" s="391"/>
      <c r="EU176" s="391"/>
      <c r="EV176" s="391"/>
      <c r="EW176" s="391"/>
      <c r="EX176" s="391"/>
      <c r="EY176" s="391"/>
      <c r="EZ176" s="391"/>
      <c r="FA176" s="391"/>
      <c r="FB176" s="391"/>
      <c r="FC176" s="391"/>
      <c r="FD176" s="391"/>
      <c r="FE176" s="391"/>
      <c r="FF176" s="391"/>
      <c r="FG176" s="391"/>
      <c r="FH176" s="391"/>
      <c r="FI176" s="391"/>
      <c r="FJ176" s="391"/>
      <c r="FK176" s="391"/>
      <c r="FL176" s="391"/>
      <c r="FM176" s="391"/>
      <c r="FN176" s="391"/>
      <c r="FO176" s="391"/>
      <c r="FP176" s="391"/>
      <c r="FQ176" s="391"/>
      <c r="FR176" s="391"/>
      <c r="FS176" s="391"/>
      <c r="FT176" s="391"/>
      <c r="FU176" s="391"/>
      <c r="FV176" s="391"/>
      <c r="FW176" s="391"/>
      <c r="FX176" s="391"/>
      <c r="FY176" s="391"/>
      <c r="FZ176" s="391"/>
      <c r="GA176" s="391"/>
      <c r="GB176" s="391"/>
      <c r="GC176" s="391"/>
      <c r="GD176" s="391"/>
      <c r="GE176" s="391"/>
      <c r="GF176" s="391"/>
      <c r="GG176" s="391"/>
      <c r="GH176" s="391"/>
      <c r="GI176" s="391"/>
      <c r="GJ176" s="391"/>
      <c r="GK176" s="391"/>
      <c r="GL176" s="391"/>
      <c r="GM176" s="391"/>
      <c r="GN176" s="391"/>
      <c r="GO176" s="391"/>
      <c r="GP176" s="391"/>
      <c r="GQ176" s="391"/>
      <c r="GR176" s="391"/>
      <c r="GS176" s="391"/>
      <c r="GT176" s="391"/>
      <c r="GU176" s="391"/>
      <c r="GV176" s="391"/>
      <c r="GW176" s="391"/>
      <c r="GX176" s="391"/>
      <c r="GY176" s="391"/>
      <c r="GZ176" s="391"/>
      <c r="HA176" s="391"/>
      <c r="HB176" s="391"/>
      <c r="HC176" s="391"/>
      <c r="HD176" s="391"/>
      <c r="HE176" s="391"/>
      <c r="HF176" s="391"/>
      <c r="HG176" s="391"/>
      <c r="HH176" s="391"/>
      <c r="HI176" s="391"/>
      <c r="HJ176" s="391"/>
      <c r="HK176" s="391"/>
      <c r="HL176" s="391"/>
      <c r="HM176" s="391"/>
      <c r="HN176" s="391"/>
      <c r="HO176" s="391"/>
      <c r="HP176" s="391"/>
      <c r="HQ176" s="391"/>
      <c r="HR176" s="391"/>
      <c r="HS176" s="391"/>
      <c r="HT176" s="391"/>
      <c r="HU176" s="391"/>
      <c r="HV176" s="391"/>
      <c r="HW176" s="391"/>
      <c r="HX176" s="391"/>
      <c r="HY176" s="391"/>
      <c r="HZ176" s="391"/>
      <c r="IA176" s="391"/>
      <c r="IB176" s="391"/>
      <c r="IC176" s="391"/>
      <c r="ID176" s="391"/>
      <c r="IE176" s="391"/>
      <c r="IF176" s="391"/>
      <c r="IG176" s="391"/>
      <c r="IH176" s="391"/>
      <c r="II176" s="391"/>
      <c r="IJ176" s="391"/>
      <c r="IK176" s="391"/>
      <c r="IL176" s="391"/>
      <c r="IM176" s="391"/>
      <c r="IN176" s="391"/>
      <c r="IO176" s="391"/>
      <c r="IP176" s="391"/>
      <c r="IQ176" s="391"/>
      <c r="IR176" s="391"/>
      <c r="IS176" s="391"/>
      <c r="IT176" s="391"/>
      <c r="IU176" s="391"/>
      <c r="IV176" s="391"/>
      <c r="IW176" s="391"/>
      <c r="IX176" s="391"/>
      <c r="IY176" s="391"/>
      <c r="IZ176" s="391"/>
      <c r="JA176" s="391"/>
      <c r="JB176" s="391"/>
      <c r="JC176" s="391"/>
      <c r="JD176" s="391"/>
      <c r="JE176" s="391"/>
      <c r="JF176" s="391"/>
      <c r="JG176" s="391"/>
      <c r="JH176" s="391"/>
      <c r="JI176" s="393">
        <f t="shared" si="5"/>
        <v>240000</v>
      </c>
      <c r="JJ176" s="2">
        <v>6530</v>
      </c>
      <c r="JK176" s="392">
        <f t="shared" si="6"/>
        <v>240000</v>
      </c>
      <c r="JL176" s="391"/>
      <c r="JM176" s="392"/>
      <c r="JN176" s="392"/>
      <c r="JO176" s="392"/>
      <c r="JP176" s="392"/>
    </row>
    <row r="177" spans="1:276" x14ac:dyDescent="0.3">
      <c r="A177" s="391"/>
      <c r="B177" s="391"/>
      <c r="C177" s="391"/>
      <c r="D177" s="391"/>
      <c r="E177" s="391"/>
      <c r="F177" s="391"/>
      <c r="G177" s="391"/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391"/>
      <c r="X177" s="391"/>
      <c r="Y177" s="391"/>
      <c r="Z177" s="391"/>
      <c r="AA177" s="391"/>
      <c r="AB177" s="391"/>
      <c r="AC177" s="391"/>
      <c r="AD177" s="391"/>
      <c r="AE177" s="391"/>
      <c r="AF177" s="391"/>
      <c r="AG177" s="391"/>
      <c r="AH177" s="391"/>
      <c r="AI177" s="391"/>
      <c r="AJ177" s="391"/>
      <c r="AK177" s="391"/>
      <c r="AL177" s="391"/>
      <c r="AM177" s="391"/>
      <c r="AN177" s="391"/>
      <c r="AO177" s="391"/>
      <c r="AP177" s="391"/>
      <c r="AQ177" s="391"/>
      <c r="AR177" s="391"/>
      <c r="AS177" s="391"/>
      <c r="AT177" s="391"/>
      <c r="AU177" s="391"/>
      <c r="AV177" s="391"/>
      <c r="AW177" s="391"/>
      <c r="AX177" s="391"/>
      <c r="AY177" s="391"/>
      <c r="AZ177" s="391"/>
      <c r="BA177" s="391"/>
      <c r="BB177" s="391"/>
      <c r="BC177" s="391"/>
      <c r="BD177" s="391"/>
      <c r="BE177" s="391"/>
      <c r="BF177" s="391"/>
      <c r="BG177" s="391"/>
      <c r="BH177" s="391"/>
      <c r="BI177" s="391"/>
      <c r="BJ177" s="391"/>
      <c r="BK177" s="391"/>
      <c r="BL177" s="391"/>
      <c r="BM177" s="391"/>
      <c r="BN177" s="391"/>
      <c r="BO177" s="391"/>
      <c r="BP177" s="391"/>
      <c r="BQ177" s="391"/>
      <c r="BR177" s="391"/>
      <c r="BS177" s="391"/>
      <c r="BT177" s="391"/>
      <c r="BU177" s="391"/>
      <c r="BV177" s="391"/>
      <c r="BW177" s="391"/>
      <c r="BX177" s="391"/>
      <c r="BY177" s="391"/>
      <c r="BZ177" s="391"/>
      <c r="CA177" s="391"/>
      <c r="CB177" s="391"/>
      <c r="CC177" s="391"/>
      <c r="CD177" s="391"/>
      <c r="CE177" s="391"/>
      <c r="CF177" s="391"/>
      <c r="CG177" s="391"/>
      <c r="CH177" s="391"/>
      <c r="CI177" s="391"/>
      <c r="CJ177" s="391"/>
      <c r="CK177" s="391"/>
      <c r="CL177" s="391"/>
      <c r="CM177" s="391"/>
      <c r="CN177" s="391"/>
      <c r="CO177" s="391"/>
      <c r="CP177" s="391"/>
      <c r="CQ177" s="391"/>
      <c r="CR177" s="391"/>
      <c r="CS177" s="391"/>
      <c r="CT177" s="391"/>
      <c r="CU177" s="391"/>
      <c r="CV177" s="391"/>
      <c r="CW177" s="391"/>
      <c r="CX177" s="391"/>
      <c r="CY177" s="391"/>
      <c r="CZ177" s="391"/>
      <c r="DA177" s="391"/>
      <c r="DB177" s="391"/>
      <c r="DC177" s="391"/>
      <c r="DD177" s="391"/>
      <c r="DE177" s="391"/>
      <c r="DF177" s="391"/>
      <c r="DG177" s="391"/>
      <c r="DH177" s="391"/>
      <c r="DI177" s="391"/>
      <c r="DJ177" s="391"/>
      <c r="DK177" s="391"/>
      <c r="DL177" s="391"/>
      <c r="DM177" s="391"/>
      <c r="DN177" s="391"/>
      <c r="DO177" s="391"/>
      <c r="DP177" s="391"/>
      <c r="DQ177" s="391"/>
      <c r="DR177" s="391"/>
      <c r="DS177" s="391"/>
      <c r="DT177" s="391"/>
      <c r="DU177" s="391"/>
      <c r="DV177" s="391"/>
      <c r="DW177" s="391"/>
      <c r="DX177" s="391"/>
      <c r="DY177" s="391"/>
      <c r="DZ177" s="391"/>
      <c r="EA177" s="391"/>
      <c r="EB177" s="391"/>
      <c r="EC177" s="391"/>
      <c r="ED177" s="391"/>
      <c r="EE177" s="391"/>
      <c r="EF177" s="391"/>
      <c r="EG177" s="391"/>
      <c r="EH177" s="391"/>
      <c r="EI177" s="391"/>
      <c r="EJ177" s="391"/>
      <c r="EK177" s="391"/>
      <c r="EL177" s="391"/>
      <c r="EM177" s="391"/>
      <c r="EN177" s="391"/>
      <c r="EO177" s="391"/>
      <c r="EP177" s="391"/>
      <c r="EQ177" s="391"/>
      <c r="ER177" s="391"/>
      <c r="ES177" s="391"/>
      <c r="ET177" s="391"/>
      <c r="EU177" s="391"/>
      <c r="EV177" s="391"/>
      <c r="EW177" s="391"/>
      <c r="EX177" s="391"/>
      <c r="EY177" s="391"/>
      <c r="EZ177" s="391"/>
      <c r="FA177" s="391"/>
      <c r="FB177" s="391"/>
      <c r="FC177" s="391"/>
      <c r="FD177" s="391"/>
      <c r="FE177" s="391"/>
      <c r="FF177" s="391"/>
      <c r="FG177" s="391"/>
      <c r="FH177" s="391"/>
      <c r="FI177" s="391"/>
      <c r="FJ177" s="391">
        <v>703592.61</v>
      </c>
      <c r="FK177" s="391"/>
      <c r="FL177" s="391"/>
      <c r="FM177" s="391"/>
      <c r="FN177" s="391"/>
      <c r="FO177" s="391"/>
      <c r="FP177" s="391"/>
      <c r="FQ177" s="391"/>
      <c r="FR177" s="391"/>
      <c r="FS177" s="391"/>
      <c r="FT177" s="391"/>
      <c r="FU177" s="391"/>
      <c r="FV177" s="391"/>
      <c r="FW177" s="391"/>
      <c r="FX177" s="391"/>
      <c r="FY177" s="391"/>
      <c r="FZ177" s="391"/>
      <c r="GA177" s="391"/>
      <c r="GB177" s="391"/>
      <c r="GC177" s="391"/>
      <c r="GD177" s="391"/>
      <c r="GE177" s="391"/>
      <c r="GF177" s="391"/>
      <c r="GG177" s="391"/>
      <c r="GH177" s="391"/>
      <c r="GI177" s="391"/>
      <c r="GJ177" s="391"/>
      <c r="GK177" s="391"/>
      <c r="GL177" s="391"/>
      <c r="GM177" s="391"/>
      <c r="GN177" s="391"/>
      <c r="GO177" s="391"/>
      <c r="GP177" s="391"/>
      <c r="GQ177" s="391"/>
      <c r="GR177" s="391"/>
      <c r="GS177" s="391"/>
      <c r="GT177" s="391"/>
      <c r="GU177" s="391"/>
      <c r="GV177" s="391"/>
      <c r="GW177" s="391"/>
      <c r="GX177" s="391"/>
      <c r="GY177" s="391"/>
      <c r="GZ177" s="391"/>
      <c r="HA177" s="391"/>
      <c r="HB177" s="391"/>
      <c r="HC177" s="391"/>
      <c r="HD177" s="391"/>
      <c r="HE177" s="391"/>
      <c r="HF177" s="391"/>
      <c r="HG177" s="391"/>
      <c r="HH177" s="391"/>
      <c r="HI177" s="391"/>
      <c r="HJ177" s="391"/>
      <c r="HK177" s="391"/>
      <c r="HL177" s="391"/>
      <c r="HM177" s="391"/>
      <c r="HN177" s="391"/>
      <c r="HO177" s="391"/>
      <c r="HP177" s="391"/>
      <c r="HQ177" s="391"/>
      <c r="HR177" s="391"/>
      <c r="HS177" s="391"/>
      <c r="HT177" s="391"/>
      <c r="HU177" s="391"/>
      <c r="HV177" s="391"/>
      <c r="HW177" s="391"/>
      <c r="HX177" s="391"/>
      <c r="HY177" s="391"/>
      <c r="HZ177" s="391"/>
      <c r="IA177" s="391"/>
      <c r="IB177" s="391"/>
      <c r="IC177" s="391"/>
      <c r="ID177" s="391"/>
      <c r="IE177" s="391"/>
      <c r="IF177" s="391"/>
      <c r="IG177" s="391"/>
      <c r="IH177" s="391"/>
      <c r="II177" s="391"/>
      <c r="IJ177" s="391"/>
      <c r="IK177" s="391"/>
      <c r="IL177" s="391"/>
      <c r="IM177" s="391"/>
      <c r="IN177" s="391"/>
      <c r="IO177" s="391"/>
      <c r="IP177" s="391"/>
      <c r="IQ177" s="391"/>
      <c r="IR177" s="391"/>
      <c r="IS177" s="391"/>
      <c r="IT177" s="391"/>
      <c r="IU177" s="391"/>
      <c r="IV177" s="391"/>
      <c r="IW177" s="391"/>
      <c r="IX177" s="391"/>
      <c r="IY177" s="391"/>
      <c r="IZ177" s="391"/>
      <c r="JA177" s="391"/>
      <c r="JB177" s="391"/>
      <c r="JC177" s="391"/>
      <c r="JD177" s="391"/>
      <c r="JE177" s="391"/>
      <c r="JF177" s="391"/>
      <c r="JG177" s="391"/>
      <c r="JH177" s="391"/>
      <c r="JI177" s="393">
        <f t="shared" si="5"/>
        <v>703592.61</v>
      </c>
      <c r="JJ177" s="2">
        <v>6533</v>
      </c>
      <c r="JK177" s="392">
        <f t="shared" si="6"/>
        <v>703592.61</v>
      </c>
      <c r="JL177" s="391"/>
      <c r="JM177" s="392"/>
      <c r="JN177" s="392"/>
      <c r="JO177" s="392"/>
      <c r="JP177" s="392"/>
    </row>
    <row r="178" spans="1:276" x14ac:dyDescent="0.3">
      <c r="A178" s="391"/>
      <c r="B178" s="391"/>
      <c r="C178" s="391"/>
      <c r="D178" s="391"/>
      <c r="E178" s="391"/>
      <c r="F178" s="391"/>
      <c r="G178" s="391"/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391"/>
      <c r="X178" s="391"/>
      <c r="Y178" s="391"/>
      <c r="Z178" s="391"/>
      <c r="AA178" s="391"/>
      <c r="AB178" s="391"/>
      <c r="AC178" s="391"/>
      <c r="AD178" s="391"/>
      <c r="AE178" s="391"/>
      <c r="AF178" s="391"/>
      <c r="AG178" s="391"/>
      <c r="AH178" s="391"/>
      <c r="AI178" s="391"/>
      <c r="AJ178" s="391"/>
      <c r="AK178" s="391"/>
      <c r="AL178" s="391"/>
      <c r="AM178" s="391"/>
      <c r="AN178" s="391"/>
      <c r="AO178" s="391"/>
      <c r="AP178" s="391"/>
      <c r="AQ178" s="391"/>
      <c r="AR178" s="391"/>
      <c r="AS178" s="391"/>
      <c r="AT178" s="391"/>
      <c r="AU178" s="391"/>
      <c r="AV178" s="391"/>
      <c r="AW178" s="391"/>
      <c r="AX178" s="391"/>
      <c r="AY178" s="391"/>
      <c r="AZ178" s="391"/>
      <c r="BA178" s="391"/>
      <c r="BB178" s="391"/>
      <c r="BC178" s="391"/>
      <c r="BD178" s="391"/>
      <c r="BE178" s="391"/>
      <c r="BF178" s="391"/>
      <c r="BG178" s="391"/>
      <c r="BH178" s="391"/>
      <c r="BI178" s="391"/>
      <c r="BJ178" s="391"/>
      <c r="BK178" s="391"/>
      <c r="BL178" s="391"/>
      <c r="BM178" s="391"/>
      <c r="BN178" s="391"/>
      <c r="BO178" s="391"/>
      <c r="BP178" s="391"/>
      <c r="BQ178" s="391"/>
      <c r="BR178" s="391"/>
      <c r="BS178" s="391"/>
      <c r="BT178" s="391"/>
      <c r="BU178" s="391"/>
      <c r="BV178" s="391"/>
      <c r="BW178" s="391"/>
      <c r="BX178" s="391"/>
      <c r="BY178" s="391"/>
      <c r="BZ178" s="391"/>
      <c r="CA178" s="391"/>
      <c r="CB178" s="391"/>
      <c r="CC178" s="391"/>
      <c r="CD178" s="391"/>
      <c r="CE178" s="391"/>
      <c r="CF178" s="391"/>
      <c r="CG178" s="391"/>
      <c r="CH178" s="391"/>
      <c r="CI178" s="391"/>
      <c r="CJ178" s="391"/>
      <c r="CK178" s="391"/>
      <c r="CL178" s="391"/>
      <c r="CM178" s="391"/>
      <c r="CN178" s="391"/>
      <c r="CO178" s="391"/>
      <c r="CP178" s="391"/>
      <c r="CQ178" s="391"/>
      <c r="CR178" s="391"/>
      <c r="CS178" s="391"/>
      <c r="CT178" s="391"/>
      <c r="CU178" s="391"/>
      <c r="CV178" s="391"/>
      <c r="CW178" s="391"/>
      <c r="CX178" s="391"/>
      <c r="CY178" s="391"/>
      <c r="CZ178" s="391"/>
      <c r="DA178" s="391"/>
      <c r="DB178" s="391"/>
      <c r="DC178" s="391"/>
      <c r="DD178" s="391"/>
      <c r="DE178" s="391"/>
      <c r="DF178" s="391"/>
      <c r="DG178" s="391"/>
      <c r="DH178" s="391"/>
      <c r="DI178" s="391"/>
      <c r="DJ178" s="391"/>
      <c r="DK178" s="391"/>
      <c r="DL178" s="391"/>
      <c r="DM178" s="391"/>
      <c r="DN178" s="391"/>
      <c r="DO178" s="391"/>
      <c r="DP178" s="391"/>
      <c r="DQ178" s="391"/>
      <c r="DR178" s="391"/>
      <c r="DS178" s="391"/>
      <c r="DT178" s="391"/>
      <c r="DU178" s="391"/>
      <c r="DV178" s="391"/>
      <c r="DW178" s="391"/>
      <c r="DX178" s="391"/>
      <c r="DY178" s="391"/>
      <c r="DZ178" s="391"/>
      <c r="EA178" s="391">
        <v>85600</v>
      </c>
      <c r="EB178" s="391"/>
      <c r="EC178" s="391"/>
      <c r="ED178" s="391"/>
      <c r="EE178" s="391"/>
      <c r="EF178" s="391"/>
      <c r="EG178" s="391"/>
      <c r="EH178" s="391"/>
      <c r="EI178" s="391"/>
      <c r="EJ178" s="391"/>
      <c r="EK178" s="391"/>
      <c r="EL178" s="391"/>
      <c r="EM178" s="391"/>
      <c r="EN178" s="391"/>
      <c r="EO178" s="391"/>
      <c r="EP178" s="391"/>
      <c r="EQ178" s="391"/>
      <c r="ER178" s="391"/>
      <c r="ES178" s="391"/>
      <c r="ET178" s="391"/>
      <c r="EU178" s="391"/>
      <c r="EV178" s="391"/>
      <c r="EW178" s="391"/>
      <c r="EX178" s="391"/>
      <c r="EY178" s="391"/>
      <c r="EZ178" s="391"/>
      <c r="FA178" s="391"/>
      <c r="FB178" s="391"/>
      <c r="FC178" s="391"/>
      <c r="FD178" s="391"/>
      <c r="FE178" s="391"/>
      <c r="FF178" s="391"/>
      <c r="FG178" s="391"/>
      <c r="FH178" s="391"/>
      <c r="FI178" s="391"/>
      <c r="FJ178" s="391"/>
      <c r="FK178" s="391"/>
      <c r="FL178" s="391"/>
      <c r="FM178" s="391"/>
      <c r="FN178" s="120"/>
      <c r="FO178" s="391"/>
      <c r="FP178" s="391"/>
      <c r="FQ178" s="391"/>
      <c r="FR178" s="391"/>
      <c r="FS178" s="391"/>
      <c r="FT178" s="391"/>
      <c r="FU178" s="391"/>
      <c r="FV178" s="391"/>
      <c r="FW178" s="391"/>
      <c r="FX178" s="391"/>
      <c r="FY178" s="391"/>
      <c r="FZ178" s="391"/>
      <c r="GA178" s="391"/>
      <c r="GB178" s="391"/>
      <c r="GC178" s="391"/>
      <c r="GD178" s="391"/>
      <c r="GE178" s="391"/>
      <c r="GF178" s="391"/>
      <c r="GG178" s="391"/>
      <c r="GH178" s="391"/>
      <c r="GI178" s="391"/>
      <c r="GJ178" s="391"/>
      <c r="GK178" s="391"/>
      <c r="GL178" s="391"/>
      <c r="GM178" s="391"/>
      <c r="GN178" s="391"/>
      <c r="GO178" s="391"/>
      <c r="GP178" s="391"/>
      <c r="GQ178" s="391"/>
      <c r="GR178" s="391"/>
      <c r="GS178" s="391"/>
      <c r="GT178" s="391"/>
      <c r="GU178" s="391"/>
      <c r="GV178" s="391"/>
      <c r="GW178" s="391"/>
      <c r="GX178" s="391"/>
      <c r="GY178" s="391"/>
      <c r="GZ178" s="391"/>
      <c r="HA178" s="391"/>
      <c r="HB178" s="391"/>
      <c r="HC178" s="391"/>
      <c r="HD178" s="391"/>
      <c r="HE178" s="391"/>
      <c r="HF178" s="391"/>
      <c r="HG178" s="391"/>
      <c r="HH178" s="391"/>
      <c r="HI178" s="391"/>
      <c r="HJ178" s="391"/>
      <c r="HK178" s="391"/>
      <c r="HL178" s="391"/>
      <c r="HM178" s="391"/>
      <c r="HN178" s="391"/>
      <c r="HO178" s="391"/>
      <c r="HP178" s="391"/>
      <c r="HQ178" s="391"/>
      <c r="HR178" s="391"/>
      <c r="HS178" s="391"/>
      <c r="HT178" s="391"/>
      <c r="HU178" s="391"/>
      <c r="HV178" s="391"/>
      <c r="HW178" s="391"/>
      <c r="HX178" s="391"/>
      <c r="HY178" s="391"/>
      <c r="HZ178" s="391"/>
      <c r="IA178" s="391"/>
      <c r="IB178" s="391"/>
      <c r="IC178" s="391"/>
      <c r="ID178" s="391"/>
      <c r="IE178" s="391"/>
      <c r="IF178" s="391"/>
      <c r="IG178" s="391"/>
      <c r="IH178" s="391"/>
      <c r="II178" s="391"/>
      <c r="IJ178" s="391"/>
      <c r="IK178" s="391"/>
      <c r="IL178" s="391"/>
      <c r="IM178" s="391"/>
      <c r="IN178" s="391"/>
      <c r="IO178" s="391"/>
      <c r="IP178" s="391"/>
      <c r="IQ178" s="391"/>
      <c r="IR178" s="391"/>
      <c r="IS178" s="391"/>
      <c r="IT178" s="391"/>
      <c r="IU178" s="391"/>
      <c r="IV178" s="391"/>
      <c r="IW178" s="391"/>
      <c r="IX178" s="391"/>
      <c r="IY178" s="391"/>
      <c r="IZ178" s="391"/>
      <c r="JA178" s="391"/>
      <c r="JB178" s="391"/>
      <c r="JC178" s="391"/>
      <c r="JD178" s="391"/>
      <c r="JE178" s="391"/>
      <c r="JF178" s="391"/>
      <c r="JG178" s="391"/>
      <c r="JH178" s="391"/>
      <c r="JI178" s="393">
        <f t="shared" si="5"/>
        <v>85600</v>
      </c>
      <c r="JJ178" s="2">
        <v>6537</v>
      </c>
      <c r="JK178" s="392">
        <f t="shared" si="6"/>
        <v>85600</v>
      </c>
      <c r="JL178" s="391"/>
      <c r="JM178" s="392"/>
      <c r="JN178" s="392"/>
      <c r="JO178" s="392"/>
      <c r="JP178" s="392"/>
    </row>
    <row r="179" spans="1:276" x14ac:dyDescent="0.3">
      <c r="A179" s="391"/>
      <c r="B179" s="391"/>
      <c r="C179" s="391"/>
      <c r="D179" s="391"/>
      <c r="E179" s="391"/>
      <c r="F179" s="391"/>
      <c r="G179" s="391"/>
      <c r="H179" s="391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  <c r="T179" s="391"/>
      <c r="U179" s="391"/>
      <c r="V179" s="391"/>
      <c r="W179" s="391"/>
      <c r="X179" s="391"/>
      <c r="Y179" s="391"/>
      <c r="Z179" s="391"/>
      <c r="AA179" s="391"/>
      <c r="AB179" s="391"/>
      <c r="AC179" s="391"/>
      <c r="AD179" s="391"/>
      <c r="AE179" s="391"/>
      <c r="AF179" s="391"/>
      <c r="AG179" s="391"/>
      <c r="AH179" s="391"/>
      <c r="AI179" s="391"/>
      <c r="AJ179" s="391"/>
      <c r="AK179" s="391"/>
      <c r="AL179" s="391"/>
      <c r="AM179" s="391"/>
      <c r="AN179" s="391"/>
      <c r="AO179" s="391"/>
      <c r="AP179" s="391"/>
      <c r="AQ179" s="391"/>
      <c r="AR179" s="391"/>
      <c r="AS179" s="391"/>
      <c r="AT179" s="391"/>
      <c r="AU179" s="391"/>
      <c r="AV179" s="391"/>
      <c r="AW179" s="391"/>
      <c r="AX179" s="391"/>
      <c r="AY179" s="391"/>
      <c r="AZ179" s="391"/>
      <c r="BA179" s="391"/>
      <c r="BB179" s="391"/>
      <c r="BC179" s="391"/>
      <c r="BD179" s="391"/>
      <c r="BE179" s="391"/>
      <c r="BF179" s="391"/>
      <c r="BG179" s="391"/>
      <c r="BH179" s="391"/>
      <c r="BI179" s="391"/>
      <c r="BJ179" s="391"/>
      <c r="BK179" s="391"/>
      <c r="BL179" s="391"/>
      <c r="BM179" s="391"/>
      <c r="BN179" s="391"/>
      <c r="BO179" s="391"/>
      <c r="BP179" s="391"/>
      <c r="BQ179" s="391"/>
      <c r="BR179" s="391"/>
      <c r="BS179" s="391"/>
      <c r="BT179" s="391"/>
      <c r="BU179" s="391"/>
      <c r="BV179" s="391"/>
      <c r="BW179" s="391"/>
      <c r="BX179" s="391"/>
      <c r="BY179" s="391"/>
      <c r="BZ179" s="391"/>
      <c r="CA179" s="391"/>
      <c r="CB179" s="391"/>
      <c r="CC179" s="391"/>
      <c r="CD179" s="391"/>
      <c r="CE179" s="391"/>
      <c r="CF179" s="391"/>
      <c r="CG179" s="391"/>
      <c r="CH179" s="391"/>
      <c r="CI179" s="391"/>
      <c r="CJ179" s="391"/>
      <c r="CK179" s="391"/>
      <c r="CL179" s="391"/>
      <c r="CM179" s="391"/>
      <c r="CN179" s="391"/>
      <c r="CO179" s="391"/>
      <c r="CP179" s="391"/>
      <c r="CQ179" s="391"/>
      <c r="CR179" s="391"/>
      <c r="CS179" s="391"/>
      <c r="CT179" s="391"/>
      <c r="CU179" s="391"/>
      <c r="CV179" s="391"/>
      <c r="CW179" s="391"/>
      <c r="CX179" s="391"/>
      <c r="CY179" s="391"/>
      <c r="CZ179" s="391"/>
      <c r="DA179" s="391"/>
      <c r="DB179" s="391"/>
      <c r="DC179" s="391"/>
      <c r="DD179" s="391"/>
      <c r="DE179" s="391"/>
      <c r="DF179" s="391"/>
      <c r="DG179" s="391"/>
      <c r="DH179" s="391"/>
      <c r="DI179" s="391"/>
      <c r="DJ179" s="391"/>
      <c r="DK179" s="391"/>
      <c r="DL179" s="391"/>
      <c r="DM179" s="391"/>
      <c r="DN179" s="391"/>
      <c r="DO179" s="391"/>
      <c r="DP179" s="391"/>
      <c r="DQ179" s="391"/>
      <c r="DR179" s="391"/>
      <c r="DS179" s="391"/>
      <c r="DT179" s="391"/>
      <c r="DU179" s="391"/>
      <c r="DV179" s="391"/>
      <c r="DW179" s="391"/>
      <c r="DX179" s="391"/>
      <c r="DY179" s="391"/>
      <c r="DZ179" s="391"/>
      <c r="EA179" s="391"/>
      <c r="EB179" s="391"/>
      <c r="EC179" s="391"/>
      <c r="ED179" s="391"/>
      <c r="EE179" s="391"/>
      <c r="EF179" s="391"/>
      <c r="EG179" s="391"/>
      <c r="EH179" s="391"/>
      <c r="EI179" s="391"/>
      <c r="EJ179" s="391"/>
      <c r="EK179" s="391"/>
      <c r="EL179" s="391"/>
      <c r="EM179" s="391"/>
      <c r="EN179" s="391"/>
      <c r="EO179" s="391"/>
      <c r="EP179" s="391"/>
      <c r="EQ179" s="391"/>
      <c r="ER179" s="391"/>
      <c r="ES179" s="391"/>
      <c r="ET179" s="391"/>
      <c r="EU179" s="391"/>
      <c r="EV179" s="391"/>
      <c r="EW179" s="391"/>
      <c r="EX179" s="391"/>
      <c r="EY179" s="391"/>
      <c r="EZ179" s="391"/>
      <c r="FA179" s="391"/>
      <c r="FB179" s="391"/>
      <c r="FC179" s="391"/>
      <c r="FD179" s="391"/>
      <c r="FE179" s="391"/>
      <c r="FF179" s="391"/>
      <c r="FG179" s="391"/>
      <c r="FH179" s="391"/>
      <c r="FI179" s="391"/>
      <c r="FJ179" s="391"/>
      <c r="FK179" s="391"/>
      <c r="FL179" s="391"/>
      <c r="FM179" s="391"/>
      <c r="FN179" s="391"/>
      <c r="FO179" s="391"/>
      <c r="FP179" s="391"/>
      <c r="FQ179" s="391"/>
      <c r="FR179" s="391"/>
      <c r="FS179" s="391"/>
      <c r="FT179" s="391">
        <v>157006.07999999999</v>
      </c>
      <c r="FU179" s="391"/>
      <c r="FV179" s="391"/>
      <c r="FW179" s="391"/>
      <c r="FX179" s="391"/>
      <c r="FY179" s="391"/>
      <c r="FZ179" s="391"/>
      <c r="GA179" s="391"/>
      <c r="GB179" s="391"/>
      <c r="GC179" s="391"/>
      <c r="GD179" s="391"/>
      <c r="GE179" s="391"/>
      <c r="GF179" s="391"/>
      <c r="GG179" s="391"/>
      <c r="GH179" s="391"/>
      <c r="GI179" s="391"/>
      <c r="GJ179" s="391"/>
      <c r="GK179" s="391"/>
      <c r="GL179" s="391"/>
      <c r="GM179" s="391"/>
      <c r="GN179" s="391"/>
      <c r="GO179" s="391"/>
      <c r="GP179" s="391"/>
      <c r="GQ179" s="391"/>
      <c r="GR179" s="391"/>
      <c r="GS179" s="391"/>
      <c r="GT179" s="391"/>
      <c r="GU179" s="391"/>
      <c r="GV179" s="391"/>
      <c r="GW179" s="391"/>
      <c r="GX179" s="391"/>
      <c r="GY179" s="391"/>
      <c r="GZ179" s="391"/>
      <c r="HA179" s="391"/>
      <c r="HB179" s="391"/>
      <c r="HC179" s="391"/>
      <c r="HD179" s="391"/>
      <c r="HE179" s="391"/>
      <c r="HF179" s="391"/>
      <c r="HG179" s="391"/>
      <c r="HH179" s="391"/>
      <c r="HI179" s="391"/>
      <c r="HJ179" s="391"/>
      <c r="HK179" s="391"/>
      <c r="HL179" s="391"/>
      <c r="HM179" s="391"/>
      <c r="HN179" s="391"/>
      <c r="HO179" s="391"/>
      <c r="HP179" s="391"/>
      <c r="HQ179" s="391"/>
      <c r="HR179" s="391"/>
      <c r="HS179" s="391"/>
      <c r="HT179" s="391"/>
      <c r="HU179" s="391"/>
      <c r="HV179" s="391"/>
      <c r="HW179" s="391"/>
      <c r="HX179" s="391"/>
      <c r="HY179" s="391"/>
      <c r="HZ179" s="391"/>
      <c r="IA179" s="391"/>
      <c r="IB179" s="391"/>
      <c r="IC179" s="391"/>
      <c r="ID179" s="391"/>
      <c r="IE179" s="391"/>
      <c r="IF179" s="391"/>
      <c r="IG179" s="391"/>
      <c r="IH179" s="391"/>
      <c r="II179" s="391"/>
      <c r="IJ179" s="391"/>
      <c r="IK179" s="391"/>
      <c r="IL179" s="391"/>
      <c r="IM179" s="391"/>
      <c r="IN179" s="391"/>
      <c r="IO179" s="391"/>
      <c r="IP179" s="391"/>
      <c r="IQ179" s="391"/>
      <c r="IR179" s="391"/>
      <c r="IS179" s="391"/>
      <c r="IT179" s="391"/>
      <c r="IU179" s="391"/>
      <c r="IV179" s="391"/>
      <c r="IW179" s="391"/>
      <c r="IX179" s="391"/>
      <c r="IY179" s="391"/>
      <c r="IZ179" s="391"/>
      <c r="JA179" s="391"/>
      <c r="JB179" s="391"/>
      <c r="JC179" s="391"/>
      <c r="JD179" s="391"/>
      <c r="JE179" s="391"/>
      <c r="JF179" s="391"/>
      <c r="JG179" s="391"/>
      <c r="JH179" s="391"/>
      <c r="JI179" s="393">
        <f t="shared" si="5"/>
        <v>157006.07999999999</v>
      </c>
      <c r="JJ179" s="2">
        <v>6544</v>
      </c>
      <c r="JK179" s="392">
        <f t="shared" si="6"/>
        <v>157006.07999999999</v>
      </c>
      <c r="JL179" s="391"/>
      <c r="JM179" s="392"/>
      <c r="JN179" s="392"/>
      <c r="JO179" s="392"/>
      <c r="JP179" s="392"/>
    </row>
    <row r="180" spans="1:276" x14ac:dyDescent="0.3">
      <c r="A180" s="391"/>
      <c r="B180" s="391"/>
      <c r="C180" s="391"/>
      <c r="D180" s="391"/>
      <c r="E180" s="391"/>
      <c r="F180" s="391"/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  <c r="X180" s="391"/>
      <c r="Y180" s="391"/>
      <c r="Z180" s="391"/>
      <c r="AA180" s="391"/>
      <c r="AB180" s="391"/>
      <c r="AC180" s="391"/>
      <c r="AD180" s="391"/>
      <c r="AE180" s="391"/>
      <c r="AF180" s="391"/>
      <c r="AG180" s="391"/>
      <c r="AH180" s="391"/>
      <c r="AI180" s="391"/>
      <c r="AJ180" s="391"/>
      <c r="AK180" s="391"/>
      <c r="AL180" s="391"/>
      <c r="AM180" s="391"/>
      <c r="AN180" s="391"/>
      <c r="AO180" s="391"/>
      <c r="AP180" s="391"/>
      <c r="AQ180" s="391"/>
      <c r="AR180" s="391"/>
      <c r="AS180" s="391"/>
      <c r="AT180" s="391"/>
      <c r="AU180" s="391"/>
      <c r="AV180" s="391"/>
      <c r="AW180" s="391"/>
      <c r="AX180" s="391"/>
      <c r="AY180" s="391"/>
      <c r="AZ180" s="391"/>
      <c r="BA180" s="391"/>
      <c r="BB180" s="391"/>
      <c r="BC180" s="391"/>
      <c r="BD180" s="391"/>
      <c r="BE180" s="391"/>
      <c r="BF180" s="391"/>
      <c r="BG180" s="391"/>
      <c r="BH180" s="391"/>
      <c r="BI180" s="391"/>
      <c r="BJ180" s="391"/>
      <c r="BK180" s="391"/>
      <c r="BL180" s="391"/>
      <c r="BM180" s="391"/>
      <c r="BN180" s="391"/>
      <c r="BO180" s="391"/>
      <c r="BP180" s="391"/>
      <c r="BQ180" s="391"/>
      <c r="BR180" s="391"/>
      <c r="BS180" s="391"/>
      <c r="BT180" s="391"/>
      <c r="BU180" s="391"/>
      <c r="BV180" s="391"/>
      <c r="BW180" s="391"/>
      <c r="BX180" s="391"/>
      <c r="BY180" s="391"/>
      <c r="BZ180" s="391"/>
      <c r="CA180" s="391"/>
      <c r="CB180" s="391"/>
      <c r="CC180" s="391"/>
      <c r="CD180" s="391"/>
      <c r="CE180" s="391"/>
      <c r="CF180" s="391"/>
      <c r="CG180" s="391"/>
      <c r="CH180" s="391"/>
      <c r="CI180" s="391"/>
      <c r="CJ180" s="391"/>
      <c r="CK180" s="391"/>
      <c r="CL180" s="391"/>
      <c r="CM180" s="391"/>
      <c r="CN180" s="391"/>
      <c r="CO180" s="391"/>
      <c r="CP180" s="391"/>
      <c r="CQ180" s="391"/>
      <c r="CR180" s="391"/>
      <c r="CS180" s="391"/>
      <c r="CT180" s="391"/>
      <c r="CU180" s="391"/>
      <c r="CV180" s="391"/>
      <c r="CW180" s="391"/>
      <c r="CX180" s="391"/>
      <c r="CY180" s="391"/>
      <c r="CZ180" s="391"/>
      <c r="DA180" s="391"/>
      <c r="DB180" s="391"/>
      <c r="DC180" s="391"/>
      <c r="DD180" s="391"/>
      <c r="DE180" s="391"/>
      <c r="DF180" s="391"/>
      <c r="DG180" s="391"/>
      <c r="DH180" s="391"/>
      <c r="DI180" s="391"/>
      <c r="DJ180" s="391"/>
      <c r="DK180" s="391"/>
      <c r="DL180" s="391"/>
      <c r="DM180" s="391"/>
      <c r="DN180" s="391"/>
      <c r="DO180" s="391"/>
      <c r="DP180" s="391"/>
      <c r="DQ180" s="391"/>
      <c r="DR180" s="391"/>
      <c r="DS180" s="391"/>
      <c r="DT180" s="391"/>
      <c r="DU180" s="391"/>
      <c r="DV180" s="391"/>
      <c r="DW180" s="391"/>
      <c r="DX180" s="391"/>
      <c r="DY180" s="391"/>
      <c r="DZ180" s="391"/>
      <c r="EA180" s="391"/>
      <c r="EB180" s="391"/>
      <c r="EC180" s="391"/>
      <c r="ED180" s="391"/>
      <c r="EE180" s="391"/>
      <c r="EF180" s="391"/>
      <c r="EG180" s="391"/>
      <c r="EH180" s="391"/>
      <c r="EI180" s="391"/>
      <c r="EJ180" s="391"/>
      <c r="EK180" s="391"/>
      <c r="EL180" s="391"/>
      <c r="EM180" s="391"/>
      <c r="EN180" s="391"/>
      <c r="EO180" s="391"/>
      <c r="EP180" s="391"/>
      <c r="EQ180" s="391"/>
      <c r="ER180" s="391"/>
      <c r="ES180" s="391"/>
      <c r="ET180" s="391"/>
      <c r="EU180" s="391"/>
      <c r="EV180" s="391"/>
      <c r="EW180" s="391"/>
      <c r="EX180" s="391"/>
      <c r="EY180" s="391"/>
      <c r="EZ180" s="391"/>
      <c r="FA180" s="391"/>
      <c r="FB180" s="391"/>
      <c r="FC180" s="391"/>
      <c r="FD180" s="391"/>
      <c r="FE180" s="391"/>
      <c r="FF180" s="391"/>
      <c r="FG180" s="391"/>
      <c r="FH180" s="391"/>
      <c r="FI180" s="391"/>
      <c r="FJ180" s="391"/>
      <c r="FK180" s="391"/>
      <c r="FL180" s="391"/>
      <c r="FM180" s="391"/>
      <c r="FN180" s="391"/>
      <c r="FO180" s="391"/>
      <c r="FP180" s="391"/>
      <c r="FQ180" s="391"/>
      <c r="FR180" s="391"/>
      <c r="FS180" s="391"/>
      <c r="FT180" s="391">
        <v>206475.22</v>
      </c>
      <c r="FU180" s="391"/>
      <c r="FV180" s="391"/>
      <c r="FW180" s="391"/>
      <c r="FX180" s="391"/>
      <c r="FY180" s="391"/>
      <c r="FZ180" s="391"/>
      <c r="GA180" s="391"/>
      <c r="GB180" s="391"/>
      <c r="GC180" s="391"/>
      <c r="GD180" s="391"/>
      <c r="GE180" s="391"/>
      <c r="GF180" s="391"/>
      <c r="GG180" s="391"/>
      <c r="GH180" s="391"/>
      <c r="GI180" s="391"/>
      <c r="GJ180" s="391"/>
      <c r="GK180" s="391"/>
      <c r="GL180" s="391"/>
      <c r="GM180" s="391"/>
      <c r="GN180" s="391"/>
      <c r="GO180" s="391"/>
      <c r="GP180" s="391"/>
      <c r="GQ180" s="391"/>
      <c r="GR180" s="391"/>
      <c r="GS180" s="391"/>
      <c r="GT180" s="391"/>
      <c r="GU180" s="391"/>
      <c r="GV180" s="391"/>
      <c r="GW180" s="391"/>
      <c r="GX180" s="391"/>
      <c r="GY180" s="391"/>
      <c r="GZ180" s="391"/>
      <c r="HA180" s="391"/>
      <c r="HB180" s="391"/>
      <c r="HC180" s="391"/>
      <c r="HD180" s="391"/>
      <c r="HE180" s="391"/>
      <c r="HF180" s="391"/>
      <c r="HG180" s="391"/>
      <c r="HH180" s="391"/>
      <c r="HI180" s="391"/>
      <c r="HJ180" s="391"/>
      <c r="HK180" s="391"/>
      <c r="HL180" s="391"/>
      <c r="HM180" s="391"/>
      <c r="HN180" s="391"/>
      <c r="HO180" s="391"/>
      <c r="HP180" s="391"/>
      <c r="HQ180" s="391"/>
      <c r="HR180" s="391"/>
      <c r="HS180" s="391"/>
      <c r="HT180" s="391"/>
      <c r="HU180" s="391"/>
      <c r="HV180" s="391"/>
      <c r="HW180" s="391"/>
      <c r="HX180" s="391"/>
      <c r="HY180" s="391"/>
      <c r="HZ180" s="391"/>
      <c r="IA180" s="391"/>
      <c r="IB180" s="391"/>
      <c r="IC180" s="391"/>
      <c r="ID180" s="391"/>
      <c r="IE180" s="391"/>
      <c r="IF180" s="391"/>
      <c r="IG180" s="391"/>
      <c r="IH180" s="391"/>
      <c r="II180" s="391"/>
      <c r="IJ180" s="391"/>
      <c r="IK180" s="391"/>
      <c r="IL180" s="391"/>
      <c r="IM180" s="391"/>
      <c r="IN180" s="391"/>
      <c r="IO180" s="391"/>
      <c r="IP180" s="391"/>
      <c r="IQ180" s="391"/>
      <c r="IR180" s="391"/>
      <c r="IS180" s="391"/>
      <c r="IT180" s="391"/>
      <c r="IU180" s="391"/>
      <c r="IV180" s="391"/>
      <c r="IW180" s="391"/>
      <c r="IX180" s="391"/>
      <c r="IY180" s="391"/>
      <c r="IZ180" s="391"/>
      <c r="JA180" s="391"/>
      <c r="JB180" s="391"/>
      <c r="JC180" s="391"/>
      <c r="JD180" s="391"/>
      <c r="JE180" s="391"/>
      <c r="JF180" s="391"/>
      <c r="JG180" s="391"/>
      <c r="JH180" s="391"/>
      <c r="JI180" s="393">
        <f t="shared" si="5"/>
        <v>206475.22</v>
      </c>
      <c r="JJ180" s="2">
        <v>6545</v>
      </c>
      <c r="JK180" s="392">
        <f t="shared" si="6"/>
        <v>206475.22</v>
      </c>
      <c r="JL180" s="391"/>
      <c r="JM180" s="392"/>
      <c r="JN180" s="392"/>
      <c r="JO180" s="392"/>
      <c r="JP180" s="392"/>
    </row>
    <row r="181" spans="1:276" x14ac:dyDescent="0.3">
      <c r="A181" s="391"/>
      <c r="B181" s="391"/>
      <c r="C181" s="391"/>
      <c r="D181" s="391"/>
      <c r="E181" s="391"/>
      <c r="F181" s="391"/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  <c r="W181" s="391"/>
      <c r="X181" s="391"/>
      <c r="Y181" s="391"/>
      <c r="Z181" s="391"/>
      <c r="AA181" s="391"/>
      <c r="AB181" s="391"/>
      <c r="AC181" s="391"/>
      <c r="AD181" s="391"/>
      <c r="AE181" s="391"/>
      <c r="AF181" s="391"/>
      <c r="AG181" s="391"/>
      <c r="AH181" s="391"/>
      <c r="AI181" s="391"/>
      <c r="AJ181" s="391"/>
      <c r="AK181" s="391"/>
      <c r="AL181" s="391"/>
      <c r="AM181" s="391"/>
      <c r="AN181" s="391"/>
      <c r="AO181" s="391"/>
      <c r="AP181" s="391"/>
      <c r="AQ181" s="391"/>
      <c r="AR181" s="391"/>
      <c r="AS181" s="391"/>
      <c r="AT181" s="391"/>
      <c r="AU181" s="391"/>
      <c r="AV181" s="391"/>
      <c r="AW181" s="391"/>
      <c r="AX181" s="391"/>
      <c r="AY181" s="391"/>
      <c r="AZ181" s="391"/>
      <c r="BA181" s="391"/>
      <c r="BB181" s="391"/>
      <c r="BC181" s="391"/>
      <c r="BD181" s="391"/>
      <c r="BE181" s="391"/>
      <c r="BF181" s="391"/>
      <c r="BG181" s="391"/>
      <c r="BH181" s="391"/>
      <c r="BI181" s="391"/>
      <c r="BJ181" s="391"/>
      <c r="BK181" s="391"/>
      <c r="BL181" s="391"/>
      <c r="BM181" s="391"/>
      <c r="BN181" s="391"/>
      <c r="BO181" s="391"/>
      <c r="BP181" s="391"/>
      <c r="BQ181" s="391"/>
      <c r="BR181" s="391"/>
      <c r="BS181" s="391"/>
      <c r="BT181" s="391"/>
      <c r="BU181" s="391"/>
      <c r="BV181" s="391"/>
      <c r="BW181" s="391"/>
      <c r="BX181" s="391"/>
      <c r="BY181" s="391"/>
      <c r="BZ181" s="391"/>
      <c r="CA181" s="391"/>
      <c r="CB181" s="391"/>
      <c r="CC181" s="391"/>
      <c r="CD181" s="391"/>
      <c r="CE181" s="391"/>
      <c r="CF181" s="391"/>
      <c r="CG181" s="391"/>
      <c r="CH181" s="391"/>
      <c r="CI181" s="391"/>
      <c r="CJ181" s="391"/>
      <c r="CK181" s="391"/>
      <c r="CL181" s="391"/>
      <c r="CM181" s="391"/>
      <c r="CN181" s="391"/>
      <c r="CO181" s="391"/>
      <c r="CP181" s="391"/>
      <c r="CQ181" s="391"/>
      <c r="CR181" s="391"/>
      <c r="CS181" s="391"/>
      <c r="CT181" s="391"/>
      <c r="CU181" s="391"/>
      <c r="CV181" s="391"/>
      <c r="CW181" s="391"/>
      <c r="CX181" s="391"/>
      <c r="CY181" s="391"/>
      <c r="CZ181" s="391"/>
      <c r="DA181" s="391"/>
      <c r="DB181" s="391"/>
      <c r="DC181" s="391"/>
      <c r="DD181" s="391"/>
      <c r="DE181" s="391"/>
      <c r="DF181" s="391"/>
      <c r="DG181" s="391"/>
      <c r="DH181" s="391"/>
      <c r="DI181" s="391"/>
      <c r="DJ181" s="391"/>
      <c r="DK181" s="391"/>
      <c r="DL181" s="391"/>
      <c r="DM181" s="391"/>
      <c r="DN181" s="391"/>
      <c r="DO181" s="391"/>
      <c r="DP181" s="391"/>
      <c r="DQ181" s="391"/>
      <c r="DR181" s="391"/>
      <c r="DS181" s="391"/>
      <c r="DT181" s="391"/>
      <c r="DU181" s="391"/>
      <c r="DV181" s="391"/>
      <c r="DW181" s="391"/>
      <c r="DX181" s="391"/>
      <c r="DY181" s="391"/>
      <c r="DZ181" s="391"/>
      <c r="EA181" s="391"/>
      <c r="EB181" s="391"/>
      <c r="EC181" s="391"/>
      <c r="ED181" s="391"/>
      <c r="EE181" s="391"/>
      <c r="EF181" s="391"/>
      <c r="EG181" s="391"/>
      <c r="EH181" s="391"/>
      <c r="EI181" s="391"/>
      <c r="EJ181" s="391"/>
      <c r="EK181" s="391"/>
      <c r="EL181" s="391"/>
      <c r="EM181" s="391"/>
      <c r="EN181" s="391"/>
      <c r="EO181" s="391"/>
      <c r="EP181" s="391"/>
      <c r="EQ181" s="391"/>
      <c r="ER181" s="391"/>
      <c r="ES181" s="391"/>
      <c r="ET181" s="391"/>
      <c r="EU181" s="391"/>
      <c r="EV181" s="391"/>
      <c r="EW181" s="391"/>
      <c r="EX181" s="391"/>
      <c r="EY181" s="391"/>
      <c r="EZ181" s="391"/>
      <c r="FA181" s="391"/>
      <c r="FB181" s="391"/>
      <c r="FC181" s="391"/>
      <c r="FD181" s="391"/>
      <c r="FE181" s="391"/>
      <c r="FF181" s="391"/>
      <c r="FG181" s="391"/>
      <c r="FH181" s="391"/>
      <c r="FI181" s="391"/>
      <c r="FJ181" s="391">
        <v>341016.8</v>
      </c>
      <c r="FK181" s="391"/>
      <c r="FL181" s="391"/>
      <c r="FM181" s="391"/>
      <c r="FN181" s="391"/>
      <c r="FO181" s="391"/>
      <c r="FP181" s="391"/>
      <c r="FQ181" s="391"/>
      <c r="FR181" s="391"/>
      <c r="FS181" s="391"/>
      <c r="FT181" s="391"/>
      <c r="FU181" s="391"/>
      <c r="FV181" s="391"/>
      <c r="FW181" s="391"/>
      <c r="FX181" s="391"/>
      <c r="FY181" s="391"/>
      <c r="FZ181" s="391"/>
      <c r="GA181" s="391"/>
      <c r="GB181" s="391"/>
      <c r="GC181" s="391"/>
      <c r="GD181" s="391"/>
      <c r="GE181" s="391"/>
      <c r="GF181" s="391"/>
      <c r="GG181" s="391"/>
      <c r="GH181" s="391"/>
      <c r="GI181" s="391"/>
      <c r="GJ181" s="391"/>
      <c r="GK181" s="391"/>
      <c r="GL181" s="391"/>
      <c r="GM181" s="391"/>
      <c r="GN181" s="391"/>
      <c r="GO181" s="391"/>
      <c r="GP181" s="391"/>
      <c r="GQ181" s="391"/>
      <c r="GR181" s="391"/>
      <c r="GS181" s="391"/>
      <c r="GT181" s="391"/>
      <c r="GU181" s="391"/>
      <c r="GV181" s="391"/>
      <c r="GW181" s="391"/>
      <c r="GX181" s="391"/>
      <c r="GY181" s="391"/>
      <c r="GZ181" s="391"/>
      <c r="HA181" s="391"/>
      <c r="HB181" s="391"/>
      <c r="HC181" s="391"/>
      <c r="HD181" s="391"/>
      <c r="HE181" s="391"/>
      <c r="HF181" s="391"/>
      <c r="HG181" s="391"/>
      <c r="HH181" s="391"/>
      <c r="HI181" s="391"/>
      <c r="HJ181" s="391"/>
      <c r="HK181" s="391"/>
      <c r="HL181" s="391"/>
      <c r="HM181" s="391"/>
      <c r="HN181" s="391"/>
      <c r="HO181" s="391"/>
      <c r="HP181" s="391"/>
      <c r="HQ181" s="391"/>
      <c r="HR181" s="391"/>
      <c r="HS181" s="391"/>
      <c r="HT181" s="391"/>
      <c r="HU181" s="391"/>
      <c r="HV181" s="391"/>
      <c r="HW181" s="391"/>
      <c r="HX181" s="391"/>
      <c r="HY181" s="391"/>
      <c r="HZ181" s="391"/>
      <c r="IA181" s="391"/>
      <c r="IB181" s="391"/>
      <c r="IC181" s="391"/>
      <c r="ID181" s="391"/>
      <c r="IE181" s="391"/>
      <c r="IF181" s="391"/>
      <c r="IG181" s="391"/>
      <c r="IH181" s="391"/>
      <c r="II181" s="391"/>
      <c r="IJ181" s="391"/>
      <c r="IK181" s="391"/>
      <c r="IL181" s="391"/>
      <c r="IM181" s="391"/>
      <c r="IN181" s="391"/>
      <c r="IO181" s="391"/>
      <c r="IP181" s="391"/>
      <c r="IQ181" s="391"/>
      <c r="IR181" s="391"/>
      <c r="IS181" s="391"/>
      <c r="IT181" s="391"/>
      <c r="IU181" s="391"/>
      <c r="IV181" s="391"/>
      <c r="IW181" s="391"/>
      <c r="IX181" s="391"/>
      <c r="IY181" s="391"/>
      <c r="IZ181" s="391"/>
      <c r="JA181" s="391"/>
      <c r="JB181" s="391"/>
      <c r="JC181" s="391"/>
      <c r="JD181" s="391"/>
      <c r="JE181" s="391"/>
      <c r="JF181" s="391"/>
      <c r="JG181" s="391"/>
      <c r="JH181" s="391"/>
      <c r="JI181" s="393">
        <f t="shared" si="5"/>
        <v>341016.8</v>
      </c>
      <c r="JJ181" s="2">
        <v>6552</v>
      </c>
      <c r="JK181" s="392">
        <f t="shared" si="6"/>
        <v>341016.8</v>
      </c>
      <c r="JL181" s="391"/>
      <c r="JM181" s="392"/>
      <c r="JN181" s="392"/>
      <c r="JO181" s="392"/>
      <c r="JP181" s="392"/>
    </row>
    <row r="182" spans="1:276" x14ac:dyDescent="0.3">
      <c r="A182" s="391"/>
      <c r="B182" s="391"/>
      <c r="C182" s="391"/>
      <c r="D182" s="391"/>
      <c r="E182" s="391"/>
      <c r="F182" s="391"/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  <c r="W182" s="391"/>
      <c r="X182" s="391"/>
      <c r="Y182" s="391"/>
      <c r="Z182" s="391"/>
      <c r="AA182" s="391"/>
      <c r="AB182" s="391"/>
      <c r="AC182" s="391"/>
      <c r="AD182" s="391"/>
      <c r="AE182" s="391"/>
      <c r="AF182" s="391"/>
      <c r="AG182" s="391"/>
      <c r="AH182" s="391"/>
      <c r="AI182" s="391"/>
      <c r="AJ182" s="391"/>
      <c r="AK182" s="391"/>
      <c r="AL182" s="391"/>
      <c r="AM182" s="391"/>
      <c r="AN182" s="391"/>
      <c r="AO182" s="391"/>
      <c r="AP182" s="391"/>
      <c r="AQ182" s="391"/>
      <c r="AR182" s="391"/>
      <c r="AS182" s="391"/>
      <c r="AT182" s="391"/>
      <c r="AU182" s="391"/>
      <c r="AV182" s="391"/>
      <c r="AW182" s="391"/>
      <c r="AX182" s="391"/>
      <c r="AY182" s="391"/>
      <c r="AZ182" s="391"/>
      <c r="BA182" s="391"/>
      <c r="BB182" s="391"/>
      <c r="BC182" s="391"/>
      <c r="BD182" s="391"/>
      <c r="BE182" s="391"/>
      <c r="BF182" s="391"/>
      <c r="BG182" s="391"/>
      <c r="BH182" s="391"/>
      <c r="BI182" s="391"/>
      <c r="BJ182" s="391"/>
      <c r="BK182" s="391"/>
      <c r="BL182" s="391"/>
      <c r="BM182" s="391"/>
      <c r="BN182" s="391"/>
      <c r="BO182" s="391"/>
      <c r="BP182" s="391"/>
      <c r="BQ182" s="391"/>
      <c r="BR182" s="391"/>
      <c r="BS182" s="391"/>
      <c r="BT182" s="391"/>
      <c r="BU182" s="391"/>
      <c r="BV182" s="391"/>
      <c r="BW182" s="391"/>
      <c r="BX182" s="391"/>
      <c r="BY182" s="391"/>
      <c r="BZ182" s="391"/>
      <c r="CA182" s="391"/>
      <c r="CB182" s="391"/>
      <c r="CC182" s="391"/>
      <c r="CD182" s="391"/>
      <c r="CE182" s="391"/>
      <c r="CF182" s="391"/>
      <c r="CG182" s="391"/>
      <c r="CH182" s="391"/>
      <c r="CI182" s="391"/>
      <c r="CJ182" s="391"/>
      <c r="CK182" s="391"/>
      <c r="CL182" s="391"/>
      <c r="CM182" s="391"/>
      <c r="CN182" s="391"/>
      <c r="CO182" s="391"/>
      <c r="CP182" s="391"/>
      <c r="CQ182" s="391"/>
      <c r="CR182" s="391"/>
      <c r="CS182" s="391"/>
      <c r="CT182" s="391"/>
      <c r="CU182" s="391"/>
      <c r="CV182" s="391"/>
      <c r="CW182" s="391"/>
      <c r="CX182" s="391"/>
      <c r="CY182" s="391"/>
      <c r="CZ182" s="391"/>
      <c r="DA182" s="391"/>
      <c r="DB182" s="391"/>
      <c r="DC182" s="391"/>
      <c r="DD182" s="391"/>
      <c r="DE182" s="391"/>
      <c r="DF182" s="391"/>
      <c r="DG182" s="391"/>
      <c r="DH182" s="391"/>
      <c r="DI182" s="391"/>
      <c r="DJ182" s="391"/>
      <c r="DK182" s="391"/>
      <c r="DL182" s="391"/>
      <c r="DM182" s="391"/>
      <c r="DN182" s="391"/>
      <c r="DO182" s="391"/>
      <c r="DP182" s="391"/>
      <c r="DQ182" s="391"/>
      <c r="DR182" s="391"/>
      <c r="DS182" s="391"/>
      <c r="DT182" s="391"/>
      <c r="DU182" s="391"/>
      <c r="DV182" s="391"/>
      <c r="DW182" s="391"/>
      <c r="DX182" s="391"/>
      <c r="DY182" s="391"/>
      <c r="DZ182" s="391"/>
      <c r="EA182" s="391"/>
      <c r="EB182" s="391"/>
      <c r="EC182" s="391"/>
      <c r="ED182" s="391"/>
      <c r="EE182" s="391"/>
      <c r="EF182" s="391"/>
      <c r="EG182" s="391"/>
      <c r="EH182" s="391"/>
      <c r="EI182" s="391"/>
      <c r="EJ182" s="391"/>
      <c r="EK182" s="391"/>
      <c r="EL182" s="391"/>
      <c r="EM182" s="391"/>
      <c r="EN182" s="391"/>
      <c r="EO182" s="391"/>
      <c r="EP182" s="391"/>
      <c r="EQ182" s="391"/>
      <c r="ER182" s="391"/>
      <c r="ES182" s="391"/>
      <c r="ET182" s="391"/>
      <c r="EU182" s="391"/>
      <c r="EV182" s="391"/>
      <c r="EW182" s="391"/>
      <c r="EX182" s="391"/>
      <c r="EY182" s="391"/>
      <c r="EZ182" s="391"/>
      <c r="FA182" s="391"/>
      <c r="FB182" s="391"/>
      <c r="FC182" s="391"/>
      <c r="FD182" s="391"/>
      <c r="FE182" s="391"/>
      <c r="FF182" s="391"/>
      <c r="FG182" s="391"/>
      <c r="FH182" s="391"/>
      <c r="FI182" s="391"/>
      <c r="FJ182" s="391"/>
      <c r="FK182" s="391"/>
      <c r="FL182" s="391"/>
      <c r="FM182" s="391"/>
      <c r="FN182" s="391"/>
      <c r="FO182" s="391"/>
      <c r="FP182" s="391"/>
      <c r="FQ182" s="391"/>
      <c r="FR182" s="391"/>
      <c r="FS182" s="391"/>
      <c r="FT182" s="391">
        <v>269040</v>
      </c>
      <c r="FU182" s="391"/>
      <c r="FV182" s="391"/>
      <c r="FW182" s="391"/>
      <c r="FX182" s="391"/>
      <c r="FY182" s="391"/>
      <c r="FZ182" s="391"/>
      <c r="GA182" s="391"/>
      <c r="GB182" s="391"/>
      <c r="GC182" s="391"/>
      <c r="GD182" s="391"/>
      <c r="GE182" s="391"/>
      <c r="GF182" s="391"/>
      <c r="GG182" s="391"/>
      <c r="GH182" s="391"/>
      <c r="GI182" s="391"/>
      <c r="GJ182" s="391"/>
      <c r="GK182" s="391"/>
      <c r="GL182" s="391"/>
      <c r="GM182" s="391"/>
      <c r="GN182" s="391"/>
      <c r="GO182" s="391"/>
      <c r="GP182" s="391"/>
      <c r="GQ182" s="391"/>
      <c r="GR182" s="391"/>
      <c r="GS182" s="391"/>
      <c r="GT182" s="391"/>
      <c r="GU182" s="391"/>
      <c r="GV182" s="391"/>
      <c r="GW182" s="391"/>
      <c r="GX182" s="391"/>
      <c r="GY182" s="391"/>
      <c r="GZ182" s="391"/>
      <c r="HA182" s="391"/>
      <c r="HB182" s="391"/>
      <c r="HC182" s="391"/>
      <c r="HD182" s="391"/>
      <c r="HE182" s="391"/>
      <c r="HF182" s="391"/>
      <c r="HG182" s="391"/>
      <c r="HH182" s="391"/>
      <c r="HI182" s="391"/>
      <c r="HJ182" s="391"/>
      <c r="HK182" s="391"/>
      <c r="HL182" s="391"/>
      <c r="HM182" s="391"/>
      <c r="HN182" s="391"/>
      <c r="HO182" s="391"/>
      <c r="HP182" s="391"/>
      <c r="HQ182" s="391"/>
      <c r="HR182" s="391"/>
      <c r="HS182" s="391"/>
      <c r="HT182" s="391"/>
      <c r="HU182" s="391"/>
      <c r="HV182" s="391"/>
      <c r="HW182" s="391"/>
      <c r="HX182" s="391"/>
      <c r="HY182" s="391"/>
      <c r="HZ182" s="391"/>
      <c r="IA182" s="391"/>
      <c r="IB182" s="391"/>
      <c r="IC182" s="391"/>
      <c r="ID182" s="391"/>
      <c r="IE182" s="391"/>
      <c r="IF182" s="391"/>
      <c r="IG182" s="391"/>
      <c r="IH182" s="391"/>
      <c r="II182" s="391"/>
      <c r="IJ182" s="391"/>
      <c r="IK182" s="391"/>
      <c r="IL182" s="391"/>
      <c r="IM182" s="391"/>
      <c r="IN182" s="391"/>
      <c r="IO182" s="391"/>
      <c r="IP182" s="391"/>
      <c r="IQ182" s="391"/>
      <c r="IR182" s="391"/>
      <c r="IS182" s="391"/>
      <c r="IT182" s="391"/>
      <c r="IU182" s="391"/>
      <c r="IV182" s="391"/>
      <c r="IW182" s="391"/>
      <c r="IX182" s="391"/>
      <c r="IY182" s="391"/>
      <c r="IZ182" s="391"/>
      <c r="JA182" s="391"/>
      <c r="JB182" s="391"/>
      <c r="JC182" s="391"/>
      <c r="JD182" s="391"/>
      <c r="JE182" s="391"/>
      <c r="JF182" s="391"/>
      <c r="JG182" s="391"/>
      <c r="JH182" s="391"/>
      <c r="JI182" s="393">
        <f t="shared" si="5"/>
        <v>269040</v>
      </c>
      <c r="JJ182" s="2">
        <v>6553</v>
      </c>
      <c r="JK182" s="392">
        <f t="shared" si="6"/>
        <v>269040</v>
      </c>
      <c r="JL182" s="391"/>
      <c r="JM182" s="392"/>
      <c r="JN182" s="392"/>
      <c r="JO182" s="392"/>
      <c r="JP182" s="392"/>
    </row>
    <row r="183" spans="1:276" x14ac:dyDescent="0.3">
      <c r="A183" s="391"/>
      <c r="B183" s="391"/>
      <c r="C183" s="391"/>
      <c r="D183" s="391"/>
      <c r="E183" s="391"/>
      <c r="F183" s="391"/>
      <c r="G183" s="391"/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  <c r="W183" s="391"/>
      <c r="X183" s="391"/>
      <c r="Y183" s="391"/>
      <c r="Z183" s="391"/>
      <c r="AA183" s="391"/>
      <c r="AB183" s="391"/>
      <c r="AC183" s="391"/>
      <c r="AD183" s="391"/>
      <c r="AE183" s="391"/>
      <c r="AF183" s="391"/>
      <c r="AG183" s="391"/>
      <c r="AH183" s="391"/>
      <c r="AI183" s="391"/>
      <c r="AJ183" s="391"/>
      <c r="AK183" s="391"/>
      <c r="AL183" s="391"/>
      <c r="AM183" s="391"/>
      <c r="AN183" s="391"/>
      <c r="AO183" s="391"/>
      <c r="AP183" s="391"/>
      <c r="AQ183" s="391"/>
      <c r="AR183" s="391"/>
      <c r="AS183" s="391"/>
      <c r="AT183" s="391"/>
      <c r="AU183" s="391"/>
      <c r="AV183" s="391"/>
      <c r="AW183" s="391"/>
      <c r="AX183" s="391"/>
      <c r="AY183" s="391"/>
      <c r="AZ183" s="391"/>
      <c r="BA183" s="391"/>
      <c r="BB183" s="391"/>
      <c r="BC183" s="391"/>
      <c r="BD183" s="391"/>
      <c r="BE183" s="391"/>
      <c r="BF183" s="391"/>
      <c r="BG183" s="391"/>
      <c r="BH183" s="391"/>
      <c r="BI183" s="391"/>
      <c r="BJ183" s="391"/>
      <c r="BK183" s="391"/>
      <c r="BL183" s="391"/>
      <c r="BM183" s="391"/>
      <c r="BN183" s="391"/>
      <c r="BO183" s="391"/>
      <c r="BP183" s="391"/>
      <c r="BQ183" s="391"/>
      <c r="BR183" s="391"/>
      <c r="BS183" s="391"/>
      <c r="BT183" s="391"/>
      <c r="BU183" s="391"/>
      <c r="BV183" s="391"/>
      <c r="BW183" s="391"/>
      <c r="BX183" s="391"/>
      <c r="BY183" s="391"/>
      <c r="BZ183" s="391"/>
      <c r="CA183" s="391"/>
      <c r="CB183" s="391"/>
      <c r="CC183" s="391"/>
      <c r="CD183" s="391"/>
      <c r="CE183" s="391"/>
      <c r="CF183" s="391"/>
      <c r="CG183" s="391"/>
      <c r="CH183" s="391"/>
      <c r="CI183" s="391"/>
      <c r="CJ183" s="391"/>
      <c r="CK183" s="391"/>
      <c r="CL183" s="391"/>
      <c r="CM183" s="391"/>
      <c r="CN183" s="391"/>
      <c r="CO183" s="391"/>
      <c r="CP183" s="391"/>
      <c r="CQ183" s="391"/>
      <c r="CR183" s="391"/>
      <c r="CS183" s="391"/>
      <c r="CT183" s="391"/>
      <c r="CU183" s="391"/>
      <c r="CV183" s="391"/>
      <c r="CW183" s="391"/>
      <c r="CX183" s="391"/>
      <c r="CY183" s="391"/>
      <c r="CZ183" s="391"/>
      <c r="DA183" s="391"/>
      <c r="DB183" s="391"/>
      <c r="DC183" s="391"/>
      <c r="DD183" s="391"/>
      <c r="DE183" s="391"/>
      <c r="DF183" s="391"/>
      <c r="DG183" s="391"/>
      <c r="DH183" s="391"/>
      <c r="DI183" s="391"/>
      <c r="DJ183" s="391"/>
      <c r="DK183" s="391"/>
      <c r="DL183" s="391"/>
      <c r="DM183" s="391"/>
      <c r="DN183" s="391"/>
      <c r="DO183" s="391"/>
      <c r="DP183" s="391"/>
      <c r="DQ183" s="391"/>
      <c r="DR183" s="391"/>
      <c r="DS183" s="391"/>
      <c r="DT183" s="391"/>
      <c r="DU183" s="391"/>
      <c r="DV183" s="391"/>
      <c r="DW183" s="391"/>
      <c r="DX183" s="391"/>
      <c r="DY183" s="391"/>
      <c r="DZ183" s="391"/>
      <c r="EA183" s="391">
        <v>210960</v>
      </c>
      <c r="EB183" s="391"/>
      <c r="EC183" s="391"/>
      <c r="ED183" s="391"/>
      <c r="EE183" s="391"/>
      <c r="EF183" s="391"/>
      <c r="EG183" s="391"/>
      <c r="EH183" s="391"/>
      <c r="EI183" s="391"/>
      <c r="EJ183" s="391"/>
      <c r="EK183" s="391"/>
      <c r="EL183" s="391"/>
      <c r="EM183" s="391"/>
      <c r="EN183" s="391"/>
      <c r="EO183" s="391"/>
      <c r="EP183" s="391"/>
      <c r="EQ183" s="391"/>
      <c r="ER183" s="391"/>
      <c r="ES183" s="391"/>
      <c r="ET183" s="391"/>
      <c r="EU183" s="391"/>
      <c r="EV183" s="391"/>
      <c r="EW183" s="391"/>
      <c r="EX183" s="391"/>
      <c r="EY183" s="391"/>
      <c r="EZ183" s="391"/>
      <c r="FA183" s="391"/>
      <c r="FB183" s="391"/>
      <c r="FC183" s="391"/>
      <c r="FD183" s="391"/>
      <c r="FE183" s="391"/>
      <c r="FF183" s="391"/>
      <c r="FG183" s="391"/>
      <c r="FH183" s="391"/>
      <c r="FI183" s="391"/>
      <c r="FJ183" s="391"/>
      <c r="FK183" s="391"/>
      <c r="FL183" s="391"/>
      <c r="FM183" s="391"/>
      <c r="FN183" s="391"/>
      <c r="FO183" s="391"/>
      <c r="FP183" s="391"/>
      <c r="FQ183" s="391"/>
      <c r="FR183" s="391"/>
      <c r="FS183" s="391"/>
      <c r="FT183" s="391"/>
      <c r="FU183" s="391"/>
      <c r="FV183" s="391"/>
      <c r="FW183" s="391"/>
      <c r="FX183" s="391"/>
      <c r="FY183" s="391"/>
      <c r="FZ183" s="391"/>
      <c r="GA183" s="391"/>
      <c r="GB183" s="391"/>
      <c r="GC183" s="391"/>
      <c r="GD183" s="391"/>
      <c r="GE183" s="391"/>
      <c r="GF183" s="391"/>
      <c r="GG183" s="391"/>
      <c r="GH183" s="391"/>
      <c r="GI183" s="391"/>
      <c r="GJ183" s="391"/>
      <c r="GK183" s="391"/>
      <c r="GL183" s="391"/>
      <c r="GM183" s="391"/>
      <c r="GN183" s="391"/>
      <c r="GO183" s="391"/>
      <c r="GP183" s="391"/>
      <c r="GQ183" s="391"/>
      <c r="GR183" s="391"/>
      <c r="GS183" s="391"/>
      <c r="GT183" s="391"/>
      <c r="GU183" s="391"/>
      <c r="GV183" s="391"/>
      <c r="GW183" s="391"/>
      <c r="GX183" s="391"/>
      <c r="GY183" s="391"/>
      <c r="GZ183" s="391"/>
      <c r="HA183" s="391"/>
      <c r="HB183" s="391"/>
      <c r="HC183" s="391"/>
      <c r="HD183" s="391"/>
      <c r="HE183" s="391"/>
      <c r="HF183" s="391"/>
      <c r="HG183" s="391"/>
      <c r="HH183" s="391"/>
      <c r="HI183" s="391"/>
      <c r="HJ183" s="391"/>
      <c r="HK183" s="391"/>
      <c r="HL183" s="391"/>
      <c r="HM183" s="391"/>
      <c r="HN183" s="391"/>
      <c r="HO183" s="391"/>
      <c r="HP183" s="391"/>
      <c r="HQ183" s="391"/>
      <c r="HR183" s="391"/>
      <c r="HS183" s="391"/>
      <c r="HT183" s="391"/>
      <c r="HU183" s="391"/>
      <c r="HV183" s="391"/>
      <c r="HW183" s="391"/>
      <c r="HX183" s="391"/>
      <c r="HY183" s="391"/>
      <c r="HZ183" s="391"/>
      <c r="IA183" s="391"/>
      <c r="IB183" s="391"/>
      <c r="IC183" s="391"/>
      <c r="ID183" s="391"/>
      <c r="IE183" s="391"/>
      <c r="IF183" s="391"/>
      <c r="IG183" s="391"/>
      <c r="IH183" s="391"/>
      <c r="II183" s="391"/>
      <c r="IJ183" s="391"/>
      <c r="IK183" s="391"/>
      <c r="IL183" s="391"/>
      <c r="IM183" s="391"/>
      <c r="IN183" s="391"/>
      <c r="IO183" s="391"/>
      <c r="IP183" s="391"/>
      <c r="IQ183" s="391"/>
      <c r="IR183" s="391"/>
      <c r="IS183" s="391"/>
      <c r="IT183" s="391"/>
      <c r="IU183" s="391"/>
      <c r="IV183" s="391"/>
      <c r="IW183" s="391"/>
      <c r="IX183" s="391"/>
      <c r="IY183" s="391"/>
      <c r="IZ183" s="391"/>
      <c r="JA183" s="391"/>
      <c r="JB183" s="391"/>
      <c r="JC183" s="391"/>
      <c r="JD183" s="391"/>
      <c r="JE183" s="391"/>
      <c r="JF183" s="391"/>
      <c r="JG183" s="391"/>
      <c r="JH183" s="391"/>
      <c r="JI183" s="393">
        <f t="shared" si="5"/>
        <v>210960</v>
      </c>
      <c r="JJ183" s="2">
        <v>6560</v>
      </c>
      <c r="JK183" s="392">
        <f t="shared" si="6"/>
        <v>210960</v>
      </c>
      <c r="JL183" s="391"/>
      <c r="JM183" s="392"/>
      <c r="JN183" s="392"/>
      <c r="JO183" s="392"/>
      <c r="JP183" s="392"/>
    </row>
    <row r="184" spans="1:276" x14ac:dyDescent="0.3">
      <c r="A184" s="391"/>
      <c r="B184" s="391"/>
      <c r="C184" s="391"/>
      <c r="D184" s="391"/>
      <c r="E184" s="391"/>
      <c r="F184" s="391"/>
      <c r="G184" s="391"/>
      <c r="H184" s="391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  <c r="T184" s="391"/>
      <c r="U184" s="391"/>
      <c r="V184" s="391"/>
      <c r="W184" s="391"/>
      <c r="X184" s="391"/>
      <c r="Y184" s="391"/>
      <c r="Z184" s="391"/>
      <c r="AA184" s="391"/>
      <c r="AB184" s="391"/>
      <c r="AC184" s="391"/>
      <c r="AD184" s="391"/>
      <c r="AE184" s="391"/>
      <c r="AF184" s="391"/>
      <c r="AG184" s="391"/>
      <c r="AH184" s="391"/>
      <c r="AI184" s="391"/>
      <c r="AJ184" s="391"/>
      <c r="AK184" s="391"/>
      <c r="AL184" s="391"/>
      <c r="AM184" s="391"/>
      <c r="AN184" s="391"/>
      <c r="AO184" s="391"/>
      <c r="AP184" s="391"/>
      <c r="AQ184" s="391"/>
      <c r="AR184" s="391"/>
      <c r="AS184" s="391"/>
      <c r="AT184" s="391"/>
      <c r="AU184" s="391"/>
      <c r="AV184" s="391"/>
      <c r="AW184" s="391"/>
      <c r="AX184" s="391"/>
      <c r="AY184" s="391"/>
      <c r="AZ184" s="391"/>
      <c r="BA184" s="391"/>
      <c r="BB184" s="391"/>
      <c r="BC184" s="391"/>
      <c r="BD184" s="391"/>
      <c r="BE184" s="391"/>
      <c r="BF184" s="391"/>
      <c r="BG184" s="391"/>
      <c r="BH184" s="391"/>
      <c r="BI184" s="391"/>
      <c r="BJ184" s="391"/>
      <c r="BK184" s="391"/>
      <c r="BL184" s="391"/>
      <c r="BM184" s="391"/>
      <c r="BN184" s="391"/>
      <c r="BO184" s="391"/>
      <c r="BP184" s="391"/>
      <c r="BQ184" s="391"/>
      <c r="BR184" s="391"/>
      <c r="BS184" s="391"/>
      <c r="BT184" s="391"/>
      <c r="BU184" s="391"/>
      <c r="BV184" s="391"/>
      <c r="BW184" s="391"/>
      <c r="BX184" s="391"/>
      <c r="BY184" s="391"/>
      <c r="BZ184" s="391"/>
      <c r="CA184" s="391"/>
      <c r="CB184" s="391"/>
      <c r="CC184" s="391"/>
      <c r="CD184" s="391"/>
      <c r="CE184" s="391"/>
      <c r="CF184" s="391"/>
      <c r="CG184" s="391"/>
      <c r="CH184" s="391"/>
      <c r="CI184" s="391"/>
      <c r="CJ184" s="391"/>
      <c r="CK184" s="391"/>
      <c r="CL184" s="391"/>
      <c r="CM184" s="391"/>
      <c r="CN184" s="391"/>
      <c r="CO184" s="391"/>
      <c r="CP184" s="391"/>
      <c r="CQ184" s="391"/>
      <c r="CR184" s="391"/>
      <c r="CS184" s="391"/>
      <c r="CT184" s="391"/>
      <c r="CU184" s="391"/>
      <c r="CV184" s="391"/>
      <c r="CW184" s="391"/>
      <c r="CX184" s="391"/>
      <c r="CY184" s="391"/>
      <c r="CZ184" s="391"/>
      <c r="DA184" s="391"/>
      <c r="DB184" s="391"/>
      <c r="DC184" s="391"/>
      <c r="DD184" s="391"/>
      <c r="DE184" s="391"/>
      <c r="DF184" s="391"/>
      <c r="DG184" s="391"/>
      <c r="DH184" s="391"/>
      <c r="DI184" s="391"/>
      <c r="DJ184" s="391"/>
      <c r="DK184" s="391"/>
      <c r="DL184" s="391"/>
      <c r="DM184" s="391"/>
      <c r="DN184" s="391"/>
      <c r="DO184" s="391"/>
      <c r="DP184" s="391"/>
      <c r="DQ184" s="391"/>
      <c r="DR184" s="391"/>
      <c r="DS184" s="391"/>
      <c r="DT184" s="391"/>
      <c r="DU184" s="391"/>
      <c r="DV184" s="391"/>
      <c r="DW184" s="391"/>
      <c r="DX184" s="391"/>
      <c r="DY184" s="391"/>
      <c r="DZ184" s="391"/>
      <c r="EA184" s="391">
        <v>256800</v>
      </c>
      <c r="EB184" s="391"/>
      <c r="EC184" s="391"/>
      <c r="ED184" s="391"/>
      <c r="EE184" s="391"/>
      <c r="EF184" s="391"/>
      <c r="EG184" s="391"/>
      <c r="EH184" s="391"/>
      <c r="EI184" s="391"/>
      <c r="EJ184" s="391"/>
      <c r="EK184" s="391"/>
      <c r="EL184" s="391"/>
      <c r="EM184" s="391"/>
      <c r="EN184" s="391"/>
      <c r="EO184" s="391"/>
      <c r="EP184" s="391"/>
      <c r="EQ184" s="391"/>
      <c r="ER184" s="391"/>
      <c r="ES184" s="391"/>
      <c r="ET184" s="391"/>
      <c r="EU184" s="391"/>
      <c r="EV184" s="391"/>
      <c r="EW184" s="391"/>
      <c r="EX184" s="391"/>
      <c r="EY184" s="391"/>
      <c r="EZ184" s="391"/>
      <c r="FA184" s="391"/>
      <c r="FB184" s="391"/>
      <c r="FC184" s="391"/>
      <c r="FD184" s="391"/>
      <c r="FE184" s="391"/>
      <c r="FF184" s="391"/>
      <c r="FG184" s="391"/>
      <c r="FH184" s="391"/>
      <c r="FI184" s="391"/>
      <c r="FJ184" s="391"/>
      <c r="FK184" s="391"/>
      <c r="FL184" s="391"/>
      <c r="FM184" s="391"/>
      <c r="FN184" s="391"/>
      <c r="FO184" s="391"/>
      <c r="FP184" s="391"/>
      <c r="FQ184" s="391"/>
      <c r="FR184" s="391"/>
      <c r="FS184" s="391"/>
      <c r="FT184" s="391"/>
      <c r="FU184" s="391"/>
      <c r="FV184" s="391"/>
      <c r="FW184" s="391"/>
      <c r="FX184" s="391"/>
      <c r="FY184" s="391"/>
      <c r="FZ184" s="391"/>
      <c r="GA184" s="391"/>
      <c r="GB184" s="391"/>
      <c r="GC184" s="391"/>
      <c r="GD184" s="391"/>
      <c r="GE184" s="391"/>
      <c r="GF184" s="391"/>
      <c r="GG184" s="391"/>
      <c r="GH184" s="391"/>
      <c r="GI184" s="391"/>
      <c r="GJ184" s="391"/>
      <c r="GK184" s="391"/>
      <c r="GL184" s="391"/>
      <c r="GM184" s="391"/>
      <c r="GN184" s="391"/>
      <c r="GO184" s="391"/>
      <c r="GP184" s="391"/>
      <c r="GQ184" s="391"/>
      <c r="GR184" s="391"/>
      <c r="GS184" s="391"/>
      <c r="GT184" s="391"/>
      <c r="GU184" s="391"/>
      <c r="GV184" s="391"/>
      <c r="GW184" s="391"/>
      <c r="GX184" s="391"/>
      <c r="GY184" s="391"/>
      <c r="GZ184" s="391"/>
      <c r="HA184" s="391"/>
      <c r="HB184" s="391"/>
      <c r="HC184" s="391"/>
      <c r="HD184" s="391"/>
      <c r="HE184" s="391"/>
      <c r="HF184" s="391"/>
      <c r="HG184" s="391"/>
      <c r="HH184" s="391"/>
      <c r="HI184" s="391"/>
      <c r="HJ184" s="391"/>
      <c r="HK184" s="391"/>
      <c r="HL184" s="391"/>
      <c r="HM184" s="391"/>
      <c r="HN184" s="391"/>
      <c r="HO184" s="391"/>
      <c r="HP184" s="391"/>
      <c r="HQ184" s="391"/>
      <c r="HR184" s="391"/>
      <c r="HS184" s="391"/>
      <c r="HT184" s="391"/>
      <c r="HU184" s="391"/>
      <c r="HV184" s="391"/>
      <c r="HW184" s="391"/>
      <c r="HX184" s="391"/>
      <c r="HY184" s="391"/>
      <c r="HZ184" s="391"/>
      <c r="IA184" s="391"/>
      <c r="IB184" s="391"/>
      <c r="IC184" s="391"/>
      <c r="ID184" s="391"/>
      <c r="IE184" s="391"/>
      <c r="IF184" s="391"/>
      <c r="IG184" s="391"/>
      <c r="IH184" s="391"/>
      <c r="II184" s="391"/>
      <c r="IJ184" s="391"/>
      <c r="IK184" s="391"/>
      <c r="IL184" s="391"/>
      <c r="IM184" s="391"/>
      <c r="IN184" s="391"/>
      <c r="IO184" s="391"/>
      <c r="IP184" s="391"/>
      <c r="IQ184" s="391"/>
      <c r="IR184" s="391"/>
      <c r="IS184" s="391"/>
      <c r="IT184" s="391"/>
      <c r="IU184" s="391"/>
      <c r="IV184" s="391"/>
      <c r="IW184" s="391"/>
      <c r="IX184" s="391"/>
      <c r="IY184" s="391"/>
      <c r="IZ184" s="391"/>
      <c r="JA184" s="391"/>
      <c r="JB184" s="391"/>
      <c r="JC184" s="391"/>
      <c r="JD184" s="391"/>
      <c r="JE184" s="391"/>
      <c r="JF184" s="391"/>
      <c r="JG184" s="391"/>
      <c r="JH184" s="391"/>
      <c r="JI184" s="393">
        <f t="shared" si="5"/>
        <v>256800</v>
      </c>
      <c r="JJ184" s="2">
        <v>6561</v>
      </c>
      <c r="JK184" s="392">
        <f t="shared" si="6"/>
        <v>256800</v>
      </c>
      <c r="JL184" s="391"/>
      <c r="JM184" s="392"/>
      <c r="JN184" s="392"/>
      <c r="JO184" s="392"/>
      <c r="JP184" s="392"/>
    </row>
    <row r="185" spans="1:276" x14ac:dyDescent="0.3">
      <c r="A185" s="391"/>
      <c r="B185" s="391"/>
      <c r="C185" s="391"/>
      <c r="D185" s="391"/>
      <c r="E185" s="391"/>
      <c r="F185" s="391"/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  <c r="X185" s="391"/>
      <c r="Y185" s="391"/>
      <c r="Z185" s="391"/>
      <c r="AA185" s="391"/>
      <c r="AB185" s="391"/>
      <c r="AC185" s="391"/>
      <c r="AD185" s="391"/>
      <c r="AE185" s="391"/>
      <c r="AF185" s="391"/>
      <c r="AG185" s="391"/>
      <c r="AH185" s="391"/>
      <c r="AI185" s="391"/>
      <c r="AJ185" s="391"/>
      <c r="AK185" s="391"/>
      <c r="AL185" s="391"/>
      <c r="AM185" s="391"/>
      <c r="AN185" s="391"/>
      <c r="AO185" s="391"/>
      <c r="AP185" s="391"/>
      <c r="AQ185" s="391"/>
      <c r="AR185" s="391"/>
      <c r="AS185" s="391"/>
      <c r="AT185" s="391"/>
      <c r="AU185" s="391"/>
      <c r="AV185" s="391"/>
      <c r="AW185" s="391"/>
      <c r="AX185" s="391"/>
      <c r="AY185" s="391"/>
      <c r="AZ185" s="391"/>
      <c r="BA185" s="391"/>
      <c r="BB185" s="391"/>
      <c r="BC185" s="391"/>
      <c r="BD185" s="391"/>
      <c r="BE185" s="391"/>
      <c r="BF185" s="391"/>
      <c r="BG185" s="391"/>
      <c r="BH185" s="391"/>
      <c r="BI185" s="391"/>
      <c r="BJ185" s="391"/>
      <c r="BK185" s="391"/>
      <c r="BL185" s="391"/>
      <c r="BM185" s="391"/>
      <c r="BN185" s="391"/>
      <c r="BO185" s="391"/>
      <c r="BP185" s="391"/>
      <c r="BQ185" s="391"/>
      <c r="BR185" s="391"/>
      <c r="BS185" s="391"/>
      <c r="BT185" s="391"/>
      <c r="BU185" s="391"/>
      <c r="BV185" s="391"/>
      <c r="BW185" s="391"/>
      <c r="BX185" s="391"/>
      <c r="BY185" s="391"/>
      <c r="BZ185" s="391"/>
      <c r="CA185" s="391"/>
      <c r="CB185" s="391"/>
      <c r="CC185" s="391"/>
      <c r="CD185" s="391"/>
      <c r="CE185" s="391"/>
      <c r="CF185" s="391"/>
      <c r="CG185" s="391"/>
      <c r="CH185" s="391"/>
      <c r="CI185" s="391"/>
      <c r="CJ185" s="391"/>
      <c r="CK185" s="391"/>
      <c r="CL185" s="391"/>
      <c r="CM185" s="391"/>
      <c r="CN185" s="391"/>
      <c r="CO185" s="391"/>
      <c r="CP185" s="391"/>
      <c r="CQ185" s="391"/>
      <c r="CR185" s="391"/>
      <c r="CS185" s="391"/>
      <c r="CT185" s="391"/>
      <c r="CU185" s="391"/>
      <c r="CV185" s="391"/>
      <c r="CW185" s="391"/>
      <c r="CX185" s="391"/>
      <c r="CY185" s="391"/>
      <c r="CZ185" s="391"/>
      <c r="DA185" s="391"/>
      <c r="DB185" s="391"/>
      <c r="DC185" s="391"/>
      <c r="DD185" s="391"/>
      <c r="DE185" s="391"/>
      <c r="DF185" s="391"/>
      <c r="DG185" s="391"/>
      <c r="DH185" s="391"/>
      <c r="DI185" s="391"/>
      <c r="DJ185" s="391"/>
      <c r="DK185" s="391"/>
      <c r="DL185" s="391"/>
      <c r="DM185" s="391"/>
      <c r="DN185" s="391"/>
      <c r="DO185" s="391"/>
      <c r="DP185" s="391"/>
      <c r="DQ185" s="391"/>
      <c r="DR185" s="391"/>
      <c r="DS185" s="391"/>
      <c r="DT185" s="391"/>
      <c r="DU185" s="391"/>
      <c r="DV185" s="391"/>
      <c r="DW185" s="391"/>
      <c r="DX185" s="391"/>
      <c r="DY185" s="391"/>
      <c r="DZ185" s="391"/>
      <c r="EA185" s="391"/>
      <c r="EB185" s="391"/>
      <c r="EC185" s="391"/>
      <c r="ED185" s="391"/>
      <c r="EE185" s="391"/>
      <c r="EF185" s="391"/>
      <c r="EG185" s="391"/>
      <c r="EH185" s="391"/>
      <c r="EI185" s="391"/>
      <c r="EJ185" s="391"/>
      <c r="EK185" s="391"/>
      <c r="EL185" s="391"/>
      <c r="EM185" s="391"/>
      <c r="EN185" s="391"/>
      <c r="EO185" s="391"/>
      <c r="EP185" s="391"/>
      <c r="EQ185" s="391"/>
      <c r="ER185" s="391"/>
      <c r="ES185" s="391"/>
      <c r="ET185" s="391"/>
      <c r="EU185" s="391"/>
      <c r="EV185" s="391"/>
      <c r="EW185" s="391"/>
      <c r="EX185" s="391"/>
      <c r="EY185" s="391"/>
      <c r="EZ185" s="391"/>
      <c r="FA185" s="391"/>
      <c r="FB185" s="391"/>
      <c r="FC185" s="391"/>
      <c r="FD185" s="391"/>
      <c r="FE185" s="391"/>
      <c r="FF185" s="391"/>
      <c r="FG185" s="391"/>
      <c r="FH185" s="391"/>
      <c r="FI185" s="391"/>
      <c r="FJ185" s="391"/>
      <c r="FK185" s="391"/>
      <c r="FL185" s="391"/>
      <c r="FM185" s="391"/>
      <c r="FN185" s="391"/>
      <c r="FO185" s="391"/>
      <c r="FP185" s="391"/>
      <c r="FQ185" s="391"/>
      <c r="FR185" s="391"/>
      <c r="FS185" s="391"/>
      <c r="FT185" s="391">
        <v>264900</v>
      </c>
      <c r="FU185" s="391"/>
      <c r="FV185" s="391"/>
      <c r="FW185" s="391"/>
      <c r="FX185" s="391"/>
      <c r="FY185" s="391"/>
      <c r="FZ185" s="391"/>
      <c r="GA185" s="391"/>
      <c r="GB185" s="391"/>
      <c r="GC185" s="391"/>
      <c r="GD185" s="391"/>
      <c r="GE185" s="391"/>
      <c r="GF185" s="391"/>
      <c r="GG185" s="391"/>
      <c r="GH185" s="391"/>
      <c r="GI185" s="391"/>
      <c r="GJ185" s="391"/>
      <c r="GK185" s="391"/>
      <c r="GL185" s="391"/>
      <c r="GM185" s="391"/>
      <c r="GN185" s="391"/>
      <c r="GO185" s="391"/>
      <c r="GP185" s="391"/>
      <c r="GQ185" s="391"/>
      <c r="GR185" s="391"/>
      <c r="GS185" s="391"/>
      <c r="GT185" s="391"/>
      <c r="GU185" s="391"/>
      <c r="GV185" s="391"/>
      <c r="GW185" s="391"/>
      <c r="GX185" s="391"/>
      <c r="GY185" s="391"/>
      <c r="GZ185" s="391"/>
      <c r="HA185" s="391"/>
      <c r="HB185" s="391"/>
      <c r="HC185" s="391"/>
      <c r="HD185" s="391"/>
      <c r="HE185" s="391"/>
      <c r="HF185" s="391"/>
      <c r="HG185" s="391"/>
      <c r="HH185" s="391"/>
      <c r="HI185" s="391"/>
      <c r="HJ185" s="391"/>
      <c r="HK185" s="391"/>
      <c r="HL185" s="391"/>
      <c r="HM185" s="391"/>
      <c r="HN185" s="391"/>
      <c r="HO185" s="391"/>
      <c r="HP185" s="391"/>
      <c r="HQ185" s="391"/>
      <c r="HR185" s="391"/>
      <c r="HS185" s="391"/>
      <c r="HT185" s="391"/>
      <c r="HU185" s="391"/>
      <c r="HV185" s="391"/>
      <c r="HW185" s="391"/>
      <c r="HX185" s="391"/>
      <c r="HY185" s="391"/>
      <c r="HZ185" s="391"/>
      <c r="IA185" s="391"/>
      <c r="IB185" s="391"/>
      <c r="IC185" s="391"/>
      <c r="ID185" s="391"/>
      <c r="IE185" s="391"/>
      <c r="IF185" s="391"/>
      <c r="IG185" s="391"/>
      <c r="IH185" s="391"/>
      <c r="II185" s="391"/>
      <c r="IJ185" s="391"/>
      <c r="IK185" s="391"/>
      <c r="IL185" s="391"/>
      <c r="IM185" s="391"/>
      <c r="IN185" s="391"/>
      <c r="IO185" s="391"/>
      <c r="IP185" s="391"/>
      <c r="IQ185" s="391"/>
      <c r="IR185" s="391"/>
      <c r="IS185" s="391"/>
      <c r="IT185" s="391"/>
      <c r="IU185" s="391"/>
      <c r="IV185" s="391"/>
      <c r="IW185" s="391"/>
      <c r="IX185" s="391"/>
      <c r="IY185" s="391"/>
      <c r="IZ185" s="391"/>
      <c r="JA185" s="391"/>
      <c r="JB185" s="391"/>
      <c r="JC185" s="391"/>
      <c r="JD185" s="391"/>
      <c r="JE185" s="391"/>
      <c r="JF185" s="391"/>
      <c r="JG185" s="391"/>
      <c r="JH185" s="391"/>
      <c r="JI185" s="393">
        <f t="shared" si="5"/>
        <v>264900</v>
      </c>
      <c r="JJ185" s="2">
        <v>6565</v>
      </c>
      <c r="JK185" s="392">
        <f t="shared" si="6"/>
        <v>264900</v>
      </c>
      <c r="JL185" s="391"/>
      <c r="JM185" s="392"/>
      <c r="JN185" s="392"/>
      <c r="JO185" s="392"/>
      <c r="JP185" s="392"/>
    </row>
    <row r="186" spans="1:276" x14ac:dyDescent="0.3">
      <c r="A186" s="391"/>
      <c r="B186" s="391"/>
      <c r="C186" s="391"/>
      <c r="D186" s="391"/>
      <c r="E186" s="391"/>
      <c r="F186" s="391"/>
      <c r="G186" s="391"/>
      <c r="H186" s="391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  <c r="T186" s="391"/>
      <c r="U186" s="391"/>
      <c r="V186" s="391"/>
      <c r="W186" s="391"/>
      <c r="X186" s="391"/>
      <c r="Y186" s="391"/>
      <c r="Z186" s="391"/>
      <c r="AA186" s="391"/>
      <c r="AB186" s="391"/>
      <c r="AC186" s="391"/>
      <c r="AD186" s="391"/>
      <c r="AE186" s="391"/>
      <c r="AF186" s="391"/>
      <c r="AG186" s="391"/>
      <c r="AH186" s="391"/>
      <c r="AI186" s="391"/>
      <c r="AJ186" s="391"/>
      <c r="AK186" s="391"/>
      <c r="AL186" s="391"/>
      <c r="AM186" s="391"/>
      <c r="AN186" s="391"/>
      <c r="AO186" s="391"/>
      <c r="AP186" s="391"/>
      <c r="AQ186" s="391"/>
      <c r="AR186" s="391"/>
      <c r="AS186" s="391"/>
      <c r="AT186" s="391"/>
      <c r="AU186" s="391"/>
      <c r="AV186" s="391"/>
      <c r="AW186" s="391"/>
      <c r="AX186" s="391"/>
      <c r="AY186" s="391"/>
      <c r="AZ186" s="391"/>
      <c r="BA186" s="391"/>
      <c r="BB186" s="391"/>
      <c r="BC186" s="391"/>
      <c r="BD186" s="391"/>
      <c r="BE186" s="391"/>
      <c r="BF186" s="391"/>
      <c r="BG186" s="391"/>
      <c r="BH186" s="391"/>
      <c r="BI186" s="391"/>
      <c r="BJ186" s="391"/>
      <c r="BK186" s="391"/>
      <c r="BL186" s="391"/>
      <c r="BM186" s="391"/>
      <c r="BN186" s="391"/>
      <c r="BO186" s="391"/>
      <c r="BP186" s="391"/>
      <c r="BQ186" s="391"/>
      <c r="BR186" s="391"/>
      <c r="BS186" s="391"/>
      <c r="BT186" s="391"/>
      <c r="BU186" s="391"/>
      <c r="BV186" s="391"/>
      <c r="BW186" s="391"/>
      <c r="BX186" s="391"/>
      <c r="BY186" s="391"/>
      <c r="BZ186" s="391"/>
      <c r="CA186" s="391"/>
      <c r="CB186" s="391"/>
      <c r="CC186" s="391"/>
      <c r="CD186" s="391"/>
      <c r="CE186" s="391"/>
      <c r="CF186" s="391"/>
      <c r="CG186" s="391"/>
      <c r="CH186" s="391"/>
      <c r="CI186" s="391"/>
      <c r="CJ186" s="391"/>
      <c r="CK186" s="391"/>
      <c r="CL186" s="391"/>
      <c r="CM186" s="391"/>
      <c r="CN186" s="391"/>
      <c r="CO186" s="391"/>
      <c r="CP186" s="391"/>
      <c r="CQ186" s="391"/>
      <c r="CR186" s="391"/>
      <c r="CS186" s="391"/>
      <c r="CT186" s="391"/>
      <c r="CU186" s="391"/>
      <c r="CV186" s="391"/>
      <c r="CW186" s="391"/>
      <c r="CX186" s="391"/>
      <c r="CY186" s="391"/>
      <c r="CZ186" s="391"/>
      <c r="DA186" s="391"/>
      <c r="DB186" s="391"/>
      <c r="DC186" s="391"/>
      <c r="DD186" s="391"/>
      <c r="DE186" s="391"/>
      <c r="DF186" s="391"/>
      <c r="DG186" s="391"/>
      <c r="DH186" s="391"/>
      <c r="DI186" s="391"/>
      <c r="DJ186" s="391"/>
      <c r="DK186" s="391"/>
      <c r="DL186" s="391"/>
      <c r="DM186" s="391"/>
      <c r="DN186" s="391"/>
      <c r="DO186" s="391"/>
      <c r="DP186" s="391"/>
      <c r="DQ186" s="391"/>
      <c r="DR186" s="391"/>
      <c r="DS186" s="391"/>
      <c r="DT186" s="391"/>
      <c r="DU186" s="391"/>
      <c r="DV186" s="391"/>
      <c r="DW186" s="391"/>
      <c r="DX186" s="391"/>
      <c r="DY186" s="391"/>
      <c r="DZ186" s="391"/>
      <c r="EA186" s="391">
        <v>254620.79999999999</v>
      </c>
      <c r="EB186" s="391"/>
      <c r="EC186" s="391"/>
      <c r="ED186" s="391"/>
      <c r="EE186" s="391"/>
      <c r="EF186" s="391"/>
      <c r="EG186" s="391"/>
      <c r="EH186" s="391"/>
      <c r="EI186" s="391"/>
      <c r="EJ186" s="391"/>
      <c r="EK186" s="391"/>
      <c r="EL186" s="391"/>
      <c r="EM186" s="391"/>
      <c r="EN186" s="391"/>
      <c r="EO186" s="391"/>
      <c r="EP186" s="391"/>
      <c r="EQ186" s="391"/>
      <c r="ER186" s="391"/>
      <c r="ES186" s="391"/>
      <c r="ET186" s="391"/>
      <c r="EU186" s="391"/>
      <c r="EV186" s="391"/>
      <c r="EW186" s="391"/>
      <c r="EX186" s="391"/>
      <c r="EY186" s="391"/>
      <c r="EZ186" s="391"/>
      <c r="FA186" s="391"/>
      <c r="FB186" s="391"/>
      <c r="FC186" s="391"/>
      <c r="FD186" s="391"/>
      <c r="FE186" s="391"/>
      <c r="FF186" s="391"/>
      <c r="FG186" s="391"/>
      <c r="FH186" s="391"/>
      <c r="FI186" s="391"/>
      <c r="FJ186" s="391"/>
      <c r="FK186" s="391"/>
      <c r="FL186" s="391"/>
      <c r="FM186" s="391"/>
      <c r="FN186" s="391"/>
      <c r="FO186" s="391"/>
      <c r="FP186" s="391"/>
      <c r="FQ186" s="391"/>
      <c r="FR186" s="391"/>
      <c r="FS186" s="391"/>
      <c r="FT186" s="391"/>
      <c r="FU186" s="391"/>
      <c r="FV186" s="391"/>
      <c r="FW186" s="391"/>
      <c r="FX186" s="391"/>
      <c r="FY186" s="391"/>
      <c r="FZ186" s="391"/>
      <c r="GA186" s="391"/>
      <c r="GB186" s="391"/>
      <c r="GC186" s="391"/>
      <c r="GD186" s="391"/>
      <c r="GE186" s="391"/>
      <c r="GF186" s="391"/>
      <c r="GG186" s="391"/>
      <c r="GH186" s="391"/>
      <c r="GI186" s="391"/>
      <c r="GJ186" s="391"/>
      <c r="GK186" s="391"/>
      <c r="GL186" s="391"/>
      <c r="GM186" s="391"/>
      <c r="GN186" s="391"/>
      <c r="GO186" s="391"/>
      <c r="GP186" s="391"/>
      <c r="GQ186" s="391"/>
      <c r="GR186" s="391"/>
      <c r="GS186" s="391"/>
      <c r="GT186" s="391"/>
      <c r="GU186" s="391"/>
      <c r="GV186" s="391"/>
      <c r="GW186" s="391"/>
      <c r="GX186" s="391"/>
      <c r="GY186" s="391"/>
      <c r="GZ186" s="391"/>
      <c r="HA186" s="391"/>
      <c r="HB186" s="391"/>
      <c r="HC186" s="391"/>
      <c r="HD186" s="391"/>
      <c r="HE186" s="391"/>
      <c r="HF186" s="391"/>
      <c r="HG186" s="391"/>
      <c r="HH186" s="391"/>
      <c r="HI186" s="391"/>
      <c r="HJ186" s="391"/>
      <c r="HK186" s="391"/>
      <c r="HL186" s="391"/>
      <c r="HM186" s="391"/>
      <c r="HN186" s="391"/>
      <c r="HO186" s="391"/>
      <c r="HP186" s="391"/>
      <c r="HQ186" s="391"/>
      <c r="HR186" s="391"/>
      <c r="HS186" s="391"/>
      <c r="HT186" s="391"/>
      <c r="HU186" s="391"/>
      <c r="HV186" s="391"/>
      <c r="HW186" s="391"/>
      <c r="HX186" s="391"/>
      <c r="HY186" s="391"/>
      <c r="HZ186" s="391"/>
      <c r="IA186" s="391"/>
      <c r="IB186" s="391"/>
      <c r="IC186" s="391"/>
      <c r="ID186" s="391"/>
      <c r="IE186" s="391"/>
      <c r="IF186" s="391"/>
      <c r="IG186" s="391"/>
      <c r="IH186" s="391"/>
      <c r="II186" s="391"/>
      <c r="IJ186" s="391"/>
      <c r="IK186" s="391"/>
      <c r="IL186" s="391"/>
      <c r="IM186" s="391"/>
      <c r="IN186" s="391"/>
      <c r="IO186" s="391"/>
      <c r="IP186" s="391"/>
      <c r="IQ186" s="391"/>
      <c r="IR186" s="391"/>
      <c r="IS186" s="391"/>
      <c r="IT186" s="391"/>
      <c r="IU186" s="391"/>
      <c r="IV186" s="391"/>
      <c r="IW186" s="391"/>
      <c r="IX186" s="391"/>
      <c r="IY186" s="391"/>
      <c r="IZ186" s="391"/>
      <c r="JA186" s="391"/>
      <c r="JB186" s="391"/>
      <c r="JC186" s="391"/>
      <c r="JD186" s="391"/>
      <c r="JE186" s="391"/>
      <c r="JF186" s="391"/>
      <c r="JG186" s="391"/>
      <c r="JH186" s="391"/>
      <c r="JI186" s="393">
        <f t="shared" si="5"/>
        <v>254620.79999999999</v>
      </c>
      <c r="JJ186" s="2">
        <v>6572</v>
      </c>
      <c r="JK186" s="392">
        <f t="shared" si="6"/>
        <v>254620.79999999999</v>
      </c>
      <c r="JL186" s="391"/>
      <c r="JM186" s="392"/>
      <c r="JN186" s="392"/>
      <c r="JO186" s="392"/>
      <c r="JP186" s="392"/>
    </row>
    <row r="187" spans="1:276" x14ac:dyDescent="0.3">
      <c r="A187" s="391"/>
      <c r="B187" s="391"/>
      <c r="C187" s="391"/>
      <c r="D187" s="391"/>
      <c r="E187" s="391"/>
      <c r="F187" s="391"/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  <c r="W187" s="391"/>
      <c r="X187" s="391"/>
      <c r="Y187" s="391"/>
      <c r="Z187" s="391"/>
      <c r="AA187" s="391"/>
      <c r="AB187" s="391"/>
      <c r="AC187" s="391"/>
      <c r="AD187" s="391"/>
      <c r="AE187" s="391"/>
      <c r="AF187" s="391"/>
      <c r="AG187" s="391"/>
      <c r="AH187" s="391"/>
      <c r="AI187" s="391"/>
      <c r="AJ187" s="391"/>
      <c r="AK187" s="391"/>
      <c r="AL187" s="391"/>
      <c r="AM187" s="391"/>
      <c r="AN187" s="391"/>
      <c r="AO187" s="391"/>
      <c r="AP187" s="391"/>
      <c r="AQ187" s="391"/>
      <c r="AR187" s="391"/>
      <c r="AS187" s="391"/>
      <c r="AT187" s="391"/>
      <c r="AU187" s="391"/>
      <c r="AV187" s="391"/>
      <c r="AW187" s="391"/>
      <c r="AX187" s="391"/>
      <c r="AY187" s="391"/>
      <c r="AZ187" s="391"/>
      <c r="BA187" s="391"/>
      <c r="BB187" s="391"/>
      <c r="BC187" s="391"/>
      <c r="BD187" s="391"/>
      <c r="BE187" s="391"/>
      <c r="BF187" s="391"/>
      <c r="BG187" s="391"/>
      <c r="BH187" s="391"/>
      <c r="BI187" s="391"/>
      <c r="BJ187" s="391"/>
      <c r="BK187" s="391"/>
      <c r="BL187" s="391"/>
      <c r="BM187" s="391"/>
      <c r="BN187" s="391"/>
      <c r="BO187" s="391"/>
      <c r="BP187" s="391"/>
      <c r="BQ187" s="391"/>
      <c r="BR187" s="391"/>
      <c r="BS187" s="391"/>
      <c r="BT187" s="391"/>
      <c r="BU187" s="391"/>
      <c r="BV187" s="391"/>
      <c r="BW187" s="391"/>
      <c r="BX187" s="391"/>
      <c r="BY187" s="391"/>
      <c r="BZ187" s="391"/>
      <c r="CA187" s="391"/>
      <c r="CB187" s="391"/>
      <c r="CC187" s="391"/>
      <c r="CD187" s="391"/>
      <c r="CE187" s="391"/>
      <c r="CF187" s="391"/>
      <c r="CG187" s="391"/>
      <c r="CH187" s="391"/>
      <c r="CI187" s="391"/>
      <c r="CJ187" s="391"/>
      <c r="CK187" s="391"/>
      <c r="CL187" s="391"/>
      <c r="CM187" s="391"/>
      <c r="CN187" s="391"/>
      <c r="CO187" s="391"/>
      <c r="CP187" s="391"/>
      <c r="CQ187" s="391"/>
      <c r="CR187" s="391"/>
      <c r="CS187" s="391"/>
      <c r="CT187" s="391"/>
      <c r="CU187" s="391"/>
      <c r="CV187" s="391"/>
      <c r="CW187" s="391"/>
      <c r="CX187" s="391"/>
      <c r="CY187" s="391"/>
      <c r="CZ187" s="391"/>
      <c r="DA187" s="391"/>
      <c r="DB187" s="391"/>
      <c r="DC187" s="391"/>
      <c r="DD187" s="391"/>
      <c r="DE187" s="391"/>
      <c r="DF187" s="391"/>
      <c r="DG187" s="391"/>
      <c r="DH187" s="391"/>
      <c r="DI187" s="391"/>
      <c r="DJ187" s="391"/>
      <c r="DK187" s="391"/>
      <c r="DL187" s="391"/>
      <c r="DM187" s="391"/>
      <c r="DN187" s="391"/>
      <c r="DO187" s="391"/>
      <c r="DP187" s="391"/>
      <c r="DQ187" s="391"/>
      <c r="DR187" s="391"/>
      <c r="DS187" s="391"/>
      <c r="DT187" s="391"/>
      <c r="DU187" s="391"/>
      <c r="DV187" s="391"/>
      <c r="DW187" s="391"/>
      <c r="DX187" s="391"/>
      <c r="DY187" s="391"/>
      <c r="DZ187" s="391"/>
      <c r="EA187" s="391">
        <v>236000</v>
      </c>
      <c r="EB187" s="391"/>
      <c r="EC187" s="391"/>
      <c r="ED187" s="391"/>
      <c r="EE187" s="391"/>
      <c r="EF187" s="391"/>
      <c r="EG187" s="391"/>
      <c r="EH187" s="391"/>
      <c r="EI187" s="391"/>
      <c r="EJ187" s="391"/>
      <c r="EK187" s="391"/>
      <c r="EL187" s="391"/>
      <c r="EM187" s="391"/>
      <c r="EN187" s="391"/>
      <c r="EO187" s="391"/>
      <c r="EP187" s="391"/>
      <c r="EQ187" s="391"/>
      <c r="ER187" s="391"/>
      <c r="ES187" s="391"/>
      <c r="ET187" s="391"/>
      <c r="EU187" s="391"/>
      <c r="EV187" s="391"/>
      <c r="EW187" s="391"/>
      <c r="EX187" s="391"/>
      <c r="EY187" s="391"/>
      <c r="EZ187" s="391"/>
      <c r="FA187" s="391"/>
      <c r="FB187" s="391"/>
      <c r="FC187" s="391"/>
      <c r="FD187" s="391"/>
      <c r="FE187" s="391"/>
      <c r="FF187" s="391"/>
      <c r="FG187" s="391"/>
      <c r="FH187" s="391"/>
      <c r="FI187" s="391"/>
      <c r="FJ187" s="391"/>
      <c r="FK187" s="391"/>
      <c r="FL187" s="391"/>
      <c r="FM187" s="391"/>
      <c r="FN187" s="391"/>
      <c r="FO187" s="391"/>
      <c r="FP187" s="391"/>
      <c r="FQ187" s="391"/>
      <c r="FR187" s="391"/>
      <c r="FS187" s="391"/>
      <c r="FT187" s="391"/>
      <c r="FU187" s="391"/>
      <c r="FV187" s="391"/>
      <c r="FW187" s="391"/>
      <c r="FX187" s="391"/>
      <c r="FY187" s="391"/>
      <c r="FZ187" s="391"/>
      <c r="GA187" s="391"/>
      <c r="GB187" s="391"/>
      <c r="GC187" s="391"/>
      <c r="GD187" s="391"/>
      <c r="GE187" s="391"/>
      <c r="GF187" s="391"/>
      <c r="GG187" s="391"/>
      <c r="GH187" s="391"/>
      <c r="GI187" s="391"/>
      <c r="GJ187" s="391"/>
      <c r="GK187" s="391"/>
      <c r="GL187" s="391"/>
      <c r="GM187" s="391"/>
      <c r="GN187" s="391"/>
      <c r="GO187" s="391"/>
      <c r="GP187" s="391"/>
      <c r="GQ187" s="391"/>
      <c r="GR187" s="391"/>
      <c r="GS187" s="391"/>
      <c r="GT187" s="391"/>
      <c r="GU187" s="391"/>
      <c r="GV187" s="391"/>
      <c r="GW187" s="391"/>
      <c r="GX187" s="391"/>
      <c r="GY187" s="391"/>
      <c r="GZ187" s="391"/>
      <c r="HA187" s="391"/>
      <c r="HB187" s="391"/>
      <c r="HC187" s="391"/>
      <c r="HD187" s="391"/>
      <c r="HE187" s="391"/>
      <c r="HF187" s="391"/>
      <c r="HG187" s="391"/>
      <c r="HH187" s="391"/>
      <c r="HI187" s="391"/>
      <c r="HJ187" s="391"/>
      <c r="HK187" s="391"/>
      <c r="HL187" s="391"/>
      <c r="HM187" s="391"/>
      <c r="HN187" s="391"/>
      <c r="HO187" s="391"/>
      <c r="HP187" s="391"/>
      <c r="HQ187" s="391"/>
      <c r="HR187" s="391"/>
      <c r="HS187" s="391"/>
      <c r="HT187" s="391"/>
      <c r="HU187" s="391"/>
      <c r="HV187" s="391"/>
      <c r="HW187" s="391"/>
      <c r="HX187" s="391"/>
      <c r="HY187" s="391"/>
      <c r="HZ187" s="391"/>
      <c r="IA187" s="391"/>
      <c r="IB187" s="391"/>
      <c r="IC187" s="391"/>
      <c r="ID187" s="391"/>
      <c r="IE187" s="391"/>
      <c r="IF187" s="391"/>
      <c r="IG187" s="391"/>
      <c r="IH187" s="391"/>
      <c r="II187" s="391"/>
      <c r="IJ187" s="391"/>
      <c r="IK187" s="391"/>
      <c r="IL187" s="391"/>
      <c r="IM187" s="391"/>
      <c r="IN187" s="391"/>
      <c r="IO187" s="391"/>
      <c r="IP187" s="391"/>
      <c r="IQ187" s="391"/>
      <c r="IR187" s="391"/>
      <c r="IS187" s="391"/>
      <c r="IT187" s="391"/>
      <c r="IU187" s="391"/>
      <c r="IV187" s="391"/>
      <c r="IW187" s="391"/>
      <c r="IX187" s="391"/>
      <c r="IY187" s="391"/>
      <c r="IZ187" s="391"/>
      <c r="JA187" s="391"/>
      <c r="JB187" s="391"/>
      <c r="JC187" s="391"/>
      <c r="JD187" s="391"/>
      <c r="JE187" s="391"/>
      <c r="JF187" s="391"/>
      <c r="JG187" s="391"/>
      <c r="JH187" s="391"/>
      <c r="JI187" s="393">
        <f t="shared" si="5"/>
        <v>236000</v>
      </c>
      <c r="JJ187" s="2">
        <v>6578</v>
      </c>
      <c r="JK187" s="392">
        <f t="shared" si="6"/>
        <v>236000</v>
      </c>
      <c r="JL187" s="391"/>
      <c r="JM187" s="392"/>
      <c r="JN187" s="392"/>
      <c r="JO187" s="392"/>
      <c r="JP187" s="392"/>
    </row>
    <row r="188" spans="1:276" x14ac:dyDescent="0.3">
      <c r="A188" s="391"/>
      <c r="B188" s="391"/>
      <c r="C188" s="391"/>
      <c r="D188" s="391"/>
      <c r="E188" s="391"/>
      <c r="F188" s="391"/>
      <c r="G188" s="391"/>
      <c r="H188" s="391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  <c r="T188" s="391"/>
      <c r="U188" s="391"/>
      <c r="V188" s="391"/>
      <c r="W188" s="391"/>
      <c r="X188" s="391"/>
      <c r="Y188" s="391"/>
      <c r="Z188" s="391"/>
      <c r="AA188" s="391"/>
      <c r="AB188" s="391"/>
      <c r="AC188" s="391"/>
      <c r="AD188" s="391"/>
      <c r="AE188" s="391"/>
      <c r="AF188" s="391"/>
      <c r="AG188" s="391"/>
      <c r="AH188" s="391"/>
      <c r="AI188" s="391"/>
      <c r="AJ188" s="391"/>
      <c r="AK188" s="391"/>
      <c r="AL188" s="391"/>
      <c r="AM188" s="391"/>
      <c r="AN188" s="391"/>
      <c r="AO188" s="391"/>
      <c r="AP188" s="391"/>
      <c r="AQ188" s="391"/>
      <c r="AR188" s="391"/>
      <c r="AS188" s="391"/>
      <c r="AT188" s="391"/>
      <c r="AU188" s="391"/>
      <c r="AV188" s="391"/>
      <c r="AW188" s="391"/>
      <c r="AX188" s="391"/>
      <c r="AY188" s="391"/>
      <c r="AZ188" s="391"/>
      <c r="BA188" s="391"/>
      <c r="BB188" s="391"/>
      <c r="BC188" s="391"/>
      <c r="BD188" s="391"/>
      <c r="BE188" s="391"/>
      <c r="BF188" s="391"/>
      <c r="BG188" s="391"/>
      <c r="BH188" s="391"/>
      <c r="BI188" s="391"/>
      <c r="BJ188" s="391"/>
      <c r="BK188" s="391"/>
      <c r="BL188" s="391"/>
      <c r="BM188" s="391"/>
      <c r="BN188" s="391"/>
      <c r="BO188" s="391"/>
      <c r="BP188" s="391"/>
      <c r="BQ188" s="391"/>
      <c r="BR188" s="391"/>
      <c r="BS188" s="391"/>
      <c r="BT188" s="391"/>
      <c r="BU188" s="391"/>
      <c r="BV188" s="391"/>
      <c r="BW188" s="391"/>
      <c r="BX188" s="391"/>
      <c r="BY188" s="391"/>
      <c r="BZ188" s="391"/>
      <c r="CA188" s="391"/>
      <c r="CB188" s="391"/>
      <c r="CC188" s="391"/>
      <c r="CD188" s="391"/>
      <c r="CE188" s="391"/>
      <c r="CF188" s="391"/>
      <c r="CG188" s="391"/>
      <c r="CH188" s="391"/>
      <c r="CI188" s="391"/>
      <c r="CJ188" s="391"/>
      <c r="CK188" s="391"/>
      <c r="CL188" s="391"/>
      <c r="CM188" s="391"/>
      <c r="CN188" s="391"/>
      <c r="CO188" s="391"/>
      <c r="CP188" s="391"/>
      <c r="CQ188" s="391"/>
      <c r="CR188" s="391"/>
      <c r="CS188" s="391"/>
      <c r="CT188" s="391"/>
      <c r="CU188" s="391"/>
      <c r="CV188" s="391"/>
      <c r="CW188" s="391"/>
      <c r="CX188" s="391"/>
      <c r="CY188" s="391"/>
      <c r="CZ188" s="391"/>
      <c r="DA188" s="391"/>
      <c r="DB188" s="391"/>
      <c r="DC188" s="391"/>
      <c r="DD188" s="391"/>
      <c r="DE188" s="391"/>
      <c r="DF188" s="391"/>
      <c r="DG188" s="391"/>
      <c r="DH188" s="391"/>
      <c r="DI188" s="391"/>
      <c r="DJ188" s="391"/>
      <c r="DK188" s="391"/>
      <c r="DL188" s="391"/>
      <c r="DM188" s="391"/>
      <c r="DN188" s="391"/>
      <c r="DO188" s="391"/>
      <c r="DP188" s="391"/>
      <c r="DQ188" s="391"/>
      <c r="DR188" s="391"/>
      <c r="DS188" s="391"/>
      <c r="DT188" s="391"/>
      <c r="DU188" s="391"/>
      <c r="DV188" s="391"/>
      <c r="DW188" s="391"/>
      <c r="DX188" s="391"/>
      <c r="DY188" s="391"/>
      <c r="DZ188" s="391"/>
      <c r="EA188" s="391"/>
      <c r="EB188" s="391"/>
      <c r="EC188" s="391"/>
      <c r="ED188" s="391"/>
      <c r="EE188" s="391"/>
      <c r="EF188" s="391"/>
      <c r="EG188" s="391"/>
      <c r="EH188" s="391"/>
      <c r="EI188" s="391"/>
      <c r="EJ188" s="391"/>
      <c r="EK188" s="391"/>
      <c r="EL188" s="391"/>
      <c r="EM188" s="391"/>
      <c r="EN188" s="391"/>
      <c r="EO188" s="391"/>
      <c r="EP188" s="391"/>
      <c r="EQ188" s="391"/>
      <c r="ER188" s="391"/>
      <c r="ES188" s="391"/>
      <c r="ET188" s="391"/>
      <c r="EU188" s="391"/>
      <c r="EV188" s="391"/>
      <c r="EW188" s="391"/>
      <c r="EX188" s="391"/>
      <c r="EY188" s="391"/>
      <c r="EZ188" s="391"/>
      <c r="FA188" s="391"/>
      <c r="FB188" s="391"/>
      <c r="FC188" s="391"/>
      <c r="FD188" s="391"/>
      <c r="FE188" s="391"/>
      <c r="FF188" s="391"/>
      <c r="FG188" s="391"/>
      <c r="FH188" s="391"/>
      <c r="FI188" s="391"/>
      <c r="FJ188" s="391"/>
      <c r="FK188" s="391"/>
      <c r="FL188" s="391"/>
      <c r="FM188" s="391"/>
      <c r="FN188" s="391"/>
      <c r="FO188" s="391"/>
      <c r="FP188" s="391"/>
      <c r="FQ188" s="391"/>
      <c r="FR188" s="391"/>
      <c r="FS188" s="391"/>
      <c r="FT188" s="391"/>
      <c r="FU188" s="391"/>
      <c r="FV188" s="391"/>
      <c r="FW188" s="391"/>
      <c r="FX188" s="391"/>
      <c r="FY188" s="391"/>
      <c r="FZ188" s="391"/>
      <c r="GA188" s="391"/>
      <c r="GB188" s="391"/>
      <c r="GC188" s="391"/>
      <c r="GD188" s="391"/>
      <c r="GE188" s="391"/>
      <c r="GF188" s="391"/>
      <c r="GG188" s="391"/>
      <c r="GH188" s="391"/>
      <c r="GI188" s="391"/>
      <c r="GJ188" s="391"/>
      <c r="GK188" s="391"/>
      <c r="GL188" s="391"/>
      <c r="GM188" s="391"/>
      <c r="GN188" s="391"/>
      <c r="GO188" s="391"/>
      <c r="GP188" s="391"/>
      <c r="GQ188" s="391"/>
      <c r="GR188" s="391"/>
      <c r="GS188" s="391"/>
      <c r="GT188" s="391"/>
      <c r="GU188" s="391"/>
      <c r="GV188" s="391"/>
      <c r="GW188" s="391"/>
      <c r="GX188" s="391"/>
      <c r="GY188" s="391"/>
      <c r="GZ188" s="391"/>
      <c r="HA188" s="391"/>
      <c r="HB188" s="391"/>
      <c r="HC188" s="391"/>
      <c r="HD188" s="391"/>
      <c r="HE188" s="391"/>
      <c r="HF188" s="391"/>
      <c r="HG188" s="391"/>
      <c r="HH188" s="391"/>
      <c r="HI188" s="391"/>
      <c r="HJ188" s="391"/>
      <c r="HK188" s="391"/>
      <c r="HL188" s="391"/>
      <c r="HM188" s="391"/>
      <c r="HN188" s="391"/>
      <c r="HO188" s="391"/>
      <c r="HP188" s="391"/>
      <c r="HQ188" s="391"/>
      <c r="HR188" s="391"/>
      <c r="HS188" s="391"/>
      <c r="HT188" s="391"/>
      <c r="HU188" s="391"/>
      <c r="HV188" s="391"/>
      <c r="HW188" s="391"/>
      <c r="HX188" s="391"/>
      <c r="HY188" s="391"/>
      <c r="HZ188" s="391"/>
      <c r="IA188" s="391"/>
      <c r="IB188" s="391"/>
      <c r="IC188" s="391"/>
      <c r="ID188" s="391"/>
      <c r="IE188" s="391"/>
      <c r="IF188" s="391"/>
      <c r="IG188" s="391"/>
      <c r="IH188" s="391"/>
      <c r="II188" s="391"/>
      <c r="IJ188" s="391"/>
      <c r="IK188" s="391"/>
      <c r="IL188" s="391"/>
      <c r="IM188" s="391"/>
      <c r="IN188" s="391"/>
      <c r="IO188" s="391"/>
      <c r="IP188" s="391"/>
      <c r="IQ188" s="391"/>
      <c r="IR188" s="391"/>
      <c r="IS188" s="391"/>
      <c r="IT188" s="391"/>
      <c r="IU188" s="391"/>
      <c r="IV188" s="391"/>
      <c r="IW188" s="391"/>
      <c r="IX188" s="391"/>
      <c r="IY188" s="391"/>
      <c r="IZ188" s="391"/>
      <c r="JA188" s="391"/>
      <c r="JB188" s="391"/>
      <c r="JC188" s="391"/>
      <c r="JD188" s="391"/>
      <c r="JE188" s="391"/>
      <c r="JF188" s="391"/>
      <c r="JG188" s="391"/>
      <c r="JH188" s="391"/>
      <c r="JI188" s="393">
        <f t="shared" si="5"/>
        <v>0</v>
      </c>
      <c r="JJ188" s="2">
        <v>6579</v>
      </c>
      <c r="JK188" s="392">
        <f t="shared" si="6"/>
        <v>0</v>
      </c>
      <c r="JL188" s="391"/>
      <c r="JM188" s="392"/>
      <c r="JN188" s="392"/>
      <c r="JO188" s="392"/>
      <c r="JP188" s="392"/>
    </row>
    <row r="189" spans="1:276" x14ac:dyDescent="0.3">
      <c r="A189" s="391"/>
      <c r="B189" s="391"/>
      <c r="C189" s="391"/>
      <c r="D189" s="391"/>
      <c r="E189" s="391"/>
      <c r="F189" s="391"/>
      <c r="G189" s="391"/>
      <c r="H189" s="391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  <c r="T189" s="391"/>
      <c r="U189" s="391"/>
      <c r="V189" s="391"/>
      <c r="W189" s="391"/>
      <c r="X189" s="391"/>
      <c r="Y189" s="391"/>
      <c r="Z189" s="391"/>
      <c r="AA189" s="391"/>
      <c r="AB189" s="391"/>
      <c r="AC189" s="391"/>
      <c r="AD189" s="391"/>
      <c r="AE189" s="391"/>
      <c r="AF189" s="391"/>
      <c r="AG189" s="391"/>
      <c r="AH189" s="391"/>
      <c r="AI189" s="391"/>
      <c r="AJ189" s="391"/>
      <c r="AK189" s="391"/>
      <c r="AL189" s="391"/>
      <c r="AM189" s="391"/>
      <c r="AN189" s="391"/>
      <c r="AO189" s="391"/>
      <c r="AP189" s="391"/>
      <c r="AQ189" s="391"/>
      <c r="AR189" s="391"/>
      <c r="AS189" s="391"/>
      <c r="AT189" s="391"/>
      <c r="AU189" s="391"/>
      <c r="AV189" s="391"/>
      <c r="AW189" s="391"/>
      <c r="AX189" s="391"/>
      <c r="AY189" s="391"/>
      <c r="AZ189" s="391"/>
      <c r="BA189" s="391"/>
      <c r="BB189" s="391"/>
      <c r="BC189" s="391"/>
      <c r="BD189" s="391"/>
      <c r="BE189" s="391"/>
      <c r="BF189" s="391"/>
      <c r="BG189" s="391"/>
      <c r="BH189" s="391"/>
      <c r="BI189" s="391"/>
      <c r="BJ189" s="391"/>
      <c r="BK189" s="391"/>
      <c r="BL189" s="391"/>
      <c r="BM189" s="391"/>
      <c r="BN189" s="391"/>
      <c r="BO189" s="391"/>
      <c r="BP189" s="391"/>
      <c r="BQ189" s="391"/>
      <c r="BR189" s="391"/>
      <c r="BS189" s="391"/>
      <c r="BT189" s="391"/>
      <c r="BU189" s="391"/>
      <c r="BV189" s="391"/>
      <c r="BW189" s="391"/>
      <c r="BX189" s="391"/>
      <c r="BY189" s="391"/>
      <c r="BZ189" s="391"/>
      <c r="CA189" s="391"/>
      <c r="CB189" s="391"/>
      <c r="CC189" s="391"/>
      <c r="CD189" s="391"/>
      <c r="CE189" s="391"/>
      <c r="CF189" s="391"/>
      <c r="CG189" s="391"/>
      <c r="CH189" s="391"/>
      <c r="CI189" s="391"/>
      <c r="CJ189" s="391"/>
      <c r="CK189" s="391"/>
      <c r="CL189" s="391"/>
      <c r="CM189" s="391"/>
      <c r="CN189" s="391"/>
      <c r="CO189" s="391"/>
      <c r="CP189" s="391"/>
      <c r="CQ189" s="391"/>
      <c r="CR189" s="391"/>
      <c r="CS189" s="391"/>
      <c r="CT189" s="391"/>
      <c r="CU189" s="391"/>
      <c r="CV189" s="391"/>
      <c r="CW189" s="391"/>
      <c r="CX189" s="391"/>
      <c r="CY189" s="391"/>
      <c r="CZ189" s="391"/>
      <c r="DA189" s="391"/>
      <c r="DB189" s="391"/>
      <c r="DC189" s="391"/>
      <c r="DD189" s="391"/>
      <c r="DE189" s="391"/>
      <c r="DF189" s="391"/>
      <c r="DG189" s="391"/>
      <c r="DH189" s="391"/>
      <c r="DI189" s="391"/>
      <c r="DJ189" s="391"/>
      <c r="DK189" s="391"/>
      <c r="DL189" s="391"/>
      <c r="DM189" s="391"/>
      <c r="DN189" s="391"/>
      <c r="DO189" s="391"/>
      <c r="DP189" s="391"/>
      <c r="DQ189" s="391"/>
      <c r="DR189" s="391"/>
      <c r="DS189" s="391"/>
      <c r="DT189" s="391"/>
      <c r="DU189" s="391"/>
      <c r="DV189" s="391"/>
      <c r="DW189" s="391"/>
      <c r="DX189" s="391"/>
      <c r="DY189" s="391"/>
      <c r="DZ189" s="391"/>
      <c r="EA189" s="391"/>
      <c r="EB189" s="391"/>
      <c r="EC189" s="391"/>
      <c r="ED189" s="391"/>
      <c r="EE189" s="391"/>
      <c r="EF189" s="391"/>
      <c r="EG189" s="391"/>
      <c r="EH189" s="391"/>
      <c r="EI189" s="391"/>
      <c r="EJ189" s="391"/>
      <c r="EK189" s="391"/>
      <c r="EL189" s="391"/>
      <c r="EM189" s="391"/>
      <c r="EN189" s="391"/>
      <c r="EO189" s="391"/>
      <c r="EP189" s="391"/>
      <c r="EQ189" s="391"/>
      <c r="ER189" s="391"/>
      <c r="ES189" s="391"/>
      <c r="ET189" s="391"/>
      <c r="EU189" s="391"/>
      <c r="EV189" s="391"/>
      <c r="EW189" s="391"/>
      <c r="EX189" s="391"/>
      <c r="EY189" s="391"/>
      <c r="EZ189" s="391"/>
      <c r="FA189" s="391"/>
      <c r="FB189" s="391"/>
      <c r="FC189" s="391"/>
      <c r="FD189" s="391"/>
      <c r="FE189" s="391"/>
      <c r="FF189" s="391"/>
      <c r="FG189" s="391"/>
      <c r="FH189" s="391"/>
      <c r="FI189" s="391"/>
      <c r="FJ189" s="391"/>
      <c r="FK189" s="391"/>
      <c r="FL189" s="391"/>
      <c r="FM189" s="391"/>
      <c r="FN189" s="391"/>
      <c r="FO189" s="391"/>
      <c r="FP189" s="391"/>
      <c r="FQ189" s="391"/>
      <c r="FR189" s="391"/>
      <c r="FS189" s="391"/>
      <c r="FT189" s="391"/>
      <c r="FU189" s="391"/>
      <c r="FV189" s="391"/>
      <c r="FW189" s="391"/>
      <c r="FX189" s="391"/>
      <c r="FY189" s="391"/>
      <c r="FZ189" s="391"/>
      <c r="GA189" s="391"/>
      <c r="GB189" s="391"/>
      <c r="GC189" s="391"/>
      <c r="GD189" s="391"/>
      <c r="GE189" s="391"/>
      <c r="GF189" s="391"/>
      <c r="GG189" s="391"/>
      <c r="GH189" s="391"/>
      <c r="GI189" s="391"/>
      <c r="GJ189" s="391"/>
      <c r="GK189" s="391"/>
      <c r="GL189" s="391"/>
      <c r="GM189" s="391"/>
      <c r="GN189" s="391"/>
      <c r="GO189" s="391"/>
      <c r="GP189" s="391"/>
      <c r="GQ189" s="391"/>
      <c r="GR189" s="391"/>
      <c r="GS189" s="391"/>
      <c r="GT189" s="391"/>
      <c r="GU189" s="391"/>
      <c r="GV189" s="391"/>
      <c r="GW189" s="391"/>
      <c r="GX189" s="391"/>
      <c r="GY189" s="391"/>
      <c r="GZ189" s="391"/>
      <c r="HA189" s="391"/>
      <c r="HB189" s="391"/>
      <c r="HC189" s="391"/>
      <c r="HD189" s="391"/>
      <c r="HE189" s="391"/>
      <c r="HF189" s="391"/>
      <c r="HG189" s="391"/>
      <c r="HH189" s="391"/>
      <c r="HI189" s="391"/>
      <c r="HJ189" s="391"/>
      <c r="HK189" s="391"/>
      <c r="HL189" s="391"/>
      <c r="HM189" s="391"/>
      <c r="HN189" s="391"/>
      <c r="HO189" s="391"/>
      <c r="HP189" s="391"/>
      <c r="HQ189" s="391"/>
      <c r="HR189" s="391"/>
      <c r="HS189" s="391"/>
      <c r="HT189" s="391"/>
      <c r="HU189" s="391"/>
      <c r="HV189" s="391"/>
      <c r="HW189" s="391"/>
      <c r="HX189" s="391"/>
      <c r="HY189" s="391"/>
      <c r="HZ189" s="391"/>
      <c r="IA189" s="391"/>
      <c r="IB189" s="391"/>
      <c r="IC189" s="391"/>
      <c r="ID189" s="391"/>
      <c r="IE189" s="391"/>
      <c r="IF189" s="391"/>
      <c r="IG189" s="391"/>
      <c r="IH189" s="391"/>
      <c r="II189" s="391"/>
      <c r="IJ189" s="391"/>
      <c r="IK189" s="391"/>
      <c r="IL189" s="391"/>
      <c r="IM189" s="391"/>
      <c r="IN189" s="391"/>
      <c r="IO189" s="391"/>
      <c r="IP189" s="391"/>
      <c r="IQ189" s="391"/>
      <c r="IR189" s="391"/>
      <c r="IS189" s="391"/>
      <c r="IT189" s="391"/>
      <c r="IU189" s="391"/>
      <c r="IV189" s="391"/>
      <c r="IW189" s="391"/>
      <c r="IX189" s="391"/>
      <c r="IY189" s="391"/>
      <c r="IZ189" s="391"/>
      <c r="JA189" s="391"/>
      <c r="JB189" s="391"/>
      <c r="JC189" s="391"/>
      <c r="JD189" s="391"/>
      <c r="JE189" s="391"/>
      <c r="JF189" s="391"/>
      <c r="JG189" s="391"/>
      <c r="JH189" s="391"/>
      <c r="JI189" s="393">
        <f t="shared" si="5"/>
        <v>0</v>
      </c>
      <c r="JJ189" s="2">
        <v>6583</v>
      </c>
      <c r="JK189" s="392">
        <f t="shared" si="6"/>
        <v>0</v>
      </c>
      <c r="JL189" s="391"/>
      <c r="JM189" s="392"/>
      <c r="JN189" s="392"/>
      <c r="JO189" s="392"/>
      <c r="JP189" s="392"/>
    </row>
    <row r="190" spans="1:276" x14ac:dyDescent="0.3">
      <c r="A190" s="391"/>
      <c r="B190" s="391"/>
      <c r="C190" s="391"/>
      <c r="D190" s="391"/>
      <c r="E190" s="391"/>
      <c r="F190" s="391"/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  <c r="X190" s="391"/>
      <c r="Y190" s="391"/>
      <c r="Z190" s="391"/>
      <c r="AA190" s="391"/>
      <c r="AB190" s="391"/>
      <c r="AC190" s="391"/>
      <c r="AD190" s="391"/>
      <c r="AE190" s="391"/>
      <c r="AF190" s="391"/>
      <c r="AG190" s="391"/>
      <c r="AH190" s="391"/>
      <c r="AI190" s="391"/>
      <c r="AJ190" s="391"/>
      <c r="AK190" s="391"/>
      <c r="AL190" s="391"/>
      <c r="AM190" s="391"/>
      <c r="AN190" s="391"/>
      <c r="AO190" s="391"/>
      <c r="AP190" s="391"/>
      <c r="AQ190" s="391"/>
      <c r="AR190" s="391"/>
      <c r="AS190" s="391"/>
      <c r="AT190" s="391"/>
      <c r="AU190" s="391"/>
      <c r="AV190" s="391"/>
      <c r="AW190" s="391"/>
      <c r="AX190" s="391"/>
      <c r="AY190" s="391"/>
      <c r="AZ190" s="391"/>
      <c r="BA190" s="391"/>
      <c r="BB190" s="391"/>
      <c r="BC190" s="391"/>
      <c r="BD190" s="391"/>
      <c r="BE190" s="391"/>
      <c r="BF190" s="391"/>
      <c r="BG190" s="391"/>
      <c r="BH190" s="391"/>
      <c r="BI190" s="391"/>
      <c r="BJ190" s="391"/>
      <c r="BK190" s="391"/>
      <c r="BL190" s="391"/>
      <c r="BM190" s="391"/>
      <c r="BN190" s="391"/>
      <c r="BO190" s="391"/>
      <c r="BP190" s="391"/>
      <c r="BQ190" s="391"/>
      <c r="BR190" s="391"/>
      <c r="BS190" s="391"/>
      <c r="BT190" s="391"/>
      <c r="BU190" s="391"/>
      <c r="BV190" s="391"/>
      <c r="BW190" s="391"/>
      <c r="BX190" s="391"/>
      <c r="BY190" s="391"/>
      <c r="BZ190" s="391"/>
      <c r="CA190" s="391"/>
      <c r="CB190" s="391"/>
      <c r="CC190" s="391"/>
      <c r="CD190" s="391"/>
      <c r="CE190" s="391"/>
      <c r="CF190" s="391"/>
      <c r="CG190" s="391"/>
      <c r="CH190" s="391"/>
      <c r="CI190" s="391"/>
      <c r="CJ190" s="391"/>
      <c r="CK190" s="391"/>
      <c r="CL190" s="391"/>
      <c r="CM190" s="391"/>
      <c r="CN190" s="391"/>
      <c r="CO190" s="391"/>
      <c r="CP190" s="391"/>
      <c r="CQ190" s="391"/>
      <c r="CR190" s="391"/>
      <c r="CS190" s="391"/>
      <c r="CT190" s="391"/>
      <c r="CU190" s="391"/>
      <c r="CV190" s="391"/>
      <c r="CW190" s="391"/>
      <c r="CX190" s="391"/>
      <c r="CY190" s="391"/>
      <c r="CZ190" s="391"/>
      <c r="DA190" s="391"/>
      <c r="DB190" s="391"/>
      <c r="DC190" s="391"/>
      <c r="DD190" s="391"/>
      <c r="DE190" s="391"/>
      <c r="DF190" s="391"/>
      <c r="DG190" s="391"/>
      <c r="DH190" s="391"/>
      <c r="DI190" s="391"/>
      <c r="DJ190" s="391"/>
      <c r="DK190" s="391"/>
      <c r="DL190" s="391"/>
      <c r="DM190" s="391"/>
      <c r="DN190" s="391"/>
      <c r="DO190" s="391"/>
      <c r="DP190" s="391"/>
      <c r="DQ190" s="391"/>
      <c r="DR190" s="391"/>
      <c r="DS190" s="391"/>
      <c r="DT190" s="391"/>
      <c r="DU190" s="391"/>
      <c r="DV190" s="391"/>
      <c r="DW190" s="391"/>
      <c r="DX190" s="391"/>
      <c r="DY190" s="391"/>
      <c r="DZ190" s="391"/>
      <c r="EA190" s="391"/>
      <c r="EB190" s="391"/>
      <c r="EC190" s="391"/>
      <c r="ED190" s="391"/>
      <c r="EE190" s="391"/>
      <c r="EF190" s="391"/>
      <c r="EG190" s="391"/>
      <c r="EH190" s="391"/>
      <c r="EI190" s="391"/>
      <c r="EJ190" s="391"/>
      <c r="EK190" s="391"/>
      <c r="EL190" s="391"/>
      <c r="EM190" s="391"/>
      <c r="EN190" s="391"/>
      <c r="EO190" s="391"/>
      <c r="EP190" s="391"/>
      <c r="EQ190" s="391"/>
      <c r="ER190" s="391"/>
      <c r="ES190" s="391"/>
      <c r="ET190" s="391"/>
      <c r="EU190" s="391"/>
      <c r="EV190" s="391"/>
      <c r="EW190" s="391"/>
      <c r="EX190" s="391"/>
      <c r="EY190" s="391"/>
      <c r="EZ190" s="391"/>
      <c r="FA190" s="391"/>
      <c r="FB190" s="391"/>
      <c r="FC190" s="391"/>
      <c r="FD190" s="391"/>
      <c r="FE190" s="391"/>
      <c r="FF190" s="391"/>
      <c r="FG190" s="391"/>
      <c r="FH190" s="391"/>
      <c r="FI190" s="391"/>
      <c r="FJ190" s="391"/>
      <c r="FK190" s="391"/>
      <c r="FL190" s="391"/>
      <c r="FM190" s="391"/>
      <c r="FN190" s="391"/>
      <c r="FO190" s="391"/>
      <c r="FP190" s="391"/>
      <c r="FQ190" s="391"/>
      <c r="FR190" s="391"/>
      <c r="FS190" s="391"/>
      <c r="FT190" s="391"/>
      <c r="FU190" s="391"/>
      <c r="FV190" s="391"/>
      <c r="FW190" s="391"/>
      <c r="FX190" s="391"/>
      <c r="FY190" s="391"/>
      <c r="FZ190" s="391"/>
      <c r="GA190" s="391"/>
      <c r="GB190" s="391"/>
      <c r="GC190" s="391"/>
      <c r="GD190" s="391"/>
      <c r="GE190" s="391"/>
      <c r="GF190" s="391"/>
      <c r="GG190" s="391"/>
      <c r="GH190" s="391"/>
      <c r="GI190" s="391"/>
      <c r="GJ190" s="391"/>
      <c r="GK190" s="391"/>
      <c r="GL190" s="391"/>
      <c r="GM190" s="391"/>
      <c r="GN190" s="391"/>
      <c r="GO190" s="391"/>
      <c r="GP190" s="391"/>
      <c r="GQ190" s="391"/>
      <c r="GR190" s="391"/>
      <c r="GS190" s="391"/>
      <c r="GT190" s="391"/>
      <c r="GU190" s="391"/>
      <c r="GV190" s="391"/>
      <c r="GW190" s="391"/>
      <c r="GX190" s="391"/>
      <c r="GY190" s="391"/>
      <c r="GZ190" s="391"/>
      <c r="HA190" s="391"/>
      <c r="HB190" s="391"/>
      <c r="HC190" s="391"/>
      <c r="HD190" s="391"/>
      <c r="HE190" s="391"/>
      <c r="HF190" s="391"/>
      <c r="HG190" s="391"/>
      <c r="HH190" s="391"/>
      <c r="HI190" s="391"/>
      <c r="HJ190" s="391"/>
      <c r="HK190" s="391"/>
      <c r="HL190" s="391"/>
      <c r="HM190" s="391"/>
      <c r="HN190" s="391"/>
      <c r="HO190" s="391"/>
      <c r="HP190" s="391"/>
      <c r="HQ190" s="391"/>
      <c r="HR190" s="391"/>
      <c r="HS190" s="391"/>
      <c r="HT190" s="391"/>
      <c r="HU190" s="391"/>
      <c r="HV190" s="391"/>
      <c r="HW190" s="391"/>
      <c r="HX190" s="391"/>
      <c r="HY190" s="391"/>
      <c r="HZ190" s="391"/>
      <c r="IA190" s="391"/>
      <c r="IB190" s="391"/>
      <c r="IC190" s="391"/>
      <c r="ID190" s="391"/>
      <c r="IE190" s="391"/>
      <c r="IF190" s="391"/>
      <c r="IG190" s="391"/>
      <c r="IH190" s="391"/>
      <c r="II190" s="391"/>
      <c r="IJ190" s="391"/>
      <c r="IK190" s="391"/>
      <c r="IL190" s="391"/>
      <c r="IM190" s="391"/>
      <c r="IN190" s="391"/>
      <c r="IO190" s="391"/>
      <c r="IP190" s="391"/>
      <c r="IQ190" s="391"/>
      <c r="IR190" s="391"/>
      <c r="IS190" s="391"/>
      <c r="IT190" s="391"/>
      <c r="IU190" s="391"/>
      <c r="IV190" s="391"/>
      <c r="IW190" s="391"/>
      <c r="IX190" s="391"/>
      <c r="IY190" s="391"/>
      <c r="IZ190" s="391"/>
      <c r="JA190" s="391"/>
      <c r="JB190" s="391"/>
      <c r="JC190" s="391"/>
      <c r="JD190" s="391"/>
      <c r="JE190" s="391"/>
      <c r="JF190" s="391"/>
      <c r="JG190" s="391"/>
      <c r="JH190" s="391"/>
      <c r="JI190" s="393">
        <f t="shared" si="5"/>
        <v>0</v>
      </c>
      <c r="JJ190" s="2">
        <v>6587</v>
      </c>
      <c r="JK190" s="392">
        <f t="shared" si="6"/>
        <v>0</v>
      </c>
      <c r="JL190" s="391"/>
      <c r="JM190" s="392"/>
      <c r="JN190" s="392"/>
      <c r="JO190" s="392"/>
      <c r="JP190" s="392"/>
    </row>
    <row r="191" spans="1:276" x14ac:dyDescent="0.3">
      <c r="A191" s="391"/>
      <c r="B191" s="391"/>
      <c r="C191" s="391"/>
      <c r="D191" s="391"/>
      <c r="E191" s="391"/>
      <c r="F191" s="391"/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  <c r="W191" s="391"/>
      <c r="X191" s="391"/>
      <c r="Y191" s="391"/>
      <c r="Z191" s="391"/>
      <c r="AA191" s="391"/>
      <c r="AB191" s="391"/>
      <c r="AC191" s="391"/>
      <c r="AD191" s="391"/>
      <c r="AE191" s="391"/>
      <c r="AF191" s="391"/>
      <c r="AG191" s="391"/>
      <c r="AH191" s="391"/>
      <c r="AI191" s="391"/>
      <c r="AJ191" s="391"/>
      <c r="AK191" s="391"/>
      <c r="AL191" s="391"/>
      <c r="AM191" s="391"/>
      <c r="AN191" s="391"/>
      <c r="AO191" s="391"/>
      <c r="AP191" s="391"/>
      <c r="AQ191" s="391"/>
      <c r="AR191" s="391"/>
      <c r="AS191" s="391"/>
      <c r="AT191" s="391"/>
      <c r="AU191" s="391"/>
      <c r="AV191" s="391"/>
      <c r="AW191" s="391"/>
      <c r="AX191" s="391"/>
      <c r="AY191" s="391"/>
      <c r="AZ191" s="391"/>
      <c r="BA191" s="391"/>
      <c r="BB191" s="391"/>
      <c r="BC191" s="391"/>
      <c r="BD191" s="391"/>
      <c r="BE191" s="391"/>
      <c r="BF191" s="391"/>
      <c r="BG191" s="391"/>
      <c r="BH191" s="391"/>
      <c r="BI191" s="391"/>
      <c r="BJ191" s="391"/>
      <c r="BK191" s="391"/>
      <c r="BL191" s="391"/>
      <c r="BM191" s="391"/>
      <c r="BN191" s="391"/>
      <c r="BO191" s="391"/>
      <c r="BP191" s="391"/>
      <c r="BQ191" s="391"/>
      <c r="BR191" s="391"/>
      <c r="BS191" s="391"/>
      <c r="BT191" s="391"/>
      <c r="BU191" s="391"/>
      <c r="BV191" s="391"/>
      <c r="BW191" s="391"/>
      <c r="BX191" s="391"/>
      <c r="BY191" s="391"/>
      <c r="BZ191" s="391"/>
      <c r="CA191" s="391"/>
      <c r="CB191" s="391"/>
      <c r="CC191" s="391"/>
      <c r="CD191" s="391"/>
      <c r="CE191" s="391"/>
      <c r="CF191" s="391"/>
      <c r="CG191" s="391"/>
      <c r="CH191" s="391"/>
      <c r="CI191" s="391"/>
      <c r="CJ191" s="391"/>
      <c r="CK191" s="391"/>
      <c r="CL191" s="391"/>
      <c r="CM191" s="391"/>
      <c r="CN191" s="391"/>
      <c r="CO191" s="391"/>
      <c r="CP191" s="391"/>
      <c r="CQ191" s="391"/>
      <c r="CR191" s="391"/>
      <c r="CS191" s="391"/>
      <c r="CT191" s="391"/>
      <c r="CU191" s="391"/>
      <c r="CV191" s="391"/>
      <c r="CW191" s="391"/>
      <c r="CX191" s="391"/>
      <c r="CY191" s="391"/>
      <c r="CZ191" s="391"/>
      <c r="DA191" s="391"/>
      <c r="DB191" s="391"/>
      <c r="DC191" s="391"/>
      <c r="DD191" s="391"/>
      <c r="DE191" s="391"/>
      <c r="DF191" s="391"/>
      <c r="DG191" s="391"/>
      <c r="DH191" s="391"/>
      <c r="DI191" s="391"/>
      <c r="DJ191" s="391"/>
      <c r="DK191" s="391"/>
      <c r="DL191" s="391"/>
      <c r="DM191" s="391"/>
      <c r="DN191" s="391"/>
      <c r="DO191" s="391"/>
      <c r="DP191" s="391"/>
      <c r="DQ191" s="391"/>
      <c r="DR191" s="391"/>
      <c r="DS191" s="391"/>
      <c r="DT191" s="391"/>
      <c r="DU191" s="391"/>
      <c r="DV191" s="391"/>
      <c r="DW191" s="391"/>
      <c r="DX191" s="391"/>
      <c r="DY191" s="391"/>
      <c r="DZ191" s="391"/>
      <c r="EA191" s="391"/>
      <c r="EB191" s="391"/>
      <c r="EC191" s="391"/>
      <c r="ED191" s="391"/>
      <c r="EE191" s="391"/>
      <c r="EF191" s="391"/>
      <c r="EG191" s="391"/>
      <c r="EH191" s="391"/>
      <c r="EI191" s="391"/>
      <c r="EJ191" s="391"/>
      <c r="EK191" s="391"/>
      <c r="EL191" s="391"/>
      <c r="EM191" s="391"/>
      <c r="EN191" s="391"/>
      <c r="EO191" s="391"/>
      <c r="EP191" s="391"/>
      <c r="EQ191" s="391"/>
      <c r="ER191" s="391"/>
      <c r="ES191" s="391"/>
      <c r="ET191" s="391"/>
      <c r="EU191" s="391"/>
      <c r="EV191" s="391"/>
      <c r="EW191" s="391"/>
      <c r="EX191" s="391"/>
      <c r="EY191" s="391"/>
      <c r="EZ191" s="391"/>
      <c r="FA191" s="391"/>
      <c r="FB191" s="391"/>
      <c r="FC191" s="391"/>
      <c r="FD191" s="391"/>
      <c r="FE191" s="391"/>
      <c r="FF191" s="391"/>
      <c r="FG191" s="391"/>
      <c r="FH191" s="391"/>
      <c r="FI191" s="391"/>
      <c r="FJ191" s="391"/>
      <c r="FK191" s="391"/>
      <c r="FL191" s="391"/>
      <c r="FM191" s="391"/>
      <c r="FN191" s="391"/>
      <c r="FO191" s="391"/>
      <c r="FP191" s="391"/>
      <c r="FQ191" s="391"/>
      <c r="FR191" s="391"/>
      <c r="FS191" s="391"/>
      <c r="FT191" s="391"/>
      <c r="FU191" s="391"/>
      <c r="FV191" s="391"/>
      <c r="FW191" s="391"/>
      <c r="FX191" s="391"/>
      <c r="FY191" s="391"/>
      <c r="FZ191" s="391"/>
      <c r="GA191" s="391"/>
      <c r="GB191" s="391"/>
      <c r="GC191" s="391"/>
      <c r="GD191" s="391"/>
      <c r="GE191" s="391"/>
      <c r="GF191" s="391"/>
      <c r="GG191" s="391"/>
      <c r="GH191" s="391"/>
      <c r="GI191" s="391"/>
      <c r="GJ191" s="391"/>
      <c r="GK191" s="391"/>
      <c r="GL191" s="391"/>
      <c r="GM191" s="391"/>
      <c r="GN191" s="391"/>
      <c r="GO191" s="391"/>
      <c r="GP191" s="391"/>
      <c r="GQ191" s="391"/>
      <c r="GR191" s="391"/>
      <c r="GS191" s="391"/>
      <c r="GT191" s="391"/>
      <c r="GU191" s="391"/>
      <c r="GV191" s="391"/>
      <c r="GW191" s="391"/>
      <c r="GX191" s="391"/>
      <c r="GY191" s="391"/>
      <c r="GZ191" s="391"/>
      <c r="HA191" s="391"/>
      <c r="HB191" s="391"/>
      <c r="HC191" s="391"/>
      <c r="HD191" s="391"/>
      <c r="HE191" s="391"/>
      <c r="HF191" s="391"/>
      <c r="HG191" s="391"/>
      <c r="HH191" s="391"/>
      <c r="HI191" s="391"/>
      <c r="HJ191" s="391"/>
      <c r="HK191" s="391"/>
      <c r="HL191" s="391"/>
      <c r="HM191" s="391"/>
      <c r="HN191" s="391"/>
      <c r="HO191" s="391"/>
      <c r="HP191" s="391"/>
      <c r="HQ191" s="391"/>
      <c r="HR191" s="391"/>
      <c r="HS191" s="391"/>
      <c r="HT191" s="391"/>
      <c r="HU191" s="391"/>
      <c r="HV191" s="391"/>
      <c r="HW191" s="391"/>
      <c r="HX191" s="391"/>
      <c r="HY191" s="391"/>
      <c r="HZ191" s="391"/>
      <c r="IA191" s="391"/>
      <c r="IB191" s="391"/>
      <c r="IC191" s="391"/>
      <c r="ID191" s="391"/>
      <c r="IE191" s="391"/>
      <c r="IF191" s="391"/>
      <c r="IG191" s="391"/>
      <c r="IH191" s="391"/>
      <c r="II191" s="391"/>
      <c r="IJ191" s="391"/>
      <c r="IK191" s="391"/>
      <c r="IL191" s="391"/>
      <c r="IM191" s="391"/>
      <c r="IN191" s="391"/>
      <c r="IO191" s="391"/>
      <c r="IP191" s="391"/>
      <c r="IQ191" s="391"/>
      <c r="IR191" s="391"/>
      <c r="IS191" s="391"/>
      <c r="IT191" s="391"/>
      <c r="IU191" s="391"/>
      <c r="IV191" s="391"/>
      <c r="IW191" s="391"/>
      <c r="IX191" s="391"/>
      <c r="IY191" s="391"/>
      <c r="IZ191" s="391"/>
      <c r="JA191" s="391"/>
      <c r="JB191" s="391"/>
      <c r="JC191" s="391"/>
      <c r="JD191" s="391"/>
      <c r="JE191" s="391"/>
      <c r="JF191" s="391"/>
      <c r="JG191" s="391"/>
      <c r="JH191" s="391"/>
      <c r="JI191" s="393">
        <f t="shared" si="5"/>
        <v>0</v>
      </c>
      <c r="JJ191" s="2">
        <v>6591</v>
      </c>
      <c r="JK191" s="392">
        <f t="shared" si="6"/>
        <v>0</v>
      </c>
      <c r="JL191" s="391"/>
      <c r="JM191" s="392"/>
      <c r="JN191" s="392"/>
      <c r="JO191" s="392"/>
      <c r="JP191" s="392"/>
    </row>
    <row r="192" spans="1:276" x14ac:dyDescent="0.3">
      <c r="A192" s="391"/>
      <c r="B192" s="391"/>
      <c r="C192" s="391"/>
      <c r="D192" s="391"/>
      <c r="E192" s="391"/>
      <c r="F192" s="391"/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  <c r="W192" s="391"/>
      <c r="X192" s="391"/>
      <c r="Y192" s="391"/>
      <c r="Z192" s="391"/>
      <c r="AA192" s="391"/>
      <c r="AB192" s="391"/>
      <c r="AC192" s="391"/>
      <c r="AD192" s="391"/>
      <c r="AE192" s="391"/>
      <c r="AF192" s="391"/>
      <c r="AG192" s="391"/>
      <c r="AH192" s="391"/>
      <c r="AI192" s="391"/>
      <c r="AJ192" s="391"/>
      <c r="AK192" s="391"/>
      <c r="AL192" s="391"/>
      <c r="AM192" s="391"/>
      <c r="AN192" s="391"/>
      <c r="AO192" s="391"/>
      <c r="AP192" s="391"/>
      <c r="AQ192" s="391"/>
      <c r="AR192" s="391"/>
      <c r="AS192" s="391"/>
      <c r="AT192" s="391"/>
      <c r="AU192" s="391"/>
      <c r="AV192" s="391"/>
      <c r="AW192" s="391"/>
      <c r="AX192" s="391"/>
      <c r="AY192" s="391"/>
      <c r="AZ192" s="391"/>
      <c r="BA192" s="391"/>
      <c r="BB192" s="391"/>
      <c r="BC192" s="391"/>
      <c r="BD192" s="391"/>
      <c r="BE192" s="391"/>
      <c r="BF192" s="391"/>
      <c r="BG192" s="391"/>
      <c r="BH192" s="391"/>
      <c r="BI192" s="391"/>
      <c r="BJ192" s="391"/>
      <c r="BK192" s="391"/>
      <c r="BL192" s="391"/>
      <c r="BM192" s="391"/>
      <c r="BN192" s="391"/>
      <c r="BO192" s="391"/>
      <c r="BP192" s="391"/>
      <c r="BQ192" s="391"/>
      <c r="BR192" s="391"/>
      <c r="BS192" s="391"/>
      <c r="BT192" s="391"/>
      <c r="BU192" s="391"/>
      <c r="BV192" s="391"/>
      <c r="BW192" s="391"/>
      <c r="BX192" s="391"/>
      <c r="BY192" s="391"/>
      <c r="BZ192" s="391"/>
      <c r="CA192" s="391"/>
      <c r="CB192" s="391"/>
      <c r="CC192" s="391"/>
      <c r="CD192" s="391"/>
      <c r="CE192" s="391"/>
      <c r="CF192" s="391"/>
      <c r="CG192" s="391"/>
      <c r="CH192" s="391"/>
      <c r="CI192" s="391"/>
      <c r="CJ192" s="391"/>
      <c r="CK192" s="391"/>
      <c r="CL192" s="391"/>
      <c r="CM192" s="391"/>
      <c r="CN192" s="391"/>
      <c r="CO192" s="391"/>
      <c r="CP192" s="391"/>
      <c r="CQ192" s="391"/>
      <c r="CR192" s="391"/>
      <c r="CS192" s="391"/>
      <c r="CT192" s="391"/>
      <c r="CU192" s="391"/>
      <c r="CV192" s="391"/>
      <c r="CW192" s="391"/>
      <c r="CX192" s="391"/>
      <c r="CY192" s="391"/>
      <c r="CZ192" s="391"/>
      <c r="DA192" s="391"/>
      <c r="DB192" s="391"/>
      <c r="DC192" s="391"/>
      <c r="DD192" s="391"/>
      <c r="DE192" s="391"/>
      <c r="DF192" s="391"/>
      <c r="DG192" s="391"/>
      <c r="DH192" s="391"/>
      <c r="DI192" s="391"/>
      <c r="DJ192" s="391"/>
      <c r="DK192" s="391"/>
      <c r="DL192" s="391"/>
      <c r="DM192" s="391"/>
      <c r="DN192" s="391"/>
      <c r="DO192" s="391"/>
      <c r="DP192" s="391"/>
      <c r="DQ192" s="391"/>
      <c r="DR192" s="391"/>
      <c r="DS192" s="391"/>
      <c r="DT192" s="391"/>
      <c r="DU192" s="391"/>
      <c r="DV192" s="391"/>
      <c r="DW192" s="391"/>
      <c r="DX192" s="391"/>
      <c r="DY192" s="391"/>
      <c r="DZ192" s="391"/>
      <c r="EA192" s="391"/>
      <c r="EB192" s="391"/>
      <c r="EC192" s="391"/>
      <c r="ED192" s="391"/>
      <c r="EE192" s="391"/>
      <c r="EF192" s="391"/>
      <c r="EG192" s="391"/>
      <c r="EH192" s="391"/>
      <c r="EI192" s="391"/>
      <c r="EJ192" s="391"/>
      <c r="EK192" s="391"/>
      <c r="EL192" s="391"/>
      <c r="EM192" s="391"/>
      <c r="EN192" s="391"/>
      <c r="EO192" s="391"/>
      <c r="EP192" s="391"/>
      <c r="EQ192" s="391"/>
      <c r="ER192" s="391"/>
      <c r="ES192" s="391"/>
      <c r="ET192" s="391"/>
      <c r="EU192" s="391"/>
      <c r="EV192" s="391"/>
      <c r="EW192" s="391"/>
      <c r="EX192" s="391"/>
      <c r="EY192" s="391"/>
      <c r="EZ192" s="391"/>
      <c r="FA192" s="391"/>
      <c r="FB192" s="391"/>
      <c r="FC192" s="391"/>
      <c r="FD192" s="391"/>
      <c r="FE192" s="391"/>
      <c r="FF192" s="391"/>
      <c r="FG192" s="391"/>
      <c r="FH192" s="391"/>
      <c r="FI192" s="391"/>
      <c r="FJ192" s="391"/>
      <c r="FK192" s="391"/>
      <c r="FL192" s="391"/>
      <c r="FM192" s="391"/>
      <c r="FN192" s="391"/>
      <c r="FO192" s="391"/>
      <c r="FP192" s="391"/>
      <c r="FQ192" s="391"/>
      <c r="FR192" s="391"/>
      <c r="FS192" s="391"/>
      <c r="FT192" s="391"/>
      <c r="FU192" s="391"/>
      <c r="FV192" s="391"/>
      <c r="FW192" s="391"/>
      <c r="FX192" s="391"/>
      <c r="FY192" s="391"/>
      <c r="FZ192" s="391"/>
      <c r="GA192" s="391"/>
      <c r="GB192" s="391"/>
      <c r="GC192" s="391"/>
      <c r="GD192" s="391"/>
      <c r="GE192" s="391"/>
      <c r="GF192" s="391"/>
      <c r="GG192" s="391"/>
      <c r="GH192" s="391"/>
      <c r="GI192" s="391"/>
      <c r="GJ192" s="391"/>
      <c r="GK192" s="391"/>
      <c r="GL192" s="391"/>
      <c r="GM192" s="391"/>
      <c r="GN192" s="391"/>
      <c r="GO192" s="391"/>
      <c r="GP192" s="391"/>
      <c r="GQ192" s="391"/>
      <c r="GR192" s="391"/>
      <c r="GS192" s="391"/>
      <c r="GT192" s="391"/>
      <c r="GU192" s="391"/>
      <c r="GV192" s="391"/>
      <c r="GW192" s="391"/>
      <c r="GX192" s="391"/>
      <c r="GY192" s="391"/>
      <c r="GZ192" s="391"/>
      <c r="HA192" s="391"/>
      <c r="HB192" s="391"/>
      <c r="HC192" s="391"/>
      <c r="HD192" s="391"/>
      <c r="HE192" s="391"/>
      <c r="HF192" s="391"/>
      <c r="HG192" s="391"/>
      <c r="HH192" s="391"/>
      <c r="HI192" s="391"/>
      <c r="HJ192" s="391"/>
      <c r="HK192" s="391"/>
      <c r="HL192" s="391"/>
      <c r="HM192" s="391"/>
      <c r="HN192" s="391"/>
      <c r="HO192" s="391"/>
      <c r="HP192" s="391"/>
      <c r="HQ192" s="391"/>
      <c r="HR192" s="391"/>
      <c r="HS192" s="391"/>
      <c r="HT192" s="391"/>
      <c r="HU192" s="391"/>
      <c r="HV192" s="391"/>
      <c r="HW192" s="391"/>
      <c r="HX192" s="391"/>
      <c r="HY192" s="391"/>
      <c r="HZ192" s="391"/>
      <c r="IA192" s="391"/>
      <c r="IB192" s="391"/>
      <c r="IC192" s="391"/>
      <c r="ID192" s="391"/>
      <c r="IE192" s="391"/>
      <c r="IF192" s="391"/>
      <c r="IG192" s="391"/>
      <c r="IH192" s="391"/>
      <c r="II192" s="391"/>
      <c r="IJ192" s="391"/>
      <c r="IK192" s="391"/>
      <c r="IL192" s="391"/>
      <c r="IM192" s="391"/>
      <c r="IN192" s="391"/>
      <c r="IO192" s="391"/>
      <c r="IP192" s="391"/>
      <c r="IQ192" s="391"/>
      <c r="IR192" s="391"/>
      <c r="IS192" s="391"/>
      <c r="IT192" s="391"/>
      <c r="IU192" s="391"/>
      <c r="IV192" s="391"/>
      <c r="IW192" s="391"/>
      <c r="IX192" s="391"/>
      <c r="IY192" s="391"/>
      <c r="IZ192" s="391"/>
      <c r="JA192" s="391"/>
      <c r="JB192" s="391"/>
      <c r="JC192" s="391"/>
      <c r="JD192" s="391"/>
      <c r="JE192" s="391"/>
      <c r="JF192" s="391"/>
      <c r="JG192" s="391"/>
      <c r="JH192" s="391"/>
      <c r="JI192" s="393">
        <f t="shared" si="5"/>
        <v>0</v>
      </c>
      <c r="JJ192" s="2">
        <v>6592</v>
      </c>
      <c r="JK192" s="392">
        <f t="shared" si="6"/>
        <v>0</v>
      </c>
      <c r="JL192" s="391"/>
      <c r="JM192" s="392"/>
      <c r="JN192" s="392"/>
      <c r="JO192" s="392"/>
      <c r="JP192" s="392"/>
    </row>
    <row r="193" spans="1:276" x14ac:dyDescent="0.3">
      <c r="A193" s="391"/>
      <c r="B193" s="391"/>
      <c r="C193" s="391"/>
      <c r="D193" s="391"/>
      <c r="E193" s="391"/>
      <c r="F193" s="391"/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391"/>
      <c r="X193" s="391"/>
      <c r="Y193" s="391"/>
      <c r="Z193" s="391"/>
      <c r="AA193" s="391"/>
      <c r="AB193" s="391"/>
      <c r="AC193" s="391"/>
      <c r="AD193" s="391"/>
      <c r="AE193" s="391"/>
      <c r="AF193" s="391"/>
      <c r="AG193" s="391"/>
      <c r="AH193" s="391"/>
      <c r="AI193" s="391"/>
      <c r="AJ193" s="391"/>
      <c r="AK193" s="391"/>
      <c r="AL193" s="391"/>
      <c r="AM193" s="391"/>
      <c r="AN193" s="391"/>
      <c r="AO193" s="391"/>
      <c r="AP193" s="391"/>
      <c r="AQ193" s="391"/>
      <c r="AR193" s="391"/>
      <c r="AS193" s="391"/>
      <c r="AT193" s="391"/>
      <c r="AU193" s="391"/>
      <c r="AV193" s="391"/>
      <c r="AW193" s="391"/>
      <c r="AX193" s="391"/>
      <c r="AY193" s="391"/>
      <c r="AZ193" s="391"/>
      <c r="BA193" s="391"/>
      <c r="BB193" s="391"/>
      <c r="BC193" s="391"/>
      <c r="BD193" s="391"/>
      <c r="BE193" s="391"/>
      <c r="BF193" s="391"/>
      <c r="BG193" s="391"/>
      <c r="BH193" s="391"/>
      <c r="BI193" s="391"/>
      <c r="BJ193" s="391"/>
      <c r="BK193" s="391"/>
      <c r="BL193" s="391"/>
      <c r="BM193" s="391"/>
      <c r="BN193" s="391"/>
      <c r="BO193" s="391"/>
      <c r="BP193" s="391"/>
      <c r="BQ193" s="391"/>
      <c r="BR193" s="391"/>
      <c r="BS193" s="391"/>
      <c r="BT193" s="391"/>
      <c r="BU193" s="391"/>
      <c r="BV193" s="391"/>
      <c r="BW193" s="391"/>
      <c r="BX193" s="391"/>
      <c r="BY193" s="391"/>
      <c r="BZ193" s="391"/>
      <c r="CA193" s="391"/>
      <c r="CB193" s="391"/>
      <c r="CC193" s="391"/>
      <c r="CD193" s="391"/>
      <c r="CE193" s="391"/>
      <c r="CF193" s="391"/>
      <c r="CG193" s="391"/>
      <c r="CH193" s="391"/>
      <c r="CI193" s="391"/>
      <c r="CJ193" s="391"/>
      <c r="CK193" s="391"/>
      <c r="CL193" s="391"/>
      <c r="CM193" s="391"/>
      <c r="CN193" s="391"/>
      <c r="CO193" s="391"/>
      <c r="CP193" s="391"/>
      <c r="CQ193" s="391"/>
      <c r="CR193" s="391"/>
      <c r="CS193" s="391"/>
      <c r="CT193" s="391"/>
      <c r="CU193" s="391"/>
      <c r="CV193" s="391"/>
      <c r="CW193" s="391"/>
      <c r="CX193" s="391"/>
      <c r="CY193" s="391"/>
      <c r="CZ193" s="391"/>
      <c r="DA193" s="391"/>
      <c r="DB193" s="391"/>
      <c r="DC193" s="391"/>
      <c r="DD193" s="391"/>
      <c r="DE193" s="391"/>
      <c r="DF193" s="391"/>
      <c r="DG193" s="391"/>
      <c r="DH193" s="391"/>
      <c r="DI193" s="391"/>
      <c r="DJ193" s="391"/>
      <c r="DK193" s="391"/>
      <c r="DL193" s="391"/>
      <c r="DM193" s="391"/>
      <c r="DN193" s="391"/>
      <c r="DO193" s="391"/>
      <c r="DP193" s="391"/>
      <c r="DQ193" s="391"/>
      <c r="DR193" s="391"/>
      <c r="DS193" s="391"/>
      <c r="DT193" s="391"/>
      <c r="DU193" s="391"/>
      <c r="DV193" s="391"/>
      <c r="DW193" s="391"/>
      <c r="DX193" s="391"/>
      <c r="DY193" s="391"/>
      <c r="DZ193" s="391"/>
      <c r="EA193" s="391"/>
      <c r="EB193" s="391"/>
      <c r="EC193" s="391"/>
      <c r="ED193" s="391"/>
      <c r="EE193" s="391"/>
      <c r="EF193" s="391"/>
      <c r="EG193" s="391"/>
      <c r="EH193" s="391"/>
      <c r="EI193" s="391"/>
      <c r="EJ193" s="391"/>
      <c r="EK193" s="391"/>
      <c r="EL193" s="391"/>
      <c r="EM193" s="391"/>
      <c r="EN193" s="391"/>
      <c r="EO193" s="391"/>
      <c r="EP193" s="391"/>
      <c r="EQ193" s="391"/>
      <c r="ER193" s="391"/>
      <c r="ES193" s="391"/>
      <c r="ET193" s="391"/>
      <c r="EU193" s="391"/>
      <c r="EV193" s="391"/>
      <c r="EW193" s="391"/>
      <c r="EX193" s="391"/>
      <c r="EY193" s="391"/>
      <c r="EZ193" s="391"/>
      <c r="FA193" s="391"/>
      <c r="FB193" s="391"/>
      <c r="FC193" s="391"/>
      <c r="FD193" s="391"/>
      <c r="FE193" s="391"/>
      <c r="FF193" s="391"/>
      <c r="FG193" s="391"/>
      <c r="FH193" s="391"/>
      <c r="FI193" s="391"/>
      <c r="FJ193" s="391"/>
      <c r="FK193" s="391"/>
      <c r="FL193" s="391"/>
      <c r="FM193" s="391"/>
      <c r="FN193" s="391"/>
      <c r="FO193" s="391"/>
      <c r="FP193" s="391"/>
      <c r="FQ193" s="391"/>
      <c r="FR193" s="391"/>
      <c r="FS193" s="391"/>
      <c r="FT193" s="391"/>
      <c r="FU193" s="391"/>
      <c r="FV193" s="391"/>
      <c r="FW193" s="391"/>
      <c r="FX193" s="391"/>
      <c r="FY193" s="391"/>
      <c r="FZ193" s="391"/>
      <c r="GA193" s="391"/>
      <c r="GB193" s="391"/>
      <c r="GC193" s="391"/>
      <c r="GD193" s="391"/>
      <c r="GE193" s="391"/>
      <c r="GF193" s="391"/>
      <c r="GG193" s="391"/>
      <c r="GH193" s="391"/>
      <c r="GI193" s="391"/>
      <c r="GJ193" s="391"/>
      <c r="GK193" s="391"/>
      <c r="GL193" s="391"/>
      <c r="GM193" s="391"/>
      <c r="GN193" s="391"/>
      <c r="GO193" s="391"/>
      <c r="GP193" s="391"/>
      <c r="GQ193" s="391"/>
      <c r="GR193" s="391"/>
      <c r="GS193" s="391"/>
      <c r="GT193" s="391"/>
      <c r="GU193" s="391"/>
      <c r="GV193" s="391"/>
      <c r="GW193" s="391"/>
      <c r="GX193" s="391"/>
      <c r="GY193" s="391"/>
      <c r="GZ193" s="391"/>
      <c r="HA193" s="391"/>
      <c r="HB193" s="391"/>
      <c r="HC193" s="391"/>
      <c r="HD193" s="391"/>
      <c r="HE193" s="391"/>
      <c r="HF193" s="391"/>
      <c r="HG193" s="391"/>
      <c r="HH193" s="391"/>
      <c r="HI193" s="391"/>
      <c r="HJ193" s="391"/>
      <c r="HK193" s="391"/>
      <c r="HL193" s="391"/>
      <c r="HM193" s="391"/>
      <c r="HN193" s="391"/>
      <c r="HO193" s="391"/>
      <c r="HP193" s="391"/>
      <c r="HQ193" s="391"/>
      <c r="HR193" s="391"/>
      <c r="HS193" s="391"/>
      <c r="HT193" s="391"/>
      <c r="HU193" s="391"/>
      <c r="HV193" s="391"/>
      <c r="HW193" s="391"/>
      <c r="HX193" s="391"/>
      <c r="HY193" s="391"/>
      <c r="HZ193" s="391"/>
      <c r="IA193" s="391"/>
      <c r="IB193" s="391"/>
      <c r="IC193" s="391"/>
      <c r="ID193" s="391"/>
      <c r="IE193" s="391"/>
      <c r="IF193" s="391"/>
      <c r="IG193" s="391"/>
      <c r="IH193" s="391"/>
      <c r="II193" s="391"/>
      <c r="IJ193" s="391"/>
      <c r="IK193" s="391"/>
      <c r="IL193" s="391"/>
      <c r="IM193" s="391"/>
      <c r="IN193" s="391"/>
      <c r="IO193" s="391"/>
      <c r="IP193" s="391"/>
      <c r="IQ193" s="391"/>
      <c r="IR193" s="391"/>
      <c r="IS193" s="391"/>
      <c r="IT193" s="391"/>
      <c r="IU193" s="391"/>
      <c r="IV193" s="391"/>
      <c r="IW193" s="391"/>
      <c r="IX193" s="391"/>
      <c r="IY193" s="391"/>
      <c r="IZ193" s="391"/>
      <c r="JA193" s="391"/>
      <c r="JB193" s="391"/>
      <c r="JC193" s="391"/>
      <c r="JD193" s="391"/>
      <c r="JE193" s="391"/>
      <c r="JF193" s="391"/>
      <c r="JG193" s="391"/>
      <c r="JH193" s="391"/>
      <c r="JI193" s="393">
        <f t="shared" ref="JI193:JI256" si="7">SUM(A193:JH193)</f>
        <v>0</v>
      </c>
      <c r="JJ193" s="2">
        <v>6595</v>
      </c>
      <c r="JK193" s="392">
        <f t="shared" ref="JK193:JK256" si="8">+JI193-JL193</f>
        <v>0</v>
      </c>
      <c r="JL193" s="391"/>
      <c r="JM193" s="392"/>
      <c r="JN193" s="392"/>
      <c r="JO193" s="392"/>
      <c r="JP193" s="392"/>
    </row>
    <row r="194" spans="1:276" x14ac:dyDescent="0.3">
      <c r="A194" s="391"/>
      <c r="B194" s="391"/>
      <c r="C194" s="391"/>
      <c r="D194" s="391"/>
      <c r="E194" s="391"/>
      <c r="F194" s="391"/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391"/>
      <c r="X194" s="391"/>
      <c r="Y194" s="391"/>
      <c r="Z194" s="391"/>
      <c r="AA194" s="391"/>
      <c r="AB194" s="391"/>
      <c r="AC194" s="391"/>
      <c r="AD194" s="391"/>
      <c r="AE194" s="391"/>
      <c r="AF194" s="391"/>
      <c r="AG194" s="391"/>
      <c r="AH194" s="391"/>
      <c r="AI194" s="391"/>
      <c r="AJ194" s="391"/>
      <c r="AK194" s="391"/>
      <c r="AL194" s="391"/>
      <c r="AM194" s="391"/>
      <c r="AN194" s="391"/>
      <c r="AO194" s="391"/>
      <c r="AP194" s="391"/>
      <c r="AQ194" s="391"/>
      <c r="AR194" s="391"/>
      <c r="AS194" s="391"/>
      <c r="AT194" s="391"/>
      <c r="AU194" s="391"/>
      <c r="AV194" s="391"/>
      <c r="AW194" s="391"/>
      <c r="AX194" s="391"/>
      <c r="AY194" s="391"/>
      <c r="AZ194" s="391"/>
      <c r="BA194" s="391"/>
      <c r="BB194" s="391"/>
      <c r="BC194" s="391"/>
      <c r="BD194" s="391"/>
      <c r="BE194" s="391"/>
      <c r="BF194" s="391"/>
      <c r="BG194" s="391"/>
      <c r="BH194" s="391"/>
      <c r="BI194" s="391"/>
      <c r="BJ194" s="391"/>
      <c r="BK194" s="391"/>
      <c r="BL194" s="391"/>
      <c r="BM194" s="391"/>
      <c r="BN194" s="391"/>
      <c r="BO194" s="391"/>
      <c r="BP194" s="391"/>
      <c r="BQ194" s="391"/>
      <c r="BR194" s="391"/>
      <c r="BS194" s="391"/>
      <c r="BT194" s="391"/>
      <c r="BU194" s="391"/>
      <c r="BV194" s="391"/>
      <c r="BW194" s="391"/>
      <c r="BX194" s="391"/>
      <c r="BY194" s="391"/>
      <c r="BZ194" s="391"/>
      <c r="CA194" s="391"/>
      <c r="CB194" s="391"/>
      <c r="CC194" s="391"/>
      <c r="CD194" s="391"/>
      <c r="CE194" s="391"/>
      <c r="CF194" s="391"/>
      <c r="CG194" s="391"/>
      <c r="CH194" s="391"/>
      <c r="CI194" s="391"/>
      <c r="CJ194" s="391"/>
      <c r="CK194" s="391"/>
      <c r="CL194" s="391"/>
      <c r="CM194" s="391"/>
      <c r="CN194" s="391"/>
      <c r="CO194" s="391"/>
      <c r="CP194" s="391"/>
      <c r="CQ194" s="391"/>
      <c r="CR194" s="391"/>
      <c r="CS194" s="391"/>
      <c r="CT194" s="391"/>
      <c r="CU194" s="391"/>
      <c r="CV194" s="391"/>
      <c r="CW194" s="391"/>
      <c r="CX194" s="391"/>
      <c r="CY194" s="391"/>
      <c r="CZ194" s="391"/>
      <c r="DA194" s="391"/>
      <c r="DB194" s="391"/>
      <c r="DC194" s="391"/>
      <c r="DD194" s="391"/>
      <c r="DE194" s="391"/>
      <c r="DF194" s="391"/>
      <c r="DG194" s="391"/>
      <c r="DH194" s="391"/>
      <c r="DI194" s="391"/>
      <c r="DJ194" s="391"/>
      <c r="DK194" s="391"/>
      <c r="DL194" s="391"/>
      <c r="DM194" s="391"/>
      <c r="DN194" s="391"/>
      <c r="DO194" s="391"/>
      <c r="DP194" s="391"/>
      <c r="DQ194" s="391"/>
      <c r="DR194" s="391"/>
      <c r="DS194" s="391"/>
      <c r="DT194" s="391"/>
      <c r="DU194" s="391"/>
      <c r="DV194" s="391"/>
      <c r="DW194" s="391"/>
      <c r="DX194" s="391"/>
      <c r="DY194" s="391"/>
      <c r="DZ194" s="391"/>
      <c r="EA194" s="391"/>
      <c r="EB194" s="391"/>
      <c r="EC194" s="391"/>
      <c r="ED194" s="391"/>
      <c r="EE194" s="391"/>
      <c r="EF194" s="391"/>
      <c r="EG194" s="391"/>
      <c r="EH194" s="391"/>
      <c r="EI194" s="391"/>
      <c r="EJ194" s="391"/>
      <c r="EK194" s="391"/>
      <c r="EL194" s="391"/>
      <c r="EM194" s="391"/>
      <c r="EN194" s="391"/>
      <c r="EO194" s="391"/>
      <c r="EP194" s="391"/>
      <c r="EQ194" s="391"/>
      <c r="ER194" s="391"/>
      <c r="ES194" s="391"/>
      <c r="ET194" s="391"/>
      <c r="EU194" s="391"/>
      <c r="EV194" s="391"/>
      <c r="EW194" s="391"/>
      <c r="EX194" s="391"/>
      <c r="EY194" s="391"/>
      <c r="EZ194" s="391"/>
      <c r="FA194" s="391"/>
      <c r="FB194" s="391"/>
      <c r="FC194" s="391"/>
      <c r="FD194" s="391"/>
      <c r="FE194" s="391"/>
      <c r="FF194" s="391"/>
      <c r="FG194" s="391"/>
      <c r="FH194" s="391"/>
      <c r="FI194" s="391"/>
      <c r="FJ194" s="391"/>
      <c r="FK194" s="391"/>
      <c r="FL194" s="391"/>
      <c r="FM194" s="391"/>
      <c r="FN194" s="391"/>
      <c r="FO194" s="391"/>
      <c r="FP194" s="391"/>
      <c r="FQ194" s="391"/>
      <c r="FR194" s="391"/>
      <c r="FS194" s="391"/>
      <c r="FT194" s="391"/>
      <c r="FU194" s="391"/>
      <c r="FV194" s="391"/>
      <c r="FW194" s="391"/>
      <c r="FX194" s="391"/>
      <c r="FY194" s="391"/>
      <c r="FZ194" s="391"/>
      <c r="GA194" s="391"/>
      <c r="GB194" s="391"/>
      <c r="GC194" s="391"/>
      <c r="GD194" s="391"/>
      <c r="GE194" s="391"/>
      <c r="GF194" s="391"/>
      <c r="GG194" s="391"/>
      <c r="GH194" s="391"/>
      <c r="GI194" s="391"/>
      <c r="GJ194" s="391"/>
      <c r="GK194" s="391"/>
      <c r="GL194" s="391"/>
      <c r="GM194" s="391"/>
      <c r="GN194" s="391"/>
      <c r="GO194" s="391"/>
      <c r="GP194" s="391"/>
      <c r="GQ194" s="391"/>
      <c r="GR194" s="391"/>
      <c r="GS194" s="391"/>
      <c r="GT194" s="391"/>
      <c r="GU194" s="391"/>
      <c r="GV194" s="391"/>
      <c r="GW194" s="391"/>
      <c r="GX194" s="391"/>
      <c r="GY194" s="391"/>
      <c r="GZ194" s="391"/>
      <c r="HA194" s="391"/>
      <c r="HB194" s="391"/>
      <c r="HC194" s="391"/>
      <c r="HD194" s="391"/>
      <c r="HE194" s="391"/>
      <c r="HF194" s="391"/>
      <c r="HG194" s="391"/>
      <c r="HH194" s="391"/>
      <c r="HI194" s="391"/>
      <c r="HJ194" s="391"/>
      <c r="HK194" s="391"/>
      <c r="HL194" s="391"/>
      <c r="HM194" s="391"/>
      <c r="HN194" s="391"/>
      <c r="HO194" s="391"/>
      <c r="HP194" s="391"/>
      <c r="HQ194" s="391"/>
      <c r="HR194" s="391"/>
      <c r="HS194" s="391"/>
      <c r="HT194" s="391"/>
      <c r="HU194" s="391"/>
      <c r="HV194" s="391"/>
      <c r="HW194" s="391"/>
      <c r="HX194" s="391"/>
      <c r="HY194" s="391"/>
      <c r="HZ194" s="391"/>
      <c r="IA194" s="391"/>
      <c r="IB194" s="391"/>
      <c r="IC194" s="391"/>
      <c r="ID194" s="391"/>
      <c r="IE194" s="391"/>
      <c r="IF194" s="391"/>
      <c r="IG194" s="391"/>
      <c r="IH194" s="391"/>
      <c r="II194" s="391"/>
      <c r="IJ194" s="391"/>
      <c r="IK194" s="391"/>
      <c r="IL194" s="391"/>
      <c r="IM194" s="391"/>
      <c r="IN194" s="391"/>
      <c r="IO194" s="391"/>
      <c r="IP194" s="391"/>
      <c r="IQ194" s="391"/>
      <c r="IR194" s="391"/>
      <c r="IS194" s="391"/>
      <c r="IT194" s="391"/>
      <c r="IU194" s="391"/>
      <c r="IV194" s="391"/>
      <c r="IW194" s="391"/>
      <c r="IX194" s="391"/>
      <c r="IY194" s="391"/>
      <c r="IZ194" s="391"/>
      <c r="JA194" s="391"/>
      <c r="JB194" s="391"/>
      <c r="JC194" s="391"/>
      <c r="JD194" s="391"/>
      <c r="JE194" s="391"/>
      <c r="JF194" s="391"/>
      <c r="JG194" s="391"/>
      <c r="JH194" s="391"/>
      <c r="JI194" s="393">
        <f t="shared" si="7"/>
        <v>0</v>
      </c>
      <c r="JJ194" s="2">
        <v>6599</v>
      </c>
      <c r="JK194" s="392">
        <f t="shared" si="8"/>
        <v>0</v>
      </c>
      <c r="JL194" s="391"/>
      <c r="JM194" s="392"/>
      <c r="JN194" s="392"/>
      <c r="JO194" s="392"/>
      <c r="JP194" s="392"/>
    </row>
    <row r="195" spans="1:276" x14ac:dyDescent="0.3">
      <c r="A195" s="391"/>
      <c r="B195" s="391"/>
      <c r="C195" s="391"/>
      <c r="D195" s="391"/>
      <c r="E195" s="391"/>
      <c r="F195" s="391"/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  <c r="X195" s="391"/>
      <c r="Y195" s="391"/>
      <c r="Z195" s="391"/>
      <c r="AA195" s="391"/>
      <c r="AB195" s="391"/>
      <c r="AC195" s="391"/>
      <c r="AD195" s="391"/>
      <c r="AE195" s="391"/>
      <c r="AF195" s="391"/>
      <c r="AG195" s="391"/>
      <c r="AH195" s="391"/>
      <c r="AI195" s="391"/>
      <c r="AJ195" s="391"/>
      <c r="AK195" s="391"/>
      <c r="AL195" s="391"/>
      <c r="AM195" s="391"/>
      <c r="AN195" s="391"/>
      <c r="AO195" s="391"/>
      <c r="AP195" s="391"/>
      <c r="AQ195" s="391"/>
      <c r="AR195" s="391"/>
      <c r="AS195" s="391"/>
      <c r="AT195" s="391"/>
      <c r="AU195" s="391"/>
      <c r="AV195" s="391"/>
      <c r="AW195" s="391"/>
      <c r="AX195" s="391"/>
      <c r="AY195" s="391"/>
      <c r="AZ195" s="391"/>
      <c r="BA195" s="391"/>
      <c r="BB195" s="391"/>
      <c r="BC195" s="391"/>
      <c r="BD195" s="391"/>
      <c r="BE195" s="391"/>
      <c r="BF195" s="391"/>
      <c r="BG195" s="391"/>
      <c r="BH195" s="391"/>
      <c r="BI195" s="391"/>
      <c r="BJ195" s="391"/>
      <c r="BK195" s="391"/>
      <c r="BL195" s="391"/>
      <c r="BM195" s="391"/>
      <c r="BN195" s="391"/>
      <c r="BO195" s="391"/>
      <c r="BP195" s="391"/>
      <c r="BQ195" s="391"/>
      <c r="BR195" s="391"/>
      <c r="BS195" s="391"/>
      <c r="BT195" s="391"/>
      <c r="BU195" s="391"/>
      <c r="BV195" s="391"/>
      <c r="BW195" s="391"/>
      <c r="BX195" s="391"/>
      <c r="BY195" s="391"/>
      <c r="BZ195" s="391"/>
      <c r="CA195" s="391"/>
      <c r="CB195" s="391"/>
      <c r="CC195" s="391"/>
      <c r="CD195" s="391"/>
      <c r="CE195" s="391"/>
      <c r="CF195" s="391"/>
      <c r="CG195" s="391"/>
      <c r="CH195" s="391"/>
      <c r="CI195" s="391"/>
      <c r="CJ195" s="391"/>
      <c r="CK195" s="391"/>
      <c r="CL195" s="391"/>
      <c r="CM195" s="391"/>
      <c r="CN195" s="391"/>
      <c r="CO195" s="391"/>
      <c r="CP195" s="391"/>
      <c r="CQ195" s="391"/>
      <c r="CR195" s="391"/>
      <c r="CS195" s="391"/>
      <c r="CT195" s="391"/>
      <c r="CU195" s="391"/>
      <c r="CV195" s="391"/>
      <c r="CW195" s="391"/>
      <c r="CX195" s="391"/>
      <c r="CY195" s="391"/>
      <c r="CZ195" s="391"/>
      <c r="DA195" s="391"/>
      <c r="DB195" s="391"/>
      <c r="DC195" s="391"/>
      <c r="DD195" s="391"/>
      <c r="DE195" s="391"/>
      <c r="DF195" s="391"/>
      <c r="DG195" s="391"/>
      <c r="DH195" s="391"/>
      <c r="DI195" s="391"/>
      <c r="DJ195" s="391"/>
      <c r="DK195" s="391"/>
      <c r="DL195" s="391"/>
      <c r="DM195" s="391"/>
      <c r="DN195" s="391"/>
      <c r="DO195" s="391"/>
      <c r="DP195" s="391"/>
      <c r="DQ195" s="391"/>
      <c r="DR195" s="391"/>
      <c r="DS195" s="391"/>
      <c r="DT195" s="391"/>
      <c r="DU195" s="391"/>
      <c r="DV195" s="391"/>
      <c r="DW195" s="391"/>
      <c r="DX195" s="391"/>
      <c r="DY195" s="391"/>
      <c r="DZ195" s="391"/>
      <c r="EA195" s="391"/>
      <c r="EB195" s="391"/>
      <c r="EC195" s="391"/>
      <c r="ED195" s="391"/>
      <c r="EE195" s="391"/>
      <c r="EF195" s="391"/>
      <c r="EG195" s="391"/>
      <c r="EH195" s="391"/>
      <c r="EI195" s="391"/>
      <c r="EJ195" s="391"/>
      <c r="EK195" s="391"/>
      <c r="EL195" s="391"/>
      <c r="EM195" s="391"/>
      <c r="EN195" s="391"/>
      <c r="EO195" s="391"/>
      <c r="EP195" s="391"/>
      <c r="EQ195" s="391"/>
      <c r="ER195" s="391"/>
      <c r="ES195" s="391"/>
      <c r="ET195" s="391"/>
      <c r="EU195" s="391"/>
      <c r="EV195" s="391"/>
      <c r="EW195" s="391"/>
      <c r="EX195" s="391"/>
      <c r="EY195" s="391"/>
      <c r="EZ195" s="391"/>
      <c r="FA195" s="391"/>
      <c r="FB195" s="391"/>
      <c r="FC195" s="391"/>
      <c r="FD195" s="391"/>
      <c r="FE195" s="391"/>
      <c r="FF195" s="391"/>
      <c r="FG195" s="391"/>
      <c r="FH195" s="391"/>
      <c r="FI195" s="391"/>
      <c r="FJ195" s="391"/>
      <c r="FK195" s="391"/>
      <c r="FL195" s="391"/>
      <c r="FM195" s="391"/>
      <c r="FN195" s="391"/>
      <c r="FO195" s="391"/>
      <c r="FP195" s="391"/>
      <c r="FQ195" s="391"/>
      <c r="FR195" s="391"/>
      <c r="FS195" s="391"/>
      <c r="FT195" s="391"/>
      <c r="FU195" s="391"/>
      <c r="FV195" s="391"/>
      <c r="FW195" s="391"/>
      <c r="FX195" s="391"/>
      <c r="FY195" s="391"/>
      <c r="FZ195" s="391"/>
      <c r="GA195" s="391"/>
      <c r="GB195" s="391"/>
      <c r="GC195" s="391"/>
      <c r="GD195" s="391"/>
      <c r="GE195" s="391"/>
      <c r="GF195" s="391"/>
      <c r="GG195" s="391"/>
      <c r="GH195" s="391"/>
      <c r="GI195" s="391"/>
      <c r="GJ195" s="391"/>
      <c r="GK195" s="391"/>
      <c r="GL195" s="391"/>
      <c r="GM195" s="391"/>
      <c r="GN195" s="391"/>
      <c r="GO195" s="391"/>
      <c r="GP195" s="391"/>
      <c r="GQ195" s="391"/>
      <c r="GR195" s="391"/>
      <c r="GS195" s="391"/>
      <c r="GT195" s="391"/>
      <c r="GU195" s="391"/>
      <c r="GV195" s="391"/>
      <c r="GW195" s="391"/>
      <c r="GX195" s="391"/>
      <c r="GY195" s="391"/>
      <c r="GZ195" s="391"/>
      <c r="HA195" s="391"/>
      <c r="HB195" s="391"/>
      <c r="HC195" s="391"/>
      <c r="HD195" s="391"/>
      <c r="HE195" s="391"/>
      <c r="HF195" s="391"/>
      <c r="HG195" s="391"/>
      <c r="HH195" s="391"/>
      <c r="HI195" s="391"/>
      <c r="HJ195" s="391"/>
      <c r="HK195" s="391"/>
      <c r="HL195" s="391"/>
      <c r="HM195" s="391"/>
      <c r="HN195" s="391"/>
      <c r="HO195" s="391"/>
      <c r="HP195" s="391"/>
      <c r="HQ195" s="391"/>
      <c r="HR195" s="391"/>
      <c r="HS195" s="391"/>
      <c r="HT195" s="391"/>
      <c r="HU195" s="391"/>
      <c r="HV195" s="391"/>
      <c r="HW195" s="391"/>
      <c r="HX195" s="391"/>
      <c r="HY195" s="391"/>
      <c r="HZ195" s="391"/>
      <c r="IA195" s="391"/>
      <c r="IB195" s="391"/>
      <c r="IC195" s="391"/>
      <c r="ID195" s="391"/>
      <c r="IE195" s="391"/>
      <c r="IF195" s="391"/>
      <c r="IG195" s="391"/>
      <c r="IH195" s="391"/>
      <c r="II195" s="391"/>
      <c r="IJ195" s="391"/>
      <c r="IK195" s="391"/>
      <c r="IL195" s="391"/>
      <c r="IM195" s="391"/>
      <c r="IN195" s="391"/>
      <c r="IO195" s="391"/>
      <c r="IP195" s="391"/>
      <c r="IQ195" s="391"/>
      <c r="IR195" s="391"/>
      <c r="IS195" s="391"/>
      <c r="IT195" s="391"/>
      <c r="IU195" s="391"/>
      <c r="IV195" s="391"/>
      <c r="IW195" s="391"/>
      <c r="IX195" s="391"/>
      <c r="IY195" s="391"/>
      <c r="IZ195" s="391"/>
      <c r="JA195" s="391"/>
      <c r="JB195" s="391"/>
      <c r="JC195" s="391"/>
      <c r="JD195" s="391"/>
      <c r="JE195" s="391"/>
      <c r="JF195" s="391"/>
      <c r="JG195" s="391"/>
      <c r="JH195" s="391"/>
      <c r="JI195" s="393">
        <f t="shared" si="7"/>
        <v>0</v>
      </c>
      <c r="JJ195" s="2">
        <v>6603</v>
      </c>
      <c r="JK195" s="392">
        <f t="shared" si="8"/>
        <v>0</v>
      </c>
      <c r="JL195" s="391"/>
      <c r="JM195" s="392"/>
      <c r="JN195" s="392"/>
      <c r="JO195" s="392"/>
      <c r="JP195" s="392"/>
    </row>
    <row r="196" spans="1:276" x14ac:dyDescent="0.3">
      <c r="A196" s="391"/>
      <c r="B196" s="391"/>
      <c r="C196" s="391"/>
      <c r="D196" s="391"/>
      <c r="E196" s="391"/>
      <c r="F196" s="391"/>
      <c r="G196" s="391"/>
      <c r="H196" s="391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  <c r="T196" s="391"/>
      <c r="U196" s="391"/>
      <c r="V196" s="391"/>
      <c r="W196" s="391"/>
      <c r="X196" s="391"/>
      <c r="Y196" s="391"/>
      <c r="Z196" s="391"/>
      <c r="AA196" s="391"/>
      <c r="AB196" s="391"/>
      <c r="AC196" s="391"/>
      <c r="AD196" s="391"/>
      <c r="AE196" s="391"/>
      <c r="AF196" s="391"/>
      <c r="AG196" s="391"/>
      <c r="AH196" s="391"/>
      <c r="AI196" s="391"/>
      <c r="AJ196" s="391"/>
      <c r="AK196" s="391"/>
      <c r="AL196" s="391"/>
      <c r="AM196" s="391"/>
      <c r="AN196" s="391"/>
      <c r="AO196" s="391"/>
      <c r="AP196" s="391"/>
      <c r="AQ196" s="391"/>
      <c r="AR196" s="391"/>
      <c r="AS196" s="391"/>
      <c r="AT196" s="391"/>
      <c r="AU196" s="391"/>
      <c r="AV196" s="391"/>
      <c r="AW196" s="391"/>
      <c r="AX196" s="391"/>
      <c r="AY196" s="391"/>
      <c r="AZ196" s="391"/>
      <c r="BA196" s="391"/>
      <c r="BB196" s="391"/>
      <c r="BC196" s="391"/>
      <c r="BD196" s="391"/>
      <c r="BE196" s="391"/>
      <c r="BF196" s="391"/>
      <c r="BG196" s="391"/>
      <c r="BH196" s="391"/>
      <c r="BI196" s="391"/>
      <c r="BJ196" s="391"/>
      <c r="BK196" s="391"/>
      <c r="BL196" s="391"/>
      <c r="BM196" s="391"/>
      <c r="BN196" s="391"/>
      <c r="BO196" s="391"/>
      <c r="BP196" s="391"/>
      <c r="BQ196" s="391"/>
      <c r="BR196" s="391"/>
      <c r="BS196" s="391"/>
      <c r="BT196" s="391"/>
      <c r="BU196" s="391"/>
      <c r="BV196" s="391"/>
      <c r="BW196" s="391"/>
      <c r="BX196" s="391"/>
      <c r="BY196" s="391"/>
      <c r="BZ196" s="391"/>
      <c r="CA196" s="391"/>
      <c r="CB196" s="391"/>
      <c r="CC196" s="391"/>
      <c r="CD196" s="391"/>
      <c r="CE196" s="391"/>
      <c r="CF196" s="391"/>
      <c r="CG196" s="391"/>
      <c r="CH196" s="391"/>
      <c r="CI196" s="391"/>
      <c r="CJ196" s="391"/>
      <c r="CK196" s="391"/>
      <c r="CL196" s="391"/>
      <c r="CM196" s="391"/>
      <c r="CN196" s="391"/>
      <c r="CO196" s="391"/>
      <c r="CP196" s="391"/>
      <c r="CQ196" s="391"/>
      <c r="CR196" s="391"/>
      <c r="CS196" s="391"/>
      <c r="CT196" s="391"/>
      <c r="CU196" s="391"/>
      <c r="CV196" s="391"/>
      <c r="CW196" s="391"/>
      <c r="CX196" s="391"/>
      <c r="CY196" s="391"/>
      <c r="CZ196" s="391"/>
      <c r="DA196" s="391"/>
      <c r="DB196" s="391"/>
      <c r="DC196" s="391"/>
      <c r="DD196" s="391"/>
      <c r="DE196" s="391"/>
      <c r="DF196" s="391"/>
      <c r="DG196" s="391"/>
      <c r="DH196" s="391"/>
      <c r="DI196" s="391"/>
      <c r="DJ196" s="391"/>
      <c r="DK196" s="391"/>
      <c r="DL196" s="391"/>
      <c r="DM196" s="391"/>
      <c r="DN196" s="391"/>
      <c r="DO196" s="391"/>
      <c r="DP196" s="391"/>
      <c r="DQ196" s="391"/>
      <c r="DR196" s="391"/>
      <c r="DS196" s="391"/>
      <c r="DT196" s="391"/>
      <c r="DU196" s="391"/>
      <c r="DV196" s="391"/>
      <c r="DW196" s="391"/>
      <c r="DX196" s="391"/>
      <c r="DY196" s="391"/>
      <c r="DZ196" s="391"/>
      <c r="EA196" s="391"/>
      <c r="EB196" s="391"/>
      <c r="EC196" s="391"/>
      <c r="ED196" s="391"/>
      <c r="EE196" s="391"/>
      <c r="EF196" s="391"/>
      <c r="EG196" s="391"/>
      <c r="EH196" s="391"/>
      <c r="EI196" s="391"/>
      <c r="EJ196" s="391"/>
      <c r="EK196" s="391"/>
      <c r="EL196" s="391"/>
      <c r="EM196" s="391"/>
      <c r="EN196" s="391"/>
      <c r="EO196" s="391"/>
      <c r="EP196" s="391"/>
      <c r="EQ196" s="391"/>
      <c r="ER196" s="391"/>
      <c r="ES196" s="391"/>
      <c r="ET196" s="391"/>
      <c r="EU196" s="391"/>
      <c r="EV196" s="391"/>
      <c r="EW196" s="391"/>
      <c r="EX196" s="391"/>
      <c r="EY196" s="391"/>
      <c r="EZ196" s="391"/>
      <c r="FA196" s="391"/>
      <c r="FB196" s="391"/>
      <c r="FC196" s="391"/>
      <c r="FD196" s="391"/>
      <c r="FE196" s="391"/>
      <c r="FF196" s="391"/>
      <c r="FG196" s="391"/>
      <c r="FH196" s="391"/>
      <c r="FI196" s="391"/>
      <c r="FJ196" s="391"/>
      <c r="FK196" s="391"/>
      <c r="FL196" s="391"/>
      <c r="FM196" s="391"/>
      <c r="FN196" s="391"/>
      <c r="FO196" s="391"/>
      <c r="FP196" s="391"/>
      <c r="FQ196" s="391"/>
      <c r="FR196" s="391"/>
      <c r="FS196" s="391"/>
      <c r="FT196" s="391"/>
      <c r="FU196" s="391"/>
      <c r="FV196" s="391"/>
      <c r="FW196" s="391"/>
      <c r="FX196" s="391"/>
      <c r="FY196" s="391"/>
      <c r="FZ196" s="391"/>
      <c r="GA196" s="391"/>
      <c r="GB196" s="391"/>
      <c r="GC196" s="391"/>
      <c r="GD196" s="391"/>
      <c r="GE196" s="391"/>
      <c r="GF196" s="391"/>
      <c r="GG196" s="391"/>
      <c r="GH196" s="391"/>
      <c r="GI196" s="391"/>
      <c r="GJ196" s="391"/>
      <c r="GK196" s="391"/>
      <c r="GL196" s="391"/>
      <c r="GM196" s="391"/>
      <c r="GN196" s="391"/>
      <c r="GO196" s="391"/>
      <c r="GP196" s="391"/>
      <c r="GQ196" s="391"/>
      <c r="GR196" s="391"/>
      <c r="GS196" s="391"/>
      <c r="GT196" s="391"/>
      <c r="GU196" s="391"/>
      <c r="GV196" s="391"/>
      <c r="GW196" s="391"/>
      <c r="GX196" s="391"/>
      <c r="GY196" s="391"/>
      <c r="GZ196" s="391"/>
      <c r="HA196" s="391"/>
      <c r="HB196" s="391"/>
      <c r="HC196" s="391"/>
      <c r="HD196" s="391"/>
      <c r="HE196" s="391"/>
      <c r="HF196" s="391"/>
      <c r="HG196" s="391"/>
      <c r="HH196" s="391"/>
      <c r="HI196" s="391"/>
      <c r="HJ196" s="391"/>
      <c r="HK196" s="391"/>
      <c r="HL196" s="391"/>
      <c r="HM196" s="391"/>
      <c r="HN196" s="391"/>
      <c r="HO196" s="391"/>
      <c r="HP196" s="391"/>
      <c r="HQ196" s="391"/>
      <c r="HR196" s="391"/>
      <c r="HS196" s="391"/>
      <c r="HT196" s="391"/>
      <c r="HU196" s="391"/>
      <c r="HV196" s="391"/>
      <c r="HW196" s="391"/>
      <c r="HX196" s="391"/>
      <c r="HY196" s="391"/>
      <c r="HZ196" s="391"/>
      <c r="IA196" s="391"/>
      <c r="IB196" s="391"/>
      <c r="IC196" s="391"/>
      <c r="ID196" s="391"/>
      <c r="IE196" s="391"/>
      <c r="IF196" s="391"/>
      <c r="IG196" s="391"/>
      <c r="IH196" s="391"/>
      <c r="II196" s="391"/>
      <c r="IJ196" s="391"/>
      <c r="IK196" s="391"/>
      <c r="IL196" s="391"/>
      <c r="IM196" s="391"/>
      <c r="IN196" s="391"/>
      <c r="IO196" s="391"/>
      <c r="IP196" s="391"/>
      <c r="IQ196" s="391"/>
      <c r="IR196" s="391"/>
      <c r="IS196" s="391"/>
      <c r="IT196" s="391"/>
      <c r="IU196" s="391"/>
      <c r="IV196" s="391"/>
      <c r="IW196" s="391"/>
      <c r="IX196" s="391"/>
      <c r="IY196" s="391"/>
      <c r="IZ196" s="391"/>
      <c r="JA196" s="391"/>
      <c r="JB196" s="391"/>
      <c r="JC196" s="391"/>
      <c r="JD196" s="391"/>
      <c r="JE196" s="391"/>
      <c r="JF196" s="391"/>
      <c r="JG196" s="391"/>
      <c r="JH196" s="391"/>
      <c r="JI196" s="393">
        <f t="shared" si="7"/>
        <v>0</v>
      </c>
      <c r="JJ196" s="2">
        <v>6607</v>
      </c>
      <c r="JK196" s="392">
        <f t="shared" si="8"/>
        <v>0</v>
      </c>
      <c r="JL196" s="391"/>
      <c r="JM196" s="392"/>
      <c r="JN196" s="392"/>
      <c r="JO196" s="392"/>
      <c r="JP196" s="392"/>
    </row>
    <row r="197" spans="1:276" x14ac:dyDescent="0.3">
      <c r="A197" s="391"/>
      <c r="B197" s="391"/>
      <c r="C197" s="391"/>
      <c r="D197" s="391"/>
      <c r="E197" s="391"/>
      <c r="F197" s="391"/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  <c r="W197" s="391"/>
      <c r="X197" s="391"/>
      <c r="Y197" s="391"/>
      <c r="Z197" s="391"/>
      <c r="AA197" s="391"/>
      <c r="AB197" s="391"/>
      <c r="AC197" s="391"/>
      <c r="AD197" s="391"/>
      <c r="AE197" s="391"/>
      <c r="AF197" s="391"/>
      <c r="AG197" s="391"/>
      <c r="AH197" s="391"/>
      <c r="AI197" s="391"/>
      <c r="AJ197" s="391"/>
      <c r="AK197" s="391"/>
      <c r="AL197" s="391"/>
      <c r="AM197" s="391"/>
      <c r="AN197" s="391"/>
      <c r="AO197" s="391"/>
      <c r="AP197" s="391"/>
      <c r="AQ197" s="391"/>
      <c r="AR197" s="391"/>
      <c r="AS197" s="391"/>
      <c r="AT197" s="391"/>
      <c r="AU197" s="391"/>
      <c r="AV197" s="391"/>
      <c r="AW197" s="391"/>
      <c r="AX197" s="391"/>
      <c r="AY197" s="391"/>
      <c r="AZ197" s="391"/>
      <c r="BA197" s="391"/>
      <c r="BB197" s="391"/>
      <c r="BC197" s="391"/>
      <c r="BD197" s="391"/>
      <c r="BE197" s="391"/>
      <c r="BF197" s="391"/>
      <c r="BG197" s="391"/>
      <c r="BH197" s="391"/>
      <c r="BI197" s="391"/>
      <c r="BJ197" s="391"/>
      <c r="BK197" s="391"/>
      <c r="BL197" s="391"/>
      <c r="BM197" s="391"/>
      <c r="BN197" s="391"/>
      <c r="BO197" s="391"/>
      <c r="BP197" s="391"/>
      <c r="BQ197" s="391"/>
      <c r="BR197" s="391"/>
      <c r="BS197" s="391"/>
      <c r="BT197" s="391"/>
      <c r="BU197" s="391"/>
      <c r="BV197" s="391"/>
      <c r="BW197" s="391"/>
      <c r="BX197" s="391"/>
      <c r="BY197" s="391"/>
      <c r="BZ197" s="391"/>
      <c r="CA197" s="391"/>
      <c r="CB197" s="391"/>
      <c r="CC197" s="391"/>
      <c r="CD197" s="391"/>
      <c r="CE197" s="391"/>
      <c r="CF197" s="391"/>
      <c r="CG197" s="391"/>
      <c r="CH197" s="391"/>
      <c r="CI197" s="391"/>
      <c r="CJ197" s="391"/>
      <c r="CK197" s="391"/>
      <c r="CL197" s="391"/>
      <c r="CM197" s="391"/>
      <c r="CN197" s="391"/>
      <c r="CO197" s="391"/>
      <c r="CP197" s="391"/>
      <c r="CQ197" s="391"/>
      <c r="CR197" s="391"/>
      <c r="CS197" s="391"/>
      <c r="CT197" s="391"/>
      <c r="CU197" s="391"/>
      <c r="CV197" s="391"/>
      <c r="CW197" s="391"/>
      <c r="CX197" s="391"/>
      <c r="CY197" s="391"/>
      <c r="CZ197" s="391"/>
      <c r="DA197" s="391"/>
      <c r="DB197" s="391"/>
      <c r="DC197" s="391"/>
      <c r="DD197" s="391"/>
      <c r="DE197" s="391"/>
      <c r="DF197" s="391"/>
      <c r="DG197" s="391"/>
      <c r="DH197" s="391"/>
      <c r="DI197" s="391"/>
      <c r="DJ197" s="391"/>
      <c r="DK197" s="391"/>
      <c r="DL197" s="391"/>
      <c r="DM197" s="391"/>
      <c r="DN197" s="391"/>
      <c r="DO197" s="391"/>
      <c r="DP197" s="391"/>
      <c r="DQ197" s="391"/>
      <c r="DR197" s="391"/>
      <c r="DS197" s="391"/>
      <c r="DT197" s="391"/>
      <c r="DU197" s="391"/>
      <c r="DV197" s="391"/>
      <c r="DW197" s="391"/>
      <c r="DX197" s="391"/>
      <c r="DY197" s="391"/>
      <c r="DZ197" s="391"/>
      <c r="EA197" s="391"/>
      <c r="EB197" s="391"/>
      <c r="EC197" s="391"/>
      <c r="ED197" s="391"/>
      <c r="EE197" s="391"/>
      <c r="EF197" s="391"/>
      <c r="EG197" s="391"/>
      <c r="EH197" s="391"/>
      <c r="EI197" s="391"/>
      <c r="EJ197" s="391"/>
      <c r="EK197" s="391"/>
      <c r="EL197" s="391"/>
      <c r="EM197" s="391"/>
      <c r="EN197" s="391"/>
      <c r="EO197" s="391"/>
      <c r="EP197" s="391"/>
      <c r="EQ197" s="391"/>
      <c r="ER197" s="391"/>
      <c r="ES197" s="391"/>
      <c r="ET197" s="391"/>
      <c r="EU197" s="391"/>
      <c r="EV197" s="391"/>
      <c r="EW197" s="391"/>
      <c r="EX197" s="391"/>
      <c r="EY197" s="391"/>
      <c r="EZ197" s="391"/>
      <c r="FA197" s="391"/>
      <c r="FB197" s="391"/>
      <c r="FC197" s="391"/>
      <c r="FD197" s="391"/>
      <c r="FE197" s="391"/>
      <c r="FF197" s="391"/>
      <c r="FG197" s="391"/>
      <c r="FH197" s="391"/>
      <c r="FI197" s="391"/>
      <c r="FJ197" s="391"/>
      <c r="FK197" s="391"/>
      <c r="FL197" s="391"/>
      <c r="FM197" s="391"/>
      <c r="FN197" s="391"/>
      <c r="FO197" s="391"/>
      <c r="FP197" s="391"/>
      <c r="FQ197" s="391"/>
      <c r="FR197" s="391"/>
      <c r="FS197" s="391"/>
      <c r="FT197" s="391"/>
      <c r="FU197" s="391"/>
      <c r="FV197" s="391"/>
      <c r="FW197" s="391"/>
      <c r="FX197" s="391"/>
      <c r="FY197" s="391"/>
      <c r="FZ197" s="391"/>
      <c r="GA197" s="391"/>
      <c r="GB197" s="391"/>
      <c r="GC197" s="391"/>
      <c r="GD197" s="391"/>
      <c r="GE197" s="391"/>
      <c r="GF197" s="391"/>
      <c r="GG197" s="391"/>
      <c r="GH197" s="391"/>
      <c r="GI197" s="391"/>
      <c r="GJ197" s="391"/>
      <c r="GK197" s="391"/>
      <c r="GL197" s="391"/>
      <c r="GM197" s="391"/>
      <c r="GN197" s="391"/>
      <c r="GO197" s="391"/>
      <c r="GP197" s="391"/>
      <c r="GQ197" s="391"/>
      <c r="GR197" s="391"/>
      <c r="GS197" s="391"/>
      <c r="GT197" s="391"/>
      <c r="GU197" s="391"/>
      <c r="GV197" s="391"/>
      <c r="GW197" s="391"/>
      <c r="GX197" s="391"/>
      <c r="GY197" s="391"/>
      <c r="GZ197" s="391"/>
      <c r="HA197" s="391"/>
      <c r="HB197" s="391"/>
      <c r="HC197" s="391"/>
      <c r="HD197" s="391"/>
      <c r="HE197" s="391"/>
      <c r="HF197" s="391"/>
      <c r="HG197" s="391"/>
      <c r="HH197" s="391"/>
      <c r="HI197" s="391"/>
      <c r="HJ197" s="391"/>
      <c r="HK197" s="391"/>
      <c r="HL197" s="391"/>
      <c r="HM197" s="391"/>
      <c r="HN197" s="391"/>
      <c r="HO197" s="391"/>
      <c r="HP197" s="391"/>
      <c r="HQ197" s="391"/>
      <c r="HR197" s="391"/>
      <c r="HS197" s="391"/>
      <c r="HT197" s="391"/>
      <c r="HU197" s="391"/>
      <c r="HV197" s="391"/>
      <c r="HW197" s="391"/>
      <c r="HX197" s="391"/>
      <c r="HY197" s="391"/>
      <c r="HZ197" s="391"/>
      <c r="IA197" s="391"/>
      <c r="IB197" s="391"/>
      <c r="IC197" s="391"/>
      <c r="ID197" s="391"/>
      <c r="IE197" s="391"/>
      <c r="IF197" s="391"/>
      <c r="IG197" s="391"/>
      <c r="IH197" s="391"/>
      <c r="II197" s="391"/>
      <c r="IJ197" s="391"/>
      <c r="IK197" s="391"/>
      <c r="IL197" s="391"/>
      <c r="IM197" s="391"/>
      <c r="IN197" s="391"/>
      <c r="IO197" s="391"/>
      <c r="IP197" s="391"/>
      <c r="IQ197" s="391"/>
      <c r="IR197" s="391"/>
      <c r="IS197" s="391"/>
      <c r="IT197" s="391"/>
      <c r="IU197" s="391"/>
      <c r="IV197" s="391"/>
      <c r="IW197" s="391"/>
      <c r="IX197" s="391"/>
      <c r="IY197" s="391"/>
      <c r="IZ197" s="391"/>
      <c r="JA197" s="391"/>
      <c r="JB197" s="391"/>
      <c r="JC197" s="391"/>
      <c r="JD197" s="391"/>
      <c r="JE197" s="391"/>
      <c r="JF197" s="391"/>
      <c r="JG197" s="391"/>
      <c r="JH197" s="391"/>
      <c r="JI197" s="393">
        <f t="shared" si="7"/>
        <v>0</v>
      </c>
      <c r="JJ197" s="2">
        <v>6611</v>
      </c>
      <c r="JK197" s="392">
        <f t="shared" si="8"/>
        <v>0</v>
      </c>
      <c r="JL197" s="391"/>
      <c r="JM197" s="392"/>
      <c r="JN197" s="392"/>
      <c r="JO197" s="392"/>
      <c r="JP197" s="392"/>
    </row>
    <row r="198" spans="1:276" x14ac:dyDescent="0.3">
      <c r="A198" s="391"/>
      <c r="B198" s="391"/>
      <c r="C198" s="391"/>
      <c r="D198" s="391"/>
      <c r="E198" s="391"/>
      <c r="F198" s="391"/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  <c r="W198" s="391"/>
      <c r="X198" s="391"/>
      <c r="Y198" s="391"/>
      <c r="Z198" s="391"/>
      <c r="AA198" s="391"/>
      <c r="AB198" s="391"/>
      <c r="AC198" s="391"/>
      <c r="AD198" s="391"/>
      <c r="AE198" s="391"/>
      <c r="AF198" s="391"/>
      <c r="AG198" s="391"/>
      <c r="AH198" s="391"/>
      <c r="AI198" s="391"/>
      <c r="AJ198" s="391"/>
      <c r="AK198" s="391"/>
      <c r="AL198" s="391"/>
      <c r="AM198" s="391"/>
      <c r="AN198" s="391"/>
      <c r="AO198" s="391"/>
      <c r="AP198" s="391"/>
      <c r="AQ198" s="391"/>
      <c r="AR198" s="391"/>
      <c r="AS198" s="391"/>
      <c r="AT198" s="391"/>
      <c r="AU198" s="391"/>
      <c r="AV198" s="391"/>
      <c r="AW198" s="391"/>
      <c r="AX198" s="391"/>
      <c r="AY198" s="391"/>
      <c r="AZ198" s="391"/>
      <c r="BA198" s="391"/>
      <c r="BB198" s="391"/>
      <c r="BC198" s="391"/>
      <c r="BD198" s="391"/>
      <c r="BE198" s="391"/>
      <c r="BF198" s="391"/>
      <c r="BG198" s="391"/>
      <c r="BH198" s="391"/>
      <c r="BI198" s="391"/>
      <c r="BJ198" s="391"/>
      <c r="BK198" s="391"/>
      <c r="BL198" s="391"/>
      <c r="BM198" s="391"/>
      <c r="BN198" s="391"/>
      <c r="BO198" s="391"/>
      <c r="BP198" s="391"/>
      <c r="BQ198" s="391"/>
      <c r="BR198" s="391"/>
      <c r="BS198" s="391"/>
      <c r="BT198" s="391"/>
      <c r="BU198" s="391"/>
      <c r="BV198" s="391"/>
      <c r="BW198" s="391"/>
      <c r="BX198" s="391"/>
      <c r="BY198" s="391"/>
      <c r="BZ198" s="391"/>
      <c r="CA198" s="391"/>
      <c r="CB198" s="391"/>
      <c r="CC198" s="391"/>
      <c r="CD198" s="391"/>
      <c r="CE198" s="391"/>
      <c r="CF198" s="391"/>
      <c r="CG198" s="391"/>
      <c r="CH198" s="391"/>
      <c r="CI198" s="391"/>
      <c r="CJ198" s="391"/>
      <c r="CK198" s="391"/>
      <c r="CL198" s="391"/>
      <c r="CM198" s="391"/>
      <c r="CN198" s="391"/>
      <c r="CO198" s="391"/>
      <c r="CP198" s="391"/>
      <c r="CQ198" s="391"/>
      <c r="CR198" s="391"/>
      <c r="CS198" s="391"/>
      <c r="CT198" s="391"/>
      <c r="CU198" s="391"/>
      <c r="CV198" s="391"/>
      <c r="CW198" s="391"/>
      <c r="CX198" s="391"/>
      <c r="CY198" s="391"/>
      <c r="CZ198" s="391"/>
      <c r="DA198" s="391"/>
      <c r="DB198" s="391"/>
      <c r="DC198" s="391"/>
      <c r="DD198" s="391"/>
      <c r="DE198" s="391"/>
      <c r="DF198" s="391"/>
      <c r="DG198" s="391"/>
      <c r="DH198" s="391"/>
      <c r="DI198" s="391"/>
      <c r="DJ198" s="391"/>
      <c r="DK198" s="391"/>
      <c r="DL198" s="391"/>
      <c r="DM198" s="391"/>
      <c r="DN198" s="391"/>
      <c r="DO198" s="391"/>
      <c r="DP198" s="391"/>
      <c r="DQ198" s="391"/>
      <c r="DR198" s="391"/>
      <c r="DS198" s="391"/>
      <c r="DT198" s="391"/>
      <c r="DU198" s="391"/>
      <c r="DV198" s="391"/>
      <c r="DW198" s="391"/>
      <c r="DX198" s="391"/>
      <c r="DY198" s="391"/>
      <c r="DZ198" s="391"/>
      <c r="EA198" s="391"/>
      <c r="EB198" s="391"/>
      <c r="EC198" s="391"/>
      <c r="ED198" s="391"/>
      <c r="EE198" s="391"/>
      <c r="EF198" s="391"/>
      <c r="EG198" s="391"/>
      <c r="EH198" s="391"/>
      <c r="EI198" s="391"/>
      <c r="EJ198" s="391"/>
      <c r="EK198" s="391"/>
      <c r="EL198" s="391"/>
      <c r="EM198" s="391"/>
      <c r="EN198" s="391"/>
      <c r="EO198" s="391"/>
      <c r="EP198" s="391"/>
      <c r="EQ198" s="391"/>
      <c r="ER198" s="391"/>
      <c r="ES198" s="391"/>
      <c r="ET198" s="391"/>
      <c r="EU198" s="391"/>
      <c r="EV198" s="391"/>
      <c r="EW198" s="391"/>
      <c r="EX198" s="391"/>
      <c r="EY198" s="391"/>
      <c r="EZ198" s="391"/>
      <c r="FA198" s="391"/>
      <c r="FB198" s="391"/>
      <c r="FC198" s="391"/>
      <c r="FD198" s="391"/>
      <c r="FE198" s="391"/>
      <c r="FF198" s="391"/>
      <c r="FG198" s="391"/>
      <c r="FH198" s="391"/>
      <c r="FI198" s="391"/>
      <c r="FJ198" s="391"/>
      <c r="FK198" s="391"/>
      <c r="FL198" s="391"/>
      <c r="FM198" s="391"/>
      <c r="FN198" s="391"/>
      <c r="FO198" s="391"/>
      <c r="FP198" s="391"/>
      <c r="FQ198" s="391"/>
      <c r="FR198" s="391"/>
      <c r="FS198" s="391"/>
      <c r="FT198" s="391"/>
      <c r="FU198" s="391"/>
      <c r="FV198" s="391"/>
      <c r="FW198" s="391"/>
      <c r="FX198" s="391"/>
      <c r="FY198" s="391"/>
      <c r="FZ198" s="391"/>
      <c r="GA198" s="391"/>
      <c r="GB198" s="391"/>
      <c r="GC198" s="391"/>
      <c r="GD198" s="391"/>
      <c r="GE198" s="391"/>
      <c r="GF198" s="391"/>
      <c r="GG198" s="391"/>
      <c r="GH198" s="391"/>
      <c r="GI198" s="391"/>
      <c r="GJ198" s="391"/>
      <c r="GK198" s="391"/>
      <c r="GL198" s="391"/>
      <c r="GM198" s="391"/>
      <c r="GN198" s="391"/>
      <c r="GO198" s="391"/>
      <c r="GP198" s="391"/>
      <c r="GQ198" s="391"/>
      <c r="GR198" s="391"/>
      <c r="GS198" s="391"/>
      <c r="GT198" s="391"/>
      <c r="GU198" s="391"/>
      <c r="GV198" s="391"/>
      <c r="GW198" s="391"/>
      <c r="GX198" s="391"/>
      <c r="GY198" s="391"/>
      <c r="GZ198" s="391"/>
      <c r="HA198" s="391"/>
      <c r="HB198" s="391"/>
      <c r="HC198" s="391"/>
      <c r="HD198" s="391"/>
      <c r="HE198" s="391"/>
      <c r="HF198" s="391"/>
      <c r="HG198" s="391"/>
      <c r="HH198" s="391"/>
      <c r="HI198" s="391"/>
      <c r="HJ198" s="391"/>
      <c r="HK198" s="391"/>
      <c r="HL198" s="391"/>
      <c r="HM198" s="391"/>
      <c r="HN198" s="391"/>
      <c r="HO198" s="391"/>
      <c r="HP198" s="391"/>
      <c r="HQ198" s="391"/>
      <c r="HR198" s="391"/>
      <c r="HS198" s="391"/>
      <c r="HT198" s="391"/>
      <c r="HU198" s="391"/>
      <c r="HV198" s="391"/>
      <c r="HW198" s="391"/>
      <c r="HX198" s="391"/>
      <c r="HY198" s="391"/>
      <c r="HZ198" s="391"/>
      <c r="IA198" s="391"/>
      <c r="IB198" s="391"/>
      <c r="IC198" s="391"/>
      <c r="ID198" s="391"/>
      <c r="IE198" s="391"/>
      <c r="IF198" s="391"/>
      <c r="IG198" s="391"/>
      <c r="IH198" s="391"/>
      <c r="II198" s="391"/>
      <c r="IJ198" s="391"/>
      <c r="IK198" s="391"/>
      <c r="IL198" s="391"/>
      <c r="IM198" s="391"/>
      <c r="IN198" s="391"/>
      <c r="IO198" s="391"/>
      <c r="IP198" s="391"/>
      <c r="IQ198" s="391"/>
      <c r="IR198" s="391"/>
      <c r="IS198" s="391"/>
      <c r="IT198" s="391"/>
      <c r="IU198" s="391"/>
      <c r="IV198" s="391"/>
      <c r="IW198" s="391"/>
      <c r="IX198" s="391"/>
      <c r="IY198" s="391"/>
      <c r="IZ198" s="391"/>
      <c r="JA198" s="391"/>
      <c r="JB198" s="391"/>
      <c r="JC198" s="391"/>
      <c r="JD198" s="391"/>
      <c r="JE198" s="391"/>
      <c r="JF198" s="391"/>
      <c r="JG198" s="391"/>
      <c r="JH198" s="391"/>
      <c r="JI198" s="393">
        <f t="shared" si="7"/>
        <v>0</v>
      </c>
      <c r="JJ198" s="2">
        <v>6615</v>
      </c>
      <c r="JK198" s="392">
        <f t="shared" si="8"/>
        <v>0</v>
      </c>
      <c r="JL198" s="391"/>
      <c r="JM198" s="392"/>
      <c r="JN198" s="392"/>
      <c r="JO198" s="392"/>
      <c r="JP198" s="392"/>
    </row>
    <row r="199" spans="1:276" x14ac:dyDescent="0.3">
      <c r="A199" s="391"/>
      <c r="B199" s="391"/>
      <c r="C199" s="391"/>
      <c r="D199" s="391"/>
      <c r="E199" s="391"/>
      <c r="F199" s="391"/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  <c r="W199" s="391"/>
      <c r="X199" s="391"/>
      <c r="Y199" s="391"/>
      <c r="Z199" s="391"/>
      <c r="AA199" s="391"/>
      <c r="AB199" s="391"/>
      <c r="AC199" s="391"/>
      <c r="AD199" s="391"/>
      <c r="AE199" s="391"/>
      <c r="AF199" s="391"/>
      <c r="AG199" s="391"/>
      <c r="AH199" s="391"/>
      <c r="AI199" s="391"/>
      <c r="AJ199" s="391"/>
      <c r="AK199" s="391"/>
      <c r="AL199" s="391"/>
      <c r="AM199" s="391"/>
      <c r="AN199" s="391"/>
      <c r="AO199" s="391"/>
      <c r="AP199" s="391"/>
      <c r="AQ199" s="391"/>
      <c r="AR199" s="391"/>
      <c r="AS199" s="391"/>
      <c r="AT199" s="391"/>
      <c r="AU199" s="391"/>
      <c r="AV199" s="391"/>
      <c r="AW199" s="391"/>
      <c r="AX199" s="391"/>
      <c r="AY199" s="391"/>
      <c r="AZ199" s="391"/>
      <c r="BA199" s="391"/>
      <c r="BB199" s="391"/>
      <c r="BC199" s="391"/>
      <c r="BD199" s="391"/>
      <c r="BE199" s="391"/>
      <c r="BF199" s="391"/>
      <c r="BG199" s="391"/>
      <c r="BH199" s="391"/>
      <c r="BI199" s="391"/>
      <c r="BJ199" s="391"/>
      <c r="BK199" s="391"/>
      <c r="BL199" s="391"/>
      <c r="BM199" s="391"/>
      <c r="BN199" s="391"/>
      <c r="BO199" s="391"/>
      <c r="BP199" s="391"/>
      <c r="BQ199" s="391"/>
      <c r="BR199" s="391"/>
      <c r="BS199" s="391"/>
      <c r="BT199" s="391"/>
      <c r="BU199" s="391"/>
      <c r="BV199" s="391"/>
      <c r="BW199" s="391"/>
      <c r="BX199" s="391"/>
      <c r="BY199" s="391"/>
      <c r="BZ199" s="391"/>
      <c r="CA199" s="391"/>
      <c r="CB199" s="391"/>
      <c r="CC199" s="391"/>
      <c r="CD199" s="391"/>
      <c r="CE199" s="391"/>
      <c r="CF199" s="391"/>
      <c r="CG199" s="391"/>
      <c r="CH199" s="391"/>
      <c r="CI199" s="391"/>
      <c r="CJ199" s="391"/>
      <c r="CK199" s="391"/>
      <c r="CL199" s="391"/>
      <c r="CM199" s="391"/>
      <c r="CN199" s="391"/>
      <c r="CO199" s="391"/>
      <c r="CP199" s="391"/>
      <c r="CQ199" s="391"/>
      <c r="CR199" s="391"/>
      <c r="CS199" s="391"/>
      <c r="CT199" s="391"/>
      <c r="CU199" s="391"/>
      <c r="CV199" s="391"/>
      <c r="CW199" s="391"/>
      <c r="CX199" s="391"/>
      <c r="CY199" s="391"/>
      <c r="CZ199" s="391"/>
      <c r="DA199" s="391"/>
      <c r="DB199" s="391"/>
      <c r="DC199" s="391"/>
      <c r="DD199" s="391"/>
      <c r="DE199" s="391"/>
      <c r="DF199" s="391"/>
      <c r="DG199" s="391"/>
      <c r="DH199" s="391"/>
      <c r="DI199" s="391"/>
      <c r="DJ199" s="391"/>
      <c r="DK199" s="391"/>
      <c r="DL199" s="391"/>
      <c r="DM199" s="391"/>
      <c r="DN199" s="391"/>
      <c r="DO199" s="391"/>
      <c r="DP199" s="391"/>
      <c r="DQ199" s="391"/>
      <c r="DR199" s="391"/>
      <c r="DS199" s="391"/>
      <c r="DT199" s="391"/>
      <c r="DU199" s="391"/>
      <c r="DV199" s="391"/>
      <c r="DW199" s="391"/>
      <c r="DX199" s="391"/>
      <c r="DY199" s="391"/>
      <c r="DZ199" s="391"/>
      <c r="EA199" s="391"/>
      <c r="EB199" s="391"/>
      <c r="EC199" s="391"/>
      <c r="ED199" s="391"/>
      <c r="EE199" s="391"/>
      <c r="EF199" s="391"/>
      <c r="EG199" s="391"/>
      <c r="EH199" s="391"/>
      <c r="EI199" s="391"/>
      <c r="EJ199" s="391"/>
      <c r="EK199" s="391"/>
      <c r="EL199" s="391"/>
      <c r="EM199" s="391"/>
      <c r="EN199" s="391"/>
      <c r="EO199" s="391"/>
      <c r="EP199" s="391"/>
      <c r="EQ199" s="391"/>
      <c r="ER199" s="391"/>
      <c r="ES199" s="391"/>
      <c r="ET199" s="391"/>
      <c r="EU199" s="391"/>
      <c r="EV199" s="391"/>
      <c r="EW199" s="391"/>
      <c r="EX199" s="391"/>
      <c r="EY199" s="391"/>
      <c r="EZ199" s="391"/>
      <c r="FA199" s="391"/>
      <c r="FB199" s="391"/>
      <c r="FC199" s="391"/>
      <c r="FD199" s="391"/>
      <c r="FE199" s="391"/>
      <c r="FF199" s="391"/>
      <c r="FG199" s="391"/>
      <c r="FH199" s="391"/>
      <c r="FI199" s="391"/>
      <c r="FJ199" s="391"/>
      <c r="FK199" s="391"/>
      <c r="FL199" s="391"/>
      <c r="FM199" s="391"/>
      <c r="FN199" s="391"/>
      <c r="FO199" s="391"/>
      <c r="FP199" s="391"/>
      <c r="FQ199" s="391"/>
      <c r="FR199" s="391"/>
      <c r="FS199" s="391"/>
      <c r="FT199" s="391"/>
      <c r="FU199" s="391"/>
      <c r="FV199" s="391"/>
      <c r="FW199" s="391"/>
      <c r="FX199" s="391"/>
      <c r="FY199" s="391"/>
      <c r="FZ199" s="391"/>
      <c r="GA199" s="391"/>
      <c r="GB199" s="391"/>
      <c r="GC199" s="391"/>
      <c r="GD199" s="391"/>
      <c r="GE199" s="391"/>
      <c r="GF199" s="391"/>
      <c r="GG199" s="391"/>
      <c r="GH199" s="391"/>
      <c r="GI199" s="391"/>
      <c r="GJ199" s="391"/>
      <c r="GK199" s="391"/>
      <c r="GL199" s="391"/>
      <c r="GM199" s="391"/>
      <c r="GN199" s="391"/>
      <c r="GO199" s="391"/>
      <c r="GP199" s="391"/>
      <c r="GQ199" s="391"/>
      <c r="GR199" s="391"/>
      <c r="GS199" s="391"/>
      <c r="GT199" s="391"/>
      <c r="GU199" s="391"/>
      <c r="GV199" s="391"/>
      <c r="GW199" s="391"/>
      <c r="GX199" s="391"/>
      <c r="GY199" s="391"/>
      <c r="GZ199" s="391"/>
      <c r="HA199" s="391"/>
      <c r="HB199" s="391"/>
      <c r="HC199" s="391"/>
      <c r="HD199" s="391"/>
      <c r="HE199" s="391"/>
      <c r="HF199" s="391"/>
      <c r="HG199" s="391"/>
      <c r="HH199" s="391"/>
      <c r="HI199" s="391"/>
      <c r="HJ199" s="391"/>
      <c r="HK199" s="391"/>
      <c r="HL199" s="391"/>
      <c r="HM199" s="391"/>
      <c r="HN199" s="391"/>
      <c r="HO199" s="391"/>
      <c r="HP199" s="391"/>
      <c r="HQ199" s="391"/>
      <c r="HR199" s="391"/>
      <c r="HS199" s="391"/>
      <c r="HT199" s="391"/>
      <c r="HU199" s="391"/>
      <c r="HV199" s="391"/>
      <c r="HW199" s="391"/>
      <c r="HX199" s="391"/>
      <c r="HY199" s="391"/>
      <c r="HZ199" s="391"/>
      <c r="IA199" s="391"/>
      <c r="IB199" s="391"/>
      <c r="IC199" s="391"/>
      <c r="ID199" s="391"/>
      <c r="IE199" s="391"/>
      <c r="IF199" s="391"/>
      <c r="IG199" s="391"/>
      <c r="IH199" s="391"/>
      <c r="II199" s="391"/>
      <c r="IJ199" s="391"/>
      <c r="IK199" s="391"/>
      <c r="IL199" s="391"/>
      <c r="IM199" s="391"/>
      <c r="IN199" s="391"/>
      <c r="IO199" s="391"/>
      <c r="IP199" s="391"/>
      <c r="IQ199" s="391"/>
      <c r="IR199" s="391"/>
      <c r="IS199" s="391"/>
      <c r="IT199" s="391"/>
      <c r="IU199" s="391"/>
      <c r="IV199" s="391"/>
      <c r="IW199" s="391"/>
      <c r="IX199" s="391"/>
      <c r="IY199" s="391"/>
      <c r="IZ199" s="391"/>
      <c r="JA199" s="391"/>
      <c r="JB199" s="391"/>
      <c r="JC199" s="391"/>
      <c r="JD199" s="391"/>
      <c r="JE199" s="391"/>
      <c r="JF199" s="391"/>
      <c r="JG199" s="391"/>
      <c r="JH199" s="391"/>
      <c r="JI199" s="393">
        <f t="shared" si="7"/>
        <v>0</v>
      </c>
      <c r="JJ199" s="2">
        <v>6619</v>
      </c>
      <c r="JK199" s="392">
        <f t="shared" si="8"/>
        <v>0</v>
      </c>
      <c r="JL199" s="391"/>
      <c r="JM199" s="392"/>
      <c r="JN199" s="392"/>
      <c r="JO199" s="392"/>
      <c r="JP199" s="392"/>
    </row>
    <row r="200" spans="1:276" x14ac:dyDescent="0.3">
      <c r="A200" s="391"/>
      <c r="B200" s="391"/>
      <c r="C200" s="391"/>
      <c r="D200" s="391"/>
      <c r="E200" s="391"/>
      <c r="F200" s="391"/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  <c r="X200" s="391"/>
      <c r="Y200" s="391"/>
      <c r="Z200" s="391"/>
      <c r="AA200" s="391"/>
      <c r="AB200" s="391"/>
      <c r="AC200" s="391"/>
      <c r="AD200" s="391"/>
      <c r="AE200" s="391"/>
      <c r="AF200" s="391"/>
      <c r="AG200" s="391"/>
      <c r="AH200" s="391"/>
      <c r="AI200" s="391"/>
      <c r="AJ200" s="391"/>
      <c r="AK200" s="391"/>
      <c r="AL200" s="391"/>
      <c r="AM200" s="391"/>
      <c r="AN200" s="391"/>
      <c r="AO200" s="391"/>
      <c r="AP200" s="391"/>
      <c r="AQ200" s="391"/>
      <c r="AR200" s="391"/>
      <c r="AS200" s="391"/>
      <c r="AT200" s="391"/>
      <c r="AU200" s="391"/>
      <c r="AV200" s="391"/>
      <c r="AW200" s="391"/>
      <c r="AX200" s="391"/>
      <c r="AY200" s="391"/>
      <c r="AZ200" s="391"/>
      <c r="BA200" s="391"/>
      <c r="BB200" s="391"/>
      <c r="BC200" s="391"/>
      <c r="BD200" s="391"/>
      <c r="BE200" s="391"/>
      <c r="BF200" s="391"/>
      <c r="BG200" s="391"/>
      <c r="BH200" s="391"/>
      <c r="BI200" s="391"/>
      <c r="BJ200" s="391"/>
      <c r="BK200" s="391"/>
      <c r="BL200" s="391"/>
      <c r="BM200" s="391"/>
      <c r="BN200" s="391"/>
      <c r="BO200" s="391"/>
      <c r="BP200" s="391"/>
      <c r="BQ200" s="391"/>
      <c r="BR200" s="391"/>
      <c r="BS200" s="391"/>
      <c r="BT200" s="391"/>
      <c r="BU200" s="391"/>
      <c r="BV200" s="391"/>
      <c r="BW200" s="391"/>
      <c r="BX200" s="391"/>
      <c r="BY200" s="391"/>
      <c r="BZ200" s="391"/>
      <c r="CA200" s="391"/>
      <c r="CB200" s="391"/>
      <c r="CC200" s="391"/>
      <c r="CD200" s="391"/>
      <c r="CE200" s="391"/>
      <c r="CF200" s="391"/>
      <c r="CG200" s="391"/>
      <c r="CH200" s="391"/>
      <c r="CI200" s="391"/>
      <c r="CJ200" s="391"/>
      <c r="CK200" s="391"/>
      <c r="CL200" s="391"/>
      <c r="CM200" s="391"/>
      <c r="CN200" s="391"/>
      <c r="CO200" s="391"/>
      <c r="CP200" s="391"/>
      <c r="CQ200" s="391"/>
      <c r="CR200" s="391"/>
      <c r="CS200" s="391"/>
      <c r="CT200" s="391"/>
      <c r="CU200" s="391"/>
      <c r="CV200" s="391"/>
      <c r="CW200" s="391"/>
      <c r="CX200" s="391"/>
      <c r="CY200" s="391"/>
      <c r="CZ200" s="391"/>
      <c r="DA200" s="391"/>
      <c r="DB200" s="391"/>
      <c r="DC200" s="391"/>
      <c r="DD200" s="391"/>
      <c r="DE200" s="391"/>
      <c r="DF200" s="391"/>
      <c r="DG200" s="391"/>
      <c r="DH200" s="391"/>
      <c r="DI200" s="391"/>
      <c r="DJ200" s="391"/>
      <c r="DK200" s="391"/>
      <c r="DL200" s="391"/>
      <c r="DM200" s="391"/>
      <c r="DN200" s="391"/>
      <c r="DO200" s="391"/>
      <c r="DP200" s="391"/>
      <c r="DQ200" s="391"/>
      <c r="DR200" s="391"/>
      <c r="DS200" s="391"/>
      <c r="DT200" s="391"/>
      <c r="DU200" s="391"/>
      <c r="DV200" s="391"/>
      <c r="DW200" s="391"/>
      <c r="DX200" s="391"/>
      <c r="DY200" s="391"/>
      <c r="DZ200" s="391"/>
      <c r="EA200" s="391"/>
      <c r="EB200" s="391"/>
      <c r="EC200" s="391"/>
      <c r="ED200" s="391"/>
      <c r="EE200" s="391"/>
      <c r="EF200" s="391"/>
      <c r="EG200" s="391"/>
      <c r="EH200" s="391"/>
      <c r="EI200" s="391"/>
      <c r="EJ200" s="391"/>
      <c r="EK200" s="391"/>
      <c r="EL200" s="391"/>
      <c r="EM200" s="391"/>
      <c r="EN200" s="391"/>
      <c r="EO200" s="391"/>
      <c r="EP200" s="391"/>
      <c r="EQ200" s="391"/>
      <c r="ER200" s="391"/>
      <c r="ES200" s="391"/>
      <c r="ET200" s="391"/>
      <c r="EU200" s="391"/>
      <c r="EV200" s="391"/>
      <c r="EW200" s="391"/>
      <c r="EX200" s="391"/>
      <c r="EY200" s="391"/>
      <c r="EZ200" s="391"/>
      <c r="FA200" s="391"/>
      <c r="FB200" s="391"/>
      <c r="FC200" s="391"/>
      <c r="FD200" s="391"/>
      <c r="FE200" s="391"/>
      <c r="FF200" s="391"/>
      <c r="FG200" s="391"/>
      <c r="FH200" s="391"/>
      <c r="FI200" s="391"/>
      <c r="FJ200" s="391"/>
      <c r="FK200" s="391"/>
      <c r="FL200" s="391"/>
      <c r="FM200" s="391"/>
      <c r="FN200" s="391"/>
      <c r="FO200" s="391"/>
      <c r="FP200" s="391"/>
      <c r="FQ200" s="391"/>
      <c r="FR200" s="391"/>
      <c r="FS200" s="391"/>
      <c r="FT200" s="391"/>
      <c r="FU200" s="391"/>
      <c r="FV200" s="391"/>
      <c r="FW200" s="391"/>
      <c r="FX200" s="391"/>
      <c r="FY200" s="391"/>
      <c r="FZ200" s="391"/>
      <c r="GA200" s="391"/>
      <c r="GB200" s="391"/>
      <c r="GC200" s="391"/>
      <c r="GD200" s="391"/>
      <c r="GE200" s="391"/>
      <c r="GF200" s="391"/>
      <c r="GG200" s="391"/>
      <c r="GH200" s="391"/>
      <c r="GI200" s="391"/>
      <c r="GJ200" s="391"/>
      <c r="GK200" s="391"/>
      <c r="GL200" s="391"/>
      <c r="GM200" s="391"/>
      <c r="GN200" s="391"/>
      <c r="GO200" s="391"/>
      <c r="GP200" s="391"/>
      <c r="GQ200" s="391"/>
      <c r="GR200" s="391"/>
      <c r="GS200" s="391"/>
      <c r="GT200" s="391"/>
      <c r="GU200" s="391"/>
      <c r="GV200" s="391"/>
      <c r="GW200" s="391"/>
      <c r="GX200" s="391"/>
      <c r="GY200" s="391"/>
      <c r="GZ200" s="391"/>
      <c r="HA200" s="391"/>
      <c r="HB200" s="391"/>
      <c r="HC200" s="391"/>
      <c r="HD200" s="391"/>
      <c r="HE200" s="391"/>
      <c r="HF200" s="391"/>
      <c r="HG200" s="391"/>
      <c r="HH200" s="391"/>
      <c r="HI200" s="391"/>
      <c r="HJ200" s="391"/>
      <c r="HK200" s="391"/>
      <c r="HL200" s="391"/>
      <c r="HM200" s="391"/>
      <c r="HN200" s="391"/>
      <c r="HO200" s="391"/>
      <c r="HP200" s="391"/>
      <c r="HQ200" s="391"/>
      <c r="HR200" s="391"/>
      <c r="HS200" s="391"/>
      <c r="HT200" s="391"/>
      <c r="HU200" s="391"/>
      <c r="HV200" s="391"/>
      <c r="HW200" s="391"/>
      <c r="HX200" s="391"/>
      <c r="HY200" s="391"/>
      <c r="HZ200" s="391"/>
      <c r="IA200" s="391"/>
      <c r="IB200" s="391"/>
      <c r="IC200" s="391"/>
      <c r="ID200" s="391"/>
      <c r="IE200" s="391"/>
      <c r="IF200" s="391"/>
      <c r="IG200" s="391"/>
      <c r="IH200" s="391"/>
      <c r="II200" s="391"/>
      <c r="IJ200" s="391"/>
      <c r="IK200" s="391"/>
      <c r="IL200" s="391"/>
      <c r="IM200" s="391"/>
      <c r="IN200" s="391"/>
      <c r="IO200" s="391"/>
      <c r="IP200" s="391"/>
      <c r="IQ200" s="391"/>
      <c r="IR200" s="391"/>
      <c r="IS200" s="391"/>
      <c r="IT200" s="391"/>
      <c r="IU200" s="391"/>
      <c r="IV200" s="391"/>
      <c r="IW200" s="391"/>
      <c r="IX200" s="391"/>
      <c r="IY200" s="391"/>
      <c r="IZ200" s="391"/>
      <c r="JA200" s="391"/>
      <c r="JB200" s="391"/>
      <c r="JC200" s="391"/>
      <c r="JD200" s="391"/>
      <c r="JE200" s="391"/>
      <c r="JF200" s="391"/>
      <c r="JG200" s="391"/>
      <c r="JH200" s="391"/>
      <c r="JI200" s="393">
        <f t="shared" si="7"/>
        <v>0</v>
      </c>
      <c r="JJ200" s="2">
        <v>6622</v>
      </c>
      <c r="JK200" s="392">
        <f t="shared" si="8"/>
        <v>0</v>
      </c>
      <c r="JL200" s="391"/>
      <c r="JM200" s="392"/>
      <c r="JN200" s="392"/>
      <c r="JO200" s="392"/>
      <c r="JP200" s="392"/>
    </row>
    <row r="201" spans="1:276" x14ac:dyDescent="0.3">
      <c r="A201" s="391"/>
      <c r="B201" s="391"/>
      <c r="C201" s="391"/>
      <c r="D201" s="391"/>
      <c r="E201" s="391"/>
      <c r="F201" s="391"/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  <c r="X201" s="391"/>
      <c r="Y201" s="391"/>
      <c r="Z201" s="391"/>
      <c r="AA201" s="391"/>
      <c r="AB201" s="391"/>
      <c r="AC201" s="391"/>
      <c r="AD201" s="391"/>
      <c r="AE201" s="391"/>
      <c r="AF201" s="391"/>
      <c r="AG201" s="391"/>
      <c r="AH201" s="391"/>
      <c r="AI201" s="391"/>
      <c r="AJ201" s="391"/>
      <c r="AK201" s="391"/>
      <c r="AL201" s="391"/>
      <c r="AM201" s="391"/>
      <c r="AN201" s="391"/>
      <c r="AO201" s="391"/>
      <c r="AP201" s="391"/>
      <c r="AQ201" s="391"/>
      <c r="AR201" s="391"/>
      <c r="AS201" s="391"/>
      <c r="AT201" s="391"/>
      <c r="AU201" s="391"/>
      <c r="AV201" s="391"/>
      <c r="AW201" s="391"/>
      <c r="AX201" s="391"/>
      <c r="AY201" s="391"/>
      <c r="AZ201" s="391"/>
      <c r="BA201" s="391"/>
      <c r="BB201" s="391"/>
      <c r="BC201" s="391"/>
      <c r="BD201" s="391"/>
      <c r="BE201" s="391"/>
      <c r="BF201" s="391"/>
      <c r="BG201" s="391"/>
      <c r="BH201" s="391"/>
      <c r="BI201" s="391"/>
      <c r="BJ201" s="391"/>
      <c r="BK201" s="391"/>
      <c r="BL201" s="391"/>
      <c r="BM201" s="391"/>
      <c r="BN201" s="391"/>
      <c r="BO201" s="391"/>
      <c r="BP201" s="391"/>
      <c r="BQ201" s="391"/>
      <c r="BR201" s="391"/>
      <c r="BS201" s="391"/>
      <c r="BT201" s="391"/>
      <c r="BU201" s="391"/>
      <c r="BV201" s="391"/>
      <c r="BW201" s="391"/>
      <c r="BX201" s="391"/>
      <c r="BY201" s="391"/>
      <c r="BZ201" s="391"/>
      <c r="CA201" s="391"/>
      <c r="CB201" s="391"/>
      <c r="CC201" s="391"/>
      <c r="CD201" s="391"/>
      <c r="CE201" s="391"/>
      <c r="CF201" s="391"/>
      <c r="CG201" s="391"/>
      <c r="CH201" s="391"/>
      <c r="CI201" s="391"/>
      <c r="CJ201" s="391"/>
      <c r="CK201" s="391"/>
      <c r="CL201" s="391"/>
      <c r="CM201" s="391"/>
      <c r="CN201" s="391"/>
      <c r="CO201" s="391"/>
      <c r="CP201" s="391"/>
      <c r="CQ201" s="391"/>
      <c r="CR201" s="391"/>
      <c r="CS201" s="391"/>
      <c r="CT201" s="391"/>
      <c r="CU201" s="391"/>
      <c r="CV201" s="391"/>
      <c r="CW201" s="391"/>
      <c r="CX201" s="391"/>
      <c r="CY201" s="391"/>
      <c r="CZ201" s="391"/>
      <c r="DA201" s="391"/>
      <c r="DB201" s="391"/>
      <c r="DC201" s="391"/>
      <c r="DD201" s="391"/>
      <c r="DE201" s="391"/>
      <c r="DF201" s="391"/>
      <c r="DG201" s="391"/>
      <c r="DH201" s="391"/>
      <c r="DI201" s="391"/>
      <c r="DJ201" s="391"/>
      <c r="DK201" s="391"/>
      <c r="DL201" s="391"/>
      <c r="DM201" s="391"/>
      <c r="DN201" s="391"/>
      <c r="DO201" s="391"/>
      <c r="DP201" s="391"/>
      <c r="DQ201" s="391"/>
      <c r="DR201" s="391"/>
      <c r="DS201" s="391"/>
      <c r="DT201" s="391"/>
      <c r="DU201" s="391"/>
      <c r="DV201" s="391"/>
      <c r="DW201" s="391"/>
      <c r="DX201" s="391"/>
      <c r="DY201" s="391"/>
      <c r="DZ201" s="391"/>
      <c r="EA201" s="391"/>
      <c r="EB201" s="391"/>
      <c r="EC201" s="391"/>
      <c r="ED201" s="391"/>
      <c r="EE201" s="391"/>
      <c r="EF201" s="391"/>
      <c r="EG201" s="391"/>
      <c r="EH201" s="391"/>
      <c r="EI201" s="391"/>
      <c r="EJ201" s="391"/>
      <c r="EK201" s="391"/>
      <c r="EL201" s="391"/>
      <c r="EM201" s="391"/>
      <c r="EN201" s="391"/>
      <c r="EO201" s="391"/>
      <c r="EP201" s="391"/>
      <c r="EQ201" s="391"/>
      <c r="ER201" s="391"/>
      <c r="ES201" s="391"/>
      <c r="ET201" s="391"/>
      <c r="EU201" s="391"/>
      <c r="EV201" s="391"/>
      <c r="EW201" s="391"/>
      <c r="EX201" s="391"/>
      <c r="EY201" s="391"/>
      <c r="EZ201" s="391"/>
      <c r="FA201" s="391"/>
      <c r="FB201" s="391"/>
      <c r="FC201" s="391"/>
      <c r="FD201" s="391"/>
      <c r="FE201" s="391"/>
      <c r="FF201" s="391"/>
      <c r="FG201" s="391"/>
      <c r="FH201" s="391"/>
      <c r="FI201" s="391"/>
      <c r="FJ201" s="391"/>
      <c r="FK201" s="391"/>
      <c r="FL201" s="391"/>
      <c r="FM201" s="391"/>
      <c r="FN201" s="391"/>
      <c r="FO201" s="391"/>
      <c r="FP201" s="391"/>
      <c r="FQ201" s="391"/>
      <c r="FR201" s="391"/>
      <c r="FS201" s="391"/>
      <c r="FT201" s="391"/>
      <c r="FU201" s="391"/>
      <c r="FV201" s="391"/>
      <c r="FW201" s="391"/>
      <c r="FX201" s="391"/>
      <c r="FY201" s="391"/>
      <c r="FZ201" s="391"/>
      <c r="GA201" s="391"/>
      <c r="GB201" s="391"/>
      <c r="GC201" s="391"/>
      <c r="GD201" s="391"/>
      <c r="GE201" s="391"/>
      <c r="GF201" s="391"/>
      <c r="GG201" s="391"/>
      <c r="GH201" s="391"/>
      <c r="GI201" s="391"/>
      <c r="GJ201" s="391"/>
      <c r="GK201" s="391"/>
      <c r="GL201" s="391"/>
      <c r="GM201" s="391"/>
      <c r="GN201" s="391"/>
      <c r="GO201" s="391"/>
      <c r="GP201" s="391"/>
      <c r="GQ201" s="391"/>
      <c r="GR201" s="391"/>
      <c r="GS201" s="391"/>
      <c r="GT201" s="391"/>
      <c r="GU201" s="391"/>
      <c r="GV201" s="391"/>
      <c r="GW201" s="391"/>
      <c r="GX201" s="391"/>
      <c r="GY201" s="391"/>
      <c r="GZ201" s="391"/>
      <c r="HA201" s="391"/>
      <c r="HB201" s="391"/>
      <c r="HC201" s="391"/>
      <c r="HD201" s="391"/>
      <c r="HE201" s="391"/>
      <c r="HF201" s="391"/>
      <c r="HG201" s="391"/>
      <c r="HH201" s="391"/>
      <c r="HI201" s="391"/>
      <c r="HJ201" s="391"/>
      <c r="HK201" s="391"/>
      <c r="HL201" s="391"/>
      <c r="HM201" s="391"/>
      <c r="HN201" s="391"/>
      <c r="HO201" s="391"/>
      <c r="HP201" s="391"/>
      <c r="HQ201" s="391"/>
      <c r="HR201" s="391"/>
      <c r="HS201" s="391"/>
      <c r="HT201" s="391"/>
      <c r="HU201" s="391"/>
      <c r="HV201" s="391"/>
      <c r="HW201" s="391"/>
      <c r="HX201" s="391"/>
      <c r="HY201" s="391"/>
      <c r="HZ201" s="391"/>
      <c r="IA201" s="391"/>
      <c r="IB201" s="391"/>
      <c r="IC201" s="391"/>
      <c r="ID201" s="391"/>
      <c r="IE201" s="391"/>
      <c r="IF201" s="391"/>
      <c r="IG201" s="391"/>
      <c r="IH201" s="391"/>
      <c r="II201" s="391"/>
      <c r="IJ201" s="391"/>
      <c r="IK201" s="391"/>
      <c r="IL201" s="391"/>
      <c r="IM201" s="391"/>
      <c r="IN201" s="391"/>
      <c r="IO201" s="391"/>
      <c r="IP201" s="391"/>
      <c r="IQ201" s="391"/>
      <c r="IR201" s="391"/>
      <c r="IS201" s="391"/>
      <c r="IT201" s="391"/>
      <c r="IU201" s="391"/>
      <c r="IV201" s="391"/>
      <c r="IW201" s="391"/>
      <c r="IX201" s="391"/>
      <c r="IY201" s="391"/>
      <c r="IZ201" s="391"/>
      <c r="JA201" s="391"/>
      <c r="JB201" s="391"/>
      <c r="JC201" s="391"/>
      <c r="JD201" s="391"/>
      <c r="JE201" s="391"/>
      <c r="JF201" s="391"/>
      <c r="JG201" s="391"/>
      <c r="JH201" s="391"/>
      <c r="JI201" s="393">
        <f t="shared" si="7"/>
        <v>0</v>
      </c>
      <c r="JJ201" s="2">
        <v>6626</v>
      </c>
      <c r="JK201" s="392">
        <f t="shared" si="8"/>
        <v>0</v>
      </c>
      <c r="JL201" s="391"/>
      <c r="JM201" s="392"/>
      <c r="JN201" s="392"/>
      <c r="JO201" s="392"/>
      <c r="JP201" s="392"/>
    </row>
    <row r="202" spans="1:276" x14ac:dyDescent="0.3">
      <c r="A202" s="391"/>
      <c r="B202" s="391"/>
      <c r="C202" s="391"/>
      <c r="D202" s="391"/>
      <c r="E202" s="391"/>
      <c r="F202" s="391"/>
      <c r="G202" s="391"/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391"/>
      <c r="X202" s="391"/>
      <c r="Y202" s="391"/>
      <c r="Z202" s="391"/>
      <c r="AA202" s="391"/>
      <c r="AB202" s="391"/>
      <c r="AC202" s="391"/>
      <c r="AD202" s="391"/>
      <c r="AE202" s="391"/>
      <c r="AF202" s="391"/>
      <c r="AG202" s="391"/>
      <c r="AH202" s="391"/>
      <c r="AI202" s="391"/>
      <c r="AJ202" s="391"/>
      <c r="AK202" s="391"/>
      <c r="AL202" s="391"/>
      <c r="AM202" s="391"/>
      <c r="AN202" s="391"/>
      <c r="AO202" s="391"/>
      <c r="AP202" s="391"/>
      <c r="AQ202" s="391"/>
      <c r="AR202" s="391"/>
      <c r="AS202" s="391"/>
      <c r="AT202" s="391"/>
      <c r="AU202" s="391"/>
      <c r="AV202" s="391"/>
      <c r="AW202" s="391"/>
      <c r="AX202" s="391"/>
      <c r="AY202" s="391"/>
      <c r="AZ202" s="391"/>
      <c r="BA202" s="391"/>
      <c r="BB202" s="391"/>
      <c r="BC202" s="391"/>
      <c r="BD202" s="391"/>
      <c r="BE202" s="391"/>
      <c r="BF202" s="391"/>
      <c r="BG202" s="391"/>
      <c r="BH202" s="391"/>
      <c r="BI202" s="391"/>
      <c r="BJ202" s="391"/>
      <c r="BK202" s="391"/>
      <c r="BL202" s="391"/>
      <c r="BM202" s="391"/>
      <c r="BN202" s="391"/>
      <c r="BO202" s="391"/>
      <c r="BP202" s="391"/>
      <c r="BQ202" s="391"/>
      <c r="BR202" s="391"/>
      <c r="BS202" s="391"/>
      <c r="BT202" s="391"/>
      <c r="BU202" s="391"/>
      <c r="BV202" s="391"/>
      <c r="BW202" s="391"/>
      <c r="BX202" s="391"/>
      <c r="BY202" s="391"/>
      <c r="BZ202" s="391"/>
      <c r="CA202" s="391"/>
      <c r="CB202" s="391"/>
      <c r="CC202" s="391"/>
      <c r="CD202" s="391"/>
      <c r="CE202" s="391"/>
      <c r="CF202" s="391"/>
      <c r="CG202" s="391"/>
      <c r="CH202" s="391"/>
      <c r="CI202" s="391"/>
      <c r="CJ202" s="391"/>
      <c r="CK202" s="391"/>
      <c r="CL202" s="391"/>
      <c r="CM202" s="391"/>
      <c r="CN202" s="391"/>
      <c r="CO202" s="391"/>
      <c r="CP202" s="391"/>
      <c r="CQ202" s="391"/>
      <c r="CR202" s="391"/>
      <c r="CS202" s="391"/>
      <c r="CT202" s="391"/>
      <c r="CU202" s="391"/>
      <c r="CV202" s="391"/>
      <c r="CW202" s="391"/>
      <c r="CX202" s="391"/>
      <c r="CY202" s="391"/>
      <c r="CZ202" s="391"/>
      <c r="DA202" s="391"/>
      <c r="DB202" s="391"/>
      <c r="DC202" s="391"/>
      <c r="DD202" s="391"/>
      <c r="DE202" s="391"/>
      <c r="DF202" s="391"/>
      <c r="DG202" s="391"/>
      <c r="DH202" s="391"/>
      <c r="DI202" s="391"/>
      <c r="DJ202" s="391"/>
      <c r="DK202" s="391"/>
      <c r="DL202" s="391"/>
      <c r="DM202" s="391"/>
      <c r="DN202" s="391"/>
      <c r="DO202" s="391"/>
      <c r="DP202" s="391"/>
      <c r="DQ202" s="391"/>
      <c r="DR202" s="391"/>
      <c r="DS202" s="391"/>
      <c r="DT202" s="391"/>
      <c r="DU202" s="391"/>
      <c r="DV202" s="391"/>
      <c r="DW202" s="391"/>
      <c r="DX202" s="391"/>
      <c r="DY202" s="391"/>
      <c r="DZ202" s="391"/>
      <c r="EA202" s="391"/>
      <c r="EB202" s="391"/>
      <c r="EC202" s="391"/>
      <c r="ED202" s="391"/>
      <c r="EE202" s="391"/>
      <c r="EF202" s="391"/>
      <c r="EG202" s="391"/>
      <c r="EH202" s="391"/>
      <c r="EI202" s="391"/>
      <c r="EJ202" s="391"/>
      <c r="EK202" s="391"/>
      <c r="EL202" s="391"/>
      <c r="EM202" s="391"/>
      <c r="EN202" s="391"/>
      <c r="EO202" s="391"/>
      <c r="EP202" s="391"/>
      <c r="EQ202" s="391"/>
      <c r="ER202" s="391"/>
      <c r="ES202" s="391"/>
      <c r="ET202" s="391"/>
      <c r="EU202" s="391"/>
      <c r="EV202" s="391"/>
      <c r="EW202" s="391"/>
      <c r="EX202" s="391"/>
      <c r="EY202" s="391"/>
      <c r="EZ202" s="391"/>
      <c r="FA202" s="391"/>
      <c r="FB202" s="391"/>
      <c r="FC202" s="391"/>
      <c r="FD202" s="391"/>
      <c r="FE202" s="391"/>
      <c r="FF202" s="391"/>
      <c r="FG202" s="391"/>
      <c r="FH202" s="391"/>
      <c r="FI202" s="391"/>
      <c r="FJ202" s="391"/>
      <c r="FK202" s="391"/>
      <c r="FL202" s="391"/>
      <c r="FM202" s="391"/>
      <c r="FN202" s="391"/>
      <c r="FO202" s="391"/>
      <c r="FP202" s="391"/>
      <c r="FQ202" s="391"/>
      <c r="FR202" s="391"/>
      <c r="FS202" s="391"/>
      <c r="FT202" s="391"/>
      <c r="FU202" s="391"/>
      <c r="FV202" s="391"/>
      <c r="FW202" s="391"/>
      <c r="FX202" s="391"/>
      <c r="FY202" s="391"/>
      <c r="FZ202" s="391"/>
      <c r="GA202" s="391"/>
      <c r="GB202" s="391"/>
      <c r="GC202" s="391"/>
      <c r="GD202" s="391"/>
      <c r="GE202" s="391"/>
      <c r="GF202" s="391"/>
      <c r="GG202" s="391"/>
      <c r="GH202" s="391"/>
      <c r="GI202" s="391"/>
      <c r="GJ202" s="391"/>
      <c r="GK202" s="391"/>
      <c r="GL202" s="391"/>
      <c r="GM202" s="391"/>
      <c r="GN202" s="391"/>
      <c r="GO202" s="391"/>
      <c r="GP202" s="391"/>
      <c r="GQ202" s="391"/>
      <c r="GR202" s="391"/>
      <c r="GS202" s="391"/>
      <c r="GT202" s="391"/>
      <c r="GU202" s="391"/>
      <c r="GV202" s="391"/>
      <c r="GW202" s="391"/>
      <c r="GX202" s="391"/>
      <c r="GY202" s="391"/>
      <c r="GZ202" s="391"/>
      <c r="HA202" s="391"/>
      <c r="HB202" s="391"/>
      <c r="HC202" s="391"/>
      <c r="HD202" s="391"/>
      <c r="HE202" s="391"/>
      <c r="HF202" s="391"/>
      <c r="HG202" s="391"/>
      <c r="HH202" s="391"/>
      <c r="HI202" s="391"/>
      <c r="HJ202" s="391"/>
      <c r="HK202" s="391"/>
      <c r="HL202" s="391"/>
      <c r="HM202" s="391"/>
      <c r="HN202" s="391"/>
      <c r="HO202" s="391"/>
      <c r="HP202" s="391"/>
      <c r="HQ202" s="391"/>
      <c r="HR202" s="391"/>
      <c r="HS202" s="391"/>
      <c r="HT202" s="391"/>
      <c r="HU202" s="391"/>
      <c r="HV202" s="391"/>
      <c r="HW202" s="391"/>
      <c r="HX202" s="391"/>
      <c r="HY202" s="391"/>
      <c r="HZ202" s="391"/>
      <c r="IA202" s="391"/>
      <c r="IB202" s="391"/>
      <c r="IC202" s="391"/>
      <c r="ID202" s="391"/>
      <c r="IE202" s="391"/>
      <c r="IF202" s="391"/>
      <c r="IG202" s="391"/>
      <c r="IH202" s="391"/>
      <c r="II202" s="391"/>
      <c r="IJ202" s="391"/>
      <c r="IK202" s="391"/>
      <c r="IL202" s="391"/>
      <c r="IM202" s="391"/>
      <c r="IN202" s="391"/>
      <c r="IO202" s="391"/>
      <c r="IP202" s="391"/>
      <c r="IQ202" s="391"/>
      <c r="IR202" s="391"/>
      <c r="IS202" s="391"/>
      <c r="IT202" s="391"/>
      <c r="IU202" s="391"/>
      <c r="IV202" s="391"/>
      <c r="IW202" s="391"/>
      <c r="IX202" s="391"/>
      <c r="IY202" s="391"/>
      <c r="IZ202" s="391"/>
      <c r="JA202" s="391"/>
      <c r="JB202" s="391"/>
      <c r="JC202" s="391"/>
      <c r="JD202" s="391"/>
      <c r="JE202" s="391"/>
      <c r="JF202" s="391"/>
      <c r="JG202" s="391"/>
      <c r="JH202" s="391"/>
      <c r="JI202" s="393">
        <f t="shared" si="7"/>
        <v>0</v>
      </c>
      <c r="JJ202" s="2">
        <v>6630</v>
      </c>
      <c r="JK202" s="392">
        <f t="shared" si="8"/>
        <v>0</v>
      </c>
      <c r="JL202" s="391"/>
      <c r="JM202" s="392"/>
      <c r="JN202" s="392"/>
      <c r="JO202" s="392"/>
      <c r="JP202" s="392"/>
    </row>
    <row r="203" spans="1:276" x14ac:dyDescent="0.3">
      <c r="A203" s="391"/>
      <c r="B203" s="391"/>
      <c r="C203" s="391"/>
      <c r="D203" s="391"/>
      <c r="E203" s="391"/>
      <c r="F203" s="391"/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  <c r="W203" s="391"/>
      <c r="X203" s="391"/>
      <c r="Y203" s="391"/>
      <c r="Z203" s="391"/>
      <c r="AA203" s="391"/>
      <c r="AB203" s="391"/>
      <c r="AC203" s="391"/>
      <c r="AD203" s="391"/>
      <c r="AE203" s="391"/>
      <c r="AF203" s="391"/>
      <c r="AG203" s="391"/>
      <c r="AH203" s="391"/>
      <c r="AI203" s="391"/>
      <c r="AJ203" s="391"/>
      <c r="AK203" s="391"/>
      <c r="AL203" s="391"/>
      <c r="AM203" s="391"/>
      <c r="AN203" s="391"/>
      <c r="AO203" s="391"/>
      <c r="AP203" s="391"/>
      <c r="AQ203" s="391"/>
      <c r="AR203" s="391"/>
      <c r="AS203" s="391"/>
      <c r="AT203" s="391"/>
      <c r="AU203" s="391"/>
      <c r="AV203" s="391"/>
      <c r="AW203" s="391"/>
      <c r="AX203" s="391"/>
      <c r="AY203" s="391"/>
      <c r="AZ203" s="391"/>
      <c r="BA203" s="391"/>
      <c r="BB203" s="391"/>
      <c r="BC203" s="391"/>
      <c r="BD203" s="391"/>
      <c r="BE203" s="391"/>
      <c r="BF203" s="391"/>
      <c r="BG203" s="391"/>
      <c r="BH203" s="391"/>
      <c r="BI203" s="391"/>
      <c r="BJ203" s="391"/>
      <c r="BK203" s="391"/>
      <c r="BL203" s="391"/>
      <c r="BM203" s="391"/>
      <c r="BN203" s="391"/>
      <c r="BO203" s="391"/>
      <c r="BP203" s="391"/>
      <c r="BQ203" s="391"/>
      <c r="BR203" s="391"/>
      <c r="BS203" s="391"/>
      <c r="BT203" s="391"/>
      <c r="BU203" s="391"/>
      <c r="BV203" s="391"/>
      <c r="BW203" s="391"/>
      <c r="BX203" s="391"/>
      <c r="BY203" s="391"/>
      <c r="BZ203" s="391"/>
      <c r="CA203" s="391"/>
      <c r="CB203" s="391"/>
      <c r="CC203" s="391"/>
      <c r="CD203" s="391"/>
      <c r="CE203" s="391"/>
      <c r="CF203" s="391"/>
      <c r="CG203" s="391"/>
      <c r="CH203" s="391"/>
      <c r="CI203" s="391"/>
      <c r="CJ203" s="391"/>
      <c r="CK203" s="391"/>
      <c r="CL203" s="391"/>
      <c r="CM203" s="391"/>
      <c r="CN203" s="391"/>
      <c r="CO203" s="391"/>
      <c r="CP203" s="391"/>
      <c r="CQ203" s="391"/>
      <c r="CR203" s="391"/>
      <c r="CS203" s="391"/>
      <c r="CT203" s="391"/>
      <c r="CU203" s="391"/>
      <c r="CV203" s="391"/>
      <c r="CW203" s="391"/>
      <c r="CX203" s="391"/>
      <c r="CY203" s="391"/>
      <c r="CZ203" s="391"/>
      <c r="DA203" s="391"/>
      <c r="DB203" s="391"/>
      <c r="DC203" s="391"/>
      <c r="DD203" s="391"/>
      <c r="DE203" s="391"/>
      <c r="DF203" s="391"/>
      <c r="DG203" s="391"/>
      <c r="DH203" s="391"/>
      <c r="DI203" s="391"/>
      <c r="DJ203" s="391"/>
      <c r="DK203" s="391"/>
      <c r="DL203" s="391"/>
      <c r="DM203" s="391"/>
      <c r="DN203" s="391"/>
      <c r="DO203" s="391"/>
      <c r="DP203" s="391"/>
      <c r="DQ203" s="391"/>
      <c r="DR203" s="391"/>
      <c r="DS203" s="391"/>
      <c r="DT203" s="391"/>
      <c r="DU203" s="391"/>
      <c r="DV203" s="391"/>
      <c r="DW203" s="391"/>
      <c r="DX203" s="391"/>
      <c r="DY203" s="391"/>
      <c r="DZ203" s="391"/>
      <c r="EA203" s="391"/>
      <c r="EB203" s="391"/>
      <c r="EC203" s="391"/>
      <c r="ED203" s="391"/>
      <c r="EE203" s="391"/>
      <c r="EF203" s="391"/>
      <c r="EG203" s="391"/>
      <c r="EH203" s="391"/>
      <c r="EI203" s="391"/>
      <c r="EJ203" s="391"/>
      <c r="EK203" s="391"/>
      <c r="EL203" s="391"/>
      <c r="EM203" s="391"/>
      <c r="EN203" s="391"/>
      <c r="EO203" s="391"/>
      <c r="EP203" s="391"/>
      <c r="EQ203" s="391"/>
      <c r="ER203" s="391"/>
      <c r="ES203" s="391"/>
      <c r="ET203" s="391"/>
      <c r="EU203" s="391"/>
      <c r="EV203" s="391"/>
      <c r="EW203" s="391"/>
      <c r="EX203" s="391"/>
      <c r="EY203" s="391"/>
      <c r="EZ203" s="391"/>
      <c r="FA203" s="391"/>
      <c r="FB203" s="391"/>
      <c r="FC203" s="391"/>
      <c r="FD203" s="391"/>
      <c r="FE203" s="391"/>
      <c r="FF203" s="391"/>
      <c r="FG203" s="391"/>
      <c r="FH203" s="391"/>
      <c r="FI203" s="391"/>
      <c r="FJ203" s="391"/>
      <c r="FK203" s="391"/>
      <c r="FL203" s="391"/>
      <c r="FM203" s="391"/>
      <c r="FN203" s="391"/>
      <c r="FO203" s="391"/>
      <c r="FP203" s="391"/>
      <c r="FQ203" s="391"/>
      <c r="FR203" s="391"/>
      <c r="FS203" s="391"/>
      <c r="FT203" s="391"/>
      <c r="FU203" s="391"/>
      <c r="FV203" s="391"/>
      <c r="FW203" s="391"/>
      <c r="FX203" s="391"/>
      <c r="FY203" s="391"/>
      <c r="FZ203" s="391"/>
      <c r="GA203" s="391"/>
      <c r="GB203" s="391"/>
      <c r="GC203" s="391"/>
      <c r="GD203" s="391"/>
      <c r="GE203" s="391"/>
      <c r="GF203" s="391"/>
      <c r="GG203" s="391"/>
      <c r="GH203" s="391"/>
      <c r="GI203" s="391"/>
      <c r="GJ203" s="391"/>
      <c r="GK203" s="391"/>
      <c r="GL203" s="391"/>
      <c r="GM203" s="391"/>
      <c r="GN203" s="391"/>
      <c r="GO203" s="391"/>
      <c r="GP203" s="391"/>
      <c r="GQ203" s="391"/>
      <c r="GR203" s="391"/>
      <c r="GS203" s="391"/>
      <c r="GT203" s="391"/>
      <c r="GU203" s="391"/>
      <c r="GV203" s="391"/>
      <c r="GW203" s="391"/>
      <c r="GX203" s="391"/>
      <c r="GY203" s="391"/>
      <c r="GZ203" s="391"/>
      <c r="HA203" s="391"/>
      <c r="HB203" s="391"/>
      <c r="HC203" s="391"/>
      <c r="HD203" s="391"/>
      <c r="HE203" s="391"/>
      <c r="HF203" s="391"/>
      <c r="HG203" s="391"/>
      <c r="HH203" s="391"/>
      <c r="HI203" s="391"/>
      <c r="HJ203" s="391"/>
      <c r="HK203" s="391"/>
      <c r="HL203" s="391"/>
      <c r="HM203" s="391"/>
      <c r="HN203" s="391"/>
      <c r="HO203" s="391"/>
      <c r="HP203" s="391"/>
      <c r="HQ203" s="391"/>
      <c r="HR203" s="391"/>
      <c r="HS203" s="391"/>
      <c r="HT203" s="391"/>
      <c r="HU203" s="391"/>
      <c r="HV203" s="391"/>
      <c r="HW203" s="391"/>
      <c r="HX203" s="391"/>
      <c r="HY203" s="391"/>
      <c r="HZ203" s="391"/>
      <c r="IA203" s="391"/>
      <c r="IB203" s="391"/>
      <c r="IC203" s="391"/>
      <c r="ID203" s="391"/>
      <c r="IE203" s="391"/>
      <c r="IF203" s="391"/>
      <c r="IG203" s="391"/>
      <c r="IH203" s="391"/>
      <c r="II203" s="391"/>
      <c r="IJ203" s="391"/>
      <c r="IK203" s="391"/>
      <c r="IL203" s="391"/>
      <c r="IM203" s="391"/>
      <c r="IN203" s="391"/>
      <c r="IO203" s="391"/>
      <c r="IP203" s="391"/>
      <c r="IQ203" s="391"/>
      <c r="IR203" s="391"/>
      <c r="IS203" s="391"/>
      <c r="IT203" s="391"/>
      <c r="IU203" s="391"/>
      <c r="IV203" s="391"/>
      <c r="IW203" s="391"/>
      <c r="IX203" s="391"/>
      <c r="IY203" s="391"/>
      <c r="IZ203" s="391"/>
      <c r="JA203" s="391"/>
      <c r="JB203" s="391"/>
      <c r="JC203" s="391"/>
      <c r="JD203" s="391"/>
      <c r="JE203" s="391"/>
      <c r="JF203" s="391"/>
      <c r="JG203" s="391"/>
      <c r="JH203" s="391"/>
      <c r="JI203" s="393">
        <f t="shared" si="7"/>
        <v>0</v>
      </c>
      <c r="JJ203" s="2">
        <v>6659</v>
      </c>
      <c r="JK203" s="392">
        <f t="shared" si="8"/>
        <v>0</v>
      </c>
      <c r="JL203" s="391"/>
      <c r="JM203" s="392"/>
      <c r="JN203" s="392"/>
      <c r="JO203" s="392"/>
      <c r="JP203" s="392"/>
    </row>
    <row r="204" spans="1:276" x14ac:dyDescent="0.3">
      <c r="A204" s="391"/>
      <c r="B204" s="391"/>
      <c r="C204" s="391"/>
      <c r="D204" s="391"/>
      <c r="E204" s="391"/>
      <c r="F204" s="391"/>
      <c r="G204" s="391"/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/>
      <c r="W204" s="391"/>
      <c r="X204" s="391"/>
      <c r="Y204" s="391"/>
      <c r="Z204" s="391"/>
      <c r="AA204" s="391"/>
      <c r="AB204" s="391"/>
      <c r="AC204" s="391"/>
      <c r="AD204" s="391"/>
      <c r="AE204" s="391"/>
      <c r="AF204" s="391"/>
      <c r="AG204" s="391"/>
      <c r="AH204" s="391"/>
      <c r="AI204" s="391"/>
      <c r="AJ204" s="391"/>
      <c r="AK204" s="391"/>
      <c r="AL204" s="391"/>
      <c r="AM204" s="391"/>
      <c r="AN204" s="391"/>
      <c r="AO204" s="391"/>
      <c r="AP204" s="391"/>
      <c r="AQ204" s="391"/>
      <c r="AR204" s="391"/>
      <c r="AS204" s="391"/>
      <c r="AT204" s="391"/>
      <c r="AU204" s="391"/>
      <c r="AV204" s="391"/>
      <c r="AW204" s="391"/>
      <c r="AX204" s="391"/>
      <c r="AY204" s="391"/>
      <c r="AZ204" s="391"/>
      <c r="BA204" s="391"/>
      <c r="BB204" s="391"/>
      <c r="BC204" s="391"/>
      <c r="BD204" s="391"/>
      <c r="BE204" s="391"/>
      <c r="BF204" s="391"/>
      <c r="BG204" s="391"/>
      <c r="BH204" s="391"/>
      <c r="BI204" s="391"/>
      <c r="BJ204" s="391"/>
      <c r="BK204" s="391"/>
      <c r="BL204" s="391"/>
      <c r="BM204" s="391"/>
      <c r="BN204" s="391"/>
      <c r="BO204" s="391"/>
      <c r="BP204" s="391"/>
      <c r="BQ204" s="391"/>
      <c r="BR204" s="391"/>
      <c r="BS204" s="391"/>
      <c r="BT204" s="391"/>
      <c r="BU204" s="391"/>
      <c r="BV204" s="391"/>
      <c r="BW204" s="391"/>
      <c r="BX204" s="391"/>
      <c r="BY204" s="391"/>
      <c r="BZ204" s="391"/>
      <c r="CA204" s="391"/>
      <c r="CB204" s="391"/>
      <c r="CC204" s="391"/>
      <c r="CD204" s="391"/>
      <c r="CE204" s="391"/>
      <c r="CF204" s="391"/>
      <c r="CG204" s="391"/>
      <c r="CH204" s="391"/>
      <c r="CI204" s="391"/>
      <c r="CJ204" s="391"/>
      <c r="CK204" s="391"/>
      <c r="CL204" s="391"/>
      <c r="CM204" s="391"/>
      <c r="CN204" s="391"/>
      <c r="CO204" s="391"/>
      <c r="CP204" s="391"/>
      <c r="CQ204" s="391"/>
      <c r="CR204" s="391"/>
      <c r="CS204" s="391"/>
      <c r="CT204" s="391"/>
      <c r="CU204" s="391"/>
      <c r="CV204" s="391"/>
      <c r="CW204" s="391"/>
      <c r="CX204" s="391"/>
      <c r="CY204" s="391"/>
      <c r="CZ204" s="391"/>
      <c r="DA204" s="391"/>
      <c r="DB204" s="391"/>
      <c r="DC204" s="391"/>
      <c r="DD204" s="391"/>
      <c r="DE204" s="391"/>
      <c r="DF204" s="391"/>
      <c r="DG204" s="391"/>
      <c r="DH204" s="391"/>
      <c r="DI204" s="391"/>
      <c r="DJ204" s="391"/>
      <c r="DK204" s="391"/>
      <c r="DL204" s="391"/>
      <c r="DM204" s="391"/>
      <c r="DN204" s="391"/>
      <c r="DO204" s="391"/>
      <c r="DP204" s="391"/>
      <c r="DQ204" s="391"/>
      <c r="DR204" s="391"/>
      <c r="DS204" s="391"/>
      <c r="DT204" s="391"/>
      <c r="DU204" s="391"/>
      <c r="DV204" s="391"/>
      <c r="DW204" s="391"/>
      <c r="DX204" s="391"/>
      <c r="DY204" s="391"/>
      <c r="DZ204" s="391"/>
      <c r="EA204" s="391"/>
      <c r="EB204" s="391"/>
      <c r="EC204" s="391"/>
      <c r="ED204" s="391"/>
      <c r="EE204" s="391"/>
      <c r="EF204" s="391"/>
      <c r="EG204" s="391"/>
      <c r="EH204" s="391"/>
      <c r="EI204" s="391"/>
      <c r="EJ204" s="391"/>
      <c r="EK204" s="391"/>
      <c r="EL204" s="391"/>
      <c r="EM204" s="391"/>
      <c r="EN204" s="391"/>
      <c r="EO204" s="391"/>
      <c r="EP204" s="391"/>
      <c r="EQ204" s="391"/>
      <c r="ER204" s="391"/>
      <c r="ES204" s="391"/>
      <c r="ET204" s="391"/>
      <c r="EU204" s="391"/>
      <c r="EV204" s="391"/>
      <c r="EW204" s="391"/>
      <c r="EX204" s="391"/>
      <c r="EY204" s="391"/>
      <c r="EZ204" s="391"/>
      <c r="FA204" s="391"/>
      <c r="FB204" s="391"/>
      <c r="FC204" s="391"/>
      <c r="FD204" s="391"/>
      <c r="FE204" s="391"/>
      <c r="FF204" s="391"/>
      <c r="FG204" s="391"/>
      <c r="FH204" s="391"/>
      <c r="FI204" s="391"/>
      <c r="FJ204" s="391"/>
      <c r="FK204" s="391"/>
      <c r="FL204" s="391"/>
      <c r="FM204" s="391"/>
      <c r="FN204" s="391"/>
      <c r="FO204" s="391"/>
      <c r="FP204" s="391"/>
      <c r="FQ204" s="391"/>
      <c r="FR204" s="391"/>
      <c r="FS204" s="391"/>
      <c r="FT204" s="391"/>
      <c r="FU204" s="391"/>
      <c r="FV204" s="391"/>
      <c r="FW204" s="391"/>
      <c r="FX204" s="391"/>
      <c r="FY204" s="391"/>
      <c r="FZ204" s="391"/>
      <c r="GA204" s="391"/>
      <c r="GB204" s="391"/>
      <c r="GC204" s="391"/>
      <c r="GD204" s="391"/>
      <c r="GE204" s="391"/>
      <c r="GF204" s="391"/>
      <c r="GG204" s="391"/>
      <c r="GH204" s="391"/>
      <c r="GI204" s="391"/>
      <c r="GJ204" s="391"/>
      <c r="GK204" s="391"/>
      <c r="GL204" s="391"/>
      <c r="GM204" s="391"/>
      <c r="GN204" s="391"/>
      <c r="GO204" s="391"/>
      <c r="GP204" s="391"/>
      <c r="GQ204" s="391"/>
      <c r="GR204" s="391"/>
      <c r="GS204" s="391"/>
      <c r="GT204" s="391"/>
      <c r="GU204" s="391"/>
      <c r="GV204" s="391"/>
      <c r="GW204" s="391"/>
      <c r="GX204" s="391"/>
      <c r="GY204" s="391"/>
      <c r="GZ204" s="391"/>
      <c r="HA204" s="391"/>
      <c r="HB204" s="391"/>
      <c r="HC204" s="391"/>
      <c r="HD204" s="391"/>
      <c r="HE204" s="391"/>
      <c r="HF204" s="391"/>
      <c r="HG204" s="391"/>
      <c r="HH204" s="391"/>
      <c r="HI204" s="391"/>
      <c r="HJ204" s="391"/>
      <c r="HK204" s="391"/>
      <c r="HL204" s="391"/>
      <c r="HM204" s="391"/>
      <c r="HN204" s="391"/>
      <c r="HO204" s="391"/>
      <c r="HP204" s="391"/>
      <c r="HQ204" s="391"/>
      <c r="HR204" s="391"/>
      <c r="HS204" s="391"/>
      <c r="HT204" s="391"/>
      <c r="HU204" s="391"/>
      <c r="HV204" s="391"/>
      <c r="HW204" s="391"/>
      <c r="HX204" s="391"/>
      <c r="HY204" s="391"/>
      <c r="HZ204" s="391"/>
      <c r="IA204" s="391"/>
      <c r="IB204" s="391"/>
      <c r="IC204" s="391"/>
      <c r="ID204" s="391"/>
      <c r="IE204" s="391"/>
      <c r="IF204" s="391"/>
      <c r="IG204" s="391"/>
      <c r="IH204" s="391"/>
      <c r="II204" s="391"/>
      <c r="IJ204" s="391"/>
      <c r="IK204" s="391"/>
      <c r="IL204" s="391"/>
      <c r="IM204" s="391"/>
      <c r="IN204" s="391"/>
      <c r="IO204" s="391"/>
      <c r="IP204" s="391"/>
      <c r="IQ204" s="391"/>
      <c r="IR204" s="391"/>
      <c r="IS204" s="391"/>
      <c r="IT204" s="391"/>
      <c r="IU204" s="391"/>
      <c r="IV204" s="391"/>
      <c r="IW204" s="391"/>
      <c r="IX204" s="391"/>
      <c r="IY204" s="391"/>
      <c r="IZ204" s="391"/>
      <c r="JA204" s="391"/>
      <c r="JB204" s="391"/>
      <c r="JC204" s="391"/>
      <c r="JD204" s="391"/>
      <c r="JE204" s="391"/>
      <c r="JF204" s="391"/>
      <c r="JG204" s="391"/>
      <c r="JH204" s="391"/>
      <c r="JI204" s="393">
        <f t="shared" si="7"/>
        <v>0</v>
      </c>
      <c r="JJ204" s="2">
        <v>6660</v>
      </c>
      <c r="JK204" s="392">
        <f t="shared" si="8"/>
        <v>0</v>
      </c>
      <c r="JL204" s="391"/>
      <c r="JM204" s="392"/>
      <c r="JN204" s="392"/>
      <c r="JO204" s="392"/>
      <c r="JP204" s="392"/>
    </row>
    <row r="205" spans="1:276" x14ac:dyDescent="0.3">
      <c r="A205" s="391"/>
      <c r="B205" s="391"/>
      <c r="C205" s="391"/>
      <c r="D205" s="391"/>
      <c r="E205" s="391"/>
      <c r="F205" s="391"/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  <c r="X205" s="391"/>
      <c r="Y205" s="391"/>
      <c r="Z205" s="391"/>
      <c r="AA205" s="391"/>
      <c r="AB205" s="391"/>
      <c r="AC205" s="391"/>
      <c r="AD205" s="391"/>
      <c r="AE205" s="391"/>
      <c r="AF205" s="391"/>
      <c r="AG205" s="391"/>
      <c r="AH205" s="391"/>
      <c r="AI205" s="391"/>
      <c r="AJ205" s="391"/>
      <c r="AK205" s="391"/>
      <c r="AL205" s="391"/>
      <c r="AM205" s="391"/>
      <c r="AN205" s="391"/>
      <c r="AO205" s="391"/>
      <c r="AP205" s="391"/>
      <c r="AQ205" s="391"/>
      <c r="AR205" s="391"/>
      <c r="AS205" s="391"/>
      <c r="AT205" s="391"/>
      <c r="AU205" s="391"/>
      <c r="AV205" s="391"/>
      <c r="AW205" s="391"/>
      <c r="AX205" s="391"/>
      <c r="AY205" s="391"/>
      <c r="AZ205" s="391"/>
      <c r="BA205" s="391"/>
      <c r="BB205" s="391"/>
      <c r="BC205" s="391"/>
      <c r="BD205" s="391"/>
      <c r="BE205" s="391"/>
      <c r="BF205" s="391"/>
      <c r="BG205" s="391"/>
      <c r="BH205" s="391"/>
      <c r="BI205" s="391"/>
      <c r="BJ205" s="391"/>
      <c r="BK205" s="391"/>
      <c r="BL205" s="391"/>
      <c r="BM205" s="391"/>
      <c r="BN205" s="391"/>
      <c r="BO205" s="391"/>
      <c r="BP205" s="391"/>
      <c r="BQ205" s="391"/>
      <c r="BR205" s="391"/>
      <c r="BS205" s="391"/>
      <c r="BT205" s="391"/>
      <c r="BU205" s="391"/>
      <c r="BV205" s="391"/>
      <c r="BW205" s="391"/>
      <c r="BX205" s="391"/>
      <c r="BY205" s="391"/>
      <c r="BZ205" s="391"/>
      <c r="CA205" s="391"/>
      <c r="CB205" s="391"/>
      <c r="CC205" s="391"/>
      <c r="CD205" s="391"/>
      <c r="CE205" s="391"/>
      <c r="CF205" s="391"/>
      <c r="CG205" s="391"/>
      <c r="CH205" s="391"/>
      <c r="CI205" s="391"/>
      <c r="CJ205" s="391"/>
      <c r="CK205" s="391"/>
      <c r="CL205" s="391"/>
      <c r="CM205" s="391"/>
      <c r="CN205" s="391"/>
      <c r="CO205" s="391"/>
      <c r="CP205" s="391"/>
      <c r="CQ205" s="391"/>
      <c r="CR205" s="391"/>
      <c r="CS205" s="391"/>
      <c r="CT205" s="391"/>
      <c r="CU205" s="391"/>
      <c r="CV205" s="391"/>
      <c r="CW205" s="391"/>
      <c r="CX205" s="391"/>
      <c r="CY205" s="391"/>
      <c r="CZ205" s="391"/>
      <c r="DA205" s="391"/>
      <c r="DB205" s="391"/>
      <c r="DC205" s="391"/>
      <c r="DD205" s="391"/>
      <c r="DE205" s="391"/>
      <c r="DF205" s="391"/>
      <c r="DG205" s="391"/>
      <c r="DH205" s="391"/>
      <c r="DI205" s="391"/>
      <c r="DJ205" s="391"/>
      <c r="DK205" s="391"/>
      <c r="DL205" s="391"/>
      <c r="DM205" s="391"/>
      <c r="DN205" s="391"/>
      <c r="DO205" s="391"/>
      <c r="DP205" s="391"/>
      <c r="DQ205" s="391"/>
      <c r="DR205" s="391"/>
      <c r="DS205" s="391"/>
      <c r="DT205" s="391"/>
      <c r="DU205" s="391"/>
      <c r="DV205" s="391"/>
      <c r="DW205" s="391"/>
      <c r="DX205" s="391"/>
      <c r="DY205" s="391"/>
      <c r="DZ205" s="391"/>
      <c r="EA205" s="391"/>
      <c r="EB205" s="391"/>
      <c r="EC205" s="391"/>
      <c r="ED205" s="391"/>
      <c r="EE205" s="391"/>
      <c r="EF205" s="391"/>
      <c r="EG205" s="391"/>
      <c r="EH205" s="391"/>
      <c r="EI205" s="391"/>
      <c r="EJ205" s="391"/>
      <c r="EK205" s="391"/>
      <c r="EL205" s="391"/>
      <c r="EM205" s="391"/>
      <c r="EN205" s="391"/>
      <c r="EO205" s="391"/>
      <c r="EP205" s="391"/>
      <c r="EQ205" s="391"/>
      <c r="ER205" s="391"/>
      <c r="ES205" s="391"/>
      <c r="ET205" s="391"/>
      <c r="EU205" s="391"/>
      <c r="EV205" s="391"/>
      <c r="EW205" s="391"/>
      <c r="EX205" s="391"/>
      <c r="EY205" s="391"/>
      <c r="EZ205" s="391"/>
      <c r="FA205" s="391"/>
      <c r="FB205" s="391"/>
      <c r="FC205" s="391"/>
      <c r="FD205" s="391"/>
      <c r="FE205" s="391"/>
      <c r="FF205" s="391"/>
      <c r="FG205" s="391"/>
      <c r="FH205" s="391"/>
      <c r="FI205" s="391"/>
      <c r="FJ205" s="391"/>
      <c r="FK205" s="391"/>
      <c r="FL205" s="391"/>
      <c r="FM205" s="391"/>
      <c r="FN205" s="391"/>
      <c r="FO205" s="391"/>
      <c r="FP205" s="391"/>
      <c r="FQ205" s="391"/>
      <c r="FR205" s="391"/>
      <c r="FS205" s="391"/>
      <c r="FT205" s="391"/>
      <c r="FU205" s="391"/>
      <c r="FV205" s="391"/>
      <c r="FW205" s="391"/>
      <c r="FX205" s="391"/>
      <c r="FY205" s="391"/>
      <c r="FZ205" s="391"/>
      <c r="GA205" s="391"/>
      <c r="GB205" s="391"/>
      <c r="GC205" s="391"/>
      <c r="GD205" s="391"/>
      <c r="GE205" s="391"/>
      <c r="GF205" s="391"/>
      <c r="GG205" s="391"/>
      <c r="GH205" s="391"/>
      <c r="GI205" s="391"/>
      <c r="GJ205" s="391"/>
      <c r="GK205" s="391"/>
      <c r="GL205" s="391"/>
      <c r="GM205" s="391"/>
      <c r="GN205" s="391"/>
      <c r="GO205" s="391"/>
      <c r="GP205" s="391"/>
      <c r="GQ205" s="391"/>
      <c r="GR205" s="391"/>
      <c r="GS205" s="391"/>
      <c r="GT205" s="391"/>
      <c r="GU205" s="391"/>
      <c r="GV205" s="391"/>
      <c r="GW205" s="391"/>
      <c r="GX205" s="391"/>
      <c r="GY205" s="391"/>
      <c r="GZ205" s="391"/>
      <c r="HA205" s="391"/>
      <c r="HB205" s="391"/>
      <c r="HC205" s="391"/>
      <c r="HD205" s="391"/>
      <c r="HE205" s="391"/>
      <c r="HF205" s="391"/>
      <c r="HG205" s="391"/>
      <c r="HH205" s="391"/>
      <c r="HI205" s="391"/>
      <c r="HJ205" s="391"/>
      <c r="HK205" s="391"/>
      <c r="HL205" s="391"/>
      <c r="HM205" s="391"/>
      <c r="HN205" s="391"/>
      <c r="HO205" s="391"/>
      <c r="HP205" s="391"/>
      <c r="HQ205" s="391"/>
      <c r="HR205" s="391"/>
      <c r="HS205" s="391"/>
      <c r="HT205" s="391"/>
      <c r="HU205" s="391"/>
      <c r="HV205" s="391"/>
      <c r="HW205" s="391"/>
      <c r="HX205" s="391"/>
      <c r="HY205" s="391"/>
      <c r="HZ205" s="391"/>
      <c r="IA205" s="391"/>
      <c r="IB205" s="391"/>
      <c r="IC205" s="391"/>
      <c r="ID205" s="391"/>
      <c r="IE205" s="391"/>
      <c r="IF205" s="391"/>
      <c r="IG205" s="391"/>
      <c r="IH205" s="391"/>
      <c r="II205" s="391"/>
      <c r="IJ205" s="391"/>
      <c r="IK205" s="391"/>
      <c r="IL205" s="391"/>
      <c r="IM205" s="391"/>
      <c r="IN205" s="391"/>
      <c r="IO205" s="391"/>
      <c r="IP205" s="391"/>
      <c r="IQ205" s="391"/>
      <c r="IR205" s="391"/>
      <c r="IS205" s="391"/>
      <c r="IT205" s="391"/>
      <c r="IU205" s="391"/>
      <c r="IV205" s="391"/>
      <c r="IW205" s="391"/>
      <c r="IX205" s="391"/>
      <c r="IY205" s="391"/>
      <c r="IZ205" s="391"/>
      <c r="JA205" s="391"/>
      <c r="JB205" s="391"/>
      <c r="JC205" s="391"/>
      <c r="JD205" s="391"/>
      <c r="JE205" s="391"/>
      <c r="JF205" s="391"/>
      <c r="JG205" s="391"/>
      <c r="JH205" s="391"/>
      <c r="JI205" s="393">
        <f t="shared" si="7"/>
        <v>0</v>
      </c>
      <c r="JJ205" s="2">
        <v>6665</v>
      </c>
      <c r="JK205" s="392">
        <f t="shared" si="8"/>
        <v>0</v>
      </c>
      <c r="JL205" s="391"/>
      <c r="JM205" s="392"/>
      <c r="JN205" s="392"/>
      <c r="JO205" s="392"/>
      <c r="JP205" s="392"/>
    </row>
    <row r="206" spans="1:276" x14ac:dyDescent="0.3">
      <c r="A206" s="391"/>
      <c r="B206" s="391"/>
      <c r="C206" s="391"/>
      <c r="D206" s="391"/>
      <c r="E206" s="391"/>
      <c r="F206" s="391"/>
      <c r="G206" s="391"/>
      <c r="H206" s="391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  <c r="T206" s="391"/>
      <c r="U206" s="391"/>
      <c r="V206" s="391"/>
      <c r="W206" s="391"/>
      <c r="X206" s="391"/>
      <c r="Y206" s="391"/>
      <c r="Z206" s="391"/>
      <c r="AA206" s="391"/>
      <c r="AB206" s="391"/>
      <c r="AC206" s="391"/>
      <c r="AD206" s="391"/>
      <c r="AE206" s="391"/>
      <c r="AF206" s="391"/>
      <c r="AG206" s="391"/>
      <c r="AH206" s="391"/>
      <c r="AI206" s="391"/>
      <c r="AJ206" s="391"/>
      <c r="AK206" s="391"/>
      <c r="AL206" s="391"/>
      <c r="AM206" s="391"/>
      <c r="AN206" s="391"/>
      <c r="AO206" s="391"/>
      <c r="AP206" s="391"/>
      <c r="AQ206" s="391"/>
      <c r="AR206" s="391"/>
      <c r="AS206" s="391"/>
      <c r="AT206" s="391"/>
      <c r="AU206" s="391"/>
      <c r="AV206" s="391"/>
      <c r="AW206" s="391"/>
      <c r="AX206" s="391"/>
      <c r="AY206" s="391"/>
      <c r="AZ206" s="391"/>
      <c r="BA206" s="391"/>
      <c r="BB206" s="391"/>
      <c r="BC206" s="391"/>
      <c r="BD206" s="391"/>
      <c r="BE206" s="391"/>
      <c r="BF206" s="391"/>
      <c r="BG206" s="391"/>
      <c r="BH206" s="391"/>
      <c r="BI206" s="391"/>
      <c r="BJ206" s="391"/>
      <c r="BK206" s="391"/>
      <c r="BL206" s="391"/>
      <c r="BM206" s="391"/>
      <c r="BN206" s="391"/>
      <c r="BO206" s="391"/>
      <c r="BP206" s="391"/>
      <c r="BQ206" s="391"/>
      <c r="BR206" s="391"/>
      <c r="BS206" s="391"/>
      <c r="BT206" s="391"/>
      <c r="BU206" s="391"/>
      <c r="BV206" s="391"/>
      <c r="BW206" s="391"/>
      <c r="BX206" s="391"/>
      <c r="BY206" s="391"/>
      <c r="BZ206" s="391"/>
      <c r="CA206" s="391"/>
      <c r="CB206" s="391"/>
      <c r="CC206" s="391"/>
      <c r="CD206" s="391"/>
      <c r="CE206" s="391"/>
      <c r="CF206" s="391"/>
      <c r="CG206" s="391"/>
      <c r="CH206" s="391"/>
      <c r="CI206" s="391"/>
      <c r="CJ206" s="391"/>
      <c r="CK206" s="391"/>
      <c r="CL206" s="391"/>
      <c r="CM206" s="391"/>
      <c r="CN206" s="391"/>
      <c r="CO206" s="391"/>
      <c r="CP206" s="391"/>
      <c r="CQ206" s="391"/>
      <c r="CR206" s="391"/>
      <c r="CS206" s="391"/>
      <c r="CT206" s="391"/>
      <c r="CU206" s="391"/>
      <c r="CV206" s="391"/>
      <c r="CW206" s="391"/>
      <c r="CX206" s="391"/>
      <c r="CY206" s="391"/>
      <c r="CZ206" s="391"/>
      <c r="DA206" s="391"/>
      <c r="DB206" s="391"/>
      <c r="DC206" s="391"/>
      <c r="DD206" s="391"/>
      <c r="DE206" s="391"/>
      <c r="DF206" s="391"/>
      <c r="DG206" s="391"/>
      <c r="DH206" s="391"/>
      <c r="DI206" s="391"/>
      <c r="DJ206" s="391"/>
      <c r="DK206" s="391"/>
      <c r="DL206" s="391"/>
      <c r="DM206" s="391"/>
      <c r="DN206" s="391"/>
      <c r="DO206" s="391"/>
      <c r="DP206" s="391"/>
      <c r="DQ206" s="391"/>
      <c r="DR206" s="391"/>
      <c r="DS206" s="391"/>
      <c r="DT206" s="391"/>
      <c r="DU206" s="391"/>
      <c r="DV206" s="391"/>
      <c r="DW206" s="391"/>
      <c r="DX206" s="391"/>
      <c r="DY206" s="391"/>
      <c r="DZ206" s="391"/>
      <c r="EA206" s="391"/>
      <c r="EB206" s="391"/>
      <c r="EC206" s="391"/>
      <c r="ED206" s="391"/>
      <c r="EE206" s="391"/>
      <c r="EF206" s="391"/>
      <c r="EG206" s="391"/>
      <c r="EH206" s="391"/>
      <c r="EI206" s="391"/>
      <c r="EJ206" s="391"/>
      <c r="EK206" s="391"/>
      <c r="EL206" s="391"/>
      <c r="EM206" s="391"/>
      <c r="EN206" s="391"/>
      <c r="EO206" s="391"/>
      <c r="EP206" s="391"/>
      <c r="EQ206" s="391"/>
      <c r="ER206" s="391"/>
      <c r="ES206" s="391"/>
      <c r="ET206" s="391"/>
      <c r="EU206" s="391"/>
      <c r="EV206" s="391"/>
      <c r="EW206" s="391"/>
      <c r="EX206" s="391"/>
      <c r="EY206" s="391"/>
      <c r="EZ206" s="391"/>
      <c r="FA206" s="391"/>
      <c r="FB206" s="391"/>
      <c r="FC206" s="391"/>
      <c r="FD206" s="391"/>
      <c r="FE206" s="391"/>
      <c r="FF206" s="391"/>
      <c r="FG206" s="391"/>
      <c r="FH206" s="391"/>
      <c r="FI206" s="391"/>
      <c r="FJ206" s="391"/>
      <c r="FK206" s="391"/>
      <c r="FL206" s="391"/>
      <c r="FM206" s="391"/>
      <c r="FN206" s="391"/>
      <c r="FO206" s="391"/>
      <c r="FP206" s="391"/>
      <c r="FQ206" s="391"/>
      <c r="FR206" s="391"/>
      <c r="FS206" s="391"/>
      <c r="FT206" s="391"/>
      <c r="FU206" s="391"/>
      <c r="FV206" s="391"/>
      <c r="FW206" s="391"/>
      <c r="FX206" s="391"/>
      <c r="FY206" s="391"/>
      <c r="FZ206" s="391"/>
      <c r="GA206" s="391"/>
      <c r="GB206" s="391"/>
      <c r="GC206" s="391"/>
      <c r="GD206" s="391"/>
      <c r="GE206" s="391"/>
      <c r="GF206" s="391"/>
      <c r="GG206" s="391"/>
      <c r="GH206" s="391"/>
      <c r="GI206" s="391"/>
      <c r="GJ206" s="391"/>
      <c r="GK206" s="391"/>
      <c r="GL206" s="391"/>
      <c r="GM206" s="391"/>
      <c r="GN206" s="391"/>
      <c r="GO206" s="391"/>
      <c r="GP206" s="391"/>
      <c r="GQ206" s="391"/>
      <c r="GR206" s="391"/>
      <c r="GS206" s="391"/>
      <c r="GT206" s="391"/>
      <c r="GU206" s="391"/>
      <c r="GV206" s="391"/>
      <c r="GW206" s="391"/>
      <c r="GX206" s="391"/>
      <c r="GY206" s="391"/>
      <c r="GZ206" s="391"/>
      <c r="HA206" s="391"/>
      <c r="HB206" s="391"/>
      <c r="HC206" s="391"/>
      <c r="HD206" s="391"/>
      <c r="HE206" s="391"/>
      <c r="HF206" s="391"/>
      <c r="HG206" s="391"/>
      <c r="HH206" s="391"/>
      <c r="HI206" s="391"/>
      <c r="HJ206" s="391"/>
      <c r="HK206" s="391"/>
      <c r="HL206" s="391"/>
      <c r="HM206" s="391"/>
      <c r="HN206" s="391"/>
      <c r="HO206" s="391"/>
      <c r="HP206" s="391"/>
      <c r="HQ206" s="391"/>
      <c r="HR206" s="391"/>
      <c r="HS206" s="391"/>
      <c r="HT206" s="391"/>
      <c r="HU206" s="391"/>
      <c r="HV206" s="391"/>
      <c r="HW206" s="391"/>
      <c r="HX206" s="391"/>
      <c r="HY206" s="391"/>
      <c r="HZ206" s="391"/>
      <c r="IA206" s="391"/>
      <c r="IB206" s="391"/>
      <c r="IC206" s="391"/>
      <c r="ID206" s="391"/>
      <c r="IE206" s="391"/>
      <c r="IF206" s="391"/>
      <c r="IG206" s="391"/>
      <c r="IH206" s="391"/>
      <c r="II206" s="391"/>
      <c r="IJ206" s="391"/>
      <c r="IK206" s="391"/>
      <c r="IL206" s="391"/>
      <c r="IM206" s="391"/>
      <c r="IN206" s="391"/>
      <c r="IO206" s="391"/>
      <c r="IP206" s="391"/>
      <c r="IQ206" s="391"/>
      <c r="IR206" s="391"/>
      <c r="IS206" s="391"/>
      <c r="IT206" s="391"/>
      <c r="IU206" s="391"/>
      <c r="IV206" s="391"/>
      <c r="IW206" s="391"/>
      <c r="IX206" s="391"/>
      <c r="IY206" s="391"/>
      <c r="IZ206" s="391"/>
      <c r="JA206" s="391"/>
      <c r="JB206" s="391"/>
      <c r="JC206" s="391"/>
      <c r="JD206" s="391"/>
      <c r="JE206" s="391"/>
      <c r="JF206" s="391"/>
      <c r="JG206" s="391"/>
      <c r="JH206" s="391"/>
      <c r="JI206" s="393">
        <f t="shared" si="7"/>
        <v>0</v>
      </c>
      <c r="JJ206" s="2">
        <v>6668</v>
      </c>
      <c r="JK206" s="392">
        <f t="shared" si="8"/>
        <v>0</v>
      </c>
      <c r="JL206" s="391"/>
      <c r="JM206" s="392"/>
      <c r="JN206" s="392"/>
      <c r="JO206" s="392"/>
      <c r="JP206" s="392"/>
    </row>
    <row r="207" spans="1:276" x14ac:dyDescent="0.3">
      <c r="A207" s="391"/>
      <c r="B207" s="391"/>
      <c r="C207" s="391"/>
      <c r="D207" s="391"/>
      <c r="E207" s="391"/>
      <c r="F207" s="391"/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391"/>
      <c r="X207" s="391"/>
      <c r="Y207" s="391"/>
      <c r="Z207" s="391"/>
      <c r="AA207" s="391"/>
      <c r="AB207" s="391"/>
      <c r="AC207" s="391"/>
      <c r="AD207" s="391"/>
      <c r="AE207" s="391"/>
      <c r="AF207" s="391"/>
      <c r="AG207" s="391"/>
      <c r="AH207" s="391"/>
      <c r="AI207" s="391"/>
      <c r="AJ207" s="391"/>
      <c r="AK207" s="391"/>
      <c r="AL207" s="391"/>
      <c r="AM207" s="391"/>
      <c r="AN207" s="391"/>
      <c r="AO207" s="391"/>
      <c r="AP207" s="391"/>
      <c r="AQ207" s="391"/>
      <c r="AR207" s="391"/>
      <c r="AS207" s="391"/>
      <c r="AT207" s="391"/>
      <c r="AU207" s="391"/>
      <c r="AV207" s="391"/>
      <c r="AW207" s="391"/>
      <c r="AX207" s="391"/>
      <c r="AY207" s="391"/>
      <c r="AZ207" s="391"/>
      <c r="BA207" s="391"/>
      <c r="BB207" s="391"/>
      <c r="BC207" s="391"/>
      <c r="BD207" s="391"/>
      <c r="BE207" s="391"/>
      <c r="BF207" s="391"/>
      <c r="BG207" s="391"/>
      <c r="BH207" s="391"/>
      <c r="BI207" s="391"/>
      <c r="BJ207" s="391"/>
      <c r="BK207" s="391"/>
      <c r="BL207" s="391"/>
      <c r="BM207" s="391"/>
      <c r="BN207" s="391"/>
      <c r="BO207" s="391"/>
      <c r="BP207" s="391"/>
      <c r="BQ207" s="391"/>
      <c r="BR207" s="391"/>
      <c r="BS207" s="391"/>
      <c r="BT207" s="391"/>
      <c r="BU207" s="391"/>
      <c r="BV207" s="391"/>
      <c r="BW207" s="391"/>
      <c r="BX207" s="391"/>
      <c r="BY207" s="391"/>
      <c r="BZ207" s="391"/>
      <c r="CA207" s="391"/>
      <c r="CB207" s="391"/>
      <c r="CC207" s="391"/>
      <c r="CD207" s="391"/>
      <c r="CE207" s="391"/>
      <c r="CF207" s="391"/>
      <c r="CG207" s="391"/>
      <c r="CH207" s="391"/>
      <c r="CI207" s="391"/>
      <c r="CJ207" s="391"/>
      <c r="CK207" s="391"/>
      <c r="CL207" s="391"/>
      <c r="CM207" s="391"/>
      <c r="CN207" s="391"/>
      <c r="CO207" s="391"/>
      <c r="CP207" s="391"/>
      <c r="CQ207" s="391"/>
      <c r="CR207" s="391"/>
      <c r="CS207" s="391"/>
      <c r="CT207" s="391"/>
      <c r="CU207" s="391"/>
      <c r="CV207" s="391"/>
      <c r="CW207" s="391"/>
      <c r="CX207" s="391"/>
      <c r="CY207" s="391"/>
      <c r="CZ207" s="391"/>
      <c r="DA207" s="391"/>
      <c r="DB207" s="391"/>
      <c r="DC207" s="391"/>
      <c r="DD207" s="391"/>
      <c r="DE207" s="391"/>
      <c r="DF207" s="391"/>
      <c r="DG207" s="391"/>
      <c r="DH207" s="391"/>
      <c r="DI207" s="391"/>
      <c r="DJ207" s="391"/>
      <c r="DK207" s="391"/>
      <c r="DL207" s="391"/>
      <c r="DM207" s="391"/>
      <c r="DN207" s="391"/>
      <c r="DO207" s="391"/>
      <c r="DP207" s="391"/>
      <c r="DQ207" s="391"/>
      <c r="DR207" s="391"/>
      <c r="DS207" s="391"/>
      <c r="DT207" s="391"/>
      <c r="DU207" s="391"/>
      <c r="DV207" s="391"/>
      <c r="DW207" s="391"/>
      <c r="DX207" s="391"/>
      <c r="DY207" s="391"/>
      <c r="DZ207" s="391"/>
      <c r="EA207" s="391"/>
      <c r="EB207" s="391"/>
      <c r="EC207" s="391"/>
      <c r="ED207" s="391"/>
      <c r="EE207" s="391"/>
      <c r="EF207" s="391"/>
      <c r="EG207" s="391"/>
      <c r="EH207" s="391"/>
      <c r="EI207" s="391"/>
      <c r="EJ207" s="391"/>
      <c r="EK207" s="391"/>
      <c r="EL207" s="391"/>
      <c r="EM207" s="391"/>
      <c r="EN207" s="391"/>
      <c r="EO207" s="391"/>
      <c r="EP207" s="391"/>
      <c r="EQ207" s="391"/>
      <c r="ER207" s="391"/>
      <c r="ES207" s="391"/>
      <c r="ET207" s="391"/>
      <c r="EU207" s="391"/>
      <c r="EV207" s="391"/>
      <c r="EW207" s="391"/>
      <c r="EX207" s="391"/>
      <c r="EY207" s="391"/>
      <c r="EZ207" s="391"/>
      <c r="FA207" s="391"/>
      <c r="FB207" s="391"/>
      <c r="FC207" s="391"/>
      <c r="FD207" s="391"/>
      <c r="FE207" s="391"/>
      <c r="FF207" s="391"/>
      <c r="FG207" s="391"/>
      <c r="FH207" s="391"/>
      <c r="FI207" s="391"/>
      <c r="FJ207" s="391"/>
      <c r="FK207" s="391"/>
      <c r="FL207" s="391"/>
      <c r="FM207" s="391"/>
      <c r="FN207" s="391"/>
      <c r="FO207" s="391"/>
      <c r="FP207" s="391"/>
      <c r="FQ207" s="391"/>
      <c r="FR207" s="391"/>
      <c r="FS207" s="391"/>
      <c r="FT207" s="391"/>
      <c r="FU207" s="391"/>
      <c r="FV207" s="391"/>
      <c r="FW207" s="391"/>
      <c r="FX207" s="391"/>
      <c r="FY207" s="391"/>
      <c r="FZ207" s="391"/>
      <c r="GA207" s="391"/>
      <c r="GB207" s="391"/>
      <c r="GC207" s="391"/>
      <c r="GD207" s="391"/>
      <c r="GE207" s="391"/>
      <c r="GF207" s="391"/>
      <c r="GG207" s="391"/>
      <c r="GH207" s="391"/>
      <c r="GI207" s="391"/>
      <c r="GJ207" s="391"/>
      <c r="GK207" s="391"/>
      <c r="GL207" s="391"/>
      <c r="GM207" s="391"/>
      <c r="GN207" s="391"/>
      <c r="GO207" s="391"/>
      <c r="GP207" s="391"/>
      <c r="GQ207" s="391"/>
      <c r="GR207" s="391"/>
      <c r="GS207" s="391"/>
      <c r="GT207" s="391"/>
      <c r="GU207" s="391"/>
      <c r="GV207" s="391"/>
      <c r="GW207" s="391"/>
      <c r="GX207" s="391"/>
      <c r="GY207" s="391"/>
      <c r="GZ207" s="391"/>
      <c r="HA207" s="391"/>
      <c r="HB207" s="391"/>
      <c r="HC207" s="391"/>
      <c r="HD207" s="391"/>
      <c r="HE207" s="391"/>
      <c r="HF207" s="391"/>
      <c r="HG207" s="391"/>
      <c r="HH207" s="391"/>
      <c r="HI207" s="391"/>
      <c r="HJ207" s="391"/>
      <c r="HK207" s="391"/>
      <c r="HL207" s="391"/>
      <c r="HM207" s="391"/>
      <c r="HN207" s="391"/>
      <c r="HO207" s="391"/>
      <c r="HP207" s="391"/>
      <c r="HQ207" s="391"/>
      <c r="HR207" s="391"/>
      <c r="HS207" s="391"/>
      <c r="HT207" s="391"/>
      <c r="HU207" s="391"/>
      <c r="HV207" s="391"/>
      <c r="HW207" s="391"/>
      <c r="HX207" s="391"/>
      <c r="HY207" s="391"/>
      <c r="HZ207" s="391"/>
      <c r="IA207" s="391"/>
      <c r="IB207" s="391"/>
      <c r="IC207" s="391"/>
      <c r="ID207" s="391"/>
      <c r="IE207" s="391"/>
      <c r="IF207" s="391"/>
      <c r="IG207" s="391"/>
      <c r="IH207" s="391"/>
      <c r="II207" s="391"/>
      <c r="IJ207" s="391"/>
      <c r="IK207" s="391"/>
      <c r="IL207" s="391"/>
      <c r="IM207" s="391"/>
      <c r="IN207" s="391"/>
      <c r="IO207" s="391"/>
      <c r="IP207" s="391"/>
      <c r="IQ207" s="391"/>
      <c r="IR207" s="391"/>
      <c r="IS207" s="391"/>
      <c r="IT207" s="391"/>
      <c r="IU207" s="391"/>
      <c r="IV207" s="391"/>
      <c r="IW207" s="391"/>
      <c r="IX207" s="391"/>
      <c r="IY207" s="391"/>
      <c r="IZ207" s="391"/>
      <c r="JA207" s="391"/>
      <c r="JB207" s="391"/>
      <c r="JC207" s="391"/>
      <c r="JD207" s="391"/>
      <c r="JE207" s="391"/>
      <c r="JF207" s="391"/>
      <c r="JG207" s="391"/>
      <c r="JH207" s="391"/>
      <c r="JI207" s="393">
        <f t="shared" si="7"/>
        <v>0</v>
      </c>
      <c r="JJ207" s="2">
        <v>6670</v>
      </c>
      <c r="JK207" s="392">
        <f t="shared" si="8"/>
        <v>0</v>
      </c>
      <c r="JL207" s="391"/>
      <c r="JM207" s="392"/>
      <c r="JN207" s="392"/>
      <c r="JO207" s="392"/>
      <c r="JP207" s="392"/>
    </row>
    <row r="208" spans="1:276" x14ac:dyDescent="0.3">
      <c r="A208" s="391"/>
      <c r="B208" s="391"/>
      <c r="C208" s="391"/>
      <c r="D208" s="391"/>
      <c r="E208" s="391"/>
      <c r="F208" s="391"/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  <c r="W208" s="391"/>
      <c r="X208" s="391"/>
      <c r="Y208" s="391"/>
      <c r="Z208" s="391"/>
      <c r="AA208" s="391"/>
      <c r="AB208" s="391"/>
      <c r="AC208" s="391"/>
      <c r="AD208" s="391"/>
      <c r="AE208" s="391"/>
      <c r="AF208" s="391"/>
      <c r="AG208" s="391"/>
      <c r="AH208" s="391"/>
      <c r="AI208" s="391"/>
      <c r="AJ208" s="391"/>
      <c r="AK208" s="391"/>
      <c r="AL208" s="391"/>
      <c r="AM208" s="391"/>
      <c r="AN208" s="391"/>
      <c r="AO208" s="391"/>
      <c r="AP208" s="391"/>
      <c r="AQ208" s="391"/>
      <c r="AR208" s="391"/>
      <c r="AS208" s="391"/>
      <c r="AT208" s="391"/>
      <c r="AU208" s="391"/>
      <c r="AV208" s="391"/>
      <c r="AW208" s="391"/>
      <c r="AX208" s="391"/>
      <c r="AY208" s="391"/>
      <c r="AZ208" s="391"/>
      <c r="BA208" s="391"/>
      <c r="BB208" s="391"/>
      <c r="BC208" s="391"/>
      <c r="BD208" s="391"/>
      <c r="BE208" s="391"/>
      <c r="BF208" s="391"/>
      <c r="BG208" s="391"/>
      <c r="BH208" s="391"/>
      <c r="BI208" s="391"/>
      <c r="BJ208" s="391"/>
      <c r="BK208" s="391"/>
      <c r="BL208" s="391"/>
      <c r="BM208" s="391"/>
      <c r="BN208" s="391"/>
      <c r="BO208" s="391"/>
      <c r="BP208" s="391"/>
      <c r="BQ208" s="391"/>
      <c r="BR208" s="391"/>
      <c r="BS208" s="391"/>
      <c r="BT208" s="391"/>
      <c r="BU208" s="391"/>
      <c r="BV208" s="391"/>
      <c r="BW208" s="391"/>
      <c r="BX208" s="391"/>
      <c r="BY208" s="391"/>
      <c r="BZ208" s="391"/>
      <c r="CA208" s="391"/>
      <c r="CB208" s="391"/>
      <c r="CC208" s="391"/>
      <c r="CD208" s="391"/>
      <c r="CE208" s="391"/>
      <c r="CF208" s="391"/>
      <c r="CG208" s="391"/>
      <c r="CH208" s="391"/>
      <c r="CI208" s="391"/>
      <c r="CJ208" s="391"/>
      <c r="CK208" s="391"/>
      <c r="CL208" s="391"/>
      <c r="CM208" s="391"/>
      <c r="CN208" s="391"/>
      <c r="CO208" s="391"/>
      <c r="CP208" s="391"/>
      <c r="CQ208" s="391"/>
      <c r="CR208" s="391"/>
      <c r="CS208" s="391"/>
      <c r="CT208" s="391"/>
      <c r="CU208" s="391"/>
      <c r="CV208" s="391"/>
      <c r="CW208" s="391"/>
      <c r="CX208" s="391"/>
      <c r="CY208" s="391"/>
      <c r="CZ208" s="391"/>
      <c r="DA208" s="391"/>
      <c r="DB208" s="391"/>
      <c r="DC208" s="391"/>
      <c r="DD208" s="391"/>
      <c r="DE208" s="391"/>
      <c r="DF208" s="391"/>
      <c r="DG208" s="391"/>
      <c r="DH208" s="391"/>
      <c r="DI208" s="391"/>
      <c r="DJ208" s="391"/>
      <c r="DK208" s="391"/>
      <c r="DL208" s="391"/>
      <c r="DM208" s="391"/>
      <c r="DN208" s="391"/>
      <c r="DO208" s="391"/>
      <c r="DP208" s="391"/>
      <c r="DQ208" s="391"/>
      <c r="DR208" s="391"/>
      <c r="DS208" s="391"/>
      <c r="DT208" s="391"/>
      <c r="DU208" s="391"/>
      <c r="DV208" s="391"/>
      <c r="DW208" s="391"/>
      <c r="DX208" s="391"/>
      <c r="DY208" s="391"/>
      <c r="DZ208" s="391"/>
      <c r="EA208" s="391"/>
      <c r="EB208" s="391"/>
      <c r="EC208" s="391"/>
      <c r="ED208" s="391"/>
      <c r="EE208" s="391"/>
      <c r="EF208" s="391"/>
      <c r="EG208" s="391"/>
      <c r="EH208" s="391"/>
      <c r="EI208" s="391"/>
      <c r="EJ208" s="391"/>
      <c r="EK208" s="391"/>
      <c r="EL208" s="391"/>
      <c r="EM208" s="391"/>
      <c r="EN208" s="391"/>
      <c r="EO208" s="391"/>
      <c r="EP208" s="391"/>
      <c r="EQ208" s="391"/>
      <c r="ER208" s="391"/>
      <c r="ES208" s="391"/>
      <c r="ET208" s="391"/>
      <c r="EU208" s="391"/>
      <c r="EV208" s="391"/>
      <c r="EW208" s="391"/>
      <c r="EX208" s="391"/>
      <c r="EY208" s="391"/>
      <c r="EZ208" s="391"/>
      <c r="FA208" s="391"/>
      <c r="FB208" s="391"/>
      <c r="FC208" s="391"/>
      <c r="FD208" s="391"/>
      <c r="FE208" s="391"/>
      <c r="FF208" s="391"/>
      <c r="FG208" s="391"/>
      <c r="FH208" s="391"/>
      <c r="FI208" s="391"/>
      <c r="FJ208" s="391"/>
      <c r="FK208" s="391"/>
      <c r="FL208" s="391"/>
      <c r="FM208" s="391"/>
      <c r="FN208" s="391"/>
      <c r="FO208" s="391"/>
      <c r="FP208" s="391"/>
      <c r="FQ208" s="391"/>
      <c r="FR208" s="391"/>
      <c r="FS208" s="391"/>
      <c r="FT208" s="391"/>
      <c r="FU208" s="391"/>
      <c r="FV208" s="391"/>
      <c r="FW208" s="391"/>
      <c r="FX208" s="391"/>
      <c r="FY208" s="391"/>
      <c r="FZ208" s="391"/>
      <c r="GA208" s="391"/>
      <c r="GB208" s="391"/>
      <c r="GC208" s="391"/>
      <c r="GD208" s="391"/>
      <c r="GE208" s="391"/>
      <c r="GF208" s="391"/>
      <c r="GG208" s="391"/>
      <c r="GH208" s="391"/>
      <c r="GI208" s="391"/>
      <c r="GJ208" s="391"/>
      <c r="GK208" s="391"/>
      <c r="GL208" s="391"/>
      <c r="GM208" s="391"/>
      <c r="GN208" s="391"/>
      <c r="GO208" s="391"/>
      <c r="GP208" s="391"/>
      <c r="GQ208" s="391"/>
      <c r="GR208" s="391"/>
      <c r="GS208" s="391"/>
      <c r="GT208" s="391"/>
      <c r="GU208" s="391"/>
      <c r="GV208" s="391"/>
      <c r="GW208" s="391"/>
      <c r="GX208" s="391"/>
      <c r="GY208" s="391"/>
      <c r="GZ208" s="391"/>
      <c r="HA208" s="391"/>
      <c r="HB208" s="391"/>
      <c r="HC208" s="391"/>
      <c r="HD208" s="391"/>
      <c r="HE208" s="391"/>
      <c r="HF208" s="391"/>
      <c r="HG208" s="391"/>
      <c r="HH208" s="391"/>
      <c r="HI208" s="391"/>
      <c r="HJ208" s="391"/>
      <c r="HK208" s="391"/>
      <c r="HL208" s="391"/>
      <c r="HM208" s="391"/>
      <c r="HN208" s="391"/>
      <c r="HO208" s="391"/>
      <c r="HP208" s="391"/>
      <c r="HQ208" s="391"/>
      <c r="HR208" s="391"/>
      <c r="HS208" s="391"/>
      <c r="HT208" s="391"/>
      <c r="HU208" s="391"/>
      <c r="HV208" s="391"/>
      <c r="HW208" s="391"/>
      <c r="HX208" s="391"/>
      <c r="HY208" s="391"/>
      <c r="HZ208" s="391"/>
      <c r="IA208" s="391"/>
      <c r="IB208" s="391"/>
      <c r="IC208" s="391"/>
      <c r="ID208" s="391"/>
      <c r="IE208" s="391"/>
      <c r="IF208" s="391"/>
      <c r="IG208" s="391"/>
      <c r="IH208" s="391"/>
      <c r="II208" s="391"/>
      <c r="IJ208" s="391"/>
      <c r="IK208" s="391"/>
      <c r="IL208" s="391"/>
      <c r="IM208" s="391"/>
      <c r="IN208" s="391"/>
      <c r="IO208" s="391"/>
      <c r="IP208" s="391"/>
      <c r="IQ208" s="391"/>
      <c r="IR208" s="391"/>
      <c r="IS208" s="391"/>
      <c r="IT208" s="391"/>
      <c r="IU208" s="391"/>
      <c r="IV208" s="391"/>
      <c r="IW208" s="391"/>
      <c r="IX208" s="391"/>
      <c r="IY208" s="391"/>
      <c r="IZ208" s="391"/>
      <c r="JA208" s="391"/>
      <c r="JB208" s="391"/>
      <c r="JC208" s="391"/>
      <c r="JD208" s="391"/>
      <c r="JE208" s="391"/>
      <c r="JF208" s="391"/>
      <c r="JG208" s="391"/>
      <c r="JH208" s="391"/>
      <c r="JI208" s="393">
        <f t="shared" si="7"/>
        <v>0</v>
      </c>
      <c r="JJ208" s="2">
        <v>6674</v>
      </c>
      <c r="JK208" s="392">
        <f t="shared" si="8"/>
        <v>0</v>
      </c>
      <c r="JL208" s="391"/>
      <c r="JM208" s="392"/>
      <c r="JN208" s="392"/>
      <c r="JO208" s="392"/>
      <c r="JP208" s="392"/>
    </row>
    <row r="209" spans="1:276" x14ac:dyDescent="0.3">
      <c r="A209" s="391"/>
      <c r="B209" s="391"/>
      <c r="C209" s="391"/>
      <c r="D209" s="391"/>
      <c r="E209" s="391"/>
      <c r="F209" s="391"/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  <c r="W209" s="391"/>
      <c r="X209" s="391"/>
      <c r="Y209" s="391"/>
      <c r="Z209" s="391"/>
      <c r="AA209" s="391"/>
      <c r="AB209" s="391"/>
      <c r="AC209" s="391"/>
      <c r="AD209" s="391"/>
      <c r="AE209" s="391"/>
      <c r="AF209" s="391"/>
      <c r="AG209" s="391"/>
      <c r="AH209" s="391"/>
      <c r="AI209" s="391"/>
      <c r="AJ209" s="391"/>
      <c r="AK209" s="391"/>
      <c r="AL209" s="391"/>
      <c r="AM209" s="391"/>
      <c r="AN209" s="391"/>
      <c r="AO209" s="391"/>
      <c r="AP209" s="391"/>
      <c r="AQ209" s="391"/>
      <c r="AR209" s="391"/>
      <c r="AS209" s="391"/>
      <c r="AT209" s="391"/>
      <c r="AU209" s="391"/>
      <c r="AV209" s="391"/>
      <c r="AW209" s="391"/>
      <c r="AX209" s="391"/>
      <c r="AY209" s="391"/>
      <c r="AZ209" s="391"/>
      <c r="BA209" s="391"/>
      <c r="BB209" s="391"/>
      <c r="BC209" s="391"/>
      <c r="BD209" s="391"/>
      <c r="BE209" s="391"/>
      <c r="BF209" s="391"/>
      <c r="BG209" s="391"/>
      <c r="BH209" s="391"/>
      <c r="BI209" s="391"/>
      <c r="BJ209" s="391"/>
      <c r="BK209" s="391"/>
      <c r="BL209" s="391"/>
      <c r="BM209" s="391"/>
      <c r="BN209" s="391"/>
      <c r="BO209" s="391"/>
      <c r="BP209" s="391"/>
      <c r="BQ209" s="391"/>
      <c r="BR209" s="391"/>
      <c r="BS209" s="391"/>
      <c r="BT209" s="391"/>
      <c r="BU209" s="391"/>
      <c r="BV209" s="391"/>
      <c r="BW209" s="391"/>
      <c r="BX209" s="391"/>
      <c r="BY209" s="391"/>
      <c r="BZ209" s="391"/>
      <c r="CA209" s="391"/>
      <c r="CB209" s="391"/>
      <c r="CC209" s="391"/>
      <c r="CD209" s="391"/>
      <c r="CE209" s="391"/>
      <c r="CF209" s="391"/>
      <c r="CG209" s="391"/>
      <c r="CH209" s="391"/>
      <c r="CI209" s="391"/>
      <c r="CJ209" s="391"/>
      <c r="CK209" s="391"/>
      <c r="CL209" s="391"/>
      <c r="CM209" s="391"/>
      <c r="CN209" s="391"/>
      <c r="CO209" s="391"/>
      <c r="CP209" s="391"/>
      <c r="CQ209" s="391"/>
      <c r="CR209" s="391"/>
      <c r="CS209" s="391"/>
      <c r="CT209" s="391"/>
      <c r="CU209" s="391"/>
      <c r="CV209" s="391"/>
      <c r="CW209" s="391"/>
      <c r="CX209" s="391"/>
      <c r="CY209" s="391"/>
      <c r="CZ209" s="391"/>
      <c r="DA209" s="391"/>
      <c r="DB209" s="391"/>
      <c r="DC209" s="391"/>
      <c r="DD209" s="391"/>
      <c r="DE209" s="391"/>
      <c r="DF209" s="391"/>
      <c r="DG209" s="391"/>
      <c r="DH209" s="391"/>
      <c r="DI209" s="391"/>
      <c r="DJ209" s="391"/>
      <c r="DK209" s="391"/>
      <c r="DL209" s="391"/>
      <c r="DM209" s="391"/>
      <c r="DN209" s="391"/>
      <c r="DO209" s="391"/>
      <c r="DP209" s="391"/>
      <c r="DQ209" s="391"/>
      <c r="DR209" s="391"/>
      <c r="DS209" s="391"/>
      <c r="DT209" s="391"/>
      <c r="DU209" s="391"/>
      <c r="DV209" s="391"/>
      <c r="DW209" s="391"/>
      <c r="DX209" s="391"/>
      <c r="DY209" s="391"/>
      <c r="DZ209" s="391"/>
      <c r="EA209" s="391"/>
      <c r="EB209" s="391"/>
      <c r="EC209" s="391"/>
      <c r="ED209" s="391"/>
      <c r="EE209" s="391"/>
      <c r="EF209" s="391"/>
      <c r="EG209" s="391"/>
      <c r="EH209" s="391"/>
      <c r="EI209" s="391"/>
      <c r="EJ209" s="391"/>
      <c r="EK209" s="391"/>
      <c r="EL209" s="391"/>
      <c r="EM209" s="391"/>
      <c r="EN209" s="391"/>
      <c r="EO209" s="391"/>
      <c r="EP209" s="391"/>
      <c r="EQ209" s="391"/>
      <c r="ER209" s="391"/>
      <c r="ES209" s="391"/>
      <c r="ET209" s="391"/>
      <c r="EU209" s="391"/>
      <c r="EV209" s="391"/>
      <c r="EW209" s="391"/>
      <c r="EX209" s="391"/>
      <c r="EY209" s="391"/>
      <c r="EZ209" s="391"/>
      <c r="FA209" s="391"/>
      <c r="FB209" s="391"/>
      <c r="FC209" s="391"/>
      <c r="FD209" s="391"/>
      <c r="FE209" s="391"/>
      <c r="FF209" s="391"/>
      <c r="FG209" s="391"/>
      <c r="FH209" s="391"/>
      <c r="FI209" s="391"/>
      <c r="FJ209" s="391"/>
      <c r="FK209" s="391"/>
      <c r="FL209" s="391"/>
      <c r="FM209" s="391"/>
      <c r="FN209" s="391"/>
      <c r="FO209" s="391"/>
      <c r="FP209" s="391"/>
      <c r="FQ209" s="391"/>
      <c r="FR209" s="391"/>
      <c r="FS209" s="391"/>
      <c r="FT209" s="391"/>
      <c r="FU209" s="391"/>
      <c r="FV209" s="391"/>
      <c r="FW209" s="391"/>
      <c r="FX209" s="391"/>
      <c r="FY209" s="391"/>
      <c r="FZ209" s="391"/>
      <c r="GA209" s="391"/>
      <c r="GB209" s="391"/>
      <c r="GC209" s="391"/>
      <c r="GD209" s="391"/>
      <c r="GE209" s="391"/>
      <c r="GF209" s="391"/>
      <c r="GG209" s="391"/>
      <c r="GH209" s="391"/>
      <c r="GI209" s="391"/>
      <c r="GJ209" s="391"/>
      <c r="GK209" s="391"/>
      <c r="GL209" s="391"/>
      <c r="GM209" s="391"/>
      <c r="GN209" s="391"/>
      <c r="GO209" s="391"/>
      <c r="GP209" s="391"/>
      <c r="GQ209" s="391"/>
      <c r="GR209" s="391"/>
      <c r="GS209" s="391"/>
      <c r="GT209" s="391"/>
      <c r="GU209" s="391"/>
      <c r="GV209" s="391"/>
      <c r="GW209" s="391"/>
      <c r="GX209" s="391"/>
      <c r="GY209" s="391"/>
      <c r="GZ209" s="391"/>
      <c r="HA209" s="391"/>
      <c r="HB209" s="391"/>
      <c r="HC209" s="391"/>
      <c r="HD209" s="391"/>
      <c r="HE209" s="391"/>
      <c r="HF209" s="391"/>
      <c r="HG209" s="391"/>
      <c r="HH209" s="391"/>
      <c r="HI209" s="391"/>
      <c r="HJ209" s="391"/>
      <c r="HK209" s="391"/>
      <c r="HL209" s="391"/>
      <c r="HM209" s="391"/>
      <c r="HN209" s="391"/>
      <c r="HO209" s="391"/>
      <c r="HP209" s="391"/>
      <c r="HQ209" s="391"/>
      <c r="HR209" s="391"/>
      <c r="HS209" s="391"/>
      <c r="HT209" s="391"/>
      <c r="HU209" s="391"/>
      <c r="HV209" s="391"/>
      <c r="HW209" s="391"/>
      <c r="HX209" s="391"/>
      <c r="HY209" s="391"/>
      <c r="HZ209" s="391"/>
      <c r="IA209" s="391"/>
      <c r="IB209" s="391"/>
      <c r="IC209" s="391"/>
      <c r="ID209" s="391"/>
      <c r="IE209" s="391"/>
      <c r="IF209" s="391"/>
      <c r="IG209" s="391"/>
      <c r="IH209" s="391"/>
      <c r="II209" s="391"/>
      <c r="IJ209" s="391"/>
      <c r="IK209" s="391"/>
      <c r="IL209" s="391"/>
      <c r="IM209" s="391"/>
      <c r="IN209" s="391"/>
      <c r="IO209" s="391"/>
      <c r="IP209" s="391"/>
      <c r="IQ209" s="391"/>
      <c r="IR209" s="391"/>
      <c r="IS209" s="391"/>
      <c r="IT209" s="391"/>
      <c r="IU209" s="391"/>
      <c r="IV209" s="391"/>
      <c r="IW209" s="391"/>
      <c r="IX209" s="391"/>
      <c r="IY209" s="391"/>
      <c r="IZ209" s="391"/>
      <c r="JA209" s="391"/>
      <c r="JB209" s="391"/>
      <c r="JC209" s="391"/>
      <c r="JD209" s="391"/>
      <c r="JE209" s="391"/>
      <c r="JF209" s="391"/>
      <c r="JG209" s="391"/>
      <c r="JH209" s="391"/>
      <c r="JI209" s="393">
        <f t="shared" si="7"/>
        <v>0</v>
      </c>
      <c r="JJ209" s="2">
        <v>6681</v>
      </c>
      <c r="JK209" s="392">
        <f t="shared" si="8"/>
        <v>0</v>
      </c>
      <c r="JL209" s="391"/>
      <c r="JM209" s="392"/>
      <c r="JN209" s="392"/>
      <c r="JO209" s="392"/>
      <c r="JP209" s="392"/>
    </row>
    <row r="210" spans="1:276" x14ac:dyDescent="0.3">
      <c r="A210" s="391"/>
      <c r="B210" s="391"/>
      <c r="C210" s="391"/>
      <c r="D210" s="391"/>
      <c r="E210" s="391"/>
      <c r="F210" s="391"/>
      <c r="G210" s="391"/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391"/>
      <c r="X210" s="391"/>
      <c r="Y210" s="391"/>
      <c r="Z210" s="391"/>
      <c r="AA210" s="391"/>
      <c r="AB210" s="391"/>
      <c r="AC210" s="391"/>
      <c r="AD210" s="391"/>
      <c r="AE210" s="391"/>
      <c r="AF210" s="391"/>
      <c r="AG210" s="391"/>
      <c r="AH210" s="391"/>
      <c r="AI210" s="391"/>
      <c r="AJ210" s="391"/>
      <c r="AK210" s="391"/>
      <c r="AL210" s="391"/>
      <c r="AM210" s="391"/>
      <c r="AN210" s="391"/>
      <c r="AO210" s="391"/>
      <c r="AP210" s="391"/>
      <c r="AQ210" s="391"/>
      <c r="AR210" s="391"/>
      <c r="AS210" s="391"/>
      <c r="AT210" s="391"/>
      <c r="AU210" s="391"/>
      <c r="AV210" s="391"/>
      <c r="AW210" s="391"/>
      <c r="AX210" s="391"/>
      <c r="AY210" s="391"/>
      <c r="AZ210" s="391"/>
      <c r="BA210" s="391"/>
      <c r="BB210" s="391"/>
      <c r="BC210" s="391"/>
      <c r="BD210" s="391"/>
      <c r="BE210" s="391"/>
      <c r="BF210" s="391"/>
      <c r="BG210" s="391"/>
      <c r="BH210" s="391"/>
      <c r="BI210" s="391"/>
      <c r="BJ210" s="391"/>
      <c r="BK210" s="391"/>
      <c r="BL210" s="391"/>
      <c r="BM210" s="391"/>
      <c r="BN210" s="391"/>
      <c r="BO210" s="391"/>
      <c r="BP210" s="391"/>
      <c r="BQ210" s="391"/>
      <c r="BR210" s="391"/>
      <c r="BS210" s="391"/>
      <c r="BT210" s="391"/>
      <c r="BU210" s="391"/>
      <c r="BV210" s="391"/>
      <c r="BW210" s="391"/>
      <c r="BX210" s="391"/>
      <c r="BY210" s="391"/>
      <c r="BZ210" s="391"/>
      <c r="CA210" s="391"/>
      <c r="CB210" s="391"/>
      <c r="CC210" s="391"/>
      <c r="CD210" s="391"/>
      <c r="CE210" s="391"/>
      <c r="CF210" s="391"/>
      <c r="CG210" s="391"/>
      <c r="CH210" s="391"/>
      <c r="CI210" s="391"/>
      <c r="CJ210" s="391"/>
      <c r="CK210" s="391"/>
      <c r="CL210" s="391"/>
      <c r="CM210" s="391"/>
      <c r="CN210" s="391"/>
      <c r="CO210" s="391"/>
      <c r="CP210" s="391"/>
      <c r="CQ210" s="391"/>
      <c r="CR210" s="391"/>
      <c r="CS210" s="391"/>
      <c r="CT210" s="391"/>
      <c r="CU210" s="391"/>
      <c r="CV210" s="391"/>
      <c r="CW210" s="391"/>
      <c r="CX210" s="391"/>
      <c r="CY210" s="391"/>
      <c r="CZ210" s="391"/>
      <c r="DA210" s="391"/>
      <c r="DB210" s="391"/>
      <c r="DC210" s="391"/>
      <c r="DD210" s="391"/>
      <c r="DE210" s="391"/>
      <c r="DF210" s="391"/>
      <c r="DG210" s="391"/>
      <c r="DH210" s="391"/>
      <c r="DI210" s="391"/>
      <c r="DJ210" s="391"/>
      <c r="DK210" s="391"/>
      <c r="DL210" s="391"/>
      <c r="DM210" s="391"/>
      <c r="DN210" s="391"/>
      <c r="DO210" s="391"/>
      <c r="DP210" s="391"/>
      <c r="DQ210" s="391"/>
      <c r="DR210" s="391"/>
      <c r="DS210" s="391"/>
      <c r="DT210" s="391"/>
      <c r="DU210" s="391"/>
      <c r="DV210" s="391"/>
      <c r="DW210" s="391"/>
      <c r="DX210" s="391"/>
      <c r="DY210" s="391"/>
      <c r="DZ210" s="391"/>
      <c r="EA210" s="391"/>
      <c r="EB210" s="391"/>
      <c r="EC210" s="391"/>
      <c r="ED210" s="391"/>
      <c r="EE210" s="391"/>
      <c r="EF210" s="391"/>
      <c r="EG210" s="391"/>
      <c r="EH210" s="391"/>
      <c r="EI210" s="391"/>
      <c r="EJ210" s="391"/>
      <c r="EK210" s="391"/>
      <c r="EL210" s="391"/>
      <c r="EM210" s="391"/>
      <c r="EN210" s="391"/>
      <c r="EO210" s="391"/>
      <c r="EP210" s="391"/>
      <c r="EQ210" s="391"/>
      <c r="ER210" s="391"/>
      <c r="ES210" s="391"/>
      <c r="ET210" s="391"/>
      <c r="EU210" s="391"/>
      <c r="EV210" s="391"/>
      <c r="EW210" s="391"/>
      <c r="EX210" s="391"/>
      <c r="EY210" s="391"/>
      <c r="EZ210" s="391"/>
      <c r="FA210" s="391"/>
      <c r="FB210" s="391"/>
      <c r="FC210" s="391"/>
      <c r="FD210" s="391"/>
      <c r="FE210" s="391"/>
      <c r="FF210" s="391"/>
      <c r="FG210" s="391"/>
      <c r="FH210" s="391"/>
      <c r="FI210" s="391"/>
      <c r="FJ210" s="391"/>
      <c r="FK210" s="391"/>
      <c r="FL210" s="391"/>
      <c r="FM210" s="391"/>
      <c r="FN210" s="391"/>
      <c r="FO210" s="391"/>
      <c r="FP210" s="391"/>
      <c r="FQ210" s="391"/>
      <c r="FR210" s="391"/>
      <c r="FS210" s="391"/>
      <c r="FT210" s="391"/>
      <c r="FU210" s="391"/>
      <c r="FV210" s="391"/>
      <c r="FW210" s="391"/>
      <c r="FX210" s="391"/>
      <c r="FY210" s="391"/>
      <c r="FZ210" s="391"/>
      <c r="GA210" s="391"/>
      <c r="GB210" s="391"/>
      <c r="GC210" s="391"/>
      <c r="GD210" s="391"/>
      <c r="GE210" s="391"/>
      <c r="GF210" s="391"/>
      <c r="GG210" s="391"/>
      <c r="GH210" s="391"/>
      <c r="GI210" s="391"/>
      <c r="GJ210" s="391"/>
      <c r="GK210" s="391"/>
      <c r="GL210" s="391"/>
      <c r="GM210" s="391"/>
      <c r="GN210" s="391"/>
      <c r="GO210" s="391"/>
      <c r="GP210" s="391"/>
      <c r="GQ210" s="391"/>
      <c r="GR210" s="391"/>
      <c r="GS210" s="391"/>
      <c r="GT210" s="391"/>
      <c r="GU210" s="391"/>
      <c r="GV210" s="391"/>
      <c r="GW210" s="391"/>
      <c r="GX210" s="391"/>
      <c r="GY210" s="391"/>
      <c r="GZ210" s="391"/>
      <c r="HA210" s="391"/>
      <c r="HB210" s="391"/>
      <c r="HC210" s="391"/>
      <c r="HD210" s="391"/>
      <c r="HE210" s="391"/>
      <c r="HF210" s="391"/>
      <c r="HG210" s="391"/>
      <c r="HH210" s="391"/>
      <c r="HI210" s="391"/>
      <c r="HJ210" s="391"/>
      <c r="HK210" s="391"/>
      <c r="HL210" s="391"/>
      <c r="HM210" s="391"/>
      <c r="HN210" s="391"/>
      <c r="HO210" s="391"/>
      <c r="HP210" s="391"/>
      <c r="HQ210" s="391"/>
      <c r="HR210" s="391"/>
      <c r="HS210" s="391"/>
      <c r="HT210" s="391"/>
      <c r="HU210" s="391"/>
      <c r="HV210" s="391"/>
      <c r="HW210" s="391"/>
      <c r="HX210" s="391"/>
      <c r="HY210" s="391"/>
      <c r="HZ210" s="391"/>
      <c r="IA210" s="391"/>
      <c r="IB210" s="391"/>
      <c r="IC210" s="391"/>
      <c r="ID210" s="391"/>
      <c r="IE210" s="391"/>
      <c r="IF210" s="391"/>
      <c r="IG210" s="391"/>
      <c r="IH210" s="391"/>
      <c r="II210" s="391"/>
      <c r="IJ210" s="391"/>
      <c r="IK210" s="391"/>
      <c r="IL210" s="391"/>
      <c r="IM210" s="391"/>
      <c r="IN210" s="391"/>
      <c r="IO210" s="391"/>
      <c r="IP210" s="391"/>
      <c r="IQ210" s="391"/>
      <c r="IR210" s="391"/>
      <c r="IS210" s="391"/>
      <c r="IT210" s="391"/>
      <c r="IU210" s="391"/>
      <c r="IV210" s="391"/>
      <c r="IW210" s="391"/>
      <c r="IX210" s="391"/>
      <c r="IY210" s="391"/>
      <c r="IZ210" s="391"/>
      <c r="JA210" s="391"/>
      <c r="JB210" s="391"/>
      <c r="JC210" s="391"/>
      <c r="JD210" s="391"/>
      <c r="JE210" s="391"/>
      <c r="JF210" s="391"/>
      <c r="JG210" s="391"/>
      <c r="JH210" s="391"/>
      <c r="JI210" s="393">
        <f t="shared" si="7"/>
        <v>0</v>
      </c>
      <c r="JJ210" s="2">
        <v>6682</v>
      </c>
      <c r="JK210" s="392">
        <f t="shared" si="8"/>
        <v>0</v>
      </c>
      <c r="JL210" s="391"/>
      <c r="JM210" s="392"/>
      <c r="JN210" s="392"/>
      <c r="JO210" s="392"/>
      <c r="JP210" s="392"/>
    </row>
    <row r="211" spans="1:276" x14ac:dyDescent="0.3">
      <c r="A211" s="391"/>
      <c r="B211" s="391"/>
      <c r="C211" s="391"/>
      <c r="D211" s="391"/>
      <c r="E211" s="391"/>
      <c r="F211" s="391"/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391"/>
      <c r="X211" s="391"/>
      <c r="Y211" s="391"/>
      <c r="Z211" s="391"/>
      <c r="AA211" s="391"/>
      <c r="AB211" s="391"/>
      <c r="AC211" s="391"/>
      <c r="AD211" s="391"/>
      <c r="AE211" s="391"/>
      <c r="AF211" s="391"/>
      <c r="AG211" s="391"/>
      <c r="AH211" s="391"/>
      <c r="AI211" s="391"/>
      <c r="AJ211" s="391"/>
      <c r="AK211" s="391"/>
      <c r="AL211" s="391"/>
      <c r="AM211" s="391"/>
      <c r="AN211" s="391"/>
      <c r="AO211" s="391"/>
      <c r="AP211" s="391"/>
      <c r="AQ211" s="391"/>
      <c r="AR211" s="391"/>
      <c r="AS211" s="391"/>
      <c r="AT211" s="391"/>
      <c r="AU211" s="391"/>
      <c r="AV211" s="391"/>
      <c r="AW211" s="391"/>
      <c r="AX211" s="391"/>
      <c r="AY211" s="391"/>
      <c r="AZ211" s="391"/>
      <c r="BA211" s="391"/>
      <c r="BB211" s="391"/>
      <c r="BC211" s="391"/>
      <c r="BD211" s="391"/>
      <c r="BE211" s="391"/>
      <c r="BF211" s="391"/>
      <c r="BG211" s="391"/>
      <c r="BH211" s="391"/>
      <c r="BI211" s="391"/>
      <c r="BJ211" s="391"/>
      <c r="BK211" s="391"/>
      <c r="BL211" s="391"/>
      <c r="BM211" s="391"/>
      <c r="BN211" s="391"/>
      <c r="BO211" s="391"/>
      <c r="BP211" s="391"/>
      <c r="BQ211" s="391"/>
      <c r="BR211" s="391"/>
      <c r="BS211" s="391"/>
      <c r="BT211" s="391"/>
      <c r="BU211" s="391"/>
      <c r="BV211" s="391"/>
      <c r="BW211" s="391"/>
      <c r="BX211" s="391"/>
      <c r="BY211" s="391"/>
      <c r="BZ211" s="391"/>
      <c r="CA211" s="391"/>
      <c r="CB211" s="391"/>
      <c r="CC211" s="391"/>
      <c r="CD211" s="391"/>
      <c r="CE211" s="391"/>
      <c r="CF211" s="391"/>
      <c r="CG211" s="391"/>
      <c r="CH211" s="391"/>
      <c r="CI211" s="391"/>
      <c r="CJ211" s="391"/>
      <c r="CK211" s="391"/>
      <c r="CL211" s="391"/>
      <c r="CM211" s="391"/>
      <c r="CN211" s="391"/>
      <c r="CO211" s="391"/>
      <c r="CP211" s="391"/>
      <c r="CQ211" s="391"/>
      <c r="CR211" s="391"/>
      <c r="CS211" s="391"/>
      <c r="CT211" s="391"/>
      <c r="CU211" s="391"/>
      <c r="CV211" s="391"/>
      <c r="CW211" s="391"/>
      <c r="CX211" s="391"/>
      <c r="CY211" s="391"/>
      <c r="CZ211" s="391"/>
      <c r="DA211" s="391"/>
      <c r="DB211" s="391"/>
      <c r="DC211" s="391"/>
      <c r="DD211" s="391"/>
      <c r="DE211" s="391"/>
      <c r="DF211" s="391"/>
      <c r="DG211" s="391"/>
      <c r="DH211" s="391"/>
      <c r="DI211" s="391"/>
      <c r="DJ211" s="391"/>
      <c r="DK211" s="391"/>
      <c r="DL211" s="391"/>
      <c r="DM211" s="391"/>
      <c r="DN211" s="391"/>
      <c r="DO211" s="391"/>
      <c r="DP211" s="391"/>
      <c r="DQ211" s="391"/>
      <c r="DR211" s="391"/>
      <c r="DS211" s="391"/>
      <c r="DT211" s="391"/>
      <c r="DU211" s="391"/>
      <c r="DV211" s="391"/>
      <c r="DW211" s="391"/>
      <c r="DX211" s="391"/>
      <c r="DY211" s="391"/>
      <c r="DZ211" s="391"/>
      <c r="EA211" s="391"/>
      <c r="EB211" s="391"/>
      <c r="EC211" s="391"/>
      <c r="ED211" s="391"/>
      <c r="EE211" s="391"/>
      <c r="EF211" s="391"/>
      <c r="EG211" s="391"/>
      <c r="EH211" s="391"/>
      <c r="EI211" s="391"/>
      <c r="EJ211" s="391"/>
      <c r="EK211" s="391"/>
      <c r="EL211" s="391"/>
      <c r="EM211" s="391"/>
      <c r="EN211" s="391"/>
      <c r="EO211" s="391"/>
      <c r="EP211" s="391"/>
      <c r="EQ211" s="391"/>
      <c r="ER211" s="391"/>
      <c r="ES211" s="391"/>
      <c r="ET211" s="391"/>
      <c r="EU211" s="391"/>
      <c r="EV211" s="391"/>
      <c r="EW211" s="391"/>
      <c r="EX211" s="391"/>
      <c r="EY211" s="391"/>
      <c r="EZ211" s="391"/>
      <c r="FA211" s="391"/>
      <c r="FB211" s="391"/>
      <c r="FC211" s="391"/>
      <c r="FD211" s="391"/>
      <c r="FE211" s="391"/>
      <c r="FF211" s="391"/>
      <c r="FG211" s="391"/>
      <c r="FH211" s="391"/>
      <c r="FI211" s="391"/>
      <c r="FJ211" s="391"/>
      <c r="FK211" s="391"/>
      <c r="FL211" s="391"/>
      <c r="FM211" s="391"/>
      <c r="FN211" s="391"/>
      <c r="FO211" s="391"/>
      <c r="FP211" s="391"/>
      <c r="FQ211" s="391"/>
      <c r="FR211" s="391"/>
      <c r="FS211" s="391"/>
      <c r="FT211" s="391"/>
      <c r="FU211" s="391"/>
      <c r="FV211" s="391"/>
      <c r="FW211" s="391"/>
      <c r="FX211" s="391"/>
      <c r="FY211" s="391"/>
      <c r="FZ211" s="391"/>
      <c r="GA211" s="391"/>
      <c r="GB211" s="391"/>
      <c r="GC211" s="391"/>
      <c r="GD211" s="391"/>
      <c r="GE211" s="391"/>
      <c r="GF211" s="391"/>
      <c r="GG211" s="391"/>
      <c r="GH211" s="391"/>
      <c r="GI211" s="391"/>
      <c r="GJ211" s="391"/>
      <c r="GK211" s="391"/>
      <c r="GL211" s="391"/>
      <c r="GM211" s="391"/>
      <c r="GN211" s="391"/>
      <c r="GO211" s="391"/>
      <c r="GP211" s="391"/>
      <c r="GQ211" s="391"/>
      <c r="GR211" s="391"/>
      <c r="GS211" s="391"/>
      <c r="GT211" s="391"/>
      <c r="GU211" s="391"/>
      <c r="GV211" s="391"/>
      <c r="GW211" s="391"/>
      <c r="GX211" s="391"/>
      <c r="GY211" s="391"/>
      <c r="GZ211" s="391"/>
      <c r="HA211" s="391"/>
      <c r="HB211" s="391"/>
      <c r="HC211" s="391"/>
      <c r="HD211" s="391"/>
      <c r="HE211" s="391"/>
      <c r="HF211" s="391"/>
      <c r="HG211" s="391"/>
      <c r="HH211" s="391"/>
      <c r="HI211" s="391"/>
      <c r="HJ211" s="391"/>
      <c r="HK211" s="391"/>
      <c r="HL211" s="391"/>
      <c r="HM211" s="391"/>
      <c r="HN211" s="391"/>
      <c r="HO211" s="391"/>
      <c r="HP211" s="391"/>
      <c r="HQ211" s="391"/>
      <c r="HR211" s="391"/>
      <c r="HS211" s="391"/>
      <c r="HT211" s="391"/>
      <c r="HU211" s="391"/>
      <c r="HV211" s="391"/>
      <c r="HW211" s="391"/>
      <c r="HX211" s="391"/>
      <c r="HY211" s="391"/>
      <c r="HZ211" s="391"/>
      <c r="IA211" s="391"/>
      <c r="IB211" s="391"/>
      <c r="IC211" s="391"/>
      <c r="ID211" s="391"/>
      <c r="IE211" s="391"/>
      <c r="IF211" s="391"/>
      <c r="IG211" s="391"/>
      <c r="IH211" s="391"/>
      <c r="II211" s="391"/>
      <c r="IJ211" s="391"/>
      <c r="IK211" s="391"/>
      <c r="IL211" s="391"/>
      <c r="IM211" s="391"/>
      <c r="IN211" s="391"/>
      <c r="IO211" s="391"/>
      <c r="IP211" s="391"/>
      <c r="IQ211" s="391"/>
      <c r="IR211" s="391"/>
      <c r="IS211" s="391"/>
      <c r="IT211" s="391"/>
      <c r="IU211" s="391"/>
      <c r="IV211" s="391"/>
      <c r="IW211" s="391"/>
      <c r="IX211" s="391"/>
      <c r="IY211" s="391"/>
      <c r="IZ211" s="391"/>
      <c r="JA211" s="391"/>
      <c r="JB211" s="391"/>
      <c r="JC211" s="391"/>
      <c r="JD211" s="391"/>
      <c r="JE211" s="391"/>
      <c r="JF211" s="391"/>
      <c r="JG211" s="391"/>
      <c r="JH211" s="391"/>
      <c r="JI211" s="393">
        <f t="shared" si="7"/>
        <v>0</v>
      </c>
      <c r="JJ211" s="2">
        <v>6737</v>
      </c>
      <c r="JK211" s="392">
        <f t="shared" si="8"/>
        <v>0</v>
      </c>
      <c r="JL211" s="391"/>
      <c r="JM211" s="392"/>
      <c r="JN211" s="392"/>
      <c r="JO211" s="392"/>
      <c r="JP211" s="392"/>
    </row>
    <row r="212" spans="1:276" x14ac:dyDescent="0.3">
      <c r="A212" s="391"/>
      <c r="B212" s="391"/>
      <c r="C212" s="391"/>
      <c r="D212" s="391"/>
      <c r="E212" s="391"/>
      <c r="F212" s="391"/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  <c r="W212" s="391"/>
      <c r="X212" s="391"/>
      <c r="Y212" s="391"/>
      <c r="Z212" s="391"/>
      <c r="AA212" s="391"/>
      <c r="AB212" s="391"/>
      <c r="AC212" s="391"/>
      <c r="AD212" s="391"/>
      <c r="AE212" s="391"/>
      <c r="AF212" s="391"/>
      <c r="AG212" s="391"/>
      <c r="AH212" s="391"/>
      <c r="AI212" s="391"/>
      <c r="AJ212" s="391"/>
      <c r="AK212" s="391"/>
      <c r="AL212" s="391"/>
      <c r="AM212" s="391"/>
      <c r="AN212" s="391"/>
      <c r="AO212" s="391"/>
      <c r="AP212" s="391"/>
      <c r="AQ212" s="391"/>
      <c r="AR212" s="391"/>
      <c r="AS212" s="391"/>
      <c r="AT212" s="391"/>
      <c r="AU212" s="391"/>
      <c r="AV212" s="391"/>
      <c r="AW212" s="391"/>
      <c r="AX212" s="391"/>
      <c r="AY212" s="391"/>
      <c r="AZ212" s="391"/>
      <c r="BA212" s="391"/>
      <c r="BB212" s="391"/>
      <c r="BC212" s="391"/>
      <c r="BD212" s="391"/>
      <c r="BE212" s="391"/>
      <c r="BF212" s="391"/>
      <c r="BG212" s="391"/>
      <c r="BH212" s="391"/>
      <c r="BI212" s="391"/>
      <c r="BJ212" s="391"/>
      <c r="BK212" s="391"/>
      <c r="BL212" s="391"/>
      <c r="BM212" s="391"/>
      <c r="BN212" s="391"/>
      <c r="BO212" s="391"/>
      <c r="BP212" s="391"/>
      <c r="BQ212" s="391"/>
      <c r="BR212" s="391"/>
      <c r="BS212" s="391"/>
      <c r="BT212" s="391"/>
      <c r="BU212" s="391"/>
      <c r="BV212" s="391"/>
      <c r="BW212" s="391"/>
      <c r="BX212" s="391"/>
      <c r="BY212" s="391"/>
      <c r="BZ212" s="391"/>
      <c r="CA212" s="391"/>
      <c r="CB212" s="391"/>
      <c r="CC212" s="391"/>
      <c r="CD212" s="391"/>
      <c r="CE212" s="391"/>
      <c r="CF212" s="391"/>
      <c r="CG212" s="391"/>
      <c r="CH212" s="391"/>
      <c r="CI212" s="391"/>
      <c r="CJ212" s="391"/>
      <c r="CK212" s="391"/>
      <c r="CL212" s="391"/>
      <c r="CM212" s="391"/>
      <c r="CN212" s="391"/>
      <c r="CO212" s="391"/>
      <c r="CP212" s="391"/>
      <c r="CQ212" s="391"/>
      <c r="CR212" s="391"/>
      <c r="CS212" s="391"/>
      <c r="CT212" s="391"/>
      <c r="CU212" s="391"/>
      <c r="CV212" s="391"/>
      <c r="CW212" s="391"/>
      <c r="CX212" s="391"/>
      <c r="CY212" s="391"/>
      <c r="CZ212" s="391"/>
      <c r="DA212" s="391"/>
      <c r="DB212" s="391"/>
      <c r="DC212" s="391"/>
      <c r="DD212" s="391"/>
      <c r="DE212" s="391"/>
      <c r="DF212" s="391"/>
      <c r="DG212" s="391"/>
      <c r="DH212" s="391"/>
      <c r="DI212" s="391"/>
      <c r="DJ212" s="391"/>
      <c r="DK212" s="391"/>
      <c r="DL212" s="391"/>
      <c r="DM212" s="391"/>
      <c r="DN212" s="391"/>
      <c r="DO212" s="391"/>
      <c r="DP212" s="391"/>
      <c r="DQ212" s="391"/>
      <c r="DR212" s="391"/>
      <c r="DS212" s="391"/>
      <c r="DT212" s="391"/>
      <c r="DU212" s="391"/>
      <c r="DV212" s="391"/>
      <c r="DW212" s="391"/>
      <c r="DX212" s="391"/>
      <c r="DY212" s="391"/>
      <c r="DZ212" s="391"/>
      <c r="EA212" s="391"/>
      <c r="EB212" s="391"/>
      <c r="EC212" s="391"/>
      <c r="ED212" s="391"/>
      <c r="EE212" s="391"/>
      <c r="EF212" s="391"/>
      <c r="EG212" s="391"/>
      <c r="EH212" s="391"/>
      <c r="EI212" s="391"/>
      <c r="EJ212" s="391"/>
      <c r="EK212" s="391"/>
      <c r="EL212" s="391"/>
      <c r="EM212" s="391"/>
      <c r="EN212" s="391"/>
      <c r="EO212" s="391"/>
      <c r="EP212" s="391"/>
      <c r="EQ212" s="391"/>
      <c r="ER212" s="391"/>
      <c r="ES212" s="391"/>
      <c r="ET212" s="391"/>
      <c r="EU212" s="391"/>
      <c r="EV212" s="391"/>
      <c r="EW212" s="391"/>
      <c r="EX212" s="391"/>
      <c r="EY212" s="391"/>
      <c r="EZ212" s="391"/>
      <c r="FA212" s="391"/>
      <c r="FB212" s="391"/>
      <c r="FC212" s="391"/>
      <c r="FD212" s="391"/>
      <c r="FE212" s="391"/>
      <c r="FF212" s="391"/>
      <c r="FG212" s="391"/>
      <c r="FH212" s="391"/>
      <c r="FI212" s="391"/>
      <c r="FJ212" s="391"/>
      <c r="FK212" s="391"/>
      <c r="FL212" s="391"/>
      <c r="FM212" s="391"/>
      <c r="FN212" s="391"/>
      <c r="FO212" s="391"/>
      <c r="FP212" s="391"/>
      <c r="FQ212" s="391"/>
      <c r="FR212" s="391"/>
      <c r="FS212" s="391"/>
      <c r="FT212" s="391"/>
      <c r="FU212" s="391"/>
      <c r="FV212" s="391"/>
      <c r="FW212" s="391"/>
      <c r="FX212" s="391"/>
      <c r="FY212" s="391"/>
      <c r="FZ212" s="391"/>
      <c r="GA212" s="391"/>
      <c r="GB212" s="391"/>
      <c r="GC212" s="391"/>
      <c r="GD212" s="391"/>
      <c r="GE212" s="391"/>
      <c r="GF212" s="391"/>
      <c r="GG212" s="391"/>
      <c r="GH212" s="391"/>
      <c r="GI212" s="391"/>
      <c r="GJ212" s="391"/>
      <c r="GK212" s="391"/>
      <c r="GL212" s="391"/>
      <c r="GM212" s="391"/>
      <c r="GN212" s="391"/>
      <c r="GO212" s="391"/>
      <c r="GP212" s="391"/>
      <c r="GQ212" s="391"/>
      <c r="GR212" s="391"/>
      <c r="GS212" s="391"/>
      <c r="GT212" s="391"/>
      <c r="GU212" s="391"/>
      <c r="GV212" s="391"/>
      <c r="GW212" s="391"/>
      <c r="GX212" s="391"/>
      <c r="GY212" s="391"/>
      <c r="GZ212" s="391"/>
      <c r="HA212" s="391"/>
      <c r="HB212" s="391"/>
      <c r="HC212" s="391"/>
      <c r="HD212" s="391"/>
      <c r="HE212" s="391"/>
      <c r="HF212" s="391"/>
      <c r="HG212" s="391"/>
      <c r="HH212" s="391"/>
      <c r="HI212" s="391"/>
      <c r="HJ212" s="391"/>
      <c r="HK212" s="391"/>
      <c r="HL212" s="391"/>
      <c r="HM212" s="391"/>
      <c r="HN212" s="391"/>
      <c r="HO212" s="391"/>
      <c r="HP212" s="391"/>
      <c r="HQ212" s="391"/>
      <c r="HR212" s="391"/>
      <c r="HS212" s="391"/>
      <c r="HT212" s="391"/>
      <c r="HU212" s="391"/>
      <c r="HV212" s="391"/>
      <c r="HW212" s="391"/>
      <c r="HX212" s="391"/>
      <c r="HY212" s="391"/>
      <c r="HZ212" s="391"/>
      <c r="IA212" s="391"/>
      <c r="IB212" s="391"/>
      <c r="IC212" s="391"/>
      <c r="ID212" s="391"/>
      <c r="IE212" s="391"/>
      <c r="IF212" s="391"/>
      <c r="IG212" s="391"/>
      <c r="IH212" s="391"/>
      <c r="II212" s="391"/>
      <c r="IJ212" s="391"/>
      <c r="IK212" s="391"/>
      <c r="IL212" s="391"/>
      <c r="IM212" s="391"/>
      <c r="IN212" s="391"/>
      <c r="IO212" s="391"/>
      <c r="IP212" s="391"/>
      <c r="IQ212" s="391"/>
      <c r="IR212" s="391"/>
      <c r="IS212" s="391"/>
      <c r="IT212" s="391"/>
      <c r="IU212" s="391"/>
      <c r="IV212" s="391"/>
      <c r="IW212" s="391"/>
      <c r="IX212" s="391"/>
      <c r="IY212" s="391"/>
      <c r="IZ212" s="391"/>
      <c r="JA212" s="391"/>
      <c r="JB212" s="391"/>
      <c r="JC212" s="391"/>
      <c r="JD212" s="391"/>
      <c r="JE212" s="391"/>
      <c r="JF212" s="391"/>
      <c r="JG212" s="391"/>
      <c r="JH212" s="391"/>
      <c r="JI212" s="393">
        <f t="shared" si="7"/>
        <v>0</v>
      </c>
      <c r="JJ212" s="2">
        <v>6741</v>
      </c>
      <c r="JK212" s="392">
        <f t="shared" si="8"/>
        <v>0</v>
      </c>
      <c r="JL212" s="391"/>
      <c r="JM212" s="392"/>
      <c r="JN212" s="392"/>
      <c r="JO212" s="392"/>
      <c r="JP212" s="392"/>
    </row>
    <row r="213" spans="1:276" x14ac:dyDescent="0.3">
      <c r="A213" s="391"/>
      <c r="B213" s="391"/>
      <c r="C213" s="391"/>
      <c r="D213" s="391"/>
      <c r="E213" s="391"/>
      <c r="F213" s="391"/>
      <c r="G213" s="391"/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/>
      <c r="W213" s="391"/>
      <c r="X213" s="391"/>
      <c r="Y213" s="391"/>
      <c r="Z213" s="391"/>
      <c r="AA213" s="391"/>
      <c r="AB213" s="391"/>
      <c r="AC213" s="391"/>
      <c r="AD213" s="391"/>
      <c r="AE213" s="391"/>
      <c r="AF213" s="391"/>
      <c r="AG213" s="391"/>
      <c r="AH213" s="391"/>
      <c r="AI213" s="391"/>
      <c r="AJ213" s="391"/>
      <c r="AK213" s="391"/>
      <c r="AL213" s="391"/>
      <c r="AM213" s="391"/>
      <c r="AN213" s="391"/>
      <c r="AO213" s="391"/>
      <c r="AP213" s="391"/>
      <c r="AQ213" s="391"/>
      <c r="AR213" s="391"/>
      <c r="AS213" s="391"/>
      <c r="AT213" s="391"/>
      <c r="AU213" s="391"/>
      <c r="AV213" s="391"/>
      <c r="AW213" s="391"/>
      <c r="AX213" s="391"/>
      <c r="AY213" s="391"/>
      <c r="AZ213" s="391"/>
      <c r="BA213" s="391"/>
      <c r="BB213" s="391"/>
      <c r="BC213" s="391"/>
      <c r="BD213" s="391"/>
      <c r="BE213" s="391"/>
      <c r="BF213" s="391"/>
      <c r="BG213" s="391"/>
      <c r="BH213" s="391"/>
      <c r="BI213" s="391"/>
      <c r="BJ213" s="391"/>
      <c r="BK213" s="391"/>
      <c r="BL213" s="391"/>
      <c r="BM213" s="391"/>
      <c r="BN213" s="391"/>
      <c r="BO213" s="391"/>
      <c r="BP213" s="391"/>
      <c r="BQ213" s="391"/>
      <c r="BR213" s="391"/>
      <c r="BS213" s="391"/>
      <c r="BT213" s="391"/>
      <c r="BU213" s="391"/>
      <c r="BV213" s="391"/>
      <c r="BW213" s="391"/>
      <c r="BX213" s="391"/>
      <c r="BY213" s="391"/>
      <c r="BZ213" s="391"/>
      <c r="CA213" s="391"/>
      <c r="CB213" s="391"/>
      <c r="CC213" s="391"/>
      <c r="CD213" s="391"/>
      <c r="CE213" s="391"/>
      <c r="CF213" s="391"/>
      <c r="CG213" s="391"/>
      <c r="CH213" s="391"/>
      <c r="CI213" s="391"/>
      <c r="CJ213" s="391"/>
      <c r="CK213" s="391"/>
      <c r="CL213" s="391"/>
      <c r="CM213" s="391"/>
      <c r="CN213" s="391"/>
      <c r="CO213" s="391"/>
      <c r="CP213" s="391"/>
      <c r="CQ213" s="391"/>
      <c r="CR213" s="391"/>
      <c r="CS213" s="391"/>
      <c r="CT213" s="391"/>
      <c r="CU213" s="391"/>
      <c r="CV213" s="391"/>
      <c r="CW213" s="391"/>
      <c r="CX213" s="391"/>
      <c r="CY213" s="391"/>
      <c r="CZ213" s="391"/>
      <c r="DA213" s="391"/>
      <c r="DB213" s="391"/>
      <c r="DC213" s="391"/>
      <c r="DD213" s="391"/>
      <c r="DE213" s="391"/>
      <c r="DF213" s="391"/>
      <c r="DG213" s="391"/>
      <c r="DH213" s="391"/>
      <c r="DI213" s="391"/>
      <c r="DJ213" s="391"/>
      <c r="DK213" s="391"/>
      <c r="DL213" s="391"/>
      <c r="DM213" s="391"/>
      <c r="DN213" s="391"/>
      <c r="DO213" s="391"/>
      <c r="DP213" s="391"/>
      <c r="DQ213" s="391"/>
      <c r="DR213" s="391"/>
      <c r="DS213" s="391"/>
      <c r="DT213" s="391"/>
      <c r="DU213" s="391"/>
      <c r="DV213" s="391"/>
      <c r="DW213" s="391"/>
      <c r="DX213" s="391"/>
      <c r="DY213" s="391"/>
      <c r="DZ213" s="391"/>
      <c r="EA213" s="391"/>
      <c r="EB213" s="391"/>
      <c r="EC213" s="391"/>
      <c r="ED213" s="391"/>
      <c r="EE213" s="391"/>
      <c r="EF213" s="391"/>
      <c r="EG213" s="391"/>
      <c r="EH213" s="391"/>
      <c r="EI213" s="391"/>
      <c r="EJ213" s="391"/>
      <c r="EK213" s="391"/>
      <c r="EL213" s="391"/>
      <c r="EM213" s="391"/>
      <c r="EN213" s="391"/>
      <c r="EO213" s="391"/>
      <c r="EP213" s="391"/>
      <c r="EQ213" s="391"/>
      <c r="ER213" s="391"/>
      <c r="ES213" s="391"/>
      <c r="ET213" s="391"/>
      <c r="EU213" s="391"/>
      <c r="EV213" s="391"/>
      <c r="EW213" s="391"/>
      <c r="EX213" s="391"/>
      <c r="EY213" s="391"/>
      <c r="EZ213" s="391"/>
      <c r="FA213" s="391"/>
      <c r="FB213" s="391"/>
      <c r="FC213" s="391"/>
      <c r="FD213" s="391"/>
      <c r="FE213" s="391"/>
      <c r="FF213" s="391"/>
      <c r="FG213" s="391"/>
      <c r="FH213" s="391"/>
      <c r="FI213" s="391"/>
      <c r="FJ213" s="391"/>
      <c r="FK213" s="391"/>
      <c r="FL213" s="391"/>
      <c r="FM213" s="391"/>
      <c r="FN213" s="391"/>
      <c r="FO213" s="391"/>
      <c r="FP213" s="391"/>
      <c r="FQ213" s="391"/>
      <c r="FR213" s="391"/>
      <c r="FS213" s="391"/>
      <c r="FT213" s="391"/>
      <c r="FU213" s="391"/>
      <c r="FV213" s="391"/>
      <c r="FW213" s="391"/>
      <c r="FX213" s="391"/>
      <c r="FY213" s="391"/>
      <c r="FZ213" s="391"/>
      <c r="GA213" s="391"/>
      <c r="GB213" s="391"/>
      <c r="GC213" s="391"/>
      <c r="GD213" s="391"/>
      <c r="GE213" s="391"/>
      <c r="GF213" s="391"/>
      <c r="GG213" s="391"/>
      <c r="GH213" s="391"/>
      <c r="GI213" s="391"/>
      <c r="GJ213" s="391"/>
      <c r="GK213" s="391"/>
      <c r="GL213" s="391"/>
      <c r="GM213" s="391"/>
      <c r="GN213" s="391"/>
      <c r="GO213" s="391"/>
      <c r="GP213" s="391"/>
      <c r="GQ213" s="391"/>
      <c r="GR213" s="391"/>
      <c r="GS213" s="391"/>
      <c r="GT213" s="391"/>
      <c r="GU213" s="391"/>
      <c r="GV213" s="391"/>
      <c r="GW213" s="391"/>
      <c r="GX213" s="391"/>
      <c r="GY213" s="391"/>
      <c r="GZ213" s="391"/>
      <c r="HA213" s="391"/>
      <c r="HB213" s="391"/>
      <c r="HC213" s="391"/>
      <c r="HD213" s="391"/>
      <c r="HE213" s="391"/>
      <c r="HF213" s="391"/>
      <c r="HG213" s="391"/>
      <c r="HH213" s="391"/>
      <c r="HI213" s="391"/>
      <c r="HJ213" s="391"/>
      <c r="HK213" s="391"/>
      <c r="HL213" s="391"/>
      <c r="HM213" s="391"/>
      <c r="HN213" s="391"/>
      <c r="HO213" s="391"/>
      <c r="HP213" s="391"/>
      <c r="HQ213" s="391"/>
      <c r="HR213" s="391"/>
      <c r="HS213" s="391"/>
      <c r="HT213" s="391"/>
      <c r="HU213" s="391"/>
      <c r="HV213" s="391"/>
      <c r="HW213" s="391"/>
      <c r="HX213" s="391"/>
      <c r="HY213" s="391"/>
      <c r="HZ213" s="391"/>
      <c r="IA213" s="391"/>
      <c r="IB213" s="391"/>
      <c r="IC213" s="391"/>
      <c r="ID213" s="391"/>
      <c r="IE213" s="391"/>
      <c r="IF213" s="391"/>
      <c r="IG213" s="391"/>
      <c r="IH213" s="391"/>
      <c r="II213" s="391"/>
      <c r="IJ213" s="391"/>
      <c r="IK213" s="391"/>
      <c r="IL213" s="391"/>
      <c r="IM213" s="391"/>
      <c r="IN213" s="391"/>
      <c r="IO213" s="391"/>
      <c r="IP213" s="391"/>
      <c r="IQ213" s="391"/>
      <c r="IR213" s="391"/>
      <c r="IS213" s="391"/>
      <c r="IT213" s="391"/>
      <c r="IU213" s="391"/>
      <c r="IV213" s="391"/>
      <c r="IW213" s="391"/>
      <c r="IX213" s="391"/>
      <c r="IY213" s="391"/>
      <c r="IZ213" s="391"/>
      <c r="JA213" s="391"/>
      <c r="JB213" s="391"/>
      <c r="JC213" s="391"/>
      <c r="JD213" s="391"/>
      <c r="JE213" s="391"/>
      <c r="JF213" s="391"/>
      <c r="JG213" s="391"/>
      <c r="JH213" s="391"/>
      <c r="JI213" s="393">
        <f t="shared" si="7"/>
        <v>0</v>
      </c>
      <c r="JJ213" s="2">
        <v>6745</v>
      </c>
      <c r="JK213" s="392">
        <f t="shared" si="8"/>
        <v>0</v>
      </c>
      <c r="JL213" s="391"/>
      <c r="JM213" s="392"/>
      <c r="JN213" s="392"/>
      <c r="JO213" s="392"/>
      <c r="JP213" s="392"/>
    </row>
    <row r="214" spans="1:276" x14ac:dyDescent="0.3">
      <c r="A214" s="391"/>
      <c r="B214" s="391"/>
      <c r="C214" s="391"/>
      <c r="D214" s="391"/>
      <c r="E214" s="391"/>
      <c r="F214" s="391"/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  <c r="W214" s="391"/>
      <c r="X214" s="391"/>
      <c r="Y214" s="391"/>
      <c r="Z214" s="391"/>
      <c r="AA214" s="391"/>
      <c r="AB214" s="391"/>
      <c r="AC214" s="391"/>
      <c r="AD214" s="391"/>
      <c r="AE214" s="391"/>
      <c r="AF214" s="391"/>
      <c r="AG214" s="391"/>
      <c r="AH214" s="391"/>
      <c r="AI214" s="391"/>
      <c r="AJ214" s="391"/>
      <c r="AK214" s="391"/>
      <c r="AL214" s="391"/>
      <c r="AM214" s="391"/>
      <c r="AN214" s="391"/>
      <c r="AO214" s="391"/>
      <c r="AP214" s="391"/>
      <c r="AQ214" s="391"/>
      <c r="AR214" s="391"/>
      <c r="AS214" s="391"/>
      <c r="AT214" s="391"/>
      <c r="AU214" s="391"/>
      <c r="AV214" s="391"/>
      <c r="AW214" s="391"/>
      <c r="AX214" s="391"/>
      <c r="AY214" s="391"/>
      <c r="AZ214" s="391"/>
      <c r="BA214" s="391"/>
      <c r="BB214" s="391"/>
      <c r="BC214" s="391"/>
      <c r="BD214" s="391"/>
      <c r="BE214" s="391"/>
      <c r="BF214" s="391"/>
      <c r="BG214" s="391"/>
      <c r="BH214" s="391"/>
      <c r="BI214" s="391"/>
      <c r="BJ214" s="391"/>
      <c r="BK214" s="391"/>
      <c r="BL214" s="391"/>
      <c r="BM214" s="391"/>
      <c r="BN214" s="391"/>
      <c r="BO214" s="391"/>
      <c r="BP214" s="391"/>
      <c r="BQ214" s="391"/>
      <c r="BR214" s="391"/>
      <c r="BS214" s="391"/>
      <c r="BT214" s="391"/>
      <c r="BU214" s="391"/>
      <c r="BV214" s="391"/>
      <c r="BW214" s="391"/>
      <c r="BX214" s="391"/>
      <c r="BY214" s="391"/>
      <c r="BZ214" s="391"/>
      <c r="CA214" s="391"/>
      <c r="CB214" s="391"/>
      <c r="CC214" s="391"/>
      <c r="CD214" s="391"/>
      <c r="CE214" s="391"/>
      <c r="CF214" s="391"/>
      <c r="CG214" s="391"/>
      <c r="CH214" s="391"/>
      <c r="CI214" s="391"/>
      <c r="CJ214" s="391"/>
      <c r="CK214" s="391"/>
      <c r="CL214" s="391"/>
      <c r="CM214" s="391"/>
      <c r="CN214" s="391"/>
      <c r="CO214" s="391"/>
      <c r="CP214" s="391"/>
      <c r="CQ214" s="391"/>
      <c r="CR214" s="391"/>
      <c r="CS214" s="391"/>
      <c r="CT214" s="391"/>
      <c r="CU214" s="391"/>
      <c r="CV214" s="391"/>
      <c r="CW214" s="391"/>
      <c r="CX214" s="391"/>
      <c r="CY214" s="391"/>
      <c r="CZ214" s="391"/>
      <c r="DA214" s="391"/>
      <c r="DB214" s="391"/>
      <c r="DC214" s="391"/>
      <c r="DD214" s="391"/>
      <c r="DE214" s="391"/>
      <c r="DF214" s="391"/>
      <c r="DG214" s="391"/>
      <c r="DH214" s="391"/>
      <c r="DI214" s="391"/>
      <c r="DJ214" s="391"/>
      <c r="DK214" s="391"/>
      <c r="DL214" s="391"/>
      <c r="DM214" s="391"/>
      <c r="DN214" s="391"/>
      <c r="DO214" s="391"/>
      <c r="DP214" s="391"/>
      <c r="DQ214" s="391"/>
      <c r="DR214" s="391"/>
      <c r="DS214" s="391"/>
      <c r="DT214" s="391"/>
      <c r="DU214" s="391"/>
      <c r="DV214" s="391"/>
      <c r="DW214" s="391"/>
      <c r="DX214" s="391"/>
      <c r="DY214" s="391"/>
      <c r="DZ214" s="391"/>
      <c r="EA214" s="391"/>
      <c r="EB214" s="391"/>
      <c r="EC214" s="391"/>
      <c r="ED214" s="391"/>
      <c r="EE214" s="391"/>
      <c r="EF214" s="391"/>
      <c r="EG214" s="391"/>
      <c r="EH214" s="391"/>
      <c r="EI214" s="391"/>
      <c r="EJ214" s="391"/>
      <c r="EK214" s="391"/>
      <c r="EL214" s="391"/>
      <c r="EM214" s="391"/>
      <c r="EN214" s="391"/>
      <c r="EO214" s="391"/>
      <c r="EP214" s="391"/>
      <c r="EQ214" s="391"/>
      <c r="ER214" s="391"/>
      <c r="ES214" s="391"/>
      <c r="ET214" s="391"/>
      <c r="EU214" s="391"/>
      <c r="EV214" s="391"/>
      <c r="EW214" s="391"/>
      <c r="EX214" s="391"/>
      <c r="EY214" s="391"/>
      <c r="EZ214" s="391"/>
      <c r="FA214" s="391"/>
      <c r="FB214" s="391"/>
      <c r="FC214" s="391"/>
      <c r="FD214" s="391"/>
      <c r="FE214" s="391"/>
      <c r="FF214" s="391"/>
      <c r="FG214" s="391"/>
      <c r="FH214" s="391"/>
      <c r="FI214" s="391"/>
      <c r="FJ214" s="391"/>
      <c r="FK214" s="391"/>
      <c r="FL214" s="391"/>
      <c r="FM214" s="391"/>
      <c r="FN214" s="391"/>
      <c r="FO214" s="391"/>
      <c r="FP214" s="391"/>
      <c r="FQ214" s="391"/>
      <c r="FR214" s="391"/>
      <c r="FS214" s="391"/>
      <c r="FT214" s="391"/>
      <c r="FU214" s="391"/>
      <c r="FV214" s="391"/>
      <c r="FW214" s="391"/>
      <c r="FX214" s="391"/>
      <c r="FY214" s="391"/>
      <c r="FZ214" s="391"/>
      <c r="GA214" s="391"/>
      <c r="GB214" s="391"/>
      <c r="GC214" s="391"/>
      <c r="GD214" s="391"/>
      <c r="GE214" s="391"/>
      <c r="GF214" s="391"/>
      <c r="GG214" s="391"/>
      <c r="GH214" s="391"/>
      <c r="GI214" s="391"/>
      <c r="GJ214" s="391"/>
      <c r="GK214" s="391"/>
      <c r="GL214" s="391"/>
      <c r="GM214" s="391"/>
      <c r="GN214" s="391"/>
      <c r="GO214" s="391"/>
      <c r="GP214" s="391"/>
      <c r="GQ214" s="391"/>
      <c r="GR214" s="391"/>
      <c r="GS214" s="391"/>
      <c r="GT214" s="391"/>
      <c r="GU214" s="391"/>
      <c r="GV214" s="391"/>
      <c r="GW214" s="391"/>
      <c r="GX214" s="391"/>
      <c r="GY214" s="391"/>
      <c r="GZ214" s="391"/>
      <c r="HA214" s="391"/>
      <c r="HB214" s="391"/>
      <c r="HC214" s="391"/>
      <c r="HD214" s="391"/>
      <c r="HE214" s="391"/>
      <c r="HF214" s="391"/>
      <c r="HG214" s="391"/>
      <c r="HH214" s="391"/>
      <c r="HI214" s="391"/>
      <c r="HJ214" s="391"/>
      <c r="HK214" s="391"/>
      <c r="HL214" s="391"/>
      <c r="HM214" s="391"/>
      <c r="HN214" s="391"/>
      <c r="HO214" s="391"/>
      <c r="HP214" s="391"/>
      <c r="HQ214" s="391"/>
      <c r="HR214" s="391"/>
      <c r="HS214" s="391"/>
      <c r="HT214" s="391"/>
      <c r="HU214" s="391"/>
      <c r="HV214" s="391"/>
      <c r="HW214" s="391"/>
      <c r="HX214" s="391"/>
      <c r="HY214" s="391"/>
      <c r="HZ214" s="391"/>
      <c r="IA214" s="391"/>
      <c r="IB214" s="391"/>
      <c r="IC214" s="391"/>
      <c r="ID214" s="391"/>
      <c r="IE214" s="391"/>
      <c r="IF214" s="391"/>
      <c r="IG214" s="391"/>
      <c r="IH214" s="391"/>
      <c r="II214" s="391"/>
      <c r="IJ214" s="391"/>
      <c r="IK214" s="391"/>
      <c r="IL214" s="391"/>
      <c r="IM214" s="391"/>
      <c r="IN214" s="391"/>
      <c r="IO214" s="391"/>
      <c r="IP214" s="391"/>
      <c r="IQ214" s="391"/>
      <c r="IR214" s="391"/>
      <c r="IS214" s="391"/>
      <c r="IT214" s="391"/>
      <c r="IU214" s="391"/>
      <c r="IV214" s="391"/>
      <c r="IW214" s="391"/>
      <c r="IX214" s="391"/>
      <c r="IY214" s="391"/>
      <c r="IZ214" s="391"/>
      <c r="JA214" s="391"/>
      <c r="JB214" s="391"/>
      <c r="JC214" s="391"/>
      <c r="JD214" s="391"/>
      <c r="JE214" s="391"/>
      <c r="JF214" s="391"/>
      <c r="JG214" s="391"/>
      <c r="JH214" s="391"/>
      <c r="JI214" s="393">
        <f t="shared" si="7"/>
        <v>0</v>
      </c>
      <c r="JJ214" s="2">
        <v>6749</v>
      </c>
      <c r="JK214" s="392">
        <f t="shared" si="8"/>
        <v>0</v>
      </c>
      <c r="JL214" s="391"/>
      <c r="JM214" s="392"/>
      <c r="JN214" s="392"/>
      <c r="JO214" s="392"/>
      <c r="JP214" s="392"/>
    </row>
    <row r="215" spans="1:276" x14ac:dyDescent="0.3">
      <c r="A215" s="391"/>
      <c r="B215" s="391"/>
      <c r="C215" s="391"/>
      <c r="D215" s="391"/>
      <c r="E215" s="391"/>
      <c r="F215" s="391"/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  <c r="X215" s="391"/>
      <c r="Y215" s="391"/>
      <c r="Z215" s="391"/>
      <c r="AA215" s="391"/>
      <c r="AB215" s="391"/>
      <c r="AC215" s="391"/>
      <c r="AD215" s="391"/>
      <c r="AE215" s="391"/>
      <c r="AF215" s="391"/>
      <c r="AG215" s="391"/>
      <c r="AH215" s="391"/>
      <c r="AI215" s="391"/>
      <c r="AJ215" s="391"/>
      <c r="AK215" s="391"/>
      <c r="AL215" s="391"/>
      <c r="AM215" s="391"/>
      <c r="AN215" s="391"/>
      <c r="AO215" s="391"/>
      <c r="AP215" s="391"/>
      <c r="AQ215" s="391"/>
      <c r="AR215" s="391"/>
      <c r="AS215" s="391"/>
      <c r="AT215" s="391"/>
      <c r="AU215" s="391"/>
      <c r="AV215" s="391"/>
      <c r="AW215" s="391"/>
      <c r="AX215" s="391"/>
      <c r="AY215" s="391"/>
      <c r="AZ215" s="391"/>
      <c r="BA215" s="391"/>
      <c r="BB215" s="391"/>
      <c r="BC215" s="391"/>
      <c r="BD215" s="391"/>
      <c r="BE215" s="391"/>
      <c r="BF215" s="391"/>
      <c r="BG215" s="391"/>
      <c r="BH215" s="391"/>
      <c r="BI215" s="391"/>
      <c r="BJ215" s="391"/>
      <c r="BK215" s="391"/>
      <c r="BL215" s="391"/>
      <c r="BM215" s="391"/>
      <c r="BN215" s="391"/>
      <c r="BO215" s="391"/>
      <c r="BP215" s="391"/>
      <c r="BQ215" s="391"/>
      <c r="BR215" s="391"/>
      <c r="BS215" s="391"/>
      <c r="BT215" s="391"/>
      <c r="BU215" s="391"/>
      <c r="BV215" s="391"/>
      <c r="BW215" s="391"/>
      <c r="BX215" s="391"/>
      <c r="BY215" s="391"/>
      <c r="BZ215" s="391"/>
      <c r="CA215" s="391"/>
      <c r="CB215" s="391"/>
      <c r="CC215" s="391"/>
      <c r="CD215" s="391"/>
      <c r="CE215" s="391"/>
      <c r="CF215" s="391"/>
      <c r="CG215" s="391"/>
      <c r="CH215" s="391"/>
      <c r="CI215" s="391"/>
      <c r="CJ215" s="391"/>
      <c r="CK215" s="391"/>
      <c r="CL215" s="391"/>
      <c r="CM215" s="391"/>
      <c r="CN215" s="391"/>
      <c r="CO215" s="391"/>
      <c r="CP215" s="391"/>
      <c r="CQ215" s="391"/>
      <c r="CR215" s="391"/>
      <c r="CS215" s="391"/>
      <c r="CT215" s="391"/>
      <c r="CU215" s="391"/>
      <c r="CV215" s="391"/>
      <c r="CW215" s="391"/>
      <c r="CX215" s="391"/>
      <c r="CY215" s="391"/>
      <c r="CZ215" s="391"/>
      <c r="DA215" s="391"/>
      <c r="DB215" s="391"/>
      <c r="DC215" s="391"/>
      <c r="DD215" s="391"/>
      <c r="DE215" s="391"/>
      <c r="DF215" s="391"/>
      <c r="DG215" s="391"/>
      <c r="DH215" s="391"/>
      <c r="DI215" s="391"/>
      <c r="DJ215" s="391"/>
      <c r="DK215" s="391"/>
      <c r="DL215" s="391"/>
      <c r="DM215" s="391"/>
      <c r="DN215" s="391"/>
      <c r="DO215" s="391"/>
      <c r="DP215" s="391"/>
      <c r="DQ215" s="391"/>
      <c r="DR215" s="391"/>
      <c r="DS215" s="391"/>
      <c r="DT215" s="391"/>
      <c r="DU215" s="391"/>
      <c r="DV215" s="391"/>
      <c r="DW215" s="391"/>
      <c r="DX215" s="391"/>
      <c r="DY215" s="391"/>
      <c r="DZ215" s="391"/>
      <c r="EA215" s="391"/>
      <c r="EB215" s="391"/>
      <c r="EC215" s="391"/>
      <c r="ED215" s="391"/>
      <c r="EE215" s="391"/>
      <c r="EF215" s="391"/>
      <c r="EG215" s="391"/>
      <c r="EH215" s="391"/>
      <c r="EI215" s="391"/>
      <c r="EJ215" s="391"/>
      <c r="EK215" s="391"/>
      <c r="EL215" s="391"/>
      <c r="EM215" s="391"/>
      <c r="EN215" s="391"/>
      <c r="EO215" s="391"/>
      <c r="EP215" s="391"/>
      <c r="EQ215" s="391"/>
      <c r="ER215" s="391"/>
      <c r="ES215" s="391"/>
      <c r="ET215" s="391"/>
      <c r="EU215" s="391"/>
      <c r="EV215" s="391"/>
      <c r="EW215" s="391"/>
      <c r="EX215" s="391"/>
      <c r="EY215" s="391"/>
      <c r="EZ215" s="391"/>
      <c r="FA215" s="391"/>
      <c r="FB215" s="391"/>
      <c r="FC215" s="391"/>
      <c r="FD215" s="391"/>
      <c r="FE215" s="391"/>
      <c r="FF215" s="391"/>
      <c r="FG215" s="391"/>
      <c r="FH215" s="391"/>
      <c r="FI215" s="391"/>
      <c r="FJ215" s="391"/>
      <c r="FK215" s="391"/>
      <c r="FL215" s="391"/>
      <c r="FM215" s="391"/>
      <c r="FN215" s="391"/>
      <c r="FO215" s="391"/>
      <c r="FP215" s="391"/>
      <c r="FQ215" s="391"/>
      <c r="FR215" s="391"/>
      <c r="FS215" s="391"/>
      <c r="FT215" s="391"/>
      <c r="FU215" s="391"/>
      <c r="FV215" s="391"/>
      <c r="FW215" s="391"/>
      <c r="FX215" s="391"/>
      <c r="FY215" s="391"/>
      <c r="FZ215" s="391"/>
      <c r="GA215" s="391"/>
      <c r="GB215" s="391"/>
      <c r="GC215" s="391"/>
      <c r="GD215" s="391"/>
      <c r="GE215" s="391"/>
      <c r="GF215" s="391"/>
      <c r="GG215" s="391"/>
      <c r="GH215" s="391"/>
      <c r="GI215" s="391"/>
      <c r="GJ215" s="391"/>
      <c r="GK215" s="391"/>
      <c r="GL215" s="391"/>
      <c r="GM215" s="391"/>
      <c r="GN215" s="391"/>
      <c r="GO215" s="391"/>
      <c r="GP215" s="391"/>
      <c r="GQ215" s="391"/>
      <c r="GR215" s="391"/>
      <c r="GS215" s="391"/>
      <c r="GT215" s="391"/>
      <c r="GU215" s="391"/>
      <c r="GV215" s="391"/>
      <c r="GW215" s="391"/>
      <c r="GX215" s="391"/>
      <c r="GY215" s="391"/>
      <c r="GZ215" s="391"/>
      <c r="HA215" s="391"/>
      <c r="HB215" s="391"/>
      <c r="HC215" s="391"/>
      <c r="HD215" s="391"/>
      <c r="HE215" s="391"/>
      <c r="HF215" s="391"/>
      <c r="HG215" s="391"/>
      <c r="HH215" s="391"/>
      <c r="HI215" s="391"/>
      <c r="HJ215" s="391"/>
      <c r="HK215" s="391"/>
      <c r="HL215" s="391"/>
      <c r="HM215" s="391"/>
      <c r="HN215" s="391"/>
      <c r="HO215" s="391"/>
      <c r="HP215" s="391"/>
      <c r="HQ215" s="391"/>
      <c r="HR215" s="391"/>
      <c r="HS215" s="391"/>
      <c r="HT215" s="391"/>
      <c r="HU215" s="391"/>
      <c r="HV215" s="391"/>
      <c r="HW215" s="391"/>
      <c r="HX215" s="391"/>
      <c r="HY215" s="391"/>
      <c r="HZ215" s="391"/>
      <c r="IA215" s="391"/>
      <c r="IB215" s="391"/>
      <c r="IC215" s="391"/>
      <c r="ID215" s="391"/>
      <c r="IE215" s="391"/>
      <c r="IF215" s="391"/>
      <c r="IG215" s="391"/>
      <c r="IH215" s="391"/>
      <c r="II215" s="391"/>
      <c r="IJ215" s="391"/>
      <c r="IK215" s="391"/>
      <c r="IL215" s="391"/>
      <c r="IM215" s="391"/>
      <c r="IN215" s="391"/>
      <c r="IO215" s="391"/>
      <c r="IP215" s="391"/>
      <c r="IQ215" s="391"/>
      <c r="IR215" s="391"/>
      <c r="IS215" s="391"/>
      <c r="IT215" s="391"/>
      <c r="IU215" s="391"/>
      <c r="IV215" s="391"/>
      <c r="IW215" s="391"/>
      <c r="IX215" s="391"/>
      <c r="IY215" s="391"/>
      <c r="IZ215" s="391"/>
      <c r="JA215" s="391"/>
      <c r="JB215" s="391"/>
      <c r="JC215" s="391"/>
      <c r="JD215" s="391"/>
      <c r="JE215" s="391"/>
      <c r="JF215" s="391"/>
      <c r="JG215" s="391"/>
      <c r="JH215" s="391"/>
      <c r="JI215" s="393">
        <f t="shared" si="7"/>
        <v>0</v>
      </c>
      <c r="JJ215" s="2">
        <v>6753</v>
      </c>
      <c r="JK215" s="392">
        <f t="shared" si="8"/>
        <v>0</v>
      </c>
      <c r="JL215" s="391"/>
      <c r="JM215" s="392"/>
      <c r="JN215" s="392"/>
      <c r="JO215" s="392"/>
      <c r="JP215" s="392"/>
    </row>
    <row r="216" spans="1:276" x14ac:dyDescent="0.3">
      <c r="A216" s="391"/>
      <c r="B216" s="391"/>
      <c r="C216" s="391"/>
      <c r="D216" s="391"/>
      <c r="E216" s="391"/>
      <c r="F216" s="391"/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  <c r="W216" s="391"/>
      <c r="X216" s="391"/>
      <c r="Y216" s="391"/>
      <c r="Z216" s="391"/>
      <c r="AA216" s="391"/>
      <c r="AB216" s="391"/>
      <c r="AC216" s="391"/>
      <c r="AD216" s="391"/>
      <c r="AE216" s="391"/>
      <c r="AF216" s="391"/>
      <c r="AG216" s="391"/>
      <c r="AH216" s="391"/>
      <c r="AI216" s="391"/>
      <c r="AJ216" s="391"/>
      <c r="AK216" s="391"/>
      <c r="AL216" s="391"/>
      <c r="AM216" s="391"/>
      <c r="AN216" s="391"/>
      <c r="AO216" s="391"/>
      <c r="AP216" s="391"/>
      <c r="AQ216" s="391"/>
      <c r="AR216" s="391"/>
      <c r="AS216" s="391"/>
      <c r="AT216" s="391"/>
      <c r="AU216" s="391"/>
      <c r="AV216" s="391"/>
      <c r="AW216" s="391"/>
      <c r="AX216" s="391"/>
      <c r="AY216" s="391"/>
      <c r="AZ216" s="391"/>
      <c r="BA216" s="391"/>
      <c r="BB216" s="391"/>
      <c r="BC216" s="391"/>
      <c r="BD216" s="391"/>
      <c r="BE216" s="391"/>
      <c r="BF216" s="391"/>
      <c r="BG216" s="391"/>
      <c r="BH216" s="391"/>
      <c r="BI216" s="391"/>
      <c r="BJ216" s="391"/>
      <c r="BK216" s="391"/>
      <c r="BL216" s="391"/>
      <c r="BM216" s="391"/>
      <c r="BN216" s="391"/>
      <c r="BO216" s="391"/>
      <c r="BP216" s="391"/>
      <c r="BQ216" s="391"/>
      <c r="BR216" s="391"/>
      <c r="BS216" s="391"/>
      <c r="BT216" s="391"/>
      <c r="BU216" s="391"/>
      <c r="BV216" s="391"/>
      <c r="BW216" s="391"/>
      <c r="BX216" s="391"/>
      <c r="BY216" s="391"/>
      <c r="BZ216" s="391"/>
      <c r="CA216" s="391"/>
      <c r="CB216" s="391"/>
      <c r="CC216" s="391"/>
      <c r="CD216" s="391"/>
      <c r="CE216" s="391"/>
      <c r="CF216" s="391"/>
      <c r="CG216" s="391"/>
      <c r="CH216" s="391"/>
      <c r="CI216" s="391"/>
      <c r="CJ216" s="391"/>
      <c r="CK216" s="391"/>
      <c r="CL216" s="391"/>
      <c r="CM216" s="391"/>
      <c r="CN216" s="391"/>
      <c r="CO216" s="391"/>
      <c r="CP216" s="391"/>
      <c r="CQ216" s="391"/>
      <c r="CR216" s="391"/>
      <c r="CS216" s="391"/>
      <c r="CT216" s="391"/>
      <c r="CU216" s="391"/>
      <c r="CV216" s="391"/>
      <c r="CW216" s="391"/>
      <c r="CX216" s="391"/>
      <c r="CY216" s="391"/>
      <c r="CZ216" s="391"/>
      <c r="DA216" s="391"/>
      <c r="DB216" s="391"/>
      <c r="DC216" s="391"/>
      <c r="DD216" s="391"/>
      <c r="DE216" s="391"/>
      <c r="DF216" s="391"/>
      <c r="DG216" s="391"/>
      <c r="DH216" s="391"/>
      <c r="DI216" s="391"/>
      <c r="DJ216" s="391"/>
      <c r="DK216" s="391"/>
      <c r="DL216" s="391"/>
      <c r="DM216" s="391"/>
      <c r="DN216" s="391"/>
      <c r="DO216" s="391"/>
      <c r="DP216" s="391"/>
      <c r="DQ216" s="391"/>
      <c r="DR216" s="391"/>
      <c r="DS216" s="391"/>
      <c r="DT216" s="391"/>
      <c r="DU216" s="391"/>
      <c r="DV216" s="391"/>
      <c r="DW216" s="391"/>
      <c r="DX216" s="391"/>
      <c r="DY216" s="391"/>
      <c r="DZ216" s="391"/>
      <c r="EA216" s="391"/>
      <c r="EB216" s="391"/>
      <c r="EC216" s="391"/>
      <c r="ED216" s="391"/>
      <c r="EE216" s="391"/>
      <c r="EF216" s="391"/>
      <c r="EG216" s="391"/>
      <c r="EH216" s="391"/>
      <c r="EI216" s="391"/>
      <c r="EJ216" s="391"/>
      <c r="EK216" s="391"/>
      <c r="EL216" s="391"/>
      <c r="EM216" s="391"/>
      <c r="EN216" s="391"/>
      <c r="EO216" s="391"/>
      <c r="EP216" s="391"/>
      <c r="EQ216" s="391"/>
      <c r="ER216" s="391"/>
      <c r="ES216" s="391"/>
      <c r="ET216" s="391"/>
      <c r="EU216" s="391"/>
      <c r="EV216" s="391"/>
      <c r="EW216" s="391"/>
      <c r="EX216" s="391"/>
      <c r="EY216" s="391"/>
      <c r="EZ216" s="391"/>
      <c r="FA216" s="391"/>
      <c r="FB216" s="391"/>
      <c r="FC216" s="391"/>
      <c r="FD216" s="391"/>
      <c r="FE216" s="391"/>
      <c r="FF216" s="391"/>
      <c r="FG216" s="391"/>
      <c r="FH216" s="391"/>
      <c r="FI216" s="391"/>
      <c r="FJ216" s="391"/>
      <c r="FK216" s="391"/>
      <c r="FL216" s="391"/>
      <c r="FM216" s="391"/>
      <c r="FN216" s="391"/>
      <c r="FO216" s="391"/>
      <c r="FP216" s="391"/>
      <c r="FQ216" s="391"/>
      <c r="FR216" s="391"/>
      <c r="FS216" s="391"/>
      <c r="FT216" s="391"/>
      <c r="FU216" s="391"/>
      <c r="FV216" s="391"/>
      <c r="FW216" s="391"/>
      <c r="FX216" s="391"/>
      <c r="FY216" s="391"/>
      <c r="FZ216" s="391"/>
      <c r="GA216" s="391"/>
      <c r="GB216" s="391"/>
      <c r="GC216" s="391"/>
      <c r="GD216" s="391"/>
      <c r="GE216" s="391"/>
      <c r="GF216" s="391"/>
      <c r="GG216" s="391"/>
      <c r="GH216" s="391"/>
      <c r="GI216" s="391"/>
      <c r="GJ216" s="391"/>
      <c r="GK216" s="391"/>
      <c r="GL216" s="391"/>
      <c r="GM216" s="391"/>
      <c r="GN216" s="391"/>
      <c r="GO216" s="391"/>
      <c r="GP216" s="391"/>
      <c r="GQ216" s="391"/>
      <c r="GR216" s="391"/>
      <c r="GS216" s="391"/>
      <c r="GT216" s="391"/>
      <c r="GU216" s="391"/>
      <c r="GV216" s="391"/>
      <c r="GW216" s="391"/>
      <c r="GX216" s="391"/>
      <c r="GY216" s="391"/>
      <c r="GZ216" s="391"/>
      <c r="HA216" s="391"/>
      <c r="HB216" s="391"/>
      <c r="HC216" s="391"/>
      <c r="HD216" s="391"/>
      <c r="HE216" s="391"/>
      <c r="HF216" s="391"/>
      <c r="HG216" s="391"/>
      <c r="HH216" s="391"/>
      <c r="HI216" s="391"/>
      <c r="HJ216" s="391"/>
      <c r="HK216" s="391"/>
      <c r="HL216" s="391"/>
      <c r="HM216" s="391"/>
      <c r="HN216" s="391"/>
      <c r="HO216" s="391"/>
      <c r="HP216" s="391"/>
      <c r="HQ216" s="391"/>
      <c r="HR216" s="391"/>
      <c r="HS216" s="391"/>
      <c r="HT216" s="391"/>
      <c r="HU216" s="391"/>
      <c r="HV216" s="391"/>
      <c r="HW216" s="391"/>
      <c r="HX216" s="391"/>
      <c r="HY216" s="391"/>
      <c r="HZ216" s="391"/>
      <c r="IA216" s="391"/>
      <c r="IB216" s="391"/>
      <c r="IC216" s="391"/>
      <c r="ID216" s="391"/>
      <c r="IE216" s="391"/>
      <c r="IF216" s="391"/>
      <c r="IG216" s="391"/>
      <c r="IH216" s="391"/>
      <c r="II216" s="391"/>
      <c r="IJ216" s="391"/>
      <c r="IK216" s="391"/>
      <c r="IL216" s="391"/>
      <c r="IM216" s="391"/>
      <c r="IN216" s="391"/>
      <c r="IO216" s="391"/>
      <c r="IP216" s="391"/>
      <c r="IQ216" s="391"/>
      <c r="IR216" s="391"/>
      <c r="IS216" s="391"/>
      <c r="IT216" s="391"/>
      <c r="IU216" s="391"/>
      <c r="IV216" s="391"/>
      <c r="IW216" s="391"/>
      <c r="IX216" s="391"/>
      <c r="IY216" s="391"/>
      <c r="IZ216" s="391"/>
      <c r="JA216" s="391"/>
      <c r="JB216" s="391"/>
      <c r="JC216" s="391"/>
      <c r="JD216" s="391"/>
      <c r="JE216" s="391"/>
      <c r="JF216" s="391"/>
      <c r="JG216" s="391"/>
      <c r="JH216" s="391"/>
      <c r="JI216" s="393">
        <f t="shared" si="7"/>
        <v>0</v>
      </c>
      <c r="JJ216" s="2">
        <v>6757</v>
      </c>
      <c r="JK216" s="392">
        <f t="shared" si="8"/>
        <v>0</v>
      </c>
      <c r="JL216" s="391"/>
      <c r="JM216" s="392"/>
      <c r="JN216" s="392"/>
      <c r="JO216" s="392"/>
      <c r="JP216" s="392"/>
    </row>
    <row r="217" spans="1:276" x14ac:dyDescent="0.3">
      <c r="A217" s="391"/>
      <c r="B217" s="391"/>
      <c r="C217" s="391"/>
      <c r="D217" s="391"/>
      <c r="E217" s="391"/>
      <c r="F217" s="391"/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  <c r="W217" s="391"/>
      <c r="X217" s="391"/>
      <c r="Y217" s="391"/>
      <c r="Z217" s="391"/>
      <c r="AA217" s="391"/>
      <c r="AB217" s="391"/>
      <c r="AC217" s="391"/>
      <c r="AD217" s="391"/>
      <c r="AE217" s="391"/>
      <c r="AF217" s="391"/>
      <c r="AG217" s="391"/>
      <c r="AH217" s="391"/>
      <c r="AI217" s="391"/>
      <c r="AJ217" s="391"/>
      <c r="AK217" s="391"/>
      <c r="AL217" s="391"/>
      <c r="AM217" s="391"/>
      <c r="AN217" s="391"/>
      <c r="AO217" s="391"/>
      <c r="AP217" s="391"/>
      <c r="AQ217" s="391"/>
      <c r="AR217" s="391"/>
      <c r="AS217" s="391"/>
      <c r="AT217" s="391"/>
      <c r="AU217" s="391"/>
      <c r="AV217" s="391"/>
      <c r="AW217" s="391"/>
      <c r="AX217" s="391"/>
      <c r="AY217" s="391"/>
      <c r="AZ217" s="391"/>
      <c r="BA217" s="391"/>
      <c r="BB217" s="391"/>
      <c r="BC217" s="391"/>
      <c r="BD217" s="391"/>
      <c r="BE217" s="391"/>
      <c r="BF217" s="391"/>
      <c r="BG217" s="391"/>
      <c r="BH217" s="391"/>
      <c r="BI217" s="391"/>
      <c r="BJ217" s="391"/>
      <c r="BK217" s="391"/>
      <c r="BL217" s="391"/>
      <c r="BM217" s="391"/>
      <c r="BN217" s="391"/>
      <c r="BO217" s="391"/>
      <c r="BP217" s="391"/>
      <c r="BQ217" s="391"/>
      <c r="BR217" s="391"/>
      <c r="BS217" s="391"/>
      <c r="BT217" s="391"/>
      <c r="BU217" s="391"/>
      <c r="BV217" s="391"/>
      <c r="BW217" s="391"/>
      <c r="BX217" s="391"/>
      <c r="BY217" s="391"/>
      <c r="BZ217" s="391"/>
      <c r="CA217" s="391"/>
      <c r="CB217" s="391"/>
      <c r="CC217" s="391"/>
      <c r="CD217" s="391"/>
      <c r="CE217" s="391"/>
      <c r="CF217" s="391"/>
      <c r="CG217" s="391"/>
      <c r="CH217" s="391"/>
      <c r="CI217" s="391"/>
      <c r="CJ217" s="391"/>
      <c r="CK217" s="391"/>
      <c r="CL217" s="391"/>
      <c r="CM217" s="391"/>
      <c r="CN217" s="391"/>
      <c r="CO217" s="391"/>
      <c r="CP217" s="391"/>
      <c r="CQ217" s="391"/>
      <c r="CR217" s="391"/>
      <c r="CS217" s="391"/>
      <c r="CT217" s="391"/>
      <c r="CU217" s="391"/>
      <c r="CV217" s="391"/>
      <c r="CW217" s="391"/>
      <c r="CX217" s="391"/>
      <c r="CY217" s="391"/>
      <c r="CZ217" s="391"/>
      <c r="DA217" s="391"/>
      <c r="DB217" s="391"/>
      <c r="DC217" s="391"/>
      <c r="DD217" s="391"/>
      <c r="DE217" s="391"/>
      <c r="DF217" s="391"/>
      <c r="DG217" s="391"/>
      <c r="DH217" s="391"/>
      <c r="DI217" s="391"/>
      <c r="DJ217" s="391"/>
      <c r="DK217" s="391"/>
      <c r="DL217" s="391"/>
      <c r="DM217" s="391"/>
      <c r="DN217" s="391"/>
      <c r="DO217" s="391"/>
      <c r="DP217" s="391"/>
      <c r="DQ217" s="391"/>
      <c r="DR217" s="391"/>
      <c r="DS217" s="391"/>
      <c r="DT217" s="391"/>
      <c r="DU217" s="391"/>
      <c r="DV217" s="391"/>
      <c r="DW217" s="391"/>
      <c r="DX217" s="391"/>
      <c r="DY217" s="391"/>
      <c r="DZ217" s="391"/>
      <c r="EA217" s="391"/>
      <c r="EB217" s="391"/>
      <c r="EC217" s="391"/>
      <c r="ED217" s="391"/>
      <c r="EE217" s="391"/>
      <c r="EF217" s="391"/>
      <c r="EG217" s="391"/>
      <c r="EH217" s="391"/>
      <c r="EI217" s="391"/>
      <c r="EJ217" s="391"/>
      <c r="EK217" s="391"/>
      <c r="EL217" s="391"/>
      <c r="EM217" s="391"/>
      <c r="EN217" s="391"/>
      <c r="EO217" s="391"/>
      <c r="EP217" s="391"/>
      <c r="EQ217" s="391"/>
      <c r="ER217" s="391"/>
      <c r="ES217" s="391"/>
      <c r="ET217" s="391"/>
      <c r="EU217" s="391"/>
      <c r="EV217" s="391"/>
      <c r="EW217" s="391"/>
      <c r="EX217" s="391"/>
      <c r="EY217" s="391"/>
      <c r="EZ217" s="391"/>
      <c r="FA217" s="391"/>
      <c r="FB217" s="391"/>
      <c r="FC217" s="391"/>
      <c r="FD217" s="391"/>
      <c r="FE217" s="391"/>
      <c r="FF217" s="391"/>
      <c r="FG217" s="391"/>
      <c r="FH217" s="391"/>
      <c r="FI217" s="391"/>
      <c r="FJ217" s="391"/>
      <c r="FK217" s="391"/>
      <c r="FL217" s="391"/>
      <c r="FM217" s="391"/>
      <c r="FN217" s="391"/>
      <c r="FO217" s="391"/>
      <c r="FP217" s="391"/>
      <c r="FQ217" s="391"/>
      <c r="FR217" s="391"/>
      <c r="FS217" s="391"/>
      <c r="FT217" s="391"/>
      <c r="FU217" s="391"/>
      <c r="FV217" s="391"/>
      <c r="FW217" s="391"/>
      <c r="FX217" s="391"/>
      <c r="FY217" s="391"/>
      <c r="FZ217" s="391"/>
      <c r="GA217" s="391"/>
      <c r="GB217" s="391"/>
      <c r="GC217" s="391"/>
      <c r="GD217" s="391"/>
      <c r="GE217" s="391"/>
      <c r="GF217" s="391"/>
      <c r="GG217" s="391"/>
      <c r="GH217" s="391"/>
      <c r="GI217" s="391"/>
      <c r="GJ217" s="391"/>
      <c r="GK217" s="391"/>
      <c r="GL217" s="391"/>
      <c r="GM217" s="391"/>
      <c r="GN217" s="391"/>
      <c r="GO217" s="391"/>
      <c r="GP217" s="391"/>
      <c r="GQ217" s="391"/>
      <c r="GR217" s="391"/>
      <c r="GS217" s="391"/>
      <c r="GT217" s="391"/>
      <c r="GU217" s="391"/>
      <c r="GV217" s="391"/>
      <c r="GW217" s="391"/>
      <c r="GX217" s="391"/>
      <c r="GY217" s="391"/>
      <c r="GZ217" s="391"/>
      <c r="HA217" s="391"/>
      <c r="HB217" s="391"/>
      <c r="HC217" s="391"/>
      <c r="HD217" s="391"/>
      <c r="HE217" s="391"/>
      <c r="HF217" s="391"/>
      <c r="HG217" s="391"/>
      <c r="HH217" s="391"/>
      <c r="HI217" s="391"/>
      <c r="HJ217" s="391"/>
      <c r="HK217" s="391"/>
      <c r="HL217" s="391"/>
      <c r="HM217" s="391"/>
      <c r="HN217" s="391"/>
      <c r="HO217" s="391"/>
      <c r="HP217" s="391"/>
      <c r="HQ217" s="391"/>
      <c r="HR217" s="391"/>
      <c r="HS217" s="391"/>
      <c r="HT217" s="391"/>
      <c r="HU217" s="391"/>
      <c r="HV217" s="391"/>
      <c r="HW217" s="391"/>
      <c r="HX217" s="391"/>
      <c r="HY217" s="391"/>
      <c r="HZ217" s="391"/>
      <c r="IA217" s="391"/>
      <c r="IB217" s="391"/>
      <c r="IC217" s="391"/>
      <c r="ID217" s="391"/>
      <c r="IE217" s="391"/>
      <c r="IF217" s="391"/>
      <c r="IG217" s="391"/>
      <c r="IH217" s="391"/>
      <c r="II217" s="391"/>
      <c r="IJ217" s="391"/>
      <c r="IK217" s="391"/>
      <c r="IL217" s="391"/>
      <c r="IM217" s="391"/>
      <c r="IN217" s="391"/>
      <c r="IO217" s="391"/>
      <c r="IP217" s="391"/>
      <c r="IQ217" s="391"/>
      <c r="IR217" s="391"/>
      <c r="IS217" s="391"/>
      <c r="IT217" s="391"/>
      <c r="IU217" s="391"/>
      <c r="IV217" s="391"/>
      <c r="IW217" s="391"/>
      <c r="IX217" s="391"/>
      <c r="IY217" s="391"/>
      <c r="IZ217" s="391"/>
      <c r="JA217" s="391"/>
      <c r="JB217" s="391"/>
      <c r="JC217" s="391"/>
      <c r="JD217" s="391"/>
      <c r="JE217" s="391"/>
      <c r="JF217" s="391"/>
      <c r="JG217" s="391"/>
      <c r="JH217" s="391"/>
      <c r="JI217" s="393">
        <f t="shared" si="7"/>
        <v>0</v>
      </c>
      <c r="JJ217" s="2">
        <v>6762</v>
      </c>
      <c r="JK217" s="392">
        <f t="shared" si="8"/>
        <v>0</v>
      </c>
      <c r="JL217" s="391"/>
      <c r="JM217" s="392"/>
      <c r="JN217" s="392"/>
      <c r="JO217" s="392"/>
      <c r="JP217" s="392"/>
    </row>
    <row r="218" spans="1:276" x14ac:dyDescent="0.3">
      <c r="A218" s="391"/>
      <c r="B218" s="391"/>
      <c r="C218" s="391"/>
      <c r="D218" s="391"/>
      <c r="E218" s="391"/>
      <c r="F218" s="391"/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  <c r="W218" s="391"/>
      <c r="X218" s="391"/>
      <c r="Y218" s="391"/>
      <c r="Z218" s="391"/>
      <c r="AA218" s="391"/>
      <c r="AB218" s="391"/>
      <c r="AC218" s="391"/>
      <c r="AD218" s="391"/>
      <c r="AE218" s="391"/>
      <c r="AF218" s="391"/>
      <c r="AG218" s="391"/>
      <c r="AH218" s="391"/>
      <c r="AI218" s="391"/>
      <c r="AJ218" s="391"/>
      <c r="AK218" s="391"/>
      <c r="AL218" s="391"/>
      <c r="AM218" s="391"/>
      <c r="AN218" s="391"/>
      <c r="AO218" s="391"/>
      <c r="AP218" s="391"/>
      <c r="AQ218" s="391"/>
      <c r="AR218" s="391"/>
      <c r="AS218" s="391"/>
      <c r="AT218" s="391"/>
      <c r="AU218" s="391"/>
      <c r="AV218" s="391"/>
      <c r="AW218" s="391"/>
      <c r="AX218" s="391"/>
      <c r="AY218" s="391"/>
      <c r="AZ218" s="391"/>
      <c r="BA218" s="391"/>
      <c r="BB218" s="391"/>
      <c r="BC218" s="391"/>
      <c r="BD218" s="391"/>
      <c r="BE218" s="391"/>
      <c r="BF218" s="391"/>
      <c r="BG218" s="391"/>
      <c r="BH218" s="391"/>
      <c r="BI218" s="391"/>
      <c r="BJ218" s="391"/>
      <c r="BK218" s="391"/>
      <c r="BL218" s="391"/>
      <c r="BM218" s="391"/>
      <c r="BN218" s="391"/>
      <c r="BO218" s="391"/>
      <c r="BP218" s="391"/>
      <c r="BQ218" s="391"/>
      <c r="BR218" s="391"/>
      <c r="BS218" s="391"/>
      <c r="BT218" s="391"/>
      <c r="BU218" s="391"/>
      <c r="BV218" s="391"/>
      <c r="BW218" s="391"/>
      <c r="BX218" s="391"/>
      <c r="BY218" s="391"/>
      <c r="BZ218" s="391"/>
      <c r="CA218" s="391"/>
      <c r="CB218" s="391"/>
      <c r="CC218" s="391"/>
      <c r="CD218" s="391"/>
      <c r="CE218" s="391"/>
      <c r="CF218" s="391"/>
      <c r="CG218" s="391"/>
      <c r="CH218" s="391"/>
      <c r="CI218" s="391"/>
      <c r="CJ218" s="391"/>
      <c r="CK218" s="391"/>
      <c r="CL218" s="391"/>
      <c r="CM218" s="391"/>
      <c r="CN218" s="391"/>
      <c r="CO218" s="391"/>
      <c r="CP218" s="391"/>
      <c r="CQ218" s="391"/>
      <c r="CR218" s="391"/>
      <c r="CS218" s="391"/>
      <c r="CT218" s="391"/>
      <c r="CU218" s="391"/>
      <c r="CV218" s="391"/>
      <c r="CW218" s="391"/>
      <c r="CX218" s="391"/>
      <c r="CY218" s="391"/>
      <c r="CZ218" s="391"/>
      <c r="DA218" s="391"/>
      <c r="DB218" s="391"/>
      <c r="DC218" s="391"/>
      <c r="DD218" s="391"/>
      <c r="DE218" s="391"/>
      <c r="DF218" s="391"/>
      <c r="DG218" s="391"/>
      <c r="DH218" s="391"/>
      <c r="DI218" s="391"/>
      <c r="DJ218" s="391"/>
      <c r="DK218" s="391"/>
      <c r="DL218" s="391"/>
      <c r="DM218" s="391"/>
      <c r="DN218" s="391"/>
      <c r="DO218" s="391"/>
      <c r="DP218" s="391"/>
      <c r="DQ218" s="391"/>
      <c r="DR218" s="391"/>
      <c r="DS218" s="391"/>
      <c r="DT218" s="391"/>
      <c r="DU218" s="391"/>
      <c r="DV218" s="391"/>
      <c r="DW218" s="391"/>
      <c r="DX218" s="391"/>
      <c r="DY218" s="391"/>
      <c r="DZ218" s="391"/>
      <c r="EA218" s="391"/>
      <c r="EB218" s="391"/>
      <c r="EC218" s="391"/>
      <c r="ED218" s="391"/>
      <c r="EE218" s="391"/>
      <c r="EF218" s="391"/>
      <c r="EG218" s="391"/>
      <c r="EH218" s="391"/>
      <c r="EI218" s="391"/>
      <c r="EJ218" s="391"/>
      <c r="EK218" s="391"/>
      <c r="EL218" s="391"/>
      <c r="EM218" s="391"/>
      <c r="EN218" s="391"/>
      <c r="EO218" s="391"/>
      <c r="EP218" s="391"/>
      <c r="EQ218" s="391"/>
      <c r="ER218" s="391"/>
      <c r="ES218" s="391"/>
      <c r="ET218" s="391"/>
      <c r="EU218" s="391"/>
      <c r="EV218" s="391"/>
      <c r="EW218" s="391"/>
      <c r="EX218" s="391"/>
      <c r="EY218" s="391"/>
      <c r="EZ218" s="391"/>
      <c r="FA218" s="391"/>
      <c r="FB218" s="391"/>
      <c r="FC218" s="391"/>
      <c r="FD218" s="391"/>
      <c r="FE218" s="391"/>
      <c r="FF218" s="391"/>
      <c r="FG218" s="391"/>
      <c r="FH218" s="391"/>
      <c r="FI218" s="391"/>
      <c r="FJ218" s="391"/>
      <c r="FK218" s="391"/>
      <c r="FL218" s="391"/>
      <c r="FM218" s="391"/>
      <c r="FN218" s="391"/>
      <c r="FO218" s="391"/>
      <c r="FP218" s="391"/>
      <c r="FQ218" s="391"/>
      <c r="FR218" s="391"/>
      <c r="FS218" s="391"/>
      <c r="FT218" s="391"/>
      <c r="FU218" s="391"/>
      <c r="FV218" s="391"/>
      <c r="FW218" s="391"/>
      <c r="FX218" s="391"/>
      <c r="FY218" s="391"/>
      <c r="FZ218" s="391"/>
      <c r="GA218" s="391"/>
      <c r="GB218" s="391"/>
      <c r="GC218" s="391"/>
      <c r="GD218" s="391"/>
      <c r="GE218" s="391"/>
      <c r="GF218" s="391"/>
      <c r="GG218" s="391"/>
      <c r="GH218" s="391"/>
      <c r="GI218" s="391"/>
      <c r="GJ218" s="391"/>
      <c r="GK218" s="391"/>
      <c r="GL218" s="391"/>
      <c r="GM218" s="391"/>
      <c r="GN218" s="391"/>
      <c r="GO218" s="391"/>
      <c r="GP218" s="391"/>
      <c r="GQ218" s="391"/>
      <c r="GR218" s="391"/>
      <c r="GS218" s="391"/>
      <c r="GT218" s="391"/>
      <c r="GU218" s="391"/>
      <c r="GV218" s="391"/>
      <c r="GW218" s="391"/>
      <c r="GX218" s="391"/>
      <c r="GY218" s="391"/>
      <c r="GZ218" s="391"/>
      <c r="HA218" s="391"/>
      <c r="HB218" s="391"/>
      <c r="HC218" s="391"/>
      <c r="HD218" s="391"/>
      <c r="HE218" s="391"/>
      <c r="HF218" s="391"/>
      <c r="HG218" s="391"/>
      <c r="HH218" s="391"/>
      <c r="HI218" s="391"/>
      <c r="HJ218" s="391"/>
      <c r="HK218" s="391"/>
      <c r="HL218" s="391"/>
      <c r="HM218" s="391"/>
      <c r="HN218" s="391"/>
      <c r="HO218" s="391"/>
      <c r="HP218" s="391"/>
      <c r="HQ218" s="391"/>
      <c r="HR218" s="391"/>
      <c r="HS218" s="391"/>
      <c r="HT218" s="391"/>
      <c r="HU218" s="391"/>
      <c r="HV218" s="391"/>
      <c r="HW218" s="391"/>
      <c r="HX218" s="391"/>
      <c r="HY218" s="391"/>
      <c r="HZ218" s="391"/>
      <c r="IA218" s="391"/>
      <c r="IB218" s="391"/>
      <c r="IC218" s="391"/>
      <c r="ID218" s="391"/>
      <c r="IE218" s="391"/>
      <c r="IF218" s="391"/>
      <c r="IG218" s="391"/>
      <c r="IH218" s="391"/>
      <c r="II218" s="391"/>
      <c r="IJ218" s="391"/>
      <c r="IK218" s="391"/>
      <c r="IL218" s="391"/>
      <c r="IM218" s="391"/>
      <c r="IN218" s="391"/>
      <c r="IO218" s="391"/>
      <c r="IP218" s="391"/>
      <c r="IQ218" s="391"/>
      <c r="IR218" s="391"/>
      <c r="IS218" s="391"/>
      <c r="IT218" s="391"/>
      <c r="IU218" s="391"/>
      <c r="IV218" s="391"/>
      <c r="IW218" s="391"/>
      <c r="IX218" s="391"/>
      <c r="IY218" s="391"/>
      <c r="IZ218" s="391"/>
      <c r="JA218" s="391"/>
      <c r="JB218" s="391"/>
      <c r="JC218" s="391"/>
      <c r="JD218" s="391"/>
      <c r="JE218" s="391"/>
      <c r="JF218" s="391"/>
      <c r="JG218" s="391"/>
      <c r="JH218" s="391"/>
      <c r="JI218" s="393">
        <f t="shared" si="7"/>
        <v>0</v>
      </c>
      <c r="JJ218" s="2">
        <v>6774</v>
      </c>
      <c r="JK218" s="392">
        <f t="shared" si="8"/>
        <v>0</v>
      </c>
      <c r="JL218" s="391"/>
      <c r="JM218" s="392"/>
      <c r="JN218" s="392"/>
      <c r="JO218" s="392"/>
      <c r="JP218" s="392"/>
    </row>
    <row r="219" spans="1:276" x14ac:dyDescent="0.3">
      <c r="A219" s="391"/>
      <c r="B219" s="391"/>
      <c r="C219" s="391"/>
      <c r="D219" s="391"/>
      <c r="E219" s="391"/>
      <c r="F219" s="391"/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  <c r="X219" s="391"/>
      <c r="Y219" s="391"/>
      <c r="Z219" s="391"/>
      <c r="AA219" s="391"/>
      <c r="AB219" s="391"/>
      <c r="AC219" s="391"/>
      <c r="AD219" s="391"/>
      <c r="AE219" s="391"/>
      <c r="AF219" s="391"/>
      <c r="AG219" s="391"/>
      <c r="AH219" s="391"/>
      <c r="AI219" s="391"/>
      <c r="AJ219" s="391"/>
      <c r="AK219" s="391"/>
      <c r="AL219" s="391"/>
      <c r="AM219" s="391"/>
      <c r="AN219" s="391"/>
      <c r="AO219" s="391"/>
      <c r="AP219" s="391"/>
      <c r="AQ219" s="391"/>
      <c r="AR219" s="391"/>
      <c r="AS219" s="391"/>
      <c r="AT219" s="391"/>
      <c r="AU219" s="391"/>
      <c r="AV219" s="391"/>
      <c r="AW219" s="391"/>
      <c r="AX219" s="391"/>
      <c r="AY219" s="391"/>
      <c r="AZ219" s="391"/>
      <c r="BA219" s="391"/>
      <c r="BB219" s="391"/>
      <c r="BC219" s="391"/>
      <c r="BD219" s="391"/>
      <c r="BE219" s="391"/>
      <c r="BF219" s="391"/>
      <c r="BG219" s="391"/>
      <c r="BH219" s="391"/>
      <c r="BI219" s="391"/>
      <c r="BJ219" s="391"/>
      <c r="BK219" s="391"/>
      <c r="BL219" s="391"/>
      <c r="BM219" s="391"/>
      <c r="BN219" s="391"/>
      <c r="BO219" s="391"/>
      <c r="BP219" s="391"/>
      <c r="BQ219" s="391"/>
      <c r="BR219" s="391"/>
      <c r="BS219" s="391"/>
      <c r="BT219" s="391"/>
      <c r="BU219" s="391"/>
      <c r="BV219" s="391"/>
      <c r="BW219" s="391"/>
      <c r="BX219" s="391"/>
      <c r="BY219" s="391"/>
      <c r="BZ219" s="391"/>
      <c r="CA219" s="391"/>
      <c r="CB219" s="391"/>
      <c r="CC219" s="391"/>
      <c r="CD219" s="391"/>
      <c r="CE219" s="391"/>
      <c r="CF219" s="391"/>
      <c r="CG219" s="391"/>
      <c r="CH219" s="391"/>
      <c r="CI219" s="391"/>
      <c r="CJ219" s="391"/>
      <c r="CK219" s="391"/>
      <c r="CL219" s="391"/>
      <c r="CM219" s="391"/>
      <c r="CN219" s="391"/>
      <c r="CO219" s="391"/>
      <c r="CP219" s="391"/>
      <c r="CQ219" s="391"/>
      <c r="CR219" s="391"/>
      <c r="CS219" s="391"/>
      <c r="CT219" s="391"/>
      <c r="CU219" s="391"/>
      <c r="CV219" s="391"/>
      <c r="CW219" s="391"/>
      <c r="CX219" s="391"/>
      <c r="CY219" s="391"/>
      <c r="CZ219" s="391"/>
      <c r="DA219" s="391"/>
      <c r="DB219" s="391"/>
      <c r="DC219" s="391"/>
      <c r="DD219" s="391"/>
      <c r="DE219" s="391"/>
      <c r="DF219" s="391"/>
      <c r="DG219" s="391"/>
      <c r="DH219" s="391"/>
      <c r="DI219" s="391"/>
      <c r="DJ219" s="391"/>
      <c r="DK219" s="391"/>
      <c r="DL219" s="391"/>
      <c r="DM219" s="391"/>
      <c r="DN219" s="391"/>
      <c r="DO219" s="391"/>
      <c r="DP219" s="391"/>
      <c r="DQ219" s="391"/>
      <c r="DR219" s="391"/>
      <c r="DS219" s="391"/>
      <c r="DT219" s="391"/>
      <c r="DU219" s="391"/>
      <c r="DV219" s="391"/>
      <c r="DW219" s="391"/>
      <c r="DX219" s="391"/>
      <c r="DY219" s="391"/>
      <c r="DZ219" s="391"/>
      <c r="EA219" s="391"/>
      <c r="EB219" s="391"/>
      <c r="EC219" s="391"/>
      <c r="ED219" s="391"/>
      <c r="EE219" s="391"/>
      <c r="EF219" s="391"/>
      <c r="EG219" s="391"/>
      <c r="EH219" s="391"/>
      <c r="EI219" s="391"/>
      <c r="EJ219" s="391"/>
      <c r="EK219" s="391"/>
      <c r="EL219" s="391"/>
      <c r="EM219" s="391"/>
      <c r="EN219" s="391"/>
      <c r="EO219" s="391"/>
      <c r="EP219" s="391"/>
      <c r="EQ219" s="391"/>
      <c r="ER219" s="391"/>
      <c r="ES219" s="391"/>
      <c r="ET219" s="391"/>
      <c r="EU219" s="391"/>
      <c r="EV219" s="391"/>
      <c r="EW219" s="391"/>
      <c r="EX219" s="391"/>
      <c r="EY219" s="391"/>
      <c r="EZ219" s="391"/>
      <c r="FA219" s="391"/>
      <c r="FB219" s="391"/>
      <c r="FC219" s="391"/>
      <c r="FD219" s="391"/>
      <c r="FE219" s="391"/>
      <c r="FF219" s="391"/>
      <c r="FG219" s="391"/>
      <c r="FH219" s="391"/>
      <c r="FI219" s="391"/>
      <c r="FJ219" s="391"/>
      <c r="FK219" s="391"/>
      <c r="FL219" s="391"/>
      <c r="FM219" s="391"/>
      <c r="FN219" s="391"/>
      <c r="FO219" s="391"/>
      <c r="FP219" s="391"/>
      <c r="FQ219" s="391"/>
      <c r="FR219" s="391"/>
      <c r="FS219" s="391"/>
      <c r="FT219" s="391"/>
      <c r="FU219" s="391"/>
      <c r="FV219" s="391"/>
      <c r="FW219" s="391"/>
      <c r="FX219" s="391"/>
      <c r="FY219" s="391"/>
      <c r="FZ219" s="391"/>
      <c r="GA219" s="391"/>
      <c r="GB219" s="391"/>
      <c r="GC219" s="391"/>
      <c r="GD219" s="391"/>
      <c r="GE219" s="391"/>
      <c r="GF219" s="391"/>
      <c r="GG219" s="391"/>
      <c r="GH219" s="391"/>
      <c r="GI219" s="391"/>
      <c r="GJ219" s="391"/>
      <c r="GK219" s="391"/>
      <c r="GL219" s="391"/>
      <c r="GM219" s="391"/>
      <c r="GN219" s="391"/>
      <c r="GO219" s="391"/>
      <c r="GP219" s="391"/>
      <c r="GQ219" s="391"/>
      <c r="GR219" s="391"/>
      <c r="GS219" s="391"/>
      <c r="GT219" s="391"/>
      <c r="GU219" s="391"/>
      <c r="GV219" s="391"/>
      <c r="GW219" s="391"/>
      <c r="GX219" s="391"/>
      <c r="GY219" s="391"/>
      <c r="GZ219" s="391"/>
      <c r="HA219" s="391"/>
      <c r="HB219" s="391"/>
      <c r="HC219" s="391"/>
      <c r="HD219" s="391"/>
      <c r="HE219" s="391"/>
      <c r="HF219" s="391"/>
      <c r="HG219" s="391"/>
      <c r="HH219" s="391"/>
      <c r="HI219" s="391"/>
      <c r="HJ219" s="391"/>
      <c r="HK219" s="391"/>
      <c r="HL219" s="391"/>
      <c r="HM219" s="391"/>
      <c r="HN219" s="391"/>
      <c r="HO219" s="391"/>
      <c r="HP219" s="391"/>
      <c r="HQ219" s="391"/>
      <c r="HR219" s="391"/>
      <c r="HS219" s="391"/>
      <c r="HT219" s="391"/>
      <c r="HU219" s="391"/>
      <c r="HV219" s="391"/>
      <c r="HW219" s="391"/>
      <c r="HX219" s="391"/>
      <c r="HY219" s="391"/>
      <c r="HZ219" s="391"/>
      <c r="IA219" s="391"/>
      <c r="IB219" s="391"/>
      <c r="IC219" s="391"/>
      <c r="ID219" s="391"/>
      <c r="IE219" s="391"/>
      <c r="IF219" s="391"/>
      <c r="IG219" s="391"/>
      <c r="IH219" s="391"/>
      <c r="II219" s="391"/>
      <c r="IJ219" s="391"/>
      <c r="IK219" s="391"/>
      <c r="IL219" s="391"/>
      <c r="IM219" s="391"/>
      <c r="IN219" s="391"/>
      <c r="IO219" s="391"/>
      <c r="IP219" s="391"/>
      <c r="IQ219" s="391"/>
      <c r="IR219" s="391"/>
      <c r="IS219" s="391"/>
      <c r="IT219" s="391"/>
      <c r="IU219" s="391"/>
      <c r="IV219" s="391"/>
      <c r="IW219" s="391"/>
      <c r="IX219" s="391"/>
      <c r="IY219" s="391"/>
      <c r="IZ219" s="391"/>
      <c r="JA219" s="391"/>
      <c r="JB219" s="391"/>
      <c r="JC219" s="391"/>
      <c r="JD219" s="391"/>
      <c r="JE219" s="391"/>
      <c r="JF219" s="391"/>
      <c r="JG219" s="391"/>
      <c r="JH219" s="391"/>
      <c r="JI219" s="393">
        <f t="shared" si="7"/>
        <v>0</v>
      </c>
      <c r="JJ219" s="2">
        <v>6780</v>
      </c>
      <c r="JK219" s="392">
        <f t="shared" si="8"/>
        <v>0</v>
      </c>
      <c r="JL219" s="391"/>
      <c r="JM219" s="392"/>
      <c r="JN219" s="392"/>
      <c r="JO219" s="392"/>
      <c r="JP219" s="392"/>
    </row>
    <row r="220" spans="1:276" x14ac:dyDescent="0.3">
      <c r="A220" s="391"/>
      <c r="B220" s="391"/>
      <c r="C220" s="391"/>
      <c r="D220" s="391"/>
      <c r="E220" s="391"/>
      <c r="F220" s="391"/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  <c r="X220" s="391"/>
      <c r="Y220" s="391"/>
      <c r="Z220" s="391"/>
      <c r="AA220" s="391"/>
      <c r="AB220" s="391"/>
      <c r="AC220" s="391"/>
      <c r="AD220" s="391"/>
      <c r="AE220" s="391"/>
      <c r="AF220" s="391"/>
      <c r="AG220" s="391"/>
      <c r="AH220" s="391"/>
      <c r="AI220" s="391"/>
      <c r="AJ220" s="391"/>
      <c r="AK220" s="391"/>
      <c r="AL220" s="391"/>
      <c r="AM220" s="391"/>
      <c r="AN220" s="391"/>
      <c r="AO220" s="391"/>
      <c r="AP220" s="391"/>
      <c r="AQ220" s="391"/>
      <c r="AR220" s="391"/>
      <c r="AS220" s="391"/>
      <c r="AT220" s="391"/>
      <c r="AU220" s="391"/>
      <c r="AV220" s="391"/>
      <c r="AW220" s="391"/>
      <c r="AX220" s="391"/>
      <c r="AY220" s="391"/>
      <c r="AZ220" s="391"/>
      <c r="BA220" s="391"/>
      <c r="BB220" s="391"/>
      <c r="BC220" s="391"/>
      <c r="BD220" s="391"/>
      <c r="BE220" s="391"/>
      <c r="BF220" s="391"/>
      <c r="BG220" s="391"/>
      <c r="BH220" s="391"/>
      <c r="BI220" s="391"/>
      <c r="BJ220" s="391"/>
      <c r="BK220" s="391"/>
      <c r="BL220" s="391"/>
      <c r="BM220" s="391"/>
      <c r="BN220" s="391"/>
      <c r="BO220" s="391"/>
      <c r="BP220" s="391"/>
      <c r="BQ220" s="391"/>
      <c r="BR220" s="391"/>
      <c r="BS220" s="391"/>
      <c r="BT220" s="391"/>
      <c r="BU220" s="391"/>
      <c r="BV220" s="391"/>
      <c r="BW220" s="391"/>
      <c r="BX220" s="391"/>
      <c r="BY220" s="391"/>
      <c r="BZ220" s="391"/>
      <c r="CA220" s="391"/>
      <c r="CB220" s="391"/>
      <c r="CC220" s="391"/>
      <c r="CD220" s="391"/>
      <c r="CE220" s="391"/>
      <c r="CF220" s="391"/>
      <c r="CG220" s="391"/>
      <c r="CH220" s="391"/>
      <c r="CI220" s="391"/>
      <c r="CJ220" s="391"/>
      <c r="CK220" s="391"/>
      <c r="CL220" s="391"/>
      <c r="CM220" s="391"/>
      <c r="CN220" s="391"/>
      <c r="CO220" s="391"/>
      <c r="CP220" s="391"/>
      <c r="CQ220" s="391"/>
      <c r="CR220" s="391"/>
      <c r="CS220" s="391"/>
      <c r="CT220" s="391"/>
      <c r="CU220" s="391"/>
      <c r="CV220" s="391"/>
      <c r="CW220" s="391"/>
      <c r="CX220" s="391"/>
      <c r="CY220" s="391"/>
      <c r="CZ220" s="391"/>
      <c r="DA220" s="391"/>
      <c r="DB220" s="391"/>
      <c r="DC220" s="391"/>
      <c r="DD220" s="391"/>
      <c r="DE220" s="391"/>
      <c r="DF220" s="391"/>
      <c r="DG220" s="391"/>
      <c r="DH220" s="391"/>
      <c r="DI220" s="391"/>
      <c r="DJ220" s="391"/>
      <c r="DK220" s="391"/>
      <c r="DL220" s="391"/>
      <c r="DM220" s="391"/>
      <c r="DN220" s="391"/>
      <c r="DO220" s="391"/>
      <c r="DP220" s="391"/>
      <c r="DQ220" s="391"/>
      <c r="DR220" s="391"/>
      <c r="DS220" s="391"/>
      <c r="DT220" s="391"/>
      <c r="DU220" s="391"/>
      <c r="DV220" s="391"/>
      <c r="DW220" s="391"/>
      <c r="DX220" s="391"/>
      <c r="DY220" s="391"/>
      <c r="DZ220" s="391"/>
      <c r="EA220" s="391"/>
      <c r="EB220" s="391"/>
      <c r="EC220" s="391"/>
      <c r="ED220" s="391"/>
      <c r="EE220" s="391"/>
      <c r="EF220" s="391"/>
      <c r="EG220" s="391"/>
      <c r="EH220" s="391"/>
      <c r="EI220" s="391"/>
      <c r="EJ220" s="391"/>
      <c r="EK220" s="391"/>
      <c r="EL220" s="391"/>
      <c r="EM220" s="391"/>
      <c r="EN220" s="391"/>
      <c r="EO220" s="391"/>
      <c r="EP220" s="391"/>
      <c r="EQ220" s="391"/>
      <c r="ER220" s="391"/>
      <c r="ES220" s="391"/>
      <c r="ET220" s="391"/>
      <c r="EU220" s="391"/>
      <c r="EV220" s="391"/>
      <c r="EW220" s="391"/>
      <c r="EX220" s="391"/>
      <c r="EY220" s="391"/>
      <c r="EZ220" s="391"/>
      <c r="FA220" s="391"/>
      <c r="FB220" s="391"/>
      <c r="FC220" s="391"/>
      <c r="FD220" s="391"/>
      <c r="FE220" s="391"/>
      <c r="FF220" s="391"/>
      <c r="FG220" s="391"/>
      <c r="FH220" s="391"/>
      <c r="FI220" s="391"/>
      <c r="FJ220" s="391"/>
      <c r="FK220" s="391"/>
      <c r="FL220" s="391"/>
      <c r="FM220" s="391"/>
      <c r="FN220" s="391"/>
      <c r="FO220" s="391"/>
      <c r="FP220" s="391"/>
      <c r="FQ220" s="391"/>
      <c r="FR220" s="391"/>
      <c r="FS220" s="391"/>
      <c r="FT220" s="391"/>
      <c r="FU220" s="391"/>
      <c r="FV220" s="391"/>
      <c r="FW220" s="391"/>
      <c r="FX220" s="391"/>
      <c r="FY220" s="391"/>
      <c r="FZ220" s="391"/>
      <c r="GA220" s="391"/>
      <c r="GB220" s="391"/>
      <c r="GC220" s="391"/>
      <c r="GD220" s="391"/>
      <c r="GE220" s="391"/>
      <c r="GF220" s="391"/>
      <c r="GG220" s="391"/>
      <c r="GH220" s="391"/>
      <c r="GI220" s="391"/>
      <c r="GJ220" s="391"/>
      <c r="GK220" s="391"/>
      <c r="GL220" s="391"/>
      <c r="GM220" s="391"/>
      <c r="GN220" s="391"/>
      <c r="GO220" s="391"/>
      <c r="GP220" s="391"/>
      <c r="GQ220" s="391"/>
      <c r="GR220" s="391"/>
      <c r="GS220" s="391"/>
      <c r="GT220" s="391"/>
      <c r="GU220" s="391"/>
      <c r="GV220" s="391"/>
      <c r="GW220" s="391"/>
      <c r="GX220" s="391"/>
      <c r="GY220" s="391"/>
      <c r="GZ220" s="391"/>
      <c r="HA220" s="391"/>
      <c r="HB220" s="391"/>
      <c r="HC220" s="391"/>
      <c r="HD220" s="391"/>
      <c r="HE220" s="391"/>
      <c r="HF220" s="391"/>
      <c r="HG220" s="391"/>
      <c r="HH220" s="391"/>
      <c r="HI220" s="391"/>
      <c r="HJ220" s="391"/>
      <c r="HK220" s="391"/>
      <c r="HL220" s="391"/>
      <c r="HM220" s="391"/>
      <c r="HN220" s="391"/>
      <c r="HO220" s="391"/>
      <c r="HP220" s="391"/>
      <c r="HQ220" s="391"/>
      <c r="HR220" s="391"/>
      <c r="HS220" s="391"/>
      <c r="HT220" s="391"/>
      <c r="HU220" s="391"/>
      <c r="HV220" s="391"/>
      <c r="HW220" s="391"/>
      <c r="HX220" s="391"/>
      <c r="HY220" s="391"/>
      <c r="HZ220" s="391"/>
      <c r="IA220" s="391"/>
      <c r="IB220" s="391"/>
      <c r="IC220" s="391"/>
      <c r="ID220" s="391"/>
      <c r="IE220" s="391"/>
      <c r="IF220" s="391"/>
      <c r="IG220" s="391"/>
      <c r="IH220" s="391"/>
      <c r="II220" s="391"/>
      <c r="IJ220" s="391"/>
      <c r="IK220" s="391"/>
      <c r="IL220" s="391"/>
      <c r="IM220" s="391"/>
      <c r="IN220" s="391"/>
      <c r="IO220" s="391"/>
      <c r="IP220" s="391"/>
      <c r="IQ220" s="391"/>
      <c r="IR220" s="391"/>
      <c r="IS220" s="391"/>
      <c r="IT220" s="391"/>
      <c r="IU220" s="391"/>
      <c r="IV220" s="391"/>
      <c r="IW220" s="391"/>
      <c r="IX220" s="391"/>
      <c r="IY220" s="391"/>
      <c r="IZ220" s="391"/>
      <c r="JA220" s="391"/>
      <c r="JB220" s="391"/>
      <c r="JC220" s="391"/>
      <c r="JD220" s="391"/>
      <c r="JE220" s="391"/>
      <c r="JF220" s="391"/>
      <c r="JG220" s="391"/>
      <c r="JH220" s="391"/>
      <c r="JI220" s="393">
        <f t="shared" si="7"/>
        <v>0</v>
      </c>
      <c r="JJ220" s="2">
        <v>6784</v>
      </c>
      <c r="JK220" s="392">
        <f t="shared" si="8"/>
        <v>0</v>
      </c>
      <c r="JL220" s="391"/>
      <c r="JM220" s="392"/>
      <c r="JN220" s="392"/>
      <c r="JO220" s="392"/>
      <c r="JP220" s="392"/>
    </row>
    <row r="221" spans="1:276" x14ac:dyDescent="0.3">
      <c r="A221" s="391"/>
      <c r="B221" s="391"/>
      <c r="C221" s="391"/>
      <c r="D221" s="391"/>
      <c r="E221" s="391"/>
      <c r="F221" s="391"/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  <c r="W221" s="391"/>
      <c r="X221" s="391"/>
      <c r="Y221" s="391"/>
      <c r="Z221" s="391"/>
      <c r="AA221" s="391"/>
      <c r="AB221" s="391"/>
      <c r="AC221" s="391"/>
      <c r="AD221" s="391"/>
      <c r="AE221" s="391"/>
      <c r="AF221" s="391"/>
      <c r="AG221" s="391"/>
      <c r="AH221" s="391"/>
      <c r="AI221" s="391"/>
      <c r="AJ221" s="391"/>
      <c r="AK221" s="391"/>
      <c r="AL221" s="391"/>
      <c r="AM221" s="391"/>
      <c r="AN221" s="391"/>
      <c r="AO221" s="391"/>
      <c r="AP221" s="391"/>
      <c r="AQ221" s="391"/>
      <c r="AR221" s="391"/>
      <c r="AS221" s="391"/>
      <c r="AT221" s="391"/>
      <c r="AU221" s="391"/>
      <c r="AV221" s="391"/>
      <c r="AW221" s="391"/>
      <c r="AX221" s="391"/>
      <c r="AY221" s="391"/>
      <c r="AZ221" s="391"/>
      <c r="BA221" s="391"/>
      <c r="BB221" s="391"/>
      <c r="BC221" s="391"/>
      <c r="BD221" s="391"/>
      <c r="BE221" s="391"/>
      <c r="BF221" s="391"/>
      <c r="BG221" s="391"/>
      <c r="BH221" s="391"/>
      <c r="BI221" s="391"/>
      <c r="BJ221" s="391"/>
      <c r="BK221" s="391"/>
      <c r="BL221" s="391"/>
      <c r="BM221" s="391"/>
      <c r="BN221" s="391"/>
      <c r="BO221" s="391"/>
      <c r="BP221" s="391"/>
      <c r="BQ221" s="391"/>
      <c r="BR221" s="391"/>
      <c r="BS221" s="391"/>
      <c r="BT221" s="391"/>
      <c r="BU221" s="391"/>
      <c r="BV221" s="391"/>
      <c r="BW221" s="391"/>
      <c r="BX221" s="391"/>
      <c r="BY221" s="391"/>
      <c r="BZ221" s="391"/>
      <c r="CA221" s="391"/>
      <c r="CB221" s="391"/>
      <c r="CC221" s="391"/>
      <c r="CD221" s="391"/>
      <c r="CE221" s="391"/>
      <c r="CF221" s="391"/>
      <c r="CG221" s="391"/>
      <c r="CH221" s="391"/>
      <c r="CI221" s="391"/>
      <c r="CJ221" s="391"/>
      <c r="CK221" s="391"/>
      <c r="CL221" s="391"/>
      <c r="CM221" s="391"/>
      <c r="CN221" s="391"/>
      <c r="CO221" s="391"/>
      <c r="CP221" s="391"/>
      <c r="CQ221" s="391"/>
      <c r="CR221" s="391"/>
      <c r="CS221" s="391"/>
      <c r="CT221" s="391"/>
      <c r="CU221" s="391"/>
      <c r="CV221" s="391"/>
      <c r="CW221" s="391"/>
      <c r="CX221" s="391"/>
      <c r="CY221" s="391"/>
      <c r="CZ221" s="391"/>
      <c r="DA221" s="391"/>
      <c r="DB221" s="391"/>
      <c r="DC221" s="391"/>
      <c r="DD221" s="391"/>
      <c r="DE221" s="391"/>
      <c r="DF221" s="391"/>
      <c r="DG221" s="391"/>
      <c r="DH221" s="391"/>
      <c r="DI221" s="391"/>
      <c r="DJ221" s="391"/>
      <c r="DK221" s="391"/>
      <c r="DL221" s="391"/>
      <c r="DM221" s="391"/>
      <c r="DN221" s="391"/>
      <c r="DO221" s="391"/>
      <c r="DP221" s="391"/>
      <c r="DQ221" s="391"/>
      <c r="DR221" s="391"/>
      <c r="DS221" s="391"/>
      <c r="DT221" s="391"/>
      <c r="DU221" s="391"/>
      <c r="DV221" s="391"/>
      <c r="DW221" s="391"/>
      <c r="DX221" s="391"/>
      <c r="DY221" s="391"/>
      <c r="DZ221" s="391"/>
      <c r="EA221" s="391"/>
      <c r="EB221" s="391"/>
      <c r="EC221" s="391"/>
      <c r="ED221" s="391"/>
      <c r="EE221" s="391"/>
      <c r="EF221" s="391"/>
      <c r="EG221" s="391"/>
      <c r="EH221" s="391"/>
      <c r="EI221" s="391"/>
      <c r="EJ221" s="391"/>
      <c r="EK221" s="391"/>
      <c r="EL221" s="391"/>
      <c r="EM221" s="391"/>
      <c r="EN221" s="391"/>
      <c r="EO221" s="391"/>
      <c r="EP221" s="391"/>
      <c r="EQ221" s="391"/>
      <c r="ER221" s="391"/>
      <c r="ES221" s="391"/>
      <c r="ET221" s="391"/>
      <c r="EU221" s="391"/>
      <c r="EV221" s="391"/>
      <c r="EW221" s="391"/>
      <c r="EX221" s="391"/>
      <c r="EY221" s="391"/>
      <c r="EZ221" s="391"/>
      <c r="FA221" s="391"/>
      <c r="FB221" s="391"/>
      <c r="FC221" s="391"/>
      <c r="FD221" s="391"/>
      <c r="FE221" s="391"/>
      <c r="FF221" s="391"/>
      <c r="FG221" s="391"/>
      <c r="FH221" s="391"/>
      <c r="FI221" s="391"/>
      <c r="FJ221" s="391"/>
      <c r="FK221" s="391"/>
      <c r="FL221" s="391"/>
      <c r="FM221" s="391"/>
      <c r="FN221" s="391"/>
      <c r="FO221" s="391"/>
      <c r="FP221" s="391"/>
      <c r="FQ221" s="391"/>
      <c r="FR221" s="391"/>
      <c r="FS221" s="391"/>
      <c r="FT221" s="391"/>
      <c r="FU221" s="391"/>
      <c r="FV221" s="391"/>
      <c r="FW221" s="391"/>
      <c r="FX221" s="391"/>
      <c r="FY221" s="391"/>
      <c r="FZ221" s="391"/>
      <c r="GA221" s="391"/>
      <c r="GB221" s="391"/>
      <c r="GC221" s="391"/>
      <c r="GD221" s="391"/>
      <c r="GE221" s="391"/>
      <c r="GF221" s="391"/>
      <c r="GG221" s="391"/>
      <c r="GH221" s="391"/>
      <c r="GI221" s="391"/>
      <c r="GJ221" s="391"/>
      <c r="GK221" s="391"/>
      <c r="GL221" s="391"/>
      <c r="GM221" s="391"/>
      <c r="GN221" s="391"/>
      <c r="GO221" s="391"/>
      <c r="GP221" s="391"/>
      <c r="GQ221" s="391"/>
      <c r="GR221" s="391"/>
      <c r="GS221" s="391"/>
      <c r="GT221" s="391"/>
      <c r="GU221" s="391"/>
      <c r="GV221" s="391"/>
      <c r="GW221" s="391"/>
      <c r="GX221" s="391"/>
      <c r="GY221" s="391"/>
      <c r="GZ221" s="391"/>
      <c r="HA221" s="391"/>
      <c r="HB221" s="391"/>
      <c r="HC221" s="391"/>
      <c r="HD221" s="391"/>
      <c r="HE221" s="391"/>
      <c r="HF221" s="391"/>
      <c r="HG221" s="391"/>
      <c r="HH221" s="391"/>
      <c r="HI221" s="391"/>
      <c r="HJ221" s="391"/>
      <c r="HK221" s="391"/>
      <c r="HL221" s="391"/>
      <c r="HM221" s="391"/>
      <c r="HN221" s="391"/>
      <c r="HO221" s="391"/>
      <c r="HP221" s="391"/>
      <c r="HQ221" s="391"/>
      <c r="HR221" s="391"/>
      <c r="HS221" s="391"/>
      <c r="HT221" s="391"/>
      <c r="HU221" s="391"/>
      <c r="HV221" s="391"/>
      <c r="HW221" s="391"/>
      <c r="HX221" s="391"/>
      <c r="HY221" s="391"/>
      <c r="HZ221" s="391"/>
      <c r="IA221" s="391"/>
      <c r="IB221" s="391"/>
      <c r="IC221" s="391"/>
      <c r="ID221" s="391"/>
      <c r="IE221" s="391"/>
      <c r="IF221" s="391"/>
      <c r="IG221" s="391"/>
      <c r="IH221" s="391"/>
      <c r="II221" s="391"/>
      <c r="IJ221" s="391"/>
      <c r="IK221" s="391"/>
      <c r="IL221" s="391"/>
      <c r="IM221" s="391"/>
      <c r="IN221" s="391"/>
      <c r="IO221" s="391"/>
      <c r="IP221" s="391"/>
      <c r="IQ221" s="391"/>
      <c r="IR221" s="391"/>
      <c r="IS221" s="391"/>
      <c r="IT221" s="391"/>
      <c r="IU221" s="391"/>
      <c r="IV221" s="391"/>
      <c r="IW221" s="391"/>
      <c r="IX221" s="391"/>
      <c r="IY221" s="391"/>
      <c r="IZ221" s="391"/>
      <c r="JA221" s="391"/>
      <c r="JB221" s="391"/>
      <c r="JC221" s="391"/>
      <c r="JD221" s="391"/>
      <c r="JE221" s="391"/>
      <c r="JF221" s="391"/>
      <c r="JG221" s="391"/>
      <c r="JH221" s="391"/>
      <c r="JI221" s="393">
        <f t="shared" si="7"/>
        <v>0</v>
      </c>
      <c r="JJ221" s="2">
        <v>6791</v>
      </c>
      <c r="JK221" s="392">
        <f t="shared" si="8"/>
        <v>0</v>
      </c>
      <c r="JL221" s="391"/>
      <c r="JM221" s="392"/>
      <c r="JN221" s="392"/>
      <c r="JO221" s="392"/>
      <c r="JP221" s="392"/>
    </row>
    <row r="222" spans="1:276" x14ac:dyDescent="0.3">
      <c r="A222" s="391"/>
      <c r="B222" s="391"/>
      <c r="C222" s="391"/>
      <c r="D222" s="391"/>
      <c r="E222" s="391"/>
      <c r="F222" s="391"/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  <c r="Z222" s="391"/>
      <c r="AA222" s="391"/>
      <c r="AB222" s="391"/>
      <c r="AC222" s="391"/>
      <c r="AD222" s="391"/>
      <c r="AE222" s="391"/>
      <c r="AF222" s="391"/>
      <c r="AG222" s="391"/>
      <c r="AH222" s="391"/>
      <c r="AI222" s="391"/>
      <c r="AJ222" s="391"/>
      <c r="AK222" s="391"/>
      <c r="AL222" s="391"/>
      <c r="AM222" s="391"/>
      <c r="AN222" s="391"/>
      <c r="AO222" s="391"/>
      <c r="AP222" s="391"/>
      <c r="AQ222" s="391"/>
      <c r="AR222" s="391"/>
      <c r="AS222" s="391"/>
      <c r="AT222" s="391"/>
      <c r="AU222" s="391"/>
      <c r="AV222" s="391"/>
      <c r="AW222" s="391"/>
      <c r="AX222" s="391"/>
      <c r="AY222" s="391"/>
      <c r="AZ222" s="391"/>
      <c r="BA222" s="391"/>
      <c r="BB222" s="391"/>
      <c r="BC222" s="391"/>
      <c r="BD222" s="391"/>
      <c r="BE222" s="391"/>
      <c r="BF222" s="391"/>
      <c r="BG222" s="391"/>
      <c r="BH222" s="391"/>
      <c r="BI222" s="391"/>
      <c r="BJ222" s="391"/>
      <c r="BK222" s="391"/>
      <c r="BL222" s="391"/>
      <c r="BM222" s="391"/>
      <c r="BN222" s="391"/>
      <c r="BO222" s="391"/>
      <c r="BP222" s="391"/>
      <c r="BQ222" s="391"/>
      <c r="BR222" s="391"/>
      <c r="BS222" s="391"/>
      <c r="BT222" s="391"/>
      <c r="BU222" s="391"/>
      <c r="BV222" s="391"/>
      <c r="BW222" s="391"/>
      <c r="BX222" s="391"/>
      <c r="BY222" s="391"/>
      <c r="BZ222" s="391"/>
      <c r="CA222" s="391"/>
      <c r="CB222" s="391"/>
      <c r="CC222" s="391"/>
      <c r="CD222" s="391"/>
      <c r="CE222" s="391"/>
      <c r="CF222" s="391"/>
      <c r="CG222" s="391"/>
      <c r="CH222" s="391"/>
      <c r="CI222" s="391"/>
      <c r="CJ222" s="391"/>
      <c r="CK222" s="391"/>
      <c r="CL222" s="391"/>
      <c r="CM222" s="391"/>
      <c r="CN222" s="391"/>
      <c r="CO222" s="391"/>
      <c r="CP222" s="391"/>
      <c r="CQ222" s="391"/>
      <c r="CR222" s="391"/>
      <c r="CS222" s="391"/>
      <c r="CT222" s="391"/>
      <c r="CU222" s="391"/>
      <c r="CV222" s="391"/>
      <c r="CW222" s="391"/>
      <c r="CX222" s="391"/>
      <c r="CY222" s="391"/>
      <c r="CZ222" s="391"/>
      <c r="DA222" s="391"/>
      <c r="DB222" s="391"/>
      <c r="DC222" s="391"/>
      <c r="DD222" s="391"/>
      <c r="DE222" s="391"/>
      <c r="DF222" s="391"/>
      <c r="DG222" s="391"/>
      <c r="DH222" s="391"/>
      <c r="DI222" s="391"/>
      <c r="DJ222" s="391"/>
      <c r="DK222" s="391"/>
      <c r="DL222" s="391"/>
      <c r="DM222" s="391"/>
      <c r="DN222" s="391"/>
      <c r="DO222" s="391"/>
      <c r="DP222" s="391"/>
      <c r="DQ222" s="391"/>
      <c r="DR222" s="391"/>
      <c r="DS222" s="391"/>
      <c r="DT222" s="391"/>
      <c r="DU222" s="391"/>
      <c r="DV222" s="391"/>
      <c r="DW222" s="391"/>
      <c r="DX222" s="391"/>
      <c r="DY222" s="391"/>
      <c r="DZ222" s="391"/>
      <c r="EA222" s="391"/>
      <c r="EB222" s="391"/>
      <c r="EC222" s="391"/>
      <c r="ED222" s="391"/>
      <c r="EE222" s="391"/>
      <c r="EF222" s="391"/>
      <c r="EG222" s="391"/>
      <c r="EH222" s="391"/>
      <c r="EI222" s="391"/>
      <c r="EJ222" s="391"/>
      <c r="EK222" s="391"/>
      <c r="EL222" s="391"/>
      <c r="EM222" s="391"/>
      <c r="EN222" s="391"/>
      <c r="EO222" s="391"/>
      <c r="EP222" s="391"/>
      <c r="EQ222" s="391"/>
      <c r="ER222" s="391"/>
      <c r="ES222" s="391"/>
      <c r="ET222" s="391"/>
      <c r="EU222" s="391"/>
      <c r="EV222" s="391"/>
      <c r="EW222" s="391"/>
      <c r="EX222" s="391"/>
      <c r="EY222" s="391"/>
      <c r="EZ222" s="391"/>
      <c r="FA222" s="391"/>
      <c r="FB222" s="391"/>
      <c r="FC222" s="391"/>
      <c r="FD222" s="391"/>
      <c r="FE222" s="391"/>
      <c r="FF222" s="391"/>
      <c r="FG222" s="391"/>
      <c r="FH222" s="391"/>
      <c r="FI222" s="391"/>
      <c r="FJ222" s="391"/>
      <c r="FK222" s="391"/>
      <c r="FL222" s="391"/>
      <c r="FM222" s="391"/>
      <c r="FN222" s="391"/>
      <c r="FO222" s="391"/>
      <c r="FP222" s="391"/>
      <c r="FQ222" s="391"/>
      <c r="FR222" s="391"/>
      <c r="FS222" s="391"/>
      <c r="FT222" s="391"/>
      <c r="FU222" s="391"/>
      <c r="FV222" s="391"/>
      <c r="FW222" s="391"/>
      <c r="FX222" s="391"/>
      <c r="FY222" s="391"/>
      <c r="FZ222" s="391"/>
      <c r="GA222" s="391"/>
      <c r="GB222" s="391"/>
      <c r="GC222" s="391"/>
      <c r="GD222" s="391"/>
      <c r="GE222" s="391"/>
      <c r="GF222" s="391"/>
      <c r="GG222" s="391"/>
      <c r="GH222" s="391"/>
      <c r="GI222" s="391"/>
      <c r="GJ222" s="391"/>
      <c r="GK222" s="391"/>
      <c r="GL222" s="391"/>
      <c r="GM222" s="391"/>
      <c r="GN222" s="391"/>
      <c r="GO222" s="391"/>
      <c r="GP222" s="391"/>
      <c r="GQ222" s="391"/>
      <c r="GR222" s="391"/>
      <c r="GS222" s="391"/>
      <c r="GT222" s="391"/>
      <c r="GU222" s="391"/>
      <c r="GV222" s="391"/>
      <c r="GW222" s="391"/>
      <c r="GX222" s="391"/>
      <c r="GY222" s="391"/>
      <c r="GZ222" s="391"/>
      <c r="HA222" s="391"/>
      <c r="HB222" s="391"/>
      <c r="HC222" s="391"/>
      <c r="HD222" s="391"/>
      <c r="HE222" s="391"/>
      <c r="HF222" s="391"/>
      <c r="HG222" s="391"/>
      <c r="HH222" s="391"/>
      <c r="HI222" s="391"/>
      <c r="HJ222" s="391"/>
      <c r="HK222" s="391"/>
      <c r="HL222" s="391"/>
      <c r="HM222" s="391"/>
      <c r="HN222" s="391"/>
      <c r="HO222" s="391"/>
      <c r="HP222" s="391"/>
      <c r="HQ222" s="391"/>
      <c r="HR222" s="391"/>
      <c r="HS222" s="391"/>
      <c r="HT222" s="391"/>
      <c r="HU222" s="391"/>
      <c r="HV222" s="391"/>
      <c r="HW222" s="391"/>
      <c r="HX222" s="391"/>
      <c r="HY222" s="391"/>
      <c r="HZ222" s="391"/>
      <c r="IA222" s="391"/>
      <c r="IB222" s="391"/>
      <c r="IC222" s="391"/>
      <c r="ID222" s="391"/>
      <c r="IE222" s="391"/>
      <c r="IF222" s="391"/>
      <c r="IG222" s="391"/>
      <c r="IH222" s="391"/>
      <c r="II222" s="391"/>
      <c r="IJ222" s="391"/>
      <c r="IK222" s="391"/>
      <c r="IL222" s="391"/>
      <c r="IM222" s="391"/>
      <c r="IN222" s="391"/>
      <c r="IO222" s="391"/>
      <c r="IP222" s="391"/>
      <c r="IQ222" s="391"/>
      <c r="IR222" s="391"/>
      <c r="IS222" s="391"/>
      <c r="IT222" s="391"/>
      <c r="IU222" s="391"/>
      <c r="IV222" s="391"/>
      <c r="IW222" s="391"/>
      <c r="IX222" s="391"/>
      <c r="IY222" s="391"/>
      <c r="IZ222" s="391"/>
      <c r="JA222" s="391"/>
      <c r="JB222" s="391"/>
      <c r="JC222" s="391"/>
      <c r="JD222" s="391"/>
      <c r="JE222" s="391"/>
      <c r="JF222" s="391"/>
      <c r="JG222" s="391"/>
      <c r="JH222" s="391"/>
      <c r="JI222" s="397">
        <f t="shared" si="7"/>
        <v>0</v>
      </c>
      <c r="JJ222" s="2">
        <v>6795</v>
      </c>
      <c r="JK222" s="392">
        <f t="shared" si="8"/>
        <v>0</v>
      </c>
      <c r="JL222" s="391"/>
      <c r="JM222" s="392"/>
      <c r="JN222" s="392"/>
      <c r="JO222" s="392"/>
      <c r="JP222" s="392"/>
    </row>
    <row r="223" spans="1:276" x14ac:dyDescent="0.3">
      <c r="A223" s="391"/>
      <c r="B223" s="391"/>
      <c r="C223" s="391"/>
      <c r="D223" s="391"/>
      <c r="E223" s="391"/>
      <c r="F223" s="391"/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  <c r="X223" s="391"/>
      <c r="Y223" s="391"/>
      <c r="Z223" s="391"/>
      <c r="AA223" s="391"/>
      <c r="AB223" s="391"/>
      <c r="AC223" s="391"/>
      <c r="AD223" s="391"/>
      <c r="AE223" s="391"/>
      <c r="AF223" s="391"/>
      <c r="AG223" s="391"/>
      <c r="AH223" s="391"/>
      <c r="AI223" s="391"/>
      <c r="AJ223" s="391"/>
      <c r="AK223" s="391"/>
      <c r="AL223" s="391"/>
      <c r="AM223" s="391"/>
      <c r="AN223" s="391"/>
      <c r="AO223" s="391"/>
      <c r="AP223" s="391"/>
      <c r="AQ223" s="391"/>
      <c r="AR223" s="391"/>
      <c r="AS223" s="391"/>
      <c r="AT223" s="391"/>
      <c r="AU223" s="391"/>
      <c r="AV223" s="391"/>
      <c r="AW223" s="391"/>
      <c r="AX223" s="391"/>
      <c r="AY223" s="391"/>
      <c r="AZ223" s="391"/>
      <c r="BA223" s="391"/>
      <c r="BB223" s="391"/>
      <c r="BC223" s="391"/>
      <c r="BD223" s="391"/>
      <c r="BE223" s="391"/>
      <c r="BF223" s="391"/>
      <c r="BG223" s="391"/>
      <c r="BH223" s="391"/>
      <c r="BI223" s="391"/>
      <c r="BJ223" s="391"/>
      <c r="BK223" s="391"/>
      <c r="BL223" s="391"/>
      <c r="BM223" s="391"/>
      <c r="BN223" s="391"/>
      <c r="BO223" s="391"/>
      <c r="BP223" s="391"/>
      <c r="BQ223" s="391"/>
      <c r="BR223" s="391"/>
      <c r="BS223" s="391"/>
      <c r="BT223" s="391"/>
      <c r="BU223" s="391"/>
      <c r="BV223" s="391"/>
      <c r="BW223" s="391"/>
      <c r="BX223" s="391"/>
      <c r="BY223" s="391"/>
      <c r="BZ223" s="391"/>
      <c r="CA223" s="391"/>
      <c r="CB223" s="391"/>
      <c r="CC223" s="391"/>
      <c r="CD223" s="391"/>
      <c r="CE223" s="391"/>
      <c r="CF223" s="391"/>
      <c r="CG223" s="391"/>
      <c r="CH223" s="391"/>
      <c r="CI223" s="391"/>
      <c r="CJ223" s="391"/>
      <c r="CK223" s="391"/>
      <c r="CL223" s="391"/>
      <c r="CM223" s="391"/>
      <c r="CN223" s="391"/>
      <c r="CO223" s="391"/>
      <c r="CP223" s="391"/>
      <c r="CQ223" s="391"/>
      <c r="CR223" s="391"/>
      <c r="CS223" s="391"/>
      <c r="CT223" s="391"/>
      <c r="CU223" s="391"/>
      <c r="CV223" s="391"/>
      <c r="CW223" s="391"/>
      <c r="CX223" s="391"/>
      <c r="CY223" s="391"/>
      <c r="CZ223" s="391"/>
      <c r="DA223" s="391"/>
      <c r="DB223" s="391"/>
      <c r="DC223" s="391"/>
      <c r="DD223" s="391"/>
      <c r="DE223" s="391"/>
      <c r="DF223" s="391"/>
      <c r="DG223" s="391"/>
      <c r="DH223" s="391"/>
      <c r="DI223" s="391"/>
      <c r="DJ223" s="391"/>
      <c r="DK223" s="391"/>
      <c r="DL223" s="391"/>
      <c r="DM223" s="391"/>
      <c r="DN223" s="391"/>
      <c r="DO223" s="391"/>
      <c r="DP223" s="391"/>
      <c r="DQ223" s="391"/>
      <c r="DR223" s="391"/>
      <c r="DS223" s="391"/>
      <c r="DT223" s="391"/>
      <c r="DU223" s="391"/>
      <c r="DV223" s="391"/>
      <c r="DW223" s="391"/>
      <c r="DX223" s="391"/>
      <c r="DY223" s="391"/>
      <c r="DZ223" s="391"/>
      <c r="EA223" s="391"/>
      <c r="EB223" s="391"/>
      <c r="EC223" s="391"/>
      <c r="ED223" s="391"/>
      <c r="EE223" s="391"/>
      <c r="EF223" s="391"/>
      <c r="EG223" s="391"/>
      <c r="EH223" s="391"/>
      <c r="EI223" s="391"/>
      <c r="EJ223" s="391"/>
      <c r="EK223" s="391"/>
      <c r="EL223" s="391"/>
      <c r="EM223" s="391"/>
      <c r="EN223" s="391"/>
      <c r="EO223" s="391"/>
      <c r="EP223" s="391"/>
      <c r="EQ223" s="391"/>
      <c r="ER223" s="391"/>
      <c r="ES223" s="391"/>
      <c r="ET223" s="391"/>
      <c r="EU223" s="391"/>
      <c r="EV223" s="391"/>
      <c r="EW223" s="391"/>
      <c r="EX223" s="391"/>
      <c r="EY223" s="391"/>
      <c r="EZ223" s="391"/>
      <c r="FA223" s="391"/>
      <c r="FB223" s="391"/>
      <c r="FC223" s="391"/>
      <c r="FD223" s="391"/>
      <c r="FE223" s="391"/>
      <c r="FF223" s="391"/>
      <c r="FG223" s="391"/>
      <c r="FH223" s="391"/>
      <c r="FI223" s="391"/>
      <c r="FJ223" s="391"/>
      <c r="FK223" s="391"/>
      <c r="FL223" s="391"/>
      <c r="FM223" s="391"/>
      <c r="FN223" s="391"/>
      <c r="FO223" s="391"/>
      <c r="FP223" s="391"/>
      <c r="FQ223" s="391"/>
      <c r="FR223" s="391"/>
      <c r="FS223" s="391"/>
      <c r="FT223" s="391"/>
      <c r="FU223" s="391"/>
      <c r="FV223" s="391"/>
      <c r="FW223" s="391"/>
      <c r="FX223" s="391"/>
      <c r="FY223" s="391"/>
      <c r="FZ223" s="391"/>
      <c r="GA223" s="391"/>
      <c r="GB223" s="391"/>
      <c r="GC223" s="391"/>
      <c r="GD223" s="391"/>
      <c r="GE223" s="391"/>
      <c r="GF223" s="391"/>
      <c r="GG223" s="391"/>
      <c r="GH223" s="391"/>
      <c r="GI223" s="391"/>
      <c r="GJ223" s="391"/>
      <c r="GK223" s="391"/>
      <c r="GL223" s="391"/>
      <c r="GM223" s="391"/>
      <c r="GN223" s="391"/>
      <c r="GO223" s="391"/>
      <c r="GP223" s="391"/>
      <c r="GQ223" s="391"/>
      <c r="GR223" s="391"/>
      <c r="GS223" s="391"/>
      <c r="GT223" s="391"/>
      <c r="GU223" s="391"/>
      <c r="GV223" s="391"/>
      <c r="GW223" s="391"/>
      <c r="GX223" s="391"/>
      <c r="GY223" s="391"/>
      <c r="GZ223" s="391"/>
      <c r="HA223" s="391"/>
      <c r="HB223" s="391"/>
      <c r="HC223" s="391"/>
      <c r="HD223" s="391"/>
      <c r="HE223" s="391"/>
      <c r="HF223" s="391"/>
      <c r="HG223" s="391"/>
      <c r="HH223" s="391"/>
      <c r="HI223" s="391"/>
      <c r="HJ223" s="391"/>
      <c r="HK223" s="391"/>
      <c r="HL223" s="391"/>
      <c r="HM223" s="391"/>
      <c r="HN223" s="391"/>
      <c r="HO223" s="391"/>
      <c r="HP223" s="391"/>
      <c r="HQ223" s="391"/>
      <c r="HR223" s="391"/>
      <c r="HS223" s="391"/>
      <c r="HT223" s="391"/>
      <c r="HU223" s="391"/>
      <c r="HV223" s="391"/>
      <c r="HW223" s="391"/>
      <c r="HX223" s="391"/>
      <c r="HY223" s="391"/>
      <c r="HZ223" s="391"/>
      <c r="IA223" s="391"/>
      <c r="IB223" s="391"/>
      <c r="IC223" s="391"/>
      <c r="ID223" s="391"/>
      <c r="IE223" s="391"/>
      <c r="IF223" s="391"/>
      <c r="IG223" s="391"/>
      <c r="IH223" s="391"/>
      <c r="II223" s="391"/>
      <c r="IJ223" s="391"/>
      <c r="IK223" s="391"/>
      <c r="IL223" s="391"/>
      <c r="IM223" s="391"/>
      <c r="IN223" s="391"/>
      <c r="IO223" s="391"/>
      <c r="IP223" s="391"/>
      <c r="IQ223" s="391"/>
      <c r="IR223" s="391"/>
      <c r="IS223" s="391"/>
      <c r="IT223" s="391"/>
      <c r="IU223" s="391"/>
      <c r="IV223" s="391"/>
      <c r="IW223" s="391"/>
      <c r="IX223" s="391"/>
      <c r="IY223" s="391"/>
      <c r="IZ223" s="391"/>
      <c r="JA223" s="391"/>
      <c r="JB223" s="391"/>
      <c r="JC223" s="391"/>
      <c r="JD223" s="391"/>
      <c r="JE223" s="391"/>
      <c r="JF223" s="391"/>
      <c r="JG223" s="391"/>
      <c r="JH223" s="391"/>
      <c r="JI223" s="397">
        <f t="shared" si="7"/>
        <v>0</v>
      </c>
      <c r="JJ223" s="2">
        <v>6812</v>
      </c>
      <c r="JK223" s="392">
        <f t="shared" si="8"/>
        <v>0</v>
      </c>
      <c r="JL223" s="391"/>
      <c r="JM223" s="392"/>
      <c r="JN223" s="392"/>
      <c r="JO223" s="392"/>
      <c r="JP223" s="392"/>
    </row>
    <row r="224" spans="1:276" x14ac:dyDescent="0.3">
      <c r="A224" s="391"/>
      <c r="B224" s="391"/>
      <c r="C224" s="391"/>
      <c r="D224" s="391"/>
      <c r="E224" s="391"/>
      <c r="F224" s="391"/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  <c r="T224" s="391"/>
      <c r="U224" s="391"/>
      <c r="V224" s="391"/>
      <c r="W224" s="391"/>
      <c r="X224" s="391"/>
      <c r="Y224" s="391"/>
      <c r="Z224" s="391"/>
      <c r="AA224" s="391"/>
      <c r="AB224" s="391"/>
      <c r="AC224" s="391"/>
      <c r="AD224" s="391"/>
      <c r="AE224" s="391"/>
      <c r="AF224" s="391"/>
      <c r="AG224" s="391"/>
      <c r="AH224" s="391"/>
      <c r="AI224" s="391"/>
      <c r="AJ224" s="391"/>
      <c r="AK224" s="391"/>
      <c r="AL224" s="391"/>
      <c r="AM224" s="391"/>
      <c r="AN224" s="391"/>
      <c r="AO224" s="391"/>
      <c r="AP224" s="391"/>
      <c r="AQ224" s="391"/>
      <c r="AR224" s="391"/>
      <c r="AS224" s="391"/>
      <c r="AT224" s="391"/>
      <c r="AU224" s="391"/>
      <c r="AV224" s="391"/>
      <c r="AW224" s="391"/>
      <c r="AX224" s="391"/>
      <c r="AY224" s="391"/>
      <c r="AZ224" s="391"/>
      <c r="BA224" s="391"/>
      <c r="BB224" s="391"/>
      <c r="BC224" s="391"/>
      <c r="BD224" s="391"/>
      <c r="BE224" s="391"/>
      <c r="BF224" s="391"/>
      <c r="BG224" s="391"/>
      <c r="BH224" s="391"/>
      <c r="BI224" s="391"/>
      <c r="BJ224" s="391"/>
      <c r="BK224" s="391"/>
      <c r="BL224" s="391"/>
      <c r="BM224" s="391"/>
      <c r="BN224" s="391"/>
      <c r="BO224" s="391"/>
      <c r="BP224" s="391"/>
      <c r="BQ224" s="391"/>
      <c r="BR224" s="391"/>
      <c r="BS224" s="391"/>
      <c r="BT224" s="391"/>
      <c r="BU224" s="391"/>
      <c r="BV224" s="391"/>
      <c r="BW224" s="391"/>
      <c r="BX224" s="391"/>
      <c r="BY224" s="391"/>
      <c r="BZ224" s="391"/>
      <c r="CA224" s="391"/>
      <c r="CB224" s="391"/>
      <c r="CC224" s="391"/>
      <c r="CD224" s="391"/>
      <c r="CE224" s="391"/>
      <c r="CF224" s="391"/>
      <c r="CG224" s="391"/>
      <c r="CH224" s="391"/>
      <c r="CI224" s="391"/>
      <c r="CJ224" s="391"/>
      <c r="CK224" s="391"/>
      <c r="CL224" s="391"/>
      <c r="CM224" s="391"/>
      <c r="CN224" s="391"/>
      <c r="CO224" s="391"/>
      <c r="CP224" s="391"/>
      <c r="CQ224" s="391"/>
      <c r="CR224" s="391"/>
      <c r="CS224" s="391"/>
      <c r="CT224" s="391"/>
      <c r="CU224" s="391"/>
      <c r="CV224" s="391"/>
      <c r="CW224" s="391"/>
      <c r="CX224" s="391"/>
      <c r="CY224" s="391"/>
      <c r="CZ224" s="391"/>
      <c r="DA224" s="391"/>
      <c r="DB224" s="391"/>
      <c r="DC224" s="391"/>
      <c r="DD224" s="391"/>
      <c r="DE224" s="391"/>
      <c r="DF224" s="391"/>
      <c r="DG224" s="391"/>
      <c r="DH224" s="391"/>
      <c r="DI224" s="391"/>
      <c r="DJ224" s="391"/>
      <c r="DK224" s="391"/>
      <c r="DL224" s="391"/>
      <c r="DM224" s="391"/>
      <c r="DN224" s="391"/>
      <c r="DO224" s="391"/>
      <c r="DP224" s="391"/>
      <c r="DQ224" s="391"/>
      <c r="DR224" s="391"/>
      <c r="DS224" s="391"/>
      <c r="DT224" s="391"/>
      <c r="DU224" s="391"/>
      <c r="DV224" s="391"/>
      <c r="DW224" s="391"/>
      <c r="DX224" s="391"/>
      <c r="DY224" s="391"/>
      <c r="DZ224" s="391"/>
      <c r="EA224" s="391"/>
      <c r="EB224" s="391"/>
      <c r="EC224" s="391"/>
      <c r="ED224" s="391"/>
      <c r="EE224" s="391"/>
      <c r="EF224" s="391"/>
      <c r="EG224" s="391"/>
      <c r="EH224" s="391"/>
      <c r="EI224" s="391"/>
      <c r="EJ224" s="391"/>
      <c r="EK224" s="391"/>
      <c r="EL224" s="391"/>
      <c r="EM224" s="391"/>
      <c r="EN224" s="391"/>
      <c r="EO224" s="391"/>
      <c r="EP224" s="391"/>
      <c r="EQ224" s="391"/>
      <c r="ER224" s="391"/>
      <c r="ES224" s="391"/>
      <c r="ET224" s="391"/>
      <c r="EU224" s="391"/>
      <c r="EV224" s="391"/>
      <c r="EW224" s="391"/>
      <c r="EX224" s="391"/>
      <c r="EY224" s="391"/>
      <c r="EZ224" s="391"/>
      <c r="FA224" s="391"/>
      <c r="FB224" s="391"/>
      <c r="FC224" s="391"/>
      <c r="FD224" s="391"/>
      <c r="FE224" s="391"/>
      <c r="FF224" s="391"/>
      <c r="FG224" s="391"/>
      <c r="FH224" s="391"/>
      <c r="FI224" s="391"/>
      <c r="FJ224" s="391"/>
      <c r="FK224" s="391"/>
      <c r="FL224" s="391"/>
      <c r="FM224" s="391"/>
      <c r="FN224" s="391"/>
      <c r="FO224" s="391"/>
      <c r="FP224" s="391"/>
      <c r="FQ224" s="391"/>
      <c r="FR224" s="391"/>
      <c r="FS224" s="391"/>
      <c r="FT224" s="391"/>
      <c r="FU224" s="391"/>
      <c r="FV224" s="391"/>
      <c r="FW224" s="391"/>
      <c r="FX224" s="391"/>
      <c r="FY224" s="391"/>
      <c r="FZ224" s="391"/>
      <c r="GA224" s="391"/>
      <c r="GB224" s="391"/>
      <c r="GC224" s="391"/>
      <c r="GD224" s="391"/>
      <c r="GE224" s="391"/>
      <c r="GF224" s="391"/>
      <c r="GG224" s="391"/>
      <c r="GH224" s="391"/>
      <c r="GI224" s="391"/>
      <c r="GJ224" s="391"/>
      <c r="GK224" s="391"/>
      <c r="GL224" s="391"/>
      <c r="GM224" s="391"/>
      <c r="GN224" s="391"/>
      <c r="GO224" s="391"/>
      <c r="GP224" s="391"/>
      <c r="GQ224" s="391"/>
      <c r="GR224" s="391"/>
      <c r="GS224" s="391"/>
      <c r="GT224" s="391"/>
      <c r="GU224" s="391"/>
      <c r="GV224" s="391"/>
      <c r="GW224" s="391"/>
      <c r="GX224" s="391"/>
      <c r="GY224" s="391"/>
      <c r="GZ224" s="391"/>
      <c r="HA224" s="391"/>
      <c r="HB224" s="391"/>
      <c r="HC224" s="391"/>
      <c r="HD224" s="391"/>
      <c r="HE224" s="391"/>
      <c r="HF224" s="391"/>
      <c r="HG224" s="391"/>
      <c r="HH224" s="391"/>
      <c r="HI224" s="391"/>
      <c r="HJ224" s="391"/>
      <c r="HK224" s="391"/>
      <c r="HL224" s="391"/>
      <c r="HM224" s="391"/>
      <c r="HN224" s="391"/>
      <c r="HO224" s="391"/>
      <c r="HP224" s="391"/>
      <c r="HQ224" s="391"/>
      <c r="HR224" s="391"/>
      <c r="HS224" s="391"/>
      <c r="HT224" s="391"/>
      <c r="HU224" s="391"/>
      <c r="HV224" s="391"/>
      <c r="HW224" s="391"/>
      <c r="HX224" s="391"/>
      <c r="HY224" s="391"/>
      <c r="HZ224" s="391"/>
      <c r="IA224" s="391"/>
      <c r="IB224" s="391"/>
      <c r="IC224" s="391"/>
      <c r="ID224" s="391"/>
      <c r="IE224" s="391"/>
      <c r="IF224" s="391"/>
      <c r="IG224" s="391"/>
      <c r="IH224" s="391"/>
      <c r="II224" s="391"/>
      <c r="IJ224" s="391"/>
      <c r="IK224" s="391"/>
      <c r="IL224" s="391"/>
      <c r="IM224" s="391"/>
      <c r="IN224" s="391"/>
      <c r="IO224" s="391"/>
      <c r="IP224" s="391"/>
      <c r="IQ224" s="391"/>
      <c r="IR224" s="391"/>
      <c r="IS224" s="391"/>
      <c r="IT224" s="391"/>
      <c r="IU224" s="391"/>
      <c r="IV224" s="391"/>
      <c r="IW224" s="391"/>
      <c r="IX224" s="391"/>
      <c r="IY224" s="391"/>
      <c r="IZ224" s="391"/>
      <c r="JA224" s="391"/>
      <c r="JB224" s="391"/>
      <c r="JC224" s="391"/>
      <c r="JD224" s="391"/>
      <c r="JE224" s="391"/>
      <c r="JF224" s="391"/>
      <c r="JG224" s="391"/>
      <c r="JH224" s="391"/>
      <c r="JI224" s="397">
        <f t="shared" si="7"/>
        <v>0</v>
      </c>
      <c r="JJ224" s="2">
        <v>6821</v>
      </c>
      <c r="JK224" s="392">
        <f t="shared" si="8"/>
        <v>0</v>
      </c>
      <c r="JL224" s="391"/>
      <c r="JM224" s="392"/>
      <c r="JN224" s="392"/>
      <c r="JO224" s="392"/>
      <c r="JP224" s="392"/>
    </row>
    <row r="225" spans="1:276" x14ac:dyDescent="0.3">
      <c r="A225" s="391"/>
      <c r="B225" s="391"/>
      <c r="C225" s="391"/>
      <c r="D225" s="391"/>
      <c r="E225" s="391"/>
      <c r="F225" s="391"/>
      <c r="G225" s="391"/>
      <c r="H225" s="391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391"/>
      <c r="X225" s="391"/>
      <c r="Y225" s="391"/>
      <c r="Z225" s="391"/>
      <c r="AA225" s="391"/>
      <c r="AB225" s="391"/>
      <c r="AC225" s="391"/>
      <c r="AD225" s="391"/>
      <c r="AE225" s="391"/>
      <c r="AF225" s="391"/>
      <c r="AG225" s="391"/>
      <c r="AH225" s="391"/>
      <c r="AI225" s="391"/>
      <c r="AJ225" s="391"/>
      <c r="AK225" s="391"/>
      <c r="AL225" s="391"/>
      <c r="AM225" s="391"/>
      <c r="AN225" s="391"/>
      <c r="AO225" s="391"/>
      <c r="AP225" s="391"/>
      <c r="AQ225" s="391"/>
      <c r="AR225" s="391"/>
      <c r="AS225" s="391"/>
      <c r="AT225" s="391"/>
      <c r="AU225" s="391"/>
      <c r="AV225" s="391"/>
      <c r="AW225" s="391"/>
      <c r="AX225" s="391"/>
      <c r="AY225" s="391"/>
      <c r="AZ225" s="391"/>
      <c r="BA225" s="391"/>
      <c r="BB225" s="391"/>
      <c r="BC225" s="391"/>
      <c r="BD225" s="391"/>
      <c r="BE225" s="391"/>
      <c r="BF225" s="391"/>
      <c r="BG225" s="391"/>
      <c r="BH225" s="391"/>
      <c r="BI225" s="391"/>
      <c r="BJ225" s="391"/>
      <c r="BK225" s="391"/>
      <c r="BL225" s="391"/>
      <c r="BM225" s="391"/>
      <c r="BN225" s="391"/>
      <c r="BO225" s="391"/>
      <c r="BP225" s="391"/>
      <c r="BQ225" s="391"/>
      <c r="BR225" s="391"/>
      <c r="BS225" s="391"/>
      <c r="BT225" s="391"/>
      <c r="BU225" s="391"/>
      <c r="BV225" s="391"/>
      <c r="BW225" s="391"/>
      <c r="BX225" s="391"/>
      <c r="BY225" s="391"/>
      <c r="BZ225" s="391"/>
      <c r="CA225" s="391"/>
      <c r="CB225" s="391"/>
      <c r="CC225" s="391"/>
      <c r="CD225" s="391"/>
      <c r="CE225" s="391"/>
      <c r="CF225" s="391"/>
      <c r="CG225" s="391"/>
      <c r="CH225" s="391"/>
      <c r="CI225" s="391"/>
      <c r="CJ225" s="391"/>
      <c r="CK225" s="391"/>
      <c r="CL225" s="391"/>
      <c r="CM225" s="391"/>
      <c r="CN225" s="391"/>
      <c r="CO225" s="391"/>
      <c r="CP225" s="391"/>
      <c r="CQ225" s="391"/>
      <c r="CR225" s="391"/>
      <c r="CS225" s="391"/>
      <c r="CT225" s="391"/>
      <c r="CU225" s="391"/>
      <c r="CV225" s="391"/>
      <c r="CW225" s="391"/>
      <c r="CX225" s="391"/>
      <c r="CY225" s="391"/>
      <c r="CZ225" s="391"/>
      <c r="DA225" s="391"/>
      <c r="DB225" s="391"/>
      <c r="DC225" s="391"/>
      <c r="DD225" s="391"/>
      <c r="DE225" s="391"/>
      <c r="DF225" s="391"/>
      <c r="DG225" s="391"/>
      <c r="DH225" s="391"/>
      <c r="DI225" s="391"/>
      <c r="DJ225" s="391"/>
      <c r="DK225" s="391"/>
      <c r="DL225" s="391"/>
      <c r="DM225" s="391"/>
      <c r="DN225" s="391"/>
      <c r="DO225" s="391"/>
      <c r="DP225" s="391"/>
      <c r="DQ225" s="391"/>
      <c r="DR225" s="391"/>
      <c r="DS225" s="391"/>
      <c r="DT225" s="391"/>
      <c r="DU225" s="391"/>
      <c r="DV225" s="391"/>
      <c r="DW225" s="391"/>
      <c r="DX225" s="391"/>
      <c r="DY225" s="391"/>
      <c r="DZ225" s="391"/>
      <c r="EA225" s="391"/>
      <c r="EB225" s="391"/>
      <c r="EC225" s="391"/>
      <c r="ED225" s="391"/>
      <c r="EE225" s="391"/>
      <c r="EF225" s="391"/>
      <c r="EG225" s="391"/>
      <c r="EH225" s="391"/>
      <c r="EI225" s="391"/>
      <c r="EJ225" s="391"/>
      <c r="EK225" s="391"/>
      <c r="EL225" s="391"/>
      <c r="EM225" s="391"/>
      <c r="EN225" s="391"/>
      <c r="EO225" s="391"/>
      <c r="EP225" s="391"/>
      <c r="EQ225" s="391"/>
      <c r="ER225" s="391"/>
      <c r="ES225" s="391"/>
      <c r="ET225" s="391"/>
      <c r="EU225" s="391"/>
      <c r="EV225" s="391"/>
      <c r="EW225" s="391"/>
      <c r="EX225" s="391"/>
      <c r="EY225" s="391"/>
      <c r="EZ225" s="391"/>
      <c r="FA225" s="391"/>
      <c r="FB225" s="391"/>
      <c r="FC225" s="391"/>
      <c r="FD225" s="391"/>
      <c r="FE225" s="391"/>
      <c r="FF225" s="391"/>
      <c r="FG225" s="391"/>
      <c r="FH225" s="391"/>
      <c r="FI225" s="391"/>
      <c r="FJ225" s="391"/>
      <c r="FK225" s="391"/>
      <c r="FL225" s="391"/>
      <c r="FM225" s="391"/>
      <c r="FN225" s="391"/>
      <c r="FO225" s="391"/>
      <c r="FP225" s="391"/>
      <c r="FQ225" s="391"/>
      <c r="FR225" s="391"/>
      <c r="FS225" s="391"/>
      <c r="FT225" s="391"/>
      <c r="FU225" s="391"/>
      <c r="FV225" s="391"/>
      <c r="FW225" s="391"/>
      <c r="FX225" s="391"/>
      <c r="FY225" s="391"/>
      <c r="FZ225" s="391"/>
      <c r="GA225" s="391"/>
      <c r="GB225" s="391"/>
      <c r="GC225" s="391"/>
      <c r="GD225" s="391"/>
      <c r="GE225" s="391"/>
      <c r="GF225" s="391"/>
      <c r="GG225" s="391"/>
      <c r="GH225" s="391"/>
      <c r="GI225" s="391"/>
      <c r="GJ225" s="391"/>
      <c r="GK225" s="391"/>
      <c r="GL225" s="391"/>
      <c r="GM225" s="391"/>
      <c r="GN225" s="391"/>
      <c r="GO225" s="391"/>
      <c r="GP225" s="391"/>
      <c r="GQ225" s="391"/>
      <c r="GR225" s="391"/>
      <c r="GS225" s="391"/>
      <c r="GT225" s="391"/>
      <c r="GU225" s="391"/>
      <c r="GV225" s="391"/>
      <c r="GW225" s="391"/>
      <c r="GX225" s="391"/>
      <c r="GY225" s="391"/>
      <c r="GZ225" s="391"/>
      <c r="HA225" s="391"/>
      <c r="HB225" s="391"/>
      <c r="HC225" s="391"/>
      <c r="HD225" s="391"/>
      <c r="HE225" s="391"/>
      <c r="HF225" s="391"/>
      <c r="HG225" s="391"/>
      <c r="HH225" s="391"/>
      <c r="HI225" s="391"/>
      <c r="HJ225" s="391"/>
      <c r="HK225" s="391"/>
      <c r="HL225" s="391"/>
      <c r="HM225" s="391"/>
      <c r="HN225" s="391"/>
      <c r="HO225" s="391"/>
      <c r="HP225" s="391"/>
      <c r="HQ225" s="391"/>
      <c r="HR225" s="391"/>
      <c r="HS225" s="391"/>
      <c r="HT225" s="391"/>
      <c r="HU225" s="391"/>
      <c r="HV225" s="391"/>
      <c r="HW225" s="391"/>
      <c r="HX225" s="391"/>
      <c r="HY225" s="391"/>
      <c r="HZ225" s="391"/>
      <c r="IA225" s="391"/>
      <c r="IB225" s="391"/>
      <c r="IC225" s="391"/>
      <c r="ID225" s="391"/>
      <c r="IE225" s="391"/>
      <c r="IF225" s="391"/>
      <c r="IG225" s="391"/>
      <c r="IH225" s="391"/>
      <c r="II225" s="391"/>
      <c r="IJ225" s="391"/>
      <c r="IK225" s="391"/>
      <c r="IL225" s="391"/>
      <c r="IM225" s="391"/>
      <c r="IN225" s="391"/>
      <c r="IO225" s="391"/>
      <c r="IP225" s="391"/>
      <c r="IQ225" s="391"/>
      <c r="IR225" s="391"/>
      <c r="IS225" s="391"/>
      <c r="IT225" s="391"/>
      <c r="IU225" s="391"/>
      <c r="IV225" s="391"/>
      <c r="IW225" s="391"/>
      <c r="IX225" s="391"/>
      <c r="IY225" s="391"/>
      <c r="IZ225" s="391"/>
      <c r="JA225" s="391"/>
      <c r="JB225" s="391"/>
      <c r="JC225" s="391"/>
      <c r="JD225" s="391"/>
      <c r="JE225" s="391"/>
      <c r="JF225" s="391"/>
      <c r="JG225" s="391"/>
      <c r="JH225" s="391"/>
      <c r="JI225" s="397">
        <f t="shared" si="7"/>
        <v>0</v>
      </c>
      <c r="JJ225" s="2">
        <v>6822</v>
      </c>
      <c r="JK225" s="392">
        <f t="shared" si="8"/>
        <v>0</v>
      </c>
      <c r="JL225" s="391"/>
      <c r="JM225" s="392"/>
      <c r="JN225" s="392"/>
      <c r="JO225" s="392"/>
      <c r="JP225" s="392"/>
    </row>
    <row r="226" spans="1:276" x14ac:dyDescent="0.3">
      <c r="A226" s="391"/>
      <c r="B226" s="391"/>
      <c r="C226" s="391"/>
      <c r="D226" s="391"/>
      <c r="E226" s="391"/>
      <c r="F226" s="391"/>
      <c r="G226" s="391"/>
      <c r="H226" s="391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  <c r="T226" s="391"/>
      <c r="U226" s="391"/>
      <c r="V226" s="391"/>
      <c r="W226" s="391"/>
      <c r="X226" s="391"/>
      <c r="Y226" s="391"/>
      <c r="Z226" s="391"/>
      <c r="AA226" s="391"/>
      <c r="AB226" s="391"/>
      <c r="AC226" s="391"/>
      <c r="AD226" s="391"/>
      <c r="AE226" s="391"/>
      <c r="AF226" s="391"/>
      <c r="AG226" s="391"/>
      <c r="AH226" s="391"/>
      <c r="AI226" s="391"/>
      <c r="AJ226" s="391"/>
      <c r="AK226" s="391"/>
      <c r="AL226" s="391"/>
      <c r="AM226" s="391"/>
      <c r="AN226" s="391"/>
      <c r="AO226" s="391"/>
      <c r="AP226" s="391"/>
      <c r="AQ226" s="391"/>
      <c r="AR226" s="391"/>
      <c r="AS226" s="391"/>
      <c r="AT226" s="391"/>
      <c r="AU226" s="391"/>
      <c r="AV226" s="391"/>
      <c r="AW226" s="391"/>
      <c r="AX226" s="391"/>
      <c r="AY226" s="391"/>
      <c r="AZ226" s="391"/>
      <c r="BA226" s="391"/>
      <c r="BB226" s="391"/>
      <c r="BC226" s="391"/>
      <c r="BD226" s="391"/>
      <c r="BE226" s="391"/>
      <c r="BF226" s="391"/>
      <c r="BG226" s="391"/>
      <c r="BH226" s="391"/>
      <c r="BI226" s="391"/>
      <c r="BJ226" s="391"/>
      <c r="BK226" s="391"/>
      <c r="BL226" s="391"/>
      <c r="BM226" s="391"/>
      <c r="BN226" s="391"/>
      <c r="BO226" s="391"/>
      <c r="BP226" s="391"/>
      <c r="BQ226" s="391"/>
      <c r="BR226" s="391"/>
      <c r="BS226" s="391"/>
      <c r="BT226" s="391"/>
      <c r="BU226" s="391"/>
      <c r="BV226" s="391"/>
      <c r="BW226" s="391"/>
      <c r="BX226" s="391"/>
      <c r="BY226" s="391"/>
      <c r="BZ226" s="391"/>
      <c r="CA226" s="391"/>
      <c r="CB226" s="391"/>
      <c r="CC226" s="391"/>
      <c r="CD226" s="391"/>
      <c r="CE226" s="391"/>
      <c r="CF226" s="391"/>
      <c r="CG226" s="391"/>
      <c r="CH226" s="391"/>
      <c r="CI226" s="391"/>
      <c r="CJ226" s="391"/>
      <c r="CK226" s="391"/>
      <c r="CL226" s="391"/>
      <c r="CM226" s="391"/>
      <c r="CN226" s="391"/>
      <c r="CO226" s="391"/>
      <c r="CP226" s="391"/>
      <c r="CQ226" s="391"/>
      <c r="CR226" s="391"/>
      <c r="CS226" s="391"/>
      <c r="CT226" s="391"/>
      <c r="CU226" s="391"/>
      <c r="CV226" s="391"/>
      <c r="CW226" s="391"/>
      <c r="CX226" s="391"/>
      <c r="CY226" s="391"/>
      <c r="CZ226" s="391"/>
      <c r="DA226" s="391"/>
      <c r="DB226" s="391"/>
      <c r="DC226" s="391"/>
      <c r="DD226" s="391"/>
      <c r="DE226" s="391"/>
      <c r="DF226" s="391"/>
      <c r="DG226" s="391"/>
      <c r="DH226" s="391"/>
      <c r="DI226" s="391"/>
      <c r="DJ226" s="391"/>
      <c r="DK226" s="391"/>
      <c r="DL226" s="391"/>
      <c r="DM226" s="391"/>
      <c r="DN226" s="391"/>
      <c r="DO226" s="391"/>
      <c r="DP226" s="391"/>
      <c r="DQ226" s="391"/>
      <c r="DR226" s="391"/>
      <c r="DS226" s="391"/>
      <c r="DT226" s="391"/>
      <c r="DU226" s="391"/>
      <c r="DV226" s="391"/>
      <c r="DW226" s="391"/>
      <c r="DX226" s="391"/>
      <c r="DY226" s="391"/>
      <c r="DZ226" s="391"/>
      <c r="EA226" s="391"/>
      <c r="EB226" s="391"/>
      <c r="EC226" s="391"/>
      <c r="ED226" s="391"/>
      <c r="EE226" s="391"/>
      <c r="EF226" s="391"/>
      <c r="EG226" s="391"/>
      <c r="EH226" s="391"/>
      <c r="EI226" s="391"/>
      <c r="EJ226" s="391"/>
      <c r="EK226" s="391"/>
      <c r="EL226" s="391"/>
      <c r="EM226" s="391"/>
      <c r="EN226" s="391"/>
      <c r="EO226" s="391"/>
      <c r="EP226" s="391"/>
      <c r="EQ226" s="391"/>
      <c r="ER226" s="391"/>
      <c r="ES226" s="391"/>
      <c r="ET226" s="391"/>
      <c r="EU226" s="391"/>
      <c r="EV226" s="391"/>
      <c r="EW226" s="391"/>
      <c r="EX226" s="391"/>
      <c r="EY226" s="391"/>
      <c r="EZ226" s="391"/>
      <c r="FA226" s="391"/>
      <c r="FB226" s="391"/>
      <c r="FC226" s="391"/>
      <c r="FD226" s="391"/>
      <c r="FE226" s="391"/>
      <c r="FF226" s="391"/>
      <c r="FG226" s="391"/>
      <c r="FH226" s="391"/>
      <c r="FI226" s="391"/>
      <c r="FJ226" s="391"/>
      <c r="FK226" s="391"/>
      <c r="FL226" s="391"/>
      <c r="FM226" s="391"/>
      <c r="FN226" s="391"/>
      <c r="FO226" s="391"/>
      <c r="FP226" s="391"/>
      <c r="FQ226" s="391"/>
      <c r="FR226" s="391"/>
      <c r="FS226" s="391"/>
      <c r="FT226" s="391"/>
      <c r="FU226" s="391"/>
      <c r="FV226" s="391"/>
      <c r="FW226" s="391"/>
      <c r="FX226" s="391"/>
      <c r="FY226" s="391"/>
      <c r="FZ226" s="391"/>
      <c r="GA226" s="391"/>
      <c r="GB226" s="391"/>
      <c r="GC226" s="391"/>
      <c r="GD226" s="391"/>
      <c r="GE226" s="391"/>
      <c r="GF226" s="391"/>
      <c r="GG226" s="391"/>
      <c r="GH226" s="391"/>
      <c r="GI226" s="391"/>
      <c r="GJ226" s="391"/>
      <c r="GK226" s="391"/>
      <c r="GL226" s="391"/>
      <c r="GM226" s="391"/>
      <c r="GN226" s="391"/>
      <c r="GO226" s="391"/>
      <c r="GP226" s="391"/>
      <c r="GQ226" s="391"/>
      <c r="GR226" s="391"/>
      <c r="GS226" s="391"/>
      <c r="GT226" s="391"/>
      <c r="GU226" s="391"/>
      <c r="GV226" s="391"/>
      <c r="GW226" s="391"/>
      <c r="GX226" s="391"/>
      <c r="GY226" s="391"/>
      <c r="GZ226" s="391"/>
      <c r="HA226" s="391"/>
      <c r="HB226" s="391"/>
      <c r="HC226" s="391"/>
      <c r="HD226" s="391"/>
      <c r="HE226" s="391"/>
      <c r="HF226" s="391"/>
      <c r="HG226" s="391"/>
      <c r="HH226" s="391"/>
      <c r="HI226" s="391"/>
      <c r="HJ226" s="391"/>
      <c r="HK226" s="391"/>
      <c r="HL226" s="391"/>
      <c r="HM226" s="391"/>
      <c r="HN226" s="391"/>
      <c r="HO226" s="391"/>
      <c r="HP226" s="391"/>
      <c r="HQ226" s="391"/>
      <c r="HR226" s="391"/>
      <c r="HS226" s="391"/>
      <c r="HT226" s="391"/>
      <c r="HU226" s="391"/>
      <c r="HV226" s="391"/>
      <c r="HW226" s="391"/>
      <c r="HX226" s="391"/>
      <c r="HY226" s="391"/>
      <c r="HZ226" s="391"/>
      <c r="IA226" s="391"/>
      <c r="IB226" s="391"/>
      <c r="IC226" s="391"/>
      <c r="ID226" s="391"/>
      <c r="IE226" s="391"/>
      <c r="IF226" s="391"/>
      <c r="IG226" s="391"/>
      <c r="IH226" s="391"/>
      <c r="II226" s="391"/>
      <c r="IJ226" s="391"/>
      <c r="IK226" s="391"/>
      <c r="IL226" s="391"/>
      <c r="IM226" s="391"/>
      <c r="IN226" s="391"/>
      <c r="IO226" s="391"/>
      <c r="IP226" s="391"/>
      <c r="IQ226" s="391"/>
      <c r="IR226" s="391"/>
      <c r="IS226" s="391"/>
      <c r="IT226" s="391"/>
      <c r="IU226" s="391"/>
      <c r="IV226" s="391"/>
      <c r="IW226" s="391"/>
      <c r="IX226" s="391"/>
      <c r="IY226" s="391"/>
      <c r="IZ226" s="391"/>
      <c r="JA226" s="391"/>
      <c r="JB226" s="391"/>
      <c r="JC226" s="391"/>
      <c r="JD226" s="391"/>
      <c r="JE226" s="391"/>
      <c r="JF226" s="391"/>
      <c r="JG226" s="391"/>
      <c r="JH226" s="391"/>
      <c r="JI226" s="397">
        <f t="shared" si="7"/>
        <v>0</v>
      </c>
      <c r="JJ226" s="2">
        <v>6824</v>
      </c>
      <c r="JK226" s="392">
        <f t="shared" si="8"/>
        <v>0</v>
      </c>
      <c r="JL226" s="391"/>
      <c r="JM226" s="392"/>
      <c r="JN226" s="392"/>
      <c r="JO226" s="392"/>
      <c r="JP226" s="392"/>
    </row>
    <row r="227" spans="1:276" x14ac:dyDescent="0.3">
      <c r="A227" s="391"/>
      <c r="B227" s="391"/>
      <c r="C227" s="391"/>
      <c r="D227" s="391"/>
      <c r="E227" s="391"/>
      <c r="F227" s="391"/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  <c r="T227" s="391"/>
      <c r="U227" s="391"/>
      <c r="V227" s="391"/>
      <c r="W227" s="391"/>
      <c r="X227" s="391"/>
      <c r="Y227" s="391"/>
      <c r="Z227" s="391"/>
      <c r="AA227" s="391"/>
      <c r="AB227" s="391"/>
      <c r="AC227" s="391"/>
      <c r="AD227" s="391"/>
      <c r="AE227" s="391"/>
      <c r="AF227" s="391"/>
      <c r="AG227" s="391"/>
      <c r="AH227" s="391"/>
      <c r="AI227" s="391"/>
      <c r="AJ227" s="391"/>
      <c r="AK227" s="391"/>
      <c r="AL227" s="391"/>
      <c r="AM227" s="391"/>
      <c r="AN227" s="391"/>
      <c r="AO227" s="391"/>
      <c r="AP227" s="391"/>
      <c r="AQ227" s="391"/>
      <c r="AR227" s="391"/>
      <c r="AS227" s="391"/>
      <c r="AT227" s="391"/>
      <c r="AU227" s="391"/>
      <c r="AV227" s="391"/>
      <c r="AW227" s="391"/>
      <c r="AX227" s="391"/>
      <c r="AY227" s="391"/>
      <c r="AZ227" s="391"/>
      <c r="BA227" s="391"/>
      <c r="BB227" s="391"/>
      <c r="BC227" s="391"/>
      <c r="BD227" s="391"/>
      <c r="BE227" s="391"/>
      <c r="BF227" s="391"/>
      <c r="BG227" s="391"/>
      <c r="BH227" s="391"/>
      <c r="BI227" s="391"/>
      <c r="BJ227" s="391"/>
      <c r="BK227" s="391"/>
      <c r="BL227" s="391"/>
      <c r="BM227" s="391"/>
      <c r="BN227" s="391"/>
      <c r="BO227" s="391"/>
      <c r="BP227" s="391"/>
      <c r="BQ227" s="391"/>
      <c r="BR227" s="391"/>
      <c r="BS227" s="391"/>
      <c r="BT227" s="391"/>
      <c r="BU227" s="391"/>
      <c r="BV227" s="391"/>
      <c r="BW227" s="391"/>
      <c r="BX227" s="391"/>
      <c r="BY227" s="391"/>
      <c r="BZ227" s="391"/>
      <c r="CA227" s="391"/>
      <c r="CB227" s="391"/>
      <c r="CC227" s="391"/>
      <c r="CD227" s="391"/>
      <c r="CE227" s="391"/>
      <c r="CF227" s="391"/>
      <c r="CG227" s="391"/>
      <c r="CH227" s="391"/>
      <c r="CI227" s="391"/>
      <c r="CJ227" s="391"/>
      <c r="CK227" s="391"/>
      <c r="CL227" s="391"/>
      <c r="CM227" s="391"/>
      <c r="CN227" s="391"/>
      <c r="CO227" s="391"/>
      <c r="CP227" s="391"/>
      <c r="CQ227" s="391"/>
      <c r="CR227" s="391"/>
      <c r="CS227" s="391"/>
      <c r="CT227" s="391"/>
      <c r="CU227" s="391"/>
      <c r="CV227" s="391"/>
      <c r="CW227" s="391"/>
      <c r="CX227" s="391"/>
      <c r="CY227" s="391"/>
      <c r="CZ227" s="391"/>
      <c r="DA227" s="391"/>
      <c r="DB227" s="391"/>
      <c r="DC227" s="391"/>
      <c r="DD227" s="391"/>
      <c r="DE227" s="391"/>
      <c r="DF227" s="391"/>
      <c r="DG227" s="391"/>
      <c r="DH227" s="391"/>
      <c r="DI227" s="391"/>
      <c r="DJ227" s="391"/>
      <c r="DK227" s="391"/>
      <c r="DL227" s="391"/>
      <c r="DM227" s="391"/>
      <c r="DN227" s="391"/>
      <c r="DO227" s="391"/>
      <c r="DP227" s="391"/>
      <c r="DQ227" s="391"/>
      <c r="DR227" s="391"/>
      <c r="DS227" s="391"/>
      <c r="DT227" s="391"/>
      <c r="DU227" s="391"/>
      <c r="DV227" s="391"/>
      <c r="DW227" s="391"/>
      <c r="DX227" s="391"/>
      <c r="DY227" s="391"/>
      <c r="DZ227" s="391"/>
      <c r="EA227" s="391"/>
      <c r="EB227" s="391"/>
      <c r="EC227" s="391"/>
      <c r="ED227" s="391"/>
      <c r="EE227" s="391"/>
      <c r="EF227" s="391"/>
      <c r="EG227" s="391"/>
      <c r="EH227" s="391"/>
      <c r="EI227" s="391"/>
      <c r="EJ227" s="391"/>
      <c r="EK227" s="391"/>
      <c r="EL227" s="391"/>
      <c r="EM227" s="391"/>
      <c r="EN227" s="391"/>
      <c r="EO227" s="391"/>
      <c r="EP227" s="391"/>
      <c r="EQ227" s="391"/>
      <c r="ER227" s="391"/>
      <c r="ES227" s="391"/>
      <c r="ET227" s="391"/>
      <c r="EU227" s="391"/>
      <c r="EV227" s="391"/>
      <c r="EW227" s="391"/>
      <c r="EX227" s="391"/>
      <c r="EY227" s="391"/>
      <c r="EZ227" s="391"/>
      <c r="FA227" s="391"/>
      <c r="FB227" s="391"/>
      <c r="FC227" s="391"/>
      <c r="FD227" s="391"/>
      <c r="FE227" s="391"/>
      <c r="FF227" s="391"/>
      <c r="FG227" s="391"/>
      <c r="FH227" s="391"/>
      <c r="FI227" s="391"/>
      <c r="FJ227" s="391"/>
      <c r="FK227" s="391"/>
      <c r="FL227" s="391"/>
      <c r="FM227" s="391"/>
      <c r="FN227" s="391"/>
      <c r="FO227" s="391"/>
      <c r="FP227" s="391"/>
      <c r="FQ227" s="391"/>
      <c r="FR227" s="391"/>
      <c r="FS227" s="391"/>
      <c r="FT227" s="391"/>
      <c r="FU227" s="391"/>
      <c r="FV227" s="391"/>
      <c r="FW227" s="391"/>
      <c r="FX227" s="391"/>
      <c r="FY227" s="391"/>
      <c r="FZ227" s="391"/>
      <c r="GA227" s="391"/>
      <c r="GB227" s="391"/>
      <c r="GC227" s="391"/>
      <c r="GD227" s="391"/>
      <c r="GE227" s="391"/>
      <c r="GF227" s="391"/>
      <c r="GG227" s="391"/>
      <c r="GH227" s="391"/>
      <c r="GI227" s="391"/>
      <c r="GJ227" s="391"/>
      <c r="GK227" s="391"/>
      <c r="GL227" s="391"/>
      <c r="GM227" s="391"/>
      <c r="GN227" s="391"/>
      <c r="GO227" s="391"/>
      <c r="GP227" s="391"/>
      <c r="GQ227" s="391"/>
      <c r="GR227" s="391"/>
      <c r="GS227" s="391"/>
      <c r="GT227" s="391"/>
      <c r="GU227" s="391"/>
      <c r="GV227" s="391"/>
      <c r="GW227" s="391"/>
      <c r="GX227" s="391"/>
      <c r="GY227" s="391"/>
      <c r="GZ227" s="391"/>
      <c r="HA227" s="391"/>
      <c r="HB227" s="391"/>
      <c r="HC227" s="391"/>
      <c r="HD227" s="391"/>
      <c r="HE227" s="391"/>
      <c r="HF227" s="391"/>
      <c r="HG227" s="391"/>
      <c r="HH227" s="391"/>
      <c r="HI227" s="391"/>
      <c r="HJ227" s="391"/>
      <c r="HK227" s="391"/>
      <c r="HL227" s="391"/>
      <c r="HM227" s="391"/>
      <c r="HN227" s="391"/>
      <c r="HO227" s="391"/>
      <c r="HP227" s="391"/>
      <c r="HQ227" s="391"/>
      <c r="HR227" s="391"/>
      <c r="HS227" s="391"/>
      <c r="HT227" s="391"/>
      <c r="HU227" s="391"/>
      <c r="HV227" s="391"/>
      <c r="HW227" s="391"/>
      <c r="HX227" s="391"/>
      <c r="HY227" s="391"/>
      <c r="HZ227" s="391"/>
      <c r="IA227" s="391"/>
      <c r="IB227" s="391"/>
      <c r="IC227" s="391"/>
      <c r="ID227" s="391"/>
      <c r="IE227" s="391"/>
      <c r="IF227" s="391"/>
      <c r="IG227" s="391"/>
      <c r="IH227" s="391"/>
      <c r="II227" s="391"/>
      <c r="IJ227" s="391"/>
      <c r="IK227" s="391"/>
      <c r="IL227" s="391"/>
      <c r="IM227" s="391"/>
      <c r="IN227" s="391"/>
      <c r="IO227" s="391"/>
      <c r="IP227" s="391"/>
      <c r="IQ227" s="391"/>
      <c r="IR227" s="391"/>
      <c r="IS227" s="391"/>
      <c r="IT227" s="391"/>
      <c r="IU227" s="391"/>
      <c r="IV227" s="391"/>
      <c r="IW227" s="391"/>
      <c r="IX227" s="391"/>
      <c r="IY227" s="391"/>
      <c r="IZ227" s="391"/>
      <c r="JA227" s="391"/>
      <c r="JB227" s="391"/>
      <c r="JC227" s="391"/>
      <c r="JD227" s="391"/>
      <c r="JE227" s="391"/>
      <c r="JF227" s="391"/>
      <c r="JG227" s="391"/>
      <c r="JH227" s="391"/>
      <c r="JI227" s="397">
        <f t="shared" si="7"/>
        <v>0</v>
      </c>
      <c r="JJ227" s="2">
        <v>6834</v>
      </c>
      <c r="JK227" s="392">
        <f t="shared" si="8"/>
        <v>0</v>
      </c>
      <c r="JL227" s="391"/>
      <c r="JM227" s="392"/>
      <c r="JN227" s="392"/>
      <c r="JO227" s="392"/>
      <c r="JP227" s="392"/>
    </row>
    <row r="228" spans="1:276" x14ac:dyDescent="0.3">
      <c r="A228" s="391"/>
      <c r="B228" s="391"/>
      <c r="C228" s="391"/>
      <c r="D228" s="391"/>
      <c r="E228" s="391"/>
      <c r="F228" s="391"/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  <c r="W228" s="391"/>
      <c r="X228" s="391"/>
      <c r="Y228" s="391"/>
      <c r="Z228" s="391"/>
      <c r="AA228" s="391"/>
      <c r="AB228" s="391"/>
      <c r="AC228" s="391"/>
      <c r="AD228" s="391"/>
      <c r="AE228" s="391"/>
      <c r="AF228" s="391"/>
      <c r="AG228" s="391"/>
      <c r="AH228" s="391"/>
      <c r="AI228" s="391"/>
      <c r="AJ228" s="391"/>
      <c r="AK228" s="391"/>
      <c r="AL228" s="391"/>
      <c r="AM228" s="391"/>
      <c r="AN228" s="391"/>
      <c r="AO228" s="391"/>
      <c r="AP228" s="391"/>
      <c r="AQ228" s="391"/>
      <c r="AR228" s="391"/>
      <c r="AS228" s="391"/>
      <c r="AT228" s="391"/>
      <c r="AU228" s="391"/>
      <c r="AV228" s="391"/>
      <c r="AW228" s="391"/>
      <c r="AX228" s="391"/>
      <c r="AY228" s="391"/>
      <c r="AZ228" s="391"/>
      <c r="BA228" s="391"/>
      <c r="BB228" s="391"/>
      <c r="BC228" s="391"/>
      <c r="BD228" s="391"/>
      <c r="BE228" s="391"/>
      <c r="BF228" s="391"/>
      <c r="BG228" s="391"/>
      <c r="BH228" s="391"/>
      <c r="BI228" s="391"/>
      <c r="BJ228" s="391"/>
      <c r="BK228" s="391"/>
      <c r="BL228" s="391"/>
      <c r="BM228" s="391"/>
      <c r="BN228" s="391"/>
      <c r="BO228" s="391"/>
      <c r="BP228" s="391"/>
      <c r="BQ228" s="391"/>
      <c r="BR228" s="391"/>
      <c r="BS228" s="391"/>
      <c r="BT228" s="391"/>
      <c r="BU228" s="391"/>
      <c r="BV228" s="391"/>
      <c r="BW228" s="391"/>
      <c r="BX228" s="391"/>
      <c r="BY228" s="391"/>
      <c r="BZ228" s="391"/>
      <c r="CA228" s="391"/>
      <c r="CB228" s="391"/>
      <c r="CC228" s="391"/>
      <c r="CD228" s="391"/>
      <c r="CE228" s="391"/>
      <c r="CF228" s="391"/>
      <c r="CG228" s="391"/>
      <c r="CH228" s="391"/>
      <c r="CI228" s="391"/>
      <c r="CJ228" s="391"/>
      <c r="CK228" s="391"/>
      <c r="CL228" s="391"/>
      <c r="CM228" s="391"/>
      <c r="CN228" s="391"/>
      <c r="CO228" s="391"/>
      <c r="CP228" s="391"/>
      <c r="CQ228" s="391"/>
      <c r="CR228" s="391"/>
      <c r="CS228" s="391"/>
      <c r="CT228" s="391"/>
      <c r="CU228" s="391"/>
      <c r="CV228" s="391"/>
      <c r="CW228" s="391"/>
      <c r="CX228" s="391"/>
      <c r="CY228" s="391"/>
      <c r="CZ228" s="391"/>
      <c r="DA228" s="391"/>
      <c r="DB228" s="391"/>
      <c r="DC228" s="391"/>
      <c r="DD228" s="391"/>
      <c r="DE228" s="391"/>
      <c r="DF228" s="391"/>
      <c r="DG228" s="391"/>
      <c r="DH228" s="391"/>
      <c r="DI228" s="391"/>
      <c r="DJ228" s="391"/>
      <c r="DK228" s="391"/>
      <c r="DL228" s="391"/>
      <c r="DM228" s="391"/>
      <c r="DN228" s="391"/>
      <c r="DO228" s="391"/>
      <c r="DP228" s="391"/>
      <c r="DQ228" s="391"/>
      <c r="DR228" s="391"/>
      <c r="DS228" s="391"/>
      <c r="DT228" s="391"/>
      <c r="DU228" s="391"/>
      <c r="DV228" s="391"/>
      <c r="DW228" s="391"/>
      <c r="DX228" s="391"/>
      <c r="DY228" s="391"/>
      <c r="DZ228" s="391"/>
      <c r="EA228" s="391"/>
      <c r="EB228" s="391"/>
      <c r="EC228" s="391"/>
      <c r="ED228" s="391"/>
      <c r="EE228" s="391"/>
      <c r="EF228" s="391"/>
      <c r="EG228" s="391"/>
      <c r="EH228" s="391"/>
      <c r="EI228" s="391"/>
      <c r="EJ228" s="391"/>
      <c r="EK228" s="391"/>
      <c r="EL228" s="391"/>
      <c r="EM228" s="391"/>
      <c r="EN228" s="391"/>
      <c r="EO228" s="391"/>
      <c r="EP228" s="391"/>
      <c r="EQ228" s="391"/>
      <c r="ER228" s="391"/>
      <c r="ES228" s="391"/>
      <c r="ET228" s="391"/>
      <c r="EU228" s="391"/>
      <c r="EV228" s="391"/>
      <c r="EW228" s="391"/>
      <c r="EX228" s="391"/>
      <c r="EY228" s="391"/>
      <c r="EZ228" s="391"/>
      <c r="FA228" s="391"/>
      <c r="FB228" s="391"/>
      <c r="FC228" s="391"/>
      <c r="FD228" s="391"/>
      <c r="FE228" s="391"/>
      <c r="FF228" s="391"/>
      <c r="FG228" s="391"/>
      <c r="FH228" s="391"/>
      <c r="FI228" s="391"/>
      <c r="FJ228" s="391"/>
      <c r="FK228" s="391"/>
      <c r="FL228" s="391"/>
      <c r="FM228" s="391"/>
      <c r="FN228" s="391"/>
      <c r="FO228" s="391"/>
      <c r="FP228" s="391"/>
      <c r="FQ228" s="391"/>
      <c r="FR228" s="391"/>
      <c r="FS228" s="391"/>
      <c r="FT228" s="391"/>
      <c r="FU228" s="391"/>
      <c r="FV228" s="391"/>
      <c r="FW228" s="391"/>
      <c r="FX228" s="391"/>
      <c r="FY228" s="391"/>
      <c r="FZ228" s="391"/>
      <c r="GA228" s="391"/>
      <c r="GB228" s="391"/>
      <c r="GC228" s="391"/>
      <c r="GD228" s="391"/>
      <c r="GE228" s="391"/>
      <c r="GF228" s="391"/>
      <c r="GG228" s="391"/>
      <c r="GH228" s="391"/>
      <c r="GI228" s="391"/>
      <c r="GJ228" s="391"/>
      <c r="GK228" s="391"/>
      <c r="GL228" s="391"/>
      <c r="GM228" s="391"/>
      <c r="GN228" s="391"/>
      <c r="GO228" s="391"/>
      <c r="GP228" s="391"/>
      <c r="GQ228" s="391"/>
      <c r="GR228" s="391"/>
      <c r="GS228" s="391"/>
      <c r="GT228" s="391"/>
      <c r="GU228" s="391"/>
      <c r="GV228" s="391"/>
      <c r="GW228" s="391"/>
      <c r="GX228" s="391"/>
      <c r="GY228" s="391"/>
      <c r="GZ228" s="391"/>
      <c r="HA228" s="391"/>
      <c r="HB228" s="391"/>
      <c r="HC228" s="391"/>
      <c r="HD228" s="391"/>
      <c r="HE228" s="391"/>
      <c r="HF228" s="391"/>
      <c r="HG228" s="391"/>
      <c r="HH228" s="391"/>
      <c r="HI228" s="391"/>
      <c r="HJ228" s="391"/>
      <c r="HK228" s="391"/>
      <c r="HL228" s="391"/>
      <c r="HM228" s="391"/>
      <c r="HN228" s="391"/>
      <c r="HO228" s="391"/>
      <c r="HP228" s="391"/>
      <c r="HQ228" s="391"/>
      <c r="HR228" s="391"/>
      <c r="HS228" s="391"/>
      <c r="HT228" s="391"/>
      <c r="HU228" s="391"/>
      <c r="HV228" s="391"/>
      <c r="HW228" s="391"/>
      <c r="HX228" s="391"/>
      <c r="HY228" s="391"/>
      <c r="HZ228" s="391"/>
      <c r="IA228" s="391"/>
      <c r="IB228" s="391"/>
      <c r="IC228" s="391"/>
      <c r="ID228" s="391"/>
      <c r="IE228" s="391"/>
      <c r="IF228" s="391"/>
      <c r="IG228" s="391"/>
      <c r="IH228" s="391"/>
      <c r="II228" s="391"/>
      <c r="IJ228" s="391"/>
      <c r="IK228" s="391"/>
      <c r="IL228" s="391"/>
      <c r="IM228" s="391"/>
      <c r="IN228" s="391"/>
      <c r="IO228" s="391"/>
      <c r="IP228" s="391"/>
      <c r="IQ228" s="391"/>
      <c r="IR228" s="391"/>
      <c r="IS228" s="391"/>
      <c r="IT228" s="391"/>
      <c r="IU228" s="391"/>
      <c r="IV228" s="391"/>
      <c r="IW228" s="391"/>
      <c r="IX228" s="391"/>
      <c r="IY228" s="391"/>
      <c r="IZ228" s="391"/>
      <c r="JA228" s="391"/>
      <c r="JB228" s="391"/>
      <c r="JC228" s="391"/>
      <c r="JD228" s="391"/>
      <c r="JE228" s="391"/>
      <c r="JF228" s="391"/>
      <c r="JG228" s="391"/>
      <c r="JH228" s="391"/>
      <c r="JI228" s="397">
        <f t="shared" si="7"/>
        <v>0</v>
      </c>
      <c r="JJ228" s="2">
        <v>6835</v>
      </c>
      <c r="JK228" s="392">
        <f t="shared" si="8"/>
        <v>0</v>
      </c>
      <c r="JL228" s="391"/>
      <c r="JM228" s="392"/>
      <c r="JN228" s="392"/>
      <c r="JO228" s="392"/>
      <c r="JP228" s="392"/>
    </row>
    <row r="229" spans="1:276" x14ac:dyDescent="0.3">
      <c r="A229" s="391"/>
      <c r="B229" s="391"/>
      <c r="C229" s="391"/>
      <c r="D229" s="391"/>
      <c r="E229" s="391"/>
      <c r="F229" s="391"/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  <c r="W229" s="391"/>
      <c r="X229" s="391"/>
      <c r="Y229" s="391"/>
      <c r="Z229" s="391"/>
      <c r="AA229" s="391"/>
      <c r="AB229" s="391"/>
      <c r="AC229" s="391"/>
      <c r="AD229" s="391"/>
      <c r="AE229" s="391"/>
      <c r="AF229" s="391"/>
      <c r="AG229" s="391"/>
      <c r="AH229" s="391"/>
      <c r="AI229" s="391"/>
      <c r="AJ229" s="391"/>
      <c r="AK229" s="391"/>
      <c r="AL229" s="391"/>
      <c r="AM229" s="391"/>
      <c r="AN229" s="391"/>
      <c r="AO229" s="391"/>
      <c r="AP229" s="391"/>
      <c r="AQ229" s="391"/>
      <c r="AR229" s="391"/>
      <c r="AS229" s="391"/>
      <c r="AT229" s="391"/>
      <c r="AU229" s="391"/>
      <c r="AV229" s="391"/>
      <c r="AW229" s="391"/>
      <c r="AX229" s="391"/>
      <c r="AY229" s="391"/>
      <c r="AZ229" s="391"/>
      <c r="BA229" s="391"/>
      <c r="BB229" s="391"/>
      <c r="BC229" s="391"/>
      <c r="BD229" s="391"/>
      <c r="BE229" s="391"/>
      <c r="BF229" s="391"/>
      <c r="BG229" s="391"/>
      <c r="BH229" s="391"/>
      <c r="BI229" s="391"/>
      <c r="BJ229" s="391"/>
      <c r="BK229" s="391"/>
      <c r="BL229" s="391"/>
      <c r="BM229" s="391"/>
      <c r="BN229" s="391"/>
      <c r="BO229" s="391"/>
      <c r="BP229" s="391"/>
      <c r="BQ229" s="391"/>
      <c r="BR229" s="391"/>
      <c r="BS229" s="391"/>
      <c r="BT229" s="391"/>
      <c r="BU229" s="391"/>
      <c r="BV229" s="391"/>
      <c r="BW229" s="391"/>
      <c r="BX229" s="391"/>
      <c r="BY229" s="391"/>
      <c r="BZ229" s="391"/>
      <c r="CA229" s="391"/>
      <c r="CB229" s="391"/>
      <c r="CC229" s="391"/>
      <c r="CD229" s="391"/>
      <c r="CE229" s="391"/>
      <c r="CF229" s="391"/>
      <c r="CG229" s="391"/>
      <c r="CH229" s="391"/>
      <c r="CI229" s="391"/>
      <c r="CJ229" s="391"/>
      <c r="CK229" s="391"/>
      <c r="CL229" s="391"/>
      <c r="CM229" s="391"/>
      <c r="CN229" s="391"/>
      <c r="CO229" s="391"/>
      <c r="CP229" s="391"/>
      <c r="CQ229" s="391"/>
      <c r="CR229" s="391"/>
      <c r="CS229" s="391"/>
      <c r="CT229" s="391"/>
      <c r="CU229" s="391"/>
      <c r="CV229" s="391"/>
      <c r="CW229" s="391"/>
      <c r="CX229" s="391"/>
      <c r="CY229" s="391"/>
      <c r="CZ229" s="391"/>
      <c r="DA229" s="391"/>
      <c r="DB229" s="391"/>
      <c r="DC229" s="391"/>
      <c r="DD229" s="391"/>
      <c r="DE229" s="391"/>
      <c r="DF229" s="391"/>
      <c r="DG229" s="391"/>
      <c r="DH229" s="391"/>
      <c r="DI229" s="391"/>
      <c r="DJ229" s="391"/>
      <c r="DK229" s="391"/>
      <c r="DL229" s="391"/>
      <c r="DM229" s="391"/>
      <c r="DN229" s="391"/>
      <c r="DO229" s="391"/>
      <c r="DP229" s="391"/>
      <c r="DQ229" s="391"/>
      <c r="DR229" s="391"/>
      <c r="DS229" s="391"/>
      <c r="DT229" s="391"/>
      <c r="DU229" s="391"/>
      <c r="DV229" s="391"/>
      <c r="DW229" s="391"/>
      <c r="DX229" s="391"/>
      <c r="DY229" s="391"/>
      <c r="DZ229" s="391"/>
      <c r="EA229" s="391"/>
      <c r="EB229" s="391"/>
      <c r="EC229" s="391"/>
      <c r="ED229" s="391"/>
      <c r="EE229" s="391"/>
      <c r="EF229" s="391"/>
      <c r="EG229" s="391"/>
      <c r="EH229" s="391"/>
      <c r="EI229" s="391"/>
      <c r="EJ229" s="391"/>
      <c r="EK229" s="391"/>
      <c r="EL229" s="391"/>
      <c r="EM229" s="391"/>
      <c r="EN229" s="391"/>
      <c r="EO229" s="391"/>
      <c r="EP229" s="391"/>
      <c r="EQ229" s="391"/>
      <c r="ER229" s="391"/>
      <c r="ES229" s="391"/>
      <c r="ET229" s="391"/>
      <c r="EU229" s="391"/>
      <c r="EV229" s="391"/>
      <c r="EW229" s="391"/>
      <c r="EX229" s="391"/>
      <c r="EY229" s="391"/>
      <c r="EZ229" s="391"/>
      <c r="FA229" s="391"/>
      <c r="FB229" s="391"/>
      <c r="FC229" s="391"/>
      <c r="FD229" s="391"/>
      <c r="FE229" s="391"/>
      <c r="FF229" s="391"/>
      <c r="FG229" s="391"/>
      <c r="FH229" s="391"/>
      <c r="FI229" s="391"/>
      <c r="FJ229" s="391"/>
      <c r="FK229" s="391"/>
      <c r="FL229" s="391"/>
      <c r="FM229" s="391"/>
      <c r="FN229" s="391"/>
      <c r="FO229" s="391"/>
      <c r="FP229" s="391"/>
      <c r="FQ229" s="391"/>
      <c r="FR229" s="391"/>
      <c r="FS229" s="391"/>
      <c r="FT229" s="391"/>
      <c r="FU229" s="391"/>
      <c r="FV229" s="391"/>
      <c r="FW229" s="391"/>
      <c r="FX229" s="391"/>
      <c r="FY229" s="391"/>
      <c r="FZ229" s="391"/>
      <c r="GA229" s="391"/>
      <c r="GB229" s="391"/>
      <c r="GC229" s="391"/>
      <c r="GD229" s="391"/>
      <c r="GE229" s="391"/>
      <c r="GF229" s="391"/>
      <c r="GG229" s="391"/>
      <c r="GH229" s="391"/>
      <c r="GI229" s="391"/>
      <c r="GJ229" s="391"/>
      <c r="GK229" s="391"/>
      <c r="GL229" s="391"/>
      <c r="GM229" s="391"/>
      <c r="GN229" s="391"/>
      <c r="GO229" s="391"/>
      <c r="GP229" s="391"/>
      <c r="GQ229" s="391"/>
      <c r="GR229" s="391"/>
      <c r="GS229" s="391"/>
      <c r="GT229" s="391"/>
      <c r="GU229" s="391"/>
      <c r="GV229" s="391"/>
      <c r="GW229" s="391"/>
      <c r="GX229" s="391"/>
      <c r="GY229" s="391"/>
      <c r="GZ229" s="391"/>
      <c r="HA229" s="391"/>
      <c r="HB229" s="391"/>
      <c r="HC229" s="391"/>
      <c r="HD229" s="391"/>
      <c r="HE229" s="391"/>
      <c r="HF229" s="391"/>
      <c r="HG229" s="391"/>
      <c r="HH229" s="391"/>
      <c r="HI229" s="391"/>
      <c r="HJ229" s="391"/>
      <c r="HK229" s="391"/>
      <c r="HL229" s="391"/>
      <c r="HM229" s="391"/>
      <c r="HN229" s="391"/>
      <c r="HO229" s="391"/>
      <c r="HP229" s="391"/>
      <c r="HQ229" s="391"/>
      <c r="HR229" s="391"/>
      <c r="HS229" s="391"/>
      <c r="HT229" s="391"/>
      <c r="HU229" s="391"/>
      <c r="HV229" s="391"/>
      <c r="HW229" s="391"/>
      <c r="HX229" s="391"/>
      <c r="HY229" s="391"/>
      <c r="HZ229" s="391"/>
      <c r="IA229" s="391"/>
      <c r="IB229" s="391"/>
      <c r="IC229" s="391"/>
      <c r="ID229" s="391"/>
      <c r="IE229" s="391"/>
      <c r="IF229" s="391"/>
      <c r="IG229" s="391"/>
      <c r="IH229" s="391"/>
      <c r="II229" s="391"/>
      <c r="IJ229" s="391"/>
      <c r="IK229" s="391"/>
      <c r="IL229" s="391"/>
      <c r="IM229" s="391"/>
      <c r="IN229" s="391"/>
      <c r="IO229" s="391"/>
      <c r="IP229" s="391"/>
      <c r="IQ229" s="391"/>
      <c r="IR229" s="391"/>
      <c r="IS229" s="391"/>
      <c r="IT229" s="391"/>
      <c r="IU229" s="391"/>
      <c r="IV229" s="391"/>
      <c r="IW229" s="391"/>
      <c r="IX229" s="391"/>
      <c r="IY229" s="391"/>
      <c r="IZ229" s="391"/>
      <c r="JA229" s="391"/>
      <c r="JB229" s="391"/>
      <c r="JC229" s="391"/>
      <c r="JD229" s="391"/>
      <c r="JE229" s="391"/>
      <c r="JF229" s="391"/>
      <c r="JG229" s="391"/>
      <c r="JH229" s="391"/>
      <c r="JI229" s="393">
        <f t="shared" si="7"/>
        <v>0</v>
      </c>
      <c r="JJ229" s="2">
        <v>6836</v>
      </c>
      <c r="JK229" s="392">
        <f t="shared" si="8"/>
        <v>0</v>
      </c>
      <c r="JL229" s="391"/>
      <c r="JM229" s="392"/>
      <c r="JN229" s="392"/>
      <c r="JO229" s="392"/>
      <c r="JP229" s="392"/>
    </row>
    <row r="230" spans="1:276" x14ac:dyDescent="0.3">
      <c r="A230" s="391"/>
      <c r="B230" s="391"/>
      <c r="C230" s="391"/>
      <c r="D230" s="391"/>
      <c r="E230" s="391"/>
      <c r="F230" s="391"/>
      <c r="G230" s="391"/>
      <c r="H230" s="391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/>
      <c r="AA230" s="391"/>
      <c r="AB230" s="391"/>
      <c r="AC230" s="391"/>
      <c r="AD230" s="391"/>
      <c r="AE230" s="391"/>
      <c r="AF230" s="391"/>
      <c r="AG230" s="391"/>
      <c r="AH230" s="391"/>
      <c r="AI230" s="391"/>
      <c r="AJ230" s="391"/>
      <c r="AK230" s="391"/>
      <c r="AL230" s="391"/>
      <c r="AM230" s="391"/>
      <c r="AN230" s="391"/>
      <c r="AO230" s="391"/>
      <c r="AP230" s="391"/>
      <c r="AQ230" s="391"/>
      <c r="AR230" s="391"/>
      <c r="AS230" s="391"/>
      <c r="AT230" s="391"/>
      <c r="AU230" s="391"/>
      <c r="AV230" s="391"/>
      <c r="AW230" s="391"/>
      <c r="AX230" s="391"/>
      <c r="AY230" s="391"/>
      <c r="AZ230" s="391"/>
      <c r="BA230" s="391"/>
      <c r="BB230" s="391"/>
      <c r="BC230" s="391"/>
      <c r="BD230" s="391"/>
      <c r="BE230" s="391"/>
      <c r="BF230" s="391"/>
      <c r="BG230" s="391"/>
      <c r="BH230" s="391"/>
      <c r="BI230" s="391"/>
      <c r="BJ230" s="391"/>
      <c r="BK230" s="391"/>
      <c r="BL230" s="391"/>
      <c r="BM230" s="391"/>
      <c r="BN230" s="391"/>
      <c r="BO230" s="391"/>
      <c r="BP230" s="391"/>
      <c r="BQ230" s="391"/>
      <c r="BR230" s="391"/>
      <c r="BS230" s="391"/>
      <c r="BT230" s="391"/>
      <c r="BU230" s="391"/>
      <c r="BV230" s="391"/>
      <c r="BW230" s="391"/>
      <c r="BX230" s="391"/>
      <c r="BY230" s="391"/>
      <c r="BZ230" s="391"/>
      <c r="CA230" s="391"/>
      <c r="CB230" s="391"/>
      <c r="CC230" s="391"/>
      <c r="CD230" s="391"/>
      <c r="CE230" s="391"/>
      <c r="CF230" s="391"/>
      <c r="CG230" s="391"/>
      <c r="CH230" s="391"/>
      <c r="CI230" s="391"/>
      <c r="CJ230" s="391"/>
      <c r="CK230" s="391"/>
      <c r="CL230" s="391"/>
      <c r="CM230" s="391"/>
      <c r="CN230" s="391"/>
      <c r="CO230" s="391"/>
      <c r="CP230" s="391"/>
      <c r="CQ230" s="391"/>
      <c r="CR230" s="391"/>
      <c r="CS230" s="391"/>
      <c r="CT230" s="391"/>
      <c r="CU230" s="391"/>
      <c r="CV230" s="391"/>
      <c r="CW230" s="391"/>
      <c r="CX230" s="391"/>
      <c r="CY230" s="391"/>
      <c r="CZ230" s="391"/>
      <c r="DA230" s="391"/>
      <c r="DB230" s="391"/>
      <c r="DC230" s="391"/>
      <c r="DD230" s="391"/>
      <c r="DE230" s="391"/>
      <c r="DF230" s="391"/>
      <c r="DG230" s="391"/>
      <c r="DH230" s="391"/>
      <c r="DI230" s="391"/>
      <c r="DJ230" s="391"/>
      <c r="DK230" s="391"/>
      <c r="DL230" s="391"/>
      <c r="DM230" s="391"/>
      <c r="DN230" s="391"/>
      <c r="DO230" s="391"/>
      <c r="DP230" s="391"/>
      <c r="DQ230" s="391"/>
      <c r="DR230" s="391"/>
      <c r="DS230" s="391"/>
      <c r="DT230" s="391"/>
      <c r="DU230" s="391"/>
      <c r="DV230" s="391"/>
      <c r="DW230" s="391"/>
      <c r="DX230" s="391"/>
      <c r="DY230" s="391"/>
      <c r="DZ230" s="391"/>
      <c r="EA230" s="391"/>
      <c r="EB230" s="391"/>
      <c r="EC230" s="391"/>
      <c r="ED230" s="391"/>
      <c r="EE230" s="391"/>
      <c r="EF230" s="391"/>
      <c r="EG230" s="391"/>
      <c r="EH230" s="391"/>
      <c r="EI230" s="391"/>
      <c r="EJ230" s="391"/>
      <c r="EK230" s="391"/>
      <c r="EL230" s="391"/>
      <c r="EM230" s="391"/>
      <c r="EN230" s="391"/>
      <c r="EO230" s="391"/>
      <c r="EP230" s="391"/>
      <c r="EQ230" s="391"/>
      <c r="ER230" s="391"/>
      <c r="ES230" s="391"/>
      <c r="ET230" s="391"/>
      <c r="EU230" s="391"/>
      <c r="EV230" s="391"/>
      <c r="EW230" s="391"/>
      <c r="EX230" s="391"/>
      <c r="EY230" s="391"/>
      <c r="EZ230" s="391"/>
      <c r="FA230" s="391"/>
      <c r="FB230" s="391"/>
      <c r="FC230" s="391"/>
      <c r="FD230" s="391"/>
      <c r="FE230" s="391"/>
      <c r="FF230" s="391"/>
      <c r="FG230" s="391"/>
      <c r="FH230" s="391"/>
      <c r="FI230" s="391"/>
      <c r="FJ230" s="391"/>
      <c r="FK230" s="391"/>
      <c r="FL230" s="391"/>
      <c r="FM230" s="391"/>
      <c r="FN230" s="391"/>
      <c r="FO230" s="391"/>
      <c r="FP230" s="391"/>
      <c r="FQ230" s="391"/>
      <c r="FR230" s="391"/>
      <c r="FS230" s="391"/>
      <c r="FT230" s="391"/>
      <c r="FU230" s="391"/>
      <c r="FV230" s="391"/>
      <c r="FW230" s="391"/>
      <c r="FX230" s="391"/>
      <c r="FY230" s="391"/>
      <c r="FZ230" s="391"/>
      <c r="GA230" s="391"/>
      <c r="GB230" s="391"/>
      <c r="GC230" s="391"/>
      <c r="GD230" s="391"/>
      <c r="GE230" s="391"/>
      <c r="GF230" s="391"/>
      <c r="GG230" s="391"/>
      <c r="GH230" s="391"/>
      <c r="GI230" s="391"/>
      <c r="GJ230" s="391"/>
      <c r="GK230" s="391"/>
      <c r="GL230" s="391"/>
      <c r="GM230" s="391"/>
      <c r="GN230" s="391"/>
      <c r="GO230" s="391"/>
      <c r="GP230" s="391"/>
      <c r="GQ230" s="391"/>
      <c r="GR230" s="391"/>
      <c r="GS230" s="391"/>
      <c r="GT230" s="391"/>
      <c r="GU230" s="391"/>
      <c r="GV230" s="391"/>
      <c r="GW230" s="391"/>
      <c r="GX230" s="391"/>
      <c r="GY230" s="391"/>
      <c r="GZ230" s="391"/>
      <c r="HA230" s="391"/>
      <c r="HB230" s="391"/>
      <c r="HC230" s="391"/>
      <c r="HD230" s="391"/>
      <c r="HE230" s="391"/>
      <c r="HF230" s="391"/>
      <c r="HG230" s="391"/>
      <c r="HH230" s="391"/>
      <c r="HI230" s="391"/>
      <c r="HJ230" s="391"/>
      <c r="HK230" s="391"/>
      <c r="HL230" s="391"/>
      <c r="HM230" s="391"/>
      <c r="HN230" s="391"/>
      <c r="HO230" s="391"/>
      <c r="HP230" s="391"/>
      <c r="HQ230" s="391"/>
      <c r="HR230" s="391"/>
      <c r="HS230" s="391"/>
      <c r="HT230" s="391"/>
      <c r="HU230" s="391"/>
      <c r="HV230" s="391"/>
      <c r="HW230" s="391"/>
      <c r="HX230" s="391"/>
      <c r="HY230" s="391"/>
      <c r="HZ230" s="391"/>
      <c r="IA230" s="391"/>
      <c r="IB230" s="391"/>
      <c r="IC230" s="391"/>
      <c r="ID230" s="391"/>
      <c r="IE230" s="391"/>
      <c r="IF230" s="391"/>
      <c r="IG230" s="391"/>
      <c r="IH230" s="391"/>
      <c r="II230" s="391"/>
      <c r="IJ230" s="391"/>
      <c r="IK230" s="391"/>
      <c r="IL230" s="391"/>
      <c r="IM230" s="391"/>
      <c r="IN230" s="391"/>
      <c r="IO230" s="391"/>
      <c r="IP230" s="391"/>
      <c r="IQ230" s="391"/>
      <c r="IR230" s="391"/>
      <c r="IS230" s="391"/>
      <c r="IT230" s="391"/>
      <c r="IU230" s="391"/>
      <c r="IV230" s="391"/>
      <c r="IW230" s="391"/>
      <c r="IX230" s="391"/>
      <c r="IY230" s="391"/>
      <c r="IZ230" s="391"/>
      <c r="JA230" s="391"/>
      <c r="JB230" s="391"/>
      <c r="JC230" s="391"/>
      <c r="JD230" s="391"/>
      <c r="JE230" s="391"/>
      <c r="JF230" s="391"/>
      <c r="JG230" s="391"/>
      <c r="JH230" s="391"/>
      <c r="JI230" s="393">
        <f t="shared" si="7"/>
        <v>0</v>
      </c>
      <c r="JJ230" s="2">
        <v>6840</v>
      </c>
      <c r="JK230" s="392">
        <f t="shared" si="8"/>
        <v>0</v>
      </c>
      <c r="JL230" s="391"/>
      <c r="JM230" s="392"/>
      <c r="JN230" s="392"/>
      <c r="JO230" s="392"/>
      <c r="JP230" s="392"/>
    </row>
    <row r="231" spans="1:276" x14ac:dyDescent="0.3">
      <c r="A231" s="391"/>
      <c r="B231" s="391"/>
      <c r="C231" s="391"/>
      <c r="D231" s="391"/>
      <c r="E231" s="391"/>
      <c r="F231" s="391"/>
      <c r="G231" s="391"/>
      <c r="H231" s="391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  <c r="T231" s="391"/>
      <c r="U231" s="391"/>
      <c r="V231" s="391"/>
      <c r="W231" s="391"/>
      <c r="X231" s="391"/>
      <c r="Y231" s="391"/>
      <c r="Z231" s="391"/>
      <c r="AA231" s="391"/>
      <c r="AB231" s="391"/>
      <c r="AC231" s="391"/>
      <c r="AD231" s="391"/>
      <c r="AE231" s="391"/>
      <c r="AF231" s="391"/>
      <c r="AG231" s="391"/>
      <c r="AH231" s="391"/>
      <c r="AI231" s="391"/>
      <c r="AJ231" s="391"/>
      <c r="AK231" s="391"/>
      <c r="AL231" s="391"/>
      <c r="AM231" s="391"/>
      <c r="AN231" s="391"/>
      <c r="AO231" s="391"/>
      <c r="AP231" s="391"/>
      <c r="AQ231" s="391"/>
      <c r="AR231" s="391"/>
      <c r="AS231" s="391"/>
      <c r="AT231" s="391"/>
      <c r="AU231" s="391"/>
      <c r="AV231" s="391"/>
      <c r="AW231" s="391"/>
      <c r="AX231" s="391"/>
      <c r="AY231" s="391"/>
      <c r="AZ231" s="391"/>
      <c r="BA231" s="391"/>
      <c r="BB231" s="391"/>
      <c r="BC231" s="391"/>
      <c r="BD231" s="391"/>
      <c r="BE231" s="391"/>
      <c r="BF231" s="391"/>
      <c r="BG231" s="391"/>
      <c r="BH231" s="391"/>
      <c r="BI231" s="391"/>
      <c r="BJ231" s="391"/>
      <c r="BK231" s="391"/>
      <c r="BL231" s="391"/>
      <c r="BM231" s="391"/>
      <c r="BN231" s="391"/>
      <c r="BO231" s="391"/>
      <c r="BP231" s="391"/>
      <c r="BQ231" s="391"/>
      <c r="BR231" s="391"/>
      <c r="BS231" s="391"/>
      <c r="BT231" s="391"/>
      <c r="BU231" s="391"/>
      <c r="BV231" s="391"/>
      <c r="BW231" s="391"/>
      <c r="BX231" s="391"/>
      <c r="BY231" s="391"/>
      <c r="BZ231" s="391"/>
      <c r="CA231" s="391"/>
      <c r="CB231" s="391"/>
      <c r="CC231" s="391"/>
      <c r="CD231" s="391"/>
      <c r="CE231" s="391"/>
      <c r="CF231" s="391"/>
      <c r="CG231" s="391"/>
      <c r="CH231" s="391"/>
      <c r="CI231" s="391"/>
      <c r="CJ231" s="391"/>
      <c r="CK231" s="391"/>
      <c r="CL231" s="391"/>
      <c r="CM231" s="391"/>
      <c r="CN231" s="391"/>
      <c r="CO231" s="391"/>
      <c r="CP231" s="391"/>
      <c r="CQ231" s="391"/>
      <c r="CR231" s="391"/>
      <c r="CS231" s="391"/>
      <c r="CT231" s="391"/>
      <c r="CU231" s="391"/>
      <c r="CV231" s="391"/>
      <c r="CW231" s="391"/>
      <c r="CX231" s="391"/>
      <c r="CY231" s="391"/>
      <c r="CZ231" s="391"/>
      <c r="DA231" s="391"/>
      <c r="DB231" s="391"/>
      <c r="DC231" s="391"/>
      <c r="DD231" s="391"/>
      <c r="DE231" s="391"/>
      <c r="DF231" s="391"/>
      <c r="DG231" s="391"/>
      <c r="DH231" s="391"/>
      <c r="DI231" s="391"/>
      <c r="DJ231" s="391"/>
      <c r="DK231" s="391"/>
      <c r="DL231" s="391"/>
      <c r="DM231" s="391"/>
      <c r="DN231" s="391"/>
      <c r="DO231" s="391"/>
      <c r="DP231" s="391"/>
      <c r="DQ231" s="391"/>
      <c r="DR231" s="391"/>
      <c r="DS231" s="391"/>
      <c r="DT231" s="391"/>
      <c r="DU231" s="391"/>
      <c r="DV231" s="391"/>
      <c r="DW231" s="391"/>
      <c r="DX231" s="391"/>
      <c r="DY231" s="391"/>
      <c r="DZ231" s="391"/>
      <c r="EA231" s="391"/>
      <c r="EB231" s="391"/>
      <c r="EC231" s="391"/>
      <c r="ED231" s="391"/>
      <c r="EE231" s="391"/>
      <c r="EF231" s="391"/>
      <c r="EG231" s="391"/>
      <c r="EH231" s="391"/>
      <c r="EI231" s="391"/>
      <c r="EJ231" s="391"/>
      <c r="EK231" s="391"/>
      <c r="EL231" s="391"/>
      <c r="EM231" s="391"/>
      <c r="EN231" s="391"/>
      <c r="EO231" s="391"/>
      <c r="EP231" s="391"/>
      <c r="EQ231" s="391"/>
      <c r="ER231" s="391"/>
      <c r="ES231" s="391"/>
      <c r="ET231" s="391"/>
      <c r="EU231" s="391"/>
      <c r="EV231" s="391"/>
      <c r="EW231" s="391"/>
      <c r="EX231" s="391"/>
      <c r="EY231" s="391"/>
      <c r="EZ231" s="391"/>
      <c r="FA231" s="391"/>
      <c r="FB231" s="391"/>
      <c r="FC231" s="391"/>
      <c r="FD231" s="391"/>
      <c r="FE231" s="391"/>
      <c r="FF231" s="391"/>
      <c r="FG231" s="391"/>
      <c r="FH231" s="391"/>
      <c r="FI231" s="391"/>
      <c r="FJ231" s="391"/>
      <c r="FK231" s="391"/>
      <c r="FL231" s="391"/>
      <c r="FM231" s="391"/>
      <c r="FN231" s="391"/>
      <c r="FO231" s="391"/>
      <c r="FP231" s="391"/>
      <c r="FQ231" s="391"/>
      <c r="FR231" s="391"/>
      <c r="FS231" s="391"/>
      <c r="FT231" s="391"/>
      <c r="FU231" s="391"/>
      <c r="FV231" s="391"/>
      <c r="FW231" s="391"/>
      <c r="FX231" s="391"/>
      <c r="FY231" s="391"/>
      <c r="FZ231" s="391"/>
      <c r="GA231" s="391"/>
      <c r="GB231" s="391"/>
      <c r="GC231" s="391"/>
      <c r="GD231" s="391"/>
      <c r="GE231" s="391"/>
      <c r="GF231" s="391"/>
      <c r="GG231" s="391"/>
      <c r="GH231" s="391"/>
      <c r="GI231" s="391"/>
      <c r="GJ231" s="391"/>
      <c r="GK231" s="391"/>
      <c r="GL231" s="391"/>
      <c r="GM231" s="391"/>
      <c r="GN231" s="391"/>
      <c r="GO231" s="391"/>
      <c r="GP231" s="391"/>
      <c r="GQ231" s="391"/>
      <c r="GR231" s="391"/>
      <c r="GS231" s="391"/>
      <c r="GT231" s="391"/>
      <c r="GU231" s="391"/>
      <c r="GV231" s="391"/>
      <c r="GW231" s="391"/>
      <c r="GX231" s="391"/>
      <c r="GY231" s="391"/>
      <c r="GZ231" s="391"/>
      <c r="HA231" s="391"/>
      <c r="HB231" s="391"/>
      <c r="HC231" s="391"/>
      <c r="HD231" s="391"/>
      <c r="HE231" s="391"/>
      <c r="HF231" s="391"/>
      <c r="HG231" s="391"/>
      <c r="HH231" s="391"/>
      <c r="HI231" s="391"/>
      <c r="HJ231" s="391"/>
      <c r="HK231" s="391"/>
      <c r="HL231" s="391"/>
      <c r="HM231" s="391"/>
      <c r="HN231" s="391"/>
      <c r="HO231" s="391"/>
      <c r="HP231" s="391"/>
      <c r="HQ231" s="391"/>
      <c r="HR231" s="391"/>
      <c r="HS231" s="391"/>
      <c r="HT231" s="391"/>
      <c r="HU231" s="391"/>
      <c r="HV231" s="391"/>
      <c r="HW231" s="391"/>
      <c r="HX231" s="391"/>
      <c r="HY231" s="391"/>
      <c r="HZ231" s="391"/>
      <c r="IA231" s="391"/>
      <c r="IB231" s="391"/>
      <c r="IC231" s="391"/>
      <c r="ID231" s="391"/>
      <c r="IE231" s="391"/>
      <c r="IF231" s="391"/>
      <c r="IG231" s="391"/>
      <c r="IH231" s="391"/>
      <c r="II231" s="391"/>
      <c r="IJ231" s="391"/>
      <c r="IK231" s="391"/>
      <c r="IL231" s="391"/>
      <c r="IM231" s="391"/>
      <c r="IN231" s="391"/>
      <c r="IO231" s="391"/>
      <c r="IP231" s="391"/>
      <c r="IQ231" s="391"/>
      <c r="IR231" s="391"/>
      <c r="IS231" s="391"/>
      <c r="IT231" s="391"/>
      <c r="IU231" s="391"/>
      <c r="IV231" s="391"/>
      <c r="IW231" s="391"/>
      <c r="IX231" s="391"/>
      <c r="IY231" s="391"/>
      <c r="IZ231" s="391"/>
      <c r="JA231" s="391"/>
      <c r="JB231" s="391"/>
      <c r="JC231" s="391"/>
      <c r="JD231" s="391"/>
      <c r="JE231" s="391"/>
      <c r="JF231" s="391"/>
      <c r="JG231" s="391"/>
      <c r="JH231" s="391"/>
      <c r="JI231" s="393">
        <f t="shared" si="7"/>
        <v>0</v>
      </c>
      <c r="JJ231" s="2">
        <v>6847</v>
      </c>
      <c r="JK231" s="392">
        <f t="shared" si="8"/>
        <v>0</v>
      </c>
      <c r="JL231" s="391"/>
      <c r="JM231" s="392"/>
      <c r="JN231" s="392"/>
      <c r="JO231" s="392"/>
      <c r="JP231" s="392"/>
    </row>
    <row r="232" spans="1:276" x14ac:dyDescent="0.3">
      <c r="A232" s="391"/>
      <c r="B232" s="391"/>
      <c r="C232" s="391"/>
      <c r="D232" s="391"/>
      <c r="E232" s="391"/>
      <c r="F232" s="391"/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  <c r="T232" s="391"/>
      <c r="U232" s="391"/>
      <c r="V232" s="391"/>
      <c r="W232" s="391"/>
      <c r="X232" s="391"/>
      <c r="Y232" s="391"/>
      <c r="Z232" s="391"/>
      <c r="AA232" s="391"/>
      <c r="AB232" s="391"/>
      <c r="AC232" s="391"/>
      <c r="AD232" s="391"/>
      <c r="AE232" s="391"/>
      <c r="AF232" s="391"/>
      <c r="AG232" s="391"/>
      <c r="AH232" s="391"/>
      <c r="AI232" s="391"/>
      <c r="AJ232" s="391"/>
      <c r="AK232" s="391"/>
      <c r="AL232" s="391"/>
      <c r="AM232" s="391"/>
      <c r="AN232" s="391"/>
      <c r="AO232" s="391"/>
      <c r="AP232" s="391"/>
      <c r="AQ232" s="391"/>
      <c r="AR232" s="391"/>
      <c r="AS232" s="391"/>
      <c r="AT232" s="391"/>
      <c r="AU232" s="391"/>
      <c r="AV232" s="391"/>
      <c r="AW232" s="391"/>
      <c r="AX232" s="391"/>
      <c r="AY232" s="391"/>
      <c r="AZ232" s="391"/>
      <c r="BA232" s="391"/>
      <c r="BB232" s="391"/>
      <c r="BC232" s="391"/>
      <c r="BD232" s="391"/>
      <c r="BE232" s="391"/>
      <c r="BF232" s="391"/>
      <c r="BG232" s="391"/>
      <c r="BH232" s="391"/>
      <c r="BI232" s="391"/>
      <c r="BJ232" s="391"/>
      <c r="BK232" s="391"/>
      <c r="BL232" s="391"/>
      <c r="BM232" s="391"/>
      <c r="BN232" s="391"/>
      <c r="BO232" s="391"/>
      <c r="BP232" s="391"/>
      <c r="BQ232" s="391"/>
      <c r="BR232" s="391"/>
      <c r="BS232" s="391"/>
      <c r="BT232" s="391"/>
      <c r="BU232" s="391"/>
      <c r="BV232" s="391"/>
      <c r="BW232" s="391"/>
      <c r="BX232" s="391"/>
      <c r="BY232" s="391"/>
      <c r="BZ232" s="391"/>
      <c r="CA232" s="391"/>
      <c r="CB232" s="391"/>
      <c r="CC232" s="391"/>
      <c r="CD232" s="391"/>
      <c r="CE232" s="391"/>
      <c r="CF232" s="391"/>
      <c r="CG232" s="391"/>
      <c r="CH232" s="391"/>
      <c r="CI232" s="391"/>
      <c r="CJ232" s="391"/>
      <c r="CK232" s="391"/>
      <c r="CL232" s="391"/>
      <c r="CM232" s="391"/>
      <c r="CN232" s="391"/>
      <c r="CO232" s="391"/>
      <c r="CP232" s="391"/>
      <c r="CQ232" s="391"/>
      <c r="CR232" s="391"/>
      <c r="CS232" s="391"/>
      <c r="CT232" s="391"/>
      <c r="CU232" s="391"/>
      <c r="CV232" s="391"/>
      <c r="CW232" s="391"/>
      <c r="CX232" s="391"/>
      <c r="CY232" s="391"/>
      <c r="CZ232" s="391"/>
      <c r="DA232" s="391"/>
      <c r="DB232" s="391"/>
      <c r="DC232" s="391"/>
      <c r="DD232" s="391"/>
      <c r="DE232" s="391"/>
      <c r="DF232" s="391"/>
      <c r="DG232" s="391"/>
      <c r="DH232" s="391"/>
      <c r="DI232" s="391"/>
      <c r="DJ232" s="391"/>
      <c r="DK232" s="391"/>
      <c r="DL232" s="391"/>
      <c r="DM232" s="391"/>
      <c r="DN232" s="391"/>
      <c r="DO232" s="391"/>
      <c r="DP232" s="391"/>
      <c r="DQ232" s="391"/>
      <c r="DR232" s="391"/>
      <c r="DS232" s="391"/>
      <c r="DT232" s="391"/>
      <c r="DU232" s="391"/>
      <c r="DV232" s="391"/>
      <c r="DW232" s="391"/>
      <c r="DX232" s="391"/>
      <c r="DY232" s="391"/>
      <c r="DZ232" s="391"/>
      <c r="EA232" s="391"/>
      <c r="EB232" s="391"/>
      <c r="EC232" s="391"/>
      <c r="ED232" s="391"/>
      <c r="EE232" s="391"/>
      <c r="EF232" s="391"/>
      <c r="EG232" s="391"/>
      <c r="EH232" s="391"/>
      <c r="EI232" s="391"/>
      <c r="EJ232" s="391"/>
      <c r="EK232" s="391"/>
      <c r="EL232" s="391"/>
      <c r="EM232" s="391"/>
      <c r="EN232" s="391"/>
      <c r="EO232" s="391"/>
      <c r="EP232" s="391"/>
      <c r="EQ232" s="391"/>
      <c r="ER232" s="391"/>
      <c r="ES232" s="391"/>
      <c r="ET232" s="391"/>
      <c r="EU232" s="391"/>
      <c r="EV232" s="391"/>
      <c r="EW232" s="391"/>
      <c r="EX232" s="391"/>
      <c r="EY232" s="391"/>
      <c r="EZ232" s="391"/>
      <c r="FA232" s="391"/>
      <c r="FB232" s="391"/>
      <c r="FC232" s="391"/>
      <c r="FD232" s="391"/>
      <c r="FE232" s="391"/>
      <c r="FF232" s="391"/>
      <c r="FG232" s="391"/>
      <c r="FH232" s="391"/>
      <c r="FI232" s="391"/>
      <c r="FJ232" s="391"/>
      <c r="FK232" s="391"/>
      <c r="FL232" s="391"/>
      <c r="FM232" s="391"/>
      <c r="FN232" s="391"/>
      <c r="FO232" s="391"/>
      <c r="FP232" s="391"/>
      <c r="FQ232" s="391"/>
      <c r="FR232" s="391"/>
      <c r="FS232" s="391"/>
      <c r="FT232" s="391"/>
      <c r="FU232" s="391"/>
      <c r="FV232" s="391"/>
      <c r="FW232" s="391"/>
      <c r="FX232" s="391"/>
      <c r="FY232" s="391"/>
      <c r="FZ232" s="391"/>
      <c r="GA232" s="391"/>
      <c r="GB232" s="391"/>
      <c r="GC232" s="391"/>
      <c r="GD232" s="391"/>
      <c r="GE232" s="391"/>
      <c r="GF232" s="391"/>
      <c r="GG232" s="391"/>
      <c r="GH232" s="391"/>
      <c r="GI232" s="391"/>
      <c r="GJ232" s="391"/>
      <c r="GK232" s="391"/>
      <c r="GL232" s="391"/>
      <c r="GM232" s="391"/>
      <c r="GN232" s="391"/>
      <c r="GO232" s="391"/>
      <c r="GP232" s="391"/>
      <c r="GQ232" s="391"/>
      <c r="GR232" s="391"/>
      <c r="GS232" s="391"/>
      <c r="GT232" s="391"/>
      <c r="GU232" s="391"/>
      <c r="GV232" s="391"/>
      <c r="GW232" s="391"/>
      <c r="GX232" s="391"/>
      <c r="GY232" s="391"/>
      <c r="GZ232" s="391"/>
      <c r="HA232" s="391"/>
      <c r="HB232" s="391"/>
      <c r="HC232" s="391"/>
      <c r="HD232" s="391"/>
      <c r="HE232" s="391"/>
      <c r="HF232" s="391"/>
      <c r="HG232" s="391"/>
      <c r="HH232" s="391"/>
      <c r="HI232" s="391"/>
      <c r="HJ232" s="391"/>
      <c r="HK232" s="391"/>
      <c r="HL232" s="391"/>
      <c r="HM232" s="391"/>
      <c r="HN232" s="391"/>
      <c r="HO232" s="391"/>
      <c r="HP232" s="391"/>
      <c r="HQ232" s="391"/>
      <c r="HR232" s="391"/>
      <c r="HS232" s="391"/>
      <c r="HT232" s="391"/>
      <c r="HU232" s="391"/>
      <c r="HV232" s="391"/>
      <c r="HW232" s="391"/>
      <c r="HX232" s="391"/>
      <c r="HY232" s="391"/>
      <c r="HZ232" s="391"/>
      <c r="IA232" s="391"/>
      <c r="IB232" s="391"/>
      <c r="IC232" s="391"/>
      <c r="ID232" s="391"/>
      <c r="IE232" s="391"/>
      <c r="IF232" s="391"/>
      <c r="IG232" s="391"/>
      <c r="IH232" s="391"/>
      <c r="II232" s="391"/>
      <c r="IJ232" s="391"/>
      <c r="IK232" s="391"/>
      <c r="IL232" s="391"/>
      <c r="IM232" s="391"/>
      <c r="IN232" s="391"/>
      <c r="IO232" s="391"/>
      <c r="IP232" s="391"/>
      <c r="IQ232" s="391"/>
      <c r="IR232" s="391"/>
      <c r="IS232" s="391"/>
      <c r="IT232" s="391"/>
      <c r="IU232" s="391"/>
      <c r="IV232" s="391"/>
      <c r="IW232" s="391"/>
      <c r="IX232" s="391"/>
      <c r="IY232" s="391"/>
      <c r="IZ232" s="391"/>
      <c r="JA232" s="391"/>
      <c r="JB232" s="391"/>
      <c r="JC232" s="391"/>
      <c r="JD232" s="391"/>
      <c r="JE232" s="391"/>
      <c r="JF232" s="391"/>
      <c r="JG232" s="391"/>
      <c r="JH232" s="391"/>
      <c r="JI232" s="393">
        <f t="shared" si="7"/>
        <v>0</v>
      </c>
      <c r="JJ232" s="2">
        <v>6849</v>
      </c>
      <c r="JK232" s="392">
        <f t="shared" si="8"/>
        <v>0</v>
      </c>
      <c r="JL232" s="391"/>
      <c r="JM232" s="392"/>
      <c r="JN232" s="392"/>
      <c r="JO232" s="392"/>
      <c r="JP232" s="392"/>
    </row>
    <row r="233" spans="1:276" x14ac:dyDescent="0.3">
      <c r="A233" s="391"/>
      <c r="B233" s="391"/>
      <c r="C233" s="391"/>
      <c r="D233" s="391"/>
      <c r="E233" s="391"/>
      <c r="F233" s="391"/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  <c r="T233" s="391"/>
      <c r="U233" s="391"/>
      <c r="V233" s="391"/>
      <c r="W233" s="391"/>
      <c r="X233" s="391"/>
      <c r="Y233" s="391"/>
      <c r="Z233" s="391"/>
      <c r="AA233" s="391"/>
      <c r="AB233" s="391"/>
      <c r="AC233" s="391"/>
      <c r="AD233" s="391"/>
      <c r="AE233" s="391"/>
      <c r="AF233" s="391"/>
      <c r="AG233" s="391"/>
      <c r="AH233" s="391"/>
      <c r="AI233" s="391"/>
      <c r="AJ233" s="391"/>
      <c r="AK233" s="391"/>
      <c r="AL233" s="391"/>
      <c r="AM233" s="391"/>
      <c r="AN233" s="391"/>
      <c r="AO233" s="391"/>
      <c r="AP233" s="391"/>
      <c r="AQ233" s="391"/>
      <c r="AR233" s="391"/>
      <c r="AS233" s="391"/>
      <c r="AT233" s="391"/>
      <c r="AU233" s="391"/>
      <c r="AV233" s="391"/>
      <c r="AW233" s="391"/>
      <c r="AX233" s="391"/>
      <c r="AY233" s="391"/>
      <c r="AZ233" s="391"/>
      <c r="BA233" s="391"/>
      <c r="BB233" s="391"/>
      <c r="BC233" s="391"/>
      <c r="BD233" s="391"/>
      <c r="BE233" s="391"/>
      <c r="BF233" s="391"/>
      <c r="BG233" s="391"/>
      <c r="BH233" s="391"/>
      <c r="BI233" s="391"/>
      <c r="BJ233" s="391"/>
      <c r="BK233" s="391"/>
      <c r="BL233" s="391"/>
      <c r="BM233" s="391"/>
      <c r="BN233" s="391"/>
      <c r="BO233" s="391"/>
      <c r="BP233" s="391"/>
      <c r="BQ233" s="391"/>
      <c r="BR233" s="391"/>
      <c r="BS233" s="391"/>
      <c r="BT233" s="391"/>
      <c r="BU233" s="391"/>
      <c r="BV233" s="391"/>
      <c r="BW233" s="391"/>
      <c r="BX233" s="391"/>
      <c r="BY233" s="391"/>
      <c r="BZ233" s="391"/>
      <c r="CA233" s="391"/>
      <c r="CB233" s="391"/>
      <c r="CC233" s="391"/>
      <c r="CD233" s="391"/>
      <c r="CE233" s="391"/>
      <c r="CF233" s="391"/>
      <c r="CG233" s="391"/>
      <c r="CH233" s="391"/>
      <c r="CI233" s="391"/>
      <c r="CJ233" s="391"/>
      <c r="CK233" s="391"/>
      <c r="CL233" s="391"/>
      <c r="CM233" s="391"/>
      <c r="CN233" s="391"/>
      <c r="CO233" s="391"/>
      <c r="CP233" s="391"/>
      <c r="CQ233" s="391"/>
      <c r="CR233" s="391"/>
      <c r="CS233" s="391"/>
      <c r="CT233" s="391"/>
      <c r="CU233" s="391"/>
      <c r="CV233" s="391"/>
      <c r="CW233" s="391"/>
      <c r="CX233" s="391"/>
      <c r="CY233" s="391"/>
      <c r="CZ233" s="391"/>
      <c r="DA233" s="391"/>
      <c r="DB233" s="391"/>
      <c r="DC233" s="391"/>
      <c r="DD233" s="391"/>
      <c r="DE233" s="391"/>
      <c r="DF233" s="391"/>
      <c r="DG233" s="391"/>
      <c r="DH233" s="391"/>
      <c r="DI233" s="391"/>
      <c r="DJ233" s="391"/>
      <c r="DK233" s="391"/>
      <c r="DL233" s="391"/>
      <c r="DM233" s="391"/>
      <c r="DN233" s="391"/>
      <c r="DO233" s="391"/>
      <c r="DP233" s="391"/>
      <c r="DQ233" s="391"/>
      <c r="DR233" s="391"/>
      <c r="DS233" s="391"/>
      <c r="DT233" s="391"/>
      <c r="DU233" s="391"/>
      <c r="DV233" s="391"/>
      <c r="DW233" s="391"/>
      <c r="DX233" s="391"/>
      <c r="DY233" s="391"/>
      <c r="DZ233" s="391"/>
      <c r="EA233" s="391"/>
      <c r="EB233" s="391"/>
      <c r="EC233" s="391"/>
      <c r="ED233" s="391"/>
      <c r="EE233" s="391"/>
      <c r="EF233" s="391"/>
      <c r="EG233" s="391"/>
      <c r="EH233" s="391"/>
      <c r="EI233" s="391"/>
      <c r="EJ233" s="391"/>
      <c r="EK233" s="391"/>
      <c r="EL233" s="391"/>
      <c r="EM233" s="391"/>
      <c r="EN233" s="391"/>
      <c r="EO233" s="391"/>
      <c r="EP233" s="391"/>
      <c r="EQ233" s="391"/>
      <c r="ER233" s="391"/>
      <c r="ES233" s="391"/>
      <c r="ET233" s="391"/>
      <c r="EU233" s="391"/>
      <c r="EV233" s="391"/>
      <c r="EW233" s="391"/>
      <c r="EX233" s="391"/>
      <c r="EY233" s="391"/>
      <c r="EZ233" s="391"/>
      <c r="FA233" s="391"/>
      <c r="FB233" s="391"/>
      <c r="FC233" s="391"/>
      <c r="FD233" s="391"/>
      <c r="FE233" s="391"/>
      <c r="FF233" s="391"/>
      <c r="FG233" s="391"/>
      <c r="FH233" s="391"/>
      <c r="FI233" s="391"/>
      <c r="FJ233" s="391"/>
      <c r="FK233" s="391"/>
      <c r="FL233" s="391"/>
      <c r="FM233" s="391"/>
      <c r="FN233" s="391"/>
      <c r="FO233" s="391"/>
      <c r="FP233" s="391"/>
      <c r="FQ233" s="391"/>
      <c r="FR233" s="391"/>
      <c r="FS233" s="391"/>
      <c r="FT233" s="391"/>
      <c r="FU233" s="391"/>
      <c r="FV233" s="391"/>
      <c r="FW233" s="391"/>
      <c r="FX233" s="391"/>
      <c r="FY233" s="391"/>
      <c r="FZ233" s="391"/>
      <c r="GA233" s="391"/>
      <c r="GB233" s="391"/>
      <c r="GC233" s="391"/>
      <c r="GD233" s="391"/>
      <c r="GE233" s="391"/>
      <c r="GF233" s="391"/>
      <c r="GG233" s="391"/>
      <c r="GH233" s="391"/>
      <c r="GI233" s="391"/>
      <c r="GJ233" s="391"/>
      <c r="GK233" s="391"/>
      <c r="GL233" s="391"/>
      <c r="GM233" s="391"/>
      <c r="GN233" s="391"/>
      <c r="GO233" s="391"/>
      <c r="GP233" s="391"/>
      <c r="GQ233" s="391"/>
      <c r="GR233" s="391"/>
      <c r="GS233" s="391"/>
      <c r="GT233" s="391"/>
      <c r="GU233" s="391"/>
      <c r="GV233" s="391"/>
      <c r="GW233" s="391"/>
      <c r="GX233" s="391"/>
      <c r="GY233" s="391"/>
      <c r="GZ233" s="391"/>
      <c r="HA233" s="391"/>
      <c r="HB233" s="391"/>
      <c r="HC233" s="391"/>
      <c r="HD233" s="391"/>
      <c r="HE233" s="391"/>
      <c r="HF233" s="391"/>
      <c r="HG233" s="391"/>
      <c r="HH233" s="391"/>
      <c r="HI233" s="391"/>
      <c r="HJ233" s="391"/>
      <c r="HK233" s="391"/>
      <c r="HL233" s="391"/>
      <c r="HM233" s="391"/>
      <c r="HN233" s="391"/>
      <c r="HO233" s="391"/>
      <c r="HP233" s="391"/>
      <c r="HQ233" s="391"/>
      <c r="HR233" s="391"/>
      <c r="HS233" s="391"/>
      <c r="HT233" s="391"/>
      <c r="HU233" s="391"/>
      <c r="HV233" s="391"/>
      <c r="HW233" s="391"/>
      <c r="HX233" s="391"/>
      <c r="HY233" s="391"/>
      <c r="HZ233" s="391"/>
      <c r="IA233" s="391"/>
      <c r="IB233" s="391"/>
      <c r="IC233" s="391"/>
      <c r="ID233" s="391"/>
      <c r="IE233" s="391"/>
      <c r="IF233" s="391"/>
      <c r="IG233" s="391"/>
      <c r="IH233" s="391"/>
      <c r="II233" s="391"/>
      <c r="IJ233" s="391"/>
      <c r="IK233" s="391"/>
      <c r="IL233" s="391"/>
      <c r="IM233" s="391"/>
      <c r="IN233" s="391"/>
      <c r="IO233" s="391"/>
      <c r="IP233" s="391"/>
      <c r="IQ233" s="391"/>
      <c r="IR233" s="391"/>
      <c r="IS233" s="391"/>
      <c r="IT233" s="391"/>
      <c r="IU233" s="391"/>
      <c r="IV233" s="391"/>
      <c r="IW233" s="391"/>
      <c r="IX233" s="391"/>
      <c r="IY233" s="391"/>
      <c r="IZ233" s="391"/>
      <c r="JA233" s="391"/>
      <c r="JB233" s="391"/>
      <c r="JC233" s="391"/>
      <c r="JD233" s="391"/>
      <c r="JE233" s="391"/>
      <c r="JF233" s="391"/>
      <c r="JG233" s="391"/>
      <c r="JH233" s="391"/>
      <c r="JI233" s="393">
        <f t="shared" si="7"/>
        <v>0</v>
      </c>
      <c r="JJ233" s="2">
        <v>6855</v>
      </c>
      <c r="JK233" s="392">
        <f t="shared" si="8"/>
        <v>0</v>
      </c>
      <c r="JL233" s="391"/>
      <c r="JM233" s="392"/>
      <c r="JN233" s="392"/>
      <c r="JO233" s="392"/>
      <c r="JP233" s="392"/>
    </row>
    <row r="234" spans="1:276" x14ac:dyDescent="0.3">
      <c r="A234" s="391"/>
      <c r="B234" s="391"/>
      <c r="C234" s="391"/>
      <c r="D234" s="391"/>
      <c r="E234" s="391"/>
      <c r="F234" s="391"/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  <c r="T234" s="391"/>
      <c r="U234" s="391"/>
      <c r="V234" s="391"/>
      <c r="W234" s="391"/>
      <c r="X234" s="391"/>
      <c r="Y234" s="391"/>
      <c r="Z234" s="391"/>
      <c r="AA234" s="391"/>
      <c r="AB234" s="391"/>
      <c r="AC234" s="391"/>
      <c r="AD234" s="391"/>
      <c r="AE234" s="391"/>
      <c r="AF234" s="391"/>
      <c r="AG234" s="391"/>
      <c r="AH234" s="391"/>
      <c r="AI234" s="391"/>
      <c r="AJ234" s="391"/>
      <c r="AK234" s="391"/>
      <c r="AL234" s="391"/>
      <c r="AM234" s="391"/>
      <c r="AN234" s="391"/>
      <c r="AO234" s="391"/>
      <c r="AP234" s="391"/>
      <c r="AQ234" s="391"/>
      <c r="AR234" s="391"/>
      <c r="AS234" s="391"/>
      <c r="AT234" s="391"/>
      <c r="AU234" s="391"/>
      <c r="AV234" s="391"/>
      <c r="AW234" s="391"/>
      <c r="AX234" s="391"/>
      <c r="AY234" s="391"/>
      <c r="AZ234" s="391"/>
      <c r="BA234" s="391"/>
      <c r="BB234" s="391"/>
      <c r="BC234" s="391"/>
      <c r="BD234" s="391"/>
      <c r="BE234" s="391"/>
      <c r="BF234" s="391"/>
      <c r="BG234" s="391"/>
      <c r="BH234" s="391"/>
      <c r="BI234" s="391"/>
      <c r="BJ234" s="391"/>
      <c r="BK234" s="391"/>
      <c r="BL234" s="391"/>
      <c r="BM234" s="391"/>
      <c r="BN234" s="391"/>
      <c r="BO234" s="391"/>
      <c r="BP234" s="391"/>
      <c r="BQ234" s="391"/>
      <c r="BR234" s="391"/>
      <c r="BS234" s="391"/>
      <c r="BT234" s="391"/>
      <c r="BU234" s="391"/>
      <c r="BV234" s="391"/>
      <c r="BW234" s="391"/>
      <c r="BX234" s="391"/>
      <c r="BY234" s="391"/>
      <c r="BZ234" s="391"/>
      <c r="CA234" s="391"/>
      <c r="CB234" s="391"/>
      <c r="CC234" s="391"/>
      <c r="CD234" s="391"/>
      <c r="CE234" s="391"/>
      <c r="CF234" s="391"/>
      <c r="CG234" s="391"/>
      <c r="CH234" s="391"/>
      <c r="CI234" s="391"/>
      <c r="CJ234" s="391"/>
      <c r="CK234" s="391"/>
      <c r="CL234" s="391"/>
      <c r="CM234" s="391"/>
      <c r="CN234" s="391"/>
      <c r="CO234" s="391"/>
      <c r="CP234" s="391"/>
      <c r="CQ234" s="391"/>
      <c r="CR234" s="391"/>
      <c r="CS234" s="391"/>
      <c r="CT234" s="391"/>
      <c r="CU234" s="391"/>
      <c r="CV234" s="391"/>
      <c r="CW234" s="391"/>
      <c r="CX234" s="391"/>
      <c r="CY234" s="391"/>
      <c r="CZ234" s="391"/>
      <c r="DA234" s="391"/>
      <c r="DB234" s="391"/>
      <c r="DC234" s="391"/>
      <c r="DD234" s="391"/>
      <c r="DE234" s="391"/>
      <c r="DF234" s="391"/>
      <c r="DG234" s="391"/>
      <c r="DH234" s="391"/>
      <c r="DI234" s="391"/>
      <c r="DJ234" s="391"/>
      <c r="DK234" s="391"/>
      <c r="DL234" s="391"/>
      <c r="DM234" s="391"/>
      <c r="DN234" s="391"/>
      <c r="DO234" s="391"/>
      <c r="DP234" s="391"/>
      <c r="DQ234" s="391"/>
      <c r="DR234" s="391"/>
      <c r="DS234" s="391"/>
      <c r="DT234" s="391"/>
      <c r="DU234" s="391"/>
      <c r="DV234" s="391"/>
      <c r="DW234" s="391"/>
      <c r="DX234" s="391"/>
      <c r="DY234" s="391"/>
      <c r="DZ234" s="391"/>
      <c r="EA234" s="391"/>
      <c r="EB234" s="391"/>
      <c r="EC234" s="391"/>
      <c r="ED234" s="391"/>
      <c r="EE234" s="391"/>
      <c r="EF234" s="391"/>
      <c r="EG234" s="391"/>
      <c r="EH234" s="391"/>
      <c r="EI234" s="391"/>
      <c r="EJ234" s="391"/>
      <c r="EK234" s="391"/>
      <c r="EL234" s="391"/>
      <c r="EM234" s="391"/>
      <c r="EN234" s="391"/>
      <c r="EO234" s="391"/>
      <c r="EP234" s="391"/>
      <c r="EQ234" s="391"/>
      <c r="ER234" s="391"/>
      <c r="ES234" s="391"/>
      <c r="ET234" s="391"/>
      <c r="EU234" s="391"/>
      <c r="EV234" s="391"/>
      <c r="EW234" s="391"/>
      <c r="EX234" s="391"/>
      <c r="EY234" s="391"/>
      <c r="EZ234" s="391"/>
      <c r="FA234" s="391"/>
      <c r="FB234" s="391"/>
      <c r="FC234" s="391"/>
      <c r="FD234" s="391"/>
      <c r="FE234" s="391"/>
      <c r="FF234" s="391"/>
      <c r="FG234" s="391"/>
      <c r="FH234" s="391"/>
      <c r="FI234" s="391"/>
      <c r="FJ234" s="391"/>
      <c r="FK234" s="391"/>
      <c r="FL234" s="391"/>
      <c r="FM234" s="391"/>
      <c r="FN234" s="391"/>
      <c r="FO234" s="391"/>
      <c r="FP234" s="391"/>
      <c r="FQ234" s="391"/>
      <c r="FR234" s="391"/>
      <c r="FS234" s="391"/>
      <c r="FT234" s="391"/>
      <c r="FU234" s="391"/>
      <c r="FV234" s="391"/>
      <c r="FW234" s="391"/>
      <c r="FX234" s="391"/>
      <c r="FY234" s="391"/>
      <c r="FZ234" s="391"/>
      <c r="GA234" s="391"/>
      <c r="GB234" s="391"/>
      <c r="GC234" s="391"/>
      <c r="GD234" s="391"/>
      <c r="GE234" s="391"/>
      <c r="GF234" s="391"/>
      <c r="GG234" s="391"/>
      <c r="GH234" s="391"/>
      <c r="GI234" s="391"/>
      <c r="GJ234" s="391"/>
      <c r="GK234" s="391"/>
      <c r="GL234" s="391"/>
      <c r="GM234" s="391"/>
      <c r="GN234" s="391"/>
      <c r="GO234" s="391"/>
      <c r="GP234" s="391"/>
      <c r="GQ234" s="391"/>
      <c r="GR234" s="391"/>
      <c r="GS234" s="391"/>
      <c r="GT234" s="391"/>
      <c r="GU234" s="391"/>
      <c r="GV234" s="391"/>
      <c r="GW234" s="391"/>
      <c r="GX234" s="391"/>
      <c r="GY234" s="391"/>
      <c r="GZ234" s="391"/>
      <c r="HA234" s="391"/>
      <c r="HB234" s="391"/>
      <c r="HC234" s="391"/>
      <c r="HD234" s="391"/>
      <c r="HE234" s="391"/>
      <c r="HF234" s="391"/>
      <c r="HG234" s="391"/>
      <c r="HH234" s="391"/>
      <c r="HI234" s="391"/>
      <c r="HJ234" s="391"/>
      <c r="HK234" s="391"/>
      <c r="HL234" s="391"/>
      <c r="HM234" s="391"/>
      <c r="HN234" s="391"/>
      <c r="HO234" s="391"/>
      <c r="HP234" s="391"/>
      <c r="HQ234" s="391"/>
      <c r="HR234" s="391"/>
      <c r="HS234" s="391"/>
      <c r="HT234" s="391"/>
      <c r="HU234" s="391"/>
      <c r="HV234" s="391"/>
      <c r="HW234" s="391"/>
      <c r="HX234" s="391"/>
      <c r="HY234" s="391"/>
      <c r="HZ234" s="391"/>
      <c r="IA234" s="391"/>
      <c r="IB234" s="391"/>
      <c r="IC234" s="391"/>
      <c r="ID234" s="391"/>
      <c r="IE234" s="391"/>
      <c r="IF234" s="391"/>
      <c r="IG234" s="391"/>
      <c r="IH234" s="391"/>
      <c r="II234" s="391"/>
      <c r="IJ234" s="391"/>
      <c r="IK234" s="391"/>
      <c r="IL234" s="391"/>
      <c r="IM234" s="391"/>
      <c r="IN234" s="391"/>
      <c r="IO234" s="391"/>
      <c r="IP234" s="391"/>
      <c r="IQ234" s="391"/>
      <c r="IR234" s="391"/>
      <c r="IS234" s="391"/>
      <c r="IT234" s="391"/>
      <c r="IU234" s="391"/>
      <c r="IV234" s="391"/>
      <c r="IW234" s="391"/>
      <c r="IX234" s="391"/>
      <c r="IY234" s="391"/>
      <c r="IZ234" s="391"/>
      <c r="JA234" s="391"/>
      <c r="JB234" s="391"/>
      <c r="JC234" s="391"/>
      <c r="JD234" s="391"/>
      <c r="JE234" s="391"/>
      <c r="JF234" s="391"/>
      <c r="JG234" s="391"/>
      <c r="JH234" s="391"/>
      <c r="JI234" s="393">
        <f t="shared" si="7"/>
        <v>0</v>
      </c>
      <c r="JJ234" s="2">
        <v>6856</v>
      </c>
      <c r="JK234" s="392">
        <f t="shared" si="8"/>
        <v>0</v>
      </c>
      <c r="JL234" s="391"/>
      <c r="JM234" s="392"/>
      <c r="JN234" s="392"/>
      <c r="JO234" s="392"/>
      <c r="JP234" s="392"/>
    </row>
    <row r="235" spans="1:276" x14ac:dyDescent="0.3">
      <c r="A235" s="391"/>
      <c r="B235" s="391"/>
      <c r="C235" s="391"/>
      <c r="D235" s="391"/>
      <c r="E235" s="391"/>
      <c r="F235" s="391"/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  <c r="T235" s="391"/>
      <c r="U235" s="391"/>
      <c r="V235" s="391"/>
      <c r="W235" s="391"/>
      <c r="X235" s="391"/>
      <c r="Y235" s="391"/>
      <c r="Z235" s="391"/>
      <c r="AA235" s="391"/>
      <c r="AB235" s="391"/>
      <c r="AC235" s="391"/>
      <c r="AD235" s="391"/>
      <c r="AE235" s="391"/>
      <c r="AF235" s="391"/>
      <c r="AG235" s="391"/>
      <c r="AH235" s="391"/>
      <c r="AI235" s="391"/>
      <c r="AJ235" s="391"/>
      <c r="AK235" s="391"/>
      <c r="AL235" s="391"/>
      <c r="AM235" s="391"/>
      <c r="AN235" s="391"/>
      <c r="AO235" s="391"/>
      <c r="AP235" s="391"/>
      <c r="AQ235" s="391"/>
      <c r="AR235" s="391"/>
      <c r="AS235" s="391"/>
      <c r="AT235" s="391"/>
      <c r="AU235" s="391"/>
      <c r="AV235" s="391"/>
      <c r="AW235" s="391"/>
      <c r="AX235" s="391"/>
      <c r="AY235" s="391"/>
      <c r="AZ235" s="391"/>
      <c r="BA235" s="391"/>
      <c r="BB235" s="391"/>
      <c r="BC235" s="391"/>
      <c r="BD235" s="391"/>
      <c r="BE235" s="391"/>
      <c r="BF235" s="391"/>
      <c r="BG235" s="391"/>
      <c r="BH235" s="391"/>
      <c r="BI235" s="391"/>
      <c r="BJ235" s="391"/>
      <c r="BK235" s="391"/>
      <c r="BL235" s="391"/>
      <c r="BM235" s="391"/>
      <c r="BN235" s="391"/>
      <c r="BO235" s="391"/>
      <c r="BP235" s="391"/>
      <c r="BQ235" s="391"/>
      <c r="BR235" s="391"/>
      <c r="BS235" s="391"/>
      <c r="BT235" s="391"/>
      <c r="BU235" s="391"/>
      <c r="BV235" s="391"/>
      <c r="BW235" s="391"/>
      <c r="BX235" s="391"/>
      <c r="BY235" s="391"/>
      <c r="BZ235" s="391"/>
      <c r="CA235" s="391"/>
      <c r="CB235" s="391"/>
      <c r="CC235" s="391"/>
      <c r="CD235" s="391"/>
      <c r="CE235" s="391"/>
      <c r="CF235" s="391"/>
      <c r="CG235" s="391"/>
      <c r="CH235" s="391"/>
      <c r="CI235" s="391"/>
      <c r="CJ235" s="391"/>
      <c r="CK235" s="391"/>
      <c r="CL235" s="391"/>
      <c r="CM235" s="391"/>
      <c r="CN235" s="391"/>
      <c r="CO235" s="391"/>
      <c r="CP235" s="391"/>
      <c r="CQ235" s="391"/>
      <c r="CR235" s="391"/>
      <c r="CS235" s="391"/>
      <c r="CT235" s="391"/>
      <c r="CU235" s="391"/>
      <c r="CV235" s="391"/>
      <c r="CW235" s="391"/>
      <c r="CX235" s="391"/>
      <c r="CY235" s="391"/>
      <c r="CZ235" s="391"/>
      <c r="DA235" s="391"/>
      <c r="DB235" s="391"/>
      <c r="DC235" s="391"/>
      <c r="DD235" s="391"/>
      <c r="DE235" s="391"/>
      <c r="DF235" s="391"/>
      <c r="DG235" s="391"/>
      <c r="DH235" s="391"/>
      <c r="DI235" s="391"/>
      <c r="DJ235" s="391"/>
      <c r="DK235" s="391"/>
      <c r="DL235" s="391"/>
      <c r="DM235" s="391"/>
      <c r="DN235" s="391"/>
      <c r="DO235" s="391"/>
      <c r="DP235" s="391"/>
      <c r="DQ235" s="391"/>
      <c r="DR235" s="391"/>
      <c r="DS235" s="391"/>
      <c r="DT235" s="391"/>
      <c r="DU235" s="391"/>
      <c r="DV235" s="391"/>
      <c r="DW235" s="391"/>
      <c r="DX235" s="391"/>
      <c r="DY235" s="391"/>
      <c r="DZ235" s="391"/>
      <c r="EA235" s="391"/>
      <c r="EB235" s="391"/>
      <c r="EC235" s="391"/>
      <c r="ED235" s="391"/>
      <c r="EE235" s="391"/>
      <c r="EF235" s="391"/>
      <c r="EG235" s="391"/>
      <c r="EH235" s="391"/>
      <c r="EI235" s="391"/>
      <c r="EJ235" s="391"/>
      <c r="EK235" s="391"/>
      <c r="EL235" s="391"/>
      <c r="EM235" s="391"/>
      <c r="EN235" s="391"/>
      <c r="EO235" s="391"/>
      <c r="EP235" s="391"/>
      <c r="EQ235" s="391"/>
      <c r="ER235" s="391"/>
      <c r="ES235" s="391"/>
      <c r="ET235" s="391"/>
      <c r="EU235" s="391"/>
      <c r="EV235" s="391"/>
      <c r="EW235" s="391"/>
      <c r="EX235" s="391"/>
      <c r="EY235" s="391"/>
      <c r="EZ235" s="391"/>
      <c r="FA235" s="391"/>
      <c r="FB235" s="391"/>
      <c r="FC235" s="391"/>
      <c r="FD235" s="391"/>
      <c r="FE235" s="391"/>
      <c r="FF235" s="391"/>
      <c r="FG235" s="391"/>
      <c r="FH235" s="391"/>
      <c r="FI235" s="391"/>
      <c r="FJ235" s="391"/>
      <c r="FK235" s="391"/>
      <c r="FL235" s="391"/>
      <c r="FM235" s="391"/>
      <c r="FN235" s="391"/>
      <c r="FO235" s="391"/>
      <c r="FP235" s="391"/>
      <c r="FQ235" s="391"/>
      <c r="FR235" s="391"/>
      <c r="FS235" s="391"/>
      <c r="FT235" s="391"/>
      <c r="FU235" s="391"/>
      <c r="FV235" s="391"/>
      <c r="FW235" s="391"/>
      <c r="FX235" s="391"/>
      <c r="FY235" s="391"/>
      <c r="FZ235" s="391"/>
      <c r="GA235" s="391"/>
      <c r="GB235" s="391"/>
      <c r="GC235" s="391"/>
      <c r="GD235" s="391"/>
      <c r="GE235" s="391"/>
      <c r="GF235" s="391"/>
      <c r="GG235" s="391"/>
      <c r="GH235" s="391"/>
      <c r="GI235" s="391"/>
      <c r="GJ235" s="391"/>
      <c r="GK235" s="391"/>
      <c r="GL235" s="391"/>
      <c r="GM235" s="391"/>
      <c r="GN235" s="391"/>
      <c r="GO235" s="391"/>
      <c r="GP235" s="391"/>
      <c r="GQ235" s="391"/>
      <c r="GR235" s="391"/>
      <c r="GS235" s="391"/>
      <c r="GT235" s="391"/>
      <c r="GU235" s="391"/>
      <c r="GV235" s="391"/>
      <c r="GW235" s="391"/>
      <c r="GX235" s="391"/>
      <c r="GY235" s="391"/>
      <c r="GZ235" s="391"/>
      <c r="HA235" s="391"/>
      <c r="HB235" s="391"/>
      <c r="HC235" s="391"/>
      <c r="HD235" s="391"/>
      <c r="HE235" s="391"/>
      <c r="HF235" s="391"/>
      <c r="HG235" s="391"/>
      <c r="HH235" s="391"/>
      <c r="HI235" s="391"/>
      <c r="HJ235" s="391"/>
      <c r="HK235" s="391"/>
      <c r="HL235" s="391"/>
      <c r="HM235" s="391"/>
      <c r="HN235" s="391"/>
      <c r="HO235" s="391"/>
      <c r="HP235" s="391"/>
      <c r="HQ235" s="391"/>
      <c r="HR235" s="391"/>
      <c r="HS235" s="391"/>
      <c r="HT235" s="391"/>
      <c r="HU235" s="391"/>
      <c r="HV235" s="391"/>
      <c r="HW235" s="391"/>
      <c r="HX235" s="391"/>
      <c r="HY235" s="391"/>
      <c r="HZ235" s="391"/>
      <c r="IA235" s="391"/>
      <c r="IB235" s="391"/>
      <c r="IC235" s="391"/>
      <c r="ID235" s="391"/>
      <c r="IE235" s="391"/>
      <c r="IF235" s="391"/>
      <c r="IG235" s="391"/>
      <c r="IH235" s="391"/>
      <c r="II235" s="391"/>
      <c r="IJ235" s="391"/>
      <c r="IK235" s="391"/>
      <c r="IL235" s="391"/>
      <c r="IM235" s="391"/>
      <c r="IN235" s="391"/>
      <c r="IO235" s="391"/>
      <c r="IP235" s="391"/>
      <c r="IQ235" s="391"/>
      <c r="IR235" s="391"/>
      <c r="IS235" s="391"/>
      <c r="IT235" s="391"/>
      <c r="IU235" s="391"/>
      <c r="IV235" s="391"/>
      <c r="IW235" s="391"/>
      <c r="IX235" s="391"/>
      <c r="IY235" s="391"/>
      <c r="IZ235" s="391"/>
      <c r="JA235" s="391"/>
      <c r="JB235" s="391"/>
      <c r="JC235" s="391"/>
      <c r="JD235" s="391"/>
      <c r="JE235" s="391"/>
      <c r="JF235" s="391"/>
      <c r="JG235" s="391"/>
      <c r="JH235" s="391"/>
      <c r="JI235" s="393">
        <f t="shared" si="7"/>
        <v>0</v>
      </c>
      <c r="JJ235" s="2">
        <v>6860</v>
      </c>
      <c r="JK235" s="392">
        <f t="shared" si="8"/>
        <v>0</v>
      </c>
      <c r="JL235" s="391"/>
      <c r="JM235" s="392"/>
      <c r="JN235" s="392"/>
      <c r="JO235" s="392"/>
      <c r="JP235" s="392"/>
    </row>
    <row r="236" spans="1:276" x14ac:dyDescent="0.3">
      <c r="A236" s="391"/>
      <c r="B236" s="391"/>
      <c r="C236" s="391"/>
      <c r="D236" s="391"/>
      <c r="E236" s="391"/>
      <c r="F236" s="391"/>
      <c r="G236" s="391"/>
      <c r="H236" s="391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  <c r="T236" s="391"/>
      <c r="U236" s="391"/>
      <c r="V236" s="391"/>
      <c r="W236" s="391"/>
      <c r="X236" s="391"/>
      <c r="Y236" s="391"/>
      <c r="Z236" s="391"/>
      <c r="AA236" s="391"/>
      <c r="AB236" s="391"/>
      <c r="AC236" s="391"/>
      <c r="AD236" s="391"/>
      <c r="AE236" s="391"/>
      <c r="AF236" s="391"/>
      <c r="AG236" s="391"/>
      <c r="AH236" s="391"/>
      <c r="AI236" s="391"/>
      <c r="AJ236" s="391"/>
      <c r="AK236" s="391"/>
      <c r="AL236" s="391"/>
      <c r="AM236" s="391"/>
      <c r="AN236" s="391"/>
      <c r="AO236" s="391"/>
      <c r="AP236" s="391"/>
      <c r="AQ236" s="391"/>
      <c r="AR236" s="391"/>
      <c r="AS236" s="391"/>
      <c r="AT236" s="391"/>
      <c r="AU236" s="391"/>
      <c r="AV236" s="391"/>
      <c r="AW236" s="391"/>
      <c r="AX236" s="391"/>
      <c r="AY236" s="391"/>
      <c r="AZ236" s="391"/>
      <c r="BA236" s="391"/>
      <c r="BB236" s="391"/>
      <c r="BC236" s="391"/>
      <c r="BD236" s="391"/>
      <c r="BE236" s="391"/>
      <c r="BF236" s="391"/>
      <c r="BG236" s="391"/>
      <c r="BH236" s="391"/>
      <c r="BI236" s="391"/>
      <c r="BJ236" s="391"/>
      <c r="BK236" s="391"/>
      <c r="BL236" s="391"/>
      <c r="BM236" s="391"/>
      <c r="BN236" s="391"/>
      <c r="BO236" s="391"/>
      <c r="BP236" s="391"/>
      <c r="BQ236" s="391"/>
      <c r="BR236" s="391"/>
      <c r="BS236" s="391"/>
      <c r="BT236" s="391"/>
      <c r="BU236" s="391"/>
      <c r="BV236" s="391"/>
      <c r="BW236" s="391"/>
      <c r="BX236" s="391"/>
      <c r="BY236" s="391"/>
      <c r="BZ236" s="391"/>
      <c r="CA236" s="391"/>
      <c r="CB236" s="391"/>
      <c r="CC236" s="391"/>
      <c r="CD236" s="391"/>
      <c r="CE236" s="391"/>
      <c r="CF236" s="391"/>
      <c r="CG236" s="391"/>
      <c r="CH236" s="391"/>
      <c r="CI236" s="391"/>
      <c r="CJ236" s="391"/>
      <c r="CK236" s="391"/>
      <c r="CL236" s="391"/>
      <c r="CM236" s="391"/>
      <c r="CN236" s="391"/>
      <c r="CO236" s="391"/>
      <c r="CP236" s="391"/>
      <c r="CQ236" s="391"/>
      <c r="CR236" s="391"/>
      <c r="CS236" s="391"/>
      <c r="CT236" s="391"/>
      <c r="CU236" s="391"/>
      <c r="CV236" s="391"/>
      <c r="CW236" s="391"/>
      <c r="CX236" s="391"/>
      <c r="CY236" s="391"/>
      <c r="CZ236" s="391"/>
      <c r="DA236" s="391"/>
      <c r="DB236" s="391"/>
      <c r="DC236" s="391"/>
      <c r="DD236" s="391"/>
      <c r="DE236" s="391"/>
      <c r="DF236" s="391"/>
      <c r="DG236" s="391"/>
      <c r="DH236" s="391"/>
      <c r="DI236" s="391"/>
      <c r="DJ236" s="391"/>
      <c r="DK236" s="391"/>
      <c r="DL236" s="391"/>
      <c r="DM236" s="391"/>
      <c r="DN236" s="391"/>
      <c r="DO236" s="391"/>
      <c r="DP236" s="391"/>
      <c r="DQ236" s="391"/>
      <c r="DR236" s="391"/>
      <c r="DS236" s="391"/>
      <c r="DT236" s="391"/>
      <c r="DU236" s="391"/>
      <c r="DV236" s="391"/>
      <c r="DW236" s="391"/>
      <c r="DX236" s="391"/>
      <c r="DY236" s="391"/>
      <c r="DZ236" s="391"/>
      <c r="EA236" s="391"/>
      <c r="EB236" s="391"/>
      <c r="EC236" s="391"/>
      <c r="ED236" s="391"/>
      <c r="EE236" s="391"/>
      <c r="EF236" s="391"/>
      <c r="EG236" s="391"/>
      <c r="EH236" s="391"/>
      <c r="EI236" s="391"/>
      <c r="EJ236" s="391"/>
      <c r="EK236" s="391"/>
      <c r="EL236" s="391"/>
      <c r="EM236" s="391"/>
      <c r="EN236" s="391"/>
      <c r="EO236" s="391"/>
      <c r="EP236" s="391"/>
      <c r="EQ236" s="391"/>
      <c r="ER236" s="391"/>
      <c r="ES236" s="391"/>
      <c r="ET236" s="391"/>
      <c r="EU236" s="391"/>
      <c r="EV236" s="391"/>
      <c r="EW236" s="391"/>
      <c r="EX236" s="391"/>
      <c r="EY236" s="391"/>
      <c r="EZ236" s="391"/>
      <c r="FA236" s="391"/>
      <c r="FB236" s="391"/>
      <c r="FC236" s="391"/>
      <c r="FD236" s="391"/>
      <c r="FE236" s="391"/>
      <c r="FF236" s="391"/>
      <c r="FG236" s="391"/>
      <c r="FH236" s="391"/>
      <c r="FI236" s="391"/>
      <c r="FJ236" s="391"/>
      <c r="FK236" s="391"/>
      <c r="FL236" s="391"/>
      <c r="FM236" s="391"/>
      <c r="FN236" s="391"/>
      <c r="FO236" s="391"/>
      <c r="FP236" s="391"/>
      <c r="FQ236" s="391"/>
      <c r="FR236" s="391"/>
      <c r="FS236" s="391"/>
      <c r="FT236" s="391"/>
      <c r="FU236" s="391"/>
      <c r="FV236" s="391"/>
      <c r="FW236" s="391"/>
      <c r="FX236" s="391"/>
      <c r="FY236" s="391"/>
      <c r="FZ236" s="391"/>
      <c r="GA236" s="391"/>
      <c r="GB236" s="391"/>
      <c r="GC236" s="391"/>
      <c r="GD236" s="391"/>
      <c r="GE236" s="391"/>
      <c r="GF236" s="391"/>
      <c r="GG236" s="391"/>
      <c r="GH236" s="391"/>
      <c r="GI236" s="391"/>
      <c r="GJ236" s="391"/>
      <c r="GK236" s="391"/>
      <c r="GL236" s="391"/>
      <c r="GM236" s="391"/>
      <c r="GN236" s="391"/>
      <c r="GO236" s="391"/>
      <c r="GP236" s="391"/>
      <c r="GQ236" s="391"/>
      <c r="GR236" s="391"/>
      <c r="GS236" s="391"/>
      <c r="GT236" s="391"/>
      <c r="GU236" s="391"/>
      <c r="GV236" s="391"/>
      <c r="GW236" s="391"/>
      <c r="GX236" s="391"/>
      <c r="GY236" s="391"/>
      <c r="GZ236" s="391"/>
      <c r="HA236" s="391"/>
      <c r="HB236" s="391"/>
      <c r="HC236" s="391"/>
      <c r="HD236" s="391"/>
      <c r="HE236" s="391"/>
      <c r="HF236" s="391"/>
      <c r="HG236" s="391"/>
      <c r="HH236" s="391"/>
      <c r="HI236" s="391"/>
      <c r="HJ236" s="391"/>
      <c r="HK236" s="391"/>
      <c r="HL236" s="391"/>
      <c r="HM236" s="391"/>
      <c r="HN236" s="391"/>
      <c r="HO236" s="391"/>
      <c r="HP236" s="391"/>
      <c r="HQ236" s="391"/>
      <c r="HR236" s="391"/>
      <c r="HS236" s="391"/>
      <c r="HT236" s="391"/>
      <c r="HU236" s="391"/>
      <c r="HV236" s="391"/>
      <c r="HW236" s="391"/>
      <c r="HX236" s="391"/>
      <c r="HY236" s="391"/>
      <c r="HZ236" s="391"/>
      <c r="IA236" s="391"/>
      <c r="IB236" s="391"/>
      <c r="IC236" s="391"/>
      <c r="ID236" s="391"/>
      <c r="IE236" s="391"/>
      <c r="IF236" s="391"/>
      <c r="IG236" s="391"/>
      <c r="IH236" s="391"/>
      <c r="II236" s="391"/>
      <c r="IJ236" s="391"/>
      <c r="IK236" s="391"/>
      <c r="IL236" s="391"/>
      <c r="IM236" s="391"/>
      <c r="IN236" s="391"/>
      <c r="IO236" s="391"/>
      <c r="IP236" s="391"/>
      <c r="IQ236" s="391"/>
      <c r="IR236" s="391"/>
      <c r="IS236" s="391"/>
      <c r="IT236" s="391"/>
      <c r="IU236" s="391"/>
      <c r="IV236" s="391"/>
      <c r="IW236" s="391"/>
      <c r="IX236" s="391"/>
      <c r="IY236" s="391"/>
      <c r="IZ236" s="391"/>
      <c r="JA236" s="391"/>
      <c r="JB236" s="391"/>
      <c r="JC236" s="391"/>
      <c r="JD236" s="391"/>
      <c r="JE236" s="391"/>
      <c r="JF236" s="391"/>
      <c r="JG236" s="391"/>
      <c r="JH236" s="391"/>
      <c r="JI236" s="393">
        <f t="shared" si="7"/>
        <v>0</v>
      </c>
      <c r="JJ236" s="2">
        <v>6867</v>
      </c>
      <c r="JK236" s="392">
        <f t="shared" si="8"/>
        <v>0</v>
      </c>
      <c r="JL236" s="391"/>
      <c r="JM236" s="392"/>
      <c r="JN236" s="392"/>
      <c r="JO236" s="392"/>
      <c r="JP236" s="392"/>
    </row>
    <row r="237" spans="1:276" x14ac:dyDescent="0.3">
      <c r="A237" s="391"/>
      <c r="B237" s="391"/>
      <c r="C237" s="391"/>
      <c r="D237" s="391"/>
      <c r="E237" s="391"/>
      <c r="F237" s="391"/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  <c r="T237" s="391"/>
      <c r="U237" s="391"/>
      <c r="V237" s="391"/>
      <c r="W237" s="391"/>
      <c r="X237" s="391"/>
      <c r="Y237" s="391"/>
      <c r="Z237" s="391"/>
      <c r="AA237" s="391"/>
      <c r="AB237" s="391"/>
      <c r="AC237" s="391"/>
      <c r="AD237" s="391"/>
      <c r="AE237" s="391"/>
      <c r="AF237" s="391"/>
      <c r="AG237" s="391"/>
      <c r="AH237" s="391"/>
      <c r="AI237" s="391"/>
      <c r="AJ237" s="391"/>
      <c r="AK237" s="391"/>
      <c r="AL237" s="391"/>
      <c r="AM237" s="391"/>
      <c r="AN237" s="391"/>
      <c r="AO237" s="391"/>
      <c r="AP237" s="391"/>
      <c r="AQ237" s="391"/>
      <c r="AR237" s="391"/>
      <c r="AS237" s="391"/>
      <c r="AT237" s="391"/>
      <c r="AU237" s="391"/>
      <c r="AV237" s="391"/>
      <c r="AW237" s="391"/>
      <c r="AX237" s="391"/>
      <c r="AY237" s="391"/>
      <c r="AZ237" s="391"/>
      <c r="BA237" s="391"/>
      <c r="BB237" s="391"/>
      <c r="BC237" s="391"/>
      <c r="BD237" s="391"/>
      <c r="BE237" s="391"/>
      <c r="BF237" s="391"/>
      <c r="BG237" s="391"/>
      <c r="BH237" s="391"/>
      <c r="BI237" s="391"/>
      <c r="BJ237" s="391"/>
      <c r="BK237" s="391"/>
      <c r="BL237" s="391"/>
      <c r="BM237" s="391"/>
      <c r="BN237" s="391"/>
      <c r="BO237" s="391"/>
      <c r="BP237" s="391"/>
      <c r="BQ237" s="391"/>
      <c r="BR237" s="391"/>
      <c r="BS237" s="391"/>
      <c r="BT237" s="391"/>
      <c r="BU237" s="391"/>
      <c r="BV237" s="391"/>
      <c r="BW237" s="391"/>
      <c r="BX237" s="391"/>
      <c r="BY237" s="391"/>
      <c r="BZ237" s="391"/>
      <c r="CA237" s="391"/>
      <c r="CB237" s="391"/>
      <c r="CC237" s="391"/>
      <c r="CD237" s="391"/>
      <c r="CE237" s="391"/>
      <c r="CF237" s="391"/>
      <c r="CG237" s="391"/>
      <c r="CH237" s="391"/>
      <c r="CI237" s="391"/>
      <c r="CJ237" s="391"/>
      <c r="CK237" s="391"/>
      <c r="CL237" s="391"/>
      <c r="CM237" s="391"/>
      <c r="CN237" s="391"/>
      <c r="CO237" s="391"/>
      <c r="CP237" s="391"/>
      <c r="CQ237" s="391"/>
      <c r="CR237" s="391"/>
      <c r="CS237" s="391"/>
      <c r="CT237" s="391"/>
      <c r="CU237" s="391"/>
      <c r="CV237" s="391"/>
      <c r="CW237" s="391"/>
      <c r="CX237" s="391"/>
      <c r="CY237" s="391"/>
      <c r="CZ237" s="391"/>
      <c r="DA237" s="391"/>
      <c r="DB237" s="391"/>
      <c r="DC237" s="391"/>
      <c r="DD237" s="391"/>
      <c r="DE237" s="391"/>
      <c r="DF237" s="391"/>
      <c r="DG237" s="391"/>
      <c r="DH237" s="391"/>
      <c r="DI237" s="391"/>
      <c r="DJ237" s="391"/>
      <c r="DK237" s="391"/>
      <c r="DL237" s="391"/>
      <c r="DM237" s="391"/>
      <c r="DN237" s="391"/>
      <c r="DO237" s="391"/>
      <c r="DP237" s="391"/>
      <c r="DQ237" s="391"/>
      <c r="DR237" s="391"/>
      <c r="DS237" s="391"/>
      <c r="DT237" s="391"/>
      <c r="DU237" s="391"/>
      <c r="DV237" s="391"/>
      <c r="DW237" s="391"/>
      <c r="DX237" s="391"/>
      <c r="DY237" s="391"/>
      <c r="DZ237" s="391"/>
      <c r="EA237" s="391"/>
      <c r="EB237" s="391"/>
      <c r="EC237" s="391"/>
      <c r="ED237" s="391"/>
      <c r="EE237" s="391"/>
      <c r="EF237" s="391"/>
      <c r="EG237" s="391"/>
      <c r="EH237" s="391"/>
      <c r="EI237" s="391"/>
      <c r="EJ237" s="391"/>
      <c r="EK237" s="391"/>
      <c r="EL237" s="391"/>
      <c r="EM237" s="391"/>
      <c r="EN237" s="391"/>
      <c r="EO237" s="391"/>
      <c r="EP237" s="391"/>
      <c r="EQ237" s="391"/>
      <c r="ER237" s="391"/>
      <c r="ES237" s="391"/>
      <c r="ET237" s="391"/>
      <c r="EU237" s="391"/>
      <c r="EV237" s="391"/>
      <c r="EW237" s="391"/>
      <c r="EX237" s="391"/>
      <c r="EY237" s="391"/>
      <c r="EZ237" s="391"/>
      <c r="FA237" s="391"/>
      <c r="FB237" s="391"/>
      <c r="FC237" s="391"/>
      <c r="FD237" s="391"/>
      <c r="FE237" s="391"/>
      <c r="FF237" s="391"/>
      <c r="FG237" s="391"/>
      <c r="FH237" s="391"/>
      <c r="FI237" s="391"/>
      <c r="FJ237" s="391"/>
      <c r="FK237" s="391"/>
      <c r="FL237" s="391"/>
      <c r="FM237" s="391"/>
      <c r="FN237" s="391"/>
      <c r="FO237" s="391"/>
      <c r="FP237" s="391"/>
      <c r="FQ237" s="391"/>
      <c r="FR237" s="391"/>
      <c r="FS237" s="391"/>
      <c r="FT237" s="391"/>
      <c r="FU237" s="391"/>
      <c r="FV237" s="391"/>
      <c r="FW237" s="391"/>
      <c r="FX237" s="391"/>
      <c r="FY237" s="391"/>
      <c r="FZ237" s="391"/>
      <c r="GA237" s="391"/>
      <c r="GB237" s="391"/>
      <c r="GC237" s="391"/>
      <c r="GD237" s="391"/>
      <c r="GE237" s="391"/>
      <c r="GF237" s="391"/>
      <c r="GG237" s="391"/>
      <c r="GH237" s="391"/>
      <c r="GI237" s="391"/>
      <c r="GJ237" s="391"/>
      <c r="GK237" s="391"/>
      <c r="GL237" s="391"/>
      <c r="GM237" s="391"/>
      <c r="GN237" s="391"/>
      <c r="GO237" s="391"/>
      <c r="GP237" s="391"/>
      <c r="GQ237" s="391"/>
      <c r="GR237" s="391"/>
      <c r="GS237" s="391"/>
      <c r="GT237" s="391"/>
      <c r="GU237" s="391"/>
      <c r="GV237" s="391"/>
      <c r="GW237" s="391"/>
      <c r="GX237" s="391"/>
      <c r="GY237" s="391"/>
      <c r="GZ237" s="391"/>
      <c r="HA237" s="391"/>
      <c r="HB237" s="391"/>
      <c r="HC237" s="391"/>
      <c r="HD237" s="391"/>
      <c r="HE237" s="391"/>
      <c r="HF237" s="391"/>
      <c r="HG237" s="391"/>
      <c r="HH237" s="391"/>
      <c r="HI237" s="391"/>
      <c r="HJ237" s="391"/>
      <c r="HK237" s="391"/>
      <c r="HL237" s="391"/>
      <c r="HM237" s="391"/>
      <c r="HN237" s="391"/>
      <c r="HO237" s="391"/>
      <c r="HP237" s="391"/>
      <c r="HQ237" s="391"/>
      <c r="HR237" s="391"/>
      <c r="HS237" s="391"/>
      <c r="HT237" s="391"/>
      <c r="HU237" s="391"/>
      <c r="HV237" s="391"/>
      <c r="HW237" s="391"/>
      <c r="HX237" s="391"/>
      <c r="HY237" s="391"/>
      <c r="HZ237" s="391"/>
      <c r="IA237" s="391"/>
      <c r="IB237" s="391"/>
      <c r="IC237" s="391"/>
      <c r="ID237" s="391"/>
      <c r="IE237" s="391"/>
      <c r="IF237" s="391"/>
      <c r="IG237" s="391"/>
      <c r="IH237" s="391"/>
      <c r="II237" s="391"/>
      <c r="IJ237" s="391"/>
      <c r="IK237" s="391"/>
      <c r="IL237" s="391"/>
      <c r="IM237" s="391"/>
      <c r="IN237" s="391"/>
      <c r="IO237" s="391"/>
      <c r="IP237" s="391"/>
      <c r="IQ237" s="391"/>
      <c r="IR237" s="391"/>
      <c r="IS237" s="391"/>
      <c r="IT237" s="391"/>
      <c r="IU237" s="391"/>
      <c r="IV237" s="391"/>
      <c r="IW237" s="391"/>
      <c r="IX237" s="391"/>
      <c r="IY237" s="391"/>
      <c r="IZ237" s="391"/>
      <c r="JA237" s="391"/>
      <c r="JB237" s="391"/>
      <c r="JC237" s="391"/>
      <c r="JD237" s="391"/>
      <c r="JE237" s="391"/>
      <c r="JF237" s="391"/>
      <c r="JG237" s="391"/>
      <c r="JH237" s="391"/>
      <c r="JI237" s="393">
        <f t="shared" si="7"/>
        <v>0</v>
      </c>
      <c r="JJ237" s="2">
        <v>6868</v>
      </c>
      <c r="JK237" s="392">
        <f t="shared" si="8"/>
        <v>0</v>
      </c>
      <c r="JL237" s="391"/>
      <c r="JM237" s="392"/>
      <c r="JN237" s="392"/>
      <c r="JO237" s="392"/>
      <c r="JP237" s="392"/>
    </row>
    <row r="238" spans="1:276" x14ac:dyDescent="0.3">
      <c r="A238" s="391"/>
      <c r="B238" s="391"/>
      <c r="C238" s="391"/>
      <c r="D238" s="391"/>
      <c r="E238" s="391"/>
      <c r="F238" s="391"/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  <c r="T238" s="391"/>
      <c r="U238" s="391"/>
      <c r="V238" s="391"/>
      <c r="W238" s="391"/>
      <c r="X238" s="391"/>
      <c r="Y238" s="391"/>
      <c r="Z238" s="391"/>
      <c r="AA238" s="391"/>
      <c r="AB238" s="391"/>
      <c r="AC238" s="391"/>
      <c r="AD238" s="391"/>
      <c r="AE238" s="391"/>
      <c r="AF238" s="391"/>
      <c r="AG238" s="391"/>
      <c r="AH238" s="391"/>
      <c r="AI238" s="391"/>
      <c r="AJ238" s="391"/>
      <c r="AK238" s="391"/>
      <c r="AL238" s="391"/>
      <c r="AM238" s="391"/>
      <c r="AN238" s="391"/>
      <c r="AO238" s="391"/>
      <c r="AP238" s="391"/>
      <c r="AQ238" s="391"/>
      <c r="AR238" s="391"/>
      <c r="AS238" s="391"/>
      <c r="AT238" s="391"/>
      <c r="AU238" s="391"/>
      <c r="AV238" s="391"/>
      <c r="AW238" s="391"/>
      <c r="AX238" s="391"/>
      <c r="AY238" s="391"/>
      <c r="AZ238" s="391"/>
      <c r="BA238" s="391"/>
      <c r="BB238" s="391"/>
      <c r="BC238" s="391"/>
      <c r="BD238" s="391"/>
      <c r="BE238" s="391"/>
      <c r="BF238" s="391"/>
      <c r="BG238" s="391"/>
      <c r="BH238" s="391"/>
      <c r="BI238" s="391"/>
      <c r="BJ238" s="391"/>
      <c r="BK238" s="391"/>
      <c r="BL238" s="391"/>
      <c r="BM238" s="391"/>
      <c r="BN238" s="391"/>
      <c r="BO238" s="391"/>
      <c r="BP238" s="391"/>
      <c r="BQ238" s="391"/>
      <c r="BR238" s="391"/>
      <c r="BS238" s="391"/>
      <c r="BT238" s="391"/>
      <c r="BU238" s="391"/>
      <c r="BV238" s="391"/>
      <c r="BW238" s="391"/>
      <c r="BX238" s="391"/>
      <c r="BY238" s="391"/>
      <c r="BZ238" s="391"/>
      <c r="CA238" s="391"/>
      <c r="CB238" s="391"/>
      <c r="CC238" s="391"/>
      <c r="CD238" s="391"/>
      <c r="CE238" s="391"/>
      <c r="CF238" s="391"/>
      <c r="CG238" s="391"/>
      <c r="CH238" s="391"/>
      <c r="CI238" s="391"/>
      <c r="CJ238" s="391"/>
      <c r="CK238" s="391"/>
      <c r="CL238" s="391"/>
      <c r="CM238" s="391"/>
      <c r="CN238" s="391"/>
      <c r="CO238" s="391"/>
      <c r="CP238" s="391"/>
      <c r="CQ238" s="391"/>
      <c r="CR238" s="391"/>
      <c r="CS238" s="391"/>
      <c r="CT238" s="391"/>
      <c r="CU238" s="391"/>
      <c r="CV238" s="391"/>
      <c r="CW238" s="391"/>
      <c r="CX238" s="391"/>
      <c r="CY238" s="391"/>
      <c r="CZ238" s="391"/>
      <c r="DA238" s="391"/>
      <c r="DB238" s="391"/>
      <c r="DC238" s="391"/>
      <c r="DD238" s="391"/>
      <c r="DE238" s="391"/>
      <c r="DF238" s="391"/>
      <c r="DG238" s="391"/>
      <c r="DH238" s="391"/>
      <c r="DI238" s="391"/>
      <c r="DJ238" s="391"/>
      <c r="DK238" s="391"/>
      <c r="DL238" s="391"/>
      <c r="DM238" s="391"/>
      <c r="DN238" s="391"/>
      <c r="DO238" s="391"/>
      <c r="DP238" s="391"/>
      <c r="DQ238" s="391"/>
      <c r="DR238" s="391"/>
      <c r="DS238" s="391"/>
      <c r="DT238" s="391"/>
      <c r="DU238" s="391"/>
      <c r="DV238" s="391"/>
      <c r="DW238" s="391"/>
      <c r="DX238" s="391"/>
      <c r="DY238" s="391"/>
      <c r="DZ238" s="391"/>
      <c r="EA238" s="391"/>
      <c r="EB238" s="391"/>
      <c r="EC238" s="391"/>
      <c r="ED238" s="391"/>
      <c r="EE238" s="391"/>
      <c r="EF238" s="391"/>
      <c r="EG238" s="391"/>
      <c r="EH238" s="391"/>
      <c r="EI238" s="391"/>
      <c r="EJ238" s="391"/>
      <c r="EK238" s="391"/>
      <c r="EL238" s="391"/>
      <c r="EM238" s="391"/>
      <c r="EN238" s="391"/>
      <c r="EO238" s="391"/>
      <c r="EP238" s="391"/>
      <c r="EQ238" s="391"/>
      <c r="ER238" s="391"/>
      <c r="ES238" s="391"/>
      <c r="ET238" s="391"/>
      <c r="EU238" s="391"/>
      <c r="EV238" s="391"/>
      <c r="EW238" s="391"/>
      <c r="EX238" s="391"/>
      <c r="EY238" s="391"/>
      <c r="EZ238" s="391"/>
      <c r="FA238" s="391"/>
      <c r="FB238" s="391"/>
      <c r="FC238" s="391"/>
      <c r="FD238" s="391"/>
      <c r="FE238" s="391"/>
      <c r="FF238" s="391"/>
      <c r="FG238" s="391"/>
      <c r="FH238" s="391"/>
      <c r="FI238" s="391"/>
      <c r="FJ238" s="391"/>
      <c r="FK238" s="391"/>
      <c r="FL238" s="391"/>
      <c r="FM238" s="391"/>
      <c r="FN238" s="391"/>
      <c r="FO238" s="391"/>
      <c r="FP238" s="391"/>
      <c r="FQ238" s="391"/>
      <c r="FR238" s="391"/>
      <c r="FS238" s="391"/>
      <c r="FT238" s="391"/>
      <c r="FU238" s="391"/>
      <c r="FV238" s="391"/>
      <c r="FW238" s="391"/>
      <c r="FX238" s="391"/>
      <c r="FY238" s="391"/>
      <c r="FZ238" s="391"/>
      <c r="GA238" s="391"/>
      <c r="GB238" s="391"/>
      <c r="GC238" s="391"/>
      <c r="GD238" s="391"/>
      <c r="GE238" s="391"/>
      <c r="GF238" s="391"/>
      <c r="GG238" s="391"/>
      <c r="GH238" s="391"/>
      <c r="GI238" s="391"/>
      <c r="GJ238" s="391"/>
      <c r="GK238" s="391"/>
      <c r="GL238" s="391"/>
      <c r="GM238" s="391"/>
      <c r="GN238" s="391"/>
      <c r="GO238" s="391"/>
      <c r="GP238" s="391"/>
      <c r="GQ238" s="391"/>
      <c r="GR238" s="391"/>
      <c r="GS238" s="391"/>
      <c r="GT238" s="391"/>
      <c r="GU238" s="391"/>
      <c r="GV238" s="391"/>
      <c r="GW238" s="391"/>
      <c r="GX238" s="391"/>
      <c r="GY238" s="391"/>
      <c r="GZ238" s="391"/>
      <c r="HA238" s="391"/>
      <c r="HB238" s="391"/>
      <c r="HC238" s="391"/>
      <c r="HD238" s="391"/>
      <c r="HE238" s="391"/>
      <c r="HF238" s="391"/>
      <c r="HG238" s="391"/>
      <c r="HH238" s="391"/>
      <c r="HI238" s="391"/>
      <c r="HJ238" s="391"/>
      <c r="HK238" s="391"/>
      <c r="HL238" s="391"/>
      <c r="HM238" s="391"/>
      <c r="HN238" s="391"/>
      <c r="HO238" s="391"/>
      <c r="HP238" s="391"/>
      <c r="HQ238" s="391"/>
      <c r="HR238" s="391"/>
      <c r="HS238" s="391"/>
      <c r="HT238" s="391"/>
      <c r="HU238" s="391"/>
      <c r="HV238" s="391"/>
      <c r="HW238" s="391"/>
      <c r="HX238" s="391"/>
      <c r="HY238" s="391"/>
      <c r="HZ238" s="391"/>
      <c r="IA238" s="391"/>
      <c r="IB238" s="391"/>
      <c r="IC238" s="391"/>
      <c r="ID238" s="391"/>
      <c r="IE238" s="391"/>
      <c r="IF238" s="391"/>
      <c r="IG238" s="391"/>
      <c r="IH238" s="391"/>
      <c r="II238" s="391"/>
      <c r="IJ238" s="391"/>
      <c r="IK238" s="391"/>
      <c r="IL238" s="391"/>
      <c r="IM238" s="391"/>
      <c r="IN238" s="391"/>
      <c r="IO238" s="391"/>
      <c r="IP238" s="391"/>
      <c r="IQ238" s="391"/>
      <c r="IR238" s="391"/>
      <c r="IS238" s="391"/>
      <c r="IT238" s="391"/>
      <c r="IU238" s="391"/>
      <c r="IV238" s="391"/>
      <c r="IW238" s="391"/>
      <c r="IX238" s="391"/>
      <c r="IY238" s="391"/>
      <c r="IZ238" s="391"/>
      <c r="JA238" s="391"/>
      <c r="JB238" s="391"/>
      <c r="JC238" s="391"/>
      <c r="JD238" s="391"/>
      <c r="JE238" s="391"/>
      <c r="JF238" s="391"/>
      <c r="JG238" s="391"/>
      <c r="JH238" s="391"/>
      <c r="JI238" s="393">
        <f t="shared" si="7"/>
        <v>0</v>
      </c>
      <c r="JJ238" s="2">
        <v>6872</v>
      </c>
      <c r="JK238" s="392">
        <f t="shared" si="8"/>
        <v>0</v>
      </c>
      <c r="JL238" s="391"/>
      <c r="JM238" s="392"/>
      <c r="JN238" s="392"/>
      <c r="JO238" s="392"/>
      <c r="JP238" s="392"/>
    </row>
    <row r="239" spans="1:276" x14ac:dyDescent="0.3">
      <c r="A239" s="391"/>
      <c r="B239" s="391"/>
      <c r="C239" s="391"/>
      <c r="D239" s="391"/>
      <c r="E239" s="391"/>
      <c r="F239" s="391"/>
      <c r="G239" s="391"/>
      <c r="H239" s="391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  <c r="T239" s="391"/>
      <c r="U239" s="391"/>
      <c r="V239" s="391"/>
      <c r="W239" s="391"/>
      <c r="X239" s="391"/>
      <c r="Y239" s="391"/>
      <c r="Z239" s="391"/>
      <c r="AA239" s="391"/>
      <c r="AB239" s="391"/>
      <c r="AC239" s="391"/>
      <c r="AD239" s="391"/>
      <c r="AE239" s="391"/>
      <c r="AF239" s="391"/>
      <c r="AG239" s="391"/>
      <c r="AH239" s="391"/>
      <c r="AI239" s="391"/>
      <c r="AJ239" s="391"/>
      <c r="AK239" s="391"/>
      <c r="AL239" s="391"/>
      <c r="AM239" s="391"/>
      <c r="AN239" s="391"/>
      <c r="AO239" s="391"/>
      <c r="AP239" s="391"/>
      <c r="AQ239" s="391"/>
      <c r="AR239" s="391"/>
      <c r="AS239" s="391"/>
      <c r="AT239" s="391"/>
      <c r="AU239" s="391"/>
      <c r="AV239" s="391"/>
      <c r="AW239" s="391"/>
      <c r="AX239" s="391"/>
      <c r="AY239" s="391"/>
      <c r="AZ239" s="391"/>
      <c r="BA239" s="391"/>
      <c r="BB239" s="391"/>
      <c r="BC239" s="391"/>
      <c r="BD239" s="391"/>
      <c r="BE239" s="391"/>
      <c r="BF239" s="391"/>
      <c r="BG239" s="391"/>
      <c r="BH239" s="391"/>
      <c r="BI239" s="391"/>
      <c r="BJ239" s="391"/>
      <c r="BK239" s="391"/>
      <c r="BL239" s="391"/>
      <c r="BM239" s="391"/>
      <c r="BN239" s="391"/>
      <c r="BO239" s="391"/>
      <c r="BP239" s="391"/>
      <c r="BQ239" s="391"/>
      <c r="BR239" s="391"/>
      <c r="BS239" s="391"/>
      <c r="BT239" s="391"/>
      <c r="BU239" s="391"/>
      <c r="BV239" s="391"/>
      <c r="BW239" s="391"/>
      <c r="BX239" s="391"/>
      <c r="BY239" s="391"/>
      <c r="BZ239" s="391"/>
      <c r="CA239" s="391"/>
      <c r="CB239" s="391"/>
      <c r="CC239" s="391"/>
      <c r="CD239" s="391"/>
      <c r="CE239" s="391"/>
      <c r="CF239" s="391"/>
      <c r="CG239" s="391"/>
      <c r="CH239" s="391"/>
      <c r="CI239" s="391"/>
      <c r="CJ239" s="391"/>
      <c r="CK239" s="391"/>
      <c r="CL239" s="391"/>
      <c r="CM239" s="391"/>
      <c r="CN239" s="391"/>
      <c r="CO239" s="391"/>
      <c r="CP239" s="391"/>
      <c r="CQ239" s="391"/>
      <c r="CR239" s="391"/>
      <c r="CS239" s="391"/>
      <c r="CT239" s="391"/>
      <c r="CU239" s="391"/>
      <c r="CV239" s="391"/>
      <c r="CW239" s="391"/>
      <c r="CX239" s="391"/>
      <c r="CY239" s="391"/>
      <c r="CZ239" s="391"/>
      <c r="DA239" s="391"/>
      <c r="DB239" s="391"/>
      <c r="DC239" s="391"/>
      <c r="DD239" s="391"/>
      <c r="DE239" s="391"/>
      <c r="DF239" s="391"/>
      <c r="DG239" s="391"/>
      <c r="DH239" s="391"/>
      <c r="DI239" s="391"/>
      <c r="DJ239" s="391"/>
      <c r="DK239" s="391"/>
      <c r="DL239" s="391"/>
      <c r="DM239" s="391"/>
      <c r="DN239" s="391"/>
      <c r="DO239" s="391"/>
      <c r="DP239" s="391"/>
      <c r="DQ239" s="391"/>
      <c r="DR239" s="391"/>
      <c r="DS239" s="391"/>
      <c r="DT239" s="391"/>
      <c r="DU239" s="391"/>
      <c r="DV239" s="391"/>
      <c r="DW239" s="391"/>
      <c r="DX239" s="391"/>
      <c r="DY239" s="391"/>
      <c r="DZ239" s="391"/>
      <c r="EA239" s="391"/>
      <c r="EB239" s="391"/>
      <c r="EC239" s="391"/>
      <c r="ED239" s="391"/>
      <c r="EE239" s="391"/>
      <c r="EF239" s="391"/>
      <c r="EG239" s="391"/>
      <c r="EH239" s="391"/>
      <c r="EI239" s="391"/>
      <c r="EJ239" s="391"/>
      <c r="EK239" s="391"/>
      <c r="EL239" s="391"/>
      <c r="EM239" s="391"/>
      <c r="EN239" s="391"/>
      <c r="EO239" s="391"/>
      <c r="EP239" s="391"/>
      <c r="EQ239" s="391"/>
      <c r="ER239" s="391"/>
      <c r="ES239" s="391"/>
      <c r="ET239" s="391"/>
      <c r="EU239" s="391"/>
      <c r="EV239" s="391"/>
      <c r="EW239" s="391"/>
      <c r="EX239" s="391"/>
      <c r="EY239" s="391"/>
      <c r="EZ239" s="391"/>
      <c r="FA239" s="391"/>
      <c r="FB239" s="391"/>
      <c r="FC239" s="391"/>
      <c r="FD239" s="391"/>
      <c r="FE239" s="391"/>
      <c r="FF239" s="391"/>
      <c r="FG239" s="391"/>
      <c r="FH239" s="391"/>
      <c r="FI239" s="391"/>
      <c r="FJ239" s="391"/>
      <c r="FK239" s="391"/>
      <c r="FL239" s="391"/>
      <c r="FM239" s="391"/>
      <c r="FN239" s="391"/>
      <c r="FO239" s="391"/>
      <c r="FP239" s="391"/>
      <c r="FQ239" s="391"/>
      <c r="FR239" s="391"/>
      <c r="FS239" s="391"/>
      <c r="FT239" s="391"/>
      <c r="FU239" s="391"/>
      <c r="FV239" s="391"/>
      <c r="FW239" s="391"/>
      <c r="FX239" s="391"/>
      <c r="FY239" s="391"/>
      <c r="FZ239" s="391"/>
      <c r="GA239" s="391"/>
      <c r="GB239" s="391"/>
      <c r="GC239" s="391"/>
      <c r="GD239" s="391"/>
      <c r="GE239" s="391"/>
      <c r="GF239" s="391"/>
      <c r="GG239" s="391"/>
      <c r="GH239" s="391"/>
      <c r="GI239" s="391"/>
      <c r="GJ239" s="391"/>
      <c r="GK239" s="391"/>
      <c r="GL239" s="391"/>
      <c r="GM239" s="391"/>
      <c r="GN239" s="391"/>
      <c r="GO239" s="391"/>
      <c r="GP239" s="391"/>
      <c r="GQ239" s="391"/>
      <c r="GR239" s="391"/>
      <c r="GS239" s="391"/>
      <c r="GT239" s="391"/>
      <c r="GU239" s="391"/>
      <c r="GV239" s="391"/>
      <c r="GW239" s="391"/>
      <c r="GX239" s="391"/>
      <c r="GY239" s="391"/>
      <c r="GZ239" s="391"/>
      <c r="HA239" s="391"/>
      <c r="HB239" s="391"/>
      <c r="HC239" s="391"/>
      <c r="HD239" s="391"/>
      <c r="HE239" s="391"/>
      <c r="HF239" s="391"/>
      <c r="HG239" s="391"/>
      <c r="HH239" s="391"/>
      <c r="HI239" s="391"/>
      <c r="HJ239" s="391"/>
      <c r="HK239" s="391"/>
      <c r="HL239" s="391"/>
      <c r="HM239" s="391"/>
      <c r="HN239" s="391"/>
      <c r="HO239" s="391"/>
      <c r="HP239" s="391"/>
      <c r="HQ239" s="391"/>
      <c r="HR239" s="391"/>
      <c r="HS239" s="391"/>
      <c r="HT239" s="391"/>
      <c r="HU239" s="391"/>
      <c r="HV239" s="391"/>
      <c r="HW239" s="391"/>
      <c r="HX239" s="391"/>
      <c r="HY239" s="391"/>
      <c r="HZ239" s="391"/>
      <c r="IA239" s="391"/>
      <c r="IB239" s="391"/>
      <c r="IC239" s="391"/>
      <c r="ID239" s="391"/>
      <c r="IE239" s="391"/>
      <c r="IF239" s="391"/>
      <c r="IG239" s="391"/>
      <c r="IH239" s="391"/>
      <c r="II239" s="391"/>
      <c r="IJ239" s="391"/>
      <c r="IK239" s="391"/>
      <c r="IL239" s="391"/>
      <c r="IM239" s="391"/>
      <c r="IN239" s="391"/>
      <c r="IO239" s="391"/>
      <c r="IP239" s="391"/>
      <c r="IQ239" s="391"/>
      <c r="IR239" s="391"/>
      <c r="IS239" s="391"/>
      <c r="IT239" s="391"/>
      <c r="IU239" s="391"/>
      <c r="IV239" s="391"/>
      <c r="IW239" s="391"/>
      <c r="IX239" s="391"/>
      <c r="IY239" s="391"/>
      <c r="IZ239" s="391"/>
      <c r="JA239" s="391"/>
      <c r="JB239" s="391"/>
      <c r="JC239" s="391"/>
      <c r="JD239" s="391"/>
      <c r="JE239" s="391"/>
      <c r="JF239" s="391"/>
      <c r="JG239" s="391"/>
      <c r="JH239" s="391"/>
      <c r="JI239" s="393">
        <f t="shared" si="7"/>
        <v>0</v>
      </c>
      <c r="JJ239" s="2">
        <v>6879</v>
      </c>
      <c r="JK239" s="392">
        <f t="shared" si="8"/>
        <v>0</v>
      </c>
      <c r="JL239" s="391"/>
      <c r="JM239" s="392"/>
      <c r="JN239" s="392"/>
      <c r="JO239" s="392"/>
      <c r="JP239" s="392"/>
    </row>
    <row r="240" spans="1:276" x14ac:dyDescent="0.3">
      <c r="A240" s="391"/>
      <c r="B240" s="391"/>
      <c r="C240" s="391"/>
      <c r="D240" s="391"/>
      <c r="E240" s="391"/>
      <c r="F240" s="391"/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  <c r="W240" s="391"/>
      <c r="X240" s="391"/>
      <c r="Y240" s="391"/>
      <c r="Z240" s="391"/>
      <c r="AA240" s="391"/>
      <c r="AB240" s="391"/>
      <c r="AC240" s="391"/>
      <c r="AD240" s="391"/>
      <c r="AE240" s="391"/>
      <c r="AF240" s="391"/>
      <c r="AG240" s="391"/>
      <c r="AH240" s="391"/>
      <c r="AI240" s="391"/>
      <c r="AJ240" s="391"/>
      <c r="AK240" s="391"/>
      <c r="AL240" s="391"/>
      <c r="AM240" s="391"/>
      <c r="AN240" s="391"/>
      <c r="AO240" s="391"/>
      <c r="AP240" s="391"/>
      <c r="AQ240" s="391"/>
      <c r="AR240" s="391"/>
      <c r="AS240" s="391"/>
      <c r="AT240" s="391"/>
      <c r="AU240" s="391"/>
      <c r="AV240" s="391"/>
      <c r="AW240" s="391"/>
      <c r="AX240" s="391"/>
      <c r="AY240" s="391"/>
      <c r="AZ240" s="391"/>
      <c r="BA240" s="391"/>
      <c r="BB240" s="391"/>
      <c r="BC240" s="391"/>
      <c r="BD240" s="391"/>
      <c r="BE240" s="391"/>
      <c r="BF240" s="391"/>
      <c r="BG240" s="391"/>
      <c r="BH240" s="391"/>
      <c r="BI240" s="391"/>
      <c r="BJ240" s="391"/>
      <c r="BK240" s="391"/>
      <c r="BL240" s="391"/>
      <c r="BM240" s="391"/>
      <c r="BN240" s="391"/>
      <c r="BO240" s="391"/>
      <c r="BP240" s="391"/>
      <c r="BQ240" s="391"/>
      <c r="BR240" s="391"/>
      <c r="BS240" s="391"/>
      <c r="BT240" s="391"/>
      <c r="BU240" s="391"/>
      <c r="BV240" s="391"/>
      <c r="BW240" s="391"/>
      <c r="BX240" s="391"/>
      <c r="BY240" s="391"/>
      <c r="BZ240" s="391"/>
      <c r="CA240" s="391"/>
      <c r="CB240" s="391"/>
      <c r="CC240" s="391"/>
      <c r="CD240" s="391"/>
      <c r="CE240" s="391"/>
      <c r="CF240" s="391"/>
      <c r="CG240" s="391"/>
      <c r="CH240" s="391"/>
      <c r="CI240" s="391"/>
      <c r="CJ240" s="391"/>
      <c r="CK240" s="391"/>
      <c r="CL240" s="391"/>
      <c r="CM240" s="391"/>
      <c r="CN240" s="391"/>
      <c r="CO240" s="391"/>
      <c r="CP240" s="391"/>
      <c r="CQ240" s="391"/>
      <c r="CR240" s="391"/>
      <c r="CS240" s="391"/>
      <c r="CT240" s="391"/>
      <c r="CU240" s="391"/>
      <c r="CV240" s="391"/>
      <c r="CW240" s="391"/>
      <c r="CX240" s="391"/>
      <c r="CY240" s="391"/>
      <c r="CZ240" s="391"/>
      <c r="DA240" s="391"/>
      <c r="DB240" s="391"/>
      <c r="DC240" s="391"/>
      <c r="DD240" s="391"/>
      <c r="DE240" s="391"/>
      <c r="DF240" s="391"/>
      <c r="DG240" s="391"/>
      <c r="DH240" s="391"/>
      <c r="DI240" s="391"/>
      <c r="DJ240" s="391"/>
      <c r="DK240" s="391"/>
      <c r="DL240" s="391"/>
      <c r="DM240" s="391"/>
      <c r="DN240" s="391"/>
      <c r="DO240" s="391"/>
      <c r="DP240" s="391"/>
      <c r="DQ240" s="391"/>
      <c r="DR240" s="391"/>
      <c r="DS240" s="391"/>
      <c r="DT240" s="391"/>
      <c r="DU240" s="391"/>
      <c r="DV240" s="391"/>
      <c r="DW240" s="391"/>
      <c r="DX240" s="391"/>
      <c r="DY240" s="391"/>
      <c r="DZ240" s="391"/>
      <c r="EA240" s="391"/>
      <c r="EB240" s="391"/>
      <c r="EC240" s="391"/>
      <c r="ED240" s="391"/>
      <c r="EE240" s="391"/>
      <c r="EF240" s="391"/>
      <c r="EG240" s="391"/>
      <c r="EH240" s="391"/>
      <c r="EI240" s="391"/>
      <c r="EJ240" s="391"/>
      <c r="EK240" s="391"/>
      <c r="EL240" s="391"/>
      <c r="EM240" s="391"/>
      <c r="EN240" s="391"/>
      <c r="EO240" s="391"/>
      <c r="EP240" s="391"/>
      <c r="EQ240" s="391"/>
      <c r="ER240" s="391"/>
      <c r="ES240" s="391"/>
      <c r="ET240" s="391"/>
      <c r="EU240" s="391"/>
      <c r="EV240" s="391"/>
      <c r="EW240" s="391"/>
      <c r="EX240" s="391"/>
      <c r="EY240" s="391"/>
      <c r="EZ240" s="391"/>
      <c r="FA240" s="391"/>
      <c r="FB240" s="391"/>
      <c r="FC240" s="391"/>
      <c r="FD240" s="391"/>
      <c r="FE240" s="391"/>
      <c r="FF240" s="391"/>
      <c r="FG240" s="391"/>
      <c r="FH240" s="391"/>
      <c r="FI240" s="391"/>
      <c r="FJ240" s="391"/>
      <c r="FK240" s="391"/>
      <c r="FL240" s="391"/>
      <c r="FM240" s="391"/>
      <c r="FN240" s="391"/>
      <c r="FO240" s="391"/>
      <c r="FP240" s="391"/>
      <c r="FQ240" s="391"/>
      <c r="FR240" s="391"/>
      <c r="FS240" s="391"/>
      <c r="FT240" s="391"/>
      <c r="FU240" s="391"/>
      <c r="FV240" s="391"/>
      <c r="FW240" s="391"/>
      <c r="FX240" s="391"/>
      <c r="FY240" s="391"/>
      <c r="FZ240" s="391"/>
      <c r="GA240" s="391"/>
      <c r="GB240" s="391"/>
      <c r="GC240" s="391"/>
      <c r="GD240" s="391"/>
      <c r="GE240" s="391"/>
      <c r="GF240" s="391"/>
      <c r="GG240" s="391"/>
      <c r="GH240" s="391"/>
      <c r="GI240" s="391"/>
      <c r="GJ240" s="391"/>
      <c r="GK240" s="391"/>
      <c r="GL240" s="391"/>
      <c r="GM240" s="391"/>
      <c r="GN240" s="391"/>
      <c r="GO240" s="391"/>
      <c r="GP240" s="391"/>
      <c r="GQ240" s="391"/>
      <c r="GR240" s="391"/>
      <c r="GS240" s="391"/>
      <c r="GT240" s="391"/>
      <c r="GU240" s="391"/>
      <c r="GV240" s="391"/>
      <c r="GW240" s="391"/>
      <c r="GX240" s="391"/>
      <c r="GY240" s="391"/>
      <c r="GZ240" s="391"/>
      <c r="HA240" s="391"/>
      <c r="HB240" s="391"/>
      <c r="HC240" s="391"/>
      <c r="HD240" s="391"/>
      <c r="HE240" s="391"/>
      <c r="HF240" s="391"/>
      <c r="HG240" s="391"/>
      <c r="HH240" s="391"/>
      <c r="HI240" s="391"/>
      <c r="HJ240" s="391"/>
      <c r="HK240" s="391"/>
      <c r="HL240" s="391"/>
      <c r="HM240" s="391"/>
      <c r="HN240" s="391"/>
      <c r="HO240" s="391"/>
      <c r="HP240" s="391"/>
      <c r="HQ240" s="391"/>
      <c r="HR240" s="391"/>
      <c r="HS240" s="391"/>
      <c r="HT240" s="391"/>
      <c r="HU240" s="391"/>
      <c r="HV240" s="391"/>
      <c r="HW240" s="391"/>
      <c r="HX240" s="391"/>
      <c r="HY240" s="391"/>
      <c r="HZ240" s="391"/>
      <c r="IA240" s="391"/>
      <c r="IB240" s="391"/>
      <c r="IC240" s="391"/>
      <c r="ID240" s="391"/>
      <c r="IE240" s="391"/>
      <c r="IF240" s="391"/>
      <c r="IG240" s="391"/>
      <c r="IH240" s="391"/>
      <c r="II240" s="391"/>
      <c r="IJ240" s="391"/>
      <c r="IK240" s="391"/>
      <c r="IL240" s="391"/>
      <c r="IM240" s="391"/>
      <c r="IN240" s="391"/>
      <c r="IO240" s="391"/>
      <c r="IP240" s="391"/>
      <c r="IQ240" s="391"/>
      <c r="IR240" s="391"/>
      <c r="IS240" s="391"/>
      <c r="IT240" s="391"/>
      <c r="IU240" s="391"/>
      <c r="IV240" s="391"/>
      <c r="IW240" s="391"/>
      <c r="IX240" s="391"/>
      <c r="IY240" s="391"/>
      <c r="IZ240" s="391"/>
      <c r="JA240" s="391"/>
      <c r="JB240" s="391"/>
      <c r="JC240" s="391"/>
      <c r="JD240" s="391"/>
      <c r="JE240" s="391"/>
      <c r="JF240" s="391"/>
      <c r="JG240" s="391"/>
      <c r="JH240" s="391"/>
      <c r="JI240" s="393">
        <f t="shared" si="7"/>
        <v>0</v>
      </c>
      <c r="JJ240" s="2">
        <v>6883</v>
      </c>
      <c r="JK240" s="392">
        <f t="shared" si="8"/>
        <v>0</v>
      </c>
      <c r="JL240" s="391"/>
      <c r="JM240" s="392"/>
      <c r="JN240" s="392"/>
      <c r="JO240" s="392"/>
      <c r="JP240" s="392"/>
    </row>
    <row r="241" spans="1:276" x14ac:dyDescent="0.3">
      <c r="A241" s="391"/>
      <c r="B241" s="391"/>
      <c r="C241" s="391"/>
      <c r="D241" s="391"/>
      <c r="E241" s="391"/>
      <c r="F241" s="391"/>
      <c r="G241" s="391"/>
      <c r="H241" s="391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  <c r="T241" s="391"/>
      <c r="U241" s="391"/>
      <c r="V241" s="391"/>
      <c r="W241" s="391"/>
      <c r="X241" s="391"/>
      <c r="Y241" s="391"/>
      <c r="Z241" s="391"/>
      <c r="AA241" s="391"/>
      <c r="AB241" s="391"/>
      <c r="AC241" s="391"/>
      <c r="AD241" s="391"/>
      <c r="AE241" s="391"/>
      <c r="AF241" s="391"/>
      <c r="AG241" s="391"/>
      <c r="AH241" s="391"/>
      <c r="AI241" s="391"/>
      <c r="AJ241" s="391"/>
      <c r="AK241" s="391"/>
      <c r="AL241" s="391"/>
      <c r="AM241" s="391"/>
      <c r="AN241" s="391"/>
      <c r="AO241" s="391"/>
      <c r="AP241" s="391"/>
      <c r="AQ241" s="391"/>
      <c r="AR241" s="391"/>
      <c r="AS241" s="391"/>
      <c r="AT241" s="391"/>
      <c r="AU241" s="391"/>
      <c r="AV241" s="391"/>
      <c r="AW241" s="391"/>
      <c r="AX241" s="391"/>
      <c r="AY241" s="391"/>
      <c r="AZ241" s="391"/>
      <c r="BA241" s="391"/>
      <c r="BB241" s="391"/>
      <c r="BC241" s="391"/>
      <c r="BD241" s="391"/>
      <c r="BE241" s="391"/>
      <c r="BF241" s="391"/>
      <c r="BG241" s="391"/>
      <c r="BH241" s="391"/>
      <c r="BI241" s="391"/>
      <c r="BJ241" s="391"/>
      <c r="BK241" s="391"/>
      <c r="BL241" s="391"/>
      <c r="BM241" s="391"/>
      <c r="BN241" s="391"/>
      <c r="BO241" s="391"/>
      <c r="BP241" s="391"/>
      <c r="BQ241" s="391"/>
      <c r="BR241" s="391"/>
      <c r="BS241" s="391"/>
      <c r="BT241" s="391"/>
      <c r="BU241" s="391"/>
      <c r="BV241" s="391"/>
      <c r="BW241" s="391"/>
      <c r="BX241" s="391"/>
      <c r="BY241" s="391"/>
      <c r="BZ241" s="391"/>
      <c r="CA241" s="391"/>
      <c r="CB241" s="391"/>
      <c r="CC241" s="391"/>
      <c r="CD241" s="391"/>
      <c r="CE241" s="391"/>
      <c r="CF241" s="391"/>
      <c r="CG241" s="391"/>
      <c r="CH241" s="391"/>
      <c r="CI241" s="391"/>
      <c r="CJ241" s="391"/>
      <c r="CK241" s="391"/>
      <c r="CL241" s="391"/>
      <c r="CM241" s="391"/>
      <c r="CN241" s="391"/>
      <c r="CO241" s="391"/>
      <c r="CP241" s="391"/>
      <c r="CQ241" s="391"/>
      <c r="CR241" s="391"/>
      <c r="CS241" s="391"/>
      <c r="CT241" s="391"/>
      <c r="CU241" s="391"/>
      <c r="CV241" s="391"/>
      <c r="CW241" s="391"/>
      <c r="CX241" s="391"/>
      <c r="CY241" s="391"/>
      <c r="CZ241" s="391"/>
      <c r="DA241" s="391"/>
      <c r="DB241" s="391"/>
      <c r="DC241" s="391"/>
      <c r="DD241" s="391"/>
      <c r="DE241" s="391"/>
      <c r="DF241" s="391"/>
      <c r="DG241" s="391"/>
      <c r="DH241" s="391"/>
      <c r="DI241" s="391"/>
      <c r="DJ241" s="391"/>
      <c r="DK241" s="391"/>
      <c r="DL241" s="391"/>
      <c r="DM241" s="391"/>
      <c r="DN241" s="391"/>
      <c r="DO241" s="391"/>
      <c r="DP241" s="391"/>
      <c r="DQ241" s="391"/>
      <c r="DR241" s="391"/>
      <c r="DS241" s="391"/>
      <c r="DT241" s="391"/>
      <c r="DU241" s="391"/>
      <c r="DV241" s="391"/>
      <c r="DW241" s="391"/>
      <c r="DX241" s="391"/>
      <c r="DY241" s="391"/>
      <c r="DZ241" s="391"/>
      <c r="EA241" s="391"/>
      <c r="EB241" s="391"/>
      <c r="EC241" s="391"/>
      <c r="ED241" s="391"/>
      <c r="EE241" s="391"/>
      <c r="EF241" s="391"/>
      <c r="EG241" s="391"/>
      <c r="EH241" s="391"/>
      <c r="EI241" s="391"/>
      <c r="EJ241" s="391"/>
      <c r="EK241" s="391"/>
      <c r="EL241" s="391"/>
      <c r="EM241" s="391"/>
      <c r="EN241" s="391"/>
      <c r="EO241" s="391"/>
      <c r="EP241" s="391"/>
      <c r="EQ241" s="391"/>
      <c r="ER241" s="391"/>
      <c r="ES241" s="391"/>
      <c r="ET241" s="391"/>
      <c r="EU241" s="391"/>
      <c r="EV241" s="391"/>
      <c r="EW241" s="391"/>
      <c r="EX241" s="391"/>
      <c r="EY241" s="391"/>
      <c r="EZ241" s="391"/>
      <c r="FA241" s="391"/>
      <c r="FB241" s="391"/>
      <c r="FC241" s="391"/>
      <c r="FD241" s="391"/>
      <c r="FE241" s="391"/>
      <c r="FF241" s="391"/>
      <c r="FG241" s="391"/>
      <c r="FH241" s="391"/>
      <c r="FI241" s="391"/>
      <c r="FJ241" s="391"/>
      <c r="FK241" s="391"/>
      <c r="FL241" s="391"/>
      <c r="FM241" s="391"/>
      <c r="FN241" s="391"/>
      <c r="FO241" s="391"/>
      <c r="FP241" s="391"/>
      <c r="FQ241" s="391"/>
      <c r="FR241" s="391"/>
      <c r="FS241" s="391"/>
      <c r="FT241" s="391"/>
      <c r="FU241" s="391"/>
      <c r="FV241" s="391"/>
      <c r="FW241" s="391"/>
      <c r="FX241" s="391"/>
      <c r="FY241" s="391"/>
      <c r="FZ241" s="391"/>
      <c r="GA241" s="391"/>
      <c r="GB241" s="391"/>
      <c r="GC241" s="391"/>
      <c r="GD241" s="391"/>
      <c r="GE241" s="391"/>
      <c r="GF241" s="391"/>
      <c r="GG241" s="391"/>
      <c r="GH241" s="391"/>
      <c r="GI241" s="391"/>
      <c r="GJ241" s="391"/>
      <c r="GK241" s="391"/>
      <c r="GL241" s="391"/>
      <c r="GM241" s="391"/>
      <c r="GN241" s="391"/>
      <c r="GO241" s="391"/>
      <c r="GP241" s="391"/>
      <c r="GQ241" s="391"/>
      <c r="GR241" s="391"/>
      <c r="GS241" s="391"/>
      <c r="GT241" s="391"/>
      <c r="GU241" s="391"/>
      <c r="GV241" s="391"/>
      <c r="GW241" s="391"/>
      <c r="GX241" s="391"/>
      <c r="GY241" s="391"/>
      <c r="GZ241" s="391"/>
      <c r="HA241" s="391"/>
      <c r="HB241" s="391"/>
      <c r="HC241" s="391"/>
      <c r="HD241" s="391"/>
      <c r="HE241" s="391"/>
      <c r="HF241" s="391"/>
      <c r="HG241" s="391"/>
      <c r="HH241" s="391"/>
      <c r="HI241" s="391"/>
      <c r="HJ241" s="391"/>
      <c r="HK241" s="391"/>
      <c r="HL241" s="391"/>
      <c r="HM241" s="391"/>
      <c r="HN241" s="391"/>
      <c r="HO241" s="391"/>
      <c r="HP241" s="391"/>
      <c r="HQ241" s="391"/>
      <c r="HR241" s="391"/>
      <c r="HS241" s="391"/>
      <c r="HT241" s="391"/>
      <c r="HU241" s="391"/>
      <c r="HV241" s="391"/>
      <c r="HW241" s="391"/>
      <c r="HX241" s="391"/>
      <c r="HY241" s="391"/>
      <c r="HZ241" s="391"/>
      <c r="IA241" s="391"/>
      <c r="IB241" s="391"/>
      <c r="IC241" s="391"/>
      <c r="ID241" s="391"/>
      <c r="IE241" s="391"/>
      <c r="IF241" s="391"/>
      <c r="IG241" s="391"/>
      <c r="IH241" s="391"/>
      <c r="II241" s="391"/>
      <c r="IJ241" s="391"/>
      <c r="IK241" s="391"/>
      <c r="IL241" s="391"/>
      <c r="IM241" s="391"/>
      <c r="IN241" s="391"/>
      <c r="IO241" s="391"/>
      <c r="IP241" s="391"/>
      <c r="IQ241" s="391"/>
      <c r="IR241" s="391"/>
      <c r="IS241" s="391"/>
      <c r="IT241" s="391"/>
      <c r="IU241" s="391"/>
      <c r="IV241" s="391"/>
      <c r="IW241" s="391"/>
      <c r="IX241" s="391"/>
      <c r="IY241" s="391"/>
      <c r="IZ241" s="391"/>
      <c r="JA241" s="391"/>
      <c r="JB241" s="391"/>
      <c r="JC241" s="391"/>
      <c r="JD241" s="391"/>
      <c r="JE241" s="391"/>
      <c r="JF241" s="391"/>
      <c r="JG241" s="391"/>
      <c r="JH241" s="391"/>
      <c r="JI241" s="393">
        <f t="shared" si="7"/>
        <v>0</v>
      </c>
      <c r="JJ241" s="2">
        <v>6888</v>
      </c>
      <c r="JK241" s="392">
        <f t="shared" si="8"/>
        <v>0</v>
      </c>
      <c r="JL241" s="391"/>
      <c r="JM241" s="392"/>
      <c r="JN241" s="392"/>
      <c r="JO241" s="392"/>
      <c r="JP241" s="392"/>
    </row>
    <row r="242" spans="1:276" x14ac:dyDescent="0.3">
      <c r="A242" s="391"/>
      <c r="B242" s="391"/>
      <c r="C242" s="391"/>
      <c r="D242" s="391"/>
      <c r="E242" s="391"/>
      <c r="F242" s="391"/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  <c r="W242" s="391"/>
      <c r="X242" s="391"/>
      <c r="Y242" s="391"/>
      <c r="Z242" s="391"/>
      <c r="AA242" s="391"/>
      <c r="AB242" s="391"/>
      <c r="AC242" s="391"/>
      <c r="AD242" s="391"/>
      <c r="AE242" s="391"/>
      <c r="AF242" s="391"/>
      <c r="AG242" s="391"/>
      <c r="AH242" s="391"/>
      <c r="AI242" s="391"/>
      <c r="AJ242" s="391"/>
      <c r="AK242" s="391"/>
      <c r="AL242" s="391"/>
      <c r="AM242" s="391"/>
      <c r="AN242" s="391"/>
      <c r="AO242" s="391"/>
      <c r="AP242" s="391"/>
      <c r="AQ242" s="391"/>
      <c r="AR242" s="391"/>
      <c r="AS242" s="391"/>
      <c r="AT242" s="391"/>
      <c r="AU242" s="391"/>
      <c r="AV242" s="391"/>
      <c r="AW242" s="391"/>
      <c r="AX242" s="391"/>
      <c r="AY242" s="391"/>
      <c r="AZ242" s="391"/>
      <c r="BA242" s="391"/>
      <c r="BB242" s="391"/>
      <c r="BC242" s="391"/>
      <c r="BD242" s="391"/>
      <c r="BE242" s="391"/>
      <c r="BF242" s="391"/>
      <c r="BG242" s="391"/>
      <c r="BH242" s="391"/>
      <c r="BI242" s="391"/>
      <c r="BJ242" s="391"/>
      <c r="BK242" s="391"/>
      <c r="BL242" s="391"/>
      <c r="BM242" s="391"/>
      <c r="BN242" s="391"/>
      <c r="BO242" s="391"/>
      <c r="BP242" s="391"/>
      <c r="BQ242" s="391"/>
      <c r="BR242" s="391"/>
      <c r="BS242" s="391"/>
      <c r="BT242" s="391"/>
      <c r="BU242" s="391"/>
      <c r="BV242" s="391"/>
      <c r="BW242" s="391"/>
      <c r="BX242" s="391"/>
      <c r="BY242" s="391"/>
      <c r="BZ242" s="391"/>
      <c r="CA242" s="391"/>
      <c r="CB242" s="391"/>
      <c r="CC242" s="391"/>
      <c r="CD242" s="391"/>
      <c r="CE242" s="391"/>
      <c r="CF242" s="391"/>
      <c r="CG242" s="391"/>
      <c r="CH242" s="391"/>
      <c r="CI242" s="391"/>
      <c r="CJ242" s="391"/>
      <c r="CK242" s="391"/>
      <c r="CL242" s="391"/>
      <c r="CM242" s="391"/>
      <c r="CN242" s="391"/>
      <c r="CO242" s="391"/>
      <c r="CP242" s="391"/>
      <c r="CQ242" s="391"/>
      <c r="CR242" s="391"/>
      <c r="CS242" s="391"/>
      <c r="CT242" s="391"/>
      <c r="CU242" s="391"/>
      <c r="CV242" s="391"/>
      <c r="CW242" s="391"/>
      <c r="CX242" s="391"/>
      <c r="CY242" s="391"/>
      <c r="CZ242" s="391"/>
      <c r="DA242" s="391"/>
      <c r="DB242" s="391"/>
      <c r="DC242" s="391"/>
      <c r="DD242" s="391"/>
      <c r="DE242" s="391"/>
      <c r="DF242" s="391"/>
      <c r="DG242" s="391"/>
      <c r="DH242" s="391"/>
      <c r="DI242" s="391"/>
      <c r="DJ242" s="391"/>
      <c r="DK242" s="391"/>
      <c r="DL242" s="391"/>
      <c r="DM242" s="391"/>
      <c r="DN242" s="391"/>
      <c r="DO242" s="391"/>
      <c r="DP242" s="391"/>
      <c r="DQ242" s="391"/>
      <c r="DR242" s="391"/>
      <c r="DS242" s="391"/>
      <c r="DT242" s="391"/>
      <c r="DU242" s="391"/>
      <c r="DV242" s="391"/>
      <c r="DW242" s="391"/>
      <c r="DX242" s="391"/>
      <c r="DY242" s="391"/>
      <c r="DZ242" s="391"/>
      <c r="EA242" s="391"/>
      <c r="EB242" s="391"/>
      <c r="EC242" s="391"/>
      <c r="ED242" s="391"/>
      <c r="EE242" s="391"/>
      <c r="EF242" s="391"/>
      <c r="EG242" s="391"/>
      <c r="EH242" s="391"/>
      <c r="EI242" s="391"/>
      <c r="EJ242" s="391"/>
      <c r="EK242" s="391"/>
      <c r="EL242" s="391"/>
      <c r="EM242" s="391"/>
      <c r="EN242" s="391"/>
      <c r="EO242" s="391"/>
      <c r="EP242" s="391"/>
      <c r="EQ242" s="391"/>
      <c r="ER242" s="391"/>
      <c r="ES242" s="391"/>
      <c r="ET242" s="391"/>
      <c r="EU242" s="391"/>
      <c r="EV242" s="391"/>
      <c r="EW242" s="391"/>
      <c r="EX242" s="391"/>
      <c r="EY242" s="391"/>
      <c r="EZ242" s="391"/>
      <c r="FA242" s="391"/>
      <c r="FB242" s="391"/>
      <c r="FC242" s="391"/>
      <c r="FD242" s="391"/>
      <c r="FE242" s="391"/>
      <c r="FF242" s="391"/>
      <c r="FG242" s="391"/>
      <c r="FH242" s="391"/>
      <c r="FI242" s="391"/>
      <c r="FJ242" s="391"/>
      <c r="FK242" s="391"/>
      <c r="FL242" s="391"/>
      <c r="FM242" s="391"/>
      <c r="FN242" s="391"/>
      <c r="FO242" s="391"/>
      <c r="FP242" s="391"/>
      <c r="FQ242" s="391"/>
      <c r="FR242" s="391"/>
      <c r="FS242" s="391"/>
      <c r="FT242" s="391"/>
      <c r="FU242" s="391"/>
      <c r="FV242" s="391"/>
      <c r="FW242" s="391"/>
      <c r="FX242" s="391"/>
      <c r="FY242" s="391"/>
      <c r="FZ242" s="391"/>
      <c r="GA242" s="391"/>
      <c r="GB242" s="391"/>
      <c r="GC242" s="391"/>
      <c r="GD242" s="391"/>
      <c r="GE242" s="391"/>
      <c r="GF242" s="391"/>
      <c r="GG242" s="391"/>
      <c r="GH242" s="391"/>
      <c r="GI242" s="391"/>
      <c r="GJ242" s="391"/>
      <c r="GK242" s="391"/>
      <c r="GL242" s="391"/>
      <c r="GM242" s="391"/>
      <c r="GN242" s="391"/>
      <c r="GO242" s="391"/>
      <c r="GP242" s="391"/>
      <c r="GQ242" s="391"/>
      <c r="GR242" s="391"/>
      <c r="GS242" s="391"/>
      <c r="GT242" s="391"/>
      <c r="GU242" s="391"/>
      <c r="GV242" s="391"/>
      <c r="GW242" s="391"/>
      <c r="GX242" s="391"/>
      <c r="GY242" s="391"/>
      <c r="GZ242" s="391"/>
      <c r="HA242" s="391"/>
      <c r="HB242" s="391"/>
      <c r="HC242" s="391"/>
      <c r="HD242" s="391"/>
      <c r="HE242" s="391"/>
      <c r="HF242" s="391"/>
      <c r="HG242" s="391"/>
      <c r="HH242" s="391"/>
      <c r="HI242" s="391"/>
      <c r="HJ242" s="391"/>
      <c r="HK242" s="391"/>
      <c r="HL242" s="391"/>
      <c r="HM242" s="391"/>
      <c r="HN242" s="391"/>
      <c r="HO242" s="391"/>
      <c r="HP242" s="391"/>
      <c r="HQ242" s="391"/>
      <c r="HR242" s="391"/>
      <c r="HS242" s="391"/>
      <c r="HT242" s="391"/>
      <c r="HU242" s="391"/>
      <c r="HV242" s="391"/>
      <c r="HW242" s="391"/>
      <c r="HX242" s="391"/>
      <c r="HY242" s="391"/>
      <c r="HZ242" s="391"/>
      <c r="IA242" s="391"/>
      <c r="IB242" s="391"/>
      <c r="IC242" s="391"/>
      <c r="ID242" s="391"/>
      <c r="IE242" s="391"/>
      <c r="IF242" s="391"/>
      <c r="IG242" s="391"/>
      <c r="IH242" s="391"/>
      <c r="II242" s="391"/>
      <c r="IJ242" s="391"/>
      <c r="IK242" s="391"/>
      <c r="IL242" s="391"/>
      <c r="IM242" s="391"/>
      <c r="IN242" s="391"/>
      <c r="IO242" s="391"/>
      <c r="IP242" s="391"/>
      <c r="IQ242" s="391"/>
      <c r="IR242" s="391"/>
      <c r="IS242" s="391"/>
      <c r="IT242" s="391"/>
      <c r="IU242" s="391"/>
      <c r="IV242" s="391"/>
      <c r="IW242" s="391"/>
      <c r="IX242" s="391"/>
      <c r="IY242" s="391"/>
      <c r="IZ242" s="391"/>
      <c r="JA242" s="391"/>
      <c r="JB242" s="391"/>
      <c r="JC242" s="391"/>
      <c r="JD242" s="391"/>
      <c r="JE242" s="391"/>
      <c r="JF242" s="391"/>
      <c r="JG242" s="391"/>
      <c r="JH242" s="391"/>
      <c r="JI242" s="393">
        <f t="shared" si="7"/>
        <v>0</v>
      </c>
      <c r="JJ242" s="2">
        <v>6889</v>
      </c>
      <c r="JK242" s="392">
        <f t="shared" si="8"/>
        <v>0</v>
      </c>
      <c r="JL242" s="391"/>
      <c r="JM242" s="392"/>
      <c r="JN242" s="392"/>
      <c r="JO242" s="392"/>
      <c r="JP242" s="392"/>
    </row>
    <row r="243" spans="1:276" x14ac:dyDescent="0.3">
      <c r="A243" s="391"/>
      <c r="B243" s="391"/>
      <c r="C243" s="391"/>
      <c r="D243" s="391"/>
      <c r="E243" s="391"/>
      <c r="F243" s="391"/>
      <c r="G243" s="391"/>
      <c r="H243" s="391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  <c r="T243" s="391"/>
      <c r="U243" s="391"/>
      <c r="V243" s="391"/>
      <c r="W243" s="391"/>
      <c r="X243" s="391"/>
      <c r="Y243" s="391"/>
      <c r="Z243" s="391"/>
      <c r="AA243" s="391"/>
      <c r="AB243" s="391"/>
      <c r="AC243" s="391"/>
      <c r="AD243" s="391"/>
      <c r="AE243" s="391"/>
      <c r="AF243" s="391"/>
      <c r="AG243" s="391"/>
      <c r="AH243" s="391"/>
      <c r="AI243" s="391"/>
      <c r="AJ243" s="391"/>
      <c r="AK243" s="391"/>
      <c r="AL243" s="391"/>
      <c r="AM243" s="391"/>
      <c r="AN243" s="391"/>
      <c r="AO243" s="391"/>
      <c r="AP243" s="391"/>
      <c r="AQ243" s="391"/>
      <c r="AR243" s="391"/>
      <c r="AS243" s="391"/>
      <c r="AT243" s="391"/>
      <c r="AU243" s="391"/>
      <c r="AV243" s="391"/>
      <c r="AW243" s="391"/>
      <c r="AX243" s="391"/>
      <c r="AY243" s="391"/>
      <c r="AZ243" s="391"/>
      <c r="BA243" s="391"/>
      <c r="BB243" s="391"/>
      <c r="BC243" s="391"/>
      <c r="BD243" s="391"/>
      <c r="BE243" s="391"/>
      <c r="BF243" s="391"/>
      <c r="BG243" s="391"/>
      <c r="BH243" s="391"/>
      <c r="BI243" s="391"/>
      <c r="BJ243" s="391"/>
      <c r="BK243" s="391"/>
      <c r="BL243" s="391"/>
      <c r="BM243" s="391"/>
      <c r="BN243" s="391"/>
      <c r="BO243" s="391"/>
      <c r="BP243" s="391"/>
      <c r="BQ243" s="391"/>
      <c r="BR243" s="391"/>
      <c r="BS243" s="391"/>
      <c r="BT243" s="391"/>
      <c r="BU243" s="391"/>
      <c r="BV243" s="391"/>
      <c r="BW243" s="391"/>
      <c r="BX243" s="391"/>
      <c r="BY243" s="391"/>
      <c r="BZ243" s="391"/>
      <c r="CA243" s="391"/>
      <c r="CB243" s="391"/>
      <c r="CC243" s="391"/>
      <c r="CD243" s="391"/>
      <c r="CE243" s="391"/>
      <c r="CF243" s="391"/>
      <c r="CG243" s="391"/>
      <c r="CH243" s="391"/>
      <c r="CI243" s="391"/>
      <c r="CJ243" s="391"/>
      <c r="CK243" s="391"/>
      <c r="CL243" s="391"/>
      <c r="CM243" s="391"/>
      <c r="CN243" s="391"/>
      <c r="CO243" s="391"/>
      <c r="CP243" s="391"/>
      <c r="CQ243" s="391"/>
      <c r="CR243" s="391"/>
      <c r="CS243" s="391"/>
      <c r="CT243" s="391"/>
      <c r="CU243" s="391"/>
      <c r="CV243" s="391"/>
      <c r="CW243" s="391"/>
      <c r="CX243" s="391"/>
      <c r="CY243" s="391"/>
      <c r="CZ243" s="391"/>
      <c r="DA243" s="391"/>
      <c r="DB243" s="391"/>
      <c r="DC243" s="391"/>
      <c r="DD243" s="391"/>
      <c r="DE243" s="391"/>
      <c r="DF243" s="391"/>
      <c r="DG243" s="391"/>
      <c r="DH243" s="391"/>
      <c r="DI243" s="391"/>
      <c r="DJ243" s="391"/>
      <c r="DK243" s="391"/>
      <c r="DL243" s="391"/>
      <c r="DM243" s="391"/>
      <c r="DN243" s="391"/>
      <c r="DO243" s="391"/>
      <c r="DP243" s="391"/>
      <c r="DQ243" s="391"/>
      <c r="DR243" s="391"/>
      <c r="DS243" s="391"/>
      <c r="DT243" s="391"/>
      <c r="DU243" s="391"/>
      <c r="DV243" s="391"/>
      <c r="DW243" s="391"/>
      <c r="DX243" s="391"/>
      <c r="DY243" s="391"/>
      <c r="DZ243" s="391"/>
      <c r="EA243" s="391"/>
      <c r="EB243" s="391"/>
      <c r="EC243" s="391"/>
      <c r="ED243" s="391"/>
      <c r="EE243" s="391"/>
      <c r="EF243" s="391"/>
      <c r="EG243" s="391"/>
      <c r="EH243" s="391"/>
      <c r="EI243" s="391"/>
      <c r="EJ243" s="391"/>
      <c r="EK243" s="391"/>
      <c r="EL243" s="391"/>
      <c r="EM243" s="391"/>
      <c r="EN243" s="391"/>
      <c r="EO243" s="391"/>
      <c r="EP243" s="391"/>
      <c r="EQ243" s="391"/>
      <c r="ER243" s="391"/>
      <c r="ES243" s="391"/>
      <c r="ET243" s="391"/>
      <c r="EU243" s="391"/>
      <c r="EV243" s="391"/>
      <c r="EW243" s="391"/>
      <c r="EX243" s="391"/>
      <c r="EY243" s="391"/>
      <c r="EZ243" s="391"/>
      <c r="FA243" s="391"/>
      <c r="FB243" s="391"/>
      <c r="FC243" s="391"/>
      <c r="FD243" s="391"/>
      <c r="FE243" s="391"/>
      <c r="FF243" s="391"/>
      <c r="FG243" s="391"/>
      <c r="FH243" s="391"/>
      <c r="FI243" s="391"/>
      <c r="FJ243" s="391"/>
      <c r="FK243" s="391"/>
      <c r="FL243" s="391"/>
      <c r="FM243" s="391"/>
      <c r="FN243" s="391"/>
      <c r="FO243" s="391"/>
      <c r="FP243" s="391"/>
      <c r="FQ243" s="391"/>
      <c r="FR243" s="391"/>
      <c r="FS243" s="391"/>
      <c r="FT243" s="391"/>
      <c r="FU243" s="391"/>
      <c r="FV243" s="391"/>
      <c r="FW243" s="391"/>
      <c r="FX243" s="391"/>
      <c r="FY243" s="391"/>
      <c r="FZ243" s="391"/>
      <c r="GA243" s="391"/>
      <c r="GB243" s="391"/>
      <c r="GC243" s="391"/>
      <c r="GD243" s="391"/>
      <c r="GE243" s="391"/>
      <c r="GF243" s="391"/>
      <c r="GG243" s="391"/>
      <c r="GH243" s="391"/>
      <c r="GI243" s="391"/>
      <c r="GJ243" s="391"/>
      <c r="GK243" s="391"/>
      <c r="GL243" s="391"/>
      <c r="GM243" s="391"/>
      <c r="GN243" s="391"/>
      <c r="GO243" s="391"/>
      <c r="GP243" s="391"/>
      <c r="GQ243" s="391"/>
      <c r="GR243" s="391"/>
      <c r="GS243" s="391"/>
      <c r="GT243" s="391"/>
      <c r="GU243" s="391"/>
      <c r="GV243" s="391"/>
      <c r="GW243" s="391"/>
      <c r="GX243" s="391"/>
      <c r="GY243" s="391"/>
      <c r="GZ243" s="391"/>
      <c r="HA243" s="391"/>
      <c r="HB243" s="391"/>
      <c r="HC243" s="391"/>
      <c r="HD243" s="391"/>
      <c r="HE243" s="391"/>
      <c r="HF243" s="391"/>
      <c r="HG243" s="391"/>
      <c r="HH243" s="391"/>
      <c r="HI243" s="391"/>
      <c r="HJ243" s="391"/>
      <c r="HK243" s="391"/>
      <c r="HL243" s="391"/>
      <c r="HM243" s="391"/>
      <c r="HN243" s="391"/>
      <c r="HO243" s="391"/>
      <c r="HP243" s="391"/>
      <c r="HQ243" s="391"/>
      <c r="HR243" s="391"/>
      <c r="HS243" s="391"/>
      <c r="HT243" s="391"/>
      <c r="HU243" s="391"/>
      <c r="HV243" s="391"/>
      <c r="HW243" s="391"/>
      <c r="HX243" s="391"/>
      <c r="HY243" s="391"/>
      <c r="HZ243" s="391"/>
      <c r="IA243" s="391"/>
      <c r="IB243" s="391"/>
      <c r="IC243" s="391"/>
      <c r="ID243" s="391"/>
      <c r="IE243" s="391"/>
      <c r="IF243" s="391"/>
      <c r="IG243" s="391"/>
      <c r="IH243" s="391"/>
      <c r="II243" s="391"/>
      <c r="IJ243" s="391"/>
      <c r="IK243" s="391"/>
      <c r="IL243" s="391"/>
      <c r="IM243" s="391"/>
      <c r="IN243" s="391"/>
      <c r="IO243" s="391"/>
      <c r="IP243" s="391"/>
      <c r="IQ243" s="391"/>
      <c r="IR243" s="391"/>
      <c r="IS243" s="391"/>
      <c r="IT243" s="391"/>
      <c r="IU243" s="391"/>
      <c r="IV243" s="391"/>
      <c r="IW243" s="391"/>
      <c r="IX243" s="391"/>
      <c r="IY243" s="391"/>
      <c r="IZ243" s="391"/>
      <c r="JA243" s="391"/>
      <c r="JB243" s="391"/>
      <c r="JC243" s="391"/>
      <c r="JD243" s="391"/>
      <c r="JE243" s="391"/>
      <c r="JF243" s="391"/>
      <c r="JG243" s="391"/>
      <c r="JH243" s="391"/>
      <c r="JI243" s="393">
        <f t="shared" si="7"/>
        <v>0</v>
      </c>
      <c r="JJ243" s="2">
        <v>6893</v>
      </c>
      <c r="JK243" s="392">
        <f t="shared" si="8"/>
        <v>0</v>
      </c>
      <c r="JL243" s="391"/>
      <c r="JM243" s="392"/>
      <c r="JN243" s="392"/>
      <c r="JO243" s="392"/>
      <c r="JP243" s="392"/>
    </row>
    <row r="244" spans="1:276" x14ac:dyDescent="0.3">
      <c r="A244" s="391"/>
      <c r="B244" s="391"/>
      <c r="C244" s="391"/>
      <c r="D244" s="391"/>
      <c r="E244" s="391"/>
      <c r="F244" s="391"/>
      <c r="G244" s="391"/>
      <c r="H244" s="391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  <c r="T244" s="391"/>
      <c r="U244" s="391"/>
      <c r="V244" s="391"/>
      <c r="W244" s="391"/>
      <c r="X244" s="391"/>
      <c r="Y244" s="391"/>
      <c r="Z244" s="391"/>
      <c r="AA244" s="391"/>
      <c r="AB244" s="391"/>
      <c r="AC244" s="391"/>
      <c r="AD244" s="391"/>
      <c r="AE244" s="391"/>
      <c r="AF244" s="391"/>
      <c r="AG244" s="391"/>
      <c r="AH244" s="391"/>
      <c r="AI244" s="391"/>
      <c r="AJ244" s="391"/>
      <c r="AK244" s="391"/>
      <c r="AL244" s="391"/>
      <c r="AM244" s="391"/>
      <c r="AN244" s="391"/>
      <c r="AO244" s="391"/>
      <c r="AP244" s="391"/>
      <c r="AQ244" s="391"/>
      <c r="AR244" s="391"/>
      <c r="AS244" s="391"/>
      <c r="AT244" s="391"/>
      <c r="AU244" s="391"/>
      <c r="AV244" s="391"/>
      <c r="AW244" s="391"/>
      <c r="AX244" s="391"/>
      <c r="AY244" s="391"/>
      <c r="AZ244" s="391"/>
      <c r="BA244" s="391"/>
      <c r="BB244" s="391"/>
      <c r="BC244" s="391"/>
      <c r="BD244" s="391"/>
      <c r="BE244" s="391"/>
      <c r="BF244" s="391"/>
      <c r="BG244" s="391"/>
      <c r="BH244" s="391"/>
      <c r="BI244" s="391"/>
      <c r="BJ244" s="391"/>
      <c r="BK244" s="391"/>
      <c r="BL244" s="391"/>
      <c r="BM244" s="391"/>
      <c r="BN244" s="391"/>
      <c r="BO244" s="391"/>
      <c r="BP244" s="391"/>
      <c r="BQ244" s="391"/>
      <c r="BR244" s="391"/>
      <c r="BS244" s="391"/>
      <c r="BT244" s="391"/>
      <c r="BU244" s="391"/>
      <c r="BV244" s="391"/>
      <c r="BW244" s="391"/>
      <c r="BX244" s="391"/>
      <c r="BY244" s="391"/>
      <c r="BZ244" s="391"/>
      <c r="CA244" s="391"/>
      <c r="CB244" s="391"/>
      <c r="CC244" s="391"/>
      <c r="CD244" s="391"/>
      <c r="CE244" s="391"/>
      <c r="CF244" s="391"/>
      <c r="CG244" s="391"/>
      <c r="CH244" s="391"/>
      <c r="CI244" s="391"/>
      <c r="CJ244" s="391"/>
      <c r="CK244" s="391"/>
      <c r="CL244" s="391"/>
      <c r="CM244" s="391"/>
      <c r="CN244" s="391"/>
      <c r="CO244" s="391"/>
      <c r="CP244" s="391"/>
      <c r="CQ244" s="391"/>
      <c r="CR244" s="391"/>
      <c r="CS244" s="391"/>
      <c r="CT244" s="391"/>
      <c r="CU244" s="391"/>
      <c r="CV244" s="391"/>
      <c r="CW244" s="391"/>
      <c r="CX244" s="391"/>
      <c r="CY244" s="391"/>
      <c r="CZ244" s="391"/>
      <c r="DA244" s="391"/>
      <c r="DB244" s="391"/>
      <c r="DC244" s="391"/>
      <c r="DD244" s="391"/>
      <c r="DE244" s="391"/>
      <c r="DF244" s="391"/>
      <c r="DG244" s="391"/>
      <c r="DH244" s="391"/>
      <c r="DI244" s="391"/>
      <c r="DJ244" s="391"/>
      <c r="DK244" s="391"/>
      <c r="DL244" s="391"/>
      <c r="DM244" s="391"/>
      <c r="DN244" s="391"/>
      <c r="DO244" s="391"/>
      <c r="DP244" s="391"/>
      <c r="DQ244" s="391"/>
      <c r="DR244" s="391"/>
      <c r="DS244" s="391"/>
      <c r="DT244" s="391"/>
      <c r="DU244" s="391"/>
      <c r="DV244" s="391"/>
      <c r="DW244" s="391"/>
      <c r="DX244" s="391"/>
      <c r="DY244" s="391"/>
      <c r="DZ244" s="391"/>
      <c r="EA244" s="391"/>
      <c r="EB244" s="391"/>
      <c r="EC244" s="391"/>
      <c r="ED244" s="391"/>
      <c r="EE244" s="391"/>
      <c r="EF244" s="391"/>
      <c r="EG244" s="391"/>
      <c r="EH244" s="391"/>
      <c r="EI244" s="391"/>
      <c r="EJ244" s="391"/>
      <c r="EK244" s="391"/>
      <c r="EL244" s="391"/>
      <c r="EM244" s="391"/>
      <c r="EN244" s="391"/>
      <c r="EO244" s="391"/>
      <c r="EP244" s="391"/>
      <c r="EQ244" s="391"/>
      <c r="ER244" s="391"/>
      <c r="ES244" s="391"/>
      <c r="ET244" s="391"/>
      <c r="EU244" s="391"/>
      <c r="EV244" s="391"/>
      <c r="EW244" s="391"/>
      <c r="EX244" s="391"/>
      <c r="EY244" s="391"/>
      <c r="EZ244" s="391"/>
      <c r="FA244" s="391"/>
      <c r="FB244" s="391"/>
      <c r="FC244" s="391"/>
      <c r="FD244" s="391"/>
      <c r="FE244" s="391"/>
      <c r="FF244" s="391"/>
      <c r="FG244" s="391"/>
      <c r="FH244" s="391"/>
      <c r="FI244" s="391"/>
      <c r="FJ244" s="391"/>
      <c r="FK244" s="391"/>
      <c r="FL244" s="391"/>
      <c r="FM244" s="391"/>
      <c r="FN244" s="391"/>
      <c r="FO244" s="391"/>
      <c r="FP244" s="391"/>
      <c r="FQ244" s="391"/>
      <c r="FR244" s="391"/>
      <c r="FS244" s="391"/>
      <c r="FT244" s="391"/>
      <c r="FU244" s="391"/>
      <c r="FV244" s="391"/>
      <c r="FW244" s="391"/>
      <c r="FX244" s="391"/>
      <c r="FY244" s="391"/>
      <c r="FZ244" s="391"/>
      <c r="GA244" s="391"/>
      <c r="GB244" s="391"/>
      <c r="GC244" s="391"/>
      <c r="GD244" s="391"/>
      <c r="GE244" s="391"/>
      <c r="GF244" s="391"/>
      <c r="GG244" s="391"/>
      <c r="GH244" s="391"/>
      <c r="GI244" s="391"/>
      <c r="GJ244" s="391"/>
      <c r="GK244" s="391"/>
      <c r="GL244" s="391"/>
      <c r="GM244" s="391"/>
      <c r="GN244" s="391"/>
      <c r="GO244" s="391"/>
      <c r="GP244" s="391"/>
      <c r="GQ244" s="391"/>
      <c r="GR244" s="391"/>
      <c r="GS244" s="391"/>
      <c r="GT244" s="391"/>
      <c r="GU244" s="391"/>
      <c r="GV244" s="391"/>
      <c r="GW244" s="391"/>
      <c r="GX244" s="391"/>
      <c r="GY244" s="391"/>
      <c r="GZ244" s="391"/>
      <c r="HA244" s="391"/>
      <c r="HB244" s="391"/>
      <c r="HC244" s="391"/>
      <c r="HD244" s="391"/>
      <c r="HE244" s="391"/>
      <c r="HF244" s="391"/>
      <c r="HG244" s="391"/>
      <c r="HH244" s="391"/>
      <c r="HI244" s="391"/>
      <c r="HJ244" s="391"/>
      <c r="HK244" s="391"/>
      <c r="HL244" s="391"/>
      <c r="HM244" s="391"/>
      <c r="HN244" s="391"/>
      <c r="HO244" s="391"/>
      <c r="HP244" s="391"/>
      <c r="HQ244" s="391"/>
      <c r="HR244" s="391"/>
      <c r="HS244" s="391"/>
      <c r="HT244" s="391"/>
      <c r="HU244" s="391"/>
      <c r="HV244" s="391"/>
      <c r="HW244" s="391"/>
      <c r="HX244" s="391"/>
      <c r="HY244" s="391"/>
      <c r="HZ244" s="391"/>
      <c r="IA244" s="391"/>
      <c r="IB244" s="391"/>
      <c r="IC244" s="391"/>
      <c r="ID244" s="391"/>
      <c r="IE244" s="391"/>
      <c r="IF244" s="391"/>
      <c r="IG244" s="391"/>
      <c r="IH244" s="391"/>
      <c r="II244" s="391"/>
      <c r="IJ244" s="391"/>
      <c r="IK244" s="391"/>
      <c r="IL244" s="391"/>
      <c r="IM244" s="391"/>
      <c r="IN244" s="391"/>
      <c r="IO244" s="391"/>
      <c r="IP244" s="391"/>
      <c r="IQ244" s="391"/>
      <c r="IR244" s="391"/>
      <c r="IS244" s="391"/>
      <c r="IT244" s="391"/>
      <c r="IU244" s="391"/>
      <c r="IV244" s="391"/>
      <c r="IW244" s="391"/>
      <c r="IX244" s="391"/>
      <c r="IY244" s="391"/>
      <c r="IZ244" s="391"/>
      <c r="JA244" s="391"/>
      <c r="JB244" s="391"/>
      <c r="JC244" s="391"/>
      <c r="JD244" s="391"/>
      <c r="JE244" s="391"/>
      <c r="JF244" s="391"/>
      <c r="JG244" s="391"/>
      <c r="JH244" s="391"/>
      <c r="JI244" s="393">
        <f t="shared" si="7"/>
        <v>0</v>
      </c>
      <c r="JJ244" s="2">
        <v>6905</v>
      </c>
      <c r="JK244" s="392">
        <f t="shared" si="8"/>
        <v>0</v>
      </c>
      <c r="JL244" s="391"/>
      <c r="JM244" s="392"/>
      <c r="JN244" s="392"/>
      <c r="JO244" s="392"/>
      <c r="JP244" s="392"/>
    </row>
    <row r="245" spans="1:276" x14ac:dyDescent="0.3">
      <c r="A245" s="391"/>
      <c r="B245" s="391"/>
      <c r="C245" s="391"/>
      <c r="D245" s="391"/>
      <c r="E245" s="391"/>
      <c r="F245" s="391"/>
      <c r="G245" s="391"/>
      <c r="H245" s="391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  <c r="T245" s="391"/>
      <c r="U245" s="391"/>
      <c r="V245" s="391"/>
      <c r="W245" s="391"/>
      <c r="X245" s="391"/>
      <c r="Y245" s="391"/>
      <c r="Z245" s="391"/>
      <c r="AA245" s="391"/>
      <c r="AB245" s="391"/>
      <c r="AC245" s="391"/>
      <c r="AD245" s="391"/>
      <c r="AE245" s="391"/>
      <c r="AF245" s="391"/>
      <c r="AG245" s="391"/>
      <c r="AH245" s="391"/>
      <c r="AI245" s="391"/>
      <c r="AJ245" s="391"/>
      <c r="AK245" s="391"/>
      <c r="AL245" s="391"/>
      <c r="AM245" s="391"/>
      <c r="AN245" s="391"/>
      <c r="AO245" s="391"/>
      <c r="AP245" s="391"/>
      <c r="AQ245" s="391"/>
      <c r="AR245" s="391"/>
      <c r="AS245" s="391"/>
      <c r="AT245" s="391"/>
      <c r="AU245" s="391"/>
      <c r="AV245" s="391"/>
      <c r="AW245" s="391"/>
      <c r="AX245" s="391"/>
      <c r="AY245" s="391"/>
      <c r="AZ245" s="391"/>
      <c r="BA245" s="391"/>
      <c r="BB245" s="391"/>
      <c r="BC245" s="391"/>
      <c r="BD245" s="391"/>
      <c r="BE245" s="391"/>
      <c r="BF245" s="391"/>
      <c r="BG245" s="391"/>
      <c r="BH245" s="391"/>
      <c r="BI245" s="391"/>
      <c r="BJ245" s="391"/>
      <c r="BK245" s="391"/>
      <c r="BL245" s="391"/>
      <c r="BM245" s="391"/>
      <c r="BN245" s="391"/>
      <c r="BO245" s="391"/>
      <c r="BP245" s="391"/>
      <c r="BQ245" s="391"/>
      <c r="BR245" s="391"/>
      <c r="BS245" s="391"/>
      <c r="BT245" s="391"/>
      <c r="BU245" s="391"/>
      <c r="BV245" s="391"/>
      <c r="BW245" s="391"/>
      <c r="BX245" s="391"/>
      <c r="BY245" s="391"/>
      <c r="BZ245" s="391"/>
      <c r="CA245" s="391"/>
      <c r="CB245" s="391"/>
      <c r="CC245" s="391"/>
      <c r="CD245" s="391"/>
      <c r="CE245" s="391"/>
      <c r="CF245" s="391"/>
      <c r="CG245" s="391"/>
      <c r="CH245" s="391"/>
      <c r="CI245" s="391"/>
      <c r="CJ245" s="391"/>
      <c r="CK245" s="391"/>
      <c r="CL245" s="391"/>
      <c r="CM245" s="391"/>
      <c r="CN245" s="391"/>
      <c r="CO245" s="391"/>
      <c r="CP245" s="391"/>
      <c r="CQ245" s="391"/>
      <c r="CR245" s="391"/>
      <c r="CS245" s="391"/>
      <c r="CT245" s="391"/>
      <c r="CU245" s="391"/>
      <c r="CV245" s="391"/>
      <c r="CW245" s="391"/>
      <c r="CX245" s="391"/>
      <c r="CY245" s="391"/>
      <c r="CZ245" s="391"/>
      <c r="DA245" s="391"/>
      <c r="DB245" s="391"/>
      <c r="DC245" s="391"/>
      <c r="DD245" s="391"/>
      <c r="DE245" s="391"/>
      <c r="DF245" s="391"/>
      <c r="DG245" s="391"/>
      <c r="DH245" s="391"/>
      <c r="DI245" s="391"/>
      <c r="DJ245" s="391"/>
      <c r="DK245" s="391"/>
      <c r="DL245" s="391"/>
      <c r="DM245" s="391"/>
      <c r="DN245" s="391"/>
      <c r="DO245" s="391"/>
      <c r="DP245" s="391"/>
      <c r="DQ245" s="391"/>
      <c r="DR245" s="391"/>
      <c r="DS245" s="391"/>
      <c r="DT245" s="391"/>
      <c r="DU245" s="391"/>
      <c r="DV245" s="391"/>
      <c r="DW245" s="391"/>
      <c r="DX245" s="391"/>
      <c r="DY245" s="391"/>
      <c r="DZ245" s="391"/>
      <c r="EA245" s="391"/>
      <c r="EB245" s="391"/>
      <c r="EC245" s="391"/>
      <c r="ED245" s="391"/>
      <c r="EE245" s="391"/>
      <c r="EF245" s="391"/>
      <c r="EG245" s="391"/>
      <c r="EH245" s="391"/>
      <c r="EI245" s="391"/>
      <c r="EJ245" s="391"/>
      <c r="EK245" s="391"/>
      <c r="EL245" s="391"/>
      <c r="EM245" s="391"/>
      <c r="EN245" s="391"/>
      <c r="EO245" s="391"/>
      <c r="EP245" s="391"/>
      <c r="EQ245" s="391"/>
      <c r="ER245" s="391"/>
      <c r="ES245" s="391"/>
      <c r="ET245" s="391"/>
      <c r="EU245" s="391"/>
      <c r="EV245" s="391"/>
      <c r="EW245" s="391"/>
      <c r="EX245" s="391"/>
      <c r="EY245" s="391"/>
      <c r="EZ245" s="391"/>
      <c r="FA245" s="391"/>
      <c r="FB245" s="391"/>
      <c r="FC245" s="391"/>
      <c r="FD245" s="391"/>
      <c r="FE245" s="391"/>
      <c r="FF245" s="391"/>
      <c r="FG245" s="391"/>
      <c r="FH245" s="391"/>
      <c r="FI245" s="391"/>
      <c r="FJ245" s="391"/>
      <c r="FK245" s="391"/>
      <c r="FL245" s="391"/>
      <c r="FM245" s="391"/>
      <c r="FN245" s="391"/>
      <c r="FO245" s="391"/>
      <c r="FP245" s="391"/>
      <c r="FQ245" s="391"/>
      <c r="FR245" s="391"/>
      <c r="FS245" s="391"/>
      <c r="FT245" s="391"/>
      <c r="FU245" s="391"/>
      <c r="FV245" s="391"/>
      <c r="FW245" s="391"/>
      <c r="FX245" s="391"/>
      <c r="FY245" s="391"/>
      <c r="FZ245" s="391"/>
      <c r="GA245" s="391"/>
      <c r="GB245" s="391"/>
      <c r="GC245" s="391"/>
      <c r="GD245" s="391"/>
      <c r="GE245" s="391"/>
      <c r="GF245" s="391"/>
      <c r="GG245" s="391"/>
      <c r="GH245" s="391"/>
      <c r="GI245" s="391"/>
      <c r="GJ245" s="391"/>
      <c r="GK245" s="391"/>
      <c r="GL245" s="391"/>
      <c r="GM245" s="391"/>
      <c r="GN245" s="391"/>
      <c r="GO245" s="391"/>
      <c r="GP245" s="391"/>
      <c r="GQ245" s="391"/>
      <c r="GR245" s="391"/>
      <c r="GS245" s="391"/>
      <c r="GT245" s="391"/>
      <c r="GU245" s="391"/>
      <c r="GV245" s="391"/>
      <c r="GW245" s="391"/>
      <c r="GX245" s="391"/>
      <c r="GY245" s="391"/>
      <c r="GZ245" s="391"/>
      <c r="HA245" s="391"/>
      <c r="HB245" s="391"/>
      <c r="HC245" s="391"/>
      <c r="HD245" s="391"/>
      <c r="HE245" s="391"/>
      <c r="HF245" s="391"/>
      <c r="HG245" s="391"/>
      <c r="HH245" s="391"/>
      <c r="HI245" s="391"/>
      <c r="HJ245" s="391"/>
      <c r="HK245" s="391"/>
      <c r="HL245" s="391"/>
      <c r="HM245" s="391"/>
      <c r="HN245" s="391"/>
      <c r="HO245" s="391"/>
      <c r="HP245" s="391"/>
      <c r="HQ245" s="391"/>
      <c r="HR245" s="391"/>
      <c r="HS245" s="391"/>
      <c r="HT245" s="391"/>
      <c r="HU245" s="391"/>
      <c r="HV245" s="391"/>
      <c r="HW245" s="391"/>
      <c r="HX245" s="391"/>
      <c r="HY245" s="391"/>
      <c r="HZ245" s="391"/>
      <c r="IA245" s="391"/>
      <c r="IB245" s="391"/>
      <c r="IC245" s="391"/>
      <c r="ID245" s="391"/>
      <c r="IE245" s="391"/>
      <c r="IF245" s="391"/>
      <c r="IG245" s="391"/>
      <c r="IH245" s="391"/>
      <c r="II245" s="391"/>
      <c r="IJ245" s="391"/>
      <c r="IK245" s="391"/>
      <c r="IL245" s="391"/>
      <c r="IM245" s="391"/>
      <c r="IN245" s="391"/>
      <c r="IO245" s="391"/>
      <c r="IP245" s="391"/>
      <c r="IQ245" s="391"/>
      <c r="IR245" s="391"/>
      <c r="IS245" s="391"/>
      <c r="IT245" s="391"/>
      <c r="IU245" s="391"/>
      <c r="IV245" s="391"/>
      <c r="IW245" s="391"/>
      <c r="IX245" s="391"/>
      <c r="IY245" s="391"/>
      <c r="IZ245" s="391"/>
      <c r="JA245" s="391"/>
      <c r="JB245" s="391"/>
      <c r="JC245" s="391"/>
      <c r="JD245" s="391"/>
      <c r="JE245" s="391"/>
      <c r="JF245" s="391"/>
      <c r="JG245" s="391"/>
      <c r="JH245" s="391"/>
      <c r="JI245" s="393">
        <f t="shared" si="7"/>
        <v>0</v>
      </c>
      <c r="JJ245" s="2">
        <v>6909</v>
      </c>
      <c r="JK245" s="392">
        <f t="shared" si="8"/>
        <v>0</v>
      </c>
      <c r="JL245" s="391"/>
      <c r="JM245" s="392"/>
      <c r="JN245" s="392"/>
      <c r="JO245" s="392"/>
      <c r="JP245" s="392"/>
    </row>
    <row r="246" spans="1:276" x14ac:dyDescent="0.3">
      <c r="A246" s="391"/>
      <c r="B246" s="391"/>
      <c r="C246" s="391"/>
      <c r="D246" s="391"/>
      <c r="E246" s="391"/>
      <c r="F246" s="391"/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391"/>
      <c r="X246" s="391"/>
      <c r="Y246" s="391"/>
      <c r="Z246" s="391"/>
      <c r="AA246" s="391"/>
      <c r="AB246" s="391"/>
      <c r="AC246" s="391"/>
      <c r="AD246" s="391"/>
      <c r="AE246" s="391"/>
      <c r="AF246" s="391"/>
      <c r="AG246" s="391"/>
      <c r="AH246" s="391"/>
      <c r="AI246" s="391"/>
      <c r="AJ246" s="391"/>
      <c r="AK246" s="391"/>
      <c r="AL246" s="391"/>
      <c r="AM246" s="391"/>
      <c r="AN246" s="391"/>
      <c r="AO246" s="391"/>
      <c r="AP246" s="391"/>
      <c r="AQ246" s="391"/>
      <c r="AR246" s="391"/>
      <c r="AS246" s="391"/>
      <c r="AT246" s="391"/>
      <c r="AU246" s="391"/>
      <c r="AV246" s="391"/>
      <c r="AW246" s="391"/>
      <c r="AX246" s="391"/>
      <c r="AY246" s="391"/>
      <c r="AZ246" s="391"/>
      <c r="BA246" s="391"/>
      <c r="BB246" s="391"/>
      <c r="BC246" s="391"/>
      <c r="BD246" s="391"/>
      <c r="BE246" s="391"/>
      <c r="BF246" s="391"/>
      <c r="BG246" s="391"/>
      <c r="BH246" s="391"/>
      <c r="BI246" s="391"/>
      <c r="BJ246" s="391"/>
      <c r="BK246" s="391"/>
      <c r="BL246" s="391"/>
      <c r="BM246" s="391"/>
      <c r="BN246" s="391"/>
      <c r="BO246" s="391"/>
      <c r="BP246" s="391"/>
      <c r="BQ246" s="391"/>
      <c r="BR246" s="391"/>
      <c r="BS246" s="391"/>
      <c r="BT246" s="391"/>
      <c r="BU246" s="391"/>
      <c r="BV246" s="391"/>
      <c r="BW246" s="391"/>
      <c r="BX246" s="391"/>
      <c r="BY246" s="391"/>
      <c r="BZ246" s="391"/>
      <c r="CA246" s="391"/>
      <c r="CB246" s="391"/>
      <c r="CC246" s="391"/>
      <c r="CD246" s="391"/>
      <c r="CE246" s="391"/>
      <c r="CF246" s="391"/>
      <c r="CG246" s="391"/>
      <c r="CH246" s="391"/>
      <c r="CI246" s="391"/>
      <c r="CJ246" s="391"/>
      <c r="CK246" s="391"/>
      <c r="CL246" s="391"/>
      <c r="CM246" s="391"/>
      <c r="CN246" s="391"/>
      <c r="CO246" s="391"/>
      <c r="CP246" s="391"/>
      <c r="CQ246" s="391"/>
      <c r="CR246" s="391"/>
      <c r="CS246" s="391"/>
      <c r="CT246" s="391"/>
      <c r="CU246" s="391"/>
      <c r="CV246" s="391"/>
      <c r="CW246" s="391"/>
      <c r="CX246" s="391"/>
      <c r="CY246" s="391"/>
      <c r="CZ246" s="391"/>
      <c r="DA246" s="391"/>
      <c r="DB246" s="391"/>
      <c r="DC246" s="391"/>
      <c r="DD246" s="391"/>
      <c r="DE246" s="391"/>
      <c r="DF246" s="391"/>
      <c r="DG246" s="391"/>
      <c r="DH246" s="391"/>
      <c r="DI246" s="391"/>
      <c r="DJ246" s="391"/>
      <c r="DK246" s="391"/>
      <c r="DL246" s="391"/>
      <c r="DM246" s="391"/>
      <c r="DN246" s="391"/>
      <c r="DO246" s="391"/>
      <c r="DP246" s="391"/>
      <c r="DQ246" s="391"/>
      <c r="DR246" s="391"/>
      <c r="DS246" s="391"/>
      <c r="DT246" s="391"/>
      <c r="DU246" s="391"/>
      <c r="DV246" s="391"/>
      <c r="DW246" s="391"/>
      <c r="DX246" s="391"/>
      <c r="DY246" s="391"/>
      <c r="DZ246" s="391"/>
      <c r="EA246" s="391"/>
      <c r="EB246" s="391"/>
      <c r="EC246" s="391"/>
      <c r="ED246" s="391"/>
      <c r="EE246" s="391"/>
      <c r="EF246" s="391"/>
      <c r="EG246" s="391"/>
      <c r="EH246" s="391"/>
      <c r="EI246" s="391"/>
      <c r="EJ246" s="391"/>
      <c r="EK246" s="391"/>
      <c r="EL246" s="391"/>
      <c r="EM246" s="391"/>
      <c r="EN246" s="391"/>
      <c r="EO246" s="391"/>
      <c r="EP246" s="391"/>
      <c r="EQ246" s="391"/>
      <c r="ER246" s="391"/>
      <c r="ES246" s="391"/>
      <c r="ET246" s="391"/>
      <c r="EU246" s="391"/>
      <c r="EV246" s="391"/>
      <c r="EW246" s="391"/>
      <c r="EX246" s="391"/>
      <c r="EY246" s="391"/>
      <c r="EZ246" s="391"/>
      <c r="FA246" s="391"/>
      <c r="FB246" s="391"/>
      <c r="FC246" s="391"/>
      <c r="FD246" s="391"/>
      <c r="FE246" s="391"/>
      <c r="FF246" s="391"/>
      <c r="FG246" s="391"/>
      <c r="FH246" s="391"/>
      <c r="FI246" s="391"/>
      <c r="FJ246" s="391"/>
      <c r="FK246" s="391"/>
      <c r="FL246" s="391"/>
      <c r="FM246" s="391"/>
      <c r="FN246" s="391"/>
      <c r="FO246" s="391"/>
      <c r="FP246" s="391"/>
      <c r="FQ246" s="391"/>
      <c r="FR246" s="391"/>
      <c r="FS246" s="391"/>
      <c r="FT246" s="391"/>
      <c r="FU246" s="391"/>
      <c r="FV246" s="391"/>
      <c r="FW246" s="391"/>
      <c r="FX246" s="391"/>
      <c r="FY246" s="391"/>
      <c r="FZ246" s="391"/>
      <c r="GA246" s="391"/>
      <c r="GB246" s="391"/>
      <c r="GC246" s="391"/>
      <c r="GD246" s="391"/>
      <c r="GE246" s="391"/>
      <c r="GF246" s="391"/>
      <c r="GG246" s="391"/>
      <c r="GH246" s="391"/>
      <c r="GI246" s="391"/>
      <c r="GJ246" s="391"/>
      <c r="GK246" s="391"/>
      <c r="GL246" s="391"/>
      <c r="GM246" s="391"/>
      <c r="GN246" s="391"/>
      <c r="GO246" s="391"/>
      <c r="GP246" s="391"/>
      <c r="GQ246" s="391"/>
      <c r="GR246" s="391"/>
      <c r="GS246" s="391"/>
      <c r="GT246" s="391"/>
      <c r="GU246" s="391"/>
      <c r="GV246" s="391"/>
      <c r="GW246" s="391"/>
      <c r="GX246" s="391"/>
      <c r="GY246" s="391"/>
      <c r="GZ246" s="391"/>
      <c r="HA246" s="391"/>
      <c r="HB246" s="391"/>
      <c r="HC246" s="391"/>
      <c r="HD246" s="391"/>
      <c r="HE246" s="391"/>
      <c r="HF246" s="391"/>
      <c r="HG246" s="391"/>
      <c r="HH246" s="391"/>
      <c r="HI246" s="391"/>
      <c r="HJ246" s="391"/>
      <c r="HK246" s="391"/>
      <c r="HL246" s="391"/>
      <c r="HM246" s="391"/>
      <c r="HN246" s="391"/>
      <c r="HO246" s="391"/>
      <c r="HP246" s="391"/>
      <c r="HQ246" s="391"/>
      <c r="HR246" s="391"/>
      <c r="HS246" s="391"/>
      <c r="HT246" s="391"/>
      <c r="HU246" s="391"/>
      <c r="HV246" s="391"/>
      <c r="HW246" s="391"/>
      <c r="HX246" s="391"/>
      <c r="HY246" s="391"/>
      <c r="HZ246" s="391"/>
      <c r="IA246" s="391"/>
      <c r="IB246" s="391"/>
      <c r="IC246" s="391"/>
      <c r="ID246" s="391"/>
      <c r="IE246" s="391"/>
      <c r="IF246" s="391"/>
      <c r="IG246" s="391"/>
      <c r="IH246" s="391"/>
      <c r="II246" s="391"/>
      <c r="IJ246" s="391"/>
      <c r="IK246" s="391"/>
      <c r="IL246" s="391"/>
      <c r="IM246" s="391"/>
      <c r="IN246" s="391"/>
      <c r="IO246" s="391"/>
      <c r="IP246" s="391"/>
      <c r="IQ246" s="391"/>
      <c r="IR246" s="391"/>
      <c r="IS246" s="391"/>
      <c r="IT246" s="391"/>
      <c r="IU246" s="391"/>
      <c r="IV246" s="391"/>
      <c r="IW246" s="391"/>
      <c r="IX246" s="391"/>
      <c r="IY246" s="391"/>
      <c r="IZ246" s="391"/>
      <c r="JA246" s="391"/>
      <c r="JB246" s="391"/>
      <c r="JC246" s="391"/>
      <c r="JD246" s="391"/>
      <c r="JE246" s="391"/>
      <c r="JF246" s="391"/>
      <c r="JG246" s="391"/>
      <c r="JH246" s="391"/>
      <c r="JI246" s="393">
        <f t="shared" si="7"/>
        <v>0</v>
      </c>
      <c r="JJ246" s="2">
        <v>6915</v>
      </c>
      <c r="JK246" s="392">
        <f t="shared" si="8"/>
        <v>0</v>
      </c>
      <c r="JL246" s="391"/>
      <c r="JM246" s="392"/>
      <c r="JN246" s="392"/>
      <c r="JO246" s="392"/>
      <c r="JP246" s="392"/>
    </row>
    <row r="247" spans="1:276" x14ac:dyDescent="0.3">
      <c r="A247" s="391"/>
      <c r="B247" s="391"/>
      <c r="C247" s="391"/>
      <c r="D247" s="391"/>
      <c r="E247" s="391"/>
      <c r="F247" s="391"/>
      <c r="G247" s="391"/>
      <c r="H247" s="391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  <c r="W247" s="391"/>
      <c r="X247" s="391"/>
      <c r="Y247" s="391"/>
      <c r="Z247" s="391"/>
      <c r="AA247" s="391"/>
      <c r="AB247" s="391"/>
      <c r="AC247" s="391"/>
      <c r="AD247" s="391"/>
      <c r="AE247" s="391"/>
      <c r="AF247" s="391"/>
      <c r="AG247" s="391"/>
      <c r="AH247" s="391"/>
      <c r="AI247" s="391"/>
      <c r="AJ247" s="391"/>
      <c r="AK247" s="391"/>
      <c r="AL247" s="391"/>
      <c r="AM247" s="391"/>
      <c r="AN247" s="391"/>
      <c r="AO247" s="391"/>
      <c r="AP247" s="391"/>
      <c r="AQ247" s="391"/>
      <c r="AR247" s="391"/>
      <c r="AS247" s="391"/>
      <c r="AT247" s="391"/>
      <c r="AU247" s="391"/>
      <c r="AV247" s="391"/>
      <c r="AW247" s="391"/>
      <c r="AX247" s="391"/>
      <c r="AY247" s="391"/>
      <c r="AZ247" s="391"/>
      <c r="BA247" s="391"/>
      <c r="BB247" s="391"/>
      <c r="BC247" s="391"/>
      <c r="BD247" s="391"/>
      <c r="BE247" s="391"/>
      <c r="BF247" s="391"/>
      <c r="BG247" s="391"/>
      <c r="BH247" s="391"/>
      <c r="BI247" s="391"/>
      <c r="BJ247" s="391"/>
      <c r="BK247" s="391"/>
      <c r="BL247" s="391"/>
      <c r="BM247" s="391"/>
      <c r="BN247" s="391"/>
      <c r="BO247" s="391"/>
      <c r="BP247" s="391"/>
      <c r="BQ247" s="391"/>
      <c r="BR247" s="391"/>
      <c r="BS247" s="391"/>
      <c r="BT247" s="391"/>
      <c r="BU247" s="391"/>
      <c r="BV247" s="391"/>
      <c r="BW247" s="391"/>
      <c r="BX247" s="391"/>
      <c r="BY247" s="391"/>
      <c r="BZ247" s="391"/>
      <c r="CA247" s="391"/>
      <c r="CB247" s="391"/>
      <c r="CC247" s="391"/>
      <c r="CD247" s="391"/>
      <c r="CE247" s="391"/>
      <c r="CF247" s="391"/>
      <c r="CG247" s="391"/>
      <c r="CH247" s="391"/>
      <c r="CI247" s="391"/>
      <c r="CJ247" s="391"/>
      <c r="CK247" s="391"/>
      <c r="CL247" s="391"/>
      <c r="CM247" s="391"/>
      <c r="CN247" s="391"/>
      <c r="CO247" s="391"/>
      <c r="CP247" s="391"/>
      <c r="CQ247" s="391"/>
      <c r="CR247" s="391"/>
      <c r="CS247" s="391"/>
      <c r="CT247" s="391"/>
      <c r="CU247" s="391"/>
      <c r="CV247" s="391"/>
      <c r="CW247" s="391"/>
      <c r="CX247" s="391"/>
      <c r="CY247" s="391"/>
      <c r="CZ247" s="391"/>
      <c r="DA247" s="391"/>
      <c r="DB247" s="391"/>
      <c r="DC247" s="391"/>
      <c r="DD247" s="391"/>
      <c r="DE247" s="391"/>
      <c r="DF247" s="391"/>
      <c r="DG247" s="391"/>
      <c r="DH247" s="391"/>
      <c r="DI247" s="391"/>
      <c r="DJ247" s="391"/>
      <c r="DK247" s="391"/>
      <c r="DL247" s="391"/>
      <c r="DM247" s="391"/>
      <c r="DN247" s="391"/>
      <c r="DO247" s="391"/>
      <c r="DP247" s="391"/>
      <c r="DQ247" s="391"/>
      <c r="DR247" s="391"/>
      <c r="DS247" s="391"/>
      <c r="DT247" s="391"/>
      <c r="DU247" s="391"/>
      <c r="DV247" s="391"/>
      <c r="DW247" s="391"/>
      <c r="DX247" s="391"/>
      <c r="DY247" s="391"/>
      <c r="DZ247" s="391"/>
      <c r="EA247" s="391"/>
      <c r="EB247" s="391"/>
      <c r="EC247" s="391"/>
      <c r="ED247" s="391"/>
      <c r="EE247" s="391"/>
      <c r="EF247" s="391"/>
      <c r="EG247" s="391"/>
      <c r="EH247" s="391"/>
      <c r="EI247" s="391"/>
      <c r="EJ247" s="391"/>
      <c r="EK247" s="391"/>
      <c r="EL247" s="391"/>
      <c r="EM247" s="391"/>
      <c r="EN247" s="391"/>
      <c r="EO247" s="391"/>
      <c r="EP247" s="391"/>
      <c r="EQ247" s="391"/>
      <c r="ER247" s="391"/>
      <c r="ES247" s="391"/>
      <c r="ET247" s="391"/>
      <c r="EU247" s="391"/>
      <c r="EV247" s="391"/>
      <c r="EW247" s="391"/>
      <c r="EX247" s="391"/>
      <c r="EY247" s="391"/>
      <c r="EZ247" s="391"/>
      <c r="FA247" s="391"/>
      <c r="FB247" s="391"/>
      <c r="FC247" s="391"/>
      <c r="FD247" s="391"/>
      <c r="FE247" s="391"/>
      <c r="FF247" s="391"/>
      <c r="FG247" s="391"/>
      <c r="FH247" s="391"/>
      <c r="FI247" s="391"/>
      <c r="FJ247" s="391"/>
      <c r="FK247" s="391"/>
      <c r="FL247" s="391"/>
      <c r="FM247" s="391"/>
      <c r="FN247" s="391"/>
      <c r="FO247" s="391"/>
      <c r="FP247" s="391"/>
      <c r="FQ247" s="391"/>
      <c r="FR247" s="391"/>
      <c r="FS247" s="391"/>
      <c r="FT247" s="391"/>
      <c r="FU247" s="391"/>
      <c r="FV247" s="391"/>
      <c r="FW247" s="391"/>
      <c r="FX247" s="391"/>
      <c r="FY247" s="391"/>
      <c r="FZ247" s="391"/>
      <c r="GA247" s="391"/>
      <c r="GB247" s="391"/>
      <c r="GC247" s="391"/>
      <c r="GD247" s="391"/>
      <c r="GE247" s="391"/>
      <c r="GF247" s="391"/>
      <c r="GG247" s="391"/>
      <c r="GH247" s="391"/>
      <c r="GI247" s="391"/>
      <c r="GJ247" s="391"/>
      <c r="GK247" s="391"/>
      <c r="GL247" s="391"/>
      <c r="GM247" s="391"/>
      <c r="GN247" s="391"/>
      <c r="GO247" s="391"/>
      <c r="GP247" s="391"/>
      <c r="GQ247" s="391"/>
      <c r="GR247" s="391"/>
      <c r="GS247" s="391"/>
      <c r="GT247" s="391"/>
      <c r="GU247" s="391"/>
      <c r="GV247" s="391"/>
      <c r="GW247" s="391"/>
      <c r="GX247" s="391"/>
      <c r="GY247" s="391"/>
      <c r="GZ247" s="391"/>
      <c r="HA247" s="391"/>
      <c r="HB247" s="391"/>
      <c r="HC247" s="391"/>
      <c r="HD247" s="391"/>
      <c r="HE247" s="391"/>
      <c r="HF247" s="391"/>
      <c r="HG247" s="391"/>
      <c r="HH247" s="391"/>
      <c r="HI247" s="391"/>
      <c r="HJ247" s="391"/>
      <c r="HK247" s="391"/>
      <c r="HL247" s="391"/>
      <c r="HM247" s="391"/>
      <c r="HN247" s="391"/>
      <c r="HO247" s="391"/>
      <c r="HP247" s="391"/>
      <c r="HQ247" s="391"/>
      <c r="HR247" s="391"/>
      <c r="HS247" s="391"/>
      <c r="HT247" s="391"/>
      <c r="HU247" s="391"/>
      <c r="HV247" s="391"/>
      <c r="HW247" s="391"/>
      <c r="HX247" s="391"/>
      <c r="HY247" s="391"/>
      <c r="HZ247" s="391"/>
      <c r="IA247" s="391"/>
      <c r="IB247" s="391"/>
      <c r="IC247" s="391"/>
      <c r="ID247" s="391"/>
      <c r="IE247" s="391"/>
      <c r="IF247" s="391"/>
      <c r="IG247" s="391"/>
      <c r="IH247" s="391"/>
      <c r="II247" s="391"/>
      <c r="IJ247" s="391"/>
      <c r="IK247" s="391"/>
      <c r="IL247" s="391"/>
      <c r="IM247" s="391"/>
      <c r="IN247" s="391"/>
      <c r="IO247" s="391"/>
      <c r="IP247" s="391"/>
      <c r="IQ247" s="391"/>
      <c r="IR247" s="391"/>
      <c r="IS247" s="391"/>
      <c r="IT247" s="391"/>
      <c r="IU247" s="391"/>
      <c r="IV247" s="391"/>
      <c r="IW247" s="391"/>
      <c r="IX247" s="391"/>
      <c r="IY247" s="391"/>
      <c r="IZ247" s="391"/>
      <c r="JA247" s="391"/>
      <c r="JB247" s="391"/>
      <c r="JC247" s="391"/>
      <c r="JD247" s="391"/>
      <c r="JE247" s="391"/>
      <c r="JF247" s="391"/>
      <c r="JG247" s="391"/>
      <c r="JH247" s="391"/>
      <c r="JI247" s="393">
        <f t="shared" si="7"/>
        <v>0</v>
      </c>
      <c r="JJ247" s="2">
        <v>6918</v>
      </c>
      <c r="JK247" s="392">
        <f t="shared" si="8"/>
        <v>0</v>
      </c>
      <c r="JL247" s="391"/>
      <c r="JM247" s="392"/>
      <c r="JN247" s="392"/>
      <c r="JO247" s="392"/>
      <c r="JP247" s="392"/>
    </row>
    <row r="248" spans="1:276" x14ac:dyDescent="0.3">
      <c r="A248" s="391"/>
      <c r="B248" s="391"/>
      <c r="C248" s="391"/>
      <c r="D248" s="391"/>
      <c r="E248" s="391"/>
      <c r="F248" s="391"/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/>
      <c r="W248" s="391"/>
      <c r="X248" s="391"/>
      <c r="Y248" s="391"/>
      <c r="Z248" s="391"/>
      <c r="AA248" s="391"/>
      <c r="AB248" s="391"/>
      <c r="AC248" s="391"/>
      <c r="AD248" s="391"/>
      <c r="AE248" s="391"/>
      <c r="AF248" s="391"/>
      <c r="AG248" s="391"/>
      <c r="AH248" s="391"/>
      <c r="AI248" s="391"/>
      <c r="AJ248" s="391"/>
      <c r="AK248" s="391"/>
      <c r="AL248" s="391"/>
      <c r="AM248" s="391"/>
      <c r="AN248" s="391"/>
      <c r="AO248" s="391"/>
      <c r="AP248" s="391"/>
      <c r="AQ248" s="391"/>
      <c r="AR248" s="391"/>
      <c r="AS248" s="391"/>
      <c r="AT248" s="391"/>
      <c r="AU248" s="391"/>
      <c r="AV248" s="391"/>
      <c r="AW248" s="391"/>
      <c r="AX248" s="391"/>
      <c r="AY248" s="391"/>
      <c r="AZ248" s="391"/>
      <c r="BA248" s="391"/>
      <c r="BB248" s="391"/>
      <c r="BC248" s="391"/>
      <c r="BD248" s="391"/>
      <c r="BE248" s="391"/>
      <c r="BF248" s="391"/>
      <c r="BG248" s="391"/>
      <c r="BH248" s="391"/>
      <c r="BI248" s="391"/>
      <c r="BJ248" s="391"/>
      <c r="BK248" s="391"/>
      <c r="BL248" s="391"/>
      <c r="BM248" s="391"/>
      <c r="BN248" s="391"/>
      <c r="BO248" s="391"/>
      <c r="BP248" s="391"/>
      <c r="BQ248" s="391"/>
      <c r="BR248" s="391"/>
      <c r="BS248" s="391"/>
      <c r="BT248" s="391"/>
      <c r="BU248" s="391"/>
      <c r="BV248" s="391"/>
      <c r="BW248" s="391"/>
      <c r="BX248" s="391"/>
      <c r="BY248" s="391"/>
      <c r="BZ248" s="391"/>
      <c r="CA248" s="391"/>
      <c r="CB248" s="391"/>
      <c r="CC248" s="391"/>
      <c r="CD248" s="391"/>
      <c r="CE248" s="391"/>
      <c r="CF248" s="391"/>
      <c r="CG248" s="391"/>
      <c r="CH248" s="391"/>
      <c r="CI248" s="391"/>
      <c r="CJ248" s="391"/>
      <c r="CK248" s="391"/>
      <c r="CL248" s="391"/>
      <c r="CM248" s="391"/>
      <c r="CN248" s="391"/>
      <c r="CO248" s="391"/>
      <c r="CP248" s="391"/>
      <c r="CQ248" s="391"/>
      <c r="CR248" s="391"/>
      <c r="CS248" s="391"/>
      <c r="CT248" s="391"/>
      <c r="CU248" s="391"/>
      <c r="CV248" s="391"/>
      <c r="CW248" s="391"/>
      <c r="CX248" s="391"/>
      <c r="CY248" s="391"/>
      <c r="CZ248" s="391"/>
      <c r="DA248" s="391"/>
      <c r="DB248" s="391"/>
      <c r="DC248" s="391"/>
      <c r="DD248" s="391"/>
      <c r="DE248" s="391"/>
      <c r="DF248" s="391"/>
      <c r="DG248" s="391"/>
      <c r="DH248" s="391"/>
      <c r="DI248" s="391"/>
      <c r="DJ248" s="391"/>
      <c r="DK248" s="391"/>
      <c r="DL248" s="391"/>
      <c r="DM248" s="391"/>
      <c r="DN248" s="391"/>
      <c r="DO248" s="391"/>
      <c r="DP248" s="391"/>
      <c r="DQ248" s="391"/>
      <c r="DR248" s="391"/>
      <c r="DS248" s="391"/>
      <c r="DT248" s="391"/>
      <c r="DU248" s="391"/>
      <c r="DV248" s="391"/>
      <c r="DW248" s="391"/>
      <c r="DX248" s="391"/>
      <c r="DY248" s="391"/>
      <c r="DZ248" s="391"/>
      <c r="EA248" s="391"/>
      <c r="EB248" s="391"/>
      <c r="EC248" s="391"/>
      <c r="ED248" s="391"/>
      <c r="EE248" s="391"/>
      <c r="EF248" s="391"/>
      <c r="EG248" s="391"/>
      <c r="EH248" s="391"/>
      <c r="EI248" s="391"/>
      <c r="EJ248" s="391"/>
      <c r="EK248" s="391"/>
      <c r="EL248" s="391"/>
      <c r="EM248" s="391"/>
      <c r="EN248" s="391"/>
      <c r="EO248" s="391"/>
      <c r="EP248" s="391"/>
      <c r="EQ248" s="391"/>
      <c r="ER248" s="391"/>
      <c r="ES248" s="391"/>
      <c r="ET248" s="391"/>
      <c r="EU248" s="391"/>
      <c r="EV248" s="391"/>
      <c r="EW248" s="391"/>
      <c r="EX248" s="391"/>
      <c r="EY248" s="391"/>
      <c r="EZ248" s="391"/>
      <c r="FA248" s="391"/>
      <c r="FB248" s="391"/>
      <c r="FC248" s="391"/>
      <c r="FD248" s="391"/>
      <c r="FE248" s="391"/>
      <c r="FF248" s="391"/>
      <c r="FG248" s="391"/>
      <c r="FH248" s="391"/>
      <c r="FI248" s="391"/>
      <c r="FJ248" s="391"/>
      <c r="FK248" s="391"/>
      <c r="FL248" s="391"/>
      <c r="FM248" s="391"/>
      <c r="FN248" s="391"/>
      <c r="FO248" s="391"/>
      <c r="FP248" s="391"/>
      <c r="FQ248" s="391"/>
      <c r="FR248" s="391"/>
      <c r="FS248" s="391"/>
      <c r="FT248" s="391"/>
      <c r="FU248" s="391"/>
      <c r="FV248" s="391"/>
      <c r="FW248" s="391"/>
      <c r="FX248" s="391"/>
      <c r="FY248" s="391"/>
      <c r="FZ248" s="391"/>
      <c r="GA248" s="391"/>
      <c r="GB248" s="391"/>
      <c r="GC248" s="391"/>
      <c r="GD248" s="391"/>
      <c r="GE248" s="391"/>
      <c r="GF248" s="391"/>
      <c r="GG248" s="391"/>
      <c r="GH248" s="391"/>
      <c r="GI248" s="391"/>
      <c r="GJ248" s="391"/>
      <c r="GK248" s="391"/>
      <c r="GL248" s="391"/>
      <c r="GM248" s="391"/>
      <c r="GN248" s="391"/>
      <c r="GO248" s="391"/>
      <c r="GP248" s="391"/>
      <c r="GQ248" s="391"/>
      <c r="GR248" s="391"/>
      <c r="GS248" s="391"/>
      <c r="GT248" s="391"/>
      <c r="GU248" s="391"/>
      <c r="GV248" s="391"/>
      <c r="GW248" s="391"/>
      <c r="GX248" s="391"/>
      <c r="GY248" s="391"/>
      <c r="GZ248" s="391"/>
      <c r="HA248" s="391"/>
      <c r="HB248" s="391"/>
      <c r="HC248" s="391"/>
      <c r="HD248" s="391"/>
      <c r="HE248" s="391"/>
      <c r="HF248" s="391"/>
      <c r="HG248" s="391"/>
      <c r="HH248" s="391"/>
      <c r="HI248" s="391"/>
      <c r="HJ248" s="391"/>
      <c r="HK248" s="391"/>
      <c r="HL248" s="391"/>
      <c r="HM248" s="391"/>
      <c r="HN248" s="391"/>
      <c r="HO248" s="391"/>
      <c r="HP248" s="391"/>
      <c r="HQ248" s="391"/>
      <c r="HR248" s="391"/>
      <c r="HS248" s="391"/>
      <c r="HT248" s="391"/>
      <c r="HU248" s="391"/>
      <c r="HV248" s="391"/>
      <c r="HW248" s="391"/>
      <c r="HX248" s="391"/>
      <c r="HY248" s="391"/>
      <c r="HZ248" s="391"/>
      <c r="IA248" s="391"/>
      <c r="IB248" s="391"/>
      <c r="IC248" s="391"/>
      <c r="ID248" s="391"/>
      <c r="IE248" s="391"/>
      <c r="IF248" s="391"/>
      <c r="IG248" s="391"/>
      <c r="IH248" s="391"/>
      <c r="II248" s="391"/>
      <c r="IJ248" s="391"/>
      <c r="IK248" s="391"/>
      <c r="IL248" s="391"/>
      <c r="IM248" s="391"/>
      <c r="IN248" s="391"/>
      <c r="IO248" s="391"/>
      <c r="IP248" s="391"/>
      <c r="IQ248" s="391"/>
      <c r="IR248" s="391"/>
      <c r="IS248" s="391"/>
      <c r="IT248" s="391"/>
      <c r="IU248" s="391"/>
      <c r="IV248" s="391"/>
      <c r="IW248" s="391"/>
      <c r="IX248" s="391"/>
      <c r="IY248" s="391"/>
      <c r="IZ248" s="391"/>
      <c r="JA248" s="391"/>
      <c r="JB248" s="391"/>
      <c r="JC248" s="391"/>
      <c r="JD248" s="391"/>
      <c r="JE248" s="391"/>
      <c r="JF248" s="391"/>
      <c r="JG248" s="391"/>
      <c r="JH248" s="391"/>
      <c r="JI248" s="393">
        <f t="shared" si="7"/>
        <v>0</v>
      </c>
      <c r="JJ248" s="2">
        <v>6920</v>
      </c>
      <c r="JK248" s="392">
        <f t="shared" si="8"/>
        <v>0</v>
      </c>
      <c r="JL248" s="391"/>
      <c r="JM248" s="392"/>
      <c r="JN248" s="392"/>
      <c r="JO248" s="392"/>
      <c r="JP248" s="392"/>
    </row>
    <row r="249" spans="1:276" x14ac:dyDescent="0.3">
      <c r="A249" s="391"/>
      <c r="B249" s="391"/>
      <c r="C249" s="391"/>
      <c r="D249" s="391"/>
      <c r="E249" s="391"/>
      <c r="F249" s="391"/>
      <c r="G249" s="391"/>
      <c r="H249" s="391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  <c r="T249" s="391"/>
      <c r="U249" s="391"/>
      <c r="V249" s="391"/>
      <c r="W249" s="391"/>
      <c r="X249" s="391"/>
      <c r="Y249" s="391"/>
      <c r="Z249" s="391"/>
      <c r="AA249" s="391"/>
      <c r="AB249" s="391"/>
      <c r="AC249" s="391"/>
      <c r="AD249" s="391"/>
      <c r="AE249" s="391"/>
      <c r="AF249" s="391"/>
      <c r="AG249" s="391"/>
      <c r="AH249" s="391"/>
      <c r="AI249" s="391"/>
      <c r="AJ249" s="391"/>
      <c r="AK249" s="391"/>
      <c r="AL249" s="391"/>
      <c r="AM249" s="391"/>
      <c r="AN249" s="391"/>
      <c r="AO249" s="391"/>
      <c r="AP249" s="391"/>
      <c r="AQ249" s="391"/>
      <c r="AR249" s="391"/>
      <c r="AS249" s="391"/>
      <c r="AT249" s="391"/>
      <c r="AU249" s="391"/>
      <c r="AV249" s="391"/>
      <c r="AW249" s="391"/>
      <c r="AX249" s="391"/>
      <c r="AY249" s="391"/>
      <c r="AZ249" s="391"/>
      <c r="BA249" s="391"/>
      <c r="BB249" s="391"/>
      <c r="BC249" s="391"/>
      <c r="BD249" s="391"/>
      <c r="BE249" s="391"/>
      <c r="BF249" s="391"/>
      <c r="BG249" s="391"/>
      <c r="BH249" s="391"/>
      <c r="BI249" s="391"/>
      <c r="BJ249" s="391"/>
      <c r="BK249" s="391"/>
      <c r="BL249" s="391"/>
      <c r="BM249" s="391"/>
      <c r="BN249" s="391"/>
      <c r="BO249" s="391"/>
      <c r="BP249" s="391"/>
      <c r="BQ249" s="391"/>
      <c r="BR249" s="391"/>
      <c r="BS249" s="391"/>
      <c r="BT249" s="391"/>
      <c r="BU249" s="391"/>
      <c r="BV249" s="391"/>
      <c r="BW249" s="391"/>
      <c r="BX249" s="391"/>
      <c r="BY249" s="391"/>
      <c r="BZ249" s="391"/>
      <c r="CA249" s="391"/>
      <c r="CB249" s="391"/>
      <c r="CC249" s="391"/>
      <c r="CD249" s="391"/>
      <c r="CE249" s="391"/>
      <c r="CF249" s="391"/>
      <c r="CG249" s="391"/>
      <c r="CH249" s="391"/>
      <c r="CI249" s="391"/>
      <c r="CJ249" s="391"/>
      <c r="CK249" s="391"/>
      <c r="CL249" s="391"/>
      <c r="CM249" s="391"/>
      <c r="CN249" s="391"/>
      <c r="CO249" s="391"/>
      <c r="CP249" s="391"/>
      <c r="CQ249" s="391"/>
      <c r="CR249" s="391"/>
      <c r="CS249" s="391"/>
      <c r="CT249" s="391"/>
      <c r="CU249" s="391"/>
      <c r="CV249" s="391"/>
      <c r="CW249" s="391"/>
      <c r="CX249" s="391"/>
      <c r="CY249" s="391"/>
      <c r="CZ249" s="391"/>
      <c r="DA249" s="391"/>
      <c r="DB249" s="391"/>
      <c r="DC249" s="391"/>
      <c r="DD249" s="391"/>
      <c r="DE249" s="391"/>
      <c r="DF249" s="391"/>
      <c r="DG249" s="391"/>
      <c r="DH249" s="391"/>
      <c r="DI249" s="391"/>
      <c r="DJ249" s="391"/>
      <c r="DK249" s="391"/>
      <c r="DL249" s="391"/>
      <c r="DM249" s="391"/>
      <c r="DN249" s="391"/>
      <c r="DO249" s="391"/>
      <c r="DP249" s="391"/>
      <c r="DQ249" s="391"/>
      <c r="DR249" s="391"/>
      <c r="DS249" s="391"/>
      <c r="DT249" s="391"/>
      <c r="DU249" s="391"/>
      <c r="DV249" s="391"/>
      <c r="DW249" s="391"/>
      <c r="DX249" s="391"/>
      <c r="DY249" s="391"/>
      <c r="DZ249" s="391"/>
      <c r="EA249" s="391"/>
      <c r="EB249" s="391"/>
      <c r="EC249" s="391"/>
      <c r="ED249" s="391"/>
      <c r="EE249" s="391"/>
      <c r="EF249" s="391"/>
      <c r="EG249" s="391"/>
      <c r="EH249" s="391"/>
      <c r="EI249" s="391"/>
      <c r="EJ249" s="391"/>
      <c r="EK249" s="391"/>
      <c r="EL249" s="391"/>
      <c r="EM249" s="391"/>
      <c r="EN249" s="391"/>
      <c r="EO249" s="391"/>
      <c r="EP249" s="391"/>
      <c r="EQ249" s="391"/>
      <c r="ER249" s="391"/>
      <c r="ES249" s="391"/>
      <c r="ET249" s="391"/>
      <c r="EU249" s="391"/>
      <c r="EV249" s="391"/>
      <c r="EW249" s="391"/>
      <c r="EX249" s="391"/>
      <c r="EY249" s="391"/>
      <c r="EZ249" s="391"/>
      <c r="FA249" s="391"/>
      <c r="FB249" s="391"/>
      <c r="FC249" s="391"/>
      <c r="FD249" s="391"/>
      <c r="FE249" s="391"/>
      <c r="FF249" s="391"/>
      <c r="FG249" s="391"/>
      <c r="FH249" s="391"/>
      <c r="FI249" s="391"/>
      <c r="FJ249" s="391"/>
      <c r="FK249" s="391"/>
      <c r="FL249" s="391"/>
      <c r="FM249" s="391"/>
      <c r="FN249" s="391"/>
      <c r="FO249" s="391"/>
      <c r="FP249" s="391"/>
      <c r="FQ249" s="391"/>
      <c r="FR249" s="391"/>
      <c r="FS249" s="391"/>
      <c r="FT249" s="391"/>
      <c r="FU249" s="391"/>
      <c r="FV249" s="391"/>
      <c r="FW249" s="391"/>
      <c r="FX249" s="391"/>
      <c r="FY249" s="391"/>
      <c r="FZ249" s="391"/>
      <c r="GA249" s="391"/>
      <c r="GB249" s="391"/>
      <c r="GC249" s="391"/>
      <c r="GD249" s="391"/>
      <c r="GE249" s="391"/>
      <c r="GF249" s="391"/>
      <c r="GG249" s="391"/>
      <c r="GH249" s="391"/>
      <c r="GI249" s="391"/>
      <c r="GJ249" s="391"/>
      <c r="GK249" s="391"/>
      <c r="GL249" s="391"/>
      <c r="GM249" s="391"/>
      <c r="GN249" s="391"/>
      <c r="GO249" s="391"/>
      <c r="GP249" s="391"/>
      <c r="GQ249" s="391"/>
      <c r="GR249" s="391"/>
      <c r="GS249" s="391"/>
      <c r="GT249" s="391"/>
      <c r="GU249" s="391"/>
      <c r="GV249" s="391"/>
      <c r="GW249" s="391"/>
      <c r="GX249" s="391"/>
      <c r="GY249" s="391"/>
      <c r="GZ249" s="391"/>
      <c r="HA249" s="391"/>
      <c r="HB249" s="391"/>
      <c r="HC249" s="391"/>
      <c r="HD249" s="391"/>
      <c r="HE249" s="391"/>
      <c r="HF249" s="391"/>
      <c r="HG249" s="391"/>
      <c r="HH249" s="391"/>
      <c r="HI249" s="391"/>
      <c r="HJ249" s="391"/>
      <c r="HK249" s="391"/>
      <c r="HL249" s="391"/>
      <c r="HM249" s="391"/>
      <c r="HN249" s="391"/>
      <c r="HO249" s="391"/>
      <c r="HP249" s="391"/>
      <c r="HQ249" s="391"/>
      <c r="HR249" s="391"/>
      <c r="HS249" s="391"/>
      <c r="HT249" s="391"/>
      <c r="HU249" s="391"/>
      <c r="HV249" s="391"/>
      <c r="HW249" s="391"/>
      <c r="HX249" s="391"/>
      <c r="HY249" s="391"/>
      <c r="HZ249" s="391"/>
      <c r="IA249" s="391"/>
      <c r="IB249" s="391"/>
      <c r="IC249" s="391"/>
      <c r="ID249" s="391"/>
      <c r="IE249" s="391"/>
      <c r="IF249" s="391"/>
      <c r="IG249" s="391"/>
      <c r="IH249" s="391"/>
      <c r="II249" s="391"/>
      <c r="IJ249" s="391"/>
      <c r="IK249" s="391"/>
      <c r="IL249" s="391"/>
      <c r="IM249" s="391"/>
      <c r="IN249" s="391"/>
      <c r="IO249" s="391"/>
      <c r="IP249" s="391"/>
      <c r="IQ249" s="391"/>
      <c r="IR249" s="391"/>
      <c r="IS249" s="391"/>
      <c r="IT249" s="391"/>
      <c r="IU249" s="391"/>
      <c r="IV249" s="391"/>
      <c r="IW249" s="391"/>
      <c r="IX249" s="391"/>
      <c r="IY249" s="391"/>
      <c r="IZ249" s="391"/>
      <c r="JA249" s="391"/>
      <c r="JB249" s="391"/>
      <c r="JC249" s="391"/>
      <c r="JD249" s="391"/>
      <c r="JE249" s="391"/>
      <c r="JF249" s="391"/>
      <c r="JG249" s="391"/>
      <c r="JH249" s="391"/>
      <c r="JI249" s="393">
        <f t="shared" si="7"/>
        <v>0</v>
      </c>
      <c r="JJ249" s="2">
        <v>6933</v>
      </c>
      <c r="JK249" s="392">
        <f t="shared" si="8"/>
        <v>0</v>
      </c>
      <c r="JL249" s="391"/>
      <c r="JM249" s="392"/>
      <c r="JN249" s="392"/>
      <c r="JO249" s="392"/>
      <c r="JP249" s="392"/>
    </row>
    <row r="250" spans="1:276" x14ac:dyDescent="0.3">
      <c r="A250" s="391"/>
      <c r="B250" s="391"/>
      <c r="C250" s="391"/>
      <c r="D250" s="391"/>
      <c r="E250" s="391"/>
      <c r="F250" s="391"/>
      <c r="G250" s="391"/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391"/>
      <c r="X250" s="391"/>
      <c r="Y250" s="391"/>
      <c r="Z250" s="391"/>
      <c r="AA250" s="391"/>
      <c r="AB250" s="391"/>
      <c r="AC250" s="391"/>
      <c r="AD250" s="391"/>
      <c r="AE250" s="391"/>
      <c r="AF250" s="391"/>
      <c r="AG250" s="391"/>
      <c r="AH250" s="391"/>
      <c r="AI250" s="391"/>
      <c r="AJ250" s="391"/>
      <c r="AK250" s="391"/>
      <c r="AL250" s="391"/>
      <c r="AM250" s="391"/>
      <c r="AN250" s="391"/>
      <c r="AO250" s="391"/>
      <c r="AP250" s="391"/>
      <c r="AQ250" s="391"/>
      <c r="AR250" s="391"/>
      <c r="AS250" s="391"/>
      <c r="AT250" s="391"/>
      <c r="AU250" s="391"/>
      <c r="AV250" s="391"/>
      <c r="AW250" s="391"/>
      <c r="AX250" s="391"/>
      <c r="AY250" s="391"/>
      <c r="AZ250" s="391"/>
      <c r="BA250" s="391"/>
      <c r="BB250" s="391"/>
      <c r="BC250" s="391"/>
      <c r="BD250" s="391"/>
      <c r="BE250" s="391"/>
      <c r="BF250" s="391"/>
      <c r="BG250" s="391"/>
      <c r="BH250" s="391"/>
      <c r="BI250" s="391"/>
      <c r="BJ250" s="391"/>
      <c r="BK250" s="391"/>
      <c r="BL250" s="391"/>
      <c r="BM250" s="391"/>
      <c r="BN250" s="391"/>
      <c r="BO250" s="391"/>
      <c r="BP250" s="391"/>
      <c r="BQ250" s="391"/>
      <c r="BR250" s="391"/>
      <c r="BS250" s="391"/>
      <c r="BT250" s="391"/>
      <c r="BU250" s="391"/>
      <c r="BV250" s="391"/>
      <c r="BW250" s="391"/>
      <c r="BX250" s="391"/>
      <c r="BY250" s="391"/>
      <c r="BZ250" s="391"/>
      <c r="CA250" s="391"/>
      <c r="CB250" s="391"/>
      <c r="CC250" s="391"/>
      <c r="CD250" s="391"/>
      <c r="CE250" s="391"/>
      <c r="CF250" s="391"/>
      <c r="CG250" s="391"/>
      <c r="CH250" s="391"/>
      <c r="CI250" s="391"/>
      <c r="CJ250" s="391"/>
      <c r="CK250" s="391"/>
      <c r="CL250" s="391"/>
      <c r="CM250" s="391"/>
      <c r="CN250" s="391"/>
      <c r="CO250" s="391"/>
      <c r="CP250" s="391"/>
      <c r="CQ250" s="391"/>
      <c r="CR250" s="391"/>
      <c r="CS250" s="391"/>
      <c r="CT250" s="391"/>
      <c r="CU250" s="391"/>
      <c r="CV250" s="391"/>
      <c r="CW250" s="391"/>
      <c r="CX250" s="391"/>
      <c r="CY250" s="391"/>
      <c r="CZ250" s="391"/>
      <c r="DA250" s="391"/>
      <c r="DB250" s="391"/>
      <c r="DC250" s="391"/>
      <c r="DD250" s="391"/>
      <c r="DE250" s="391"/>
      <c r="DF250" s="391"/>
      <c r="DG250" s="391"/>
      <c r="DH250" s="391"/>
      <c r="DI250" s="391"/>
      <c r="DJ250" s="391"/>
      <c r="DK250" s="391"/>
      <c r="DL250" s="391"/>
      <c r="DM250" s="391"/>
      <c r="DN250" s="391"/>
      <c r="DO250" s="391"/>
      <c r="DP250" s="391"/>
      <c r="DQ250" s="391"/>
      <c r="DR250" s="391"/>
      <c r="DS250" s="391"/>
      <c r="DT250" s="391"/>
      <c r="DU250" s="391"/>
      <c r="DV250" s="391"/>
      <c r="DW250" s="391"/>
      <c r="DX250" s="391"/>
      <c r="DY250" s="391"/>
      <c r="DZ250" s="391"/>
      <c r="EA250" s="391"/>
      <c r="EB250" s="391"/>
      <c r="EC250" s="391"/>
      <c r="ED250" s="391"/>
      <c r="EE250" s="391"/>
      <c r="EF250" s="391"/>
      <c r="EG250" s="391"/>
      <c r="EH250" s="391"/>
      <c r="EI250" s="391"/>
      <c r="EJ250" s="391"/>
      <c r="EK250" s="391"/>
      <c r="EL250" s="391"/>
      <c r="EM250" s="391"/>
      <c r="EN250" s="391"/>
      <c r="EO250" s="391"/>
      <c r="EP250" s="391"/>
      <c r="EQ250" s="391"/>
      <c r="ER250" s="391"/>
      <c r="ES250" s="391"/>
      <c r="ET250" s="391"/>
      <c r="EU250" s="391"/>
      <c r="EV250" s="391"/>
      <c r="EW250" s="391"/>
      <c r="EX250" s="391"/>
      <c r="EY250" s="391"/>
      <c r="EZ250" s="391"/>
      <c r="FA250" s="391"/>
      <c r="FB250" s="391"/>
      <c r="FC250" s="391"/>
      <c r="FD250" s="391"/>
      <c r="FE250" s="391"/>
      <c r="FF250" s="391"/>
      <c r="FG250" s="391"/>
      <c r="FH250" s="391"/>
      <c r="FI250" s="391"/>
      <c r="FJ250" s="391"/>
      <c r="FK250" s="391"/>
      <c r="FL250" s="391"/>
      <c r="FM250" s="391"/>
      <c r="FN250" s="391"/>
      <c r="FO250" s="391"/>
      <c r="FP250" s="391"/>
      <c r="FQ250" s="391"/>
      <c r="FR250" s="391"/>
      <c r="FS250" s="391"/>
      <c r="FT250" s="391"/>
      <c r="FU250" s="391"/>
      <c r="FV250" s="391"/>
      <c r="FW250" s="391"/>
      <c r="FX250" s="391"/>
      <c r="FY250" s="391"/>
      <c r="FZ250" s="391"/>
      <c r="GA250" s="391"/>
      <c r="GB250" s="391"/>
      <c r="GC250" s="391"/>
      <c r="GD250" s="391"/>
      <c r="GE250" s="391"/>
      <c r="GF250" s="391"/>
      <c r="GG250" s="391"/>
      <c r="GH250" s="391"/>
      <c r="GI250" s="391"/>
      <c r="GJ250" s="391"/>
      <c r="GK250" s="391"/>
      <c r="GL250" s="391"/>
      <c r="GM250" s="391"/>
      <c r="GN250" s="391"/>
      <c r="GO250" s="391"/>
      <c r="GP250" s="391"/>
      <c r="GQ250" s="391"/>
      <c r="GR250" s="391"/>
      <c r="GS250" s="391"/>
      <c r="GT250" s="391"/>
      <c r="GU250" s="391"/>
      <c r="GV250" s="391"/>
      <c r="GW250" s="391"/>
      <c r="GX250" s="391"/>
      <c r="GY250" s="391"/>
      <c r="GZ250" s="391"/>
      <c r="HA250" s="391"/>
      <c r="HB250" s="391"/>
      <c r="HC250" s="391"/>
      <c r="HD250" s="391"/>
      <c r="HE250" s="391"/>
      <c r="HF250" s="391"/>
      <c r="HG250" s="391"/>
      <c r="HH250" s="391"/>
      <c r="HI250" s="391"/>
      <c r="HJ250" s="391"/>
      <c r="HK250" s="391"/>
      <c r="HL250" s="391"/>
      <c r="HM250" s="391"/>
      <c r="HN250" s="391"/>
      <c r="HO250" s="391"/>
      <c r="HP250" s="391"/>
      <c r="HQ250" s="391"/>
      <c r="HR250" s="391"/>
      <c r="HS250" s="391"/>
      <c r="HT250" s="391"/>
      <c r="HU250" s="391"/>
      <c r="HV250" s="391"/>
      <c r="HW250" s="391"/>
      <c r="HX250" s="391"/>
      <c r="HY250" s="391"/>
      <c r="HZ250" s="391"/>
      <c r="IA250" s="391"/>
      <c r="IB250" s="391"/>
      <c r="IC250" s="391"/>
      <c r="ID250" s="391"/>
      <c r="IE250" s="391"/>
      <c r="IF250" s="391"/>
      <c r="IG250" s="391"/>
      <c r="IH250" s="391"/>
      <c r="II250" s="391"/>
      <c r="IJ250" s="391"/>
      <c r="IK250" s="391"/>
      <c r="IL250" s="391"/>
      <c r="IM250" s="391"/>
      <c r="IN250" s="391"/>
      <c r="IO250" s="391"/>
      <c r="IP250" s="391"/>
      <c r="IQ250" s="391"/>
      <c r="IR250" s="391"/>
      <c r="IS250" s="391"/>
      <c r="IT250" s="391"/>
      <c r="IU250" s="391"/>
      <c r="IV250" s="391"/>
      <c r="IW250" s="391"/>
      <c r="IX250" s="391"/>
      <c r="IY250" s="391"/>
      <c r="IZ250" s="391"/>
      <c r="JA250" s="391"/>
      <c r="JB250" s="391"/>
      <c r="JC250" s="391"/>
      <c r="JD250" s="391"/>
      <c r="JE250" s="391"/>
      <c r="JF250" s="391"/>
      <c r="JG250" s="391"/>
      <c r="JH250" s="391"/>
      <c r="JI250" s="393">
        <f t="shared" si="7"/>
        <v>0</v>
      </c>
      <c r="JJ250" s="2">
        <v>6937</v>
      </c>
      <c r="JK250" s="392">
        <f t="shared" si="8"/>
        <v>0</v>
      </c>
      <c r="JL250" s="391"/>
      <c r="JM250" s="392"/>
      <c r="JN250" s="392"/>
      <c r="JO250" s="392"/>
      <c r="JP250" s="392"/>
    </row>
    <row r="251" spans="1:276" x14ac:dyDescent="0.3">
      <c r="A251" s="391"/>
      <c r="B251" s="391"/>
      <c r="C251" s="391"/>
      <c r="D251" s="391"/>
      <c r="E251" s="391"/>
      <c r="F251" s="391"/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  <c r="AA251" s="391"/>
      <c r="AB251" s="391"/>
      <c r="AC251" s="391"/>
      <c r="AD251" s="391"/>
      <c r="AE251" s="391"/>
      <c r="AF251" s="391"/>
      <c r="AG251" s="391"/>
      <c r="AH251" s="391"/>
      <c r="AI251" s="391"/>
      <c r="AJ251" s="391"/>
      <c r="AK251" s="391"/>
      <c r="AL251" s="391"/>
      <c r="AM251" s="391"/>
      <c r="AN251" s="391"/>
      <c r="AO251" s="391"/>
      <c r="AP251" s="391"/>
      <c r="AQ251" s="391"/>
      <c r="AR251" s="391"/>
      <c r="AS251" s="391"/>
      <c r="AT251" s="391"/>
      <c r="AU251" s="391"/>
      <c r="AV251" s="391"/>
      <c r="AW251" s="391"/>
      <c r="AX251" s="391"/>
      <c r="AY251" s="391"/>
      <c r="AZ251" s="391"/>
      <c r="BA251" s="391"/>
      <c r="BB251" s="391"/>
      <c r="BC251" s="391"/>
      <c r="BD251" s="391"/>
      <c r="BE251" s="391"/>
      <c r="BF251" s="391"/>
      <c r="BG251" s="391"/>
      <c r="BH251" s="391"/>
      <c r="BI251" s="391"/>
      <c r="BJ251" s="391"/>
      <c r="BK251" s="391"/>
      <c r="BL251" s="391"/>
      <c r="BM251" s="391"/>
      <c r="BN251" s="391"/>
      <c r="BO251" s="391"/>
      <c r="BP251" s="391"/>
      <c r="BQ251" s="391"/>
      <c r="BR251" s="391"/>
      <c r="BS251" s="391"/>
      <c r="BT251" s="391"/>
      <c r="BU251" s="391"/>
      <c r="BV251" s="391"/>
      <c r="BW251" s="391"/>
      <c r="BX251" s="391"/>
      <c r="BY251" s="391"/>
      <c r="BZ251" s="391"/>
      <c r="CA251" s="391"/>
      <c r="CB251" s="391"/>
      <c r="CC251" s="391"/>
      <c r="CD251" s="391"/>
      <c r="CE251" s="391"/>
      <c r="CF251" s="391"/>
      <c r="CG251" s="391"/>
      <c r="CH251" s="391"/>
      <c r="CI251" s="391"/>
      <c r="CJ251" s="391"/>
      <c r="CK251" s="391"/>
      <c r="CL251" s="391"/>
      <c r="CM251" s="391"/>
      <c r="CN251" s="391"/>
      <c r="CO251" s="391"/>
      <c r="CP251" s="391"/>
      <c r="CQ251" s="391"/>
      <c r="CR251" s="391"/>
      <c r="CS251" s="391"/>
      <c r="CT251" s="391"/>
      <c r="CU251" s="391"/>
      <c r="CV251" s="391"/>
      <c r="CW251" s="391"/>
      <c r="CX251" s="391"/>
      <c r="CY251" s="391"/>
      <c r="CZ251" s="391"/>
      <c r="DA251" s="391"/>
      <c r="DB251" s="391"/>
      <c r="DC251" s="391"/>
      <c r="DD251" s="391"/>
      <c r="DE251" s="391"/>
      <c r="DF251" s="391"/>
      <c r="DG251" s="391"/>
      <c r="DH251" s="391"/>
      <c r="DI251" s="391"/>
      <c r="DJ251" s="391"/>
      <c r="DK251" s="391"/>
      <c r="DL251" s="391"/>
      <c r="DM251" s="391"/>
      <c r="DN251" s="391"/>
      <c r="DO251" s="391"/>
      <c r="DP251" s="391"/>
      <c r="DQ251" s="391"/>
      <c r="DR251" s="391"/>
      <c r="DS251" s="391"/>
      <c r="DT251" s="391"/>
      <c r="DU251" s="391"/>
      <c r="DV251" s="391"/>
      <c r="DW251" s="391"/>
      <c r="DX251" s="391"/>
      <c r="DY251" s="391"/>
      <c r="DZ251" s="391"/>
      <c r="EA251" s="391"/>
      <c r="EB251" s="391"/>
      <c r="EC251" s="391"/>
      <c r="ED251" s="391"/>
      <c r="EE251" s="391"/>
      <c r="EF251" s="391"/>
      <c r="EG251" s="391"/>
      <c r="EH251" s="391"/>
      <c r="EI251" s="391"/>
      <c r="EJ251" s="391"/>
      <c r="EK251" s="391"/>
      <c r="EL251" s="391"/>
      <c r="EM251" s="391"/>
      <c r="EN251" s="391"/>
      <c r="EO251" s="391"/>
      <c r="EP251" s="391"/>
      <c r="EQ251" s="391"/>
      <c r="ER251" s="391"/>
      <c r="ES251" s="391"/>
      <c r="ET251" s="391"/>
      <c r="EU251" s="391"/>
      <c r="EV251" s="391"/>
      <c r="EW251" s="391"/>
      <c r="EX251" s="391"/>
      <c r="EY251" s="391"/>
      <c r="EZ251" s="391"/>
      <c r="FA251" s="391"/>
      <c r="FB251" s="391"/>
      <c r="FC251" s="391"/>
      <c r="FD251" s="391"/>
      <c r="FE251" s="391"/>
      <c r="FF251" s="391"/>
      <c r="FG251" s="391"/>
      <c r="FH251" s="391"/>
      <c r="FI251" s="391"/>
      <c r="FJ251" s="391"/>
      <c r="FK251" s="391"/>
      <c r="FL251" s="391"/>
      <c r="FM251" s="391"/>
      <c r="FN251" s="391"/>
      <c r="FO251" s="391"/>
      <c r="FP251" s="391"/>
      <c r="FQ251" s="391"/>
      <c r="FR251" s="391"/>
      <c r="FS251" s="391"/>
      <c r="FT251" s="391"/>
      <c r="FU251" s="391"/>
      <c r="FV251" s="391"/>
      <c r="FW251" s="391"/>
      <c r="FX251" s="391"/>
      <c r="FY251" s="391"/>
      <c r="FZ251" s="391"/>
      <c r="GA251" s="391"/>
      <c r="GB251" s="391"/>
      <c r="GC251" s="391"/>
      <c r="GD251" s="391"/>
      <c r="GE251" s="391"/>
      <c r="GF251" s="391"/>
      <c r="GG251" s="391"/>
      <c r="GH251" s="391"/>
      <c r="GI251" s="391"/>
      <c r="GJ251" s="391"/>
      <c r="GK251" s="391"/>
      <c r="GL251" s="391"/>
      <c r="GM251" s="391"/>
      <c r="GN251" s="391"/>
      <c r="GO251" s="391"/>
      <c r="GP251" s="391"/>
      <c r="GQ251" s="391"/>
      <c r="GR251" s="391"/>
      <c r="GS251" s="391"/>
      <c r="GT251" s="391"/>
      <c r="GU251" s="391"/>
      <c r="GV251" s="391"/>
      <c r="GW251" s="391"/>
      <c r="GX251" s="391"/>
      <c r="GY251" s="391"/>
      <c r="GZ251" s="391"/>
      <c r="HA251" s="391"/>
      <c r="HB251" s="391"/>
      <c r="HC251" s="391"/>
      <c r="HD251" s="391"/>
      <c r="HE251" s="391"/>
      <c r="HF251" s="391"/>
      <c r="HG251" s="391"/>
      <c r="HH251" s="391"/>
      <c r="HI251" s="391"/>
      <c r="HJ251" s="391"/>
      <c r="HK251" s="391"/>
      <c r="HL251" s="391"/>
      <c r="HM251" s="391"/>
      <c r="HN251" s="391"/>
      <c r="HO251" s="391"/>
      <c r="HP251" s="391"/>
      <c r="HQ251" s="391"/>
      <c r="HR251" s="391"/>
      <c r="HS251" s="391"/>
      <c r="HT251" s="391"/>
      <c r="HU251" s="391"/>
      <c r="HV251" s="391"/>
      <c r="HW251" s="391"/>
      <c r="HX251" s="391"/>
      <c r="HY251" s="391"/>
      <c r="HZ251" s="391"/>
      <c r="IA251" s="391"/>
      <c r="IB251" s="391"/>
      <c r="IC251" s="391"/>
      <c r="ID251" s="391"/>
      <c r="IE251" s="391"/>
      <c r="IF251" s="391"/>
      <c r="IG251" s="391"/>
      <c r="IH251" s="391"/>
      <c r="II251" s="391"/>
      <c r="IJ251" s="391"/>
      <c r="IK251" s="391"/>
      <c r="IL251" s="391"/>
      <c r="IM251" s="391"/>
      <c r="IN251" s="391"/>
      <c r="IO251" s="391"/>
      <c r="IP251" s="391"/>
      <c r="IQ251" s="391"/>
      <c r="IR251" s="391"/>
      <c r="IS251" s="391"/>
      <c r="IT251" s="391"/>
      <c r="IU251" s="391"/>
      <c r="IV251" s="391"/>
      <c r="IW251" s="391"/>
      <c r="IX251" s="391"/>
      <c r="IY251" s="391"/>
      <c r="IZ251" s="391"/>
      <c r="JA251" s="391"/>
      <c r="JB251" s="391"/>
      <c r="JC251" s="391"/>
      <c r="JD251" s="391"/>
      <c r="JE251" s="391"/>
      <c r="JF251" s="391"/>
      <c r="JG251" s="391"/>
      <c r="JH251" s="391"/>
      <c r="JI251" s="393">
        <f t="shared" si="7"/>
        <v>0</v>
      </c>
      <c r="JJ251" s="2">
        <v>6942</v>
      </c>
      <c r="JK251" s="392">
        <f t="shared" si="8"/>
        <v>0</v>
      </c>
      <c r="JL251" s="391"/>
      <c r="JM251" s="392"/>
      <c r="JN251" s="392"/>
      <c r="JO251" s="392"/>
      <c r="JP251" s="392"/>
    </row>
    <row r="252" spans="1:276" x14ac:dyDescent="0.3">
      <c r="A252" s="391"/>
      <c r="B252" s="391"/>
      <c r="C252" s="391"/>
      <c r="D252" s="391"/>
      <c r="E252" s="391"/>
      <c r="F252" s="391"/>
      <c r="G252" s="391"/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  <c r="W252" s="391"/>
      <c r="X252" s="391"/>
      <c r="Y252" s="391"/>
      <c r="Z252" s="391"/>
      <c r="AA252" s="391"/>
      <c r="AB252" s="391"/>
      <c r="AC252" s="391"/>
      <c r="AD252" s="391"/>
      <c r="AE252" s="391"/>
      <c r="AF252" s="391"/>
      <c r="AG252" s="391"/>
      <c r="AH252" s="391"/>
      <c r="AI252" s="391"/>
      <c r="AJ252" s="391"/>
      <c r="AK252" s="391"/>
      <c r="AL252" s="391"/>
      <c r="AM252" s="391"/>
      <c r="AN252" s="391"/>
      <c r="AO252" s="391"/>
      <c r="AP252" s="391"/>
      <c r="AQ252" s="391"/>
      <c r="AR252" s="391"/>
      <c r="AS252" s="391"/>
      <c r="AT252" s="391"/>
      <c r="AU252" s="391"/>
      <c r="AV252" s="391"/>
      <c r="AW252" s="391"/>
      <c r="AX252" s="391"/>
      <c r="AY252" s="391"/>
      <c r="AZ252" s="391"/>
      <c r="BA252" s="391"/>
      <c r="BB252" s="391"/>
      <c r="BC252" s="391"/>
      <c r="BD252" s="391"/>
      <c r="BE252" s="391"/>
      <c r="BF252" s="391"/>
      <c r="BG252" s="391"/>
      <c r="BH252" s="391"/>
      <c r="BI252" s="391"/>
      <c r="BJ252" s="391"/>
      <c r="BK252" s="391"/>
      <c r="BL252" s="391"/>
      <c r="BM252" s="391"/>
      <c r="BN252" s="391"/>
      <c r="BO252" s="391"/>
      <c r="BP252" s="391"/>
      <c r="BQ252" s="391"/>
      <c r="BR252" s="391"/>
      <c r="BS252" s="391"/>
      <c r="BT252" s="391"/>
      <c r="BU252" s="391"/>
      <c r="BV252" s="391"/>
      <c r="BW252" s="391"/>
      <c r="BX252" s="391"/>
      <c r="BY252" s="391"/>
      <c r="BZ252" s="391"/>
      <c r="CA252" s="391"/>
      <c r="CB252" s="391"/>
      <c r="CC252" s="391"/>
      <c r="CD252" s="391"/>
      <c r="CE252" s="391"/>
      <c r="CF252" s="391"/>
      <c r="CG252" s="391"/>
      <c r="CH252" s="391"/>
      <c r="CI252" s="391"/>
      <c r="CJ252" s="391"/>
      <c r="CK252" s="391"/>
      <c r="CL252" s="391"/>
      <c r="CM252" s="391"/>
      <c r="CN252" s="391"/>
      <c r="CO252" s="391"/>
      <c r="CP252" s="391"/>
      <c r="CQ252" s="391"/>
      <c r="CR252" s="391"/>
      <c r="CS252" s="391"/>
      <c r="CT252" s="391"/>
      <c r="CU252" s="391"/>
      <c r="CV252" s="391"/>
      <c r="CW252" s="391"/>
      <c r="CX252" s="391"/>
      <c r="CY252" s="391"/>
      <c r="CZ252" s="391"/>
      <c r="DA252" s="391"/>
      <c r="DB252" s="391"/>
      <c r="DC252" s="391"/>
      <c r="DD252" s="391"/>
      <c r="DE252" s="391"/>
      <c r="DF252" s="391"/>
      <c r="DG252" s="391"/>
      <c r="DH252" s="391"/>
      <c r="DI252" s="391"/>
      <c r="DJ252" s="391"/>
      <c r="DK252" s="391"/>
      <c r="DL252" s="391"/>
      <c r="DM252" s="391"/>
      <c r="DN252" s="391"/>
      <c r="DO252" s="391"/>
      <c r="DP252" s="391"/>
      <c r="DQ252" s="391"/>
      <c r="DR252" s="391"/>
      <c r="DS252" s="391"/>
      <c r="DT252" s="391"/>
      <c r="DU252" s="391"/>
      <c r="DV252" s="391"/>
      <c r="DW252" s="391"/>
      <c r="DX252" s="391"/>
      <c r="DY252" s="391"/>
      <c r="DZ252" s="391"/>
      <c r="EA252" s="391"/>
      <c r="EB252" s="391"/>
      <c r="EC252" s="391"/>
      <c r="ED252" s="391"/>
      <c r="EE252" s="391"/>
      <c r="EF252" s="391"/>
      <c r="EG252" s="391"/>
      <c r="EH252" s="391"/>
      <c r="EI252" s="391"/>
      <c r="EJ252" s="391"/>
      <c r="EK252" s="391"/>
      <c r="EL252" s="391"/>
      <c r="EM252" s="391"/>
      <c r="EN252" s="391"/>
      <c r="EO252" s="391"/>
      <c r="EP252" s="391"/>
      <c r="EQ252" s="391"/>
      <c r="ER252" s="391"/>
      <c r="ES252" s="391"/>
      <c r="ET252" s="391"/>
      <c r="EU252" s="391"/>
      <c r="EV252" s="391"/>
      <c r="EW252" s="391"/>
      <c r="EX252" s="391"/>
      <c r="EY252" s="391"/>
      <c r="EZ252" s="391"/>
      <c r="FA252" s="391"/>
      <c r="FB252" s="391"/>
      <c r="FC252" s="391"/>
      <c r="FD252" s="391"/>
      <c r="FE252" s="391"/>
      <c r="FF252" s="391"/>
      <c r="FG252" s="391"/>
      <c r="FH252" s="391"/>
      <c r="FI252" s="391"/>
      <c r="FJ252" s="391"/>
      <c r="FK252" s="391"/>
      <c r="FL252" s="391"/>
      <c r="FM252" s="391"/>
      <c r="FN252" s="391"/>
      <c r="FO252" s="391"/>
      <c r="FP252" s="391"/>
      <c r="FQ252" s="391"/>
      <c r="FR252" s="391"/>
      <c r="FS252" s="391"/>
      <c r="FT252" s="391"/>
      <c r="FU252" s="391"/>
      <c r="FV252" s="391"/>
      <c r="FW252" s="391"/>
      <c r="FX252" s="391"/>
      <c r="FY252" s="391"/>
      <c r="FZ252" s="391"/>
      <c r="GA252" s="391"/>
      <c r="GB252" s="391"/>
      <c r="GC252" s="391"/>
      <c r="GD252" s="391"/>
      <c r="GE252" s="391"/>
      <c r="GF252" s="391"/>
      <c r="GG252" s="391"/>
      <c r="GH252" s="391"/>
      <c r="GI252" s="391"/>
      <c r="GJ252" s="391"/>
      <c r="GK252" s="391"/>
      <c r="GL252" s="391"/>
      <c r="GM252" s="391"/>
      <c r="GN252" s="391"/>
      <c r="GO252" s="391"/>
      <c r="GP252" s="391"/>
      <c r="GQ252" s="391"/>
      <c r="GR252" s="391"/>
      <c r="GS252" s="391"/>
      <c r="GT252" s="391"/>
      <c r="GU252" s="391"/>
      <c r="GV252" s="391"/>
      <c r="GW252" s="391"/>
      <c r="GX252" s="391"/>
      <c r="GY252" s="391"/>
      <c r="GZ252" s="391"/>
      <c r="HA252" s="391"/>
      <c r="HB252" s="391"/>
      <c r="HC252" s="391"/>
      <c r="HD252" s="391"/>
      <c r="HE252" s="391"/>
      <c r="HF252" s="391"/>
      <c r="HG252" s="391"/>
      <c r="HH252" s="391"/>
      <c r="HI252" s="391"/>
      <c r="HJ252" s="391"/>
      <c r="HK252" s="391"/>
      <c r="HL252" s="391"/>
      <c r="HM252" s="391"/>
      <c r="HN252" s="391"/>
      <c r="HO252" s="391"/>
      <c r="HP252" s="391"/>
      <c r="HQ252" s="391"/>
      <c r="HR252" s="391"/>
      <c r="HS252" s="391"/>
      <c r="HT252" s="391"/>
      <c r="HU252" s="391"/>
      <c r="HV252" s="391"/>
      <c r="HW252" s="391"/>
      <c r="HX252" s="391"/>
      <c r="HY252" s="391"/>
      <c r="HZ252" s="391"/>
      <c r="IA252" s="391"/>
      <c r="IB252" s="391"/>
      <c r="IC252" s="391"/>
      <c r="ID252" s="391"/>
      <c r="IE252" s="391"/>
      <c r="IF252" s="391"/>
      <c r="IG252" s="391"/>
      <c r="IH252" s="391"/>
      <c r="II252" s="391"/>
      <c r="IJ252" s="391"/>
      <c r="IK252" s="391"/>
      <c r="IL252" s="391"/>
      <c r="IM252" s="391"/>
      <c r="IN252" s="391"/>
      <c r="IO252" s="391"/>
      <c r="IP252" s="391"/>
      <c r="IQ252" s="391"/>
      <c r="IR252" s="391"/>
      <c r="IS252" s="391"/>
      <c r="IT252" s="391"/>
      <c r="IU252" s="391"/>
      <c r="IV252" s="391"/>
      <c r="IW252" s="391"/>
      <c r="IX252" s="391"/>
      <c r="IY252" s="391"/>
      <c r="IZ252" s="391"/>
      <c r="JA252" s="391"/>
      <c r="JB252" s="391"/>
      <c r="JC252" s="391"/>
      <c r="JD252" s="391"/>
      <c r="JE252" s="391"/>
      <c r="JF252" s="391"/>
      <c r="JG252" s="391"/>
      <c r="JH252" s="391"/>
      <c r="JI252" s="393">
        <f t="shared" si="7"/>
        <v>0</v>
      </c>
      <c r="JJ252" s="2">
        <v>6948</v>
      </c>
      <c r="JK252" s="392">
        <f t="shared" si="8"/>
        <v>0</v>
      </c>
      <c r="JL252" s="391"/>
      <c r="JM252" s="392"/>
      <c r="JN252" s="392"/>
      <c r="JO252" s="392"/>
      <c r="JP252" s="392"/>
    </row>
    <row r="253" spans="1:276" x14ac:dyDescent="0.3">
      <c r="A253" s="391"/>
      <c r="B253" s="391"/>
      <c r="C253" s="391"/>
      <c r="D253" s="391"/>
      <c r="E253" s="391"/>
      <c r="F253" s="391"/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  <c r="T253" s="391"/>
      <c r="U253" s="391"/>
      <c r="V253" s="391"/>
      <c r="W253" s="391"/>
      <c r="X253" s="391"/>
      <c r="Y253" s="391"/>
      <c r="Z253" s="391"/>
      <c r="AA253" s="391"/>
      <c r="AB253" s="391"/>
      <c r="AC253" s="391"/>
      <c r="AD253" s="391"/>
      <c r="AE253" s="391"/>
      <c r="AF253" s="391"/>
      <c r="AG253" s="391"/>
      <c r="AH253" s="391"/>
      <c r="AI253" s="391"/>
      <c r="AJ253" s="391"/>
      <c r="AK253" s="391"/>
      <c r="AL253" s="391"/>
      <c r="AM253" s="391"/>
      <c r="AN253" s="391"/>
      <c r="AO253" s="391"/>
      <c r="AP253" s="391"/>
      <c r="AQ253" s="391"/>
      <c r="AR253" s="391"/>
      <c r="AS253" s="391"/>
      <c r="AT253" s="391"/>
      <c r="AU253" s="391"/>
      <c r="AV253" s="391"/>
      <c r="AW253" s="391"/>
      <c r="AX253" s="391"/>
      <c r="AY253" s="391"/>
      <c r="AZ253" s="391"/>
      <c r="BA253" s="391"/>
      <c r="BB253" s="391"/>
      <c r="BC253" s="391"/>
      <c r="BD253" s="391"/>
      <c r="BE253" s="391"/>
      <c r="BF253" s="391"/>
      <c r="BG253" s="391"/>
      <c r="BH253" s="391"/>
      <c r="BI253" s="391"/>
      <c r="BJ253" s="391"/>
      <c r="BK253" s="391"/>
      <c r="BL253" s="391"/>
      <c r="BM253" s="391"/>
      <c r="BN253" s="391"/>
      <c r="BO253" s="391"/>
      <c r="BP253" s="391"/>
      <c r="BQ253" s="391"/>
      <c r="BR253" s="391"/>
      <c r="BS253" s="391"/>
      <c r="BT253" s="391"/>
      <c r="BU253" s="391"/>
      <c r="BV253" s="391"/>
      <c r="BW253" s="391"/>
      <c r="BX253" s="391"/>
      <c r="BY253" s="391"/>
      <c r="BZ253" s="391"/>
      <c r="CA253" s="391"/>
      <c r="CB253" s="391"/>
      <c r="CC253" s="391"/>
      <c r="CD253" s="391"/>
      <c r="CE253" s="391"/>
      <c r="CF253" s="391"/>
      <c r="CG253" s="391"/>
      <c r="CH253" s="391"/>
      <c r="CI253" s="391"/>
      <c r="CJ253" s="391"/>
      <c r="CK253" s="391"/>
      <c r="CL253" s="391"/>
      <c r="CM253" s="391"/>
      <c r="CN253" s="391"/>
      <c r="CO253" s="391"/>
      <c r="CP253" s="391"/>
      <c r="CQ253" s="391"/>
      <c r="CR253" s="391"/>
      <c r="CS253" s="391"/>
      <c r="CT253" s="391"/>
      <c r="CU253" s="391"/>
      <c r="CV253" s="391"/>
      <c r="CW253" s="391"/>
      <c r="CX253" s="391"/>
      <c r="CY253" s="391"/>
      <c r="CZ253" s="391"/>
      <c r="DA253" s="391"/>
      <c r="DB253" s="391"/>
      <c r="DC253" s="391"/>
      <c r="DD253" s="391"/>
      <c r="DE253" s="391"/>
      <c r="DF253" s="391"/>
      <c r="DG253" s="391"/>
      <c r="DH253" s="391"/>
      <c r="DI253" s="391"/>
      <c r="DJ253" s="391"/>
      <c r="DK253" s="391"/>
      <c r="DL253" s="391"/>
      <c r="DM253" s="391"/>
      <c r="DN253" s="391"/>
      <c r="DO253" s="391"/>
      <c r="DP253" s="391"/>
      <c r="DQ253" s="391"/>
      <c r="DR253" s="391"/>
      <c r="DS253" s="391"/>
      <c r="DT253" s="391"/>
      <c r="DU253" s="391"/>
      <c r="DV253" s="391"/>
      <c r="DW253" s="391"/>
      <c r="DX253" s="391"/>
      <c r="DY253" s="391"/>
      <c r="DZ253" s="391"/>
      <c r="EA253" s="391"/>
      <c r="EB253" s="391"/>
      <c r="EC253" s="391"/>
      <c r="ED253" s="391"/>
      <c r="EE253" s="391"/>
      <c r="EF253" s="391"/>
      <c r="EG253" s="391"/>
      <c r="EH253" s="391"/>
      <c r="EI253" s="391"/>
      <c r="EJ253" s="391"/>
      <c r="EK253" s="391"/>
      <c r="EL253" s="391"/>
      <c r="EM253" s="391"/>
      <c r="EN253" s="391"/>
      <c r="EO253" s="391"/>
      <c r="EP253" s="391"/>
      <c r="EQ253" s="391"/>
      <c r="ER253" s="391"/>
      <c r="ES253" s="391"/>
      <c r="ET253" s="391"/>
      <c r="EU253" s="391"/>
      <c r="EV253" s="391"/>
      <c r="EW253" s="391"/>
      <c r="EX253" s="391"/>
      <c r="EY253" s="391"/>
      <c r="EZ253" s="391"/>
      <c r="FA253" s="391"/>
      <c r="FB253" s="391"/>
      <c r="FC253" s="391"/>
      <c r="FD253" s="391"/>
      <c r="FE253" s="391"/>
      <c r="FF253" s="391"/>
      <c r="FG253" s="391"/>
      <c r="FH253" s="391"/>
      <c r="FI253" s="391"/>
      <c r="FJ253" s="391"/>
      <c r="FK253" s="391"/>
      <c r="FL253" s="391"/>
      <c r="FM253" s="391"/>
      <c r="FN253" s="391"/>
      <c r="FO253" s="391"/>
      <c r="FP253" s="391"/>
      <c r="FQ253" s="391"/>
      <c r="FR253" s="391"/>
      <c r="FS253" s="391"/>
      <c r="FT253" s="391"/>
      <c r="FU253" s="391"/>
      <c r="FV253" s="391"/>
      <c r="FW253" s="391"/>
      <c r="FX253" s="391"/>
      <c r="FY253" s="391"/>
      <c r="FZ253" s="391"/>
      <c r="GA253" s="391"/>
      <c r="GB253" s="391"/>
      <c r="GC253" s="391"/>
      <c r="GD253" s="391"/>
      <c r="GE253" s="391"/>
      <c r="GF253" s="391"/>
      <c r="GG253" s="391"/>
      <c r="GH253" s="391"/>
      <c r="GI253" s="391"/>
      <c r="GJ253" s="391"/>
      <c r="GK253" s="391"/>
      <c r="GL253" s="391"/>
      <c r="GM253" s="391"/>
      <c r="GN253" s="391"/>
      <c r="GO253" s="391"/>
      <c r="GP253" s="391"/>
      <c r="GQ253" s="391"/>
      <c r="GR253" s="391"/>
      <c r="GS253" s="391"/>
      <c r="GT253" s="391"/>
      <c r="GU253" s="391"/>
      <c r="GV253" s="391"/>
      <c r="GW253" s="391"/>
      <c r="GX253" s="391"/>
      <c r="GY253" s="391"/>
      <c r="GZ253" s="391"/>
      <c r="HA253" s="391"/>
      <c r="HB253" s="391"/>
      <c r="HC253" s="391"/>
      <c r="HD253" s="391"/>
      <c r="HE253" s="391"/>
      <c r="HF253" s="391"/>
      <c r="HG253" s="391"/>
      <c r="HH253" s="391"/>
      <c r="HI253" s="391"/>
      <c r="HJ253" s="391"/>
      <c r="HK253" s="391"/>
      <c r="HL253" s="391"/>
      <c r="HM253" s="391"/>
      <c r="HN253" s="391"/>
      <c r="HO253" s="391"/>
      <c r="HP253" s="391"/>
      <c r="HQ253" s="391"/>
      <c r="HR253" s="391"/>
      <c r="HS253" s="391"/>
      <c r="HT253" s="391"/>
      <c r="HU253" s="391"/>
      <c r="HV253" s="391"/>
      <c r="HW253" s="391"/>
      <c r="HX253" s="391"/>
      <c r="HY253" s="391"/>
      <c r="HZ253" s="391"/>
      <c r="IA253" s="391"/>
      <c r="IB253" s="391"/>
      <c r="IC253" s="391"/>
      <c r="ID253" s="391"/>
      <c r="IE253" s="391"/>
      <c r="IF253" s="391"/>
      <c r="IG253" s="391"/>
      <c r="IH253" s="391"/>
      <c r="II253" s="391"/>
      <c r="IJ253" s="391"/>
      <c r="IK253" s="391"/>
      <c r="IL253" s="391"/>
      <c r="IM253" s="391"/>
      <c r="IN253" s="391"/>
      <c r="IO253" s="391"/>
      <c r="IP253" s="391"/>
      <c r="IQ253" s="391"/>
      <c r="IR253" s="391"/>
      <c r="IS253" s="391"/>
      <c r="IT253" s="391"/>
      <c r="IU253" s="391"/>
      <c r="IV253" s="391"/>
      <c r="IW253" s="391"/>
      <c r="IX253" s="391"/>
      <c r="IY253" s="391"/>
      <c r="IZ253" s="391"/>
      <c r="JA253" s="391"/>
      <c r="JB253" s="391"/>
      <c r="JC253" s="391"/>
      <c r="JD253" s="391"/>
      <c r="JE253" s="391"/>
      <c r="JF253" s="391"/>
      <c r="JG253" s="391"/>
      <c r="JH253" s="391"/>
      <c r="JI253" s="393">
        <f t="shared" si="7"/>
        <v>0</v>
      </c>
      <c r="JJ253" s="2">
        <v>6950</v>
      </c>
      <c r="JK253" s="392">
        <f t="shared" si="8"/>
        <v>0</v>
      </c>
      <c r="JL253" s="391"/>
      <c r="JM253" s="392"/>
      <c r="JN253" s="392"/>
      <c r="JO253" s="392"/>
      <c r="JP253" s="392"/>
    </row>
    <row r="254" spans="1:276" x14ac:dyDescent="0.3">
      <c r="A254" s="391"/>
      <c r="B254" s="391"/>
      <c r="C254" s="391"/>
      <c r="D254" s="391"/>
      <c r="E254" s="391"/>
      <c r="F254" s="391"/>
      <c r="G254" s="391"/>
      <c r="H254" s="391"/>
      <c r="I254" s="391"/>
      <c r="J254" s="391"/>
      <c r="K254" s="391"/>
      <c r="L254" s="391"/>
      <c r="M254" s="391"/>
      <c r="N254" s="391"/>
      <c r="O254" s="391"/>
      <c r="P254" s="391"/>
      <c r="Q254" s="391"/>
      <c r="R254" s="391"/>
      <c r="S254" s="391"/>
      <c r="T254" s="391"/>
      <c r="U254" s="391"/>
      <c r="V254" s="391"/>
      <c r="W254" s="391"/>
      <c r="X254" s="391"/>
      <c r="Y254" s="391"/>
      <c r="Z254" s="391"/>
      <c r="AA254" s="391"/>
      <c r="AB254" s="391"/>
      <c r="AC254" s="391"/>
      <c r="AD254" s="391"/>
      <c r="AE254" s="391"/>
      <c r="AF254" s="391"/>
      <c r="AG254" s="391"/>
      <c r="AH254" s="391"/>
      <c r="AI254" s="391"/>
      <c r="AJ254" s="391"/>
      <c r="AK254" s="391"/>
      <c r="AL254" s="391"/>
      <c r="AM254" s="391"/>
      <c r="AN254" s="391"/>
      <c r="AO254" s="391"/>
      <c r="AP254" s="391"/>
      <c r="AQ254" s="391"/>
      <c r="AR254" s="391"/>
      <c r="AS254" s="391"/>
      <c r="AT254" s="391"/>
      <c r="AU254" s="391"/>
      <c r="AV254" s="391"/>
      <c r="AW254" s="391"/>
      <c r="AX254" s="391"/>
      <c r="AY254" s="391"/>
      <c r="AZ254" s="391"/>
      <c r="BA254" s="391"/>
      <c r="BB254" s="391"/>
      <c r="BC254" s="391"/>
      <c r="BD254" s="391"/>
      <c r="BE254" s="391"/>
      <c r="BF254" s="391"/>
      <c r="BG254" s="391"/>
      <c r="BH254" s="391"/>
      <c r="BI254" s="391"/>
      <c r="BJ254" s="391"/>
      <c r="BK254" s="391"/>
      <c r="BL254" s="391"/>
      <c r="BM254" s="391"/>
      <c r="BN254" s="391"/>
      <c r="BO254" s="391"/>
      <c r="BP254" s="391"/>
      <c r="BQ254" s="391"/>
      <c r="BR254" s="391"/>
      <c r="BS254" s="391"/>
      <c r="BT254" s="391"/>
      <c r="BU254" s="391"/>
      <c r="BV254" s="391"/>
      <c r="BW254" s="391"/>
      <c r="BX254" s="391"/>
      <c r="BY254" s="391"/>
      <c r="BZ254" s="391"/>
      <c r="CA254" s="391"/>
      <c r="CB254" s="391"/>
      <c r="CC254" s="391"/>
      <c r="CD254" s="391"/>
      <c r="CE254" s="391"/>
      <c r="CF254" s="391"/>
      <c r="CG254" s="391"/>
      <c r="CH254" s="391"/>
      <c r="CI254" s="391"/>
      <c r="CJ254" s="391"/>
      <c r="CK254" s="391"/>
      <c r="CL254" s="391"/>
      <c r="CM254" s="391"/>
      <c r="CN254" s="391"/>
      <c r="CO254" s="391"/>
      <c r="CP254" s="391"/>
      <c r="CQ254" s="391"/>
      <c r="CR254" s="391"/>
      <c r="CS254" s="391"/>
      <c r="CT254" s="391"/>
      <c r="CU254" s="391"/>
      <c r="CV254" s="391"/>
      <c r="CW254" s="391"/>
      <c r="CX254" s="391"/>
      <c r="CY254" s="391"/>
      <c r="CZ254" s="391"/>
      <c r="DA254" s="391"/>
      <c r="DB254" s="391"/>
      <c r="DC254" s="391"/>
      <c r="DD254" s="391"/>
      <c r="DE254" s="391"/>
      <c r="DF254" s="391"/>
      <c r="DG254" s="391"/>
      <c r="DH254" s="391"/>
      <c r="DI254" s="391"/>
      <c r="DJ254" s="391"/>
      <c r="DK254" s="391"/>
      <c r="DL254" s="391"/>
      <c r="DM254" s="391"/>
      <c r="DN254" s="391"/>
      <c r="DO254" s="391"/>
      <c r="DP254" s="391"/>
      <c r="DQ254" s="391"/>
      <c r="DR254" s="391"/>
      <c r="DS254" s="391"/>
      <c r="DT254" s="391"/>
      <c r="DU254" s="391"/>
      <c r="DV254" s="391"/>
      <c r="DW254" s="391"/>
      <c r="DX254" s="391"/>
      <c r="DY254" s="391"/>
      <c r="DZ254" s="391"/>
      <c r="EA254" s="391"/>
      <c r="EB254" s="391"/>
      <c r="EC254" s="391"/>
      <c r="ED254" s="391"/>
      <c r="EE254" s="391"/>
      <c r="EF254" s="391"/>
      <c r="EG254" s="391"/>
      <c r="EH254" s="391"/>
      <c r="EI254" s="391"/>
      <c r="EJ254" s="391"/>
      <c r="EK254" s="391"/>
      <c r="EL254" s="391"/>
      <c r="EM254" s="391"/>
      <c r="EN254" s="391"/>
      <c r="EO254" s="391"/>
      <c r="EP254" s="391"/>
      <c r="EQ254" s="391"/>
      <c r="ER254" s="391"/>
      <c r="ES254" s="391"/>
      <c r="ET254" s="391"/>
      <c r="EU254" s="391"/>
      <c r="EV254" s="391"/>
      <c r="EW254" s="391"/>
      <c r="EX254" s="391"/>
      <c r="EY254" s="391"/>
      <c r="EZ254" s="391"/>
      <c r="FA254" s="391"/>
      <c r="FB254" s="391"/>
      <c r="FC254" s="391"/>
      <c r="FD254" s="391"/>
      <c r="FE254" s="391"/>
      <c r="FF254" s="391"/>
      <c r="FG254" s="391"/>
      <c r="FH254" s="391"/>
      <c r="FI254" s="391"/>
      <c r="FJ254" s="391"/>
      <c r="FK254" s="391"/>
      <c r="FL254" s="391"/>
      <c r="FM254" s="391"/>
      <c r="FN254" s="391"/>
      <c r="FO254" s="391"/>
      <c r="FP254" s="391"/>
      <c r="FQ254" s="391"/>
      <c r="FR254" s="391"/>
      <c r="FS254" s="391"/>
      <c r="FT254" s="391"/>
      <c r="FU254" s="391"/>
      <c r="FV254" s="391"/>
      <c r="FW254" s="391"/>
      <c r="FX254" s="391"/>
      <c r="FY254" s="391"/>
      <c r="FZ254" s="391"/>
      <c r="GA254" s="391"/>
      <c r="GB254" s="391"/>
      <c r="GC254" s="391"/>
      <c r="GD254" s="391"/>
      <c r="GE254" s="391"/>
      <c r="GF254" s="391"/>
      <c r="GG254" s="391"/>
      <c r="GH254" s="391"/>
      <c r="GI254" s="391"/>
      <c r="GJ254" s="391"/>
      <c r="GK254" s="391"/>
      <c r="GL254" s="391"/>
      <c r="GM254" s="391"/>
      <c r="GN254" s="391"/>
      <c r="GO254" s="391"/>
      <c r="GP254" s="391"/>
      <c r="GQ254" s="391"/>
      <c r="GR254" s="391"/>
      <c r="GS254" s="391"/>
      <c r="GT254" s="391"/>
      <c r="GU254" s="391"/>
      <c r="GV254" s="391"/>
      <c r="GW254" s="391"/>
      <c r="GX254" s="391"/>
      <c r="GY254" s="391"/>
      <c r="GZ254" s="391"/>
      <c r="HA254" s="391"/>
      <c r="HB254" s="391"/>
      <c r="HC254" s="391"/>
      <c r="HD254" s="391"/>
      <c r="HE254" s="391"/>
      <c r="HF254" s="391"/>
      <c r="HG254" s="391"/>
      <c r="HH254" s="391"/>
      <c r="HI254" s="391"/>
      <c r="HJ254" s="391"/>
      <c r="HK254" s="391"/>
      <c r="HL254" s="391"/>
      <c r="HM254" s="391"/>
      <c r="HN254" s="391"/>
      <c r="HO254" s="391"/>
      <c r="HP254" s="391"/>
      <c r="HQ254" s="391"/>
      <c r="HR254" s="391"/>
      <c r="HS254" s="391"/>
      <c r="HT254" s="391"/>
      <c r="HU254" s="391"/>
      <c r="HV254" s="391"/>
      <c r="HW254" s="391"/>
      <c r="HX254" s="391"/>
      <c r="HY254" s="391"/>
      <c r="HZ254" s="391"/>
      <c r="IA254" s="391"/>
      <c r="IB254" s="391"/>
      <c r="IC254" s="391"/>
      <c r="ID254" s="391"/>
      <c r="IE254" s="391"/>
      <c r="IF254" s="391"/>
      <c r="IG254" s="391"/>
      <c r="IH254" s="391"/>
      <c r="II254" s="391"/>
      <c r="IJ254" s="391"/>
      <c r="IK254" s="391"/>
      <c r="IL254" s="391"/>
      <c r="IM254" s="391"/>
      <c r="IN254" s="391"/>
      <c r="IO254" s="391"/>
      <c r="IP254" s="391"/>
      <c r="IQ254" s="391"/>
      <c r="IR254" s="391"/>
      <c r="IS254" s="391"/>
      <c r="IT254" s="391"/>
      <c r="IU254" s="391"/>
      <c r="IV254" s="391"/>
      <c r="IW254" s="391"/>
      <c r="IX254" s="391"/>
      <c r="IY254" s="391"/>
      <c r="IZ254" s="391"/>
      <c r="JA254" s="391"/>
      <c r="JB254" s="391"/>
      <c r="JC254" s="391"/>
      <c r="JD254" s="391"/>
      <c r="JE254" s="391"/>
      <c r="JF254" s="391"/>
      <c r="JG254" s="391"/>
      <c r="JH254" s="391"/>
      <c r="JI254" s="393">
        <f t="shared" si="7"/>
        <v>0</v>
      </c>
      <c r="JJ254" s="2">
        <v>6957</v>
      </c>
      <c r="JK254" s="392">
        <f t="shared" si="8"/>
        <v>0</v>
      </c>
      <c r="JL254" s="391"/>
      <c r="JM254" s="392"/>
      <c r="JN254" s="392"/>
      <c r="JO254" s="392"/>
      <c r="JP254" s="392"/>
    </row>
    <row r="255" spans="1:276" x14ac:dyDescent="0.3">
      <c r="A255" s="391"/>
      <c r="B255" s="391"/>
      <c r="C255" s="391"/>
      <c r="D255" s="391"/>
      <c r="E255" s="391"/>
      <c r="F255" s="391"/>
      <c r="G255" s="391"/>
      <c r="H255" s="391"/>
      <c r="I255" s="391"/>
      <c r="J255" s="391"/>
      <c r="K255" s="391"/>
      <c r="L255" s="391"/>
      <c r="M255" s="391"/>
      <c r="N255" s="391"/>
      <c r="O255" s="391"/>
      <c r="P255" s="391"/>
      <c r="Q255" s="391"/>
      <c r="R255" s="391"/>
      <c r="S255" s="391"/>
      <c r="T255" s="391"/>
      <c r="U255" s="391"/>
      <c r="V255" s="391"/>
      <c r="W255" s="391"/>
      <c r="X255" s="391"/>
      <c r="Y255" s="391"/>
      <c r="Z255" s="391"/>
      <c r="AA255" s="391"/>
      <c r="AB255" s="391"/>
      <c r="AC255" s="391"/>
      <c r="AD255" s="391"/>
      <c r="AE255" s="391"/>
      <c r="AF255" s="391"/>
      <c r="AG255" s="391"/>
      <c r="AH255" s="391"/>
      <c r="AI255" s="391"/>
      <c r="AJ255" s="391"/>
      <c r="AK255" s="391"/>
      <c r="AL255" s="391"/>
      <c r="AM255" s="391"/>
      <c r="AN255" s="391"/>
      <c r="AO255" s="391"/>
      <c r="AP255" s="391"/>
      <c r="AQ255" s="391"/>
      <c r="AR255" s="391"/>
      <c r="AS255" s="391"/>
      <c r="AT255" s="391"/>
      <c r="AU255" s="391"/>
      <c r="AV255" s="391"/>
      <c r="AW255" s="391"/>
      <c r="AX255" s="391"/>
      <c r="AY255" s="391"/>
      <c r="AZ255" s="391"/>
      <c r="BA255" s="391"/>
      <c r="BB255" s="391"/>
      <c r="BC255" s="391"/>
      <c r="BD255" s="391"/>
      <c r="BE255" s="391"/>
      <c r="BF255" s="391"/>
      <c r="BG255" s="391"/>
      <c r="BH255" s="391"/>
      <c r="BI255" s="391"/>
      <c r="BJ255" s="391"/>
      <c r="BK255" s="391"/>
      <c r="BL255" s="391"/>
      <c r="BM255" s="391"/>
      <c r="BN255" s="391"/>
      <c r="BO255" s="391"/>
      <c r="BP255" s="391"/>
      <c r="BQ255" s="391"/>
      <c r="BR255" s="391"/>
      <c r="BS255" s="391"/>
      <c r="BT255" s="391"/>
      <c r="BU255" s="391"/>
      <c r="BV255" s="391"/>
      <c r="BW255" s="391"/>
      <c r="BX255" s="391"/>
      <c r="BY255" s="391"/>
      <c r="BZ255" s="391"/>
      <c r="CA255" s="391"/>
      <c r="CB255" s="391"/>
      <c r="CC255" s="391"/>
      <c r="CD255" s="391"/>
      <c r="CE255" s="391"/>
      <c r="CF255" s="391"/>
      <c r="CG255" s="391"/>
      <c r="CH255" s="391"/>
      <c r="CI255" s="391"/>
      <c r="CJ255" s="391"/>
      <c r="CK255" s="391"/>
      <c r="CL255" s="391"/>
      <c r="CM255" s="391"/>
      <c r="CN255" s="391"/>
      <c r="CO255" s="391"/>
      <c r="CP255" s="391"/>
      <c r="CQ255" s="391"/>
      <c r="CR255" s="391"/>
      <c r="CS255" s="391"/>
      <c r="CT255" s="391"/>
      <c r="CU255" s="391"/>
      <c r="CV255" s="391"/>
      <c r="CW255" s="391"/>
      <c r="CX255" s="391"/>
      <c r="CY255" s="391"/>
      <c r="CZ255" s="391"/>
      <c r="DA255" s="391"/>
      <c r="DB255" s="391"/>
      <c r="DC255" s="391"/>
      <c r="DD255" s="391"/>
      <c r="DE255" s="391"/>
      <c r="DF255" s="391"/>
      <c r="DG255" s="391"/>
      <c r="DH255" s="391"/>
      <c r="DI255" s="391"/>
      <c r="DJ255" s="391"/>
      <c r="DK255" s="391"/>
      <c r="DL255" s="391"/>
      <c r="DM255" s="391"/>
      <c r="DN255" s="391"/>
      <c r="DO255" s="391"/>
      <c r="DP255" s="391"/>
      <c r="DQ255" s="391"/>
      <c r="DR255" s="391"/>
      <c r="DS255" s="391"/>
      <c r="DT255" s="391"/>
      <c r="DU255" s="391"/>
      <c r="DV255" s="391"/>
      <c r="DW255" s="391"/>
      <c r="DX255" s="391"/>
      <c r="DY255" s="391"/>
      <c r="DZ255" s="391"/>
      <c r="EA255" s="391"/>
      <c r="EB255" s="391"/>
      <c r="EC255" s="391"/>
      <c r="ED255" s="391"/>
      <c r="EE255" s="391"/>
      <c r="EF255" s="391"/>
      <c r="EG255" s="391"/>
      <c r="EH255" s="391"/>
      <c r="EI255" s="391"/>
      <c r="EJ255" s="391"/>
      <c r="EK255" s="391"/>
      <c r="EL255" s="391"/>
      <c r="EM255" s="391"/>
      <c r="EN255" s="391"/>
      <c r="EO255" s="391"/>
      <c r="EP255" s="391"/>
      <c r="EQ255" s="391"/>
      <c r="ER255" s="391"/>
      <c r="ES255" s="391"/>
      <c r="ET255" s="391"/>
      <c r="EU255" s="391"/>
      <c r="EV255" s="391"/>
      <c r="EW255" s="391"/>
      <c r="EX255" s="391"/>
      <c r="EY255" s="391"/>
      <c r="EZ255" s="391"/>
      <c r="FA255" s="391"/>
      <c r="FB255" s="391"/>
      <c r="FC255" s="391"/>
      <c r="FD255" s="391"/>
      <c r="FE255" s="391"/>
      <c r="FF255" s="391"/>
      <c r="FG255" s="391"/>
      <c r="FH255" s="391"/>
      <c r="FI255" s="391"/>
      <c r="FJ255" s="391"/>
      <c r="FK255" s="391"/>
      <c r="FL255" s="391"/>
      <c r="FM255" s="391"/>
      <c r="FN255" s="391"/>
      <c r="FO255" s="391"/>
      <c r="FP255" s="391"/>
      <c r="FQ255" s="391"/>
      <c r="FR255" s="391"/>
      <c r="FS255" s="391"/>
      <c r="FT255" s="391"/>
      <c r="FU255" s="391"/>
      <c r="FV255" s="391"/>
      <c r="FW255" s="391"/>
      <c r="FX255" s="391"/>
      <c r="FY255" s="391"/>
      <c r="FZ255" s="391"/>
      <c r="GA255" s="391"/>
      <c r="GB255" s="391"/>
      <c r="GC255" s="391"/>
      <c r="GD255" s="391"/>
      <c r="GE255" s="391"/>
      <c r="GF255" s="391"/>
      <c r="GG255" s="391"/>
      <c r="GH255" s="391"/>
      <c r="GI255" s="391"/>
      <c r="GJ255" s="391"/>
      <c r="GK255" s="391"/>
      <c r="GL255" s="391"/>
      <c r="GM255" s="391"/>
      <c r="GN255" s="391"/>
      <c r="GO255" s="391"/>
      <c r="GP255" s="391"/>
      <c r="GQ255" s="391"/>
      <c r="GR255" s="391"/>
      <c r="GS255" s="391"/>
      <c r="GT255" s="391"/>
      <c r="GU255" s="391"/>
      <c r="GV255" s="391"/>
      <c r="GW255" s="391"/>
      <c r="GX255" s="391"/>
      <c r="GY255" s="391"/>
      <c r="GZ255" s="391"/>
      <c r="HA255" s="391"/>
      <c r="HB255" s="391"/>
      <c r="HC255" s="391"/>
      <c r="HD255" s="391"/>
      <c r="HE255" s="391"/>
      <c r="HF255" s="391"/>
      <c r="HG255" s="391"/>
      <c r="HH255" s="391"/>
      <c r="HI255" s="391"/>
      <c r="HJ255" s="391"/>
      <c r="HK255" s="391"/>
      <c r="HL255" s="391"/>
      <c r="HM255" s="391"/>
      <c r="HN255" s="391"/>
      <c r="HO255" s="391"/>
      <c r="HP255" s="391"/>
      <c r="HQ255" s="391"/>
      <c r="HR255" s="391"/>
      <c r="HS255" s="391"/>
      <c r="HT255" s="391"/>
      <c r="HU255" s="391"/>
      <c r="HV255" s="391"/>
      <c r="HW255" s="391"/>
      <c r="HX255" s="391"/>
      <c r="HY255" s="391"/>
      <c r="HZ255" s="391"/>
      <c r="IA255" s="391"/>
      <c r="IB255" s="391"/>
      <c r="IC255" s="391"/>
      <c r="ID255" s="391"/>
      <c r="IE255" s="391"/>
      <c r="IF255" s="391"/>
      <c r="IG255" s="391"/>
      <c r="IH255" s="391"/>
      <c r="II255" s="391"/>
      <c r="IJ255" s="391"/>
      <c r="IK255" s="391"/>
      <c r="IL255" s="391"/>
      <c r="IM255" s="391"/>
      <c r="IN255" s="391"/>
      <c r="IO255" s="391"/>
      <c r="IP255" s="391"/>
      <c r="IQ255" s="391"/>
      <c r="IR255" s="391"/>
      <c r="IS255" s="391"/>
      <c r="IT255" s="391"/>
      <c r="IU255" s="391"/>
      <c r="IV255" s="391"/>
      <c r="IW255" s="391"/>
      <c r="IX255" s="391"/>
      <c r="IY255" s="391"/>
      <c r="IZ255" s="391"/>
      <c r="JA255" s="391"/>
      <c r="JB255" s="391"/>
      <c r="JC255" s="391"/>
      <c r="JD255" s="391"/>
      <c r="JE255" s="391"/>
      <c r="JF255" s="391"/>
      <c r="JG255" s="391"/>
      <c r="JH255" s="391"/>
      <c r="JI255" s="393">
        <f t="shared" si="7"/>
        <v>0</v>
      </c>
      <c r="JJ255" s="2">
        <v>6958</v>
      </c>
      <c r="JK255" s="392">
        <f t="shared" si="8"/>
        <v>0</v>
      </c>
      <c r="JL255" s="391"/>
      <c r="JM255" s="392"/>
      <c r="JN255" s="392"/>
      <c r="JO255" s="392"/>
      <c r="JP255" s="392"/>
    </row>
    <row r="256" spans="1:276" x14ac:dyDescent="0.3">
      <c r="A256" s="391"/>
      <c r="B256" s="391"/>
      <c r="C256" s="391"/>
      <c r="D256" s="391"/>
      <c r="E256" s="391"/>
      <c r="F256" s="391"/>
      <c r="G256" s="391"/>
      <c r="H256" s="391"/>
      <c r="I256" s="391"/>
      <c r="J256" s="391"/>
      <c r="K256" s="391"/>
      <c r="L256" s="391"/>
      <c r="M256" s="391"/>
      <c r="N256" s="391"/>
      <c r="O256" s="391"/>
      <c r="P256" s="391"/>
      <c r="Q256" s="391"/>
      <c r="R256" s="391"/>
      <c r="S256" s="391"/>
      <c r="T256" s="391"/>
      <c r="U256" s="391"/>
      <c r="V256" s="391"/>
      <c r="W256" s="391"/>
      <c r="X256" s="391"/>
      <c r="Y256" s="391"/>
      <c r="Z256" s="391"/>
      <c r="AA256" s="391"/>
      <c r="AB256" s="391"/>
      <c r="AC256" s="391"/>
      <c r="AD256" s="391"/>
      <c r="AE256" s="391"/>
      <c r="AF256" s="391"/>
      <c r="AG256" s="391"/>
      <c r="AH256" s="391"/>
      <c r="AI256" s="391"/>
      <c r="AJ256" s="391"/>
      <c r="AK256" s="391"/>
      <c r="AL256" s="391"/>
      <c r="AM256" s="391"/>
      <c r="AN256" s="391"/>
      <c r="AO256" s="391"/>
      <c r="AP256" s="391"/>
      <c r="AQ256" s="391"/>
      <c r="AR256" s="391"/>
      <c r="AS256" s="391"/>
      <c r="AT256" s="391"/>
      <c r="AU256" s="391"/>
      <c r="AV256" s="391"/>
      <c r="AW256" s="391"/>
      <c r="AX256" s="391"/>
      <c r="AY256" s="391"/>
      <c r="AZ256" s="391"/>
      <c r="BA256" s="391"/>
      <c r="BB256" s="391"/>
      <c r="BC256" s="391"/>
      <c r="BD256" s="391"/>
      <c r="BE256" s="391"/>
      <c r="BF256" s="391"/>
      <c r="BG256" s="391"/>
      <c r="BH256" s="391"/>
      <c r="BI256" s="391"/>
      <c r="BJ256" s="391"/>
      <c r="BK256" s="391"/>
      <c r="BL256" s="391"/>
      <c r="BM256" s="391"/>
      <c r="BN256" s="391"/>
      <c r="BO256" s="391"/>
      <c r="BP256" s="391"/>
      <c r="BQ256" s="391"/>
      <c r="BR256" s="391"/>
      <c r="BS256" s="391"/>
      <c r="BT256" s="391"/>
      <c r="BU256" s="391"/>
      <c r="BV256" s="391"/>
      <c r="BW256" s="391"/>
      <c r="BX256" s="391"/>
      <c r="BY256" s="391"/>
      <c r="BZ256" s="391"/>
      <c r="CA256" s="391"/>
      <c r="CB256" s="391"/>
      <c r="CC256" s="391"/>
      <c r="CD256" s="391"/>
      <c r="CE256" s="391"/>
      <c r="CF256" s="391"/>
      <c r="CG256" s="391"/>
      <c r="CH256" s="391"/>
      <c r="CI256" s="391"/>
      <c r="CJ256" s="391"/>
      <c r="CK256" s="391"/>
      <c r="CL256" s="391"/>
      <c r="CM256" s="391"/>
      <c r="CN256" s="391"/>
      <c r="CO256" s="391"/>
      <c r="CP256" s="391"/>
      <c r="CQ256" s="391"/>
      <c r="CR256" s="391"/>
      <c r="CS256" s="391"/>
      <c r="CT256" s="391"/>
      <c r="CU256" s="391"/>
      <c r="CV256" s="391"/>
      <c r="CW256" s="391"/>
      <c r="CX256" s="391"/>
      <c r="CY256" s="391"/>
      <c r="CZ256" s="391"/>
      <c r="DA256" s="391"/>
      <c r="DB256" s="391"/>
      <c r="DC256" s="391"/>
      <c r="DD256" s="391"/>
      <c r="DE256" s="391"/>
      <c r="DF256" s="391"/>
      <c r="DG256" s="391"/>
      <c r="DH256" s="391"/>
      <c r="DI256" s="391"/>
      <c r="DJ256" s="391"/>
      <c r="DK256" s="391"/>
      <c r="DL256" s="391"/>
      <c r="DM256" s="391"/>
      <c r="DN256" s="391"/>
      <c r="DO256" s="391"/>
      <c r="DP256" s="391"/>
      <c r="DQ256" s="391"/>
      <c r="DR256" s="391"/>
      <c r="DS256" s="391"/>
      <c r="DT256" s="391"/>
      <c r="DU256" s="391"/>
      <c r="DV256" s="391"/>
      <c r="DW256" s="391"/>
      <c r="DX256" s="391"/>
      <c r="DY256" s="391"/>
      <c r="DZ256" s="391"/>
      <c r="EA256" s="391"/>
      <c r="EB256" s="391"/>
      <c r="EC256" s="391"/>
      <c r="ED256" s="391"/>
      <c r="EE256" s="391"/>
      <c r="EF256" s="391"/>
      <c r="EG256" s="391"/>
      <c r="EH256" s="391"/>
      <c r="EI256" s="391"/>
      <c r="EJ256" s="391"/>
      <c r="EK256" s="391"/>
      <c r="EL256" s="391"/>
      <c r="EM256" s="391"/>
      <c r="EN256" s="391"/>
      <c r="EO256" s="391"/>
      <c r="EP256" s="391"/>
      <c r="EQ256" s="391"/>
      <c r="ER256" s="391"/>
      <c r="ES256" s="391"/>
      <c r="ET256" s="391"/>
      <c r="EU256" s="391"/>
      <c r="EV256" s="391"/>
      <c r="EW256" s="391"/>
      <c r="EX256" s="391"/>
      <c r="EY256" s="391"/>
      <c r="EZ256" s="391"/>
      <c r="FA256" s="391"/>
      <c r="FB256" s="391"/>
      <c r="FC256" s="391"/>
      <c r="FD256" s="391"/>
      <c r="FE256" s="391"/>
      <c r="FF256" s="391"/>
      <c r="FG256" s="391"/>
      <c r="FH256" s="391"/>
      <c r="FI256" s="391"/>
      <c r="FJ256" s="391"/>
      <c r="FK256" s="391"/>
      <c r="FL256" s="391"/>
      <c r="FM256" s="391"/>
      <c r="FN256" s="391"/>
      <c r="FO256" s="391"/>
      <c r="FP256" s="391"/>
      <c r="FQ256" s="391"/>
      <c r="FR256" s="391"/>
      <c r="FS256" s="391"/>
      <c r="FT256" s="391"/>
      <c r="FU256" s="391"/>
      <c r="FV256" s="391"/>
      <c r="FW256" s="391"/>
      <c r="FX256" s="391"/>
      <c r="FY256" s="391"/>
      <c r="FZ256" s="391"/>
      <c r="GA256" s="391"/>
      <c r="GB256" s="391"/>
      <c r="GC256" s="391"/>
      <c r="GD256" s="391"/>
      <c r="GE256" s="391"/>
      <c r="GF256" s="391"/>
      <c r="GG256" s="391"/>
      <c r="GH256" s="391"/>
      <c r="GI256" s="391"/>
      <c r="GJ256" s="391"/>
      <c r="GK256" s="391"/>
      <c r="GL256" s="391"/>
      <c r="GM256" s="391"/>
      <c r="GN256" s="391"/>
      <c r="GO256" s="391"/>
      <c r="GP256" s="391"/>
      <c r="GQ256" s="391"/>
      <c r="GR256" s="391"/>
      <c r="GS256" s="391"/>
      <c r="GT256" s="391"/>
      <c r="GU256" s="391"/>
      <c r="GV256" s="391"/>
      <c r="GW256" s="391"/>
      <c r="GX256" s="391"/>
      <c r="GY256" s="391"/>
      <c r="GZ256" s="391"/>
      <c r="HA256" s="391"/>
      <c r="HB256" s="391"/>
      <c r="HC256" s="391"/>
      <c r="HD256" s="391"/>
      <c r="HE256" s="391"/>
      <c r="HF256" s="391"/>
      <c r="HG256" s="391"/>
      <c r="HH256" s="391"/>
      <c r="HI256" s="391"/>
      <c r="HJ256" s="391"/>
      <c r="HK256" s="391"/>
      <c r="HL256" s="391"/>
      <c r="HM256" s="391"/>
      <c r="HN256" s="391"/>
      <c r="HO256" s="391"/>
      <c r="HP256" s="391"/>
      <c r="HQ256" s="391"/>
      <c r="HR256" s="391"/>
      <c r="HS256" s="391"/>
      <c r="HT256" s="391"/>
      <c r="HU256" s="391"/>
      <c r="HV256" s="391"/>
      <c r="HW256" s="391"/>
      <c r="HX256" s="391"/>
      <c r="HY256" s="391"/>
      <c r="HZ256" s="391"/>
      <c r="IA256" s="391"/>
      <c r="IB256" s="391"/>
      <c r="IC256" s="391"/>
      <c r="ID256" s="391"/>
      <c r="IE256" s="391"/>
      <c r="IF256" s="391"/>
      <c r="IG256" s="391"/>
      <c r="IH256" s="391"/>
      <c r="II256" s="391"/>
      <c r="IJ256" s="391"/>
      <c r="IK256" s="391"/>
      <c r="IL256" s="391"/>
      <c r="IM256" s="391"/>
      <c r="IN256" s="391"/>
      <c r="IO256" s="391"/>
      <c r="IP256" s="391"/>
      <c r="IQ256" s="391"/>
      <c r="IR256" s="391"/>
      <c r="IS256" s="391"/>
      <c r="IT256" s="391"/>
      <c r="IU256" s="391"/>
      <c r="IV256" s="391"/>
      <c r="IW256" s="391"/>
      <c r="IX256" s="391"/>
      <c r="IY256" s="391"/>
      <c r="IZ256" s="391"/>
      <c r="JA256" s="391"/>
      <c r="JB256" s="391"/>
      <c r="JC256" s="391"/>
      <c r="JD256" s="391"/>
      <c r="JE256" s="391"/>
      <c r="JF256" s="391"/>
      <c r="JG256" s="391"/>
      <c r="JH256" s="391"/>
      <c r="JI256" s="393">
        <f t="shared" si="7"/>
        <v>0</v>
      </c>
      <c r="JJ256" s="2">
        <v>6962</v>
      </c>
      <c r="JK256" s="392">
        <f t="shared" si="8"/>
        <v>0</v>
      </c>
      <c r="JL256" s="391"/>
      <c r="JM256" s="392"/>
      <c r="JN256" s="392"/>
      <c r="JO256" s="392"/>
      <c r="JP256" s="392"/>
    </row>
    <row r="257" spans="1:276 1141:1141" x14ac:dyDescent="0.3">
      <c r="A257" s="391"/>
      <c r="B257" s="391"/>
      <c r="C257" s="391"/>
      <c r="D257" s="391"/>
      <c r="E257" s="391"/>
      <c r="F257" s="391"/>
      <c r="G257" s="391"/>
      <c r="H257" s="391"/>
      <c r="I257" s="391"/>
      <c r="J257" s="391"/>
      <c r="K257" s="391"/>
      <c r="L257" s="391"/>
      <c r="M257" s="391"/>
      <c r="N257" s="391"/>
      <c r="O257" s="391"/>
      <c r="P257" s="391"/>
      <c r="Q257" s="391"/>
      <c r="R257" s="391"/>
      <c r="S257" s="391"/>
      <c r="T257" s="391"/>
      <c r="U257" s="391"/>
      <c r="V257" s="391"/>
      <c r="W257" s="391"/>
      <c r="X257" s="391"/>
      <c r="Y257" s="391"/>
      <c r="Z257" s="391"/>
      <c r="AA257" s="391"/>
      <c r="AB257" s="391"/>
      <c r="AC257" s="391"/>
      <c r="AD257" s="391"/>
      <c r="AE257" s="391"/>
      <c r="AF257" s="391"/>
      <c r="AG257" s="391"/>
      <c r="AH257" s="391"/>
      <c r="AI257" s="391"/>
      <c r="AJ257" s="391"/>
      <c r="AK257" s="391"/>
      <c r="AL257" s="391"/>
      <c r="AM257" s="391"/>
      <c r="AN257" s="391"/>
      <c r="AO257" s="391"/>
      <c r="AP257" s="391"/>
      <c r="AQ257" s="391"/>
      <c r="AR257" s="391"/>
      <c r="AS257" s="391"/>
      <c r="AT257" s="391"/>
      <c r="AU257" s="391"/>
      <c r="AV257" s="391"/>
      <c r="AW257" s="391"/>
      <c r="AX257" s="391"/>
      <c r="AY257" s="391"/>
      <c r="AZ257" s="391"/>
      <c r="BA257" s="391"/>
      <c r="BB257" s="391"/>
      <c r="BC257" s="391"/>
      <c r="BD257" s="391"/>
      <c r="BE257" s="391"/>
      <c r="BF257" s="391"/>
      <c r="BG257" s="391"/>
      <c r="BH257" s="391"/>
      <c r="BI257" s="391"/>
      <c r="BJ257" s="391"/>
      <c r="BK257" s="391"/>
      <c r="BL257" s="391"/>
      <c r="BM257" s="391"/>
      <c r="BN257" s="391"/>
      <c r="BO257" s="391"/>
      <c r="BP257" s="391"/>
      <c r="BQ257" s="391"/>
      <c r="BR257" s="391"/>
      <c r="BS257" s="391"/>
      <c r="BT257" s="391"/>
      <c r="BU257" s="391"/>
      <c r="BV257" s="391"/>
      <c r="BW257" s="391"/>
      <c r="BX257" s="391"/>
      <c r="BY257" s="391"/>
      <c r="BZ257" s="391"/>
      <c r="CA257" s="391"/>
      <c r="CB257" s="391"/>
      <c r="CC257" s="391"/>
      <c r="CD257" s="391"/>
      <c r="CE257" s="391"/>
      <c r="CF257" s="391"/>
      <c r="CG257" s="391"/>
      <c r="CH257" s="391"/>
      <c r="CI257" s="391"/>
      <c r="CJ257" s="391"/>
      <c r="CK257" s="391"/>
      <c r="CL257" s="391"/>
      <c r="CM257" s="391"/>
      <c r="CN257" s="391"/>
      <c r="CO257" s="391"/>
      <c r="CP257" s="391"/>
      <c r="CQ257" s="391"/>
      <c r="CR257" s="391"/>
      <c r="CS257" s="391"/>
      <c r="CT257" s="391"/>
      <c r="CU257" s="391"/>
      <c r="CV257" s="391"/>
      <c r="CW257" s="391"/>
      <c r="CX257" s="391"/>
      <c r="CY257" s="391"/>
      <c r="CZ257" s="391"/>
      <c r="DA257" s="391"/>
      <c r="DB257" s="391"/>
      <c r="DC257" s="391"/>
      <c r="DD257" s="391"/>
      <c r="DE257" s="391"/>
      <c r="DF257" s="391"/>
      <c r="DG257" s="391"/>
      <c r="DH257" s="391"/>
      <c r="DI257" s="391"/>
      <c r="DJ257" s="391"/>
      <c r="DK257" s="391"/>
      <c r="DL257" s="391"/>
      <c r="DM257" s="391"/>
      <c r="DN257" s="391"/>
      <c r="DO257" s="391"/>
      <c r="DP257" s="391"/>
      <c r="DQ257" s="391"/>
      <c r="DR257" s="391"/>
      <c r="DS257" s="391"/>
      <c r="DT257" s="391"/>
      <c r="DU257" s="391"/>
      <c r="DV257" s="391"/>
      <c r="DW257" s="391"/>
      <c r="DX257" s="391"/>
      <c r="DY257" s="391"/>
      <c r="DZ257" s="391"/>
      <c r="EA257" s="391"/>
      <c r="EB257" s="391"/>
      <c r="EC257" s="391"/>
      <c r="ED257" s="391"/>
      <c r="EE257" s="391"/>
      <c r="EF257" s="391"/>
      <c r="EG257" s="391"/>
      <c r="EH257" s="391"/>
      <c r="EI257" s="391"/>
      <c r="EJ257" s="391"/>
      <c r="EK257" s="391"/>
      <c r="EL257" s="391"/>
      <c r="EM257" s="391"/>
      <c r="EN257" s="391"/>
      <c r="EO257" s="391"/>
      <c r="EP257" s="391"/>
      <c r="EQ257" s="391"/>
      <c r="ER257" s="391"/>
      <c r="ES257" s="391"/>
      <c r="ET257" s="391"/>
      <c r="EU257" s="391"/>
      <c r="EV257" s="391"/>
      <c r="EW257" s="391"/>
      <c r="EX257" s="391"/>
      <c r="EY257" s="391"/>
      <c r="EZ257" s="391"/>
      <c r="FA257" s="391"/>
      <c r="FB257" s="391"/>
      <c r="FC257" s="391"/>
      <c r="FD257" s="391"/>
      <c r="FE257" s="391"/>
      <c r="FF257" s="391"/>
      <c r="FG257" s="391"/>
      <c r="FH257" s="391"/>
      <c r="FI257" s="391"/>
      <c r="FJ257" s="391"/>
      <c r="FK257" s="391"/>
      <c r="FL257" s="391"/>
      <c r="FM257" s="391"/>
      <c r="FN257" s="391"/>
      <c r="FO257" s="391"/>
      <c r="FP257" s="391"/>
      <c r="FQ257" s="391"/>
      <c r="FR257" s="391"/>
      <c r="FS257" s="391"/>
      <c r="FT257" s="391"/>
      <c r="FU257" s="391"/>
      <c r="FV257" s="391"/>
      <c r="FW257" s="391"/>
      <c r="FX257" s="391"/>
      <c r="FY257" s="391"/>
      <c r="FZ257" s="391"/>
      <c r="GA257" s="391"/>
      <c r="GB257" s="391"/>
      <c r="GC257" s="391"/>
      <c r="GD257" s="391"/>
      <c r="GE257" s="391"/>
      <c r="GF257" s="391"/>
      <c r="GG257" s="391"/>
      <c r="GH257" s="391"/>
      <c r="GI257" s="391"/>
      <c r="GJ257" s="391"/>
      <c r="GK257" s="391"/>
      <c r="GL257" s="391"/>
      <c r="GM257" s="391"/>
      <c r="GN257" s="391"/>
      <c r="GO257" s="391"/>
      <c r="GP257" s="391"/>
      <c r="GQ257" s="391"/>
      <c r="GR257" s="391"/>
      <c r="GS257" s="391"/>
      <c r="GT257" s="391"/>
      <c r="GU257" s="391"/>
      <c r="GV257" s="391"/>
      <c r="GW257" s="391"/>
      <c r="GX257" s="391"/>
      <c r="GY257" s="391"/>
      <c r="GZ257" s="391"/>
      <c r="HA257" s="391"/>
      <c r="HB257" s="391"/>
      <c r="HC257" s="391"/>
      <c r="HD257" s="391"/>
      <c r="HE257" s="391"/>
      <c r="HF257" s="391"/>
      <c r="HG257" s="391"/>
      <c r="HH257" s="391"/>
      <c r="HI257" s="391"/>
      <c r="HJ257" s="391"/>
      <c r="HK257" s="391"/>
      <c r="HL257" s="391"/>
      <c r="HM257" s="391"/>
      <c r="HN257" s="391"/>
      <c r="HO257" s="391"/>
      <c r="HP257" s="391"/>
      <c r="HQ257" s="391"/>
      <c r="HR257" s="391"/>
      <c r="HS257" s="391"/>
      <c r="HT257" s="391"/>
      <c r="HU257" s="391"/>
      <c r="HV257" s="391"/>
      <c r="HW257" s="391"/>
      <c r="HX257" s="391"/>
      <c r="HY257" s="391"/>
      <c r="HZ257" s="391"/>
      <c r="IA257" s="391"/>
      <c r="IB257" s="391"/>
      <c r="IC257" s="391"/>
      <c r="ID257" s="391"/>
      <c r="IE257" s="391"/>
      <c r="IF257" s="391"/>
      <c r="IG257" s="391"/>
      <c r="IH257" s="391"/>
      <c r="II257" s="391"/>
      <c r="IJ257" s="391"/>
      <c r="IK257" s="391"/>
      <c r="IL257" s="391"/>
      <c r="IM257" s="391"/>
      <c r="IN257" s="391"/>
      <c r="IO257" s="391"/>
      <c r="IP257" s="391"/>
      <c r="IQ257" s="391"/>
      <c r="IR257" s="391"/>
      <c r="IS257" s="391"/>
      <c r="IT257" s="391"/>
      <c r="IU257" s="391"/>
      <c r="IV257" s="391"/>
      <c r="IW257" s="391"/>
      <c r="IX257" s="391"/>
      <c r="IY257" s="391"/>
      <c r="IZ257" s="391"/>
      <c r="JA257" s="391"/>
      <c r="JB257" s="391"/>
      <c r="JC257" s="391"/>
      <c r="JD257" s="391"/>
      <c r="JE257" s="391"/>
      <c r="JF257" s="391"/>
      <c r="JG257" s="391"/>
      <c r="JH257" s="391"/>
      <c r="JI257" s="393">
        <f t="shared" ref="JI257:JI266" si="9">SUM(A257:JH257)</f>
        <v>0</v>
      </c>
      <c r="JJ257" s="2">
        <v>6966</v>
      </c>
      <c r="JK257" s="392">
        <f t="shared" ref="JK257:JK266" si="10">+JI257-JL257</f>
        <v>0</v>
      </c>
      <c r="JL257" s="391"/>
      <c r="JM257" s="392"/>
      <c r="JN257" s="392"/>
      <c r="JO257" s="392"/>
      <c r="JP257" s="392"/>
    </row>
    <row r="258" spans="1:276 1141:1141" x14ac:dyDescent="0.3">
      <c r="A258" s="391"/>
      <c r="B258" s="391"/>
      <c r="C258" s="391"/>
      <c r="D258" s="391"/>
      <c r="E258" s="391"/>
      <c r="F258" s="391"/>
      <c r="G258" s="391"/>
      <c r="H258" s="391"/>
      <c r="I258" s="391"/>
      <c r="J258" s="391"/>
      <c r="K258" s="391"/>
      <c r="L258" s="391"/>
      <c r="M258" s="391"/>
      <c r="N258" s="391"/>
      <c r="O258" s="391"/>
      <c r="P258" s="391"/>
      <c r="Q258" s="391"/>
      <c r="R258" s="391"/>
      <c r="S258" s="391"/>
      <c r="T258" s="391"/>
      <c r="U258" s="391"/>
      <c r="V258" s="391"/>
      <c r="W258" s="391"/>
      <c r="X258" s="391"/>
      <c r="Y258" s="391"/>
      <c r="Z258" s="391"/>
      <c r="AA258" s="391"/>
      <c r="AB258" s="391"/>
      <c r="AC258" s="391"/>
      <c r="AD258" s="391"/>
      <c r="AE258" s="391"/>
      <c r="AF258" s="391"/>
      <c r="AG258" s="391"/>
      <c r="AH258" s="391"/>
      <c r="AI258" s="391"/>
      <c r="AJ258" s="391"/>
      <c r="AK258" s="391"/>
      <c r="AL258" s="391"/>
      <c r="AM258" s="391"/>
      <c r="AN258" s="391"/>
      <c r="AO258" s="391"/>
      <c r="AP258" s="391"/>
      <c r="AQ258" s="391"/>
      <c r="AR258" s="391"/>
      <c r="AS258" s="391"/>
      <c r="AT258" s="391"/>
      <c r="AU258" s="391"/>
      <c r="AV258" s="391"/>
      <c r="AW258" s="391"/>
      <c r="AX258" s="391"/>
      <c r="AY258" s="391"/>
      <c r="AZ258" s="391"/>
      <c r="BA258" s="391"/>
      <c r="BB258" s="391"/>
      <c r="BC258" s="391"/>
      <c r="BD258" s="391"/>
      <c r="BE258" s="391"/>
      <c r="BF258" s="391"/>
      <c r="BG258" s="391"/>
      <c r="BH258" s="391"/>
      <c r="BI258" s="391"/>
      <c r="BJ258" s="391"/>
      <c r="BK258" s="391"/>
      <c r="BL258" s="391"/>
      <c r="BM258" s="391"/>
      <c r="BN258" s="391"/>
      <c r="BO258" s="391"/>
      <c r="BP258" s="391"/>
      <c r="BQ258" s="391"/>
      <c r="BR258" s="391"/>
      <c r="BS258" s="391"/>
      <c r="BT258" s="391"/>
      <c r="BU258" s="391"/>
      <c r="BV258" s="391"/>
      <c r="BW258" s="391"/>
      <c r="BX258" s="391"/>
      <c r="BY258" s="391"/>
      <c r="BZ258" s="391"/>
      <c r="CA258" s="391"/>
      <c r="CB258" s="391"/>
      <c r="CC258" s="391"/>
      <c r="CD258" s="391"/>
      <c r="CE258" s="391"/>
      <c r="CF258" s="391"/>
      <c r="CG258" s="391"/>
      <c r="CH258" s="391"/>
      <c r="CI258" s="391"/>
      <c r="CJ258" s="391"/>
      <c r="CK258" s="391"/>
      <c r="CL258" s="391"/>
      <c r="CM258" s="391"/>
      <c r="CN258" s="391"/>
      <c r="CO258" s="391"/>
      <c r="CP258" s="391"/>
      <c r="CQ258" s="391"/>
      <c r="CR258" s="391"/>
      <c r="CS258" s="391"/>
      <c r="CT258" s="391"/>
      <c r="CU258" s="391"/>
      <c r="CV258" s="391"/>
      <c r="CW258" s="391"/>
      <c r="CX258" s="391"/>
      <c r="CY258" s="391"/>
      <c r="CZ258" s="391"/>
      <c r="DA258" s="391"/>
      <c r="DB258" s="391"/>
      <c r="DC258" s="391"/>
      <c r="DD258" s="391"/>
      <c r="DE258" s="391"/>
      <c r="DF258" s="391"/>
      <c r="DG258" s="391"/>
      <c r="DH258" s="391"/>
      <c r="DI258" s="391"/>
      <c r="DJ258" s="391"/>
      <c r="DK258" s="391"/>
      <c r="DL258" s="391"/>
      <c r="DM258" s="391"/>
      <c r="DN258" s="391"/>
      <c r="DO258" s="391"/>
      <c r="DP258" s="391"/>
      <c r="DQ258" s="391"/>
      <c r="DR258" s="391"/>
      <c r="DS258" s="391"/>
      <c r="DT258" s="391"/>
      <c r="DU258" s="391"/>
      <c r="DV258" s="391"/>
      <c r="DW258" s="391"/>
      <c r="DX258" s="391"/>
      <c r="DY258" s="391"/>
      <c r="DZ258" s="391"/>
      <c r="EA258" s="391"/>
      <c r="EB258" s="391"/>
      <c r="EC258" s="391"/>
      <c r="ED258" s="391"/>
      <c r="EE258" s="391"/>
      <c r="EF258" s="391"/>
      <c r="EG258" s="391"/>
      <c r="EH258" s="391"/>
      <c r="EI258" s="391"/>
      <c r="EJ258" s="391"/>
      <c r="EK258" s="391"/>
      <c r="EL258" s="391"/>
      <c r="EM258" s="391"/>
      <c r="EN258" s="391"/>
      <c r="EO258" s="391"/>
      <c r="EP258" s="391"/>
      <c r="EQ258" s="391"/>
      <c r="ER258" s="391"/>
      <c r="ES258" s="391"/>
      <c r="ET258" s="391"/>
      <c r="EU258" s="391"/>
      <c r="EV258" s="391"/>
      <c r="EW258" s="391"/>
      <c r="EX258" s="391"/>
      <c r="EY258" s="391"/>
      <c r="EZ258" s="391"/>
      <c r="FA258" s="391"/>
      <c r="FB258" s="391"/>
      <c r="FC258" s="391"/>
      <c r="FD258" s="391"/>
      <c r="FE258" s="391"/>
      <c r="FF258" s="391"/>
      <c r="FG258" s="391"/>
      <c r="FH258" s="391"/>
      <c r="FI258" s="391"/>
      <c r="FJ258" s="391"/>
      <c r="FK258" s="391"/>
      <c r="FL258" s="391"/>
      <c r="FM258" s="391"/>
      <c r="FN258" s="391"/>
      <c r="FO258" s="391"/>
      <c r="FP258" s="391"/>
      <c r="FQ258" s="391"/>
      <c r="FR258" s="391"/>
      <c r="FS258" s="391"/>
      <c r="FT258" s="391"/>
      <c r="FU258" s="391"/>
      <c r="FV258" s="391"/>
      <c r="FW258" s="391"/>
      <c r="FX258" s="391"/>
      <c r="FY258" s="391"/>
      <c r="FZ258" s="391"/>
      <c r="GA258" s="391"/>
      <c r="GB258" s="391"/>
      <c r="GC258" s="391"/>
      <c r="GD258" s="391"/>
      <c r="GE258" s="391"/>
      <c r="GF258" s="391"/>
      <c r="GG258" s="391"/>
      <c r="GH258" s="391"/>
      <c r="GI258" s="391"/>
      <c r="GJ258" s="391"/>
      <c r="GK258" s="391"/>
      <c r="GL258" s="391"/>
      <c r="GM258" s="391"/>
      <c r="GN258" s="391"/>
      <c r="GO258" s="391"/>
      <c r="GP258" s="391"/>
      <c r="GQ258" s="391"/>
      <c r="GR258" s="391"/>
      <c r="GS258" s="391"/>
      <c r="GT258" s="391"/>
      <c r="GU258" s="391"/>
      <c r="GV258" s="391"/>
      <c r="GW258" s="391"/>
      <c r="GX258" s="391"/>
      <c r="GY258" s="391"/>
      <c r="GZ258" s="391"/>
      <c r="HA258" s="391"/>
      <c r="HB258" s="391"/>
      <c r="HC258" s="391"/>
      <c r="HD258" s="391"/>
      <c r="HE258" s="391"/>
      <c r="HF258" s="391"/>
      <c r="HG258" s="391"/>
      <c r="HH258" s="391"/>
      <c r="HI258" s="391"/>
      <c r="HJ258" s="391"/>
      <c r="HK258" s="391"/>
      <c r="HL258" s="391"/>
      <c r="HM258" s="391"/>
      <c r="HN258" s="391"/>
      <c r="HO258" s="391"/>
      <c r="HP258" s="391"/>
      <c r="HQ258" s="391"/>
      <c r="HR258" s="391"/>
      <c r="HS258" s="391"/>
      <c r="HT258" s="391"/>
      <c r="HU258" s="391"/>
      <c r="HV258" s="391"/>
      <c r="HW258" s="391"/>
      <c r="HX258" s="391"/>
      <c r="HY258" s="391"/>
      <c r="HZ258" s="391"/>
      <c r="IA258" s="391"/>
      <c r="IB258" s="391"/>
      <c r="IC258" s="391"/>
      <c r="ID258" s="391"/>
      <c r="IE258" s="391"/>
      <c r="IF258" s="391"/>
      <c r="IG258" s="391"/>
      <c r="IH258" s="391"/>
      <c r="II258" s="391"/>
      <c r="IJ258" s="391"/>
      <c r="IK258" s="391"/>
      <c r="IL258" s="391"/>
      <c r="IM258" s="391"/>
      <c r="IN258" s="391"/>
      <c r="IO258" s="391"/>
      <c r="IP258" s="391"/>
      <c r="IQ258" s="391"/>
      <c r="IR258" s="391"/>
      <c r="IS258" s="391"/>
      <c r="IT258" s="391"/>
      <c r="IU258" s="391"/>
      <c r="IV258" s="391"/>
      <c r="IW258" s="391"/>
      <c r="IX258" s="391"/>
      <c r="IY258" s="391"/>
      <c r="IZ258" s="391"/>
      <c r="JA258" s="391"/>
      <c r="JB258" s="391"/>
      <c r="JC258" s="391"/>
      <c r="JD258" s="391"/>
      <c r="JE258" s="391"/>
      <c r="JF258" s="391"/>
      <c r="JG258" s="391"/>
      <c r="JH258" s="391"/>
      <c r="JI258" s="393">
        <f t="shared" si="9"/>
        <v>0</v>
      </c>
      <c r="JJ258" s="2"/>
      <c r="JK258" s="392">
        <f t="shared" si="10"/>
        <v>0</v>
      </c>
      <c r="JL258" s="391"/>
      <c r="JM258" s="392"/>
      <c r="JN258" s="392"/>
      <c r="JO258" s="392"/>
      <c r="JP258" s="392"/>
    </row>
    <row r="259" spans="1:276 1141:1141" x14ac:dyDescent="0.3">
      <c r="A259" s="391"/>
      <c r="B259" s="391"/>
      <c r="C259" s="391"/>
      <c r="D259" s="391"/>
      <c r="E259" s="391"/>
      <c r="F259" s="391"/>
      <c r="G259" s="391"/>
      <c r="H259" s="391"/>
      <c r="I259" s="391"/>
      <c r="J259" s="391"/>
      <c r="K259" s="391"/>
      <c r="L259" s="391"/>
      <c r="M259" s="391"/>
      <c r="N259" s="391"/>
      <c r="O259" s="391"/>
      <c r="P259" s="391"/>
      <c r="Q259" s="391"/>
      <c r="R259" s="391"/>
      <c r="S259" s="391"/>
      <c r="T259" s="391"/>
      <c r="U259" s="391"/>
      <c r="V259" s="391"/>
      <c r="W259" s="391"/>
      <c r="X259" s="391"/>
      <c r="Y259" s="391"/>
      <c r="Z259" s="391"/>
      <c r="AA259" s="391"/>
      <c r="AB259" s="391"/>
      <c r="AC259" s="391"/>
      <c r="AD259" s="391"/>
      <c r="AE259" s="391"/>
      <c r="AF259" s="391"/>
      <c r="AG259" s="391"/>
      <c r="AH259" s="391"/>
      <c r="AI259" s="391"/>
      <c r="AJ259" s="391"/>
      <c r="AK259" s="391"/>
      <c r="AL259" s="391"/>
      <c r="AM259" s="391"/>
      <c r="AN259" s="391"/>
      <c r="AO259" s="391"/>
      <c r="AP259" s="391"/>
      <c r="AQ259" s="391"/>
      <c r="AR259" s="391"/>
      <c r="AS259" s="391"/>
      <c r="AT259" s="391"/>
      <c r="AU259" s="391"/>
      <c r="AV259" s="391"/>
      <c r="AW259" s="391"/>
      <c r="AX259" s="391"/>
      <c r="AY259" s="391"/>
      <c r="AZ259" s="391"/>
      <c r="BA259" s="391"/>
      <c r="BB259" s="391"/>
      <c r="BC259" s="391"/>
      <c r="BD259" s="391"/>
      <c r="BE259" s="391"/>
      <c r="BF259" s="391"/>
      <c r="BG259" s="391"/>
      <c r="BH259" s="391"/>
      <c r="BI259" s="391"/>
      <c r="BJ259" s="391"/>
      <c r="BK259" s="391"/>
      <c r="BL259" s="391"/>
      <c r="BM259" s="391"/>
      <c r="BN259" s="391"/>
      <c r="BO259" s="391"/>
      <c r="BP259" s="391"/>
      <c r="BQ259" s="391"/>
      <c r="BR259" s="391"/>
      <c r="BS259" s="391"/>
      <c r="BT259" s="391"/>
      <c r="BU259" s="391"/>
      <c r="BV259" s="391"/>
      <c r="BW259" s="391"/>
      <c r="BX259" s="391"/>
      <c r="BY259" s="391"/>
      <c r="BZ259" s="391"/>
      <c r="CA259" s="391"/>
      <c r="CB259" s="391"/>
      <c r="CC259" s="391"/>
      <c r="CD259" s="391"/>
      <c r="CE259" s="391"/>
      <c r="CF259" s="391"/>
      <c r="CG259" s="391"/>
      <c r="CH259" s="391"/>
      <c r="CI259" s="391"/>
      <c r="CJ259" s="391"/>
      <c r="CK259" s="391"/>
      <c r="CL259" s="391"/>
      <c r="CM259" s="391"/>
      <c r="CN259" s="391"/>
      <c r="CO259" s="391"/>
      <c r="CP259" s="391"/>
      <c r="CQ259" s="391"/>
      <c r="CR259" s="391"/>
      <c r="CS259" s="391"/>
      <c r="CT259" s="391"/>
      <c r="CU259" s="391"/>
      <c r="CV259" s="391"/>
      <c r="CW259" s="391"/>
      <c r="CX259" s="391"/>
      <c r="CY259" s="391"/>
      <c r="CZ259" s="391"/>
      <c r="DA259" s="391"/>
      <c r="DB259" s="391"/>
      <c r="DC259" s="391"/>
      <c r="DD259" s="391"/>
      <c r="DE259" s="391"/>
      <c r="DF259" s="391"/>
      <c r="DG259" s="391"/>
      <c r="DH259" s="391"/>
      <c r="DI259" s="391"/>
      <c r="DJ259" s="391"/>
      <c r="DK259" s="391"/>
      <c r="DL259" s="391"/>
      <c r="DM259" s="391"/>
      <c r="DN259" s="391"/>
      <c r="DO259" s="391"/>
      <c r="DP259" s="391"/>
      <c r="DQ259" s="391"/>
      <c r="DR259" s="391"/>
      <c r="DS259" s="391"/>
      <c r="DT259" s="391"/>
      <c r="DU259" s="391"/>
      <c r="DV259" s="391"/>
      <c r="DW259" s="391"/>
      <c r="DX259" s="391"/>
      <c r="DY259" s="391"/>
      <c r="DZ259" s="391"/>
      <c r="EA259" s="391"/>
      <c r="EB259" s="391"/>
      <c r="EC259" s="391"/>
      <c r="ED259" s="391"/>
      <c r="EE259" s="391"/>
      <c r="EF259" s="391"/>
      <c r="EG259" s="391"/>
      <c r="EH259" s="391"/>
      <c r="EI259" s="391"/>
      <c r="EJ259" s="391"/>
      <c r="EK259" s="391"/>
      <c r="EL259" s="391"/>
      <c r="EM259" s="391"/>
      <c r="EN259" s="391"/>
      <c r="EO259" s="391"/>
      <c r="EP259" s="391"/>
      <c r="EQ259" s="391"/>
      <c r="ER259" s="391"/>
      <c r="ES259" s="391"/>
      <c r="ET259" s="391"/>
      <c r="EU259" s="391"/>
      <c r="EV259" s="391"/>
      <c r="EW259" s="391"/>
      <c r="EX259" s="391"/>
      <c r="EY259" s="391"/>
      <c r="EZ259" s="391"/>
      <c r="FA259" s="391"/>
      <c r="FB259" s="391"/>
      <c r="FC259" s="391"/>
      <c r="FD259" s="391"/>
      <c r="FE259" s="391"/>
      <c r="FF259" s="391"/>
      <c r="FG259" s="391"/>
      <c r="FH259" s="391"/>
      <c r="FI259" s="391"/>
      <c r="FJ259" s="391"/>
      <c r="FK259" s="391"/>
      <c r="FL259" s="391"/>
      <c r="FM259" s="391"/>
      <c r="FN259" s="391"/>
      <c r="FO259" s="391"/>
      <c r="FP259" s="391"/>
      <c r="FQ259" s="391"/>
      <c r="FR259" s="391"/>
      <c r="FS259" s="391"/>
      <c r="FT259" s="391"/>
      <c r="FU259" s="391"/>
      <c r="FV259" s="391"/>
      <c r="FW259" s="391"/>
      <c r="FX259" s="391"/>
      <c r="FY259" s="391"/>
      <c r="FZ259" s="391"/>
      <c r="GA259" s="391"/>
      <c r="GB259" s="391"/>
      <c r="GC259" s="391"/>
      <c r="GD259" s="391"/>
      <c r="GE259" s="391"/>
      <c r="GF259" s="391"/>
      <c r="GG259" s="391"/>
      <c r="GH259" s="391"/>
      <c r="GI259" s="391"/>
      <c r="GJ259" s="391"/>
      <c r="GK259" s="391"/>
      <c r="GL259" s="391"/>
      <c r="GM259" s="391"/>
      <c r="GN259" s="391"/>
      <c r="GO259" s="391"/>
      <c r="GP259" s="391"/>
      <c r="GQ259" s="391"/>
      <c r="GR259" s="391"/>
      <c r="GS259" s="391"/>
      <c r="GT259" s="391"/>
      <c r="GU259" s="391"/>
      <c r="GV259" s="391"/>
      <c r="GW259" s="391"/>
      <c r="GX259" s="391"/>
      <c r="GY259" s="391"/>
      <c r="GZ259" s="391"/>
      <c r="HA259" s="391"/>
      <c r="HB259" s="391"/>
      <c r="HC259" s="391"/>
      <c r="HD259" s="391"/>
      <c r="HE259" s="391"/>
      <c r="HF259" s="391"/>
      <c r="HG259" s="391"/>
      <c r="HH259" s="391"/>
      <c r="HI259" s="391"/>
      <c r="HJ259" s="391"/>
      <c r="HK259" s="391"/>
      <c r="HL259" s="391"/>
      <c r="HM259" s="391"/>
      <c r="HN259" s="391"/>
      <c r="HO259" s="391"/>
      <c r="HP259" s="391"/>
      <c r="HQ259" s="391"/>
      <c r="HR259" s="391"/>
      <c r="HS259" s="391"/>
      <c r="HT259" s="391"/>
      <c r="HU259" s="391"/>
      <c r="HV259" s="391"/>
      <c r="HW259" s="391"/>
      <c r="HX259" s="391"/>
      <c r="HY259" s="391"/>
      <c r="HZ259" s="391"/>
      <c r="IA259" s="391"/>
      <c r="IB259" s="391"/>
      <c r="IC259" s="391"/>
      <c r="ID259" s="391"/>
      <c r="IE259" s="391"/>
      <c r="IF259" s="391"/>
      <c r="IG259" s="391"/>
      <c r="IH259" s="391"/>
      <c r="II259" s="391"/>
      <c r="IJ259" s="391"/>
      <c r="IK259" s="391"/>
      <c r="IL259" s="391"/>
      <c r="IM259" s="391"/>
      <c r="IN259" s="391"/>
      <c r="IO259" s="391"/>
      <c r="IP259" s="391"/>
      <c r="IQ259" s="391"/>
      <c r="IR259" s="391"/>
      <c r="IS259" s="391"/>
      <c r="IT259" s="391"/>
      <c r="IU259" s="391"/>
      <c r="IV259" s="391"/>
      <c r="IW259" s="391"/>
      <c r="IX259" s="391"/>
      <c r="IY259" s="391"/>
      <c r="IZ259" s="391"/>
      <c r="JA259" s="391"/>
      <c r="JB259" s="391"/>
      <c r="JC259" s="391"/>
      <c r="JD259" s="391"/>
      <c r="JE259" s="391"/>
      <c r="JF259" s="391"/>
      <c r="JG259" s="391"/>
      <c r="JH259" s="391"/>
      <c r="JI259" s="393">
        <f t="shared" si="9"/>
        <v>0</v>
      </c>
      <c r="JJ259" s="2"/>
      <c r="JK259" s="392">
        <f t="shared" si="10"/>
        <v>0</v>
      </c>
      <c r="JL259" s="391"/>
      <c r="JM259" s="392"/>
      <c r="JN259" s="392"/>
      <c r="JO259" s="392"/>
      <c r="JP259" s="392"/>
    </row>
    <row r="260" spans="1:276 1141:1141" x14ac:dyDescent="0.3">
      <c r="A260" s="391"/>
      <c r="B260" s="391"/>
      <c r="C260" s="391"/>
      <c r="D260" s="391"/>
      <c r="E260" s="391"/>
      <c r="F260" s="391"/>
      <c r="G260" s="391"/>
      <c r="H260" s="391"/>
      <c r="I260" s="391"/>
      <c r="J260" s="391"/>
      <c r="K260" s="391"/>
      <c r="L260" s="391"/>
      <c r="M260" s="391"/>
      <c r="N260" s="391"/>
      <c r="O260" s="391"/>
      <c r="P260" s="391"/>
      <c r="Q260" s="391"/>
      <c r="R260" s="391"/>
      <c r="S260" s="391"/>
      <c r="T260" s="391"/>
      <c r="U260" s="391"/>
      <c r="V260" s="391"/>
      <c r="W260" s="391"/>
      <c r="X260" s="391"/>
      <c r="Y260" s="391"/>
      <c r="Z260" s="391"/>
      <c r="AA260" s="391"/>
      <c r="AB260" s="391"/>
      <c r="AC260" s="391"/>
      <c r="AD260" s="391"/>
      <c r="AE260" s="391"/>
      <c r="AF260" s="391"/>
      <c r="AG260" s="391"/>
      <c r="AH260" s="391"/>
      <c r="AI260" s="391"/>
      <c r="AJ260" s="391"/>
      <c r="AK260" s="391"/>
      <c r="AL260" s="391"/>
      <c r="AM260" s="391"/>
      <c r="AN260" s="391"/>
      <c r="AO260" s="391"/>
      <c r="AP260" s="391"/>
      <c r="AQ260" s="391"/>
      <c r="AR260" s="391"/>
      <c r="AS260" s="391"/>
      <c r="AT260" s="391"/>
      <c r="AU260" s="391"/>
      <c r="AV260" s="391"/>
      <c r="AW260" s="391"/>
      <c r="AX260" s="391"/>
      <c r="AY260" s="391"/>
      <c r="AZ260" s="391"/>
      <c r="BA260" s="391"/>
      <c r="BB260" s="391"/>
      <c r="BC260" s="391"/>
      <c r="BD260" s="391"/>
      <c r="BE260" s="391"/>
      <c r="BF260" s="391"/>
      <c r="BG260" s="391"/>
      <c r="BH260" s="391"/>
      <c r="BI260" s="391"/>
      <c r="BJ260" s="391"/>
      <c r="BK260" s="391"/>
      <c r="BL260" s="391"/>
      <c r="BM260" s="391"/>
      <c r="BN260" s="391"/>
      <c r="BO260" s="391"/>
      <c r="BP260" s="391"/>
      <c r="BQ260" s="391"/>
      <c r="BR260" s="391"/>
      <c r="BS260" s="391"/>
      <c r="BT260" s="391"/>
      <c r="BU260" s="391"/>
      <c r="BV260" s="391"/>
      <c r="BW260" s="391"/>
      <c r="BX260" s="391"/>
      <c r="BY260" s="391"/>
      <c r="BZ260" s="391"/>
      <c r="CA260" s="391"/>
      <c r="CB260" s="391"/>
      <c r="CC260" s="391"/>
      <c r="CD260" s="391"/>
      <c r="CE260" s="391"/>
      <c r="CF260" s="391"/>
      <c r="CG260" s="391"/>
      <c r="CH260" s="391"/>
      <c r="CI260" s="391"/>
      <c r="CJ260" s="391"/>
      <c r="CK260" s="391"/>
      <c r="CL260" s="391"/>
      <c r="CM260" s="391"/>
      <c r="CN260" s="391"/>
      <c r="CO260" s="391"/>
      <c r="CP260" s="391"/>
      <c r="CQ260" s="391"/>
      <c r="CR260" s="391"/>
      <c r="CS260" s="391"/>
      <c r="CT260" s="391"/>
      <c r="CU260" s="391"/>
      <c r="CV260" s="391"/>
      <c r="CW260" s="391"/>
      <c r="CX260" s="391"/>
      <c r="CY260" s="391"/>
      <c r="CZ260" s="391"/>
      <c r="DA260" s="391"/>
      <c r="DB260" s="391"/>
      <c r="DC260" s="391"/>
      <c r="DD260" s="391"/>
      <c r="DE260" s="391"/>
      <c r="DF260" s="391"/>
      <c r="DG260" s="391"/>
      <c r="DH260" s="391"/>
      <c r="DI260" s="391"/>
      <c r="DJ260" s="391"/>
      <c r="DK260" s="391"/>
      <c r="DL260" s="391"/>
      <c r="DM260" s="391"/>
      <c r="DN260" s="391"/>
      <c r="DO260" s="391"/>
      <c r="DP260" s="391"/>
      <c r="DQ260" s="391"/>
      <c r="DR260" s="391"/>
      <c r="DS260" s="391"/>
      <c r="DT260" s="391"/>
      <c r="DU260" s="391"/>
      <c r="DV260" s="391"/>
      <c r="DW260" s="391"/>
      <c r="DX260" s="391"/>
      <c r="DY260" s="391"/>
      <c r="DZ260" s="391"/>
      <c r="EA260" s="391"/>
      <c r="EB260" s="391"/>
      <c r="EC260" s="391"/>
      <c r="ED260" s="391"/>
      <c r="EE260" s="391"/>
      <c r="EF260" s="391"/>
      <c r="EG260" s="391"/>
      <c r="EH260" s="391"/>
      <c r="EI260" s="391"/>
      <c r="EJ260" s="391"/>
      <c r="EK260" s="391"/>
      <c r="EL260" s="391"/>
      <c r="EM260" s="391"/>
      <c r="EN260" s="391"/>
      <c r="EO260" s="391"/>
      <c r="EP260" s="391"/>
      <c r="EQ260" s="391"/>
      <c r="ER260" s="391"/>
      <c r="ES260" s="391"/>
      <c r="ET260" s="391"/>
      <c r="EU260" s="391"/>
      <c r="EV260" s="391"/>
      <c r="EW260" s="391"/>
      <c r="EX260" s="391"/>
      <c r="EY260" s="391"/>
      <c r="EZ260" s="391"/>
      <c r="FA260" s="391"/>
      <c r="FB260" s="391"/>
      <c r="FC260" s="391"/>
      <c r="FD260" s="391"/>
      <c r="FE260" s="391"/>
      <c r="FF260" s="391"/>
      <c r="FG260" s="391"/>
      <c r="FH260" s="391"/>
      <c r="FI260" s="391"/>
      <c r="FJ260" s="391"/>
      <c r="FK260" s="391"/>
      <c r="FL260" s="391"/>
      <c r="FM260" s="391"/>
      <c r="FN260" s="391"/>
      <c r="FO260" s="391"/>
      <c r="FP260" s="391"/>
      <c r="FQ260" s="391"/>
      <c r="FR260" s="391"/>
      <c r="FS260" s="391"/>
      <c r="FT260" s="391"/>
      <c r="FU260" s="391"/>
      <c r="FV260" s="391"/>
      <c r="FW260" s="391"/>
      <c r="FX260" s="391"/>
      <c r="FY260" s="391"/>
      <c r="FZ260" s="391"/>
      <c r="GA260" s="391"/>
      <c r="GB260" s="391"/>
      <c r="GC260" s="391"/>
      <c r="GD260" s="391"/>
      <c r="GE260" s="391"/>
      <c r="GF260" s="391"/>
      <c r="GG260" s="391"/>
      <c r="GH260" s="391"/>
      <c r="GI260" s="391"/>
      <c r="GJ260" s="391"/>
      <c r="GK260" s="391"/>
      <c r="GL260" s="391"/>
      <c r="GM260" s="391"/>
      <c r="GN260" s="391"/>
      <c r="GO260" s="391"/>
      <c r="GP260" s="391"/>
      <c r="GQ260" s="391"/>
      <c r="GR260" s="391"/>
      <c r="GS260" s="391"/>
      <c r="GT260" s="391"/>
      <c r="GU260" s="391"/>
      <c r="GV260" s="391"/>
      <c r="GW260" s="391"/>
      <c r="GX260" s="391"/>
      <c r="GY260" s="391"/>
      <c r="GZ260" s="391"/>
      <c r="HA260" s="391"/>
      <c r="HB260" s="391"/>
      <c r="HC260" s="391"/>
      <c r="HD260" s="391"/>
      <c r="HE260" s="391"/>
      <c r="HF260" s="391"/>
      <c r="HG260" s="391"/>
      <c r="HH260" s="391"/>
      <c r="HI260" s="391"/>
      <c r="HJ260" s="391"/>
      <c r="HK260" s="391"/>
      <c r="HL260" s="391"/>
      <c r="HM260" s="391"/>
      <c r="HN260" s="391"/>
      <c r="HO260" s="391"/>
      <c r="HP260" s="391"/>
      <c r="HQ260" s="391"/>
      <c r="HR260" s="391"/>
      <c r="HS260" s="391"/>
      <c r="HT260" s="391"/>
      <c r="HU260" s="391"/>
      <c r="HV260" s="391"/>
      <c r="HW260" s="391"/>
      <c r="HX260" s="391"/>
      <c r="HY260" s="391"/>
      <c r="HZ260" s="391"/>
      <c r="IA260" s="391"/>
      <c r="IB260" s="391"/>
      <c r="IC260" s="391"/>
      <c r="ID260" s="391"/>
      <c r="IE260" s="391"/>
      <c r="IF260" s="391"/>
      <c r="IG260" s="391"/>
      <c r="IH260" s="391"/>
      <c r="II260" s="391"/>
      <c r="IJ260" s="391"/>
      <c r="IK260" s="391"/>
      <c r="IL260" s="391"/>
      <c r="IM260" s="391"/>
      <c r="IN260" s="391"/>
      <c r="IO260" s="391"/>
      <c r="IP260" s="391"/>
      <c r="IQ260" s="391"/>
      <c r="IR260" s="391"/>
      <c r="IS260" s="391"/>
      <c r="IT260" s="391"/>
      <c r="IU260" s="391"/>
      <c r="IV260" s="391"/>
      <c r="IW260" s="391"/>
      <c r="IX260" s="391"/>
      <c r="IY260" s="391"/>
      <c r="IZ260" s="391"/>
      <c r="JA260" s="391"/>
      <c r="JB260" s="391"/>
      <c r="JC260" s="391"/>
      <c r="JD260" s="391"/>
      <c r="JE260" s="391"/>
      <c r="JF260" s="391"/>
      <c r="JG260" s="391"/>
      <c r="JH260" s="391"/>
      <c r="JI260" s="393">
        <f t="shared" si="9"/>
        <v>0</v>
      </c>
      <c r="JJ260" s="2"/>
      <c r="JK260" s="392">
        <f t="shared" si="10"/>
        <v>0</v>
      </c>
      <c r="JL260" s="391"/>
      <c r="JM260" s="392"/>
      <c r="JN260" s="392"/>
      <c r="JO260" s="392"/>
      <c r="JP260" s="392"/>
    </row>
    <row r="261" spans="1:276 1141:1141" x14ac:dyDescent="0.3">
      <c r="A261" s="391"/>
      <c r="B261" s="391"/>
      <c r="C261" s="391"/>
      <c r="D261" s="391"/>
      <c r="E261" s="391"/>
      <c r="F261" s="391"/>
      <c r="G261" s="391"/>
      <c r="H261" s="391"/>
      <c r="I261" s="391"/>
      <c r="J261" s="391"/>
      <c r="K261" s="391"/>
      <c r="L261" s="391"/>
      <c r="M261" s="391"/>
      <c r="N261" s="391"/>
      <c r="O261" s="391"/>
      <c r="P261" s="391"/>
      <c r="Q261" s="391"/>
      <c r="R261" s="391"/>
      <c r="S261" s="391"/>
      <c r="T261" s="391"/>
      <c r="U261" s="391"/>
      <c r="V261" s="391"/>
      <c r="W261" s="391"/>
      <c r="X261" s="391"/>
      <c r="Y261" s="391"/>
      <c r="Z261" s="391"/>
      <c r="AA261" s="391"/>
      <c r="AB261" s="391"/>
      <c r="AC261" s="391"/>
      <c r="AD261" s="391"/>
      <c r="AE261" s="391"/>
      <c r="AF261" s="391"/>
      <c r="AG261" s="391"/>
      <c r="AH261" s="391"/>
      <c r="AI261" s="391"/>
      <c r="AJ261" s="391"/>
      <c r="AK261" s="391"/>
      <c r="AL261" s="391"/>
      <c r="AM261" s="391"/>
      <c r="AN261" s="391"/>
      <c r="AO261" s="391"/>
      <c r="AP261" s="391"/>
      <c r="AQ261" s="391"/>
      <c r="AR261" s="391"/>
      <c r="AS261" s="391"/>
      <c r="AT261" s="391"/>
      <c r="AU261" s="391"/>
      <c r="AV261" s="391"/>
      <c r="AW261" s="391"/>
      <c r="AX261" s="391"/>
      <c r="AY261" s="391"/>
      <c r="AZ261" s="391"/>
      <c r="BA261" s="391"/>
      <c r="BB261" s="391"/>
      <c r="BC261" s="391"/>
      <c r="BD261" s="391"/>
      <c r="BE261" s="391"/>
      <c r="BF261" s="391"/>
      <c r="BG261" s="391"/>
      <c r="BH261" s="391"/>
      <c r="BI261" s="391"/>
      <c r="BJ261" s="391"/>
      <c r="BK261" s="391"/>
      <c r="BL261" s="391"/>
      <c r="BM261" s="391"/>
      <c r="BN261" s="391"/>
      <c r="BO261" s="391"/>
      <c r="BP261" s="391"/>
      <c r="BQ261" s="391"/>
      <c r="BR261" s="391"/>
      <c r="BS261" s="391"/>
      <c r="BT261" s="391"/>
      <c r="BU261" s="391"/>
      <c r="BV261" s="391"/>
      <c r="BW261" s="391"/>
      <c r="BX261" s="391"/>
      <c r="BY261" s="391"/>
      <c r="BZ261" s="391"/>
      <c r="CA261" s="391"/>
      <c r="CB261" s="391"/>
      <c r="CC261" s="391"/>
      <c r="CD261" s="391"/>
      <c r="CE261" s="391"/>
      <c r="CF261" s="391"/>
      <c r="CG261" s="391"/>
      <c r="CH261" s="391"/>
      <c r="CI261" s="391"/>
      <c r="CJ261" s="391"/>
      <c r="CK261" s="391"/>
      <c r="CL261" s="391"/>
      <c r="CM261" s="391"/>
      <c r="CN261" s="391"/>
      <c r="CO261" s="391"/>
      <c r="CP261" s="391"/>
      <c r="CQ261" s="391"/>
      <c r="CR261" s="391"/>
      <c r="CS261" s="391"/>
      <c r="CT261" s="391"/>
      <c r="CU261" s="391"/>
      <c r="CV261" s="391"/>
      <c r="CW261" s="391"/>
      <c r="CX261" s="391"/>
      <c r="CY261" s="391"/>
      <c r="CZ261" s="391"/>
      <c r="DA261" s="391"/>
      <c r="DB261" s="391"/>
      <c r="DC261" s="391"/>
      <c r="DD261" s="391"/>
      <c r="DE261" s="391"/>
      <c r="DF261" s="391"/>
      <c r="DG261" s="391"/>
      <c r="DH261" s="391"/>
      <c r="DI261" s="391"/>
      <c r="DJ261" s="391"/>
      <c r="DK261" s="391"/>
      <c r="DL261" s="391"/>
      <c r="DM261" s="391"/>
      <c r="DN261" s="391"/>
      <c r="DO261" s="391"/>
      <c r="DP261" s="391"/>
      <c r="DQ261" s="391"/>
      <c r="DR261" s="391"/>
      <c r="DS261" s="391"/>
      <c r="DT261" s="391"/>
      <c r="DU261" s="391"/>
      <c r="DV261" s="391"/>
      <c r="DW261" s="391"/>
      <c r="DX261" s="391"/>
      <c r="DY261" s="391"/>
      <c r="DZ261" s="391"/>
      <c r="EA261" s="391"/>
      <c r="EB261" s="391"/>
      <c r="EC261" s="391"/>
      <c r="ED261" s="391"/>
      <c r="EE261" s="391"/>
      <c r="EF261" s="391"/>
      <c r="EG261" s="391"/>
      <c r="EH261" s="391"/>
      <c r="EI261" s="391"/>
      <c r="EJ261" s="391"/>
      <c r="EK261" s="391"/>
      <c r="EL261" s="391"/>
      <c r="EM261" s="391"/>
      <c r="EN261" s="391"/>
      <c r="EO261" s="391"/>
      <c r="EP261" s="391"/>
      <c r="EQ261" s="391"/>
      <c r="ER261" s="391"/>
      <c r="ES261" s="391"/>
      <c r="ET261" s="391"/>
      <c r="EU261" s="391"/>
      <c r="EV261" s="391"/>
      <c r="EW261" s="391"/>
      <c r="EX261" s="391"/>
      <c r="EY261" s="391"/>
      <c r="EZ261" s="391"/>
      <c r="FA261" s="391"/>
      <c r="FB261" s="391"/>
      <c r="FC261" s="391"/>
      <c r="FD261" s="391"/>
      <c r="FE261" s="391"/>
      <c r="FF261" s="391"/>
      <c r="FG261" s="391"/>
      <c r="FH261" s="391"/>
      <c r="FI261" s="391"/>
      <c r="FJ261" s="391"/>
      <c r="FK261" s="391"/>
      <c r="FL261" s="391"/>
      <c r="FM261" s="391"/>
      <c r="FN261" s="391"/>
      <c r="FO261" s="391"/>
      <c r="FP261" s="391"/>
      <c r="FQ261" s="391"/>
      <c r="FR261" s="391"/>
      <c r="FS261" s="391"/>
      <c r="FT261" s="391"/>
      <c r="FU261" s="391"/>
      <c r="FV261" s="391"/>
      <c r="FW261" s="391"/>
      <c r="FX261" s="391"/>
      <c r="FY261" s="391"/>
      <c r="FZ261" s="391"/>
      <c r="GA261" s="391"/>
      <c r="GB261" s="391"/>
      <c r="GC261" s="391"/>
      <c r="GD261" s="391"/>
      <c r="GE261" s="391"/>
      <c r="GF261" s="391"/>
      <c r="GG261" s="391"/>
      <c r="GH261" s="391"/>
      <c r="GI261" s="391"/>
      <c r="GJ261" s="391"/>
      <c r="GK261" s="391"/>
      <c r="GL261" s="391"/>
      <c r="GM261" s="391"/>
      <c r="GN261" s="391"/>
      <c r="GO261" s="391"/>
      <c r="GP261" s="391"/>
      <c r="GQ261" s="391"/>
      <c r="GR261" s="391"/>
      <c r="GS261" s="391"/>
      <c r="GT261" s="391"/>
      <c r="GU261" s="391"/>
      <c r="GV261" s="391"/>
      <c r="GW261" s="391"/>
      <c r="GX261" s="391"/>
      <c r="GY261" s="391"/>
      <c r="GZ261" s="391"/>
      <c r="HA261" s="391"/>
      <c r="HB261" s="391"/>
      <c r="HC261" s="391"/>
      <c r="HD261" s="391"/>
      <c r="HE261" s="391"/>
      <c r="HF261" s="391"/>
      <c r="HG261" s="391"/>
      <c r="HH261" s="391"/>
      <c r="HI261" s="391"/>
      <c r="HJ261" s="391"/>
      <c r="HK261" s="391"/>
      <c r="HL261" s="391"/>
      <c r="HM261" s="391"/>
      <c r="HN261" s="391"/>
      <c r="HO261" s="391"/>
      <c r="HP261" s="391"/>
      <c r="HQ261" s="391"/>
      <c r="HR261" s="391"/>
      <c r="HS261" s="391"/>
      <c r="HT261" s="391"/>
      <c r="HU261" s="391"/>
      <c r="HV261" s="391"/>
      <c r="HW261" s="391"/>
      <c r="HX261" s="391"/>
      <c r="HY261" s="391"/>
      <c r="HZ261" s="391"/>
      <c r="IA261" s="391"/>
      <c r="IB261" s="391"/>
      <c r="IC261" s="391"/>
      <c r="ID261" s="391"/>
      <c r="IE261" s="391"/>
      <c r="IF261" s="391"/>
      <c r="IG261" s="391"/>
      <c r="IH261" s="391"/>
      <c r="II261" s="391"/>
      <c r="IJ261" s="391"/>
      <c r="IK261" s="391"/>
      <c r="IL261" s="391"/>
      <c r="IM261" s="391"/>
      <c r="IN261" s="391"/>
      <c r="IO261" s="391"/>
      <c r="IP261" s="391"/>
      <c r="IQ261" s="391"/>
      <c r="IR261" s="391"/>
      <c r="IS261" s="391"/>
      <c r="IT261" s="391"/>
      <c r="IU261" s="391"/>
      <c r="IV261" s="391"/>
      <c r="IW261" s="391"/>
      <c r="IX261" s="391"/>
      <c r="IY261" s="391"/>
      <c r="IZ261" s="391"/>
      <c r="JA261" s="391"/>
      <c r="JB261" s="391"/>
      <c r="JC261" s="391"/>
      <c r="JD261" s="391"/>
      <c r="JE261" s="391"/>
      <c r="JF261" s="391"/>
      <c r="JG261" s="391"/>
      <c r="JH261" s="391"/>
      <c r="JI261" s="393">
        <f t="shared" si="9"/>
        <v>0</v>
      </c>
      <c r="JJ261" s="2"/>
      <c r="JK261" s="392">
        <f t="shared" si="10"/>
        <v>0</v>
      </c>
      <c r="JL261" s="391"/>
      <c r="JM261" s="392"/>
      <c r="JN261" s="392"/>
      <c r="JO261" s="392"/>
      <c r="JP261" s="392"/>
    </row>
    <row r="262" spans="1:276 1141:1141" x14ac:dyDescent="0.3">
      <c r="A262" s="391"/>
      <c r="B262" s="391"/>
      <c r="C262" s="391"/>
      <c r="D262" s="391"/>
      <c r="E262" s="391"/>
      <c r="F262" s="391"/>
      <c r="G262" s="391"/>
      <c r="H262" s="391"/>
      <c r="I262" s="391"/>
      <c r="J262" s="391"/>
      <c r="K262" s="391"/>
      <c r="L262" s="391"/>
      <c r="M262" s="391"/>
      <c r="N262" s="391"/>
      <c r="O262" s="391"/>
      <c r="P262" s="391"/>
      <c r="Q262" s="391"/>
      <c r="R262" s="391"/>
      <c r="S262" s="391"/>
      <c r="T262" s="391"/>
      <c r="U262" s="391"/>
      <c r="V262" s="391"/>
      <c r="W262" s="391"/>
      <c r="X262" s="391"/>
      <c r="Y262" s="391"/>
      <c r="Z262" s="391"/>
      <c r="AA262" s="391"/>
      <c r="AB262" s="391"/>
      <c r="AC262" s="391"/>
      <c r="AD262" s="391"/>
      <c r="AE262" s="391"/>
      <c r="AF262" s="391"/>
      <c r="AG262" s="391"/>
      <c r="AH262" s="391"/>
      <c r="AI262" s="391"/>
      <c r="AJ262" s="391"/>
      <c r="AK262" s="391"/>
      <c r="AL262" s="391"/>
      <c r="AM262" s="391"/>
      <c r="AN262" s="391"/>
      <c r="AO262" s="391"/>
      <c r="AP262" s="391"/>
      <c r="AQ262" s="391"/>
      <c r="AR262" s="391"/>
      <c r="AS262" s="391"/>
      <c r="AT262" s="391"/>
      <c r="AU262" s="391"/>
      <c r="AV262" s="391"/>
      <c r="AW262" s="391"/>
      <c r="AX262" s="391"/>
      <c r="AY262" s="391"/>
      <c r="AZ262" s="391"/>
      <c r="BA262" s="391"/>
      <c r="BB262" s="391"/>
      <c r="BC262" s="391"/>
      <c r="BD262" s="391"/>
      <c r="BE262" s="391"/>
      <c r="BF262" s="391"/>
      <c r="BG262" s="391"/>
      <c r="BH262" s="391"/>
      <c r="BI262" s="391"/>
      <c r="BJ262" s="391"/>
      <c r="BK262" s="391"/>
      <c r="BL262" s="391"/>
      <c r="BM262" s="391"/>
      <c r="BN262" s="391"/>
      <c r="BO262" s="391"/>
      <c r="BP262" s="391"/>
      <c r="BQ262" s="391"/>
      <c r="BR262" s="391"/>
      <c r="BS262" s="391"/>
      <c r="BT262" s="391"/>
      <c r="BU262" s="391"/>
      <c r="BV262" s="391"/>
      <c r="BW262" s="391"/>
      <c r="BX262" s="391"/>
      <c r="BY262" s="391"/>
      <c r="BZ262" s="391"/>
      <c r="CA262" s="391"/>
      <c r="CB262" s="391"/>
      <c r="CC262" s="391"/>
      <c r="CD262" s="391"/>
      <c r="CE262" s="391"/>
      <c r="CF262" s="391"/>
      <c r="CG262" s="391"/>
      <c r="CH262" s="391"/>
      <c r="CI262" s="391"/>
      <c r="CJ262" s="391"/>
      <c r="CK262" s="391"/>
      <c r="CL262" s="391"/>
      <c r="CM262" s="391"/>
      <c r="CN262" s="391"/>
      <c r="CO262" s="391"/>
      <c r="CP262" s="391"/>
      <c r="CQ262" s="391"/>
      <c r="CR262" s="391"/>
      <c r="CS262" s="391"/>
      <c r="CT262" s="391"/>
      <c r="CU262" s="391"/>
      <c r="CV262" s="391"/>
      <c r="CW262" s="391"/>
      <c r="CX262" s="391"/>
      <c r="CY262" s="391"/>
      <c r="CZ262" s="391"/>
      <c r="DA262" s="391"/>
      <c r="DB262" s="391"/>
      <c r="DC262" s="391"/>
      <c r="DD262" s="391"/>
      <c r="DE262" s="391"/>
      <c r="DF262" s="391"/>
      <c r="DG262" s="391"/>
      <c r="DH262" s="391"/>
      <c r="DI262" s="391"/>
      <c r="DJ262" s="391"/>
      <c r="DK262" s="391"/>
      <c r="DL262" s="391"/>
      <c r="DM262" s="391"/>
      <c r="DN262" s="391"/>
      <c r="DO262" s="391"/>
      <c r="DP262" s="391"/>
      <c r="DQ262" s="391"/>
      <c r="DR262" s="391"/>
      <c r="DS262" s="391"/>
      <c r="DT262" s="391"/>
      <c r="DU262" s="391"/>
      <c r="DV262" s="391"/>
      <c r="DW262" s="391"/>
      <c r="DX262" s="391"/>
      <c r="DY262" s="391"/>
      <c r="DZ262" s="391"/>
      <c r="EA262" s="391"/>
      <c r="EB262" s="391"/>
      <c r="EC262" s="391"/>
      <c r="ED262" s="391"/>
      <c r="EE262" s="391"/>
      <c r="EF262" s="391"/>
      <c r="EG262" s="391"/>
      <c r="EH262" s="391"/>
      <c r="EI262" s="391"/>
      <c r="EJ262" s="391"/>
      <c r="EK262" s="391"/>
      <c r="EL262" s="391"/>
      <c r="EM262" s="391"/>
      <c r="EN262" s="391"/>
      <c r="EO262" s="391"/>
      <c r="EP262" s="391"/>
      <c r="EQ262" s="391"/>
      <c r="ER262" s="391"/>
      <c r="ES262" s="391"/>
      <c r="ET262" s="391"/>
      <c r="EU262" s="391"/>
      <c r="EV262" s="391"/>
      <c r="EW262" s="391"/>
      <c r="EX262" s="391"/>
      <c r="EY262" s="391"/>
      <c r="EZ262" s="391"/>
      <c r="FA262" s="391"/>
      <c r="FB262" s="391"/>
      <c r="FC262" s="391"/>
      <c r="FD262" s="391"/>
      <c r="FE262" s="391"/>
      <c r="FF262" s="391"/>
      <c r="FG262" s="391"/>
      <c r="FH262" s="391"/>
      <c r="FI262" s="391"/>
      <c r="FJ262" s="391"/>
      <c r="FK262" s="391"/>
      <c r="FL262" s="391"/>
      <c r="FM262" s="391"/>
      <c r="FN262" s="391"/>
      <c r="FO262" s="391"/>
      <c r="FP262" s="391"/>
      <c r="FQ262" s="391"/>
      <c r="FR262" s="391"/>
      <c r="FS262" s="391"/>
      <c r="FT262" s="391"/>
      <c r="FU262" s="391"/>
      <c r="FV262" s="391"/>
      <c r="FW262" s="391"/>
      <c r="FX262" s="391"/>
      <c r="FY262" s="391"/>
      <c r="FZ262" s="391"/>
      <c r="GA262" s="391"/>
      <c r="GB262" s="391"/>
      <c r="GC262" s="391"/>
      <c r="GD262" s="391"/>
      <c r="GE262" s="391"/>
      <c r="GF262" s="391"/>
      <c r="GG262" s="391"/>
      <c r="GH262" s="391"/>
      <c r="GI262" s="391"/>
      <c r="GJ262" s="391"/>
      <c r="GK262" s="391"/>
      <c r="GL262" s="391"/>
      <c r="GM262" s="391"/>
      <c r="GN262" s="391"/>
      <c r="GO262" s="391"/>
      <c r="GP262" s="391"/>
      <c r="GQ262" s="391"/>
      <c r="GR262" s="391"/>
      <c r="GS262" s="391"/>
      <c r="GT262" s="391"/>
      <c r="GU262" s="391"/>
      <c r="GV262" s="391"/>
      <c r="GW262" s="391"/>
      <c r="GX262" s="391"/>
      <c r="GY262" s="391"/>
      <c r="GZ262" s="391"/>
      <c r="HA262" s="391"/>
      <c r="HB262" s="391"/>
      <c r="HC262" s="391"/>
      <c r="HD262" s="391"/>
      <c r="HE262" s="391"/>
      <c r="HF262" s="391"/>
      <c r="HG262" s="391"/>
      <c r="HH262" s="391"/>
      <c r="HI262" s="391"/>
      <c r="HJ262" s="391"/>
      <c r="HK262" s="391"/>
      <c r="HL262" s="391"/>
      <c r="HM262" s="391"/>
      <c r="HN262" s="391"/>
      <c r="HO262" s="391"/>
      <c r="HP262" s="391"/>
      <c r="HQ262" s="391"/>
      <c r="HR262" s="391"/>
      <c r="HS262" s="391"/>
      <c r="HT262" s="391"/>
      <c r="HU262" s="391"/>
      <c r="HV262" s="391"/>
      <c r="HW262" s="391"/>
      <c r="HX262" s="391"/>
      <c r="HY262" s="391"/>
      <c r="HZ262" s="391"/>
      <c r="IA262" s="391"/>
      <c r="IB262" s="391"/>
      <c r="IC262" s="391"/>
      <c r="ID262" s="391"/>
      <c r="IE262" s="391"/>
      <c r="IF262" s="391"/>
      <c r="IG262" s="391"/>
      <c r="IH262" s="391"/>
      <c r="II262" s="391"/>
      <c r="IJ262" s="391"/>
      <c r="IK262" s="391"/>
      <c r="IL262" s="391"/>
      <c r="IM262" s="391"/>
      <c r="IN262" s="391"/>
      <c r="IO262" s="391"/>
      <c r="IP262" s="391"/>
      <c r="IQ262" s="391"/>
      <c r="IR262" s="391"/>
      <c r="IS262" s="391"/>
      <c r="IT262" s="391"/>
      <c r="IU262" s="391"/>
      <c r="IV262" s="391"/>
      <c r="IW262" s="391"/>
      <c r="IX262" s="391"/>
      <c r="IY262" s="391"/>
      <c r="IZ262" s="391"/>
      <c r="JA262" s="391"/>
      <c r="JB262" s="391"/>
      <c r="JC262" s="391"/>
      <c r="JD262" s="391"/>
      <c r="JE262" s="391"/>
      <c r="JF262" s="391"/>
      <c r="JG262" s="391"/>
      <c r="JH262" s="391"/>
      <c r="JI262" s="393">
        <f t="shared" si="9"/>
        <v>0</v>
      </c>
      <c r="JJ262" s="2"/>
      <c r="JK262" s="392">
        <f t="shared" si="10"/>
        <v>0</v>
      </c>
      <c r="JL262" s="391"/>
      <c r="JM262" s="392"/>
      <c r="JN262" s="392"/>
      <c r="JO262" s="392"/>
      <c r="JP262" s="392"/>
    </row>
    <row r="263" spans="1:276 1141:1141" x14ac:dyDescent="0.3">
      <c r="A263" s="391"/>
      <c r="B263" s="391"/>
      <c r="C263" s="391"/>
      <c r="D263" s="391"/>
      <c r="E263" s="391"/>
      <c r="F263" s="391"/>
      <c r="G263" s="391"/>
      <c r="H263" s="391"/>
      <c r="I263" s="391"/>
      <c r="J263" s="391"/>
      <c r="K263" s="391"/>
      <c r="L263" s="391"/>
      <c r="M263" s="391"/>
      <c r="N263" s="391"/>
      <c r="O263" s="391"/>
      <c r="P263" s="391"/>
      <c r="Q263" s="391"/>
      <c r="R263" s="391"/>
      <c r="S263" s="391"/>
      <c r="T263" s="391"/>
      <c r="U263" s="391"/>
      <c r="V263" s="391"/>
      <c r="W263" s="391"/>
      <c r="X263" s="391"/>
      <c r="Y263" s="391"/>
      <c r="Z263" s="391"/>
      <c r="AA263" s="391"/>
      <c r="AB263" s="391"/>
      <c r="AC263" s="391"/>
      <c r="AD263" s="391"/>
      <c r="AE263" s="391"/>
      <c r="AF263" s="391"/>
      <c r="AG263" s="391"/>
      <c r="AH263" s="391"/>
      <c r="AI263" s="391"/>
      <c r="AJ263" s="391"/>
      <c r="AK263" s="391"/>
      <c r="AL263" s="391"/>
      <c r="AM263" s="391"/>
      <c r="AN263" s="391"/>
      <c r="AO263" s="391"/>
      <c r="AP263" s="391"/>
      <c r="AQ263" s="391"/>
      <c r="AR263" s="391"/>
      <c r="AS263" s="391"/>
      <c r="AT263" s="391"/>
      <c r="AU263" s="391"/>
      <c r="AV263" s="391"/>
      <c r="AW263" s="391"/>
      <c r="AX263" s="391"/>
      <c r="AY263" s="391"/>
      <c r="AZ263" s="391"/>
      <c r="BA263" s="391"/>
      <c r="BB263" s="391"/>
      <c r="BC263" s="391"/>
      <c r="BD263" s="391"/>
      <c r="BE263" s="391"/>
      <c r="BF263" s="391"/>
      <c r="BG263" s="391"/>
      <c r="BH263" s="391"/>
      <c r="BI263" s="391"/>
      <c r="BJ263" s="391"/>
      <c r="BK263" s="391"/>
      <c r="BL263" s="391"/>
      <c r="BM263" s="391"/>
      <c r="BN263" s="391"/>
      <c r="BO263" s="391"/>
      <c r="BP263" s="391"/>
      <c r="BQ263" s="391"/>
      <c r="BR263" s="391"/>
      <c r="BS263" s="391"/>
      <c r="BT263" s="391"/>
      <c r="BU263" s="391"/>
      <c r="BV263" s="391"/>
      <c r="BW263" s="391"/>
      <c r="BX263" s="391"/>
      <c r="BY263" s="391"/>
      <c r="BZ263" s="391"/>
      <c r="CA263" s="391"/>
      <c r="CB263" s="391"/>
      <c r="CC263" s="391"/>
      <c r="CD263" s="391"/>
      <c r="CE263" s="391"/>
      <c r="CF263" s="391"/>
      <c r="CG263" s="391"/>
      <c r="CH263" s="391"/>
      <c r="CI263" s="391"/>
      <c r="CJ263" s="391"/>
      <c r="CK263" s="391"/>
      <c r="CL263" s="391"/>
      <c r="CM263" s="391"/>
      <c r="CN263" s="391"/>
      <c r="CO263" s="391"/>
      <c r="CP263" s="391"/>
      <c r="CQ263" s="391"/>
      <c r="CR263" s="391"/>
      <c r="CS263" s="391"/>
      <c r="CT263" s="391"/>
      <c r="CU263" s="391"/>
      <c r="CV263" s="391"/>
      <c r="CW263" s="391"/>
      <c r="CX263" s="391"/>
      <c r="CY263" s="391"/>
      <c r="CZ263" s="391"/>
      <c r="DA263" s="391"/>
      <c r="DB263" s="391"/>
      <c r="DC263" s="391"/>
      <c r="DD263" s="391"/>
      <c r="DE263" s="391"/>
      <c r="DF263" s="391"/>
      <c r="DG263" s="391"/>
      <c r="DH263" s="391"/>
      <c r="DI263" s="391"/>
      <c r="DJ263" s="391"/>
      <c r="DK263" s="391"/>
      <c r="DL263" s="391"/>
      <c r="DM263" s="391"/>
      <c r="DN263" s="391"/>
      <c r="DO263" s="391"/>
      <c r="DP263" s="391"/>
      <c r="DQ263" s="391"/>
      <c r="DR263" s="391"/>
      <c r="DS263" s="391"/>
      <c r="DT263" s="391"/>
      <c r="DU263" s="391"/>
      <c r="DV263" s="391"/>
      <c r="DW263" s="391"/>
      <c r="DX263" s="391"/>
      <c r="DY263" s="391"/>
      <c r="DZ263" s="391"/>
      <c r="EA263" s="391"/>
      <c r="EB263" s="391"/>
      <c r="EC263" s="391"/>
      <c r="ED263" s="391"/>
      <c r="EE263" s="391"/>
      <c r="EF263" s="391"/>
      <c r="EG263" s="391"/>
      <c r="EH263" s="391"/>
      <c r="EI263" s="391"/>
      <c r="EJ263" s="391"/>
      <c r="EK263" s="391"/>
      <c r="EL263" s="391"/>
      <c r="EM263" s="391"/>
      <c r="EN263" s="391"/>
      <c r="EO263" s="391"/>
      <c r="EP263" s="391"/>
      <c r="EQ263" s="391"/>
      <c r="ER263" s="391"/>
      <c r="ES263" s="391"/>
      <c r="ET263" s="391"/>
      <c r="EU263" s="391"/>
      <c r="EV263" s="391"/>
      <c r="EW263" s="391"/>
      <c r="EX263" s="391"/>
      <c r="EY263" s="391"/>
      <c r="EZ263" s="391"/>
      <c r="FA263" s="391"/>
      <c r="FB263" s="391"/>
      <c r="FC263" s="391"/>
      <c r="FD263" s="391"/>
      <c r="FE263" s="391"/>
      <c r="FF263" s="391"/>
      <c r="FG263" s="391"/>
      <c r="FH263" s="391"/>
      <c r="FI263" s="391"/>
      <c r="FJ263" s="391"/>
      <c r="FK263" s="391"/>
      <c r="FL263" s="391"/>
      <c r="FM263" s="391"/>
      <c r="FN263" s="391"/>
      <c r="FO263" s="391"/>
      <c r="FP263" s="391"/>
      <c r="FQ263" s="391"/>
      <c r="FR263" s="391"/>
      <c r="FS263" s="391"/>
      <c r="FT263" s="391"/>
      <c r="FU263" s="391"/>
      <c r="FV263" s="391"/>
      <c r="FW263" s="391"/>
      <c r="FX263" s="391"/>
      <c r="FY263" s="391"/>
      <c r="FZ263" s="391"/>
      <c r="GA263" s="391"/>
      <c r="GB263" s="391"/>
      <c r="GC263" s="391"/>
      <c r="GD263" s="391"/>
      <c r="GE263" s="391"/>
      <c r="GF263" s="391"/>
      <c r="GG263" s="391"/>
      <c r="GH263" s="391"/>
      <c r="GI263" s="391"/>
      <c r="GJ263" s="391"/>
      <c r="GK263" s="391"/>
      <c r="GL263" s="391"/>
      <c r="GM263" s="391"/>
      <c r="GN263" s="391"/>
      <c r="GO263" s="391"/>
      <c r="GP263" s="391"/>
      <c r="GQ263" s="391"/>
      <c r="GR263" s="391"/>
      <c r="GS263" s="391"/>
      <c r="GT263" s="391"/>
      <c r="GU263" s="391"/>
      <c r="GV263" s="391"/>
      <c r="GW263" s="391"/>
      <c r="GX263" s="391"/>
      <c r="GY263" s="391"/>
      <c r="GZ263" s="391"/>
      <c r="HA263" s="391"/>
      <c r="HB263" s="391"/>
      <c r="HC263" s="391"/>
      <c r="HD263" s="391"/>
      <c r="HE263" s="391"/>
      <c r="HF263" s="391"/>
      <c r="HG263" s="391"/>
      <c r="HH263" s="391"/>
      <c r="HI263" s="391"/>
      <c r="HJ263" s="391"/>
      <c r="HK263" s="391"/>
      <c r="HL263" s="391"/>
      <c r="HM263" s="391"/>
      <c r="HN263" s="391"/>
      <c r="HO263" s="391"/>
      <c r="HP263" s="391"/>
      <c r="HQ263" s="391"/>
      <c r="HR263" s="391"/>
      <c r="HS263" s="391"/>
      <c r="HT263" s="391"/>
      <c r="HU263" s="391"/>
      <c r="HV263" s="391"/>
      <c r="HW263" s="391"/>
      <c r="HX263" s="391"/>
      <c r="HY263" s="391"/>
      <c r="HZ263" s="391"/>
      <c r="IA263" s="391"/>
      <c r="IB263" s="391"/>
      <c r="IC263" s="391"/>
      <c r="ID263" s="391"/>
      <c r="IE263" s="391"/>
      <c r="IF263" s="391"/>
      <c r="IG263" s="391"/>
      <c r="IH263" s="391"/>
      <c r="II263" s="391"/>
      <c r="IJ263" s="391"/>
      <c r="IK263" s="391"/>
      <c r="IL263" s="391"/>
      <c r="IM263" s="391"/>
      <c r="IN263" s="391"/>
      <c r="IO263" s="391"/>
      <c r="IP263" s="391"/>
      <c r="IQ263" s="391"/>
      <c r="IR263" s="391"/>
      <c r="IS263" s="391"/>
      <c r="IT263" s="391"/>
      <c r="IU263" s="391"/>
      <c r="IV263" s="391"/>
      <c r="IW263" s="391"/>
      <c r="IX263" s="391"/>
      <c r="IY263" s="391"/>
      <c r="IZ263" s="391"/>
      <c r="JA263" s="391"/>
      <c r="JB263" s="391"/>
      <c r="JC263" s="391"/>
      <c r="JD263" s="391"/>
      <c r="JE263" s="391"/>
      <c r="JF263" s="391"/>
      <c r="JG263" s="391"/>
      <c r="JH263" s="391"/>
      <c r="JI263" s="393">
        <f t="shared" si="9"/>
        <v>0</v>
      </c>
      <c r="JJ263" s="2"/>
      <c r="JK263" s="392">
        <f t="shared" si="10"/>
        <v>0</v>
      </c>
      <c r="JL263" s="391"/>
      <c r="JM263" s="392"/>
      <c r="JN263" s="392"/>
      <c r="JO263" s="392"/>
      <c r="JP263" s="392"/>
    </row>
    <row r="264" spans="1:276 1141:1141" x14ac:dyDescent="0.3">
      <c r="A264" s="391"/>
      <c r="B264" s="391"/>
      <c r="C264" s="391"/>
      <c r="D264" s="391"/>
      <c r="E264" s="391"/>
      <c r="F264" s="391"/>
      <c r="G264" s="391"/>
      <c r="H264" s="391"/>
      <c r="I264" s="391"/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  <c r="T264" s="391"/>
      <c r="U264" s="391"/>
      <c r="V264" s="391"/>
      <c r="W264" s="391"/>
      <c r="X264" s="391"/>
      <c r="Y264" s="391"/>
      <c r="Z264" s="391"/>
      <c r="AA264" s="391"/>
      <c r="AB264" s="391"/>
      <c r="AC264" s="391"/>
      <c r="AD264" s="391"/>
      <c r="AE264" s="391"/>
      <c r="AF264" s="391"/>
      <c r="AG264" s="391"/>
      <c r="AH264" s="391"/>
      <c r="AI264" s="391"/>
      <c r="AJ264" s="391"/>
      <c r="AK264" s="391"/>
      <c r="AL264" s="391"/>
      <c r="AM264" s="391"/>
      <c r="AN264" s="391"/>
      <c r="AO264" s="391"/>
      <c r="AP264" s="391"/>
      <c r="AQ264" s="391"/>
      <c r="AR264" s="391"/>
      <c r="AS264" s="391"/>
      <c r="AT264" s="391"/>
      <c r="AU264" s="391"/>
      <c r="AV264" s="391"/>
      <c r="AW264" s="391"/>
      <c r="AX264" s="391"/>
      <c r="AY264" s="391"/>
      <c r="AZ264" s="391"/>
      <c r="BA264" s="391"/>
      <c r="BB264" s="391"/>
      <c r="BC264" s="391"/>
      <c r="BD264" s="391"/>
      <c r="BE264" s="391"/>
      <c r="BF264" s="391"/>
      <c r="BG264" s="391"/>
      <c r="BH264" s="391"/>
      <c r="BI264" s="391"/>
      <c r="BJ264" s="391"/>
      <c r="BK264" s="391"/>
      <c r="BL264" s="391"/>
      <c r="BM264" s="391"/>
      <c r="BN264" s="391"/>
      <c r="BO264" s="391"/>
      <c r="BP264" s="391"/>
      <c r="BQ264" s="391"/>
      <c r="BR264" s="391"/>
      <c r="BS264" s="391"/>
      <c r="BT264" s="391"/>
      <c r="BU264" s="391"/>
      <c r="BV264" s="391"/>
      <c r="BW264" s="391"/>
      <c r="BX264" s="391"/>
      <c r="BY264" s="391"/>
      <c r="BZ264" s="391"/>
      <c r="CA264" s="391"/>
      <c r="CB264" s="391"/>
      <c r="CC264" s="391"/>
      <c r="CD264" s="391"/>
      <c r="CE264" s="391"/>
      <c r="CF264" s="391"/>
      <c r="CG264" s="391"/>
      <c r="CH264" s="391"/>
      <c r="CI264" s="391"/>
      <c r="CJ264" s="391"/>
      <c r="CK264" s="391"/>
      <c r="CL264" s="391"/>
      <c r="CM264" s="391"/>
      <c r="CN264" s="391"/>
      <c r="CO264" s="391"/>
      <c r="CP264" s="391"/>
      <c r="CQ264" s="391"/>
      <c r="CR264" s="391"/>
      <c r="CS264" s="391"/>
      <c r="CT264" s="391"/>
      <c r="CU264" s="391"/>
      <c r="CV264" s="391"/>
      <c r="CW264" s="391"/>
      <c r="CX264" s="391"/>
      <c r="CY264" s="391"/>
      <c r="CZ264" s="391"/>
      <c r="DA264" s="391"/>
      <c r="DB264" s="391"/>
      <c r="DC264" s="391"/>
      <c r="DD264" s="391"/>
      <c r="DE264" s="391"/>
      <c r="DF264" s="391"/>
      <c r="DG264" s="391"/>
      <c r="DH264" s="391"/>
      <c r="DI264" s="391"/>
      <c r="DJ264" s="391"/>
      <c r="DK264" s="391"/>
      <c r="DL264" s="391"/>
      <c r="DM264" s="391"/>
      <c r="DN264" s="391"/>
      <c r="DO264" s="391"/>
      <c r="DP264" s="391"/>
      <c r="DQ264" s="391"/>
      <c r="DR264" s="391"/>
      <c r="DS264" s="391"/>
      <c r="DT264" s="391"/>
      <c r="DU264" s="391"/>
      <c r="DV264" s="391"/>
      <c r="DW264" s="391"/>
      <c r="DX264" s="391"/>
      <c r="DY264" s="391"/>
      <c r="DZ264" s="391"/>
      <c r="EA264" s="391"/>
      <c r="EB264" s="391"/>
      <c r="EC264" s="391"/>
      <c r="ED264" s="391"/>
      <c r="EE264" s="391"/>
      <c r="EF264" s="391"/>
      <c r="EG264" s="391"/>
      <c r="EH264" s="391"/>
      <c r="EI264" s="391"/>
      <c r="EJ264" s="391"/>
      <c r="EK264" s="391"/>
      <c r="EL264" s="391"/>
      <c r="EM264" s="391"/>
      <c r="EN264" s="391"/>
      <c r="EO264" s="391"/>
      <c r="EP264" s="391"/>
      <c r="EQ264" s="391"/>
      <c r="ER264" s="391"/>
      <c r="ES264" s="391"/>
      <c r="ET264" s="391"/>
      <c r="EU264" s="391"/>
      <c r="EV264" s="391"/>
      <c r="EW264" s="391"/>
      <c r="EX264" s="391"/>
      <c r="EY264" s="391"/>
      <c r="EZ264" s="391"/>
      <c r="FA264" s="391"/>
      <c r="FB264" s="391"/>
      <c r="FC264" s="391"/>
      <c r="FD264" s="391"/>
      <c r="FE264" s="391"/>
      <c r="FF264" s="391"/>
      <c r="FG264" s="391"/>
      <c r="FH264" s="391"/>
      <c r="FI264" s="391"/>
      <c r="FJ264" s="391"/>
      <c r="FK264" s="391"/>
      <c r="FL264" s="391"/>
      <c r="FM264" s="391"/>
      <c r="FN264" s="391"/>
      <c r="FO264" s="391"/>
      <c r="FP264" s="391"/>
      <c r="FQ264" s="391"/>
      <c r="FR264" s="391"/>
      <c r="FS264" s="391"/>
      <c r="FT264" s="391"/>
      <c r="FU264" s="391"/>
      <c r="FV264" s="391"/>
      <c r="FW264" s="391"/>
      <c r="FX264" s="391"/>
      <c r="FY264" s="391"/>
      <c r="FZ264" s="391"/>
      <c r="GA264" s="391"/>
      <c r="GB264" s="391"/>
      <c r="GC264" s="391"/>
      <c r="GD264" s="391"/>
      <c r="GE264" s="391"/>
      <c r="GF264" s="391"/>
      <c r="GG264" s="391"/>
      <c r="GH264" s="391"/>
      <c r="GI264" s="391"/>
      <c r="GJ264" s="391"/>
      <c r="GK264" s="391"/>
      <c r="GL264" s="391"/>
      <c r="GM264" s="391"/>
      <c r="GN264" s="391"/>
      <c r="GO264" s="391"/>
      <c r="GP264" s="391"/>
      <c r="GQ264" s="391"/>
      <c r="GR264" s="391"/>
      <c r="GS264" s="391"/>
      <c r="GT264" s="391"/>
      <c r="GU264" s="391"/>
      <c r="GV264" s="391"/>
      <c r="GW264" s="391"/>
      <c r="GX264" s="391"/>
      <c r="GY264" s="391"/>
      <c r="GZ264" s="391"/>
      <c r="HA264" s="391"/>
      <c r="HB264" s="391"/>
      <c r="HC264" s="391"/>
      <c r="HD264" s="391"/>
      <c r="HE264" s="391"/>
      <c r="HF264" s="391"/>
      <c r="HG264" s="391"/>
      <c r="HH264" s="391"/>
      <c r="HI264" s="391"/>
      <c r="HJ264" s="391"/>
      <c r="HK264" s="391"/>
      <c r="HL264" s="391"/>
      <c r="HM264" s="391"/>
      <c r="HN264" s="391"/>
      <c r="HO264" s="391"/>
      <c r="HP264" s="391"/>
      <c r="HQ264" s="391"/>
      <c r="HR264" s="391"/>
      <c r="HS264" s="391"/>
      <c r="HT264" s="391"/>
      <c r="HU264" s="391"/>
      <c r="HV264" s="391"/>
      <c r="HW264" s="391"/>
      <c r="HX264" s="391"/>
      <c r="HY264" s="391"/>
      <c r="HZ264" s="391"/>
      <c r="IA264" s="391"/>
      <c r="IB264" s="391"/>
      <c r="IC264" s="391"/>
      <c r="ID264" s="391"/>
      <c r="IE264" s="391"/>
      <c r="IF264" s="391"/>
      <c r="IG264" s="391"/>
      <c r="IH264" s="391"/>
      <c r="II264" s="391"/>
      <c r="IJ264" s="391"/>
      <c r="IK264" s="391"/>
      <c r="IL264" s="391"/>
      <c r="IM264" s="391"/>
      <c r="IN264" s="391"/>
      <c r="IO264" s="391"/>
      <c r="IP264" s="391"/>
      <c r="IQ264" s="391"/>
      <c r="IR264" s="391"/>
      <c r="IS264" s="391"/>
      <c r="IT264" s="391"/>
      <c r="IU264" s="391"/>
      <c r="IV264" s="391"/>
      <c r="IW264" s="391"/>
      <c r="IX264" s="391"/>
      <c r="IY264" s="391"/>
      <c r="IZ264" s="391"/>
      <c r="JA264" s="391"/>
      <c r="JB264" s="391"/>
      <c r="JC264" s="391"/>
      <c r="JD264" s="391"/>
      <c r="JE264" s="391"/>
      <c r="JF264" s="391"/>
      <c r="JG264" s="391"/>
      <c r="JH264" s="391"/>
      <c r="JI264" s="393">
        <f t="shared" si="9"/>
        <v>0</v>
      </c>
      <c r="JJ264" s="2"/>
      <c r="JK264" s="392">
        <f t="shared" si="10"/>
        <v>0</v>
      </c>
      <c r="JL264" s="391"/>
      <c r="JM264" s="392"/>
      <c r="JN264" s="392"/>
      <c r="JO264" s="392"/>
      <c r="JP264" s="392"/>
    </row>
    <row r="265" spans="1:276 1141:1141" x14ac:dyDescent="0.3">
      <c r="A265" s="391"/>
      <c r="B265" s="391"/>
      <c r="C265" s="391"/>
      <c r="D265" s="391"/>
      <c r="E265" s="391"/>
      <c r="F265" s="391"/>
      <c r="G265" s="391"/>
      <c r="H265" s="391"/>
      <c r="I265" s="391"/>
      <c r="J265" s="391"/>
      <c r="K265" s="391"/>
      <c r="L265" s="391"/>
      <c r="M265" s="391"/>
      <c r="N265" s="391"/>
      <c r="O265" s="391"/>
      <c r="P265" s="391"/>
      <c r="Q265" s="391"/>
      <c r="R265" s="391"/>
      <c r="S265" s="391"/>
      <c r="T265" s="391"/>
      <c r="U265" s="391"/>
      <c r="V265" s="391"/>
      <c r="W265" s="391"/>
      <c r="X265" s="391"/>
      <c r="Y265" s="391"/>
      <c r="Z265" s="391"/>
      <c r="AA265" s="391"/>
      <c r="AB265" s="391"/>
      <c r="AC265" s="391"/>
      <c r="AD265" s="391"/>
      <c r="AE265" s="391"/>
      <c r="AF265" s="391"/>
      <c r="AG265" s="391"/>
      <c r="AH265" s="391"/>
      <c r="AI265" s="391"/>
      <c r="AJ265" s="391"/>
      <c r="AK265" s="391"/>
      <c r="AL265" s="391"/>
      <c r="AM265" s="391"/>
      <c r="AN265" s="391"/>
      <c r="AO265" s="391"/>
      <c r="AP265" s="391"/>
      <c r="AQ265" s="391"/>
      <c r="AR265" s="391"/>
      <c r="AS265" s="391"/>
      <c r="AT265" s="391"/>
      <c r="AU265" s="391"/>
      <c r="AV265" s="391"/>
      <c r="AW265" s="391"/>
      <c r="AX265" s="391"/>
      <c r="AY265" s="391"/>
      <c r="AZ265" s="391"/>
      <c r="BA265" s="391"/>
      <c r="BB265" s="391"/>
      <c r="BC265" s="391"/>
      <c r="BD265" s="391"/>
      <c r="BE265" s="391"/>
      <c r="BF265" s="391"/>
      <c r="BG265" s="391"/>
      <c r="BH265" s="391"/>
      <c r="BI265" s="391"/>
      <c r="BJ265" s="391"/>
      <c r="BK265" s="391"/>
      <c r="BL265" s="391"/>
      <c r="BM265" s="391"/>
      <c r="BN265" s="391"/>
      <c r="BO265" s="391"/>
      <c r="BP265" s="391"/>
      <c r="BQ265" s="391"/>
      <c r="BR265" s="391"/>
      <c r="BS265" s="391"/>
      <c r="BT265" s="391"/>
      <c r="BU265" s="391"/>
      <c r="BV265" s="391"/>
      <c r="BW265" s="391"/>
      <c r="BX265" s="391"/>
      <c r="BY265" s="391"/>
      <c r="BZ265" s="391"/>
      <c r="CA265" s="391"/>
      <c r="CB265" s="391"/>
      <c r="CC265" s="391"/>
      <c r="CD265" s="391"/>
      <c r="CE265" s="391"/>
      <c r="CF265" s="391"/>
      <c r="CG265" s="391"/>
      <c r="CH265" s="391"/>
      <c r="CI265" s="391"/>
      <c r="CJ265" s="391"/>
      <c r="CK265" s="391"/>
      <c r="CL265" s="391"/>
      <c r="CM265" s="391"/>
      <c r="CN265" s="391"/>
      <c r="CO265" s="391"/>
      <c r="CP265" s="391"/>
      <c r="CQ265" s="391"/>
      <c r="CR265" s="391"/>
      <c r="CS265" s="391"/>
      <c r="CT265" s="391"/>
      <c r="CU265" s="391"/>
      <c r="CV265" s="391"/>
      <c r="CW265" s="391"/>
      <c r="CX265" s="391"/>
      <c r="CY265" s="391"/>
      <c r="CZ265" s="391"/>
      <c r="DA265" s="391"/>
      <c r="DB265" s="391"/>
      <c r="DC265" s="391"/>
      <c r="DD265" s="391"/>
      <c r="DE265" s="391"/>
      <c r="DF265" s="391"/>
      <c r="DG265" s="391"/>
      <c r="DH265" s="391"/>
      <c r="DI265" s="391"/>
      <c r="DJ265" s="391"/>
      <c r="DK265" s="391"/>
      <c r="DL265" s="391"/>
      <c r="DM265" s="391"/>
      <c r="DN265" s="391"/>
      <c r="DO265" s="391"/>
      <c r="DP265" s="391"/>
      <c r="DQ265" s="391"/>
      <c r="DR265" s="391"/>
      <c r="DS265" s="391"/>
      <c r="DT265" s="391"/>
      <c r="DU265" s="391"/>
      <c r="DV265" s="391"/>
      <c r="DW265" s="391"/>
      <c r="DX265" s="391"/>
      <c r="DY265" s="391"/>
      <c r="DZ265" s="391"/>
      <c r="EA265" s="391"/>
      <c r="EB265" s="391"/>
      <c r="EC265" s="391"/>
      <c r="ED265" s="391"/>
      <c r="EE265" s="391"/>
      <c r="EF265" s="391"/>
      <c r="EG265" s="391"/>
      <c r="EH265" s="391"/>
      <c r="EI265" s="391"/>
      <c r="EJ265" s="391"/>
      <c r="EK265" s="391"/>
      <c r="EL265" s="391"/>
      <c r="EM265" s="391"/>
      <c r="EN265" s="391"/>
      <c r="EO265" s="391"/>
      <c r="EP265" s="391"/>
      <c r="EQ265" s="391"/>
      <c r="ER265" s="391"/>
      <c r="ES265" s="391"/>
      <c r="ET265" s="391"/>
      <c r="EU265" s="391"/>
      <c r="EV265" s="391"/>
      <c r="EW265" s="391"/>
      <c r="EX265" s="391"/>
      <c r="EY265" s="391"/>
      <c r="EZ265" s="391"/>
      <c r="FA265" s="391"/>
      <c r="FB265" s="391"/>
      <c r="FC265" s="391"/>
      <c r="FD265" s="391"/>
      <c r="FE265" s="391"/>
      <c r="FF265" s="391"/>
      <c r="FG265" s="391"/>
      <c r="FH265" s="391"/>
      <c r="FI265" s="391"/>
      <c r="FJ265" s="391"/>
      <c r="FK265" s="391"/>
      <c r="FL265" s="391"/>
      <c r="FM265" s="391"/>
      <c r="FN265" s="391"/>
      <c r="FO265" s="391"/>
      <c r="FP265" s="391"/>
      <c r="FQ265" s="391"/>
      <c r="FR265" s="391"/>
      <c r="FS265" s="391"/>
      <c r="FT265" s="391"/>
      <c r="FU265" s="391"/>
      <c r="FV265" s="391"/>
      <c r="FW265" s="391"/>
      <c r="FX265" s="391"/>
      <c r="FY265" s="391"/>
      <c r="FZ265" s="391"/>
      <c r="GA265" s="391"/>
      <c r="GB265" s="391"/>
      <c r="GC265" s="391"/>
      <c r="GD265" s="391"/>
      <c r="GE265" s="391"/>
      <c r="GF265" s="391"/>
      <c r="GG265" s="391"/>
      <c r="GH265" s="391"/>
      <c r="GI265" s="391"/>
      <c r="GJ265" s="391"/>
      <c r="GK265" s="391"/>
      <c r="GL265" s="391"/>
      <c r="GM265" s="391"/>
      <c r="GN265" s="391"/>
      <c r="GO265" s="391"/>
      <c r="GP265" s="391"/>
      <c r="GQ265" s="391"/>
      <c r="GR265" s="391"/>
      <c r="GS265" s="391"/>
      <c r="GT265" s="391"/>
      <c r="GU265" s="391"/>
      <c r="GV265" s="391"/>
      <c r="GW265" s="391"/>
      <c r="GX265" s="391"/>
      <c r="GY265" s="391"/>
      <c r="GZ265" s="391"/>
      <c r="HA265" s="391"/>
      <c r="HB265" s="391"/>
      <c r="HC265" s="391"/>
      <c r="HD265" s="391"/>
      <c r="HE265" s="391"/>
      <c r="HF265" s="391"/>
      <c r="HG265" s="391"/>
      <c r="HH265" s="391"/>
      <c r="HI265" s="391"/>
      <c r="HJ265" s="391"/>
      <c r="HK265" s="391"/>
      <c r="HL265" s="391"/>
      <c r="HM265" s="391"/>
      <c r="HN265" s="391"/>
      <c r="HO265" s="391"/>
      <c r="HP265" s="391"/>
      <c r="HQ265" s="391"/>
      <c r="HR265" s="391"/>
      <c r="HS265" s="391"/>
      <c r="HT265" s="391"/>
      <c r="HU265" s="391"/>
      <c r="HV265" s="391"/>
      <c r="HW265" s="391"/>
      <c r="HX265" s="391"/>
      <c r="HY265" s="391"/>
      <c r="HZ265" s="391"/>
      <c r="IA265" s="391"/>
      <c r="IB265" s="391"/>
      <c r="IC265" s="391"/>
      <c r="ID265" s="391"/>
      <c r="IE265" s="391"/>
      <c r="IF265" s="391"/>
      <c r="IG265" s="391"/>
      <c r="IH265" s="391"/>
      <c r="II265" s="391"/>
      <c r="IJ265" s="391"/>
      <c r="IK265" s="391"/>
      <c r="IL265" s="391"/>
      <c r="IM265" s="391"/>
      <c r="IN265" s="391"/>
      <c r="IO265" s="391"/>
      <c r="IP265" s="391"/>
      <c r="IQ265" s="391"/>
      <c r="IR265" s="391"/>
      <c r="IS265" s="391"/>
      <c r="IT265" s="391"/>
      <c r="IU265" s="391"/>
      <c r="IV265" s="391"/>
      <c r="IW265" s="391"/>
      <c r="IX265" s="391"/>
      <c r="IY265" s="391"/>
      <c r="IZ265" s="391"/>
      <c r="JA265" s="391"/>
      <c r="JB265" s="391"/>
      <c r="JC265" s="391"/>
      <c r="JD265" s="391"/>
      <c r="JE265" s="391"/>
      <c r="JF265" s="391"/>
      <c r="JG265" s="391"/>
      <c r="JH265" s="391"/>
      <c r="JI265" s="393">
        <f t="shared" si="9"/>
        <v>0</v>
      </c>
      <c r="JJ265" s="2"/>
      <c r="JK265" s="392">
        <f t="shared" si="10"/>
        <v>0</v>
      </c>
      <c r="JL265" s="391"/>
      <c r="JM265" s="392"/>
      <c r="JN265" s="392"/>
      <c r="JO265" s="392"/>
      <c r="JP265" s="392"/>
    </row>
    <row r="266" spans="1:276 1141:1141" x14ac:dyDescent="0.3">
      <c r="A266" s="391"/>
      <c r="B266" s="391"/>
      <c r="C266" s="391"/>
      <c r="D266" s="391"/>
      <c r="E266" s="391"/>
      <c r="F266" s="391"/>
      <c r="G266" s="391"/>
      <c r="H266" s="391"/>
      <c r="I266" s="391"/>
      <c r="J266" s="391"/>
      <c r="K266" s="391"/>
      <c r="L266" s="391"/>
      <c r="M266" s="391"/>
      <c r="N266" s="391"/>
      <c r="O266" s="391"/>
      <c r="P266" s="391"/>
      <c r="Q266" s="391"/>
      <c r="R266" s="391"/>
      <c r="S266" s="391"/>
      <c r="T266" s="391"/>
      <c r="U266" s="391"/>
      <c r="V266" s="391"/>
      <c r="W266" s="391"/>
      <c r="X266" s="391"/>
      <c r="Y266" s="391"/>
      <c r="Z266" s="391"/>
      <c r="AA266" s="391"/>
      <c r="AB266" s="391"/>
      <c r="AC266" s="391"/>
      <c r="AD266" s="391"/>
      <c r="AE266" s="391"/>
      <c r="AF266" s="391"/>
      <c r="AG266" s="391"/>
      <c r="AH266" s="391"/>
      <c r="AI266" s="391"/>
      <c r="AJ266" s="391"/>
      <c r="AK266" s="391"/>
      <c r="AL266" s="391"/>
      <c r="AM266" s="391"/>
      <c r="AN266" s="391"/>
      <c r="AO266" s="391"/>
      <c r="AP266" s="391"/>
      <c r="AQ266" s="391"/>
      <c r="AR266" s="391"/>
      <c r="AS266" s="391"/>
      <c r="AT266" s="391"/>
      <c r="AU266" s="391"/>
      <c r="AV266" s="391"/>
      <c r="AW266" s="391"/>
      <c r="AX266" s="391"/>
      <c r="AY266" s="391"/>
      <c r="AZ266" s="391"/>
      <c r="BA266" s="391"/>
      <c r="BB266" s="391"/>
      <c r="BC266" s="391"/>
      <c r="BD266" s="391"/>
      <c r="BE266" s="391"/>
      <c r="BF266" s="391"/>
      <c r="BG266" s="391"/>
      <c r="BH266" s="391"/>
      <c r="BI266" s="391"/>
      <c r="BJ266" s="391"/>
      <c r="BK266" s="391"/>
      <c r="BL266" s="391"/>
      <c r="BM266" s="391"/>
      <c r="BN266" s="391"/>
      <c r="BO266" s="391"/>
      <c r="BP266" s="391"/>
      <c r="BQ266" s="391"/>
      <c r="BR266" s="391"/>
      <c r="BS266" s="391"/>
      <c r="BT266" s="391"/>
      <c r="BU266" s="391"/>
      <c r="BV266" s="391"/>
      <c r="BW266" s="391"/>
      <c r="BX266" s="391"/>
      <c r="BY266" s="391"/>
      <c r="BZ266" s="391"/>
      <c r="CA266" s="391"/>
      <c r="CB266" s="391"/>
      <c r="CC266" s="391"/>
      <c r="CD266" s="391"/>
      <c r="CE266" s="391"/>
      <c r="CF266" s="391"/>
      <c r="CG266" s="391"/>
      <c r="CH266" s="391"/>
      <c r="CI266" s="391"/>
      <c r="CJ266" s="391"/>
      <c r="CK266" s="391"/>
      <c r="CL266" s="391"/>
      <c r="CM266" s="391"/>
      <c r="CN266" s="391"/>
      <c r="CO266" s="391"/>
      <c r="CP266" s="391"/>
      <c r="CQ266" s="391"/>
      <c r="CR266" s="391"/>
      <c r="CS266" s="391"/>
      <c r="CT266" s="391"/>
      <c r="CU266" s="391"/>
      <c r="CV266" s="391"/>
      <c r="CW266" s="391"/>
      <c r="CX266" s="391"/>
      <c r="CY266" s="391"/>
      <c r="CZ266" s="391"/>
      <c r="DA266" s="391"/>
      <c r="DB266" s="391"/>
      <c r="DC266" s="391"/>
      <c r="DD266" s="391"/>
      <c r="DE266" s="391"/>
      <c r="DF266" s="391"/>
      <c r="DG266" s="391"/>
      <c r="DH266" s="391"/>
      <c r="DI266" s="391"/>
      <c r="DJ266" s="391"/>
      <c r="DK266" s="391"/>
      <c r="DL266" s="391"/>
      <c r="DM266" s="391"/>
      <c r="DN266" s="391"/>
      <c r="DO266" s="391"/>
      <c r="DP266" s="391"/>
      <c r="DQ266" s="391"/>
      <c r="DR266" s="391"/>
      <c r="DS266" s="391"/>
      <c r="DT266" s="391"/>
      <c r="DU266" s="391"/>
      <c r="DV266" s="391"/>
      <c r="DW266" s="391"/>
      <c r="DX266" s="391"/>
      <c r="DY266" s="391"/>
      <c r="DZ266" s="391"/>
      <c r="EA266" s="391"/>
      <c r="EB266" s="391"/>
      <c r="EC266" s="391"/>
      <c r="ED266" s="391"/>
      <c r="EE266" s="391"/>
      <c r="EF266" s="391"/>
      <c r="EG266" s="391"/>
      <c r="EH266" s="391"/>
      <c r="EI266" s="391"/>
      <c r="EJ266" s="391"/>
      <c r="EK266" s="391"/>
      <c r="EL266" s="391"/>
      <c r="EM266" s="391"/>
      <c r="EN266" s="391"/>
      <c r="EO266" s="391"/>
      <c r="EP266" s="391"/>
      <c r="EQ266" s="391"/>
      <c r="ER266" s="391"/>
      <c r="ES266" s="391"/>
      <c r="ET266" s="391"/>
      <c r="EU266" s="391"/>
      <c r="EV266" s="391"/>
      <c r="EW266" s="391"/>
      <c r="EX266" s="391"/>
      <c r="EY266" s="391"/>
      <c r="EZ266" s="391"/>
      <c r="FA266" s="391"/>
      <c r="FB266" s="391"/>
      <c r="FC266" s="391"/>
      <c r="FD266" s="391"/>
      <c r="FE266" s="391"/>
      <c r="FF266" s="391"/>
      <c r="FG266" s="391"/>
      <c r="FH266" s="391"/>
      <c r="FI266" s="391"/>
      <c r="FJ266" s="391"/>
      <c r="FK266" s="391"/>
      <c r="FL266" s="391"/>
      <c r="FM266" s="391"/>
      <c r="FN266" s="391"/>
      <c r="FO266" s="391"/>
      <c r="FP266" s="391"/>
      <c r="FQ266" s="391"/>
      <c r="FR266" s="391"/>
      <c r="FS266" s="391"/>
      <c r="FT266" s="391"/>
      <c r="FU266" s="391"/>
      <c r="FV266" s="391"/>
      <c r="FW266" s="391"/>
      <c r="FX266" s="391"/>
      <c r="FY266" s="391"/>
      <c r="FZ266" s="391"/>
      <c r="GA266" s="391"/>
      <c r="GB266" s="391"/>
      <c r="GC266" s="391"/>
      <c r="GD266" s="391"/>
      <c r="GE266" s="391"/>
      <c r="GF266" s="391"/>
      <c r="GG266" s="391"/>
      <c r="GH266" s="391"/>
      <c r="GI266" s="391"/>
      <c r="GJ266" s="391"/>
      <c r="GK266" s="391"/>
      <c r="GL266" s="391"/>
      <c r="GM266" s="391"/>
      <c r="GN266" s="391"/>
      <c r="GO266" s="391"/>
      <c r="GP266" s="391"/>
      <c r="GQ266" s="391"/>
      <c r="GR266" s="391"/>
      <c r="GS266" s="391"/>
      <c r="GT266" s="391"/>
      <c r="GU266" s="391"/>
      <c r="GV266" s="391"/>
      <c r="GW266" s="391"/>
      <c r="GX266" s="391"/>
      <c r="GY266" s="391"/>
      <c r="GZ266" s="391"/>
      <c r="HA266" s="391"/>
      <c r="HB266" s="391"/>
      <c r="HC266" s="391"/>
      <c r="HD266" s="391"/>
      <c r="HE266" s="391"/>
      <c r="HF266" s="391"/>
      <c r="HG266" s="391"/>
      <c r="HH266" s="391"/>
      <c r="HI266" s="391"/>
      <c r="HJ266" s="391"/>
      <c r="HK266" s="391"/>
      <c r="HL266" s="391"/>
      <c r="HM266" s="391"/>
      <c r="HN266" s="391"/>
      <c r="HO266" s="391"/>
      <c r="HP266" s="391"/>
      <c r="HQ266" s="391"/>
      <c r="HR266" s="391"/>
      <c r="HS266" s="391"/>
      <c r="HT266" s="391"/>
      <c r="HU266" s="391"/>
      <c r="HV266" s="391"/>
      <c r="HW266" s="391"/>
      <c r="HX266" s="391"/>
      <c r="HY266" s="391"/>
      <c r="HZ266" s="391"/>
      <c r="IA266" s="391"/>
      <c r="IB266" s="391"/>
      <c r="IC266" s="391"/>
      <c r="ID266" s="391"/>
      <c r="IE266" s="391"/>
      <c r="IF266" s="391"/>
      <c r="IG266" s="391"/>
      <c r="IH266" s="391"/>
      <c r="II266" s="391"/>
      <c r="IJ266" s="391"/>
      <c r="IK266" s="391"/>
      <c r="IL266" s="391"/>
      <c r="IM266" s="391"/>
      <c r="IN266" s="391"/>
      <c r="IO266" s="391"/>
      <c r="IP266" s="391"/>
      <c r="IQ266" s="391"/>
      <c r="IR266" s="391"/>
      <c r="IS266" s="391"/>
      <c r="IT266" s="391"/>
      <c r="IU266" s="391"/>
      <c r="IV266" s="391"/>
      <c r="IW266" s="391"/>
      <c r="IX266" s="391"/>
      <c r="IY266" s="391"/>
      <c r="IZ266" s="391"/>
      <c r="JA266" s="391"/>
      <c r="JB266" s="391"/>
      <c r="JC266" s="391"/>
      <c r="JD266" s="391"/>
      <c r="JE266" s="391"/>
      <c r="JF266" s="391"/>
      <c r="JG266" s="391"/>
      <c r="JH266" s="391"/>
      <c r="JI266" s="393">
        <f t="shared" si="9"/>
        <v>0</v>
      </c>
      <c r="JJ266" s="2"/>
      <c r="JK266" s="392">
        <f t="shared" si="10"/>
        <v>0</v>
      </c>
      <c r="JL266" s="391"/>
      <c r="JM266" s="392"/>
      <c r="JN266" s="392"/>
      <c r="JO266" s="392"/>
      <c r="JP266" s="392"/>
    </row>
    <row r="267" spans="1:276 1141:1141" x14ac:dyDescent="0.3">
      <c r="A267" s="391"/>
      <c r="B267" s="391"/>
      <c r="C267" s="391"/>
      <c r="D267" s="391"/>
      <c r="E267" s="391"/>
      <c r="F267" s="391"/>
      <c r="G267" s="391"/>
      <c r="H267" s="391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  <c r="T267" s="391"/>
      <c r="U267" s="391"/>
      <c r="V267" s="391"/>
      <c r="W267" s="391"/>
      <c r="X267" s="391"/>
      <c r="Y267" s="391"/>
      <c r="Z267" s="391"/>
      <c r="AA267" s="391"/>
      <c r="AB267" s="391"/>
      <c r="AC267" s="391"/>
      <c r="AD267" s="391"/>
      <c r="AE267" s="391"/>
      <c r="AF267" s="391"/>
      <c r="AG267" s="391"/>
      <c r="AH267" s="391"/>
      <c r="AI267" s="391"/>
      <c r="AJ267" s="391"/>
      <c r="AK267" s="391"/>
      <c r="AL267" s="391"/>
      <c r="AM267" s="391"/>
      <c r="AN267" s="391"/>
      <c r="AO267" s="391"/>
      <c r="AP267" s="391"/>
      <c r="AQ267" s="391"/>
      <c r="AR267" s="391"/>
      <c r="AS267" s="391"/>
      <c r="AT267" s="391"/>
      <c r="AU267" s="391"/>
      <c r="AV267" s="391"/>
      <c r="AW267" s="391"/>
      <c r="AX267" s="391"/>
      <c r="AY267" s="391"/>
      <c r="AZ267" s="391"/>
      <c r="BA267" s="391"/>
      <c r="BB267" s="391"/>
      <c r="BC267" s="391"/>
      <c r="BD267" s="391"/>
      <c r="BE267" s="391"/>
      <c r="BF267" s="391"/>
      <c r="BG267" s="391"/>
      <c r="BH267" s="391"/>
      <c r="BI267" s="391"/>
      <c r="BJ267" s="391"/>
      <c r="BK267" s="391"/>
      <c r="BL267" s="391"/>
      <c r="BM267" s="391"/>
      <c r="BN267" s="391"/>
      <c r="BO267" s="391"/>
      <c r="BP267" s="391"/>
      <c r="BQ267" s="391"/>
      <c r="BR267" s="391"/>
      <c r="BS267" s="391"/>
      <c r="BT267" s="391"/>
      <c r="BU267" s="391"/>
      <c r="BV267" s="391"/>
      <c r="BW267" s="391"/>
      <c r="BX267" s="391"/>
      <c r="BY267" s="391"/>
      <c r="BZ267" s="391"/>
      <c r="CA267" s="391"/>
      <c r="CB267" s="391"/>
      <c r="CC267" s="391"/>
      <c r="CD267" s="391"/>
      <c r="CE267" s="391"/>
      <c r="CF267" s="391"/>
      <c r="CG267" s="391"/>
      <c r="CH267" s="391"/>
      <c r="CI267" s="391"/>
      <c r="CJ267" s="391"/>
      <c r="CK267" s="391"/>
      <c r="CL267" s="391"/>
      <c r="CM267" s="391"/>
      <c r="CN267" s="391"/>
      <c r="CO267" s="391"/>
      <c r="CP267" s="391"/>
      <c r="CQ267" s="391"/>
      <c r="CR267" s="391"/>
      <c r="CS267" s="391"/>
      <c r="CT267" s="391"/>
      <c r="CU267" s="391"/>
      <c r="CV267" s="391"/>
      <c r="CW267" s="391"/>
      <c r="CX267" s="391"/>
      <c r="CY267" s="391"/>
      <c r="CZ267" s="391"/>
      <c r="DA267" s="391"/>
      <c r="DB267" s="391"/>
      <c r="DC267" s="391"/>
      <c r="DD267" s="391"/>
      <c r="DE267" s="391"/>
      <c r="DF267" s="391"/>
      <c r="DG267" s="391"/>
      <c r="DH267" s="391"/>
      <c r="DI267" s="391"/>
      <c r="DJ267" s="391"/>
      <c r="DK267" s="391"/>
      <c r="DL267" s="391"/>
      <c r="DM267" s="391"/>
      <c r="DN267" s="391"/>
      <c r="DO267" s="391"/>
      <c r="DP267" s="391"/>
      <c r="DQ267" s="391"/>
      <c r="DR267" s="391"/>
      <c r="DS267" s="391"/>
      <c r="DT267" s="391"/>
      <c r="DU267" s="391"/>
      <c r="DV267" s="391"/>
      <c r="DW267" s="391"/>
      <c r="DX267" s="391"/>
      <c r="DY267" s="391"/>
      <c r="DZ267" s="391"/>
      <c r="EA267" s="391"/>
      <c r="EB267" s="391"/>
      <c r="EC267" s="391"/>
      <c r="ED267" s="391"/>
      <c r="EE267" s="391"/>
      <c r="EF267" s="391"/>
      <c r="EG267" s="391"/>
      <c r="EH267" s="391"/>
      <c r="EI267" s="391"/>
      <c r="EJ267" s="391"/>
      <c r="EK267" s="391"/>
      <c r="EL267" s="391"/>
      <c r="EM267" s="391"/>
      <c r="EN267" s="391"/>
      <c r="EO267" s="391"/>
      <c r="EP267" s="391"/>
      <c r="EQ267" s="391"/>
      <c r="ER267" s="391"/>
      <c r="ES267" s="391"/>
      <c r="ET267" s="391"/>
      <c r="EU267" s="391"/>
      <c r="EV267" s="391"/>
      <c r="EW267" s="391"/>
      <c r="EX267" s="391"/>
      <c r="EY267" s="391"/>
      <c r="EZ267" s="391"/>
      <c r="FA267" s="391"/>
      <c r="FB267" s="391"/>
      <c r="FC267" s="391"/>
      <c r="FD267" s="391"/>
      <c r="FE267" s="391"/>
      <c r="FF267" s="391"/>
      <c r="FG267" s="391"/>
      <c r="FH267" s="391"/>
      <c r="FI267" s="391"/>
      <c r="FJ267" s="391"/>
      <c r="FK267" s="391"/>
      <c r="FL267" s="391"/>
      <c r="FM267" s="391"/>
      <c r="FN267" s="391"/>
      <c r="FO267" s="391"/>
      <c r="FP267" s="391"/>
      <c r="FQ267" s="391"/>
      <c r="FR267" s="391"/>
      <c r="FS267" s="391"/>
      <c r="FT267" s="391"/>
      <c r="FU267" s="391"/>
      <c r="FV267" s="391"/>
      <c r="FW267" s="391"/>
      <c r="FX267" s="391"/>
      <c r="FY267" s="391"/>
      <c r="FZ267" s="391"/>
      <c r="GA267" s="391"/>
      <c r="GB267" s="391"/>
      <c r="GC267" s="391"/>
      <c r="GD267" s="391"/>
      <c r="GE267" s="391"/>
      <c r="GF267" s="391"/>
      <c r="GG267" s="391"/>
      <c r="GH267" s="391"/>
      <c r="GI267" s="391"/>
      <c r="GJ267" s="391"/>
      <c r="GK267" s="391"/>
      <c r="GL267" s="391"/>
      <c r="GM267" s="391"/>
      <c r="GN267" s="391"/>
      <c r="GO267" s="391"/>
      <c r="GP267" s="391"/>
      <c r="GQ267" s="391"/>
      <c r="GR267" s="391"/>
      <c r="GS267" s="391"/>
      <c r="GT267" s="391"/>
      <c r="GU267" s="391"/>
      <c r="GV267" s="391"/>
      <c r="GW267" s="391"/>
      <c r="GX267" s="391"/>
      <c r="GY267" s="391"/>
      <c r="GZ267" s="391"/>
      <c r="HA267" s="391"/>
      <c r="HB267" s="391"/>
      <c r="HC267" s="391"/>
      <c r="HD267" s="391"/>
      <c r="HE267" s="391"/>
      <c r="HF267" s="391"/>
      <c r="HG267" s="391"/>
      <c r="HH267" s="391"/>
      <c r="HI267" s="391"/>
      <c r="HJ267" s="391"/>
      <c r="HK267" s="391"/>
      <c r="HL267" s="391"/>
      <c r="HM267" s="391"/>
      <c r="HN267" s="391"/>
      <c r="HO267" s="391"/>
      <c r="HP267" s="391"/>
      <c r="HQ267" s="391"/>
      <c r="HR267" s="391"/>
      <c r="HS267" s="391"/>
      <c r="HT267" s="391"/>
      <c r="HU267" s="391"/>
      <c r="HV267" s="391"/>
      <c r="HW267" s="391"/>
      <c r="HX267" s="391"/>
      <c r="HY267" s="391"/>
      <c r="HZ267" s="391"/>
      <c r="IA267" s="391"/>
      <c r="IB267" s="391"/>
      <c r="IC267" s="391"/>
      <c r="ID267" s="391"/>
      <c r="IE267" s="391"/>
      <c r="IF267" s="391"/>
      <c r="IG267" s="391"/>
      <c r="IH267" s="391"/>
      <c r="II267" s="391"/>
      <c r="IJ267" s="391"/>
      <c r="IK267" s="391"/>
      <c r="IL267" s="391"/>
      <c r="IM267" s="391"/>
      <c r="IN267" s="391"/>
      <c r="IO267" s="391"/>
      <c r="IP267" s="391"/>
      <c r="IQ267" s="391"/>
      <c r="IR267" s="391"/>
      <c r="IS267" s="391"/>
      <c r="IT267" s="391"/>
      <c r="IU267" s="391"/>
      <c r="IV267" s="391"/>
      <c r="IW267" s="391"/>
      <c r="IX267" s="391"/>
      <c r="IY267" s="391"/>
      <c r="IZ267" s="391"/>
      <c r="JA267" s="391"/>
      <c r="JB267" s="391"/>
      <c r="JC267" s="391"/>
      <c r="JD267" s="391"/>
      <c r="JE267" s="391"/>
      <c r="JF267" s="391"/>
      <c r="JG267" s="391"/>
      <c r="JH267" s="391"/>
      <c r="JI267" s="393"/>
      <c r="JJ267" s="2"/>
      <c r="JK267" s="391"/>
      <c r="JL267" s="391"/>
      <c r="JM267" s="392"/>
      <c r="JN267" s="392"/>
      <c r="JO267" s="392"/>
      <c r="JP267" s="392"/>
    </row>
    <row r="268" spans="1:276 1141:1141" x14ac:dyDescent="0.3">
      <c r="A268" s="391"/>
      <c r="B268" s="391"/>
      <c r="C268" s="391"/>
      <c r="D268" s="391"/>
      <c r="E268" s="391"/>
      <c r="F268" s="391"/>
      <c r="G268" s="391"/>
      <c r="H268" s="391"/>
      <c r="I268" s="391"/>
      <c r="J268" s="391"/>
      <c r="K268" s="391"/>
      <c r="L268" s="391"/>
      <c r="M268" s="391"/>
      <c r="N268" s="391"/>
      <c r="O268" s="391"/>
      <c r="P268" s="391"/>
      <c r="Q268" s="391"/>
      <c r="R268" s="391"/>
      <c r="S268" s="391"/>
      <c r="T268" s="391"/>
      <c r="U268" s="391"/>
      <c r="V268" s="391"/>
      <c r="W268" s="391"/>
      <c r="X268" s="391"/>
      <c r="Y268" s="391"/>
      <c r="Z268" s="391"/>
      <c r="AA268" s="391"/>
      <c r="AB268" s="391"/>
      <c r="AC268" s="391"/>
      <c r="AD268" s="391"/>
      <c r="AE268" s="391"/>
      <c r="AF268" s="391"/>
      <c r="AG268" s="391"/>
      <c r="AH268" s="391"/>
      <c r="AI268" s="391"/>
      <c r="AJ268" s="391"/>
      <c r="AK268" s="391"/>
      <c r="AL268" s="391"/>
      <c r="AM268" s="391"/>
      <c r="AN268" s="391"/>
      <c r="AO268" s="391"/>
      <c r="AP268" s="391"/>
      <c r="AQ268" s="391"/>
      <c r="AR268" s="391"/>
      <c r="AS268" s="391"/>
      <c r="AT268" s="391"/>
      <c r="AU268" s="391"/>
      <c r="AV268" s="391"/>
      <c r="AW268" s="391"/>
      <c r="AX268" s="391"/>
      <c r="AY268" s="391"/>
      <c r="AZ268" s="391"/>
      <c r="BA268" s="391"/>
      <c r="BB268" s="391"/>
      <c r="BC268" s="391"/>
      <c r="BD268" s="391"/>
      <c r="BE268" s="391"/>
      <c r="BF268" s="391"/>
      <c r="BG268" s="391"/>
      <c r="BH268" s="391"/>
      <c r="BI268" s="391"/>
      <c r="BJ268" s="391"/>
      <c r="BK268" s="391"/>
      <c r="BL268" s="391"/>
      <c r="BM268" s="391"/>
      <c r="BN268" s="391"/>
      <c r="BO268" s="391"/>
      <c r="BP268" s="391"/>
      <c r="BQ268" s="391"/>
      <c r="BR268" s="391"/>
      <c r="BS268" s="391"/>
      <c r="BT268" s="391"/>
      <c r="BU268" s="391"/>
      <c r="BV268" s="391"/>
      <c r="BW268" s="391"/>
      <c r="BX268" s="391"/>
      <c r="BY268" s="391"/>
      <c r="BZ268" s="391"/>
      <c r="CA268" s="391"/>
      <c r="CB268" s="391"/>
      <c r="CC268" s="391"/>
      <c r="CD268" s="391"/>
      <c r="CE268" s="391"/>
      <c r="CF268" s="391"/>
      <c r="CG268" s="391"/>
      <c r="CH268" s="391"/>
      <c r="CI268" s="391"/>
      <c r="CJ268" s="391"/>
      <c r="CK268" s="391"/>
      <c r="CL268" s="391"/>
      <c r="CM268" s="391"/>
      <c r="CN268" s="391"/>
      <c r="CO268" s="391"/>
      <c r="CP268" s="391"/>
      <c r="CQ268" s="391"/>
      <c r="CR268" s="391"/>
      <c r="CS268" s="391"/>
      <c r="CT268" s="391"/>
      <c r="CU268" s="391"/>
      <c r="CV268" s="391"/>
      <c r="CW268" s="391"/>
      <c r="CX268" s="391"/>
      <c r="CY268" s="391"/>
      <c r="CZ268" s="391"/>
      <c r="DA268" s="391"/>
      <c r="DB268" s="391"/>
      <c r="DC268" s="391"/>
      <c r="DD268" s="391"/>
      <c r="DE268" s="391"/>
      <c r="DF268" s="391"/>
      <c r="DG268" s="391"/>
      <c r="DH268" s="391"/>
      <c r="DI268" s="391"/>
      <c r="DJ268" s="391"/>
      <c r="DK268" s="391"/>
      <c r="DL268" s="391"/>
      <c r="DM268" s="391"/>
      <c r="DN268" s="391"/>
      <c r="DO268" s="391"/>
      <c r="DP268" s="391"/>
      <c r="DQ268" s="391"/>
      <c r="DR268" s="391"/>
      <c r="DS268" s="391"/>
      <c r="DT268" s="391"/>
      <c r="DU268" s="391"/>
      <c r="DV268" s="391"/>
      <c r="DW268" s="391"/>
      <c r="DX268" s="391"/>
      <c r="DY268" s="391"/>
      <c r="DZ268" s="391"/>
      <c r="EA268" s="391"/>
      <c r="EB268" s="391"/>
      <c r="EC268" s="391"/>
      <c r="ED268" s="391"/>
      <c r="EE268" s="391"/>
      <c r="EF268" s="391"/>
      <c r="EG268" s="391"/>
      <c r="EH268" s="391"/>
      <c r="EI268" s="391"/>
      <c r="EJ268" s="391"/>
      <c r="EK268" s="391"/>
      <c r="EL268" s="391"/>
      <c r="EM268" s="391"/>
      <c r="EN268" s="391"/>
      <c r="EO268" s="391"/>
      <c r="EP268" s="391"/>
      <c r="EQ268" s="391"/>
      <c r="ER268" s="391"/>
      <c r="ES268" s="391"/>
      <c r="ET268" s="391"/>
      <c r="EU268" s="391"/>
      <c r="EV268" s="391"/>
      <c r="EW268" s="391"/>
      <c r="EX268" s="391"/>
      <c r="EY268" s="391"/>
      <c r="EZ268" s="391"/>
      <c r="FA268" s="391"/>
      <c r="FB268" s="391"/>
      <c r="FC268" s="391"/>
      <c r="FD268" s="391"/>
      <c r="FE268" s="391"/>
      <c r="FF268" s="391"/>
      <c r="FG268" s="391"/>
      <c r="FH268" s="391"/>
      <c r="FI268" s="391"/>
      <c r="FJ268" s="391"/>
      <c r="FK268" s="391"/>
      <c r="FL268" s="391"/>
      <c r="FM268" s="391"/>
      <c r="FN268" s="391"/>
      <c r="FO268" s="391"/>
      <c r="FP268" s="391"/>
      <c r="FQ268" s="391"/>
      <c r="FR268" s="391"/>
      <c r="FS268" s="391"/>
      <c r="FT268" s="391"/>
      <c r="FU268" s="391"/>
      <c r="FV268" s="391"/>
      <c r="FW268" s="391"/>
      <c r="FX268" s="391"/>
      <c r="FY268" s="391"/>
      <c r="FZ268" s="391"/>
      <c r="GA268" s="391"/>
      <c r="GB268" s="391"/>
      <c r="GC268" s="391"/>
      <c r="GD268" s="391"/>
      <c r="GE268" s="391"/>
      <c r="GF268" s="391"/>
      <c r="GG268" s="391"/>
      <c r="GH268" s="391"/>
      <c r="GI268" s="391"/>
      <c r="GJ268" s="391"/>
      <c r="GK268" s="391"/>
      <c r="GL268" s="391"/>
      <c r="GM268" s="391"/>
      <c r="GN268" s="391"/>
      <c r="GO268" s="391"/>
      <c r="GP268" s="391"/>
      <c r="GQ268" s="391"/>
      <c r="GR268" s="391"/>
      <c r="GS268" s="391"/>
      <c r="GT268" s="391"/>
      <c r="GU268" s="391"/>
      <c r="GV268" s="391"/>
      <c r="GW268" s="391"/>
      <c r="GX268" s="391"/>
      <c r="GY268" s="391"/>
      <c r="GZ268" s="391"/>
      <c r="HA268" s="391"/>
      <c r="HB268" s="391"/>
      <c r="HC268" s="391"/>
      <c r="HD268" s="391"/>
      <c r="HE268" s="391"/>
      <c r="HF268" s="391"/>
      <c r="HG268" s="391"/>
      <c r="HH268" s="391"/>
      <c r="HI268" s="391"/>
      <c r="HJ268" s="391"/>
      <c r="HK268" s="391"/>
      <c r="HL268" s="391"/>
      <c r="HM268" s="391"/>
      <c r="HN268" s="391"/>
      <c r="HO268" s="391"/>
      <c r="HP268" s="391"/>
      <c r="HQ268" s="391"/>
      <c r="HR268" s="391"/>
      <c r="HS268" s="391"/>
      <c r="HT268" s="391"/>
      <c r="HU268" s="391"/>
      <c r="HV268" s="391"/>
      <c r="HW268" s="391"/>
      <c r="HX268" s="391"/>
      <c r="HY268" s="391"/>
      <c r="HZ268" s="391"/>
      <c r="IA268" s="391"/>
      <c r="IB268" s="391"/>
      <c r="IC268" s="391"/>
      <c r="ID268" s="391"/>
      <c r="IE268" s="391"/>
      <c r="IF268" s="391"/>
      <c r="IG268" s="391"/>
      <c r="IH268" s="391"/>
      <c r="II268" s="391"/>
      <c r="IJ268" s="391"/>
      <c r="IK268" s="391"/>
      <c r="IL268" s="391"/>
      <c r="IM268" s="391"/>
      <c r="IN268" s="391"/>
      <c r="IO268" s="391"/>
      <c r="IP268" s="391"/>
      <c r="IQ268" s="391"/>
      <c r="IR268" s="391"/>
      <c r="IS268" s="391"/>
      <c r="IT268" s="391"/>
      <c r="IU268" s="391"/>
      <c r="IV268" s="391"/>
      <c r="IW268" s="391"/>
      <c r="IX268" s="391"/>
      <c r="IY268" s="391"/>
      <c r="IZ268" s="391"/>
      <c r="JA268" s="391"/>
      <c r="JB268" s="391"/>
      <c r="JC268" s="391"/>
      <c r="JD268" s="391"/>
      <c r="JE268" s="391"/>
      <c r="JF268" s="391"/>
      <c r="JG268" s="391"/>
      <c r="JH268" s="391"/>
      <c r="JI268" s="393"/>
      <c r="JJ268" s="2"/>
      <c r="JK268" s="391"/>
      <c r="JL268" s="391"/>
      <c r="JM268" s="392"/>
      <c r="JN268" s="392"/>
      <c r="JO268" s="392"/>
      <c r="JP268" s="392"/>
    </row>
    <row r="269" spans="1:276 1141:1141" x14ac:dyDescent="0.3">
      <c r="A269" s="391"/>
      <c r="B269" s="391"/>
      <c r="C269" s="391"/>
      <c r="D269" s="391"/>
      <c r="E269" s="391"/>
      <c r="F269" s="391"/>
      <c r="G269" s="391"/>
      <c r="H269" s="391"/>
      <c r="I269" s="391"/>
      <c r="J269" s="391"/>
      <c r="K269" s="391"/>
      <c r="L269" s="391"/>
      <c r="M269" s="391"/>
      <c r="N269" s="391"/>
      <c r="O269" s="391"/>
      <c r="P269" s="391"/>
      <c r="Q269" s="391"/>
      <c r="R269" s="391"/>
      <c r="S269" s="391"/>
      <c r="T269" s="391"/>
      <c r="U269" s="391"/>
      <c r="V269" s="391"/>
      <c r="W269" s="391"/>
      <c r="X269" s="391"/>
      <c r="Y269" s="391"/>
      <c r="Z269" s="391"/>
      <c r="AA269" s="391"/>
      <c r="AB269" s="391"/>
      <c r="AC269" s="391"/>
      <c r="AD269" s="391"/>
      <c r="AE269" s="391"/>
      <c r="AF269" s="391"/>
      <c r="AG269" s="391"/>
      <c r="AH269" s="391"/>
      <c r="AI269" s="391"/>
      <c r="AJ269" s="391"/>
      <c r="AK269" s="391"/>
      <c r="AL269" s="391"/>
      <c r="AM269" s="391"/>
      <c r="AN269" s="391"/>
      <c r="AO269" s="391"/>
      <c r="AP269" s="391"/>
      <c r="AQ269" s="391"/>
      <c r="AR269" s="391"/>
      <c r="AS269" s="391"/>
      <c r="AT269" s="391"/>
      <c r="AU269" s="391"/>
      <c r="AV269" s="391"/>
      <c r="AW269" s="391"/>
      <c r="AX269" s="391"/>
      <c r="AY269" s="391"/>
      <c r="AZ269" s="391"/>
      <c r="BA269" s="391"/>
      <c r="BB269" s="391"/>
      <c r="BC269" s="391"/>
      <c r="BD269" s="391"/>
      <c r="BE269" s="391"/>
      <c r="BF269" s="391"/>
      <c r="BG269" s="391"/>
      <c r="BH269" s="391"/>
      <c r="BI269" s="391"/>
      <c r="BJ269" s="391"/>
      <c r="BK269" s="391"/>
      <c r="BL269" s="391"/>
      <c r="BM269" s="391"/>
      <c r="BN269" s="391"/>
      <c r="BO269" s="391"/>
      <c r="BP269" s="391"/>
      <c r="BQ269" s="391"/>
      <c r="BR269" s="391"/>
      <c r="BS269" s="391"/>
      <c r="BT269" s="391"/>
      <c r="BU269" s="391"/>
      <c r="BV269" s="391"/>
      <c r="BW269" s="391"/>
      <c r="BX269" s="391"/>
      <c r="BY269" s="391"/>
      <c r="BZ269" s="391"/>
      <c r="CA269" s="391"/>
      <c r="CB269" s="391"/>
      <c r="CC269" s="391"/>
      <c r="CD269" s="391"/>
      <c r="CE269" s="391"/>
      <c r="CF269" s="391"/>
      <c r="CG269" s="391"/>
      <c r="CH269" s="391"/>
      <c r="CI269" s="391"/>
      <c r="CJ269" s="391"/>
      <c r="CK269" s="391"/>
      <c r="CL269" s="391"/>
      <c r="CM269" s="391"/>
      <c r="CN269" s="391"/>
      <c r="CO269" s="391"/>
      <c r="CP269" s="391"/>
      <c r="CQ269" s="391"/>
      <c r="CR269" s="391"/>
      <c r="CS269" s="391"/>
      <c r="CT269" s="391"/>
      <c r="CU269" s="391"/>
      <c r="CV269" s="391"/>
      <c r="CW269" s="391"/>
      <c r="CX269" s="391"/>
      <c r="CY269" s="391"/>
      <c r="CZ269" s="391"/>
      <c r="DA269" s="391"/>
      <c r="DB269" s="391"/>
      <c r="DC269" s="391"/>
      <c r="DD269" s="391"/>
      <c r="DE269" s="391"/>
      <c r="DF269" s="391"/>
      <c r="DG269" s="391"/>
      <c r="DH269" s="391"/>
      <c r="DI269" s="391"/>
      <c r="DJ269" s="391"/>
      <c r="DK269" s="391"/>
      <c r="DL269" s="391"/>
      <c r="DM269" s="391"/>
      <c r="DN269" s="391"/>
      <c r="DO269" s="391"/>
      <c r="DP269" s="391"/>
      <c r="DQ269" s="391"/>
      <c r="DR269" s="391"/>
      <c r="DS269" s="391"/>
      <c r="DT269" s="391"/>
      <c r="DU269" s="391"/>
      <c r="DV269" s="391"/>
      <c r="DW269" s="391"/>
      <c r="DX269" s="391"/>
      <c r="DY269" s="391"/>
      <c r="DZ269" s="391"/>
      <c r="EA269" s="391"/>
      <c r="EB269" s="391"/>
      <c r="EC269" s="391"/>
      <c r="ED269" s="391"/>
      <c r="EE269" s="391"/>
      <c r="EF269" s="391"/>
      <c r="EG269" s="391"/>
      <c r="EH269" s="391"/>
      <c r="EI269" s="391"/>
      <c r="EJ269" s="391"/>
      <c r="EK269" s="391"/>
      <c r="EL269" s="391"/>
      <c r="EM269" s="391"/>
      <c r="EN269" s="391"/>
      <c r="EO269" s="391"/>
      <c r="EP269" s="391"/>
      <c r="EQ269" s="391"/>
      <c r="ER269" s="391"/>
      <c r="ES269" s="391"/>
      <c r="ET269" s="391"/>
      <c r="EU269" s="391"/>
      <c r="EV269" s="391"/>
      <c r="EW269" s="391"/>
      <c r="EX269" s="391"/>
      <c r="EY269" s="391"/>
      <c r="EZ269" s="391"/>
      <c r="FA269" s="391"/>
      <c r="FB269" s="391"/>
      <c r="FC269" s="391"/>
      <c r="FD269" s="391"/>
      <c r="FE269" s="391"/>
      <c r="FF269" s="391"/>
      <c r="FG269" s="391"/>
      <c r="FH269" s="391"/>
      <c r="FI269" s="391"/>
      <c r="FJ269" s="391"/>
      <c r="FK269" s="391"/>
      <c r="FL269" s="391"/>
      <c r="FM269" s="391"/>
      <c r="FN269" s="391"/>
      <c r="FO269" s="391"/>
      <c r="FP269" s="391"/>
      <c r="FQ269" s="391"/>
      <c r="FR269" s="391"/>
      <c r="FS269" s="391"/>
      <c r="FT269" s="391"/>
      <c r="FU269" s="391"/>
      <c r="FV269" s="391"/>
      <c r="FW269" s="391"/>
      <c r="FX269" s="391"/>
      <c r="FY269" s="391"/>
      <c r="FZ269" s="391"/>
      <c r="GA269" s="391"/>
      <c r="GB269" s="391"/>
      <c r="GC269" s="391"/>
      <c r="GD269" s="391"/>
      <c r="GE269" s="391"/>
      <c r="GF269" s="391"/>
      <c r="GG269" s="391"/>
      <c r="GH269" s="391"/>
      <c r="GI269" s="391"/>
      <c r="GJ269" s="391"/>
      <c r="GK269" s="391"/>
      <c r="GL269" s="391"/>
      <c r="GM269" s="391"/>
      <c r="GN269" s="391"/>
      <c r="GO269" s="391"/>
      <c r="GP269" s="391"/>
      <c r="GQ269" s="391"/>
      <c r="GR269" s="391"/>
      <c r="GS269" s="391"/>
      <c r="GT269" s="391"/>
      <c r="GU269" s="391"/>
      <c r="GV269" s="391"/>
      <c r="GW269" s="391"/>
      <c r="GX269" s="391"/>
      <c r="GY269" s="391"/>
      <c r="GZ269" s="391"/>
      <c r="HA269" s="391"/>
      <c r="HB269" s="391"/>
      <c r="HC269" s="391"/>
      <c r="HD269" s="391"/>
      <c r="HE269" s="391"/>
      <c r="HF269" s="391"/>
      <c r="HG269" s="391"/>
      <c r="HH269" s="391"/>
      <c r="HI269" s="391"/>
      <c r="HJ269" s="391"/>
      <c r="HK269" s="391"/>
      <c r="HL269" s="391"/>
      <c r="HM269" s="391"/>
      <c r="HN269" s="391"/>
      <c r="HO269" s="391"/>
      <c r="HP269" s="391"/>
      <c r="HQ269" s="391"/>
      <c r="HR269" s="391"/>
      <c r="HS269" s="391"/>
      <c r="HT269" s="391"/>
      <c r="HU269" s="391"/>
      <c r="HV269" s="391"/>
      <c r="HW269" s="391"/>
      <c r="HX269" s="391"/>
      <c r="HY269" s="391"/>
      <c r="HZ269" s="391"/>
      <c r="IA269" s="391"/>
      <c r="IB269" s="391"/>
      <c r="IC269" s="391"/>
      <c r="ID269" s="391"/>
      <c r="IE269" s="391"/>
      <c r="IF269" s="391"/>
      <c r="IG269" s="391"/>
      <c r="IH269" s="391"/>
      <c r="II269" s="391"/>
      <c r="IJ269" s="391"/>
      <c r="IK269" s="391"/>
      <c r="IL269" s="391"/>
      <c r="IM269" s="391"/>
      <c r="IN269" s="391"/>
      <c r="IO269" s="391"/>
      <c r="IP269" s="391"/>
      <c r="IQ269" s="391"/>
      <c r="IR269" s="391"/>
      <c r="IS269" s="391"/>
      <c r="IT269" s="391"/>
      <c r="IU269" s="391"/>
      <c r="IV269" s="391"/>
      <c r="IW269" s="391"/>
      <c r="IX269" s="391"/>
      <c r="IY269" s="391"/>
      <c r="IZ269" s="391"/>
      <c r="JA269" s="391"/>
      <c r="JB269" s="391"/>
      <c r="JC269" s="391"/>
      <c r="JD269" s="391"/>
      <c r="JE269" s="391"/>
      <c r="JF269" s="391"/>
      <c r="JG269" s="391"/>
      <c r="JH269" s="391"/>
      <c r="JI269" s="393"/>
      <c r="JJ269" s="2"/>
      <c r="JK269" s="391"/>
      <c r="JL269" s="391"/>
      <c r="JM269" s="392"/>
      <c r="JN269" s="392"/>
      <c r="JO269" s="392"/>
      <c r="JP269" s="392"/>
    </row>
    <row r="270" spans="1:276 1141:1141" x14ac:dyDescent="0.3">
      <c r="A270" s="391"/>
      <c r="B270" s="391"/>
      <c r="C270" s="391"/>
      <c r="D270" s="391"/>
      <c r="E270" s="391"/>
      <c r="F270" s="391"/>
      <c r="G270" s="391"/>
      <c r="H270" s="391"/>
      <c r="I270" s="391"/>
      <c r="J270" s="391"/>
      <c r="K270" s="391"/>
      <c r="L270" s="391"/>
      <c r="M270" s="391"/>
      <c r="N270" s="391"/>
      <c r="O270" s="391"/>
      <c r="P270" s="391"/>
      <c r="Q270" s="391"/>
      <c r="R270" s="391"/>
      <c r="S270" s="391"/>
      <c r="T270" s="391"/>
      <c r="U270" s="391"/>
      <c r="V270" s="391"/>
      <c r="W270" s="391"/>
      <c r="X270" s="391"/>
      <c r="Y270" s="391"/>
      <c r="Z270" s="391"/>
      <c r="AA270" s="391"/>
      <c r="AB270" s="391"/>
      <c r="AC270" s="391"/>
      <c r="AD270" s="391"/>
      <c r="AE270" s="391"/>
      <c r="AF270" s="391"/>
      <c r="AG270" s="391"/>
      <c r="AH270" s="391"/>
      <c r="AI270" s="391"/>
      <c r="AJ270" s="391"/>
      <c r="AK270" s="391"/>
      <c r="AL270" s="391"/>
      <c r="AM270" s="391"/>
      <c r="AN270" s="391"/>
      <c r="AO270" s="391"/>
      <c r="AP270" s="391"/>
      <c r="AQ270" s="391"/>
      <c r="AR270" s="391"/>
      <c r="AS270" s="391"/>
      <c r="AT270" s="391"/>
      <c r="AU270" s="391"/>
      <c r="AV270" s="391"/>
      <c r="AW270" s="391"/>
      <c r="AX270" s="391"/>
      <c r="AY270" s="391"/>
      <c r="AZ270" s="391"/>
      <c r="BA270" s="391"/>
      <c r="BB270" s="391"/>
      <c r="BC270" s="391"/>
      <c r="BD270" s="391"/>
      <c r="BE270" s="391"/>
      <c r="BF270" s="391"/>
      <c r="BG270" s="391"/>
      <c r="BH270" s="391"/>
      <c r="BI270" s="391"/>
      <c r="BJ270" s="391"/>
      <c r="BK270" s="391"/>
      <c r="BL270" s="391"/>
      <c r="BM270" s="391"/>
      <c r="BN270" s="391"/>
      <c r="BO270" s="391"/>
      <c r="BP270" s="391"/>
      <c r="BQ270" s="391"/>
      <c r="BR270" s="391"/>
      <c r="BS270" s="391"/>
      <c r="BT270" s="391"/>
      <c r="BU270" s="391"/>
      <c r="BV270" s="391"/>
      <c r="BW270" s="391"/>
      <c r="BX270" s="391"/>
      <c r="BY270" s="391"/>
      <c r="BZ270" s="391"/>
      <c r="CA270" s="391"/>
      <c r="CB270" s="391"/>
      <c r="CC270" s="391"/>
      <c r="CD270" s="391"/>
      <c r="CE270" s="391"/>
      <c r="CF270" s="391"/>
      <c r="CG270" s="391"/>
      <c r="CH270" s="391"/>
      <c r="CI270" s="391"/>
      <c r="CJ270" s="391"/>
      <c r="CK270" s="391"/>
      <c r="CL270" s="391"/>
      <c r="CM270" s="391"/>
      <c r="CN270" s="391"/>
      <c r="CO270" s="391"/>
      <c r="CP270" s="391"/>
      <c r="CQ270" s="391"/>
      <c r="CR270" s="391"/>
      <c r="CS270" s="391"/>
      <c r="CT270" s="391"/>
      <c r="CU270" s="391"/>
      <c r="CV270" s="391"/>
      <c r="CW270" s="391"/>
      <c r="CX270" s="391"/>
      <c r="CY270" s="391"/>
      <c r="CZ270" s="391"/>
      <c r="DA270" s="391"/>
      <c r="DB270" s="391"/>
      <c r="DC270" s="391"/>
      <c r="DD270" s="391"/>
      <c r="DE270" s="391"/>
      <c r="DF270" s="391"/>
      <c r="DG270" s="391"/>
      <c r="DH270" s="391"/>
      <c r="DI270" s="391"/>
      <c r="DJ270" s="391"/>
      <c r="DK270" s="391"/>
      <c r="DL270" s="391"/>
      <c r="DM270" s="391"/>
      <c r="DN270" s="391"/>
      <c r="DO270" s="391"/>
      <c r="DP270" s="391"/>
      <c r="DQ270" s="391"/>
      <c r="DR270" s="391"/>
      <c r="DS270" s="391"/>
      <c r="DT270" s="391"/>
      <c r="DU270" s="391"/>
      <c r="DV270" s="391"/>
      <c r="DW270" s="391"/>
      <c r="DX270" s="391"/>
      <c r="DY270" s="391"/>
      <c r="DZ270" s="391"/>
      <c r="EA270" s="391"/>
      <c r="EB270" s="391"/>
      <c r="EC270" s="391"/>
      <c r="ED270" s="391"/>
      <c r="EE270" s="391"/>
      <c r="EF270" s="391"/>
      <c r="EG270" s="391"/>
      <c r="EH270" s="391"/>
      <c r="EI270" s="391"/>
      <c r="EJ270" s="391"/>
      <c r="EK270" s="391"/>
      <c r="EL270" s="391"/>
      <c r="EM270" s="391"/>
      <c r="EN270" s="391"/>
      <c r="EO270" s="391"/>
      <c r="EP270" s="391"/>
      <c r="EQ270" s="391"/>
      <c r="ER270" s="391"/>
      <c r="ES270" s="391"/>
      <c r="ET270" s="391"/>
      <c r="EU270" s="391"/>
      <c r="EV270" s="391"/>
      <c r="EW270" s="391"/>
      <c r="EX270" s="391"/>
      <c r="EY270" s="391"/>
      <c r="EZ270" s="391"/>
      <c r="FA270" s="391"/>
      <c r="FB270" s="391"/>
      <c r="FC270" s="391"/>
      <c r="FD270" s="391"/>
      <c r="FE270" s="391"/>
      <c r="FF270" s="391"/>
      <c r="FG270" s="391"/>
      <c r="FH270" s="391"/>
      <c r="FI270" s="391"/>
      <c r="FJ270" s="391"/>
      <c r="FK270" s="391"/>
      <c r="FL270" s="391"/>
      <c r="FM270" s="391"/>
      <c r="FN270" s="391"/>
      <c r="FO270" s="391"/>
      <c r="FP270" s="391"/>
      <c r="FQ270" s="391"/>
      <c r="FR270" s="391"/>
      <c r="FS270" s="391"/>
      <c r="FT270" s="391"/>
      <c r="FU270" s="391"/>
      <c r="FV270" s="391"/>
      <c r="FW270" s="391"/>
      <c r="FX270" s="391"/>
      <c r="FY270" s="391"/>
      <c r="FZ270" s="391"/>
      <c r="GA270" s="391"/>
      <c r="GB270" s="391"/>
      <c r="GC270" s="391"/>
      <c r="GD270" s="391"/>
      <c r="GE270" s="391"/>
      <c r="GF270" s="391"/>
      <c r="GG270" s="391"/>
      <c r="GH270" s="391"/>
      <c r="GI270" s="391"/>
      <c r="GJ270" s="391"/>
      <c r="GK270" s="391"/>
      <c r="GL270" s="391"/>
      <c r="GM270" s="391"/>
      <c r="GN270" s="391"/>
      <c r="GO270" s="391"/>
      <c r="GP270" s="391"/>
      <c r="GQ270" s="391"/>
      <c r="GR270" s="391"/>
      <c r="GS270" s="391"/>
      <c r="GT270" s="391"/>
      <c r="GU270" s="391"/>
      <c r="GV270" s="391"/>
      <c r="GW270" s="391"/>
      <c r="GX270" s="391"/>
      <c r="GY270" s="391"/>
      <c r="GZ270" s="391"/>
      <c r="HA270" s="391"/>
      <c r="HB270" s="391"/>
      <c r="HC270" s="391"/>
      <c r="HD270" s="391"/>
      <c r="HE270" s="391"/>
      <c r="HF270" s="391"/>
      <c r="HG270" s="391"/>
      <c r="HH270" s="391"/>
      <c r="HI270" s="391"/>
      <c r="HJ270" s="391"/>
      <c r="HK270" s="391"/>
      <c r="HL270" s="391"/>
      <c r="HM270" s="391"/>
      <c r="HN270" s="391"/>
      <c r="HO270" s="391"/>
      <c r="HP270" s="391"/>
      <c r="HQ270" s="391"/>
      <c r="HR270" s="391"/>
      <c r="HS270" s="391"/>
      <c r="HT270" s="391"/>
      <c r="HU270" s="391"/>
      <c r="HV270" s="391"/>
      <c r="HW270" s="391"/>
      <c r="HX270" s="391"/>
      <c r="HY270" s="391"/>
      <c r="HZ270" s="391"/>
      <c r="IA270" s="391"/>
      <c r="IB270" s="391"/>
      <c r="IC270" s="391"/>
      <c r="ID270" s="391"/>
      <c r="IE270" s="391"/>
      <c r="IF270" s="391"/>
      <c r="IG270" s="391"/>
      <c r="IH270" s="391"/>
      <c r="II270" s="391"/>
      <c r="IJ270" s="391"/>
      <c r="IK270" s="391"/>
      <c r="IL270" s="391"/>
      <c r="IM270" s="391"/>
      <c r="IN270" s="391"/>
      <c r="IO270" s="391"/>
      <c r="IP270" s="391"/>
      <c r="IQ270" s="391"/>
      <c r="IR270" s="391"/>
      <c r="IS270" s="391"/>
      <c r="IT270" s="391"/>
      <c r="IU270" s="391"/>
      <c r="IV270" s="391"/>
      <c r="IW270" s="391"/>
      <c r="IX270" s="391"/>
      <c r="IY270" s="391"/>
      <c r="IZ270" s="391"/>
      <c r="JA270" s="391"/>
      <c r="JB270" s="391"/>
      <c r="JC270" s="391"/>
      <c r="JD270" s="391"/>
      <c r="JE270" s="391"/>
      <c r="JF270" s="391"/>
      <c r="JG270" s="391"/>
      <c r="JH270" s="391"/>
      <c r="JI270" s="393"/>
      <c r="JJ270" s="2"/>
      <c r="JK270" s="391"/>
      <c r="JL270" s="391"/>
      <c r="JM270" s="392"/>
      <c r="JN270" s="392"/>
      <c r="JO270" s="392"/>
      <c r="JP270" s="392"/>
    </row>
    <row r="271" spans="1:276 1141:1141" s="132" customFormat="1" x14ac:dyDescent="0.3">
      <c r="A271" s="279">
        <f>SUM(A3:A270)</f>
        <v>52666807.68</v>
      </c>
      <c r="B271" s="279">
        <f t="shared" ref="B271:BM271" si="11">SUM(B3:B270)</f>
        <v>0</v>
      </c>
      <c r="C271" s="279">
        <f t="shared" si="11"/>
        <v>0</v>
      </c>
      <c r="D271" s="279">
        <f t="shared" si="11"/>
        <v>0</v>
      </c>
      <c r="E271" s="279">
        <f t="shared" si="11"/>
        <v>0</v>
      </c>
      <c r="F271" s="279">
        <f t="shared" si="11"/>
        <v>0</v>
      </c>
      <c r="G271" s="279">
        <f t="shared" si="11"/>
        <v>0</v>
      </c>
      <c r="H271" s="279">
        <f t="shared" si="11"/>
        <v>0</v>
      </c>
      <c r="I271" s="279">
        <f t="shared" si="11"/>
        <v>0</v>
      </c>
      <c r="J271" s="279">
        <f t="shared" si="11"/>
        <v>973531.03</v>
      </c>
      <c r="K271" s="279">
        <f t="shared" si="11"/>
        <v>0</v>
      </c>
      <c r="L271" s="279">
        <f t="shared" si="11"/>
        <v>0</v>
      </c>
      <c r="M271" s="279">
        <f t="shared" si="11"/>
        <v>0</v>
      </c>
      <c r="N271" s="279">
        <f t="shared" si="11"/>
        <v>0</v>
      </c>
      <c r="O271" s="279">
        <f t="shared" si="11"/>
        <v>0</v>
      </c>
      <c r="P271" s="279">
        <f t="shared" si="11"/>
        <v>0</v>
      </c>
      <c r="Q271" s="279">
        <f t="shared" si="11"/>
        <v>0</v>
      </c>
      <c r="R271" s="279">
        <f t="shared" si="11"/>
        <v>0</v>
      </c>
      <c r="S271" s="279">
        <f t="shared" si="11"/>
        <v>2752136.5</v>
      </c>
      <c r="T271" s="279">
        <f t="shared" si="11"/>
        <v>0</v>
      </c>
      <c r="U271" s="279">
        <f t="shared" si="11"/>
        <v>0</v>
      </c>
      <c r="V271" s="279">
        <f t="shared" si="11"/>
        <v>0</v>
      </c>
      <c r="W271" s="279">
        <f t="shared" si="11"/>
        <v>45000</v>
      </c>
      <c r="X271" s="279">
        <f t="shared" si="11"/>
        <v>0</v>
      </c>
      <c r="Y271" s="279">
        <f t="shared" si="11"/>
        <v>0</v>
      </c>
      <c r="Z271" s="279">
        <f t="shared" si="11"/>
        <v>330200</v>
      </c>
      <c r="AA271" s="279">
        <f t="shared" si="11"/>
        <v>0</v>
      </c>
      <c r="AB271" s="279">
        <f t="shared" si="11"/>
        <v>69663.099999999991</v>
      </c>
      <c r="AC271" s="279">
        <f t="shared" si="11"/>
        <v>0</v>
      </c>
      <c r="AD271" s="279">
        <f t="shared" si="11"/>
        <v>0</v>
      </c>
      <c r="AE271" s="279">
        <f t="shared" si="11"/>
        <v>0</v>
      </c>
      <c r="AF271" s="279">
        <f t="shared" si="11"/>
        <v>0</v>
      </c>
      <c r="AG271" s="279">
        <f t="shared" si="11"/>
        <v>0</v>
      </c>
      <c r="AH271" s="279">
        <f t="shared" si="11"/>
        <v>0</v>
      </c>
      <c r="AI271" s="279">
        <f t="shared" si="11"/>
        <v>0</v>
      </c>
      <c r="AJ271" s="279">
        <f t="shared" si="11"/>
        <v>0</v>
      </c>
      <c r="AK271" s="279">
        <f t="shared" si="11"/>
        <v>3803102.29</v>
      </c>
      <c r="AL271" s="279">
        <f t="shared" si="11"/>
        <v>3808464.5</v>
      </c>
      <c r="AM271" s="279">
        <f t="shared" si="11"/>
        <v>642274.82000000007</v>
      </c>
      <c r="AN271" s="279">
        <f t="shared" si="11"/>
        <v>0</v>
      </c>
      <c r="AO271" s="279">
        <f t="shared" si="11"/>
        <v>0</v>
      </c>
      <c r="AP271" s="279">
        <f t="shared" si="11"/>
        <v>0</v>
      </c>
      <c r="AQ271" s="279">
        <f t="shared" si="11"/>
        <v>0</v>
      </c>
      <c r="AR271" s="279">
        <f t="shared" si="11"/>
        <v>0</v>
      </c>
      <c r="AS271" s="279">
        <f t="shared" si="11"/>
        <v>0</v>
      </c>
      <c r="AT271" s="279">
        <f t="shared" si="11"/>
        <v>0</v>
      </c>
      <c r="AU271" s="279">
        <f t="shared" si="11"/>
        <v>0</v>
      </c>
      <c r="AV271" s="279">
        <f t="shared" si="11"/>
        <v>0</v>
      </c>
      <c r="AW271" s="279">
        <f t="shared" si="11"/>
        <v>0</v>
      </c>
      <c r="AX271" s="279">
        <f t="shared" si="11"/>
        <v>0</v>
      </c>
      <c r="AY271" s="279">
        <f t="shared" si="11"/>
        <v>0</v>
      </c>
      <c r="AZ271" s="279">
        <f t="shared" si="11"/>
        <v>0</v>
      </c>
      <c r="BA271" s="279">
        <f t="shared" si="11"/>
        <v>0</v>
      </c>
      <c r="BB271" s="279">
        <f t="shared" si="11"/>
        <v>0</v>
      </c>
      <c r="BC271" s="279">
        <f t="shared" si="11"/>
        <v>0</v>
      </c>
      <c r="BD271" s="279">
        <f t="shared" si="11"/>
        <v>0</v>
      </c>
      <c r="BE271" s="279">
        <f t="shared" si="11"/>
        <v>0</v>
      </c>
      <c r="BF271" s="279">
        <f t="shared" si="11"/>
        <v>0</v>
      </c>
      <c r="BG271" s="279">
        <f t="shared" si="11"/>
        <v>0</v>
      </c>
      <c r="BH271" s="279">
        <f t="shared" si="11"/>
        <v>0</v>
      </c>
      <c r="BI271" s="279">
        <f t="shared" si="11"/>
        <v>0</v>
      </c>
      <c r="BJ271" s="279">
        <f t="shared" si="11"/>
        <v>0</v>
      </c>
      <c r="BK271" s="279">
        <f t="shared" si="11"/>
        <v>0</v>
      </c>
      <c r="BL271" s="279">
        <f t="shared" si="11"/>
        <v>0</v>
      </c>
      <c r="BM271" s="279">
        <f t="shared" si="11"/>
        <v>0</v>
      </c>
      <c r="BN271" s="279">
        <f t="shared" ref="BN271:DY271" si="12">SUM(BN3:BN270)</f>
        <v>0</v>
      </c>
      <c r="BO271" s="279">
        <f t="shared" si="12"/>
        <v>0</v>
      </c>
      <c r="BP271" s="279">
        <f t="shared" si="12"/>
        <v>0</v>
      </c>
      <c r="BQ271" s="279">
        <f t="shared" si="12"/>
        <v>0</v>
      </c>
      <c r="BR271" s="279">
        <f t="shared" si="12"/>
        <v>0</v>
      </c>
      <c r="BS271" s="279">
        <f t="shared" si="12"/>
        <v>0</v>
      </c>
      <c r="BT271" s="279">
        <f t="shared" si="12"/>
        <v>0</v>
      </c>
      <c r="BU271" s="279">
        <f t="shared" si="12"/>
        <v>0</v>
      </c>
      <c r="BV271" s="279">
        <f t="shared" si="12"/>
        <v>0</v>
      </c>
      <c r="BW271" s="279">
        <f t="shared" si="12"/>
        <v>0</v>
      </c>
      <c r="BX271" s="279">
        <f t="shared" si="12"/>
        <v>0</v>
      </c>
      <c r="BY271" s="279">
        <f t="shared" si="12"/>
        <v>0</v>
      </c>
      <c r="BZ271" s="279">
        <f t="shared" si="12"/>
        <v>0</v>
      </c>
      <c r="CA271" s="279">
        <f t="shared" si="12"/>
        <v>0</v>
      </c>
      <c r="CB271" s="279">
        <f t="shared" si="12"/>
        <v>0</v>
      </c>
      <c r="CC271" s="279">
        <f t="shared" si="12"/>
        <v>0</v>
      </c>
      <c r="CD271" s="279">
        <f t="shared" si="12"/>
        <v>0</v>
      </c>
      <c r="CE271" s="279">
        <f t="shared" si="12"/>
        <v>0</v>
      </c>
      <c r="CF271" s="279">
        <f t="shared" si="12"/>
        <v>0</v>
      </c>
      <c r="CG271" s="279">
        <f t="shared" si="12"/>
        <v>0</v>
      </c>
      <c r="CH271" s="279">
        <f t="shared" si="12"/>
        <v>0</v>
      </c>
      <c r="CI271" s="279">
        <f t="shared" si="12"/>
        <v>0</v>
      </c>
      <c r="CJ271" s="279">
        <f t="shared" si="12"/>
        <v>0</v>
      </c>
      <c r="CK271" s="279">
        <f t="shared" si="12"/>
        <v>0</v>
      </c>
      <c r="CL271" s="279">
        <f t="shared" si="12"/>
        <v>0</v>
      </c>
      <c r="CM271" s="279">
        <f t="shared" si="12"/>
        <v>0</v>
      </c>
      <c r="CN271" s="279">
        <f t="shared" si="12"/>
        <v>0</v>
      </c>
      <c r="CO271" s="279">
        <f t="shared" si="12"/>
        <v>0</v>
      </c>
      <c r="CP271" s="279">
        <f t="shared" si="12"/>
        <v>0</v>
      </c>
      <c r="CQ271" s="279">
        <f t="shared" si="12"/>
        <v>0</v>
      </c>
      <c r="CR271" s="279">
        <f t="shared" si="12"/>
        <v>0</v>
      </c>
      <c r="CS271" s="279">
        <f t="shared" si="12"/>
        <v>0</v>
      </c>
      <c r="CT271" s="279">
        <f t="shared" si="12"/>
        <v>0</v>
      </c>
      <c r="CU271" s="279">
        <f t="shared" si="12"/>
        <v>0</v>
      </c>
      <c r="CV271" s="279">
        <f t="shared" si="12"/>
        <v>0</v>
      </c>
      <c r="CW271" s="279">
        <f t="shared" si="12"/>
        <v>0</v>
      </c>
      <c r="CX271" s="279">
        <f t="shared" si="12"/>
        <v>0</v>
      </c>
      <c r="CY271" s="279">
        <f t="shared" si="12"/>
        <v>0</v>
      </c>
      <c r="CZ271" s="279">
        <f t="shared" si="12"/>
        <v>0</v>
      </c>
      <c r="DA271" s="279">
        <f t="shared" si="12"/>
        <v>0</v>
      </c>
      <c r="DB271" s="279">
        <f t="shared" si="12"/>
        <v>0</v>
      </c>
      <c r="DC271" s="279">
        <f t="shared" si="12"/>
        <v>0</v>
      </c>
      <c r="DD271" s="279">
        <f t="shared" si="12"/>
        <v>0</v>
      </c>
      <c r="DE271" s="279">
        <f t="shared" si="12"/>
        <v>0</v>
      </c>
      <c r="DF271" s="279">
        <f t="shared" si="12"/>
        <v>0</v>
      </c>
      <c r="DG271" s="279">
        <f t="shared" si="12"/>
        <v>0</v>
      </c>
      <c r="DH271" s="279">
        <f t="shared" si="12"/>
        <v>0</v>
      </c>
      <c r="DI271" s="279">
        <f t="shared" si="12"/>
        <v>0</v>
      </c>
      <c r="DJ271" s="279">
        <f t="shared" si="12"/>
        <v>0</v>
      </c>
      <c r="DK271" s="279">
        <f t="shared" si="12"/>
        <v>0</v>
      </c>
      <c r="DL271" s="279">
        <f t="shared" si="12"/>
        <v>0</v>
      </c>
      <c r="DM271" s="279">
        <f t="shared" si="12"/>
        <v>0</v>
      </c>
      <c r="DN271" s="279">
        <f t="shared" si="12"/>
        <v>0</v>
      </c>
      <c r="DO271" s="279">
        <f t="shared" si="12"/>
        <v>0</v>
      </c>
      <c r="DP271" s="279">
        <f t="shared" si="12"/>
        <v>0</v>
      </c>
      <c r="DQ271" s="279">
        <f t="shared" si="12"/>
        <v>0</v>
      </c>
      <c r="DR271" s="279">
        <f t="shared" si="12"/>
        <v>0</v>
      </c>
      <c r="DS271" s="279">
        <f t="shared" si="12"/>
        <v>0</v>
      </c>
      <c r="DT271" s="279">
        <f t="shared" si="12"/>
        <v>0</v>
      </c>
      <c r="DU271" s="279">
        <f t="shared" si="12"/>
        <v>0</v>
      </c>
      <c r="DV271" s="279">
        <f t="shared" si="12"/>
        <v>0</v>
      </c>
      <c r="DW271" s="279">
        <f t="shared" si="12"/>
        <v>0</v>
      </c>
      <c r="DX271" s="279">
        <f t="shared" si="12"/>
        <v>0</v>
      </c>
      <c r="DY271" s="279">
        <f t="shared" si="12"/>
        <v>0</v>
      </c>
      <c r="DZ271" s="279">
        <f t="shared" ref="DZ271:GK271" si="13">SUM(DZ3:DZ270)</f>
        <v>0</v>
      </c>
      <c r="EA271" s="279">
        <f t="shared" si="13"/>
        <v>1862880.8</v>
      </c>
      <c r="EB271" s="279">
        <f t="shared" si="13"/>
        <v>0</v>
      </c>
      <c r="EC271" s="279">
        <f t="shared" si="13"/>
        <v>0</v>
      </c>
      <c r="ED271" s="279">
        <f t="shared" si="13"/>
        <v>0</v>
      </c>
      <c r="EE271" s="279">
        <f t="shared" si="13"/>
        <v>0</v>
      </c>
      <c r="EF271" s="279">
        <f t="shared" si="13"/>
        <v>0</v>
      </c>
      <c r="EG271" s="279">
        <f t="shared" si="13"/>
        <v>0</v>
      </c>
      <c r="EH271" s="279">
        <f t="shared" si="13"/>
        <v>0</v>
      </c>
      <c r="EI271" s="279">
        <f t="shared" si="13"/>
        <v>0</v>
      </c>
      <c r="EJ271" s="279">
        <f t="shared" si="13"/>
        <v>0</v>
      </c>
      <c r="EK271" s="279">
        <f t="shared" si="13"/>
        <v>0</v>
      </c>
      <c r="EL271" s="279">
        <f t="shared" si="13"/>
        <v>0</v>
      </c>
      <c r="EM271" s="279">
        <f t="shared" si="13"/>
        <v>0</v>
      </c>
      <c r="EN271" s="279">
        <f t="shared" si="13"/>
        <v>0</v>
      </c>
      <c r="EO271" s="279">
        <f t="shared" si="13"/>
        <v>0</v>
      </c>
      <c r="EP271" s="279">
        <f t="shared" si="13"/>
        <v>0</v>
      </c>
      <c r="EQ271" s="279">
        <f t="shared" si="13"/>
        <v>0</v>
      </c>
      <c r="ER271" s="279">
        <f t="shared" si="13"/>
        <v>0</v>
      </c>
      <c r="ES271" s="279">
        <f t="shared" si="13"/>
        <v>0</v>
      </c>
      <c r="ET271" s="279">
        <f t="shared" si="13"/>
        <v>0</v>
      </c>
      <c r="EU271" s="279">
        <f t="shared" si="13"/>
        <v>0</v>
      </c>
      <c r="EV271" s="279">
        <f t="shared" si="13"/>
        <v>0</v>
      </c>
      <c r="EW271" s="279">
        <f t="shared" si="13"/>
        <v>0</v>
      </c>
      <c r="EX271" s="279">
        <f t="shared" si="13"/>
        <v>0</v>
      </c>
      <c r="EY271" s="279">
        <f t="shared" si="13"/>
        <v>0</v>
      </c>
      <c r="EZ271" s="279">
        <f t="shared" si="13"/>
        <v>0</v>
      </c>
      <c r="FA271" s="279">
        <f t="shared" si="13"/>
        <v>0</v>
      </c>
      <c r="FB271" s="279">
        <f t="shared" si="13"/>
        <v>0</v>
      </c>
      <c r="FC271" s="279">
        <f t="shared" si="13"/>
        <v>0</v>
      </c>
      <c r="FD271" s="279">
        <f t="shared" si="13"/>
        <v>0</v>
      </c>
      <c r="FE271" s="279">
        <f t="shared" si="13"/>
        <v>0</v>
      </c>
      <c r="FF271" s="279">
        <f t="shared" si="13"/>
        <v>0</v>
      </c>
      <c r="FG271" s="279">
        <f t="shared" si="13"/>
        <v>0</v>
      </c>
      <c r="FH271" s="279">
        <f t="shared" si="13"/>
        <v>0</v>
      </c>
      <c r="FI271" s="279">
        <f t="shared" si="13"/>
        <v>0</v>
      </c>
      <c r="FJ271" s="279">
        <f t="shared" si="13"/>
        <v>1844663.41</v>
      </c>
      <c r="FK271" s="279">
        <f t="shared" si="13"/>
        <v>0</v>
      </c>
      <c r="FL271" s="279">
        <f t="shared" si="13"/>
        <v>0</v>
      </c>
      <c r="FM271" s="279">
        <f t="shared" si="13"/>
        <v>0</v>
      </c>
      <c r="FN271" s="279">
        <f t="shared" si="13"/>
        <v>0</v>
      </c>
      <c r="FO271" s="279">
        <f t="shared" si="13"/>
        <v>0</v>
      </c>
      <c r="FP271" s="279">
        <f t="shared" si="13"/>
        <v>0</v>
      </c>
      <c r="FQ271" s="279">
        <f t="shared" si="13"/>
        <v>0</v>
      </c>
      <c r="FR271" s="279">
        <f t="shared" si="13"/>
        <v>0</v>
      </c>
      <c r="FS271" s="279">
        <f t="shared" si="13"/>
        <v>0</v>
      </c>
      <c r="FT271" s="279">
        <f t="shared" si="13"/>
        <v>1263056.98</v>
      </c>
      <c r="FU271" s="279">
        <f t="shared" si="13"/>
        <v>0</v>
      </c>
      <c r="FV271" s="279">
        <f t="shared" si="13"/>
        <v>0</v>
      </c>
      <c r="FW271" s="279">
        <f t="shared" si="13"/>
        <v>0</v>
      </c>
      <c r="FX271" s="279">
        <f t="shared" si="13"/>
        <v>0</v>
      </c>
      <c r="FY271" s="279">
        <f t="shared" si="13"/>
        <v>0</v>
      </c>
      <c r="FZ271" s="279">
        <f t="shared" si="13"/>
        <v>0</v>
      </c>
      <c r="GA271" s="279">
        <f t="shared" si="13"/>
        <v>0</v>
      </c>
      <c r="GB271" s="279">
        <f t="shared" si="13"/>
        <v>0</v>
      </c>
      <c r="GC271" s="279">
        <f t="shared" si="13"/>
        <v>0</v>
      </c>
      <c r="GD271" s="279">
        <f t="shared" si="13"/>
        <v>0</v>
      </c>
      <c r="GE271" s="279">
        <f t="shared" si="13"/>
        <v>0</v>
      </c>
      <c r="GF271" s="279">
        <f t="shared" si="13"/>
        <v>0</v>
      </c>
      <c r="GG271" s="279">
        <f t="shared" si="13"/>
        <v>0</v>
      </c>
      <c r="GH271" s="279">
        <f t="shared" si="13"/>
        <v>0</v>
      </c>
      <c r="GI271" s="279">
        <f t="shared" si="13"/>
        <v>0</v>
      </c>
      <c r="GJ271" s="279">
        <f t="shared" si="13"/>
        <v>0</v>
      </c>
      <c r="GK271" s="279">
        <f t="shared" si="13"/>
        <v>0</v>
      </c>
      <c r="GL271" s="279">
        <f t="shared" ref="GL271:IW271" si="14">SUM(GL3:GL270)</f>
        <v>0</v>
      </c>
      <c r="GM271" s="279">
        <f t="shared" si="14"/>
        <v>0</v>
      </c>
      <c r="GN271" s="279">
        <f t="shared" si="14"/>
        <v>0</v>
      </c>
      <c r="GO271" s="279">
        <f t="shared" si="14"/>
        <v>0</v>
      </c>
      <c r="GP271" s="279">
        <f t="shared" si="14"/>
        <v>0</v>
      </c>
      <c r="GQ271" s="279">
        <f t="shared" si="14"/>
        <v>0</v>
      </c>
      <c r="GR271" s="279">
        <f t="shared" si="14"/>
        <v>0</v>
      </c>
      <c r="GS271" s="279">
        <f t="shared" si="14"/>
        <v>0</v>
      </c>
      <c r="GT271" s="279">
        <f t="shared" si="14"/>
        <v>0</v>
      </c>
      <c r="GU271" s="279">
        <f t="shared" si="14"/>
        <v>0</v>
      </c>
      <c r="GV271" s="279">
        <f t="shared" si="14"/>
        <v>0</v>
      </c>
      <c r="GW271" s="279">
        <f t="shared" si="14"/>
        <v>0</v>
      </c>
      <c r="GX271" s="279">
        <f t="shared" si="14"/>
        <v>0</v>
      </c>
      <c r="GY271" s="279">
        <f t="shared" si="14"/>
        <v>0</v>
      </c>
      <c r="GZ271" s="279">
        <f t="shared" si="14"/>
        <v>0</v>
      </c>
      <c r="HA271" s="279">
        <f t="shared" si="14"/>
        <v>0</v>
      </c>
      <c r="HB271" s="279">
        <f t="shared" si="14"/>
        <v>0</v>
      </c>
      <c r="HC271" s="279">
        <f t="shared" si="14"/>
        <v>0</v>
      </c>
      <c r="HD271" s="279">
        <f t="shared" si="14"/>
        <v>0</v>
      </c>
      <c r="HE271" s="279">
        <f t="shared" si="14"/>
        <v>0</v>
      </c>
      <c r="HF271" s="279">
        <f t="shared" si="14"/>
        <v>0</v>
      </c>
      <c r="HG271" s="279">
        <f t="shared" si="14"/>
        <v>0</v>
      </c>
      <c r="HH271" s="279">
        <f t="shared" si="14"/>
        <v>0</v>
      </c>
      <c r="HI271" s="279">
        <f t="shared" si="14"/>
        <v>0</v>
      </c>
      <c r="HJ271" s="279">
        <f t="shared" si="14"/>
        <v>0</v>
      </c>
      <c r="HK271" s="279">
        <f t="shared" si="14"/>
        <v>0</v>
      </c>
      <c r="HL271" s="279">
        <f t="shared" si="14"/>
        <v>0</v>
      </c>
      <c r="HM271" s="279">
        <f t="shared" si="14"/>
        <v>0</v>
      </c>
      <c r="HN271" s="279">
        <f t="shared" si="14"/>
        <v>0</v>
      </c>
      <c r="HO271" s="279">
        <f t="shared" si="14"/>
        <v>0</v>
      </c>
      <c r="HP271" s="279">
        <f t="shared" si="14"/>
        <v>0</v>
      </c>
      <c r="HQ271" s="279">
        <f t="shared" si="14"/>
        <v>0</v>
      </c>
      <c r="HR271" s="279">
        <f t="shared" si="14"/>
        <v>0</v>
      </c>
      <c r="HS271" s="279">
        <f t="shared" si="14"/>
        <v>0</v>
      </c>
      <c r="HT271" s="279">
        <f t="shared" si="14"/>
        <v>0</v>
      </c>
      <c r="HU271" s="279">
        <f t="shared" si="14"/>
        <v>0</v>
      </c>
      <c r="HV271" s="279">
        <f t="shared" si="14"/>
        <v>0</v>
      </c>
      <c r="HW271" s="279">
        <f t="shared" si="14"/>
        <v>0</v>
      </c>
      <c r="HX271" s="279">
        <f t="shared" si="14"/>
        <v>0</v>
      </c>
      <c r="HY271" s="279">
        <f t="shared" si="14"/>
        <v>0</v>
      </c>
      <c r="HZ271" s="279">
        <f t="shared" si="14"/>
        <v>0</v>
      </c>
      <c r="IA271" s="279">
        <f t="shared" si="14"/>
        <v>0</v>
      </c>
      <c r="IB271" s="279">
        <f t="shared" si="14"/>
        <v>0</v>
      </c>
      <c r="IC271" s="279">
        <f t="shared" si="14"/>
        <v>0</v>
      </c>
      <c r="ID271" s="279">
        <f t="shared" si="14"/>
        <v>0</v>
      </c>
      <c r="IE271" s="279">
        <f t="shared" si="14"/>
        <v>0</v>
      </c>
      <c r="IF271" s="279">
        <f t="shared" si="14"/>
        <v>0</v>
      </c>
      <c r="IG271" s="279">
        <f t="shared" si="14"/>
        <v>0</v>
      </c>
      <c r="IH271" s="279">
        <f t="shared" si="14"/>
        <v>0</v>
      </c>
      <c r="II271" s="279">
        <f t="shared" si="14"/>
        <v>0</v>
      </c>
      <c r="IJ271" s="279">
        <f t="shared" si="14"/>
        <v>0</v>
      </c>
      <c r="IK271" s="279">
        <f t="shared" si="14"/>
        <v>0</v>
      </c>
      <c r="IL271" s="279">
        <f t="shared" si="14"/>
        <v>0</v>
      </c>
      <c r="IM271" s="279">
        <f t="shared" si="14"/>
        <v>0</v>
      </c>
      <c r="IN271" s="279">
        <f t="shared" si="14"/>
        <v>0</v>
      </c>
      <c r="IO271" s="279">
        <f t="shared" si="14"/>
        <v>0</v>
      </c>
      <c r="IP271" s="279">
        <f t="shared" si="14"/>
        <v>0</v>
      </c>
      <c r="IQ271" s="279">
        <f t="shared" si="14"/>
        <v>0</v>
      </c>
      <c r="IR271" s="279">
        <f t="shared" si="14"/>
        <v>0</v>
      </c>
      <c r="IS271" s="279">
        <f t="shared" si="14"/>
        <v>0</v>
      </c>
      <c r="IT271" s="279">
        <f t="shared" si="14"/>
        <v>0</v>
      </c>
      <c r="IU271" s="279">
        <f t="shared" si="14"/>
        <v>0</v>
      </c>
      <c r="IV271" s="279">
        <f t="shared" si="14"/>
        <v>0</v>
      </c>
      <c r="IW271" s="279">
        <f t="shared" si="14"/>
        <v>0</v>
      </c>
      <c r="IX271" s="279">
        <f t="shared" ref="IX271:JH271" si="15">SUM(IX3:IX270)</f>
        <v>0</v>
      </c>
      <c r="IY271" s="279">
        <f t="shared" si="15"/>
        <v>0</v>
      </c>
      <c r="IZ271" s="279">
        <f t="shared" si="15"/>
        <v>0</v>
      </c>
      <c r="JA271" s="279">
        <f t="shared" si="15"/>
        <v>0</v>
      </c>
      <c r="JB271" s="279">
        <f t="shared" si="15"/>
        <v>0</v>
      </c>
      <c r="JC271" s="279">
        <f t="shared" si="15"/>
        <v>0</v>
      </c>
      <c r="JD271" s="279">
        <f t="shared" si="15"/>
        <v>0</v>
      </c>
      <c r="JE271" s="279">
        <f t="shared" si="15"/>
        <v>0</v>
      </c>
      <c r="JF271" s="279">
        <f t="shared" si="15"/>
        <v>0</v>
      </c>
      <c r="JG271" s="279">
        <f t="shared" si="15"/>
        <v>0</v>
      </c>
      <c r="JH271" s="279">
        <f t="shared" si="15"/>
        <v>0</v>
      </c>
      <c r="JI271" s="279">
        <f>SUM(JI3:JI270)</f>
        <v>70061781.109999985</v>
      </c>
      <c r="JJ271" s="124"/>
      <c r="JK271" s="279">
        <f>SUM(JK3:JK270)</f>
        <v>70061781.109999985</v>
      </c>
      <c r="JL271" s="279">
        <f>SUM(JL3:JL270)</f>
        <v>0</v>
      </c>
      <c r="JM271" s="411"/>
      <c r="JN271" s="411"/>
      <c r="JO271" s="411"/>
      <c r="JP271" s="411"/>
      <c r="AQW271" s="168"/>
    </row>
    <row r="272" spans="1:276 1141:1141" s="132" customFormat="1" ht="15.6" x14ac:dyDescent="0.3">
      <c r="A272" s="119">
        <v>211101</v>
      </c>
      <c r="B272" s="119">
        <v>211102</v>
      </c>
      <c r="C272" s="119">
        <v>211103</v>
      </c>
      <c r="D272" s="119">
        <v>211104</v>
      </c>
      <c r="E272" s="119">
        <v>211105</v>
      </c>
      <c r="F272" s="119">
        <v>211106</v>
      </c>
      <c r="G272" s="119">
        <v>211203</v>
      </c>
      <c r="H272" s="119">
        <v>211205</v>
      </c>
      <c r="I272" s="119">
        <v>211206</v>
      </c>
      <c r="J272" s="119">
        <v>211208</v>
      </c>
      <c r="K272" s="119">
        <v>211209</v>
      </c>
      <c r="L272" s="119">
        <v>211211</v>
      </c>
      <c r="M272" s="119">
        <v>211301</v>
      </c>
      <c r="N272" s="119">
        <v>211401</v>
      </c>
      <c r="O272" s="119">
        <v>211501</v>
      </c>
      <c r="P272" s="119">
        <v>211502</v>
      </c>
      <c r="Q272" s="119">
        <v>211503</v>
      </c>
      <c r="R272" s="119">
        <v>211504</v>
      </c>
      <c r="S272" s="119">
        <v>212101</v>
      </c>
      <c r="T272" s="119">
        <v>212201</v>
      </c>
      <c r="U272" s="119">
        <v>212203</v>
      </c>
      <c r="V272" s="119">
        <v>212204</v>
      </c>
      <c r="W272" s="119">
        <v>212205</v>
      </c>
      <c r="X272" s="119">
        <v>212206</v>
      </c>
      <c r="Y272" s="119">
        <v>212207</v>
      </c>
      <c r="Z272" s="119">
        <v>212208</v>
      </c>
      <c r="AA272" s="119">
        <v>212209</v>
      </c>
      <c r="AB272" s="119">
        <v>212210</v>
      </c>
      <c r="AC272" s="119">
        <v>213101</v>
      </c>
      <c r="AD272" s="119">
        <v>213102</v>
      </c>
      <c r="AE272" s="119">
        <v>213201</v>
      </c>
      <c r="AF272" s="119">
        <v>213202</v>
      </c>
      <c r="AG272" s="119">
        <v>214101</v>
      </c>
      <c r="AH272" s="119">
        <v>214201</v>
      </c>
      <c r="AI272" s="119">
        <v>214202</v>
      </c>
      <c r="AJ272" s="119">
        <v>214203</v>
      </c>
      <c r="AK272" s="119">
        <v>215101</v>
      </c>
      <c r="AL272" s="119">
        <v>215201</v>
      </c>
      <c r="AM272" s="119">
        <v>215301</v>
      </c>
      <c r="AN272" s="119">
        <v>215401</v>
      </c>
      <c r="AO272" s="119">
        <v>221101</v>
      </c>
      <c r="AP272" s="119">
        <v>221201</v>
      </c>
      <c r="AQ272" s="119">
        <v>221301</v>
      </c>
      <c r="AR272" s="119">
        <v>221401</v>
      </c>
      <c r="AS272" s="119">
        <v>221501</v>
      </c>
      <c r="AT272" s="119">
        <v>221601</v>
      </c>
      <c r="AU272" s="119">
        <v>221602</v>
      </c>
      <c r="AV272" s="119">
        <v>221701</v>
      </c>
      <c r="AW272" s="119">
        <v>221801</v>
      </c>
      <c r="AX272" s="119">
        <v>222101</v>
      </c>
      <c r="AY272" s="119">
        <v>222201</v>
      </c>
      <c r="AZ272" s="119">
        <v>223101</v>
      </c>
      <c r="BA272" s="119">
        <v>223201</v>
      </c>
      <c r="BB272" s="119">
        <v>224101</v>
      </c>
      <c r="BC272" s="119">
        <v>224201</v>
      </c>
      <c r="BD272" s="119">
        <v>224301</v>
      </c>
      <c r="BE272" s="119">
        <v>224401</v>
      </c>
      <c r="BF272" s="119">
        <v>225101</v>
      </c>
      <c r="BG272" s="119">
        <v>225201</v>
      </c>
      <c r="BH272" s="119">
        <v>225301</v>
      </c>
      <c r="BI272" s="119">
        <v>225302</v>
      </c>
      <c r="BJ272" s="119">
        <v>225303</v>
      </c>
      <c r="BK272" s="119">
        <v>225304</v>
      </c>
      <c r="BL272" s="119">
        <v>225305</v>
      </c>
      <c r="BM272" s="119">
        <v>225401</v>
      </c>
      <c r="BN272" s="119">
        <v>225501</v>
      </c>
      <c r="BO272" s="119">
        <v>225601</v>
      </c>
      <c r="BP272" s="119">
        <v>225701</v>
      </c>
      <c r="BQ272" s="119">
        <v>225801</v>
      </c>
      <c r="BR272" s="119">
        <v>225901</v>
      </c>
      <c r="BS272" s="119">
        <v>226101</v>
      </c>
      <c r="BT272" s="119">
        <v>226201</v>
      </c>
      <c r="BU272" s="119">
        <v>226301</v>
      </c>
      <c r="BV272" s="119">
        <v>226401</v>
      </c>
      <c r="BW272" s="119">
        <v>227101</v>
      </c>
      <c r="BX272" s="119">
        <v>227102</v>
      </c>
      <c r="BY272" s="119">
        <v>227103</v>
      </c>
      <c r="BZ272" s="119">
        <v>227104</v>
      </c>
      <c r="CA272" s="119">
        <v>227105</v>
      </c>
      <c r="CB272" s="119">
        <v>227106</v>
      </c>
      <c r="CC272" s="119">
        <v>227107</v>
      </c>
      <c r="CD272" s="119">
        <v>227199</v>
      </c>
      <c r="CE272" s="119">
        <v>227201</v>
      </c>
      <c r="CF272" s="119">
        <v>227202</v>
      </c>
      <c r="CG272" s="119">
        <v>227203</v>
      </c>
      <c r="CH272" s="119">
        <v>227204</v>
      </c>
      <c r="CI272" s="119">
        <v>227205</v>
      </c>
      <c r="CJ272" s="119">
        <v>227206</v>
      </c>
      <c r="CK272" s="119">
        <v>227207</v>
      </c>
      <c r="CL272" s="119">
        <v>227208</v>
      </c>
      <c r="CM272" s="119">
        <v>227299</v>
      </c>
      <c r="CN272" s="119">
        <v>227301</v>
      </c>
      <c r="CO272" s="119">
        <v>228101</v>
      </c>
      <c r="CP272" s="119">
        <v>228201</v>
      </c>
      <c r="CQ272" s="119">
        <v>228301</v>
      </c>
      <c r="CR272" s="119">
        <v>228401</v>
      </c>
      <c r="CS272" s="119">
        <v>228501</v>
      </c>
      <c r="CT272" s="119">
        <v>228502</v>
      </c>
      <c r="CU272" s="119">
        <v>228503</v>
      </c>
      <c r="CV272" s="119">
        <v>228601</v>
      </c>
      <c r="CW272" s="119">
        <v>228602</v>
      </c>
      <c r="CX272" s="119">
        <v>228603</v>
      </c>
      <c r="CY272" s="119">
        <v>228604</v>
      </c>
      <c r="CZ272" s="119">
        <v>228701</v>
      </c>
      <c r="DA272" s="119">
        <v>228702</v>
      </c>
      <c r="DB272" s="119">
        <v>228703</v>
      </c>
      <c r="DC272" s="119">
        <v>228704</v>
      </c>
      <c r="DD272" s="119">
        <v>228705</v>
      </c>
      <c r="DE272" s="119">
        <v>228706</v>
      </c>
      <c r="DF272" s="119">
        <v>228801</v>
      </c>
      <c r="DG272" s="119">
        <v>228802</v>
      </c>
      <c r="DH272" s="119">
        <v>228803</v>
      </c>
      <c r="DI272" s="119">
        <v>229201</v>
      </c>
      <c r="DJ272" s="119">
        <v>229203</v>
      </c>
      <c r="DK272" s="119">
        <v>231101</v>
      </c>
      <c r="DL272" s="119">
        <v>231102</v>
      </c>
      <c r="DM272" s="119">
        <v>231201</v>
      </c>
      <c r="DN272" s="119">
        <v>231301</v>
      </c>
      <c r="DO272" s="119">
        <v>231302</v>
      </c>
      <c r="DP272" s="119">
        <v>231303</v>
      </c>
      <c r="DQ272" s="119">
        <v>231401</v>
      </c>
      <c r="DR272" s="119">
        <v>232101</v>
      </c>
      <c r="DS272" s="119">
        <v>232201</v>
      </c>
      <c r="DT272" s="119">
        <v>232301</v>
      </c>
      <c r="DU272" s="119">
        <v>233101</v>
      </c>
      <c r="DV272" s="119">
        <v>233201</v>
      </c>
      <c r="DW272" s="119">
        <v>233301</v>
      </c>
      <c r="DX272" s="119">
        <v>233401</v>
      </c>
      <c r="DY272" s="119">
        <v>233501</v>
      </c>
      <c r="DZ272" s="119">
        <v>233601</v>
      </c>
      <c r="EA272" s="119">
        <v>234101</v>
      </c>
      <c r="EB272" s="119">
        <v>234201</v>
      </c>
      <c r="EC272" s="119">
        <v>235101</v>
      </c>
      <c r="ED272" s="119">
        <v>235201</v>
      </c>
      <c r="EE272" s="119">
        <v>235301</v>
      </c>
      <c r="EF272" s="119">
        <v>235401</v>
      </c>
      <c r="EG272" s="119">
        <v>235501</v>
      </c>
      <c r="EH272" s="119">
        <v>236101</v>
      </c>
      <c r="EI272" s="119">
        <v>236102</v>
      </c>
      <c r="EJ272" s="119">
        <v>236103</v>
      </c>
      <c r="EK272" s="119">
        <v>236104</v>
      </c>
      <c r="EL272" s="119">
        <v>236105</v>
      </c>
      <c r="EM272" s="119">
        <v>236201</v>
      </c>
      <c r="EN272" s="119">
        <v>236202</v>
      </c>
      <c r="EO272" s="119">
        <v>236203</v>
      </c>
      <c r="EP272" s="119">
        <v>236304</v>
      </c>
      <c r="EQ272" s="119">
        <v>236305</v>
      </c>
      <c r="ER272" s="119">
        <v>236306</v>
      </c>
      <c r="ES272" s="119">
        <v>236401</v>
      </c>
      <c r="ET272" s="119">
        <v>236402</v>
      </c>
      <c r="EU272" s="119">
        <v>236403</v>
      </c>
      <c r="EV272" s="119">
        <v>236404</v>
      </c>
      <c r="EW272" s="119">
        <v>236405</v>
      </c>
      <c r="EX272" s="119">
        <v>236406</v>
      </c>
      <c r="EY272" s="119">
        <v>236407</v>
      </c>
      <c r="EZ272" s="119">
        <v>236901</v>
      </c>
      <c r="FA272" s="119">
        <v>237101</v>
      </c>
      <c r="FB272" s="119">
        <v>237102</v>
      </c>
      <c r="FC272" s="119">
        <v>237103</v>
      </c>
      <c r="FD272" s="119">
        <v>237104</v>
      </c>
      <c r="FE272" s="119">
        <v>237105</v>
      </c>
      <c r="FF272" s="119">
        <v>237106</v>
      </c>
      <c r="FG272" s="119">
        <v>237107</v>
      </c>
      <c r="FH272" s="119">
        <v>237201</v>
      </c>
      <c r="FI272" s="119">
        <v>237202</v>
      </c>
      <c r="FJ272" s="119">
        <v>237203</v>
      </c>
      <c r="FK272" s="119">
        <v>237204</v>
      </c>
      <c r="FL272" s="119">
        <v>237205</v>
      </c>
      <c r="FM272" s="119">
        <v>237206</v>
      </c>
      <c r="FN272" s="119">
        <v>237299</v>
      </c>
      <c r="FO272" s="119">
        <v>238101</v>
      </c>
      <c r="FP272" s="119">
        <v>238201</v>
      </c>
      <c r="FQ272" s="119">
        <v>239101</v>
      </c>
      <c r="FR272" s="119">
        <v>239102</v>
      </c>
      <c r="FS272" s="119">
        <v>239201</v>
      </c>
      <c r="FT272" s="119">
        <v>239301</v>
      </c>
      <c r="FU272" s="119">
        <v>239401</v>
      </c>
      <c r="FV272" s="119">
        <v>239501</v>
      </c>
      <c r="FW272" s="119">
        <v>239601</v>
      </c>
      <c r="FX272" s="119">
        <v>239701</v>
      </c>
      <c r="FY272" s="119">
        <v>239801</v>
      </c>
      <c r="FZ272" s="119">
        <v>239802</v>
      </c>
      <c r="GA272" s="119">
        <v>239901</v>
      </c>
      <c r="GB272" s="119">
        <v>239904</v>
      </c>
      <c r="GC272" s="119">
        <v>241201</v>
      </c>
      <c r="GD272" s="119">
        <v>241202</v>
      </c>
      <c r="GE272" s="119">
        <v>241203</v>
      </c>
      <c r="GF272" s="119">
        <v>241204</v>
      </c>
      <c r="GG272" s="119">
        <v>241205</v>
      </c>
      <c r="GH272" s="119">
        <v>261101</v>
      </c>
      <c r="GI272" s="119">
        <v>261201</v>
      </c>
      <c r="GJ272" s="119">
        <v>261301</v>
      </c>
      <c r="GK272" s="119">
        <v>261401</v>
      </c>
      <c r="GL272" s="119">
        <v>261901</v>
      </c>
      <c r="GM272" s="119">
        <v>262101</v>
      </c>
      <c r="GN272" s="119">
        <v>262201</v>
      </c>
      <c r="GO272" s="119">
        <v>262301</v>
      </c>
      <c r="GP272" s="119">
        <v>262401</v>
      </c>
      <c r="GQ272" s="119">
        <v>263101</v>
      </c>
      <c r="GR272" s="119">
        <v>263201</v>
      </c>
      <c r="GS272" s="119">
        <v>263301</v>
      </c>
      <c r="GT272" s="119">
        <v>263401</v>
      </c>
      <c r="GU272" s="119">
        <v>264101</v>
      </c>
      <c r="GV272" s="119">
        <v>264201</v>
      </c>
      <c r="GW272" s="119">
        <v>264301</v>
      </c>
      <c r="GX272" s="119">
        <v>264401</v>
      </c>
      <c r="GY272" s="119">
        <v>264501</v>
      </c>
      <c r="GZ272" s="119">
        <v>264601</v>
      </c>
      <c r="HA272" s="119">
        <v>264701</v>
      </c>
      <c r="HB272" s="119">
        <v>264801</v>
      </c>
      <c r="HC272" s="119">
        <v>265101</v>
      </c>
      <c r="HD272" s="119">
        <v>265201</v>
      </c>
      <c r="HE272" s="119">
        <v>265301</v>
      </c>
      <c r="HF272" s="119">
        <v>265401</v>
      </c>
      <c r="HG272" s="119">
        <v>265501</v>
      </c>
      <c r="HH272" s="119">
        <v>265601</v>
      </c>
      <c r="HI272" s="119">
        <v>265701</v>
      </c>
      <c r="HJ272" s="119">
        <v>265801</v>
      </c>
      <c r="HK272" s="119">
        <v>266101</v>
      </c>
      <c r="HL272" s="119">
        <v>266201</v>
      </c>
      <c r="HM272" s="119">
        <v>267101</v>
      </c>
      <c r="HN272" s="119">
        <v>267201</v>
      </c>
      <c r="HO272" s="119">
        <v>267301</v>
      </c>
      <c r="HP272" s="119">
        <v>267401</v>
      </c>
      <c r="HQ272" s="119">
        <v>267501</v>
      </c>
      <c r="HR272" s="119">
        <v>267601</v>
      </c>
      <c r="HS272" s="119">
        <v>267701</v>
      </c>
      <c r="HT272" s="119">
        <v>267801</v>
      </c>
      <c r="HU272" s="119">
        <v>267901</v>
      </c>
      <c r="HV272" s="119">
        <v>268101</v>
      </c>
      <c r="HW272" s="119">
        <v>268201</v>
      </c>
      <c r="HX272" s="119">
        <v>268301</v>
      </c>
      <c r="HY272" s="119">
        <v>268302</v>
      </c>
      <c r="HZ272" s="119">
        <v>268401</v>
      </c>
      <c r="IA272" s="119">
        <v>268501</v>
      </c>
      <c r="IB272" s="119">
        <v>268601</v>
      </c>
      <c r="IC272" s="119">
        <v>268701</v>
      </c>
      <c r="ID272" s="119">
        <v>268802</v>
      </c>
      <c r="IE272" s="119">
        <v>268803</v>
      </c>
      <c r="IF272" s="119">
        <v>268804</v>
      </c>
      <c r="IG272" s="119">
        <v>268901</v>
      </c>
      <c r="IH272" s="119">
        <v>269101</v>
      </c>
      <c r="II272" s="119">
        <v>269102</v>
      </c>
      <c r="IJ272" s="119">
        <v>269201</v>
      </c>
      <c r="IK272" s="119">
        <v>269202</v>
      </c>
      <c r="IL272" s="119">
        <v>269301</v>
      </c>
      <c r="IM272" s="119">
        <v>269401</v>
      </c>
      <c r="IN272" s="119">
        <v>269501</v>
      </c>
      <c r="IO272" s="119">
        <v>269502</v>
      </c>
      <c r="IP272" s="119">
        <v>269503</v>
      </c>
      <c r="IQ272" s="119">
        <v>2269901</v>
      </c>
      <c r="IR272" s="119">
        <v>271101</v>
      </c>
      <c r="IS272" s="119">
        <v>271201</v>
      </c>
      <c r="IT272" s="119">
        <v>271301</v>
      </c>
      <c r="IU272" s="119">
        <v>271401</v>
      </c>
      <c r="IV272" s="119">
        <v>272101</v>
      </c>
      <c r="IW272" s="119">
        <v>272201</v>
      </c>
      <c r="IX272" s="119">
        <v>272301</v>
      </c>
      <c r="IY272" s="119">
        <v>272401</v>
      </c>
      <c r="IZ272" s="119">
        <v>272501</v>
      </c>
      <c r="JA272" s="119">
        <v>272601</v>
      </c>
      <c r="JB272" s="119">
        <v>272701</v>
      </c>
      <c r="JC272" s="119">
        <v>272801</v>
      </c>
      <c r="JD272" s="119">
        <v>272901</v>
      </c>
      <c r="JE272" s="119">
        <v>273101</v>
      </c>
      <c r="JF272" s="119">
        <v>273201</v>
      </c>
      <c r="JG272" s="119">
        <v>274101</v>
      </c>
      <c r="JH272" s="119">
        <v>274201</v>
      </c>
      <c r="JI272" s="156">
        <v>202598263.41</v>
      </c>
      <c r="JJ272" s="124"/>
      <c r="JK272" s="124"/>
      <c r="JL272" s="168"/>
      <c r="JM272" s="168"/>
      <c r="JN272" s="168"/>
      <c r="JO272" s="168"/>
      <c r="JP272" s="168"/>
      <c r="AQW272" s="168"/>
    </row>
    <row r="273" spans="1:276 1141:1141" x14ac:dyDescent="0.3">
      <c r="A273" s="392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  <c r="L273" s="392"/>
      <c r="M273" s="392"/>
      <c r="N273" s="392"/>
      <c r="O273" s="392"/>
      <c r="P273" s="392"/>
      <c r="Q273" s="392"/>
      <c r="R273" s="392"/>
      <c r="S273" s="392"/>
      <c r="T273" s="392"/>
      <c r="U273" s="392"/>
      <c r="V273" s="392"/>
      <c r="W273" s="392"/>
      <c r="X273" s="392"/>
      <c r="Y273" s="392"/>
      <c r="Z273" s="392"/>
      <c r="AA273" s="392"/>
      <c r="AB273" s="392"/>
      <c r="AC273" s="392"/>
      <c r="AD273" s="392"/>
      <c r="AE273" s="392"/>
      <c r="AF273" s="392"/>
      <c r="AG273" s="392"/>
      <c r="AH273" s="392"/>
      <c r="AI273" s="392"/>
      <c r="AJ273" s="392"/>
      <c r="AK273" s="392"/>
      <c r="AL273" s="392"/>
      <c r="AM273" s="392"/>
      <c r="AN273" s="392"/>
      <c r="AO273" s="392"/>
      <c r="AP273" s="392"/>
      <c r="AQ273" s="392"/>
      <c r="AR273" s="392"/>
      <c r="AS273" s="392"/>
      <c r="AT273" s="392"/>
      <c r="AU273" s="392"/>
      <c r="AV273" s="392"/>
      <c r="AW273" s="392"/>
      <c r="AX273" s="392"/>
      <c r="AY273" s="392"/>
      <c r="AZ273" s="392"/>
      <c r="BA273" s="392"/>
      <c r="BB273" s="392"/>
      <c r="BC273" s="392"/>
      <c r="BD273" s="392"/>
      <c r="BE273" s="392"/>
      <c r="BF273" s="392"/>
      <c r="BG273" s="392"/>
      <c r="BH273" s="392"/>
      <c r="BI273" s="392"/>
      <c r="BJ273" s="392"/>
      <c r="BK273" s="392"/>
      <c r="BL273" s="392"/>
      <c r="BM273" s="392"/>
      <c r="BN273" s="392"/>
      <c r="BO273" s="392"/>
      <c r="BP273" s="392"/>
      <c r="BQ273" s="392"/>
      <c r="BR273" s="392"/>
      <c r="BS273" s="392"/>
      <c r="BT273" s="392"/>
      <c r="BU273" s="392"/>
      <c r="BV273" s="392"/>
      <c r="BW273" s="392"/>
      <c r="BX273" s="392"/>
      <c r="BY273" s="392"/>
      <c r="BZ273" s="392"/>
      <c r="CA273" s="392"/>
      <c r="CB273" s="392"/>
      <c r="CC273" s="392"/>
      <c r="CD273" s="392"/>
      <c r="CE273" s="392"/>
      <c r="CF273" s="392"/>
      <c r="CG273" s="392"/>
      <c r="CH273" s="392"/>
      <c r="CI273" s="392"/>
      <c r="CJ273" s="392"/>
      <c r="CK273" s="392"/>
      <c r="CL273" s="392"/>
      <c r="CM273" s="392"/>
      <c r="CN273" s="392"/>
      <c r="CO273" s="392"/>
      <c r="CP273" s="392"/>
      <c r="CQ273" s="392"/>
      <c r="CR273" s="392"/>
      <c r="CS273" s="392"/>
      <c r="CT273" s="392"/>
      <c r="CU273" s="392"/>
      <c r="CV273" s="392"/>
      <c r="CW273" s="392"/>
      <c r="CX273" s="392"/>
      <c r="CY273" s="392"/>
      <c r="CZ273" s="392"/>
      <c r="DA273" s="392"/>
      <c r="DB273" s="392"/>
      <c r="DC273" s="392"/>
      <c r="DD273" s="392"/>
      <c r="DE273" s="392"/>
      <c r="DF273" s="392"/>
      <c r="DG273" s="392"/>
      <c r="DH273" s="392"/>
      <c r="DI273" s="392"/>
      <c r="DJ273" s="392"/>
      <c r="DK273" s="392"/>
      <c r="DL273" s="392"/>
      <c r="DM273" s="392"/>
      <c r="DN273" s="392"/>
      <c r="DO273" s="392"/>
      <c r="DP273" s="392"/>
      <c r="DQ273" s="392"/>
      <c r="DR273" s="392"/>
      <c r="DS273" s="392"/>
      <c r="DT273" s="392"/>
      <c r="DU273" s="392"/>
      <c r="DV273" s="392"/>
      <c r="DW273" s="392"/>
      <c r="DX273" s="392"/>
      <c r="DY273" s="392"/>
      <c r="DZ273" s="392"/>
      <c r="EA273" s="392"/>
      <c r="EB273" s="392"/>
      <c r="EC273" s="392"/>
      <c r="ED273" s="392"/>
      <c r="EE273" s="392"/>
      <c r="EF273" s="392"/>
      <c r="EG273" s="392"/>
      <c r="EH273" s="392"/>
      <c r="EI273" s="392"/>
      <c r="EJ273" s="392"/>
      <c r="EK273" s="392"/>
      <c r="EL273" s="392"/>
      <c r="EM273" s="392"/>
      <c r="EN273" s="392"/>
      <c r="EO273" s="392"/>
      <c r="EP273" s="392"/>
      <c r="EQ273" s="392"/>
      <c r="ER273" s="392"/>
      <c r="ES273" s="392"/>
      <c r="ET273" s="392"/>
      <c r="EU273" s="392"/>
      <c r="EV273" s="392"/>
      <c r="EW273" s="392"/>
      <c r="EX273" s="392"/>
      <c r="EY273" s="392"/>
      <c r="EZ273" s="392"/>
      <c r="FA273" s="392"/>
      <c r="FB273" s="392"/>
      <c r="FC273" s="392"/>
      <c r="FD273" s="392"/>
      <c r="FE273" s="392"/>
      <c r="FF273" s="392"/>
      <c r="FG273" s="392"/>
      <c r="FH273" s="392"/>
      <c r="FI273" s="392"/>
      <c r="FJ273" s="392"/>
      <c r="FK273" s="392"/>
      <c r="FL273" s="392"/>
      <c r="FM273" s="392"/>
      <c r="FN273" s="392"/>
      <c r="FO273" s="392"/>
      <c r="FP273" s="392"/>
      <c r="FQ273" s="392"/>
      <c r="FR273" s="392"/>
      <c r="FS273" s="392"/>
      <c r="FT273" s="392"/>
      <c r="FU273" s="392"/>
      <c r="FV273" s="392"/>
      <c r="FW273" s="392"/>
      <c r="FX273" s="392"/>
      <c r="FY273" s="392"/>
      <c r="FZ273" s="392"/>
      <c r="GA273" s="392"/>
      <c r="GB273" s="392"/>
      <c r="GC273" s="392"/>
      <c r="GD273" s="392"/>
      <c r="GE273" s="392"/>
      <c r="GF273" s="392"/>
      <c r="GG273" s="392"/>
      <c r="GH273" s="392"/>
      <c r="GI273" s="392"/>
      <c r="GJ273" s="392"/>
      <c r="GK273" s="392"/>
      <c r="GL273" s="392"/>
      <c r="GM273" s="392"/>
      <c r="GN273" s="392"/>
      <c r="GO273" s="392"/>
      <c r="GP273" s="392"/>
      <c r="GQ273" s="392"/>
      <c r="GR273" s="392"/>
      <c r="GS273" s="392"/>
      <c r="GT273" s="392"/>
      <c r="GU273" s="392"/>
      <c r="GV273" s="392"/>
      <c r="GW273" s="392"/>
      <c r="GX273" s="392"/>
      <c r="GY273" s="392"/>
      <c r="GZ273" s="392"/>
      <c r="HA273" s="392"/>
      <c r="HB273" s="392"/>
      <c r="HC273" s="392"/>
      <c r="HD273" s="392"/>
      <c r="HE273" s="392"/>
      <c r="HF273" s="392"/>
      <c r="HG273" s="392"/>
      <c r="HH273" s="392"/>
      <c r="HI273" s="392"/>
      <c r="HJ273" s="392"/>
      <c r="HK273" s="392"/>
      <c r="HL273" s="392"/>
      <c r="HM273" s="392"/>
      <c r="HN273" s="392"/>
      <c r="HO273" s="392"/>
      <c r="HP273" s="392"/>
      <c r="HQ273" s="392"/>
      <c r="HR273" s="392"/>
      <c r="HS273" s="392"/>
      <c r="HT273" s="392"/>
      <c r="HU273" s="392"/>
      <c r="HV273" s="392"/>
      <c r="HW273" s="392"/>
      <c r="HX273" s="392"/>
      <c r="HY273" s="392"/>
      <c r="HZ273" s="392"/>
      <c r="IA273" s="392"/>
      <c r="IB273" s="392"/>
      <c r="IC273" s="392"/>
      <c r="ID273" s="392"/>
      <c r="IE273" s="392"/>
      <c r="IF273" s="392"/>
      <c r="IG273" s="392"/>
      <c r="IH273" s="392"/>
      <c r="II273" s="392"/>
      <c r="IJ273" s="392"/>
      <c r="IK273" s="392"/>
      <c r="IL273" s="392"/>
      <c r="IM273" s="392"/>
      <c r="IN273" s="392"/>
      <c r="IO273" s="392"/>
      <c r="IP273" s="392"/>
      <c r="IQ273" s="392"/>
      <c r="IR273" s="392"/>
      <c r="IS273" s="392"/>
      <c r="IT273" s="392"/>
      <c r="IU273" s="392"/>
      <c r="IV273" s="392"/>
      <c r="IW273" s="392"/>
      <c r="IX273" s="392"/>
      <c r="IY273" s="392"/>
      <c r="IZ273" s="392"/>
      <c r="JA273" s="392"/>
      <c r="JB273" s="392"/>
      <c r="JC273" s="392"/>
      <c r="JD273" s="392"/>
      <c r="JE273" s="392"/>
      <c r="JF273" s="392"/>
      <c r="JG273" s="392"/>
      <c r="JH273" s="392"/>
      <c r="JI273" s="393">
        <f>+JI271-JI272</f>
        <v>-132536482.30000001</v>
      </c>
      <c r="JJ273" s="2"/>
      <c r="JK273" s="2"/>
      <c r="JL273" s="1"/>
      <c r="JM273" s="1"/>
      <c r="JN273" s="1"/>
      <c r="JO273" s="1"/>
      <c r="JP273" s="1"/>
    </row>
    <row r="274" spans="1:276 1141:1141" x14ac:dyDescent="0.3">
      <c r="A274" s="392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  <c r="L274" s="392"/>
      <c r="M274" s="392"/>
      <c r="N274" s="392"/>
      <c r="O274" s="392"/>
      <c r="P274" s="392"/>
      <c r="Q274" s="392"/>
      <c r="R274" s="392"/>
      <c r="S274" s="392"/>
      <c r="T274" s="392"/>
      <c r="U274" s="392"/>
      <c r="V274" s="392"/>
      <c r="W274" s="392"/>
      <c r="X274" s="392"/>
      <c r="Y274" s="392"/>
      <c r="Z274" s="392"/>
      <c r="AA274" s="392"/>
      <c r="AB274" s="392"/>
      <c r="AC274" s="392"/>
      <c r="AD274" s="392"/>
      <c r="AE274" s="392"/>
      <c r="AF274" s="392"/>
      <c r="AG274" s="392"/>
      <c r="AH274" s="392"/>
      <c r="AI274" s="392"/>
      <c r="AJ274" s="392"/>
      <c r="AK274" s="392"/>
      <c r="AL274" s="392"/>
      <c r="AM274" s="392"/>
      <c r="AN274" s="392"/>
      <c r="AO274" s="392"/>
      <c r="AP274" s="392"/>
      <c r="AQ274" s="392"/>
      <c r="AR274" s="392"/>
      <c r="AS274" s="392"/>
      <c r="AT274" s="392"/>
      <c r="AU274" s="392"/>
      <c r="AV274" s="392"/>
      <c r="AW274" s="392"/>
      <c r="AX274" s="392"/>
      <c r="AY274" s="392"/>
      <c r="AZ274" s="392"/>
      <c r="BA274" s="392"/>
      <c r="BB274" s="392"/>
      <c r="BC274" s="392"/>
      <c r="BD274" s="392"/>
      <c r="BE274" s="392"/>
      <c r="BF274" s="392"/>
      <c r="BG274" s="392"/>
      <c r="BH274" s="392"/>
      <c r="BI274" s="392"/>
      <c r="BJ274" s="392"/>
      <c r="BK274" s="392"/>
      <c r="BL274" s="392"/>
      <c r="BM274" s="392"/>
      <c r="BN274" s="392"/>
      <c r="BO274" s="392"/>
      <c r="BP274" s="392"/>
      <c r="BQ274" s="392"/>
      <c r="BR274" s="392"/>
      <c r="BS274" s="392"/>
      <c r="BT274" s="392"/>
      <c r="BU274" s="392"/>
      <c r="BV274" s="392"/>
      <c r="BW274" s="392"/>
      <c r="BX274" s="392"/>
      <c r="BY274" s="392"/>
      <c r="BZ274" s="392"/>
      <c r="CA274" s="392"/>
      <c r="CB274" s="392"/>
      <c r="CC274" s="392"/>
      <c r="CD274" s="392"/>
      <c r="CE274" s="392"/>
      <c r="CF274" s="392"/>
      <c r="CG274" s="392"/>
      <c r="CH274" s="392"/>
      <c r="CI274" s="392"/>
      <c r="CJ274" s="392"/>
      <c r="CK274" s="392"/>
      <c r="CL274" s="392"/>
      <c r="CM274" s="392"/>
      <c r="CN274" s="392"/>
      <c r="CO274" s="392"/>
      <c r="CP274" s="392"/>
      <c r="CQ274" s="392"/>
      <c r="CR274" s="392"/>
      <c r="CS274" s="392"/>
      <c r="CT274" s="392"/>
      <c r="CU274" s="392"/>
      <c r="CV274" s="392"/>
      <c r="CW274" s="392"/>
      <c r="CX274" s="392"/>
      <c r="CY274" s="392"/>
      <c r="CZ274" s="392"/>
      <c r="DA274" s="392"/>
      <c r="DB274" s="392"/>
      <c r="DC274" s="392"/>
      <c r="DD274" s="392"/>
      <c r="DE274" s="392"/>
      <c r="DF274" s="392"/>
      <c r="DG274" s="392"/>
      <c r="DH274" s="392"/>
      <c r="DI274" s="392"/>
      <c r="DJ274" s="392"/>
      <c r="DK274" s="392"/>
      <c r="DL274" s="392"/>
      <c r="DM274" s="392"/>
      <c r="DN274" s="392"/>
      <c r="DO274" s="392"/>
      <c r="DP274" s="392"/>
      <c r="DQ274" s="392"/>
      <c r="DR274" s="392"/>
      <c r="DS274" s="392"/>
      <c r="DT274" s="392"/>
      <c r="DU274" s="392"/>
      <c r="DV274" s="392"/>
      <c r="DW274" s="392"/>
      <c r="DX274" s="392"/>
      <c r="DY274" s="392"/>
      <c r="DZ274" s="392"/>
      <c r="EA274" s="392"/>
      <c r="EB274" s="392"/>
      <c r="EC274" s="392"/>
      <c r="ED274" s="392"/>
      <c r="EE274" s="392"/>
      <c r="EF274" s="392"/>
      <c r="EG274" s="392"/>
      <c r="EH274" s="392"/>
      <c r="EI274" s="392"/>
      <c r="EJ274" s="392"/>
      <c r="EK274" s="392"/>
      <c r="EL274" s="392"/>
      <c r="EM274" s="392"/>
      <c r="EN274" s="392"/>
      <c r="EO274" s="392"/>
      <c r="EP274" s="392"/>
      <c r="EQ274" s="392"/>
      <c r="ER274" s="392"/>
      <c r="ES274" s="392"/>
      <c r="ET274" s="392"/>
      <c r="EU274" s="392"/>
      <c r="EV274" s="392"/>
      <c r="EW274" s="392"/>
      <c r="EX274" s="392"/>
      <c r="EY274" s="392"/>
      <c r="EZ274" s="392"/>
      <c r="FA274" s="392"/>
      <c r="FB274" s="392"/>
      <c r="FC274" s="392"/>
      <c r="FD274" s="392"/>
      <c r="FE274" s="392"/>
      <c r="FF274" s="392"/>
      <c r="FG274" s="392"/>
      <c r="FH274" s="392"/>
      <c r="FI274" s="392"/>
      <c r="FJ274" s="392"/>
      <c r="FK274" s="392"/>
      <c r="FL274" s="392"/>
      <c r="FM274" s="392"/>
      <c r="FN274" s="392"/>
      <c r="FO274" s="392"/>
      <c r="FP274" s="392"/>
      <c r="FQ274" s="392"/>
      <c r="FR274" s="392"/>
      <c r="FS274" s="392"/>
      <c r="FT274" s="392"/>
      <c r="FU274" s="392"/>
      <c r="FV274" s="392"/>
      <c r="FW274" s="392"/>
      <c r="FX274" s="392"/>
      <c r="FY274" s="392"/>
      <c r="FZ274" s="392"/>
      <c r="GA274" s="392"/>
      <c r="GB274" s="392"/>
      <c r="GC274" s="392"/>
      <c r="GD274" s="392"/>
      <c r="GE274" s="392"/>
      <c r="GF274" s="392"/>
      <c r="GG274" s="392"/>
      <c r="GH274" s="392"/>
      <c r="GI274" s="392"/>
      <c r="GJ274" s="392"/>
      <c r="GK274" s="392"/>
      <c r="GL274" s="392"/>
      <c r="GM274" s="392"/>
      <c r="GN274" s="392"/>
      <c r="GO274" s="392"/>
      <c r="GP274" s="392"/>
      <c r="GQ274" s="392"/>
      <c r="GR274" s="392"/>
      <c r="GS274" s="392"/>
      <c r="GT274" s="392"/>
      <c r="GU274" s="392"/>
      <c r="GV274" s="392"/>
      <c r="GW274" s="392"/>
      <c r="GX274" s="392"/>
      <c r="GY274" s="392"/>
      <c r="GZ274" s="392"/>
      <c r="HA274" s="392"/>
      <c r="HB274" s="392"/>
      <c r="HC274" s="392"/>
      <c r="HD274" s="392"/>
      <c r="HE274" s="392"/>
      <c r="HF274" s="392"/>
      <c r="HG274" s="392"/>
      <c r="HH274" s="392"/>
      <c r="HI274" s="392"/>
      <c r="HJ274" s="392"/>
      <c r="HK274" s="392"/>
      <c r="HL274" s="392"/>
      <c r="HM274" s="392"/>
      <c r="HN274" s="392"/>
      <c r="HO274" s="392"/>
      <c r="HP274" s="392"/>
      <c r="HQ274" s="392"/>
      <c r="HR274" s="392"/>
      <c r="HS274" s="392"/>
      <c r="HT274" s="392"/>
      <c r="HU274" s="392"/>
      <c r="HV274" s="392"/>
      <c r="HW274" s="392"/>
      <c r="HX274" s="392"/>
      <c r="HY274" s="392"/>
      <c r="HZ274" s="392"/>
      <c r="IA274" s="392"/>
      <c r="IB274" s="392"/>
      <c r="IC274" s="392"/>
      <c r="ID274" s="392"/>
      <c r="IE274" s="392"/>
      <c r="IF274" s="392"/>
      <c r="IG274" s="392"/>
      <c r="IH274" s="392"/>
      <c r="II274" s="392"/>
      <c r="IJ274" s="392"/>
      <c r="IK274" s="392"/>
      <c r="IL274" s="392"/>
      <c r="IM274" s="392"/>
      <c r="IN274" s="392"/>
      <c r="IO274" s="392"/>
      <c r="IP274" s="392"/>
      <c r="IQ274" s="392"/>
      <c r="IR274" s="392"/>
      <c r="IS274" s="392"/>
      <c r="IT274" s="392"/>
      <c r="IU274" s="392"/>
      <c r="IV274" s="392"/>
      <c r="IW274" s="392"/>
      <c r="IX274" s="392"/>
      <c r="IY274" s="392"/>
      <c r="IZ274" s="392"/>
      <c r="JA274" s="392"/>
      <c r="JB274" s="392"/>
      <c r="JC274" s="392"/>
      <c r="JD274" s="392"/>
      <c r="JE274" s="392"/>
      <c r="JF274" s="392"/>
      <c r="JG274" s="392"/>
      <c r="JH274" s="392"/>
      <c r="JI274" s="393"/>
      <c r="JJ274" s="2"/>
      <c r="JK274" s="2"/>
      <c r="JL274" s="1"/>
      <c r="JM274" s="1"/>
      <c r="JN274" s="1"/>
      <c r="JO274" s="1"/>
      <c r="JP274" s="1"/>
    </row>
    <row r="275" spans="1:276 1141:1141" x14ac:dyDescent="0.3">
      <c r="A275" s="392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  <c r="L275" s="392"/>
      <c r="M275" s="392"/>
      <c r="N275" s="392"/>
      <c r="O275" s="392"/>
      <c r="P275" s="392"/>
      <c r="Q275" s="392"/>
      <c r="R275" s="392"/>
      <c r="S275" s="392"/>
      <c r="T275" s="392"/>
      <c r="U275" s="392"/>
      <c r="V275" s="392"/>
      <c r="W275" s="392"/>
      <c r="X275" s="392"/>
      <c r="Y275" s="392"/>
      <c r="Z275" s="392"/>
      <c r="AA275" s="392"/>
      <c r="AB275" s="392"/>
      <c r="AC275" s="392"/>
      <c r="AD275" s="392"/>
      <c r="AE275" s="392"/>
      <c r="AF275" s="392"/>
      <c r="AG275" s="392"/>
      <c r="AH275" s="392"/>
      <c r="AI275" s="392"/>
      <c r="AJ275" s="392"/>
      <c r="AK275" s="392"/>
      <c r="AL275" s="392"/>
      <c r="AM275" s="392"/>
      <c r="AN275" s="392"/>
      <c r="AO275" s="392"/>
      <c r="AP275" s="392"/>
      <c r="AQ275" s="392"/>
      <c r="AR275" s="392"/>
      <c r="AS275" s="392"/>
      <c r="AT275" s="392"/>
      <c r="AU275" s="392"/>
      <c r="AV275" s="392"/>
      <c r="AW275" s="392"/>
      <c r="AX275" s="392"/>
      <c r="AY275" s="392"/>
      <c r="AZ275" s="392"/>
      <c r="BA275" s="392"/>
      <c r="BB275" s="392"/>
      <c r="BC275" s="392"/>
      <c r="BD275" s="392"/>
      <c r="BE275" s="392"/>
      <c r="BF275" s="392"/>
      <c r="BG275" s="392"/>
      <c r="BH275" s="392"/>
      <c r="BI275" s="392"/>
      <c r="BJ275" s="392"/>
      <c r="BK275" s="392"/>
      <c r="BL275" s="392"/>
      <c r="BM275" s="392"/>
      <c r="BN275" s="392"/>
      <c r="BO275" s="392"/>
      <c r="BP275" s="392"/>
      <c r="BQ275" s="392"/>
      <c r="BR275" s="392"/>
      <c r="BS275" s="392"/>
      <c r="BT275" s="392"/>
      <c r="BU275" s="392"/>
      <c r="BV275" s="392"/>
      <c r="BW275" s="392"/>
      <c r="BX275" s="392"/>
      <c r="BY275" s="392"/>
      <c r="BZ275" s="392"/>
      <c r="CA275" s="392"/>
      <c r="CB275" s="392"/>
      <c r="CC275" s="392"/>
      <c r="CD275" s="392"/>
      <c r="CE275" s="392"/>
      <c r="CF275" s="392"/>
      <c r="CG275" s="392"/>
      <c r="CH275" s="392"/>
      <c r="CI275" s="392"/>
      <c r="CJ275" s="392"/>
      <c r="CK275" s="392"/>
      <c r="CL275" s="392"/>
      <c r="CM275" s="392"/>
      <c r="CN275" s="392"/>
      <c r="CO275" s="392"/>
      <c r="CP275" s="392"/>
      <c r="CQ275" s="392"/>
      <c r="CR275" s="392"/>
      <c r="CS275" s="392"/>
      <c r="CT275" s="392"/>
      <c r="CU275" s="392"/>
      <c r="CV275" s="392"/>
      <c r="CW275" s="392"/>
      <c r="CX275" s="392"/>
      <c r="CY275" s="392"/>
      <c r="CZ275" s="392"/>
      <c r="DA275" s="392"/>
      <c r="DB275" s="392"/>
      <c r="DC275" s="392"/>
      <c r="DD275" s="392"/>
      <c r="DE275" s="392"/>
      <c r="DF275" s="392"/>
      <c r="DG275" s="392"/>
      <c r="DH275" s="392"/>
      <c r="DI275" s="392"/>
      <c r="DJ275" s="392"/>
      <c r="DK275" s="392"/>
      <c r="DL275" s="392"/>
      <c r="DM275" s="392"/>
      <c r="DN275" s="392"/>
      <c r="DO275" s="392"/>
      <c r="DP275" s="392"/>
      <c r="DQ275" s="392"/>
      <c r="DR275" s="392"/>
      <c r="DS275" s="392"/>
      <c r="DT275" s="392"/>
      <c r="DU275" s="392"/>
      <c r="DV275" s="392"/>
      <c r="DW275" s="392"/>
      <c r="DX275" s="392"/>
      <c r="DY275" s="392"/>
      <c r="DZ275" s="392"/>
      <c r="EA275" s="392"/>
      <c r="EB275" s="392"/>
      <c r="EC275" s="392"/>
      <c r="ED275" s="392"/>
      <c r="EE275" s="392"/>
      <c r="EF275" s="392"/>
      <c r="EG275" s="392"/>
      <c r="EH275" s="392"/>
      <c r="EI275" s="392"/>
      <c r="EJ275" s="392"/>
      <c r="EK275" s="392"/>
      <c r="EL275" s="392"/>
      <c r="EM275" s="392"/>
      <c r="EN275" s="392"/>
      <c r="EO275" s="392"/>
      <c r="EP275" s="392"/>
      <c r="EQ275" s="392"/>
      <c r="ER275" s="392"/>
      <c r="ES275" s="392"/>
      <c r="ET275" s="392"/>
      <c r="EU275" s="392"/>
      <c r="EV275" s="392"/>
      <c r="EW275" s="392"/>
      <c r="EX275" s="392"/>
      <c r="EY275" s="392"/>
      <c r="EZ275" s="392"/>
      <c r="FA275" s="392"/>
      <c r="FB275" s="392"/>
      <c r="FC275" s="392"/>
      <c r="FD275" s="392"/>
      <c r="FE275" s="392"/>
      <c r="FF275" s="392"/>
      <c r="FG275" s="392"/>
      <c r="FH275" s="392"/>
      <c r="FI275" s="392"/>
      <c r="FJ275" s="392"/>
      <c r="FK275" s="392"/>
      <c r="FL275" s="392"/>
      <c r="FM275" s="392"/>
      <c r="FN275" s="392"/>
      <c r="FO275" s="392"/>
      <c r="FP275" s="392"/>
      <c r="FQ275" s="392"/>
      <c r="FR275" s="392"/>
      <c r="FS275" s="392"/>
      <c r="FT275" s="392"/>
      <c r="FU275" s="392"/>
      <c r="FV275" s="392"/>
      <c r="FW275" s="392"/>
      <c r="FX275" s="392"/>
      <c r="FY275" s="392"/>
      <c r="FZ275" s="392"/>
      <c r="GA275" s="392"/>
      <c r="GB275" s="392"/>
      <c r="GC275" s="392"/>
      <c r="GD275" s="392"/>
      <c r="GE275" s="392"/>
      <c r="GF275" s="392"/>
      <c r="GG275" s="392"/>
      <c r="GH275" s="392"/>
      <c r="GI275" s="392"/>
      <c r="GJ275" s="392"/>
      <c r="GK275" s="392"/>
      <c r="GL275" s="392"/>
      <c r="GM275" s="392"/>
      <c r="GN275" s="392"/>
      <c r="GO275" s="392"/>
      <c r="GP275" s="392"/>
      <c r="GQ275" s="392"/>
      <c r="GR275" s="392"/>
      <c r="GS275" s="392"/>
      <c r="GT275" s="392"/>
      <c r="GU275" s="392"/>
      <c r="GV275" s="392"/>
      <c r="GW275" s="392"/>
      <c r="GX275" s="392"/>
      <c r="GY275" s="392"/>
      <c r="GZ275" s="392"/>
      <c r="HA275" s="392"/>
      <c r="HB275" s="392"/>
      <c r="HC275" s="392"/>
      <c r="HD275" s="392"/>
      <c r="HE275" s="392"/>
      <c r="HF275" s="392"/>
      <c r="HG275" s="392"/>
      <c r="HH275" s="392"/>
      <c r="HI275" s="392"/>
      <c r="HJ275" s="392"/>
      <c r="HK275" s="392"/>
      <c r="HL275" s="392"/>
      <c r="HM275" s="392"/>
      <c r="HN275" s="392"/>
      <c r="HO275" s="392"/>
      <c r="HP275" s="392"/>
      <c r="HQ275" s="392"/>
      <c r="HR275" s="392"/>
      <c r="HS275" s="392"/>
      <c r="HT275" s="392"/>
      <c r="HU275" s="392"/>
      <c r="HV275" s="392"/>
      <c r="HW275" s="392"/>
      <c r="HX275" s="392"/>
      <c r="HY275" s="392"/>
      <c r="HZ275" s="392"/>
      <c r="IA275" s="392"/>
      <c r="IB275" s="392"/>
      <c r="IC275" s="392"/>
      <c r="ID275" s="392"/>
      <c r="IE275" s="392"/>
      <c r="IF275" s="392"/>
      <c r="IG275" s="392"/>
      <c r="IH275" s="392"/>
      <c r="II275" s="392"/>
      <c r="IJ275" s="392"/>
      <c r="IK275" s="392"/>
      <c r="IL275" s="392"/>
      <c r="IM275" s="392"/>
      <c r="IN275" s="392"/>
      <c r="IO275" s="392"/>
      <c r="IP275" s="392"/>
      <c r="IQ275" s="392"/>
      <c r="IR275" s="392"/>
      <c r="IS275" s="392"/>
      <c r="IT275" s="392"/>
      <c r="IU275" s="392"/>
      <c r="IV275" s="392"/>
      <c r="IW275" s="392"/>
      <c r="IX275" s="392"/>
      <c r="IY275" s="392"/>
      <c r="IZ275" s="392"/>
      <c r="JA275" s="392"/>
      <c r="JB275" s="392"/>
      <c r="JC275" s="392"/>
      <c r="JD275" s="392"/>
      <c r="JE275" s="392"/>
      <c r="JF275" s="392"/>
      <c r="JG275" s="392"/>
      <c r="JH275" s="392"/>
      <c r="JI275" s="393">
        <f t="shared" ref="JI275:JI287" si="16">SUM(A275:JH275)</f>
        <v>0</v>
      </c>
      <c r="JJ275" s="2"/>
      <c r="JK275" s="2"/>
      <c r="JL275" s="1"/>
      <c r="JM275" s="1"/>
      <c r="JN275" s="1"/>
      <c r="JO275" s="1"/>
      <c r="JP275" s="1"/>
    </row>
    <row r="276" spans="1:276 1141:1141" x14ac:dyDescent="0.3">
      <c r="A276" s="392"/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  <c r="L276" s="392"/>
      <c r="M276" s="392"/>
      <c r="N276" s="392"/>
      <c r="O276" s="392"/>
      <c r="P276" s="392"/>
      <c r="Q276" s="392"/>
      <c r="R276" s="392"/>
      <c r="S276" s="392"/>
      <c r="T276" s="392"/>
      <c r="U276" s="392"/>
      <c r="V276" s="392"/>
      <c r="W276" s="392"/>
      <c r="X276" s="392"/>
      <c r="Y276" s="392"/>
      <c r="Z276" s="392"/>
      <c r="AA276" s="392"/>
      <c r="AB276" s="392"/>
      <c r="AC276" s="392"/>
      <c r="AD276" s="392"/>
      <c r="AE276" s="392"/>
      <c r="AF276" s="392"/>
      <c r="AG276" s="392"/>
      <c r="AH276" s="392"/>
      <c r="AI276" s="392"/>
      <c r="AJ276" s="392"/>
      <c r="AK276" s="392"/>
      <c r="AL276" s="392"/>
      <c r="AM276" s="392"/>
      <c r="AN276" s="392"/>
      <c r="AO276" s="392"/>
      <c r="AP276" s="392"/>
      <c r="AQ276" s="392"/>
      <c r="AR276" s="392"/>
      <c r="AS276" s="392"/>
      <c r="AT276" s="392"/>
      <c r="AU276" s="392"/>
      <c r="AV276" s="392"/>
      <c r="AW276" s="392"/>
      <c r="AX276" s="392"/>
      <c r="AY276" s="392"/>
      <c r="AZ276" s="392"/>
      <c r="BA276" s="392"/>
      <c r="BB276" s="392"/>
      <c r="BC276" s="392"/>
      <c r="BD276" s="392"/>
      <c r="BE276" s="392"/>
      <c r="BF276" s="392"/>
      <c r="BG276" s="392"/>
      <c r="BH276" s="392"/>
      <c r="BI276" s="392"/>
      <c r="BJ276" s="392"/>
      <c r="BK276" s="392"/>
      <c r="BL276" s="392"/>
      <c r="BM276" s="392"/>
      <c r="BN276" s="392"/>
      <c r="BO276" s="392"/>
      <c r="BP276" s="392"/>
      <c r="BQ276" s="392"/>
      <c r="BR276" s="392"/>
      <c r="BS276" s="392"/>
      <c r="BT276" s="392"/>
      <c r="BU276" s="392"/>
      <c r="BV276" s="392"/>
      <c r="BW276" s="392"/>
      <c r="BX276" s="392"/>
      <c r="BY276" s="392"/>
      <c r="BZ276" s="392"/>
      <c r="CA276" s="392"/>
      <c r="CB276" s="392"/>
      <c r="CC276" s="392"/>
      <c r="CD276" s="392"/>
      <c r="CE276" s="392"/>
      <c r="CF276" s="392"/>
      <c r="CG276" s="392"/>
      <c r="CH276" s="392"/>
      <c r="CI276" s="392"/>
      <c r="CJ276" s="392"/>
      <c r="CK276" s="392"/>
      <c r="CL276" s="392"/>
      <c r="CM276" s="392"/>
      <c r="CN276" s="392"/>
      <c r="CO276" s="392"/>
      <c r="CP276" s="392"/>
      <c r="CQ276" s="392"/>
      <c r="CR276" s="392"/>
      <c r="CS276" s="392"/>
      <c r="CT276" s="392"/>
      <c r="CU276" s="392"/>
      <c r="CV276" s="392"/>
      <c r="CW276" s="392"/>
      <c r="CX276" s="392"/>
      <c r="CY276" s="392"/>
      <c r="CZ276" s="392"/>
      <c r="DA276" s="392"/>
      <c r="DB276" s="392"/>
      <c r="DC276" s="392"/>
      <c r="DD276" s="392"/>
      <c r="DE276" s="392"/>
      <c r="DF276" s="392"/>
      <c r="DG276" s="392"/>
      <c r="DH276" s="392"/>
      <c r="DI276" s="392"/>
      <c r="DJ276" s="392"/>
      <c r="DK276" s="392"/>
      <c r="DL276" s="392"/>
      <c r="DM276" s="392"/>
      <c r="DN276" s="392"/>
      <c r="DO276" s="392"/>
      <c r="DP276" s="392"/>
      <c r="DQ276" s="392"/>
      <c r="DR276" s="392"/>
      <c r="DS276" s="392"/>
      <c r="DT276" s="392"/>
      <c r="DU276" s="392"/>
      <c r="DV276" s="392"/>
      <c r="DW276" s="392"/>
      <c r="DX276" s="392"/>
      <c r="DY276" s="392"/>
      <c r="DZ276" s="392"/>
      <c r="EA276" s="392"/>
      <c r="EB276" s="392"/>
      <c r="EC276" s="392"/>
      <c r="ED276" s="392"/>
      <c r="EE276" s="392"/>
      <c r="EF276" s="392"/>
      <c r="EG276" s="392"/>
      <c r="EH276" s="392"/>
      <c r="EI276" s="392"/>
      <c r="EJ276" s="392"/>
      <c r="EK276" s="392"/>
      <c r="EL276" s="392"/>
      <c r="EM276" s="392"/>
      <c r="EN276" s="392"/>
      <c r="EO276" s="392"/>
      <c r="EP276" s="392"/>
      <c r="EQ276" s="392"/>
      <c r="ER276" s="392"/>
      <c r="ES276" s="392"/>
      <c r="ET276" s="392"/>
      <c r="EU276" s="392"/>
      <c r="EV276" s="392"/>
      <c r="EW276" s="392"/>
      <c r="EX276" s="392"/>
      <c r="EY276" s="392"/>
      <c r="EZ276" s="392"/>
      <c r="FA276" s="392"/>
      <c r="FB276" s="392"/>
      <c r="FC276" s="392"/>
      <c r="FD276" s="392"/>
      <c r="FE276" s="392"/>
      <c r="FF276" s="392"/>
      <c r="FG276" s="392"/>
      <c r="FH276" s="392"/>
      <c r="FI276" s="392"/>
      <c r="FJ276" s="392"/>
      <c r="FK276" s="392"/>
      <c r="FL276" s="392"/>
      <c r="FM276" s="392"/>
      <c r="FN276" s="392"/>
      <c r="FO276" s="392"/>
      <c r="FP276" s="392"/>
      <c r="FQ276" s="392"/>
      <c r="FR276" s="392"/>
      <c r="FS276" s="392"/>
      <c r="FT276" s="392"/>
      <c r="FU276" s="392"/>
      <c r="FV276" s="392"/>
      <c r="FW276" s="392"/>
      <c r="FX276" s="392"/>
      <c r="FY276" s="392"/>
      <c r="FZ276" s="392"/>
      <c r="GA276" s="392"/>
      <c r="GB276" s="392"/>
      <c r="GC276" s="392"/>
      <c r="GD276" s="392"/>
      <c r="GE276" s="392"/>
      <c r="GF276" s="392"/>
      <c r="GG276" s="392"/>
      <c r="GH276" s="392"/>
      <c r="GI276" s="392"/>
      <c r="GJ276" s="392"/>
      <c r="GK276" s="392"/>
      <c r="GL276" s="392"/>
      <c r="GM276" s="392"/>
      <c r="GN276" s="392"/>
      <c r="GO276" s="392"/>
      <c r="GP276" s="392"/>
      <c r="GQ276" s="392"/>
      <c r="GR276" s="392"/>
      <c r="GS276" s="392"/>
      <c r="GT276" s="392"/>
      <c r="GU276" s="392"/>
      <c r="GV276" s="392"/>
      <c r="GW276" s="392"/>
      <c r="GX276" s="392"/>
      <c r="GY276" s="392"/>
      <c r="GZ276" s="392"/>
      <c r="HA276" s="392"/>
      <c r="HB276" s="392"/>
      <c r="HC276" s="392"/>
      <c r="HD276" s="392"/>
      <c r="HE276" s="392"/>
      <c r="HF276" s="392"/>
      <c r="HG276" s="392"/>
      <c r="HH276" s="392"/>
      <c r="HI276" s="392"/>
      <c r="HJ276" s="392"/>
      <c r="HK276" s="392"/>
      <c r="HL276" s="392"/>
      <c r="HM276" s="392"/>
      <c r="HN276" s="392"/>
      <c r="HO276" s="392"/>
      <c r="HP276" s="392"/>
      <c r="HQ276" s="392"/>
      <c r="HR276" s="392"/>
      <c r="HS276" s="392"/>
      <c r="HT276" s="392"/>
      <c r="HU276" s="392"/>
      <c r="HV276" s="392"/>
      <c r="HW276" s="392"/>
      <c r="HX276" s="392"/>
      <c r="HY276" s="392"/>
      <c r="HZ276" s="392"/>
      <c r="IA276" s="392"/>
      <c r="IB276" s="392"/>
      <c r="IC276" s="392"/>
      <c r="ID276" s="392"/>
      <c r="IE276" s="392"/>
      <c r="IF276" s="392"/>
      <c r="IG276" s="392"/>
      <c r="IH276" s="392"/>
      <c r="II276" s="392"/>
      <c r="IJ276" s="392"/>
      <c r="IK276" s="392"/>
      <c r="IL276" s="392"/>
      <c r="IM276" s="392"/>
      <c r="IN276" s="392"/>
      <c r="IO276" s="392"/>
      <c r="IP276" s="392"/>
      <c r="IQ276" s="392"/>
      <c r="IR276" s="392"/>
      <c r="IS276" s="392"/>
      <c r="IT276" s="392"/>
      <c r="IU276" s="392"/>
      <c r="IV276" s="392"/>
      <c r="IW276" s="392"/>
      <c r="IX276" s="392"/>
      <c r="IY276" s="392"/>
      <c r="IZ276" s="392"/>
      <c r="JA276" s="392"/>
      <c r="JB276" s="392"/>
      <c r="JC276" s="392"/>
      <c r="JD276" s="392"/>
      <c r="JE276" s="392"/>
      <c r="JF276" s="392"/>
      <c r="JG276" s="392"/>
      <c r="JH276" s="392"/>
      <c r="JI276" s="393">
        <f t="shared" si="16"/>
        <v>0</v>
      </c>
      <c r="JJ276" s="2"/>
      <c r="JK276" s="2"/>
      <c r="JL276" s="1"/>
      <c r="JM276" s="1"/>
      <c r="JN276" s="1"/>
      <c r="JO276" s="1"/>
      <c r="JP276" s="1"/>
    </row>
    <row r="277" spans="1:276 1141:1141" x14ac:dyDescent="0.3">
      <c r="A277" s="392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  <c r="L277" s="392"/>
      <c r="M277" s="392"/>
      <c r="N277" s="392"/>
      <c r="O277" s="392"/>
      <c r="P277" s="392"/>
      <c r="Q277" s="392"/>
      <c r="R277" s="392"/>
      <c r="S277" s="392"/>
      <c r="T277" s="392"/>
      <c r="U277" s="392"/>
      <c r="V277" s="392"/>
      <c r="W277" s="392"/>
      <c r="X277" s="392"/>
      <c r="Y277" s="392"/>
      <c r="Z277" s="392"/>
      <c r="AA277" s="392"/>
      <c r="AB277" s="392"/>
      <c r="AC277" s="392"/>
      <c r="AD277" s="392"/>
      <c r="AE277" s="392"/>
      <c r="AF277" s="392"/>
      <c r="AG277" s="392"/>
      <c r="AH277" s="392"/>
      <c r="AI277" s="392"/>
      <c r="AJ277" s="392"/>
      <c r="AK277" s="392"/>
      <c r="AL277" s="392"/>
      <c r="AM277" s="392"/>
      <c r="AN277" s="392"/>
      <c r="AO277" s="392"/>
      <c r="AP277" s="392"/>
      <c r="AQ277" s="392"/>
      <c r="AR277" s="392"/>
      <c r="AS277" s="392"/>
      <c r="AT277" s="392"/>
      <c r="AU277" s="392"/>
      <c r="AV277" s="392"/>
      <c r="AW277" s="392"/>
      <c r="AX277" s="392"/>
      <c r="AY277" s="392"/>
      <c r="AZ277" s="392"/>
      <c r="BA277" s="392"/>
      <c r="BB277" s="392"/>
      <c r="BC277" s="392"/>
      <c r="BD277" s="392"/>
      <c r="BE277" s="392"/>
      <c r="BF277" s="392"/>
      <c r="BG277" s="392"/>
      <c r="BH277" s="392"/>
      <c r="BI277" s="392"/>
      <c r="BJ277" s="392"/>
      <c r="BK277" s="392"/>
      <c r="BL277" s="392"/>
      <c r="BM277" s="392"/>
      <c r="BN277" s="392"/>
      <c r="BO277" s="392"/>
      <c r="BP277" s="392"/>
      <c r="BQ277" s="392"/>
      <c r="BR277" s="392"/>
      <c r="BS277" s="392"/>
      <c r="BT277" s="392"/>
      <c r="BU277" s="392"/>
      <c r="BV277" s="392"/>
      <c r="BW277" s="392"/>
      <c r="BX277" s="392"/>
      <c r="BY277" s="392"/>
      <c r="BZ277" s="392"/>
      <c r="CA277" s="392"/>
      <c r="CB277" s="392"/>
      <c r="CC277" s="392"/>
      <c r="CD277" s="392"/>
      <c r="CE277" s="392"/>
      <c r="CF277" s="392"/>
      <c r="CG277" s="392"/>
      <c r="CH277" s="392"/>
      <c r="CI277" s="392"/>
      <c r="CJ277" s="392"/>
      <c r="CK277" s="392"/>
      <c r="CL277" s="392"/>
      <c r="CM277" s="392"/>
      <c r="CN277" s="392"/>
      <c r="CO277" s="392"/>
      <c r="CP277" s="392"/>
      <c r="CQ277" s="392"/>
      <c r="CR277" s="392"/>
      <c r="CS277" s="392"/>
      <c r="CT277" s="392"/>
      <c r="CU277" s="392"/>
      <c r="CV277" s="392"/>
      <c r="CW277" s="392"/>
      <c r="CX277" s="392"/>
      <c r="CY277" s="392"/>
      <c r="CZ277" s="392"/>
      <c r="DA277" s="392"/>
      <c r="DB277" s="392"/>
      <c r="DC277" s="392"/>
      <c r="DD277" s="392"/>
      <c r="DE277" s="392"/>
      <c r="DF277" s="392"/>
      <c r="DG277" s="392"/>
      <c r="DH277" s="392"/>
      <c r="DI277" s="392"/>
      <c r="DJ277" s="392"/>
      <c r="DK277" s="392"/>
      <c r="DL277" s="392"/>
      <c r="DM277" s="392"/>
      <c r="DN277" s="392"/>
      <c r="DO277" s="392"/>
      <c r="DP277" s="392"/>
      <c r="DQ277" s="392"/>
      <c r="DR277" s="392"/>
      <c r="DS277" s="392"/>
      <c r="DT277" s="392"/>
      <c r="DU277" s="392"/>
      <c r="DV277" s="392"/>
      <c r="DW277" s="392"/>
      <c r="DX277" s="392"/>
      <c r="DY277" s="392"/>
      <c r="DZ277" s="392"/>
      <c r="EA277" s="392"/>
      <c r="EB277" s="392"/>
      <c r="EC277" s="392"/>
      <c r="ED277" s="392"/>
      <c r="EE277" s="392"/>
      <c r="EF277" s="392"/>
      <c r="EG277" s="392"/>
      <c r="EH277" s="392"/>
      <c r="EI277" s="392"/>
      <c r="EJ277" s="392"/>
      <c r="EK277" s="392"/>
      <c r="EL277" s="392"/>
      <c r="EM277" s="392"/>
      <c r="EN277" s="392"/>
      <c r="EO277" s="392"/>
      <c r="EP277" s="392"/>
      <c r="EQ277" s="392"/>
      <c r="ER277" s="392"/>
      <c r="ES277" s="392"/>
      <c r="ET277" s="392"/>
      <c r="EU277" s="392"/>
      <c r="EV277" s="392"/>
      <c r="EW277" s="392"/>
      <c r="EX277" s="392"/>
      <c r="EY277" s="392"/>
      <c r="EZ277" s="392"/>
      <c r="FA277" s="392"/>
      <c r="FB277" s="392"/>
      <c r="FC277" s="392"/>
      <c r="FD277" s="392"/>
      <c r="FE277" s="392"/>
      <c r="FF277" s="392"/>
      <c r="FG277" s="392"/>
      <c r="FH277" s="392"/>
      <c r="FI277" s="392"/>
      <c r="FJ277" s="392"/>
      <c r="FK277" s="392"/>
      <c r="FL277" s="392"/>
      <c r="FM277" s="392"/>
      <c r="FN277" s="392"/>
      <c r="FO277" s="392"/>
      <c r="FP277" s="392"/>
      <c r="FQ277" s="392"/>
      <c r="FR277" s="392"/>
      <c r="FS277" s="392"/>
      <c r="FT277" s="392"/>
      <c r="FU277" s="392"/>
      <c r="FV277" s="392"/>
      <c r="FW277" s="392"/>
      <c r="FX277" s="392"/>
      <c r="FY277" s="392"/>
      <c r="FZ277" s="392"/>
      <c r="GA277" s="392"/>
      <c r="GB277" s="392"/>
      <c r="GC277" s="392"/>
      <c r="GD277" s="392"/>
      <c r="GE277" s="392"/>
      <c r="GF277" s="392"/>
      <c r="GG277" s="392"/>
      <c r="GH277" s="392"/>
      <c r="GI277" s="392"/>
      <c r="GJ277" s="392"/>
      <c r="GK277" s="392"/>
      <c r="GL277" s="392"/>
      <c r="GM277" s="392"/>
      <c r="GN277" s="392"/>
      <c r="GO277" s="392"/>
      <c r="GP277" s="392"/>
      <c r="GQ277" s="392"/>
      <c r="GR277" s="392"/>
      <c r="GS277" s="392"/>
      <c r="GT277" s="392"/>
      <c r="GU277" s="392"/>
      <c r="GV277" s="392"/>
      <c r="GW277" s="392"/>
      <c r="GX277" s="392"/>
      <c r="GY277" s="392"/>
      <c r="GZ277" s="392"/>
      <c r="HA277" s="392"/>
      <c r="HB277" s="392"/>
      <c r="HC277" s="392"/>
      <c r="HD277" s="392"/>
      <c r="HE277" s="392"/>
      <c r="HF277" s="392"/>
      <c r="HG277" s="392"/>
      <c r="HH277" s="392"/>
      <c r="HI277" s="392"/>
      <c r="HJ277" s="392"/>
      <c r="HK277" s="392"/>
      <c r="HL277" s="392"/>
      <c r="HM277" s="392"/>
      <c r="HN277" s="392"/>
      <c r="HO277" s="392"/>
      <c r="HP277" s="392"/>
      <c r="HQ277" s="392"/>
      <c r="HR277" s="392"/>
      <c r="HS277" s="392"/>
      <c r="HT277" s="392"/>
      <c r="HU277" s="392"/>
      <c r="HV277" s="392"/>
      <c r="HW277" s="392"/>
      <c r="HX277" s="392"/>
      <c r="HY277" s="392"/>
      <c r="HZ277" s="392"/>
      <c r="IA277" s="392"/>
      <c r="IB277" s="392"/>
      <c r="IC277" s="392"/>
      <c r="ID277" s="392"/>
      <c r="IE277" s="392"/>
      <c r="IF277" s="392"/>
      <c r="IG277" s="392"/>
      <c r="IH277" s="392"/>
      <c r="II277" s="392"/>
      <c r="IJ277" s="392"/>
      <c r="IK277" s="392"/>
      <c r="IL277" s="392"/>
      <c r="IM277" s="392"/>
      <c r="IN277" s="392"/>
      <c r="IO277" s="392"/>
      <c r="IP277" s="392"/>
      <c r="IQ277" s="392"/>
      <c r="IR277" s="392"/>
      <c r="IS277" s="392"/>
      <c r="IT277" s="392"/>
      <c r="IU277" s="392"/>
      <c r="IV277" s="392"/>
      <c r="IW277" s="392"/>
      <c r="IX277" s="392"/>
      <c r="IY277" s="392"/>
      <c r="IZ277" s="392"/>
      <c r="JA277" s="392"/>
      <c r="JB277" s="392"/>
      <c r="JC277" s="392"/>
      <c r="JD277" s="392"/>
      <c r="JE277" s="392"/>
      <c r="JF277" s="392"/>
      <c r="JG277" s="392"/>
      <c r="JH277" s="392"/>
      <c r="JI277" s="393">
        <f t="shared" si="16"/>
        <v>0</v>
      </c>
      <c r="JJ277" s="2"/>
      <c r="JK277" s="2"/>
      <c r="JL277" s="1"/>
      <c r="JM277" s="1"/>
      <c r="JN277" s="1"/>
      <c r="JO277" s="1"/>
      <c r="JP277" s="1"/>
    </row>
    <row r="278" spans="1:276 1141:1141" x14ac:dyDescent="0.3">
      <c r="A278" s="392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92"/>
      <c r="AU278" s="392"/>
      <c r="AV278" s="392"/>
      <c r="AW278" s="392"/>
      <c r="AX278" s="392"/>
      <c r="AY278" s="392"/>
      <c r="AZ278" s="392"/>
      <c r="BA278" s="392"/>
      <c r="BB278" s="392"/>
      <c r="BC278" s="392"/>
      <c r="BD278" s="392"/>
      <c r="BE278" s="392"/>
      <c r="BF278" s="392"/>
      <c r="BG278" s="392"/>
      <c r="BH278" s="392"/>
      <c r="BI278" s="392"/>
      <c r="BJ278" s="392"/>
      <c r="BK278" s="392"/>
      <c r="BL278" s="392"/>
      <c r="BM278" s="392"/>
      <c r="BN278" s="392"/>
      <c r="BO278" s="392"/>
      <c r="BP278" s="392"/>
      <c r="BQ278" s="392"/>
      <c r="BR278" s="392"/>
      <c r="BS278" s="392"/>
      <c r="BT278" s="392"/>
      <c r="BU278" s="392"/>
      <c r="BV278" s="392"/>
      <c r="BW278" s="392"/>
      <c r="BX278" s="392"/>
      <c r="BY278" s="392"/>
      <c r="BZ278" s="392"/>
      <c r="CA278" s="392"/>
      <c r="CB278" s="392"/>
      <c r="CC278" s="392"/>
      <c r="CD278" s="392"/>
      <c r="CE278" s="392"/>
      <c r="CF278" s="392"/>
      <c r="CG278" s="392"/>
      <c r="CH278" s="392"/>
      <c r="CI278" s="392"/>
      <c r="CJ278" s="392"/>
      <c r="CK278" s="392"/>
      <c r="CL278" s="392"/>
      <c r="CM278" s="392"/>
      <c r="CN278" s="392"/>
      <c r="CO278" s="392"/>
      <c r="CP278" s="392"/>
      <c r="CQ278" s="392"/>
      <c r="CR278" s="392"/>
      <c r="CS278" s="392"/>
      <c r="CT278" s="392"/>
      <c r="CU278" s="392"/>
      <c r="CV278" s="392"/>
      <c r="CW278" s="392"/>
      <c r="CX278" s="392"/>
      <c r="CY278" s="392"/>
      <c r="CZ278" s="392"/>
      <c r="DA278" s="392"/>
      <c r="DB278" s="392"/>
      <c r="DC278" s="392"/>
      <c r="DD278" s="392"/>
      <c r="DE278" s="392"/>
      <c r="DF278" s="392"/>
      <c r="DG278" s="392"/>
      <c r="DH278" s="392"/>
      <c r="DI278" s="392"/>
      <c r="DJ278" s="392"/>
      <c r="DK278" s="392"/>
      <c r="DL278" s="392"/>
      <c r="DM278" s="392"/>
      <c r="DN278" s="392"/>
      <c r="DO278" s="392"/>
      <c r="DP278" s="392"/>
      <c r="DQ278" s="392"/>
      <c r="DR278" s="392"/>
      <c r="DS278" s="392"/>
      <c r="DT278" s="392"/>
      <c r="DU278" s="392"/>
      <c r="DV278" s="392"/>
      <c r="DW278" s="392"/>
      <c r="DX278" s="392"/>
      <c r="DY278" s="392"/>
      <c r="DZ278" s="392"/>
      <c r="EA278" s="392"/>
      <c r="EB278" s="392"/>
      <c r="EC278" s="392"/>
      <c r="ED278" s="392"/>
      <c r="EE278" s="392"/>
      <c r="EF278" s="392"/>
      <c r="EG278" s="392"/>
      <c r="EH278" s="392"/>
      <c r="EI278" s="392"/>
      <c r="EJ278" s="392"/>
      <c r="EK278" s="392"/>
      <c r="EL278" s="392"/>
      <c r="EM278" s="392"/>
      <c r="EN278" s="392"/>
      <c r="EO278" s="392"/>
      <c r="EP278" s="392"/>
      <c r="EQ278" s="392"/>
      <c r="ER278" s="392"/>
      <c r="ES278" s="392"/>
      <c r="ET278" s="392"/>
      <c r="EU278" s="392"/>
      <c r="EV278" s="392"/>
      <c r="EW278" s="392"/>
      <c r="EX278" s="392"/>
      <c r="EY278" s="392"/>
      <c r="EZ278" s="392"/>
      <c r="FA278" s="392"/>
      <c r="FB278" s="392"/>
      <c r="FC278" s="392"/>
      <c r="FD278" s="392"/>
      <c r="FE278" s="392"/>
      <c r="FF278" s="392"/>
      <c r="FG278" s="392"/>
      <c r="FH278" s="392"/>
      <c r="FI278" s="392"/>
      <c r="FJ278" s="392"/>
      <c r="FK278" s="392"/>
      <c r="FL278" s="392"/>
      <c r="FM278" s="392"/>
      <c r="FN278" s="392"/>
      <c r="FO278" s="392"/>
      <c r="FP278" s="392"/>
      <c r="FQ278" s="392"/>
      <c r="FR278" s="392"/>
      <c r="FS278" s="392"/>
      <c r="FT278" s="392"/>
      <c r="FU278" s="392"/>
      <c r="FV278" s="392"/>
      <c r="FW278" s="392"/>
      <c r="FX278" s="392"/>
      <c r="FY278" s="392"/>
      <c r="FZ278" s="392"/>
      <c r="GA278" s="392"/>
      <c r="GB278" s="392"/>
      <c r="GC278" s="392"/>
      <c r="GD278" s="392"/>
      <c r="GE278" s="392"/>
      <c r="GF278" s="392"/>
      <c r="GG278" s="392"/>
      <c r="GH278" s="392"/>
      <c r="GI278" s="392"/>
      <c r="GJ278" s="392"/>
      <c r="GK278" s="392"/>
      <c r="GL278" s="392"/>
      <c r="GM278" s="392"/>
      <c r="GN278" s="392"/>
      <c r="GO278" s="392"/>
      <c r="GP278" s="392"/>
      <c r="GQ278" s="392"/>
      <c r="GR278" s="392"/>
      <c r="GS278" s="392"/>
      <c r="GT278" s="392"/>
      <c r="GU278" s="392"/>
      <c r="GV278" s="392"/>
      <c r="GW278" s="392"/>
      <c r="GX278" s="392"/>
      <c r="GY278" s="392"/>
      <c r="GZ278" s="392"/>
      <c r="HA278" s="392"/>
      <c r="HB278" s="392"/>
      <c r="HC278" s="392"/>
      <c r="HD278" s="392"/>
      <c r="HE278" s="392"/>
      <c r="HF278" s="392"/>
      <c r="HG278" s="392"/>
      <c r="HH278" s="392"/>
      <c r="HI278" s="392"/>
      <c r="HJ278" s="392"/>
      <c r="HK278" s="392"/>
      <c r="HL278" s="392"/>
      <c r="HM278" s="392"/>
      <c r="HN278" s="392"/>
      <c r="HO278" s="392"/>
      <c r="HP278" s="392"/>
      <c r="HQ278" s="392"/>
      <c r="HR278" s="392"/>
      <c r="HS278" s="392"/>
      <c r="HT278" s="392"/>
      <c r="HU278" s="392"/>
      <c r="HV278" s="392"/>
      <c r="HW278" s="392"/>
      <c r="HX278" s="392"/>
      <c r="HY278" s="392"/>
      <c r="HZ278" s="392"/>
      <c r="IA278" s="392"/>
      <c r="IB278" s="392"/>
      <c r="IC278" s="392"/>
      <c r="ID278" s="392"/>
      <c r="IE278" s="392"/>
      <c r="IF278" s="392"/>
      <c r="IG278" s="392"/>
      <c r="IH278" s="392"/>
      <c r="II278" s="392"/>
      <c r="IJ278" s="392"/>
      <c r="IK278" s="392"/>
      <c r="IL278" s="392"/>
      <c r="IM278" s="392"/>
      <c r="IN278" s="392"/>
      <c r="IO278" s="392"/>
      <c r="IP278" s="392"/>
      <c r="IQ278" s="392"/>
      <c r="IR278" s="392"/>
      <c r="IS278" s="392"/>
      <c r="IT278" s="392"/>
      <c r="IU278" s="392"/>
      <c r="IV278" s="392"/>
      <c r="IW278" s="392"/>
      <c r="IX278" s="392"/>
      <c r="IY278" s="392"/>
      <c r="IZ278" s="392"/>
      <c r="JA278" s="392"/>
      <c r="JB278" s="392"/>
      <c r="JC278" s="392"/>
      <c r="JD278" s="392"/>
      <c r="JE278" s="392"/>
      <c r="JF278" s="392"/>
      <c r="JG278" s="392"/>
      <c r="JH278" s="392"/>
      <c r="JI278" s="393">
        <f t="shared" si="16"/>
        <v>0</v>
      </c>
      <c r="JJ278" s="2"/>
      <c r="JK278" s="2"/>
      <c r="JL278" s="1"/>
      <c r="JM278" s="1"/>
      <c r="JN278" s="1"/>
      <c r="JO278" s="1"/>
      <c r="JP278" s="1"/>
    </row>
    <row r="279" spans="1:276 1141:1141" x14ac:dyDescent="0.3">
      <c r="A279" s="392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  <c r="L279" s="392"/>
      <c r="M279" s="392"/>
      <c r="N279" s="392"/>
      <c r="O279" s="392"/>
      <c r="P279" s="392"/>
      <c r="Q279" s="392"/>
      <c r="R279" s="392"/>
      <c r="S279" s="392"/>
      <c r="T279" s="392"/>
      <c r="U279" s="392"/>
      <c r="V279" s="392"/>
      <c r="W279" s="392"/>
      <c r="X279" s="392"/>
      <c r="Y279" s="392"/>
      <c r="Z279" s="392"/>
      <c r="AA279" s="392"/>
      <c r="AB279" s="392"/>
      <c r="AC279" s="392"/>
      <c r="AD279" s="392"/>
      <c r="AE279" s="392"/>
      <c r="AF279" s="392"/>
      <c r="AG279" s="392"/>
      <c r="AH279" s="392"/>
      <c r="AI279" s="392"/>
      <c r="AJ279" s="392"/>
      <c r="AK279" s="392"/>
      <c r="AL279" s="392"/>
      <c r="AM279" s="392"/>
      <c r="AN279" s="392"/>
      <c r="AO279" s="392"/>
      <c r="AP279" s="392"/>
      <c r="AQ279" s="392"/>
      <c r="AR279" s="392"/>
      <c r="AS279" s="392"/>
      <c r="AT279" s="392"/>
      <c r="AU279" s="392"/>
      <c r="AV279" s="392"/>
      <c r="AW279" s="392"/>
      <c r="AX279" s="392"/>
      <c r="AY279" s="392"/>
      <c r="AZ279" s="392"/>
      <c r="BA279" s="392"/>
      <c r="BB279" s="392"/>
      <c r="BC279" s="392"/>
      <c r="BD279" s="392"/>
      <c r="BE279" s="392"/>
      <c r="BF279" s="392"/>
      <c r="BG279" s="392"/>
      <c r="BH279" s="392"/>
      <c r="BI279" s="392"/>
      <c r="BJ279" s="392"/>
      <c r="BK279" s="392"/>
      <c r="BL279" s="392"/>
      <c r="BM279" s="392"/>
      <c r="BN279" s="392"/>
      <c r="BO279" s="392"/>
      <c r="BP279" s="392"/>
      <c r="BQ279" s="392"/>
      <c r="BR279" s="392"/>
      <c r="BS279" s="392"/>
      <c r="BT279" s="392"/>
      <c r="BU279" s="392"/>
      <c r="BV279" s="392"/>
      <c r="BW279" s="392"/>
      <c r="BX279" s="392"/>
      <c r="BY279" s="392"/>
      <c r="BZ279" s="392"/>
      <c r="CA279" s="392"/>
      <c r="CB279" s="392"/>
      <c r="CC279" s="392"/>
      <c r="CD279" s="392"/>
      <c r="CE279" s="392"/>
      <c r="CF279" s="392"/>
      <c r="CG279" s="392"/>
      <c r="CH279" s="392"/>
      <c r="CI279" s="392"/>
      <c r="CJ279" s="392"/>
      <c r="CK279" s="392"/>
      <c r="CL279" s="392"/>
      <c r="CM279" s="392"/>
      <c r="CN279" s="392"/>
      <c r="CO279" s="392"/>
      <c r="CP279" s="392"/>
      <c r="CQ279" s="392"/>
      <c r="CR279" s="392"/>
      <c r="CS279" s="392"/>
      <c r="CT279" s="392"/>
      <c r="CU279" s="392"/>
      <c r="CV279" s="392"/>
      <c r="CW279" s="392"/>
      <c r="CX279" s="392"/>
      <c r="CY279" s="392"/>
      <c r="CZ279" s="392"/>
      <c r="DA279" s="392"/>
      <c r="DB279" s="392"/>
      <c r="DC279" s="392"/>
      <c r="DD279" s="392"/>
      <c r="DE279" s="392"/>
      <c r="DF279" s="392"/>
      <c r="DG279" s="392"/>
      <c r="DH279" s="392"/>
      <c r="DI279" s="392"/>
      <c r="DJ279" s="392"/>
      <c r="DK279" s="392"/>
      <c r="DL279" s="392"/>
      <c r="DM279" s="392"/>
      <c r="DN279" s="392"/>
      <c r="DO279" s="392"/>
      <c r="DP279" s="392"/>
      <c r="DQ279" s="392"/>
      <c r="DR279" s="392"/>
      <c r="DS279" s="392"/>
      <c r="DT279" s="392"/>
      <c r="DU279" s="392"/>
      <c r="DV279" s="392"/>
      <c r="DW279" s="392"/>
      <c r="DX279" s="392"/>
      <c r="DY279" s="392"/>
      <c r="DZ279" s="392"/>
      <c r="EA279" s="392"/>
      <c r="EB279" s="392"/>
      <c r="EC279" s="392"/>
      <c r="ED279" s="392"/>
      <c r="EE279" s="392"/>
      <c r="EF279" s="392"/>
      <c r="EG279" s="392"/>
      <c r="EH279" s="392"/>
      <c r="EI279" s="392"/>
      <c r="EJ279" s="392"/>
      <c r="EK279" s="392"/>
      <c r="EL279" s="392"/>
      <c r="EM279" s="392"/>
      <c r="EN279" s="392"/>
      <c r="EO279" s="392"/>
      <c r="EP279" s="392"/>
      <c r="EQ279" s="392"/>
      <c r="ER279" s="392"/>
      <c r="ES279" s="392"/>
      <c r="ET279" s="392"/>
      <c r="EU279" s="392"/>
      <c r="EV279" s="392"/>
      <c r="EW279" s="392"/>
      <c r="EX279" s="392"/>
      <c r="EY279" s="392"/>
      <c r="EZ279" s="392"/>
      <c r="FA279" s="392"/>
      <c r="FB279" s="392"/>
      <c r="FC279" s="392"/>
      <c r="FD279" s="392"/>
      <c r="FE279" s="392"/>
      <c r="FF279" s="392"/>
      <c r="FG279" s="392"/>
      <c r="FH279" s="392"/>
      <c r="FI279" s="392"/>
      <c r="FJ279" s="392"/>
      <c r="FK279" s="392"/>
      <c r="FL279" s="392"/>
      <c r="FM279" s="392"/>
      <c r="FN279" s="392"/>
      <c r="FO279" s="392"/>
      <c r="FP279" s="392"/>
      <c r="FQ279" s="392"/>
      <c r="FR279" s="392"/>
      <c r="FS279" s="392"/>
      <c r="FT279" s="392"/>
      <c r="FU279" s="392"/>
      <c r="FV279" s="392"/>
      <c r="FW279" s="392"/>
      <c r="FX279" s="392"/>
      <c r="FY279" s="392"/>
      <c r="FZ279" s="392"/>
      <c r="GA279" s="392"/>
      <c r="GB279" s="392"/>
      <c r="GC279" s="392"/>
      <c r="GD279" s="392"/>
      <c r="GE279" s="392"/>
      <c r="GF279" s="392"/>
      <c r="GG279" s="392"/>
      <c r="GH279" s="392"/>
      <c r="GI279" s="392"/>
      <c r="GJ279" s="392"/>
      <c r="GK279" s="392"/>
      <c r="GL279" s="392"/>
      <c r="GM279" s="392"/>
      <c r="GN279" s="392"/>
      <c r="GO279" s="392"/>
      <c r="GP279" s="392"/>
      <c r="GQ279" s="392"/>
      <c r="GR279" s="392"/>
      <c r="GS279" s="392"/>
      <c r="GT279" s="392"/>
      <c r="GU279" s="392"/>
      <c r="GV279" s="392"/>
      <c r="GW279" s="392"/>
      <c r="GX279" s="392"/>
      <c r="GY279" s="392"/>
      <c r="GZ279" s="392"/>
      <c r="HA279" s="392"/>
      <c r="HB279" s="392"/>
      <c r="HC279" s="392"/>
      <c r="HD279" s="392"/>
      <c r="HE279" s="392"/>
      <c r="HF279" s="392"/>
      <c r="HG279" s="392"/>
      <c r="HH279" s="392"/>
      <c r="HI279" s="392"/>
      <c r="HJ279" s="392"/>
      <c r="HK279" s="392"/>
      <c r="HL279" s="392"/>
      <c r="HM279" s="392"/>
      <c r="HN279" s="392"/>
      <c r="HO279" s="392"/>
      <c r="HP279" s="392"/>
      <c r="HQ279" s="392"/>
      <c r="HR279" s="392"/>
      <c r="HS279" s="392"/>
      <c r="HT279" s="392"/>
      <c r="HU279" s="392"/>
      <c r="HV279" s="392"/>
      <c r="HW279" s="392"/>
      <c r="HX279" s="392"/>
      <c r="HY279" s="392"/>
      <c r="HZ279" s="392"/>
      <c r="IA279" s="392"/>
      <c r="IB279" s="392"/>
      <c r="IC279" s="392"/>
      <c r="ID279" s="392"/>
      <c r="IE279" s="392"/>
      <c r="IF279" s="392"/>
      <c r="IG279" s="392"/>
      <c r="IH279" s="392"/>
      <c r="II279" s="392"/>
      <c r="IJ279" s="392"/>
      <c r="IK279" s="392"/>
      <c r="IL279" s="392"/>
      <c r="IM279" s="392"/>
      <c r="IN279" s="392"/>
      <c r="IO279" s="392"/>
      <c r="IP279" s="392"/>
      <c r="IQ279" s="392"/>
      <c r="IR279" s="392"/>
      <c r="IS279" s="392"/>
      <c r="IT279" s="392"/>
      <c r="IU279" s="392"/>
      <c r="IV279" s="392"/>
      <c r="IW279" s="392"/>
      <c r="IX279" s="392"/>
      <c r="IY279" s="392"/>
      <c r="IZ279" s="392"/>
      <c r="JA279" s="392"/>
      <c r="JB279" s="392"/>
      <c r="JC279" s="392"/>
      <c r="JD279" s="392"/>
      <c r="JE279" s="392"/>
      <c r="JF279" s="392"/>
      <c r="JG279" s="392"/>
      <c r="JH279" s="392"/>
      <c r="JI279" s="393">
        <f t="shared" si="16"/>
        <v>0</v>
      </c>
      <c r="JJ279" s="2"/>
      <c r="JK279" s="2"/>
      <c r="JL279" s="1"/>
      <c r="JM279" s="1"/>
      <c r="JN279" s="1"/>
      <c r="JO279" s="1"/>
      <c r="JP279" s="1"/>
    </row>
    <row r="280" spans="1:276 1141:1141" x14ac:dyDescent="0.3">
      <c r="A280" s="392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  <c r="L280" s="392"/>
      <c r="M280" s="392"/>
      <c r="N280" s="392"/>
      <c r="O280" s="392"/>
      <c r="P280" s="392"/>
      <c r="Q280" s="392"/>
      <c r="R280" s="392"/>
      <c r="S280" s="392"/>
      <c r="T280" s="392"/>
      <c r="U280" s="392"/>
      <c r="V280" s="392"/>
      <c r="W280" s="392"/>
      <c r="X280" s="392"/>
      <c r="Y280" s="392"/>
      <c r="Z280" s="392"/>
      <c r="AA280" s="392"/>
      <c r="AB280" s="392"/>
      <c r="AC280" s="392"/>
      <c r="AD280" s="392"/>
      <c r="AE280" s="392"/>
      <c r="AF280" s="392"/>
      <c r="AG280" s="392"/>
      <c r="AH280" s="392"/>
      <c r="AI280" s="392"/>
      <c r="AJ280" s="392"/>
      <c r="AK280" s="392"/>
      <c r="AL280" s="392"/>
      <c r="AM280" s="392"/>
      <c r="AN280" s="392"/>
      <c r="AO280" s="392"/>
      <c r="AP280" s="392"/>
      <c r="AQ280" s="392"/>
      <c r="AR280" s="392"/>
      <c r="AS280" s="392"/>
      <c r="AT280" s="392"/>
      <c r="AU280" s="392"/>
      <c r="AV280" s="392"/>
      <c r="AW280" s="392"/>
      <c r="AX280" s="392"/>
      <c r="AY280" s="392"/>
      <c r="AZ280" s="392"/>
      <c r="BA280" s="392"/>
      <c r="BB280" s="392"/>
      <c r="BC280" s="392"/>
      <c r="BD280" s="392"/>
      <c r="BE280" s="392"/>
      <c r="BF280" s="392"/>
      <c r="BG280" s="392"/>
      <c r="BH280" s="392"/>
      <c r="BI280" s="392"/>
      <c r="BJ280" s="392"/>
      <c r="BK280" s="392"/>
      <c r="BL280" s="392"/>
      <c r="BM280" s="392"/>
      <c r="BN280" s="392"/>
      <c r="BO280" s="392"/>
      <c r="BP280" s="392"/>
      <c r="BQ280" s="392"/>
      <c r="BR280" s="392"/>
      <c r="BS280" s="392"/>
      <c r="BT280" s="392"/>
      <c r="BU280" s="392"/>
      <c r="BV280" s="392"/>
      <c r="BW280" s="392"/>
      <c r="BX280" s="392"/>
      <c r="BY280" s="392"/>
      <c r="BZ280" s="392"/>
      <c r="CA280" s="392"/>
      <c r="CB280" s="392"/>
      <c r="CC280" s="392"/>
      <c r="CD280" s="392"/>
      <c r="CE280" s="392"/>
      <c r="CF280" s="392"/>
      <c r="CG280" s="392"/>
      <c r="CH280" s="392"/>
      <c r="CI280" s="392"/>
      <c r="CJ280" s="392"/>
      <c r="CK280" s="392"/>
      <c r="CL280" s="392"/>
      <c r="CM280" s="392"/>
      <c r="CN280" s="392"/>
      <c r="CO280" s="392"/>
      <c r="CP280" s="392"/>
      <c r="CQ280" s="392"/>
      <c r="CR280" s="392"/>
      <c r="CS280" s="392"/>
      <c r="CT280" s="392"/>
      <c r="CU280" s="392"/>
      <c r="CV280" s="392"/>
      <c r="CW280" s="392"/>
      <c r="CX280" s="392"/>
      <c r="CY280" s="392"/>
      <c r="CZ280" s="392"/>
      <c r="DA280" s="392"/>
      <c r="DB280" s="392"/>
      <c r="DC280" s="392"/>
      <c r="DD280" s="392"/>
      <c r="DE280" s="392"/>
      <c r="DF280" s="392"/>
      <c r="DG280" s="392"/>
      <c r="DH280" s="392"/>
      <c r="DI280" s="392"/>
      <c r="DJ280" s="392"/>
      <c r="DK280" s="392"/>
      <c r="DL280" s="392"/>
      <c r="DM280" s="392"/>
      <c r="DN280" s="392"/>
      <c r="DO280" s="392"/>
      <c r="DP280" s="392"/>
      <c r="DQ280" s="392"/>
      <c r="DR280" s="392"/>
      <c r="DS280" s="392"/>
      <c r="DT280" s="392"/>
      <c r="DU280" s="392"/>
      <c r="DV280" s="392"/>
      <c r="DW280" s="392"/>
      <c r="DX280" s="392"/>
      <c r="DY280" s="392"/>
      <c r="DZ280" s="392"/>
      <c r="EA280" s="392"/>
      <c r="EB280" s="392"/>
      <c r="EC280" s="392"/>
      <c r="ED280" s="392"/>
      <c r="EE280" s="392"/>
      <c r="EF280" s="392"/>
      <c r="EG280" s="392"/>
      <c r="EH280" s="392"/>
      <c r="EI280" s="392"/>
      <c r="EJ280" s="392"/>
      <c r="EK280" s="392"/>
      <c r="EL280" s="392"/>
      <c r="EM280" s="392"/>
      <c r="EN280" s="392"/>
      <c r="EO280" s="392"/>
      <c r="EP280" s="392"/>
      <c r="EQ280" s="392"/>
      <c r="ER280" s="392"/>
      <c r="ES280" s="392"/>
      <c r="ET280" s="392"/>
      <c r="EU280" s="392"/>
      <c r="EV280" s="392"/>
      <c r="EW280" s="392"/>
      <c r="EX280" s="392"/>
      <c r="EY280" s="392"/>
      <c r="EZ280" s="392"/>
      <c r="FA280" s="392"/>
      <c r="FB280" s="392"/>
      <c r="FC280" s="392"/>
      <c r="FD280" s="392"/>
      <c r="FE280" s="392"/>
      <c r="FF280" s="392"/>
      <c r="FG280" s="392"/>
      <c r="FH280" s="392"/>
      <c r="FI280" s="392"/>
      <c r="FJ280" s="392"/>
      <c r="FK280" s="392"/>
      <c r="FL280" s="392"/>
      <c r="FM280" s="392"/>
      <c r="FN280" s="392"/>
      <c r="FO280" s="392"/>
      <c r="FP280" s="392"/>
      <c r="FQ280" s="392"/>
      <c r="FR280" s="392"/>
      <c r="FS280" s="392"/>
      <c r="FT280" s="392"/>
      <c r="FU280" s="392"/>
      <c r="FV280" s="392"/>
      <c r="FW280" s="392"/>
      <c r="FX280" s="392"/>
      <c r="FY280" s="392"/>
      <c r="FZ280" s="392"/>
      <c r="GA280" s="392"/>
      <c r="GB280" s="392"/>
      <c r="GC280" s="392"/>
      <c r="GD280" s="392"/>
      <c r="GE280" s="392"/>
      <c r="GF280" s="392"/>
      <c r="GG280" s="392"/>
      <c r="GH280" s="392"/>
      <c r="GI280" s="392"/>
      <c r="GJ280" s="392"/>
      <c r="GK280" s="392"/>
      <c r="GL280" s="392"/>
      <c r="GM280" s="392"/>
      <c r="GN280" s="392"/>
      <c r="GO280" s="392"/>
      <c r="GP280" s="392"/>
      <c r="GQ280" s="392"/>
      <c r="GR280" s="392"/>
      <c r="GS280" s="392"/>
      <c r="GT280" s="392"/>
      <c r="GU280" s="392"/>
      <c r="GV280" s="392"/>
      <c r="GW280" s="392"/>
      <c r="GX280" s="392"/>
      <c r="GY280" s="392"/>
      <c r="GZ280" s="392"/>
      <c r="HA280" s="392"/>
      <c r="HB280" s="392"/>
      <c r="HC280" s="392"/>
      <c r="HD280" s="392"/>
      <c r="HE280" s="392"/>
      <c r="HF280" s="392"/>
      <c r="HG280" s="392"/>
      <c r="HH280" s="392"/>
      <c r="HI280" s="392"/>
      <c r="HJ280" s="392"/>
      <c r="HK280" s="392"/>
      <c r="HL280" s="392"/>
      <c r="HM280" s="392"/>
      <c r="HN280" s="392"/>
      <c r="HO280" s="392"/>
      <c r="HP280" s="392"/>
      <c r="HQ280" s="392"/>
      <c r="HR280" s="392"/>
      <c r="HS280" s="392"/>
      <c r="HT280" s="392"/>
      <c r="HU280" s="392"/>
      <c r="HV280" s="392"/>
      <c r="HW280" s="392"/>
      <c r="HX280" s="392"/>
      <c r="HY280" s="392"/>
      <c r="HZ280" s="392"/>
      <c r="IA280" s="392"/>
      <c r="IB280" s="392"/>
      <c r="IC280" s="392"/>
      <c r="ID280" s="392"/>
      <c r="IE280" s="392"/>
      <c r="IF280" s="392"/>
      <c r="IG280" s="392"/>
      <c r="IH280" s="392"/>
      <c r="II280" s="392"/>
      <c r="IJ280" s="392"/>
      <c r="IK280" s="392"/>
      <c r="IL280" s="392"/>
      <c r="IM280" s="392"/>
      <c r="IN280" s="392"/>
      <c r="IO280" s="392"/>
      <c r="IP280" s="392"/>
      <c r="IQ280" s="392"/>
      <c r="IR280" s="392"/>
      <c r="IS280" s="392"/>
      <c r="IT280" s="392"/>
      <c r="IU280" s="392"/>
      <c r="IV280" s="392"/>
      <c r="IW280" s="392"/>
      <c r="IX280" s="392"/>
      <c r="IY280" s="392"/>
      <c r="IZ280" s="392"/>
      <c r="JA280" s="392"/>
      <c r="JB280" s="392"/>
      <c r="JC280" s="392"/>
      <c r="JD280" s="392"/>
      <c r="JE280" s="392"/>
      <c r="JF280" s="392"/>
      <c r="JG280" s="392"/>
      <c r="JH280" s="392"/>
      <c r="JI280" s="393">
        <f t="shared" si="16"/>
        <v>0</v>
      </c>
      <c r="JJ280" s="2"/>
      <c r="JK280" s="2"/>
      <c r="JL280" s="1"/>
      <c r="JM280" s="1"/>
      <c r="JN280" s="1"/>
      <c r="JO280" s="1"/>
      <c r="JP280" s="1"/>
    </row>
    <row r="281" spans="1:276 1141:1141" x14ac:dyDescent="0.3">
      <c r="A281" s="392"/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  <c r="L281" s="392"/>
      <c r="M281" s="392"/>
      <c r="N281" s="392"/>
      <c r="O281" s="392"/>
      <c r="P281" s="392"/>
      <c r="Q281" s="392"/>
      <c r="R281" s="392"/>
      <c r="S281" s="392"/>
      <c r="T281" s="392"/>
      <c r="U281" s="392"/>
      <c r="V281" s="392"/>
      <c r="W281" s="392"/>
      <c r="X281" s="392"/>
      <c r="Y281" s="392"/>
      <c r="Z281" s="392"/>
      <c r="AA281" s="392"/>
      <c r="AB281" s="392"/>
      <c r="AC281" s="392"/>
      <c r="AD281" s="392"/>
      <c r="AE281" s="392"/>
      <c r="AF281" s="392"/>
      <c r="AG281" s="392"/>
      <c r="AH281" s="392"/>
      <c r="AI281" s="392"/>
      <c r="AJ281" s="392"/>
      <c r="AK281" s="392"/>
      <c r="AL281" s="392"/>
      <c r="AM281" s="392"/>
      <c r="AN281" s="392"/>
      <c r="AO281" s="392"/>
      <c r="AP281" s="392"/>
      <c r="AQ281" s="392"/>
      <c r="AR281" s="392"/>
      <c r="AS281" s="392"/>
      <c r="AT281" s="392"/>
      <c r="AU281" s="392"/>
      <c r="AV281" s="392"/>
      <c r="AW281" s="392"/>
      <c r="AX281" s="392"/>
      <c r="AY281" s="392"/>
      <c r="AZ281" s="392"/>
      <c r="BA281" s="392"/>
      <c r="BB281" s="392"/>
      <c r="BC281" s="392"/>
      <c r="BD281" s="392"/>
      <c r="BE281" s="392"/>
      <c r="BF281" s="392"/>
      <c r="BG281" s="392"/>
      <c r="BH281" s="392"/>
      <c r="BI281" s="392"/>
      <c r="BJ281" s="392"/>
      <c r="BK281" s="392"/>
      <c r="BL281" s="392"/>
      <c r="BM281" s="392"/>
      <c r="BN281" s="392"/>
      <c r="BO281" s="392"/>
      <c r="BP281" s="392"/>
      <c r="BQ281" s="392"/>
      <c r="BR281" s="392"/>
      <c r="BS281" s="392"/>
      <c r="BT281" s="392"/>
      <c r="BU281" s="392"/>
      <c r="BV281" s="392"/>
      <c r="BW281" s="392"/>
      <c r="BX281" s="392"/>
      <c r="BY281" s="392"/>
      <c r="BZ281" s="392"/>
      <c r="CA281" s="392"/>
      <c r="CB281" s="392"/>
      <c r="CC281" s="392"/>
      <c r="CD281" s="392"/>
      <c r="CE281" s="392"/>
      <c r="CF281" s="392"/>
      <c r="CG281" s="392"/>
      <c r="CH281" s="392"/>
      <c r="CI281" s="392"/>
      <c r="CJ281" s="392"/>
      <c r="CK281" s="392"/>
      <c r="CL281" s="392"/>
      <c r="CM281" s="392"/>
      <c r="CN281" s="392"/>
      <c r="CO281" s="392"/>
      <c r="CP281" s="392"/>
      <c r="CQ281" s="392"/>
      <c r="CR281" s="392"/>
      <c r="CS281" s="392"/>
      <c r="CT281" s="392"/>
      <c r="CU281" s="392"/>
      <c r="CV281" s="392"/>
      <c r="CW281" s="392"/>
      <c r="CX281" s="392"/>
      <c r="CY281" s="392"/>
      <c r="CZ281" s="392"/>
      <c r="DA281" s="392"/>
      <c r="DB281" s="392"/>
      <c r="DC281" s="392"/>
      <c r="DD281" s="392"/>
      <c r="DE281" s="392"/>
      <c r="DF281" s="392"/>
      <c r="DG281" s="392"/>
      <c r="DH281" s="392"/>
      <c r="DI281" s="392"/>
      <c r="DJ281" s="392"/>
      <c r="DK281" s="392"/>
      <c r="DL281" s="392"/>
      <c r="DM281" s="392"/>
      <c r="DN281" s="392"/>
      <c r="DO281" s="392"/>
      <c r="DP281" s="392"/>
      <c r="DQ281" s="392"/>
      <c r="DR281" s="392"/>
      <c r="DS281" s="392"/>
      <c r="DT281" s="392"/>
      <c r="DU281" s="392"/>
      <c r="DV281" s="392"/>
      <c r="DW281" s="392"/>
      <c r="DX281" s="392"/>
      <c r="DY281" s="392"/>
      <c r="DZ281" s="392"/>
      <c r="EA281" s="392"/>
      <c r="EB281" s="392"/>
      <c r="EC281" s="392"/>
      <c r="ED281" s="392"/>
      <c r="EE281" s="392"/>
      <c r="EF281" s="392"/>
      <c r="EG281" s="392"/>
      <c r="EH281" s="392"/>
      <c r="EI281" s="392"/>
      <c r="EJ281" s="392"/>
      <c r="EK281" s="392"/>
      <c r="EL281" s="392"/>
      <c r="EM281" s="392"/>
      <c r="EN281" s="392"/>
      <c r="EO281" s="392"/>
      <c r="EP281" s="392"/>
      <c r="EQ281" s="392"/>
      <c r="ER281" s="392"/>
      <c r="ES281" s="392"/>
      <c r="ET281" s="392"/>
      <c r="EU281" s="392"/>
      <c r="EV281" s="392"/>
      <c r="EW281" s="392"/>
      <c r="EX281" s="392"/>
      <c r="EY281" s="392"/>
      <c r="EZ281" s="392"/>
      <c r="FA281" s="392"/>
      <c r="FB281" s="392"/>
      <c r="FC281" s="392"/>
      <c r="FD281" s="392"/>
      <c r="FE281" s="392"/>
      <c r="FF281" s="392"/>
      <c r="FG281" s="392"/>
      <c r="FH281" s="392"/>
      <c r="FI281" s="392"/>
      <c r="FJ281" s="392"/>
      <c r="FK281" s="392"/>
      <c r="FL281" s="392"/>
      <c r="FM281" s="392"/>
      <c r="FN281" s="392"/>
      <c r="FO281" s="392"/>
      <c r="FP281" s="392"/>
      <c r="FQ281" s="392"/>
      <c r="FR281" s="392"/>
      <c r="FS281" s="392"/>
      <c r="FT281" s="392"/>
      <c r="FU281" s="392"/>
      <c r="FV281" s="392"/>
      <c r="FW281" s="392"/>
      <c r="FX281" s="392"/>
      <c r="FY281" s="392"/>
      <c r="FZ281" s="392"/>
      <c r="GA281" s="392"/>
      <c r="GB281" s="392"/>
      <c r="GC281" s="392"/>
      <c r="GD281" s="392"/>
      <c r="GE281" s="392"/>
      <c r="GF281" s="392"/>
      <c r="GG281" s="392"/>
      <c r="GH281" s="392"/>
      <c r="GI281" s="392"/>
      <c r="GJ281" s="392"/>
      <c r="GK281" s="392"/>
      <c r="GL281" s="392"/>
      <c r="GM281" s="392"/>
      <c r="GN281" s="392"/>
      <c r="GO281" s="392"/>
      <c r="GP281" s="392"/>
      <c r="GQ281" s="392"/>
      <c r="GR281" s="392"/>
      <c r="GS281" s="392"/>
      <c r="GT281" s="392"/>
      <c r="GU281" s="392"/>
      <c r="GV281" s="392"/>
      <c r="GW281" s="392"/>
      <c r="GX281" s="392"/>
      <c r="GY281" s="392"/>
      <c r="GZ281" s="392"/>
      <c r="HA281" s="392"/>
      <c r="HB281" s="392"/>
      <c r="HC281" s="392"/>
      <c r="HD281" s="392"/>
      <c r="HE281" s="392"/>
      <c r="HF281" s="392"/>
      <c r="HG281" s="392"/>
      <c r="HH281" s="392"/>
      <c r="HI281" s="392"/>
      <c r="HJ281" s="392"/>
      <c r="HK281" s="392"/>
      <c r="HL281" s="392"/>
      <c r="HM281" s="392"/>
      <c r="HN281" s="392"/>
      <c r="HO281" s="392"/>
      <c r="HP281" s="392"/>
      <c r="HQ281" s="392"/>
      <c r="HR281" s="392"/>
      <c r="HS281" s="392"/>
      <c r="HT281" s="392"/>
      <c r="HU281" s="392"/>
      <c r="HV281" s="392"/>
      <c r="HW281" s="392"/>
      <c r="HX281" s="392"/>
      <c r="HY281" s="392"/>
      <c r="HZ281" s="392"/>
      <c r="IA281" s="392"/>
      <c r="IB281" s="392"/>
      <c r="IC281" s="392"/>
      <c r="ID281" s="392"/>
      <c r="IE281" s="392"/>
      <c r="IF281" s="392"/>
      <c r="IG281" s="392"/>
      <c r="IH281" s="392"/>
      <c r="II281" s="392"/>
      <c r="IJ281" s="392"/>
      <c r="IK281" s="392"/>
      <c r="IL281" s="392"/>
      <c r="IM281" s="392"/>
      <c r="IN281" s="392"/>
      <c r="IO281" s="392"/>
      <c r="IP281" s="392"/>
      <c r="IQ281" s="392"/>
      <c r="IR281" s="392"/>
      <c r="IS281" s="392"/>
      <c r="IT281" s="392"/>
      <c r="IU281" s="392"/>
      <c r="IV281" s="392"/>
      <c r="IW281" s="392"/>
      <c r="IX281" s="392"/>
      <c r="IY281" s="392"/>
      <c r="IZ281" s="392"/>
      <c r="JA281" s="392"/>
      <c r="JB281" s="392"/>
      <c r="JC281" s="392"/>
      <c r="JD281" s="392"/>
      <c r="JE281" s="392"/>
      <c r="JF281" s="392"/>
      <c r="JG281" s="392"/>
      <c r="JH281" s="392"/>
      <c r="JI281" s="393">
        <f t="shared" si="16"/>
        <v>0</v>
      </c>
      <c r="JJ281" s="2"/>
      <c r="JK281" s="2"/>
      <c r="JL281" s="1"/>
      <c r="JM281" s="1"/>
      <c r="JN281" s="1"/>
      <c r="JO281" s="1"/>
      <c r="JP281" s="1"/>
    </row>
    <row r="282" spans="1:276 1141:1141" x14ac:dyDescent="0.3">
      <c r="A282" s="392"/>
      <c r="B282" s="392"/>
      <c r="C282" s="392"/>
      <c r="D282" s="392"/>
      <c r="E282" s="392"/>
      <c r="F282" s="392"/>
      <c r="G282" s="392"/>
      <c r="H282" s="392"/>
      <c r="I282" s="392"/>
      <c r="J282" s="392"/>
      <c r="K282" s="392"/>
      <c r="L282" s="392"/>
      <c r="M282" s="392"/>
      <c r="N282" s="392"/>
      <c r="O282" s="392"/>
      <c r="P282" s="392"/>
      <c r="Q282" s="392"/>
      <c r="R282" s="392"/>
      <c r="S282" s="392"/>
      <c r="T282" s="392"/>
      <c r="U282" s="392"/>
      <c r="V282" s="392"/>
      <c r="W282" s="392"/>
      <c r="X282" s="392"/>
      <c r="Y282" s="392"/>
      <c r="Z282" s="392"/>
      <c r="AA282" s="392"/>
      <c r="AB282" s="392"/>
      <c r="AC282" s="392"/>
      <c r="AD282" s="392"/>
      <c r="AE282" s="392"/>
      <c r="AF282" s="392"/>
      <c r="AG282" s="392"/>
      <c r="AH282" s="392"/>
      <c r="AI282" s="392"/>
      <c r="AJ282" s="392"/>
      <c r="AK282" s="392"/>
      <c r="AL282" s="392"/>
      <c r="AM282" s="392"/>
      <c r="AN282" s="392"/>
      <c r="AO282" s="392"/>
      <c r="AP282" s="392"/>
      <c r="AQ282" s="392"/>
      <c r="AR282" s="392"/>
      <c r="AS282" s="392"/>
      <c r="AT282" s="392"/>
      <c r="AU282" s="392"/>
      <c r="AV282" s="392"/>
      <c r="AW282" s="392"/>
      <c r="AX282" s="392"/>
      <c r="AY282" s="392"/>
      <c r="AZ282" s="392"/>
      <c r="BA282" s="392"/>
      <c r="BB282" s="392"/>
      <c r="BC282" s="392"/>
      <c r="BD282" s="392"/>
      <c r="BE282" s="392"/>
      <c r="BF282" s="392"/>
      <c r="BG282" s="392"/>
      <c r="BH282" s="392"/>
      <c r="BI282" s="392"/>
      <c r="BJ282" s="392"/>
      <c r="BK282" s="392"/>
      <c r="BL282" s="392"/>
      <c r="BM282" s="392"/>
      <c r="BN282" s="392"/>
      <c r="BO282" s="392"/>
      <c r="BP282" s="392"/>
      <c r="BQ282" s="392"/>
      <c r="BR282" s="392"/>
      <c r="BS282" s="392"/>
      <c r="BT282" s="392"/>
      <c r="BU282" s="392"/>
      <c r="BV282" s="392"/>
      <c r="BW282" s="392"/>
      <c r="BX282" s="392"/>
      <c r="BY282" s="392"/>
      <c r="BZ282" s="392"/>
      <c r="CA282" s="392"/>
      <c r="CB282" s="392"/>
      <c r="CC282" s="392"/>
      <c r="CD282" s="392"/>
      <c r="CE282" s="392"/>
      <c r="CF282" s="392"/>
      <c r="CG282" s="392"/>
      <c r="CH282" s="392"/>
      <c r="CI282" s="392"/>
      <c r="CJ282" s="392"/>
      <c r="CK282" s="392"/>
      <c r="CL282" s="392"/>
      <c r="CM282" s="392"/>
      <c r="CN282" s="392"/>
      <c r="CO282" s="392"/>
      <c r="CP282" s="392"/>
      <c r="CQ282" s="392"/>
      <c r="CR282" s="392"/>
      <c r="CS282" s="392"/>
      <c r="CT282" s="392"/>
      <c r="CU282" s="392"/>
      <c r="CV282" s="392"/>
      <c r="CW282" s="392"/>
      <c r="CX282" s="392"/>
      <c r="CY282" s="392"/>
      <c r="CZ282" s="392"/>
      <c r="DA282" s="392"/>
      <c r="DB282" s="392"/>
      <c r="DC282" s="392"/>
      <c r="DD282" s="392"/>
      <c r="DE282" s="392"/>
      <c r="DF282" s="392"/>
      <c r="DG282" s="392"/>
      <c r="DH282" s="392"/>
      <c r="DI282" s="392"/>
      <c r="DJ282" s="392"/>
      <c r="DK282" s="392"/>
      <c r="DL282" s="392"/>
      <c r="DM282" s="392"/>
      <c r="DN282" s="392"/>
      <c r="DO282" s="392"/>
      <c r="DP282" s="392"/>
      <c r="DQ282" s="392"/>
      <c r="DR282" s="392"/>
      <c r="DS282" s="392"/>
      <c r="DT282" s="392"/>
      <c r="DU282" s="392"/>
      <c r="DV282" s="392"/>
      <c r="DW282" s="392"/>
      <c r="DX282" s="392"/>
      <c r="DY282" s="392"/>
      <c r="DZ282" s="392"/>
      <c r="EA282" s="392"/>
      <c r="EB282" s="392"/>
      <c r="EC282" s="392"/>
      <c r="ED282" s="392"/>
      <c r="EE282" s="392"/>
      <c r="EF282" s="392"/>
      <c r="EG282" s="392"/>
      <c r="EH282" s="392"/>
      <c r="EI282" s="392"/>
      <c r="EJ282" s="392"/>
      <c r="EK282" s="392"/>
      <c r="EL282" s="392"/>
      <c r="EM282" s="392"/>
      <c r="EN282" s="392"/>
      <c r="EO282" s="392"/>
      <c r="EP282" s="392"/>
      <c r="EQ282" s="392"/>
      <c r="ER282" s="392"/>
      <c r="ES282" s="392"/>
      <c r="ET282" s="392"/>
      <c r="EU282" s="392"/>
      <c r="EV282" s="392"/>
      <c r="EW282" s="392"/>
      <c r="EX282" s="392"/>
      <c r="EY282" s="392"/>
      <c r="EZ282" s="392"/>
      <c r="FA282" s="392"/>
      <c r="FB282" s="392"/>
      <c r="FC282" s="392"/>
      <c r="FD282" s="392"/>
      <c r="FE282" s="392"/>
      <c r="FF282" s="392"/>
      <c r="FG282" s="392"/>
      <c r="FH282" s="392"/>
      <c r="FI282" s="392"/>
      <c r="FJ282" s="392"/>
      <c r="FK282" s="392"/>
      <c r="FL282" s="392"/>
      <c r="FM282" s="392"/>
      <c r="FN282" s="392"/>
      <c r="FO282" s="392"/>
      <c r="FP282" s="392"/>
      <c r="FQ282" s="392"/>
      <c r="FR282" s="392"/>
      <c r="FS282" s="392"/>
      <c r="FT282" s="392"/>
      <c r="FU282" s="392"/>
      <c r="FV282" s="392"/>
      <c r="FW282" s="392"/>
      <c r="FX282" s="392"/>
      <c r="FY282" s="392"/>
      <c r="FZ282" s="392"/>
      <c r="GA282" s="392"/>
      <c r="GB282" s="392"/>
      <c r="GC282" s="392"/>
      <c r="GD282" s="392"/>
      <c r="GE282" s="392"/>
      <c r="GF282" s="392"/>
      <c r="GG282" s="392"/>
      <c r="GH282" s="392"/>
      <c r="GI282" s="392"/>
      <c r="GJ282" s="392"/>
      <c r="GK282" s="392"/>
      <c r="GL282" s="392"/>
      <c r="GM282" s="392"/>
      <c r="GN282" s="392"/>
      <c r="GO282" s="392"/>
      <c r="GP282" s="392"/>
      <c r="GQ282" s="392"/>
      <c r="GR282" s="392"/>
      <c r="GS282" s="392"/>
      <c r="GT282" s="392"/>
      <c r="GU282" s="392"/>
      <c r="GV282" s="392"/>
      <c r="GW282" s="392"/>
      <c r="GX282" s="392"/>
      <c r="GY282" s="392"/>
      <c r="GZ282" s="392"/>
      <c r="HA282" s="392"/>
      <c r="HB282" s="392"/>
      <c r="HC282" s="392"/>
      <c r="HD282" s="392"/>
      <c r="HE282" s="392"/>
      <c r="HF282" s="392"/>
      <c r="HG282" s="392"/>
      <c r="HH282" s="392"/>
      <c r="HI282" s="392"/>
      <c r="HJ282" s="392"/>
      <c r="HK282" s="392"/>
      <c r="HL282" s="392"/>
      <c r="HM282" s="392"/>
      <c r="HN282" s="392"/>
      <c r="HO282" s="392"/>
      <c r="HP282" s="392"/>
      <c r="HQ282" s="392"/>
      <c r="HR282" s="392"/>
      <c r="HS282" s="392"/>
      <c r="HT282" s="392"/>
      <c r="HU282" s="392"/>
      <c r="HV282" s="392"/>
      <c r="HW282" s="392"/>
      <c r="HX282" s="392"/>
      <c r="HY282" s="392"/>
      <c r="HZ282" s="392"/>
      <c r="IA282" s="392"/>
      <c r="IB282" s="392"/>
      <c r="IC282" s="392"/>
      <c r="ID282" s="392"/>
      <c r="IE282" s="392"/>
      <c r="IF282" s="392"/>
      <c r="IG282" s="392"/>
      <c r="IH282" s="392"/>
      <c r="II282" s="392"/>
      <c r="IJ282" s="392"/>
      <c r="IK282" s="392"/>
      <c r="IL282" s="392"/>
      <c r="IM282" s="392"/>
      <c r="IN282" s="392"/>
      <c r="IO282" s="392"/>
      <c r="IP282" s="392"/>
      <c r="IQ282" s="392"/>
      <c r="IR282" s="392"/>
      <c r="IS282" s="392"/>
      <c r="IT282" s="392"/>
      <c r="IU282" s="392"/>
      <c r="IV282" s="392"/>
      <c r="IW282" s="392"/>
      <c r="IX282" s="392"/>
      <c r="IY282" s="392"/>
      <c r="IZ282" s="392"/>
      <c r="JA282" s="392"/>
      <c r="JB282" s="392"/>
      <c r="JC282" s="392"/>
      <c r="JD282" s="392"/>
      <c r="JE282" s="392"/>
      <c r="JF282" s="392"/>
      <c r="JG282" s="392"/>
      <c r="JH282" s="392"/>
      <c r="JI282" s="393">
        <f t="shared" si="16"/>
        <v>0</v>
      </c>
      <c r="JJ282" s="2"/>
      <c r="JK282" s="2"/>
      <c r="JL282" s="1"/>
      <c r="JM282" s="1"/>
      <c r="JN282" s="1"/>
      <c r="JO282" s="1"/>
      <c r="JP282" s="1"/>
    </row>
    <row r="283" spans="1:276 1141:1141" x14ac:dyDescent="0.3">
      <c r="A283" s="392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  <c r="L283" s="392"/>
      <c r="M283" s="392"/>
      <c r="N283" s="392"/>
      <c r="O283" s="392"/>
      <c r="P283" s="392"/>
      <c r="Q283" s="392"/>
      <c r="R283" s="392"/>
      <c r="S283" s="392"/>
      <c r="T283" s="392"/>
      <c r="U283" s="392"/>
      <c r="V283" s="392"/>
      <c r="W283" s="392"/>
      <c r="X283" s="392"/>
      <c r="Y283" s="392"/>
      <c r="Z283" s="392"/>
      <c r="AA283" s="392"/>
      <c r="AB283" s="392"/>
      <c r="AC283" s="392"/>
      <c r="AD283" s="392"/>
      <c r="AE283" s="392"/>
      <c r="AF283" s="392"/>
      <c r="AG283" s="392"/>
      <c r="AH283" s="392"/>
      <c r="AI283" s="392"/>
      <c r="AJ283" s="392"/>
      <c r="AK283" s="392"/>
      <c r="AL283" s="392"/>
      <c r="AM283" s="392"/>
      <c r="AN283" s="392"/>
      <c r="AO283" s="392"/>
      <c r="AP283" s="392"/>
      <c r="AQ283" s="392"/>
      <c r="AR283" s="392"/>
      <c r="AS283" s="392"/>
      <c r="AT283" s="392"/>
      <c r="AU283" s="392"/>
      <c r="AV283" s="392"/>
      <c r="AW283" s="392"/>
      <c r="AX283" s="392"/>
      <c r="AY283" s="392"/>
      <c r="AZ283" s="392"/>
      <c r="BA283" s="392"/>
      <c r="BB283" s="392"/>
      <c r="BC283" s="392"/>
      <c r="BD283" s="392"/>
      <c r="BE283" s="392"/>
      <c r="BF283" s="392"/>
      <c r="BG283" s="392"/>
      <c r="BH283" s="392"/>
      <c r="BI283" s="392"/>
      <c r="BJ283" s="392"/>
      <c r="BK283" s="392"/>
      <c r="BL283" s="392"/>
      <c r="BM283" s="392"/>
      <c r="BN283" s="392"/>
      <c r="BO283" s="392"/>
      <c r="BP283" s="392"/>
      <c r="BQ283" s="392"/>
      <c r="BR283" s="392"/>
      <c r="BS283" s="392"/>
      <c r="BT283" s="392"/>
      <c r="BU283" s="392"/>
      <c r="BV283" s="392"/>
      <c r="BW283" s="392"/>
      <c r="BX283" s="392"/>
      <c r="BY283" s="392"/>
      <c r="BZ283" s="392"/>
      <c r="CA283" s="392"/>
      <c r="CB283" s="392"/>
      <c r="CC283" s="392"/>
      <c r="CD283" s="392"/>
      <c r="CE283" s="392"/>
      <c r="CF283" s="392"/>
      <c r="CG283" s="392"/>
      <c r="CH283" s="392"/>
      <c r="CI283" s="392"/>
      <c r="CJ283" s="392"/>
      <c r="CK283" s="392"/>
      <c r="CL283" s="392"/>
      <c r="CM283" s="392"/>
      <c r="CN283" s="392"/>
      <c r="CO283" s="392"/>
      <c r="CP283" s="392"/>
      <c r="CQ283" s="392"/>
      <c r="CR283" s="392"/>
      <c r="CS283" s="392"/>
      <c r="CT283" s="392"/>
      <c r="CU283" s="392"/>
      <c r="CV283" s="392"/>
      <c r="CW283" s="392"/>
      <c r="CX283" s="392"/>
      <c r="CY283" s="392"/>
      <c r="CZ283" s="392"/>
      <c r="DA283" s="392"/>
      <c r="DB283" s="392"/>
      <c r="DC283" s="392"/>
      <c r="DD283" s="392"/>
      <c r="DE283" s="392"/>
      <c r="DF283" s="392"/>
      <c r="DG283" s="392"/>
      <c r="DH283" s="392"/>
      <c r="DI283" s="392"/>
      <c r="DJ283" s="392"/>
      <c r="DK283" s="392"/>
      <c r="DL283" s="392"/>
      <c r="DM283" s="392"/>
      <c r="DN283" s="392"/>
      <c r="DO283" s="392"/>
      <c r="DP283" s="392"/>
      <c r="DQ283" s="392"/>
      <c r="DR283" s="392"/>
      <c r="DS283" s="392"/>
      <c r="DT283" s="392"/>
      <c r="DU283" s="392"/>
      <c r="DV283" s="392"/>
      <c r="DW283" s="392"/>
      <c r="DX283" s="392"/>
      <c r="DY283" s="392"/>
      <c r="DZ283" s="392"/>
      <c r="EA283" s="392"/>
      <c r="EB283" s="392"/>
      <c r="EC283" s="392"/>
      <c r="ED283" s="392"/>
      <c r="EE283" s="392"/>
      <c r="EF283" s="392"/>
      <c r="EG283" s="392"/>
      <c r="EH283" s="392"/>
      <c r="EI283" s="392"/>
      <c r="EJ283" s="392"/>
      <c r="EK283" s="392"/>
      <c r="EL283" s="392"/>
      <c r="EM283" s="392"/>
      <c r="EN283" s="392"/>
      <c r="EO283" s="392"/>
      <c r="EP283" s="392"/>
      <c r="EQ283" s="392"/>
      <c r="ER283" s="392"/>
      <c r="ES283" s="392"/>
      <c r="ET283" s="392"/>
      <c r="EU283" s="392"/>
      <c r="EV283" s="392"/>
      <c r="EW283" s="392"/>
      <c r="EX283" s="392"/>
      <c r="EY283" s="392"/>
      <c r="EZ283" s="392"/>
      <c r="FA283" s="392"/>
      <c r="FB283" s="392"/>
      <c r="FC283" s="392"/>
      <c r="FD283" s="392"/>
      <c r="FE283" s="392"/>
      <c r="FF283" s="392"/>
      <c r="FG283" s="392"/>
      <c r="FH283" s="392"/>
      <c r="FI283" s="392"/>
      <c r="FJ283" s="392"/>
      <c r="FK283" s="392"/>
      <c r="FL283" s="392"/>
      <c r="FM283" s="392"/>
      <c r="FN283" s="392"/>
      <c r="FO283" s="392"/>
      <c r="FP283" s="392"/>
      <c r="FQ283" s="392"/>
      <c r="FR283" s="392"/>
      <c r="FS283" s="392"/>
      <c r="FT283" s="392"/>
      <c r="FU283" s="392"/>
      <c r="FV283" s="392"/>
      <c r="FW283" s="392"/>
      <c r="FX283" s="392"/>
      <c r="FY283" s="392"/>
      <c r="FZ283" s="392"/>
      <c r="GA283" s="392"/>
      <c r="GB283" s="392"/>
      <c r="GC283" s="392"/>
      <c r="GD283" s="392"/>
      <c r="GE283" s="392"/>
      <c r="GF283" s="392"/>
      <c r="GG283" s="392"/>
      <c r="GH283" s="392"/>
      <c r="GI283" s="392"/>
      <c r="GJ283" s="392"/>
      <c r="GK283" s="392"/>
      <c r="GL283" s="392"/>
      <c r="GM283" s="392"/>
      <c r="GN283" s="392"/>
      <c r="GO283" s="392"/>
      <c r="GP283" s="392"/>
      <c r="GQ283" s="392"/>
      <c r="GR283" s="392"/>
      <c r="GS283" s="392"/>
      <c r="GT283" s="392"/>
      <c r="GU283" s="392"/>
      <c r="GV283" s="392"/>
      <c r="GW283" s="392"/>
      <c r="GX283" s="392"/>
      <c r="GY283" s="392"/>
      <c r="GZ283" s="392"/>
      <c r="HA283" s="392"/>
      <c r="HB283" s="392"/>
      <c r="HC283" s="392"/>
      <c r="HD283" s="392"/>
      <c r="HE283" s="392"/>
      <c r="HF283" s="392"/>
      <c r="HG283" s="392"/>
      <c r="HH283" s="392"/>
      <c r="HI283" s="392"/>
      <c r="HJ283" s="392"/>
      <c r="HK283" s="392"/>
      <c r="HL283" s="392"/>
      <c r="HM283" s="392"/>
      <c r="HN283" s="392"/>
      <c r="HO283" s="392"/>
      <c r="HP283" s="392"/>
      <c r="HQ283" s="392"/>
      <c r="HR283" s="392"/>
      <c r="HS283" s="392"/>
      <c r="HT283" s="392"/>
      <c r="HU283" s="392"/>
      <c r="HV283" s="392"/>
      <c r="HW283" s="392"/>
      <c r="HX283" s="392"/>
      <c r="HY283" s="392"/>
      <c r="HZ283" s="392"/>
      <c r="IA283" s="392"/>
      <c r="IB283" s="392"/>
      <c r="IC283" s="392"/>
      <c r="ID283" s="392"/>
      <c r="IE283" s="392"/>
      <c r="IF283" s="392"/>
      <c r="IG283" s="392"/>
      <c r="IH283" s="392"/>
      <c r="II283" s="392"/>
      <c r="IJ283" s="392"/>
      <c r="IK283" s="392"/>
      <c r="IL283" s="392"/>
      <c r="IM283" s="392"/>
      <c r="IN283" s="392"/>
      <c r="IO283" s="392"/>
      <c r="IP283" s="392"/>
      <c r="IQ283" s="392"/>
      <c r="IR283" s="392"/>
      <c r="IS283" s="392"/>
      <c r="IT283" s="392"/>
      <c r="IU283" s="392"/>
      <c r="IV283" s="392"/>
      <c r="IW283" s="392"/>
      <c r="IX283" s="392"/>
      <c r="IY283" s="392"/>
      <c r="IZ283" s="392"/>
      <c r="JA283" s="392"/>
      <c r="JB283" s="392"/>
      <c r="JC283" s="392"/>
      <c r="JD283" s="392"/>
      <c r="JE283" s="392"/>
      <c r="JF283" s="392"/>
      <c r="JG283" s="392"/>
      <c r="JH283" s="392"/>
      <c r="JI283" s="393">
        <f t="shared" si="16"/>
        <v>0</v>
      </c>
      <c r="JJ283" s="2"/>
      <c r="JK283" s="2"/>
      <c r="JL283" s="1"/>
      <c r="JM283" s="1"/>
      <c r="JN283" s="1"/>
      <c r="JO283" s="1"/>
      <c r="JP283" s="1"/>
    </row>
    <row r="284" spans="1:276 1141:1141" x14ac:dyDescent="0.3">
      <c r="A284" s="392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  <c r="L284" s="392"/>
      <c r="M284" s="392"/>
      <c r="N284" s="392"/>
      <c r="O284" s="392"/>
      <c r="P284" s="392"/>
      <c r="Q284" s="392"/>
      <c r="R284" s="392"/>
      <c r="S284" s="392"/>
      <c r="T284" s="392"/>
      <c r="U284" s="392"/>
      <c r="V284" s="392"/>
      <c r="W284" s="392"/>
      <c r="X284" s="392"/>
      <c r="Y284" s="392"/>
      <c r="Z284" s="392"/>
      <c r="AA284" s="392"/>
      <c r="AB284" s="392"/>
      <c r="AC284" s="392"/>
      <c r="AD284" s="392"/>
      <c r="AE284" s="392"/>
      <c r="AF284" s="392"/>
      <c r="AG284" s="392"/>
      <c r="AH284" s="392"/>
      <c r="AI284" s="392"/>
      <c r="AJ284" s="392"/>
      <c r="AK284" s="392"/>
      <c r="AL284" s="392"/>
      <c r="AM284" s="392"/>
      <c r="AN284" s="392"/>
      <c r="AO284" s="392"/>
      <c r="AP284" s="392"/>
      <c r="AQ284" s="392"/>
      <c r="AR284" s="392"/>
      <c r="AS284" s="392"/>
      <c r="AT284" s="392"/>
      <c r="AU284" s="392"/>
      <c r="AV284" s="392"/>
      <c r="AW284" s="392"/>
      <c r="AX284" s="392"/>
      <c r="AY284" s="392"/>
      <c r="AZ284" s="392"/>
      <c r="BA284" s="392"/>
      <c r="BB284" s="392"/>
      <c r="BC284" s="392"/>
      <c r="BD284" s="392"/>
      <c r="BE284" s="392"/>
      <c r="BF284" s="392"/>
      <c r="BG284" s="392"/>
      <c r="BH284" s="392"/>
      <c r="BI284" s="392"/>
      <c r="BJ284" s="392"/>
      <c r="BK284" s="392"/>
      <c r="BL284" s="392"/>
      <c r="BM284" s="392"/>
      <c r="BN284" s="392"/>
      <c r="BO284" s="392"/>
      <c r="BP284" s="392"/>
      <c r="BQ284" s="392"/>
      <c r="BR284" s="392"/>
      <c r="BS284" s="392"/>
      <c r="BT284" s="392"/>
      <c r="BU284" s="392"/>
      <c r="BV284" s="392"/>
      <c r="BW284" s="392"/>
      <c r="BX284" s="392"/>
      <c r="BY284" s="392"/>
      <c r="BZ284" s="392"/>
      <c r="CA284" s="392"/>
      <c r="CB284" s="392"/>
      <c r="CC284" s="392"/>
      <c r="CD284" s="392"/>
      <c r="CE284" s="392"/>
      <c r="CF284" s="392"/>
      <c r="CG284" s="392"/>
      <c r="CH284" s="392"/>
      <c r="CI284" s="392"/>
      <c r="CJ284" s="392"/>
      <c r="CK284" s="392"/>
      <c r="CL284" s="392"/>
      <c r="CM284" s="392"/>
      <c r="CN284" s="392"/>
      <c r="CO284" s="392"/>
      <c r="CP284" s="392"/>
      <c r="CQ284" s="392"/>
      <c r="CR284" s="392"/>
      <c r="CS284" s="392"/>
      <c r="CT284" s="392"/>
      <c r="CU284" s="392"/>
      <c r="CV284" s="392"/>
      <c r="CW284" s="392"/>
      <c r="CX284" s="392"/>
      <c r="CY284" s="392"/>
      <c r="CZ284" s="392"/>
      <c r="DA284" s="392"/>
      <c r="DB284" s="392"/>
      <c r="DC284" s="392"/>
      <c r="DD284" s="392"/>
      <c r="DE284" s="392"/>
      <c r="DF284" s="392"/>
      <c r="DG284" s="392"/>
      <c r="DH284" s="392"/>
      <c r="DI284" s="392"/>
      <c r="DJ284" s="392"/>
      <c r="DK284" s="392"/>
      <c r="DL284" s="392"/>
      <c r="DM284" s="392"/>
      <c r="DN284" s="392"/>
      <c r="DO284" s="392"/>
      <c r="DP284" s="392"/>
      <c r="DQ284" s="392"/>
      <c r="DR284" s="392"/>
      <c r="DS284" s="392"/>
      <c r="DT284" s="392"/>
      <c r="DU284" s="392"/>
      <c r="DV284" s="392"/>
      <c r="DW284" s="392"/>
      <c r="DX284" s="392"/>
      <c r="DY284" s="392"/>
      <c r="DZ284" s="392"/>
      <c r="EA284" s="392"/>
      <c r="EB284" s="392"/>
      <c r="EC284" s="392"/>
      <c r="ED284" s="392"/>
      <c r="EE284" s="392"/>
      <c r="EF284" s="392"/>
      <c r="EG284" s="392"/>
      <c r="EH284" s="392"/>
      <c r="EI284" s="392"/>
      <c r="EJ284" s="392"/>
      <c r="EK284" s="392"/>
      <c r="EL284" s="392"/>
      <c r="EM284" s="392"/>
      <c r="EN284" s="392"/>
      <c r="EO284" s="392"/>
      <c r="EP284" s="392"/>
      <c r="EQ284" s="392"/>
      <c r="ER284" s="392"/>
      <c r="ES284" s="392"/>
      <c r="ET284" s="392"/>
      <c r="EU284" s="392"/>
      <c r="EV284" s="392"/>
      <c r="EW284" s="392"/>
      <c r="EX284" s="392"/>
      <c r="EY284" s="392"/>
      <c r="EZ284" s="392"/>
      <c r="FA284" s="392"/>
      <c r="FB284" s="392"/>
      <c r="FC284" s="392"/>
      <c r="FD284" s="392"/>
      <c r="FE284" s="392"/>
      <c r="FF284" s="392"/>
      <c r="FG284" s="392"/>
      <c r="FH284" s="392"/>
      <c r="FI284" s="392"/>
      <c r="FJ284" s="392"/>
      <c r="FK284" s="392"/>
      <c r="FL284" s="392"/>
      <c r="FM284" s="392"/>
      <c r="FN284" s="392"/>
      <c r="FO284" s="392"/>
      <c r="FP284" s="392"/>
      <c r="FQ284" s="392"/>
      <c r="FR284" s="392"/>
      <c r="FS284" s="392"/>
      <c r="FT284" s="392"/>
      <c r="FU284" s="392"/>
      <c r="FV284" s="392"/>
      <c r="FW284" s="392"/>
      <c r="FX284" s="392"/>
      <c r="FY284" s="392"/>
      <c r="FZ284" s="392"/>
      <c r="GA284" s="392"/>
      <c r="GB284" s="392"/>
      <c r="GC284" s="392"/>
      <c r="GD284" s="392"/>
      <c r="GE284" s="392"/>
      <c r="GF284" s="392"/>
      <c r="GG284" s="392"/>
      <c r="GH284" s="392"/>
      <c r="GI284" s="392"/>
      <c r="GJ284" s="392"/>
      <c r="GK284" s="392"/>
      <c r="GL284" s="392"/>
      <c r="GM284" s="392"/>
      <c r="GN284" s="392"/>
      <c r="GO284" s="392"/>
      <c r="GP284" s="392"/>
      <c r="GQ284" s="392"/>
      <c r="GR284" s="392"/>
      <c r="GS284" s="392"/>
      <c r="GT284" s="392"/>
      <c r="GU284" s="392"/>
      <c r="GV284" s="392"/>
      <c r="GW284" s="392"/>
      <c r="GX284" s="392"/>
      <c r="GY284" s="392"/>
      <c r="GZ284" s="392"/>
      <c r="HA284" s="392"/>
      <c r="HB284" s="392"/>
      <c r="HC284" s="392"/>
      <c r="HD284" s="392"/>
      <c r="HE284" s="392"/>
      <c r="HF284" s="392"/>
      <c r="HG284" s="392"/>
      <c r="HH284" s="392"/>
      <c r="HI284" s="392"/>
      <c r="HJ284" s="392"/>
      <c r="HK284" s="392"/>
      <c r="HL284" s="392"/>
      <c r="HM284" s="392"/>
      <c r="HN284" s="392"/>
      <c r="HO284" s="392"/>
      <c r="HP284" s="392"/>
      <c r="HQ284" s="392"/>
      <c r="HR284" s="392"/>
      <c r="HS284" s="392"/>
      <c r="HT284" s="392"/>
      <c r="HU284" s="392"/>
      <c r="HV284" s="392"/>
      <c r="HW284" s="392"/>
      <c r="HX284" s="392"/>
      <c r="HY284" s="392"/>
      <c r="HZ284" s="392"/>
      <c r="IA284" s="392"/>
      <c r="IB284" s="392"/>
      <c r="IC284" s="392"/>
      <c r="ID284" s="392"/>
      <c r="IE284" s="392"/>
      <c r="IF284" s="392"/>
      <c r="IG284" s="392"/>
      <c r="IH284" s="392"/>
      <c r="II284" s="392"/>
      <c r="IJ284" s="392"/>
      <c r="IK284" s="392"/>
      <c r="IL284" s="392"/>
      <c r="IM284" s="392"/>
      <c r="IN284" s="392"/>
      <c r="IO284" s="392"/>
      <c r="IP284" s="392"/>
      <c r="IQ284" s="392"/>
      <c r="IR284" s="392"/>
      <c r="IS284" s="392"/>
      <c r="IT284" s="392"/>
      <c r="IU284" s="392"/>
      <c r="IV284" s="392"/>
      <c r="IW284" s="392"/>
      <c r="IX284" s="392"/>
      <c r="IY284" s="392"/>
      <c r="IZ284" s="392"/>
      <c r="JA284" s="392"/>
      <c r="JB284" s="392"/>
      <c r="JC284" s="392"/>
      <c r="JD284" s="392"/>
      <c r="JE284" s="392"/>
      <c r="JF284" s="392"/>
      <c r="JG284" s="392"/>
      <c r="JH284" s="392"/>
      <c r="JI284" s="393">
        <f t="shared" si="16"/>
        <v>0</v>
      </c>
      <c r="JJ284" s="2"/>
      <c r="JK284" s="2"/>
      <c r="JL284" s="1"/>
      <c r="JM284" s="1"/>
      <c r="JN284" s="1"/>
      <c r="JO284" s="1"/>
      <c r="JP284" s="1"/>
    </row>
    <row r="285" spans="1:276 1141:1141" x14ac:dyDescent="0.3">
      <c r="A285" s="392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  <c r="L285" s="392"/>
      <c r="M285" s="392"/>
      <c r="N285" s="392"/>
      <c r="O285" s="392"/>
      <c r="P285" s="392"/>
      <c r="Q285" s="392"/>
      <c r="R285" s="392"/>
      <c r="S285" s="392"/>
      <c r="T285" s="392"/>
      <c r="U285" s="392"/>
      <c r="V285" s="392"/>
      <c r="W285" s="392"/>
      <c r="X285" s="392"/>
      <c r="Y285" s="392"/>
      <c r="Z285" s="392"/>
      <c r="AA285" s="392"/>
      <c r="AB285" s="392"/>
      <c r="AC285" s="392"/>
      <c r="AD285" s="392"/>
      <c r="AE285" s="392"/>
      <c r="AF285" s="392"/>
      <c r="AG285" s="392"/>
      <c r="AH285" s="392"/>
      <c r="AI285" s="392"/>
      <c r="AJ285" s="392"/>
      <c r="AK285" s="392"/>
      <c r="AL285" s="392"/>
      <c r="AM285" s="392"/>
      <c r="AN285" s="392"/>
      <c r="AO285" s="392"/>
      <c r="AP285" s="392"/>
      <c r="AQ285" s="392"/>
      <c r="AR285" s="392"/>
      <c r="AS285" s="392"/>
      <c r="AT285" s="392"/>
      <c r="AU285" s="392"/>
      <c r="AV285" s="392"/>
      <c r="AW285" s="392"/>
      <c r="AX285" s="392"/>
      <c r="AY285" s="392"/>
      <c r="AZ285" s="392"/>
      <c r="BA285" s="392"/>
      <c r="BB285" s="392"/>
      <c r="BC285" s="392"/>
      <c r="BD285" s="392"/>
      <c r="BE285" s="392"/>
      <c r="BF285" s="392"/>
      <c r="BG285" s="392"/>
      <c r="BH285" s="392"/>
      <c r="BI285" s="392"/>
      <c r="BJ285" s="392"/>
      <c r="BK285" s="392"/>
      <c r="BL285" s="392"/>
      <c r="BM285" s="392"/>
      <c r="BN285" s="392"/>
      <c r="BO285" s="392"/>
      <c r="BP285" s="392"/>
      <c r="BQ285" s="392"/>
      <c r="BR285" s="392"/>
      <c r="BS285" s="392"/>
      <c r="BT285" s="392"/>
      <c r="BU285" s="392"/>
      <c r="BV285" s="392"/>
      <c r="BW285" s="392"/>
      <c r="BX285" s="392"/>
      <c r="BY285" s="392"/>
      <c r="BZ285" s="392"/>
      <c r="CA285" s="392"/>
      <c r="CB285" s="392"/>
      <c r="CC285" s="392"/>
      <c r="CD285" s="392"/>
      <c r="CE285" s="392"/>
      <c r="CF285" s="392"/>
      <c r="CG285" s="392"/>
      <c r="CH285" s="392"/>
      <c r="CI285" s="392"/>
      <c r="CJ285" s="392"/>
      <c r="CK285" s="392"/>
      <c r="CL285" s="392"/>
      <c r="CM285" s="392"/>
      <c r="CN285" s="392"/>
      <c r="CO285" s="392"/>
      <c r="CP285" s="392"/>
      <c r="CQ285" s="392"/>
      <c r="CR285" s="392"/>
      <c r="CS285" s="392"/>
      <c r="CT285" s="392"/>
      <c r="CU285" s="392"/>
      <c r="CV285" s="392"/>
      <c r="CW285" s="392"/>
      <c r="CX285" s="392"/>
      <c r="CY285" s="392"/>
      <c r="CZ285" s="392"/>
      <c r="DA285" s="392"/>
      <c r="DB285" s="392"/>
      <c r="DC285" s="392"/>
      <c r="DD285" s="392"/>
      <c r="DE285" s="392"/>
      <c r="DF285" s="392"/>
      <c r="DG285" s="392"/>
      <c r="DH285" s="392"/>
      <c r="DI285" s="392"/>
      <c r="DJ285" s="392"/>
      <c r="DK285" s="392"/>
      <c r="DL285" s="392"/>
      <c r="DM285" s="392"/>
      <c r="DN285" s="392"/>
      <c r="DO285" s="392"/>
      <c r="DP285" s="392"/>
      <c r="DQ285" s="392"/>
      <c r="DR285" s="392"/>
      <c r="DS285" s="392"/>
      <c r="DT285" s="392"/>
      <c r="DU285" s="392"/>
      <c r="DV285" s="392"/>
      <c r="DW285" s="392"/>
      <c r="DX285" s="392"/>
      <c r="DY285" s="392"/>
      <c r="DZ285" s="392"/>
      <c r="EA285" s="392"/>
      <c r="EB285" s="392"/>
      <c r="EC285" s="392"/>
      <c r="ED285" s="392"/>
      <c r="EE285" s="392"/>
      <c r="EF285" s="392"/>
      <c r="EG285" s="392"/>
      <c r="EH285" s="392"/>
      <c r="EI285" s="392"/>
      <c r="EJ285" s="392"/>
      <c r="EK285" s="392"/>
      <c r="EL285" s="392"/>
      <c r="EM285" s="392"/>
      <c r="EN285" s="392"/>
      <c r="EO285" s="392"/>
      <c r="EP285" s="392"/>
      <c r="EQ285" s="392"/>
      <c r="ER285" s="392"/>
      <c r="ES285" s="392"/>
      <c r="ET285" s="392"/>
      <c r="EU285" s="392"/>
      <c r="EV285" s="392"/>
      <c r="EW285" s="392"/>
      <c r="EX285" s="392"/>
      <c r="EY285" s="392"/>
      <c r="EZ285" s="392"/>
      <c r="FA285" s="392"/>
      <c r="FB285" s="392"/>
      <c r="FC285" s="392"/>
      <c r="FD285" s="392"/>
      <c r="FE285" s="392"/>
      <c r="FF285" s="392"/>
      <c r="FG285" s="392"/>
      <c r="FH285" s="392"/>
      <c r="FI285" s="392"/>
      <c r="FJ285" s="392"/>
      <c r="FK285" s="392"/>
      <c r="FL285" s="392"/>
      <c r="FM285" s="392"/>
      <c r="FN285" s="392"/>
      <c r="FO285" s="392"/>
      <c r="FP285" s="392"/>
      <c r="FQ285" s="392"/>
      <c r="FR285" s="392"/>
      <c r="FS285" s="392"/>
      <c r="FT285" s="392"/>
      <c r="FU285" s="392"/>
      <c r="FV285" s="392"/>
      <c r="FW285" s="392"/>
      <c r="FX285" s="392"/>
      <c r="FY285" s="392"/>
      <c r="FZ285" s="392"/>
      <c r="GA285" s="392"/>
      <c r="GB285" s="392"/>
      <c r="GC285" s="392"/>
      <c r="GD285" s="392"/>
      <c r="GE285" s="392"/>
      <c r="GF285" s="392"/>
      <c r="GG285" s="392"/>
      <c r="GH285" s="392"/>
      <c r="GI285" s="392"/>
      <c r="GJ285" s="392"/>
      <c r="GK285" s="392"/>
      <c r="GL285" s="392"/>
      <c r="GM285" s="392"/>
      <c r="GN285" s="392"/>
      <c r="GO285" s="392"/>
      <c r="GP285" s="392"/>
      <c r="GQ285" s="392"/>
      <c r="GR285" s="392"/>
      <c r="GS285" s="392"/>
      <c r="GT285" s="392"/>
      <c r="GU285" s="392"/>
      <c r="GV285" s="392"/>
      <c r="GW285" s="392"/>
      <c r="GX285" s="392"/>
      <c r="GY285" s="392"/>
      <c r="GZ285" s="392"/>
      <c r="HA285" s="392"/>
      <c r="HB285" s="392"/>
      <c r="HC285" s="392"/>
      <c r="HD285" s="392"/>
      <c r="HE285" s="392"/>
      <c r="HF285" s="392"/>
      <c r="HG285" s="392"/>
      <c r="HH285" s="392"/>
      <c r="HI285" s="392"/>
      <c r="HJ285" s="392"/>
      <c r="HK285" s="392"/>
      <c r="HL285" s="392"/>
      <c r="HM285" s="392"/>
      <c r="HN285" s="392"/>
      <c r="HO285" s="392"/>
      <c r="HP285" s="392"/>
      <c r="HQ285" s="392"/>
      <c r="HR285" s="392"/>
      <c r="HS285" s="392"/>
      <c r="HT285" s="392"/>
      <c r="HU285" s="392"/>
      <c r="HV285" s="392"/>
      <c r="HW285" s="392"/>
      <c r="HX285" s="392"/>
      <c r="HY285" s="392"/>
      <c r="HZ285" s="392"/>
      <c r="IA285" s="392"/>
      <c r="IB285" s="392"/>
      <c r="IC285" s="392"/>
      <c r="ID285" s="392"/>
      <c r="IE285" s="392"/>
      <c r="IF285" s="392"/>
      <c r="IG285" s="392"/>
      <c r="IH285" s="392"/>
      <c r="II285" s="392"/>
      <c r="IJ285" s="392"/>
      <c r="IK285" s="392"/>
      <c r="IL285" s="392"/>
      <c r="IM285" s="392"/>
      <c r="IN285" s="392"/>
      <c r="IO285" s="392"/>
      <c r="IP285" s="392"/>
      <c r="IQ285" s="392"/>
      <c r="IR285" s="392"/>
      <c r="IS285" s="392"/>
      <c r="IT285" s="392"/>
      <c r="IU285" s="392"/>
      <c r="IV285" s="392"/>
      <c r="IW285" s="392"/>
      <c r="IX285" s="392"/>
      <c r="IY285" s="392"/>
      <c r="IZ285" s="392"/>
      <c r="JA285" s="392"/>
      <c r="JB285" s="392"/>
      <c r="JC285" s="392"/>
      <c r="JD285" s="392"/>
      <c r="JE285" s="392"/>
      <c r="JF285" s="392"/>
      <c r="JG285" s="392"/>
      <c r="JH285" s="392"/>
      <c r="JI285" s="393">
        <f t="shared" si="16"/>
        <v>0</v>
      </c>
      <c r="JJ285" s="2"/>
      <c r="JK285" s="2"/>
      <c r="JL285" s="1"/>
      <c r="JM285" s="1"/>
      <c r="JN285" s="1"/>
      <c r="JO285" s="1"/>
      <c r="JP285" s="1"/>
    </row>
    <row r="286" spans="1:276 1141:1141" x14ac:dyDescent="0.3">
      <c r="A286" s="392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  <c r="L286" s="392"/>
      <c r="M286" s="392"/>
      <c r="N286" s="392"/>
      <c r="O286" s="392"/>
      <c r="P286" s="392"/>
      <c r="Q286" s="392"/>
      <c r="R286" s="392"/>
      <c r="S286" s="392"/>
      <c r="T286" s="392"/>
      <c r="U286" s="392"/>
      <c r="V286" s="392"/>
      <c r="W286" s="392"/>
      <c r="X286" s="392"/>
      <c r="Y286" s="392"/>
      <c r="Z286" s="392"/>
      <c r="AA286" s="392"/>
      <c r="AB286" s="392"/>
      <c r="AC286" s="392"/>
      <c r="AD286" s="392"/>
      <c r="AE286" s="392"/>
      <c r="AF286" s="392"/>
      <c r="AG286" s="392"/>
      <c r="AH286" s="392"/>
      <c r="AI286" s="392"/>
      <c r="AJ286" s="392"/>
      <c r="AK286" s="392"/>
      <c r="AL286" s="392"/>
      <c r="AM286" s="392"/>
      <c r="AN286" s="392"/>
      <c r="AO286" s="392"/>
      <c r="AP286" s="392"/>
      <c r="AQ286" s="392"/>
      <c r="AR286" s="392"/>
      <c r="AS286" s="392"/>
      <c r="AT286" s="392"/>
      <c r="AU286" s="392"/>
      <c r="AV286" s="392"/>
      <c r="AW286" s="392"/>
      <c r="AX286" s="392"/>
      <c r="AY286" s="392"/>
      <c r="AZ286" s="392"/>
      <c r="BA286" s="392"/>
      <c r="BB286" s="392"/>
      <c r="BC286" s="392"/>
      <c r="BD286" s="392"/>
      <c r="BE286" s="392"/>
      <c r="BF286" s="392"/>
      <c r="BG286" s="392"/>
      <c r="BH286" s="392"/>
      <c r="BI286" s="392"/>
      <c r="BJ286" s="392"/>
      <c r="BK286" s="392"/>
      <c r="BL286" s="392"/>
      <c r="BM286" s="392"/>
      <c r="BN286" s="392"/>
      <c r="BO286" s="392"/>
      <c r="BP286" s="392"/>
      <c r="BQ286" s="392"/>
      <c r="BR286" s="392"/>
      <c r="BS286" s="392"/>
      <c r="BT286" s="392"/>
      <c r="BU286" s="392"/>
      <c r="BV286" s="392"/>
      <c r="BW286" s="392"/>
      <c r="BX286" s="392"/>
      <c r="BY286" s="392"/>
      <c r="BZ286" s="392"/>
      <c r="CA286" s="392"/>
      <c r="CB286" s="392"/>
      <c r="CC286" s="392"/>
      <c r="CD286" s="392"/>
      <c r="CE286" s="392"/>
      <c r="CF286" s="392"/>
      <c r="CG286" s="392"/>
      <c r="CH286" s="392"/>
      <c r="CI286" s="392"/>
      <c r="CJ286" s="392"/>
      <c r="CK286" s="392"/>
      <c r="CL286" s="392"/>
      <c r="CM286" s="392"/>
      <c r="CN286" s="392"/>
      <c r="CO286" s="392"/>
      <c r="CP286" s="392"/>
      <c r="CQ286" s="392"/>
      <c r="CR286" s="392"/>
      <c r="CS286" s="392"/>
      <c r="CT286" s="392"/>
      <c r="CU286" s="392"/>
      <c r="CV286" s="392"/>
      <c r="CW286" s="392"/>
      <c r="CX286" s="392"/>
      <c r="CY286" s="392"/>
      <c r="CZ286" s="392"/>
      <c r="DA286" s="392"/>
      <c r="DB286" s="392"/>
      <c r="DC286" s="392"/>
      <c r="DD286" s="392"/>
      <c r="DE286" s="392"/>
      <c r="DF286" s="392"/>
      <c r="DG286" s="392"/>
      <c r="DH286" s="392"/>
      <c r="DI286" s="392"/>
      <c r="DJ286" s="392"/>
      <c r="DK286" s="392"/>
      <c r="DL286" s="392"/>
      <c r="DM286" s="392"/>
      <c r="DN286" s="392"/>
      <c r="DO286" s="392"/>
      <c r="DP286" s="392"/>
      <c r="DQ286" s="392"/>
      <c r="DR286" s="392"/>
      <c r="DS286" s="392"/>
      <c r="DT286" s="392"/>
      <c r="DU286" s="392"/>
      <c r="DV286" s="392"/>
      <c r="DW286" s="392"/>
      <c r="DX286" s="392"/>
      <c r="DY286" s="392"/>
      <c r="DZ286" s="392"/>
      <c r="EA286" s="392"/>
      <c r="EB286" s="392"/>
      <c r="EC286" s="392"/>
      <c r="ED286" s="392"/>
      <c r="EE286" s="392"/>
      <c r="EF286" s="392"/>
      <c r="EG286" s="392"/>
      <c r="EH286" s="392"/>
      <c r="EI286" s="392"/>
      <c r="EJ286" s="392"/>
      <c r="EK286" s="392"/>
      <c r="EL286" s="392"/>
      <c r="EM286" s="392"/>
      <c r="EN286" s="392"/>
      <c r="EO286" s="392"/>
      <c r="EP286" s="392"/>
      <c r="EQ286" s="392"/>
      <c r="ER286" s="392"/>
      <c r="ES286" s="392"/>
      <c r="ET286" s="392"/>
      <c r="EU286" s="392"/>
      <c r="EV286" s="392"/>
      <c r="EW286" s="392"/>
      <c r="EX286" s="392"/>
      <c r="EY286" s="392"/>
      <c r="EZ286" s="392"/>
      <c r="FA286" s="392"/>
      <c r="FB286" s="392"/>
      <c r="FC286" s="392"/>
      <c r="FD286" s="392"/>
      <c r="FE286" s="392"/>
      <c r="FF286" s="392"/>
      <c r="FG286" s="392"/>
      <c r="FH286" s="392"/>
      <c r="FI286" s="392"/>
      <c r="FJ286" s="392"/>
      <c r="FK286" s="392"/>
      <c r="FL286" s="392"/>
      <c r="FM286" s="392"/>
      <c r="FN286" s="392"/>
      <c r="FO286" s="392"/>
      <c r="FP286" s="392"/>
      <c r="FQ286" s="392"/>
      <c r="FR286" s="392"/>
      <c r="FS286" s="392"/>
      <c r="FT286" s="392"/>
      <c r="FU286" s="392"/>
      <c r="FV286" s="392"/>
      <c r="FW286" s="392"/>
      <c r="FX286" s="392"/>
      <c r="FY286" s="392"/>
      <c r="FZ286" s="392"/>
      <c r="GA286" s="392"/>
      <c r="GB286" s="392"/>
      <c r="GC286" s="392"/>
      <c r="GD286" s="392"/>
      <c r="GE286" s="392"/>
      <c r="GF286" s="392"/>
      <c r="GG286" s="392"/>
      <c r="GH286" s="392"/>
      <c r="GI286" s="392"/>
      <c r="GJ286" s="392"/>
      <c r="GK286" s="392"/>
      <c r="GL286" s="392"/>
      <c r="GM286" s="392"/>
      <c r="GN286" s="392"/>
      <c r="GO286" s="392"/>
      <c r="GP286" s="392"/>
      <c r="GQ286" s="392"/>
      <c r="GR286" s="392"/>
      <c r="GS286" s="392"/>
      <c r="GT286" s="392"/>
      <c r="GU286" s="392"/>
      <c r="GV286" s="392"/>
      <c r="GW286" s="392"/>
      <c r="GX286" s="392"/>
      <c r="GY286" s="392"/>
      <c r="GZ286" s="392"/>
      <c r="HA286" s="392"/>
      <c r="HB286" s="392"/>
      <c r="HC286" s="392"/>
      <c r="HD286" s="392"/>
      <c r="HE286" s="392"/>
      <c r="HF286" s="392"/>
      <c r="HG286" s="392"/>
      <c r="HH286" s="392"/>
      <c r="HI286" s="392"/>
      <c r="HJ286" s="392"/>
      <c r="HK286" s="392"/>
      <c r="HL286" s="392"/>
      <c r="HM286" s="392"/>
      <c r="HN286" s="392"/>
      <c r="HO286" s="392"/>
      <c r="HP286" s="392"/>
      <c r="HQ286" s="392"/>
      <c r="HR286" s="392"/>
      <c r="HS286" s="392"/>
      <c r="HT286" s="392"/>
      <c r="HU286" s="392"/>
      <c r="HV286" s="392"/>
      <c r="HW286" s="392"/>
      <c r="HX286" s="392"/>
      <c r="HY286" s="392"/>
      <c r="HZ286" s="392"/>
      <c r="IA286" s="392"/>
      <c r="IB286" s="392"/>
      <c r="IC286" s="392"/>
      <c r="ID286" s="392"/>
      <c r="IE286" s="392"/>
      <c r="IF286" s="392"/>
      <c r="IG286" s="392"/>
      <c r="IH286" s="392"/>
      <c r="II286" s="392"/>
      <c r="IJ286" s="392"/>
      <c r="IK286" s="392"/>
      <c r="IL286" s="392"/>
      <c r="IM286" s="392"/>
      <c r="IN286" s="392"/>
      <c r="IO286" s="392"/>
      <c r="IP286" s="392"/>
      <c r="IQ286" s="392"/>
      <c r="IR286" s="392"/>
      <c r="IS286" s="392"/>
      <c r="IT286" s="392"/>
      <c r="IU286" s="392"/>
      <c r="IV286" s="392"/>
      <c r="IW286" s="392"/>
      <c r="IX286" s="392"/>
      <c r="IY286" s="392"/>
      <c r="IZ286" s="392"/>
      <c r="JA286" s="392"/>
      <c r="JB286" s="392"/>
      <c r="JC286" s="392"/>
      <c r="JD286" s="392"/>
      <c r="JE286" s="392"/>
      <c r="JF286" s="392"/>
      <c r="JG286" s="392"/>
      <c r="JH286" s="392"/>
      <c r="JI286" s="393">
        <f t="shared" si="16"/>
        <v>0</v>
      </c>
      <c r="JJ286" s="2"/>
      <c r="JK286" s="2"/>
      <c r="JL286" s="1"/>
      <c r="JM286" s="1"/>
      <c r="JN286" s="1"/>
      <c r="JO286" s="1"/>
      <c r="JP286" s="1"/>
    </row>
    <row r="287" spans="1:276 1141:1141" x14ac:dyDescent="0.3">
      <c r="A287" s="120">
        <f>SUM(A273:A286)</f>
        <v>0</v>
      </c>
      <c r="B287" s="120">
        <f t="shared" ref="B287:BM287" si="17">SUM(B273:B286)</f>
        <v>0</v>
      </c>
      <c r="C287" s="120">
        <f t="shared" si="17"/>
        <v>0</v>
      </c>
      <c r="D287" s="120">
        <f t="shared" si="17"/>
        <v>0</v>
      </c>
      <c r="E287" s="120">
        <f t="shared" si="17"/>
        <v>0</v>
      </c>
      <c r="F287" s="120">
        <f t="shared" si="17"/>
        <v>0</v>
      </c>
      <c r="G287" s="120">
        <f t="shared" si="17"/>
        <v>0</v>
      </c>
      <c r="H287" s="120">
        <f t="shared" si="17"/>
        <v>0</v>
      </c>
      <c r="I287" s="120">
        <f t="shared" si="17"/>
        <v>0</v>
      </c>
      <c r="J287" s="120">
        <f t="shared" si="17"/>
        <v>0</v>
      </c>
      <c r="K287" s="120">
        <f t="shared" si="17"/>
        <v>0</v>
      </c>
      <c r="L287" s="120">
        <f t="shared" si="17"/>
        <v>0</v>
      </c>
      <c r="M287" s="120">
        <f t="shared" si="17"/>
        <v>0</v>
      </c>
      <c r="N287" s="120">
        <f t="shared" si="17"/>
        <v>0</v>
      </c>
      <c r="O287" s="120">
        <f t="shared" si="17"/>
        <v>0</v>
      </c>
      <c r="P287" s="120">
        <f t="shared" si="17"/>
        <v>0</v>
      </c>
      <c r="Q287" s="120">
        <f t="shared" si="17"/>
        <v>0</v>
      </c>
      <c r="R287" s="120">
        <f t="shared" si="17"/>
        <v>0</v>
      </c>
      <c r="S287" s="120">
        <f t="shared" si="17"/>
        <v>0</v>
      </c>
      <c r="T287" s="120">
        <f t="shared" si="17"/>
        <v>0</v>
      </c>
      <c r="U287" s="120">
        <f t="shared" si="17"/>
        <v>0</v>
      </c>
      <c r="V287" s="120">
        <f t="shared" si="17"/>
        <v>0</v>
      </c>
      <c r="W287" s="120">
        <f t="shared" si="17"/>
        <v>0</v>
      </c>
      <c r="X287" s="120">
        <f t="shared" si="17"/>
        <v>0</v>
      </c>
      <c r="Y287" s="120">
        <f t="shared" si="17"/>
        <v>0</v>
      </c>
      <c r="Z287" s="120">
        <f t="shared" si="17"/>
        <v>0</v>
      </c>
      <c r="AA287" s="120">
        <f t="shared" si="17"/>
        <v>0</v>
      </c>
      <c r="AB287" s="120">
        <f t="shared" si="17"/>
        <v>0</v>
      </c>
      <c r="AC287" s="120">
        <f t="shared" si="17"/>
        <v>0</v>
      </c>
      <c r="AD287" s="120">
        <f t="shared" si="17"/>
        <v>0</v>
      </c>
      <c r="AE287" s="120">
        <f t="shared" si="17"/>
        <v>0</v>
      </c>
      <c r="AF287" s="120">
        <f t="shared" si="17"/>
        <v>0</v>
      </c>
      <c r="AG287" s="120">
        <f t="shared" si="17"/>
        <v>0</v>
      </c>
      <c r="AH287" s="120">
        <f t="shared" si="17"/>
        <v>0</v>
      </c>
      <c r="AI287" s="120">
        <f t="shared" si="17"/>
        <v>0</v>
      </c>
      <c r="AJ287" s="120">
        <f t="shared" si="17"/>
        <v>0</v>
      </c>
      <c r="AK287" s="120">
        <f t="shared" si="17"/>
        <v>0</v>
      </c>
      <c r="AL287" s="120">
        <f t="shared" si="17"/>
        <v>0</v>
      </c>
      <c r="AM287" s="120">
        <f t="shared" si="17"/>
        <v>0</v>
      </c>
      <c r="AN287" s="120">
        <f t="shared" si="17"/>
        <v>0</v>
      </c>
      <c r="AO287" s="120">
        <f t="shared" si="17"/>
        <v>0</v>
      </c>
      <c r="AP287" s="120">
        <f t="shared" si="17"/>
        <v>0</v>
      </c>
      <c r="AQ287" s="120">
        <f t="shared" si="17"/>
        <v>0</v>
      </c>
      <c r="AR287" s="120">
        <f t="shared" si="17"/>
        <v>0</v>
      </c>
      <c r="AS287" s="120">
        <f t="shared" si="17"/>
        <v>0</v>
      </c>
      <c r="AT287" s="120">
        <f t="shared" si="17"/>
        <v>0</v>
      </c>
      <c r="AU287" s="120">
        <f t="shared" si="17"/>
        <v>0</v>
      </c>
      <c r="AV287" s="120">
        <f t="shared" si="17"/>
        <v>0</v>
      </c>
      <c r="AW287" s="120">
        <f t="shared" si="17"/>
        <v>0</v>
      </c>
      <c r="AX287" s="120">
        <f t="shared" si="17"/>
        <v>0</v>
      </c>
      <c r="AY287" s="120">
        <f t="shared" si="17"/>
        <v>0</v>
      </c>
      <c r="AZ287" s="120">
        <f t="shared" si="17"/>
        <v>0</v>
      </c>
      <c r="BA287" s="120">
        <f t="shared" si="17"/>
        <v>0</v>
      </c>
      <c r="BB287" s="120">
        <f t="shared" si="17"/>
        <v>0</v>
      </c>
      <c r="BC287" s="120">
        <f t="shared" si="17"/>
        <v>0</v>
      </c>
      <c r="BD287" s="120">
        <f t="shared" si="17"/>
        <v>0</v>
      </c>
      <c r="BE287" s="120">
        <f t="shared" si="17"/>
        <v>0</v>
      </c>
      <c r="BF287" s="120">
        <f t="shared" si="17"/>
        <v>0</v>
      </c>
      <c r="BG287" s="120">
        <f t="shared" si="17"/>
        <v>0</v>
      </c>
      <c r="BH287" s="120">
        <f t="shared" si="17"/>
        <v>0</v>
      </c>
      <c r="BI287" s="120">
        <f t="shared" si="17"/>
        <v>0</v>
      </c>
      <c r="BJ287" s="120">
        <f t="shared" si="17"/>
        <v>0</v>
      </c>
      <c r="BK287" s="120">
        <f t="shared" si="17"/>
        <v>0</v>
      </c>
      <c r="BL287" s="120">
        <f t="shared" si="17"/>
        <v>0</v>
      </c>
      <c r="BM287" s="120">
        <f t="shared" si="17"/>
        <v>0</v>
      </c>
      <c r="BN287" s="120">
        <f t="shared" ref="BN287:DY287" si="18">SUM(BN273:BN286)</f>
        <v>0</v>
      </c>
      <c r="BO287" s="120">
        <f t="shared" si="18"/>
        <v>0</v>
      </c>
      <c r="BP287" s="120">
        <f t="shared" si="18"/>
        <v>0</v>
      </c>
      <c r="BQ287" s="120">
        <f t="shared" si="18"/>
        <v>0</v>
      </c>
      <c r="BR287" s="120">
        <f t="shared" si="18"/>
        <v>0</v>
      </c>
      <c r="BS287" s="120">
        <f t="shared" si="18"/>
        <v>0</v>
      </c>
      <c r="BT287" s="120">
        <f t="shared" si="18"/>
        <v>0</v>
      </c>
      <c r="BU287" s="120">
        <f t="shared" si="18"/>
        <v>0</v>
      </c>
      <c r="BV287" s="120">
        <f t="shared" si="18"/>
        <v>0</v>
      </c>
      <c r="BW287" s="120">
        <f t="shared" si="18"/>
        <v>0</v>
      </c>
      <c r="BX287" s="120">
        <f t="shared" si="18"/>
        <v>0</v>
      </c>
      <c r="BY287" s="120">
        <f t="shared" si="18"/>
        <v>0</v>
      </c>
      <c r="BZ287" s="120">
        <f t="shared" si="18"/>
        <v>0</v>
      </c>
      <c r="CA287" s="120">
        <f t="shared" si="18"/>
        <v>0</v>
      </c>
      <c r="CB287" s="120">
        <f t="shared" si="18"/>
        <v>0</v>
      </c>
      <c r="CC287" s="120">
        <f t="shared" si="18"/>
        <v>0</v>
      </c>
      <c r="CD287" s="120">
        <f t="shared" si="18"/>
        <v>0</v>
      </c>
      <c r="CE287" s="120">
        <f t="shared" si="18"/>
        <v>0</v>
      </c>
      <c r="CF287" s="120">
        <f t="shared" si="18"/>
        <v>0</v>
      </c>
      <c r="CG287" s="120">
        <f t="shared" si="18"/>
        <v>0</v>
      </c>
      <c r="CH287" s="120">
        <f t="shared" si="18"/>
        <v>0</v>
      </c>
      <c r="CI287" s="120">
        <f t="shared" si="18"/>
        <v>0</v>
      </c>
      <c r="CJ287" s="120">
        <f t="shared" si="18"/>
        <v>0</v>
      </c>
      <c r="CK287" s="120">
        <f t="shared" si="18"/>
        <v>0</v>
      </c>
      <c r="CL287" s="120">
        <f t="shared" si="18"/>
        <v>0</v>
      </c>
      <c r="CM287" s="120">
        <f t="shared" si="18"/>
        <v>0</v>
      </c>
      <c r="CN287" s="120">
        <f t="shared" si="18"/>
        <v>0</v>
      </c>
      <c r="CO287" s="120">
        <f t="shared" si="18"/>
        <v>0</v>
      </c>
      <c r="CP287" s="120">
        <f t="shared" si="18"/>
        <v>0</v>
      </c>
      <c r="CQ287" s="120">
        <f t="shared" si="18"/>
        <v>0</v>
      </c>
      <c r="CR287" s="120">
        <f t="shared" si="18"/>
        <v>0</v>
      </c>
      <c r="CS287" s="120">
        <f t="shared" si="18"/>
        <v>0</v>
      </c>
      <c r="CT287" s="120">
        <f t="shared" si="18"/>
        <v>0</v>
      </c>
      <c r="CU287" s="120">
        <f t="shared" si="18"/>
        <v>0</v>
      </c>
      <c r="CV287" s="120">
        <f t="shared" si="18"/>
        <v>0</v>
      </c>
      <c r="CW287" s="120">
        <f t="shared" si="18"/>
        <v>0</v>
      </c>
      <c r="CX287" s="120">
        <f t="shared" si="18"/>
        <v>0</v>
      </c>
      <c r="CY287" s="120">
        <f t="shared" si="18"/>
        <v>0</v>
      </c>
      <c r="CZ287" s="120">
        <f t="shared" si="18"/>
        <v>0</v>
      </c>
      <c r="DA287" s="120">
        <f t="shared" si="18"/>
        <v>0</v>
      </c>
      <c r="DB287" s="120">
        <f t="shared" si="18"/>
        <v>0</v>
      </c>
      <c r="DC287" s="120">
        <f t="shared" si="18"/>
        <v>0</v>
      </c>
      <c r="DD287" s="120">
        <f t="shared" si="18"/>
        <v>0</v>
      </c>
      <c r="DE287" s="120">
        <f t="shared" si="18"/>
        <v>0</v>
      </c>
      <c r="DF287" s="120">
        <f t="shared" si="18"/>
        <v>0</v>
      </c>
      <c r="DG287" s="120">
        <f t="shared" si="18"/>
        <v>0</v>
      </c>
      <c r="DH287" s="120">
        <f t="shared" si="18"/>
        <v>0</v>
      </c>
      <c r="DI287" s="120">
        <f t="shared" si="18"/>
        <v>0</v>
      </c>
      <c r="DJ287" s="120">
        <f t="shared" si="18"/>
        <v>0</v>
      </c>
      <c r="DK287" s="120">
        <f t="shared" si="18"/>
        <v>0</v>
      </c>
      <c r="DL287" s="120">
        <f t="shared" si="18"/>
        <v>0</v>
      </c>
      <c r="DM287" s="120">
        <f t="shared" si="18"/>
        <v>0</v>
      </c>
      <c r="DN287" s="120">
        <f t="shared" si="18"/>
        <v>0</v>
      </c>
      <c r="DO287" s="120">
        <f t="shared" si="18"/>
        <v>0</v>
      </c>
      <c r="DP287" s="120">
        <f t="shared" si="18"/>
        <v>0</v>
      </c>
      <c r="DQ287" s="120">
        <f t="shared" si="18"/>
        <v>0</v>
      </c>
      <c r="DR287" s="120">
        <f t="shared" si="18"/>
        <v>0</v>
      </c>
      <c r="DS287" s="120">
        <f t="shared" si="18"/>
        <v>0</v>
      </c>
      <c r="DT287" s="120">
        <f t="shared" si="18"/>
        <v>0</v>
      </c>
      <c r="DU287" s="120">
        <f t="shared" si="18"/>
        <v>0</v>
      </c>
      <c r="DV287" s="120">
        <f t="shared" si="18"/>
        <v>0</v>
      </c>
      <c r="DW287" s="120">
        <f t="shared" si="18"/>
        <v>0</v>
      </c>
      <c r="DX287" s="120">
        <f t="shared" si="18"/>
        <v>0</v>
      </c>
      <c r="DY287" s="120">
        <f t="shared" si="18"/>
        <v>0</v>
      </c>
      <c r="DZ287" s="120">
        <f t="shared" ref="DZ287:GK287" si="19">SUM(DZ273:DZ286)</f>
        <v>0</v>
      </c>
      <c r="EA287" s="120">
        <f t="shared" si="19"/>
        <v>0</v>
      </c>
      <c r="EB287" s="120">
        <f t="shared" si="19"/>
        <v>0</v>
      </c>
      <c r="EC287" s="120">
        <f t="shared" si="19"/>
        <v>0</v>
      </c>
      <c r="ED287" s="120">
        <f t="shared" si="19"/>
        <v>0</v>
      </c>
      <c r="EE287" s="120">
        <f t="shared" si="19"/>
        <v>0</v>
      </c>
      <c r="EF287" s="120">
        <f t="shared" si="19"/>
        <v>0</v>
      </c>
      <c r="EG287" s="120">
        <f t="shared" si="19"/>
        <v>0</v>
      </c>
      <c r="EH287" s="120">
        <f t="shared" si="19"/>
        <v>0</v>
      </c>
      <c r="EI287" s="120">
        <f t="shared" si="19"/>
        <v>0</v>
      </c>
      <c r="EJ287" s="120">
        <f t="shared" si="19"/>
        <v>0</v>
      </c>
      <c r="EK287" s="120">
        <f t="shared" si="19"/>
        <v>0</v>
      </c>
      <c r="EL287" s="120">
        <f t="shared" si="19"/>
        <v>0</v>
      </c>
      <c r="EM287" s="120">
        <f t="shared" si="19"/>
        <v>0</v>
      </c>
      <c r="EN287" s="120">
        <f t="shared" si="19"/>
        <v>0</v>
      </c>
      <c r="EO287" s="120">
        <f t="shared" si="19"/>
        <v>0</v>
      </c>
      <c r="EP287" s="120">
        <f t="shared" si="19"/>
        <v>0</v>
      </c>
      <c r="EQ287" s="120">
        <f t="shared" si="19"/>
        <v>0</v>
      </c>
      <c r="ER287" s="120">
        <f t="shared" si="19"/>
        <v>0</v>
      </c>
      <c r="ES287" s="120">
        <f t="shared" si="19"/>
        <v>0</v>
      </c>
      <c r="ET287" s="120">
        <f t="shared" si="19"/>
        <v>0</v>
      </c>
      <c r="EU287" s="120">
        <f t="shared" si="19"/>
        <v>0</v>
      </c>
      <c r="EV287" s="120">
        <f t="shared" si="19"/>
        <v>0</v>
      </c>
      <c r="EW287" s="120">
        <f t="shared" si="19"/>
        <v>0</v>
      </c>
      <c r="EX287" s="120">
        <f t="shared" si="19"/>
        <v>0</v>
      </c>
      <c r="EY287" s="120">
        <f t="shared" si="19"/>
        <v>0</v>
      </c>
      <c r="EZ287" s="120">
        <f t="shared" si="19"/>
        <v>0</v>
      </c>
      <c r="FA287" s="120">
        <f t="shared" si="19"/>
        <v>0</v>
      </c>
      <c r="FB287" s="120">
        <f t="shared" si="19"/>
        <v>0</v>
      </c>
      <c r="FC287" s="120">
        <f t="shared" si="19"/>
        <v>0</v>
      </c>
      <c r="FD287" s="120">
        <f t="shared" si="19"/>
        <v>0</v>
      </c>
      <c r="FE287" s="120">
        <f t="shared" si="19"/>
        <v>0</v>
      </c>
      <c r="FF287" s="120">
        <f t="shared" si="19"/>
        <v>0</v>
      </c>
      <c r="FG287" s="120">
        <f t="shared" si="19"/>
        <v>0</v>
      </c>
      <c r="FH287" s="120">
        <f t="shared" si="19"/>
        <v>0</v>
      </c>
      <c r="FI287" s="120">
        <f t="shared" si="19"/>
        <v>0</v>
      </c>
      <c r="FJ287" s="120">
        <f t="shared" si="19"/>
        <v>0</v>
      </c>
      <c r="FK287" s="120">
        <f t="shared" si="19"/>
        <v>0</v>
      </c>
      <c r="FL287" s="120">
        <f t="shared" si="19"/>
        <v>0</v>
      </c>
      <c r="FM287" s="120">
        <f t="shared" si="19"/>
        <v>0</v>
      </c>
      <c r="FN287" s="120">
        <f t="shared" si="19"/>
        <v>0</v>
      </c>
      <c r="FO287" s="120">
        <f t="shared" si="19"/>
        <v>0</v>
      </c>
      <c r="FP287" s="120">
        <f t="shared" si="19"/>
        <v>0</v>
      </c>
      <c r="FQ287" s="120">
        <f t="shared" si="19"/>
        <v>0</v>
      </c>
      <c r="FR287" s="120">
        <f t="shared" si="19"/>
        <v>0</v>
      </c>
      <c r="FS287" s="120">
        <f t="shared" si="19"/>
        <v>0</v>
      </c>
      <c r="FT287" s="120">
        <f t="shared" si="19"/>
        <v>0</v>
      </c>
      <c r="FU287" s="120">
        <f t="shared" si="19"/>
        <v>0</v>
      </c>
      <c r="FV287" s="120">
        <f t="shared" si="19"/>
        <v>0</v>
      </c>
      <c r="FW287" s="120">
        <f t="shared" si="19"/>
        <v>0</v>
      </c>
      <c r="FX287" s="120">
        <f t="shared" si="19"/>
        <v>0</v>
      </c>
      <c r="FY287" s="120">
        <f t="shared" si="19"/>
        <v>0</v>
      </c>
      <c r="FZ287" s="120">
        <f t="shared" si="19"/>
        <v>0</v>
      </c>
      <c r="GA287" s="120">
        <f t="shared" si="19"/>
        <v>0</v>
      </c>
      <c r="GB287" s="120">
        <f t="shared" si="19"/>
        <v>0</v>
      </c>
      <c r="GC287" s="120">
        <f t="shared" si="19"/>
        <v>0</v>
      </c>
      <c r="GD287" s="120">
        <f t="shared" si="19"/>
        <v>0</v>
      </c>
      <c r="GE287" s="120">
        <f t="shared" si="19"/>
        <v>0</v>
      </c>
      <c r="GF287" s="120">
        <f t="shared" si="19"/>
        <v>0</v>
      </c>
      <c r="GG287" s="120">
        <f t="shared" si="19"/>
        <v>0</v>
      </c>
      <c r="GH287" s="120">
        <f t="shared" si="19"/>
        <v>0</v>
      </c>
      <c r="GI287" s="120">
        <f t="shared" si="19"/>
        <v>0</v>
      </c>
      <c r="GJ287" s="120">
        <f t="shared" si="19"/>
        <v>0</v>
      </c>
      <c r="GK287" s="120">
        <f t="shared" si="19"/>
        <v>0</v>
      </c>
      <c r="GL287" s="120">
        <f t="shared" ref="GL287:IW287" si="20">SUM(GL273:GL286)</f>
        <v>0</v>
      </c>
      <c r="GM287" s="120">
        <f t="shared" si="20"/>
        <v>0</v>
      </c>
      <c r="GN287" s="120">
        <f t="shared" si="20"/>
        <v>0</v>
      </c>
      <c r="GO287" s="120">
        <f t="shared" si="20"/>
        <v>0</v>
      </c>
      <c r="GP287" s="120">
        <f t="shared" si="20"/>
        <v>0</v>
      </c>
      <c r="GQ287" s="120">
        <f t="shared" si="20"/>
        <v>0</v>
      </c>
      <c r="GR287" s="120">
        <f t="shared" si="20"/>
        <v>0</v>
      </c>
      <c r="GS287" s="120">
        <f t="shared" si="20"/>
        <v>0</v>
      </c>
      <c r="GT287" s="120">
        <f t="shared" si="20"/>
        <v>0</v>
      </c>
      <c r="GU287" s="120">
        <f t="shared" si="20"/>
        <v>0</v>
      </c>
      <c r="GV287" s="120">
        <f t="shared" si="20"/>
        <v>0</v>
      </c>
      <c r="GW287" s="120">
        <f t="shared" si="20"/>
        <v>0</v>
      </c>
      <c r="GX287" s="120">
        <f t="shared" si="20"/>
        <v>0</v>
      </c>
      <c r="GY287" s="120">
        <f t="shared" si="20"/>
        <v>0</v>
      </c>
      <c r="GZ287" s="120">
        <f t="shared" si="20"/>
        <v>0</v>
      </c>
      <c r="HA287" s="120">
        <f t="shared" si="20"/>
        <v>0</v>
      </c>
      <c r="HB287" s="120">
        <f t="shared" si="20"/>
        <v>0</v>
      </c>
      <c r="HC287" s="120">
        <f t="shared" si="20"/>
        <v>0</v>
      </c>
      <c r="HD287" s="120">
        <f t="shared" si="20"/>
        <v>0</v>
      </c>
      <c r="HE287" s="120">
        <f t="shared" si="20"/>
        <v>0</v>
      </c>
      <c r="HF287" s="120">
        <f t="shared" si="20"/>
        <v>0</v>
      </c>
      <c r="HG287" s="120">
        <f t="shared" si="20"/>
        <v>0</v>
      </c>
      <c r="HH287" s="120">
        <f t="shared" si="20"/>
        <v>0</v>
      </c>
      <c r="HI287" s="120">
        <f t="shared" si="20"/>
        <v>0</v>
      </c>
      <c r="HJ287" s="120">
        <f t="shared" si="20"/>
        <v>0</v>
      </c>
      <c r="HK287" s="120">
        <f t="shared" si="20"/>
        <v>0</v>
      </c>
      <c r="HL287" s="120">
        <f t="shared" si="20"/>
        <v>0</v>
      </c>
      <c r="HM287" s="120">
        <f t="shared" si="20"/>
        <v>0</v>
      </c>
      <c r="HN287" s="120">
        <f t="shared" si="20"/>
        <v>0</v>
      </c>
      <c r="HO287" s="120">
        <f t="shared" si="20"/>
        <v>0</v>
      </c>
      <c r="HP287" s="120">
        <f t="shared" si="20"/>
        <v>0</v>
      </c>
      <c r="HQ287" s="120">
        <f t="shared" si="20"/>
        <v>0</v>
      </c>
      <c r="HR287" s="120">
        <f t="shared" si="20"/>
        <v>0</v>
      </c>
      <c r="HS287" s="120">
        <f t="shared" si="20"/>
        <v>0</v>
      </c>
      <c r="HT287" s="120">
        <f t="shared" si="20"/>
        <v>0</v>
      </c>
      <c r="HU287" s="120">
        <f t="shared" si="20"/>
        <v>0</v>
      </c>
      <c r="HV287" s="120">
        <f t="shared" si="20"/>
        <v>0</v>
      </c>
      <c r="HW287" s="120">
        <f t="shared" si="20"/>
        <v>0</v>
      </c>
      <c r="HX287" s="120">
        <f t="shared" si="20"/>
        <v>0</v>
      </c>
      <c r="HY287" s="120">
        <f t="shared" si="20"/>
        <v>0</v>
      </c>
      <c r="HZ287" s="120">
        <f t="shared" si="20"/>
        <v>0</v>
      </c>
      <c r="IA287" s="120">
        <f t="shared" si="20"/>
        <v>0</v>
      </c>
      <c r="IB287" s="120">
        <f t="shared" si="20"/>
        <v>0</v>
      </c>
      <c r="IC287" s="120">
        <f t="shared" si="20"/>
        <v>0</v>
      </c>
      <c r="ID287" s="120">
        <f t="shared" si="20"/>
        <v>0</v>
      </c>
      <c r="IE287" s="120">
        <f t="shared" si="20"/>
        <v>0</v>
      </c>
      <c r="IF287" s="120">
        <f t="shared" si="20"/>
        <v>0</v>
      </c>
      <c r="IG287" s="120">
        <f t="shared" si="20"/>
        <v>0</v>
      </c>
      <c r="IH287" s="120">
        <f t="shared" si="20"/>
        <v>0</v>
      </c>
      <c r="II287" s="120">
        <f t="shared" si="20"/>
        <v>0</v>
      </c>
      <c r="IJ287" s="120">
        <f t="shared" si="20"/>
        <v>0</v>
      </c>
      <c r="IK287" s="120">
        <f t="shared" si="20"/>
        <v>0</v>
      </c>
      <c r="IL287" s="120">
        <f t="shared" si="20"/>
        <v>0</v>
      </c>
      <c r="IM287" s="120">
        <f t="shared" si="20"/>
        <v>0</v>
      </c>
      <c r="IN287" s="120">
        <f t="shared" si="20"/>
        <v>0</v>
      </c>
      <c r="IO287" s="120">
        <f t="shared" si="20"/>
        <v>0</v>
      </c>
      <c r="IP287" s="120">
        <f t="shared" si="20"/>
        <v>0</v>
      </c>
      <c r="IQ287" s="120">
        <f t="shared" si="20"/>
        <v>0</v>
      </c>
      <c r="IR287" s="120">
        <f t="shared" si="20"/>
        <v>0</v>
      </c>
      <c r="IS287" s="120">
        <f t="shared" si="20"/>
        <v>0</v>
      </c>
      <c r="IT287" s="120">
        <f t="shared" si="20"/>
        <v>0</v>
      </c>
      <c r="IU287" s="120">
        <f t="shared" si="20"/>
        <v>0</v>
      </c>
      <c r="IV287" s="120">
        <f t="shared" si="20"/>
        <v>0</v>
      </c>
      <c r="IW287" s="120">
        <f t="shared" si="20"/>
        <v>0</v>
      </c>
      <c r="IX287" s="120">
        <f t="shared" ref="IX287:JH287" si="21">SUM(IX273:IX286)</f>
        <v>0</v>
      </c>
      <c r="IY287" s="120">
        <f t="shared" si="21"/>
        <v>0</v>
      </c>
      <c r="IZ287" s="120">
        <f t="shared" si="21"/>
        <v>0</v>
      </c>
      <c r="JA287" s="120">
        <f t="shared" si="21"/>
        <v>0</v>
      </c>
      <c r="JB287" s="120">
        <f t="shared" si="21"/>
        <v>0</v>
      </c>
      <c r="JC287" s="120">
        <f t="shared" si="21"/>
        <v>0</v>
      </c>
      <c r="JD287" s="120">
        <f t="shared" si="21"/>
        <v>0</v>
      </c>
      <c r="JE287" s="120">
        <f t="shared" si="21"/>
        <v>0</v>
      </c>
      <c r="JF287" s="120">
        <f t="shared" si="21"/>
        <v>0</v>
      </c>
      <c r="JG287" s="120">
        <f t="shared" si="21"/>
        <v>0</v>
      </c>
      <c r="JH287" s="120">
        <f t="shared" si="21"/>
        <v>0</v>
      </c>
      <c r="JI287" s="295">
        <f t="shared" si="16"/>
        <v>0</v>
      </c>
      <c r="JJ287" s="2"/>
      <c r="JK287" s="2"/>
      <c r="JL287" s="1"/>
      <c r="JM287" s="1"/>
      <c r="JN287" s="1"/>
      <c r="JO287" s="1"/>
      <c r="JP287" s="1"/>
    </row>
    <row r="288" spans="1:276 1141:1141" s="132" customFormat="1" x14ac:dyDescent="0.3">
      <c r="A288" s="279">
        <f>+A287+A271</f>
        <v>52666807.68</v>
      </c>
      <c r="B288" s="279">
        <f t="shared" ref="B288:BM288" si="22">+B287+B271</f>
        <v>0</v>
      </c>
      <c r="C288" s="279">
        <f t="shared" si="22"/>
        <v>0</v>
      </c>
      <c r="D288" s="279">
        <f t="shared" si="22"/>
        <v>0</v>
      </c>
      <c r="E288" s="279">
        <f t="shared" si="22"/>
        <v>0</v>
      </c>
      <c r="F288" s="279">
        <f t="shared" si="22"/>
        <v>0</v>
      </c>
      <c r="G288" s="279">
        <f t="shared" si="22"/>
        <v>0</v>
      </c>
      <c r="H288" s="279">
        <f t="shared" si="22"/>
        <v>0</v>
      </c>
      <c r="I288" s="279">
        <f t="shared" si="22"/>
        <v>0</v>
      </c>
      <c r="J288" s="279">
        <f t="shared" si="22"/>
        <v>973531.03</v>
      </c>
      <c r="K288" s="279">
        <f t="shared" si="22"/>
        <v>0</v>
      </c>
      <c r="L288" s="279">
        <f t="shared" si="22"/>
        <v>0</v>
      </c>
      <c r="M288" s="279">
        <f t="shared" si="22"/>
        <v>0</v>
      </c>
      <c r="N288" s="279">
        <f t="shared" si="22"/>
        <v>0</v>
      </c>
      <c r="O288" s="279">
        <f t="shared" si="22"/>
        <v>0</v>
      </c>
      <c r="P288" s="279">
        <f t="shared" si="22"/>
        <v>0</v>
      </c>
      <c r="Q288" s="279">
        <f t="shared" si="22"/>
        <v>0</v>
      </c>
      <c r="R288" s="279">
        <f t="shared" si="22"/>
        <v>0</v>
      </c>
      <c r="S288" s="279">
        <f t="shared" si="22"/>
        <v>2752136.5</v>
      </c>
      <c r="T288" s="279">
        <f t="shared" si="22"/>
        <v>0</v>
      </c>
      <c r="U288" s="279">
        <f t="shared" si="22"/>
        <v>0</v>
      </c>
      <c r="V288" s="279">
        <f t="shared" si="22"/>
        <v>0</v>
      </c>
      <c r="W288" s="279">
        <f t="shared" si="22"/>
        <v>45000</v>
      </c>
      <c r="X288" s="279">
        <f t="shared" si="22"/>
        <v>0</v>
      </c>
      <c r="Y288" s="279">
        <f t="shared" si="22"/>
        <v>0</v>
      </c>
      <c r="Z288" s="279">
        <f t="shared" si="22"/>
        <v>330200</v>
      </c>
      <c r="AA288" s="279">
        <f t="shared" si="22"/>
        <v>0</v>
      </c>
      <c r="AB288" s="279">
        <f t="shared" si="22"/>
        <v>69663.099999999991</v>
      </c>
      <c r="AC288" s="279">
        <f t="shared" si="22"/>
        <v>0</v>
      </c>
      <c r="AD288" s="279">
        <f t="shared" si="22"/>
        <v>0</v>
      </c>
      <c r="AE288" s="279">
        <f t="shared" si="22"/>
        <v>0</v>
      </c>
      <c r="AF288" s="279">
        <f t="shared" si="22"/>
        <v>0</v>
      </c>
      <c r="AG288" s="279">
        <f t="shared" si="22"/>
        <v>0</v>
      </c>
      <c r="AH288" s="279">
        <f t="shared" si="22"/>
        <v>0</v>
      </c>
      <c r="AI288" s="279">
        <f t="shared" si="22"/>
        <v>0</v>
      </c>
      <c r="AJ288" s="279">
        <f t="shared" si="22"/>
        <v>0</v>
      </c>
      <c r="AK288" s="279">
        <f t="shared" si="22"/>
        <v>3803102.29</v>
      </c>
      <c r="AL288" s="279">
        <f t="shared" si="22"/>
        <v>3808464.5</v>
      </c>
      <c r="AM288" s="279">
        <f t="shared" si="22"/>
        <v>642274.82000000007</v>
      </c>
      <c r="AN288" s="279">
        <f t="shared" si="22"/>
        <v>0</v>
      </c>
      <c r="AO288" s="279">
        <f t="shared" si="22"/>
        <v>0</v>
      </c>
      <c r="AP288" s="279">
        <f t="shared" si="22"/>
        <v>0</v>
      </c>
      <c r="AQ288" s="279">
        <f t="shared" si="22"/>
        <v>0</v>
      </c>
      <c r="AR288" s="279">
        <f t="shared" si="22"/>
        <v>0</v>
      </c>
      <c r="AS288" s="279">
        <f t="shared" si="22"/>
        <v>0</v>
      </c>
      <c r="AT288" s="279">
        <f t="shared" si="22"/>
        <v>0</v>
      </c>
      <c r="AU288" s="279">
        <f t="shared" si="22"/>
        <v>0</v>
      </c>
      <c r="AV288" s="279">
        <f t="shared" si="22"/>
        <v>0</v>
      </c>
      <c r="AW288" s="279">
        <f t="shared" si="22"/>
        <v>0</v>
      </c>
      <c r="AX288" s="279">
        <f t="shared" si="22"/>
        <v>0</v>
      </c>
      <c r="AY288" s="279">
        <f t="shared" si="22"/>
        <v>0</v>
      </c>
      <c r="AZ288" s="279">
        <f t="shared" si="22"/>
        <v>0</v>
      </c>
      <c r="BA288" s="279">
        <f t="shared" si="22"/>
        <v>0</v>
      </c>
      <c r="BB288" s="279">
        <f t="shared" si="22"/>
        <v>0</v>
      </c>
      <c r="BC288" s="279">
        <f t="shared" si="22"/>
        <v>0</v>
      </c>
      <c r="BD288" s="279">
        <f t="shared" si="22"/>
        <v>0</v>
      </c>
      <c r="BE288" s="279">
        <f t="shared" si="22"/>
        <v>0</v>
      </c>
      <c r="BF288" s="279">
        <f t="shared" si="22"/>
        <v>0</v>
      </c>
      <c r="BG288" s="279">
        <f t="shared" si="22"/>
        <v>0</v>
      </c>
      <c r="BH288" s="279">
        <f t="shared" si="22"/>
        <v>0</v>
      </c>
      <c r="BI288" s="279">
        <f t="shared" si="22"/>
        <v>0</v>
      </c>
      <c r="BJ288" s="279">
        <f t="shared" si="22"/>
        <v>0</v>
      </c>
      <c r="BK288" s="279">
        <f t="shared" si="22"/>
        <v>0</v>
      </c>
      <c r="BL288" s="279">
        <f t="shared" si="22"/>
        <v>0</v>
      </c>
      <c r="BM288" s="279">
        <f t="shared" si="22"/>
        <v>0</v>
      </c>
      <c r="BN288" s="279">
        <f t="shared" ref="BN288:DY288" si="23">+BN287+BN271</f>
        <v>0</v>
      </c>
      <c r="BO288" s="279">
        <f t="shared" si="23"/>
        <v>0</v>
      </c>
      <c r="BP288" s="279">
        <f t="shared" si="23"/>
        <v>0</v>
      </c>
      <c r="BQ288" s="279">
        <f t="shared" si="23"/>
        <v>0</v>
      </c>
      <c r="BR288" s="279">
        <f t="shared" si="23"/>
        <v>0</v>
      </c>
      <c r="BS288" s="279">
        <f t="shared" si="23"/>
        <v>0</v>
      </c>
      <c r="BT288" s="279">
        <f t="shared" si="23"/>
        <v>0</v>
      </c>
      <c r="BU288" s="279">
        <f t="shared" si="23"/>
        <v>0</v>
      </c>
      <c r="BV288" s="279">
        <f t="shared" si="23"/>
        <v>0</v>
      </c>
      <c r="BW288" s="279">
        <f t="shared" si="23"/>
        <v>0</v>
      </c>
      <c r="BX288" s="279">
        <f t="shared" si="23"/>
        <v>0</v>
      </c>
      <c r="BY288" s="279">
        <f t="shared" si="23"/>
        <v>0</v>
      </c>
      <c r="BZ288" s="279">
        <f t="shared" si="23"/>
        <v>0</v>
      </c>
      <c r="CA288" s="279">
        <f t="shared" si="23"/>
        <v>0</v>
      </c>
      <c r="CB288" s="279">
        <f t="shared" si="23"/>
        <v>0</v>
      </c>
      <c r="CC288" s="279">
        <f t="shared" si="23"/>
        <v>0</v>
      </c>
      <c r="CD288" s="279">
        <f t="shared" si="23"/>
        <v>0</v>
      </c>
      <c r="CE288" s="279">
        <f t="shared" si="23"/>
        <v>0</v>
      </c>
      <c r="CF288" s="279">
        <f t="shared" si="23"/>
        <v>0</v>
      </c>
      <c r="CG288" s="279">
        <f t="shared" si="23"/>
        <v>0</v>
      </c>
      <c r="CH288" s="279">
        <f t="shared" si="23"/>
        <v>0</v>
      </c>
      <c r="CI288" s="279">
        <f t="shared" si="23"/>
        <v>0</v>
      </c>
      <c r="CJ288" s="279">
        <f t="shared" si="23"/>
        <v>0</v>
      </c>
      <c r="CK288" s="279">
        <f t="shared" si="23"/>
        <v>0</v>
      </c>
      <c r="CL288" s="279">
        <f t="shared" si="23"/>
        <v>0</v>
      </c>
      <c r="CM288" s="279">
        <f t="shared" si="23"/>
        <v>0</v>
      </c>
      <c r="CN288" s="279">
        <f t="shared" si="23"/>
        <v>0</v>
      </c>
      <c r="CO288" s="279">
        <f t="shared" si="23"/>
        <v>0</v>
      </c>
      <c r="CP288" s="279">
        <f t="shared" si="23"/>
        <v>0</v>
      </c>
      <c r="CQ288" s="279">
        <f t="shared" si="23"/>
        <v>0</v>
      </c>
      <c r="CR288" s="279">
        <f t="shared" si="23"/>
        <v>0</v>
      </c>
      <c r="CS288" s="279">
        <f t="shared" si="23"/>
        <v>0</v>
      </c>
      <c r="CT288" s="279">
        <f t="shared" si="23"/>
        <v>0</v>
      </c>
      <c r="CU288" s="279">
        <f t="shared" si="23"/>
        <v>0</v>
      </c>
      <c r="CV288" s="279">
        <f t="shared" si="23"/>
        <v>0</v>
      </c>
      <c r="CW288" s="279">
        <f t="shared" si="23"/>
        <v>0</v>
      </c>
      <c r="CX288" s="279">
        <f t="shared" si="23"/>
        <v>0</v>
      </c>
      <c r="CY288" s="279">
        <f t="shared" si="23"/>
        <v>0</v>
      </c>
      <c r="CZ288" s="279">
        <f t="shared" si="23"/>
        <v>0</v>
      </c>
      <c r="DA288" s="279">
        <f t="shared" si="23"/>
        <v>0</v>
      </c>
      <c r="DB288" s="279">
        <f t="shared" si="23"/>
        <v>0</v>
      </c>
      <c r="DC288" s="279">
        <f t="shared" si="23"/>
        <v>0</v>
      </c>
      <c r="DD288" s="279">
        <f t="shared" si="23"/>
        <v>0</v>
      </c>
      <c r="DE288" s="279">
        <f t="shared" si="23"/>
        <v>0</v>
      </c>
      <c r="DF288" s="279">
        <f t="shared" si="23"/>
        <v>0</v>
      </c>
      <c r="DG288" s="279">
        <f t="shared" si="23"/>
        <v>0</v>
      </c>
      <c r="DH288" s="279">
        <f t="shared" si="23"/>
        <v>0</v>
      </c>
      <c r="DI288" s="279">
        <f t="shared" si="23"/>
        <v>0</v>
      </c>
      <c r="DJ288" s="279">
        <f t="shared" si="23"/>
        <v>0</v>
      </c>
      <c r="DK288" s="279">
        <f t="shared" si="23"/>
        <v>0</v>
      </c>
      <c r="DL288" s="279">
        <f t="shared" si="23"/>
        <v>0</v>
      </c>
      <c r="DM288" s="279">
        <f t="shared" si="23"/>
        <v>0</v>
      </c>
      <c r="DN288" s="279">
        <f t="shared" si="23"/>
        <v>0</v>
      </c>
      <c r="DO288" s="279">
        <f t="shared" si="23"/>
        <v>0</v>
      </c>
      <c r="DP288" s="279">
        <f t="shared" si="23"/>
        <v>0</v>
      </c>
      <c r="DQ288" s="279">
        <f t="shared" si="23"/>
        <v>0</v>
      </c>
      <c r="DR288" s="279">
        <f t="shared" si="23"/>
        <v>0</v>
      </c>
      <c r="DS288" s="279">
        <f t="shared" si="23"/>
        <v>0</v>
      </c>
      <c r="DT288" s="279">
        <f t="shared" si="23"/>
        <v>0</v>
      </c>
      <c r="DU288" s="279">
        <f t="shared" si="23"/>
        <v>0</v>
      </c>
      <c r="DV288" s="279">
        <f t="shared" si="23"/>
        <v>0</v>
      </c>
      <c r="DW288" s="279">
        <f t="shared" si="23"/>
        <v>0</v>
      </c>
      <c r="DX288" s="279">
        <f t="shared" si="23"/>
        <v>0</v>
      </c>
      <c r="DY288" s="279">
        <f t="shared" si="23"/>
        <v>0</v>
      </c>
      <c r="DZ288" s="279">
        <f t="shared" ref="DZ288:GK288" si="24">+DZ287+DZ271</f>
        <v>0</v>
      </c>
      <c r="EA288" s="279">
        <f t="shared" si="24"/>
        <v>1862880.8</v>
      </c>
      <c r="EB288" s="279">
        <f t="shared" si="24"/>
        <v>0</v>
      </c>
      <c r="EC288" s="279">
        <f t="shared" si="24"/>
        <v>0</v>
      </c>
      <c r="ED288" s="279">
        <f t="shared" si="24"/>
        <v>0</v>
      </c>
      <c r="EE288" s="279">
        <f t="shared" si="24"/>
        <v>0</v>
      </c>
      <c r="EF288" s="279">
        <f t="shared" si="24"/>
        <v>0</v>
      </c>
      <c r="EG288" s="279">
        <f t="shared" si="24"/>
        <v>0</v>
      </c>
      <c r="EH288" s="279">
        <f t="shared" si="24"/>
        <v>0</v>
      </c>
      <c r="EI288" s="279">
        <f t="shared" si="24"/>
        <v>0</v>
      </c>
      <c r="EJ288" s="279">
        <f t="shared" si="24"/>
        <v>0</v>
      </c>
      <c r="EK288" s="279">
        <f t="shared" si="24"/>
        <v>0</v>
      </c>
      <c r="EL288" s="279">
        <f t="shared" si="24"/>
        <v>0</v>
      </c>
      <c r="EM288" s="279">
        <f t="shared" si="24"/>
        <v>0</v>
      </c>
      <c r="EN288" s="279">
        <f t="shared" si="24"/>
        <v>0</v>
      </c>
      <c r="EO288" s="279">
        <f t="shared" si="24"/>
        <v>0</v>
      </c>
      <c r="EP288" s="279">
        <f t="shared" si="24"/>
        <v>0</v>
      </c>
      <c r="EQ288" s="279">
        <f t="shared" si="24"/>
        <v>0</v>
      </c>
      <c r="ER288" s="279">
        <f t="shared" si="24"/>
        <v>0</v>
      </c>
      <c r="ES288" s="279">
        <f t="shared" si="24"/>
        <v>0</v>
      </c>
      <c r="ET288" s="279">
        <f t="shared" si="24"/>
        <v>0</v>
      </c>
      <c r="EU288" s="279">
        <f t="shared" si="24"/>
        <v>0</v>
      </c>
      <c r="EV288" s="279">
        <f t="shared" si="24"/>
        <v>0</v>
      </c>
      <c r="EW288" s="279">
        <f t="shared" si="24"/>
        <v>0</v>
      </c>
      <c r="EX288" s="279">
        <f t="shared" si="24"/>
        <v>0</v>
      </c>
      <c r="EY288" s="279">
        <f t="shared" si="24"/>
        <v>0</v>
      </c>
      <c r="EZ288" s="279">
        <f t="shared" si="24"/>
        <v>0</v>
      </c>
      <c r="FA288" s="279">
        <f t="shared" si="24"/>
        <v>0</v>
      </c>
      <c r="FB288" s="279">
        <f t="shared" si="24"/>
        <v>0</v>
      </c>
      <c r="FC288" s="279">
        <f t="shared" si="24"/>
        <v>0</v>
      </c>
      <c r="FD288" s="279">
        <f t="shared" si="24"/>
        <v>0</v>
      </c>
      <c r="FE288" s="279">
        <f t="shared" si="24"/>
        <v>0</v>
      </c>
      <c r="FF288" s="279">
        <f t="shared" si="24"/>
        <v>0</v>
      </c>
      <c r="FG288" s="279">
        <f t="shared" si="24"/>
        <v>0</v>
      </c>
      <c r="FH288" s="279">
        <f t="shared" si="24"/>
        <v>0</v>
      </c>
      <c r="FI288" s="279">
        <f t="shared" si="24"/>
        <v>0</v>
      </c>
      <c r="FJ288" s="279">
        <f t="shared" si="24"/>
        <v>1844663.41</v>
      </c>
      <c r="FK288" s="279">
        <f t="shared" si="24"/>
        <v>0</v>
      </c>
      <c r="FL288" s="279">
        <f t="shared" si="24"/>
        <v>0</v>
      </c>
      <c r="FM288" s="279">
        <f t="shared" si="24"/>
        <v>0</v>
      </c>
      <c r="FN288" s="279">
        <f t="shared" si="24"/>
        <v>0</v>
      </c>
      <c r="FO288" s="279">
        <f t="shared" si="24"/>
        <v>0</v>
      </c>
      <c r="FP288" s="279">
        <f t="shared" si="24"/>
        <v>0</v>
      </c>
      <c r="FQ288" s="279">
        <f t="shared" si="24"/>
        <v>0</v>
      </c>
      <c r="FR288" s="279">
        <f t="shared" si="24"/>
        <v>0</v>
      </c>
      <c r="FS288" s="279">
        <f t="shared" si="24"/>
        <v>0</v>
      </c>
      <c r="FT288" s="279">
        <f t="shared" si="24"/>
        <v>1263056.98</v>
      </c>
      <c r="FU288" s="279">
        <f t="shared" si="24"/>
        <v>0</v>
      </c>
      <c r="FV288" s="279">
        <f t="shared" si="24"/>
        <v>0</v>
      </c>
      <c r="FW288" s="279">
        <f t="shared" si="24"/>
        <v>0</v>
      </c>
      <c r="FX288" s="279">
        <f t="shared" si="24"/>
        <v>0</v>
      </c>
      <c r="FY288" s="279">
        <f t="shared" si="24"/>
        <v>0</v>
      </c>
      <c r="FZ288" s="279">
        <f t="shared" si="24"/>
        <v>0</v>
      </c>
      <c r="GA288" s="279">
        <f t="shared" si="24"/>
        <v>0</v>
      </c>
      <c r="GB288" s="279">
        <f t="shared" si="24"/>
        <v>0</v>
      </c>
      <c r="GC288" s="279">
        <f t="shared" si="24"/>
        <v>0</v>
      </c>
      <c r="GD288" s="279">
        <f t="shared" si="24"/>
        <v>0</v>
      </c>
      <c r="GE288" s="279">
        <f t="shared" si="24"/>
        <v>0</v>
      </c>
      <c r="GF288" s="279">
        <f t="shared" si="24"/>
        <v>0</v>
      </c>
      <c r="GG288" s="279">
        <f t="shared" si="24"/>
        <v>0</v>
      </c>
      <c r="GH288" s="279">
        <f t="shared" si="24"/>
        <v>0</v>
      </c>
      <c r="GI288" s="279">
        <f t="shared" si="24"/>
        <v>0</v>
      </c>
      <c r="GJ288" s="279">
        <f t="shared" si="24"/>
        <v>0</v>
      </c>
      <c r="GK288" s="279">
        <f t="shared" si="24"/>
        <v>0</v>
      </c>
      <c r="GL288" s="279">
        <f t="shared" ref="GL288:IW288" si="25">+GL287+GL271</f>
        <v>0</v>
      </c>
      <c r="GM288" s="279">
        <f t="shared" si="25"/>
        <v>0</v>
      </c>
      <c r="GN288" s="279">
        <f t="shared" si="25"/>
        <v>0</v>
      </c>
      <c r="GO288" s="279">
        <f t="shared" si="25"/>
        <v>0</v>
      </c>
      <c r="GP288" s="279">
        <f t="shared" si="25"/>
        <v>0</v>
      </c>
      <c r="GQ288" s="279">
        <f t="shared" si="25"/>
        <v>0</v>
      </c>
      <c r="GR288" s="279">
        <f t="shared" si="25"/>
        <v>0</v>
      </c>
      <c r="GS288" s="279">
        <f t="shared" si="25"/>
        <v>0</v>
      </c>
      <c r="GT288" s="279">
        <f t="shared" si="25"/>
        <v>0</v>
      </c>
      <c r="GU288" s="279">
        <f t="shared" si="25"/>
        <v>0</v>
      </c>
      <c r="GV288" s="279">
        <f t="shared" si="25"/>
        <v>0</v>
      </c>
      <c r="GW288" s="279">
        <f t="shared" si="25"/>
        <v>0</v>
      </c>
      <c r="GX288" s="279">
        <f t="shared" si="25"/>
        <v>0</v>
      </c>
      <c r="GY288" s="279">
        <f t="shared" si="25"/>
        <v>0</v>
      </c>
      <c r="GZ288" s="279">
        <f t="shared" si="25"/>
        <v>0</v>
      </c>
      <c r="HA288" s="279">
        <f t="shared" si="25"/>
        <v>0</v>
      </c>
      <c r="HB288" s="279">
        <f t="shared" si="25"/>
        <v>0</v>
      </c>
      <c r="HC288" s="279">
        <f t="shared" si="25"/>
        <v>0</v>
      </c>
      <c r="HD288" s="279">
        <f t="shared" si="25"/>
        <v>0</v>
      </c>
      <c r="HE288" s="279">
        <f t="shared" si="25"/>
        <v>0</v>
      </c>
      <c r="HF288" s="279">
        <f t="shared" si="25"/>
        <v>0</v>
      </c>
      <c r="HG288" s="279">
        <f t="shared" si="25"/>
        <v>0</v>
      </c>
      <c r="HH288" s="279">
        <f t="shared" si="25"/>
        <v>0</v>
      </c>
      <c r="HI288" s="279">
        <f t="shared" si="25"/>
        <v>0</v>
      </c>
      <c r="HJ288" s="279">
        <f t="shared" si="25"/>
        <v>0</v>
      </c>
      <c r="HK288" s="279">
        <f t="shared" si="25"/>
        <v>0</v>
      </c>
      <c r="HL288" s="279">
        <f t="shared" si="25"/>
        <v>0</v>
      </c>
      <c r="HM288" s="279">
        <f t="shared" si="25"/>
        <v>0</v>
      </c>
      <c r="HN288" s="279">
        <f t="shared" si="25"/>
        <v>0</v>
      </c>
      <c r="HO288" s="279">
        <f t="shared" si="25"/>
        <v>0</v>
      </c>
      <c r="HP288" s="279">
        <f t="shared" si="25"/>
        <v>0</v>
      </c>
      <c r="HQ288" s="279">
        <f t="shared" si="25"/>
        <v>0</v>
      </c>
      <c r="HR288" s="279">
        <f t="shared" si="25"/>
        <v>0</v>
      </c>
      <c r="HS288" s="279">
        <f t="shared" si="25"/>
        <v>0</v>
      </c>
      <c r="HT288" s="279">
        <f t="shared" si="25"/>
        <v>0</v>
      </c>
      <c r="HU288" s="279">
        <f t="shared" si="25"/>
        <v>0</v>
      </c>
      <c r="HV288" s="279">
        <f t="shared" si="25"/>
        <v>0</v>
      </c>
      <c r="HW288" s="279">
        <f t="shared" si="25"/>
        <v>0</v>
      </c>
      <c r="HX288" s="279">
        <f t="shared" si="25"/>
        <v>0</v>
      </c>
      <c r="HY288" s="279">
        <f t="shared" si="25"/>
        <v>0</v>
      </c>
      <c r="HZ288" s="279">
        <f t="shared" si="25"/>
        <v>0</v>
      </c>
      <c r="IA288" s="279">
        <f t="shared" si="25"/>
        <v>0</v>
      </c>
      <c r="IB288" s="279">
        <f t="shared" si="25"/>
        <v>0</v>
      </c>
      <c r="IC288" s="279">
        <f t="shared" si="25"/>
        <v>0</v>
      </c>
      <c r="ID288" s="279">
        <f t="shared" si="25"/>
        <v>0</v>
      </c>
      <c r="IE288" s="279">
        <f t="shared" si="25"/>
        <v>0</v>
      </c>
      <c r="IF288" s="279">
        <f t="shared" si="25"/>
        <v>0</v>
      </c>
      <c r="IG288" s="279">
        <f t="shared" si="25"/>
        <v>0</v>
      </c>
      <c r="IH288" s="279">
        <f t="shared" si="25"/>
        <v>0</v>
      </c>
      <c r="II288" s="279">
        <f t="shared" si="25"/>
        <v>0</v>
      </c>
      <c r="IJ288" s="279">
        <f t="shared" si="25"/>
        <v>0</v>
      </c>
      <c r="IK288" s="279">
        <f t="shared" si="25"/>
        <v>0</v>
      </c>
      <c r="IL288" s="279">
        <f t="shared" si="25"/>
        <v>0</v>
      </c>
      <c r="IM288" s="279">
        <f t="shared" si="25"/>
        <v>0</v>
      </c>
      <c r="IN288" s="279">
        <f t="shared" si="25"/>
        <v>0</v>
      </c>
      <c r="IO288" s="279">
        <f t="shared" si="25"/>
        <v>0</v>
      </c>
      <c r="IP288" s="279">
        <f t="shared" si="25"/>
        <v>0</v>
      </c>
      <c r="IQ288" s="279">
        <f t="shared" si="25"/>
        <v>0</v>
      </c>
      <c r="IR288" s="279">
        <f t="shared" si="25"/>
        <v>0</v>
      </c>
      <c r="IS288" s="279">
        <f t="shared" si="25"/>
        <v>0</v>
      </c>
      <c r="IT288" s="279">
        <f t="shared" si="25"/>
        <v>0</v>
      </c>
      <c r="IU288" s="279">
        <f t="shared" si="25"/>
        <v>0</v>
      </c>
      <c r="IV288" s="279">
        <f t="shared" si="25"/>
        <v>0</v>
      </c>
      <c r="IW288" s="279">
        <f t="shared" si="25"/>
        <v>0</v>
      </c>
      <c r="IX288" s="279">
        <f t="shared" ref="IX288:JI288" si="26">+IX287+IX271</f>
        <v>0</v>
      </c>
      <c r="IY288" s="279">
        <f t="shared" si="26"/>
        <v>0</v>
      </c>
      <c r="IZ288" s="279">
        <f t="shared" si="26"/>
        <v>0</v>
      </c>
      <c r="JA288" s="279">
        <f t="shared" si="26"/>
        <v>0</v>
      </c>
      <c r="JB288" s="279">
        <f t="shared" si="26"/>
        <v>0</v>
      </c>
      <c r="JC288" s="279">
        <f t="shared" si="26"/>
        <v>0</v>
      </c>
      <c r="JD288" s="279">
        <f t="shared" si="26"/>
        <v>0</v>
      </c>
      <c r="JE288" s="279">
        <f t="shared" si="26"/>
        <v>0</v>
      </c>
      <c r="JF288" s="279">
        <f t="shared" si="26"/>
        <v>0</v>
      </c>
      <c r="JG288" s="279">
        <f t="shared" si="26"/>
        <v>0</v>
      </c>
      <c r="JH288" s="279">
        <f t="shared" si="26"/>
        <v>0</v>
      </c>
      <c r="JI288" s="279">
        <f t="shared" si="26"/>
        <v>70061781.109999985</v>
      </c>
      <c r="JJ288" s="124"/>
      <c r="JK288" s="124"/>
      <c r="JL288" s="168"/>
      <c r="JM288" s="168"/>
      <c r="JN288" s="168"/>
      <c r="JO288" s="168"/>
      <c r="JP288" s="168"/>
      <c r="AQW288" s="168"/>
    </row>
    <row r="294" spans="264:264" x14ac:dyDescent="0.3">
      <c r="JD294" s="321"/>
    </row>
    <row r="295" spans="264:264" x14ac:dyDescent="0.3">
      <c r="JD295" s="321"/>
    </row>
    <row r="296" spans="264:264" x14ac:dyDescent="0.3">
      <c r="JD296" s="321"/>
    </row>
    <row r="297" spans="264:264" x14ac:dyDescent="0.3">
      <c r="JD297" s="321"/>
    </row>
    <row r="298" spans="264:264" x14ac:dyDescent="0.3">
      <c r="JD298" s="321"/>
    </row>
    <row r="299" spans="264:264" x14ac:dyDescent="0.3">
      <c r="JD299" s="321"/>
    </row>
    <row r="300" spans="264:264" x14ac:dyDescent="0.3">
      <c r="JD300" s="321"/>
    </row>
    <row r="301" spans="264:264" x14ac:dyDescent="0.3">
      <c r="JD301" s="321"/>
    </row>
    <row r="302" spans="264:264" x14ac:dyDescent="0.3">
      <c r="JD302" s="321"/>
    </row>
    <row r="303" spans="264:264" x14ac:dyDescent="0.3">
      <c r="JD303" s="321"/>
    </row>
    <row r="304" spans="264:264" x14ac:dyDescent="0.3">
      <c r="JD304" s="321"/>
    </row>
    <row r="305" spans="264:264" x14ac:dyDescent="0.3">
      <c r="JD305" s="321"/>
    </row>
    <row r="306" spans="264:264" x14ac:dyDescent="0.3">
      <c r="JD306" s="321"/>
    </row>
    <row r="307" spans="264:264" x14ac:dyDescent="0.3">
      <c r="JD307" s="321"/>
    </row>
    <row r="308" spans="264:264" x14ac:dyDescent="0.3">
      <c r="JD308" s="321"/>
    </row>
    <row r="309" spans="264:264" x14ac:dyDescent="0.3">
      <c r="JD309" s="321"/>
    </row>
    <row r="310" spans="264:264" x14ac:dyDescent="0.3">
      <c r="JD310" s="321"/>
    </row>
    <row r="311" spans="264:264" x14ac:dyDescent="0.3">
      <c r="JD311" s="321"/>
    </row>
    <row r="312" spans="264:264" x14ac:dyDescent="0.3">
      <c r="JD312" s="321"/>
    </row>
    <row r="313" spans="264:264" x14ac:dyDescent="0.3">
      <c r="JD313" s="321"/>
    </row>
    <row r="314" spans="264:264" x14ac:dyDescent="0.3">
      <c r="JD314" s="321"/>
    </row>
    <row r="315" spans="264:264" x14ac:dyDescent="0.3">
      <c r="JD315" s="321"/>
    </row>
    <row r="316" spans="264:264" x14ac:dyDescent="0.3">
      <c r="JD316" s="321"/>
    </row>
    <row r="317" spans="264:264" x14ac:dyDescent="0.3">
      <c r="JD317" s="321"/>
    </row>
    <row r="318" spans="264:264" x14ac:dyDescent="0.3">
      <c r="JD318" s="321"/>
    </row>
    <row r="319" spans="264:264" x14ac:dyDescent="0.3">
      <c r="JD319" s="321"/>
    </row>
    <row r="320" spans="264:264" x14ac:dyDescent="0.3">
      <c r="JD320" s="321"/>
    </row>
    <row r="321" spans="264:264" x14ac:dyDescent="0.3">
      <c r="JD321" s="321"/>
    </row>
    <row r="322" spans="264:264" x14ac:dyDescent="0.3">
      <c r="JD322" s="321"/>
    </row>
    <row r="323" spans="264:264" x14ac:dyDescent="0.3">
      <c r="JD323" s="321"/>
    </row>
    <row r="324" spans="264:264" x14ac:dyDescent="0.3">
      <c r="JD324" s="321"/>
    </row>
    <row r="325" spans="264:264" x14ac:dyDescent="0.3">
      <c r="JD325" s="321"/>
    </row>
    <row r="326" spans="264:264" x14ac:dyDescent="0.3">
      <c r="JD326" s="321"/>
    </row>
    <row r="327" spans="264:264" x14ac:dyDescent="0.3">
      <c r="JD327" s="321"/>
    </row>
    <row r="328" spans="264:264" x14ac:dyDescent="0.3">
      <c r="JD328" s="321"/>
    </row>
    <row r="329" spans="264:264" x14ac:dyDescent="0.3">
      <c r="JD329" s="321"/>
    </row>
    <row r="330" spans="264:264" x14ac:dyDescent="0.3">
      <c r="JD330" s="321"/>
    </row>
    <row r="331" spans="264:264" x14ac:dyDescent="0.3">
      <c r="JD331" s="321"/>
    </row>
    <row r="332" spans="264:264" x14ac:dyDescent="0.3">
      <c r="JD332" s="321"/>
    </row>
    <row r="333" spans="264:264" x14ac:dyDescent="0.3">
      <c r="JD333" s="321"/>
    </row>
    <row r="334" spans="264:264" x14ac:dyDescent="0.3">
      <c r="JD334" s="321"/>
    </row>
    <row r="335" spans="264:264" x14ac:dyDescent="0.3">
      <c r="JD335" s="321"/>
    </row>
    <row r="336" spans="264:264" x14ac:dyDescent="0.3">
      <c r="JD336" s="321"/>
    </row>
    <row r="337" spans="264:264" x14ac:dyDescent="0.3">
      <c r="JD337" s="321"/>
    </row>
    <row r="338" spans="264:264" x14ac:dyDescent="0.3">
      <c r="JD338" s="321"/>
    </row>
    <row r="339" spans="264:264" x14ac:dyDescent="0.3">
      <c r="JD339" s="321"/>
    </row>
    <row r="340" spans="264:264" x14ac:dyDescent="0.3">
      <c r="JD340" s="321"/>
    </row>
    <row r="341" spans="264:264" x14ac:dyDescent="0.3">
      <c r="JD341" s="321"/>
    </row>
    <row r="342" spans="264:264" x14ac:dyDescent="0.3">
      <c r="JD342" s="321"/>
    </row>
    <row r="343" spans="264:264" x14ac:dyDescent="0.3">
      <c r="JD343" s="321"/>
    </row>
    <row r="344" spans="264:264" x14ac:dyDescent="0.3">
      <c r="JD344" s="321"/>
    </row>
    <row r="345" spans="264:264" x14ac:dyDescent="0.3">
      <c r="JD345" s="321"/>
    </row>
    <row r="346" spans="264:264" x14ac:dyDescent="0.3">
      <c r="JD346" s="321"/>
    </row>
    <row r="347" spans="264:264" x14ac:dyDescent="0.3">
      <c r="JD347" s="321"/>
    </row>
    <row r="348" spans="264:264" x14ac:dyDescent="0.3">
      <c r="JD348" s="321"/>
    </row>
    <row r="349" spans="264:264" x14ac:dyDescent="0.3">
      <c r="JD349" s="321"/>
    </row>
    <row r="350" spans="264:264" x14ac:dyDescent="0.3">
      <c r="JD350" s="321"/>
    </row>
    <row r="351" spans="264:264" x14ac:dyDescent="0.3">
      <c r="JD351" s="321"/>
    </row>
    <row r="352" spans="264:264" x14ac:dyDescent="0.3">
      <c r="JD352" s="321"/>
    </row>
    <row r="353" spans="264:264" x14ac:dyDescent="0.3">
      <c r="JD353" s="321"/>
    </row>
    <row r="354" spans="264:264" x14ac:dyDescent="0.3">
      <c r="JD354" s="321"/>
    </row>
    <row r="355" spans="264:264" x14ac:dyDescent="0.3">
      <c r="JD355" s="321"/>
    </row>
    <row r="356" spans="264:264" x14ac:dyDescent="0.3">
      <c r="JD356" s="321"/>
    </row>
    <row r="357" spans="264:264" x14ac:dyDescent="0.3">
      <c r="JD357" s="321"/>
    </row>
    <row r="358" spans="264:264" x14ac:dyDescent="0.3">
      <c r="JD358" s="321"/>
    </row>
    <row r="359" spans="264:264" x14ac:dyDescent="0.3">
      <c r="JD359" s="321"/>
    </row>
    <row r="360" spans="264:264" x14ac:dyDescent="0.3">
      <c r="JD360" s="321"/>
    </row>
    <row r="361" spans="264:264" x14ac:dyDescent="0.3">
      <c r="JD361" s="321"/>
    </row>
    <row r="362" spans="264:264" x14ac:dyDescent="0.3">
      <c r="JD362" s="321"/>
    </row>
    <row r="363" spans="264:264" x14ac:dyDescent="0.3">
      <c r="JD363" s="321"/>
    </row>
    <row r="364" spans="264:264" x14ac:dyDescent="0.3">
      <c r="JD364" s="321"/>
    </row>
    <row r="365" spans="264:264" x14ac:dyDescent="0.3">
      <c r="JD365" s="321"/>
    </row>
    <row r="366" spans="264:264" x14ac:dyDescent="0.3">
      <c r="JD366" s="321"/>
    </row>
    <row r="367" spans="264:264" x14ac:dyDescent="0.3">
      <c r="JD367" s="321"/>
    </row>
    <row r="368" spans="264:264" x14ac:dyDescent="0.3">
      <c r="JD368" s="321"/>
    </row>
    <row r="369" spans="264:264" x14ac:dyDescent="0.3">
      <c r="JD369" s="321"/>
    </row>
    <row r="370" spans="264:264" x14ac:dyDescent="0.3">
      <c r="JD370" s="321"/>
    </row>
    <row r="371" spans="264:264" x14ac:dyDescent="0.3">
      <c r="JD371" s="321"/>
    </row>
    <row r="372" spans="264:264" x14ac:dyDescent="0.3">
      <c r="JD372" s="321"/>
    </row>
    <row r="373" spans="264:264" x14ac:dyDescent="0.3">
      <c r="JD373" s="321"/>
    </row>
    <row r="374" spans="264:264" x14ac:dyDescent="0.3">
      <c r="JD374" s="321"/>
    </row>
    <row r="375" spans="264:264" x14ac:dyDescent="0.3">
      <c r="JD375" s="321"/>
    </row>
    <row r="376" spans="264:264" x14ac:dyDescent="0.3">
      <c r="JD376" s="321"/>
    </row>
    <row r="377" spans="264:264" x14ac:dyDescent="0.3">
      <c r="JD377" s="321"/>
    </row>
    <row r="378" spans="264:264" x14ac:dyDescent="0.3">
      <c r="JD378" s="321"/>
    </row>
    <row r="379" spans="264:264" x14ac:dyDescent="0.3">
      <c r="JD379" s="321"/>
    </row>
    <row r="380" spans="264:264" x14ac:dyDescent="0.3">
      <c r="JD380" s="321"/>
    </row>
    <row r="381" spans="264:264" x14ac:dyDescent="0.3">
      <c r="JD381" s="321"/>
    </row>
    <row r="382" spans="264:264" x14ac:dyDescent="0.3">
      <c r="JD382" s="321"/>
    </row>
    <row r="383" spans="264:264" x14ac:dyDescent="0.3">
      <c r="JD383" s="321"/>
    </row>
    <row r="384" spans="264:264" x14ac:dyDescent="0.3">
      <c r="JD384" s="321"/>
    </row>
    <row r="385" spans="264:264" x14ac:dyDescent="0.3">
      <c r="JD385" s="321"/>
    </row>
    <row r="386" spans="264:264" x14ac:dyDescent="0.3">
      <c r="JD386" s="321"/>
    </row>
    <row r="387" spans="264:264" x14ac:dyDescent="0.3">
      <c r="JD387" s="321"/>
    </row>
    <row r="388" spans="264:264" x14ac:dyDescent="0.3">
      <c r="JD388" s="321"/>
    </row>
    <row r="389" spans="264:264" x14ac:dyDescent="0.3">
      <c r="JD389" s="321"/>
    </row>
    <row r="390" spans="264:264" x14ac:dyDescent="0.3">
      <c r="JD390" s="321"/>
    </row>
    <row r="391" spans="264:264" x14ac:dyDescent="0.3">
      <c r="JD391" s="321"/>
    </row>
    <row r="392" spans="264:264" x14ac:dyDescent="0.3">
      <c r="JD392" s="321"/>
    </row>
    <row r="393" spans="264:264" x14ac:dyDescent="0.3">
      <c r="JD393" s="321"/>
    </row>
    <row r="394" spans="264:264" x14ac:dyDescent="0.3">
      <c r="JD394" s="321"/>
    </row>
    <row r="395" spans="264:264" x14ac:dyDescent="0.3">
      <c r="JD395" s="321"/>
    </row>
    <row r="396" spans="264:264" x14ac:dyDescent="0.3">
      <c r="JD396" s="321"/>
    </row>
    <row r="397" spans="264:264" x14ac:dyDescent="0.3">
      <c r="JD397" s="321"/>
    </row>
    <row r="398" spans="264:264" x14ac:dyDescent="0.3">
      <c r="JD398" s="321"/>
    </row>
    <row r="399" spans="264:264" x14ac:dyDescent="0.3">
      <c r="JD399" s="321"/>
    </row>
    <row r="400" spans="264:264" x14ac:dyDescent="0.3">
      <c r="JD400" s="321"/>
    </row>
    <row r="401" spans="264:264" x14ac:dyDescent="0.3">
      <c r="JD401" s="321"/>
    </row>
    <row r="402" spans="264:264" x14ac:dyDescent="0.3">
      <c r="JD402" s="321"/>
    </row>
    <row r="403" spans="264:264" x14ac:dyDescent="0.3">
      <c r="JD403" s="321"/>
    </row>
    <row r="404" spans="264:264" x14ac:dyDescent="0.3">
      <c r="JD404" s="321"/>
    </row>
    <row r="405" spans="264:264" x14ac:dyDescent="0.3">
      <c r="JD405" s="321"/>
    </row>
    <row r="406" spans="264:264" x14ac:dyDescent="0.3">
      <c r="JD406" s="321"/>
    </row>
    <row r="407" spans="264:264" x14ac:dyDescent="0.3">
      <c r="JD407" s="321"/>
    </row>
    <row r="408" spans="264:264" x14ac:dyDescent="0.3">
      <c r="JD408" s="321"/>
    </row>
    <row r="409" spans="264:264" x14ac:dyDescent="0.3">
      <c r="JD409" s="321"/>
    </row>
    <row r="410" spans="264:264" x14ac:dyDescent="0.3">
      <c r="JD410" s="321"/>
    </row>
    <row r="411" spans="264:264" x14ac:dyDescent="0.3">
      <c r="JD411" s="321"/>
    </row>
    <row r="412" spans="264:264" x14ac:dyDescent="0.3">
      <c r="JD412" s="321"/>
    </row>
    <row r="413" spans="264:264" x14ac:dyDescent="0.3">
      <c r="JD413" s="321"/>
    </row>
    <row r="414" spans="264:264" x14ac:dyDescent="0.3">
      <c r="JD414" s="321"/>
    </row>
    <row r="415" spans="264:264" x14ac:dyDescent="0.3">
      <c r="JD415" s="321"/>
    </row>
    <row r="416" spans="264:264" x14ac:dyDescent="0.3">
      <c r="JD416" s="321"/>
    </row>
    <row r="417" spans="264:264" x14ac:dyDescent="0.3">
      <c r="JD417" s="321"/>
    </row>
    <row r="418" spans="264:264" x14ac:dyDescent="0.3">
      <c r="JD418" s="321"/>
    </row>
    <row r="419" spans="264:264" x14ac:dyDescent="0.3">
      <c r="JD419" s="321"/>
    </row>
    <row r="420" spans="264:264" x14ac:dyDescent="0.3">
      <c r="JD420" s="321"/>
    </row>
    <row r="421" spans="264:264" x14ac:dyDescent="0.3">
      <c r="JD421" s="321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T84"/>
  <sheetViews>
    <sheetView topLeftCell="CP1" zoomScale="90" zoomScaleNormal="90" workbookViewId="0">
      <pane ySplit="2" topLeftCell="A76" activePane="bottomLeft" state="frozen"/>
      <selection activeCell="JF1" sqref="JF1"/>
      <selection pane="bottomLeft" activeCell="CP77" sqref="CP77"/>
    </sheetView>
  </sheetViews>
  <sheetFormatPr baseColWidth="10" defaultColWidth="11.44140625" defaultRowHeight="14.4" x14ac:dyDescent="0.3"/>
  <cols>
    <col min="1" max="1" width="12.109375" bestFit="1" customWidth="1"/>
    <col min="24" max="24" width="14.44140625" bestFit="1" customWidth="1"/>
    <col min="43" max="43" width="12.6640625" bestFit="1" customWidth="1"/>
    <col min="45" max="45" width="12.6640625" bestFit="1" customWidth="1"/>
    <col min="48" max="48" width="14.44140625" bestFit="1" customWidth="1"/>
    <col min="49" max="49" width="12.6640625" bestFit="1" customWidth="1"/>
    <col min="51" max="51" width="12.109375" bestFit="1" customWidth="1"/>
    <col min="55" max="55" width="12.6640625" bestFit="1" customWidth="1"/>
    <col min="59" max="59" width="12.109375" bestFit="1" customWidth="1"/>
    <col min="61" max="61" width="12.6640625" bestFit="1" customWidth="1"/>
    <col min="65" max="65" width="12.109375" bestFit="1" customWidth="1"/>
    <col min="75" max="75" width="14.44140625" bestFit="1" customWidth="1"/>
    <col min="76" max="76" width="12.6640625" bestFit="1" customWidth="1"/>
    <col min="78" max="78" width="12.6640625" bestFit="1" customWidth="1"/>
    <col min="81" max="81" width="12.6640625" bestFit="1" customWidth="1"/>
    <col min="86" max="86" width="14.44140625" bestFit="1" customWidth="1"/>
    <col min="88" max="88" width="14.44140625" bestFit="1" customWidth="1"/>
    <col min="89" max="89" width="12.6640625" bestFit="1" customWidth="1"/>
    <col min="90" max="90" width="14.44140625" bestFit="1" customWidth="1"/>
    <col min="91" max="91" width="12.6640625" bestFit="1" customWidth="1"/>
    <col min="97" max="97" width="12.6640625" bestFit="1" customWidth="1"/>
    <col min="99" max="100" width="12.6640625" bestFit="1" customWidth="1"/>
    <col min="109" max="109" width="14.44140625" bestFit="1" customWidth="1"/>
    <col min="114" max="115" width="12.6640625" bestFit="1" customWidth="1"/>
    <col min="122" max="122" width="12.6640625" bestFit="1" customWidth="1"/>
    <col min="127" max="127" width="12.6640625" bestFit="1" customWidth="1"/>
    <col min="131" max="131" width="14.44140625" bestFit="1" customWidth="1"/>
    <col min="137" max="137" width="12.6640625" bestFit="1" customWidth="1"/>
    <col min="146" max="146" width="12.6640625" bestFit="1" customWidth="1"/>
    <col min="157" max="157" width="14.44140625" bestFit="1" customWidth="1"/>
    <col min="160" max="160" width="12.6640625" bestFit="1" customWidth="1"/>
    <col min="166" max="166" width="14.44140625" bestFit="1" customWidth="1"/>
    <col min="169" max="170" width="12.6640625" bestFit="1" customWidth="1"/>
    <col min="173" max="173" width="12.6640625" bestFit="1" customWidth="1"/>
    <col min="176" max="176" width="14.44140625" bestFit="1" customWidth="1"/>
    <col min="179" max="179" width="12.6640625" bestFit="1" customWidth="1"/>
    <col min="182" max="182" width="12.6640625" bestFit="1" customWidth="1"/>
    <col min="183" max="183" width="12.109375" bestFit="1" customWidth="1"/>
    <col min="184" max="184" width="12.6640625" bestFit="1" customWidth="1"/>
    <col min="185" max="185" width="14.44140625" bestFit="1" customWidth="1"/>
    <col min="186" max="186" width="12.6640625" bestFit="1" customWidth="1"/>
    <col min="190" max="190" width="12.6640625" bestFit="1" customWidth="1"/>
    <col min="193" max="193" width="12.6640625" bestFit="1" customWidth="1"/>
    <col min="194" max="194" width="12.109375" bestFit="1" customWidth="1"/>
    <col min="199" max="199" width="15.5546875" bestFit="1" customWidth="1"/>
    <col min="214" max="214" width="12.6640625" bestFit="1" customWidth="1"/>
    <col min="217" max="218" width="12.6640625" bestFit="1" customWidth="1"/>
    <col min="269" max="269" width="16" bestFit="1" customWidth="1"/>
    <col min="270" max="270" width="16.44140625" bestFit="1" customWidth="1"/>
    <col min="271" max="271" width="15.5546875" bestFit="1" customWidth="1"/>
    <col min="272" max="272" width="16.44140625" bestFit="1" customWidth="1"/>
    <col min="273" max="273" width="17.6640625" bestFit="1" customWidth="1"/>
    <col min="274" max="274" width="14.44140625" bestFit="1" customWidth="1"/>
    <col min="275" max="275" width="13.88671875" bestFit="1" customWidth="1"/>
    <col min="276" max="276" width="18.44140625" bestFit="1" customWidth="1"/>
    <col min="1138" max="1138" width="11.44140625" style="1"/>
  </cols>
  <sheetData>
    <row r="1" spans="1:276 1138:1138" ht="23.4" x14ac:dyDescent="0.45">
      <c r="A1" s="594" t="s">
        <v>78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4"/>
      <c r="AT1" s="594"/>
      <c r="AU1" s="594"/>
      <c r="AV1" s="594"/>
      <c r="AW1" s="594"/>
      <c r="AX1" s="594"/>
      <c r="AY1" s="594"/>
      <c r="AZ1" s="594"/>
      <c r="BA1" s="594"/>
      <c r="BB1" s="594"/>
      <c r="BC1" s="594"/>
      <c r="BD1" s="594"/>
      <c r="BE1" s="594"/>
      <c r="BF1" s="594"/>
      <c r="BG1" s="594"/>
      <c r="BH1" s="594"/>
      <c r="BI1" s="594"/>
      <c r="BJ1" s="594"/>
      <c r="BK1" s="594"/>
      <c r="BL1" s="594"/>
      <c r="BM1" s="594"/>
      <c r="BN1" s="594"/>
      <c r="BO1" s="594"/>
      <c r="BP1" s="594"/>
      <c r="BQ1" s="594"/>
      <c r="BR1" s="594"/>
      <c r="BS1" s="594"/>
      <c r="BT1" s="594"/>
      <c r="BU1" s="594"/>
      <c r="BV1" s="594"/>
      <c r="BW1" s="594"/>
      <c r="BX1" s="594"/>
      <c r="BY1" s="594"/>
      <c r="BZ1" s="594"/>
      <c r="CA1" s="594"/>
      <c r="CB1" s="594"/>
      <c r="CC1" s="594"/>
      <c r="CD1" s="594"/>
      <c r="CE1" s="594"/>
      <c r="CF1" s="594"/>
      <c r="CG1" s="594"/>
      <c r="CH1" s="594"/>
      <c r="CI1" s="594"/>
      <c r="CJ1" s="594"/>
      <c r="CK1" s="594"/>
      <c r="CL1" s="594"/>
      <c r="CM1" s="594"/>
      <c r="CN1" s="594"/>
      <c r="CO1" s="594"/>
      <c r="CP1" s="594"/>
      <c r="CQ1" s="594"/>
      <c r="CR1" s="594"/>
      <c r="CS1" s="594"/>
      <c r="CT1" s="594"/>
      <c r="CU1" s="594"/>
      <c r="CV1" s="594"/>
      <c r="CW1" s="594"/>
      <c r="CX1" s="594"/>
      <c r="CY1" s="594"/>
      <c r="CZ1" s="594"/>
      <c r="DA1" s="594"/>
      <c r="DB1" s="594"/>
      <c r="DC1" s="594"/>
      <c r="DD1" s="594"/>
      <c r="DE1" s="594"/>
      <c r="DF1" s="594"/>
      <c r="DG1" s="594"/>
      <c r="DH1" s="594"/>
      <c r="DI1" s="594"/>
      <c r="DJ1" s="594"/>
      <c r="DK1" s="594"/>
      <c r="DL1" s="594"/>
      <c r="DM1" s="594"/>
      <c r="DN1" s="594"/>
      <c r="DO1" s="594"/>
      <c r="DP1" s="594"/>
      <c r="DQ1" s="594"/>
      <c r="DR1" s="594"/>
      <c r="DS1" s="594"/>
      <c r="DT1" s="594"/>
      <c r="DU1" s="594"/>
      <c r="DV1" s="594"/>
      <c r="DW1" s="594"/>
      <c r="DX1" s="594"/>
      <c r="DY1" s="594"/>
      <c r="DZ1" s="594"/>
      <c r="EA1" s="594"/>
      <c r="EB1" s="594"/>
      <c r="EC1" s="594"/>
      <c r="ED1" s="594"/>
      <c r="EE1" s="594"/>
      <c r="EF1" s="594"/>
      <c r="EG1" s="594"/>
      <c r="EH1" s="594"/>
      <c r="EI1" s="594"/>
      <c r="EJ1" s="594"/>
      <c r="EK1" s="594"/>
      <c r="EL1" s="594"/>
      <c r="EM1" s="594"/>
      <c r="EN1" s="594"/>
      <c r="EO1" s="594"/>
      <c r="EP1" s="594"/>
      <c r="EQ1" s="594"/>
      <c r="ER1" s="594"/>
      <c r="ES1" s="594"/>
      <c r="ET1" s="594"/>
      <c r="EU1" s="594"/>
      <c r="EV1" s="594"/>
      <c r="EW1" s="594"/>
      <c r="EX1" s="594"/>
      <c r="EY1" s="594"/>
      <c r="EZ1" s="594"/>
      <c r="FA1" s="594"/>
      <c r="FB1" s="594"/>
      <c r="FC1" s="594"/>
      <c r="FD1" s="594"/>
      <c r="FE1" s="594"/>
      <c r="FF1" s="594"/>
      <c r="FG1" s="594"/>
      <c r="FH1" s="594"/>
      <c r="FI1" s="594"/>
      <c r="FJ1" s="594"/>
      <c r="FK1" s="594"/>
      <c r="FL1" s="594"/>
      <c r="FM1" s="594"/>
      <c r="FN1" s="594"/>
      <c r="FO1" s="594"/>
      <c r="FP1" s="594"/>
      <c r="FQ1" s="594"/>
      <c r="FR1" s="594"/>
      <c r="FS1" s="594"/>
      <c r="FT1" s="594"/>
      <c r="FU1" s="594"/>
      <c r="FV1" s="594"/>
      <c r="FW1" s="594"/>
      <c r="FX1" s="594"/>
      <c r="FY1" s="594"/>
      <c r="FZ1" s="594"/>
      <c r="GA1" s="594"/>
      <c r="GB1" s="594"/>
      <c r="GC1" s="594"/>
      <c r="GD1" s="594"/>
      <c r="GE1" s="594"/>
      <c r="GF1" s="594"/>
      <c r="GG1" s="594"/>
      <c r="GH1" s="594"/>
      <c r="GI1" s="594"/>
      <c r="GJ1" s="594"/>
      <c r="GK1" s="594"/>
      <c r="GL1" s="594"/>
      <c r="GM1" s="594"/>
      <c r="GN1" s="594"/>
      <c r="GO1" s="594"/>
      <c r="GP1" s="594"/>
      <c r="GQ1" s="594"/>
      <c r="GR1" s="594"/>
      <c r="GS1" s="594"/>
      <c r="GT1" s="594"/>
      <c r="GU1" s="594"/>
      <c r="GV1" s="594"/>
      <c r="GW1" s="594"/>
      <c r="GX1" s="594"/>
      <c r="GY1" s="594"/>
      <c r="GZ1" s="594"/>
      <c r="HA1" s="594"/>
      <c r="HB1" s="594"/>
      <c r="HC1" s="594"/>
      <c r="HD1" s="594"/>
      <c r="HE1" s="594"/>
      <c r="HF1" s="594"/>
      <c r="HG1" s="594"/>
      <c r="HH1" s="594"/>
      <c r="HI1" s="594"/>
      <c r="HJ1" s="594"/>
      <c r="HK1" s="594"/>
      <c r="HL1" s="594"/>
      <c r="HM1" s="594"/>
      <c r="HN1" s="594"/>
      <c r="HO1" s="594"/>
      <c r="HP1" s="594"/>
      <c r="HQ1" s="594"/>
      <c r="HR1" s="594"/>
      <c r="HS1" s="594"/>
      <c r="HT1" s="594"/>
      <c r="HU1" s="594"/>
      <c r="HV1" s="594"/>
      <c r="HW1" s="594"/>
      <c r="HX1" s="594"/>
      <c r="HY1" s="594"/>
      <c r="HZ1" s="594"/>
      <c r="IA1" s="594"/>
      <c r="IB1" s="594"/>
      <c r="IC1" s="594"/>
      <c r="ID1" s="594"/>
      <c r="IE1" s="594"/>
      <c r="IF1" s="594"/>
      <c r="IG1" s="594"/>
      <c r="IH1" s="594"/>
      <c r="II1" s="594"/>
      <c r="IJ1" s="594"/>
      <c r="IK1" s="594"/>
      <c r="IL1" s="594"/>
      <c r="IM1" s="594"/>
      <c r="IN1" s="594"/>
      <c r="IO1" s="594"/>
      <c r="IP1" s="594"/>
      <c r="IQ1" s="594"/>
      <c r="IR1" s="594"/>
      <c r="IS1" s="594"/>
      <c r="IT1" s="594"/>
      <c r="IU1" s="594"/>
      <c r="IV1" s="594"/>
      <c r="IW1" s="594"/>
      <c r="IX1" s="594"/>
      <c r="IY1" s="594"/>
      <c r="IZ1" s="594"/>
      <c r="JA1" s="594"/>
      <c r="JB1" s="594"/>
      <c r="JC1" s="594"/>
      <c r="JD1" s="594"/>
      <c r="JE1" s="594"/>
      <c r="JF1" s="594"/>
      <c r="JG1" s="594"/>
      <c r="JH1" s="594"/>
    </row>
    <row r="2" spans="1:276 1138:1138" ht="18" x14ac:dyDescent="0.35">
      <c r="A2" s="119">
        <v>211101</v>
      </c>
      <c r="B2" s="119">
        <v>211102</v>
      </c>
      <c r="C2" s="119">
        <v>211103</v>
      </c>
      <c r="D2" s="119">
        <v>211104</v>
      </c>
      <c r="E2" s="119">
        <v>211105</v>
      </c>
      <c r="F2" s="119">
        <v>211106</v>
      </c>
      <c r="G2" s="119">
        <v>211203</v>
      </c>
      <c r="H2" s="119">
        <v>211205</v>
      </c>
      <c r="I2" s="119">
        <v>211206</v>
      </c>
      <c r="J2" s="119">
        <v>211208</v>
      </c>
      <c r="K2" s="119">
        <v>211209</v>
      </c>
      <c r="L2" s="119">
        <v>211211</v>
      </c>
      <c r="M2" s="119">
        <v>211301</v>
      </c>
      <c r="N2" s="119">
        <v>211401</v>
      </c>
      <c r="O2" s="119">
        <v>211501</v>
      </c>
      <c r="P2" s="119">
        <v>211502</v>
      </c>
      <c r="Q2" s="119">
        <v>211503</v>
      </c>
      <c r="R2" s="119">
        <v>211504</v>
      </c>
      <c r="S2" s="119">
        <v>212101</v>
      </c>
      <c r="T2" s="119">
        <v>212201</v>
      </c>
      <c r="U2" s="119">
        <v>212203</v>
      </c>
      <c r="V2" s="119">
        <v>212204</v>
      </c>
      <c r="W2" s="119">
        <v>212205</v>
      </c>
      <c r="X2" s="119">
        <v>212206</v>
      </c>
      <c r="Y2" s="119">
        <v>212207</v>
      </c>
      <c r="Z2" s="119">
        <v>212208</v>
      </c>
      <c r="AA2" s="119">
        <v>212209</v>
      </c>
      <c r="AB2" s="119">
        <v>212210</v>
      </c>
      <c r="AC2" s="119">
        <v>213101</v>
      </c>
      <c r="AD2" s="119">
        <v>213102</v>
      </c>
      <c r="AE2" s="119">
        <v>213201</v>
      </c>
      <c r="AF2" s="119">
        <v>213202</v>
      </c>
      <c r="AG2" s="119">
        <v>214101</v>
      </c>
      <c r="AH2" s="119">
        <v>214201</v>
      </c>
      <c r="AI2" s="119">
        <v>214202</v>
      </c>
      <c r="AJ2" s="119">
        <v>214203</v>
      </c>
      <c r="AK2" s="119">
        <v>215101</v>
      </c>
      <c r="AL2" s="119">
        <v>215201</v>
      </c>
      <c r="AM2" s="119">
        <v>215301</v>
      </c>
      <c r="AN2" s="119">
        <v>215401</v>
      </c>
      <c r="AO2" s="119">
        <v>221101</v>
      </c>
      <c r="AP2" s="119">
        <v>221201</v>
      </c>
      <c r="AQ2" s="119">
        <v>221301</v>
      </c>
      <c r="AR2" s="119">
        <v>221401</v>
      </c>
      <c r="AS2" s="119">
        <v>221501</v>
      </c>
      <c r="AT2" s="119">
        <v>221601</v>
      </c>
      <c r="AU2" s="119">
        <v>221602</v>
      </c>
      <c r="AV2" s="119">
        <v>221701</v>
      </c>
      <c r="AW2" s="119">
        <v>221801</v>
      </c>
      <c r="AX2" s="119">
        <v>222101</v>
      </c>
      <c r="AY2" s="119">
        <v>222201</v>
      </c>
      <c r="AZ2" s="119">
        <v>223101</v>
      </c>
      <c r="BA2" s="119">
        <v>223201</v>
      </c>
      <c r="BB2" s="119">
        <v>224101</v>
      </c>
      <c r="BC2" s="119">
        <v>224201</v>
      </c>
      <c r="BD2" s="119">
        <v>224301</v>
      </c>
      <c r="BE2" s="119">
        <v>224401</v>
      </c>
      <c r="BF2" s="119">
        <v>225101</v>
      </c>
      <c r="BG2" s="119">
        <v>225201</v>
      </c>
      <c r="BH2" s="119">
        <v>225301</v>
      </c>
      <c r="BI2" s="119">
        <v>225302</v>
      </c>
      <c r="BJ2" s="119">
        <v>225303</v>
      </c>
      <c r="BK2" s="119">
        <v>225304</v>
      </c>
      <c r="BL2" s="119">
        <v>225305</v>
      </c>
      <c r="BM2" s="119">
        <v>225401</v>
      </c>
      <c r="BN2" s="119">
        <v>225501</v>
      </c>
      <c r="BO2" s="119">
        <v>225601</v>
      </c>
      <c r="BP2" s="119">
        <v>225701</v>
      </c>
      <c r="BQ2" s="119">
        <v>225801</v>
      </c>
      <c r="BR2" s="119">
        <v>225901</v>
      </c>
      <c r="BS2" s="119">
        <v>226101</v>
      </c>
      <c r="BT2" s="119">
        <v>226201</v>
      </c>
      <c r="BU2" s="119">
        <v>226301</v>
      </c>
      <c r="BV2" s="119">
        <v>226401</v>
      </c>
      <c r="BW2" s="119">
        <v>227101</v>
      </c>
      <c r="BX2" s="119">
        <v>227102</v>
      </c>
      <c r="BY2" s="119">
        <v>227103</v>
      </c>
      <c r="BZ2" s="119">
        <v>227104</v>
      </c>
      <c r="CA2" s="119">
        <v>227105</v>
      </c>
      <c r="CB2" s="119">
        <v>227106</v>
      </c>
      <c r="CC2" s="119">
        <v>227107</v>
      </c>
      <c r="CD2" s="119">
        <v>227199</v>
      </c>
      <c r="CE2" s="119">
        <v>227201</v>
      </c>
      <c r="CF2" s="119">
        <v>227202</v>
      </c>
      <c r="CG2" s="119">
        <v>227203</v>
      </c>
      <c r="CH2" s="119">
        <v>227204</v>
      </c>
      <c r="CI2" s="119">
        <v>227205</v>
      </c>
      <c r="CJ2" s="119">
        <v>227206</v>
      </c>
      <c r="CK2" s="119">
        <v>227207</v>
      </c>
      <c r="CL2" s="119">
        <v>227208</v>
      </c>
      <c r="CM2" s="119">
        <v>227299</v>
      </c>
      <c r="CN2" s="119">
        <v>227301</v>
      </c>
      <c r="CO2" s="119">
        <v>228101</v>
      </c>
      <c r="CP2" s="119">
        <v>228201</v>
      </c>
      <c r="CQ2" s="119">
        <v>228301</v>
      </c>
      <c r="CR2" s="119">
        <v>228401</v>
      </c>
      <c r="CS2" s="119">
        <v>228501</v>
      </c>
      <c r="CT2" s="119">
        <v>228502</v>
      </c>
      <c r="CU2" s="119">
        <v>228503</v>
      </c>
      <c r="CV2" s="119">
        <v>228601</v>
      </c>
      <c r="CW2" s="119">
        <v>228602</v>
      </c>
      <c r="CX2" s="119">
        <v>228603</v>
      </c>
      <c r="CY2" s="119">
        <v>228604</v>
      </c>
      <c r="CZ2" s="119">
        <v>228701</v>
      </c>
      <c r="DA2" s="119">
        <v>228702</v>
      </c>
      <c r="DB2" s="119">
        <v>228703</v>
      </c>
      <c r="DC2" s="119">
        <v>228704</v>
      </c>
      <c r="DD2" s="119">
        <v>228705</v>
      </c>
      <c r="DE2" s="119">
        <v>228706</v>
      </c>
      <c r="DF2" s="119">
        <v>228801</v>
      </c>
      <c r="DG2" s="119">
        <v>228802</v>
      </c>
      <c r="DH2" s="119">
        <v>228803</v>
      </c>
      <c r="DI2" s="119">
        <v>229201</v>
      </c>
      <c r="DJ2" s="119">
        <v>229203</v>
      </c>
      <c r="DK2" s="119">
        <v>231101</v>
      </c>
      <c r="DL2" s="119">
        <v>231102</v>
      </c>
      <c r="DM2" s="119">
        <v>231201</v>
      </c>
      <c r="DN2" s="119">
        <v>231301</v>
      </c>
      <c r="DO2" s="119">
        <v>231302</v>
      </c>
      <c r="DP2" s="119">
        <v>231303</v>
      </c>
      <c r="DQ2" s="119">
        <v>231401</v>
      </c>
      <c r="DR2" s="119">
        <v>232101</v>
      </c>
      <c r="DS2" s="119">
        <v>232201</v>
      </c>
      <c r="DT2" s="119">
        <v>232301</v>
      </c>
      <c r="DU2" s="119">
        <v>233101</v>
      </c>
      <c r="DV2" s="119">
        <v>233201</v>
      </c>
      <c r="DW2" s="119">
        <v>233301</v>
      </c>
      <c r="DX2" s="119">
        <v>233401</v>
      </c>
      <c r="DY2" s="119">
        <v>233501</v>
      </c>
      <c r="DZ2" s="119">
        <v>233601</v>
      </c>
      <c r="EA2" s="119">
        <v>234101</v>
      </c>
      <c r="EB2" s="119">
        <v>234201</v>
      </c>
      <c r="EC2" s="119">
        <v>235101</v>
      </c>
      <c r="ED2" s="119">
        <v>235201</v>
      </c>
      <c r="EE2" s="119">
        <v>235301</v>
      </c>
      <c r="EF2" s="119">
        <v>235401</v>
      </c>
      <c r="EG2" s="119">
        <v>235501</v>
      </c>
      <c r="EH2" s="119">
        <v>236101</v>
      </c>
      <c r="EI2" s="119">
        <v>236102</v>
      </c>
      <c r="EJ2" s="119">
        <v>236103</v>
      </c>
      <c r="EK2" s="119">
        <v>236104</v>
      </c>
      <c r="EL2" s="119">
        <v>236105</v>
      </c>
      <c r="EM2" s="119">
        <v>236201</v>
      </c>
      <c r="EN2" s="119">
        <v>236202</v>
      </c>
      <c r="EO2" s="119">
        <v>236203</v>
      </c>
      <c r="EP2" s="119">
        <v>236304</v>
      </c>
      <c r="EQ2" s="119">
        <v>236305</v>
      </c>
      <c r="ER2" s="119">
        <v>236306</v>
      </c>
      <c r="ES2" s="119">
        <v>236401</v>
      </c>
      <c r="ET2" s="119">
        <v>236402</v>
      </c>
      <c r="EU2" s="119">
        <v>236403</v>
      </c>
      <c r="EV2" s="119">
        <v>236404</v>
      </c>
      <c r="EW2" s="119">
        <v>236405</v>
      </c>
      <c r="EX2" s="119">
        <v>236406</v>
      </c>
      <c r="EY2" s="119">
        <v>236407</v>
      </c>
      <c r="EZ2" s="119">
        <v>236901</v>
      </c>
      <c r="FA2" s="119">
        <v>237101</v>
      </c>
      <c r="FB2" s="119">
        <v>237102</v>
      </c>
      <c r="FC2" s="119">
        <v>237103</v>
      </c>
      <c r="FD2" s="119">
        <v>237104</v>
      </c>
      <c r="FE2" s="119">
        <v>237105</v>
      </c>
      <c r="FF2" s="119">
        <v>237106</v>
      </c>
      <c r="FG2" s="119">
        <v>237107</v>
      </c>
      <c r="FH2" s="119">
        <v>237201</v>
      </c>
      <c r="FI2" s="119">
        <v>237202</v>
      </c>
      <c r="FJ2" s="119">
        <v>237203</v>
      </c>
      <c r="FK2" s="119">
        <v>237204</v>
      </c>
      <c r="FL2" s="119">
        <v>237205</v>
      </c>
      <c r="FM2" s="119">
        <v>237206</v>
      </c>
      <c r="FN2" s="119">
        <v>237299</v>
      </c>
      <c r="FO2" s="119">
        <v>238101</v>
      </c>
      <c r="FP2" s="119">
        <v>238201</v>
      </c>
      <c r="FQ2" s="119">
        <v>239101</v>
      </c>
      <c r="FR2" s="119">
        <v>239102</v>
      </c>
      <c r="FS2" s="119">
        <v>239201</v>
      </c>
      <c r="FT2" s="119">
        <v>239301</v>
      </c>
      <c r="FU2" s="119">
        <v>239401</v>
      </c>
      <c r="FV2" s="119">
        <v>239501</v>
      </c>
      <c r="FW2" s="119">
        <v>239601</v>
      </c>
      <c r="FX2" s="119">
        <v>239701</v>
      </c>
      <c r="FY2" s="119">
        <v>239801</v>
      </c>
      <c r="FZ2" s="119">
        <v>239802</v>
      </c>
      <c r="GA2" s="119">
        <v>239901</v>
      </c>
      <c r="GB2" s="119">
        <v>239904</v>
      </c>
      <c r="GC2" s="119">
        <v>241201</v>
      </c>
      <c r="GD2" s="119">
        <v>241202</v>
      </c>
      <c r="GE2" s="119">
        <v>241203</v>
      </c>
      <c r="GF2" s="119">
        <v>241204</v>
      </c>
      <c r="GG2" s="119">
        <v>241205</v>
      </c>
      <c r="GH2" s="119">
        <v>261101</v>
      </c>
      <c r="GI2" s="119">
        <v>261201</v>
      </c>
      <c r="GJ2" s="119">
        <v>261301</v>
      </c>
      <c r="GK2" s="119">
        <v>261401</v>
      </c>
      <c r="GL2" s="119">
        <v>261901</v>
      </c>
      <c r="GM2" s="119">
        <v>262101</v>
      </c>
      <c r="GN2" s="119">
        <v>262201</v>
      </c>
      <c r="GO2" s="119">
        <v>262301</v>
      </c>
      <c r="GP2" s="119">
        <v>262401</v>
      </c>
      <c r="GQ2" s="119">
        <v>263101</v>
      </c>
      <c r="GR2" s="119">
        <v>263201</v>
      </c>
      <c r="GS2" s="119">
        <v>263301</v>
      </c>
      <c r="GT2" s="119">
        <v>263401</v>
      </c>
      <c r="GU2" s="119">
        <v>264101</v>
      </c>
      <c r="GV2" s="119">
        <v>264201</v>
      </c>
      <c r="GW2" s="119">
        <v>264301</v>
      </c>
      <c r="GX2" s="119">
        <v>264401</v>
      </c>
      <c r="GY2" s="119">
        <v>264501</v>
      </c>
      <c r="GZ2" s="119">
        <v>264601</v>
      </c>
      <c r="HA2" s="119">
        <v>264701</v>
      </c>
      <c r="HB2" s="119">
        <v>264801</v>
      </c>
      <c r="HC2" s="119">
        <v>265101</v>
      </c>
      <c r="HD2" s="119">
        <v>265201</v>
      </c>
      <c r="HE2" s="119">
        <v>265301</v>
      </c>
      <c r="HF2" s="119">
        <v>265401</v>
      </c>
      <c r="HG2" s="119">
        <v>265501</v>
      </c>
      <c r="HH2" s="119">
        <v>265601</v>
      </c>
      <c r="HI2" s="119">
        <v>265701</v>
      </c>
      <c r="HJ2" s="119">
        <v>265801</v>
      </c>
      <c r="HK2" s="119">
        <v>266101</v>
      </c>
      <c r="HL2" s="119">
        <v>266201</v>
      </c>
      <c r="HM2" s="119">
        <v>267101</v>
      </c>
      <c r="HN2" s="119">
        <v>267201</v>
      </c>
      <c r="HO2" s="119">
        <v>267301</v>
      </c>
      <c r="HP2" s="119">
        <v>267401</v>
      </c>
      <c r="HQ2" s="119">
        <v>267501</v>
      </c>
      <c r="HR2" s="119">
        <v>267601</v>
      </c>
      <c r="HS2" s="119">
        <v>267701</v>
      </c>
      <c r="HT2" s="119">
        <v>267801</v>
      </c>
      <c r="HU2" s="119">
        <v>267901</v>
      </c>
      <c r="HV2" s="119">
        <v>268101</v>
      </c>
      <c r="HW2" s="119">
        <v>268201</v>
      </c>
      <c r="HX2" s="119">
        <v>268301</v>
      </c>
      <c r="HY2" s="119">
        <v>268302</v>
      </c>
      <c r="HZ2" s="119">
        <v>268401</v>
      </c>
      <c r="IA2" s="119">
        <v>268501</v>
      </c>
      <c r="IB2" s="119">
        <v>268601</v>
      </c>
      <c r="IC2" s="119">
        <v>268701</v>
      </c>
      <c r="ID2" s="119">
        <v>268802</v>
      </c>
      <c r="IE2" s="119">
        <v>268803</v>
      </c>
      <c r="IF2" s="119">
        <v>268804</v>
      </c>
      <c r="IG2" s="119">
        <v>268901</v>
      </c>
      <c r="IH2" s="119">
        <v>269101</v>
      </c>
      <c r="II2" s="119">
        <v>269102</v>
      </c>
      <c r="IJ2" s="119">
        <v>269201</v>
      </c>
      <c r="IK2" s="119">
        <v>269202</v>
      </c>
      <c r="IL2" s="119">
        <v>269301</v>
      </c>
      <c r="IM2" s="119">
        <v>269401</v>
      </c>
      <c r="IN2" s="119">
        <v>269501</v>
      </c>
      <c r="IO2" s="119">
        <v>269502</v>
      </c>
      <c r="IP2" s="119">
        <v>269503</v>
      </c>
      <c r="IQ2" s="119">
        <v>2269901</v>
      </c>
      <c r="IR2" s="119">
        <v>271101</v>
      </c>
      <c r="IS2" s="119">
        <v>271201</v>
      </c>
      <c r="IT2" s="119">
        <v>271301</v>
      </c>
      <c r="IU2" s="119">
        <v>271401</v>
      </c>
      <c r="IV2" s="119">
        <v>272101</v>
      </c>
      <c r="IW2" s="119">
        <v>272201</v>
      </c>
      <c r="IX2" s="119">
        <v>272301</v>
      </c>
      <c r="IY2" s="119">
        <v>272401</v>
      </c>
      <c r="IZ2" s="119">
        <v>272501</v>
      </c>
      <c r="JA2" s="119">
        <v>272601</v>
      </c>
      <c r="JB2" s="119">
        <v>272701</v>
      </c>
      <c r="JC2" s="119">
        <v>272801</v>
      </c>
      <c r="JD2" s="119">
        <v>272901</v>
      </c>
      <c r="JE2" s="119">
        <v>273101</v>
      </c>
      <c r="JF2" s="119">
        <v>273201</v>
      </c>
      <c r="JG2" s="119">
        <v>274101</v>
      </c>
      <c r="JH2" s="119">
        <v>274201</v>
      </c>
      <c r="JI2" s="121" t="s">
        <v>0</v>
      </c>
      <c r="JJ2" s="124" t="s">
        <v>376</v>
      </c>
      <c r="JK2" s="124" t="s">
        <v>377</v>
      </c>
      <c r="JL2" s="124" t="s">
        <v>374</v>
      </c>
      <c r="JM2" s="124" t="s">
        <v>378</v>
      </c>
      <c r="JN2" s="124">
        <v>2024</v>
      </c>
      <c r="JO2" s="124" t="s">
        <v>348</v>
      </c>
      <c r="JP2" s="124" t="s">
        <v>379</v>
      </c>
    </row>
    <row r="3" spans="1:276 1138:1138" s="316" customFormat="1" ht="15.6" x14ac:dyDescent="0.3">
      <c r="A3" s="286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Y3" s="286"/>
      <c r="AZ3" s="286"/>
      <c r="BA3" s="286"/>
      <c r="BB3" s="286"/>
      <c r="BC3" s="286"/>
      <c r="BD3" s="286"/>
      <c r="BE3" s="286"/>
      <c r="BF3" s="286"/>
      <c r="BG3" s="286"/>
      <c r="BH3" s="286"/>
      <c r="BI3" s="286"/>
      <c r="BJ3" s="286"/>
      <c r="BK3" s="286"/>
      <c r="BL3" s="286"/>
      <c r="BM3" s="286"/>
      <c r="BN3" s="286"/>
      <c r="BO3" s="286"/>
      <c r="BP3" s="286"/>
      <c r="BQ3" s="286"/>
      <c r="BR3" s="286"/>
      <c r="BS3" s="286"/>
      <c r="BT3" s="286"/>
      <c r="BU3" s="286"/>
      <c r="BV3" s="286"/>
      <c r="BW3" s="286"/>
      <c r="BX3" s="286"/>
      <c r="BY3" s="286"/>
      <c r="BZ3" s="286"/>
      <c r="CA3" s="286"/>
      <c r="CB3" s="286"/>
      <c r="CC3" s="286"/>
      <c r="CD3" s="286"/>
      <c r="CE3" s="286"/>
      <c r="CF3" s="286"/>
      <c r="CG3" s="286"/>
      <c r="CH3" s="286"/>
      <c r="CI3" s="286"/>
      <c r="CJ3" s="286"/>
      <c r="CK3" s="286"/>
      <c r="CL3" s="286"/>
      <c r="CM3" s="286"/>
      <c r="CN3" s="286"/>
      <c r="CO3" s="286"/>
      <c r="CP3" s="286"/>
      <c r="CQ3" s="286"/>
      <c r="CR3" s="286"/>
      <c r="CS3" s="286"/>
      <c r="CT3" s="286"/>
      <c r="CU3" s="286"/>
      <c r="CV3" s="286"/>
      <c r="CW3" s="286"/>
      <c r="CX3" s="286"/>
      <c r="CY3" s="286"/>
      <c r="CZ3" s="286"/>
      <c r="DA3" s="286"/>
      <c r="DB3" s="286"/>
      <c r="DC3" s="286"/>
      <c r="DD3" s="286"/>
      <c r="DE3" s="286"/>
      <c r="DF3" s="286"/>
      <c r="DG3" s="286"/>
      <c r="DH3" s="286"/>
      <c r="DI3" s="286"/>
      <c r="DJ3" s="286"/>
      <c r="DK3" s="286"/>
      <c r="DL3" s="286"/>
      <c r="DM3" s="286"/>
      <c r="DN3" s="286"/>
      <c r="DO3" s="286"/>
      <c r="DP3" s="286"/>
      <c r="DQ3" s="286"/>
      <c r="DR3" s="286"/>
      <c r="DS3" s="286"/>
      <c r="DT3" s="286"/>
      <c r="DU3" s="286"/>
      <c r="DV3" s="286"/>
      <c r="DW3" s="286"/>
      <c r="DX3" s="286"/>
      <c r="DY3" s="286"/>
      <c r="DZ3" s="286"/>
      <c r="EA3" s="286"/>
      <c r="EB3" s="286"/>
      <c r="EC3" s="286"/>
      <c r="ED3" s="286"/>
      <c r="EE3" s="286"/>
      <c r="EF3" s="286"/>
      <c r="EG3" s="286"/>
      <c r="EH3" s="286"/>
      <c r="EI3" s="286"/>
      <c r="EJ3" s="286"/>
      <c r="EK3" s="286"/>
      <c r="EL3" s="286"/>
      <c r="EM3" s="286"/>
      <c r="EN3" s="286"/>
      <c r="EO3" s="286"/>
      <c r="EP3" s="286"/>
      <c r="EQ3" s="286"/>
      <c r="ER3" s="286"/>
      <c r="ES3" s="286"/>
      <c r="ET3" s="286"/>
      <c r="EU3" s="286"/>
      <c r="EV3" s="286"/>
      <c r="EW3" s="286"/>
      <c r="EX3" s="286"/>
      <c r="EY3" s="286"/>
      <c r="EZ3" s="286"/>
      <c r="FA3" s="286"/>
      <c r="FB3" s="286"/>
      <c r="FC3" s="286"/>
      <c r="FD3" s="286"/>
      <c r="FE3" s="286"/>
      <c r="FF3" s="286"/>
      <c r="FG3" s="286"/>
      <c r="FH3" s="286"/>
      <c r="FI3" s="286"/>
      <c r="FJ3" s="286"/>
      <c r="FK3" s="286"/>
      <c r="FL3" s="286"/>
      <c r="FM3" s="286"/>
      <c r="FN3" s="286"/>
      <c r="FO3" s="286"/>
      <c r="FP3" s="286"/>
      <c r="FQ3" s="286"/>
      <c r="FR3" s="286"/>
      <c r="FS3" s="286"/>
      <c r="FT3" s="286">
        <v>241900</v>
      </c>
      <c r="FU3" s="286"/>
      <c r="FV3" s="286"/>
      <c r="FW3" s="286"/>
      <c r="FX3" s="286"/>
      <c r="FY3" s="286"/>
      <c r="FZ3" s="286"/>
      <c r="GA3" s="286"/>
      <c r="GB3" s="286"/>
      <c r="GC3" s="286"/>
      <c r="GD3" s="286"/>
      <c r="GE3" s="286"/>
      <c r="GF3" s="286"/>
      <c r="GG3" s="286"/>
      <c r="GH3" s="286"/>
      <c r="GI3" s="286"/>
      <c r="GJ3" s="286"/>
      <c r="GK3" s="286"/>
      <c r="GL3" s="286"/>
      <c r="GM3" s="286"/>
      <c r="GN3" s="286"/>
      <c r="GO3" s="286"/>
      <c r="GP3" s="286"/>
      <c r="GQ3" s="286">
        <v>887994.84</v>
      </c>
      <c r="GR3" s="286"/>
      <c r="GS3" s="286"/>
      <c r="GT3" s="286"/>
      <c r="GU3" s="286"/>
      <c r="GV3" s="286"/>
      <c r="GW3" s="286"/>
      <c r="GX3" s="286"/>
      <c r="GY3" s="286"/>
      <c r="GZ3" s="286"/>
      <c r="HA3" s="286"/>
      <c r="HB3" s="286"/>
      <c r="HC3" s="286"/>
      <c r="HD3" s="286"/>
      <c r="HE3" s="286"/>
      <c r="HF3" s="286"/>
      <c r="HG3" s="286"/>
      <c r="HH3" s="286"/>
      <c r="HI3" s="286"/>
      <c r="HJ3" s="286"/>
      <c r="HK3" s="286"/>
      <c r="HL3" s="286"/>
      <c r="HM3" s="286"/>
      <c r="HN3" s="286"/>
      <c r="HO3" s="286"/>
      <c r="HP3" s="286"/>
      <c r="HQ3" s="286"/>
      <c r="HR3" s="286"/>
      <c r="HS3" s="286"/>
      <c r="HT3" s="286"/>
      <c r="HU3" s="286"/>
      <c r="HV3" s="286"/>
      <c r="HW3" s="286"/>
      <c r="HX3" s="286"/>
      <c r="HY3" s="286"/>
      <c r="HZ3" s="286"/>
      <c r="IA3" s="286"/>
      <c r="IB3" s="286"/>
      <c r="IC3" s="286"/>
      <c r="ID3" s="286"/>
      <c r="IE3" s="286"/>
      <c r="IF3" s="286"/>
      <c r="IG3" s="286"/>
      <c r="IH3" s="286"/>
      <c r="II3" s="286"/>
      <c r="IJ3" s="286"/>
      <c r="IK3" s="286"/>
      <c r="IL3" s="286"/>
      <c r="IM3" s="286"/>
      <c r="IN3" s="286"/>
      <c r="IO3" s="286"/>
      <c r="IP3" s="286"/>
      <c r="IQ3" s="286"/>
      <c r="IR3" s="286"/>
      <c r="IS3" s="286"/>
      <c r="IT3" s="286"/>
      <c r="IU3" s="286"/>
      <c r="IV3" s="286"/>
      <c r="IW3" s="286"/>
      <c r="IX3" s="286"/>
      <c r="IY3" s="286"/>
      <c r="IZ3" s="286"/>
      <c r="JA3" s="286"/>
      <c r="JB3" s="286"/>
      <c r="JC3" s="286"/>
      <c r="JD3" s="286"/>
      <c r="JE3" s="286"/>
      <c r="JF3" s="286"/>
      <c r="JG3" s="286"/>
      <c r="JH3" s="286"/>
      <c r="JI3" s="287">
        <f>SUM(A3:JH3)</f>
        <v>1129894.8399999999</v>
      </c>
      <c r="JJ3" s="315" t="s">
        <v>820</v>
      </c>
      <c r="JK3" s="288">
        <v>1082017.94</v>
      </c>
      <c r="JL3" s="286">
        <f>+JI3-JK3</f>
        <v>47876.899999999907</v>
      </c>
      <c r="JM3" s="286"/>
      <c r="JN3" s="286"/>
      <c r="JO3" s="286"/>
      <c r="JP3" s="286"/>
      <c r="AQT3" s="289"/>
    </row>
    <row r="4" spans="1:276 1138:1138" s="167" customFormat="1" ht="15.6" x14ac:dyDescent="0.3">
      <c r="A4" s="286"/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6"/>
      <c r="AS4" s="286"/>
      <c r="AT4" s="286"/>
      <c r="AU4" s="286"/>
      <c r="AV4" s="286"/>
      <c r="AW4" s="286"/>
      <c r="AX4" s="286"/>
      <c r="AY4" s="286"/>
      <c r="AZ4" s="286"/>
      <c r="BA4" s="286"/>
      <c r="BB4" s="286"/>
      <c r="BC4" s="286"/>
      <c r="BD4" s="286"/>
      <c r="BE4" s="286"/>
      <c r="BF4" s="286"/>
      <c r="BG4" s="286"/>
      <c r="BH4" s="286"/>
      <c r="BI4" s="286"/>
      <c r="BJ4" s="286"/>
      <c r="BK4" s="286"/>
      <c r="BL4" s="286"/>
      <c r="BM4" s="286"/>
      <c r="BN4" s="286"/>
      <c r="BO4" s="286"/>
      <c r="BP4" s="286"/>
      <c r="BQ4" s="286"/>
      <c r="BR4" s="286"/>
      <c r="BS4" s="286"/>
      <c r="BT4" s="286"/>
      <c r="BU4" s="286"/>
      <c r="BV4" s="286"/>
      <c r="BW4" s="286"/>
      <c r="BX4" s="286"/>
      <c r="BY4" s="286"/>
      <c r="BZ4" s="286"/>
      <c r="CA4" s="286"/>
      <c r="CB4" s="286"/>
      <c r="CC4" s="286"/>
      <c r="CD4" s="286"/>
      <c r="CE4" s="286"/>
      <c r="CF4" s="286"/>
      <c r="CG4" s="286"/>
      <c r="CH4" s="286"/>
      <c r="CI4" s="286"/>
      <c r="CJ4" s="286"/>
      <c r="CK4" s="286"/>
      <c r="CL4" s="286"/>
      <c r="CM4" s="286"/>
      <c r="CN4" s="286"/>
      <c r="CO4" s="286"/>
      <c r="CP4" s="286"/>
      <c r="CQ4" s="286"/>
      <c r="CR4" s="286"/>
      <c r="CS4" s="286"/>
      <c r="CT4" s="286"/>
      <c r="CU4" s="286"/>
      <c r="CV4" s="286"/>
      <c r="CW4" s="286"/>
      <c r="CX4" s="286"/>
      <c r="CY4" s="286"/>
      <c r="CZ4" s="286"/>
      <c r="DA4" s="286"/>
      <c r="DB4" s="286"/>
      <c r="DC4" s="286"/>
      <c r="DD4" s="286"/>
      <c r="DE4" s="286"/>
      <c r="DF4" s="286"/>
      <c r="DG4" s="286"/>
      <c r="DH4" s="286"/>
      <c r="DI4" s="286"/>
      <c r="DJ4" s="286"/>
      <c r="DK4" s="286"/>
      <c r="DL4" s="286"/>
      <c r="DM4" s="286"/>
      <c r="DN4" s="286"/>
      <c r="DO4" s="286"/>
      <c r="DP4" s="286"/>
      <c r="DQ4" s="286"/>
      <c r="DR4" s="286"/>
      <c r="DS4" s="286"/>
      <c r="DT4" s="286"/>
      <c r="DU4" s="286"/>
      <c r="DV4" s="286"/>
      <c r="DW4" s="286"/>
      <c r="DX4" s="286"/>
      <c r="DY4" s="286"/>
      <c r="DZ4" s="286"/>
      <c r="EA4" s="286">
        <v>258000</v>
      </c>
      <c r="EB4" s="286"/>
      <c r="EC4" s="286"/>
      <c r="ED4" s="286"/>
      <c r="EE4" s="286"/>
      <c r="EF4" s="286"/>
      <c r="EG4" s="286"/>
      <c r="EH4" s="286"/>
      <c r="EI4" s="286"/>
      <c r="EJ4" s="286"/>
      <c r="EK4" s="286"/>
      <c r="EL4" s="286"/>
      <c r="EM4" s="286"/>
      <c r="EN4" s="286"/>
      <c r="EO4" s="286"/>
      <c r="EP4" s="286"/>
      <c r="EQ4" s="286"/>
      <c r="ER4" s="286"/>
      <c r="ES4" s="286"/>
      <c r="ET4" s="286"/>
      <c r="EU4" s="286"/>
      <c r="EV4" s="286"/>
      <c r="EW4" s="286"/>
      <c r="EX4" s="286"/>
      <c r="EY4" s="286"/>
      <c r="EZ4" s="286"/>
      <c r="FA4" s="286"/>
      <c r="FB4" s="286"/>
      <c r="FC4" s="286"/>
      <c r="FD4" s="286"/>
      <c r="FE4" s="286"/>
      <c r="FF4" s="286"/>
      <c r="FG4" s="286"/>
      <c r="FH4" s="286"/>
      <c r="FI4" s="286"/>
      <c r="FJ4" s="286"/>
      <c r="FK4" s="286"/>
      <c r="FL4" s="286"/>
      <c r="FM4" s="286"/>
      <c r="FN4" s="286"/>
      <c r="FO4" s="286"/>
      <c r="FP4" s="286"/>
      <c r="FQ4" s="286"/>
      <c r="FR4" s="286"/>
      <c r="FS4" s="286"/>
      <c r="FT4" s="286"/>
      <c r="FU4" s="286"/>
      <c r="FV4" s="286"/>
      <c r="FW4" s="286"/>
      <c r="FX4" s="286"/>
      <c r="FY4" s="286"/>
      <c r="FZ4" s="286"/>
      <c r="GA4" s="286"/>
      <c r="GB4" s="286"/>
      <c r="GC4" s="286"/>
      <c r="GD4" s="286"/>
      <c r="GE4" s="286"/>
      <c r="GF4" s="286"/>
      <c r="GG4" s="286"/>
      <c r="GH4" s="286"/>
      <c r="GI4" s="286"/>
      <c r="GJ4" s="286"/>
      <c r="GK4" s="286"/>
      <c r="GL4" s="286"/>
      <c r="GM4" s="286"/>
      <c r="GN4" s="286"/>
      <c r="GO4" s="286"/>
      <c r="GP4" s="286"/>
      <c r="GQ4" s="286"/>
      <c r="GR4" s="286"/>
      <c r="GS4" s="286"/>
      <c r="GT4" s="286"/>
      <c r="GU4" s="286"/>
      <c r="GV4" s="286"/>
      <c r="GW4" s="286"/>
      <c r="GX4" s="286"/>
      <c r="GY4" s="286"/>
      <c r="GZ4" s="286"/>
      <c r="HA4" s="286"/>
      <c r="HB4" s="286"/>
      <c r="HC4" s="286"/>
      <c r="HD4" s="286"/>
      <c r="HE4" s="286"/>
      <c r="HF4" s="286"/>
      <c r="HG4" s="286"/>
      <c r="HH4" s="286"/>
      <c r="HI4" s="286"/>
      <c r="HJ4" s="286"/>
      <c r="HK4" s="286"/>
      <c r="HL4" s="286"/>
      <c r="HM4" s="286"/>
      <c r="HN4" s="286"/>
      <c r="HO4" s="286"/>
      <c r="HP4" s="286"/>
      <c r="HQ4" s="286"/>
      <c r="HR4" s="286"/>
      <c r="HS4" s="286"/>
      <c r="HT4" s="286"/>
      <c r="HU4" s="286"/>
      <c r="HV4" s="286"/>
      <c r="HW4" s="286"/>
      <c r="HX4" s="286"/>
      <c r="HY4" s="286"/>
      <c r="HZ4" s="286"/>
      <c r="IA4" s="286"/>
      <c r="IB4" s="286"/>
      <c r="IC4" s="286"/>
      <c r="ID4" s="286"/>
      <c r="IE4" s="286"/>
      <c r="IF4" s="286"/>
      <c r="IG4" s="286"/>
      <c r="IH4" s="286"/>
      <c r="II4" s="286"/>
      <c r="IJ4" s="286"/>
      <c r="IK4" s="286"/>
      <c r="IL4" s="286"/>
      <c r="IM4" s="286"/>
      <c r="IN4" s="286"/>
      <c r="IO4" s="286"/>
      <c r="IP4" s="286"/>
      <c r="IQ4" s="286"/>
      <c r="IR4" s="286"/>
      <c r="IS4" s="286"/>
      <c r="IT4" s="286"/>
      <c r="IU4" s="286"/>
      <c r="IV4" s="286"/>
      <c r="IW4" s="286"/>
      <c r="IX4" s="286"/>
      <c r="IY4" s="286"/>
      <c r="IZ4" s="286"/>
      <c r="JA4" s="286"/>
      <c r="JB4" s="286"/>
      <c r="JC4" s="286"/>
      <c r="JD4" s="286"/>
      <c r="JE4" s="286"/>
      <c r="JF4" s="286"/>
      <c r="JG4" s="286"/>
      <c r="JH4" s="286"/>
      <c r="JI4" s="287">
        <f t="shared" ref="JI4:JI68" si="0">SUM(A4:JH4)</f>
        <v>258000</v>
      </c>
      <c r="JJ4" s="315" t="s">
        <v>822</v>
      </c>
      <c r="JK4" s="288">
        <v>245100</v>
      </c>
      <c r="JL4" s="286">
        <f t="shared" ref="JL4:JL66" si="1">+JI4-JK4</f>
        <v>12900</v>
      </c>
      <c r="JM4" s="286"/>
      <c r="JN4" s="289"/>
      <c r="JO4" s="286"/>
      <c r="JP4" s="286"/>
      <c r="AQT4" s="317"/>
    </row>
    <row r="5" spans="1:276 1138:1138" s="167" customFormat="1" ht="15.6" x14ac:dyDescent="0.3">
      <c r="A5" s="286"/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  <c r="BH5" s="286"/>
      <c r="BI5" s="286"/>
      <c r="BJ5" s="286"/>
      <c r="BK5" s="286"/>
      <c r="BL5" s="286"/>
      <c r="BM5" s="286"/>
      <c r="BN5" s="286"/>
      <c r="BO5" s="286"/>
      <c r="BP5" s="286"/>
      <c r="BQ5" s="286"/>
      <c r="BR5" s="286"/>
      <c r="BS5" s="286"/>
      <c r="BT5" s="286"/>
      <c r="BU5" s="286"/>
      <c r="BV5" s="286"/>
      <c r="BW5" s="286"/>
      <c r="BX5" s="286"/>
      <c r="BY5" s="286"/>
      <c r="BZ5" s="286"/>
      <c r="CA5" s="286"/>
      <c r="CB5" s="286"/>
      <c r="CC5" s="286"/>
      <c r="CD5" s="286"/>
      <c r="CE5" s="286"/>
      <c r="CF5" s="286"/>
      <c r="CG5" s="286"/>
      <c r="CH5" s="286"/>
      <c r="CI5" s="286"/>
      <c r="CJ5" s="286"/>
      <c r="CK5" s="286"/>
      <c r="CL5" s="286"/>
      <c r="CM5" s="286"/>
      <c r="CN5" s="286"/>
      <c r="CO5" s="286"/>
      <c r="CP5" s="286"/>
      <c r="CQ5" s="286"/>
      <c r="CR5" s="286"/>
      <c r="CS5" s="286"/>
      <c r="CT5" s="286"/>
      <c r="CU5" s="286"/>
      <c r="CV5" s="286"/>
      <c r="CW5" s="286"/>
      <c r="CX5" s="286"/>
      <c r="CY5" s="286"/>
      <c r="CZ5" s="286"/>
      <c r="DA5" s="286"/>
      <c r="DB5" s="286"/>
      <c r="DC5" s="286"/>
      <c r="DD5" s="286"/>
      <c r="DE5" s="286"/>
      <c r="DF5" s="286"/>
      <c r="DG5" s="286"/>
      <c r="DH5" s="286"/>
      <c r="DI5" s="286"/>
      <c r="DJ5" s="286"/>
      <c r="DK5" s="286"/>
      <c r="DL5" s="286"/>
      <c r="DM5" s="286"/>
      <c r="DN5" s="286"/>
      <c r="DO5" s="286"/>
      <c r="DP5" s="286"/>
      <c r="DQ5" s="286"/>
      <c r="DR5" s="286"/>
      <c r="DS5" s="286"/>
      <c r="DT5" s="286"/>
      <c r="DU5" s="286"/>
      <c r="DV5" s="286"/>
      <c r="DW5" s="286"/>
      <c r="DX5" s="286"/>
      <c r="DY5" s="286"/>
      <c r="DZ5" s="286"/>
      <c r="EA5" s="286"/>
      <c r="EB5" s="286"/>
      <c r="EC5" s="286"/>
      <c r="ED5" s="286"/>
      <c r="EE5" s="286"/>
      <c r="EF5" s="286"/>
      <c r="EG5" s="286"/>
      <c r="EH5" s="286"/>
      <c r="EI5" s="286"/>
      <c r="EJ5" s="286"/>
      <c r="EK5" s="286"/>
      <c r="EL5" s="286"/>
      <c r="EM5" s="286"/>
      <c r="EN5" s="286"/>
      <c r="EO5" s="286"/>
      <c r="EP5" s="286"/>
      <c r="EQ5" s="286"/>
      <c r="ER5" s="286"/>
      <c r="ES5" s="286"/>
      <c r="ET5" s="286"/>
      <c r="EU5" s="286"/>
      <c r="EV5" s="286"/>
      <c r="EW5" s="286"/>
      <c r="EX5" s="286"/>
      <c r="EY5" s="286"/>
      <c r="EZ5" s="286"/>
      <c r="FA5" s="286"/>
      <c r="FB5" s="286"/>
      <c r="FC5" s="286"/>
      <c r="FD5" s="286"/>
      <c r="FE5" s="286"/>
      <c r="FF5" s="286"/>
      <c r="FG5" s="286"/>
      <c r="FH5" s="286"/>
      <c r="FI5" s="286"/>
      <c r="FJ5" s="286"/>
      <c r="FK5" s="286"/>
      <c r="FL5" s="286"/>
      <c r="FM5" s="286"/>
      <c r="FN5" s="286"/>
      <c r="FO5" s="286"/>
      <c r="FP5" s="286"/>
      <c r="FQ5" s="286"/>
      <c r="FR5" s="286"/>
      <c r="FS5" s="286"/>
      <c r="FT5" s="286"/>
      <c r="FU5" s="286"/>
      <c r="FV5" s="286"/>
      <c r="FW5" s="286"/>
      <c r="FX5" s="286"/>
      <c r="FY5" s="286"/>
      <c r="FZ5" s="286"/>
      <c r="GA5" s="286"/>
      <c r="GB5" s="286"/>
      <c r="GC5" s="286"/>
      <c r="GD5" s="286">
        <v>100000</v>
      </c>
      <c r="GE5" s="286"/>
      <c r="GF5" s="286"/>
      <c r="GG5" s="286"/>
      <c r="GH5" s="286"/>
      <c r="GI5" s="286"/>
      <c r="GJ5" s="286"/>
      <c r="GK5" s="286"/>
      <c r="GL5" s="286"/>
      <c r="GM5" s="286"/>
      <c r="GN5" s="286"/>
      <c r="GO5" s="286"/>
      <c r="GP5" s="286"/>
      <c r="GQ5" s="286"/>
      <c r="GR5" s="286"/>
      <c r="GS5" s="286"/>
      <c r="GT5" s="286"/>
      <c r="GU5" s="286"/>
      <c r="GV5" s="286"/>
      <c r="GW5" s="286"/>
      <c r="GX5" s="286"/>
      <c r="GY5" s="286"/>
      <c r="GZ5" s="286"/>
      <c r="HA5" s="286"/>
      <c r="HB5" s="286"/>
      <c r="HC5" s="286"/>
      <c r="HD5" s="286"/>
      <c r="HE5" s="286"/>
      <c r="HF5" s="286"/>
      <c r="HG5" s="286"/>
      <c r="HH5" s="286"/>
      <c r="HI5" s="286"/>
      <c r="HJ5" s="286"/>
      <c r="HK5" s="286"/>
      <c r="HL5" s="286"/>
      <c r="HM5" s="286"/>
      <c r="HN5" s="286"/>
      <c r="HO5" s="286"/>
      <c r="HP5" s="286"/>
      <c r="HQ5" s="286"/>
      <c r="HR5" s="286"/>
      <c r="HS5" s="286"/>
      <c r="HT5" s="286"/>
      <c r="HU5" s="286"/>
      <c r="HV5" s="286"/>
      <c r="HW5" s="286"/>
      <c r="HX5" s="286"/>
      <c r="HY5" s="286"/>
      <c r="HZ5" s="286"/>
      <c r="IA5" s="286"/>
      <c r="IB5" s="286"/>
      <c r="IC5" s="286"/>
      <c r="ID5" s="286"/>
      <c r="IE5" s="286"/>
      <c r="IF5" s="286"/>
      <c r="IG5" s="286"/>
      <c r="IH5" s="286"/>
      <c r="II5" s="286"/>
      <c r="IJ5" s="286"/>
      <c r="IK5" s="286"/>
      <c r="IL5" s="286"/>
      <c r="IM5" s="286"/>
      <c r="IN5" s="286"/>
      <c r="IO5" s="286"/>
      <c r="IP5" s="286"/>
      <c r="IQ5" s="286"/>
      <c r="IR5" s="286"/>
      <c r="IS5" s="286"/>
      <c r="IT5" s="286"/>
      <c r="IU5" s="286"/>
      <c r="IV5" s="286"/>
      <c r="IW5" s="286"/>
      <c r="IX5" s="286"/>
      <c r="IY5" s="286"/>
      <c r="IZ5" s="286"/>
      <c r="JA5" s="286"/>
      <c r="JB5" s="286"/>
      <c r="JC5" s="286"/>
      <c r="JD5" s="286"/>
      <c r="JE5" s="286"/>
      <c r="JF5" s="286"/>
      <c r="JG5" s="286"/>
      <c r="JH5" s="286"/>
      <c r="JI5" s="287">
        <f t="shared" si="0"/>
        <v>100000</v>
      </c>
      <c r="JJ5" s="315" t="s">
        <v>823</v>
      </c>
      <c r="JK5" s="288">
        <v>100000</v>
      </c>
      <c r="JL5" s="286">
        <f t="shared" si="1"/>
        <v>0</v>
      </c>
      <c r="JM5" s="286"/>
      <c r="JN5" s="289"/>
      <c r="JO5" s="286"/>
      <c r="JP5" s="286"/>
      <c r="AQT5" s="317"/>
    </row>
    <row r="6" spans="1:276 1138:1138" s="167" customFormat="1" ht="15.6" x14ac:dyDescent="0.3">
      <c r="A6" s="286"/>
      <c r="B6" s="28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6"/>
      <c r="BK6" s="286"/>
      <c r="BL6" s="286"/>
      <c r="BM6" s="286"/>
      <c r="BN6" s="286"/>
      <c r="BO6" s="286"/>
      <c r="BP6" s="286"/>
      <c r="BQ6" s="286"/>
      <c r="BR6" s="286"/>
      <c r="BS6" s="286"/>
      <c r="BT6" s="286"/>
      <c r="BU6" s="286"/>
      <c r="BV6" s="286"/>
      <c r="BW6" s="286"/>
      <c r="BX6" s="286"/>
      <c r="BY6" s="286"/>
      <c r="BZ6" s="286"/>
      <c r="CA6" s="286"/>
      <c r="CB6" s="286"/>
      <c r="CC6" s="286"/>
      <c r="CD6" s="286"/>
      <c r="CE6" s="286"/>
      <c r="CF6" s="286"/>
      <c r="CG6" s="286"/>
      <c r="CH6" s="286"/>
      <c r="CI6" s="286"/>
      <c r="CJ6" s="286"/>
      <c r="CK6" s="286"/>
      <c r="CL6" s="286"/>
      <c r="CM6" s="286"/>
      <c r="CN6" s="286"/>
      <c r="CO6" s="286"/>
      <c r="CP6" s="286"/>
      <c r="CQ6" s="286"/>
      <c r="CR6" s="286"/>
      <c r="CS6" s="286"/>
      <c r="CT6" s="286"/>
      <c r="CU6" s="286"/>
      <c r="CV6" s="286"/>
      <c r="CW6" s="286"/>
      <c r="CX6" s="286"/>
      <c r="CY6" s="286"/>
      <c r="CZ6" s="286"/>
      <c r="DA6" s="286"/>
      <c r="DB6" s="286"/>
      <c r="DC6" s="286"/>
      <c r="DD6" s="286"/>
      <c r="DE6" s="286"/>
      <c r="DF6" s="286"/>
      <c r="DG6" s="286"/>
      <c r="DH6" s="286"/>
      <c r="DI6" s="286"/>
      <c r="DJ6" s="286"/>
      <c r="DK6" s="286"/>
      <c r="DL6" s="286"/>
      <c r="DM6" s="286"/>
      <c r="DN6" s="286"/>
      <c r="DO6" s="286"/>
      <c r="DP6" s="286"/>
      <c r="DQ6" s="286"/>
      <c r="DR6" s="286"/>
      <c r="DS6" s="286"/>
      <c r="DT6" s="286"/>
      <c r="DU6" s="286"/>
      <c r="DV6" s="286"/>
      <c r="DW6" s="286"/>
      <c r="DX6" s="286"/>
      <c r="DY6" s="286"/>
      <c r="DZ6" s="286"/>
      <c r="EA6" s="286"/>
      <c r="EB6" s="286"/>
      <c r="EC6" s="286"/>
      <c r="ED6" s="286"/>
      <c r="EE6" s="286"/>
      <c r="EF6" s="286"/>
      <c r="EG6" s="286"/>
      <c r="EH6" s="286"/>
      <c r="EI6" s="286"/>
      <c r="EJ6" s="286"/>
      <c r="EK6" s="286"/>
      <c r="EL6" s="286"/>
      <c r="EM6" s="286"/>
      <c r="EN6" s="286"/>
      <c r="EO6" s="286"/>
      <c r="EP6" s="286"/>
      <c r="EQ6" s="286"/>
      <c r="ER6" s="286"/>
      <c r="ES6" s="286"/>
      <c r="ET6" s="286"/>
      <c r="EU6" s="286"/>
      <c r="EV6" s="286"/>
      <c r="EW6" s="286"/>
      <c r="EX6" s="286"/>
      <c r="EY6" s="286"/>
      <c r="EZ6" s="286"/>
      <c r="FA6" s="286"/>
      <c r="FB6" s="286"/>
      <c r="FC6" s="286"/>
      <c r="FD6" s="286"/>
      <c r="FE6" s="286"/>
      <c r="FF6" s="286"/>
      <c r="FG6" s="286"/>
      <c r="FH6" s="286"/>
      <c r="FI6" s="286"/>
      <c r="FJ6" s="286"/>
      <c r="FK6" s="286"/>
      <c r="FL6" s="286"/>
      <c r="FM6" s="286"/>
      <c r="FN6" s="286"/>
      <c r="FO6" s="286"/>
      <c r="FP6" s="286"/>
      <c r="FQ6" s="286"/>
      <c r="FR6" s="286"/>
      <c r="FS6" s="286"/>
      <c r="FT6" s="286"/>
      <c r="FU6" s="286"/>
      <c r="FV6" s="286"/>
      <c r="FW6" s="286"/>
      <c r="FX6" s="286"/>
      <c r="FY6" s="286"/>
      <c r="FZ6" s="286"/>
      <c r="GA6" s="286"/>
      <c r="GB6" s="286"/>
      <c r="GC6" s="286"/>
      <c r="GD6" s="286">
        <v>30166.7</v>
      </c>
      <c r="GE6" s="286"/>
      <c r="GF6" s="286"/>
      <c r="GG6" s="286"/>
      <c r="GH6" s="286"/>
      <c r="GI6" s="286"/>
      <c r="GJ6" s="286"/>
      <c r="GK6" s="286"/>
      <c r="GL6" s="286"/>
      <c r="GM6" s="286"/>
      <c r="GN6" s="286"/>
      <c r="GO6" s="286"/>
      <c r="GP6" s="286"/>
      <c r="GQ6" s="286"/>
      <c r="GR6" s="286"/>
      <c r="GS6" s="286"/>
      <c r="GT6" s="286"/>
      <c r="GU6" s="286"/>
      <c r="GV6" s="286"/>
      <c r="GW6" s="286"/>
      <c r="GX6" s="286"/>
      <c r="GY6" s="286"/>
      <c r="GZ6" s="286"/>
      <c r="HA6" s="286"/>
      <c r="HB6" s="286"/>
      <c r="HC6" s="286"/>
      <c r="HD6" s="286"/>
      <c r="HE6" s="286"/>
      <c r="HF6" s="286"/>
      <c r="HG6" s="286"/>
      <c r="HH6" s="286"/>
      <c r="HI6" s="286"/>
      <c r="HJ6" s="286"/>
      <c r="HK6" s="286"/>
      <c r="HL6" s="286"/>
      <c r="HM6" s="286"/>
      <c r="HN6" s="286"/>
      <c r="HO6" s="286"/>
      <c r="HP6" s="286"/>
      <c r="HQ6" s="286"/>
      <c r="HR6" s="286"/>
      <c r="HS6" s="286"/>
      <c r="HT6" s="286"/>
      <c r="HU6" s="286"/>
      <c r="HV6" s="286"/>
      <c r="HW6" s="286"/>
      <c r="HX6" s="286"/>
      <c r="HY6" s="286"/>
      <c r="HZ6" s="286"/>
      <c r="IA6" s="286"/>
      <c r="IB6" s="286"/>
      <c r="IC6" s="286"/>
      <c r="ID6" s="286"/>
      <c r="IE6" s="286"/>
      <c r="IF6" s="286"/>
      <c r="IG6" s="286"/>
      <c r="IH6" s="286"/>
      <c r="II6" s="286"/>
      <c r="IJ6" s="286"/>
      <c r="IK6" s="286"/>
      <c r="IL6" s="286"/>
      <c r="IM6" s="286"/>
      <c r="IN6" s="286"/>
      <c r="IO6" s="286"/>
      <c r="IP6" s="286"/>
      <c r="IQ6" s="286"/>
      <c r="IR6" s="286"/>
      <c r="IS6" s="286"/>
      <c r="IT6" s="286"/>
      <c r="IU6" s="286"/>
      <c r="IV6" s="286"/>
      <c r="IW6" s="286"/>
      <c r="IX6" s="286"/>
      <c r="IY6" s="286"/>
      <c r="IZ6" s="286"/>
      <c r="JA6" s="286"/>
      <c r="JB6" s="286"/>
      <c r="JC6" s="286"/>
      <c r="JD6" s="286"/>
      <c r="JE6" s="286"/>
      <c r="JF6" s="286"/>
      <c r="JG6" s="286"/>
      <c r="JH6" s="286"/>
      <c r="JI6" s="287">
        <f t="shared" si="0"/>
        <v>30166.7</v>
      </c>
      <c r="JJ6" s="315" t="s">
        <v>824</v>
      </c>
      <c r="JK6" s="288">
        <v>30166.7</v>
      </c>
      <c r="JL6" s="286">
        <f t="shared" si="1"/>
        <v>0</v>
      </c>
      <c r="JM6" s="286"/>
      <c r="JN6" s="289"/>
      <c r="JO6" s="286"/>
      <c r="JP6" s="286"/>
      <c r="AQT6" s="317"/>
    </row>
    <row r="7" spans="1:276 1138:1138" s="167" customFormat="1" ht="15.6" x14ac:dyDescent="0.3">
      <c r="A7" s="286"/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286"/>
      <c r="AJ7" s="286"/>
      <c r="AK7" s="286"/>
      <c r="AL7" s="286"/>
      <c r="AM7" s="286"/>
      <c r="AN7" s="286"/>
      <c r="AO7" s="286"/>
      <c r="AP7" s="286"/>
      <c r="AQ7" s="286"/>
      <c r="AR7" s="286"/>
      <c r="AS7" s="286"/>
      <c r="AT7" s="286"/>
      <c r="AU7" s="286"/>
      <c r="AV7" s="286"/>
      <c r="AW7" s="286"/>
      <c r="AX7" s="286"/>
      <c r="AY7" s="286"/>
      <c r="AZ7" s="286"/>
      <c r="BA7" s="286"/>
      <c r="BB7" s="286"/>
      <c r="BC7" s="286"/>
      <c r="BD7" s="286"/>
      <c r="BE7" s="286"/>
      <c r="BF7" s="286"/>
      <c r="BG7" s="286"/>
      <c r="BH7" s="286"/>
      <c r="BI7" s="286"/>
      <c r="BJ7" s="286"/>
      <c r="BK7" s="286"/>
      <c r="BL7" s="286"/>
      <c r="BM7" s="286"/>
      <c r="BN7" s="286"/>
      <c r="BO7" s="286"/>
      <c r="BP7" s="286"/>
      <c r="BQ7" s="286"/>
      <c r="BR7" s="286"/>
      <c r="BS7" s="286"/>
      <c r="BT7" s="286"/>
      <c r="BU7" s="286"/>
      <c r="BV7" s="286"/>
      <c r="BW7" s="286"/>
      <c r="BX7" s="286"/>
      <c r="BY7" s="286"/>
      <c r="BZ7" s="286"/>
      <c r="CA7" s="286"/>
      <c r="CB7" s="286"/>
      <c r="CC7" s="286"/>
      <c r="CD7" s="286"/>
      <c r="CE7" s="286"/>
      <c r="CF7" s="286"/>
      <c r="CG7" s="286"/>
      <c r="CH7" s="286"/>
      <c r="CI7" s="286"/>
      <c r="CJ7" s="286"/>
      <c r="CK7" s="286"/>
      <c r="CL7" s="286"/>
      <c r="CM7" s="286"/>
      <c r="CN7" s="286"/>
      <c r="CO7" s="286"/>
      <c r="CP7" s="286"/>
      <c r="CQ7" s="286"/>
      <c r="CR7" s="286"/>
      <c r="CS7" s="286"/>
      <c r="CT7" s="286"/>
      <c r="CU7" s="286"/>
      <c r="CV7" s="286"/>
      <c r="CW7" s="286"/>
      <c r="CX7" s="286"/>
      <c r="CY7" s="286"/>
      <c r="CZ7" s="286"/>
      <c r="DA7" s="286"/>
      <c r="DB7" s="286"/>
      <c r="DC7" s="286"/>
      <c r="DD7" s="286"/>
      <c r="DE7" s="286">
        <v>10100</v>
      </c>
      <c r="DF7" s="286"/>
      <c r="DG7" s="286"/>
      <c r="DH7" s="286"/>
      <c r="DI7" s="286"/>
      <c r="DJ7" s="286"/>
      <c r="DK7" s="286"/>
      <c r="DL7" s="286"/>
      <c r="DM7" s="286"/>
      <c r="DN7" s="286"/>
      <c r="DO7" s="286"/>
      <c r="DP7" s="286"/>
      <c r="DQ7" s="286"/>
      <c r="DR7" s="286"/>
      <c r="DS7" s="286"/>
      <c r="DT7" s="286"/>
      <c r="DU7" s="286"/>
      <c r="DV7" s="286"/>
      <c r="DW7" s="286"/>
      <c r="DX7" s="286"/>
      <c r="DY7" s="286"/>
      <c r="DZ7" s="286"/>
      <c r="EA7" s="286"/>
      <c r="EB7" s="286"/>
      <c r="EC7" s="286"/>
      <c r="ED7" s="286"/>
      <c r="EE7" s="286"/>
      <c r="EF7" s="286"/>
      <c r="EG7" s="286"/>
      <c r="EH7" s="286"/>
      <c r="EI7" s="286"/>
      <c r="EJ7" s="286"/>
      <c r="EK7" s="286"/>
      <c r="EL7" s="286"/>
      <c r="EM7" s="286"/>
      <c r="EN7" s="286"/>
      <c r="EO7" s="286"/>
      <c r="EP7" s="286"/>
      <c r="EQ7" s="286"/>
      <c r="ER7" s="286"/>
      <c r="ES7" s="286"/>
      <c r="ET7" s="286"/>
      <c r="EU7" s="286"/>
      <c r="EV7" s="286"/>
      <c r="EW7" s="286"/>
      <c r="EX7" s="286"/>
      <c r="EY7" s="286"/>
      <c r="EZ7" s="286"/>
      <c r="FA7" s="286"/>
      <c r="FB7" s="286"/>
      <c r="FC7" s="286"/>
      <c r="FD7" s="286"/>
      <c r="FE7" s="286"/>
      <c r="FF7" s="286"/>
      <c r="FG7" s="286"/>
      <c r="FH7" s="286"/>
      <c r="FI7" s="286"/>
      <c r="FJ7" s="286"/>
      <c r="FK7" s="286"/>
      <c r="FL7" s="286"/>
      <c r="FM7" s="286"/>
      <c r="FN7" s="286"/>
      <c r="FO7" s="286"/>
      <c r="FP7" s="286"/>
      <c r="FQ7" s="286"/>
      <c r="FR7" s="286"/>
      <c r="FS7" s="286"/>
      <c r="FT7" s="286"/>
      <c r="FU7" s="286"/>
      <c r="FV7" s="286"/>
      <c r="FW7" s="286"/>
      <c r="FX7" s="286"/>
      <c r="FY7" s="286"/>
      <c r="FZ7" s="286"/>
      <c r="GA7" s="286"/>
      <c r="GB7" s="286"/>
      <c r="GC7" s="286"/>
      <c r="GD7" s="286"/>
      <c r="GE7" s="286"/>
      <c r="GF7" s="286"/>
      <c r="GG7" s="286"/>
      <c r="GH7" s="286"/>
      <c r="GI7" s="286"/>
      <c r="GJ7" s="286"/>
      <c r="GK7" s="286"/>
      <c r="GL7" s="286"/>
      <c r="GM7" s="286"/>
      <c r="GN7" s="286"/>
      <c r="GO7" s="286"/>
      <c r="GP7" s="286"/>
      <c r="GQ7" s="286"/>
      <c r="GR7" s="286"/>
      <c r="GS7" s="286"/>
      <c r="GT7" s="286"/>
      <c r="GU7" s="286"/>
      <c r="GV7" s="286"/>
      <c r="GW7" s="286"/>
      <c r="GX7" s="286"/>
      <c r="GY7" s="286"/>
      <c r="GZ7" s="286"/>
      <c r="HA7" s="286"/>
      <c r="HB7" s="286"/>
      <c r="HC7" s="286"/>
      <c r="HD7" s="286"/>
      <c r="HE7" s="286"/>
      <c r="HF7" s="286"/>
      <c r="HG7" s="286"/>
      <c r="HH7" s="286"/>
      <c r="HI7" s="286"/>
      <c r="HJ7" s="286"/>
      <c r="HK7" s="286"/>
      <c r="HL7" s="286"/>
      <c r="HM7" s="286"/>
      <c r="HN7" s="286"/>
      <c r="HO7" s="286"/>
      <c r="HP7" s="286"/>
      <c r="HQ7" s="286"/>
      <c r="HR7" s="286"/>
      <c r="HS7" s="286"/>
      <c r="HT7" s="286"/>
      <c r="HU7" s="286"/>
      <c r="HV7" s="286"/>
      <c r="HW7" s="286"/>
      <c r="HX7" s="286"/>
      <c r="HY7" s="286"/>
      <c r="HZ7" s="286"/>
      <c r="IA7" s="286"/>
      <c r="IB7" s="286"/>
      <c r="IC7" s="286"/>
      <c r="ID7" s="286"/>
      <c r="IE7" s="286"/>
      <c r="IF7" s="286"/>
      <c r="IG7" s="286"/>
      <c r="IH7" s="286"/>
      <c r="II7" s="286"/>
      <c r="IJ7" s="286"/>
      <c r="IK7" s="286"/>
      <c r="IL7" s="286"/>
      <c r="IM7" s="286"/>
      <c r="IN7" s="286"/>
      <c r="IO7" s="286"/>
      <c r="IP7" s="286"/>
      <c r="IQ7" s="286"/>
      <c r="IR7" s="286"/>
      <c r="IS7" s="286"/>
      <c r="IT7" s="286"/>
      <c r="IU7" s="286"/>
      <c r="IV7" s="286"/>
      <c r="IW7" s="286"/>
      <c r="IX7" s="286"/>
      <c r="IY7" s="286"/>
      <c r="IZ7" s="286"/>
      <c r="JA7" s="286"/>
      <c r="JB7" s="286"/>
      <c r="JC7" s="286"/>
      <c r="JD7" s="286"/>
      <c r="JE7" s="286"/>
      <c r="JF7" s="286"/>
      <c r="JG7" s="286"/>
      <c r="JH7" s="286"/>
      <c r="JI7" s="287">
        <f t="shared" si="0"/>
        <v>10100</v>
      </c>
      <c r="JJ7" s="315" t="s">
        <v>825</v>
      </c>
      <c r="JK7" s="288">
        <v>9595</v>
      </c>
      <c r="JL7" s="286">
        <f t="shared" si="1"/>
        <v>505</v>
      </c>
      <c r="JM7" s="286"/>
      <c r="JN7" s="289"/>
      <c r="JO7" s="286"/>
      <c r="JP7" s="286"/>
      <c r="AQT7" s="317"/>
    </row>
    <row r="8" spans="1:276 1138:1138" s="167" customFormat="1" ht="15.6" x14ac:dyDescent="0.3">
      <c r="A8" s="286"/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86"/>
      <c r="AI8" s="286"/>
      <c r="AJ8" s="286"/>
      <c r="AK8" s="286"/>
      <c r="AL8" s="286"/>
      <c r="AM8" s="286"/>
      <c r="AN8" s="286"/>
      <c r="AO8" s="286"/>
      <c r="AP8" s="286"/>
      <c r="AQ8" s="286"/>
      <c r="AR8" s="286"/>
      <c r="AS8" s="286"/>
      <c r="AT8" s="286"/>
      <c r="AU8" s="286"/>
      <c r="AV8" s="286"/>
      <c r="AW8" s="286"/>
      <c r="AX8" s="286"/>
      <c r="AY8" s="286"/>
      <c r="AZ8" s="286"/>
      <c r="BA8" s="286"/>
      <c r="BB8" s="286"/>
      <c r="BC8" s="286"/>
      <c r="BD8" s="286"/>
      <c r="BE8" s="286"/>
      <c r="BF8" s="286"/>
      <c r="BG8" s="286"/>
      <c r="BH8" s="286"/>
      <c r="BI8" s="286">
        <v>266664.26</v>
      </c>
      <c r="BJ8" s="286"/>
      <c r="BK8" s="286"/>
      <c r="BL8" s="286"/>
      <c r="BM8" s="286"/>
      <c r="BN8" s="286"/>
      <c r="BO8" s="286"/>
      <c r="BP8" s="286"/>
      <c r="BQ8" s="286"/>
      <c r="BR8" s="286"/>
      <c r="BS8" s="286"/>
      <c r="BT8" s="286"/>
      <c r="BU8" s="286"/>
      <c r="BV8" s="286"/>
      <c r="BW8" s="286"/>
      <c r="BX8" s="286"/>
      <c r="BY8" s="286"/>
      <c r="BZ8" s="286"/>
      <c r="CA8" s="286"/>
      <c r="CB8" s="286"/>
      <c r="CC8" s="286"/>
      <c r="CD8" s="286"/>
      <c r="CE8" s="286"/>
      <c r="CF8" s="286"/>
      <c r="CG8" s="286"/>
      <c r="CH8" s="286"/>
      <c r="CI8" s="286"/>
      <c r="CJ8" s="286"/>
      <c r="CK8" s="286"/>
      <c r="CL8" s="286"/>
      <c r="CM8" s="286"/>
      <c r="CN8" s="286"/>
      <c r="CO8" s="286"/>
      <c r="CP8" s="286"/>
      <c r="CQ8" s="286"/>
      <c r="CR8" s="286"/>
      <c r="CS8" s="286"/>
      <c r="CT8" s="286"/>
      <c r="CU8" s="286"/>
      <c r="CV8" s="286"/>
      <c r="CW8" s="286"/>
      <c r="CX8" s="286"/>
      <c r="CY8" s="286"/>
      <c r="CZ8" s="286"/>
      <c r="DA8" s="286"/>
      <c r="DB8" s="286"/>
      <c r="DC8" s="286"/>
      <c r="DD8" s="286"/>
      <c r="DE8" s="286"/>
      <c r="DF8" s="286"/>
      <c r="DG8" s="286"/>
      <c r="DH8" s="286"/>
      <c r="DI8" s="286"/>
      <c r="DJ8" s="286"/>
      <c r="DK8" s="286"/>
      <c r="DL8" s="286"/>
      <c r="DM8" s="286"/>
      <c r="DN8" s="286"/>
      <c r="DO8" s="286"/>
      <c r="DP8" s="286"/>
      <c r="DQ8" s="286"/>
      <c r="DR8" s="286"/>
      <c r="DS8" s="286"/>
      <c r="DT8" s="286"/>
      <c r="DU8" s="286"/>
      <c r="DV8" s="286"/>
      <c r="DW8" s="286"/>
      <c r="DX8" s="286"/>
      <c r="DY8" s="286"/>
      <c r="DZ8" s="286"/>
      <c r="EA8" s="286"/>
      <c r="EB8" s="286"/>
      <c r="EC8" s="286"/>
      <c r="ED8" s="286"/>
      <c r="EE8" s="286"/>
      <c r="EF8" s="286"/>
      <c r="EG8" s="286"/>
      <c r="EH8" s="286"/>
      <c r="EI8" s="286"/>
      <c r="EJ8" s="286"/>
      <c r="EK8" s="286"/>
      <c r="EL8" s="286"/>
      <c r="EM8" s="286"/>
      <c r="EN8" s="286"/>
      <c r="EO8" s="286"/>
      <c r="EP8" s="286"/>
      <c r="EQ8" s="286"/>
      <c r="ER8" s="286"/>
      <c r="ES8" s="286"/>
      <c r="ET8" s="286"/>
      <c r="EU8" s="286"/>
      <c r="EV8" s="286"/>
      <c r="EW8" s="286"/>
      <c r="EX8" s="286"/>
      <c r="EY8" s="286"/>
      <c r="EZ8" s="286"/>
      <c r="FA8" s="286"/>
      <c r="FB8" s="286"/>
      <c r="FC8" s="286"/>
      <c r="FD8" s="286"/>
      <c r="FE8" s="286"/>
      <c r="FF8" s="286"/>
      <c r="FG8" s="286"/>
      <c r="FH8" s="286"/>
      <c r="FI8" s="286"/>
      <c r="FJ8" s="286"/>
      <c r="FK8" s="286"/>
      <c r="FL8" s="286"/>
      <c r="FM8" s="286"/>
      <c r="FN8" s="286"/>
      <c r="FO8" s="286"/>
      <c r="FP8" s="286"/>
      <c r="FQ8" s="286"/>
      <c r="FR8" s="286"/>
      <c r="FS8" s="286"/>
      <c r="FT8" s="286"/>
      <c r="FU8" s="286"/>
      <c r="FV8" s="286"/>
      <c r="FW8" s="286"/>
      <c r="FX8" s="286"/>
      <c r="FY8" s="286"/>
      <c r="FZ8" s="286"/>
      <c r="GA8" s="286"/>
      <c r="GB8" s="286"/>
      <c r="GC8" s="286"/>
      <c r="GD8" s="286"/>
      <c r="GE8" s="286"/>
      <c r="GF8" s="286"/>
      <c r="GG8" s="286"/>
      <c r="GH8" s="286"/>
      <c r="GI8" s="286"/>
      <c r="GJ8" s="286"/>
      <c r="GK8" s="286"/>
      <c r="GL8" s="286"/>
      <c r="GM8" s="286"/>
      <c r="GN8" s="286"/>
      <c r="GO8" s="286"/>
      <c r="GP8" s="286"/>
      <c r="GQ8" s="286"/>
      <c r="GR8" s="286"/>
      <c r="GS8" s="286"/>
      <c r="GT8" s="286"/>
      <c r="GU8" s="286"/>
      <c r="GV8" s="286"/>
      <c r="GW8" s="286"/>
      <c r="GX8" s="286"/>
      <c r="GY8" s="286"/>
      <c r="GZ8" s="286"/>
      <c r="HA8" s="286"/>
      <c r="HB8" s="286"/>
      <c r="HC8" s="286"/>
      <c r="HD8" s="286"/>
      <c r="HE8" s="286"/>
      <c r="HF8" s="286"/>
      <c r="HG8" s="286"/>
      <c r="HH8" s="286"/>
      <c r="HI8" s="286"/>
      <c r="HJ8" s="286"/>
      <c r="HK8" s="286"/>
      <c r="HL8" s="286"/>
      <c r="HM8" s="286"/>
      <c r="HN8" s="286"/>
      <c r="HO8" s="286"/>
      <c r="HP8" s="286"/>
      <c r="HQ8" s="286"/>
      <c r="HR8" s="286"/>
      <c r="HS8" s="286"/>
      <c r="HT8" s="286"/>
      <c r="HU8" s="286"/>
      <c r="HV8" s="286"/>
      <c r="HW8" s="286"/>
      <c r="HX8" s="286"/>
      <c r="HY8" s="286"/>
      <c r="HZ8" s="286"/>
      <c r="IA8" s="286"/>
      <c r="IB8" s="286"/>
      <c r="IC8" s="286"/>
      <c r="ID8" s="286"/>
      <c r="IE8" s="286"/>
      <c r="IF8" s="286"/>
      <c r="IG8" s="286"/>
      <c r="IH8" s="286"/>
      <c r="II8" s="286"/>
      <c r="IJ8" s="286"/>
      <c r="IK8" s="286"/>
      <c r="IL8" s="286"/>
      <c r="IM8" s="286"/>
      <c r="IN8" s="286"/>
      <c r="IO8" s="286"/>
      <c r="IP8" s="286"/>
      <c r="IQ8" s="286"/>
      <c r="IR8" s="286"/>
      <c r="IS8" s="286"/>
      <c r="IT8" s="286"/>
      <c r="IU8" s="286"/>
      <c r="IV8" s="286"/>
      <c r="IW8" s="286"/>
      <c r="IX8" s="286"/>
      <c r="IY8" s="286"/>
      <c r="IZ8" s="286"/>
      <c r="JA8" s="286"/>
      <c r="JB8" s="286"/>
      <c r="JC8" s="286"/>
      <c r="JD8" s="286"/>
      <c r="JE8" s="286"/>
      <c r="JF8" s="286"/>
      <c r="JG8" s="286"/>
      <c r="JH8" s="286"/>
      <c r="JI8" s="287">
        <f t="shared" si="0"/>
        <v>266664.26</v>
      </c>
      <c r="JJ8" s="315" t="s">
        <v>826</v>
      </c>
      <c r="JK8" s="288">
        <v>255364.93</v>
      </c>
      <c r="JL8" s="286">
        <f t="shared" si="1"/>
        <v>11299.330000000016</v>
      </c>
      <c r="JM8" s="286"/>
      <c r="JN8" s="289"/>
      <c r="JO8" s="286"/>
      <c r="JP8" s="286"/>
      <c r="AQT8" s="317"/>
    </row>
    <row r="9" spans="1:276 1138:1138" s="167" customFormat="1" ht="15.6" x14ac:dyDescent="0.3">
      <c r="A9" s="286"/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286"/>
      <c r="AN9" s="286"/>
      <c r="AO9" s="286"/>
      <c r="AP9" s="286"/>
      <c r="AQ9" s="286"/>
      <c r="AR9" s="286"/>
      <c r="AS9" s="286"/>
      <c r="AT9" s="286"/>
      <c r="AU9" s="286"/>
      <c r="AV9" s="286"/>
      <c r="AW9" s="286">
        <v>50000</v>
      </c>
      <c r="AX9" s="286"/>
      <c r="AY9" s="286"/>
      <c r="AZ9" s="286"/>
      <c r="BA9" s="286"/>
      <c r="BB9" s="286"/>
      <c r="BC9" s="286"/>
      <c r="BD9" s="286"/>
      <c r="BE9" s="286"/>
      <c r="BF9" s="286"/>
      <c r="BG9" s="286"/>
      <c r="BH9" s="286"/>
      <c r="BI9" s="286"/>
      <c r="BJ9" s="286"/>
      <c r="BK9" s="286"/>
      <c r="BL9" s="286"/>
      <c r="BM9" s="286"/>
      <c r="BN9" s="286"/>
      <c r="BO9" s="286"/>
      <c r="BP9" s="286"/>
      <c r="BQ9" s="286"/>
      <c r="BR9" s="286"/>
      <c r="BS9" s="286"/>
      <c r="BT9" s="286"/>
      <c r="BU9" s="286"/>
      <c r="BV9" s="286"/>
      <c r="BW9" s="286"/>
      <c r="BX9" s="286"/>
      <c r="BY9" s="286"/>
      <c r="BZ9" s="286"/>
      <c r="CA9" s="286"/>
      <c r="CB9" s="286"/>
      <c r="CC9" s="286"/>
      <c r="CD9" s="286"/>
      <c r="CE9" s="286"/>
      <c r="CF9" s="286"/>
      <c r="CG9" s="286"/>
      <c r="CH9" s="286"/>
      <c r="CI9" s="286"/>
      <c r="CJ9" s="286"/>
      <c r="CK9" s="286"/>
      <c r="CL9" s="286"/>
      <c r="CM9" s="286"/>
      <c r="CN9" s="286"/>
      <c r="CO9" s="286"/>
      <c r="CP9" s="286"/>
      <c r="CQ9" s="286"/>
      <c r="CR9" s="286"/>
      <c r="CS9" s="286"/>
      <c r="CT9" s="286"/>
      <c r="CU9" s="286"/>
      <c r="CV9" s="286"/>
      <c r="CW9" s="286"/>
      <c r="CX9" s="286"/>
      <c r="CY9" s="286"/>
      <c r="CZ9" s="286"/>
      <c r="DA9" s="286"/>
      <c r="DB9" s="286"/>
      <c r="DC9" s="286"/>
      <c r="DD9" s="286"/>
      <c r="DE9" s="286"/>
      <c r="DF9" s="286"/>
      <c r="DG9" s="286"/>
      <c r="DH9" s="286"/>
      <c r="DI9" s="286"/>
      <c r="DJ9" s="286"/>
      <c r="DK9" s="286"/>
      <c r="DL9" s="286"/>
      <c r="DM9" s="286"/>
      <c r="DN9" s="286"/>
      <c r="DO9" s="286"/>
      <c r="DP9" s="286"/>
      <c r="DQ9" s="286"/>
      <c r="DR9" s="286"/>
      <c r="DS9" s="286"/>
      <c r="DT9" s="286"/>
      <c r="DU9" s="286"/>
      <c r="DV9" s="286"/>
      <c r="DW9" s="286"/>
      <c r="DX9" s="286"/>
      <c r="DY9" s="286"/>
      <c r="DZ9" s="286"/>
      <c r="EA9" s="286"/>
      <c r="EB9" s="286"/>
      <c r="EC9" s="286"/>
      <c r="ED9" s="286"/>
      <c r="EE9" s="286"/>
      <c r="EF9" s="286"/>
      <c r="EG9" s="286"/>
      <c r="EH9" s="286"/>
      <c r="EI9" s="286"/>
      <c r="EJ9" s="286"/>
      <c r="EK9" s="286"/>
      <c r="EL9" s="286"/>
      <c r="EM9" s="286"/>
      <c r="EN9" s="286"/>
      <c r="EO9" s="286"/>
      <c r="EP9" s="286"/>
      <c r="EQ9" s="286"/>
      <c r="ER9" s="286"/>
      <c r="ES9" s="286"/>
      <c r="ET9" s="286"/>
      <c r="EU9" s="286"/>
      <c r="EV9" s="286"/>
      <c r="EW9" s="286"/>
      <c r="EX9" s="286"/>
      <c r="EY9" s="286"/>
      <c r="EZ9" s="286"/>
      <c r="FA9" s="286"/>
      <c r="FB9" s="286"/>
      <c r="FC9" s="286"/>
      <c r="FD9" s="286"/>
      <c r="FE9" s="286"/>
      <c r="FF9" s="286"/>
      <c r="FG9" s="286"/>
      <c r="FH9" s="286"/>
      <c r="FI9" s="286"/>
      <c r="FJ9" s="286"/>
      <c r="FK9" s="286"/>
      <c r="FL9" s="286"/>
      <c r="FM9" s="286"/>
      <c r="FN9" s="286"/>
      <c r="FO9" s="286"/>
      <c r="FP9" s="286"/>
      <c r="FQ9" s="286"/>
      <c r="FR9" s="286"/>
      <c r="FS9" s="286"/>
      <c r="FT9" s="286"/>
      <c r="FU9" s="286"/>
      <c r="FV9" s="286"/>
      <c r="FW9" s="286"/>
      <c r="FX9" s="286"/>
      <c r="FY9" s="286"/>
      <c r="FZ9" s="286"/>
      <c r="GA9" s="286"/>
      <c r="GB9" s="286"/>
      <c r="GC9" s="286"/>
      <c r="GD9" s="286"/>
      <c r="GE9" s="286"/>
      <c r="GF9" s="286"/>
      <c r="GG9" s="286"/>
      <c r="GH9" s="286"/>
      <c r="GI9" s="286"/>
      <c r="GJ9" s="286"/>
      <c r="GK9" s="286"/>
      <c r="GL9" s="286"/>
      <c r="GM9" s="286"/>
      <c r="GN9" s="286"/>
      <c r="GO9" s="286"/>
      <c r="GP9" s="286"/>
      <c r="GQ9" s="286"/>
      <c r="GR9" s="286"/>
      <c r="GS9" s="286"/>
      <c r="GT9" s="286"/>
      <c r="GU9" s="286"/>
      <c r="GV9" s="286"/>
      <c r="GW9" s="286"/>
      <c r="GX9" s="286"/>
      <c r="GY9" s="286"/>
      <c r="GZ9" s="286"/>
      <c r="HA9" s="286"/>
      <c r="HB9" s="286"/>
      <c r="HC9" s="286"/>
      <c r="HD9" s="286"/>
      <c r="HE9" s="286"/>
      <c r="HF9" s="286"/>
      <c r="HG9" s="286"/>
      <c r="HH9" s="286"/>
      <c r="HI9" s="286"/>
      <c r="HJ9" s="286"/>
      <c r="HK9" s="286"/>
      <c r="HL9" s="286"/>
      <c r="HM9" s="286"/>
      <c r="HN9" s="286"/>
      <c r="HO9" s="286"/>
      <c r="HP9" s="286"/>
      <c r="HQ9" s="286"/>
      <c r="HR9" s="286"/>
      <c r="HS9" s="286"/>
      <c r="HT9" s="286"/>
      <c r="HU9" s="286"/>
      <c r="HV9" s="286"/>
      <c r="HW9" s="286"/>
      <c r="HX9" s="286"/>
      <c r="HY9" s="286"/>
      <c r="HZ9" s="286"/>
      <c r="IA9" s="286"/>
      <c r="IB9" s="286"/>
      <c r="IC9" s="286"/>
      <c r="ID9" s="286"/>
      <c r="IE9" s="286"/>
      <c r="IF9" s="286"/>
      <c r="IG9" s="286"/>
      <c r="IH9" s="286"/>
      <c r="II9" s="286"/>
      <c r="IJ9" s="286"/>
      <c r="IK9" s="286"/>
      <c r="IL9" s="286"/>
      <c r="IM9" s="286"/>
      <c r="IN9" s="286"/>
      <c r="IO9" s="286"/>
      <c r="IP9" s="286"/>
      <c r="IQ9" s="286"/>
      <c r="IR9" s="286"/>
      <c r="IS9" s="286"/>
      <c r="IT9" s="286"/>
      <c r="IU9" s="286"/>
      <c r="IV9" s="286"/>
      <c r="IW9" s="286"/>
      <c r="IX9" s="286"/>
      <c r="IY9" s="286"/>
      <c r="IZ9" s="286"/>
      <c r="JA9" s="286"/>
      <c r="JB9" s="286"/>
      <c r="JC9" s="286"/>
      <c r="JD9" s="286"/>
      <c r="JE9" s="286"/>
      <c r="JF9" s="286"/>
      <c r="JG9" s="286"/>
      <c r="JH9" s="286"/>
      <c r="JI9" s="287">
        <f t="shared" si="0"/>
        <v>50000</v>
      </c>
      <c r="JJ9" s="315" t="s">
        <v>827</v>
      </c>
      <c r="JK9" s="288">
        <v>50000</v>
      </c>
      <c r="JL9" s="286">
        <f t="shared" si="1"/>
        <v>0</v>
      </c>
      <c r="JM9" s="286"/>
      <c r="JN9" s="289"/>
      <c r="JO9" s="286"/>
      <c r="JP9" s="286"/>
      <c r="AQT9" s="317"/>
    </row>
    <row r="10" spans="1:276 1138:1138" s="167" customFormat="1" ht="15.6" x14ac:dyDescent="0.3">
      <c r="A10" s="286"/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  <c r="BA10" s="286"/>
      <c r="BB10" s="286"/>
      <c r="BC10" s="286"/>
      <c r="BD10" s="286"/>
      <c r="BE10" s="286"/>
      <c r="BF10" s="286"/>
      <c r="BG10" s="286"/>
      <c r="BH10" s="286"/>
      <c r="BI10" s="286"/>
      <c r="BJ10" s="286"/>
      <c r="BK10" s="286"/>
      <c r="BL10" s="286"/>
      <c r="BM10" s="286"/>
      <c r="BN10" s="286"/>
      <c r="BO10" s="286"/>
      <c r="BP10" s="286"/>
      <c r="BQ10" s="286"/>
      <c r="BR10" s="286"/>
      <c r="BS10" s="286"/>
      <c r="BT10" s="286"/>
      <c r="BU10" s="286"/>
      <c r="BV10" s="286"/>
      <c r="BW10" s="286"/>
      <c r="BX10" s="286"/>
      <c r="BY10" s="286"/>
      <c r="BZ10" s="286"/>
      <c r="CA10" s="286"/>
      <c r="CB10" s="286"/>
      <c r="CC10" s="286"/>
      <c r="CD10" s="286"/>
      <c r="CE10" s="286"/>
      <c r="CF10" s="286"/>
      <c r="CG10" s="286"/>
      <c r="CH10" s="286"/>
      <c r="CI10" s="286"/>
      <c r="CJ10" s="286"/>
      <c r="CK10" s="286"/>
      <c r="CL10" s="286"/>
      <c r="CM10" s="286"/>
      <c r="CN10" s="286"/>
      <c r="CO10" s="286"/>
      <c r="CP10" s="286"/>
      <c r="CQ10" s="286"/>
      <c r="CR10" s="286"/>
      <c r="CS10" s="286"/>
      <c r="CT10" s="286"/>
      <c r="CU10" s="286"/>
      <c r="CV10" s="286"/>
      <c r="CW10" s="286"/>
      <c r="CX10" s="286"/>
      <c r="CY10" s="286"/>
      <c r="CZ10" s="286"/>
      <c r="DA10" s="286"/>
      <c r="DB10" s="286"/>
      <c r="DC10" s="286"/>
      <c r="DD10" s="286"/>
      <c r="DE10" s="286">
        <v>17740</v>
      </c>
      <c r="DF10" s="286"/>
      <c r="DG10" s="286"/>
      <c r="DH10" s="286"/>
      <c r="DI10" s="286"/>
      <c r="DJ10" s="286"/>
      <c r="DK10" s="286"/>
      <c r="DL10" s="286"/>
      <c r="DM10" s="286"/>
      <c r="DN10" s="286"/>
      <c r="DO10" s="286"/>
      <c r="DP10" s="286"/>
      <c r="DQ10" s="286"/>
      <c r="DR10" s="286"/>
      <c r="DS10" s="286"/>
      <c r="DT10" s="286"/>
      <c r="DU10" s="286"/>
      <c r="DV10" s="286"/>
      <c r="DW10" s="286"/>
      <c r="DX10" s="286"/>
      <c r="DY10" s="286"/>
      <c r="DZ10" s="286"/>
      <c r="EA10" s="286"/>
      <c r="EB10" s="286"/>
      <c r="EC10" s="286"/>
      <c r="ED10" s="286"/>
      <c r="EE10" s="286"/>
      <c r="EF10" s="286"/>
      <c r="EG10" s="286"/>
      <c r="EH10" s="286"/>
      <c r="EI10" s="286"/>
      <c r="EJ10" s="286"/>
      <c r="EK10" s="286"/>
      <c r="EL10" s="286"/>
      <c r="EM10" s="286"/>
      <c r="EN10" s="286"/>
      <c r="EO10" s="286"/>
      <c r="EP10" s="286"/>
      <c r="EQ10" s="286"/>
      <c r="ER10" s="286"/>
      <c r="ES10" s="286"/>
      <c r="ET10" s="286"/>
      <c r="EU10" s="286"/>
      <c r="EV10" s="286"/>
      <c r="EW10" s="286"/>
      <c r="EX10" s="286"/>
      <c r="EY10" s="286"/>
      <c r="EZ10" s="286"/>
      <c r="FA10" s="286"/>
      <c r="FB10" s="286"/>
      <c r="FC10" s="286"/>
      <c r="FD10" s="286"/>
      <c r="FE10" s="286"/>
      <c r="FF10" s="286"/>
      <c r="FG10" s="286"/>
      <c r="FH10" s="286"/>
      <c r="FI10" s="286"/>
      <c r="FJ10" s="286"/>
      <c r="FK10" s="286"/>
      <c r="FL10" s="286"/>
      <c r="FM10" s="286"/>
      <c r="FN10" s="286"/>
      <c r="FO10" s="286"/>
      <c r="FP10" s="286"/>
      <c r="FQ10" s="286"/>
      <c r="FR10" s="286"/>
      <c r="FS10" s="286"/>
      <c r="FT10" s="286"/>
      <c r="FU10" s="286"/>
      <c r="FV10" s="286"/>
      <c r="FW10" s="286"/>
      <c r="FX10" s="286"/>
      <c r="FY10" s="286"/>
      <c r="FZ10" s="286"/>
      <c r="GA10" s="286"/>
      <c r="GB10" s="286"/>
      <c r="GC10" s="286"/>
      <c r="GD10" s="286"/>
      <c r="GE10" s="286"/>
      <c r="GF10" s="286"/>
      <c r="GG10" s="286"/>
      <c r="GH10" s="286"/>
      <c r="GI10" s="286"/>
      <c r="GJ10" s="286"/>
      <c r="GK10" s="286"/>
      <c r="GL10" s="286"/>
      <c r="GM10" s="286"/>
      <c r="GN10" s="286"/>
      <c r="GO10" s="286"/>
      <c r="GP10" s="286"/>
      <c r="GQ10" s="286"/>
      <c r="GR10" s="286"/>
      <c r="GS10" s="286"/>
      <c r="GT10" s="286"/>
      <c r="GU10" s="286"/>
      <c r="GV10" s="286"/>
      <c r="GW10" s="286"/>
      <c r="GX10" s="286"/>
      <c r="GY10" s="286"/>
      <c r="GZ10" s="286"/>
      <c r="HA10" s="286"/>
      <c r="HB10" s="286"/>
      <c r="HC10" s="286"/>
      <c r="HD10" s="286"/>
      <c r="HE10" s="286"/>
      <c r="HF10" s="286"/>
      <c r="HG10" s="286"/>
      <c r="HH10" s="286"/>
      <c r="HI10" s="286"/>
      <c r="HJ10" s="286"/>
      <c r="HK10" s="286"/>
      <c r="HL10" s="286"/>
      <c r="HM10" s="286"/>
      <c r="HN10" s="286"/>
      <c r="HO10" s="286"/>
      <c r="HP10" s="286"/>
      <c r="HQ10" s="286"/>
      <c r="HR10" s="286"/>
      <c r="HS10" s="286"/>
      <c r="HT10" s="286"/>
      <c r="HU10" s="286"/>
      <c r="HV10" s="286"/>
      <c r="HW10" s="286"/>
      <c r="HX10" s="286"/>
      <c r="HY10" s="286"/>
      <c r="HZ10" s="286"/>
      <c r="IA10" s="286"/>
      <c r="IB10" s="286"/>
      <c r="IC10" s="286"/>
      <c r="ID10" s="286"/>
      <c r="IE10" s="286"/>
      <c r="IF10" s="286"/>
      <c r="IG10" s="286"/>
      <c r="IH10" s="286"/>
      <c r="II10" s="286"/>
      <c r="IJ10" s="286"/>
      <c r="IK10" s="286"/>
      <c r="IL10" s="286"/>
      <c r="IM10" s="286"/>
      <c r="IN10" s="286"/>
      <c r="IO10" s="286"/>
      <c r="IP10" s="286"/>
      <c r="IQ10" s="286"/>
      <c r="IR10" s="286"/>
      <c r="IS10" s="286"/>
      <c r="IT10" s="286"/>
      <c r="IU10" s="286"/>
      <c r="IV10" s="286"/>
      <c r="IW10" s="286"/>
      <c r="IX10" s="286"/>
      <c r="IY10" s="286"/>
      <c r="IZ10" s="286"/>
      <c r="JA10" s="286"/>
      <c r="JB10" s="286"/>
      <c r="JC10" s="286"/>
      <c r="JD10" s="286"/>
      <c r="JE10" s="286"/>
      <c r="JF10" s="286"/>
      <c r="JG10" s="286"/>
      <c r="JH10" s="286"/>
      <c r="JI10" s="287">
        <f t="shared" si="0"/>
        <v>17740</v>
      </c>
      <c r="JJ10" s="315" t="s">
        <v>828</v>
      </c>
      <c r="JK10" s="288">
        <v>16853</v>
      </c>
      <c r="JL10" s="286">
        <f t="shared" si="1"/>
        <v>887</v>
      </c>
      <c r="JM10" s="286"/>
      <c r="JN10" s="289"/>
      <c r="JO10" s="286"/>
      <c r="JP10" s="286"/>
      <c r="AQT10" s="317"/>
    </row>
    <row r="11" spans="1:276 1138:1138" s="167" customFormat="1" ht="15.6" x14ac:dyDescent="0.3">
      <c r="A11" s="286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6"/>
      <c r="AN11" s="286"/>
      <c r="AO11" s="286"/>
      <c r="AP11" s="286"/>
      <c r="AQ11" s="286"/>
      <c r="AR11" s="286"/>
      <c r="AS11" s="286"/>
      <c r="AT11" s="286"/>
      <c r="AU11" s="286"/>
      <c r="AV11" s="286"/>
      <c r="AW11" s="286"/>
      <c r="AX11" s="286"/>
      <c r="AY11" s="286"/>
      <c r="AZ11" s="286"/>
      <c r="BA11" s="286"/>
      <c r="BB11" s="286"/>
      <c r="BC11" s="286"/>
      <c r="BD11" s="286"/>
      <c r="BE11" s="286"/>
      <c r="BF11" s="286"/>
      <c r="BG11" s="286"/>
      <c r="BH11" s="286"/>
      <c r="BI11" s="286"/>
      <c r="BJ11" s="286"/>
      <c r="BK11" s="286"/>
      <c r="BL11" s="286"/>
      <c r="BM11" s="286"/>
      <c r="BN11" s="286"/>
      <c r="BO11" s="286"/>
      <c r="BP11" s="286"/>
      <c r="BQ11" s="286"/>
      <c r="BR11" s="286"/>
      <c r="BS11" s="286"/>
      <c r="BT11" s="286"/>
      <c r="BU11" s="286"/>
      <c r="BV11" s="286"/>
      <c r="BW11" s="286"/>
      <c r="BX11" s="286"/>
      <c r="BY11" s="286"/>
      <c r="BZ11" s="286"/>
      <c r="CA11" s="286"/>
      <c r="CB11" s="286"/>
      <c r="CC11" s="286"/>
      <c r="CD11" s="286"/>
      <c r="CE11" s="286"/>
      <c r="CF11" s="286"/>
      <c r="CG11" s="286"/>
      <c r="CH11" s="286"/>
      <c r="CI11" s="286"/>
      <c r="CJ11" s="286"/>
      <c r="CK11" s="286"/>
      <c r="CL11" s="286"/>
      <c r="CM11" s="286"/>
      <c r="CN11" s="286"/>
      <c r="CO11" s="286"/>
      <c r="CP11" s="286"/>
      <c r="CQ11" s="286"/>
      <c r="CR11" s="286"/>
      <c r="CS11" s="286"/>
      <c r="CT11" s="286"/>
      <c r="CU11" s="286"/>
      <c r="CV11" s="286"/>
      <c r="CW11" s="286"/>
      <c r="CX11" s="286"/>
      <c r="CY11" s="286"/>
      <c r="CZ11" s="286"/>
      <c r="DA11" s="286"/>
      <c r="DB11" s="286"/>
      <c r="DC11" s="286"/>
      <c r="DD11" s="286"/>
      <c r="DE11" s="286"/>
      <c r="DF11" s="286"/>
      <c r="DG11" s="286"/>
      <c r="DH11" s="286"/>
      <c r="DI11" s="286"/>
      <c r="DJ11" s="286"/>
      <c r="DK11" s="286">
        <v>37740</v>
      </c>
      <c r="DL11" s="286"/>
      <c r="DM11" s="286"/>
      <c r="DN11" s="286"/>
      <c r="DO11" s="286"/>
      <c r="DP11" s="286"/>
      <c r="DQ11" s="286"/>
      <c r="DR11" s="286"/>
      <c r="DS11" s="286"/>
      <c r="DT11" s="286"/>
      <c r="DU11" s="286"/>
      <c r="DV11" s="286"/>
      <c r="DW11" s="286"/>
      <c r="DX11" s="286"/>
      <c r="DY11" s="286"/>
      <c r="DZ11" s="286"/>
      <c r="EA11" s="286"/>
      <c r="EB11" s="286"/>
      <c r="EC11" s="286"/>
      <c r="ED11" s="286"/>
      <c r="EE11" s="286"/>
      <c r="EF11" s="286"/>
      <c r="EG11" s="286"/>
      <c r="EH11" s="286"/>
      <c r="EI11" s="286"/>
      <c r="EJ11" s="286"/>
      <c r="EK11" s="286"/>
      <c r="EL11" s="286"/>
      <c r="EM11" s="286"/>
      <c r="EN11" s="286"/>
      <c r="EO11" s="286"/>
      <c r="EP11" s="286"/>
      <c r="EQ11" s="286"/>
      <c r="ER11" s="286"/>
      <c r="ES11" s="286"/>
      <c r="ET11" s="286"/>
      <c r="EU11" s="286"/>
      <c r="EV11" s="286"/>
      <c r="EW11" s="286"/>
      <c r="EX11" s="286"/>
      <c r="EY11" s="286"/>
      <c r="EZ11" s="286"/>
      <c r="FA11" s="286"/>
      <c r="FB11" s="286"/>
      <c r="FC11" s="286"/>
      <c r="FD11" s="286"/>
      <c r="FE11" s="286"/>
      <c r="FF11" s="286"/>
      <c r="FG11" s="286"/>
      <c r="FH11" s="286"/>
      <c r="FI11" s="286"/>
      <c r="FJ11" s="286"/>
      <c r="FK11" s="286"/>
      <c r="FL11" s="286"/>
      <c r="FM11" s="286"/>
      <c r="FN11" s="286"/>
      <c r="FO11" s="286"/>
      <c r="FP11" s="286"/>
      <c r="FQ11" s="286"/>
      <c r="FR11" s="286"/>
      <c r="FS11" s="286"/>
      <c r="FT11" s="286"/>
      <c r="FU11" s="286"/>
      <c r="FV11" s="286"/>
      <c r="FW11" s="286"/>
      <c r="FX11" s="286"/>
      <c r="FY11" s="286"/>
      <c r="FZ11" s="286"/>
      <c r="GA11" s="286"/>
      <c r="GB11" s="286"/>
      <c r="GC11" s="286"/>
      <c r="GD11" s="286"/>
      <c r="GE11" s="286"/>
      <c r="GF11" s="286"/>
      <c r="GG11" s="286"/>
      <c r="GH11" s="286"/>
      <c r="GI11" s="286"/>
      <c r="GJ11" s="286"/>
      <c r="GK11" s="286"/>
      <c r="GL11" s="286"/>
      <c r="GM11" s="286"/>
      <c r="GN11" s="286"/>
      <c r="GO11" s="286"/>
      <c r="GP11" s="286"/>
      <c r="GQ11" s="286"/>
      <c r="GR11" s="286"/>
      <c r="GS11" s="286"/>
      <c r="GT11" s="286"/>
      <c r="GU11" s="286"/>
      <c r="GV11" s="286"/>
      <c r="GW11" s="286"/>
      <c r="GX11" s="286"/>
      <c r="GY11" s="286"/>
      <c r="GZ11" s="286"/>
      <c r="HA11" s="286"/>
      <c r="HB11" s="286"/>
      <c r="HC11" s="286"/>
      <c r="HD11" s="286"/>
      <c r="HE11" s="286"/>
      <c r="HF11" s="286"/>
      <c r="HG11" s="286"/>
      <c r="HH11" s="286"/>
      <c r="HI11" s="286"/>
      <c r="HJ11" s="286"/>
      <c r="HK11" s="286"/>
      <c r="HL11" s="286"/>
      <c r="HM11" s="286"/>
      <c r="HN11" s="286"/>
      <c r="HO11" s="286"/>
      <c r="HP11" s="286"/>
      <c r="HQ11" s="286"/>
      <c r="HR11" s="286"/>
      <c r="HS11" s="286"/>
      <c r="HT11" s="286"/>
      <c r="HU11" s="286"/>
      <c r="HV11" s="286"/>
      <c r="HW11" s="286"/>
      <c r="HX11" s="286"/>
      <c r="HY11" s="286"/>
      <c r="HZ11" s="286"/>
      <c r="IA11" s="286"/>
      <c r="IB11" s="286"/>
      <c r="IC11" s="286"/>
      <c r="ID11" s="286"/>
      <c r="IE11" s="286"/>
      <c r="IF11" s="286"/>
      <c r="IG11" s="286"/>
      <c r="IH11" s="286"/>
      <c r="II11" s="286"/>
      <c r="IJ11" s="286"/>
      <c r="IK11" s="286"/>
      <c r="IL11" s="286"/>
      <c r="IM11" s="286"/>
      <c r="IN11" s="286"/>
      <c r="IO11" s="286"/>
      <c r="IP11" s="286"/>
      <c r="IQ11" s="286"/>
      <c r="IR11" s="286"/>
      <c r="IS11" s="286"/>
      <c r="IT11" s="286"/>
      <c r="IU11" s="286"/>
      <c r="IV11" s="286"/>
      <c r="IW11" s="286"/>
      <c r="IX11" s="286"/>
      <c r="IY11" s="286"/>
      <c r="IZ11" s="286"/>
      <c r="JA11" s="286"/>
      <c r="JB11" s="286"/>
      <c r="JC11" s="286"/>
      <c r="JD11" s="286"/>
      <c r="JE11" s="286"/>
      <c r="JF11" s="286"/>
      <c r="JG11" s="286"/>
      <c r="JH11" s="286"/>
      <c r="JI11" s="287">
        <f t="shared" si="0"/>
        <v>37740</v>
      </c>
      <c r="JJ11" s="315" t="s">
        <v>829</v>
      </c>
      <c r="JK11" s="288">
        <v>37740</v>
      </c>
      <c r="JL11" s="286">
        <f t="shared" si="1"/>
        <v>0</v>
      </c>
      <c r="JM11" s="286"/>
      <c r="JN11" s="289"/>
      <c r="JO11" s="286"/>
      <c r="JP11" s="286"/>
      <c r="AQT11" s="317"/>
    </row>
    <row r="12" spans="1:276 1138:1138" s="167" customFormat="1" ht="15.6" x14ac:dyDescent="0.3">
      <c r="A12" s="286"/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86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86"/>
      <c r="BR12" s="286"/>
      <c r="BS12" s="286"/>
      <c r="BT12" s="286"/>
      <c r="BU12" s="286"/>
      <c r="BV12" s="286"/>
      <c r="BW12" s="286"/>
      <c r="BX12" s="286"/>
      <c r="BY12" s="286"/>
      <c r="BZ12" s="286"/>
      <c r="CA12" s="286"/>
      <c r="CB12" s="286"/>
      <c r="CC12" s="286"/>
      <c r="CD12" s="286"/>
      <c r="CE12" s="286"/>
      <c r="CF12" s="286"/>
      <c r="CG12" s="286"/>
      <c r="CH12" s="286"/>
      <c r="CI12" s="286"/>
      <c r="CJ12" s="286"/>
      <c r="CK12" s="286"/>
      <c r="CL12" s="286"/>
      <c r="CM12" s="286"/>
      <c r="CN12" s="286"/>
      <c r="CO12" s="286"/>
      <c r="CP12" s="286"/>
      <c r="CQ12" s="286"/>
      <c r="CR12" s="286"/>
      <c r="CS12" s="286"/>
      <c r="CT12" s="286"/>
      <c r="CU12" s="286"/>
      <c r="CV12" s="286"/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286"/>
      <c r="EA12" s="286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86"/>
      <c r="EM12" s="286"/>
      <c r="EN12" s="286"/>
      <c r="EO12" s="286"/>
      <c r="EP12" s="286"/>
      <c r="EQ12" s="286"/>
      <c r="ER12" s="286"/>
      <c r="ES12" s="286"/>
      <c r="ET12" s="286"/>
      <c r="EU12" s="286"/>
      <c r="EV12" s="286"/>
      <c r="EW12" s="286"/>
      <c r="EX12" s="286"/>
      <c r="EY12" s="286"/>
      <c r="EZ12" s="286"/>
      <c r="FA12" s="286"/>
      <c r="FB12" s="286"/>
      <c r="FC12" s="286"/>
      <c r="FD12" s="286">
        <v>49512.84</v>
      </c>
      <c r="FE12" s="286"/>
      <c r="FF12" s="286"/>
      <c r="FG12" s="286"/>
      <c r="FH12" s="286"/>
      <c r="FI12" s="286"/>
      <c r="FJ12" s="286"/>
      <c r="FK12" s="286"/>
      <c r="FL12" s="286"/>
      <c r="FM12" s="286"/>
      <c r="FN12" s="286"/>
      <c r="FO12" s="286"/>
      <c r="FP12" s="286"/>
      <c r="FQ12" s="286"/>
      <c r="FR12" s="286"/>
      <c r="FS12" s="286"/>
      <c r="FT12" s="286"/>
      <c r="FU12" s="286"/>
      <c r="FV12" s="286"/>
      <c r="FW12" s="286"/>
      <c r="FX12" s="286"/>
      <c r="FY12" s="286"/>
      <c r="FZ12" s="286"/>
      <c r="GA12" s="286"/>
      <c r="GB12" s="286"/>
      <c r="GC12" s="286"/>
      <c r="GD12" s="286"/>
      <c r="GE12" s="286"/>
      <c r="GF12" s="286"/>
      <c r="GG12" s="286"/>
      <c r="GH12" s="286"/>
      <c r="GI12" s="286"/>
      <c r="GJ12" s="286"/>
      <c r="GK12" s="286"/>
      <c r="GL12" s="286"/>
      <c r="GM12" s="286"/>
      <c r="GN12" s="286"/>
      <c r="GO12" s="286"/>
      <c r="GP12" s="286"/>
      <c r="GQ12" s="286"/>
      <c r="GR12" s="286"/>
      <c r="GS12" s="286"/>
      <c r="GT12" s="286"/>
      <c r="GU12" s="286"/>
      <c r="GV12" s="286"/>
      <c r="GW12" s="286"/>
      <c r="GX12" s="286"/>
      <c r="GY12" s="286"/>
      <c r="GZ12" s="286"/>
      <c r="HA12" s="286"/>
      <c r="HB12" s="286"/>
      <c r="HC12" s="286"/>
      <c r="HD12" s="286"/>
      <c r="HE12" s="286"/>
      <c r="HF12" s="286"/>
      <c r="HG12" s="286"/>
      <c r="HH12" s="286"/>
      <c r="HI12" s="286"/>
      <c r="HJ12" s="286"/>
      <c r="HK12" s="286"/>
      <c r="HL12" s="286"/>
      <c r="HM12" s="286"/>
      <c r="HN12" s="286"/>
      <c r="HO12" s="286"/>
      <c r="HP12" s="286"/>
      <c r="HQ12" s="286"/>
      <c r="HR12" s="286"/>
      <c r="HS12" s="286"/>
      <c r="HT12" s="286"/>
      <c r="HU12" s="286"/>
      <c r="HV12" s="286"/>
      <c r="HW12" s="286"/>
      <c r="HX12" s="286"/>
      <c r="HY12" s="286"/>
      <c r="HZ12" s="286"/>
      <c r="IA12" s="286"/>
      <c r="IB12" s="286"/>
      <c r="IC12" s="286"/>
      <c r="ID12" s="286"/>
      <c r="IE12" s="286"/>
      <c r="IF12" s="286"/>
      <c r="IG12" s="286"/>
      <c r="IH12" s="286"/>
      <c r="II12" s="286"/>
      <c r="IJ12" s="286"/>
      <c r="IK12" s="286"/>
      <c r="IL12" s="286"/>
      <c r="IM12" s="286"/>
      <c r="IN12" s="286"/>
      <c r="IO12" s="286"/>
      <c r="IP12" s="286"/>
      <c r="IQ12" s="286"/>
      <c r="IR12" s="286"/>
      <c r="IS12" s="286"/>
      <c r="IT12" s="286"/>
      <c r="IU12" s="286"/>
      <c r="IV12" s="286"/>
      <c r="IW12" s="286"/>
      <c r="IX12" s="286"/>
      <c r="IY12" s="286"/>
      <c r="IZ12" s="286"/>
      <c r="JA12" s="286"/>
      <c r="JB12" s="286"/>
      <c r="JC12" s="286"/>
      <c r="JD12" s="286"/>
      <c r="JE12" s="286"/>
      <c r="JF12" s="286"/>
      <c r="JG12" s="286"/>
      <c r="JH12" s="286"/>
      <c r="JI12" s="287">
        <f t="shared" si="0"/>
        <v>49512.84</v>
      </c>
      <c r="JJ12" s="315" t="s">
        <v>830</v>
      </c>
      <c r="JK12" s="288">
        <v>49512.84</v>
      </c>
      <c r="JL12" s="286">
        <f t="shared" si="1"/>
        <v>0</v>
      </c>
      <c r="JM12" s="286"/>
      <c r="JN12" s="289"/>
      <c r="JO12" s="286"/>
      <c r="JP12" s="286"/>
      <c r="AQT12" s="317"/>
    </row>
    <row r="13" spans="1:276 1138:1138" s="167" customFormat="1" ht="15.6" x14ac:dyDescent="0.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286"/>
      <c r="AY13" s="286"/>
      <c r="AZ13" s="286"/>
      <c r="BA13" s="286"/>
      <c r="BB13" s="286"/>
      <c r="BC13" s="286"/>
      <c r="BD13" s="286"/>
      <c r="BE13" s="286"/>
      <c r="BF13" s="286"/>
      <c r="BG13" s="286"/>
      <c r="BH13" s="286"/>
      <c r="BI13" s="286"/>
      <c r="BJ13" s="286"/>
      <c r="BK13" s="286"/>
      <c r="BL13" s="286"/>
      <c r="BM13" s="286"/>
      <c r="BN13" s="286"/>
      <c r="BO13" s="286"/>
      <c r="BP13" s="286"/>
      <c r="BQ13" s="286"/>
      <c r="BR13" s="286"/>
      <c r="BS13" s="286"/>
      <c r="BT13" s="286"/>
      <c r="BU13" s="286"/>
      <c r="BV13" s="286"/>
      <c r="BW13" s="286"/>
      <c r="BX13" s="286"/>
      <c r="BY13" s="286"/>
      <c r="BZ13" s="286"/>
      <c r="CA13" s="286"/>
      <c r="CB13" s="286"/>
      <c r="CC13" s="286"/>
      <c r="CD13" s="286"/>
      <c r="CE13" s="286"/>
      <c r="CF13" s="286"/>
      <c r="CG13" s="286"/>
      <c r="CH13" s="286"/>
      <c r="CI13" s="286"/>
      <c r="CJ13" s="286"/>
      <c r="CK13" s="286"/>
      <c r="CL13" s="286"/>
      <c r="CM13" s="286"/>
      <c r="CN13" s="286"/>
      <c r="CO13" s="286"/>
      <c r="CP13" s="286"/>
      <c r="CQ13" s="286"/>
      <c r="CR13" s="286"/>
      <c r="CS13" s="286"/>
      <c r="CT13" s="286"/>
      <c r="CU13" s="286"/>
      <c r="CV13" s="286"/>
      <c r="CW13" s="286"/>
      <c r="CX13" s="286"/>
      <c r="CY13" s="286"/>
      <c r="CZ13" s="286"/>
      <c r="DA13" s="286"/>
      <c r="DB13" s="286"/>
      <c r="DC13" s="286"/>
      <c r="DD13" s="286"/>
      <c r="DE13" s="286"/>
      <c r="DF13" s="286"/>
      <c r="DG13" s="286"/>
      <c r="DH13" s="286"/>
      <c r="DI13" s="286"/>
      <c r="DJ13" s="286"/>
      <c r="DK13" s="286">
        <v>98115</v>
      </c>
      <c r="DL13" s="286"/>
      <c r="DM13" s="286"/>
      <c r="DN13" s="286"/>
      <c r="DO13" s="286"/>
      <c r="DP13" s="286"/>
      <c r="DQ13" s="286"/>
      <c r="DR13" s="286"/>
      <c r="DS13" s="286"/>
      <c r="DT13" s="286"/>
      <c r="DU13" s="286"/>
      <c r="DV13" s="286"/>
      <c r="DW13" s="286"/>
      <c r="DX13" s="286"/>
      <c r="DY13" s="286"/>
      <c r="DZ13" s="286"/>
      <c r="EA13" s="286"/>
      <c r="EB13" s="286"/>
      <c r="EC13" s="286"/>
      <c r="ED13" s="286"/>
      <c r="EE13" s="286"/>
      <c r="EF13" s="286"/>
      <c r="EG13" s="286"/>
      <c r="EH13" s="286"/>
      <c r="EI13" s="286"/>
      <c r="EJ13" s="286"/>
      <c r="EK13" s="286"/>
      <c r="EL13" s="286"/>
      <c r="EM13" s="286"/>
      <c r="EN13" s="286"/>
      <c r="EO13" s="286"/>
      <c r="EP13" s="286"/>
      <c r="EQ13" s="286"/>
      <c r="ER13" s="286"/>
      <c r="ES13" s="286"/>
      <c r="ET13" s="286"/>
      <c r="EU13" s="286"/>
      <c r="EV13" s="286"/>
      <c r="EW13" s="286"/>
      <c r="EX13" s="286"/>
      <c r="EY13" s="286"/>
      <c r="EZ13" s="286"/>
      <c r="FA13" s="286"/>
      <c r="FB13" s="286"/>
      <c r="FC13" s="286"/>
      <c r="FD13" s="286"/>
      <c r="FE13" s="286"/>
      <c r="FF13" s="286"/>
      <c r="FG13" s="286"/>
      <c r="FH13" s="286"/>
      <c r="FI13" s="286"/>
      <c r="FJ13" s="286"/>
      <c r="FK13" s="286"/>
      <c r="FL13" s="286"/>
      <c r="FM13" s="286"/>
      <c r="FN13" s="286"/>
      <c r="FO13" s="286"/>
      <c r="FP13" s="286"/>
      <c r="FQ13" s="286"/>
      <c r="FR13" s="286"/>
      <c r="FS13" s="286"/>
      <c r="FT13" s="286"/>
      <c r="FU13" s="286"/>
      <c r="FV13" s="286"/>
      <c r="FW13" s="286"/>
      <c r="FX13" s="286"/>
      <c r="FY13" s="286"/>
      <c r="FZ13" s="286"/>
      <c r="GA13" s="286"/>
      <c r="GB13" s="286"/>
      <c r="GC13" s="286"/>
      <c r="GD13" s="286"/>
      <c r="GE13" s="286"/>
      <c r="GF13" s="286"/>
      <c r="GG13" s="286"/>
      <c r="GH13" s="286"/>
      <c r="GI13" s="286"/>
      <c r="GJ13" s="286"/>
      <c r="GK13" s="286"/>
      <c r="GL13" s="286"/>
      <c r="GM13" s="286"/>
      <c r="GN13" s="286"/>
      <c r="GO13" s="286"/>
      <c r="GP13" s="286"/>
      <c r="GQ13" s="286"/>
      <c r="GR13" s="286"/>
      <c r="GS13" s="286"/>
      <c r="GT13" s="286"/>
      <c r="GU13" s="286"/>
      <c r="GV13" s="286"/>
      <c r="GW13" s="286"/>
      <c r="GX13" s="286"/>
      <c r="GY13" s="286"/>
      <c r="GZ13" s="286"/>
      <c r="HA13" s="286"/>
      <c r="HB13" s="286"/>
      <c r="HC13" s="286"/>
      <c r="HD13" s="286"/>
      <c r="HE13" s="286"/>
      <c r="HF13" s="286"/>
      <c r="HG13" s="286"/>
      <c r="HH13" s="286"/>
      <c r="HI13" s="286"/>
      <c r="HJ13" s="286"/>
      <c r="HK13" s="286"/>
      <c r="HL13" s="286"/>
      <c r="HM13" s="286"/>
      <c r="HN13" s="286"/>
      <c r="HO13" s="286"/>
      <c r="HP13" s="286"/>
      <c r="HQ13" s="286"/>
      <c r="HR13" s="286"/>
      <c r="HS13" s="286"/>
      <c r="HT13" s="286"/>
      <c r="HU13" s="286"/>
      <c r="HV13" s="286"/>
      <c r="HW13" s="286"/>
      <c r="HX13" s="286"/>
      <c r="HY13" s="286"/>
      <c r="HZ13" s="286"/>
      <c r="IA13" s="286"/>
      <c r="IB13" s="286"/>
      <c r="IC13" s="286"/>
      <c r="ID13" s="286"/>
      <c r="IE13" s="286"/>
      <c r="IF13" s="286"/>
      <c r="IG13" s="286"/>
      <c r="IH13" s="286"/>
      <c r="II13" s="286"/>
      <c r="IJ13" s="286"/>
      <c r="IK13" s="286"/>
      <c r="IL13" s="286"/>
      <c r="IM13" s="286"/>
      <c r="IN13" s="286"/>
      <c r="IO13" s="286"/>
      <c r="IP13" s="286"/>
      <c r="IQ13" s="286"/>
      <c r="IR13" s="286"/>
      <c r="IS13" s="286"/>
      <c r="IT13" s="286"/>
      <c r="IU13" s="286"/>
      <c r="IV13" s="286"/>
      <c r="IW13" s="286"/>
      <c r="IX13" s="286"/>
      <c r="IY13" s="286"/>
      <c r="IZ13" s="286"/>
      <c r="JA13" s="286"/>
      <c r="JB13" s="286"/>
      <c r="JC13" s="286"/>
      <c r="JD13" s="286"/>
      <c r="JE13" s="286"/>
      <c r="JF13" s="286"/>
      <c r="JG13" s="286"/>
      <c r="JH13" s="286"/>
      <c r="JI13" s="287">
        <f t="shared" si="0"/>
        <v>98115</v>
      </c>
      <c r="JJ13" s="315" t="s">
        <v>831</v>
      </c>
      <c r="JK13" s="288">
        <v>93209.25</v>
      </c>
      <c r="JL13" s="286">
        <f t="shared" si="1"/>
        <v>4905.75</v>
      </c>
      <c r="JM13" s="286"/>
      <c r="JN13" s="289"/>
      <c r="JO13" s="286"/>
      <c r="JP13" s="286"/>
      <c r="AQT13" s="317"/>
    </row>
    <row r="14" spans="1:276 1138:1138" s="167" customFormat="1" ht="15.6" x14ac:dyDescent="0.3">
      <c r="A14" s="286"/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6"/>
      <c r="BD14" s="286"/>
      <c r="BE14" s="286"/>
      <c r="BF14" s="286"/>
      <c r="BG14" s="286"/>
      <c r="BH14" s="286"/>
      <c r="BI14" s="286"/>
      <c r="BJ14" s="286"/>
      <c r="BK14" s="286"/>
      <c r="BL14" s="286"/>
      <c r="BM14" s="286"/>
      <c r="BN14" s="286"/>
      <c r="BO14" s="286"/>
      <c r="BP14" s="286"/>
      <c r="BQ14" s="286"/>
      <c r="BR14" s="286"/>
      <c r="BS14" s="286"/>
      <c r="BT14" s="286"/>
      <c r="BU14" s="286"/>
      <c r="BV14" s="286"/>
      <c r="BW14" s="286"/>
      <c r="BX14" s="286"/>
      <c r="BY14" s="286"/>
      <c r="BZ14" s="286"/>
      <c r="CA14" s="286"/>
      <c r="CB14" s="286"/>
      <c r="CC14" s="286"/>
      <c r="CD14" s="286"/>
      <c r="CE14" s="286"/>
      <c r="CF14" s="286"/>
      <c r="CG14" s="286"/>
      <c r="CH14" s="286"/>
      <c r="CI14" s="286"/>
      <c r="CJ14" s="286"/>
      <c r="CK14" s="286"/>
      <c r="CL14" s="286"/>
      <c r="CM14" s="286"/>
      <c r="CN14" s="286"/>
      <c r="CO14" s="286"/>
      <c r="CP14" s="286"/>
      <c r="CQ14" s="286"/>
      <c r="CR14" s="286"/>
      <c r="CS14" s="286"/>
      <c r="CT14" s="286"/>
      <c r="CU14" s="286"/>
      <c r="CV14" s="286"/>
      <c r="CW14" s="286"/>
      <c r="CX14" s="286"/>
      <c r="CY14" s="286"/>
      <c r="CZ14" s="286"/>
      <c r="DA14" s="286"/>
      <c r="DB14" s="286"/>
      <c r="DC14" s="286"/>
      <c r="DD14" s="286"/>
      <c r="DE14" s="286"/>
      <c r="DF14" s="286"/>
      <c r="DG14" s="286"/>
      <c r="DH14" s="286"/>
      <c r="DI14" s="286"/>
      <c r="DJ14" s="286"/>
      <c r="DK14" s="286"/>
      <c r="DL14" s="286"/>
      <c r="DM14" s="286"/>
      <c r="DN14" s="286"/>
      <c r="DO14" s="286"/>
      <c r="DP14" s="286"/>
      <c r="DQ14" s="286"/>
      <c r="DR14" s="286"/>
      <c r="DS14" s="286"/>
      <c r="DT14" s="286"/>
      <c r="DU14" s="286"/>
      <c r="DV14" s="286"/>
      <c r="DW14" s="286"/>
      <c r="DX14" s="286"/>
      <c r="DY14" s="286"/>
      <c r="DZ14" s="286"/>
      <c r="EA14" s="286"/>
      <c r="EB14" s="286"/>
      <c r="EC14" s="286"/>
      <c r="ED14" s="286"/>
      <c r="EE14" s="286"/>
      <c r="EF14" s="286"/>
      <c r="EG14" s="286"/>
      <c r="EH14" s="286"/>
      <c r="EI14" s="286"/>
      <c r="EJ14" s="286"/>
      <c r="EK14" s="286"/>
      <c r="EL14" s="286"/>
      <c r="EM14" s="286"/>
      <c r="EN14" s="286"/>
      <c r="EO14" s="286"/>
      <c r="EP14" s="286"/>
      <c r="EQ14" s="286"/>
      <c r="ER14" s="286"/>
      <c r="ES14" s="286"/>
      <c r="ET14" s="286"/>
      <c r="EU14" s="286"/>
      <c r="EV14" s="286"/>
      <c r="EW14" s="286"/>
      <c r="EX14" s="286"/>
      <c r="EY14" s="286"/>
      <c r="EZ14" s="286"/>
      <c r="FA14" s="286"/>
      <c r="FB14" s="286"/>
      <c r="FC14" s="286"/>
      <c r="FD14" s="286"/>
      <c r="FE14" s="286"/>
      <c r="FF14" s="286"/>
      <c r="FG14" s="286"/>
      <c r="FH14" s="286"/>
      <c r="FI14" s="286"/>
      <c r="FJ14" s="286">
        <v>6900</v>
      </c>
      <c r="FK14" s="286"/>
      <c r="FL14" s="286"/>
      <c r="FM14" s="286"/>
      <c r="FN14" s="286"/>
      <c r="FO14" s="286"/>
      <c r="FP14" s="286"/>
      <c r="FQ14" s="286"/>
      <c r="FR14" s="286"/>
      <c r="FS14" s="286"/>
      <c r="FT14" s="286"/>
      <c r="FU14" s="286"/>
      <c r="FV14" s="286"/>
      <c r="FW14" s="286"/>
      <c r="FX14" s="286"/>
      <c r="FY14" s="286"/>
      <c r="FZ14" s="286"/>
      <c r="GA14" s="286"/>
      <c r="GB14" s="286"/>
      <c r="GC14" s="286"/>
      <c r="GD14" s="286"/>
      <c r="GE14" s="286"/>
      <c r="GF14" s="286"/>
      <c r="GG14" s="286"/>
      <c r="GH14" s="286"/>
      <c r="GI14" s="286"/>
      <c r="GJ14" s="286"/>
      <c r="GK14" s="286"/>
      <c r="GL14" s="286"/>
      <c r="GM14" s="286"/>
      <c r="GN14" s="286"/>
      <c r="GO14" s="286"/>
      <c r="GP14" s="286"/>
      <c r="GQ14" s="286"/>
      <c r="GR14" s="286"/>
      <c r="GS14" s="286"/>
      <c r="GT14" s="286"/>
      <c r="GU14" s="286"/>
      <c r="GV14" s="286"/>
      <c r="GW14" s="286"/>
      <c r="GX14" s="286"/>
      <c r="GY14" s="286"/>
      <c r="GZ14" s="286"/>
      <c r="HA14" s="286"/>
      <c r="HB14" s="286"/>
      <c r="HC14" s="286"/>
      <c r="HD14" s="286"/>
      <c r="HE14" s="286"/>
      <c r="HF14" s="286"/>
      <c r="HG14" s="286"/>
      <c r="HH14" s="286"/>
      <c r="HI14" s="286"/>
      <c r="HJ14" s="286"/>
      <c r="HK14" s="286"/>
      <c r="HL14" s="286"/>
      <c r="HM14" s="286"/>
      <c r="HN14" s="286"/>
      <c r="HO14" s="286"/>
      <c r="HP14" s="286"/>
      <c r="HQ14" s="286"/>
      <c r="HR14" s="286"/>
      <c r="HS14" s="286"/>
      <c r="HT14" s="286"/>
      <c r="HU14" s="286"/>
      <c r="HV14" s="286"/>
      <c r="HW14" s="286"/>
      <c r="HX14" s="286"/>
      <c r="HY14" s="286"/>
      <c r="HZ14" s="286"/>
      <c r="IA14" s="286"/>
      <c r="IB14" s="286"/>
      <c r="IC14" s="286"/>
      <c r="ID14" s="286"/>
      <c r="IE14" s="286"/>
      <c r="IF14" s="286"/>
      <c r="IG14" s="286"/>
      <c r="IH14" s="286"/>
      <c r="II14" s="286"/>
      <c r="IJ14" s="286"/>
      <c r="IK14" s="286"/>
      <c r="IL14" s="286"/>
      <c r="IM14" s="286"/>
      <c r="IN14" s="286"/>
      <c r="IO14" s="286"/>
      <c r="IP14" s="286"/>
      <c r="IQ14" s="286"/>
      <c r="IR14" s="286"/>
      <c r="IS14" s="286"/>
      <c r="IT14" s="286"/>
      <c r="IU14" s="286"/>
      <c r="IV14" s="286"/>
      <c r="IW14" s="286"/>
      <c r="IX14" s="286"/>
      <c r="IY14" s="286"/>
      <c r="IZ14" s="286"/>
      <c r="JA14" s="286"/>
      <c r="JB14" s="286"/>
      <c r="JC14" s="286"/>
      <c r="JD14" s="286"/>
      <c r="JE14" s="286"/>
      <c r="JF14" s="286"/>
      <c r="JG14" s="286"/>
      <c r="JH14" s="286"/>
      <c r="JI14" s="287">
        <f t="shared" si="0"/>
        <v>6900</v>
      </c>
      <c r="JJ14" s="315" t="s">
        <v>832</v>
      </c>
      <c r="JK14" s="288">
        <v>6555</v>
      </c>
      <c r="JL14" s="286">
        <f t="shared" si="1"/>
        <v>345</v>
      </c>
      <c r="JM14" s="286"/>
      <c r="JN14" s="289"/>
      <c r="JO14" s="286"/>
      <c r="JP14" s="286"/>
      <c r="AQT14" s="317"/>
    </row>
    <row r="15" spans="1:276 1138:1138" s="167" customFormat="1" ht="15.6" x14ac:dyDescent="0.3">
      <c r="A15" s="286"/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286"/>
      <c r="CD15" s="286"/>
      <c r="CE15" s="286"/>
      <c r="CF15" s="286"/>
      <c r="CG15" s="286"/>
      <c r="CH15" s="286"/>
      <c r="CI15" s="286"/>
      <c r="CJ15" s="286"/>
      <c r="CK15" s="286"/>
      <c r="CL15" s="286"/>
      <c r="CM15" s="286"/>
      <c r="CN15" s="286"/>
      <c r="CO15" s="286"/>
      <c r="CP15" s="286"/>
      <c r="CQ15" s="286"/>
      <c r="CR15" s="286"/>
      <c r="CS15" s="286"/>
      <c r="CT15" s="286"/>
      <c r="CU15" s="286"/>
      <c r="CV15" s="286"/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286"/>
      <c r="EA15" s="286">
        <v>50000</v>
      </c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86"/>
      <c r="EM15" s="286"/>
      <c r="EN15" s="286"/>
      <c r="EO15" s="286"/>
      <c r="EP15" s="286"/>
      <c r="EQ15" s="286"/>
      <c r="ER15" s="286"/>
      <c r="ES15" s="286"/>
      <c r="ET15" s="286"/>
      <c r="EU15" s="286"/>
      <c r="EV15" s="286"/>
      <c r="EW15" s="286"/>
      <c r="EX15" s="286"/>
      <c r="EY15" s="286"/>
      <c r="EZ15" s="286"/>
      <c r="FA15" s="286"/>
      <c r="FB15" s="286"/>
      <c r="FC15" s="286"/>
      <c r="FD15" s="286"/>
      <c r="FE15" s="286"/>
      <c r="FF15" s="286"/>
      <c r="FG15" s="286"/>
      <c r="FH15" s="286"/>
      <c r="FI15" s="286"/>
      <c r="FJ15" s="286"/>
      <c r="FK15" s="286"/>
      <c r="FL15" s="286"/>
      <c r="FM15" s="286"/>
      <c r="FN15" s="286"/>
      <c r="FO15" s="286"/>
      <c r="FP15" s="286"/>
      <c r="FQ15" s="286"/>
      <c r="FR15" s="286"/>
      <c r="FS15" s="286"/>
      <c r="FT15" s="286"/>
      <c r="FU15" s="286"/>
      <c r="FV15" s="286"/>
      <c r="FW15" s="286"/>
      <c r="FX15" s="286"/>
      <c r="FY15" s="286"/>
      <c r="FZ15" s="286"/>
      <c r="GA15" s="286"/>
      <c r="GB15" s="286"/>
      <c r="GC15" s="286"/>
      <c r="GD15" s="286"/>
      <c r="GE15" s="286"/>
      <c r="GF15" s="286"/>
      <c r="GG15" s="286"/>
      <c r="GH15" s="286"/>
      <c r="GI15" s="286"/>
      <c r="GJ15" s="286"/>
      <c r="GK15" s="286"/>
      <c r="GL15" s="286"/>
      <c r="GM15" s="286"/>
      <c r="GN15" s="286"/>
      <c r="GO15" s="286"/>
      <c r="GP15" s="286"/>
      <c r="GQ15" s="286"/>
      <c r="GR15" s="286"/>
      <c r="GS15" s="286"/>
      <c r="GT15" s="286"/>
      <c r="GU15" s="286"/>
      <c r="GV15" s="286"/>
      <c r="GW15" s="286"/>
      <c r="GX15" s="286"/>
      <c r="GY15" s="286"/>
      <c r="GZ15" s="286"/>
      <c r="HA15" s="286"/>
      <c r="HB15" s="286"/>
      <c r="HC15" s="286"/>
      <c r="HD15" s="286"/>
      <c r="HE15" s="286"/>
      <c r="HF15" s="286"/>
      <c r="HG15" s="286"/>
      <c r="HH15" s="286"/>
      <c r="HI15" s="286"/>
      <c r="HJ15" s="286"/>
      <c r="HK15" s="286"/>
      <c r="HL15" s="286"/>
      <c r="HM15" s="286"/>
      <c r="HN15" s="286"/>
      <c r="HO15" s="286"/>
      <c r="HP15" s="286"/>
      <c r="HQ15" s="286"/>
      <c r="HR15" s="286"/>
      <c r="HS15" s="286"/>
      <c r="HT15" s="286"/>
      <c r="HU15" s="286"/>
      <c r="HV15" s="286"/>
      <c r="HW15" s="286"/>
      <c r="HX15" s="286"/>
      <c r="HY15" s="286"/>
      <c r="HZ15" s="286"/>
      <c r="IA15" s="286"/>
      <c r="IB15" s="286"/>
      <c r="IC15" s="286"/>
      <c r="ID15" s="286"/>
      <c r="IE15" s="286"/>
      <c r="IF15" s="286"/>
      <c r="IG15" s="286"/>
      <c r="IH15" s="286"/>
      <c r="II15" s="286"/>
      <c r="IJ15" s="286"/>
      <c r="IK15" s="286"/>
      <c r="IL15" s="286"/>
      <c r="IM15" s="286"/>
      <c r="IN15" s="286"/>
      <c r="IO15" s="286"/>
      <c r="IP15" s="286"/>
      <c r="IQ15" s="286"/>
      <c r="IR15" s="286"/>
      <c r="IS15" s="286"/>
      <c r="IT15" s="286"/>
      <c r="IU15" s="286"/>
      <c r="IV15" s="286"/>
      <c r="IW15" s="286"/>
      <c r="IX15" s="286"/>
      <c r="IY15" s="286"/>
      <c r="IZ15" s="286"/>
      <c r="JA15" s="286"/>
      <c r="JB15" s="286"/>
      <c r="JC15" s="286"/>
      <c r="JD15" s="286"/>
      <c r="JE15" s="286"/>
      <c r="JF15" s="286"/>
      <c r="JG15" s="286"/>
      <c r="JH15" s="286"/>
      <c r="JI15" s="287">
        <f t="shared" si="0"/>
        <v>50000</v>
      </c>
      <c r="JJ15" s="315" t="s">
        <v>833</v>
      </c>
      <c r="JK15" s="288">
        <v>47500</v>
      </c>
      <c r="JL15" s="286">
        <f t="shared" si="1"/>
        <v>2500</v>
      </c>
      <c r="JM15" s="286"/>
      <c r="JN15" s="289"/>
      <c r="JO15" s="286"/>
      <c r="JP15" s="286"/>
      <c r="AQT15" s="317"/>
    </row>
    <row r="16" spans="1:276 1138:1138" s="167" customFormat="1" ht="15.6" x14ac:dyDescent="0.3">
      <c r="A16" s="286"/>
      <c r="B16" s="286"/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>
        <v>91518.64</v>
      </c>
      <c r="AR16" s="286"/>
      <c r="AS16" s="286"/>
      <c r="AT16" s="286"/>
      <c r="AU16" s="286"/>
      <c r="AV16" s="286"/>
      <c r="AW16" s="286"/>
      <c r="AX16" s="286"/>
      <c r="AY16" s="286"/>
      <c r="AZ16" s="286"/>
      <c r="BA16" s="286"/>
      <c r="BB16" s="286"/>
      <c r="BC16" s="286"/>
      <c r="BD16" s="286"/>
      <c r="BE16" s="286"/>
      <c r="BF16" s="286"/>
      <c r="BG16" s="286"/>
      <c r="BH16" s="286"/>
      <c r="BI16" s="286"/>
      <c r="BJ16" s="286"/>
      <c r="BK16" s="286"/>
      <c r="BL16" s="286"/>
      <c r="BM16" s="286"/>
      <c r="BN16" s="286"/>
      <c r="BO16" s="286"/>
      <c r="BP16" s="286"/>
      <c r="BQ16" s="286"/>
      <c r="BR16" s="286"/>
      <c r="BS16" s="286"/>
      <c r="BT16" s="286"/>
      <c r="BU16" s="286"/>
      <c r="BV16" s="286"/>
      <c r="BW16" s="286"/>
      <c r="BX16" s="286"/>
      <c r="BY16" s="286"/>
      <c r="BZ16" s="286"/>
      <c r="CA16" s="286"/>
      <c r="CB16" s="286"/>
      <c r="CC16" s="286"/>
      <c r="CD16" s="286"/>
      <c r="CE16" s="286"/>
      <c r="CF16" s="286"/>
      <c r="CG16" s="286"/>
      <c r="CH16" s="286"/>
      <c r="CI16" s="286"/>
      <c r="CJ16" s="286"/>
      <c r="CK16" s="286"/>
      <c r="CL16" s="286"/>
      <c r="CM16" s="286"/>
      <c r="CN16" s="286"/>
      <c r="CO16" s="286"/>
      <c r="CP16" s="286"/>
      <c r="CQ16" s="286"/>
      <c r="CR16" s="286"/>
      <c r="CS16" s="286"/>
      <c r="CT16" s="286"/>
      <c r="CU16" s="286"/>
      <c r="CV16" s="286"/>
      <c r="CW16" s="286"/>
      <c r="CX16" s="286"/>
      <c r="CY16" s="286"/>
      <c r="CZ16" s="286"/>
      <c r="DA16" s="286"/>
      <c r="DB16" s="286"/>
      <c r="DC16" s="286"/>
      <c r="DD16" s="286"/>
      <c r="DE16" s="286"/>
      <c r="DF16" s="286"/>
      <c r="DG16" s="286"/>
      <c r="DH16" s="286"/>
      <c r="DI16" s="286"/>
      <c r="DJ16" s="286"/>
      <c r="DK16" s="286"/>
      <c r="DL16" s="286"/>
      <c r="DM16" s="286"/>
      <c r="DN16" s="286"/>
      <c r="DO16" s="286"/>
      <c r="DP16" s="286"/>
      <c r="DQ16" s="286"/>
      <c r="DR16" s="286"/>
      <c r="DS16" s="286"/>
      <c r="DT16" s="286"/>
      <c r="DU16" s="286"/>
      <c r="DV16" s="286"/>
      <c r="DW16" s="286"/>
      <c r="DX16" s="286"/>
      <c r="DY16" s="286"/>
      <c r="DZ16" s="286"/>
      <c r="EA16" s="286"/>
      <c r="EB16" s="286"/>
      <c r="EC16" s="286"/>
      <c r="ED16" s="286"/>
      <c r="EE16" s="286"/>
      <c r="EF16" s="286"/>
      <c r="EG16" s="286"/>
      <c r="EH16" s="286"/>
      <c r="EI16" s="286"/>
      <c r="EJ16" s="286"/>
      <c r="EK16" s="286"/>
      <c r="EL16" s="286"/>
      <c r="EM16" s="286"/>
      <c r="EN16" s="286"/>
      <c r="EO16" s="286"/>
      <c r="EP16" s="286"/>
      <c r="EQ16" s="286"/>
      <c r="ER16" s="286"/>
      <c r="ES16" s="286"/>
      <c r="ET16" s="286"/>
      <c r="EU16" s="286"/>
      <c r="EV16" s="286"/>
      <c r="EW16" s="286"/>
      <c r="EX16" s="286"/>
      <c r="EY16" s="286"/>
      <c r="EZ16" s="286"/>
      <c r="FA16" s="286"/>
      <c r="FB16" s="286"/>
      <c r="FC16" s="286"/>
      <c r="FD16" s="286"/>
      <c r="FE16" s="286"/>
      <c r="FF16" s="286"/>
      <c r="FG16" s="286"/>
      <c r="FH16" s="286"/>
      <c r="FI16" s="286"/>
      <c r="FJ16" s="286"/>
      <c r="FK16" s="286"/>
      <c r="FL16" s="286"/>
      <c r="FM16" s="286"/>
      <c r="FN16" s="286"/>
      <c r="FO16" s="286"/>
      <c r="FP16" s="286"/>
      <c r="FQ16" s="286"/>
      <c r="FR16" s="286"/>
      <c r="FS16" s="286"/>
      <c r="FT16" s="286"/>
      <c r="FU16" s="286"/>
      <c r="FV16" s="286"/>
      <c r="FW16" s="286"/>
      <c r="FX16" s="286"/>
      <c r="FY16" s="286"/>
      <c r="FZ16" s="286"/>
      <c r="GA16" s="286"/>
      <c r="GB16" s="286"/>
      <c r="GC16" s="286"/>
      <c r="GD16" s="286"/>
      <c r="GE16" s="286"/>
      <c r="GF16" s="286"/>
      <c r="GG16" s="286"/>
      <c r="GH16" s="286"/>
      <c r="GI16" s="286"/>
      <c r="GJ16" s="286"/>
      <c r="GK16" s="286"/>
      <c r="GL16" s="286"/>
      <c r="GM16" s="286"/>
      <c r="GN16" s="286"/>
      <c r="GO16" s="286"/>
      <c r="GP16" s="286"/>
      <c r="GQ16" s="286"/>
      <c r="GR16" s="286"/>
      <c r="GS16" s="286"/>
      <c r="GT16" s="286"/>
      <c r="GU16" s="286"/>
      <c r="GV16" s="286"/>
      <c r="GW16" s="286"/>
      <c r="GX16" s="286"/>
      <c r="GY16" s="286"/>
      <c r="GZ16" s="286"/>
      <c r="HA16" s="286"/>
      <c r="HB16" s="286"/>
      <c r="HC16" s="286"/>
      <c r="HD16" s="286"/>
      <c r="HE16" s="286"/>
      <c r="HF16" s="286"/>
      <c r="HG16" s="286"/>
      <c r="HH16" s="286"/>
      <c r="HI16" s="286"/>
      <c r="HJ16" s="286"/>
      <c r="HK16" s="286"/>
      <c r="HL16" s="286"/>
      <c r="HM16" s="286"/>
      <c r="HN16" s="286"/>
      <c r="HO16" s="286"/>
      <c r="HP16" s="286"/>
      <c r="HQ16" s="286"/>
      <c r="HR16" s="286"/>
      <c r="HS16" s="286"/>
      <c r="HT16" s="286"/>
      <c r="HU16" s="286"/>
      <c r="HV16" s="286"/>
      <c r="HW16" s="286"/>
      <c r="HX16" s="286"/>
      <c r="HY16" s="286"/>
      <c r="HZ16" s="286"/>
      <c r="IA16" s="286"/>
      <c r="IB16" s="286"/>
      <c r="IC16" s="286"/>
      <c r="ID16" s="286"/>
      <c r="IE16" s="286"/>
      <c r="IF16" s="286"/>
      <c r="IG16" s="286"/>
      <c r="IH16" s="286"/>
      <c r="II16" s="286"/>
      <c r="IJ16" s="286"/>
      <c r="IK16" s="286"/>
      <c r="IL16" s="286"/>
      <c r="IM16" s="286"/>
      <c r="IN16" s="286"/>
      <c r="IO16" s="286"/>
      <c r="IP16" s="286"/>
      <c r="IQ16" s="286"/>
      <c r="IR16" s="286"/>
      <c r="IS16" s="286"/>
      <c r="IT16" s="286"/>
      <c r="IU16" s="286"/>
      <c r="IV16" s="286"/>
      <c r="IW16" s="286"/>
      <c r="IX16" s="286"/>
      <c r="IY16" s="286"/>
      <c r="IZ16" s="286"/>
      <c r="JA16" s="286"/>
      <c r="JB16" s="286"/>
      <c r="JC16" s="286"/>
      <c r="JD16" s="286"/>
      <c r="JE16" s="286"/>
      <c r="JF16" s="286"/>
      <c r="JG16" s="286"/>
      <c r="JH16" s="286"/>
      <c r="JI16" s="287">
        <f t="shared" si="0"/>
        <v>91518.64</v>
      </c>
      <c r="JJ16" s="315" t="s">
        <v>834</v>
      </c>
      <c r="JK16" s="288">
        <v>91518.64</v>
      </c>
      <c r="JL16" s="286">
        <f t="shared" si="1"/>
        <v>0</v>
      </c>
      <c r="JM16" s="286"/>
      <c r="JN16" s="289"/>
      <c r="JO16" s="286"/>
      <c r="JP16" s="286"/>
      <c r="AQT16" s="317"/>
    </row>
    <row r="17" spans="1:276 1138:1138" s="167" customFormat="1" ht="15.6" x14ac:dyDescent="0.3">
      <c r="A17" s="286"/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>
        <v>209797.69</v>
      </c>
      <c r="AR17" s="286"/>
      <c r="AS17" s="286"/>
      <c r="AT17" s="286"/>
      <c r="AU17" s="286"/>
      <c r="AV17" s="286"/>
      <c r="AW17" s="286"/>
      <c r="AX17" s="286"/>
      <c r="AY17" s="286"/>
      <c r="AZ17" s="286"/>
      <c r="BA17" s="286"/>
      <c r="BB17" s="286"/>
      <c r="BC17" s="286"/>
      <c r="BD17" s="286"/>
      <c r="BE17" s="286"/>
      <c r="BF17" s="286"/>
      <c r="BG17" s="286"/>
      <c r="BH17" s="286"/>
      <c r="BI17" s="286"/>
      <c r="BJ17" s="286"/>
      <c r="BK17" s="286"/>
      <c r="BL17" s="286"/>
      <c r="BM17" s="286"/>
      <c r="BN17" s="286"/>
      <c r="BO17" s="286"/>
      <c r="BP17" s="286"/>
      <c r="BQ17" s="286"/>
      <c r="BR17" s="286"/>
      <c r="BS17" s="286"/>
      <c r="BT17" s="286"/>
      <c r="BU17" s="286"/>
      <c r="BV17" s="286"/>
      <c r="BW17" s="286"/>
      <c r="BX17" s="286"/>
      <c r="BY17" s="286"/>
      <c r="BZ17" s="286"/>
      <c r="CA17" s="286"/>
      <c r="CB17" s="286"/>
      <c r="CC17" s="286"/>
      <c r="CD17" s="286"/>
      <c r="CE17" s="286"/>
      <c r="CF17" s="286"/>
      <c r="CG17" s="286"/>
      <c r="CH17" s="286"/>
      <c r="CI17" s="286"/>
      <c r="CJ17" s="286"/>
      <c r="CK17" s="286"/>
      <c r="CL17" s="286"/>
      <c r="CM17" s="286"/>
      <c r="CN17" s="286"/>
      <c r="CO17" s="286"/>
      <c r="CP17" s="286"/>
      <c r="CQ17" s="286"/>
      <c r="CR17" s="286"/>
      <c r="CS17" s="286"/>
      <c r="CT17" s="286"/>
      <c r="CU17" s="286"/>
      <c r="CV17" s="286"/>
      <c r="CW17" s="286"/>
      <c r="CX17" s="286"/>
      <c r="CY17" s="286"/>
      <c r="CZ17" s="286"/>
      <c r="DA17" s="286"/>
      <c r="DB17" s="286"/>
      <c r="DC17" s="286"/>
      <c r="DD17" s="286"/>
      <c r="DE17" s="291"/>
      <c r="DF17" s="286"/>
      <c r="DG17" s="286"/>
      <c r="DH17" s="286"/>
      <c r="DI17" s="286"/>
      <c r="DJ17" s="286"/>
      <c r="DK17" s="286"/>
      <c r="DL17" s="286"/>
      <c r="DM17" s="286"/>
      <c r="DN17" s="286"/>
      <c r="DO17" s="286"/>
      <c r="DP17" s="286"/>
      <c r="DQ17" s="286"/>
      <c r="DR17" s="286"/>
      <c r="DS17" s="286"/>
      <c r="DT17" s="286"/>
      <c r="DU17" s="286"/>
      <c r="DV17" s="286"/>
      <c r="DW17" s="286"/>
      <c r="DX17" s="286"/>
      <c r="DY17" s="286"/>
      <c r="DZ17" s="286"/>
      <c r="EA17" s="286"/>
      <c r="EB17" s="286"/>
      <c r="EC17" s="286"/>
      <c r="ED17" s="286"/>
      <c r="EE17" s="286"/>
      <c r="EF17" s="286"/>
      <c r="EG17" s="286"/>
      <c r="EH17" s="286"/>
      <c r="EI17" s="286"/>
      <c r="EJ17" s="286"/>
      <c r="EK17" s="286"/>
      <c r="EL17" s="286"/>
      <c r="EM17" s="286"/>
      <c r="EN17" s="286"/>
      <c r="EO17" s="286"/>
      <c r="EP17" s="286"/>
      <c r="EQ17" s="286"/>
      <c r="ER17" s="286"/>
      <c r="ES17" s="286"/>
      <c r="ET17" s="286"/>
      <c r="EU17" s="286"/>
      <c r="EV17" s="286"/>
      <c r="EW17" s="286"/>
      <c r="EX17" s="286"/>
      <c r="EY17" s="286"/>
      <c r="EZ17" s="286"/>
      <c r="FA17" s="286"/>
      <c r="FB17" s="286"/>
      <c r="FC17" s="286"/>
      <c r="FD17" s="286"/>
      <c r="FE17" s="286"/>
      <c r="FF17" s="286"/>
      <c r="FG17" s="286"/>
      <c r="FH17" s="286"/>
      <c r="FI17" s="286"/>
      <c r="FJ17" s="286"/>
      <c r="FK17" s="286"/>
      <c r="FL17" s="286"/>
      <c r="FM17" s="286"/>
      <c r="FN17" s="286"/>
      <c r="FO17" s="286"/>
      <c r="FP17" s="286"/>
      <c r="FQ17" s="286"/>
      <c r="FR17" s="286"/>
      <c r="FS17" s="286"/>
      <c r="FT17" s="286"/>
      <c r="FU17" s="286"/>
      <c r="FV17" s="286"/>
      <c r="FW17" s="286"/>
      <c r="FX17" s="286"/>
      <c r="FY17" s="286"/>
      <c r="FZ17" s="286"/>
      <c r="GA17" s="286"/>
      <c r="GB17" s="286"/>
      <c r="GC17" s="286"/>
      <c r="GD17" s="286"/>
      <c r="GE17" s="286"/>
      <c r="GF17" s="286"/>
      <c r="GG17" s="286"/>
      <c r="GH17" s="286"/>
      <c r="GI17" s="286"/>
      <c r="GJ17" s="286"/>
      <c r="GK17" s="286"/>
      <c r="GL17" s="286"/>
      <c r="GM17" s="286"/>
      <c r="GN17" s="286"/>
      <c r="GO17" s="286"/>
      <c r="GP17" s="286"/>
      <c r="GQ17" s="286"/>
      <c r="GR17" s="286"/>
      <c r="GS17" s="286"/>
      <c r="GT17" s="286"/>
      <c r="GU17" s="286"/>
      <c r="GV17" s="286"/>
      <c r="GW17" s="286"/>
      <c r="GX17" s="286"/>
      <c r="GY17" s="286"/>
      <c r="GZ17" s="286"/>
      <c r="HA17" s="286"/>
      <c r="HB17" s="286"/>
      <c r="HC17" s="286"/>
      <c r="HD17" s="286"/>
      <c r="HE17" s="286"/>
      <c r="HF17" s="286"/>
      <c r="HG17" s="286"/>
      <c r="HH17" s="286"/>
      <c r="HI17" s="286"/>
      <c r="HJ17" s="286"/>
      <c r="HK17" s="286"/>
      <c r="HL17" s="286"/>
      <c r="HM17" s="286"/>
      <c r="HN17" s="286"/>
      <c r="HO17" s="286"/>
      <c r="HP17" s="286"/>
      <c r="HQ17" s="286"/>
      <c r="HR17" s="286"/>
      <c r="HS17" s="286"/>
      <c r="HT17" s="286"/>
      <c r="HU17" s="286"/>
      <c r="HV17" s="286"/>
      <c r="HW17" s="286"/>
      <c r="HX17" s="286"/>
      <c r="HY17" s="286"/>
      <c r="HZ17" s="286"/>
      <c r="IA17" s="286"/>
      <c r="IB17" s="286"/>
      <c r="IC17" s="286"/>
      <c r="ID17" s="286"/>
      <c r="IE17" s="286"/>
      <c r="IF17" s="286"/>
      <c r="IG17" s="286"/>
      <c r="IH17" s="286"/>
      <c r="II17" s="286"/>
      <c r="IJ17" s="286"/>
      <c r="IK17" s="286"/>
      <c r="IL17" s="286"/>
      <c r="IM17" s="286"/>
      <c r="IN17" s="286"/>
      <c r="IO17" s="286"/>
      <c r="IP17" s="286"/>
      <c r="IQ17" s="286"/>
      <c r="IR17" s="286"/>
      <c r="IS17" s="286"/>
      <c r="IT17" s="286"/>
      <c r="IU17" s="286"/>
      <c r="IV17" s="286"/>
      <c r="IW17" s="286"/>
      <c r="IX17" s="286"/>
      <c r="IY17" s="286"/>
      <c r="IZ17" s="286"/>
      <c r="JA17" s="286"/>
      <c r="JB17" s="286"/>
      <c r="JC17" s="286"/>
      <c r="JD17" s="286"/>
      <c r="JE17" s="286"/>
      <c r="JF17" s="286"/>
      <c r="JG17" s="286"/>
      <c r="JH17" s="286"/>
      <c r="JI17" s="287">
        <f t="shared" si="0"/>
        <v>209797.69</v>
      </c>
      <c r="JJ17" s="315" t="s">
        <v>835</v>
      </c>
      <c r="JK17" s="288">
        <v>209797.69</v>
      </c>
      <c r="JL17" s="286">
        <f t="shared" si="1"/>
        <v>0</v>
      </c>
      <c r="JM17" s="286"/>
      <c r="JN17" s="289"/>
      <c r="JO17" s="286"/>
      <c r="JP17" s="286"/>
      <c r="AQT17" s="317"/>
    </row>
    <row r="18" spans="1:276 1138:1138" s="167" customFormat="1" ht="15.6" x14ac:dyDescent="0.3">
      <c r="A18" s="286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6"/>
      <c r="BD18" s="286"/>
      <c r="BE18" s="286"/>
      <c r="BF18" s="286"/>
      <c r="BG18" s="286"/>
      <c r="BH18" s="286"/>
      <c r="BI18" s="286"/>
      <c r="BJ18" s="286"/>
      <c r="BK18" s="286"/>
      <c r="BL18" s="286"/>
      <c r="BM18" s="286"/>
      <c r="BN18" s="286"/>
      <c r="BO18" s="286"/>
      <c r="BP18" s="286"/>
      <c r="BQ18" s="286"/>
      <c r="BR18" s="286"/>
      <c r="BS18" s="286"/>
      <c r="BT18" s="286"/>
      <c r="BU18" s="286"/>
      <c r="BV18" s="286"/>
      <c r="BW18" s="286"/>
      <c r="BX18" s="286"/>
      <c r="BY18" s="286"/>
      <c r="BZ18" s="286"/>
      <c r="CA18" s="286"/>
      <c r="CB18" s="286"/>
      <c r="CC18" s="286"/>
      <c r="CD18" s="286"/>
      <c r="CE18" s="286"/>
      <c r="CF18" s="286"/>
      <c r="CG18" s="286"/>
      <c r="CH18" s="286"/>
      <c r="CI18" s="286"/>
      <c r="CJ18" s="286"/>
      <c r="CK18" s="286"/>
      <c r="CL18" s="286"/>
      <c r="CM18" s="286"/>
      <c r="CN18" s="286"/>
      <c r="CO18" s="286"/>
      <c r="CP18" s="286"/>
      <c r="CQ18" s="286"/>
      <c r="CR18" s="286"/>
      <c r="CS18" s="286"/>
      <c r="CT18" s="286"/>
      <c r="CU18" s="286"/>
      <c r="CV18" s="286"/>
      <c r="CW18" s="286"/>
      <c r="CX18" s="286"/>
      <c r="CY18" s="286"/>
      <c r="CZ18" s="286"/>
      <c r="DA18" s="286"/>
      <c r="DB18" s="286"/>
      <c r="DC18" s="286"/>
      <c r="DD18" s="286"/>
      <c r="DE18" s="286"/>
      <c r="DF18" s="286"/>
      <c r="DG18" s="286"/>
      <c r="DH18" s="286"/>
      <c r="DI18" s="286"/>
      <c r="DJ18" s="286"/>
      <c r="DK18" s="286"/>
      <c r="DL18" s="286"/>
      <c r="DM18" s="286"/>
      <c r="DN18" s="286"/>
      <c r="DO18" s="286"/>
      <c r="DP18" s="286"/>
      <c r="DQ18" s="286"/>
      <c r="DR18" s="286"/>
      <c r="DS18" s="286"/>
      <c r="DT18" s="286"/>
      <c r="DU18" s="286"/>
      <c r="DV18" s="286"/>
      <c r="DW18" s="286">
        <v>29500</v>
      </c>
      <c r="DX18" s="286"/>
      <c r="DY18" s="286"/>
      <c r="DZ18" s="286"/>
      <c r="EA18" s="286"/>
      <c r="EB18" s="286"/>
      <c r="EC18" s="286"/>
      <c r="ED18" s="286"/>
      <c r="EE18" s="286"/>
      <c r="EF18" s="286"/>
      <c r="EG18" s="286"/>
      <c r="EH18" s="286"/>
      <c r="EI18" s="286"/>
      <c r="EJ18" s="286"/>
      <c r="EK18" s="286"/>
      <c r="EL18" s="286"/>
      <c r="EM18" s="286"/>
      <c r="EN18" s="286"/>
      <c r="EO18" s="286"/>
      <c r="EP18" s="286"/>
      <c r="EQ18" s="286"/>
      <c r="ER18" s="286"/>
      <c r="ES18" s="286"/>
      <c r="ET18" s="286"/>
      <c r="EU18" s="286"/>
      <c r="EV18" s="286"/>
      <c r="EW18" s="286"/>
      <c r="EX18" s="286"/>
      <c r="EY18" s="286"/>
      <c r="EZ18" s="286"/>
      <c r="FA18" s="286"/>
      <c r="FB18" s="286"/>
      <c r="FC18" s="286"/>
      <c r="FD18" s="286"/>
      <c r="FE18" s="286"/>
      <c r="FF18" s="286"/>
      <c r="FG18" s="286"/>
      <c r="FH18" s="286"/>
      <c r="FI18" s="286"/>
      <c r="FJ18" s="286"/>
      <c r="FK18" s="286"/>
      <c r="FL18" s="286"/>
      <c r="FM18" s="286"/>
      <c r="FN18" s="286"/>
      <c r="FO18" s="286"/>
      <c r="FP18" s="286"/>
      <c r="FQ18" s="286"/>
      <c r="FR18" s="286"/>
      <c r="FS18" s="286"/>
      <c r="FT18" s="286"/>
      <c r="FU18" s="286"/>
      <c r="FV18" s="286"/>
      <c r="FW18" s="286"/>
      <c r="FX18" s="286"/>
      <c r="FY18" s="286"/>
      <c r="FZ18" s="286"/>
      <c r="GA18" s="286"/>
      <c r="GB18" s="286"/>
      <c r="GC18" s="286"/>
      <c r="GD18" s="286"/>
      <c r="GE18" s="286"/>
      <c r="GF18" s="286"/>
      <c r="GG18" s="286"/>
      <c r="GH18" s="286"/>
      <c r="GI18" s="286"/>
      <c r="GJ18" s="286"/>
      <c r="GK18" s="286"/>
      <c r="GL18" s="286"/>
      <c r="GM18" s="286"/>
      <c r="GN18" s="286"/>
      <c r="GO18" s="286"/>
      <c r="GP18" s="286"/>
      <c r="GQ18" s="286"/>
      <c r="GR18" s="286"/>
      <c r="GS18" s="286"/>
      <c r="GT18" s="286"/>
      <c r="GU18" s="286"/>
      <c r="GV18" s="286"/>
      <c r="GW18" s="286"/>
      <c r="GX18" s="286"/>
      <c r="GY18" s="286"/>
      <c r="GZ18" s="286"/>
      <c r="HA18" s="286"/>
      <c r="HB18" s="286"/>
      <c r="HC18" s="286"/>
      <c r="HD18" s="286"/>
      <c r="HE18" s="286"/>
      <c r="HF18" s="286"/>
      <c r="HG18" s="286"/>
      <c r="HH18" s="286"/>
      <c r="HI18" s="286"/>
      <c r="HJ18" s="286"/>
      <c r="HK18" s="286"/>
      <c r="HL18" s="286"/>
      <c r="HM18" s="286"/>
      <c r="HN18" s="286"/>
      <c r="HO18" s="286"/>
      <c r="HP18" s="286"/>
      <c r="HQ18" s="286"/>
      <c r="HR18" s="286"/>
      <c r="HS18" s="286"/>
      <c r="HT18" s="286"/>
      <c r="HU18" s="286"/>
      <c r="HV18" s="286"/>
      <c r="HW18" s="286"/>
      <c r="HX18" s="286"/>
      <c r="HY18" s="286"/>
      <c r="HZ18" s="286"/>
      <c r="IA18" s="286"/>
      <c r="IB18" s="286"/>
      <c r="IC18" s="286"/>
      <c r="ID18" s="286"/>
      <c r="IE18" s="286"/>
      <c r="IF18" s="286"/>
      <c r="IG18" s="286"/>
      <c r="IH18" s="286"/>
      <c r="II18" s="286"/>
      <c r="IJ18" s="286"/>
      <c r="IK18" s="286"/>
      <c r="IL18" s="286"/>
      <c r="IM18" s="286"/>
      <c r="IN18" s="286"/>
      <c r="IO18" s="286"/>
      <c r="IP18" s="286"/>
      <c r="IQ18" s="286"/>
      <c r="IR18" s="286"/>
      <c r="IS18" s="286"/>
      <c r="IT18" s="286"/>
      <c r="IU18" s="286"/>
      <c r="IV18" s="286"/>
      <c r="IW18" s="286"/>
      <c r="IX18" s="286"/>
      <c r="IY18" s="286"/>
      <c r="IZ18" s="286"/>
      <c r="JA18" s="286"/>
      <c r="JB18" s="286"/>
      <c r="JC18" s="286"/>
      <c r="JD18" s="286"/>
      <c r="JE18" s="286"/>
      <c r="JF18" s="286"/>
      <c r="JG18" s="286"/>
      <c r="JH18" s="286"/>
      <c r="JI18" s="287">
        <f t="shared" si="0"/>
        <v>29500</v>
      </c>
      <c r="JJ18" s="315" t="s">
        <v>836</v>
      </c>
      <c r="JK18" s="288">
        <v>28250</v>
      </c>
      <c r="JL18" s="286">
        <f t="shared" si="1"/>
        <v>1250</v>
      </c>
      <c r="JM18" s="286"/>
      <c r="JN18" s="289"/>
      <c r="JO18" s="286"/>
      <c r="JP18" s="286"/>
      <c r="AQT18" s="317"/>
    </row>
    <row r="19" spans="1:276 1138:1138" s="167" customFormat="1" ht="15.6" x14ac:dyDescent="0.3">
      <c r="A19" s="286"/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>
        <v>56050</v>
      </c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  <c r="IW19" s="286"/>
      <c r="IX19" s="286"/>
      <c r="IY19" s="286"/>
      <c r="IZ19" s="286"/>
      <c r="JA19" s="286"/>
      <c r="JB19" s="286"/>
      <c r="JC19" s="286"/>
      <c r="JD19" s="286"/>
      <c r="JE19" s="286"/>
      <c r="JF19" s="286"/>
      <c r="JG19" s="286"/>
      <c r="JH19" s="286"/>
      <c r="JI19" s="287">
        <f t="shared" si="0"/>
        <v>56050</v>
      </c>
      <c r="JJ19" s="315" t="s">
        <v>837</v>
      </c>
      <c r="JK19" s="288">
        <v>53675</v>
      </c>
      <c r="JL19" s="286">
        <f t="shared" si="1"/>
        <v>2375</v>
      </c>
      <c r="JN19" s="289"/>
      <c r="JO19" s="286"/>
      <c r="JP19" s="286"/>
      <c r="AQT19" s="317"/>
    </row>
    <row r="20" spans="1:276 1138:1138" s="167" customFormat="1" ht="15.6" x14ac:dyDescent="0.3">
      <c r="A20" s="286"/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6"/>
      <c r="BD20" s="286"/>
      <c r="BE20" s="286"/>
      <c r="BF20" s="286"/>
      <c r="BG20" s="286"/>
      <c r="BH20" s="286"/>
      <c r="BI20" s="286"/>
      <c r="BJ20" s="286"/>
      <c r="BK20" s="286"/>
      <c r="BL20" s="286"/>
      <c r="BM20" s="286"/>
      <c r="BN20" s="286"/>
      <c r="BO20" s="286"/>
      <c r="BP20" s="286"/>
      <c r="BQ20" s="286"/>
      <c r="BR20" s="286"/>
      <c r="BS20" s="286"/>
      <c r="BT20" s="286"/>
      <c r="BU20" s="286"/>
      <c r="BV20" s="286"/>
      <c r="BW20" s="286"/>
      <c r="BX20" s="286"/>
      <c r="BY20" s="286"/>
      <c r="BZ20" s="286"/>
      <c r="CA20" s="286"/>
      <c r="CB20" s="286"/>
      <c r="CC20" s="286"/>
      <c r="CD20" s="286"/>
      <c r="CE20" s="286"/>
      <c r="CF20" s="286"/>
      <c r="CG20" s="286"/>
      <c r="CH20" s="286"/>
      <c r="CI20" s="286"/>
      <c r="CJ20" s="286"/>
      <c r="CK20" s="286"/>
      <c r="CL20" s="286"/>
      <c r="CM20" s="286"/>
      <c r="CN20" s="286"/>
      <c r="CO20" s="286"/>
      <c r="CP20" s="286"/>
      <c r="CQ20" s="286"/>
      <c r="CR20" s="286"/>
      <c r="CS20" s="286"/>
      <c r="CT20" s="286"/>
      <c r="CU20" s="286"/>
      <c r="CV20" s="286"/>
      <c r="CW20" s="286"/>
      <c r="CX20" s="286"/>
      <c r="CY20" s="286"/>
      <c r="CZ20" s="286"/>
      <c r="DA20" s="286"/>
      <c r="DB20" s="286"/>
      <c r="DC20" s="286"/>
      <c r="DD20" s="286"/>
      <c r="DE20" s="286"/>
      <c r="DF20" s="286"/>
      <c r="DG20" s="286"/>
      <c r="DH20" s="286"/>
      <c r="DI20" s="286"/>
      <c r="DJ20" s="286"/>
      <c r="DK20" s="286"/>
      <c r="DL20" s="286"/>
      <c r="DM20" s="286"/>
      <c r="DN20" s="286"/>
      <c r="DO20" s="286"/>
      <c r="DP20" s="286"/>
      <c r="DQ20" s="286"/>
      <c r="DR20" s="286"/>
      <c r="DS20" s="286"/>
      <c r="DT20" s="286"/>
      <c r="DU20" s="286"/>
      <c r="DV20" s="286"/>
      <c r="DW20" s="286"/>
      <c r="DX20" s="286"/>
      <c r="DY20" s="286"/>
      <c r="DZ20" s="286"/>
      <c r="EA20" s="286"/>
      <c r="EB20" s="286"/>
      <c r="EC20" s="286"/>
      <c r="ED20" s="286"/>
      <c r="EE20" s="286"/>
      <c r="EF20" s="286"/>
      <c r="EG20" s="286"/>
      <c r="EH20" s="286"/>
      <c r="EI20" s="286"/>
      <c r="EJ20" s="286"/>
      <c r="EK20" s="286"/>
      <c r="EL20" s="286"/>
      <c r="EM20" s="286"/>
      <c r="EN20" s="286"/>
      <c r="EO20" s="286"/>
      <c r="EP20" s="286"/>
      <c r="EQ20" s="286"/>
      <c r="ER20" s="286"/>
      <c r="ES20" s="286"/>
      <c r="ET20" s="286"/>
      <c r="EU20" s="286"/>
      <c r="EV20" s="286"/>
      <c r="EW20" s="286"/>
      <c r="EX20" s="286"/>
      <c r="EY20" s="286"/>
      <c r="EZ20" s="286"/>
      <c r="FA20" s="286"/>
      <c r="FB20" s="286"/>
      <c r="FC20" s="286"/>
      <c r="FD20" s="286"/>
      <c r="FE20" s="286"/>
      <c r="FF20" s="286"/>
      <c r="FG20" s="286"/>
      <c r="FH20" s="286"/>
      <c r="FI20" s="286"/>
      <c r="FJ20" s="286"/>
      <c r="FK20" s="286"/>
      <c r="FL20" s="286"/>
      <c r="FM20" s="286"/>
      <c r="FN20" s="286"/>
      <c r="FO20" s="286"/>
      <c r="FP20" s="286"/>
      <c r="FQ20" s="286"/>
      <c r="FR20" s="286"/>
      <c r="FS20" s="286"/>
      <c r="FT20" s="286">
        <v>684400</v>
      </c>
      <c r="FU20" s="286"/>
      <c r="FV20" s="286"/>
      <c r="FW20" s="286"/>
      <c r="FX20" s="286"/>
      <c r="FY20" s="286"/>
      <c r="FZ20" s="286"/>
      <c r="GA20" s="286"/>
      <c r="GB20" s="286"/>
      <c r="GC20" s="286"/>
      <c r="GD20" s="286"/>
      <c r="GE20" s="286"/>
      <c r="GF20" s="286"/>
      <c r="GG20" s="286"/>
      <c r="GH20" s="286"/>
      <c r="GI20" s="286"/>
      <c r="GJ20" s="286"/>
      <c r="GK20" s="286"/>
      <c r="GL20" s="286"/>
      <c r="GM20" s="286"/>
      <c r="GN20" s="286"/>
      <c r="GO20" s="286"/>
      <c r="GP20" s="286"/>
      <c r="GQ20" s="286"/>
      <c r="GR20" s="286"/>
      <c r="GS20" s="286"/>
      <c r="GT20" s="286"/>
      <c r="GU20" s="286"/>
      <c r="GV20" s="286"/>
      <c r="GW20" s="286"/>
      <c r="GX20" s="286"/>
      <c r="GY20" s="286"/>
      <c r="GZ20" s="286"/>
      <c r="HA20" s="286"/>
      <c r="HB20" s="286"/>
      <c r="HC20" s="286"/>
      <c r="HD20" s="286"/>
      <c r="HE20" s="286"/>
      <c r="HF20" s="286"/>
      <c r="HG20" s="286"/>
      <c r="HH20" s="286"/>
      <c r="HI20" s="286"/>
      <c r="HJ20" s="286"/>
      <c r="HK20" s="286"/>
      <c r="HL20" s="286"/>
      <c r="HM20" s="286"/>
      <c r="HN20" s="286"/>
      <c r="HO20" s="286"/>
      <c r="HP20" s="286"/>
      <c r="HQ20" s="286"/>
      <c r="HR20" s="286"/>
      <c r="HS20" s="286"/>
      <c r="HT20" s="286"/>
      <c r="HU20" s="286"/>
      <c r="HV20" s="286"/>
      <c r="HW20" s="286"/>
      <c r="HX20" s="286"/>
      <c r="HY20" s="286"/>
      <c r="HZ20" s="286"/>
      <c r="IA20" s="286"/>
      <c r="IB20" s="286"/>
      <c r="IC20" s="286"/>
      <c r="ID20" s="286"/>
      <c r="IE20" s="286"/>
      <c r="IF20" s="286"/>
      <c r="IG20" s="286"/>
      <c r="IH20" s="286"/>
      <c r="II20" s="286"/>
      <c r="IJ20" s="286"/>
      <c r="IK20" s="286"/>
      <c r="IL20" s="286"/>
      <c r="IM20" s="286"/>
      <c r="IN20" s="286"/>
      <c r="IO20" s="286"/>
      <c r="IP20" s="286"/>
      <c r="IQ20" s="286"/>
      <c r="IR20" s="286"/>
      <c r="IS20" s="286"/>
      <c r="IT20" s="286"/>
      <c r="IU20" s="286"/>
      <c r="IV20" s="286"/>
      <c r="IW20" s="286"/>
      <c r="IX20" s="286"/>
      <c r="IY20" s="286"/>
      <c r="IZ20" s="286"/>
      <c r="JA20" s="286"/>
      <c r="JB20" s="286"/>
      <c r="JC20" s="286"/>
      <c r="JD20" s="286"/>
      <c r="JE20" s="286"/>
      <c r="JF20" s="286"/>
      <c r="JG20" s="286"/>
      <c r="JH20" s="286"/>
      <c r="JI20" s="287">
        <f t="shared" si="0"/>
        <v>684400</v>
      </c>
      <c r="JJ20" s="315" t="s">
        <v>838</v>
      </c>
      <c r="JK20" s="288">
        <v>655400</v>
      </c>
      <c r="JL20" s="286">
        <f t="shared" si="1"/>
        <v>29000</v>
      </c>
      <c r="JN20" s="289"/>
      <c r="JO20" s="286"/>
      <c r="JP20" s="286"/>
      <c r="AQT20" s="317"/>
    </row>
    <row r="21" spans="1:276 1138:1138" s="167" customFormat="1" ht="15.6" x14ac:dyDescent="0.3">
      <c r="A21" s="286"/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E21" s="286"/>
      <c r="BF21" s="286"/>
      <c r="BG21" s="286"/>
      <c r="BH21" s="286"/>
      <c r="BI21" s="286"/>
      <c r="BJ21" s="286"/>
      <c r="BK21" s="286"/>
      <c r="BL21" s="286"/>
      <c r="BM21" s="286"/>
      <c r="BN21" s="286"/>
      <c r="BO21" s="286"/>
      <c r="BP21" s="286"/>
      <c r="BQ21" s="286"/>
      <c r="BR21" s="286"/>
      <c r="BS21" s="286"/>
      <c r="BT21" s="286"/>
      <c r="BU21" s="286"/>
      <c r="BV21" s="286"/>
      <c r="BW21" s="286"/>
      <c r="BX21" s="286"/>
      <c r="BY21" s="286"/>
      <c r="BZ21" s="286"/>
      <c r="CA21" s="286"/>
      <c r="CB21" s="286"/>
      <c r="CC21" s="286"/>
      <c r="CD21" s="286"/>
      <c r="CE21" s="286"/>
      <c r="CF21" s="286"/>
      <c r="CG21" s="286"/>
      <c r="CH21" s="286"/>
      <c r="CI21" s="286"/>
      <c r="CJ21" s="286"/>
      <c r="CK21" s="286"/>
      <c r="CL21" s="286"/>
      <c r="CM21" s="286"/>
      <c r="CN21" s="286"/>
      <c r="CO21" s="286"/>
      <c r="CP21" s="286"/>
      <c r="CQ21" s="286"/>
      <c r="CR21" s="286"/>
      <c r="CS21" s="286"/>
      <c r="CT21" s="286"/>
      <c r="CU21" s="286">
        <v>10148</v>
      </c>
      <c r="CV21" s="286"/>
      <c r="CW21" s="286"/>
      <c r="CX21" s="286"/>
      <c r="CY21" s="286"/>
      <c r="CZ21" s="286"/>
      <c r="DA21" s="286"/>
      <c r="DB21" s="286"/>
      <c r="DC21" s="286"/>
      <c r="DD21" s="286"/>
      <c r="DE21" s="286"/>
      <c r="DF21" s="286"/>
      <c r="DG21" s="286"/>
      <c r="DH21" s="286"/>
      <c r="DI21" s="286"/>
      <c r="DJ21" s="286"/>
      <c r="DK21" s="286"/>
      <c r="DL21" s="286"/>
      <c r="DM21" s="286"/>
      <c r="DN21" s="286"/>
      <c r="DO21" s="286"/>
      <c r="DP21" s="286"/>
      <c r="DQ21" s="286"/>
      <c r="DR21" s="286"/>
      <c r="DS21" s="286"/>
      <c r="DT21" s="286"/>
      <c r="DU21" s="286"/>
      <c r="DV21" s="286"/>
      <c r="DW21" s="286"/>
      <c r="DX21" s="286"/>
      <c r="DY21" s="286"/>
      <c r="DZ21" s="286"/>
      <c r="EA21" s="286"/>
      <c r="EB21" s="286"/>
      <c r="EC21" s="286"/>
      <c r="ED21" s="286"/>
      <c r="EE21" s="286"/>
      <c r="EF21" s="286"/>
      <c r="EG21" s="286"/>
      <c r="EH21" s="286"/>
      <c r="EI21" s="286"/>
      <c r="EJ21" s="286"/>
      <c r="EK21" s="286"/>
      <c r="EL21" s="286"/>
      <c r="EM21" s="286"/>
      <c r="EN21" s="286"/>
      <c r="EO21" s="286"/>
      <c r="EP21" s="286"/>
      <c r="EQ21" s="286"/>
      <c r="ER21" s="286"/>
      <c r="ES21" s="286"/>
      <c r="ET21" s="286"/>
      <c r="EU21" s="286"/>
      <c r="EV21" s="286"/>
      <c r="EW21" s="286"/>
      <c r="EX21" s="286"/>
      <c r="EY21" s="286"/>
      <c r="EZ21" s="286"/>
      <c r="FA21" s="286"/>
      <c r="FB21" s="286"/>
      <c r="FC21" s="286"/>
      <c r="FD21" s="286"/>
      <c r="FE21" s="286"/>
      <c r="FF21" s="286"/>
      <c r="FG21" s="286"/>
      <c r="FH21" s="286"/>
      <c r="FI21" s="286"/>
      <c r="FJ21" s="286"/>
      <c r="FK21" s="286"/>
      <c r="FL21" s="286"/>
      <c r="FM21" s="286"/>
      <c r="FN21" s="286"/>
      <c r="FO21" s="286"/>
      <c r="FP21" s="286"/>
      <c r="FQ21" s="286"/>
      <c r="FR21" s="286"/>
      <c r="FS21" s="286"/>
      <c r="FT21" s="286"/>
      <c r="FU21" s="286"/>
      <c r="FV21" s="286"/>
      <c r="FW21" s="286"/>
      <c r="FX21" s="286"/>
      <c r="FY21" s="286"/>
      <c r="FZ21" s="286"/>
      <c r="GA21" s="286"/>
      <c r="GB21" s="286"/>
      <c r="GC21" s="286"/>
      <c r="GD21" s="286"/>
      <c r="GE21" s="286"/>
      <c r="GF21" s="286"/>
      <c r="GG21" s="286"/>
      <c r="GH21" s="286"/>
      <c r="GI21" s="286"/>
      <c r="GJ21" s="286"/>
      <c r="GK21" s="286"/>
      <c r="GL21" s="286"/>
      <c r="GM21" s="286"/>
      <c r="GN21" s="286"/>
      <c r="GO21" s="286"/>
      <c r="GP21" s="286"/>
      <c r="GQ21" s="286"/>
      <c r="GR21" s="286"/>
      <c r="GS21" s="286"/>
      <c r="GT21" s="286"/>
      <c r="GU21" s="286"/>
      <c r="GV21" s="286"/>
      <c r="GW21" s="286"/>
      <c r="GX21" s="286"/>
      <c r="GY21" s="286"/>
      <c r="GZ21" s="286"/>
      <c r="HA21" s="286"/>
      <c r="HB21" s="286"/>
      <c r="HC21" s="286"/>
      <c r="HD21" s="286"/>
      <c r="HE21" s="286"/>
      <c r="HF21" s="286"/>
      <c r="HG21" s="286"/>
      <c r="HH21" s="286"/>
      <c r="HI21" s="286"/>
      <c r="HJ21" s="286"/>
      <c r="HK21" s="286"/>
      <c r="HL21" s="286"/>
      <c r="HM21" s="286"/>
      <c r="HN21" s="286"/>
      <c r="HO21" s="286"/>
      <c r="HP21" s="286"/>
      <c r="HQ21" s="286"/>
      <c r="HR21" s="286"/>
      <c r="HS21" s="286"/>
      <c r="HT21" s="286"/>
      <c r="HU21" s="286"/>
      <c r="HV21" s="286"/>
      <c r="HW21" s="286"/>
      <c r="HX21" s="286"/>
      <c r="HY21" s="286"/>
      <c r="HZ21" s="286"/>
      <c r="IA21" s="286"/>
      <c r="IB21" s="286"/>
      <c r="IC21" s="286"/>
      <c r="ID21" s="286"/>
      <c r="IE21" s="286"/>
      <c r="IF21" s="286"/>
      <c r="IG21" s="286"/>
      <c r="IH21" s="286"/>
      <c r="II21" s="286"/>
      <c r="IJ21" s="286"/>
      <c r="IK21" s="286"/>
      <c r="IL21" s="286"/>
      <c r="IM21" s="286"/>
      <c r="IN21" s="286"/>
      <c r="IO21" s="286"/>
      <c r="IP21" s="286"/>
      <c r="IQ21" s="286"/>
      <c r="IR21" s="286"/>
      <c r="IS21" s="286"/>
      <c r="IT21" s="286"/>
      <c r="IU21" s="286"/>
      <c r="IV21" s="286"/>
      <c r="IW21" s="286"/>
      <c r="IX21" s="286"/>
      <c r="IY21" s="286"/>
      <c r="IZ21" s="286"/>
      <c r="JA21" s="286"/>
      <c r="JB21" s="286"/>
      <c r="JC21" s="286"/>
      <c r="JD21" s="286"/>
      <c r="JE21" s="286"/>
      <c r="JF21" s="286"/>
      <c r="JG21" s="286"/>
      <c r="JH21" s="286"/>
      <c r="JI21" s="287">
        <f t="shared" si="0"/>
        <v>10148</v>
      </c>
      <c r="JJ21" s="315" t="s">
        <v>839</v>
      </c>
      <c r="JK21" s="288">
        <v>9718</v>
      </c>
      <c r="JL21" s="286">
        <f t="shared" si="1"/>
        <v>430</v>
      </c>
      <c r="JM21" s="286"/>
      <c r="JN21" s="289"/>
      <c r="JO21" s="286"/>
      <c r="JP21" s="286"/>
      <c r="AQT21" s="317"/>
    </row>
    <row r="22" spans="1:276 1138:1138" s="167" customFormat="1" ht="15.6" x14ac:dyDescent="0.3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6"/>
      <c r="BD22" s="286"/>
      <c r="BE22" s="286"/>
      <c r="BF22" s="286"/>
      <c r="BG22" s="286"/>
      <c r="BH22" s="286"/>
      <c r="BI22" s="286"/>
      <c r="BJ22" s="286"/>
      <c r="BK22" s="286"/>
      <c r="BL22" s="286"/>
      <c r="BM22" s="286"/>
      <c r="BN22" s="286"/>
      <c r="BO22" s="286"/>
      <c r="BP22" s="286"/>
      <c r="BQ22" s="286"/>
      <c r="BR22" s="286"/>
      <c r="BS22" s="286"/>
      <c r="BT22" s="286"/>
      <c r="BU22" s="286"/>
      <c r="BV22" s="286"/>
      <c r="BW22" s="286"/>
      <c r="BX22" s="286"/>
      <c r="BY22" s="286"/>
      <c r="BZ22" s="286"/>
      <c r="CA22" s="286"/>
      <c r="CB22" s="286"/>
      <c r="CC22" s="286"/>
      <c r="CD22" s="286"/>
      <c r="CE22" s="286"/>
      <c r="CF22" s="286"/>
      <c r="CG22" s="286"/>
      <c r="CH22" s="286"/>
      <c r="CI22" s="286"/>
      <c r="CJ22" s="286"/>
      <c r="CK22" s="286"/>
      <c r="CL22" s="286"/>
      <c r="CM22" s="286"/>
      <c r="CN22" s="286"/>
      <c r="CO22" s="286"/>
      <c r="CP22" s="286"/>
      <c r="CQ22" s="286"/>
      <c r="CR22" s="286"/>
      <c r="CS22" s="286"/>
      <c r="CT22" s="286"/>
      <c r="CU22" s="286"/>
      <c r="CV22" s="286"/>
      <c r="CW22" s="286"/>
      <c r="CX22" s="286"/>
      <c r="CY22" s="286"/>
      <c r="CZ22" s="286"/>
      <c r="DA22" s="286"/>
      <c r="DB22" s="286"/>
      <c r="DC22" s="286"/>
      <c r="DD22" s="286"/>
      <c r="DE22" s="286"/>
      <c r="DF22" s="286"/>
      <c r="DG22" s="286"/>
      <c r="DH22" s="286"/>
      <c r="DI22" s="286"/>
      <c r="DJ22" s="286"/>
      <c r="DK22" s="286"/>
      <c r="DL22" s="286"/>
      <c r="DM22" s="286"/>
      <c r="DN22" s="286"/>
      <c r="DO22" s="286"/>
      <c r="DP22" s="286"/>
      <c r="DQ22" s="286"/>
      <c r="DR22" s="286"/>
      <c r="DS22" s="286"/>
      <c r="DT22" s="286"/>
      <c r="DU22" s="286"/>
      <c r="DV22" s="286"/>
      <c r="DW22" s="286"/>
      <c r="DX22" s="286"/>
      <c r="DY22" s="286"/>
      <c r="DZ22" s="286"/>
      <c r="EA22" s="286"/>
      <c r="EB22" s="286"/>
      <c r="EC22" s="286"/>
      <c r="ED22" s="286"/>
      <c r="EE22" s="286"/>
      <c r="EF22" s="286"/>
      <c r="EG22" s="286"/>
      <c r="EH22" s="286"/>
      <c r="EI22" s="286"/>
      <c r="EJ22" s="286"/>
      <c r="EK22" s="286"/>
      <c r="EL22" s="286"/>
      <c r="EM22" s="286"/>
      <c r="EN22" s="286"/>
      <c r="EO22" s="286"/>
      <c r="EP22" s="286"/>
      <c r="EQ22" s="286"/>
      <c r="ER22" s="286"/>
      <c r="ES22" s="286"/>
      <c r="ET22" s="286"/>
      <c r="EU22" s="286"/>
      <c r="EV22" s="286"/>
      <c r="EW22" s="286"/>
      <c r="EX22" s="286"/>
      <c r="EY22" s="286"/>
      <c r="EZ22" s="286"/>
      <c r="FA22" s="286">
        <v>172000</v>
      </c>
      <c r="FB22" s="286"/>
      <c r="FC22" s="286"/>
      <c r="FD22" s="286"/>
      <c r="FE22" s="286"/>
      <c r="FF22" s="286"/>
      <c r="FG22" s="286"/>
      <c r="FH22" s="286"/>
      <c r="FI22" s="286"/>
      <c r="FJ22" s="286"/>
      <c r="FK22" s="286"/>
      <c r="FL22" s="286"/>
      <c r="FM22" s="286"/>
      <c r="FN22" s="286"/>
      <c r="FO22" s="286"/>
      <c r="FP22" s="286"/>
      <c r="FQ22" s="286"/>
      <c r="FR22" s="286"/>
      <c r="FS22" s="286"/>
      <c r="FT22" s="286"/>
      <c r="FU22" s="286"/>
      <c r="FV22" s="286"/>
      <c r="FW22" s="286"/>
      <c r="FX22" s="286"/>
      <c r="FY22" s="286"/>
      <c r="FZ22" s="286"/>
      <c r="GA22" s="286"/>
      <c r="GB22" s="286"/>
      <c r="GC22" s="286"/>
      <c r="GD22" s="286"/>
      <c r="GE22" s="286"/>
      <c r="GF22" s="286"/>
      <c r="GG22" s="286"/>
      <c r="GH22" s="286"/>
      <c r="GI22" s="286"/>
      <c r="GJ22" s="286"/>
      <c r="GK22" s="286"/>
      <c r="GL22" s="286"/>
      <c r="GM22" s="286"/>
      <c r="GN22" s="286"/>
      <c r="GO22" s="286"/>
      <c r="GP22" s="286"/>
      <c r="GQ22" s="286"/>
      <c r="GR22" s="286"/>
      <c r="GS22" s="286"/>
      <c r="GT22" s="286"/>
      <c r="GU22" s="286"/>
      <c r="GV22" s="286"/>
      <c r="GW22" s="286"/>
      <c r="GX22" s="286"/>
      <c r="GY22" s="286"/>
      <c r="GZ22" s="286"/>
      <c r="HA22" s="286"/>
      <c r="HB22" s="286"/>
      <c r="HC22" s="286"/>
      <c r="HD22" s="286"/>
      <c r="HE22" s="286"/>
      <c r="HF22" s="286"/>
      <c r="HG22" s="286"/>
      <c r="HH22" s="286"/>
      <c r="HI22" s="286"/>
      <c r="HJ22" s="286"/>
      <c r="HK22" s="286"/>
      <c r="HL22" s="286"/>
      <c r="HM22" s="286"/>
      <c r="HN22" s="286"/>
      <c r="HO22" s="286"/>
      <c r="HP22" s="286"/>
      <c r="HQ22" s="286"/>
      <c r="HR22" s="286"/>
      <c r="HS22" s="286"/>
      <c r="HT22" s="286"/>
      <c r="HU22" s="286"/>
      <c r="HV22" s="286"/>
      <c r="HW22" s="286"/>
      <c r="HX22" s="286"/>
      <c r="HY22" s="286"/>
      <c r="HZ22" s="286"/>
      <c r="IA22" s="286"/>
      <c r="IB22" s="286"/>
      <c r="IC22" s="286"/>
      <c r="ID22" s="286"/>
      <c r="IE22" s="286"/>
      <c r="IF22" s="286"/>
      <c r="IG22" s="286"/>
      <c r="IH22" s="286"/>
      <c r="II22" s="286"/>
      <c r="IJ22" s="286"/>
      <c r="IK22" s="286"/>
      <c r="IL22" s="286"/>
      <c r="IM22" s="286"/>
      <c r="IN22" s="286"/>
      <c r="IO22" s="286"/>
      <c r="IP22" s="286"/>
      <c r="IQ22" s="286"/>
      <c r="IR22" s="286"/>
      <c r="IS22" s="286"/>
      <c r="IT22" s="286"/>
      <c r="IU22" s="286"/>
      <c r="IV22" s="286"/>
      <c r="IW22" s="286"/>
      <c r="IX22" s="286"/>
      <c r="IY22" s="286"/>
      <c r="IZ22" s="286"/>
      <c r="JA22" s="286"/>
      <c r="JB22" s="286"/>
      <c r="JC22" s="286"/>
      <c r="JD22" s="286"/>
      <c r="JE22" s="286"/>
      <c r="JF22" s="286"/>
      <c r="JG22" s="286"/>
      <c r="JH22" s="286"/>
      <c r="JI22" s="287">
        <f t="shared" si="0"/>
        <v>172000</v>
      </c>
      <c r="JJ22" s="315" t="s">
        <v>840</v>
      </c>
      <c r="JK22" s="288">
        <v>170573.26</v>
      </c>
      <c r="JL22" s="286">
        <f t="shared" si="1"/>
        <v>1426.7399999999907</v>
      </c>
      <c r="JM22" s="286"/>
      <c r="JN22" s="289"/>
      <c r="JO22" s="286"/>
      <c r="JP22" s="286"/>
      <c r="AQT22" s="317"/>
    </row>
    <row r="23" spans="1:276 1138:1138" s="167" customFormat="1" ht="15.6" x14ac:dyDescent="0.3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>
        <v>1888000</v>
      </c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86"/>
      <c r="CT23" s="286"/>
      <c r="CU23" s="286"/>
      <c r="CV23" s="286"/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86"/>
      <c r="EM23" s="286"/>
      <c r="EN23" s="286"/>
      <c r="EO23" s="286"/>
      <c r="EP23" s="286"/>
      <c r="EQ23" s="286"/>
      <c r="ER23" s="286"/>
      <c r="ES23" s="286"/>
      <c r="ET23" s="286"/>
      <c r="EU23" s="286"/>
      <c r="EV23" s="286"/>
      <c r="EW23" s="286"/>
      <c r="EX23" s="286"/>
      <c r="EY23" s="286"/>
      <c r="EZ23" s="286"/>
      <c r="FA23" s="286"/>
      <c r="FB23" s="286"/>
      <c r="FC23" s="286"/>
      <c r="FD23" s="286"/>
      <c r="FE23" s="286"/>
      <c r="FF23" s="286"/>
      <c r="FG23" s="286"/>
      <c r="FH23" s="286"/>
      <c r="FI23" s="286"/>
      <c r="FJ23" s="286"/>
      <c r="FK23" s="286"/>
      <c r="FL23" s="286"/>
      <c r="FM23" s="286"/>
      <c r="FN23" s="286"/>
      <c r="FO23" s="286"/>
      <c r="FP23" s="286"/>
      <c r="FQ23" s="286"/>
      <c r="FR23" s="286"/>
      <c r="FS23" s="286"/>
      <c r="FT23" s="286"/>
      <c r="FU23" s="286"/>
      <c r="FV23" s="286"/>
      <c r="FW23" s="286"/>
      <c r="FX23" s="286"/>
      <c r="FY23" s="286"/>
      <c r="FZ23" s="286"/>
      <c r="GA23" s="286"/>
      <c r="GB23" s="286"/>
      <c r="GC23" s="286"/>
      <c r="GD23" s="286"/>
      <c r="GE23" s="286"/>
      <c r="GF23" s="286"/>
      <c r="GG23" s="286"/>
      <c r="GH23" s="286"/>
      <c r="GI23" s="286"/>
      <c r="GJ23" s="286"/>
      <c r="GK23" s="286"/>
      <c r="GL23" s="286"/>
      <c r="GM23" s="286"/>
      <c r="GN23" s="286"/>
      <c r="GO23" s="286"/>
      <c r="GP23" s="286"/>
      <c r="GQ23" s="286"/>
      <c r="GR23" s="286"/>
      <c r="GS23" s="286"/>
      <c r="GT23" s="286"/>
      <c r="GU23" s="286"/>
      <c r="GV23" s="286"/>
      <c r="GW23" s="286"/>
      <c r="GX23" s="286"/>
      <c r="GY23" s="286"/>
      <c r="GZ23" s="286"/>
      <c r="HA23" s="286"/>
      <c r="HB23" s="286"/>
      <c r="HC23" s="286"/>
      <c r="HD23" s="286"/>
      <c r="HE23" s="286"/>
      <c r="HF23" s="286"/>
      <c r="HG23" s="286"/>
      <c r="HH23" s="286"/>
      <c r="HI23" s="286"/>
      <c r="HJ23" s="286"/>
      <c r="HK23" s="286"/>
      <c r="HL23" s="286"/>
      <c r="HM23" s="286"/>
      <c r="HN23" s="286"/>
      <c r="HO23" s="286"/>
      <c r="HP23" s="286"/>
      <c r="HQ23" s="286"/>
      <c r="HR23" s="286"/>
      <c r="HS23" s="286"/>
      <c r="HT23" s="286"/>
      <c r="HU23" s="286"/>
      <c r="HV23" s="286"/>
      <c r="HW23" s="286"/>
      <c r="HX23" s="286"/>
      <c r="HY23" s="286"/>
      <c r="HZ23" s="286"/>
      <c r="IA23" s="286"/>
      <c r="IB23" s="286"/>
      <c r="IC23" s="286"/>
      <c r="ID23" s="286"/>
      <c r="IE23" s="286"/>
      <c r="IF23" s="286"/>
      <c r="IG23" s="286"/>
      <c r="IH23" s="286"/>
      <c r="II23" s="286"/>
      <c r="IJ23" s="286"/>
      <c r="IK23" s="286"/>
      <c r="IL23" s="286"/>
      <c r="IM23" s="286"/>
      <c r="IN23" s="286"/>
      <c r="IO23" s="286"/>
      <c r="IP23" s="286"/>
      <c r="IQ23" s="286"/>
      <c r="IR23" s="286"/>
      <c r="IS23" s="286"/>
      <c r="IT23" s="286"/>
      <c r="IU23" s="286"/>
      <c r="IV23" s="286"/>
      <c r="IW23" s="286"/>
      <c r="IX23" s="286"/>
      <c r="IY23" s="286"/>
      <c r="IZ23" s="286"/>
      <c r="JA23" s="286"/>
      <c r="JB23" s="286"/>
      <c r="JC23" s="286"/>
      <c r="JD23" s="286"/>
      <c r="JE23" s="286"/>
      <c r="JF23" s="286"/>
      <c r="JG23" s="286"/>
      <c r="JH23" s="286"/>
      <c r="JI23" s="287">
        <f t="shared" si="0"/>
        <v>1888000</v>
      </c>
      <c r="JJ23" s="315" t="s">
        <v>841</v>
      </c>
      <c r="JK23" s="288">
        <v>1808000</v>
      </c>
      <c r="JL23" s="286">
        <f t="shared" si="1"/>
        <v>80000</v>
      </c>
      <c r="JM23" s="286"/>
      <c r="JN23" s="289"/>
      <c r="JO23" s="286"/>
      <c r="JP23" s="286"/>
      <c r="AQT23" s="317"/>
    </row>
    <row r="24" spans="1:276 1138:1138" s="167" customFormat="1" ht="15.6" x14ac:dyDescent="0.3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6"/>
      <c r="BD24" s="286"/>
      <c r="BE24" s="286"/>
      <c r="BF24" s="286"/>
      <c r="BG24" s="286"/>
      <c r="BH24" s="286"/>
      <c r="BI24" s="286"/>
      <c r="BJ24" s="286"/>
      <c r="BK24" s="286"/>
      <c r="BL24" s="286"/>
      <c r="BM24" s="286"/>
      <c r="BN24" s="286"/>
      <c r="BO24" s="286"/>
      <c r="BP24" s="286"/>
      <c r="BQ24" s="286"/>
      <c r="BR24" s="286"/>
      <c r="BS24" s="286"/>
      <c r="BT24" s="286"/>
      <c r="BU24" s="286"/>
      <c r="BV24" s="286"/>
      <c r="BW24" s="286"/>
      <c r="BX24" s="286"/>
      <c r="BY24" s="286"/>
      <c r="BZ24" s="286"/>
      <c r="CA24" s="286"/>
      <c r="CB24" s="286"/>
      <c r="CC24" s="286"/>
      <c r="CD24" s="286"/>
      <c r="CE24" s="286"/>
      <c r="CF24" s="286"/>
      <c r="CG24" s="286"/>
      <c r="CH24" s="286"/>
      <c r="CI24" s="286"/>
      <c r="CJ24" s="286"/>
      <c r="CK24" s="286"/>
      <c r="CL24" s="286"/>
      <c r="CM24" s="286"/>
      <c r="CN24" s="286"/>
      <c r="CO24" s="286"/>
      <c r="CP24" s="286"/>
      <c r="CQ24" s="286"/>
      <c r="CR24" s="286"/>
      <c r="CS24" s="286"/>
      <c r="CT24" s="286"/>
      <c r="CU24" s="286"/>
      <c r="CV24" s="286"/>
      <c r="CW24" s="286"/>
      <c r="CX24" s="286"/>
      <c r="CY24" s="286"/>
      <c r="CZ24" s="286"/>
      <c r="DA24" s="286"/>
      <c r="DB24" s="286"/>
      <c r="DC24" s="286"/>
      <c r="DD24" s="286"/>
      <c r="DE24" s="286"/>
      <c r="DF24" s="286"/>
      <c r="DG24" s="286"/>
      <c r="DH24" s="286"/>
      <c r="DI24" s="286"/>
      <c r="DJ24" s="286"/>
      <c r="DK24" s="286"/>
      <c r="DL24" s="286"/>
      <c r="DM24" s="286"/>
      <c r="DN24" s="286"/>
      <c r="DO24" s="286"/>
      <c r="DP24" s="286"/>
      <c r="DQ24" s="286"/>
      <c r="DR24" s="286"/>
      <c r="DS24" s="286"/>
      <c r="DT24" s="286"/>
      <c r="DU24" s="286"/>
      <c r="DV24" s="286"/>
      <c r="DW24" s="286"/>
      <c r="DX24" s="286"/>
      <c r="DY24" s="286"/>
      <c r="DZ24" s="286"/>
      <c r="EA24" s="286"/>
      <c r="EB24" s="286"/>
      <c r="EC24" s="286"/>
      <c r="ED24" s="286"/>
      <c r="EE24" s="286"/>
      <c r="EF24" s="286"/>
      <c r="EG24" s="286"/>
      <c r="EH24" s="286"/>
      <c r="EI24" s="286"/>
      <c r="EJ24" s="286"/>
      <c r="EK24" s="286"/>
      <c r="EL24" s="286"/>
      <c r="EM24" s="286"/>
      <c r="EN24" s="286"/>
      <c r="EO24" s="286"/>
      <c r="EP24" s="286"/>
      <c r="EQ24" s="286"/>
      <c r="ER24" s="286"/>
      <c r="ES24" s="286"/>
      <c r="ET24" s="286"/>
      <c r="EU24" s="286"/>
      <c r="EV24" s="286"/>
      <c r="EW24" s="286"/>
      <c r="EX24" s="286"/>
      <c r="EY24" s="286"/>
      <c r="EZ24" s="286"/>
      <c r="FA24" s="286"/>
      <c r="FB24" s="286"/>
      <c r="FC24" s="286"/>
      <c r="FD24" s="286"/>
      <c r="FE24" s="286"/>
      <c r="FF24" s="286"/>
      <c r="FG24" s="286"/>
      <c r="FH24" s="286"/>
      <c r="FI24" s="286"/>
      <c r="FJ24" s="286"/>
      <c r="FK24" s="286"/>
      <c r="FL24" s="286"/>
      <c r="FM24" s="286"/>
      <c r="FN24" s="286"/>
      <c r="FO24" s="286"/>
      <c r="FP24" s="286"/>
      <c r="FQ24" s="286"/>
      <c r="FR24" s="286"/>
      <c r="FS24" s="286"/>
      <c r="FT24" s="286">
        <v>192288.08</v>
      </c>
      <c r="FU24" s="286"/>
      <c r="FV24" s="286"/>
      <c r="FW24" s="286"/>
      <c r="FX24" s="286"/>
      <c r="FY24" s="286"/>
      <c r="FZ24" s="286"/>
      <c r="GA24" s="286"/>
      <c r="GB24" s="286"/>
      <c r="GC24" s="286"/>
      <c r="GD24" s="286"/>
      <c r="GE24" s="286"/>
      <c r="GF24" s="286"/>
      <c r="GG24" s="286"/>
      <c r="GH24" s="286"/>
      <c r="GI24" s="286"/>
      <c r="GJ24" s="286"/>
      <c r="GK24" s="286"/>
      <c r="GL24" s="286"/>
      <c r="GM24" s="286"/>
      <c r="GN24" s="286"/>
      <c r="GO24" s="286"/>
      <c r="GP24" s="286"/>
      <c r="GQ24" s="286"/>
      <c r="GR24" s="286"/>
      <c r="GS24" s="286"/>
      <c r="GT24" s="286"/>
      <c r="GU24" s="286"/>
      <c r="GV24" s="286"/>
      <c r="GW24" s="286"/>
      <c r="GX24" s="286"/>
      <c r="GY24" s="286"/>
      <c r="GZ24" s="286"/>
      <c r="HA24" s="286"/>
      <c r="HB24" s="286"/>
      <c r="HC24" s="286"/>
      <c r="HD24" s="286"/>
      <c r="HE24" s="286"/>
      <c r="HF24" s="286"/>
      <c r="HG24" s="286"/>
      <c r="HH24" s="286"/>
      <c r="HI24" s="286"/>
      <c r="HJ24" s="286"/>
      <c r="HK24" s="286"/>
      <c r="HL24" s="286"/>
      <c r="HM24" s="286"/>
      <c r="HN24" s="286"/>
      <c r="HO24" s="286"/>
      <c r="HP24" s="286"/>
      <c r="HQ24" s="286"/>
      <c r="HR24" s="286"/>
      <c r="HS24" s="286"/>
      <c r="HT24" s="286"/>
      <c r="HU24" s="286"/>
      <c r="HV24" s="286"/>
      <c r="HW24" s="286"/>
      <c r="HX24" s="286"/>
      <c r="HY24" s="286"/>
      <c r="HZ24" s="286"/>
      <c r="IA24" s="286"/>
      <c r="IB24" s="286"/>
      <c r="IC24" s="286"/>
      <c r="ID24" s="286"/>
      <c r="IE24" s="286"/>
      <c r="IF24" s="286"/>
      <c r="IG24" s="286"/>
      <c r="IH24" s="286"/>
      <c r="II24" s="286"/>
      <c r="IJ24" s="286"/>
      <c r="IK24" s="286"/>
      <c r="IL24" s="286"/>
      <c r="IM24" s="286"/>
      <c r="IN24" s="286"/>
      <c r="IO24" s="286"/>
      <c r="IP24" s="286"/>
      <c r="IQ24" s="286"/>
      <c r="IR24" s="286"/>
      <c r="IS24" s="286"/>
      <c r="IT24" s="286"/>
      <c r="IU24" s="286"/>
      <c r="IV24" s="286"/>
      <c r="IW24" s="286"/>
      <c r="IX24" s="286"/>
      <c r="IY24" s="286"/>
      <c r="IZ24" s="286"/>
      <c r="JA24" s="286"/>
      <c r="JB24" s="286"/>
      <c r="JC24" s="286"/>
      <c r="JD24" s="286"/>
      <c r="JE24" s="286"/>
      <c r="JF24" s="286"/>
      <c r="JG24" s="286"/>
      <c r="JH24" s="286"/>
      <c r="JI24" s="287">
        <f t="shared" si="0"/>
        <v>192288.08</v>
      </c>
      <c r="JJ24" s="315" t="s">
        <v>842</v>
      </c>
      <c r="JK24" s="288">
        <v>184140.28</v>
      </c>
      <c r="JL24" s="286">
        <f t="shared" si="1"/>
        <v>8147.7999999999884</v>
      </c>
      <c r="JM24" s="286"/>
      <c r="JN24" s="289"/>
      <c r="JO24" s="286"/>
      <c r="JP24" s="286"/>
      <c r="AQT24" s="317"/>
    </row>
    <row r="25" spans="1:276 1138:1138" s="167" customFormat="1" ht="15.6" x14ac:dyDescent="0.3">
      <c r="A25" s="286"/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6"/>
      <c r="BD25" s="286"/>
      <c r="BE25" s="286"/>
      <c r="BF25" s="286"/>
      <c r="BG25" s="286"/>
      <c r="BH25" s="286"/>
      <c r="BI25" s="286"/>
      <c r="BJ25" s="286"/>
      <c r="BK25" s="286"/>
      <c r="BL25" s="286"/>
      <c r="BM25" s="286"/>
      <c r="BN25" s="286"/>
      <c r="BO25" s="286"/>
      <c r="BP25" s="286"/>
      <c r="BQ25" s="286"/>
      <c r="BR25" s="286"/>
      <c r="BS25" s="286"/>
      <c r="BT25" s="286"/>
      <c r="BU25" s="286"/>
      <c r="BV25" s="286"/>
      <c r="BW25" s="286"/>
      <c r="BX25" s="286"/>
      <c r="BY25" s="286"/>
      <c r="BZ25" s="286"/>
      <c r="CA25" s="286"/>
      <c r="CB25" s="286"/>
      <c r="CC25" s="286"/>
      <c r="CD25" s="286"/>
      <c r="CE25" s="286"/>
      <c r="CF25" s="286"/>
      <c r="CG25" s="286"/>
      <c r="CH25" s="286"/>
      <c r="CI25" s="286"/>
      <c r="CJ25" s="286"/>
      <c r="CK25" s="286"/>
      <c r="CL25" s="286"/>
      <c r="CM25" s="286"/>
      <c r="CN25" s="286"/>
      <c r="CO25" s="286"/>
      <c r="CP25" s="286"/>
      <c r="CQ25" s="286"/>
      <c r="CR25" s="286"/>
      <c r="CS25" s="286"/>
      <c r="CT25" s="286"/>
      <c r="CU25" s="286"/>
      <c r="CV25" s="286"/>
      <c r="CW25" s="286"/>
      <c r="CX25" s="286"/>
      <c r="CY25" s="286"/>
      <c r="CZ25" s="286"/>
      <c r="DA25" s="286"/>
      <c r="DB25" s="286"/>
      <c r="DC25" s="286"/>
      <c r="DD25" s="286"/>
      <c r="DE25" s="286"/>
      <c r="DF25" s="286"/>
      <c r="DG25" s="286"/>
      <c r="DH25" s="286"/>
      <c r="DI25" s="286"/>
      <c r="DJ25" s="286"/>
      <c r="DK25" s="286"/>
      <c r="DL25" s="286"/>
      <c r="DM25" s="286"/>
      <c r="DN25" s="286"/>
      <c r="DO25" s="286"/>
      <c r="DP25" s="286"/>
      <c r="DQ25" s="286"/>
      <c r="DR25" s="286"/>
      <c r="DS25" s="286"/>
      <c r="DT25" s="286"/>
      <c r="DU25" s="286"/>
      <c r="DV25" s="286"/>
      <c r="DW25" s="286"/>
      <c r="DX25" s="286"/>
      <c r="DY25" s="286"/>
      <c r="DZ25" s="286"/>
      <c r="EA25" s="286"/>
      <c r="EB25" s="286"/>
      <c r="EC25" s="286"/>
      <c r="ED25" s="286"/>
      <c r="EE25" s="286"/>
      <c r="EF25" s="286"/>
      <c r="EG25" s="286"/>
      <c r="EH25" s="286"/>
      <c r="EI25" s="286"/>
      <c r="EJ25" s="286"/>
      <c r="EK25" s="286"/>
      <c r="EL25" s="286"/>
      <c r="EM25" s="286"/>
      <c r="EN25" s="286"/>
      <c r="EO25" s="286"/>
      <c r="EP25" s="286"/>
      <c r="EQ25" s="286"/>
      <c r="ER25" s="286"/>
      <c r="ES25" s="286"/>
      <c r="ET25" s="286"/>
      <c r="EU25" s="286"/>
      <c r="EV25" s="286"/>
      <c r="EW25" s="286"/>
      <c r="EX25" s="286"/>
      <c r="EY25" s="286"/>
      <c r="EZ25" s="286"/>
      <c r="FA25" s="286"/>
      <c r="FB25" s="286"/>
      <c r="FC25" s="286"/>
      <c r="FD25" s="286"/>
      <c r="FE25" s="286"/>
      <c r="FF25" s="286"/>
      <c r="FG25" s="286"/>
      <c r="FH25" s="286"/>
      <c r="FI25" s="286"/>
      <c r="FJ25" s="286"/>
      <c r="FK25" s="286"/>
      <c r="FL25" s="286"/>
      <c r="FM25" s="286"/>
      <c r="FN25" s="286"/>
      <c r="FO25" s="286"/>
      <c r="FP25" s="286"/>
      <c r="FQ25" s="286"/>
      <c r="FR25" s="286"/>
      <c r="FS25" s="286"/>
      <c r="FT25" s="286">
        <v>69915</v>
      </c>
      <c r="FU25" s="286"/>
      <c r="FV25" s="286"/>
      <c r="FW25" s="286"/>
      <c r="FX25" s="286"/>
      <c r="FY25" s="286"/>
      <c r="FZ25" s="286"/>
      <c r="GA25" s="286"/>
      <c r="GB25" s="286"/>
      <c r="GC25" s="286"/>
      <c r="GD25" s="286"/>
      <c r="GE25" s="286"/>
      <c r="GF25" s="286"/>
      <c r="GG25" s="286"/>
      <c r="GH25" s="286"/>
      <c r="GI25" s="286"/>
      <c r="GJ25" s="286"/>
      <c r="GK25" s="286"/>
      <c r="GL25" s="286"/>
      <c r="GM25" s="286"/>
      <c r="GN25" s="286"/>
      <c r="GO25" s="286"/>
      <c r="GP25" s="286"/>
      <c r="GQ25" s="286"/>
      <c r="GR25" s="286"/>
      <c r="GS25" s="286"/>
      <c r="GT25" s="286"/>
      <c r="GU25" s="286"/>
      <c r="GV25" s="286"/>
      <c r="GW25" s="286"/>
      <c r="GX25" s="286"/>
      <c r="GY25" s="286"/>
      <c r="GZ25" s="286"/>
      <c r="HA25" s="286"/>
      <c r="HB25" s="286"/>
      <c r="HC25" s="286"/>
      <c r="HD25" s="286"/>
      <c r="HE25" s="286"/>
      <c r="HF25" s="286"/>
      <c r="HG25" s="286"/>
      <c r="HH25" s="286"/>
      <c r="HI25" s="286"/>
      <c r="HJ25" s="286"/>
      <c r="HK25" s="286"/>
      <c r="HL25" s="286"/>
      <c r="HM25" s="286"/>
      <c r="HN25" s="286"/>
      <c r="HO25" s="286"/>
      <c r="HP25" s="286"/>
      <c r="HQ25" s="286"/>
      <c r="HR25" s="286"/>
      <c r="HS25" s="286"/>
      <c r="HT25" s="286"/>
      <c r="HU25" s="286"/>
      <c r="HV25" s="286"/>
      <c r="HW25" s="286"/>
      <c r="HX25" s="286"/>
      <c r="HY25" s="286"/>
      <c r="HZ25" s="286"/>
      <c r="IA25" s="286"/>
      <c r="IB25" s="286"/>
      <c r="IC25" s="286"/>
      <c r="ID25" s="286"/>
      <c r="IE25" s="286"/>
      <c r="IF25" s="286"/>
      <c r="IG25" s="286"/>
      <c r="IH25" s="286"/>
      <c r="II25" s="286"/>
      <c r="IJ25" s="286"/>
      <c r="IK25" s="286"/>
      <c r="IL25" s="286"/>
      <c r="IM25" s="286"/>
      <c r="IN25" s="286"/>
      <c r="IO25" s="286"/>
      <c r="IP25" s="286"/>
      <c r="IQ25" s="286"/>
      <c r="IR25" s="286"/>
      <c r="IS25" s="286"/>
      <c r="IT25" s="286"/>
      <c r="IU25" s="286"/>
      <c r="IV25" s="286"/>
      <c r="IW25" s="286"/>
      <c r="IX25" s="286"/>
      <c r="IY25" s="286"/>
      <c r="IZ25" s="286"/>
      <c r="JA25" s="286"/>
      <c r="JB25" s="286"/>
      <c r="JC25" s="286"/>
      <c r="JD25" s="286"/>
      <c r="JE25" s="286"/>
      <c r="JF25" s="286"/>
      <c r="JG25" s="286"/>
      <c r="JH25" s="286"/>
      <c r="JI25" s="287">
        <f t="shared" si="0"/>
        <v>69915</v>
      </c>
      <c r="JJ25" s="315" t="s">
        <v>843</v>
      </c>
      <c r="JK25" s="288">
        <v>66952.5</v>
      </c>
      <c r="JL25" s="286">
        <f t="shared" si="1"/>
        <v>2962.5</v>
      </c>
      <c r="JM25" s="286"/>
      <c r="JN25" s="289"/>
      <c r="JO25" s="286"/>
      <c r="JP25" s="286"/>
      <c r="AQT25" s="317"/>
    </row>
    <row r="26" spans="1:276 1138:1138" s="167" customFormat="1" ht="15.6" x14ac:dyDescent="0.3">
      <c r="A26" s="286"/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  <c r="AD26" s="286"/>
      <c r="AE26" s="286"/>
      <c r="AF26" s="286"/>
      <c r="AG26" s="286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6"/>
      <c r="BD26" s="286"/>
      <c r="BE26" s="286"/>
      <c r="BF26" s="286"/>
      <c r="BG26" s="286"/>
      <c r="BH26" s="286"/>
      <c r="BI26" s="286"/>
      <c r="BJ26" s="286"/>
      <c r="BK26" s="286"/>
      <c r="BL26" s="286"/>
      <c r="BM26" s="286"/>
      <c r="BN26" s="286"/>
      <c r="BO26" s="286"/>
      <c r="BP26" s="286"/>
      <c r="BQ26" s="286"/>
      <c r="BR26" s="286"/>
      <c r="BS26" s="286"/>
      <c r="BT26" s="286"/>
      <c r="BU26" s="286"/>
      <c r="BV26" s="286"/>
      <c r="BW26" s="286"/>
      <c r="BX26" s="286"/>
      <c r="BY26" s="286"/>
      <c r="BZ26" s="286"/>
      <c r="CA26" s="286"/>
      <c r="CB26" s="286"/>
      <c r="CC26" s="286"/>
      <c r="CD26" s="286"/>
      <c r="CE26" s="286"/>
      <c r="CF26" s="286"/>
      <c r="CG26" s="286"/>
      <c r="CH26" s="286"/>
      <c r="CI26" s="286"/>
      <c r="CJ26" s="286"/>
      <c r="CK26" s="286"/>
      <c r="CL26" s="286"/>
      <c r="CM26" s="286"/>
      <c r="CN26" s="286"/>
      <c r="CO26" s="286"/>
      <c r="CP26" s="286"/>
      <c r="CQ26" s="286"/>
      <c r="CR26" s="286"/>
      <c r="CS26" s="286"/>
      <c r="CT26" s="286"/>
      <c r="CU26" s="286"/>
      <c r="CV26" s="286"/>
      <c r="CW26" s="286"/>
      <c r="CX26" s="286"/>
      <c r="CY26" s="286"/>
      <c r="CZ26" s="286"/>
      <c r="DA26" s="286"/>
      <c r="DB26" s="286"/>
      <c r="DC26" s="286"/>
      <c r="DD26" s="286"/>
      <c r="DE26" s="286"/>
      <c r="DF26" s="286"/>
      <c r="DG26" s="286"/>
      <c r="DH26" s="286"/>
      <c r="DI26" s="286"/>
      <c r="DJ26" s="286"/>
      <c r="DK26" s="286"/>
      <c r="DL26" s="286"/>
      <c r="DM26" s="286"/>
      <c r="DN26" s="286"/>
      <c r="DO26" s="286"/>
      <c r="DP26" s="286"/>
      <c r="DQ26" s="286"/>
      <c r="DR26" s="286"/>
      <c r="DS26" s="286"/>
      <c r="DT26" s="286"/>
      <c r="DU26" s="286"/>
      <c r="DV26" s="286"/>
      <c r="DW26" s="286"/>
      <c r="DX26" s="286"/>
      <c r="DY26" s="286"/>
      <c r="DZ26" s="286"/>
      <c r="EA26" s="286"/>
      <c r="EB26" s="286"/>
      <c r="EC26" s="286"/>
      <c r="ED26" s="286"/>
      <c r="EE26" s="286"/>
      <c r="EF26" s="286"/>
      <c r="EG26" s="286"/>
      <c r="EH26" s="286"/>
      <c r="EI26" s="286"/>
      <c r="EJ26" s="286"/>
      <c r="EK26" s="286"/>
      <c r="EL26" s="286"/>
      <c r="EM26" s="286"/>
      <c r="EN26" s="286"/>
      <c r="EO26" s="286"/>
      <c r="EP26" s="286"/>
      <c r="EQ26" s="286"/>
      <c r="ER26" s="286"/>
      <c r="ES26" s="286"/>
      <c r="ET26" s="286"/>
      <c r="EU26" s="286"/>
      <c r="EV26" s="286"/>
      <c r="EW26" s="286"/>
      <c r="EX26" s="286"/>
      <c r="EY26" s="286"/>
      <c r="EZ26" s="286"/>
      <c r="FA26" s="286"/>
      <c r="FB26" s="286"/>
      <c r="FC26" s="286"/>
      <c r="FD26" s="286"/>
      <c r="FE26" s="286"/>
      <c r="FF26" s="286"/>
      <c r="FG26" s="286"/>
      <c r="FH26" s="286"/>
      <c r="FI26" s="286"/>
      <c r="FJ26" s="286"/>
      <c r="FK26" s="286"/>
      <c r="FL26" s="286"/>
      <c r="FM26" s="286"/>
      <c r="FN26" s="286"/>
      <c r="FO26" s="286"/>
      <c r="FP26" s="286"/>
      <c r="FQ26" s="286"/>
      <c r="FR26" s="286"/>
      <c r="FS26" s="286"/>
      <c r="FT26" s="286">
        <v>269394</v>
      </c>
      <c r="FU26" s="286"/>
      <c r="FV26" s="286"/>
      <c r="FW26" s="286"/>
      <c r="FX26" s="286"/>
      <c r="FY26" s="286"/>
      <c r="FZ26" s="286"/>
      <c r="GA26" s="286"/>
      <c r="GB26" s="286"/>
      <c r="GC26" s="286"/>
      <c r="GD26" s="286"/>
      <c r="GE26" s="286"/>
      <c r="GF26" s="286"/>
      <c r="GG26" s="286"/>
      <c r="GH26" s="286"/>
      <c r="GI26" s="286"/>
      <c r="GJ26" s="286"/>
      <c r="GK26" s="286"/>
      <c r="GL26" s="286"/>
      <c r="GM26" s="286"/>
      <c r="GN26" s="286"/>
      <c r="GO26" s="286"/>
      <c r="GP26" s="286"/>
      <c r="GQ26" s="286"/>
      <c r="GR26" s="286"/>
      <c r="GS26" s="286"/>
      <c r="GT26" s="286"/>
      <c r="GU26" s="286"/>
      <c r="GV26" s="286"/>
      <c r="GW26" s="286"/>
      <c r="GX26" s="286"/>
      <c r="GY26" s="286"/>
      <c r="GZ26" s="286"/>
      <c r="HA26" s="286"/>
      <c r="HB26" s="286"/>
      <c r="HC26" s="286"/>
      <c r="HD26" s="286"/>
      <c r="HE26" s="286"/>
      <c r="HF26" s="286"/>
      <c r="HG26" s="286"/>
      <c r="HH26" s="286"/>
      <c r="HI26" s="286"/>
      <c r="HJ26" s="286"/>
      <c r="HK26" s="286"/>
      <c r="HL26" s="286"/>
      <c r="HM26" s="286"/>
      <c r="HN26" s="286"/>
      <c r="HO26" s="286"/>
      <c r="HP26" s="286"/>
      <c r="HQ26" s="286"/>
      <c r="HR26" s="286"/>
      <c r="HS26" s="286"/>
      <c r="HT26" s="286"/>
      <c r="HU26" s="286"/>
      <c r="HV26" s="286"/>
      <c r="HW26" s="286"/>
      <c r="HX26" s="286"/>
      <c r="HY26" s="286"/>
      <c r="HZ26" s="286"/>
      <c r="IA26" s="286"/>
      <c r="IB26" s="286"/>
      <c r="IC26" s="286"/>
      <c r="ID26" s="286"/>
      <c r="IE26" s="286"/>
      <c r="IF26" s="286"/>
      <c r="IG26" s="286"/>
      <c r="IH26" s="286"/>
      <c r="II26" s="286"/>
      <c r="IJ26" s="286"/>
      <c r="IK26" s="286"/>
      <c r="IL26" s="286"/>
      <c r="IM26" s="286"/>
      <c r="IN26" s="286"/>
      <c r="IO26" s="286"/>
      <c r="IP26" s="286"/>
      <c r="IQ26" s="286"/>
      <c r="IR26" s="286"/>
      <c r="IS26" s="286"/>
      <c r="IT26" s="286"/>
      <c r="IU26" s="286"/>
      <c r="IV26" s="286"/>
      <c r="IW26" s="286"/>
      <c r="IX26" s="286"/>
      <c r="IY26" s="286"/>
      <c r="IZ26" s="286"/>
      <c r="JA26" s="286"/>
      <c r="JB26" s="286"/>
      <c r="JC26" s="286"/>
      <c r="JD26" s="286"/>
      <c r="JE26" s="286"/>
      <c r="JF26" s="286"/>
      <c r="JG26" s="286"/>
      <c r="JH26" s="286"/>
      <c r="JI26" s="287">
        <f t="shared" si="0"/>
        <v>269394</v>
      </c>
      <c r="JJ26" s="315" t="s">
        <v>844</v>
      </c>
      <c r="JK26" s="288">
        <v>257979</v>
      </c>
      <c r="JL26" s="286">
        <f t="shared" si="1"/>
        <v>11415</v>
      </c>
      <c r="JM26" s="286"/>
      <c r="JN26" s="289"/>
      <c r="JO26" s="286"/>
      <c r="JP26" s="286"/>
      <c r="AQT26" s="317"/>
    </row>
    <row r="27" spans="1:276 1138:1138" s="167" customFormat="1" ht="15.6" x14ac:dyDescent="0.3">
      <c r="A27" s="286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>
        <v>269158</v>
      </c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  <c r="IW27" s="286"/>
      <c r="IX27" s="286"/>
      <c r="IY27" s="286"/>
      <c r="IZ27" s="286"/>
      <c r="JA27" s="286"/>
      <c r="JB27" s="286"/>
      <c r="JC27" s="286"/>
      <c r="JD27" s="286"/>
      <c r="JE27" s="286"/>
      <c r="JF27" s="286"/>
      <c r="JG27" s="286"/>
      <c r="JH27" s="286"/>
      <c r="JI27" s="287">
        <f t="shared" si="0"/>
        <v>269158</v>
      </c>
      <c r="JJ27" s="315" t="s">
        <v>878</v>
      </c>
      <c r="JK27" s="288">
        <v>257753</v>
      </c>
      <c r="JL27" s="286">
        <f t="shared" si="1"/>
        <v>11405</v>
      </c>
      <c r="JM27" s="286"/>
      <c r="JN27" s="289"/>
      <c r="JO27" s="286"/>
      <c r="JP27" s="286"/>
      <c r="AQT27" s="317"/>
    </row>
    <row r="28" spans="1:276 1138:1138" s="167" customFormat="1" ht="15.6" x14ac:dyDescent="0.3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>
        <v>25110</v>
      </c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  <c r="GR28" s="286"/>
      <c r="GS28" s="286"/>
      <c r="GT28" s="286"/>
      <c r="GU28" s="286"/>
      <c r="GV28" s="286"/>
      <c r="GW28" s="286"/>
      <c r="GX28" s="286"/>
      <c r="GY28" s="286"/>
      <c r="GZ28" s="286"/>
      <c r="HA28" s="286"/>
      <c r="HB28" s="286"/>
      <c r="HC28" s="286"/>
      <c r="HD28" s="286"/>
      <c r="HE28" s="286"/>
      <c r="HF28" s="286"/>
      <c r="HG28" s="286"/>
      <c r="HH28" s="286"/>
      <c r="HI28" s="286"/>
      <c r="HJ28" s="286"/>
      <c r="HK28" s="286"/>
      <c r="HL28" s="286"/>
      <c r="HM28" s="286"/>
      <c r="HN28" s="286"/>
      <c r="HO28" s="286"/>
      <c r="HP28" s="286"/>
      <c r="HQ28" s="286"/>
      <c r="HR28" s="286"/>
      <c r="HS28" s="286"/>
      <c r="HT28" s="286"/>
      <c r="HU28" s="286"/>
      <c r="HV28" s="286"/>
      <c r="HW28" s="286"/>
      <c r="HX28" s="286"/>
      <c r="HY28" s="286"/>
      <c r="HZ28" s="286"/>
      <c r="IA28" s="286"/>
      <c r="IB28" s="286"/>
      <c r="IC28" s="286"/>
      <c r="ID28" s="286"/>
      <c r="IE28" s="286"/>
      <c r="IF28" s="286"/>
      <c r="IG28" s="286"/>
      <c r="IH28" s="286"/>
      <c r="II28" s="286"/>
      <c r="IJ28" s="286"/>
      <c r="IK28" s="286"/>
      <c r="IL28" s="286"/>
      <c r="IM28" s="286"/>
      <c r="IN28" s="286"/>
      <c r="IO28" s="286"/>
      <c r="IP28" s="286"/>
      <c r="IQ28" s="286"/>
      <c r="IR28" s="286"/>
      <c r="IS28" s="286"/>
      <c r="IT28" s="286"/>
      <c r="IU28" s="286"/>
      <c r="IV28" s="286"/>
      <c r="IW28" s="286"/>
      <c r="IX28" s="286"/>
      <c r="IY28" s="286"/>
      <c r="IZ28" s="286"/>
      <c r="JA28" s="286"/>
      <c r="JB28" s="286"/>
      <c r="JC28" s="286"/>
      <c r="JD28" s="286"/>
      <c r="JE28" s="286"/>
      <c r="JF28" s="286"/>
      <c r="JG28" s="286"/>
      <c r="JH28" s="286"/>
      <c r="JI28" s="287">
        <f t="shared" si="0"/>
        <v>25110</v>
      </c>
      <c r="JJ28" s="315" t="s">
        <v>879</v>
      </c>
      <c r="JK28" s="288">
        <v>25110</v>
      </c>
      <c r="JL28" s="286">
        <f t="shared" si="1"/>
        <v>0</v>
      </c>
      <c r="JM28" s="286"/>
      <c r="JN28" s="289"/>
      <c r="JO28" s="286"/>
      <c r="JP28" s="286"/>
      <c r="AQT28" s="317"/>
    </row>
    <row r="29" spans="1:276 1138:1138" s="167" customFormat="1" ht="15.6" x14ac:dyDescent="0.3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  <c r="AF29" s="286"/>
      <c r="AG29" s="286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6"/>
      <c r="BD29" s="286"/>
      <c r="BE29" s="286"/>
      <c r="BF29" s="286"/>
      <c r="BG29" s="286"/>
      <c r="BH29" s="286"/>
      <c r="BI29" s="286"/>
      <c r="BJ29" s="286"/>
      <c r="BK29" s="286"/>
      <c r="BL29" s="286"/>
      <c r="BM29" s="286"/>
      <c r="BN29" s="286"/>
      <c r="BO29" s="286"/>
      <c r="BP29" s="286"/>
      <c r="BQ29" s="286"/>
      <c r="BR29" s="286"/>
      <c r="BS29" s="286"/>
      <c r="BT29" s="286"/>
      <c r="BU29" s="286"/>
      <c r="BV29" s="286"/>
      <c r="BW29" s="286"/>
      <c r="BX29" s="286"/>
      <c r="BY29" s="286"/>
      <c r="BZ29" s="286"/>
      <c r="CA29" s="286"/>
      <c r="CB29" s="286"/>
      <c r="CC29" s="286"/>
      <c r="CD29" s="286"/>
      <c r="CE29" s="286"/>
      <c r="CF29" s="286"/>
      <c r="CG29" s="286"/>
      <c r="CH29" s="286"/>
      <c r="CI29" s="286"/>
      <c r="CJ29" s="286"/>
      <c r="CK29" s="286"/>
      <c r="CL29" s="286"/>
      <c r="CM29" s="286"/>
      <c r="CN29" s="286"/>
      <c r="CO29" s="286"/>
      <c r="CP29" s="286"/>
      <c r="CQ29" s="286"/>
      <c r="CR29" s="286"/>
      <c r="CS29" s="286"/>
      <c r="CT29" s="286"/>
      <c r="CU29" s="286"/>
      <c r="CV29" s="286"/>
      <c r="CW29" s="286"/>
      <c r="CX29" s="286"/>
      <c r="CY29" s="286"/>
      <c r="CZ29" s="286"/>
      <c r="DA29" s="286"/>
      <c r="DB29" s="286"/>
      <c r="DC29" s="286"/>
      <c r="DD29" s="286"/>
      <c r="DE29" s="286"/>
      <c r="DF29" s="286"/>
      <c r="DG29" s="286"/>
      <c r="DH29" s="286"/>
      <c r="DI29" s="286"/>
      <c r="DJ29" s="286"/>
      <c r="DK29" s="286">
        <v>405410</v>
      </c>
      <c r="DL29" s="286"/>
      <c r="DM29" s="286"/>
      <c r="DN29" s="286"/>
      <c r="DO29" s="286"/>
      <c r="DP29" s="286"/>
      <c r="DQ29" s="286"/>
      <c r="DR29" s="286"/>
      <c r="DS29" s="286"/>
      <c r="DT29" s="286"/>
      <c r="DU29" s="286"/>
      <c r="DV29" s="286"/>
      <c r="DW29" s="286"/>
      <c r="DX29" s="286"/>
      <c r="DY29" s="286"/>
      <c r="DZ29" s="286"/>
      <c r="EA29" s="286"/>
      <c r="EB29" s="286"/>
      <c r="EC29" s="286"/>
      <c r="ED29" s="286"/>
      <c r="EE29" s="286"/>
      <c r="EF29" s="286"/>
      <c r="EG29" s="286"/>
      <c r="EH29" s="286"/>
      <c r="EI29" s="286"/>
      <c r="EJ29" s="286"/>
      <c r="EK29" s="286"/>
      <c r="EL29" s="286"/>
      <c r="EM29" s="286"/>
      <c r="EN29" s="286"/>
      <c r="EO29" s="286"/>
      <c r="EP29" s="286"/>
      <c r="EQ29" s="286"/>
      <c r="ER29" s="286"/>
      <c r="ES29" s="286"/>
      <c r="ET29" s="286"/>
      <c r="EU29" s="286"/>
      <c r="EV29" s="286"/>
      <c r="EW29" s="286"/>
      <c r="EX29" s="286"/>
      <c r="EY29" s="286"/>
      <c r="EZ29" s="286"/>
      <c r="FA29" s="286"/>
      <c r="FB29" s="286"/>
      <c r="FC29" s="286"/>
      <c r="FD29" s="286"/>
      <c r="FE29" s="286"/>
      <c r="FF29" s="286"/>
      <c r="FG29" s="286"/>
      <c r="FH29" s="286"/>
      <c r="FI29" s="286"/>
      <c r="FJ29" s="286"/>
      <c r="FK29" s="286"/>
      <c r="FL29" s="286"/>
      <c r="FM29" s="286"/>
      <c r="FN29" s="286"/>
      <c r="FO29" s="286"/>
      <c r="FP29" s="286"/>
      <c r="FQ29" s="286"/>
      <c r="FR29" s="286"/>
      <c r="FS29" s="286"/>
      <c r="FT29" s="286"/>
      <c r="FU29" s="286"/>
      <c r="FV29" s="286"/>
      <c r="FW29" s="286"/>
      <c r="FX29" s="286"/>
      <c r="FY29" s="286"/>
      <c r="FZ29" s="286"/>
      <c r="GA29" s="286"/>
      <c r="GB29" s="286"/>
      <c r="GC29" s="286"/>
      <c r="GD29" s="286"/>
      <c r="GE29" s="286"/>
      <c r="GF29" s="286"/>
      <c r="GG29" s="286"/>
      <c r="GH29" s="286"/>
      <c r="GI29" s="286"/>
      <c r="GJ29" s="286"/>
      <c r="GK29" s="286"/>
      <c r="GL29" s="286"/>
      <c r="GM29" s="286"/>
      <c r="GN29" s="286"/>
      <c r="GO29" s="286"/>
      <c r="GP29" s="286"/>
      <c r="GQ29" s="286"/>
      <c r="GR29" s="286"/>
      <c r="GS29" s="286"/>
      <c r="GT29" s="286"/>
      <c r="GU29" s="286"/>
      <c r="GV29" s="286"/>
      <c r="GW29" s="286"/>
      <c r="GX29" s="286"/>
      <c r="GY29" s="286"/>
      <c r="GZ29" s="286"/>
      <c r="HA29" s="286"/>
      <c r="HB29" s="286"/>
      <c r="HC29" s="286"/>
      <c r="HD29" s="286"/>
      <c r="HE29" s="286"/>
      <c r="HF29" s="286"/>
      <c r="HG29" s="286"/>
      <c r="HH29" s="286"/>
      <c r="HI29" s="286"/>
      <c r="HJ29" s="286"/>
      <c r="HK29" s="286"/>
      <c r="HL29" s="286"/>
      <c r="HM29" s="286"/>
      <c r="HN29" s="286"/>
      <c r="HO29" s="286"/>
      <c r="HP29" s="286"/>
      <c r="HQ29" s="286"/>
      <c r="HR29" s="286"/>
      <c r="HS29" s="286"/>
      <c r="HT29" s="286"/>
      <c r="HU29" s="286"/>
      <c r="HV29" s="286"/>
      <c r="HW29" s="286"/>
      <c r="HX29" s="286"/>
      <c r="HY29" s="286"/>
      <c r="HZ29" s="286"/>
      <c r="IA29" s="286"/>
      <c r="IB29" s="286"/>
      <c r="IC29" s="286"/>
      <c r="ID29" s="286"/>
      <c r="IE29" s="286"/>
      <c r="IF29" s="286"/>
      <c r="IG29" s="286"/>
      <c r="IH29" s="286"/>
      <c r="II29" s="286"/>
      <c r="IJ29" s="286"/>
      <c r="IK29" s="286"/>
      <c r="IL29" s="286"/>
      <c r="IM29" s="286"/>
      <c r="IN29" s="286"/>
      <c r="IO29" s="286"/>
      <c r="IP29" s="286"/>
      <c r="IQ29" s="286"/>
      <c r="IR29" s="286"/>
      <c r="IS29" s="286"/>
      <c r="IT29" s="286"/>
      <c r="IU29" s="286"/>
      <c r="IV29" s="286"/>
      <c r="IW29" s="286"/>
      <c r="IX29" s="286"/>
      <c r="IY29" s="286"/>
      <c r="IZ29" s="286"/>
      <c r="JA29" s="286"/>
      <c r="JB29" s="286"/>
      <c r="JC29" s="286"/>
      <c r="JD29" s="286"/>
      <c r="JE29" s="286"/>
      <c r="JF29" s="286"/>
      <c r="JG29" s="286"/>
      <c r="JH29" s="286"/>
      <c r="JI29" s="287">
        <f t="shared" si="0"/>
        <v>405410</v>
      </c>
      <c r="JJ29" s="315" t="s">
        <v>881</v>
      </c>
      <c r="JK29" s="288">
        <v>385139.5</v>
      </c>
      <c r="JL29" s="286">
        <f t="shared" si="1"/>
        <v>20270.5</v>
      </c>
      <c r="JM29" s="286"/>
      <c r="JN29" s="289"/>
      <c r="JO29" s="286"/>
      <c r="JP29" s="286"/>
      <c r="AQT29" s="317"/>
    </row>
    <row r="30" spans="1:276 1138:1138" s="167" customFormat="1" ht="15.6" x14ac:dyDescent="0.3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6"/>
      <c r="BD30" s="286"/>
      <c r="BE30" s="286"/>
      <c r="BF30" s="286"/>
      <c r="BG30" s="286"/>
      <c r="BH30" s="286"/>
      <c r="BI30" s="286"/>
      <c r="BJ30" s="286"/>
      <c r="BK30" s="286"/>
      <c r="BL30" s="286"/>
      <c r="BM30" s="286"/>
      <c r="BN30" s="286"/>
      <c r="BO30" s="286"/>
      <c r="BP30" s="286"/>
      <c r="BQ30" s="286"/>
      <c r="BR30" s="286"/>
      <c r="BS30" s="286"/>
      <c r="BT30" s="286"/>
      <c r="BU30" s="286"/>
      <c r="BV30" s="286"/>
      <c r="BW30" s="286"/>
      <c r="BX30" s="286"/>
      <c r="BY30" s="286"/>
      <c r="BZ30" s="286"/>
      <c r="CA30" s="286"/>
      <c r="CB30" s="286"/>
      <c r="CC30" s="286"/>
      <c r="CD30" s="286"/>
      <c r="CE30" s="286"/>
      <c r="CF30" s="286"/>
      <c r="CG30" s="286"/>
      <c r="CH30" s="286"/>
      <c r="CI30" s="286"/>
      <c r="CJ30" s="286"/>
      <c r="CK30" s="286"/>
      <c r="CL30" s="286"/>
      <c r="CM30" s="286"/>
      <c r="CN30" s="286"/>
      <c r="CO30" s="286"/>
      <c r="CP30" s="286"/>
      <c r="CQ30" s="286"/>
      <c r="CR30" s="286"/>
      <c r="CS30" s="286"/>
      <c r="CT30" s="286"/>
      <c r="CU30" s="286"/>
      <c r="CV30" s="286"/>
      <c r="CW30" s="286"/>
      <c r="CX30" s="286"/>
      <c r="CY30" s="286"/>
      <c r="CZ30" s="286"/>
      <c r="DA30" s="286"/>
      <c r="DB30" s="286"/>
      <c r="DC30" s="286"/>
      <c r="DD30" s="286"/>
      <c r="DE30" s="286"/>
      <c r="DF30" s="286"/>
      <c r="DG30" s="286"/>
      <c r="DH30" s="286"/>
      <c r="DI30" s="286"/>
      <c r="DJ30" s="286"/>
      <c r="DK30" s="286"/>
      <c r="DL30" s="286"/>
      <c r="DM30" s="286"/>
      <c r="DN30" s="286"/>
      <c r="DO30" s="286"/>
      <c r="DP30" s="286"/>
      <c r="DQ30" s="286"/>
      <c r="DR30" s="286"/>
      <c r="DS30" s="286"/>
      <c r="DT30" s="286"/>
      <c r="DU30" s="286"/>
      <c r="DV30" s="286"/>
      <c r="DW30" s="286"/>
      <c r="DX30" s="286"/>
      <c r="DY30" s="286"/>
      <c r="DZ30" s="286"/>
      <c r="EA30" s="374"/>
      <c r="EB30" s="286"/>
      <c r="EC30" s="286"/>
      <c r="ED30" s="286"/>
      <c r="EE30" s="286"/>
      <c r="EF30" s="286"/>
      <c r="EG30" s="286"/>
      <c r="EH30" s="286"/>
      <c r="EI30" s="286"/>
      <c r="EJ30" s="286"/>
      <c r="EK30" s="286"/>
      <c r="EL30" s="286"/>
      <c r="EM30" s="286"/>
      <c r="EN30" s="286"/>
      <c r="EO30" s="286"/>
      <c r="EP30" s="286"/>
      <c r="EQ30" s="286"/>
      <c r="ER30" s="286"/>
      <c r="ES30" s="286"/>
      <c r="ET30" s="286"/>
      <c r="EU30" s="286"/>
      <c r="EV30" s="286"/>
      <c r="EW30" s="286"/>
      <c r="EX30" s="286"/>
      <c r="EY30" s="286"/>
      <c r="EZ30" s="286"/>
      <c r="FA30" s="286"/>
      <c r="FB30" s="286"/>
      <c r="FC30" s="286"/>
      <c r="FD30" s="286"/>
      <c r="FE30" s="286"/>
      <c r="FF30" s="286"/>
      <c r="FG30" s="286"/>
      <c r="FH30" s="286"/>
      <c r="FI30" s="286"/>
      <c r="FJ30" s="286"/>
      <c r="FK30" s="286"/>
      <c r="FL30" s="286"/>
      <c r="FM30" s="286"/>
      <c r="FN30" s="286"/>
      <c r="FO30" s="286"/>
      <c r="FP30" s="286"/>
      <c r="FQ30" s="286"/>
      <c r="FR30" s="286"/>
      <c r="FS30" s="286"/>
      <c r="FT30" s="286">
        <v>47176.05</v>
      </c>
      <c r="FU30" s="286"/>
      <c r="FV30" s="286"/>
      <c r="FW30" s="286"/>
      <c r="FX30" s="286"/>
      <c r="FY30" s="286"/>
      <c r="FZ30" s="286"/>
      <c r="GA30" s="374"/>
      <c r="GB30" s="286"/>
      <c r="GC30" s="286"/>
      <c r="GD30" s="286"/>
      <c r="GE30" s="286"/>
      <c r="GF30" s="286"/>
      <c r="GG30" s="286"/>
      <c r="GH30" s="286"/>
      <c r="GI30" s="286"/>
      <c r="GJ30" s="286"/>
      <c r="GK30" s="286"/>
      <c r="GL30" s="286"/>
      <c r="GM30" s="286"/>
      <c r="GN30" s="286"/>
      <c r="GO30" s="286"/>
      <c r="GP30" s="286"/>
      <c r="GQ30" s="286"/>
      <c r="GR30" s="286"/>
      <c r="GS30" s="286"/>
      <c r="GT30" s="286"/>
      <c r="GU30" s="286"/>
      <c r="GV30" s="286"/>
      <c r="GW30" s="286"/>
      <c r="GX30" s="286"/>
      <c r="GY30" s="286"/>
      <c r="GZ30" s="286"/>
      <c r="HA30" s="286"/>
      <c r="HB30" s="286"/>
      <c r="HC30" s="286"/>
      <c r="HD30" s="286"/>
      <c r="HE30" s="286"/>
      <c r="HF30" s="286"/>
      <c r="HG30" s="286"/>
      <c r="HH30" s="286"/>
      <c r="HI30" s="286"/>
      <c r="HJ30" s="286"/>
      <c r="HK30" s="286"/>
      <c r="HL30" s="286"/>
      <c r="HM30" s="286"/>
      <c r="HN30" s="286"/>
      <c r="HO30" s="286"/>
      <c r="HP30" s="286"/>
      <c r="HQ30" s="286"/>
      <c r="HR30" s="286"/>
      <c r="HS30" s="286"/>
      <c r="HT30" s="286"/>
      <c r="HU30" s="286"/>
      <c r="HV30" s="286"/>
      <c r="HW30" s="286"/>
      <c r="HX30" s="286"/>
      <c r="HY30" s="286"/>
      <c r="HZ30" s="286"/>
      <c r="IA30" s="286"/>
      <c r="IB30" s="286"/>
      <c r="IC30" s="286"/>
      <c r="ID30" s="286"/>
      <c r="IE30" s="286"/>
      <c r="IF30" s="286"/>
      <c r="IG30" s="286"/>
      <c r="IH30" s="286"/>
      <c r="II30" s="286"/>
      <c r="IJ30" s="286"/>
      <c r="IK30" s="286"/>
      <c r="IL30" s="286"/>
      <c r="IM30" s="286"/>
      <c r="IN30" s="286"/>
      <c r="IO30" s="286"/>
      <c r="IP30" s="286"/>
      <c r="IQ30" s="286"/>
      <c r="IR30" s="286"/>
      <c r="IS30" s="286"/>
      <c r="IT30" s="286"/>
      <c r="IU30" s="286"/>
      <c r="IV30" s="286"/>
      <c r="IW30" s="286"/>
      <c r="IX30" s="286"/>
      <c r="IY30" s="286"/>
      <c r="IZ30" s="286"/>
      <c r="JA30" s="286"/>
      <c r="JB30" s="286"/>
      <c r="JC30" s="286"/>
      <c r="JD30" s="286"/>
      <c r="JE30" s="286"/>
      <c r="JF30" s="286"/>
      <c r="JG30" s="286"/>
      <c r="JH30" s="286"/>
      <c r="JI30" s="287">
        <f t="shared" si="0"/>
        <v>47176.05</v>
      </c>
      <c r="JJ30" s="315" t="s">
        <v>894</v>
      </c>
      <c r="JK30" s="288">
        <v>45177.07</v>
      </c>
      <c r="JL30" s="286">
        <f t="shared" si="1"/>
        <v>1998.9800000000032</v>
      </c>
      <c r="JM30" s="286"/>
      <c r="JN30" s="289"/>
      <c r="JO30" s="286"/>
      <c r="JP30" s="286"/>
      <c r="AQT30" s="317"/>
    </row>
    <row r="31" spans="1:276 1138:1138" s="167" customFormat="1" ht="15.6" x14ac:dyDescent="0.3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286"/>
      <c r="CO31" s="286"/>
      <c r="CP31" s="286"/>
      <c r="CQ31" s="286"/>
      <c r="CR31" s="286"/>
      <c r="CS31" s="286"/>
      <c r="CT31" s="286"/>
      <c r="CU31" s="286"/>
      <c r="CV31" s="286"/>
      <c r="CW31" s="286"/>
      <c r="CX31" s="286"/>
      <c r="CY31" s="286"/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86"/>
      <c r="EM31" s="286"/>
      <c r="EN31" s="286"/>
      <c r="EO31" s="286"/>
      <c r="EP31" s="286"/>
      <c r="EQ31" s="286"/>
      <c r="ER31" s="286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B31" s="286"/>
      <c r="GC31" s="286">
        <v>3400</v>
      </c>
      <c r="GD31" s="286"/>
      <c r="GE31" s="286"/>
      <c r="GF31" s="286"/>
      <c r="GG31" s="286"/>
      <c r="GH31" s="286"/>
      <c r="GI31" s="286"/>
      <c r="GJ31" s="286"/>
      <c r="GK31" s="286"/>
      <c r="GL31" s="286"/>
      <c r="GM31" s="286"/>
      <c r="GN31" s="286"/>
      <c r="GO31" s="286"/>
      <c r="GP31" s="286"/>
      <c r="GQ31" s="286"/>
      <c r="GR31" s="286"/>
      <c r="GS31" s="286"/>
      <c r="GT31" s="286"/>
      <c r="GU31" s="286"/>
      <c r="GV31" s="286"/>
      <c r="GW31" s="286"/>
      <c r="GX31" s="286"/>
      <c r="GY31" s="286"/>
      <c r="GZ31" s="286"/>
      <c r="HA31" s="286"/>
      <c r="HB31" s="286"/>
      <c r="HC31" s="286"/>
      <c r="HD31" s="286"/>
      <c r="HE31" s="286"/>
      <c r="HF31" s="286"/>
      <c r="HG31" s="286"/>
      <c r="HH31" s="286"/>
      <c r="HI31" s="286"/>
      <c r="HJ31" s="286"/>
      <c r="HK31" s="286"/>
      <c r="HL31" s="286"/>
      <c r="HM31" s="286"/>
      <c r="HN31" s="286"/>
      <c r="HO31" s="286"/>
      <c r="HP31" s="286"/>
      <c r="HQ31" s="286"/>
      <c r="HR31" s="286"/>
      <c r="HS31" s="286"/>
      <c r="HT31" s="286"/>
      <c r="HU31" s="286"/>
      <c r="HV31" s="286"/>
      <c r="HW31" s="286"/>
      <c r="HX31" s="286"/>
      <c r="HY31" s="286"/>
      <c r="HZ31" s="286"/>
      <c r="IA31" s="286"/>
      <c r="IB31" s="286"/>
      <c r="IC31" s="286"/>
      <c r="ID31" s="286"/>
      <c r="IE31" s="286"/>
      <c r="IF31" s="286"/>
      <c r="IG31" s="286"/>
      <c r="IH31" s="286"/>
      <c r="II31" s="286"/>
      <c r="IJ31" s="286"/>
      <c r="IK31" s="286"/>
      <c r="IL31" s="286"/>
      <c r="IM31" s="286"/>
      <c r="IN31" s="286"/>
      <c r="IO31" s="286"/>
      <c r="IP31" s="286"/>
      <c r="IQ31" s="286"/>
      <c r="IR31" s="286"/>
      <c r="IS31" s="286"/>
      <c r="IT31" s="286"/>
      <c r="IU31" s="286"/>
      <c r="IV31" s="286"/>
      <c r="IW31" s="286"/>
      <c r="IX31" s="286"/>
      <c r="IY31" s="286"/>
      <c r="IZ31" s="286"/>
      <c r="JA31" s="286"/>
      <c r="JB31" s="286"/>
      <c r="JC31" s="286"/>
      <c r="JD31" s="286"/>
      <c r="JE31" s="286"/>
      <c r="JF31" s="286"/>
      <c r="JG31" s="286"/>
      <c r="JH31" s="286"/>
      <c r="JI31" s="287">
        <f t="shared" si="0"/>
        <v>3400</v>
      </c>
      <c r="JJ31" s="315">
        <v>37174</v>
      </c>
      <c r="JK31" s="288">
        <v>3400</v>
      </c>
      <c r="JL31" s="286">
        <f t="shared" si="1"/>
        <v>0</v>
      </c>
      <c r="JM31" s="286"/>
      <c r="JN31" s="289"/>
      <c r="JO31" s="286"/>
      <c r="JP31" s="286"/>
      <c r="AQT31" s="317"/>
    </row>
    <row r="32" spans="1:276 1138:1138" s="167" customFormat="1" ht="15.6" x14ac:dyDescent="0.3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6"/>
      <c r="BD32" s="286"/>
      <c r="BE32" s="286"/>
      <c r="BF32" s="286"/>
      <c r="BG32" s="286"/>
      <c r="BH32" s="286"/>
      <c r="BI32" s="286"/>
      <c r="BJ32" s="286"/>
      <c r="BK32" s="286"/>
      <c r="BL32" s="286"/>
      <c r="BM32" s="286"/>
      <c r="BN32" s="286"/>
      <c r="BO32" s="286"/>
      <c r="BP32" s="286"/>
      <c r="BQ32" s="286"/>
      <c r="BR32" s="286"/>
      <c r="BS32" s="286"/>
      <c r="BT32" s="286"/>
      <c r="BU32" s="286"/>
      <c r="BV32" s="286"/>
      <c r="BW32" s="286"/>
      <c r="BX32" s="286"/>
      <c r="BY32" s="286"/>
      <c r="BZ32" s="286"/>
      <c r="CA32" s="286"/>
      <c r="CB32" s="286"/>
      <c r="CC32" s="286"/>
      <c r="CD32" s="286"/>
      <c r="CE32" s="286"/>
      <c r="CF32" s="286"/>
      <c r="CG32" s="286"/>
      <c r="CH32" s="286"/>
      <c r="CI32" s="286"/>
      <c r="CJ32" s="286"/>
      <c r="CK32" s="286"/>
      <c r="CL32" s="286"/>
      <c r="CM32" s="286"/>
      <c r="CN32" s="286"/>
      <c r="CO32" s="286"/>
      <c r="CP32" s="286"/>
      <c r="CQ32" s="286"/>
      <c r="CR32" s="286"/>
      <c r="CS32" s="286"/>
      <c r="CT32" s="286"/>
      <c r="CU32" s="286"/>
      <c r="CV32" s="286"/>
      <c r="CW32" s="286"/>
      <c r="CX32" s="286"/>
      <c r="CY32" s="286"/>
      <c r="CZ32" s="286"/>
      <c r="DA32" s="286"/>
      <c r="DB32" s="286"/>
      <c r="DC32" s="286"/>
      <c r="DD32" s="286"/>
      <c r="DE32" s="286"/>
      <c r="DF32" s="286"/>
      <c r="DG32" s="286"/>
      <c r="DH32" s="286"/>
      <c r="DI32" s="286"/>
      <c r="DJ32" s="286"/>
      <c r="DK32" s="286"/>
      <c r="DL32" s="286"/>
      <c r="DM32" s="286"/>
      <c r="DN32" s="286"/>
      <c r="DO32" s="286"/>
      <c r="DP32" s="286"/>
      <c r="DQ32" s="286"/>
      <c r="DR32" s="286"/>
      <c r="DS32" s="286"/>
      <c r="DT32" s="286"/>
      <c r="DU32" s="286"/>
      <c r="DV32" s="286"/>
      <c r="DW32" s="286"/>
      <c r="DX32" s="286"/>
      <c r="DY32" s="286"/>
      <c r="DZ32" s="286"/>
      <c r="EA32" s="286"/>
      <c r="EB32" s="286"/>
      <c r="EC32" s="286"/>
      <c r="ED32" s="286"/>
      <c r="EE32" s="286"/>
      <c r="EF32" s="286"/>
      <c r="EG32" s="286"/>
      <c r="EH32" s="286"/>
      <c r="EI32" s="286"/>
      <c r="EJ32" s="286"/>
      <c r="EK32" s="286"/>
      <c r="EL32" s="286"/>
      <c r="EM32" s="286"/>
      <c r="EN32" s="286"/>
      <c r="EO32" s="286"/>
      <c r="EP32" s="286"/>
      <c r="EQ32" s="286"/>
      <c r="ER32" s="286"/>
      <c r="ES32" s="286"/>
      <c r="ET32" s="286"/>
      <c r="EU32" s="286"/>
      <c r="EV32" s="286"/>
      <c r="EW32" s="286"/>
      <c r="EX32" s="286"/>
      <c r="EY32" s="286"/>
      <c r="EZ32" s="286"/>
      <c r="FA32" s="286"/>
      <c r="FB32" s="286"/>
      <c r="FC32" s="286"/>
      <c r="FD32" s="286"/>
      <c r="FE32" s="286"/>
      <c r="FF32" s="286"/>
      <c r="FG32" s="286"/>
      <c r="FH32" s="286"/>
      <c r="FI32" s="286"/>
      <c r="FJ32" s="286"/>
      <c r="FK32" s="286"/>
      <c r="FL32" s="286"/>
      <c r="FM32" s="286"/>
      <c r="FN32" s="286"/>
      <c r="FO32" s="286"/>
      <c r="FP32" s="286"/>
      <c r="FQ32" s="286"/>
      <c r="FR32" s="286"/>
      <c r="FS32" s="286"/>
      <c r="FT32" s="286"/>
      <c r="FU32" s="286"/>
      <c r="FV32" s="286"/>
      <c r="FW32" s="286"/>
      <c r="FX32" s="286"/>
      <c r="FY32" s="286"/>
      <c r="FZ32" s="286"/>
      <c r="GA32" s="463">
        <v>49134.32</v>
      </c>
      <c r="GB32" s="286"/>
      <c r="GC32" s="286"/>
      <c r="GD32" s="286"/>
      <c r="GE32" s="286"/>
      <c r="GF32" s="286"/>
      <c r="GG32" s="286"/>
      <c r="GH32" s="286"/>
      <c r="GI32" s="286"/>
      <c r="GJ32" s="286"/>
      <c r="GK32" s="286"/>
      <c r="GL32" s="286"/>
      <c r="GM32" s="286"/>
      <c r="GN32" s="286"/>
      <c r="GO32" s="286"/>
      <c r="GP32" s="286"/>
      <c r="GQ32" s="286"/>
      <c r="GR32" s="286"/>
      <c r="GS32" s="286"/>
      <c r="GT32" s="286"/>
      <c r="GU32" s="286"/>
      <c r="GV32" s="286"/>
      <c r="GW32" s="286"/>
      <c r="GX32" s="286"/>
      <c r="GY32" s="286"/>
      <c r="GZ32" s="286"/>
      <c r="HA32" s="286"/>
      <c r="HB32" s="286"/>
      <c r="HC32" s="286"/>
      <c r="HD32" s="286"/>
      <c r="HE32" s="286"/>
      <c r="HF32" s="286"/>
      <c r="HG32" s="286"/>
      <c r="HH32" s="286"/>
      <c r="HI32" s="286"/>
      <c r="HJ32" s="286"/>
      <c r="HK32" s="286"/>
      <c r="HL32" s="286"/>
      <c r="HM32" s="286"/>
      <c r="HN32" s="286"/>
      <c r="HO32" s="286"/>
      <c r="HP32" s="286"/>
      <c r="HQ32" s="286"/>
      <c r="HR32" s="286"/>
      <c r="HS32" s="286"/>
      <c r="HT32" s="286"/>
      <c r="HU32" s="286"/>
      <c r="HV32" s="286"/>
      <c r="HW32" s="286"/>
      <c r="HX32" s="286"/>
      <c r="HY32" s="286"/>
      <c r="HZ32" s="286"/>
      <c r="IA32" s="286"/>
      <c r="IB32" s="286"/>
      <c r="IC32" s="286"/>
      <c r="ID32" s="286"/>
      <c r="IE32" s="286"/>
      <c r="IF32" s="286"/>
      <c r="IG32" s="286"/>
      <c r="IH32" s="286"/>
      <c r="II32" s="286"/>
      <c r="IJ32" s="286"/>
      <c r="IK32" s="286"/>
      <c r="IL32" s="286"/>
      <c r="IM32" s="286"/>
      <c r="IN32" s="286"/>
      <c r="IO32" s="286"/>
      <c r="IP32" s="286"/>
      <c r="IQ32" s="286"/>
      <c r="IR32" s="286"/>
      <c r="IS32" s="286"/>
      <c r="IT32" s="286"/>
      <c r="IU32" s="286"/>
      <c r="IV32" s="286"/>
      <c r="IW32" s="286"/>
      <c r="IX32" s="286"/>
      <c r="IY32" s="286"/>
      <c r="IZ32" s="286"/>
      <c r="JA32" s="286"/>
      <c r="JB32" s="286"/>
      <c r="JC32" s="286"/>
      <c r="JD32" s="286"/>
      <c r="JE32" s="286"/>
      <c r="JF32" s="286"/>
      <c r="JG32" s="286"/>
      <c r="JH32" s="286"/>
      <c r="JI32" s="287">
        <f t="shared" si="0"/>
        <v>49134.32</v>
      </c>
      <c r="JJ32" s="315">
        <v>37175</v>
      </c>
      <c r="JK32" s="288">
        <v>49134.32</v>
      </c>
      <c r="JL32" s="286">
        <f t="shared" si="1"/>
        <v>0</v>
      </c>
      <c r="JM32" s="286"/>
      <c r="JN32" s="289"/>
      <c r="JO32" s="286"/>
      <c r="JP32" s="286"/>
      <c r="AQT32" s="317"/>
    </row>
    <row r="33" spans="1:276 1138:1138" s="167" customFormat="1" ht="15.6" x14ac:dyDescent="0.3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  <c r="AD33" s="286"/>
      <c r="AE33" s="286"/>
      <c r="AF33" s="286"/>
      <c r="AG33" s="286"/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6"/>
      <c r="AX33" s="286"/>
      <c r="AY33" s="286"/>
      <c r="AZ33" s="286"/>
      <c r="BA33" s="286"/>
      <c r="BB33" s="286"/>
      <c r="BC33" s="286"/>
      <c r="BD33" s="286"/>
      <c r="BE33" s="286"/>
      <c r="BF33" s="286"/>
      <c r="BG33" s="286"/>
      <c r="BH33" s="286"/>
      <c r="BI33" s="286"/>
      <c r="BJ33" s="286"/>
      <c r="BK33" s="286"/>
      <c r="BL33" s="286"/>
      <c r="BM33" s="286"/>
      <c r="BN33" s="286"/>
      <c r="BO33" s="286"/>
      <c r="BP33" s="286"/>
      <c r="BQ33" s="286"/>
      <c r="BR33" s="286"/>
      <c r="BS33" s="286"/>
      <c r="BT33" s="286"/>
      <c r="BU33" s="286"/>
      <c r="BV33" s="286"/>
      <c r="BW33" s="286"/>
      <c r="BX33" s="286"/>
      <c r="BY33" s="286"/>
      <c r="BZ33" s="286"/>
      <c r="CA33" s="286"/>
      <c r="CB33" s="286"/>
      <c r="CC33" s="286"/>
      <c r="CD33" s="286"/>
      <c r="CE33" s="286"/>
      <c r="CF33" s="286"/>
      <c r="CG33" s="286"/>
      <c r="CH33" s="286"/>
      <c r="CI33" s="286"/>
      <c r="CJ33" s="286">
        <v>23600</v>
      </c>
      <c r="CK33" s="286"/>
      <c r="CL33" s="286"/>
      <c r="CM33" s="286"/>
      <c r="CN33" s="286"/>
      <c r="CO33" s="286"/>
      <c r="CP33" s="286"/>
      <c r="CQ33" s="286"/>
      <c r="CR33" s="286"/>
      <c r="CS33" s="286"/>
      <c r="CT33" s="286"/>
      <c r="CU33" s="286"/>
      <c r="CV33" s="286"/>
      <c r="CW33" s="286"/>
      <c r="CX33" s="286"/>
      <c r="CY33" s="286"/>
      <c r="CZ33" s="286"/>
      <c r="DA33" s="286"/>
      <c r="DB33" s="286"/>
      <c r="DC33" s="286"/>
      <c r="DD33" s="286"/>
      <c r="DE33" s="286"/>
      <c r="DF33" s="286"/>
      <c r="DG33" s="286"/>
      <c r="DH33" s="286"/>
      <c r="DI33" s="286"/>
      <c r="DJ33" s="286"/>
      <c r="DK33" s="286"/>
      <c r="DL33" s="286"/>
      <c r="DM33" s="286"/>
      <c r="DN33" s="286"/>
      <c r="DO33" s="286"/>
      <c r="DP33" s="286"/>
      <c r="DQ33" s="286"/>
      <c r="DR33" s="286"/>
      <c r="DS33" s="286"/>
      <c r="DT33" s="286"/>
      <c r="DU33" s="286"/>
      <c r="DV33" s="286"/>
      <c r="DW33" s="286"/>
      <c r="DX33" s="286"/>
      <c r="DY33" s="286"/>
      <c r="DZ33" s="286"/>
      <c r="EA33" s="286"/>
      <c r="EB33" s="286"/>
      <c r="EC33" s="286"/>
      <c r="ED33" s="286"/>
      <c r="EE33" s="286"/>
      <c r="EF33" s="286"/>
      <c r="EG33" s="286"/>
      <c r="EH33" s="286"/>
      <c r="EI33" s="286"/>
      <c r="EJ33" s="286"/>
      <c r="EK33" s="286"/>
      <c r="EL33" s="286"/>
      <c r="EM33" s="286"/>
      <c r="EN33" s="286"/>
      <c r="EO33" s="286"/>
      <c r="EP33" s="286"/>
      <c r="EQ33" s="286"/>
      <c r="ER33" s="286"/>
      <c r="ES33" s="286"/>
      <c r="ET33" s="286"/>
      <c r="EU33" s="286"/>
      <c r="EV33" s="286"/>
      <c r="EW33" s="286"/>
      <c r="EX33" s="286"/>
      <c r="EY33" s="286"/>
      <c r="EZ33" s="286"/>
      <c r="FA33" s="286"/>
      <c r="FB33" s="286"/>
      <c r="FC33" s="286"/>
      <c r="FD33" s="286"/>
      <c r="FE33" s="286"/>
      <c r="FF33" s="286"/>
      <c r="FG33" s="286"/>
      <c r="FH33" s="286"/>
      <c r="FI33" s="286"/>
      <c r="FJ33" s="286"/>
      <c r="FK33" s="286"/>
      <c r="FL33" s="286"/>
      <c r="FM33" s="286"/>
      <c r="FN33" s="286"/>
      <c r="FO33" s="286"/>
      <c r="FP33" s="286"/>
      <c r="FQ33" s="286"/>
      <c r="FR33" s="286"/>
      <c r="FS33" s="286"/>
      <c r="FT33" s="286"/>
      <c r="FU33" s="286"/>
      <c r="FV33" s="286"/>
      <c r="FW33" s="286"/>
      <c r="FX33" s="286"/>
      <c r="FY33" s="286"/>
      <c r="FZ33" s="286"/>
      <c r="GA33" s="286"/>
      <c r="GB33" s="286"/>
      <c r="GC33" s="286"/>
      <c r="GD33" s="286"/>
      <c r="GE33" s="286"/>
      <c r="GF33" s="286"/>
      <c r="GG33" s="286"/>
      <c r="GH33" s="286"/>
      <c r="GI33" s="286"/>
      <c r="GJ33" s="286"/>
      <c r="GK33" s="286"/>
      <c r="GL33" s="286"/>
      <c r="GM33" s="286"/>
      <c r="GN33" s="286"/>
      <c r="GO33" s="286"/>
      <c r="GP33" s="286"/>
      <c r="GQ33" s="286"/>
      <c r="GR33" s="286"/>
      <c r="GS33" s="286"/>
      <c r="GT33" s="286"/>
      <c r="GU33" s="286"/>
      <c r="GV33" s="286"/>
      <c r="GW33" s="286"/>
      <c r="GX33" s="286"/>
      <c r="GY33" s="286"/>
      <c r="GZ33" s="286"/>
      <c r="HA33" s="286"/>
      <c r="HB33" s="286"/>
      <c r="HC33" s="286"/>
      <c r="HD33" s="286"/>
      <c r="HE33" s="286"/>
      <c r="HF33" s="286"/>
      <c r="HG33" s="286"/>
      <c r="HH33" s="286"/>
      <c r="HI33" s="286"/>
      <c r="HJ33" s="286"/>
      <c r="HK33" s="286"/>
      <c r="HL33" s="286"/>
      <c r="HM33" s="286"/>
      <c r="HN33" s="286"/>
      <c r="HO33" s="286"/>
      <c r="HP33" s="286"/>
      <c r="HQ33" s="286"/>
      <c r="HR33" s="286"/>
      <c r="HS33" s="286"/>
      <c r="HT33" s="286"/>
      <c r="HU33" s="286"/>
      <c r="HV33" s="286"/>
      <c r="HW33" s="286"/>
      <c r="HX33" s="286"/>
      <c r="HY33" s="286"/>
      <c r="HZ33" s="286"/>
      <c r="IA33" s="286"/>
      <c r="IB33" s="286"/>
      <c r="IC33" s="286"/>
      <c r="ID33" s="286"/>
      <c r="IE33" s="286"/>
      <c r="IF33" s="286"/>
      <c r="IG33" s="286"/>
      <c r="IH33" s="286"/>
      <c r="II33" s="286"/>
      <c r="IJ33" s="286"/>
      <c r="IK33" s="286"/>
      <c r="IL33" s="286"/>
      <c r="IM33" s="286"/>
      <c r="IN33" s="286"/>
      <c r="IO33" s="286"/>
      <c r="IP33" s="286"/>
      <c r="IQ33" s="286"/>
      <c r="IR33" s="286"/>
      <c r="IS33" s="286"/>
      <c r="IT33" s="286"/>
      <c r="IU33" s="286"/>
      <c r="IV33" s="286"/>
      <c r="IW33" s="286"/>
      <c r="IX33" s="286"/>
      <c r="IY33" s="286"/>
      <c r="IZ33" s="286"/>
      <c r="JA33" s="286"/>
      <c r="JB33" s="286"/>
      <c r="JC33" s="286"/>
      <c r="JD33" s="286"/>
      <c r="JE33" s="286"/>
      <c r="JF33" s="286"/>
      <c r="JG33" s="286"/>
      <c r="JH33" s="286"/>
      <c r="JI33" s="287">
        <f t="shared" si="0"/>
        <v>23600</v>
      </c>
      <c r="JJ33" s="315">
        <v>37176</v>
      </c>
      <c r="JK33" s="288">
        <v>19600</v>
      </c>
      <c r="JL33" s="286">
        <f t="shared" si="1"/>
        <v>4000</v>
      </c>
      <c r="JM33" s="373"/>
      <c r="JN33" s="373"/>
      <c r="JO33" s="372"/>
      <c r="JP33" s="286"/>
      <c r="AQT33" s="317"/>
    </row>
    <row r="34" spans="1:276 1138:1138" s="167" customFormat="1" ht="15.6" x14ac:dyDescent="0.3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  <c r="AD34" s="286"/>
      <c r="AE34" s="286"/>
      <c r="AF34" s="286"/>
      <c r="AG34" s="286"/>
      <c r="AH34" s="286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86"/>
      <c r="AU34" s="286"/>
      <c r="AV34" s="286"/>
      <c r="AW34" s="286"/>
      <c r="AX34" s="286"/>
      <c r="AY34" s="286"/>
      <c r="AZ34" s="286"/>
      <c r="BA34" s="286"/>
      <c r="BB34" s="286"/>
      <c r="BC34" s="286"/>
      <c r="BD34" s="286"/>
      <c r="BE34" s="286"/>
      <c r="BF34" s="286"/>
      <c r="BG34" s="286"/>
      <c r="BH34" s="286"/>
      <c r="BI34" s="286"/>
      <c r="BJ34" s="286"/>
      <c r="BK34" s="286"/>
      <c r="BL34" s="286"/>
      <c r="BM34" s="286"/>
      <c r="BN34" s="286"/>
      <c r="BO34" s="286"/>
      <c r="BP34" s="286"/>
      <c r="BQ34" s="286"/>
      <c r="BR34" s="286"/>
      <c r="BS34" s="286"/>
      <c r="BT34" s="286"/>
      <c r="BU34" s="286"/>
      <c r="BV34" s="286"/>
      <c r="BW34" s="286">
        <v>21673.46</v>
      </c>
      <c r="BX34" s="286"/>
      <c r="BY34" s="286"/>
      <c r="BZ34" s="286"/>
      <c r="CA34" s="286"/>
      <c r="CB34" s="286"/>
      <c r="CC34" s="286"/>
      <c r="CD34" s="286"/>
      <c r="CE34" s="286"/>
      <c r="CF34" s="286"/>
      <c r="CG34" s="286"/>
      <c r="CH34" s="286"/>
      <c r="CI34" s="286"/>
      <c r="CJ34" s="286"/>
      <c r="CK34" s="286"/>
      <c r="CL34" s="286"/>
      <c r="CM34" s="286"/>
      <c r="CN34" s="286"/>
      <c r="CO34" s="286"/>
      <c r="CP34" s="286"/>
      <c r="CQ34" s="286"/>
      <c r="CR34" s="286"/>
      <c r="CS34" s="286"/>
      <c r="CT34" s="286"/>
      <c r="CU34" s="286"/>
      <c r="CV34" s="286"/>
      <c r="CW34" s="286"/>
      <c r="CX34" s="286"/>
      <c r="CY34" s="286"/>
      <c r="CZ34" s="286"/>
      <c r="DA34" s="286"/>
      <c r="DB34" s="286"/>
      <c r="DC34" s="286"/>
      <c r="DD34" s="286"/>
      <c r="DE34" s="286"/>
      <c r="DF34" s="286"/>
      <c r="DG34" s="286"/>
      <c r="DH34" s="286"/>
      <c r="DI34" s="286"/>
      <c r="DJ34" s="286"/>
      <c r="DK34" s="286"/>
      <c r="DL34" s="286"/>
      <c r="DM34" s="286"/>
      <c r="DN34" s="286"/>
      <c r="DO34" s="286"/>
      <c r="DP34" s="286"/>
      <c r="DQ34" s="286"/>
      <c r="DR34" s="286"/>
      <c r="DS34" s="286"/>
      <c r="DT34" s="286"/>
      <c r="DU34" s="286"/>
      <c r="DV34" s="286"/>
      <c r="DW34" s="286"/>
      <c r="DX34" s="286"/>
      <c r="DY34" s="286"/>
      <c r="DZ34" s="286"/>
      <c r="EA34" s="286"/>
      <c r="EB34" s="286"/>
      <c r="EC34" s="286"/>
      <c r="ED34" s="286"/>
      <c r="EE34" s="286"/>
      <c r="EF34" s="286"/>
      <c r="EG34" s="286"/>
      <c r="EH34" s="286"/>
      <c r="EI34" s="286"/>
      <c r="EJ34" s="286"/>
      <c r="EK34" s="286"/>
      <c r="EL34" s="286"/>
      <c r="EM34" s="286"/>
      <c r="EN34" s="286"/>
      <c r="EO34" s="286"/>
      <c r="EP34" s="286"/>
      <c r="EQ34" s="286"/>
      <c r="ER34" s="286"/>
      <c r="ES34" s="286"/>
      <c r="ET34" s="286"/>
      <c r="EU34" s="286"/>
      <c r="EV34" s="286"/>
      <c r="EW34" s="286"/>
      <c r="EX34" s="286"/>
      <c r="EY34" s="286"/>
      <c r="EZ34" s="286"/>
      <c r="FA34" s="286"/>
      <c r="FB34" s="286"/>
      <c r="FC34" s="286"/>
      <c r="FD34" s="286"/>
      <c r="FE34" s="286"/>
      <c r="FF34" s="286"/>
      <c r="FG34" s="286"/>
      <c r="FH34" s="286"/>
      <c r="FI34" s="286"/>
      <c r="FJ34" s="286"/>
      <c r="FK34" s="286"/>
      <c r="FL34" s="286"/>
      <c r="FM34" s="286"/>
      <c r="FN34" s="286"/>
      <c r="FO34" s="286"/>
      <c r="FP34" s="286"/>
      <c r="FQ34" s="286"/>
      <c r="FR34" s="286"/>
      <c r="FS34" s="286"/>
      <c r="FT34" s="286"/>
      <c r="FU34" s="286"/>
      <c r="FV34" s="286"/>
      <c r="FW34" s="286"/>
      <c r="FX34" s="286"/>
      <c r="FY34" s="286"/>
      <c r="FZ34" s="286"/>
      <c r="GA34" s="286"/>
      <c r="GB34" s="286"/>
      <c r="GC34" s="286"/>
      <c r="GD34" s="286"/>
      <c r="GE34" s="286"/>
      <c r="GF34" s="286"/>
      <c r="GG34" s="286"/>
      <c r="GH34" s="286"/>
      <c r="GI34" s="286"/>
      <c r="GJ34" s="286"/>
      <c r="GK34" s="286"/>
      <c r="GL34" s="286"/>
      <c r="GM34" s="286"/>
      <c r="GN34" s="286"/>
      <c r="GO34" s="286"/>
      <c r="GP34" s="286"/>
      <c r="GQ34" s="286"/>
      <c r="GR34" s="286"/>
      <c r="GS34" s="286"/>
      <c r="GT34" s="286"/>
      <c r="GU34" s="286"/>
      <c r="GV34" s="286"/>
      <c r="GW34" s="286"/>
      <c r="GX34" s="286"/>
      <c r="GY34" s="286"/>
      <c r="GZ34" s="286"/>
      <c r="HA34" s="286"/>
      <c r="HB34" s="286"/>
      <c r="HC34" s="286"/>
      <c r="HD34" s="286"/>
      <c r="HE34" s="286"/>
      <c r="HF34" s="286"/>
      <c r="HG34" s="286"/>
      <c r="HH34" s="286"/>
      <c r="HI34" s="286"/>
      <c r="HJ34" s="286"/>
      <c r="HK34" s="286"/>
      <c r="HL34" s="286"/>
      <c r="HM34" s="286"/>
      <c r="HN34" s="286"/>
      <c r="HO34" s="286"/>
      <c r="HP34" s="286"/>
      <c r="HQ34" s="286"/>
      <c r="HR34" s="286"/>
      <c r="HS34" s="286"/>
      <c r="HT34" s="286"/>
      <c r="HU34" s="286"/>
      <c r="HV34" s="286"/>
      <c r="HW34" s="286"/>
      <c r="HX34" s="286"/>
      <c r="HY34" s="286"/>
      <c r="HZ34" s="286"/>
      <c r="IA34" s="286"/>
      <c r="IB34" s="286"/>
      <c r="IC34" s="286"/>
      <c r="ID34" s="286"/>
      <c r="IE34" s="286"/>
      <c r="IF34" s="286"/>
      <c r="IG34" s="286"/>
      <c r="IH34" s="286"/>
      <c r="II34" s="286"/>
      <c r="IJ34" s="286"/>
      <c r="IK34" s="286"/>
      <c r="IL34" s="286"/>
      <c r="IM34" s="286"/>
      <c r="IN34" s="286"/>
      <c r="IO34" s="286"/>
      <c r="IP34" s="286"/>
      <c r="IQ34" s="286"/>
      <c r="IR34" s="286"/>
      <c r="IS34" s="286"/>
      <c r="IT34" s="286"/>
      <c r="IU34" s="286"/>
      <c r="IV34" s="286"/>
      <c r="IW34" s="286"/>
      <c r="IX34" s="286"/>
      <c r="IY34" s="286"/>
      <c r="IZ34" s="286"/>
      <c r="JA34" s="286"/>
      <c r="JB34" s="286"/>
      <c r="JC34" s="286"/>
      <c r="JD34" s="286"/>
      <c r="JE34" s="286"/>
      <c r="JF34" s="286"/>
      <c r="JG34" s="286"/>
      <c r="JH34" s="286"/>
      <c r="JI34" s="287">
        <f t="shared" si="0"/>
        <v>21673.46</v>
      </c>
      <c r="JJ34" s="315">
        <v>37177</v>
      </c>
      <c r="JK34" s="288">
        <v>18000</v>
      </c>
      <c r="JL34" s="286">
        <f t="shared" si="1"/>
        <v>3673.4599999999991</v>
      </c>
      <c r="JM34" s="286"/>
      <c r="JN34" s="289"/>
      <c r="JO34" s="286"/>
      <c r="JP34" s="286"/>
      <c r="AQT34" s="317"/>
    </row>
    <row r="35" spans="1:276 1138:1138" s="167" customFormat="1" ht="15.6" x14ac:dyDescent="0.3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  <c r="AD35" s="286"/>
      <c r="AE35" s="286"/>
      <c r="AF35" s="286"/>
      <c r="AG35" s="286"/>
      <c r="AH35" s="286"/>
      <c r="AI35" s="286"/>
      <c r="AJ35" s="286"/>
      <c r="AK35" s="286"/>
      <c r="AL35" s="286"/>
      <c r="AM35" s="286"/>
      <c r="AN35" s="286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>
        <v>18061.22</v>
      </c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  <c r="IU35" s="286"/>
      <c r="IV35" s="286"/>
      <c r="IW35" s="286"/>
      <c r="IX35" s="286"/>
      <c r="IY35" s="286"/>
      <c r="IZ35" s="286"/>
      <c r="JA35" s="286"/>
      <c r="JB35" s="286"/>
      <c r="JC35" s="286"/>
      <c r="JD35" s="286"/>
      <c r="JE35" s="286"/>
      <c r="JF35" s="286"/>
      <c r="JG35" s="286"/>
      <c r="JH35" s="286"/>
      <c r="JI35" s="287">
        <f t="shared" si="0"/>
        <v>18061.22</v>
      </c>
      <c r="JJ35" s="315">
        <v>37178</v>
      </c>
      <c r="JK35" s="288">
        <v>15000</v>
      </c>
      <c r="JL35" s="286">
        <f t="shared" si="1"/>
        <v>3061.2200000000012</v>
      </c>
      <c r="JM35" s="286"/>
      <c r="JN35" s="289"/>
      <c r="JO35" s="286"/>
      <c r="JP35" s="286"/>
      <c r="AQT35" s="317"/>
    </row>
    <row r="36" spans="1:276 1138:1138" s="167" customFormat="1" ht="15.6" x14ac:dyDescent="0.3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72"/>
      <c r="AG36" s="372"/>
      <c r="AH36" s="372"/>
      <c r="AI36" s="372"/>
      <c r="AJ36" s="372"/>
      <c r="AK36" s="372"/>
      <c r="AL36" s="372"/>
      <c r="AM36" s="372"/>
      <c r="AN36" s="372"/>
      <c r="AO36" s="372"/>
      <c r="AP36" s="372"/>
      <c r="AQ36" s="372"/>
      <c r="AR36" s="372"/>
      <c r="AS36" s="372"/>
      <c r="AT36" s="372"/>
      <c r="AU36" s="372"/>
      <c r="AV36" s="372"/>
      <c r="AW36" s="372"/>
      <c r="AX36" s="372"/>
      <c r="AY36" s="372"/>
      <c r="AZ36" s="372"/>
      <c r="BA36" s="372"/>
      <c r="BB36" s="372"/>
      <c r="BC36" s="372"/>
      <c r="BD36" s="372"/>
      <c r="BE36" s="372"/>
      <c r="BF36" s="372"/>
      <c r="BG36" s="372"/>
      <c r="BH36" s="372"/>
      <c r="BI36" s="372"/>
      <c r="BJ36" s="372"/>
      <c r="BK36" s="372"/>
      <c r="BL36" s="372"/>
      <c r="BM36" s="372"/>
      <c r="BN36" s="372"/>
      <c r="BO36" s="372"/>
      <c r="BP36" s="372"/>
      <c r="BQ36" s="372"/>
      <c r="BR36" s="372"/>
      <c r="BS36" s="372"/>
      <c r="BT36" s="372"/>
      <c r="BU36" s="372"/>
      <c r="BV36" s="372"/>
      <c r="BW36" s="372"/>
      <c r="BX36" s="372"/>
      <c r="BY36" s="372"/>
      <c r="BZ36" s="372"/>
      <c r="CA36" s="372"/>
      <c r="CB36" s="372"/>
      <c r="CC36" s="372"/>
      <c r="CD36" s="372"/>
      <c r="CE36" s="372"/>
      <c r="CF36" s="372"/>
      <c r="CG36" s="372"/>
      <c r="CH36" s="372"/>
      <c r="CI36" s="372"/>
      <c r="CJ36" s="372"/>
      <c r="CK36" s="372"/>
      <c r="CL36" s="372"/>
      <c r="CM36" s="372"/>
      <c r="CN36" s="372"/>
      <c r="CO36" s="372"/>
      <c r="CP36" s="372"/>
      <c r="CQ36" s="372"/>
      <c r="CR36" s="372"/>
      <c r="CS36" s="372"/>
      <c r="CT36" s="372"/>
      <c r="CU36" s="372"/>
      <c r="CV36" s="372"/>
      <c r="CW36" s="372"/>
      <c r="CX36" s="372"/>
      <c r="CY36" s="372"/>
      <c r="CZ36" s="372"/>
      <c r="DA36" s="372"/>
      <c r="DB36" s="372"/>
      <c r="DC36" s="372"/>
      <c r="DD36" s="372"/>
      <c r="DE36" s="372"/>
      <c r="DF36" s="372"/>
      <c r="DG36" s="372"/>
      <c r="DH36" s="372"/>
      <c r="DI36" s="372"/>
      <c r="DJ36" s="372"/>
      <c r="DK36" s="372"/>
      <c r="DL36" s="372"/>
      <c r="DM36" s="372"/>
      <c r="DN36" s="372"/>
      <c r="DO36" s="372"/>
      <c r="DP36" s="372"/>
      <c r="DQ36" s="372"/>
      <c r="DR36" s="372"/>
      <c r="DS36" s="372"/>
      <c r="DT36" s="372"/>
      <c r="DU36" s="372"/>
      <c r="DV36" s="372"/>
      <c r="DW36" s="372"/>
      <c r="DX36" s="372"/>
      <c r="DY36" s="372"/>
      <c r="DZ36" s="372"/>
      <c r="EA36" s="372"/>
      <c r="EB36" s="372"/>
      <c r="EC36" s="372"/>
      <c r="ED36" s="372"/>
      <c r="EE36" s="372"/>
      <c r="EF36" s="372"/>
      <c r="EG36" s="372"/>
      <c r="EH36" s="372"/>
      <c r="EI36" s="372"/>
      <c r="EJ36" s="372"/>
      <c r="EK36" s="372"/>
      <c r="EL36" s="372"/>
      <c r="EM36" s="372"/>
      <c r="EN36" s="372"/>
      <c r="EO36" s="372"/>
      <c r="EP36" s="372"/>
      <c r="EQ36" s="372"/>
      <c r="ER36" s="372"/>
      <c r="ES36" s="372"/>
      <c r="ET36" s="372"/>
      <c r="EU36" s="372"/>
      <c r="EV36" s="372"/>
      <c r="EW36" s="372"/>
      <c r="EX36" s="372"/>
      <c r="EY36" s="372"/>
      <c r="EZ36" s="372"/>
      <c r="FA36" s="372"/>
      <c r="FB36" s="372"/>
      <c r="FC36" s="372"/>
      <c r="FD36" s="372"/>
      <c r="FE36" s="372"/>
      <c r="FF36" s="372"/>
      <c r="FG36" s="372"/>
      <c r="FH36" s="372"/>
      <c r="FI36" s="372"/>
      <c r="FJ36" s="372"/>
      <c r="FK36" s="372"/>
      <c r="FL36" s="372"/>
      <c r="FM36" s="372"/>
      <c r="FN36" s="372"/>
      <c r="FO36" s="372"/>
      <c r="FP36" s="372"/>
      <c r="FQ36" s="372"/>
      <c r="FR36" s="372"/>
      <c r="FS36" s="372"/>
      <c r="FT36" s="372"/>
      <c r="FU36" s="372"/>
      <c r="FV36" s="372"/>
      <c r="FW36" s="372"/>
      <c r="FX36" s="372"/>
      <c r="FY36" s="372"/>
      <c r="FZ36" s="372"/>
      <c r="GA36" s="372"/>
      <c r="GB36" s="372"/>
      <c r="GC36" s="372"/>
      <c r="GD36" s="372"/>
      <c r="GE36" s="372"/>
      <c r="GF36" s="372"/>
      <c r="GG36" s="372"/>
      <c r="GH36" s="372"/>
      <c r="GI36" s="372"/>
      <c r="GJ36" s="372"/>
      <c r="GK36" s="372"/>
      <c r="GL36" s="372"/>
      <c r="GM36" s="372"/>
      <c r="GN36" s="372"/>
      <c r="GO36" s="372"/>
      <c r="GP36" s="372"/>
      <c r="GQ36" s="372"/>
      <c r="GR36" s="372"/>
      <c r="GS36" s="372"/>
      <c r="GT36" s="372"/>
      <c r="GU36" s="372"/>
      <c r="GV36" s="372"/>
      <c r="GW36" s="372"/>
      <c r="GX36" s="372"/>
      <c r="GY36" s="372"/>
      <c r="GZ36" s="372"/>
      <c r="HA36" s="372"/>
      <c r="HB36" s="372"/>
      <c r="HC36" s="372"/>
      <c r="HD36" s="372"/>
      <c r="HE36" s="372"/>
      <c r="HF36" s="372"/>
      <c r="HG36" s="372"/>
      <c r="HH36" s="372"/>
      <c r="HI36" s="372"/>
      <c r="HJ36" s="372"/>
      <c r="HK36" s="372"/>
      <c r="HL36" s="372"/>
      <c r="HM36" s="372"/>
      <c r="HN36" s="372"/>
      <c r="HO36" s="372"/>
      <c r="HP36" s="372"/>
      <c r="HQ36" s="372"/>
      <c r="HR36" s="372"/>
      <c r="HS36" s="372"/>
      <c r="HT36" s="372"/>
      <c r="HU36" s="372"/>
      <c r="HV36" s="372"/>
      <c r="HW36" s="372"/>
      <c r="HX36" s="372"/>
      <c r="HY36" s="372"/>
      <c r="HZ36" s="372"/>
      <c r="IA36" s="372"/>
      <c r="IB36" s="372"/>
      <c r="IC36" s="372"/>
      <c r="ID36" s="372"/>
      <c r="IE36" s="372"/>
      <c r="IF36" s="372"/>
      <c r="IG36" s="372"/>
      <c r="IH36" s="372"/>
      <c r="II36" s="372"/>
      <c r="IJ36" s="372"/>
      <c r="IK36" s="372"/>
      <c r="IL36" s="372"/>
      <c r="IM36" s="372"/>
      <c r="IN36" s="372"/>
      <c r="IO36" s="372"/>
      <c r="IP36" s="372"/>
      <c r="IQ36" s="372"/>
      <c r="IR36" s="372"/>
      <c r="IS36" s="372"/>
      <c r="IT36" s="372"/>
      <c r="IU36" s="372"/>
      <c r="IV36" s="372"/>
      <c r="IW36" s="372"/>
      <c r="IX36" s="372"/>
      <c r="IY36" s="372"/>
      <c r="IZ36" s="372"/>
      <c r="JA36" s="372"/>
      <c r="JB36" s="372"/>
      <c r="JC36" s="372"/>
      <c r="JD36" s="372"/>
      <c r="JE36" s="372"/>
      <c r="JF36" s="372"/>
      <c r="JG36" s="372"/>
      <c r="JH36" s="372"/>
      <c r="JI36" s="408">
        <f t="shared" si="0"/>
        <v>0</v>
      </c>
      <c r="JJ36" s="409">
        <v>37179</v>
      </c>
      <c r="JK36" s="288">
        <v>0</v>
      </c>
      <c r="JL36" s="286">
        <f t="shared" si="1"/>
        <v>0</v>
      </c>
      <c r="JM36" s="372"/>
      <c r="JN36" s="410"/>
      <c r="JO36" s="372"/>
      <c r="JP36" s="372"/>
      <c r="AQT36" s="317"/>
    </row>
    <row r="37" spans="1:276 1138:1138" s="167" customFormat="1" ht="15.6" x14ac:dyDescent="0.3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286"/>
      <c r="AE37" s="286"/>
      <c r="AF37" s="286"/>
      <c r="AG37" s="286"/>
      <c r="AH37" s="286"/>
      <c r="AI37" s="286"/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  <c r="AV37" s="286"/>
      <c r="AW37" s="286"/>
      <c r="AX37" s="286"/>
      <c r="AY37" s="286"/>
      <c r="AZ37" s="286"/>
      <c r="BA37" s="286"/>
      <c r="BB37" s="286"/>
      <c r="BC37" s="286"/>
      <c r="BD37" s="286"/>
      <c r="BE37" s="286"/>
      <c r="BF37" s="286"/>
      <c r="BG37" s="286"/>
      <c r="BH37" s="286"/>
      <c r="BI37" s="286"/>
      <c r="BJ37" s="286"/>
      <c r="BK37" s="286"/>
      <c r="BL37" s="286"/>
      <c r="BM37" s="286"/>
      <c r="BN37" s="286"/>
      <c r="BO37" s="286"/>
      <c r="BP37" s="286"/>
      <c r="BQ37" s="286"/>
      <c r="BR37" s="286"/>
      <c r="BS37" s="286"/>
      <c r="BT37" s="286"/>
      <c r="BU37" s="286"/>
      <c r="BV37" s="286"/>
      <c r="BW37" s="286"/>
      <c r="BX37" s="286">
        <v>42142.86</v>
      </c>
      <c r="BY37" s="286"/>
      <c r="BZ37" s="286"/>
      <c r="CA37" s="286"/>
      <c r="CB37" s="286"/>
      <c r="CC37" s="286"/>
      <c r="CD37" s="286"/>
      <c r="CE37" s="286"/>
      <c r="CF37" s="286"/>
      <c r="CG37" s="286"/>
      <c r="CH37" s="286"/>
      <c r="CI37" s="286"/>
      <c r="CJ37" s="286"/>
      <c r="CK37" s="286"/>
      <c r="CL37" s="286"/>
      <c r="CM37" s="286"/>
      <c r="CN37" s="286"/>
      <c r="CO37" s="286"/>
      <c r="CP37" s="286"/>
      <c r="CQ37" s="286"/>
      <c r="CR37" s="286"/>
      <c r="CS37" s="286"/>
      <c r="CT37" s="286"/>
      <c r="CU37" s="286"/>
      <c r="CV37" s="286"/>
      <c r="CW37" s="286"/>
      <c r="CX37" s="286"/>
      <c r="CY37" s="286"/>
      <c r="CZ37" s="286"/>
      <c r="DA37" s="286"/>
      <c r="DB37" s="286"/>
      <c r="DC37" s="286"/>
      <c r="DD37" s="286"/>
      <c r="DE37" s="286"/>
      <c r="DF37" s="286"/>
      <c r="DG37" s="286"/>
      <c r="DH37" s="286"/>
      <c r="DI37" s="286"/>
      <c r="DJ37" s="286"/>
      <c r="DK37" s="286"/>
      <c r="DL37" s="286"/>
      <c r="DM37" s="286"/>
      <c r="DN37" s="286"/>
      <c r="DO37" s="286"/>
      <c r="DP37" s="286"/>
      <c r="DQ37" s="286"/>
      <c r="DR37" s="286"/>
      <c r="DS37" s="286"/>
      <c r="DT37" s="286"/>
      <c r="DU37" s="286"/>
      <c r="DV37" s="286"/>
      <c r="DW37" s="286"/>
      <c r="DX37" s="286"/>
      <c r="DY37" s="286"/>
      <c r="DZ37" s="286"/>
      <c r="EA37" s="286"/>
      <c r="EB37" s="286"/>
      <c r="EC37" s="286"/>
      <c r="ED37" s="286"/>
      <c r="EE37" s="286"/>
      <c r="EF37" s="286"/>
      <c r="EG37" s="286"/>
      <c r="EH37" s="286"/>
      <c r="EI37" s="286"/>
      <c r="EJ37" s="286"/>
      <c r="EK37" s="286"/>
      <c r="EL37" s="286"/>
      <c r="EM37" s="286"/>
      <c r="EN37" s="286"/>
      <c r="EO37" s="286"/>
      <c r="EP37" s="286"/>
      <c r="EQ37" s="286"/>
      <c r="ER37" s="286"/>
      <c r="ES37" s="286"/>
      <c r="ET37" s="286"/>
      <c r="EU37" s="286"/>
      <c r="EV37" s="286"/>
      <c r="EW37" s="286"/>
      <c r="EX37" s="286"/>
      <c r="EY37" s="286"/>
      <c r="EZ37" s="286"/>
      <c r="FA37" s="286"/>
      <c r="FB37" s="286"/>
      <c r="FC37" s="286"/>
      <c r="FD37" s="286"/>
      <c r="FE37" s="286"/>
      <c r="FF37" s="286"/>
      <c r="FG37" s="286"/>
      <c r="FH37" s="286"/>
      <c r="FI37" s="286"/>
      <c r="FJ37" s="286"/>
      <c r="FK37" s="286"/>
      <c r="FL37" s="286"/>
      <c r="FM37" s="286"/>
      <c r="FN37" s="286"/>
      <c r="FO37" s="286"/>
      <c r="FP37" s="286"/>
      <c r="FQ37" s="286"/>
      <c r="FR37" s="286"/>
      <c r="FS37" s="286"/>
      <c r="FT37" s="374"/>
      <c r="FU37" s="286"/>
      <c r="FV37" s="286"/>
      <c r="FW37" s="286"/>
      <c r="FX37" s="286"/>
      <c r="FY37" s="286"/>
      <c r="FZ37" s="286"/>
      <c r="GA37" s="286"/>
      <c r="GB37" s="286"/>
      <c r="GC37" s="286"/>
      <c r="GD37" s="286"/>
      <c r="GE37" s="286"/>
      <c r="GF37" s="286"/>
      <c r="GG37" s="286"/>
      <c r="GH37" s="286"/>
      <c r="GI37" s="286"/>
      <c r="GJ37" s="286"/>
      <c r="GK37" s="286"/>
      <c r="GL37" s="286"/>
      <c r="GM37" s="286"/>
      <c r="GN37" s="286"/>
      <c r="GO37" s="286"/>
      <c r="GP37" s="286"/>
      <c r="GQ37" s="286"/>
      <c r="GR37" s="286"/>
      <c r="GS37" s="286"/>
      <c r="GT37" s="286"/>
      <c r="GU37" s="286"/>
      <c r="GV37" s="286"/>
      <c r="GW37" s="286"/>
      <c r="GX37" s="286"/>
      <c r="GY37" s="286"/>
      <c r="GZ37" s="286"/>
      <c r="HA37" s="286"/>
      <c r="HB37" s="286"/>
      <c r="HC37" s="286"/>
      <c r="HD37" s="286"/>
      <c r="HE37" s="286"/>
      <c r="HF37" s="286"/>
      <c r="HG37" s="286"/>
      <c r="HH37" s="286"/>
      <c r="HI37" s="286"/>
      <c r="HJ37" s="286"/>
      <c r="HK37" s="286"/>
      <c r="HL37" s="286"/>
      <c r="HM37" s="286"/>
      <c r="HN37" s="286"/>
      <c r="HO37" s="286"/>
      <c r="HP37" s="286"/>
      <c r="HQ37" s="286"/>
      <c r="HR37" s="286"/>
      <c r="HS37" s="286"/>
      <c r="HT37" s="286"/>
      <c r="HU37" s="286"/>
      <c r="HV37" s="286"/>
      <c r="HW37" s="286"/>
      <c r="HX37" s="286"/>
      <c r="HY37" s="286"/>
      <c r="HZ37" s="286"/>
      <c r="IA37" s="286"/>
      <c r="IB37" s="286"/>
      <c r="IC37" s="286"/>
      <c r="ID37" s="286"/>
      <c r="IE37" s="286"/>
      <c r="IF37" s="286"/>
      <c r="IG37" s="286"/>
      <c r="IH37" s="286"/>
      <c r="II37" s="286"/>
      <c r="IJ37" s="286"/>
      <c r="IK37" s="286"/>
      <c r="IL37" s="286"/>
      <c r="IM37" s="286"/>
      <c r="IN37" s="286"/>
      <c r="IO37" s="286"/>
      <c r="IP37" s="286"/>
      <c r="IQ37" s="286"/>
      <c r="IR37" s="286"/>
      <c r="IS37" s="286"/>
      <c r="IT37" s="286"/>
      <c r="IU37" s="286"/>
      <c r="IV37" s="286"/>
      <c r="IW37" s="286"/>
      <c r="IX37" s="286"/>
      <c r="IY37" s="286"/>
      <c r="IZ37" s="286"/>
      <c r="JA37" s="286"/>
      <c r="JB37" s="286"/>
      <c r="JC37" s="286"/>
      <c r="JD37" s="286"/>
      <c r="JE37" s="286"/>
      <c r="JF37" s="286"/>
      <c r="JG37" s="286"/>
      <c r="JH37" s="286"/>
      <c r="JI37" s="287">
        <f t="shared" si="0"/>
        <v>42142.86</v>
      </c>
      <c r="JJ37" s="315">
        <v>37180</v>
      </c>
      <c r="JK37" s="288">
        <v>35000</v>
      </c>
      <c r="JL37" s="286">
        <f t="shared" si="1"/>
        <v>7142.8600000000006</v>
      </c>
      <c r="JM37" s="286"/>
      <c r="JN37" s="289"/>
      <c r="JO37" s="286"/>
      <c r="JP37" s="286"/>
      <c r="AQT37" s="317"/>
    </row>
    <row r="38" spans="1:276 1138:1138" s="167" customFormat="1" ht="15.6" x14ac:dyDescent="0.3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CH38" s="286"/>
      <c r="CI38" s="286"/>
      <c r="CJ38" s="286"/>
      <c r="CK38" s="286"/>
      <c r="CL38" s="286"/>
      <c r="CM38" s="286"/>
      <c r="CN38" s="286"/>
      <c r="CO38" s="286"/>
      <c r="CP38" s="286"/>
      <c r="CQ38" s="286"/>
      <c r="CR38" s="286"/>
      <c r="CS38" s="286"/>
      <c r="CT38" s="286"/>
      <c r="CU38" s="286"/>
      <c r="CV38" s="286"/>
      <c r="CW38" s="286"/>
      <c r="CX38" s="286"/>
      <c r="CY38" s="286"/>
      <c r="CZ38" s="286"/>
      <c r="DA38" s="286"/>
      <c r="DB38" s="286"/>
      <c r="DC38" s="286"/>
      <c r="DD38" s="286"/>
      <c r="DE38" s="286"/>
      <c r="DF38" s="286"/>
      <c r="DG38" s="286"/>
      <c r="DH38" s="286"/>
      <c r="DI38" s="286"/>
      <c r="DJ38" s="286"/>
      <c r="DK38" s="286"/>
      <c r="DL38" s="286"/>
      <c r="DM38" s="286"/>
      <c r="DN38" s="286"/>
      <c r="DO38" s="286"/>
      <c r="DP38" s="286"/>
      <c r="DQ38" s="286"/>
      <c r="DR38" s="286"/>
      <c r="DS38" s="286"/>
      <c r="DT38" s="286"/>
      <c r="DU38" s="286"/>
      <c r="DV38" s="286"/>
      <c r="DW38" s="286"/>
      <c r="DX38" s="286"/>
      <c r="DY38" s="286"/>
      <c r="DZ38" s="286"/>
      <c r="EA38" s="286"/>
      <c r="EB38" s="286"/>
      <c r="EC38" s="286"/>
      <c r="ED38" s="286"/>
      <c r="EE38" s="286"/>
      <c r="EF38" s="286"/>
      <c r="EG38" s="286"/>
      <c r="EH38" s="286"/>
      <c r="EI38" s="286"/>
      <c r="EJ38" s="286"/>
      <c r="EK38" s="286"/>
      <c r="EL38" s="286"/>
      <c r="EM38" s="286"/>
      <c r="EN38" s="286"/>
      <c r="EO38" s="286"/>
      <c r="EP38" s="286"/>
      <c r="EQ38" s="286"/>
      <c r="ER38" s="286"/>
      <c r="ES38" s="286"/>
      <c r="ET38" s="286"/>
      <c r="EU38" s="286"/>
      <c r="EV38" s="286"/>
      <c r="EW38" s="286"/>
      <c r="EX38" s="286"/>
      <c r="EY38" s="286"/>
      <c r="EZ38" s="286"/>
      <c r="FA38" s="286"/>
      <c r="FB38" s="286"/>
      <c r="FC38" s="286"/>
      <c r="FD38" s="286"/>
      <c r="FE38" s="286"/>
      <c r="FF38" s="286"/>
      <c r="FG38" s="286"/>
      <c r="FH38" s="286"/>
      <c r="FI38" s="286"/>
      <c r="FJ38" s="286"/>
      <c r="FK38" s="286"/>
      <c r="FL38" s="286"/>
      <c r="FM38" s="286"/>
      <c r="FN38" s="286"/>
      <c r="FO38" s="286"/>
      <c r="FP38" s="286"/>
      <c r="FQ38" s="286"/>
      <c r="FR38" s="286"/>
      <c r="FS38" s="286"/>
      <c r="FT38" s="286"/>
      <c r="FU38" s="286"/>
      <c r="FV38" s="286"/>
      <c r="FW38" s="286"/>
      <c r="FX38" s="286"/>
      <c r="FY38" s="286"/>
      <c r="FZ38" s="286"/>
      <c r="GA38" s="437">
        <v>50927.38</v>
      </c>
      <c r="GB38" s="286"/>
      <c r="GC38" s="286"/>
      <c r="GD38" s="286"/>
      <c r="GE38" s="286"/>
      <c r="GF38" s="286"/>
      <c r="GG38" s="286"/>
      <c r="GH38" s="286"/>
      <c r="GI38" s="286"/>
      <c r="GJ38" s="286"/>
      <c r="GK38" s="286"/>
      <c r="GL38" s="286"/>
      <c r="GM38" s="286"/>
      <c r="GN38" s="286"/>
      <c r="GO38" s="286"/>
      <c r="GP38" s="286"/>
      <c r="GQ38" s="286"/>
      <c r="GR38" s="286"/>
      <c r="GS38" s="286"/>
      <c r="GT38" s="286"/>
      <c r="GU38" s="286"/>
      <c r="GV38" s="286"/>
      <c r="GW38" s="286"/>
      <c r="GX38" s="286"/>
      <c r="GY38" s="286"/>
      <c r="GZ38" s="286"/>
      <c r="HA38" s="286"/>
      <c r="HB38" s="286"/>
      <c r="HC38" s="286"/>
      <c r="HD38" s="286"/>
      <c r="HE38" s="286"/>
      <c r="HF38" s="286"/>
      <c r="HG38" s="286"/>
      <c r="HH38" s="286"/>
      <c r="HI38" s="286"/>
      <c r="HJ38" s="286"/>
      <c r="HK38" s="286"/>
      <c r="HL38" s="286"/>
      <c r="HM38" s="286"/>
      <c r="HN38" s="286"/>
      <c r="HO38" s="286"/>
      <c r="HP38" s="286"/>
      <c r="HQ38" s="286"/>
      <c r="HR38" s="286"/>
      <c r="HS38" s="286"/>
      <c r="HT38" s="286"/>
      <c r="HU38" s="286"/>
      <c r="HV38" s="286"/>
      <c r="HW38" s="286"/>
      <c r="HX38" s="286"/>
      <c r="HY38" s="286"/>
      <c r="HZ38" s="286"/>
      <c r="IA38" s="286"/>
      <c r="IB38" s="286"/>
      <c r="IC38" s="286"/>
      <c r="ID38" s="286"/>
      <c r="IE38" s="286"/>
      <c r="IF38" s="286"/>
      <c r="IG38" s="286"/>
      <c r="IH38" s="286"/>
      <c r="II38" s="286"/>
      <c r="IJ38" s="286"/>
      <c r="IK38" s="286"/>
      <c r="IL38" s="286"/>
      <c r="IM38" s="286"/>
      <c r="IN38" s="286"/>
      <c r="IO38" s="286"/>
      <c r="IP38" s="286"/>
      <c r="IQ38" s="286"/>
      <c r="IR38" s="286"/>
      <c r="IS38" s="286"/>
      <c r="IT38" s="286"/>
      <c r="IU38" s="286"/>
      <c r="IV38" s="286"/>
      <c r="IW38" s="286"/>
      <c r="IX38" s="286"/>
      <c r="IY38" s="286"/>
      <c r="IZ38" s="286"/>
      <c r="JA38" s="286"/>
      <c r="JB38" s="286"/>
      <c r="JC38" s="286"/>
      <c r="JD38" s="286"/>
      <c r="JE38" s="286"/>
      <c r="JF38" s="286"/>
      <c r="JG38" s="286"/>
      <c r="JH38" s="286"/>
      <c r="JI38" s="287">
        <f t="shared" si="0"/>
        <v>50927.38</v>
      </c>
      <c r="JJ38" s="315">
        <v>37181</v>
      </c>
      <c r="JK38" s="288">
        <v>50927.38</v>
      </c>
      <c r="JL38" s="286">
        <f t="shared" si="1"/>
        <v>0</v>
      </c>
      <c r="JM38" s="286"/>
      <c r="JN38" s="289"/>
      <c r="JO38" s="286"/>
      <c r="JP38" s="286"/>
      <c r="AQT38" s="317"/>
    </row>
    <row r="39" spans="1:276 1138:1138" s="167" customFormat="1" ht="15.6" x14ac:dyDescent="0.3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>
        <v>18061.22</v>
      </c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  <c r="IW39" s="286"/>
      <c r="IX39" s="286"/>
      <c r="IY39" s="286"/>
      <c r="IZ39" s="286"/>
      <c r="JA39" s="286"/>
      <c r="JB39" s="286"/>
      <c r="JC39" s="286"/>
      <c r="JD39" s="286"/>
      <c r="JE39" s="286"/>
      <c r="JF39" s="286"/>
      <c r="JG39" s="286"/>
      <c r="JH39" s="286"/>
      <c r="JI39" s="287">
        <f t="shared" si="0"/>
        <v>18061.22</v>
      </c>
      <c r="JJ39" s="315">
        <v>37182</v>
      </c>
      <c r="JK39" s="288">
        <v>15000</v>
      </c>
      <c r="JL39" s="286">
        <f t="shared" si="1"/>
        <v>3061.2200000000012</v>
      </c>
      <c r="JM39" s="286"/>
      <c r="JN39" s="289"/>
      <c r="JO39" s="286"/>
      <c r="JP39" s="286"/>
      <c r="AQT39" s="317"/>
    </row>
    <row r="40" spans="1:276 1138:1138" s="167" customFormat="1" ht="15.6" x14ac:dyDescent="0.3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>
        <v>21673.47</v>
      </c>
      <c r="BY40" s="286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  <c r="CK40" s="286"/>
      <c r="CL40" s="286"/>
      <c r="CM40" s="286"/>
      <c r="CN40" s="286"/>
      <c r="CO40" s="286"/>
      <c r="CP40" s="286"/>
      <c r="CQ40" s="286"/>
      <c r="CR40" s="286"/>
      <c r="CS40" s="286"/>
      <c r="CT40" s="286"/>
      <c r="CU40" s="286"/>
      <c r="CV40" s="286"/>
      <c r="CW40" s="286"/>
      <c r="CX40" s="286"/>
      <c r="CY40" s="286"/>
      <c r="CZ40" s="286"/>
      <c r="DA40" s="286"/>
      <c r="DB40" s="286"/>
      <c r="DC40" s="286"/>
      <c r="DD40" s="286"/>
      <c r="DE40" s="286"/>
      <c r="DF40" s="286"/>
      <c r="DG40" s="286"/>
      <c r="DH40" s="286"/>
      <c r="DI40" s="286"/>
      <c r="DJ40" s="286"/>
      <c r="DK40" s="286"/>
      <c r="DL40" s="286"/>
      <c r="DM40" s="286"/>
      <c r="DN40" s="286"/>
      <c r="DO40" s="286"/>
      <c r="DP40" s="286"/>
      <c r="DQ40" s="286"/>
      <c r="DR40" s="286"/>
      <c r="DS40" s="286"/>
      <c r="DT40" s="286"/>
      <c r="DU40" s="286"/>
      <c r="DV40" s="286"/>
      <c r="DW40" s="286"/>
      <c r="DX40" s="286"/>
      <c r="DY40" s="286"/>
      <c r="DZ40" s="286"/>
      <c r="EA40" s="286"/>
      <c r="EB40" s="286"/>
      <c r="EC40" s="286"/>
      <c r="ED40" s="286"/>
      <c r="EE40" s="286"/>
      <c r="EF40" s="286"/>
      <c r="EG40" s="286"/>
      <c r="EH40" s="286"/>
      <c r="EI40" s="286"/>
      <c r="EJ40" s="286"/>
      <c r="EK40" s="286"/>
      <c r="EL40" s="286"/>
      <c r="EM40" s="286"/>
      <c r="EN40" s="286"/>
      <c r="EO40" s="286"/>
      <c r="EP40" s="286"/>
      <c r="EQ40" s="286"/>
      <c r="ER40" s="286"/>
      <c r="ES40" s="286"/>
      <c r="ET40" s="286"/>
      <c r="EU40" s="286"/>
      <c r="EV40" s="286"/>
      <c r="EW40" s="286"/>
      <c r="EX40" s="286"/>
      <c r="EY40" s="286"/>
      <c r="EZ40" s="286"/>
      <c r="FA40" s="286"/>
      <c r="FB40" s="286"/>
      <c r="FC40" s="286"/>
      <c r="FD40" s="286"/>
      <c r="FE40" s="286"/>
      <c r="FF40" s="286"/>
      <c r="FG40" s="286"/>
      <c r="FH40" s="286"/>
      <c r="FI40" s="286"/>
      <c r="FJ40" s="286"/>
      <c r="FK40" s="286"/>
      <c r="FL40" s="286"/>
      <c r="FM40" s="286"/>
      <c r="FN40" s="286"/>
      <c r="FO40" s="286"/>
      <c r="FP40" s="286"/>
      <c r="FQ40" s="286"/>
      <c r="FR40" s="286"/>
      <c r="FS40" s="286"/>
      <c r="FT40" s="286"/>
      <c r="FU40" s="286"/>
      <c r="FV40" s="286"/>
      <c r="FW40" s="286"/>
      <c r="FX40" s="286"/>
      <c r="FY40" s="286"/>
      <c r="FZ40" s="286"/>
      <c r="GA40" s="286"/>
      <c r="GB40" s="286"/>
      <c r="GC40" s="286"/>
      <c r="GD40" s="286"/>
      <c r="GE40" s="286"/>
      <c r="GF40" s="286"/>
      <c r="GG40" s="286"/>
      <c r="GH40" s="286"/>
      <c r="GI40" s="286"/>
      <c r="GJ40" s="286"/>
      <c r="GK40" s="286"/>
      <c r="GL40" s="286"/>
      <c r="GM40" s="286"/>
      <c r="GN40" s="286"/>
      <c r="GO40" s="286"/>
      <c r="GP40" s="286"/>
      <c r="GQ40" s="286"/>
      <c r="GR40" s="286"/>
      <c r="GS40" s="286"/>
      <c r="GT40" s="286"/>
      <c r="GU40" s="286"/>
      <c r="GV40" s="286"/>
      <c r="GW40" s="286"/>
      <c r="GX40" s="286"/>
      <c r="GY40" s="286"/>
      <c r="GZ40" s="286"/>
      <c r="HA40" s="286"/>
      <c r="HB40" s="286"/>
      <c r="HC40" s="286"/>
      <c r="HD40" s="286"/>
      <c r="HE40" s="286"/>
      <c r="HF40" s="286"/>
      <c r="HG40" s="286"/>
      <c r="HH40" s="286"/>
      <c r="HI40" s="286"/>
      <c r="HJ40" s="286"/>
      <c r="HK40" s="286"/>
      <c r="HL40" s="286"/>
      <c r="HM40" s="286"/>
      <c r="HN40" s="286"/>
      <c r="HO40" s="286"/>
      <c r="HP40" s="286"/>
      <c r="HQ40" s="286"/>
      <c r="HR40" s="286"/>
      <c r="HS40" s="286"/>
      <c r="HT40" s="286"/>
      <c r="HU40" s="286"/>
      <c r="HV40" s="286"/>
      <c r="HW40" s="286"/>
      <c r="HX40" s="286"/>
      <c r="HY40" s="286"/>
      <c r="HZ40" s="286"/>
      <c r="IA40" s="286"/>
      <c r="IB40" s="286"/>
      <c r="IC40" s="286"/>
      <c r="ID40" s="286"/>
      <c r="IE40" s="286"/>
      <c r="IF40" s="286"/>
      <c r="IG40" s="286"/>
      <c r="IH40" s="286"/>
      <c r="II40" s="286"/>
      <c r="IJ40" s="286"/>
      <c r="IK40" s="286"/>
      <c r="IL40" s="286"/>
      <c r="IM40" s="286"/>
      <c r="IN40" s="286"/>
      <c r="IO40" s="286"/>
      <c r="IP40" s="286"/>
      <c r="IQ40" s="286"/>
      <c r="IR40" s="286"/>
      <c r="IS40" s="286"/>
      <c r="IT40" s="286"/>
      <c r="IU40" s="286"/>
      <c r="IV40" s="286"/>
      <c r="IW40" s="286"/>
      <c r="IX40" s="286"/>
      <c r="IY40" s="286"/>
      <c r="IZ40" s="286"/>
      <c r="JA40" s="286"/>
      <c r="JB40" s="286"/>
      <c r="JC40" s="286"/>
      <c r="JD40" s="286"/>
      <c r="JE40" s="286"/>
      <c r="JF40" s="286"/>
      <c r="JG40" s="286"/>
      <c r="JH40" s="286"/>
      <c r="JI40" s="287">
        <f t="shared" si="0"/>
        <v>21673.47</v>
      </c>
      <c r="JJ40" s="315">
        <v>37183</v>
      </c>
      <c r="JK40" s="288">
        <v>18000</v>
      </c>
      <c r="JL40" s="286">
        <f t="shared" si="1"/>
        <v>3673.4700000000012</v>
      </c>
      <c r="JM40" s="286"/>
      <c r="JN40" s="289"/>
      <c r="JO40" s="286"/>
      <c r="JP40" s="286"/>
      <c r="AQT40" s="317"/>
    </row>
    <row r="41" spans="1:276 1138:1138" s="167" customFormat="1" ht="15.6" x14ac:dyDescent="0.3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/>
      <c r="BE41" s="286"/>
      <c r="BF41" s="286"/>
      <c r="BG41" s="286"/>
      <c r="BH41" s="286"/>
      <c r="BI41" s="286"/>
      <c r="BJ41" s="286"/>
      <c r="BK41" s="286"/>
      <c r="BL41" s="286"/>
      <c r="BM41" s="286"/>
      <c r="BN41" s="286"/>
      <c r="BO41" s="286"/>
      <c r="BP41" s="286"/>
      <c r="BQ41" s="286"/>
      <c r="BR41" s="286"/>
      <c r="BS41" s="286"/>
      <c r="BT41" s="286"/>
      <c r="BU41" s="286"/>
      <c r="BV41" s="286"/>
      <c r="BW41" s="318"/>
      <c r="BX41" s="286">
        <v>31306.12</v>
      </c>
      <c r="BY41" s="286"/>
      <c r="BZ41" s="286"/>
      <c r="CA41" s="286"/>
      <c r="CB41" s="286"/>
      <c r="CC41" s="286"/>
      <c r="CD41" s="286"/>
      <c r="CE41" s="286"/>
      <c r="CF41" s="286"/>
      <c r="CG41" s="286"/>
      <c r="CH41" s="286"/>
      <c r="CI41" s="286"/>
      <c r="CJ41" s="286"/>
      <c r="CK41" s="286"/>
      <c r="CL41" s="286"/>
      <c r="CM41" s="286"/>
      <c r="CN41" s="286"/>
      <c r="CO41" s="286"/>
      <c r="CP41" s="286"/>
      <c r="CQ41" s="286"/>
      <c r="CR41" s="286"/>
      <c r="CS41" s="286"/>
      <c r="CT41" s="286"/>
      <c r="CU41" s="286"/>
      <c r="CV41" s="286"/>
      <c r="CW41" s="286"/>
      <c r="CX41" s="286"/>
      <c r="CY41" s="286"/>
      <c r="CZ41" s="286"/>
      <c r="DA41" s="286"/>
      <c r="DB41" s="286"/>
      <c r="DC41" s="286"/>
      <c r="DD41" s="286"/>
      <c r="DE41" s="286"/>
      <c r="DF41" s="286"/>
      <c r="DG41" s="286"/>
      <c r="DH41" s="286"/>
      <c r="DI41" s="286"/>
      <c r="DJ41" s="286"/>
      <c r="DK41" s="286"/>
      <c r="DL41" s="286"/>
      <c r="DM41" s="286"/>
      <c r="DN41" s="286"/>
      <c r="DO41" s="286"/>
      <c r="DP41" s="286"/>
      <c r="DQ41" s="286"/>
      <c r="DR41" s="286"/>
      <c r="DS41" s="286"/>
      <c r="DT41" s="286"/>
      <c r="DU41" s="286"/>
      <c r="DV41" s="286"/>
      <c r="DW41" s="286"/>
      <c r="DX41" s="286"/>
      <c r="DY41" s="286"/>
      <c r="DZ41" s="286"/>
      <c r="EA41" s="286"/>
      <c r="EB41" s="286"/>
      <c r="EC41" s="286"/>
      <c r="ED41" s="286"/>
      <c r="EE41" s="286"/>
      <c r="EF41" s="286"/>
      <c r="EG41" s="286"/>
      <c r="EH41" s="286"/>
      <c r="EI41" s="286"/>
      <c r="EJ41" s="286"/>
      <c r="EK41" s="286"/>
      <c r="EL41" s="286"/>
      <c r="EM41" s="286"/>
      <c r="EN41" s="286"/>
      <c r="EO41" s="286"/>
      <c r="EP41" s="286"/>
      <c r="EQ41" s="286"/>
      <c r="ER41" s="286"/>
      <c r="ES41" s="286"/>
      <c r="ET41" s="286"/>
      <c r="EU41" s="286"/>
      <c r="EV41" s="286"/>
      <c r="EW41" s="286"/>
      <c r="EX41" s="286"/>
      <c r="EY41" s="286"/>
      <c r="EZ41" s="286"/>
      <c r="FA41" s="286"/>
      <c r="FB41" s="286"/>
      <c r="FC41" s="286"/>
      <c r="FD41" s="286"/>
      <c r="FE41" s="286"/>
      <c r="FF41" s="286"/>
      <c r="FG41" s="286"/>
      <c r="FH41" s="286"/>
      <c r="FI41" s="286"/>
      <c r="FJ41" s="286"/>
      <c r="FK41" s="286"/>
      <c r="FL41" s="286"/>
      <c r="FM41" s="286"/>
      <c r="FN41" s="286"/>
      <c r="FO41" s="286"/>
      <c r="FP41" s="286"/>
      <c r="FQ41" s="286"/>
      <c r="FR41" s="286"/>
      <c r="FS41" s="286"/>
      <c r="FT41" s="286"/>
      <c r="FU41" s="286"/>
      <c r="FV41" s="286"/>
      <c r="FW41" s="286"/>
      <c r="FX41" s="286"/>
      <c r="FY41" s="286"/>
      <c r="FZ41" s="286"/>
      <c r="GA41" s="286"/>
      <c r="GB41" s="286"/>
      <c r="GC41" s="286"/>
      <c r="GD41" s="286"/>
      <c r="GE41" s="286"/>
      <c r="GF41" s="286"/>
      <c r="GG41" s="286"/>
      <c r="GH41" s="286"/>
      <c r="GI41" s="286"/>
      <c r="GJ41" s="286"/>
      <c r="GK41" s="286"/>
      <c r="GL41" s="286"/>
      <c r="GM41" s="286"/>
      <c r="GN41" s="286"/>
      <c r="GO41" s="286"/>
      <c r="GP41" s="286"/>
      <c r="GQ41" s="286"/>
      <c r="GR41" s="286"/>
      <c r="GS41" s="286"/>
      <c r="GT41" s="286"/>
      <c r="GU41" s="286"/>
      <c r="GV41" s="286"/>
      <c r="GW41" s="286"/>
      <c r="GX41" s="286"/>
      <c r="GY41" s="286"/>
      <c r="GZ41" s="286"/>
      <c r="HA41" s="286"/>
      <c r="HB41" s="286"/>
      <c r="HC41" s="286"/>
      <c r="HD41" s="286"/>
      <c r="HE41" s="286"/>
      <c r="HF41" s="286"/>
      <c r="HG41" s="286"/>
      <c r="HH41" s="286"/>
      <c r="HI41" s="286"/>
      <c r="HJ41" s="286"/>
      <c r="HK41" s="286"/>
      <c r="HL41" s="286"/>
      <c r="HM41" s="286"/>
      <c r="HN41" s="286"/>
      <c r="HO41" s="286"/>
      <c r="HP41" s="286"/>
      <c r="HQ41" s="286"/>
      <c r="HR41" s="286"/>
      <c r="HS41" s="286"/>
      <c r="HT41" s="286"/>
      <c r="HU41" s="286"/>
      <c r="HV41" s="286"/>
      <c r="HW41" s="286"/>
      <c r="HX41" s="286"/>
      <c r="HY41" s="286"/>
      <c r="HZ41" s="286"/>
      <c r="IA41" s="286"/>
      <c r="IB41" s="286"/>
      <c r="IC41" s="286"/>
      <c r="ID41" s="286"/>
      <c r="IE41" s="286"/>
      <c r="IF41" s="286"/>
      <c r="IG41" s="286"/>
      <c r="IH41" s="286"/>
      <c r="II41" s="286"/>
      <c r="IJ41" s="286"/>
      <c r="IK41" s="286"/>
      <c r="IL41" s="286"/>
      <c r="IM41" s="286"/>
      <c r="IN41" s="286"/>
      <c r="IO41" s="286"/>
      <c r="IP41" s="286"/>
      <c r="IQ41" s="286"/>
      <c r="IR41" s="286"/>
      <c r="IS41" s="286"/>
      <c r="IT41" s="286"/>
      <c r="IU41" s="286"/>
      <c r="IV41" s="286"/>
      <c r="IW41" s="286"/>
      <c r="IX41" s="286"/>
      <c r="IY41" s="286"/>
      <c r="IZ41" s="286"/>
      <c r="JA41" s="286"/>
      <c r="JB41" s="286"/>
      <c r="JC41" s="286"/>
      <c r="JD41" s="286"/>
      <c r="JE41" s="286"/>
      <c r="JF41" s="286"/>
      <c r="JG41" s="286"/>
      <c r="JH41" s="286"/>
      <c r="JI41" s="287">
        <f t="shared" si="0"/>
        <v>31306.12</v>
      </c>
      <c r="JJ41" s="315">
        <v>37184</v>
      </c>
      <c r="JK41" s="288">
        <v>26000</v>
      </c>
      <c r="JL41" s="286">
        <f t="shared" si="1"/>
        <v>5306.119999999999</v>
      </c>
      <c r="JM41" s="286"/>
      <c r="JN41" s="289"/>
      <c r="JO41" s="286"/>
      <c r="JP41" s="286"/>
      <c r="AQT41" s="317"/>
    </row>
    <row r="42" spans="1:276 1138:1138" s="167" customFormat="1" ht="15.6" x14ac:dyDescent="0.3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286"/>
      <c r="AO42" s="286"/>
      <c r="AP42" s="286"/>
      <c r="AQ42" s="286"/>
      <c r="AR42" s="286"/>
      <c r="AS42" s="286"/>
      <c r="AT42" s="286"/>
      <c r="AU42" s="286"/>
      <c r="AV42" s="286"/>
      <c r="AW42" s="286"/>
      <c r="AX42" s="286"/>
      <c r="AY42" s="286"/>
      <c r="AZ42" s="286"/>
      <c r="BA42" s="286"/>
      <c r="BB42" s="286"/>
      <c r="BC42" s="286"/>
      <c r="BD42" s="286"/>
      <c r="BE42" s="286"/>
      <c r="BF42" s="286"/>
      <c r="BG42" s="286"/>
      <c r="BH42" s="286"/>
      <c r="BI42" s="286"/>
      <c r="BJ42" s="286"/>
      <c r="BK42" s="286"/>
      <c r="BL42" s="286"/>
      <c r="BM42" s="286"/>
      <c r="BN42" s="286"/>
      <c r="BO42" s="286"/>
      <c r="BP42" s="286"/>
      <c r="BQ42" s="286"/>
      <c r="BR42" s="286"/>
      <c r="BS42" s="286"/>
      <c r="BT42" s="286"/>
      <c r="BU42" s="286"/>
      <c r="BV42" s="286"/>
      <c r="BW42" s="318"/>
      <c r="BX42" s="286"/>
      <c r="BY42" s="286"/>
      <c r="BZ42" s="286"/>
      <c r="CA42" s="286"/>
      <c r="CB42" s="286"/>
      <c r="CC42" s="286"/>
      <c r="CD42" s="286"/>
      <c r="CE42" s="286"/>
      <c r="CF42" s="286"/>
      <c r="CG42" s="286"/>
      <c r="CH42" s="286"/>
      <c r="CI42" s="286"/>
      <c r="CJ42" s="286"/>
      <c r="CK42" s="286"/>
      <c r="CL42" s="286"/>
      <c r="CM42" s="286"/>
      <c r="CN42" s="286"/>
      <c r="CO42" s="286"/>
      <c r="CP42" s="286"/>
      <c r="CQ42" s="286"/>
      <c r="CR42" s="286"/>
      <c r="CS42" s="286"/>
      <c r="CT42" s="286"/>
      <c r="CU42" s="286"/>
      <c r="CV42" s="286"/>
      <c r="CW42" s="286"/>
      <c r="CX42" s="286"/>
      <c r="CY42" s="286"/>
      <c r="CZ42" s="286"/>
      <c r="DA42" s="286"/>
      <c r="DB42" s="286"/>
      <c r="DC42" s="286"/>
      <c r="DD42" s="286"/>
      <c r="DE42" s="286"/>
      <c r="DF42" s="286"/>
      <c r="DG42" s="286"/>
      <c r="DH42" s="286"/>
      <c r="DI42" s="286"/>
      <c r="DJ42" s="286"/>
      <c r="DK42" s="286"/>
      <c r="DL42" s="286"/>
      <c r="DM42" s="286"/>
      <c r="DN42" s="286"/>
      <c r="DO42" s="286"/>
      <c r="DP42" s="286"/>
      <c r="DQ42" s="286"/>
      <c r="DR42" s="286"/>
      <c r="DS42" s="286"/>
      <c r="DT42" s="286"/>
      <c r="DU42" s="286"/>
      <c r="DV42" s="286"/>
      <c r="DW42" s="286"/>
      <c r="DX42" s="286"/>
      <c r="DY42" s="286"/>
      <c r="DZ42" s="286"/>
      <c r="EA42" s="286"/>
      <c r="EB42" s="286"/>
      <c r="EC42" s="286"/>
      <c r="ED42" s="286"/>
      <c r="EE42" s="286"/>
      <c r="EF42" s="286"/>
      <c r="EG42" s="286"/>
      <c r="EH42" s="286"/>
      <c r="EI42" s="286"/>
      <c r="EJ42" s="286"/>
      <c r="EK42" s="286"/>
      <c r="EL42" s="286"/>
      <c r="EM42" s="286"/>
      <c r="EN42" s="286"/>
      <c r="EO42" s="286"/>
      <c r="EP42" s="286"/>
      <c r="EQ42" s="286"/>
      <c r="ER42" s="286"/>
      <c r="ES42" s="286"/>
      <c r="ET42" s="286"/>
      <c r="EU42" s="286"/>
      <c r="EV42" s="286"/>
      <c r="EW42" s="286"/>
      <c r="EX42" s="286"/>
      <c r="EY42" s="286"/>
      <c r="EZ42" s="286"/>
      <c r="FA42" s="286"/>
      <c r="FB42" s="286"/>
      <c r="FC42" s="286"/>
      <c r="FD42" s="286"/>
      <c r="FE42" s="286"/>
      <c r="FF42" s="286"/>
      <c r="FG42" s="286"/>
      <c r="FH42" s="286"/>
      <c r="FI42" s="286"/>
      <c r="FJ42" s="286"/>
      <c r="FK42" s="286"/>
      <c r="FL42" s="286"/>
      <c r="FM42" s="286"/>
      <c r="FN42" s="286"/>
      <c r="FO42" s="286"/>
      <c r="FP42" s="286"/>
      <c r="FQ42" s="286"/>
      <c r="FR42" s="286"/>
      <c r="FS42" s="286"/>
      <c r="FT42" s="286"/>
      <c r="FU42" s="286"/>
      <c r="FV42" s="286"/>
      <c r="FW42" s="286"/>
      <c r="FX42" s="286"/>
      <c r="FY42" s="286"/>
      <c r="FZ42" s="286"/>
      <c r="GA42" s="286"/>
      <c r="GB42" s="286"/>
      <c r="GC42" s="286">
        <v>3400</v>
      </c>
      <c r="GD42" s="286"/>
      <c r="GE42" s="286"/>
      <c r="GF42" s="286"/>
      <c r="GG42" s="286"/>
      <c r="GH42" s="286"/>
      <c r="GI42" s="286"/>
      <c r="GJ42" s="286"/>
      <c r="GK42" s="286"/>
      <c r="GL42" s="286"/>
      <c r="GM42" s="286"/>
      <c r="GN42" s="286"/>
      <c r="GO42" s="286"/>
      <c r="GP42" s="286"/>
      <c r="GQ42" s="286"/>
      <c r="GR42" s="286"/>
      <c r="GS42" s="286"/>
      <c r="GT42" s="286"/>
      <c r="GU42" s="286"/>
      <c r="GV42" s="286"/>
      <c r="GW42" s="286"/>
      <c r="GX42" s="286"/>
      <c r="GY42" s="286"/>
      <c r="GZ42" s="286"/>
      <c r="HA42" s="286"/>
      <c r="HB42" s="286"/>
      <c r="HC42" s="286"/>
      <c r="HD42" s="286"/>
      <c r="HE42" s="286"/>
      <c r="HF42" s="286"/>
      <c r="HG42" s="286"/>
      <c r="HH42" s="286"/>
      <c r="HI42" s="286"/>
      <c r="HJ42" s="286"/>
      <c r="HK42" s="286"/>
      <c r="HL42" s="286"/>
      <c r="HM42" s="286"/>
      <c r="HN42" s="286"/>
      <c r="HO42" s="286"/>
      <c r="HP42" s="286"/>
      <c r="HQ42" s="286"/>
      <c r="HR42" s="286"/>
      <c r="HS42" s="286"/>
      <c r="HT42" s="286"/>
      <c r="HU42" s="286"/>
      <c r="HV42" s="286"/>
      <c r="HW42" s="286"/>
      <c r="HX42" s="286"/>
      <c r="HY42" s="286"/>
      <c r="HZ42" s="286"/>
      <c r="IA42" s="286"/>
      <c r="IB42" s="286"/>
      <c r="IC42" s="286"/>
      <c r="ID42" s="286"/>
      <c r="IE42" s="286"/>
      <c r="IF42" s="286"/>
      <c r="IG42" s="286"/>
      <c r="IH42" s="286"/>
      <c r="II42" s="286"/>
      <c r="IJ42" s="286"/>
      <c r="IK42" s="286"/>
      <c r="IL42" s="286"/>
      <c r="IM42" s="286"/>
      <c r="IN42" s="286"/>
      <c r="IO42" s="286"/>
      <c r="IP42" s="286"/>
      <c r="IQ42" s="286"/>
      <c r="IR42" s="286"/>
      <c r="IS42" s="286"/>
      <c r="IT42" s="286"/>
      <c r="IU42" s="286"/>
      <c r="IV42" s="286"/>
      <c r="IW42" s="286"/>
      <c r="IX42" s="286"/>
      <c r="IY42" s="286"/>
      <c r="IZ42" s="286"/>
      <c r="JA42" s="286"/>
      <c r="JB42" s="286"/>
      <c r="JC42" s="286"/>
      <c r="JD42" s="286"/>
      <c r="JE42" s="286"/>
      <c r="JF42" s="286"/>
      <c r="JG42" s="286"/>
      <c r="JH42" s="286"/>
      <c r="JI42" s="287">
        <f t="shared" si="0"/>
        <v>3400</v>
      </c>
      <c r="JJ42" s="315">
        <v>37185</v>
      </c>
      <c r="JK42" s="288">
        <v>3400</v>
      </c>
      <c r="JL42" s="286">
        <f t="shared" si="1"/>
        <v>0</v>
      </c>
      <c r="JM42" s="286"/>
      <c r="JN42" s="289"/>
      <c r="JO42" s="286"/>
      <c r="JP42" s="286"/>
      <c r="AQT42" s="317"/>
    </row>
    <row r="43" spans="1:276 1138:1138" s="167" customFormat="1" ht="15.6" x14ac:dyDescent="0.3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318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286"/>
      <c r="GI43" s="286"/>
      <c r="GJ43" s="286"/>
      <c r="GK43" s="286"/>
      <c r="GL43" s="286"/>
      <c r="GM43" s="286"/>
      <c r="GN43" s="286"/>
      <c r="GO43" s="286"/>
      <c r="GP43" s="286"/>
      <c r="GQ43" s="286"/>
      <c r="GR43" s="286"/>
      <c r="GS43" s="286"/>
      <c r="GT43" s="286"/>
      <c r="GU43" s="286"/>
      <c r="GV43" s="286"/>
      <c r="GW43" s="286"/>
      <c r="GX43" s="286"/>
      <c r="GY43" s="286"/>
      <c r="GZ43" s="286"/>
      <c r="HA43" s="286"/>
      <c r="HB43" s="286"/>
      <c r="HC43" s="286"/>
      <c r="HD43" s="286"/>
      <c r="HE43" s="286"/>
      <c r="HF43" s="286"/>
      <c r="HG43" s="286"/>
      <c r="HH43" s="286"/>
      <c r="HI43" s="286"/>
      <c r="HJ43" s="286"/>
      <c r="HK43" s="286"/>
      <c r="HL43" s="286"/>
      <c r="HM43" s="286"/>
      <c r="HN43" s="286"/>
      <c r="HO43" s="286"/>
      <c r="HP43" s="286"/>
      <c r="HQ43" s="286"/>
      <c r="HR43" s="286"/>
      <c r="HS43" s="286"/>
      <c r="HT43" s="286"/>
      <c r="HU43" s="286"/>
      <c r="HV43" s="286"/>
      <c r="HW43" s="286"/>
      <c r="HX43" s="286"/>
      <c r="HY43" s="286"/>
      <c r="HZ43" s="286"/>
      <c r="IA43" s="286"/>
      <c r="IB43" s="286"/>
      <c r="IC43" s="286"/>
      <c r="ID43" s="286"/>
      <c r="IE43" s="286"/>
      <c r="IF43" s="286"/>
      <c r="IG43" s="286"/>
      <c r="IH43" s="286"/>
      <c r="II43" s="286"/>
      <c r="IJ43" s="286"/>
      <c r="IK43" s="286"/>
      <c r="IL43" s="286"/>
      <c r="IM43" s="286"/>
      <c r="IN43" s="286"/>
      <c r="IO43" s="286"/>
      <c r="IP43" s="286"/>
      <c r="IQ43" s="286"/>
      <c r="IR43" s="286"/>
      <c r="IS43" s="286"/>
      <c r="IT43" s="286"/>
      <c r="IU43" s="286"/>
      <c r="IV43" s="286"/>
      <c r="IW43" s="286"/>
      <c r="IX43" s="286"/>
      <c r="IY43" s="286"/>
      <c r="IZ43" s="286"/>
      <c r="JA43" s="286"/>
      <c r="JB43" s="286"/>
      <c r="JC43" s="286"/>
      <c r="JD43" s="286"/>
      <c r="JE43" s="286"/>
      <c r="JF43" s="286"/>
      <c r="JG43" s="286"/>
      <c r="JH43" s="286"/>
      <c r="JI43" s="287">
        <f t="shared" si="0"/>
        <v>0</v>
      </c>
      <c r="JJ43" s="315"/>
      <c r="JK43" s="288"/>
      <c r="JL43" s="286">
        <f t="shared" si="1"/>
        <v>0</v>
      </c>
      <c r="JM43" s="286"/>
      <c r="JN43" s="289"/>
      <c r="JO43" s="286"/>
      <c r="JP43" s="286"/>
      <c r="AQT43" s="317"/>
    </row>
    <row r="44" spans="1:276 1138:1138" s="167" customFormat="1" ht="15.6" x14ac:dyDescent="0.3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6"/>
      <c r="AU44" s="286"/>
      <c r="AV44" s="286"/>
      <c r="AW44" s="286"/>
      <c r="AX44" s="286"/>
      <c r="AY44" s="286"/>
      <c r="AZ44" s="286"/>
      <c r="BA44" s="286"/>
      <c r="BB44" s="286"/>
      <c r="BC44" s="286"/>
      <c r="BD44" s="286"/>
      <c r="BE44" s="286"/>
      <c r="BF44" s="286"/>
      <c r="BG44" s="286"/>
      <c r="BH44" s="286"/>
      <c r="BI44" s="286"/>
      <c r="BJ44" s="286"/>
      <c r="BK44" s="286"/>
      <c r="BL44" s="286"/>
      <c r="BM44" s="286"/>
      <c r="BN44" s="286"/>
      <c r="BO44" s="286"/>
      <c r="BP44" s="286"/>
      <c r="BQ44" s="286"/>
      <c r="BR44" s="286"/>
      <c r="BS44" s="286"/>
      <c r="BT44" s="286"/>
      <c r="BU44" s="286"/>
      <c r="BV44" s="286"/>
      <c r="BW44" s="286"/>
      <c r="BX44" s="286"/>
      <c r="BY44" s="286"/>
      <c r="BZ44" s="286"/>
      <c r="CA44" s="286"/>
      <c r="CB44" s="286"/>
      <c r="CC44" s="286"/>
      <c r="CD44" s="286"/>
      <c r="CE44" s="286"/>
      <c r="CF44" s="286"/>
      <c r="CG44" s="286"/>
      <c r="CH44" s="286"/>
      <c r="CI44" s="286"/>
      <c r="CJ44" s="286"/>
      <c r="CK44" s="286"/>
      <c r="CL44" s="286"/>
      <c r="CM44" s="286"/>
      <c r="CN44" s="286"/>
      <c r="CO44" s="286"/>
      <c r="CP44" s="286"/>
      <c r="CQ44" s="286"/>
      <c r="CR44" s="286"/>
      <c r="CS44" s="286"/>
      <c r="CT44" s="286"/>
      <c r="CU44" s="286"/>
      <c r="CV44" s="286"/>
      <c r="CW44" s="286"/>
      <c r="CX44" s="286"/>
      <c r="CY44" s="286"/>
      <c r="CZ44" s="286"/>
      <c r="DA44" s="286"/>
      <c r="DB44" s="286"/>
      <c r="DC44" s="286"/>
      <c r="DD44" s="286"/>
      <c r="DE44" s="286"/>
      <c r="DF44" s="286"/>
      <c r="DG44" s="286"/>
      <c r="DH44" s="286"/>
      <c r="DI44" s="286"/>
      <c r="DJ44" s="286"/>
      <c r="DK44" s="286"/>
      <c r="DL44" s="286"/>
      <c r="DM44" s="286"/>
      <c r="DN44" s="286"/>
      <c r="DO44" s="286"/>
      <c r="DP44" s="286"/>
      <c r="DQ44" s="286"/>
      <c r="DR44" s="286"/>
      <c r="DS44" s="286"/>
      <c r="DT44" s="286"/>
      <c r="DU44" s="286"/>
      <c r="DV44" s="286"/>
      <c r="DW44" s="286"/>
      <c r="DX44" s="286"/>
      <c r="DY44" s="286"/>
      <c r="DZ44" s="286"/>
      <c r="EA44" s="286"/>
      <c r="EB44" s="286"/>
      <c r="EC44" s="286"/>
      <c r="ED44" s="286"/>
      <c r="EE44" s="286"/>
      <c r="EF44" s="286"/>
      <c r="EG44" s="286"/>
      <c r="EH44" s="286"/>
      <c r="EI44" s="286"/>
      <c r="EJ44" s="286"/>
      <c r="EK44" s="286"/>
      <c r="EL44" s="286"/>
      <c r="EM44" s="286"/>
      <c r="EN44" s="286"/>
      <c r="EO44" s="286"/>
      <c r="EP44" s="286"/>
      <c r="EQ44" s="286"/>
      <c r="ER44" s="286"/>
      <c r="ES44" s="286"/>
      <c r="ET44" s="286"/>
      <c r="EU44" s="286"/>
      <c r="EV44" s="286"/>
      <c r="EW44" s="286"/>
      <c r="EX44" s="286"/>
      <c r="EY44" s="286"/>
      <c r="EZ44" s="286"/>
      <c r="FA44" s="286"/>
      <c r="FB44" s="286"/>
      <c r="FC44" s="286"/>
      <c r="FD44" s="286"/>
      <c r="FE44" s="286"/>
      <c r="FF44" s="286"/>
      <c r="FG44" s="286"/>
      <c r="FH44" s="286"/>
      <c r="FI44" s="286"/>
      <c r="FJ44" s="286"/>
      <c r="FK44" s="286"/>
      <c r="FL44" s="286"/>
      <c r="FM44" s="286"/>
      <c r="FN44" s="286"/>
      <c r="FO44" s="286"/>
      <c r="FP44" s="286"/>
      <c r="FQ44" s="286"/>
      <c r="FR44" s="286"/>
      <c r="FS44" s="286"/>
      <c r="FT44" s="286"/>
      <c r="FU44" s="286"/>
      <c r="FV44" s="286"/>
      <c r="FW44" s="286"/>
      <c r="FX44" s="286"/>
      <c r="FY44" s="286"/>
      <c r="FZ44" s="286"/>
      <c r="GA44" s="286"/>
      <c r="GB44" s="286"/>
      <c r="GC44" s="286"/>
      <c r="GD44" s="286"/>
      <c r="GE44" s="286"/>
      <c r="GF44" s="286"/>
      <c r="GG44" s="286"/>
      <c r="GH44" s="286"/>
      <c r="GI44" s="286"/>
      <c r="GJ44" s="286"/>
      <c r="GK44" s="286"/>
      <c r="GL44" s="286"/>
      <c r="GM44" s="286"/>
      <c r="GN44" s="286"/>
      <c r="GO44" s="286"/>
      <c r="GP44" s="286"/>
      <c r="GQ44" s="286"/>
      <c r="GR44" s="286"/>
      <c r="GS44" s="286"/>
      <c r="GT44" s="286"/>
      <c r="GU44" s="286"/>
      <c r="GV44" s="286"/>
      <c r="GW44" s="286"/>
      <c r="GX44" s="286"/>
      <c r="GY44" s="286"/>
      <c r="GZ44" s="286"/>
      <c r="HA44" s="286"/>
      <c r="HB44" s="286"/>
      <c r="HC44" s="286"/>
      <c r="HD44" s="286"/>
      <c r="HE44" s="286"/>
      <c r="HF44" s="286"/>
      <c r="HG44" s="286"/>
      <c r="HH44" s="286"/>
      <c r="HI44" s="286"/>
      <c r="HJ44" s="286"/>
      <c r="HK44" s="286"/>
      <c r="HL44" s="286"/>
      <c r="HM44" s="286"/>
      <c r="HN44" s="286"/>
      <c r="HO44" s="286"/>
      <c r="HP44" s="286"/>
      <c r="HQ44" s="286"/>
      <c r="HR44" s="286"/>
      <c r="HS44" s="286"/>
      <c r="HT44" s="286"/>
      <c r="HU44" s="286"/>
      <c r="HV44" s="286"/>
      <c r="HW44" s="286"/>
      <c r="HX44" s="286"/>
      <c r="HY44" s="286"/>
      <c r="HZ44" s="286"/>
      <c r="IA44" s="286"/>
      <c r="IB44" s="286"/>
      <c r="IC44" s="286"/>
      <c r="ID44" s="286"/>
      <c r="IE44" s="286"/>
      <c r="IF44" s="286"/>
      <c r="IG44" s="286"/>
      <c r="IH44" s="286"/>
      <c r="II44" s="286"/>
      <c r="IJ44" s="286"/>
      <c r="IK44" s="286"/>
      <c r="IL44" s="286"/>
      <c r="IM44" s="286"/>
      <c r="IN44" s="286"/>
      <c r="IO44" s="286"/>
      <c r="IP44" s="286"/>
      <c r="IQ44" s="286"/>
      <c r="IR44" s="286"/>
      <c r="IS44" s="286"/>
      <c r="IT44" s="286"/>
      <c r="IU44" s="286"/>
      <c r="IV44" s="286"/>
      <c r="IW44" s="286"/>
      <c r="IX44" s="286"/>
      <c r="IY44" s="286"/>
      <c r="IZ44" s="286"/>
      <c r="JA44" s="286"/>
      <c r="JB44" s="286"/>
      <c r="JC44" s="286"/>
      <c r="JD44" s="286"/>
      <c r="JE44" s="286"/>
      <c r="JF44" s="286"/>
      <c r="JG44" s="286"/>
      <c r="JH44" s="286"/>
      <c r="JI44" s="287">
        <f t="shared" si="0"/>
        <v>0</v>
      </c>
      <c r="JJ44" s="315"/>
      <c r="JK44" s="288"/>
      <c r="JL44" s="286">
        <f t="shared" si="1"/>
        <v>0</v>
      </c>
      <c r="JM44" s="286"/>
      <c r="JN44" s="289"/>
      <c r="JO44" s="286"/>
      <c r="JP44" s="286"/>
      <c r="AQT44" s="317"/>
    </row>
    <row r="45" spans="1:276 1138:1138" s="167" customFormat="1" ht="15.6" x14ac:dyDescent="0.3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  <c r="CH45" s="286"/>
      <c r="CI45" s="286"/>
      <c r="CJ45" s="286"/>
      <c r="CK45" s="286"/>
      <c r="CL45" s="286"/>
      <c r="CM45" s="286"/>
      <c r="CN45" s="286"/>
      <c r="CO45" s="286"/>
      <c r="CP45" s="286"/>
      <c r="CQ45" s="286"/>
      <c r="CR45" s="286"/>
      <c r="CS45" s="286"/>
      <c r="CT45" s="286"/>
      <c r="CU45" s="286"/>
      <c r="CV45" s="286"/>
      <c r="CW45" s="286"/>
      <c r="CX45" s="286"/>
      <c r="CY45" s="286"/>
      <c r="CZ45" s="286"/>
      <c r="DA45" s="286"/>
      <c r="DB45" s="286"/>
      <c r="DC45" s="286"/>
      <c r="DD45" s="286"/>
      <c r="DE45" s="286"/>
      <c r="DF45" s="286"/>
      <c r="DG45" s="286"/>
      <c r="DH45" s="286"/>
      <c r="DI45" s="286"/>
      <c r="DJ45" s="286"/>
      <c r="DK45" s="286"/>
      <c r="DL45" s="286"/>
      <c r="DM45" s="286"/>
      <c r="DN45" s="286"/>
      <c r="DO45" s="286"/>
      <c r="DP45" s="286"/>
      <c r="DQ45" s="286"/>
      <c r="DR45" s="286"/>
      <c r="DS45" s="286"/>
      <c r="DT45" s="286"/>
      <c r="DU45" s="286"/>
      <c r="DV45" s="286"/>
      <c r="DW45" s="286"/>
      <c r="DX45" s="286"/>
      <c r="DY45" s="286"/>
      <c r="DZ45" s="286"/>
      <c r="EA45" s="286"/>
      <c r="EB45" s="286"/>
      <c r="EC45" s="286"/>
      <c r="ED45" s="286"/>
      <c r="EE45" s="286"/>
      <c r="EF45" s="286"/>
      <c r="EG45" s="286"/>
      <c r="EH45" s="286"/>
      <c r="EI45" s="286"/>
      <c r="EJ45" s="286"/>
      <c r="EK45" s="286"/>
      <c r="EL45" s="286"/>
      <c r="EM45" s="286"/>
      <c r="EN45" s="286"/>
      <c r="EO45" s="286"/>
      <c r="EP45" s="286"/>
      <c r="EQ45" s="286"/>
      <c r="ER45" s="286"/>
      <c r="ES45" s="286"/>
      <c r="ET45" s="286"/>
      <c r="EU45" s="286"/>
      <c r="EV45" s="286"/>
      <c r="EW45" s="286"/>
      <c r="EX45" s="286"/>
      <c r="EY45" s="286"/>
      <c r="EZ45" s="286"/>
      <c r="FA45" s="286"/>
      <c r="FB45" s="286"/>
      <c r="FC45" s="286"/>
      <c r="FD45" s="286"/>
      <c r="FE45" s="286"/>
      <c r="FF45" s="286"/>
      <c r="FG45" s="286"/>
      <c r="FH45" s="286"/>
      <c r="FI45" s="286"/>
      <c r="FJ45" s="286"/>
      <c r="FK45" s="286"/>
      <c r="FL45" s="286"/>
      <c r="FM45" s="286"/>
      <c r="FN45" s="286"/>
      <c r="FO45" s="286"/>
      <c r="FP45" s="286"/>
      <c r="FQ45" s="286"/>
      <c r="FR45" s="286"/>
      <c r="FS45" s="286"/>
      <c r="FT45" s="286"/>
      <c r="FU45" s="286"/>
      <c r="FV45" s="286"/>
      <c r="FW45" s="286"/>
      <c r="FX45" s="286"/>
      <c r="FY45" s="286"/>
      <c r="FZ45" s="286"/>
      <c r="GA45" s="286"/>
      <c r="GB45" s="286"/>
      <c r="GC45" s="286"/>
      <c r="GD45" s="286"/>
      <c r="GE45" s="286"/>
      <c r="GF45" s="286"/>
      <c r="GG45" s="286"/>
      <c r="GH45" s="286"/>
      <c r="GI45" s="286"/>
      <c r="GJ45" s="286"/>
      <c r="GK45" s="286"/>
      <c r="GL45" s="286"/>
      <c r="GM45" s="286"/>
      <c r="GN45" s="286"/>
      <c r="GO45" s="286"/>
      <c r="GP45" s="286"/>
      <c r="GQ45" s="286"/>
      <c r="GR45" s="286"/>
      <c r="GS45" s="286"/>
      <c r="GT45" s="286"/>
      <c r="GU45" s="286"/>
      <c r="GV45" s="286"/>
      <c r="GW45" s="286"/>
      <c r="GX45" s="286"/>
      <c r="GY45" s="286"/>
      <c r="GZ45" s="286"/>
      <c r="HA45" s="286"/>
      <c r="HB45" s="286"/>
      <c r="HC45" s="286"/>
      <c r="HD45" s="286"/>
      <c r="HE45" s="286"/>
      <c r="HF45" s="286"/>
      <c r="HG45" s="286"/>
      <c r="HH45" s="286"/>
      <c r="HI45" s="286"/>
      <c r="HJ45" s="286"/>
      <c r="HK45" s="286"/>
      <c r="HL45" s="286"/>
      <c r="HM45" s="286"/>
      <c r="HN45" s="286"/>
      <c r="HO45" s="286"/>
      <c r="HP45" s="286"/>
      <c r="HQ45" s="286"/>
      <c r="HR45" s="286"/>
      <c r="HS45" s="286"/>
      <c r="HT45" s="286"/>
      <c r="HU45" s="286"/>
      <c r="HV45" s="286"/>
      <c r="HW45" s="286"/>
      <c r="HX45" s="286"/>
      <c r="HY45" s="286"/>
      <c r="HZ45" s="286"/>
      <c r="IA45" s="286"/>
      <c r="IB45" s="286"/>
      <c r="IC45" s="286"/>
      <c r="ID45" s="286"/>
      <c r="IE45" s="286"/>
      <c r="IF45" s="286"/>
      <c r="IG45" s="286"/>
      <c r="IH45" s="286"/>
      <c r="II45" s="286"/>
      <c r="IJ45" s="286"/>
      <c r="IK45" s="286"/>
      <c r="IL45" s="286"/>
      <c r="IM45" s="286"/>
      <c r="IN45" s="286"/>
      <c r="IO45" s="286"/>
      <c r="IP45" s="286"/>
      <c r="IQ45" s="286"/>
      <c r="IR45" s="286"/>
      <c r="IS45" s="286"/>
      <c r="IT45" s="286"/>
      <c r="IU45" s="286"/>
      <c r="IV45" s="286"/>
      <c r="IW45" s="286"/>
      <c r="IX45" s="286"/>
      <c r="IY45" s="286"/>
      <c r="IZ45" s="286"/>
      <c r="JA45" s="286"/>
      <c r="JB45" s="286"/>
      <c r="JC45" s="286"/>
      <c r="JD45" s="286"/>
      <c r="JE45" s="286"/>
      <c r="JF45" s="286"/>
      <c r="JG45" s="286"/>
      <c r="JH45" s="286"/>
      <c r="JI45" s="287">
        <f t="shared" si="0"/>
        <v>0</v>
      </c>
      <c r="JJ45" s="398"/>
      <c r="JK45" s="288"/>
      <c r="JL45" s="286">
        <f t="shared" si="1"/>
        <v>0</v>
      </c>
      <c r="JM45" s="286"/>
      <c r="JN45" s="289"/>
      <c r="JO45" s="286"/>
      <c r="JP45" s="286"/>
      <c r="AQT45" s="317"/>
    </row>
    <row r="46" spans="1:276 1138:1138" s="167" customFormat="1" ht="15.6" x14ac:dyDescent="0.3">
      <c r="A46" s="317"/>
      <c r="B46" s="317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  <c r="AI46" s="317"/>
      <c r="AJ46" s="317"/>
      <c r="AK46" s="317"/>
      <c r="AL46" s="317"/>
      <c r="AM46" s="317"/>
      <c r="AN46" s="317"/>
      <c r="AO46" s="317"/>
      <c r="AP46" s="317"/>
      <c r="AQ46" s="317"/>
      <c r="AR46" s="317"/>
      <c r="AS46" s="317"/>
      <c r="AT46" s="317"/>
      <c r="AU46" s="317"/>
      <c r="AV46" s="317"/>
      <c r="AW46" s="317"/>
      <c r="AX46" s="317"/>
      <c r="AY46" s="317"/>
      <c r="AZ46" s="317"/>
      <c r="BA46" s="317"/>
      <c r="BB46" s="317"/>
      <c r="BC46" s="317"/>
      <c r="BD46" s="317"/>
      <c r="BE46" s="317"/>
      <c r="BF46" s="317"/>
      <c r="BG46" s="317"/>
      <c r="BH46" s="317"/>
      <c r="BI46" s="317"/>
      <c r="BJ46" s="317"/>
      <c r="BK46" s="317"/>
      <c r="BL46" s="317"/>
      <c r="BM46" s="317"/>
      <c r="BN46" s="317"/>
      <c r="BO46" s="317"/>
      <c r="BP46" s="317"/>
      <c r="BQ46" s="317"/>
      <c r="BR46" s="317"/>
      <c r="BS46" s="317"/>
      <c r="BT46" s="317"/>
      <c r="BU46" s="317"/>
      <c r="BV46" s="317"/>
      <c r="BW46" s="317"/>
      <c r="BX46" s="317"/>
      <c r="BY46" s="317"/>
      <c r="BZ46" s="317"/>
      <c r="CA46" s="317"/>
      <c r="CB46" s="317"/>
      <c r="CC46" s="317"/>
      <c r="CD46" s="317"/>
      <c r="CE46" s="317"/>
      <c r="CF46" s="317"/>
      <c r="CG46" s="317"/>
      <c r="CH46" s="317"/>
      <c r="CI46" s="317"/>
      <c r="CJ46" s="317"/>
      <c r="CK46" s="317"/>
      <c r="CL46" s="317"/>
      <c r="CM46" s="317"/>
      <c r="CN46" s="317"/>
      <c r="CO46" s="317"/>
      <c r="CP46" s="317"/>
      <c r="CQ46" s="317"/>
      <c r="CR46" s="317"/>
      <c r="CS46" s="317"/>
      <c r="CT46" s="317"/>
      <c r="CU46" s="317"/>
      <c r="CV46" s="317"/>
      <c r="CW46" s="317"/>
      <c r="CX46" s="317"/>
      <c r="CY46" s="317"/>
      <c r="CZ46" s="317"/>
      <c r="DA46" s="317"/>
      <c r="DB46" s="317"/>
      <c r="DC46" s="317"/>
      <c r="DD46" s="317"/>
      <c r="DE46" s="317"/>
      <c r="DF46" s="317"/>
      <c r="DG46" s="317"/>
      <c r="DH46" s="317"/>
      <c r="DI46" s="317"/>
      <c r="DJ46" s="317"/>
      <c r="DK46" s="317"/>
      <c r="DL46" s="317"/>
      <c r="DM46" s="317"/>
      <c r="DN46" s="317"/>
      <c r="DO46" s="317"/>
      <c r="DP46" s="317"/>
      <c r="DQ46" s="317"/>
      <c r="DR46" s="317"/>
      <c r="DS46" s="317"/>
      <c r="DT46" s="317"/>
      <c r="DU46" s="317"/>
      <c r="DV46" s="317"/>
      <c r="DW46" s="317"/>
      <c r="DX46" s="317"/>
      <c r="DY46" s="317"/>
      <c r="DZ46" s="317"/>
      <c r="EA46" s="317"/>
      <c r="EB46" s="317"/>
      <c r="EC46" s="317"/>
      <c r="ED46" s="317"/>
      <c r="EE46" s="317"/>
      <c r="EF46" s="317"/>
      <c r="EG46" s="317"/>
      <c r="EH46" s="317"/>
      <c r="EI46" s="317"/>
      <c r="EJ46" s="317"/>
      <c r="EK46" s="317"/>
      <c r="EL46" s="317"/>
      <c r="EM46" s="317"/>
      <c r="EN46" s="317"/>
      <c r="EO46" s="317"/>
      <c r="EP46" s="317"/>
      <c r="EQ46" s="317"/>
      <c r="ER46" s="317"/>
      <c r="ES46" s="317"/>
      <c r="ET46" s="317"/>
      <c r="EU46" s="317"/>
      <c r="EV46" s="317"/>
      <c r="EW46" s="317"/>
      <c r="EX46" s="317"/>
      <c r="EY46" s="317"/>
      <c r="EZ46" s="317"/>
      <c r="FA46" s="317"/>
      <c r="FB46" s="317"/>
      <c r="FC46" s="317"/>
      <c r="FD46" s="317"/>
      <c r="FE46" s="317"/>
      <c r="FF46" s="317"/>
      <c r="FG46" s="317"/>
      <c r="FH46" s="317"/>
      <c r="FI46" s="317"/>
      <c r="FJ46" s="317"/>
      <c r="FK46" s="317"/>
      <c r="FL46" s="317"/>
      <c r="FM46" s="317"/>
      <c r="FN46" s="317"/>
      <c r="FO46" s="317"/>
      <c r="FP46" s="317"/>
      <c r="FQ46" s="317"/>
      <c r="FR46" s="317"/>
      <c r="FS46" s="317"/>
      <c r="FT46" s="317"/>
      <c r="FU46" s="317"/>
      <c r="FV46" s="317"/>
      <c r="FW46" s="317"/>
      <c r="FX46" s="317"/>
      <c r="FY46" s="317"/>
      <c r="FZ46" s="317"/>
      <c r="GA46" s="317"/>
      <c r="GB46" s="317"/>
      <c r="GC46" s="317"/>
      <c r="GD46" s="317"/>
      <c r="GE46" s="317"/>
      <c r="GF46" s="317"/>
      <c r="GG46" s="317"/>
      <c r="GH46" s="317"/>
      <c r="GI46" s="317"/>
      <c r="GJ46" s="317"/>
      <c r="GK46" s="317"/>
      <c r="GL46" s="317"/>
      <c r="GM46" s="317"/>
      <c r="GN46" s="317"/>
      <c r="GO46" s="317"/>
      <c r="GP46" s="317"/>
      <c r="GQ46" s="317"/>
      <c r="GR46" s="317"/>
      <c r="GS46" s="317"/>
      <c r="GT46" s="317"/>
      <c r="GU46" s="317"/>
      <c r="GV46" s="317"/>
      <c r="GW46" s="317"/>
      <c r="GX46" s="317"/>
      <c r="GY46" s="317"/>
      <c r="GZ46" s="317"/>
      <c r="HA46" s="317"/>
      <c r="HB46" s="317"/>
      <c r="HC46" s="317"/>
      <c r="HD46" s="317"/>
      <c r="HE46" s="317"/>
      <c r="HF46" s="317"/>
      <c r="HG46" s="317"/>
      <c r="HH46" s="317"/>
      <c r="HI46" s="317"/>
      <c r="HJ46" s="317"/>
      <c r="HK46" s="317"/>
      <c r="HL46" s="317"/>
      <c r="HM46" s="317"/>
      <c r="HN46" s="317"/>
      <c r="HO46" s="317"/>
      <c r="HP46" s="317"/>
      <c r="HQ46" s="317"/>
      <c r="HR46" s="317"/>
      <c r="HS46" s="317"/>
      <c r="HT46" s="317"/>
      <c r="HU46" s="317"/>
      <c r="HV46" s="317"/>
      <c r="HW46" s="317"/>
      <c r="HX46" s="317"/>
      <c r="HY46" s="317"/>
      <c r="HZ46" s="317"/>
      <c r="IA46" s="317"/>
      <c r="IB46" s="317"/>
      <c r="IC46" s="317"/>
      <c r="ID46" s="317"/>
      <c r="IE46" s="317"/>
      <c r="IF46" s="317"/>
      <c r="IG46" s="317"/>
      <c r="IH46" s="317"/>
      <c r="II46" s="317"/>
      <c r="IJ46" s="317"/>
      <c r="IK46" s="317"/>
      <c r="IL46" s="317"/>
      <c r="IM46" s="317"/>
      <c r="IN46" s="317"/>
      <c r="IO46" s="317"/>
      <c r="IP46" s="317"/>
      <c r="IQ46" s="317"/>
      <c r="IR46" s="317"/>
      <c r="IS46" s="317"/>
      <c r="IT46" s="317"/>
      <c r="IU46" s="317"/>
      <c r="IV46" s="317"/>
      <c r="IW46" s="317"/>
      <c r="IX46" s="317"/>
      <c r="IY46" s="317"/>
      <c r="IZ46" s="317"/>
      <c r="JA46" s="317"/>
      <c r="JB46" s="317"/>
      <c r="JC46" s="317"/>
      <c r="JD46" s="317"/>
      <c r="JE46" s="317"/>
      <c r="JF46" s="317"/>
      <c r="JG46" s="317"/>
      <c r="JH46" s="317"/>
      <c r="JI46" s="287">
        <f t="shared" si="0"/>
        <v>0</v>
      </c>
      <c r="JJ46" s="315"/>
      <c r="JK46" s="288"/>
      <c r="JL46" s="286">
        <f t="shared" si="1"/>
        <v>0</v>
      </c>
      <c r="JM46" s="286"/>
      <c r="JN46" s="289"/>
      <c r="JO46" s="286"/>
      <c r="JP46" s="286"/>
      <c r="AQT46" s="317"/>
    </row>
    <row r="47" spans="1:276 1138:1138" s="167" customFormat="1" ht="15.6" x14ac:dyDescent="0.3">
      <c r="A47" s="317"/>
      <c r="B47" s="317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 s="317"/>
      <c r="AJ47" s="317"/>
      <c r="AK47" s="317"/>
      <c r="AL47" s="317"/>
      <c r="AM47" s="317"/>
      <c r="AN47" s="317"/>
      <c r="AO47" s="317"/>
      <c r="AP47" s="317"/>
      <c r="AQ47" s="317"/>
      <c r="AR47" s="317"/>
      <c r="AS47" s="317"/>
      <c r="AT47" s="317"/>
      <c r="AU47" s="317"/>
      <c r="AV47" s="317"/>
      <c r="AW47" s="317"/>
      <c r="AX47" s="317"/>
      <c r="AY47" s="317"/>
      <c r="AZ47" s="317"/>
      <c r="BA47" s="317"/>
      <c r="BB47" s="317"/>
      <c r="BC47" s="317"/>
      <c r="BD47" s="317"/>
      <c r="BE47" s="317"/>
      <c r="BF47" s="317"/>
      <c r="BG47" s="317"/>
      <c r="BH47" s="317"/>
      <c r="BI47" s="317"/>
      <c r="BJ47" s="317"/>
      <c r="BK47" s="317"/>
      <c r="BL47" s="317"/>
      <c r="BM47" s="317"/>
      <c r="BN47" s="317"/>
      <c r="BO47" s="317"/>
      <c r="BP47" s="317"/>
      <c r="BQ47" s="317"/>
      <c r="BR47" s="317"/>
      <c r="BS47" s="317"/>
      <c r="BT47" s="317"/>
      <c r="BU47" s="317"/>
      <c r="BV47" s="317"/>
      <c r="BW47" s="317"/>
      <c r="BX47" s="317"/>
      <c r="BY47" s="317"/>
      <c r="BZ47" s="317"/>
      <c r="CA47" s="317"/>
      <c r="CB47" s="317"/>
      <c r="CC47" s="317"/>
      <c r="CD47" s="317"/>
      <c r="CE47" s="317"/>
      <c r="CF47" s="317"/>
      <c r="CG47" s="317"/>
      <c r="CH47" s="317"/>
      <c r="CI47" s="317"/>
      <c r="CJ47" s="317"/>
      <c r="CK47" s="317"/>
      <c r="CL47" s="317"/>
      <c r="CM47" s="317"/>
      <c r="CN47" s="317"/>
      <c r="CO47" s="317"/>
      <c r="CP47" s="317"/>
      <c r="CQ47" s="317"/>
      <c r="CR47" s="317"/>
      <c r="CS47" s="317"/>
      <c r="CT47" s="317"/>
      <c r="CU47" s="317"/>
      <c r="CV47" s="317"/>
      <c r="CW47" s="317"/>
      <c r="CX47" s="317"/>
      <c r="CY47" s="317"/>
      <c r="CZ47" s="317"/>
      <c r="DA47" s="317"/>
      <c r="DB47" s="317"/>
      <c r="DC47" s="317"/>
      <c r="DD47" s="317"/>
      <c r="DE47" s="317"/>
      <c r="DF47" s="317"/>
      <c r="DG47" s="317"/>
      <c r="DH47" s="317"/>
      <c r="DI47" s="317"/>
      <c r="DJ47" s="317"/>
      <c r="DK47" s="317"/>
      <c r="DL47" s="317"/>
      <c r="DM47" s="317"/>
      <c r="DN47" s="317"/>
      <c r="DO47" s="317"/>
      <c r="DP47" s="317"/>
      <c r="DQ47" s="317"/>
      <c r="DR47" s="317"/>
      <c r="DS47" s="317"/>
      <c r="DT47" s="317"/>
      <c r="DU47" s="317"/>
      <c r="DV47" s="317"/>
      <c r="DW47" s="317"/>
      <c r="DX47" s="317"/>
      <c r="DY47" s="317"/>
      <c r="DZ47" s="317"/>
      <c r="EA47" s="317"/>
      <c r="EB47" s="317"/>
      <c r="EC47" s="317"/>
      <c r="ED47" s="317"/>
      <c r="EE47" s="317"/>
      <c r="EF47" s="317"/>
      <c r="EG47" s="317"/>
      <c r="EH47" s="317"/>
      <c r="EI47" s="317"/>
      <c r="EJ47" s="317"/>
      <c r="EK47" s="317"/>
      <c r="EL47" s="317"/>
      <c r="EM47" s="317"/>
      <c r="EN47" s="317"/>
      <c r="EO47" s="317"/>
      <c r="EP47" s="317"/>
      <c r="EQ47" s="317"/>
      <c r="ER47" s="317"/>
      <c r="ES47" s="317"/>
      <c r="ET47" s="317"/>
      <c r="EU47" s="317"/>
      <c r="EV47" s="317"/>
      <c r="EW47" s="317"/>
      <c r="EX47" s="317"/>
      <c r="EY47" s="317"/>
      <c r="EZ47" s="317"/>
      <c r="FA47" s="317"/>
      <c r="FB47" s="317"/>
      <c r="FC47" s="317"/>
      <c r="FD47" s="317"/>
      <c r="FE47" s="317"/>
      <c r="FF47" s="317"/>
      <c r="FG47" s="317"/>
      <c r="FH47" s="317"/>
      <c r="FI47" s="317"/>
      <c r="FJ47" s="317"/>
      <c r="FK47" s="317"/>
      <c r="FL47" s="317"/>
      <c r="FM47" s="317"/>
      <c r="FN47" s="317"/>
      <c r="FO47" s="317"/>
      <c r="FP47" s="317"/>
      <c r="FQ47" s="317"/>
      <c r="FR47" s="317"/>
      <c r="FS47" s="317"/>
      <c r="FT47" s="317"/>
      <c r="FU47" s="317"/>
      <c r="FV47" s="317"/>
      <c r="FW47" s="317"/>
      <c r="FX47" s="317"/>
      <c r="FY47" s="317"/>
      <c r="FZ47" s="317"/>
      <c r="GA47" s="289"/>
      <c r="GB47" s="317"/>
      <c r="GC47" s="317"/>
      <c r="GD47" s="317"/>
      <c r="GE47" s="317"/>
      <c r="GF47" s="317"/>
      <c r="GG47" s="317"/>
      <c r="GH47" s="317"/>
      <c r="GI47" s="317"/>
      <c r="GJ47" s="317"/>
      <c r="GK47" s="317"/>
      <c r="GL47" s="317"/>
      <c r="GM47" s="317"/>
      <c r="GN47" s="317"/>
      <c r="GO47" s="317"/>
      <c r="GP47" s="317"/>
      <c r="GQ47" s="317"/>
      <c r="GR47" s="317"/>
      <c r="GS47" s="317"/>
      <c r="GT47" s="317"/>
      <c r="GU47" s="317"/>
      <c r="GV47" s="317"/>
      <c r="GW47" s="317"/>
      <c r="GX47" s="317"/>
      <c r="GY47" s="317"/>
      <c r="GZ47" s="317"/>
      <c r="HA47" s="317"/>
      <c r="HB47" s="317"/>
      <c r="HC47" s="317"/>
      <c r="HD47" s="317"/>
      <c r="HE47" s="317"/>
      <c r="HF47" s="317"/>
      <c r="HG47" s="317"/>
      <c r="HH47" s="317"/>
      <c r="HI47" s="317"/>
      <c r="HJ47" s="317"/>
      <c r="HK47" s="317"/>
      <c r="HL47" s="317"/>
      <c r="HM47" s="317"/>
      <c r="HN47" s="317"/>
      <c r="HO47" s="317"/>
      <c r="HP47" s="317"/>
      <c r="HQ47" s="317"/>
      <c r="HR47" s="317"/>
      <c r="HS47" s="317"/>
      <c r="HT47" s="317"/>
      <c r="HU47" s="317"/>
      <c r="HV47" s="317"/>
      <c r="HW47" s="317"/>
      <c r="HX47" s="317"/>
      <c r="HY47" s="317"/>
      <c r="HZ47" s="317"/>
      <c r="IA47" s="317"/>
      <c r="IB47" s="317"/>
      <c r="IC47" s="317"/>
      <c r="ID47" s="317"/>
      <c r="IE47" s="317"/>
      <c r="IF47" s="317"/>
      <c r="IG47" s="317"/>
      <c r="IH47" s="317"/>
      <c r="II47" s="317"/>
      <c r="IJ47" s="317"/>
      <c r="IK47" s="317"/>
      <c r="IL47" s="317"/>
      <c r="IM47" s="317"/>
      <c r="IN47" s="317"/>
      <c r="IO47" s="317"/>
      <c r="IP47" s="317"/>
      <c r="IQ47" s="317"/>
      <c r="IR47" s="317"/>
      <c r="IS47" s="317"/>
      <c r="IT47" s="317"/>
      <c r="IU47" s="317"/>
      <c r="IV47" s="317"/>
      <c r="IW47" s="317"/>
      <c r="IX47" s="317"/>
      <c r="IY47" s="317"/>
      <c r="IZ47" s="317"/>
      <c r="JA47" s="317"/>
      <c r="JB47" s="317"/>
      <c r="JC47" s="317"/>
      <c r="JD47" s="317"/>
      <c r="JE47" s="317"/>
      <c r="JF47" s="317"/>
      <c r="JG47" s="317"/>
      <c r="JH47" s="317"/>
      <c r="JI47" s="287">
        <f t="shared" si="0"/>
        <v>0</v>
      </c>
      <c r="JJ47" s="315"/>
      <c r="JK47" s="288"/>
      <c r="JL47" s="286">
        <f t="shared" si="1"/>
        <v>0</v>
      </c>
      <c r="JM47" s="286"/>
      <c r="JN47" s="289"/>
      <c r="JO47" s="286"/>
      <c r="JP47" s="286"/>
      <c r="AQT47" s="317"/>
    </row>
    <row r="48" spans="1:276 1138:1138" s="167" customFormat="1" ht="15.6" x14ac:dyDescent="0.3">
      <c r="A48" s="317"/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17"/>
      <c r="AJ48" s="317"/>
      <c r="AK48" s="317"/>
      <c r="AL48" s="317"/>
      <c r="AM48" s="317"/>
      <c r="AN48" s="317"/>
      <c r="AO48" s="317"/>
      <c r="AP48" s="317"/>
      <c r="AQ48" s="317"/>
      <c r="AR48" s="317"/>
      <c r="AS48" s="317"/>
      <c r="AT48" s="317"/>
      <c r="AU48" s="317"/>
      <c r="AV48" s="317"/>
      <c r="AW48" s="317"/>
      <c r="AX48" s="317"/>
      <c r="AY48" s="317"/>
      <c r="AZ48" s="317"/>
      <c r="BA48" s="317"/>
      <c r="BB48" s="317"/>
      <c r="BC48" s="317"/>
      <c r="BD48" s="317"/>
      <c r="BE48" s="317"/>
      <c r="BF48" s="317"/>
      <c r="BG48" s="317"/>
      <c r="BH48" s="317"/>
      <c r="BI48" s="317"/>
      <c r="BJ48" s="317"/>
      <c r="BK48" s="317"/>
      <c r="BL48" s="317"/>
      <c r="BM48" s="317"/>
      <c r="BN48" s="317"/>
      <c r="BO48" s="317"/>
      <c r="BP48" s="317"/>
      <c r="BQ48" s="317"/>
      <c r="BR48" s="317"/>
      <c r="BS48" s="317"/>
      <c r="BT48" s="317"/>
      <c r="BU48" s="317"/>
      <c r="BV48" s="317"/>
      <c r="BW48" s="317"/>
      <c r="BX48" s="317"/>
      <c r="BY48" s="317"/>
      <c r="BZ48" s="317"/>
      <c r="CA48" s="317"/>
      <c r="CB48" s="317"/>
      <c r="CC48" s="317"/>
      <c r="CD48" s="317"/>
      <c r="CE48" s="317"/>
      <c r="CF48" s="317"/>
      <c r="CG48" s="317"/>
      <c r="CH48" s="317"/>
      <c r="CI48" s="317"/>
      <c r="CJ48" s="317"/>
      <c r="CK48" s="317"/>
      <c r="CL48" s="317"/>
      <c r="CM48" s="317"/>
      <c r="CN48" s="317"/>
      <c r="CO48" s="317"/>
      <c r="CP48" s="317"/>
      <c r="CQ48" s="317"/>
      <c r="CR48" s="317"/>
      <c r="CS48" s="317"/>
      <c r="CT48" s="317"/>
      <c r="CU48" s="317"/>
      <c r="CV48" s="317"/>
      <c r="CW48" s="317"/>
      <c r="CX48" s="317"/>
      <c r="CY48" s="317"/>
      <c r="CZ48" s="317"/>
      <c r="DA48" s="317"/>
      <c r="DB48" s="317"/>
      <c r="DC48" s="317"/>
      <c r="DD48" s="317"/>
      <c r="DE48" s="317"/>
      <c r="DF48" s="317"/>
      <c r="DG48" s="317"/>
      <c r="DH48" s="317"/>
      <c r="DI48" s="317"/>
      <c r="DJ48" s="317"/>
      <c r="DK48" s="317"/>
      <c r="DL48" s="317"/>
      <c r="DM48" s="317"/>
      <c r="DN48" s="317"/>
      <c r="DO48" s="317"/>
      <c r="DP48" s="317"/>
      <c r="DQ48" s="317"/>
      <c r="DR48" s="317"/>
      <c r="DS48" s="317"/>
      <c r="DT48" s="317"/>
      <c r="DU48" s="317"/>
      <c r="DV48" s="317"/>
      <c r="DW48" s="317"/>
      <c r="DX48" s="317"/>
      <c r="DY48" s="317"/>
      <c r="DZ48" s="317"/>
      <c r="EA48" s="317"/>
      <c r="EB48" s="317"/>
      <c r="EC48" s="317"/>
      <c r="ED48" s="317"/>
      <c r="EE48" s="317"/>
      <c r="EF48" s="317"/>
      <c r="EG48" s="317"/>
      <c r="EH48" s="317"/>
      <c r="EI48" s="317"/>
      <c r="EJ48" s="317"/>
      <c r="EK48" s="317"/>
      <c r="EL48" s="317"/>
      <c r="EM48" s="317"/>
      <c r="EN48" s="317"/>
      <c r="EO48" s="317"/>
      <c r="EP48" s="317"/>
      <c r="EQ48" s="317"/>
      <c r="ER48" s="317"/>
      <c r="ES48" s="317"/>
      <c r="ET48" s="317"/>
      <c r="EU48" s="317"/>
      <c r="EV48" s="317"/>
      <c r="EW48" s="317"/>
      <c r="EX48" s="317"/>
      <c r="EY48" s="317"/>
      <c r="EZ48" s="317"/>
      <c r="FA48" s="317"/>
      <c r="FB48" s="317"/>
      <c r="FC48" s="317"/>
      <c r="FD48" s="317"/>
      <c r="FE48" s="317"/>
      <c r="FF48" s="317"/>
      <c r="FG48" s="317"/>
      <c r="FH48" s="317"/>
      <c r="FI48" s="317"/>
      <c r="FJ48" s="317"/>
      <c r="FK48" s="317"/>
      <c r="FL48" s="317"/>
      <c r="FM48" s="317"/>
      <c r="FN48" s="317"/>
      <c r="FO48" s="317"/>
      <c r="FP48" s="317"/>
      <c r="FQ48" s="317"/>
      <c r="FR48" s="317"/>
      <c r="FS48" s="317"/>
      <c r="FT48" s="317"/>
      <c r="FU48" s="317"/>
      <c r="FV48" s="317"/>
      <c r="FW48" s="317"/>
      <c r="FX48" s="317"/>
      <c r="FY48" s="317"/>
      <c r="FZ48" s="317"/>
      <c r="GA48" s="289"/>
      <c r="GB48" s="317"/>
      <c r="GC48" s="317"/>
      <c r="GD48" s="317"/>
      <c r="GE48" s="317"/>
      <c r="GF48" s="317"/>
      <c r="GG48" s="317"/>
      <c r="GH48" s="317"/>
      <c r="GI48" s="317"/>
      <c r="GJ48" s="317"/>
      <c r="GK48" s="317"/>
      <c r="GL48" s="317"/>
      <c r="GM48" s="317"/>
      <c r="GN48" s="317"/>
      <c r="GO48" s="317"/>
      <c r="GP48" s="317"/>
      <c r="GQ48" s="317"/>
      <c r="GR48" s="317"/>
      <c r="GS48" s="317"/>
      <c r="GT48" s="317"/>
      <c r="GU48" s="317"/>
      <c r="GV48" s="317"/>
      <c r="GW48" s="317"/>
      <c r="GX48" s="317"/>
      <c r="GY48" s="317"/>
      <c r="GZ48" s="317"/>
      <c r="HA48" s="317"/>
      <c r="HB48" s="317"/>
      <c r="HC48" s="317"/>
      <c r="HD48" s="317"/>
      <c r="HE48" s="317"/>
      <c r="HF48" s="317"/>
      <c r="HG48" s="317"/>
      <c r="HH48" s="317"/>
      <c r="HI48" s="317"/>
      <c r="HJ48" s="317"/>
      <c r="HK48" s="317"/>
      <c r="HL48" s="317"/>
      <c r="HM48" s="317"/>
      <c r="HN48" s="317"/>
      <c r="HO48" s="317"/>
      <c r="HP48" s="317"/>
      <c r="HQ48" s="317"/>
      <c r="HR48" s="317"/>
      <c r="HS48" s="317"/>
      <c r="HT48" s="317"/>
      <c r="HU48" s="317"/>
      <c r="HV48" s="317"/>
      <c r="HW48" s="317"/>
      <c r="HX48" s="317"/>
      <c r="HY48" s="317"/>
      <c r="HZ48" s="317"/>
      <c r="IA48" s="317"/>
      <c r="IB48" s="317"/>
      <c r="IC48" s="317"/>
      <c r="ID48" s="317"/>
      <c r="IE48" s="317"/>
      <c r="IF48" s="317"/>
      <c r="IG48" s="317"/>
      <c r="IH48" s="317"/>
      <c r="II48" s="317"/>
      <c r="IJ48" s="317"/>
      <c r="IK48" s="317"/>
      <c r="IL48" s="317"/>
      <c r="IM48" s="317"/>
      <c r="IN48" s="317"/>
      <c r="IO48" s="317"/>
      <c r="IP48" s="317"/>
      <c r="IQ48" s="317"/>
      <c r="IR48" s="317"/>
      <c r="IS48" s="317"/>
      <c r="IT48" s="317"/>
      <c r="IU48" s="317"/>
      <c r="IV48" s="317"/>
      <c r="IW48" s="317"/>
      <c r="IX48" s="317"/>
      <c r="IY48" s="317"/>
      <c r="IZ48" s="317"/>
      <c r="JA48" s="317"/>
      <c r="JB48" s="317"/>
      <c r="JC48" s="317"/>
      <c r="JD48" s="317"/>
      <c r="JE48" s="317"/>
      <c r="JF48" s="317"/>
      <c r="JG48" s="317"/>
      <c r="JH48" s="317"/>
      <c r="JI48" s="287">
        <f t="shared" si="0"/>
        <v>0</v>
      </c>
      <c r="JJ48" s="315"/>
      <c r="JK48" s="288"/>
      <c r="JL48" s="286">
        <f t="shared" si="1"/>
        <v>0</v>
      </c>
      <c r="JM48" s="286"/>
      <c r="JN48" s="289"/>
      <c r="JO48" s="286"/>
      <c r="JP48" s="286"/>
      <c r="AQT48" s="317"/>
    </row>
    <row r="49" spans="1:276 1138:1138" s="167" customFormat="1" ht="15.6" x14ac:dyDescent="0.3">
      <c r="A49" s="317"/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 s="317"/>
      <c r="AJ49" s="317"/>
      <c r="AK49" s="317"/>
      <c r="AL49" s="317"/>
      <c r="AM49" s="317"/>
      <c r="AN49" s="317"/>
      <c r="AO49" s="317"/>
      <c r="AP49" s="317"/>
      <c r="AQ49" s="317"/>
      <c r="AR49" s="317"/>
      <c r="AS49" s="317"/>
      <c r="AT49" s="317"/>
      <c r="AU49" s="317"/>
      <c r="AV49" s="317"/>
      <c r="AW49" s="317"/>
      <c r="AX49" s="317"/>
      <c r="AY49" s="317"/>
      <c r="AZ49" s="317"/>
      <c r="BA49" s="317"/>
      <c r="BB49" s="317"/>
      <c r="BC49" s="317"/>
      <c r="BD49" s="317"/>
      <c r="BE49" s="317"/>
      <c r="BF49" s="317"/>
      <c r="BG49" s="317"/>
      <c r="BH49" s="317"/>
      <c r="BI49" s="317"/>
      <c r="BJ49" s="317"/>
      <c r="BK49" s="317"/>
      <c r="BL49" s="317"/>
      <c r="BM49" s="317"/>
      <c r="BN49" s="317"/>
      <c r="BO49" s="317"/>
      <c r="BP49" s="317"/>
      <c r="BQ49" s="317"/>
      <c r="BR49" s="317"/>
      <c r="BS49" s="317"/>
      <c r="BT49" s="317"/>
      <c r="BU49" s="317"/>
      <c r="BV49" s="317"/>
      <c r="BW49" s="317"/>
      <c r="BX49" s="317"/>
      <c r="BY49" s="317"/>
      <c r="BZ49" s="317"/>
      <c r="CA49" s="317"/>
      <c r="CB49" s="317"/>
      <c r="CC49" s="317"/>
      <c r="CD49" s="317"/>
      <c r="CE49" s="317"/>
      <c r="CF49" s="317"/>
      <c r="CG49" s="317"/>
      <c r="CH49" s="317"/>
      <c r="CI49" s="317"/>
      <c r="CJ49" s="317"/>
      <c r="CK49" s="317"/>
      <c r="CL49" s="317"/>
      <c r="CM49" s="317"/>
      <c r="CN49" s="317"/>
      <c r="CO49" s="317"/>
      <c r="CP49" s="317"/>
      <c r="CQ49" s="317"/>
      <c r="CR49" s="317"/>
      <c r="CS49" s="317"/>
      <c r="CT49" s="317"/>
      <c r="CU49" s="317"/>
      <c r="CV49" s="317"/>
      <c r="CW49" s="317"/>
      <c r="CX49" s="317"/>
      <c r="CY49" s="317"/>
      <c r="CZ49" s="317"/>
      <c r="DA49" s="317"/>
      <c r="DB49" s="317"/>
      <c r="DC49" s="317"/>
      <c r="DD49" s="317"/>
      <c r="DE49" s="317"/>
      <c r="DF49" s="317"/>
      <c r="DG49" s="317"/>
      <c r="DH49" s="317"/>
      <c r="DI49" s="317"/>
      <c r="DJ49" s="317"/>
      <c r="DK49" s="317"/>
      <c r="DL49" s="317"/>
      <c r="DM49" s="317"/>
      <c r="DN49" s="317"/>
      <c r="DO49" s="317"/>
      <c r="DP49" s="317"/>
      <c r="DQ49" s="317"/>
      <c r="DR49" s="317"/>
      <c r="DS49" s="317"/>
      <c r="DT49" s="317"/>
      <c r="DU49" s="317"/>
      <c r="DV49" s="317"/>
      <c r="DW49" s="317"/>
      <c r="DX49" s="317"/>
      <c r="DY49" s="317"/>
      <c r="DZ49" s="317"/>
      <c r="EA49" s="317"/>
      <c r="EB49" s="317"/>
      <c r="EC49" s="317"/>
      <c r="ED49" s="317"/>
      <c r="EE49" s="317"/>
      <c r="EF49" s="317"/>
      <c r="EG49" s="317"/>
      <c r="EH49" s="317"/>
      <c r="EI49" s="317"/>
      <c r="EJ49" s="317"/>
      <c r="EK49" s="317"/>
      <c r="EL49" s="317"/>
      <c r="EM49" s="317"/>
      <c r="EN49" s="317"/>
      <c r="EO49" s="317"/>
      <c r="EP49" s="317"/>
      <c r="EQ49" s="317"/>
      <c r="ER49" s="317"/>
      <c r="ES49" s="317"/>
      <c r="ET49" s="317"/>
      <c r="EU49" s="317"/>
      <c r="EV49" s="317"/>
      <c r="EW49" s="317"/>
      <c r="EX49" s="317"/>
      <c r="EY49" s="317"/>
      <c r="EZ49" s="317"/>
      <c r="FA49" s="317"/>
      <c r="FB49" s="317"/>
      <c r="FC49" s="317"/>
      <c r="FD49" s="317"/>
      <c r="FE49" s="317"/>
      <c r="FF49" s="317"/>
      <c r="FG49" s="317"/>
      <c r="FH49" s="317"/>
      <c r="FI49" s="317"/>
      <c r="FJ49" s="317"/>
      <c r="FK49" s="317"/>
      <c r="FL49" s="317"/>
      <c r="FM49" s="317"/>
      <c r="FN49" s="317"/>
      <c r="FO49" s="317"/>
      <c r="FP49" s="317"/>
      <c r="FQ49" s="317"/>
      <c r="FR49" s="317"/>
      <c r="FS49" s="317"/>
      <c r="FT49" s="317"/>
      <c r="FU49" s="317"/>
      <c r="FV49" s="317"/>
      <c r="FW49" s="317"/>
      <c r="FX49" s="317"/>
      <c r="FY49" s="317"/>
      <c r="FZ49" s="289"/>
      <c r="GA49" s="289"/>
      <c r="GB49" s="289"/>
      <c r="GC49" s="289"/>
      <c r="GD49" s="289"/>
      <c r="GE49" s="289"/>
      <c r="GF49" s="317"/>
      <c r="GG49" s="317"/>
      <c r="GH49" s="317"/>
      <c r="GI49" s="317"/>
      <c r="GJ49" s="317"/>
      <c r="GK49" s="317"/>
      <c r="GL49" s="317"/>
      <c r="GM49" s="317"/>
      <c r="GN49" s="317"/>
      <c r="GO49" s="317"/>
      <c r="GP49" s="317"/>
      <c r="GQ49" s="317"/>
      <c r="GR49" s="317"/>
      <c r="GS49" s="317"/>
      <c r="GT49" s="317"/>
      <c r="GU49" s="317"/>
      <c r="GV49" s="317"/>
      <c r="GW49" s="317"/>
      <c r="GX49" s="317"/>
      <c r="GY49" s="317"/>
      <c r="GZ49" s="317"/>
      <c r="HA49" s="317"/>
      <c r="HB49" s="317"/>
      <c r="HC49" s="317"/>
      <c r="HD49" s="317"/>
      <c r="HE49" s="317"/>
      <c r="HF49" s="317"/>
      <c r="HG49" s="317"/>
      <c r="HH49" s="317"/>
      <c r="HI49" s="317"/>
      <c r="HJ49" s="317"/>
      <c r="HK49" s="317"/>
      <c r="HL49" s="317"/>
      <c r="HM49" s="317"/>
      <c r="HN49" s="317"/>
      <c r="HO49" s="317"/>
      <c r="HP49" s="317"/>
      <c r="HQ49" s="317"/>
      <c r="HR49" s="317"/>
      <c r="HS49" s="317"/>
      <c r="HT49" s="317"/>
      <c r="HU49" s="317"/>
      <c r="HV49" s="317"/>
      <c r="HW49" s="317"/>
      <c r="HX49" s="317"/>
      <c r="HY49" s="317"/>
      <c r="HZ49" s="317"/>
      <c r="IA49" s="317"/>
      <c r="IB49" s="317"/>
      <c r="IC49" s="317"/>
      <c r="ID49" s="317"/>
      <c r="IE49" s="317"/>
      <c r="IF49" s="317"/>
      <c r="IG49" s="317"/>
      <c r="IH49" s="317"/>
      <c r="II49" s="317"/>
      <c r="IJ49" s="317"/>
      <c r="IK49" s="317"/>
      <c r="IL49" s="317"/>
      <c r="IM49" s="317"/>
      <c r="IN49" s="317"/>
      <c r="IO49" s="317"/>
      <c r="IP49" s="317"/>
      <c r="IQ49" s="317"/>
      <c r="IR49" s="317"/>
      <c r="IS49" s="317"/>
      <c r="IT49" s="317"/>
      <c r="IU49" s="317"/>
      <c r="IV49" s="317"/>
      <c r="IW49" s="317"/>
      <c r="IX49" s="317"/>
      <c r="IY49" s="317"/>
      <c r="IZ49" s="317"/>
      <c r="JA49" s="317"/>
      <c r="JB49" s="317"/>
      <c r="JC49" s="317"/>
      <c r="JD49" s="317"/>
      <c r="JE49" s="317"/>
      <c r="JF49" s="317"/>
      <c r="JG49" s="317"/>
      <c r="JH49" s="317"/>
      <c r="JI49" s="287">
        <f t="shared" si="0"/>
        <v>0</v>
      </c>
      <c r="JJ49" s="315"/>
      <c r="JK49" s="288"/>
      <c r="JL49" s="286">
        <f t="shared" si="1"/>
        <v>0</v>
      </c>
      <c r="JM49" s="286"/>
      <c r="JN49" s="289"/>
      <c r="JO49" s="286"/>
      <c r="JP49" s="286"/>
      <c r="AQT49" s="317"/>
    </row>
    <row r="50" spans="1:276 1138:1138" s="167" customFormat="1" ht="15.6" x14ac:dyDescent="0.3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  <c r="AV50" s="286"/>
      <c r="AW50" s="286"/>
      <c r="AX50" s="286"/>
      <c r="AY50" s="286"/>
      <c r="AZ50" s="286"/>
      <c r="BA50" s="286"/>
      <c r="BB50" s="286"/>
      <c r="BC50" s="286"/>
      <c r="BD50" s="286"/>
      <c r="BE50" s="286"/>
      <c r="BF50" s="286"/>
      <c r="BG50" s="286"/>
      <c r="BH50" s="286"/>
      <c r="BI50" s="286"/>
      <c r="BJ50" s="286"/>
      <c r="BK50" s="286"/>
      <c r="BL50" s="286"/>
      <c r="BM50" s="286"/>
      <c r="BN50" s="286"/>
      <c r="BO50" s="286"/>
      <c r="BP50" s="286"/>
      <c r="BQ50" s="286"/>
      <c r="BR50" s="286"/>
      <c r="BS50" s="286"/>
      <c r="BT50" s="286"/>
      <c r="BU50" s="286"/>
      <c r="BV50" s="286"/>
      <c r="BW50" s="286"/>
      <c r="BX50" s="286"/>
      <c r="BY50" s="286"/>
      <c r="BZ50" s="286"/>
      <c r="CA50" s="286"/>
      <c r="CB50" s="286"/>
      <c r="CC50" s="286"/>
      <c r="CD50" s="286"/>
      <c r="CE50" s="286"/>
      <c r="CF50" s="286"/>
      <c r="CG50" s="286"/>
      <c r="CH50" s="286"/>
      <c r="CI50" s="286"/>
      <c r="CJ50" s="286"/>
      <c r="CK50" s="286"/>
      <c r="CL50" s="286"/>
      <c r="CM50" s="286"/>
      <c r="CN50" s="286"/>
      <c r="CO50" s="286"/>
      <c r="CP50" s="286"/>
      <c r="CQ50" s="286"/>
      <c r="CR50" s="286"/>
      <c r="CS50" s="286"/>
      <c r="CT50" s="286"/>
      <c r="CU50" s="286"/>
      <c r="CV50" s="286"/>
      <c r="CW50" s="286"/>
      <c r="CX50" s="286"/>
      <c r="CY50" s="286"/>
      <c r="CZ50" s="286"/>
      <c r="DA50" s="286"/>
      <c r="DB50" s="286"/>
      <c r="DC50" s="286"/>
      <c r="DD50" s="286"/>
      <c r="DE50" s="286"/>
      <c r="DF50" s="286"/>
      <c r="DG50" s="286"/>
      <c r="DH50" s="286"/>
      <c r="DI50" s="286"/>
      <c r="DJ50" s="286"/>
      <c r="DK50" s="286"/>
      <c r="DL50" s="286"/>
      <c r="DM50" s="286"/>
      <c r="DN50" s="286"/>
      <c r="DO50" s="286"/>
      <c r="DP50" s="286"/>
      <c r="DQ50" s="286"/>
      <c r="DR50" s="286"/>
      <c r="DS50" s="286"/>
      <c r="DT50" s="286"/>
      <c r="DU50" s="286"/>
      <c r="DV50" s="286"/>
      <c r="DW50" s="286"/>
      <c r="DX50" s="286"/>
      <c r="DY50" s="286"/>
      <c r="DZ50" s="286"/>
      <c r="EA50" s="286"/>
      <c r="EB50" s="286"/>
      <c r="EC50" s="286"/>
      <c r="ED50" s="286"/>
      <c r="EE50" s="286"/>
      <c r="EF50" s="286"/>
      <c r="EG50" s="286"/>
      <c r="EH50" s="286"/>
      <c r="EI50" s="286"/>
      <c r="EJ50" s="286"/>
      <c r="EK50" s="286"/>
      <c r="EL50" s="286"/>
      <c r="EM50" s="286"/>
      <c r="EN50" s="286"/>
      <c r="EO50" s="286"/>
      <c r="EP50" s="286"/>
      <c r="EQ50" s="286"/>
      <c r="ER50" s="286"/>
      <c r="ES50" s="286"/>
      <c r="ET50" s="286"/>
      <c r="EU50" s="286"/>
      <c r="EV50" s="286"/>
      <c r="EW50" s="286"/>
      <c r="EX50" s="286"/>
      <c r="EY50" s="286"/>
      <c r="EZ50" s="286"/>
      <c r="FA50" s="286"/>
      <c r="FB50" s="286"/>
      <c r="FC50" s="286"/>
      <c r="FD50" s="286"/>
      <c r="FE50" s="286"/>
      <c r="FF50" s="286"/>
      <c r="FG50" s="286"/>
      <c r="FH50" s="286"/>
      <c r="FI50" s="286"/>
      <c r="FJ50" s="286"/>
      <c r="FK50" s="286"/>
      <c r="FL50" s="286"/>
      <c r="FM50" s="286"/>
      <c r="FN50" s="286"/>
      <c r="FO50" s="286"/>
      <c r="FP50" s="286"/>
      <c r="FQ50" s="286"/>
      <c r="FR50" s="286"/>
      <c r="FS50" s="286"/>
      <c r="FT50" s="286"/>
      <c r="FU50" s="286"/>
      <c r="FV50" s="286"/>
      <c r="FW50" s="286"/>
      <c r="FX50" s="286"/>
      <c r="FY50" s="286"/>
      <c r="FZ50" s="286"/>
      <c r="GA50" s="286"/>
      <c r="GB50" s="286"/>
      <c r="GC50" s="286"/>
      <c r="GD50" s="286"/>
      <c r="GE50" s="286"/>
      <c r="GF50" s="286"/>
      <c r="GG50" s="286"/>
      <c r="GH50" s="286"/>
      <c r="GI50" s="286"/>
      <c r="GJ50" s="286"/>
      <c r="GK50" s="286"/>
      <c r="GL50" s="286"/>
      <c r="GM50" s="286"/>
      <c r="GN50" s="286"/>
      <c r="GO50" s="286"/>
      <c r="GP50" s="286"/>
      <c r="GQ50" s="286"/>
      <c r="GR50" s="286"/>
      <c r="GS50" s="286"/>
      <c r="GT50" s="286"/>
      <c r="GU50" s="286"/>
      <c r="GV50" s="286"/>
      <c r="GW50" s="286"/>
      <c r="GX50" s="286"/>
      <c r="GY50" s="286"/>
      <c r="GZ50" s="286"/>
      <c r="HA50" s="286"/>
      <c r="HB50" s="286"/>
      <c r="HC50" s="286"/>
      <c r="HD50" s="286"/>
      <c r="HE50" s="286"/>
      <c r="HF50" s="286"/>
      <c r="HG50" s="286"/>
      <c r="HH50" s="286"/>
      <c r="HI50" s="286"/>
      <c r="HJ50" s="286"/>
      <c r="HK50" s="286"/>
      <c r="HL50" s="286"/>
      <c r="HM50" s="286"/>
      <c r="HN50" s="286"/>
      <c r="HO50" s="286"/>
      <c r="HP50" s="286"/>
      <c r="HQ50" s="286"/>
      <c r="HR50" s="286"/>
      <c r="HS50" s="286"/>
      <c r="HT50" s="286"/>
      <c r="HU50" s="286"/>
      <c r="HV50" s="286"/>
      <c r="HW50" s="286"/>
      <c r="HX50" s="286"/>
      <c r="HY50" s="286"/>
      <c r="HZ50" s="286"/>
      <c r="IA50" s="286"/>
      <c r="IB50" s="286"/>
      <c r="IC50" s="286"/>
      <c r="ID50" s="286"/>
      <c r="IE50" s="286"/>
      <c r="IF50" s="286"/>
      <c r="IG50" s="286"/>
      <c r="IH50" s="286"/>
      <c r="II50" s="286"/>
      <c r="IJ50" s="286"/>
      <c r="IK50" s="286"/>
      <c r="IL50" s="286"/>
      <c r="IM50" s="286"/>
      <c r="IN50" s="286"/>
      <c r="IO50" s="286"/>
      <c r="IP50" s="286"/>
      <c r="IQ50" s="286"/>
      <c r="IR50" s="286"/>
      <c r="IS50" s="286"/>
      <c r="IT50" s="286"/>
      <c r="IU50" s="286"/>
      <c r="IV50" s="286"/>
      <c r="IW50" s="286"/>
      <c r="IX50" s="286"/>
      <c r="IY50" s="286"/>
      <c r="IZ50" s="286"/>
      <c r="JA50" s="286"/>
      <c r="JB50" s="286"/>
      <c r="JC50" s="286"/>
      <c r="JD50" s="286"/>
      <c r="JE50" s="286"/>
      <c r="JF50" s="286"/>
      <c r="JG50" s="286"/>
      <c r="JH50" s="286"/>
      <c r="JI50" s="287">
        <f t="shared" si="0"/>
        <v>0</v>
      </c>
      <c r="JJ50" s="315"/>
      <c r="JK50" s="288"/>
      <c r="JL50" s="286">
        <f t="shared" si="1"/>
        <v>0</v>
      </c>
      <c r="JM50" s="286"/>
      <c r="JN50" s="289"/>
      <c r="JO50" s="286"/>
      <c r="JP50" s="286"/>
      <c r="AQT50" s="317"/>
    </row>
    <row r="51" spans="1:276 1138:1138" s="167" customFormat="1" ht="15.6" x14ac:dyDescent="0.3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6"/>
      <c r="AV51" s="286"/>
      <c r="AW51" s="286"/>
      <c r="AX51" s="286"/>
      <c r="AY51" s="286"/>
      <c r="AZ51" s="286"/>
      <c r="BA51" s="286"/>
      <c r="BB51" s="286"/>
      <c r="BC51" s="286"/>
      <c r="BD51" s="286"/>
      <c r="BE51" s="286"/>
      <c r="BF51" s="286"/>
      <c r="BG51" s="286"/>
      <c r="BH51" s="286"/>
      <c r="BI51" s="286"/>
      <c r="BJ51" s="286"/>
      <c r="BK51" s="286"/>
      <c r="BL51" s="286"/>
      <c r="BM51" s="286"/>
      <c r="BN51" s="286"/>
      <c r="BO51" s="286"/>
      <c r="BP51" s="286"/>
      <c r="BQ51" s="286"/>
      <c r="BR51" s="286"/>
      <c r="BS51" s="286"/>
      <c r="BT51" s="286"/>
      <c r="BU51" s="286"/>
      <c r="BV51" s="286"/>
      <c r="BW51" s="286"/>
      <c r="BX51" s="286"/>
      <c r="BY51" s="286"/>
      <c r="BZ51" s="286"/>
      <c r="CA51" s="286"/>
      <c r="CB51" s="286"/>
      <c r="CC51" s="286"/>
      <c r="CD51" s="286"/>
      <c r="CE51" s="286"/>
      <c r="CF51" s="286"/>
      <c r="CG51" s="286"/>
      <c r="CH51" s="286"/>
      <c r="CI51" s="286"/>
      <c r="CJ51" s="286"/>
      <c r="CK51" s="286"/>
      <c r="CL51" s="286"/>
      <c r="CM51" s="286"/>
      <c r="CN51" s="286"/>
      <c r="CO51" s="286"/>
      <c r="CP51" s="286"/>
      <c r="CQ51" s="286"/>
      <c r="CR51" s="286"/>
      <c r="CS51" s="286"/>
      <c r="CT51" s="286"/>
      <c r="CU51" s="286"/>
      <c r="CV51" s="286"/>
      <c r="CW51" s="286"/>
      <c r="CX51" s="286"/>
      <c r="CY51" s="286"/>
      <c r="CZ51" s="286"/>
      <c r="DA51" s="286"/>
      <c r="DB51" s="286"/>
      <c r="DC51" s="286"/>
      <c r="DD51" s="286"/>
      <c r="DE51" s="286"/>
      <c r="DF51" s="286"/>
      <c r="DG51" s="286"/>
      <c r="DH51" s="286"/>
      <c r="DI51" s="286"/>
      <c r="DJ51" s="286"/>
      <c r="DK51" s="286"/>
      <c r="DL51" s="286"/>
      <c r="DM51" s="286"/>
      <c r="DN51" s="286"/>
      <c r="DO51" s="286"/>
      <c r="DP51" s="286"/>
      <c r="DQ51" s="286"/>
      <c r="DR51" s="286"/>
      <c r="DS51" s="286"/>
      <c r="DT51" s="286"/>
      <c r="DU51" s="286"/>
      <c r="DV51" s="286"/>
      <c r="DW51" s="286"/>
      <c r="DX51" s="286"/>
      <c r="DY51" s="286"/>
      <c r="DZ51" s="286"/>
      <c r="EA51" s="286"/>
      <c r="EB51" s="286"/>
      <c r="EC51" s="286"/>
      <c r="ED51" s="286"/>
      <c r="EE51" s="286"/>
      <c r="EF51" s="286"/>
      <c r="EG51" s="286"/>
      <c r="EH51" s="286"/>
      <c r="EI51" s="286"/>
      <c r="EJ51" s="286"/>
      <c r="EK51" s="286"/>
      <c r="EL51" s="286"/>
      <c r="EM51" s="286"/>
      <c r="EN51" s="286"/>
      <c r="EO51" s="286"/>
      <c r="EP51" s="286"/>
      <c r="EQ51" s="286"/>
      <c r="ER51" s="286"/>
      <c r="ES51" s="286"/>
      <c r="ET51" s="286"/>
      <c r="EU51" s="286"/>
      <c r="EV51" s="286"/>
      <c r="EW51" s="286"/>
      <c r="EX51" s="286"/>
      <c r="EY51" s="286"/>
      <c r="EZ51" s="286"/>
      <c r="FA51" s="286"/>
      <c r="FB51" s="286"/>
      <c r="FC51" s="286"/>
      <c r="FD51" s="286"/>
      <c r="FE51" s="286"/>
      <c r="FF51" s="286"/>
      <c r="FG51" s="286"/>
      <c r="FH51" s="286"/>
      <c r="FI51" s="286"/>
      <c r="FJ51" s="286"/>
      <c r="FK51" s="286"/>
      <c r="FL51" s="286"/>
      <c r="FM51" s="286"/>
      <c r="FN51" s="286"/>
      <c r="FO51" s="286"/>
      <c r="FP51" s="286"/>
      <c r="FQ51" s="286"/>
      <c r="FR51" s="286"/>
      <c r="FS51" s="286"/>
      <c r="FT51" s="286"/>
      <c r="FU51" s="286"/>
      <c r="FV51" s="286"/>
      <c r="FW51" s="286"/>
      <c r="FX51" s="286"/>
      <c r="FY51" s="286"/>
      <c r="FZ51" s="286"/>
      <c r="GA51" s="286"/>
      <c r="GB51" s="286"/>
      <c r="GC51" s="286"/>
      <c r="GD51" s="286"/>
      <c r="GE51" s="286"/>
      <c r="GF51" s="286"/>
      <c r="GG51" s="286"/>
      <c r="GH51" s="286"/>
      <c r="GI51" s="286"/>
      <c r="GJ51" s="286"/>
      <c r="GK51" s="286"/>
      <c r="GL51" s="286"/>
      <c r="GM51" s="286"/>
      <c r="GN51" s="286"/>
      <c r="GO51" s="286"/>
      <c r="GP51" s="286"/>
      <c r="GQ51" s="286"/>
      <c r="GR51" s="286"/>
      <c r="GS51" s="286"/>
      <c r="GT51" s="286"/>
      <c r="GU51" s="286"/>
      <c r="GV51" s="286"/>
      <c r="GW51" s="286"/>
      <c r="GX51" s="286"/>
      <c r="GY51" s="286"/>
      <c r="GZ51" s="286"/>
      <c r="HA51" s="286"/>
      <c r="HB51" s="286"/>
      <c r="HC51" s="286"/>
      <c r="HD51" s="286"/>
      <c r="HE51" s="286"/>
      <c r="HF51" s="286"/>
      <c r="HG51" s="286"/>
      <c r="HH51" s="286"/>
      <c r="HI51" s="286"/>
      <c r="HJ51" s="286"/>
      <c r="HK51" s="286"/>
      <c r="HL51" s="286"/>
      <c r="HM51" s="286"/>
      <c r="HN51" s="286"/>
      <c r="HO51" s="286"/>
      <c r="HP51" s="286"/>
      <c r="HQ51" s="286"/>
      <c r="HR51" s="286"/>
      <c r="HS51" s="286"/>
      <c r="HT51" s="286"/>
      <c r="HU51" s="286"/>
      <c r="HV51" s="286"/>
      <c r="HW51" s="286"/>
      <c r="HX51" s="286"/>
      <c r="HY51" s="286"/>
      <c r="HZ51" s="286"/>
      <c r="IA51" s="286"/>
      <c r="IB51" s="286"/>
      <c r="IC51" s="286"/>
      <c r="ID51" s="286"/>
      <c r="IE51" s="286"/>
      <c r="IF51" s="286"/>
      <c r="IG51" s="286"/>
      <c r="IH51" s="286"/>
      <c r="II51" s="286"/>
      <c r="IJ51" s="286"/>
      <c r="IK51" s="286"/>
      <c r="IL51" s="286"/>
      <c r="IM51" s="286"/>
      <c r="IN51" s="286"/>
      <c r="IO51" s="286"/>
      <c r="IP51" s="286"/>
      <c r="IQ51" s="286"/>
      <c r="IR51" s="286"/>
      <c r="IS51" s="286"/>
      <c r="IT51" s="286"/>
      <c r="IU51" s="286"/>
      <c r="IV51" s="286"/>
      <c r="IW51" s="286"/>
      <c r="IX51" s="286"/>
      <c r="IY51" s="286"/>
      <c r="IZ51" s="286"/>
      <c r="JA51" s="286"/>
      <c r="JB51" s="286"/>
      <c r="JC51" s="286"/>
      <c r="JD51" s="286"/>
      <c r="JE51" s="286"/>
      <c r="JF51" s="286"/>
      <c r="JG51" s="286"/>
      <c r="JH51" s="286"/>
      <c r="JI51" s="287">
        <f t="shared" si="0"/>
        <v>0</v>
      </c>
      <c r="JJ51" s="315"/>
      <c r="JK51" s="288"/>
      <c r="JL51" s="286">
        <f t="shared" si="1"/>
        <v>0</v>
      </c>
      <c r="JM51" s="286"/>
      <c r="JN51" s="289"/>
      <c r="JO51" s="286"/>
      <c r="JP51" s="286"/>
      <c r="AQT51" s="317"/>
    </row>
    <row r="52" spans="1:276 1138:1138" s="167" customFormat="1" ht="15.6" x14ac:dyDescent="0.3">
      <c r="A52" s="286"/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  <c r="AV52" s="286"/>
      <c r="AW52" s="286"/>
      <c r="AX52" s="286"/>
      <c r="AY52" s="286"/>
      <c r="AZ52" s="286"/>
      <c r="BA52" s="286"/>
      <c r="BB52" s="286"/>
      <c r="BC52" s="286"/>
      <c r="BD52" s="286"/>
      <c r="BE52" s="286"/>
      <c r="BF52" s="286"/>
      <c r="BG52" s="286"/>
      <c r="BH52" s="286"/>
      <c r="BI52" s="286"/>
      <c r="BJ52" s="286"/>
      <c r="BK52" s="286"/>
      <c r="BL52" s="286"/>
      <c r="BM52" s="286"/>
      <c r="BN52" s="286"/>
      <c r="BO52" s="286"/>
      <c r="BP52" s="286"/>
      <c r="BQ52" s="286"/>
      <c r="BR52" s="286"/>
      <c r="BS52" s="286"/>
      <c r="BT52" s="286"/>
      <c r="BU52" s="286"/>
      <c r="BV52" s="286"/>
      <c r="BW52" s="286"/>
      <c r="BX52" s="286"/>
      <c r="BY52" s="286"/>
      <c r="BZ52" s="286"/>
      <c r="CA52" s="286"/>
      <c r="CB52" s="286"/>
      <c r="CC52" s="286"/>
      <c r="CD52" s="286"/>
      <c r="CE52" s="286"/>
      <c r="CF52" s="286"/>
      <c r="CG52" s="286"/>
      <c r="CH52" s="286"/>
      <c r="CI52" s="286"/>
      <c r="CJ52" s="286"/>
      <c r="CK52" s="286"/>
      <c r="CL52" s="286"/>
      <c r="CM52" s="286"/>
      <c r="CN52" s="286"/>
      <c r="CO52" s="286"/>
      <c r="CP52" s="286"/>
      <c r="CQ52" s="286"/>
      <c r="CR52" s="286"/>
      <c r="CS52" s="286"/>
      <c r="CT52" s="286"/>
      <c r="CU52" s="286"/>
      <c r="CV52" s="286"/>
      <c r="CW52" s="286"/>
      <c r="CX52" s="286"/>
      <c r="CY52" s="286"/>
      <c r="CZ52" s="286"/>
      <c r="DA52" s="286"/>
      <c r="DB52" s="286"/>
      <c r="DC52" s="286"/>
      <c r="DD52" s="286"/>
      <c r="DE52" s="286"/>
      <c r="DF52" s="286"/>
      <c r="DG52" s="286"/>
      <c r="DH52" s="286"/>
      <c r="DI52" s="286"/>
      <c r="DJ52" s="286"/>
      <c r="DK52" s="286"/>
      <c r="DL52" s="286"/>
      <c r="DM52" s="286"/>
      <c r="DN52" s="286"/>
      <c r="DO52" s="286"/>
      <c r="DP52" s="286"/>
      <c r="DQ52" s="286"/>
      <c r="DR52" s="286"/>
      <c r="DS52" s="286"/>
      <c r="DT52" s="286"/>
      <c r="DU52" s="286"/>
      <c r="DV52" s="286"/>
      <c r="DW52" s="286"/>
      <c r="DX52" s="286"/>
      <c r="DY52" s="286"/>
      <c r="DZ52" s="286"/>
      <c r="EA52" s="286"/>
      <c r="EB52" s="286"/>
      <c r="EC52" s="286"/>
      <c r="ED52" s="286"/>
      <c r="EE52" s="286"/>
      <c r="EF52" s="286"/>
      <c r="EG52" s="286"/>
      <c r="EH52" s="286"/>
      <c r="EI52" s="286"/>
      <c r="EJ52" s="286"/>
      <c r="EK52" s="286"/>
      <c r="EL52" s="286"/>
      <c r="EM52" s="286"/>
      <c r="EN52" s="286"/>
      <c r="EO52" s="286"/>
      <c r="EP52" s="286"/>
      <c r="EQ52" s="286"/>
      <c r="ER52" s="286"/>
      <c r="ES52" s="286"/>
      <c r="ET52" s="286"/>
      <c r="EU52" s="286"/>
      <c r="EV52" s="286"/>
      <c r="EW52" s="286"/>
      <c r="EX52" s="286"/>
      <c r="EY52" s="286"/>
      <c r="EZ52" s="286"/>
      <c r="FA52" s="286"/>
      <c r="FB52" s="286"/>
      <c r="FC52" s="286"/>
      <c r="FD52" s="286"/>
      <c r="FE52" s="286"/>
      <c r="FF52" s="286"/>
      <c r="FG52" s="286"/>
      <c r="FH52" s="286"/>
      <c r="FI52" s="286"/>
      <c r="FJ52" s="286"/>
      <c r="FK52" s="286"/>
      <c r="FL52" s="286"/>
      <c r="FM52" s="286"/>
      <c r="FN52" s="286"/>
      <c r="FO52" s="286"/>
      <c r="FP52" s="286"/>
      <c r="FQ52" s="286"/>
      <c r="FR52" s="286"/>
      <c r="FS52" s="286"/>
      <c r="FT52" s="286"/>
      <c r="FU52" s="286"/>
      <c r="FV52" s="286"/>
      <c r="FW52" s="286"/>
      <c r="FX52" s="286"/>
      <c r="FY52" s="286"/>
      <c r="FZ52" s="286"/>
      <c r="GA52" s="286"/>
      <c r="GB52" s="286"/>
      <c r="GC52" s="286"/>
      <c r="GD52" s="286"/>
      <c r="GE52" s="286"/>
      <c r="GF52" s="286"/>
      <c r="GG52" s="286"/>
      <c r="GH52" s="286"/>
      <c r="GI52" s="286"/>
      <c r="GJ52" s="286"/>
      <c r="GK52" s="286"/>
      <c r="GL52" s="286"/>
      <c r="GM52" s="286"/>
      <c r="GN52" s="286"/>
      <c r="GO52" s="286"/>
      <c r="GP52" s="286"/>
      <c r="GQ52" s="286"/>
      <c r="GR52" s="286"/>
      <c r="GS52" s="286"/>
      <c r="GT52" s="286"/>
      <c r="GU52" s="286"/>
      <c r="GV52" s="286"/>
      <c r="GW52" s="286"/>
      <c r="GX52" s="286"/>
      <c r="GY52" s="286"/>
      <c r="GZ52" s="286"/>
      <c r="HA52" s="286"/>
      <c r="HB52" s="286"/>
      <c r="HC52" s="286"/>
      <c r="HD52" s="286"/>
      <c r="HE52" s="286"/>
      <c r="HF52" s="286"/>
      <c r="HG52" s="286"/>
      <c r="HH52" s="286"/>
      <c r="HI52" s="286"/>
      <c r="HJ52" s="286"/>
      <c r="HK52" s="286"/>
      <c r="HL52" s="286"/>
      <c r="HM52" s="286"/>
      <c r="HN52" s="286"/>
      <c r="HO52" s="286"/>
      <c r="HP52" s="286"/>
      <c r="HQ52" s="286"/>
      <c r="HR52" s="286"/>
      <c r="HS52" s="286"/>
      <c r="HT52" s="286"/>
      <c r="HU52" s="286"/>
      <c r="HV52" s="286"/>
      <c r="HW52" s="286"/>
      <c r="HX52" s="286"/>
      <c r="HY52" s="286"/>
      <c r="HZ52" s="286"/>
      <c r="IA52" s="286"/>
      <c r="IB52" s="286"/>
      <c r="IC52" s="286"/>
      <c r="ID52" s="286"/>
      <c r="IE52" s="286"/>
      <c r="IF52" s="286"/>
      <c r="IG52" s="286"/>
      <c r="IH52" s="286"/>
      <c r="II52" s="286"/>
      <c r="IJ52" s="286"/>
      <c r="IK52" s="286"/>
      <c r="IL52" s="286"/>
      <c r="IM52" s="286"/>
      <c r="IN52" s="286"/>
      <c r="IO52" s="286"/>
      <c r="IP52" s="286"/>
      <c r="IQ52" s="286"/>
      <c r="IR52" s="286"/>
      <c r="IS52" s="286"/>
      <c r="IT52" s="286"/>
      <c r="IU52" s="286"/>
      <c r="IV52" s="286"/>
      <c r="IW52" s="286"/>
      <c r="IX52" s="286"/>
      <c r="IY52" s="286"/>
      <c r="IZ52" s="286"/>
      <c r="JA52" s="286"/>
      <c r="JB52" s="286"/>
      <c r="JC52" s="286"/>
      <c r="JD52" s="286"/>
      <c r="JE52" s="286"/>
      <c r="JF52" s="286"/>
      <c r="JG52" s="286"/>
      <c r="JH52" s="286"/>
      <c r="JI52" s="287">
        <f t="shared" si="0"/>
        <v>0</v>
      </c>
      <c r="JJ52" s="315"/>
      <c r="JK52" s="288"/>
      <c r="JL52" s="286">
        <f t="shared" si="1"/>
        <v>0</v>
      </c>
      <c r="JM52" s="286"/>
      <c r="JN52" s="289"/>
      <c r="JO52" s="286"/>
      <c r="JP52" s="286"/>
      <c r="AQT52" s="317"/>
    </row>
    <row r="53" spans="1:276 1138:1138" s="167" customFormat="1" ht="15.6" x14ac:dyDescent="0.3">
      <c r="A53" s="286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  <c r="AV53" s="286"/>
      <c r="AW53" s="286"/>
      <c r="AX53" s="286"/>
      <c r="AY53" s="286"/>
      <c r="AZ53" s="286"/>
      <c r="BA53" s="286"/>
      <c r="BB53" s="286"/>
      <c r="BC53" s="286"/>
      <c r="BD53" s="286"/>
      <c r="BE53" s="286"/>
      <c r="BF53" s="286"/>
      <c r="BG53" s="286"/>
      <c r="BH53" s="286"/>
      <c r="BI53" s="286"/>
      <c r="BJ53" s="286"/>
      <c r="BK53" s="286"/>
      <c r="BL53" s="286"/>
      <c r="BM53" s="286"/>
      <c r="BN53" s="286"/>
      <c r="BO53" s="286"/>
      <c r="BP53" s="286"/>
      <c r="BQ53" s="286"/>
      <c r="BR53" s="286"/>
      <c r="BS53" s="286"/>
      <c r="BT53" s="286"/>
      <c r="BU53" s="286"/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86"/>
      <c r="CH53" s="286"/>
      <c r="CI53" s="286"/>
      <c r="CJ53" s="286"/>
      <c r="CK53" s="286"/>
      <c r="CL53" s="286"/>
      <c r="CM53" s="286"/>
      <c r="CN53" s="286"/>
      <c r="CO53" s="286"/>
      <c r="CP53" s="286"/>
      <c r="CQ53" s="286"/>
      <c r="CR53" s="286"/>
      <c r="CS53" s="286"/>
      <c r="CT53" s="286"/>
      <c r="CU53" s="286"/>
      <c r="CV53" s="286"/>
      <c r="CW53" s="286"/>
      <c r="CX53" s="286"/>
      <c r="CY53" s="286"/>
      <c r="CZ53" s="286"/>
      <c r="DA53" s="286"/>
      <c r="DB53" s="286"/>
      <c r="DC53" s="286"/>
      <c r="DD53" s="286"/>
      <c r="DE53" s="286"/>
      <c r="DF53" s="286"/>
      <c r="DG53" s="286"/>
      <c r="DH53" s="286"/>
      <c r="DI53" s="286"/>
      <c r="DJ53" s="286"/>
      <c r="DK53" s="286"/>
      <c r="DL53" s="286"/>
      <c r="DM53" s="286"/>
      <c r="DN53" s="286"/>
      <c r="DO53" s="286"/>
      <c r="DP53" s="286"/>
      <c r="DQ53" s="286"/>
      <c r="DR53" s="286"/>
      <c r="DS53" s="286"/>
      <c r="DT53" s="286"/>
      <c r="DU53" s="286"/>
      <c r="DV53" s="286"/>
      <c r="DW53" s="286"/>
      <c r="DX53" s="286"/>
      <c r="DY53" s="286"/>
      <c r="DZ53" s="286"/>
      <c r="EA53" s="286"/>
      <c r="EB53" s="286"/>
      <c r="EC53" s="286"/>
      <c r="ED53" s="286"/>
      <c r="EE53" s="286"/>
      <c r="EF53" s="286"/>
      <c r="EG53" s="286"/>
      <c r="EH53" s="286"/>
      <c r="EI53" s="286"/>
      <c r="EJ53" s="286"/>
      <c r="EK53" s="286"/>
      <c r="EL53" s="286"/>
      <c r="EM53" s="286"/>
      <c r="EN53" s="286"/>
      <c r="EO53" s="286"/>
      <c r="EP53" s="286"/>
      <c r="EQ53" s="286"/>
      <c r="ER53" s="286"/>
      <c r="ES53" s="286"/>
      <c r="ET53" s="286"/>
      <c r="EU53" s="286"/>
      <c r="EV53" s="286"/>
      <c r="EW53" s="286"/>
      <c r="EX53" s="286"/>
      <c r="EY53" s="286"/>
      <c r="EZ53" s="286"/>
      <c r="FA53" s="286"/>
      <c r="FB53" s="286"/>
      <c r="FC53" s="286"/>
      <c r="FD53" s="286"/>
      <c r="FE53" s="286"/>
      <c r="FF53" s="286"/>
      <c r="FG53" s="286"/>
      <c r="FH53" s="286"/>
      <c r="FI53" s="286"/>
      <c r="FJ53" s="286"/>
      <c r="FK53" s="286"/>
      <c r="FL53" s="286"/>
      <c r="FM53" s="286"/>
      <c r="FN53" s="286"/>
      <c r="FO53" s="286"/>
      <c r="FP53" s="286"/>
      <c r="FQ53" s="286"/>
      <c r="FR53" s="286"/>
      <c r="FS53" s="286"/>
      <c r="FT53" s="286"/>
      <c r="FU53" s="286"/>
      <c r="FV53" s="286"/>
      <c r="FW53" s="286"/>
      <c r="FX53" s="286"/>
      <c r="FY53" s="286"/>
      <c r="FZ53" s="286"/>
      <c r="GA53" s="286"/>
      <c r="GB53" s="286"/>
      <c r="GC53" s="286"/>
      <c r="GD53" s="286"/>
      <c r="GE53" s="286"/>
      <c r="GF53" s="286"/>
      <c r="GG53" s="286"/>
      <c r="GH53" s="286"/>
      <c r="GI53" s="286"/>
      <c r="GJ53" s="286"/>
      <c r="GK53" s="286"/>
      <c r="GL53" s="286"/>
      <c r="GM53" s="286"/>
      <c r="GN53" s="286"/>
      <c r="GO53" s="286"/>
      <c r="GP53" s="286"/>
      <c r="GQ53" s="286"/>
      <c r="GR53" s="286"/>
      <c r="GS53" s="286"/>
      <c r="GT53" s="286"/>
      <c r="GU53" s="286"/>
      <c r="GV53" s="286"/>
      <c r="GW53" s="286"/>
      <c r="GX53" s="286"/>
      <c r="GY53" s="286"/>
      <c r="GZ53" s="286"/>
      <c r="HA53" s="286"/>
      <c r="HB53" s="286"/>
      <c r="HC53" s="286"/>
      <c r="HD53" s="286"/>
      <c r="HE53" s="286"/>
      <c r="HF53" s="286"/>
      <c r="HG53" s="286"/>
      <c r="HH53" s="286"/>
      <c r="HI53" s="286"/>
      <c r="HJ53" s="286"/>
      <c r="HK53" s="286"/>
      <c r="HL53" s="286"/>
      <c r="HM53" s="286"/>
      <c r="HN53" s="286"/>
      <c r="HO53" s="286"/>
      <c r="HP53" s="286"/>
      <c r="HQ53" s="286"/>
      <c r="HR53" s="286"/>
      <c r="HS53" s="286"/>
      <c r="HT53" s="286"/>
      <c r="HU53" s="286"/>
      <c r="HV53" s="286"/>
      <c r="HW53" s="286"/>
      <c r="HX53" s="286"/>
      <c r="HY53" s="286"/>
      <c r="HZ53" s="286"/>
      <c r="IA53" s="286"/>
      <c r="IB53" s="286"/>
      <c r="IC53" s="286"/>
      <c r="ID53" s="286"/>
      <c r="IE53" s="286"/>
      <c r="IF53" s="286"/>
      <c r="IG53" s="286"/>
      <c r="IH53" s="286"/>
      <c r="II53" s="286"/>
      <c r="IJ53" s="286"/>
      <c r="IK53" s="286"/>
      <c r="IL53" s="286"/>
      <c r="IM53" s="286"/>
      <c r="IN53" s="286"/>
      <c r="IO53" s="286"/>
      <c r="IP53" s="286"/>
      <c r="IQ53" s="286"/>
      <c r="IR53" s="286"/>
      <c r="IS53" s="286"/>
      <c r="IT53" s="286"/>
      <c r="IU53" s="286"/>
      <c r="IV53" s="286"/>
      <c r="IW53" s="286"/>
      <c r="IX53" s="286"/>
      <c r="IY53" s="286"/>
      <c r="IZ53" s="286"/>
      <c r="JA53" s="286"/>
      <c r="JB53" s="286"/>
      <c r="JC53" s="286"/>
      <c r="JD53" s="286"/>
      <c r="JE53" s="286"/>
      <c r="JF53" s="286"/>
      <c r="JG53" s="286"/>
      <c r="JH53" s="286"/>
      <c r="JI53" s="287">
        <f t="shared" si="0"/>
        <v>0</v>
      </c>
      <c r="JJ53" s="315"/>
      <c r="JK53" s="288"/>
      <c r="JL53" s="286">
        <f t="shared" si="1"/>
        <v>0</v>
      </c>
      <c r="JM53" s="286"/>
      <c r="JN53" s="289"/>
      <c r="JO53" s="289"/>
      <c r="JP53" s="286"/>
      <c r="AQT53" s="317"/>
    </row>
    <row r="54" spans="1:276 1138:1138" s="167" customFormat="1" ht="15.6" x14ac:dyDescent="0.3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286"/>
      <c r="AO54" s="286"/>
      <c r="AP54" s="286"/>
      <c r="AQ54" s="286"/>
      <c r="AR54" s="286"/>
      <c r="AS54" s="286"/>
      <c r="AT54" s="286"/>
      <c r="AU54" s="286"/>
      <c r="AV54" s="286"/>
      <c r="AW54" s="286"/>
      <c r="AX54" s="286"/>
      <c r="AY54" s="286"/>
      <c r="AZ54" s="286"/>
      <c r="BA54" s="286"/>
      <c r="BB54" s="286"/>
      <c r="BC54" s="286"/>
      <c r="BD54" s="286"/>
      <c r="BE54" s="286"/>
      <c r="BF54" s="286"/>
      <c r="BG54" s="286"/>
      <c r="BH54" s="286"/>
      <c r="BI54" s="286"/>
      <c r="BJ54" s="286"/>
      <c r="BK54" s="286"/>
      <c r="BL54" s="286"/>
      <c r="BM54" s="286"/>
      <c r="BN54" s="286"/>
      <c r="BO54" s="286"/>
      <c r="BP54" s="286"/>
      <c r="BQ54" s="286"/>
      <c r="BR54" s="286"/>
      <c r="BS54" s="286"/>
      <c r="BT54" s="286"/>
      <c r="BU54" s="286"/>
      <c r="BV54" s="286"/>
      <c r="BW54" s="286"/>
      <c r="BX54" s="286"/>
      <c r="BY54" s="286"/>
      <c r="BZ54" s="286"/>
      <c r="CA54" s="286"/>
      <c r="CB54" s="286"/>
      <c r="CC54" s="286"/>
      <c r="CD54" s="286"/>
      <c r="CE54" s="286"/>
      <c r="CF54" s="286"/>
      <c r="CG54" s="286"/>
      <c r="CH54" s="286"/>
      <c r="CI54" s="286"/>
      <c r="CJ54" s="286"/>
      <c r="CK54" s="286"/>
      <c r="CL54" s="286"/>
      <c r="CM54" s="286"/>
      <c r="CN54" s="286"/>
      <c r="CO54" s="286"/>
      <c r="CP54" s="286"/>
      <c r="CQ54" s="286"/>
      <c r="CR54" s="286"/>
      <c r="CS54" s="286"/>
      <c r="CT54" s="286"/>
      <c r="CU54" s="286"/>
      <c r="CV54" s="286"/>
      <c r="CW54" s="286"/>
      <c r="CX54" s="286"/>
      <c r="CY54" s="286"/>
      <c r="CZ54" s="286"/>
      <c r="DA54" s="286"/>
      <c r="DB54" s="286"/>
      <c r="DC54" s="286"/>
      <c r="DD54" s="286"/>
      <c r="DE54" s="286"/>
      <c r="DF54" s="286"/>
      <c r="DG54" s="286"/>
      <c r="DH54" s="286"/>
      <c r="DI54" s="286"/>
      <c r="DJ54" s="286"/>
      <c r="DK54" s="286"/>
      <c r="DL54" s="286"/>
      <c r="DM54" s="286"/>
      <c r="DN54" s="286"/>
      <c r="DO54" s="286"/>
      <c r="DP54" s="286"/>
      <c r="DQ54" s="286"/>
      <c r="DR54" s="286"/>
      <c r="DS54" s="286"/>
      <c r="DT54" s="286"/>
      <c r="DU54" s="286"/>
      <c r="DV54" s="286"/>
      <c r="DW54" s="286"/>
      <c r="DX54" s="286"/>
      <c r="DY54" s="286"/>
      <c r="DZ54" s="286"/>
      <c r="EA54" s="286"/>
      <c r="EB54" s="286"/>
      <c r="EC54" s="286"/>
      <c r="ED54" s="286"/>
      <c r="EE54" s="286"/>
      <c r="EF54" s="286"/>
      <c r="EG54" s="286"/>
      <c r="EH54" s="286"/>
      <c r="EI54" s="286"/>
      <c r="EJ54" s="286"/>
      <c r="EK54" s="286"/>
      <c r="EL54" s="286"/>
      <c r="EM54" s="286"/>
      <c r="EN54" s="286"/>
      <c r="EO54" s="286"/>
      <c r="EP54" s="286"/>
      <c r="EQ54" s="286"/>
      <c r="ER54" s="286"/>
      <c r="ES54" s="286"/>
      <c r="ET54" s="286"/>
      <c r="EU54" s="286"/>
      <c r="EV54" s="286"/>
      <c r="EW54" s="286"/>
      <c r="EX54" s="286"/>
      <c r="EY54" s="286"/>
      <c r="EZ54" s="286"/>
      <c r="FA54" s="286"/>
      <c r="FB54" s="286"/>
      <c r="FC54" s="286"/>
      <c r="FD54" s="286"/>
      <c r="FE54" s="286"/>
      <c r="FF54" s="286"/>
      <c r="FG54" s="286"/>
      <c r="FH54" s="286"/>
      <c r="FI54" s="286"/>
      <c r="FJ54" s="286"/>
      <c r="FK54" s="286"/>
      <c r="FL54" s="286"/>
      <c r="FM54" s="286"/>
      <c r="FN54" s="286"/>
      <c r="FO54" s="286"/>
      <c r="FP54" s="286"/>
      <c r="FQ54" s="286"/>
      <c r="FR54" s="286"/>
      <c r="FS54" s="286"/>
      <c r="FT54" s="286"/>
      <c r="FU54" s="286"/>
      <c r="FV54" s="286"/>
      <c r="FW54" s="286"/>
      <c r="FX54" s="286"/>
      <c r="FY54" s="286"/>
      <c r="FZ54" s="286"/>
      <c r="GA54" s="286"/>
      <c r="GB54" s="286"/>
      <c r="GC54" s="286"/>
      <c r="GD54" s="286"/>
      <c r="GE54" s="286"/>
      <c r="GF54" s="286"/>
      <c r="GG54" s="286"/>
      <c r="GH54" s="286"/>
      <c r="GI54" s="286"/>
      <c r="GJ54" s="286"/>
      <c r="GK54" s="286"/>
      <c r="GL54" s="286"/>
      <c r="GM54" s="286"/>
      <c r="GN54" s="286"/>
      <c r="GO54" s="286"/>
      <c r="GP54" s="286"/>
      <c r="GQ54" s="286"/>
      <c r="GR54" s="286"/>
      <c r="GS54" s="286"/>
      <c r="GT54" s="286"/>
      <c r="GU54" s="286"/>
      <c r="GV54" s="286"/>
      <c r="GW54" s="286"/>
      <c r="GX54" s="286"/>
      <c r="GY54" s="286"/>
      <c r="GZ54" s="286"/>
      <c r="HA54" s="286"/>
      <c r="HB54" s="286"/>
      <c r="HC54" s="286"/>
      <c r="HD54" s="286"/>
      <c r="HE54" s="286"/>
      <c r="HF54" s="286"/>
      <c r="HG54" s="286"/>
      <c r="HH54" s="286"/>
      <c r="HI54" s="286"/>
      <c r="HJ54" s="286"/>
      <c r="HK54" s="286"/>
      <c r="HL54" s="286"/>
      <c r="HM54" s="286"/>
      <c r="HN54" s="286"/>
      <c r="HO54" s="286"/>
      <c r="HP54" s="286"/>
      <c r="HQ54" s="286"/>
      <c r="HR54" s="286"/>
      <c r="HS54" s="286"/>
      <c r="HT54" s="286"/>
      <c r="HU54" s="286"/>
      <c r="HV54" s="286"/>
      <c r="HW54" s="286"/>
      <c r="HX54" s="286"/>
      <c r="HY54" s="286"/>
      <c r="HZ54" s="286"/>
      <c r="IA54" s="286"/>
      <c r="IB54" s="286"/>
      <c r="IC54" s="286"/>
      <c r="ID54" s="286"/>
      <c r="IE54" s="286"/>
      <c r="IF54" s="286"/>
      <c r="IG54" s="286"/>
      <c r="IH54" s="286"/>
      <c r="II54" s="286"/>
      <c r="IJ54" s="286"/>
      <c r="IK54" s="286"/>
      <c r="IL54" s="286"/>
      <c r="IM54" s="286"/>
      <c r="IN54" s="286"/>
      <c r="IO54" s="286"/>
      <c r="IP54" s="286"/>
      <c r="IQ54" s="286"/>
      <c r="IR54" s="286"/>
      <c r="IS54" s="286"/>
      <c r="IT54" s="286"/>
      <c r="IU54" s="286"/>
      <c r="IV54" s="286"/>
      <c r="IW54" s="286"/>
      <c r="IX54" s="286"/>
      <c r="IY54" s="286"/>
      <c r="IZ54" s="286"/>
      <c r="JA54" s="286"/>
      <c r="JB54" s="286"/>
      <c r="JC54" s="286"/>
      <c r="JD54" s="286"/>
      <c r="JE54" s="286"/>
      <c r="JF54" s="286"/>
      <c r="JG54" s="286"/>
      <c r="JH54" s="286"/>
      <c r="JI54" s="287">
        <f t="shared" si="0"/>
        <v>0</v>
      </c>
      <c r="JJ54" s="315"/>
      <c r="JK54" s="288"/>
      <c r="JL54" s="286">
        <f t="shared" si="1"/>
        <v>0</v>
      </c>
      <c r="JM54" s="286"/>
      <c r="JN54" s="289"/>
      <c r="JO54" s="289"/>
      <c r="JP54" s="286"/>
      <c r="AQT54" s="317"/>
    </row>
    <row r="55" spans="1:276 1138:1138" s="167" customFormat="1" ht="15.6" x14ac:dyDescent="0.3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6"/>
      <c r="AP55" s="286"/>
      <c r="AQ55" s="286"/>
      <c r="AR55" s="286"/>
      <c r="AS55" s="286"/>
      <c r="AT55" s="286"/>
      <c r="AU55" s="286"/>
      <c r="AV55" s="286"/>
      <c r="AW55" s="286"/>
      <c r="AX55" s="286"/>
      <c r="AY55" s="286"/>
      <c r="AZ55" s="286"/>
      <c r="BA55" s="286"/>
      <c r="BB55" s="286"/>
      <c r="BC55" s="286"/>
      <c r="BD55" s="286"/>
      <c r="BE55" s="286"/>
      <c r="BF55" s="286"/>
      <c r="BG55" s="286"/>
      <c r="BH55" s="286"/>
      <c r="BI55" s="286"/>
      <c r="BJ55" s="286"/>
      <c r="BK55" s="286"/>
      <c r="BL55" s="286"/>
      <c r="BM55" s="286"/>
      <c r="BN55" s="286"/>
      <c r="BO55" s="286"/>
      <c r="BP55" s="286"/>
      <c r="BQ55" s="286"/>
      <c r="BR55" s="286"/>
      <c r="BS55" s="286"/>
      <c r="BT55" s="286"/>
      <c r="BU55" s="286"/>
      <c r="BV55" s="286"/>
      <c r="BW55" s="286"/>
      <c r="BX55" s="286"/>
      <c r="BY55" s="286"/>
      <c r="BZ55" s="286"/>
      <c r="CA55" s="286"/>
      <c r="CB55" s="286"/>
      <c r="CC55" s="286"/>
      <c r="CD55" s="286"/>
      <c r="CE55" s="286"/>
      <c r="CF55" s="286"/>
      <c r="CG55" s="286"/>
      <c r="CH55" s="286"/>
      <c r="CI55" s="286"/>
      <c r="CJ55" s="286"/>
      <c r="CK55" s="286"/>
      <c r="CL55" s="286"/>
      <c r="CM55" s="286"/>
      <c r="CN55" s="286"/>
      <c r="CO55" s="286"/>
      <c r="CP55" s="286"/>
      <c r="CQ55" s="286"/>
      <c r="CR55" s="286"/>
      <c r="CS55" s="286"/>
      <c r="CT55" s="286"/>
      <c r="CU55" s="286"/>
      <c r="CV55" s="286"/>
      <c r="CW55" s="286"/>
      <c r="CX55" s="286"/>
      <c r="CY55" s="286"/>
      <c r="CZ55" s="286"/>
      <c r="DA55" s="286"/>
      <c r="DB55" s="286"/>
      <c r="DC55" s="286"/>
      <c r="DD55" s="286"/>
      <c r="DE55" s="286"/>
      <c r="DF55" s="286"/>
      <c r="DG55" s="286"/>
      <c r="DH55" s="286"/>
      <c r="DI55" s="286"/>
      <c r="DJ55" s="286"/>
      <c r="DK55" s="286"/>
      <c r="DL55" s="286"/>
      <c r="DM55" s="286"/>
      <c r="DN55" s="286"/>
      <c r="DO55" s="286"/>
      <c r="DP55" s="286"/>
      <c r="DQ55" s="286"/>
      <c r="DR55" s="286"/>
      <c r="DS55" s="286"/>
      <c r="DT55" s="286"/>
      <c r="DU55" s="286"/>
      <c r="DV55" s="286"/>
      <c r="DW55" s="286"/>
      <c r="DX55" s="286"/>
      <c r="DY55" s="286"/>
      <c r="DZ55" s="286"/>
      <c r="EA55" s="286"/>
      <c r="EB55" s="286"/>
      <c r="EC55" s="286"/>
      <c r="ED55" s="286"/>
      <c r="EE55" s="286"/>
      <c r="EF55" s="286"/>
      <c r="EG55" s="286"/>
      <c r="EH55" s="286"/>
      <c r="EI55" s="286"/>
      <c r="EJ55" s="286"/>
      <c r="EK55" s="286"/>
      <c r="EL55" s="286"/>
      <c r="EM55" s="286"/>
      <c r="EN55" s="286"/>
      <c r="EO55" s="286"/>
      <c r="EP55" s="286"/>
      <c r="EQ55" s="286"/>
      <c r="ER55" s="286"/>
      <c r="ES55" s="286"/>
      <c r="ET55" s="286"/>
      <c r="EU55" s="286"/>
      <c r="EV55" s="286"/>
      <c r="EW55" s="286"/>
      <c r="EX55" s="286"/>
      <c r="EY55" s="286"/>
      <c r="EZ55" s="286"/>
      <c r="FA55" s="286"/>
      <c r="FB55" s="286"/>
      <c r="FC55" s="286"/>
      <c r="FD55" s="286"/>
      <c r="FE55" s="286"/>
      <c r="FF55" s="286"/>
      <c r="FG55" s="286"/>
      <c r="FH55" s="286"/>
      <c r="FI55" s="286"/>
      <c r="FJ55" s="286"/>
      <c r="FK55" s="286"/>
      <c r="FL55" s="286"/>
      <c r="FM55" s="286"/>
      <c r="FN55" s="286"/>
      <c r="FO55" s="286"/>
      <c r="FP55" s="286"/>
      <c r="FQ55" s="286"/>
      <c r="FR55" s="286"/>
      <c r="FS55" s="286"/>
      <c r="FT55" s="286"/>
      <c r="FU55" s="286"/>
      <c r="FV55" s="286"/>
      <c r="FW55" s="286"/>
      <c r="FX55" s="286"/>
      <c r="FY55" s="286"/>
      <c r="FZ55" s="286"/>
      <c r="GA55" s="286"/>
      <c r="GB55" s="286"/>
      <c r="GC55" s="286"/>
      <c r="GD55" s="286"/>
      <c r="GE55" s="286"/>
      <c r="GF55" s="286"/>
      <c r="GG55" s="286"/>
      <c r="GH55" s="286"/>
      <c r="GI55" s="286"/>
      <c r="GJ55" s="286"/>
      <c r="GK55" s="286"/>
      <c r="GL55" s="286"/>
      <c r="GM55" s="286"/>
      <c r="GN55" s="286"/>
      <c r="GO55" s="286"/>
      <c r="GP55" s="286"/>
      <c r="GQ55" s="286"/>
      <c r="GR55" s="286"/>
      <c r="GS55" s="286"/>
      <c r="GT55" s="286"/>
      <c r="GU55" s="286"/>
      <c r="GV55" s="286"/>
      <c r="GW55" s="286"/>
      <c r="GX55" s="286"/>
      <c r="GY55" s="286"/>
      <c r="GZ55" s="286"/>
      <c r="HA55" s="286"/>
      <c r="HB55" s="286"/>
      <c r="HC55" s="286"/>
      <c r="HD55" s="286"/>
      <c r="HE55" s="286"/>
      <c r="HF55" s="286"/>
      <c r="HG55" s="286"/>
      <c r="HH55" s="286"/>
      <c r="HI55" s="286"/>
      <c r="HJ55" s="286"/>
      <c r="HK55" s="286"/>
      <c r="HL55" s="286"/>
      <c r="HM55" s="286"/>
      <c r="HN55" s="286"/>
      <c r="HO55" s="286"/>
      <c r="HP55" s="286"/>
      <c r="HQ55" s="286"/>
      <c r="HR55" s="286"/>
      <c r="HS55" s="286"/>
      <c r="HT55" s="286"/>
      <c r="HU55" s="286"/>
      <c r="HV55" s="286"/>
      <c r="HW55" s="286"/>
      <c r="HX55" s="286"/>
      <c r="HY55" s="286"/>
      <c r="HZ55" s="286"/>
      <c r="IA55" s="286"/>
      <c r="IB55" s="286"/>
      <c r="IC55" s="286"/>
      <c r="ID55" s="286"/>
      <c r="IE55" s="286"/>
      <c r="IF55" s="286"/>
      <c r="IG55" s="286"/>
      <c r="IH55" s="286"/>
      <c r="II55" s="286"/>
      <c r="IJ55" s="286"/>
      <c r="IK55" s="286"/>
      <c r="IL55" s="286"/>
      <c r="IM55" s="286"/>
      <c r="IN55" s="286"/>
      <c r="IO55" s="286"/>
      <c r="IP55" s="286"/>
      <c r="IQ55" s="286"/>
      <c r="IR55" s="286"/>
      <c r="IS55" s="286"/>
      <c r="IT55" s="286"/>
      <c r="IU55" s="286"/>
      <c r="IV55" s="286"/>
      <c r="IW55" s="286"/>
      <c r="IX55" s="286"/>
      <c r="IY55" s="286"/>
      <c r="IZ55" s="286"/>
      <c r="JA55" s="286"/>
      <c r="JB55" s="286"/>
      <c r="JC55" s="286"/>
      <c r="JD55" s="286"/>
      <c r="JE55" s="286"/>
      <c r="JF55" s="286"/>
      <c r="JG55" s="286"/>
      <c r="JH55" s="286"/>
      <c r="JI55" s="287">
        <f t="shared" si="0"/>
        <v>0</v>
      </c>
      <c r="JJ55" s="315"/>
      <c r="JK55" s="288"/>
      <c r="JL55" s="286">
        <f t="shared" si="1"/>
        <v>0</v>
      </c>
      <c r="JM55" s="289"/>
      <c r="JN55" s="289"/>
      <c r="JO55" s="289"/>
      <c r="JP55" s="286"/>
      <c r="AQT55" s="317"/>
    </row>
    <row r="56" spans="1:276 1138:1138" s="167" customFormat="1" ht="15.6" x14ac:dyDescent="0.3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286"/>
      <c r="AO56" s="286"/>
      <c r="AP56" s="286"/>
      <c r="AQ56" s="286"/>
      <c r="AR56" s="286"/>
      <c r="AS56" s="286"/>
      <c r="AT56" s="286"/>
      <c r="AU56" s="286"/>
      <c r="AV56" s="286"/>
      <c r="AW56" s="286"/>
      <c r="AX56" s="286"/>
      <c r="AY56" s="286"/>
      <c r="AZ56" s="286"/>
      <c r="BA56" s="286"/>
      <c r="BB56" s="286"/>
      <c r="BC56" s="286"/>
      <c r="BD56" s="286"/>
      <c r="BE56" s="286"/>
      <c r="BF56" s="286"/>
      <c r="BG56" s="286"/>
      <c r="BH56" s="286"/>
      <c r="BI56" s="286"/>
      <c r="BJ56" s="286"/>
      <c r="BK56" s="286"/>
      <c r="BL56" s="286"/>
      <c r="BM56" s="286"/>
      <c r="BN56" s="286"/>
      <c r="BO56" s="286"/>
      <c r="BP56" s="286"/>
      <c r="BQ56" s="286"/>
      <c r="BR56" s="286"/>
      <c r="BS56" s="286"/>
      <c r="BT56" s="286"/>
      <c r="BU56" s="286"/>
      <c r="BV56" s="286"/>
      <c r="BW56" s="286"/>
      <c r="BX56" s="286"/>
      <c r="BY56" s="286"/>
      <c r="BZ56" s="286"/>
      <c r="CA56" s="286"/>
      <c r="CB56" s="286"/>
      <c r="CC56" s="286"/>
      <c r="CD56" s="286"/>
      <c r="CE56" s="286"/>
      <c r="CF56" s="286"/>
      <c r="CG56" s="286"/>
      <c r="CH56" s="286"/>
      <c r="CI56" s="286"/>
      <c r="CJ56" s="286"/>
      <c r="CK56" s="286"/>
      <c r="CL56" s="286"/>
      <c r="CM56" s="286"/>
      <c r="CN56" s="286"/>
      <c r="CO56" s="286"/>
      <c r="CP56" s="286"/>
      <c r="CQ56" s="286"/>
      <c r="CR56" s="286"/>
      <c r="CS56" s="286"/>
      <c r="CT56" s="286"/>
      <c r="CU56" s="286"/>
      <c r="CV56" s="286"/>
      <c r="CW56" s="286"/>
      <c r="CX56" s="286"/>
      <c r="CY56" s="286"/>
      <c r="CZ56" s="286"/>
      <c r="DA56" s="286"/>
      <c r="DB56" s="286"/>
      <c r="DC56" s="286"/>
      <c r="DD56" s="286"/>
      <c r="DE56" s="286"/>
      <c r="DF56" s="286"/>
      <c r="DG56" s="286"/>
      <c r="DH56" s="286"/>
      <c r="DI56" s="286"/>
      <c r="DJ56" s="286"/>
      <c r="DK56" s="286"/>
      <c r="DL56" s="286"/>
      <c r="DM56" s="286"/>
      <c r="DN56" s="286"/>
      <c r="DO56" s="286"/>
      <c r="DP56" s="286"/>
      <c r="DQ56" s="286"/>
      <c r="DR56" s="286"/>
      <c r="DS56" s="286"/>
      <c r="DT56" s="286"/>
      <c r="DU56" s="286"/>
      <c r="DV56" s="286"/>
      <c r="DW56" s="286"/>
      <c r="DX56" s="286"/>
      <c r="DY56" s="286"/>
      <c r="DZ56" s="286"/>
      <c r="EA56" s="286"/>
      <c r="EB56" s="286"/>
      <c r="EC56" s="286"/>
      <c r="ED56" s="286"/>
      <c r="EE56" s="286"/>
      <c r="EF56" s="286"/>
      <c r="EG56" s="286"/>
      <c r="EH56" s="286"/>
      <c r="EI56" s="286"/>
      <c r="EJ56" s="286"/>
      <c r="EK56" s="286"/>
      <c r="EL56" s="286"/>
      <c r="EM56" s="286"/>
      <c r="EN56" s="286"/>
      <c r="EO56" s="286"/>
      <c r="EP56" s="286"/>
      <c r="EQ56" s="286"/>
      <c r="ER56" s="286"/>
      <c r="ES56" s="286"/>
      <c r="ET56" s="286"/>
      <c r="EU56" s="286"/>
      <c r="EV56" s="286"/>
      <c r="EW56" s="286"/>
      <c r="EX56" s="286"/>
      <c r="EY56" s="286"/>
      <c r="EZ56" s="286"/>
      <c r="FA56" s="286"/>
      <c r="FB56" s="286"/>
      <c r="FC56" s="286"/>
      <c r="FD56" s="286"/>
      <c r="FE56" s="286"/>
      <c r="FF56" s="286"/>
      <c r="FG56" s="286"/>
      <c r="FH56" s="286"/>
      <c r="FI56" s="286"/>
      <c r="FJ56" s="286"/>
      <c r="FK56" s="286"/>
      <c r="FL56" s="286"/>
      <c r="FM56" s="286"/>
      <c r="FN56" s="286"/>
      <c r="FO56" s="286"/>
      <c r="FP56" s="286"/>
      <c r="FQ56" s="286"/>
      <c r="FR56" s="286"/>
      <c r="FS56" s="286"/>
      <c r="FT56" s="286"/>
      <c r="FU56" s="286"/>
      <c r="FV56" s="286"/>
      <c r="FW56" s="286"/>
      <c r="FX56" s="286"/>
      <c r="FY56" s="286"/>
      <c r="FZ56" s="286"/>
      <c r="GA56" s="286"/>
      <c r="GB56" s="286"/>
      <c r="GC56" s="286"/>
      <c r="GD56" s="286"/>
      <c r="GE56" s="286"/>
      <c r="GF56" s="286"/>
      <c r="GG56" s="286"/>
      <c r="GH56" s="286"/>
      <c r="GI56" s="286"/>
      <c r="GJ56" s="286"/>
      <c r="GK56" s="286"/>
      <c r="GL56" s="286"/>
      <c r="GM56" s="286"/>
      <c r="GN56" s="286"/>
      <c r="GO56" s="286"/>
      <c r="GP56" s="286"/>
      <c r="GQ56" s="286"/>
      <c r="GR56" s="286"/>
      <c r="GS56" s="286"/>
      <c r="GT56" s="286"/>
      <c r="GU56" s="286"/>
      <c r="GV56" s="286"/>
      <c r="GW56" s="286"/>
      <c r="GX56" s="286"/>
      <c r="GY56" s="286"/>
      <c r="GZ56" s="286"/>
      <c r="HA56" s="286"/>
      <c r="HB56" s="286"/>
      <c r="HC56" s="286"/>
      <c r="HD56" s="286"/>
      <c r="HE56" s="286"/>
      <c r="HF56" s="286"/>
      <c r="HG56" s="286"/>
      <c r="HH56" s="286"/>
      <c r="HI56" s="286"/>
      <c r="HJ56" s="286"/>
      <c r="HK56" s="286"/>
      <c r="HL56" s="286"/>
      <c r="HM56" s="286"/>
      <c r="HN56" s="286"/>
      <c r="HO56" s="286"/>
      <c r="HP56" s="286"/>
      <c r="HQ56" s="286"/>
      <c r="HR56" s="286"/>
      <c r="HS56" s="286"/>
      <c r="HT56" s="286"/>
      <c r="HU56" s="286"/>
      <c r="HV56" s="286"/>
      <c r="HW56" s="286"/>
      <c r="HX56" s="286"/>
      <c r="HY56" s="286"/>
      <c r="HZ56" s="286"/>
      <c r="IA56" s="286"/>
      <c r="IB56" s="286"/>
      <c r="IC56" s="286"/>
      <c r="ID56" s="286"/>
      <c r="IE56" s="286"/>
      <c r="IF56" s="286"/>
      <c r="IG56" s="286"/>
      <c r="IH56" s="286"/>
      <c r="II56" s="286"/>
      <c r="IJ56" s="286"/>
      <c r="IK56" s="286"/>
      <c r="IL56" s="286"/>
      <c r="IM56" s="286"/>
      <c r="IN56" s="286"/>
      <c r="IO56" s="286"/>
      <c r="IP56" s="286"/>
      <c r="IQ56" s="286"/>
      <c r="IR56" s="286"/>
      <c r="IS56" s="286"/>
      <c r="IT56" s="286"/>
      <c r="IU56" s="286"/>
      <c r="IV56" s="286"/>
      <c r="IW56" s="286"/>
      <c r="IX56" s="286"/>
      <c r="IY56" s="286"/>
      <c r="IZ56" s="286"/>
      <c r="JA56" s="286"/>
      <c r="JB56" s="286"/>
      <c r="JC56" s="286"/>
      <c r="JD56" s="286"/>
      <c r="JE56" s="286"/>
      <c r="JF56" s="286"/>
      <c r="JG56" s="286"/>
      <c r="JH56" s="286"/>
      <c r="JI56" s="287">
        <f t="shared" si="0"/>
        <v>0</v>
      </c>
      <c r="JJ56" s="315"/>
      <c r="JK56" s="288"/>
      <c r="JL56" s="286">
        <f t="shared" si="1"/>
        <v>0</v>
      </c>
      <c r="JM56" s="289"/>
      <c r="JN56" s="289"/>
      <c r="JO56" s="289"/>
      <c r="JP56" s="286"/>
      <c r="AQT56" s="317"/>
    </row>
    <row r="57" spans="1:276 1138:1138" s="167" customFormat="1" ht="15.6" x14ac:dyDescent="0.3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6"/>
      <c r="AS57" s="286"/>
      <c r="AT57" s="286"/>
      <c r="AU57" s="286"/>
      <c r="AV57" s="286"/>
      <c r="AW57" s="286"/>
      <c r="AX57" s="286"/>
      <c r="AY57" s="286"/>
      <c r="AZ57" s="286"/>
      <c r="BA57" s="286"/>
      <c r="BB57" s="286"/>
      <c r="BC57" s="286"/>
      <c r="BD57" s="286"/>
      <c r="BE57" s="286"/>
      <c r="BF57" s="286"/>
      <c r="BG57" s="286"/>
      <c r="BH57" s="286"/>
      <c r="BI57" s="286"/>
      <c r="BJ57" s="286"/>
      <c r="BK57" s="286"/>
      <c r="BL57" s="286"/>
      <c r="BM57" s="286"/>
      <c r="BN57" s="286"/>
      <c r="BO57" s="286"/>
      <c r="BP57" s="286"/>
      <c r="BQ57" s="286"/>
      <c r="BR57" s="286"/>
      <c r="BS57" s="286"/>
      <c r="BT57" s="286"/>
      <c r="BU57" s="286"/>
      <c r="BV57" s="286"/>
      <c r="BW57" s="286"/>
      <c r="BX57" s="286"/>
      <c r="BY57" s="286"/>
      <c r="BZ57" s="286"/>
      <c r="CA57" s="286"/>
      <c r="CB57" s="286"/>
      <c r="CC57" s="286"/>
      <c r="CD57" s="286"/>
      <c r="CE57" s="286"/>
      <c r="CF57" s="286"/>
      <c r="CG57" s="286"/>
      <c r="CH57" s="286"/>
      <c r="CI57" s="286"/>
      <c r="CJ57" s="286"/>
      <c r="CK57" s="286"/>
      <c r="CL57" s="286"/>
      <c r="CM57" s="286"/>
      <c r="CN57" s="286"/>
      <c r="CO57" s="286"/>
      <c r="CP57" s="286"/>
      <c r="CQ57" s="286"/>
      <c r="CR57" s="286"/>
      <c r="CS57" s="286"/>
      <c r="CT57" s="286"/>
      <c r="CU57" s="286"/>
      <c r="CV57" s="286"/>
      <c r="CW57" s="286"/>
      <c r="CX57" s="286"/>
      <c r="CY57" s="286"/>
      <c r="CZ57" s="286"/>
      <c r="DA57" s="286"/>
      <c r="DB57" s="286"/>
      <c r="DC57" s="286"/>
      <c r="DD57" s="286"/>
      <c r="DE57" s="286"/>
      <c r="DF57" s="286"/>
      <c r="DG57" s="286"/>
      <c r="DH57" s="286"/>
      <c r="DI57" s="286"/>
      <c r="DJ57" s="286"/>
      <c r="DK57" s="286"/>
      <c r="DL57" s="286"/>
      <c r="DM57" s="286"/>
      <c r="DN57" s="286"/>
      <c r="DO57" s="286"/>
      <c r="DP57" s="286"/>
      <c r="DQ57" s="286"/>
      <c r="DR57" s="286"/>
      <c r="DS57" s="286"/>
      <c r="DT57" s="286"/>
      <c r="DU57" s="286"/>
      <c r="DV57" s="286"/>
      <c r="DW57" s="286"/>
      <c r="DX57" s="286"/>
      <c r="DY57" s="286"/>
      <c r="DZ57" s="286"/>
      <c r="EA57" s="286"/>
      <c r="EB57" s="286"/>
      <c r="EC57" s="286"/>
      <c r="ED57" s="286"/>
      <c r="EE57" s="286"/>
      <c r="EF57" s="286"/>
      <c r="EG57" s="286"/>
      <c r="EH57" s="286"/>
      <c r="EI57" s="286"/>
      <c r="EJ57" s="286"/>
      <c r="EK57" s="286"/>
      <c r="EL57" s="286"/>
      <c r="EM57" s="286"/>
      <c r="EN57" s="286"/>
      <c r="EO57" s="286"/>
      <c r="EP57" s="286"/>
      <c r="EQ57" s="286"/>
      <c r="ER57" s="286"/>
      <c r="ES57" s="286"/>
      <c r="ET57" s="286"/>
      <c r="EU57" s="286"/>
      <c r="EV57" s="286"/>
      <c r="EW57" s="286"/>
      <c r="EX57" s="286"/>
      <c r="EY57" s="286"/>
      <c r="EZ57" s="286"/>
      <c r="FA57" s="286"/>
      <c r="FB57" s="286"/>
      <c r="FC57" s="286"/>
      <c r="FD57" s="286"/>
      <c r="FE57" s="286"/>
      <c r="FF57" s="286"/>
      <c r="FG57" s="286"/>
      <c r="FH57" s="286"/>
      <c r="FI57" s="286"/>
      <c r="FJ57" s="286"/>
      <c r="FK57" s="286"/>
      <c r="FL57" s="286"/>
      <c r="FM57" s="286"/>
      <c r="FN57" s="286"/>
      <c r="FO57" s="286"/>
      <c r="FP57" s="286"/>
      <c r="FQ57" s="286"/>
      <c r="FR57" s="286"/>
      <c r="FS57" s="286"/>
      <c r="FT57" s="286"/>
      <c r="FU57" s="286"/>
      <c r="FV57" s="286"/>
      <c r="FW57" s="286"/>
      <c r="FX57" s="286"/>
      <c r="FY57" s="286"/>
      <c r="FZ57" s="286"/>
      <c r="GA57" s="286"/>
      <c r="GB57" s="286"/>
      <c r="GC57" s="286"/>
      <c r="GD57" s="286"/>
      <c r="GE57" s="286"/>
      <c r="GF57" s="286"/>
      <c r="GG57" s="286"/>
      <c r="GH57" s="286"/>
      <c r="GI57" s="286"/>
      <c r="GJ57" s="286"/>
      <c r="GK57" s="286"/>
      <c r="GL57" s="286"/>
      <c r="GM57" s="286"/>
      <c r="GN57" s="286"/>
      <c r="GO57" s="286"/>
      <c r="GP57" s="286"/>
      <c r="GQ57" s="286"/>
      <c r="GR57" s="286"/>
      <c r="GS57" s="286"/>
      <c r="GT57" s="286"/>
      <c r="GU57" s="286"/>
      <c r="GV57" s="286"/>
      <c r="GW57" s="286"/>
      <c r="GX57" s="286"/>
      <c r="GY57" s="286"/>
      <c r="GZ57" s="286"/>
      <c r="HA57" s="286"/>
      <c r="HB57" s="286"/>
      <c r="HC57" s="286"/>
      <c r="HD57" s="286"/>
      <c r="HE57" s="286"/>
      <c r="HF57" s="286"/>
      <c r="HG57" s="286"/>
      <c r="HH57" s="286"/>
      <c r="HI57" s="286"/>
      <c r="HJ57" s="286"/>
      <c r="HK57" s="286"/>
      <c r="HL57" s="286"/>
      <c r="HM57" s="286"/>
      <c r="HN57" s="286"/>
      <c r="HO57" s="286"/>
      <c r="HP57" s="286"/>
      <c r="HQ57" s="286"/>
      <c r="HR57" s="286"/>
      <c r="HS57" s="286"/>
      <c r="HT57" s="286"/>
      <c r="HU57" s="286"/>
      <c r="HV57" s="286"/>
      <c r="HW57" s="286"/>
      <c r="HX57" s="286"/>
      <c r="HY57" s="286"/>
      <c r="HZ57" s="286"/>
      <c r="IA57" s="286"/>
      <c r="IB57" s="286"/>
      <c r="IC57" s="286"/>
      <c r="ID57" s="286"/>
      <c r="IE57" s="286"/>
      <c r="IF57" s="286"/>
      <c r="IG57" s="286"/>
      <c r="IH57" s="286"/>
      <c r="II57" s="286"/>
      <c r="IJ57" s="286"/>
      <c r="IK57" s="286"/>
      <c r="IL57" s="286"/>
      <c r="IM57" s="286"/>
      <c r="IN57" s="286"/>
      <c r="IO57" s="286"/>
      <c r="IP57" s="286"/>
      <c r="IQ57" s="286"/>
      <c r="IR57" s="286"/>
      <c r="IS57" s="286"/>
      <c r="IT57" s="286"/>
      <c r="IU57" s="286"/>
      <c r="IV57" s="286"/>
      <c r="IW57" s="286"/>
      <c r="IX57" s="286"/>
      <c r="IY57" s="286"/>
      <c r="IZ57" s="286"/>
      <c r="JA57" s="286"/>
      <c r="JB57" s="286"/>
      <c r="JC57" s="286"/>
      <c r="JD57" s="286"/>
      <c r="JE57" s="286"/>
      <c r="JF57" s="286"/>
      <c r="JG57" s="286"/>
      <c r="JH57" s="286"/>
      <c r="JI57" s="287">
        <f t="shared" si="0"/>
        <v>0</v>
      </c>
      <c r="JJ57" s="315"/>
      <c r="JK57" s="288"/>
      <c r="JL57" s="286">
        <f t="shared" si="1"/>
        <v>0</v>
      </c>
      <c r="JM57" s="289"/>
      <c r="JN57" s="289"/>
      <c r="JO57" s="289"/>
      <c r="JP57" s="286"/>
      <c r="AQT57" s="317"/>
    </row>
    <row r="58" spans="1:276 1138:1138" s="167" customFormat="1" ht="15.6" x14ac:dyDescent="0.3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286"/>
      <c r="AO58" s="286"/>
      <c r="AP58" s="286"/>
      <c r="AQ58" s="286"/>
      <c r="AR58" s="286"/>
      <c r="AS58" s="286"/>
      <c r="AT58" s="286"/>
      <c r="AU58" s="286"/>
      <c r="AV58" s="286"/>
      <c r="AW58" s="286"/>
      <c r="AX58" s="286"/>
      <c r="AY58" s="286"/>
      <c r="AZ58" s="286"/>
      <c r="BA58" s="286"/>
      <c r="BB58" s="286"/>
      <c r="BC58" s="286"/>
      <c r="BD58" s="286"/>
      <c r="BE58" s="286"/>
      <c r="BF58" s="286"/>
      <c r="BG58" s="286"/>
      <c r="BH58" s="286"/>
      <c r="BI58" s="286"/>
      <c r="BJ58" s="286"/>
      <c r="BK58" s="286"/>
      <c r="BL58" s="286"/>
      <c r="BM58" s="286"/>
      <c r="BN58" s="286"/>
      <c r="BO58" s="286"/>
      <c r="BP58" s="286"/>
      <c r="BQ58" s="286"/>
      <c r="BR58" s="286"/>
      <c r="BS58" s="286"/>
      <c r="BT58" s="286"/>
      <c r="BU58" s="286"/>
      <c r="BV58" s="286"/>
      <c r="BW58" s="286"/>
      <c r="BX58" s="286"/>
      <c r="BY58" s="286"/>
      <c r="BZ58" s="286"/>
      <c r="CA58" s="286"/>
      <c r="CB58" s="286"/>
      <c r="CC58" s="286"/>
      <c r="CD58" s="286"/>
      <c r="CE58" s="286"/>
      <c r="CF58" s="286"/>
      <c r="CG58" s="286"/>
      <c r="CH58" s="286"/>
      <c r="CI58" s="286"/>
      <c r="CJ58" s="286"/>
      <c r="CK58" s="286"/>
      <c r="CL58" s="286"/>
      <c r="CM58" s="286"/>
      <c r="CN58" s="286"/>
      <c r="CO58" s="286"/>
      <c r="CP58" s="286"/>
      <c r="CQ58" s="286"/>
      <c r="CR58" s="286"/>
      <c r="CS58" s="286"/>
      <c r="CT58" s="286"/>
      <c r="CU58" s="286"/>
      <c r="CV58" s="286"/>
      <c r="CW58" s="286"/>
      <c r="CX58" s="286"/>
      <c r="CY58" s="286"/>
      <c r="CZ58" s="286"/>
      <c r="DA58" s="286"/>
      <c r="DB58" s="286"/>
      <c r="DC58" s="286"/>
      <c r="DD58" s="286"/>
      <c r="DE58" s="286"/>
      <c r="DF58" s="286"/>
      <c r="DG58" s="286"/>
      <c r="DH58" s="286"/>
      <c r="DI58" s="286"/>
      <c r="DJ58" s="286"/>
      <c r="DK58" s="286"/>
      <c r="DL58" s="286"/>
      <c r="DM58" s="286"/>
      <c r="DN58" s="286"/>
      <c r="DO58" s="286"/>
      <c r="DP58" s="286"/>
      <c r="DQ58" s="286"/>
      <c r="DR58" s="286"/>
      <c r="DS58" s="286"/>
      <c r="DT58" s="286"/>
      <c r="DU58" s="286"/>
      <c r="DV58" s="286"/>
      <c r="DW58" s="286"/>
      <c r="DX58" s="286"/>
      <c r="DY58" s="286"/>
      <c r="DZ58" s="286"/>
      <c r="EA58" s="286"/>
      <c r="EB58" s="286"/>
      <c r="EC58" s="286"/>
      <c r="ED58" s="286"/>
      <c r="EE58" s="286"/>
      <c r="EF58" s="286"/>
      <c r="EG58" s="286"/>
      <c r="EH58" s="286"/>
      <c r="EI58" s="286"/>
      <c r="EJ58" s="286"/>
      <c r="EK58" s="286"/>
      <c r="EL58" s="286"/>
      <c r="EM58" s="286"/>
      <c r="EN58" s="286"/>
      <c r="EO58" s="286"/>
      <c r="EP58" s="286"/>
      <c r="EQ58" s="286"/>
      <c r="ER58" s="286"/>
      <c r="ES58" s="286"/>
      <c r="ET58" s="286"/>
      <c r="EU58" s="286"/>
      <c r="EV58" s="286"/>
      <c r="EW58" s="286"/>
      <c r="EX58" s="286"/>
      <c r="EY58" s="286"/>
      <c r="EZ58" s="286"/>
      <c r="FA58" s="286"/>
      <c r="FB58" s="286"/>
      <c r="FC58" s="286"/>
      <c r="FD58" s="286"/>
      <c r="FE58" s="286"/>
      <c r="FF58" s="286"/>
      <c r="FG58" s="286"/>
      <c r="FH58" s="286"/>
      <c r="FI58" s="286"/>
      <c r="FJ58" s="286"/>
      <c r="FK58" s="286"/>
      <c r="FL58" s="286"/>
      <c r="FM58" s="286"/>
      <c r="FN58" s="286"/>
      <c r="FO58" s="286"/>
      <c r="FP58" s="286"/>
      <c r="FQ58" s="286"/>
      <c r="FR58" s="286"/>
      <c r="FS58" s="286"/>
      <c r="FT58" s="286"/>
      <c r="FU58" s="286"/>
      <c r="FV58" s="286"/>
      <c r="FW58" s="286"/>
      <c r="FX58" s="286"/>
      <c r="FY58" s="286"/>
      <c r="FZ58" s="286"/>
      <c r="GA58" s="286"/>
      <c r="GB58" s="286"/>
      <c r="GC58" s="286"/>
      <c r="GD58" s="286"/>
      <c r="GE58" s="286"/>
      <c r="GF58" s="286"/>
      <c r="GG58" s="286"/>
      <c r="GH58" s="286"/>
      <c r="GI58" s="286"/>
      <c r="GJ58" s="286"/>
      <c r="GK58" s="286"/>
      <c r="GL58" s="286"/>
      <c r="GM58" s="286"/>
      <c r="GN58" s="286"/>
      <c r="GO58" s="286"/>
      <c r="GP58" s="286"/>
      <c r="GQ58" s="286"/>
      <c r="GR58" s="286"/>
      <c r="GS58" s="286"/>
      <c r="GT58" s="286"/>
      <c r="GU58" s="286"/>
      <c r="GV58" s="286"/>
      <c r="GW58" s="286"/>
      <c r="GX58" s="286"/>
      <c r="GY58" s="286"/>
      <c r="GZ58" s="286"/>
      <c r="HA58" s="286"/>
      <c r="HB58" s="286"/>
      <c r="HC58" s="286"/>
      <c r="HD58" s="286"/>
      <c r="HE58" s="286"/>
      <c r="HF58" s="286"/>
      <c r="HG58" s="286"/>
      <c r="HH58" s="286"/>
      <c r="HI58" s="286"/>
      <c r="HJ58" s="286"/>
      <c r="HK58" s="286"/>
      <c r="HL58" s="286"/>
      <c r="HM58" s="286"/>
      <c r="HN58" s="286"/>
      <c r="HO58" s="286"/>
      <c r="HP58" s="286"/>
      <c r="HQ58" s="286"/>
      <c r="HR58" s="286"/>
      <c r="HS58" s="286"/>
      <c r="HT58" s="286"/>
      <c r="HU58" s="286"/>
      <c r="HV58" s="286"/>
      <c r="HW58" s="286"/>
      <c r="HX58" s="286"/>
      <c r="HY58" s="286"/>
      <c r="HZ58" s="286"/>
      <c r="IA58" s="286"/>
      <c r="IB58" s="286"/>
      <c r="IC58" s="286"/>
      <c r="ID58" s="286"/>
      <c r="IE58" s="286"/>
      <c r="IF58" s="286"/>
      <c r="IG58" s="286"/>
      <c r="IH58" s="286"/>
      <c r="II58" s="286"/>
      <c r="IJ58" s="286"/>
      <c r="IK58" s="286"/>
      <c r="IL58" s="286"/>
      <c r="IM58" s="286"/>
      <c r="IN58" s="286"/>
      <c r="IO58" s="286"/>
      <c r="IP58" s="286"/>
      <c r="IQ58" s="286"/>
      <c r="IR58" s="286"/>
      <c r="IS58" s="286"/>
      <c r="IT58" s="286"/>
      <c r="IU58" s="286"/>
      <c r="IV58" s="286"/>
      <c r="IW58" s="286"/>
      <c r="IX58" s="286"/>
      <c r="IY58" s="286"/>
      <c r="IZ58" s="286"/>
      <c r="JA58" s="286"/>
      <c r="JB58" s="286"/>
      <c r="JC58" s="286"/>
      <c r="JD58" s="286"/>
      <c r="JE58" s="286"/>
      <c r="JF58" s="286"/>
      <c r="JG58" s="286"/>
      <c r="JH58" s="286"/>
      <c r="JI58" s="287">
        <f t="shared" si="0"/>
        <v>0</v>
      </c>
      <c r="JJ58" s="315"/>
      <c r="JK58" s="288"/>
      <c r="JL58" s="286">
        <f t="shared" si="1"/>
        <v>0</v>
      </c>
      <c r="JM58" s="289"/>
      <c r="JN58" s="289"/>
      <c r="JO58" s="289"/>
      <c r="JP58" s="286"/>
      <c r="AQT58" s="317"/>
    </row>
    <row r="59" spans="1:276 1138:1138" s="167" customFormat="1" ht="15.6" x14ac:dyDescent="0.3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  <c r="BA59" s="286"/>
      <c r="BB59" s="286"/>
      <c r="BC59" s="286"/>
      <c r="BD59" s="286"/>
      <c r="BE59" s="286"/>
      <c r="BF59" s="286"/>
      <c r="BG59" s="286"/>
      <c r="BH59" s="286"/>
      <c r="BI59" s="286"/>
      <c r="BJ59" s="286"/>
      <c r="BK59" s="286"/>
      <c r="BL59" s="286"/>
      <c r="BM59" s="286"/>
      <c r="BN59" s="286"/>
      <c r="BO59" s="286"/>
      <c r="BP59" s="286"/>
      <c r="BQ59" s="286"/>
      <c r="BR59" s="286"/>
      <c r="BS59" s="286"/>
      <c r="BT59" s="286"/>
      <c r="BU59" s="286"/>
      <c r="BV59" s="286"/>
      <c r="BW59" s="286"/>
      <c r="BX59" s="286"/>
      <c r="BY59" s="286"/>
      <c r="BZ59" s="286"/>
      <c r="CA59" s="286"/>
      <c r="CB59" s="286"/>
      <c r="CC59" s="286"/>
      <c r="CD59" s="286"/>
      <c r="CE59" s="286"/>
      <c r="CF59" s="286"/>
      <c r="CG59" s="286"/>
      <c r="CH59" s="286"/>
      <c r="CI59" s="286"/>
      <c r="CJ59" s="286"/>
      <c r="CK59" s="286"/>
      <c r="CL59" s="286"/>
      <c r="CM59" s="286"/>
      <c r="CN59" s="286"/>
      <c r="CO59" s="286"/>
      <c r="CP59" s="286"/>
      <c r="CQ59" s="286"/>
      <c r="CR59" s="286"/>
      <c r="CS59" s="286"/>
      <c r="CT59" s="286"/>
      <c r="CU59" s="286"/>
      <c r="CV59" s="286"/>
      <c r="CW59" s="286"/>
      <c r="CX59" s="286"/>
      <c r="CY59" s="286"/>
      <c r="CZ59" s="286"/>
      <c r="DA59" s="286"/>
      <c r="DB59" s="286"/>
      <c r="DC59" s="286"/>
      <c r="DD59" s="286"/>
      <c r="DE59" s="286"/>
      <c r="DF59" s="286"/>
      <c r="DG59" s="286"/>
      <c r="DH59" s="286"/>
      <c r="DI59" s="286"/>
      <c r="DJ59" s="286"/>
      <c r="DK59" s="286"/>
      <c r="DL59" s="286"/>
      <c r="DM59" s="286"/>
      <c r="DN59" s="286"/>
      <c r="DO59" s="286"/>
      <c r="DP59" s="286"/>
      <c r="DQ59" s="286"/>
      <c r="DR59" s="286"/>
      <c r="DS59" s="286"/>
      <c r="DT59" s="286"/>
      <c r="DU59" s="286"/>
      <c r="DV59" s="286"/>
      <c r="DW59" s="286"/>
      <c r="DX59" s="286"/>
      <c r="DY59" s="286"/>
      <c r="DZ59" s="286"/>
      <c r="EA59" s="286"/>
      <c r="EB59" s="286"/>
      <c r="EC59" s="286"/>
      <c r="ED59" s="286"/>
      <c r="EE59" s="286"/>
      <c r="EF59" s="286"/>
      <c r="EG59" s="286"/>
      <c r="EH59" s="286"/>
      <c r="EI59" s="286"/>
      <c r="EJ59" s="286"/>
      <c r="EK59" s="286"/>
      <c r="EL59" s="286"/>
      <c r="EM59" s="286"/>
      <c r="EN59" s="286"/>
      <c r="EO59" s="286"/>
      <c r="EP59" s="286"/>
      <c r="EQ59" s="286"/>
      <c r="ER59" s="286"/>
      <c r="ES59" s="286"/>
      <c r="ET59" s="286"/>
      <c r="EU59" s="286"/>
      <c r="EV59" s="286"/>
      <c r="EW59" s="286"/>
      <c r="EX59" s="286"/>
      <c r="EY59" s="286"/>
      <c r="EZ59" s="286"/>
      <c r="FA59" s="286"/>
      <c r="FB59" s="286"/>
      <c r="FC59" s="286"/>
      <c r="FD59" s="286"/>
      <c r="FE59" s="286"/>
      <c r="FF59" s="286"/>
      <c r="FG59" s="286"/>
      <c r="FH59" s="286"/>
      <c r="FI59" s="286"/>
      <c r="FJ59" s="286"/>
      <c r="FK59" s="286"/>
      <c r="FL59" s="286"/>
      <c r="FM59" s="286"/>
      <c r="FN59" s="286"/>
      <c r="FO59" s="286"/>
      <c r="FP59" s="286"/>
      <c r="FQ59" s="286"/>
      <c r="FR59" s="286"/>
      <c r="FS59" s="286"/>
      <c r="FT59" s="286"/>
      <c r="FU59" s="286"/>
      <c r="FV59" s="286"/>
      <c r="FW59" s="286"/>
      <c r="FX59" s="286"/>
      <c r="FY59" s="286"/>
      <c r="FZ59" s="286"/>
      <c r="GA59" s="399"/>
      <c r="GB59" s="286"/>
      <c r="GC59" s="286"/>
      <c r="GD59" s="286"/>
      <c r="GE59" s="286"/>
      <c r="GF59" s="286"/>
      <c r="GG59" s="286"/>
      <c r="GH59" s="286"/>
      <c r="GI59" s="286"/>
      <c r="GJ59" s="286"/>
      <c r="GK59" s="286"/>
      <c r="GL59" s="286"/>
      <c r="GM59" s="286"/>
      <c r="GN59" s="286"/>
      <c r="GO59" s="286"/>
      <c r="GP59" s="286"/>
      <c r="GQ59" s="286"/>
      <c r="GR59" s="286"/>
      <c r="GS59" s="286"/>
      <c r="GT59" s="286"/>
      <c r="GU59" s="286"/>
      <c r="GV59" s="286"/>
      <c r="GW59" s="286"/>
      <c r="GX59" s="286"/>
      <c r="GY59" s="286"/>
      <c r="GZ59" s="286"/>
      <c r="HA59" s="286"/>
      <c r="HB59" s="286"/>
      <c r="HC59" s="286"/>
      <c r="HD59" s="286"/>
      <c r="HE59" s="286"/>
      <c r="HF59" s="286"/>
      <c r="HG59" s="286"/>
      <c r="HH59" s="286"/>
      <c r="HI59" s="286"/>
      <c r="HJ59" s="286"/>
      <c r="HK59" s="286"/>
      <c r="HL59" s="286"/>
      <c r="HM59" s="286"/>
      <c r="HN59" s="286"/>
      <c r="HO59" s="286"/>
      <c r="HP59" s="286"/>
      <c r="HQ59" s="286"/>
      <c r="HR59" s="286"/>
      <c r="HS59" s="286"/>
      <c r="HT59" s="286"/>
      <c r="HU59" s="286"/>
      <c r="HV59" s="286"/>
      <c r="HW59" s="286"/>
      <c r="HX59" s="286"/>
      <c r="HY59" s="286"/>
      <c r="HZ59" s="286"/>
      <c r="IA59" s="286"/>
      <c r="IB59" s="286"/>
      <c r="IC59" s="286"/>
      <c r="ID59" s="286"/>
      <c r="IE59" s="286"/>
      <c r="IF59" s="286"/>
      <c r="IG59" s="286"/>
      <c r="IH59" s="286"/>
      <c r="II59" s="286"/>
      <c r="IJ59" s="286"/>
      <c r="IK59" s="286"/>
      <c r="IL59" s="286"/>
      <c r="IM59" s="286"/>
      <c r="IN59" s="286"/>
      <c r="IO59" s="286"/>
      <c r="IP59" s="286"/>
      <c r="IQ59" s="286"/>
      <c r="IR59" s="286"/>
      <c r="IS59" s="286"/>
      <c r="IT59" s="286"/>
      <c r="IU59" s="286"/>
      <c r="IV59" s="286"/>
      <c r="IW59" s="286"/>
      <c r="IX59" s="286"/>
      <c r="IY59" s="286"/>
      <c r="IZ59" s="286"/>
      <c r="JA59" s="286"/>
      <c r="JB59" s="286"/>
      <c r="JC59" s="286"/>
      <c r="JD59" s="286"/>
      <c r="JE59" s="286"/>
      <c r="JF59" s="286"/>
      <c r="JG59" s="286"/>
      <c r="JH59" s="286"/>
      <c r="JI59" s="287">
        <f t="shared" si="0"/>
        <v>0</v>
      </c>
      <c r="JJ59" s="315"/>
      <c r="JK59" s="288"/>
      <c r="JL59" s="286">
        <f t="shared" si="1"/>
        <v>0</v>
      </c>
      <c r="JM59" s="289"/>
      <c r="JN59" s="289"/>
      <c r="JO59" s="289"/>
      <c r="JP59" s="286"/>
      <c r="AQT59" s="317"/>
    </row>
    <row r="60" spans="1:276 1138:1138" s="167" customFormat="1" ht="15.6" x14ac:dyDescent="0.3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286"/>
      <c r="AO60" s="286"/>
      <c r="AP60" s="286"/>
      <c r="AQ60" s="286"/>
      <c r="AR60" s="286"/>
      <c r="AS60" s="286"/>
      <c r="AT60" s="286"/>
      <c r="AU60" s="286"/>
      <c r="AV60" s="286"/>
      <c r="AW60" s="286"/>
      <c r="AX60" s="286"/>
      <c r="AY60" s="286"/>
      <c r="AZ60" s="286"/>
      <c r="BA60" s="286"/>
      <c r="BB60" s="286"/>
      <c r="BC60" s="286"/>
      <c r="BD60" s="286"/>
      <c r="BE60" s="286"/>
      <c r="BF60" s="286"/>
      <c r="BG60" s="286"/>
      <c r="BH60" s="286"/>
      <c r="BI60" s="286"/>
      <c r="BJ60" s="286"/>
      <c r="BK60" s="286"/>
      <c r="BL60" s="286"/>
      <c r="BM60" s="286"/>
      <c r="BN60" s="286"/>
      <c r="BO60" s="286"/>
      <c r="BP60" s="286"/>
      <c r="BQ60" s="286"/>
      <c r="BR60" s="286"/>
      <c r="BS60" s="286"/>
      <c r="BT60" s="286"/>
      <c r="BU60" s="286"/>
      <c r="BV60" s="286"/>
      <c r="BW60" s="286"/>
      <c r="BX60" s="286"/>
      <c r="BY60" s="286"/>
      <c r="BZ60" s="286"/>
      <c r="CA60" s="286"/>
      <c r="CB60" s="286"/>
      <c r="CC60" s="286"/>
      <c r="CD60" s="286"/>
      <c r="CE60" s="286"/>
      <c r="CF60" s="286"/>
      <c r="CG60" s="286"/>
      <c r="CH60" s="286"/>
      <c r="CI60" s="286"/>
      <c r="CJ60" s="286"/>
      <c r="CK60" s="286"/>
      <c r="CL60" s="286"/>
      <c r="CM60" s="286"/>
      <c r="CN60" s="286"/>
      <c r="CO60" s="286"/>
      <c r="CP60" s="286"/>
      <c r="CQ60" s="286"/>
      <c r="CR60" s="286"/>
      <c r="CS60" s="286"/>
      <c r="CT60" s="286"/>
      <c r="CU60" s="286"/>
      <c r="CV60" s="286"/>
      <c r="CW60" s="286"/>
      <c r="CX60" s="286"/>
      <c r="CY60" s="286"/>
      <c r="CZ60" s="286"/>
      <c r="DA60" s="286"/>
      <c r="DB60" s="286"/>
      <c r="DC60" s="286"/>
      <c r="DD60" s="286"/>
      <c r="DE60" s="286"/>
      <c r="DF60" s="286"/>
      <c r="DG60" s="286"/>
      <c r="DH60" s="286"/>
      <c r="DI60" s="286"/>
      <c r="DJ60" s="286"/>
      <c r="DK60" s="286"/>
      <c r="DL60" s="286"/>
      <c r="DM60" s="286"/>
      <c r="DN60" s="286"/>
      <c r="DO60" s="286"/>
      <c r="DP60" s="286"/>
      <c r="DQ60" s="286"/>
      <c r="DR60" s="286"/>
      <c r="DS60" s="286"/>
      <c r="DT60" s="286"/>
      <c r="DU60" s="286"/>
      <c r="DV60" s="286"/>
      <c r="DW60" s="286"/>
      <c r="DX60" s="286"/>
      <c r="DY60" s="286"/>
      <c r="DZ60" s="286"/>
      <c r="EA60" s="286"/>
      <c r="EB60" s="286"/>
      <c r="EC60" s="286"/>
      <c r="ED60" s="286"/>
      <c r="EE60" s="286"/>
      <c r="EF60" s="286"/>
      <c r="EG60" s="286"/>
      <c r="EH60" s="286"/>
      <c r="EI60" s="286"/>
      <c r="EJ60" s="286"/>
      <c r="EK60" s="286"/>
      <c r="EL60" s="286"/>
      <c r="EM60" s="286"/>
      <c r="EN60" s="286"/>
      <c r="EO60" s="286"/>
      <c r="EP60" s="286"/>
      <c r="EQ60" s="286"/>
      <c r="ER60" s="286"/>
      <c r="ES60" s="286"/>
      <c r="ET60" s="286"/>
      <c r="EU60" s="286"/>
      <c r="EV60" s="286"/>
      <c r="EW60" s="286"/>
      <c r="EX60" s="286"/>
      <c r="EY60" s="286"/>
      <c r="EZ60" s="286"/>
      <c r="FA60" s="286"/>
      <c r="FB60" s="286"/>
      <c r="FC60" s="286"/>
      <c r="FD60" s="286"/>
      <c r="FE60" s="286"/>
      <c r="FF60" s="286"/>
      <c r="FG60" s="286"/>
      <c r="FH60" s="286"/>
      <c r="FI60" s="286"/>
      <c r="FJ60" s="286"/>
      <c r="FK60" s="286"/>
      <c r="FL60" s="286"/>
      <c r="FM60" s="286"/>
      <c r="FN60" s="286"/>
      <c r="FO60" s="286"/>
      <c r="FP60" s="286"/>
      <c r="FQ60" s="286"/>
      <c r="FR60" s="286"/>
      <c r="FS60" s="286"/>
      <c r="FT60" s="286"/>
      <c r="FU60" s="286"/>
      <c r="FV60" s="286"/>
      <c r="FW60" s="286"/>
      <c r="FX60" s="286"/>
      <c r="FY60" s="286"/>
      <c r="FZ60" s="286"/>
      <c r="GA60" s="286"/>
      <c r="GB60" s="286"/>
      <c r="GC60" s="286"/>
      <c r="GD60" s="286"/>
      <c r="GE60" s="286"/>
      <c r="GF60" s="286"/>
      <c r="GG60" s="286"/>
      <c r="GH60" s="286"/>
      <c r="GI60" s="286"/>
      <c r="GJ60" s="286"/>
      <c r="GK60" s="286"/>
      <c r="GL60" s="286"/>
      <c r="GM60" s="286"/>
      <c r="GN60" s="286"/>
      <c r="GO60" s="286"/>
      <c r="GP60" s="286"/>
      <c r="GQ60" s="286"/>
      <c r="GR60" s="286"/>
      <c r="GS60" s="286"/>
      <c r="GT60" s="286"/>
      <c r="GU60" s="286"/>
      <c r="GV60" s="286"/>
      <c r="GW60" s="286"/>
      <c r="GX60" s="286"/>
      <c r="GY60" s="286"/>
      <c r="GZ60" s="286"/>
      <c r="HA60" s="286"/>
      <c r="HB60" s="286"/>
      <c r="HC60" s="286"/>
      <c r="HD60" s="286"/>
      <c r="HE60" s="286"/>
      <c r="HF60" s="286"/>
      <c r="HG60" s="286"/>
      <c r="HH60" s="286"/>
      <c r="HI60" s="286"/>
      <c r="HJ60" s="286"/>
      <c r="HK60" s="286"/>
      <c r="HL60" s="286"/>
      <c r="HM60" s="286"/>
      <c r="HN60" s="286"/>
      <c r="HO60" s="286"/>
      <c r="HP60" s="286"/>
      <c r="HQ60" s="286"/>
      <c r="HR60" s="286"/>
      <c r="HS60" s="286"/>
      <c r="HT60" s="286"/>
      <c r="HU60" s="286"/>
      <c r="HV60" s="286"/>
      <c r="HW60" s="286"/>
      <c r="HX60" s="286"/>
      <c r="HY60" s="286"/>
      <c r="HZ60" s="286"/>
      <c r="IA60" s="286"/>
      <c r="IB60" s="286"/>
      <c r="IC60" s="286"/>
      <c r="ID60" s="286"/>
      <c r="IE60" s="286"/>
      <c r="IF60" s="286"/>
      <c r="IG60" s="286"/>
      <c r="IH60" s="286"/>
      <c r="II60" s="286"/>
      <c r="IJ60" s="286"/>
      <c r="IK60" s="286"/>
      <c r="IL60" s="286"/>
      <c r="IM60" s="286"/>
      <c r="IN60" s="286"/>
      <c r="IO60" s="286"/>
      <c r="IP60" s="286"/>
      <c r="IQ60" s="286"/>
      <c r="IR60" s="286"/>
      <c r="IS60" s="286"/>
      <c r="IT60" s="286"/>
      <c r="IU60" s="286"/>
      <c r="IV60" s="286"/>
      <c r="IW60" s="286"/>
      <c r="IX60" s="286"/>
      <c r="IY60" s="286"/>
      <c r="IZ60" s="286"/>
      <c r="JA60" s="286"/>
      <c r="JB60" s="286"/>
      <c r="JC60" s="286"/>
      <c r="JD60" s="286"/>
      <c r="JE60" s="286"/>
      <c r="JF60" s="286"/>
      <c r="JG60" s="286"/>
      <c r="JH60" s="286"/>
      <c r="JI60" s="287">
        <f t="shared" si="0"/>
        <v>0</v>
      </c>
      <c r="JJ60" s="315"/>
      <c r="JK60" s="288"/>
      <c r="JL60" s="286">
        <f t="shared" si="1"/>
        <v>0</v>
      </c>
      <c r="JM60" s="289"/>
      <c r="JN60" s="289"/>
      <c r="JO60" s="289"/>
      <c r="JP60" s="286"/>
      <c r="AQT60" s="317"/>
    </row>
    <row r="61" spans="1:276 1138:1138" s="167" customFormat="1" ht="15.6" x14ac:dyDescent="0.3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286"/>
      <c r="AO61" s="286"/>
      <c r="AP61" s="286"/>
      <c r="AQ61" s="286"/>
      <c r="AR61" s="286"/>
      <c r="AS61" s="286"/>
      <c r="AT61" s="286"/>
      <c r="AU61" s="286"/>
      <c r="AV61" s="286"/>
      <c r="AW61" s="286"/>
      <c r="AX61" s="286"/>
      <c r="AY61" s="286"/>
      <c r="AZ61" s="286"/>
      <c r="BA61" s="286"/>
      <c r="BB61" s="286"/>
      <c r="BC61" s="286"/>
      <c r="BD61" s="286"/>
      <c r="BE61" s="286"/>
      <c r="BF61" s="286"/>
      <c r="BG61" s="286"/>
      <c r="BH61" s="286"/>
      <c r="BI61" s="286"/>
      <c r="BJ61" s="286"/>
      <c r="BK61" s="286"/>
      <c r="BL61" s="286"/>
      <c r="BM61" s="286"/>
      <c r="BN61" s="286"/>
      <c r="BO61" s="286"/>
      <c r="BP61" s="286"/>
      <c r="BQ61" s="286"/>
      <c r="BR61" s="286"/>
      <c r="BS61" s="286"/>
      <c r="BT61" s="286"/>
      <c r="BU61" s="286"/>
      <c r="BV61" s="286"/>
      <c r="BW61" s="286"/>
      <c r="BX61" s="286"/>
      <c r="BY61" s="286"/>
      <c r="BZ61" s="286"/>
      <c r="CA61" s="286"/>
      <c r="CB61" s="286"/>
      <c r="CC61" s="286"/>
      <c r="CD61" s="286"/>
      <c r="CE61" s="286"/>
      <c r="CF61" s="286"/>
      <c r="CG61" s="286"/>
      <c r="CH61" s="286"/>
      <c r="CI61" s="286"/>
      <c r="CJ61" s="286"/>
      <c r="CK61" s="286"/>
      <c r="CL61" s="286"/>
      <c r="CM61" s="286"/>
      <c r="CN61" s="286"/>
      <c r="CO61" s="286"/>
      <c r="CP61" s="286"/>
      <c r="CQ61" s="286"/>
      <c r="CR61" s="286"/>
      <c r="CS61" s="286"/>
      <c r="CT61" s="286"/>
      <c r="CU61" s="286"/>
      <c r="CV61" s="286"/>
      <c r="CW61" s="286"/>
      <c r="CX61" s="286"/>
      <c r="CY61" s="286"/>
      <c r="CZ61" s="286"/>
      <c r="DA61" s="286"/>
      <c r="DB61" s="286"/>
      <c r="DC61" s="286"/>
      <c r="DD61" s="286"/>
      <c r="DE61" s="286"/>
      <c r="DF61" s="286"/>
      <c r="DG61" s="286"/>
      <c r="DH61" s="286"/>
      <c r="DI61" s="286"/>
      <c r="DJ61" s="286"/>
      <c r="DK61" s="286"/>
      <c r="DL61" s="286"/>
      <c r="DM61" s="286"/>
      <c r="DN61" s="286"/>
      <c r="DO61" s="286"/>
      <c r="DP61" s="286"/>
      <c r="DQ61" s="286"/>
      <c r="DR61" s="286"/>
      <c r="DS61" s="286"/>
      <c r="DT61" s="286"/>
      <c r="DU61" s="286"/>
      <c r="DV61" s="286"/>
      <c r="DW61" s="286"/>
      <c r="DX61" s="286"/>
      <c r="DY61" s="286"/>
      <c r="DZ61" s="286"/>
      <c r="EA61" s="286"/>
      <c r="EB61" s="286"/>
      <c r="EC61" s="286"/>
      <c r="ED61" s="286"/>
      <c r="EE61" s="286"/>
      <c r="EF61" s="286"/>
      <c r="EG61" s="286"/>
      <c r="EH61" s="286"/>
      <c r="EI61" s="286"/>
      <c r="EJ61" s="286"/>
      <c r="EK61" s="286"/>
      <c r="EL61" s="286"/>
      <c r="EM61" s="286"/>
      <c r="EN61" s="286"/>
      <c r="EO61" s="286"/>
      <c r="EP61" s="286"/>
      <c r="EQ61" s="286"/>
      <c r="ER61" s="286"/>
      <c r="ES61" s="286"/>
      <c r="ET61" s="286"/>
      <c r="EU61" s="286"/>
      <c r="EV61" s="286"/>
      <c r="EW61" s="286"/>
      <c r="EX61" s="286"/>
      <c r="EY61" s="286"/>
      <c r="EZ61" s="286"/>
      <c r="FA61" s="286"/>
      <c r="FB61" s="286"/>
      <c r="FC61" s="286"/>
      <c r="FD61" s="286"/>
      <c r="FE61" s="286"/>
      <c r="FF61" s="286"/>
      <c r="FG61" s="286"/>
      <c r="FH61" s="286"/>
      <c r="FI61" s="286"/>
      <c r="FJ61" s="286"/>
      <c r="FK61" s="286"/>
      <c r="FL61" s="286"/>
      <c r="FM61" s="286"/>
      <c r="FN61" s="286"/>
      <c r="FO61" s="286"/>
      <c r="FP61" s="286"/>
      <c r="FQ61" s="286"/>
      <c r="FR61" s="286"/>
      <c r="FS61" s="286"/>
      <c r="FT61" s="286"/>
      <c r="FU61" s="286"/>
      <c r="FV61" s="286"/>
      <c r="FW61" s="286"/>
      <c r="FX61" s="286"/>
      <c r="FY61" s="286"/>
      <c r="FZ61" s="286"/>
      <c r="GA61" s="286"/>
      <c r="GB61" s="286"/>
      <c r="GC61" s="286"/>
      <c r="GD61" s="286"/>
      <c r="GE61" s="286"/>
      <c r="GF61" s="286"/>
      <c r="GG61" s="286"/>
      <c r="GH61" s="286"/>
      <c r="GI61" s="286"/>
      <c r="GJ61" s="286"/>
      <c r="GK61" s="286"/>
      <c r="GL61" s="286"/>
      <c r="GM61" s="286"/>
      <c r="GN61" s="286"/>
      <c r="GO61" s="286"/>
      <c r="GP61" s="286"/>
      <c r="GQ61" s="286"/>
      <c r="GR61" s="286"/>
      <c r="GS61" s="286"/>
      <c r="GT61" s="286"/>
      <c r="GU61" s="286"/>
      <c r="GV61" s="286"/>
      <c r="GW61" s="286"/>
      <c r="GX61" s="286"/>
      <c r="GY61" s="286"/>
      <c r="GZ61" s="286"/>
      <c r="HA61" s="286"/>
      <c r="HB61" s="286"/>
      <c r="HC61" s="286"/>
      <c r="HD61" s="286"/>
      <c r="HE61" s="286"/>
      <c r="HF61" s="286"/>
      <c r="HG61" s="286"/>
      <c r="HH61" s="286"/>
      <c r="HI61" s="286"/>
      <c r="HJ61" s="286"/>
      <c r="HK61" s="286"/>
      <c r="HL61" s="286"/>
      <c r="HM61" s="286"/>
      <c r="HN61" s="286"/>
      <c r="HO61" s="286"/>
      <c r="HP61" s="286"/>
      <c r="HQ61" s="286"/>
      <c r="HR61" s="286"/>
      <c r="HS61" s="286"/>
      <c r="HT61" s="286"/>
      <c r="HU61" s="286"/>
      <c r="HV61" s="286"/>
      <c r="HW61" s="286"/>
      <c r="HX61" s="286"/>
      <c r="HY61" s="286"/>
      <c r="HZ61" s="286"/>
      <c r="IA61" s="286"/>
      <c r="IB61" s="286"/>
      <c r="IC61" s="286"/>
      <c r="ID61" s="286"/>
      <c r="IE61" s="286"/>
      <c r="IF61" s="286"/>
      <c r="IG61" s="286"/>
      <c r="IH61" s="286"/>
      <c r="II61" s="286"/>
      <c r="IJ61" s="286"/>
      <c r="IK61" s="286"/>
      <c r="IL61" s="286"/>
      <c r="IM61" s="286"/>
      <c r="IN61" s="286"/>
      <c r="IO61" s="286"/>
      <c r="IP61" s="286"/>
      <c r="IQ61" s="286"/>
      <c r="IR61" s="286"/>
      <c r="IS61" s="286"/>
      <c r="IT61" s="286"/>
      <c r="IU61" s="286"/>
      <c r="IV61" s="286"/>
      <c r="IW61" s="286"/>
      <c r="IX61" s="286"/>
      <c r="IY61" s="286"/>
      <c r="IZ61" s="286"/>
      <c r="JA61" s="286"/>
      <c r="JB61" s="286"/>
      <c r="JC61" s="286"/>
      <c r="JD61" s="286"/>
      <c r="JE61" s="286"/>
      <c r="JF61" s="286"/>
      <c r="JG61" s="286"/>
      <c r="JH61" s="286"/>
      <c r="JI61" s="287">
        <f t="shared" si="0"/>
        <v>0</v>
      </c>
      <c r="JJ61" s="315"/>
      <c r="JK61" s="288"/>
      <c r="JL61" s="286">
        <f t="shared" si="1"/>
        <v>0</v>
      </c>
      <c r="JM61" s="289"/>
      <c r="JN61" s="289"/>
      <c r="JO61" s="289"/>
      <c r="JP61" s="286"/>
      <c r="AQT61" s="317"/>
    </row>
    <row r="62" spans="1:276 1138:1138" ht="15.6" x14ac:dyDescent="0.3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6"/>
      <c r="AO62" s="286"/>
      <c r="AP62" s="286"/>
      <c r="AQ62" s="286"/>
      <c r="AR62" s="286"/>
      <c r="AS62" s="286"/>
      <c r="AT62" s="286"/>
      <c r="AU62" s="286"/>
      <c r="AV62" s="286"/>
      <c r="AW62" s="286"/>
      <c r="AX62" s="286"/>
      <c r="AY62" s="286"/>
      <c r="AZ62" s="286"/>
      <c r="BA62" s="286"/>
      <c r="BB62" s="286"/>
      <c r="BC62" s="286"/>
      <c r="BD62" s="286"/>
      <c r="BE62" s="286"/>
      <c r="BF62" s="286"/>
      <c r="BG62" s="286"/>
      <c r="BH62" s="286"/>
      <c r="BI62" s="286"/>
      <c r="BJ62" s="286"/>
      <c r="BK62" s="286"/>
      <c r="BL62" s="286"/>
      <c r="BM62" s="286"/>
      <c r="BN62" s="286"/>
      <c r="BO62" s="286"/>
      <c r="BP62" s="286"/>
      <c r="BQ62" s="286"/>
      <c r="BR62" s="286"/>
      <c r="BS62" s="286"/>
      <c r="BT62" s="286"/>
      <c r="BU62" s="286"/>
      <c r="BV62" s="286"/>
      <c r="BW62" s="286"/>
      <c r="BX62" s="286"/>
      <c r="BY62" s="286"/>
      <c r="BZ62" s="286"/>
      <c r="CA62" s="286"/>
      <c r="CB62" s="286"/>
      <c r="CC62" s="286"/>
      <c r="CD62" s="286"/>
      <c r="CE62" s="286"/>
      <c r="CF62" s="286"/>
      <c r="CG62" s="286"/>
      <c r="CH62" s="286"/>
      <c r="CI62" s="286"/>
      <c r="CJ62" s="286"/>
      <c r="CK62" s="286"/>
      <c r="CL62" s="286"/>
      <c r="CM62" s="286"/>
      <c r="CN62" s="286"/>
      <c r="CO62" s="286"/>
      <c r="CP62" s="286"/>
      <c r="CQ62" s="286"/>
      <c r="CR62" s="286"/>
      <c r="CS62" s="286"/>
      <c r="CT62" s="286"/>
      <c r="CU62" s="286"/>
      <c r="CV62" s="286"/>
      <c r="CW62" s="286"/>
      <c r="CX62" s="286"/>
      <c r="CY62" s="286"/>
      <c r="CZ62" s="286"/>
      <c r="DA62" s="286"/>
      <c r="DB62" s="286"/>
      <c r="DC62" s="286"/>
      <c r="DD62" s="286"/>
      <c r="DE62" s="286"/>
      <c r="DF62" s="286"/>
      <c r="DG62" s="286"/>
      <c r="DH62" s="286"/>
      <c r="DI62" s="286"/>
      <c r="DJ62" s="286"/>
      <c r="DK62" s="286"/>
      <c r="DL62" s="286"/>
      <c r="DM62" s="286"/>
      <c r="DN62" s="286"/>
      <c r="DO62" s="286"/>
      <c r="DP62" s="286"/>
      <c r="DQ62" s="286"/>
      <c r="DR62" s="286"/>
      <c r="DS62" s="286"/>
      <c r="DT62" s="286"/>
      <c r="DU62" s="286"/>
      <c r="DV62" s="286"/>
      <c r="DW62" s="286"/>
      <c r="DX62" s="286"/>
      <c r="DY62" s="286"/>
      <c r="DZ62" s="286"/>
      <c r="EA62" s="286"/>
      <c r="EB62" s="286"/>
      <c r="EC62" s="286"/>
      <c r="ED62" s="286"/>
      <c r="EE62" s="286"/>
      <c r="EF62" s="286"/>
      <c r="EG62" s="286"/>
      <c r="EH62" s="286"/>
      <c r="EI62" s="286"/>
      <c r="EJ62" s="286"/>
      <c r="EK62" s="286"/>
      <c r="EL62" s="286"/>
      <c r="EM62" s="286"/>
      <c r="EN62" s="286"/>
      <c r="EO62" s="286"/>
      <c r="EP62" s="286"/>
      <c r="EQ62" s="286"/>
      <c r="ER62" s="286"/>
      <c r="ES62" s="286"/>
      <c r="ET62" s="286"/>
      <c r="EU62" s="286"/>
      <c r="EV62" s="286"/>
      <c r="EW62" s="286"/>
      <c r="EX62" s="286"/>
      <c r="EY62" s="286"/>
      <c r="EZ62" s="286"/>
      <c r="FA62" s="286"/>
      <c r="FB62" s="286"/>
      <c r="FC62" s="286"/>
      <c r="FD62" s="286"/>
      <c r="FE62" s="286"/>
      <c r="FF62" s="286"/>
      <c r="FG62" s="286"/>
      <c r="FH62" s="286"/>
      <c r="FI62" s="286"/>
      <c r="FJ62" s="286"/>
      <c r="FK62" s="286"/>
      <c r="FL62" s="286"/>
      <c r="FM62" s="286"/>
      <c r="FN62" s="286"/>
      <c r="FO62" s="286"/>
      <c r="FP62" s="286"/>
      <c r="FQ62" s="286"/>
      <c r="FR62" s="286"/>
      <c r="FS62" s="286"/>
      <c r="FT62" s="286"/>
      <c r="FU62" s="286"/>
      <c r="FV62" s="286"/>
      <c r="FW62" s="286"/>
      <c r="FX62" s="286"/>
      <c r="FY62" s="286"/>
      <c r="FZ62" s="286"/>
      <c r="GA62" s="286"/>
      <c r="GB62" s="286"/>
      <c r="GC62" s="286"/>
      <c r="GD62" s="286"/>
      <c r="GE62" s="286"/>
      <c r="GF62" s="286"/>
      <c r="GG62" s="286"/>
      <c r="GH62" s="286"/>
      <c r="GI62" s="286"/>
      <c r="GJ62" s="286"/>
      <c r="GK62" s="286"/>
      <c r="GL62" s="286"/>
      <c r="GM62" s="286"/>
      <c r="GN62" s="286"/>
      <c r="GO62" s="286"/>
      <c r="GP62" s="286"/>
      <c r="GQ62" s="286"/>
      <c r="GR62" s="286"/>
      <c r="GS62" s="286"/>
      <c r="GT62" s="286"/>
      <c r="GU62" s="286"/>
      <c r="GV62" s="286"/>
      <c r="GW62" s="286"/>
      <c r="GX62" s="286"/>
      <c r="GY62" s="286"/>
      <c r="GZ62" s="286"/>
      <c r="HA62" s="286"/>
      <c r="HB62" s="286"/>
      <c r="HC62" s="286"/>
      <c r="HD62" s="286"/>
      <c r="HE62" s="286"/>
      <c r="HF62" s="286"/>
      <c r="HG62" s="286"/>
      <c r="HH62" s="286"/>
      <c r="HI62" s="286"/>
      <c r="HJ62" s="286"/>
      <c r="HK62" s="286"/>
      <c r="HL62" s="286"/>
      <c r="HM62" s="286"/>
      <c r="HN62" s="286"/>
      <c r="HO62" s="286"/>
      <c r="HP62" s="286"/>
      <c r="HQ62" s="286"/>
      <c r="HR62" s="286"/>
      <c r="HS62" s="286"/>
      <c r="HT62" s="286"/>
      <c r="HU62" s="286"/>
      <c r="HV62" s="286"/>
      <c r="HW62" s="286"/>
      <c r="HX62" s="286"/>
      <c r="HY62" s="286"/>
      <c r="HZ62" s="286"/>
      <c r="IA62" s="286"/>
      <c r="IB62" s="286"/>
      <c r="IC62" s="286"/>
      <c r="ID62" s="286"/>
      <c r="IE62" s="286"/>
      <c r="IF62" s="286"/>
      <c r="IG62" s="286"/>
      <c r="IH62" s="286"/>
      <c r="II62" s="286"/>
      <c r="IJ62" s="286"/>
      <c r="IK62" s="286"/>
      <c r="IL62" s="286"/>
      <c r="IM62" s="286"/>
      <c r="IN62" s="286"/>
      <c r="IO62" s="286"/>
      <c r="IP62" s="286"/>
      <c r="IQ62" s="286"/>
      <c r="IR62" s="286"/>
      <c r="IS62" s="286"/>
      <c r="IT62" s="286"/>
      <c r="IU62" s="286"/>
      <c r="IV62" s="286"/>
      <c r="IW62" s="286"/>
      <c r="IX62" s="286"/>
      <c r="IY62" s="286"/>
      <c r="IZ62" s="286"/>
      <c r="JA62" s="286"/>
      <c r="JB62" s="286"/>
      <c r="JC62" s="286"/>
      <c r="JD62" s="286"/>
      <c r="JE62" s="286"/>
      <c r="JF62" s="286"/>
      <c r="JG62" s="286"/>
      <c r="JH62" s="286"/>
      <c r="JI62" s="287">
        <f t="shared" si="0"/>
        <v>0</v>
      </c>
      <c r="JJ62" s="301"/>
      <c r="JK62" s="288"/>
      <c r="JL62" s="286">
        <f t="shared" si="1"/>
        <v>0</v>
      </c>
      <c r="JM62" s="290"/>
      <c r="JN62" s="289"/>
      <c r="JO62" s="289"/>
      <c r="JP62" s="286"/>
    </row>
    <row r="63" spans="1:276 1138:1138" ht="15.6" x14ac:dyDescent="0.3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  <c r="AV63" s="286"/>
      <c r="AW63" s="286"/>
      <c r="AX63" s="286"/>
      <c r="AY63" s="286"/>
      <c r="AZ63" s="286"/>
      <c r="BA63" s="286"/>
      <c r="BB63" s="286"/>
      <c r="BC63" s="286"/>
      <c r="BD63" s="286"/>
      <c r="BE63" s="286"/>
      <c r="BF63" s="286"/>
      <c r="BG63" s="286"/>
      <c r="BH63" s="286"/>
      <c r="BI63" s="286"/>
      <c r="BJ63" s="286"/>
      <c r="BK63" s="286"/>
      <c r="BL63" s="286"/>
      <c r="BM63" s="286"/>
      <c r="BN63" s="286"/>
      <c r="BO63" s="286"/>
      <c r="BP63" s="286"/>
      <c r="BQ63" s="286"/>
      <c r="BR63" s="286"/>
      <c r="BS63" s="286"/>
      <c r="BT63" s="286"/>
      <c r="BU63" s="286"/>
      <c r="BV63" s="286"/>
      <c r="BW63" s="286"/>
      <c r="BX63" s="286"/>
      <c r="BY63" s="286"/>
      <c r="BZ63" s="286"/>
      <c r="CA63" s="286"/>
      <c r="CB63" s="286"/>
      <c r="CC63" s="286"/>
      <c r="CD63" s="286"/>
      <c r="CE63" s="286"/>
      <c r="CF63" s="286"/>
      <c r="CG63" s="286"/>
      <c r="CH63" s="286"/>
      <c r="CI63" s="286"/>
      <c r="CJ63" s="286"/>
      <c r="CK63" s="286"/>
      <c r="CL63" s="286"/>
      <c r="CM63" s="286"/>
      <c r="CN63" s="286"/>
      <c r="CO63" s="286"/>
      <c r="CP63" s="286"/>
      <c r="CQ63" s="286"/>
      <c r="CR63" s="286"/>
      <c r="CS63" s="286"/>
      <c r="CT63" s="286"/>
      <c r="CU63" s="286"/>
      <c r="CV63" s="286"/>
      <c r="CW63" s="286"/>
      <c r="CX63" s="286"/>
      <c r="CY63" s="286"/>
      <c r="CZ63" s="286"/>
      <c r="DA63" s="286"/>
      <c r="DB63" s="286"/>
      <c r="DC63" s="286"/>
      <c r="DD63" s="286"/>
      <c r="DE63" s="286"/>
      <c r="DF63" s="286"/>
      <c r="DG63" s="286"/>
      <c r="DH63" s="286"/>
      <c r="DI63" s="286"/>
      <c r="DJ63" s="286"/>
      <c r="DK63" s="286"/>
      <c r="DL63" s="286"/>
      <c r="DM63" s="286"/>
      <c r="DN63" s="286"/>
      <c r="DO63" s="286"/>
      <c r="DP63" s="286"/>
      <c r="DQ63" s="286"/>
      <c r="DR63" s="286"/>
      <c r="DS63" s="286"/>
      <c r="DT63" s="286"/>
      <c r="DU63" s="286"/>
      <c r="DV63" s="286"/>
      <c r="DW63" s="286"/>
      <c r="DX63" s="286"/>
      <c r="DY63" s="286"/>
      <c r="DZ63" s="286"/>
      <c r="EA63" s="286"/>
      <c r="EB63" s="286"/>
      <c r="EC63" s="286"/>
      <c r="ED63" s="286"/>
      <c r="EE63" s="286"/>
      <c r="EF63" s="286"/>
      <c r="EG63" s="286"/>
      <c r="EH63" s="286"/>
      <c r="EI63" s="286"/>
      <c r="EJ63" s="286"/>
      <c r="EK63" s="286"/>
      <c r="EL63" s="286"/>
      <c r="EM63" s="286"/>
      <c r="EN63" s="286"/>
      <c r="EO63" s="286"/>
      <c r="EP63" s="286"/>
      <c r="EQ63" s="286"/>
      <c r="ER63" s="286"/>
      <c r="ES63" s="286"/>
      <c r="ET63" s="286"/>
      <c r="EU63" s="286"/>
      <c r="EV63" s="286"/>
      <c r="EW63" s="286"/>
      <c r="EX63" s="286"/>
      <c r="EY63" s="286"/>
      <c r="EZ63" s="286"/>
      <c r="FA63" s="286"/>
      <c r="FB63" s="286"/>
      <c r="FC63" s="286"/>
      <c r="FD63" s="286"/>
      <c r="FE63" s="286"/>
      <c r="FF63" s="286"/>
      <c r="FG63" s="286"/>
      <c r="FH63" s="286"/>
      <c r="FI63" s="286"/>
      <c r="FJ63" s="286"/>
      <c r="FK63" s="286"/>
      <c r="FL63" s="286"/>
      <c r="FM63" s="286"/>
      <c r="FN63" s="286"/>
      <c r="FO63" s="286"/>
      <c r="FP63" s="286"/>
      <c r="FQ63" s="286"/>
      <c r="FR63" s="286"/>
      <c r="FS63" s="286"/>
      <c r="FT63" s="286"/>
      <c r="FU63" s="286"/>
      <c r="FV63" s="286"/>
      <c r="FW63" s="286"/>
      <c r="FX63" s="286"/>
      <c r="FY63" s="286"/>
      <c r="FZ63" s="286"/>
      <c r="GA63" s="286"/>
      <c r="GB63" s="286"/>
      <c r="GC63" s="286"/>
      <c r="GD63" s="286"/>
      <c r="GE63" s="286"/>
      <c r="GF63" s="286"/>
      <c r="GG63" s="286"/>
      <c r="GH63" s="286"/>
      <c r="GI63" s="286"/>
      <c r="GJ63" s="286"/>
      <c r="GK63" s="286"/>
      <c r="GL63" s="286"/>
      <c r="GM63" s="286"/>
      <c r="GN63" s="286"/>
      <c r="GO63" s="286"/>
      <c r="GP63" s="286"/>
      <c r="GQ63" s="286"/>
      <c r="GR63" s="286"/>
      <c r="GS63" s="286"/>
      <c r="GT63" s="286"/>
      <c r="GU63" s="286"/>
      <c r="GV63" s="286"/>
      <c r="GW63" s="286"/>
      <c r="GX63" s="286"/>
      <c r="GY63" s="286"/>
      <c r="GZ63" s="286"/>
      <c r="HA63" s="286"/>
      <c r="HB63" s="286"/>
      <c r="HC63" s="286"/>
      <c r="HD63" s="286"/>
      <c r="HE63" s="286"/>
      <c r="HF63" s="286"/>
      <c r="HG63" s="286"/>
      <c r="HH63" s="286"/>
      <c r="HI63" s="286"/>
      <c r="HJ63" s="286"/>
      <c r="HK63" s="286"/>
      <c r="HL63" s="286"/>
      <c r="HM63" s="286"/>
      <c r="HN63" s="286"/>
      <c r="HO63" s="286"/>
      <c r="HP63" s="286"/>
      <c r="HQ63" s="286"/>
      <c r="HR63" s="286"/>
      <c r="HS63" s="286"/>
      <c r="HT63" s="286"/>
      <c r="HU63" s="286"/>
      <c r="HV63" s="286"/>
      <c r="HW63" s="286"/>
      <c r="HX63" s="286"/>
      <c r="HY63" s="286"/>
      <c r="HZ63" s="286"/>
      <c r="IA63" s="286"/>
      <c r="IB63" s="286"/>
      <c r="IC63" s="286"/>
      <c r="ID63" s="286"/>
      <c r="IE63" s="286"/>
      <c r="IF63" s="286"/>
      <c r="IG63" s="286"/>
      <c r="IH63" s="286"/>
      <c r="II63" s="286"/>
      <c r="IJ63" s="286"/>
      <c r="IK63" s="286"/>
      <c r="IL63" s="286"/>
      <c r="IM63" s="286"/>
      <c r="IN63" s="286"/>
      <c r="IO63" s="286"/>
      <c r="IP63" s="286"/>
      <c r="IQ63" s="286"/>
      <c r="IR63" s="286"/>
      <c r="IS63" s="286"/>
      <c r="IT63" s="286"/>
      <c r="IU63" s="286"/>
      <c r="IV63" s="286"/>
      <c r="IW63" s="286"/>
      <c r="IX63" s="286"/>
      <c r="IY63" s="286"/>
      <c r="IZ63" s="286"/>
      <c r="JA63" s="286"/>
      <c r="JB63" s="286"/>
      <c r="JC63" s="286"/>
      <c r="JD63" s="286"/>
      <c r="JE63" s="286"/>
      <c r="JF63" s="286"/>
      <c r="JG63" s="286"/>
      <c r="JH63" s="286"/>
      <c r="JI63" s="287">
        <f t="shared" si="0"/>
        <v>0</v>
      </c>
      <c r="JJ63" s="301"/>
      <c r="JK63" s="288"/>
      <c r="JL63" s="286">
        <f t="shared" si="1"/>
        <v>0</v>
      </c>
      <c r="JM63" s="290"/>
      <c r="JN63" s="289"/>
      <c r="JO63" s="289"/>
      <c r="JP63" s="286"/>
    </row>
    <row r="64" spans="1:276 1138:1138" ht="15.6" x14ac:dyDescent="0.3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286"/>
      <c r="AO64" s="286"/>
      <c r="AP64" s="286"/>
      <c r="AQ64" s="286"/>
      <c r="AR64" s="286"/>
      <c r="AS64" s="286"/>
      <c r="AT64" s="286"/>
      <c r="AU64" s="286"/>
      <c r="AV64" s="286"/>
      <c r="AW64" s="286"/>
      <c r="AX64" s="286"/>
      <c r="AY64" s="286"/>
      <c r="AZ64" s="286"/>
      <c r="BA64" s="286"/>
      <c r="BB64" s="286"/>
      <c r="BC64" s="286"/>
      <c r="BD64" s="286"/>
      <c r="BE64" s="286"/>
      <c r="BF64" s="286"/>
      <c r="BG64" s="286"/>
      <c r="BH64" s="286"/>
      <c r="BI64" s="286"/>
      <c r="BJ64" s="286"/>
      <c r="BK64" s="286"/>
      <c r="BL64" s="286"/>
      <c r="BM64" s="286"/>
      <c r="BN64" s="286"/>
      <c r="BO64" s="286"/>
      <c r="BP64" s="286"/>
      <c r="BQ64" s="286"/>
      <c r="BR64" s="286"/>
      <c r="BS64" s="286"/>
      <c r="BT64" s="286"/>
      <c r="BU64" s="286"/>
      <c r="BV64" s="286"/>
      <c r="BW64" s="286"/>
      <c r="BX64" s="286"/>
      <c r="BY64" s="286"/>
      <c r="BZ64" s="286"/>
      <c r="CA64" s="286"/>
      <c r="CB64" s="286"/>
      <c r="CC64" s="286"/>
      <c r="CD64" s="286"/>
      <c r="CE64" s="286"/>
      <c r="CF64" s="286"/>
      <c r="CG64" s="286"/>
      <c r="CH64" s="286"/>
      <c r="CI64" s="286"/>
      <c r="CJ64" s="286"/>
      <c r="CK64" s="286"/>
      <c r="CL64" s="286"/>
      <c r="CM64" s="286"/>
      <c r="CN64" s="286"/>
      <c r="CO64" s="286"/>
      <c r="CP64" s="286"/>
      <c r="CQ64" s="286"/>
      <c r="CR64" s="286"/>
      <c r="CS64" s="286"/>
      <c r="CT64" s="286"/>
      <c r="CU64" s="286"/>
      <c r="CV64" s="286"/>
      <c r="CW64" s="286"/>
      <c r="CX64" s="286"/>
      <c r="CY64" s="286"/>
      <c r="CZ64" s="286"/>
      <c r="DA64" s="286"/>
      <c r="DB64" s="286"/>
      <c r="DC64" s="286"/>
      <c r="DD64" s="286"/>
      <c r="DE64" s="286"/>
      <c r="DF64" s="286"/>
      <c r="DG64" s="286"/>
      <c r="DH64" s="286"/>
      <c r="DI64" s="286"/>
      <c r="DJ64" s="286"/>
      <c r="DK64" s="286"/>
      <c r="DL64" s="286"/>
      <c r="DM64" s="286"/>
      <c r="DN64" s="286"/>
      <c r="DO64" s="286"/>
      <c r="DP64" s="286"/>
      <c r="DQ64" s="286"/>
      <c r="DR64" s="286"/>
      <c r="DS64" s="286"/>
      <c r="DT64" s="286"/>
      <c r="DU64" s="286"/>
      <c r="DV64" s="286"/>
      <c r="DW64" s="286"/>
      <c r="DX64" s="286"/>
      <c r="DY64" s="286"/>
      <c r="DZ64" s="286"/>
      <c r="EA64" s="286"/>
      <c r="EB64" s="286"/>
      <c r="EC64" s="286"/>
      <c r="ED64" s="286"/>
      <c r="EE64" s="286"/>
      <c r="EF64" s="286"/>
      <c r="EG64" s="286"/>
      <c r="EH64" s="286"/>
      <c r="EI64" s="286"/>
      <c r="EJ64" s="286"/>
      <c r="EK64" s="286"/>
      <c r="EL64" s="286"/>
      <c r="EM64" s="286"/>
      <c r="EN64" s="286"/>
      <c r="EO64" s="286"/>
      <c r="EP64" s="286"/>
      <c r="EQ64" s="286"/>
      <c r="ER64" s="286"/>
      <c r="ES64" s="286"/>
      <c r="ET64" s="286"/>
      <c r="EU64" s="286"/>
      <c r="EV64" s="286"/>
      <c r="EW64" s="286"/>
      <c r="EX64" s="286"/>
      <c r="EY64" s="286"/>
      <c r="EZ64" s="286"/>
      <c r="FA64" s="286"/>
      <c r="FB64" s="286"/>
      <c r="FC64" s="286"/>
      <c r="FD64" s="286"/>
      <c r="FE64" s="286"/>
      <c r="FF64" s="286"/>
      <c r="FG64" s="286"/>
      <c r="FH64" s="286"/>
      <c r="FI64" s="286"/>
      <c r="FJ64" s="286"/>
      <c r="FK64" s="286"/>
      <c r="FL64" s="286"/>
      <c r="FM64" s="286"/>
      <c r="FN64" s="286"/>
      <c r="FO64" s="286"/>
      <c r="FP64" s="286"/>
      <c r="FQ64" s="286"/>
      <c r="FR64" s="286"/>
      <c r="FS64" s="286"/>
      <c r="FT64" s="286"/>
      <c r="FU64" s="286"/>
      <c r="FV64" s="286"/>
      <c r="FW64" s="286"/>
      <c r="FX64" s="286"/>
      <c r="FY64" s="286"/>
      <c r="FZ64" s="286"/>
      <c r="GA64" s="286"/>
      <c r="GB64" s="286"/>
      <c r="GC64" s="286"/>
      <c r="GD64" s="286"/>
      <c r="GE64" s="286"/>
      <c r="GF64" s="286"/>
      <c r="GG64" s="286"/>
      <c r="GH64" s="286"/>
      <c r="GI64" s="286"/>
      <c r="GJ64" s="286"/>
      <c r="GK64" s="286"/>
      <c r="GL64" s="286"/>
      <c r="GM64" s="286"/>
      <c r="GN64" s="286"/>
      <c r="GO64" s="286"/>
      <c r="GP64" s="286"/>
      <c r="GQ64" s="286"/>
      <c r="GR64" s="286"/>
      <c r="GS64" s="286"/>
      <c r="GT64" s="286"/>
      <c r="GU64" s="286"/>
      <c r="GV64" s="286"/>
      <c r="GW64" s="286"/>
      <c r="GX64" s="286"/>
      <c r="GY64" s="286"/>
      <c r="GZ64" s="286"/>
      <c r="HA64" s="286"/>
      <c r="HB64" s="286"/>
      <c r="HC64" s="286"/>
      <c r="HD64" s="286"/>
      <c r="HE64" s="286"/>
      <c r="HF64" s="286"/>
      <c r="HG64" s="286"/>
      <c r="HH64" s="286"/>
      <c r="HI64" s="286"/>
      <c r="HJ64" s="286"/>
      <c r="HK64" s="286"/>
      <c r="HL64" s="286"/>
      <c r="HM64" s="286"/>
      <c r="HN64" s="286"/>
      <c r="HO64" s="286"/>
      <c r="HP64" s="286"/>
      <c r="HQ64" s="286"/>
      <c r="HR64" s="286"/>
      <c r="HS64" s="286"/>
      <c r="HT64" s="286"/>
      <c r="HU64" s="286"/>
      <c r="HV64" s="286"/>
      <c r="HW64" s="286"/>
      <c r="HX64" s="286"/>
      <c r="HY64" s="286"/>
      <c r="HZ64" s="286"/>
      <c r="IA64" s="286"/>
      <c r="IB64" s="286"/>
      <c r="IC64" s="286"/>
      <c r="ID64" s="286"/>
      <c r="IE64" s="286"/>
      <c r="IF64" s="286"/>
      <c r="IG64" s="286"/>
      <c r="IH64" s="286"/>
      <c r="II64" s="286"/>
      <c r="IJ64" s="286"/>
      <c r="IK64" s="286"/>
      <c r="IL64" s="286"/>
      <c r="IM64" s="286"/>
      <c r="IN64" s="286"/>
      <c r="IO64" s="286"/>
      <c r="IP64" s="286"/>
      <c r="IQ64" s="286"/>
      <c r="IR64" s="286"/>
      <c r="IS64" s="286"/>
      <c r="IT64" s="286"/>
      <c r="IU64" s="286"/>
      <c r="IV64" s="286"/>
      <c r="IW64" s="286"/>
      <c r="IX64" s="286"/>
      <c r="IY64" s="286"/>
      <c r="IZ64" s="286"/>
      <c r="JA64" s="286"/>
      <c r="JB64" s="286"/>
      <c r="JC64" s="286"/>
      <c r="JD64" s="286"/>
      <c r="JE64" s="286"/>
      <c r="JF64" s="286"/>
      <c r="JG64" s="286"/>
      <c r="JH64" s="286"/>
      <c r="JI64" s="287">
        <f t="shared" si="0"/>
        <v>0</v>
      </c>
      <c r="JJ64" s="301"/>
      <c r="JK64" s="288"/>
      <c r="JL64" s="286">
        <f t="shared" si="1"/>
        <v>0</v>
      </c>
      <c r="JM64" s="290"/>
      <c r="JN64" s="289"/>
      <c r="JO64" s="289"/>
      <c r="JP64" s="286"/>
    </row>
    <row r="65" spans="1:276" ht="15.6" x14ac:dyDescent="0.3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6"/>
      <c r="AT65" s="286"/>
      <c r="AU65" s="286"/>
      <c r="AV65" s="286"/>
      <c r="AW65" s="286"/>
      <c r="AX65" s="286"/>
      <c r="AY65" s="286"/>
      <c r="AZ65" s="286"/>
      <c r="BA65" s="286"/>
      <c r="BB65" s="286"/>
      <c r="BC65" s="286"/>
      <c r="BD65" s="286"/>
      <c r="BE65" s="286"/>
      <c r="BF65" s="286"/>
      <c r="BG65" s="286"/>
      <c r="BH65" s="286"/>
      <c r="BI65" s="286"/>
      <c r="BJ65" s="286"/>
      <c r="BK65" s="286"/>
      <c r="BL65" s="286"/>
      <c r="BM65" s="286"/>
      <c r="BN65" s="286"/>
      <c r="BO65" s="286"/>
      <c r="BP65" s="286"/>
      <c r="BQ65" s="286"/>
      <c r="BR65" s="286"/>
      <c r="BS65" s="286"/>
      <c r="BT65" s="286"/>
      <c r="BU65" s="286"/>
      <c r="BV65" s="286"/>
      <c r="BW65" s="286"/>
      <c r="BX65" s="286"/>
      <c r="BY65" s="286"/>
      <c r="BZ65" s="286"/>
      <c r="CA65" s="286"/>
      <c r="CB65" s="286"/>
      <c r="CC65" s="286"/>
      <c r="CD65" s="286"/>
      <c r="CE65" s="286"/>
      <c r="CF65" s="286"/>
      <c r="CG65" s="286"/>
      <c r="CH65" s="286"/>
      <c r="CI65" s="286"/>
      <c r="CJ65" s="286"/>
      <c r="CK65" s="286"/>
      <c r="CL65" s="286"/>
      <c r="CM65" s="286"/>
      <c r="CN65" s="286"/>
      <c r="CO65" s="286"/>
      <c r="CP65" s="286"/>
      <c r="CQ65" s="286"/>
      <c r="CR65" s="286"/>
      <c r="CS65" s="286"/>
      <c r="CT65" s="286"/>
      <c r="CU65" s="286"/>
      <c r="CV65" s="286"/>
      <c r="CW65" s="286"/>
      <c r="CX65" s="286"/>
      <c r="CY65" s="286"/>
      <c r="CZ65" s="286"/>
      <c r="DA65" s="286"/>
      <c r="DB65" s="286"/>
      <c r="DC65" s="286"/>
      <c r="DD65" s="286"/>
      <c r="DE65" s="286"/>
      <c r="DF65" s="286"/>
      <c r="DG65" s="286"/>
      <c r="DH65" s="286"/>
      <c r="DI65" s="286"/>
      <c r="DJ65" s="286"/>
      <c r="DK65" s="286"/>
      <c r="DL65" s="286"/>
      <c r="DM65" s="286"/>
      <c r="DN65" s="286"/>
      <c r="DO65" s="286"/>
      <c r="DP65" s="286"/>
      <c r="DQ65" s="286"/>
      <c r="DR65" s="286"/>
      <c r="DS65" s="286"/>
      <c r="DT65" s="286"/>
      <c r="DU65" s="286"/>
      <c r="DV65" s="286"/>
      <c r="DW65" s="286"/>
      <c r="DX65" s="286"/>
      <c r="DY65" s="286"/>
      <c r="DZ65" s="286"/>
      <c r="EA65" s="286"/>
      <c r="EB65" s="286"/>
      <c r="EC65" s="286"/>
      <c r="ED65" s="286"/>
      <c r="EE65" s="286"/>
      <c r="EF65" s="286"/>
      <c r="EG65" s="286"/>
      <c r="EH65" s="286"/>
      <c r="EI65" s="286"/>
      <c r="EJ65" s="286"/>
      <c r="EK65" s="286"/>
      <c r="EL65" s="286"/>
      <c r="EM65" s="286"/>
      <c r="EN65" s="286"/>
      <c r="EO65" s="286"/>
      <c r="EP65" s="286"/>
      <c r="EQ65" s="286"/>
      <c r="ER65" s="286"/>
      <c r="ES65" s="286"/>
      <c r="ET65" s="286"/>
      <c r="EU65" s="286"/>
      <c r="EV65" s="286"/>
      <c r="EW65" s="286"/>
      <c r="EX65" s="286"/>
      <c r="EY65" s="286"/>
      <c r="EZ65" s="286"/>
      <c r="FA65" s="286"/>
      <c r="FB65" s="286"/>
      <c r="FC65" s="286"/>
      <c r="FD65" s="286"/>
      <c r="FE65" s="286"/>
      <c r="FF65" s="286"/>
      <c r="FG65" s="286"/>
      <c r="FH65" s="286"/>
      <c r="FI65" s="286"/>
      <c r="FJ65" s="286"/>
      <c r="FK65" s="286"/>
      <c r="FL65" s="286"/>
      <c r="FM65" s="286"/>
      <c r="FN65" s="286"/>
      <c r="FO65" s="286"/>
      <c r="FP65" s="286"/>
      <c r="FQ65" s="286"/>
      <c r="FR65" s="286"/>
      <c r="FS65" s="286"/>
      <c r="FT65" s="286"/>
      <c r="FU65" s="286"/>
      <c r="FV65" s="286"/>
      <c r="FW65" s="286"/>
      <c r="FX65" s="286"/>
      <c r="FY65" s="286"/>
      <c r="FZ65" s="286"/>
      <c r="GA65" s="286"/>
      <c r="GB65" s="286"/>
      <c r="GC65" s="286"/>
      <c r="GD65" s="286"/>
      <c r="GE65" s="286"/>
      <c r="GF65" s="286"/>
      <c r="GG65" s="286"/>
      <c r="GH65" s="286"/>
      <c r="GI65" s="286"/>
      <c r="GJ65" s="286"/>
      <c r="GK65" s="286"/>
      <c r="GL65" s="286"/>
      <c r="GM65" s="286"/>
      <c r="GN65" s="286"/>
      <c r="GO65" s="286"/>
      <c r="GP65" s="286"/>
      <c r="GQ65" s="286"/>
      <c r="GR65" s="286"/>
      <c r="GS65" s="286"/>
      <c r="GT65" s="286"/>
      <c r="GU65" s="286"/>
      <c r="GV65" s="286"/>
      <c r="GW65" s="286"/>
      <c r="GX65" s="286"/>
      <c r="GY65" s="286"/>
      <c r="GZ65" s="286"/>
      <c r="HA65" s="286"/>
      <c r="HB65" s="286"/>
      <c r="HC65" s="286"/>
      <c r="HD65" s="286"/>
      <c r="HE65" s="286"/>
      <c r="HF65" s="286"/>
      <c r="HG65" s="286"/>
      <c r="HH65" s="286"/>
      <c r="HI65" s="286"/>
      <c r="HJ65" s="286"/>
      <c r="HK65" s="286"/>
      <c r="HL65" s="286"/>
      <c r="HM65" s="286"/>
      <c r="HN65" s="286"/>
      <c r="HO65" s="286"/>
      <c r="HP65" s="286"/>
      <c r="HQ65" s="286"/>
      <c r="HR65" s="286"/>
      <c r="HS65" s="286"/>
      <c r="HT65" s="286"/>
      <c r="HU65" s="286"/>
      <c r="HV65" s="286"/>
      <c r="HW65" s="286"/>
      <c r="HX65" s="286"/>
      <c r="HY65" s="286"/>
      <c r="HZ65" s="286"/>
      <c r="IA65" s="286"/>
      <c r="IB65" s="286"/>
      <c r="IC65" s="286"/>
      <c r="ID65" s="286"/>
      <c r="IE65" s="286"/>
      <c r="IF65" s="286"/>
      <c r="IG65" s="286"/>
      <c r="IH65" s="286"/>
      <c r="II65" s="286"/>
      <c r="IJ65" s="286"/>
      <c r="IK65" s="286"/>
      <c r="IL65" s="286"/>
      <c r="IM65" s="286"/>
      <c r="IN65" s="286"/>
      <c r="IO65" s="286"/>
      <c r="IP65" s="286"/>
      <c r="IQ65" s="286"/>
      <c r="IR65" s="286"/>
      <c r="IS65" s="286"/>
      <c r="IT65" s="286"/>
      <c r="IU65" s="286"/>
      <c r="IV65" s="286"/>
      <c r="IW65" s="286"/>
      <c r="IX65" s="286"/>
      <c r="IY65" s="286"/>
      <c r="IZ65" s="286"/>
      <c r="JA65" s="286"/>
      <c r="JB65" s="286"/>
      <c r="JC65" s="286"/>
      <c r="JD65" s="286"/>
      <c r="JE65" s="286"/>
      <c r="JF65" s="286"/>
      <c r="JG65" s="286"/>
      <c r="JH65" s="286"/>
      <c r="JI65" s="287">
        <f t="shared" si="0"/>
        <v>0</v>
      </c>
      <c r="JJ65" s="301"/>
      <c r="JK65" s="288"/>
      <c r="JL65" s="286">
        <f t="shared" si="1"/>
        <v>0</v>
      </c>
      <c r="JM65" s="290"/>
      <c r="JN65" s="289"/>
      <c r="JO65" s="289"/>
      <c r="JP65" s="286"/>
    </row>
    <row r="66" spans="1:276" ht="15.6" x14ac:dyDescent="0.3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6"/>
      <c r="AU66" s="286"/>
      <c r="AV66" s="286"/>
      <c r="AW66" s="286"/>
      <c r="AX66" s="286"/>
      <c r="AY66" s="286"/>
      <c r="AZ66" s="286"/>
      <c r="BA66" s="286"/>
      <c r="BB66" s="286"/>
      <c r="BC66" s="286"/>
      <c r="BD66" s="286"/>
      <c r="BE66" s="286"/>
      <c r="BF66" s="286"/>
      <c r="BG66" s="286"/>
      <c r="BH66" s="286"/>
      <c r="BI66" s="286"/>
      <c r="BJ66" s="286"/>
      <c r="BK66" s="286"/>
      <c r="BL66" s="286"/>
      <c r="BM66" s="286"/>
      <c r="BN66" s="286"/>
      <c r="BO66" s="286"/>
      <c r="BP66" s="286"/>
      <c r="BQ66" s="286"/>
      <c r="BR66" s="286"/>
      <c r="BS66" s="286"/>
      <c r="BT66" s="286"/>
      <c r="BU66" s="286"/>
      <c r="BV66" s="286"/>
      <c r="BW66" s="286"/>
      <c r="BX66" s="286"/>
      <c r="BY66" s="286"/>
      <c r="BZ66" s="286"/>
      <c r="CA66" s="286"/>
      <c r="CB66" s="286"/>
      <c r="CC66" s="286"/>
      <c r="CD66" s="286"/>
      <c r="CE66" s="286"/>
      <c r="CF66" s="286"/>
      <c r="CG66" s="286"/>
      <c r="CH66" s="286"/>
      <c r="CI66" s="286"/>
      <c r="CJ66" s="286"/>
      <c r="CK66" s="286"/>
      <c r="CL66" s="286"/>
      <c r="CM66" s="286"/>
      <c r="CN66" s="286"/>
      <c r="CO66" s="286"/>
      <c r="CP66" s="286"/>
      <c r="CQ66" s="286"/>
      <c r="CR66" s="286"/>
      <c r="CS66" s="286"/>
      <c r="CT66" s="286"/>
      <c r="CU66" s="286"/>
      <c r="CV66" s="286"/>
      <c r="CW66" s="286"/>
      <c r="CX66" s="286"/>
      <c r="CY66" s="286"/>
      <c r="CZ66" s="286"/>
      <c r="DA66" s="286"/>
      <c r="DB66" s="286"/>
      <c r="DC66" s="286"/>
      <c r="DD66" s="286"/>
      <c r="DE66" s="286"/>
      <c r="DF66" s="286"/>
      <c r="DG66" s="286"/>
      <c r="DH66" s="286"/>
      <c r="DI66" s="286"/>
      <c r="DJ66" s="286"/>
      <c r="DK66" s="286"/>
      <c r="DL66" s="286"/>
      <c r="DM66" s="286"/>
      <c r="DN66" s="286"/>
      <c r="DO66" s="286"/>
      <c r="DP66" s="286"/>
      <c r="DQ66" s="286"/>
      <c r="DR66" s="286"/>
      <c r="DS66" s="286"/>
      <c r="DT66" s="286"/>
      <c r="DU66" s="286"/>
      <c r="DV66" s="286"/>
      <c r="DW66" s="286"/>
      <c r="DX66" s="286"/>
      <c r="DY66" s="286"/>
      <c r="DZ66" s="286"/>
      <c r="EA66" s="286"/>
      <c r="EB66" s="286"/>
      <c r="EC66" s="286"/>
      <c r="ED66" s="286"/>
      <c r="EE66" s="286"/>
      <c r="EF66" s="286"/>
      <c r="EG66" s="286"/>
      <c r="EH66" s="286"/>
      <c r="EI66" s="286"/>
      <c r="EJ66" s="286"/>
      <c r="EK66" s="286"/>
      <c r="EL66" s="286"/>
      <c r="EM66" s="286"/>
      <c r="EN66" s="286"/>
      <c r="EO66" s="286"/>
      <c r="EP66" s="286"/>
      <c r="EQ66" s="286"/>
      <c r="ER66" s="286"/>
      <c r="ES66" s="286"/>
      <c r="ET66" s="286"/>
      <c r="EU66" s="286"/>
      <c r="EV66" s="286"/>
      <c r="EW66" s="286"/>
      <c r="EX66" s="286"/>
      <c r="EY66" s="286"/>
      <c r="EZ66" s="286"/>
      <c r="FA66" s="286"/>
      <c r="FB66" s="286"/>
      <c r="FC66" s="286"/>
      <c r="FD66" s="286"/>
      <c r="FE66" s="286"/>
      <c r="FF66" s="286"/>
      <c r="FG66" s="286"/>
      <c r="FH66" s="286"/>
      <c r="FI66" s="286"/>
      <c r="FJ66" s="286"/>
      <c r="FK66" s="286"/>
      <c r="FL66" s="286"/>
      <c r="FM66" s="286"/>
      <c r="FN66" s="286"/>
      <c r="FO66" s="286"/>
      <c r="FP66" s="286"/>
      <c r="FQ66" s="286"/>
      <c r="FR66" s="286"/>
      <c r="FS66" s="286"/>
      <c r="FT66" s="286"/>
      <c r="FU66" s="286"/>
      <c r="FV66" s="286"/>
      <c r="FW66" s="286"/>
      <c r="FX66" s="286"/>
      <c r="FY66" s="286"/>
      <c r="FZ66" s="286"/>
      <c r="GA66" s="286"/>
      <c r="GB66" s="286"/>
      <c r="GC66" s="286"/>
      <c r="GD66" s="286"/>
      <c r="GE66" s="286"/>
      <c r="GF66" s="286"/>
      <c r="GG66" s="286"/>
      <c r="GH66" s="286"/>
      <c r="GI66" s="286"/>
      <c r="GJ66" s="286"/>
      <c r="GK66" s="286"/>
      <c r="GL66" s="286"/>
      <c r="GM66" s="286"/>
      <c r="GN66" s="286"/>
      <c r="GO66" s="286"/>
      <c r="GP66" s="286"/>
      <c r="GQ66" s="286"/>
      <c r="GR66" s="286"/>
      <c r="GS66" s="286"/>
      <c r="GT66" s="286"/>
      <c r="GU66" s="286"/>
      <c r="GV66" s="286"/>
      <c r="GW66" s="286"/>
      <c r="GX66" s="286"/>
      <c r="GY66" s="286"/>
      <c r="GZ66" s="286"/>
      <c r="HA66" s="286"/>
      <c r="HB66" s="286"/>
      <c r="HC66" s="286"/>
      <c r="HD66" s="286"/>
      <c r="HE66" s="286"/>
      <c r="HF66" s="286"/>
      <c r="HG66" s="286"/>
      <c r="HH66" s="286"/>
      <c r="HI66" s="286"/>
      <c r="HJ66" s="286"/>
      <c r="HK66" s="286"/>
      <c r="HL66" s="286"/>
      <c r="HM66" s="286"/>
      <c r="HN66" s="286"/>
      <c r="HO66" s="286"/>
      <c r="HP66" s="286"/>
      <c r="HQ66" s="286"/>
      <c r="HR66" s="286"/>
      <c r="HS66" s="286"/>
      <c r="HT66" s="286"/>
      <c r="HU66" s="286"/>
      <c r="HV66" s="286"/>
      <c r="HW66" s="286"/>
      <c r="HX66" s="286"/>
      <c r="HY66" s="286"/>
      <c r="HZ66" s="286"/>
      <c r="IA66" s="286"/>
      <c r="IB66" s="286"/>
      <c r="IC66" s="286"/>
      <c r="ID66" s="286"/>
      <c r="IE66" s="286"/>
      <c r="IF66" s="286"/>
      <c r="IG66" s="286"/>
      <c r="IH66" s="286"/>
      <c r="II66" s="286"/>
      <c r="IJ66" s="286"/>
      <c r="IK66" s="286"/>
      <c r="IL66" s="286"/>
      <c r="IM66" s="286"/>
      <c r="IN66" s="286"/>
      <c r="IO66" s="286"/>
      <c r="IP66" s="286"/>
      <c r="IQ66" s="286"/>
      <c r="IR66" s="286"/>
      <c r="IS66" s="286"/>
      <c r="IT66" s="286"/>
      <c r="IU66" s="286"/>
      <c r="IV66" s="286"/>
      <c r="IW66" s="286"/>
      <c r="IX66" s="286"/>
      <c r="IY66" s="286"/>
      <c r="IZ66" s="286"/>
      <c r="JA66" s="286"/>
      <c r="JB66" s="286"/>
      <c r="JC66" s="286"/>
      <c r="JD66" s="286"/>
      <c r="JE66" s="286"/>
      <c r="JF66" s="286"/>
      <c r="JG66" s="286"/>
      <c r="JH66" s="286"/>
      <c r="JI66" s="287">
        <f t="shared" si="0"/>
        <v>0</v>
      </c>
      <c r="JJ66" s="301"/>
      <c r="JK66" s="288"/>
      <c r="JL66" s="286">
        <f t="shared" si="1"/>
        <v>0</v>
      </c>
      <c r="JM66" s="290"/>
      <c r="JN66" s="289"/>
      <c r="JO66" s="289"/>
      <c r="JP66" s="286"/>
    </row>
    <row r="67" spans="1:276" ht="15.6" x14ac:dyDescent="0.3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  <c r="AV67" s="286"/>
      <c r="AW67" s="286"/>
      <c r="AX67" s="286"/>
      <c r="AY67" s="286"/>
      <c r="AZ67" s="286"/>
      <c r="BA67" s="286"/>
      <c r="BB67" s="286"/>
      <c r="BC67" s="286"/>
      <c r="BD67" s="286"/>
      <c r="BE67" s="286"/>
      <c r="BF67" s="286"/>
      <c r="BG67" s="286"/>
      <c r="BH67" s="286"/>
      <c r="BI67" s="286"/>
      <c r="BJ67" s="286"/>
      <c r="BK67" s="286"/>
      <c r="BL67" s="286"/>
      <c r="BM67" s="286"/>
      <c r="BN67" s="286"/>
      <c r="BO67" s="286"/>
      <c r="BP67" s="286"/>
      <c r="BQ67" s="286"/>
      <c r="BR67" s="286"/>
      <c r="BS67" s="286"/>
      <c r="BT67" s="286"/>
      <c r="BU67" s="286"/>
      <c r="BV67" s="286"/>
      <c r="BW67" s="286"/>
      <c r="BX67" s="286"/>
      <c r="BY67" s="286"/>
      <c r="BZ67" s="286"/>
      <c r="CA67" s="286"/>
      <c r="CB67" s="286"/>
      <c r="CC67" s="286"/>
      <c r="CD67" s="286"/>
      <c r="CE67" s="286"/>
      <c r="CF67" s="286"/>
      <c r="CG67" s="286"/>
      <c r="CH67" s="286"/>
      <c r="CI67" s="286"/>
      <c r="CJ67" s="286"/>
      <c r="CK67" s="286"/>
      <c r="CL67" s="286"/>
      <c r="CM67" s="286"/>
      <c r="CN67" s="286"/>
      <c r="CO67" s="286"/>
      <c r="CP67" s="286"/>
      <c r="CQ67" s="286"/>
      <c r="CR67" s="286"/>
      <c r="CS67" s="286"/>
      <c r="CT67" s="286"/>
      <c r="CU67" s="286"/>
      <c r="CV67" s="286"/>
      <c r="CW67" s="286"/>
      <c r="CX67" s="286"/>
      <c r="CY67" s="286"/>
      <c r="CZ67" s="286"/>
      <c r="DA67" s="286"/>
      <c r="DB67" s="286"/>
      <c r="DC67" s="286"/>
      <c r="DD67" s="286"/>
      <c r="DE67" s="286"/>
      <c r="DF67" s="286"/>
      <c r="DG67" s="286"/>
      <c r="DH67" s="286"/>
      <c r="DI67" s="286"/>
      <c r="DJ67" s="286"/>
      <c r="DK67" s="286"/>
      <c r="DL67" s="286"/>
      <c r="DM67" s="286"/>
      <c r="DN67" s="286"/>
      <c r="DO67" s="286"/>
      <c r="DP67" s="286"/>
      <c r="DQ67" s="286"/>
      <c r="DR67" s="286"/>
      <c r="DS67" s="286"/>
      <c r="DT67" s="286"/>
      <c r="DU67" s="286"/>
      <c r="DV67" s="286"/>
      <c r="DW67" s="286"/>
      <c r="DX67" s="286"/>
      <c r="DY67" s="286"/>
      <c r="DZ67" s="286"/>
      <c r="EA67" s="286"/>
      <c r="EB67" s="286"/>
      <c r="EC67" s="286"/>
      <c r="ED67" s="286"/>
      <c r="EE67" s="286"/>
      <c r="EF67" s="286"/>
      <c r="EG67" s="286"/>
      <c r="EH67" s="286"/>
      <c r="EI67" s="286"/>
      <c r="EJ67" s="286"/>
      <c r="EK67" s="286"/>
      <c r="EL67" s="286"/>
      <c r="EM67" s="286"/>
      <c r="EN67" s="286"/>
      <c r="EO67" s="286"/>
      <c r="EP67" s="286"/>
      <c r="EQ67" s="286"/>
      <c r="ER67" s="286"/>
      <c r="ES67" s="286"/>
      <c r="ET67" s="286"/>
      <c r="EU67" s="286"/>
      <c r="EV67" s="286"/>
      <c r="EW67" s="286"/>
      <c r="EX67" s="286"/>
      <c r="EY67" s="286"/>
      <c r="EZ67" s="286"/>
      <c r="FA67" s="286"/>
      <c r="FB67" s="286"/>
      <c r="FC67" s="286"/>
      <c r="FD67" s="286"/>
      <c r="FE67" s="286"/>
      <c r="FF67" s="286"/>
      <c r="FG67" s="286"/>
      <c r="FH67" s="286"/>
      <c r="FI67" s="286"/>
      <c r="FJ67" s="286"/>
      <c r="FK67" s="286"/>
      <c r="FL67" s="286"/>
      <c r="FM67" s="286"/>
      <c r="FN67" s="286"/>
      <c r="FO67" s="286"/>
      <c r="FP67" s="286"/>
      <c r="FQ67" s="286"/>
      <c r="FR67" s="286"/>
      <c r="FS67" s="286"/>
      <c r="FT67" s="286"/>
      <c r="FU67" s="286"/>
      <c r="FV67" s="286"/>
      <c r="FW67" s="286"/>
      <c r="FX67" s="286"/>
      <c r="FY67" s="286"/>
      <c r="FZ67" s="286"/>
      <c r="GA67" s="286"/>
      <c r="GB67" s="286"/>
      <c r="GC67" s="286"/>
      <c r="GD67" s="286"/>
      <c r="GE67" s="286"/>
      <c r="GF67" s="286"/>
      <c r="GG67" s="286"/>
      <c r="GH67" s="286"/>
      <c r="GI67" s="286"/>
      <c r="GJ67" s="286"/>
      <c r="GK67" s="286"/>
      <c r="GL67" s="286"/>
      <c r="GM67" s="286"/>
      <c r="GN67" s="286"/>
      <c r="GO67" s="286"/>
      <c r="GP67" s="286"/>
      <c r="GQ67" s="286"/>
      <c r="GR67" s="286"/>
      <c r="GS67" s="286"/>
      <c r="GT67" s="286"/>
      <c r="GU67" s="286"/>
      <c r="GV67" s="286"/>
      <c r="GW67" s="286"/>
      <c r="GX67" s="286"/>
      <c r="GY67" s="286"/>
      <c r="GZ67" s="286"/>
      <c r="HA67" s="286"/>
      <c r="HB67" s="286"/>
      <c r="HC67" s="286"/>
      <c r="HD67" s="286"/>
      <c r="HE67" s="286"/>
      <c r="HF67" s="286"/>
      <c r="HG67" s="286"/>
      <c r="HH67" s="286"/>
      <c r="HI67" s="286"/>
      <c r="HJ67" s="286"/>
      <c r="HK67" s="286"/>
      <c r="HL67" s="286"/>
      <c r="HM67" s="286"/>
      <c r="HN67" s="286"/>
      <c r="HO67" s="286"/>
      <c r="HP67" s="286"/>
      <c r="HQ67" s="286"/>
      <c r="HR67" s="286"/>
      <c r="HS67" s="286"/>
      <c r="HT67" s="286"/>
      <c r="HU67" s="286"/>
      <c r="HV67" s="286"/>
      <c r="HW67" s="286"/>
      <c r="HX67" s="286"/>
      <c r="HY67" s="286"/>
      <c r="HZ67" s="286"/>
      <c r="IA67" s="286"/>
      <c r="IB67" s="286"/>
      <c r="IC67" s="286"/>
      <c r="ID67" s="286"/>
      <c r="IE67" s="286"/>
      <c r="IF67" s="286"/>
      <c r="IG67" s="286"/>
      <c r="IH67" s="286"/>
      <c r="II67" s="286"/>
      <c r="IJ67" s="286"/>
      <c r="IK67" s="286"/>
      <c r="IL67" s="286"/>
      <c r="IM67" s="286"/>
      <c r="IN67" s="286"/>
      <c r="IO67" s="286"/>
      <c r="IP67" s="286"/>
      <c r="IQ67" s="286"/>
      <c r="IR67" s="286"/>
      <c r="IS67" s="286"/>
      <c r="IT67" s="286"/>
      <c r="IU67" s="286"/>
      <c r="IV67" s="286"/>
      <c r="IW67" s="286"/>
      <c r="IX67" s="286"/>
      <c r="IY67" s="286"/>
      <c r="IZ67" s="286"/>
      <c r="JA67" s="286"/>
      <c r="JB67" s="286"/>
      <c r="JC67" s="286"/>
      <c r="JD67" s="286"/>
      <c r="JE67" s="286"/>
      <c r="JF67" s="286"/>
      <c r="JG67" s="286"/>
      <c r="JH67" s="286"/>
      <c r="JI67" s="287">
        <f t="shared" si="0"/>
        <v>0</v>
      </c>
      <c r="JJ67" s="301"/>
      <c r="JK67" s="288"/>
      <c r="JL67" s="286">
        <f>+JI67-JK67</f>
        <v>0</v>
      </c>
      <c r="JM67" s="290"/>
      <c r="JN67" s="289"/>
      <c r="JO67" s="289"/>
      <c r="JP67" s="286"/>
    </row>
    <row r="68" spans="1:276" ht="15.6" x14ac:dyDescent="0.3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286"/>
      <c r="AO68" s="286"/>
      <c r="AP68" s="286"/>
      <c r="AQ68" s="286"/>
      <c r="AR68" s="286"/>
      <c r="AS68" s="286"/>
      <c r="AT68" s="286"/>
      <c r="AU68" s="286"/>
      <c r="AV68" s="286"/>
      <c r="AW68" s="286"/>
      <c r="AX68" s="286"/>
      <c r="AY68" s="286"/>
      <c r="AZ68" s="286"/>
      <c r="BA68" s="286"/>
      <c r="BB68" s="286"/>
      <c r="BC68" s="286"/>
      <c r="BD68" s="286"/>
      <c r="BE68" s="286"/>
      <c r="BF68" s="286"/>
      <c r="BG68" s="286"/>
      <c r="BH68" s="286"/>
      <c r="BI68" s="286"/>
      <c r="BJ68" s="286"/>
      <c r="BK68" s="286"/>
      <c r="BL68" s="286"/>
      <c r="BM68" s="286"/>
      <c r="BN68" s="286"/>
      <c r="BO68" s="286"/>
      <c r="BP68" s="286"/>
      <c r="BQ68" s="286"/>
      <c r="BR68" s="286"/>
      <c r="BS68" s="286"/>
      <c r="BT68" s="286"/>
      <c r="BU68" s="286"/>
      <c r="BV68" s="286"/>
      <c r="BW68" s="286"/>
      <c r="BX68" s="286"/>
      <c r="BY68" s="286"/>
      <c r="BZ68" s="286"/>
      <c r="CA68" s="286"/>
      <c r="CB68" s="286"/>
      <c r="CC68" s="286"/>
      <c r="CD68" s="286"/>
      <c r="CE68" s="286"/>
      <c r="CF68" s="286"/>
      <c r="CG68" s="286"/>
      <c r="CH68" s="286"/>
      <c r="CI68" s="286"/>
      <c r="CJ68" s="286"/>
      <c r="CK68" s="286"/>
      <c r="CL68" s="286"/>
      <c r="CM68" s="286"/>
      <c r="CN68" s="286"/>
      <c r="CO68" s="286"/>
      <c r="CP68" s="286"/>
      <c r="CQ68" s="286"/>
      <c r="CR68" s="286"/>
      <c r="CS68" s="286"/>
      <c r="CT68" s="286"/>
      <c r="CU68" s="286"/>
      <c r="CV68" s="286"/>
      <c r="CW68" s="286"/>
      <c r="CX68" s="286"/>
      <c r="CY68" s="286"/>
      <c r="CZ68" s="286"/>
      <c r="DA68" s="286"/>
      <c r="DB68" s="286"/>
      <c r="DC68" s="286"/>
      <c r="DD68" s="286"/>
      <c r="DE68" s="286"/>
      <c r="DF68" s="286"/>
      <c r="DG68" s="286"/>
      <c r="DH68" s="286"/>
      <c r="DI68" s="286"/>
      <c r="DJ68" s="286"/>
      <c r="DK68" s="286"/>
      <c r="DL68" s="286"/>
      <c r="DM68" s="286"/>
      <c r="DN68" s="286"/>
      <c r="DO68" s="286"/>
      <c r="DP68" s="286"/>
      <c r="DQ68" s="286"/>
      <c r="DR68" s="286"/>
      <c r="DS68" s="286"/>
      <c r="DT68" s="286"/>
      <c r="DU68" s="286"/>
      <c r="DV68" s="286"/>
      <c r="DW68" s="286"/>
      <c r="DX68" s="286"/>
      <c r="DY68" s="286"/>
      <c r="DZ68" s="286"/>
      <c r="EA68" s="286"/>
      <c r="EB68" s="286"/>
      <c r="EC68" s="286"/>
      <c r="ED68" s="286"/>
      <c r="EE68" s="286"/>
      <c r="EF68" s="286"/>
      <c r="EG68" s="286"/>
      <c r="EH68" s="286"/>
      <c r="EI68" s="286"/>
      <c r="EJ68" s="286"/>
      <c r="EK68" s="286"/>
      <c r="EL68" s="286"/>
      <c r="EM68" s="286"/>
      <c r="EN68" s="286"/>
      <c r="EO68" s="286"/>
      <c r="EP68" s="286"/>
      <c r="EQ68" s="286"/>
      <c r="ER68" s="286"/>
      <c r="ES68" s="286"/>
      <c r="ET68" s="286"/>
      <c r="EU68" s="286"/>
      <c r="EV68" s="286"/>
      <c r="EW68" s="286"/>
      <c r="EX68" s="286"/>
      <c r="EY68" s="286"/>
      <c r="EZ68" s="286"/>
      <c r="FA68" s="286"/>
      <c r="FB68" s="286"/>
      <c r="FC68" s="286"/>
      <c r="FD68" s="286"/>
      <c r="FE68" s="286"/>
      <c r="FF68" s="286"/>
      <c r="FG68" s="286"/>
      <c r="FH68" s="286"/>
      <c r="FI68" s="286"/>
      <c r="FJ68" s="286"/>
      <c r="FK68" s="286"/>
      <c r="FL68" s="286"/>
      <c r="FM68" s="286"/>
      <c r="FN68" s="286"/>
      <c r="FO68" s="286"/>
      <c r="FP68" s="286"/>
      <c r="FQ68" s="286"/>
      <c r="FR68" s="286"/>
      <c r="FS68" s="286"/>
      <c r="FT68" s="286"/>
      <c r="FU68" s="286"/>
      <c r="FV68" s="286"/>
      <c r="FW68" s="286"/>
      <c r="FX68" s="286"/>
      <c r="FY68" s="286"/>
      <c r="FZ68" s="286"/>
      <c r="GA68" s="292"/>
      <c r="GB68" s="286"/>
      <c r="GC68" s="286"/>
      <c r="GD68" s="286"/>
      <c r="GE68" s="286"/>
      <c r="GF68" s="286"/>
      <c r="GG68" s="286"/>
      <c r="GH68" s="286"/>
      <c r="GI68" s="286"/>
      <c r="GJ68" s="286"/>
      <c r="GK68" s="286"/>
      <c r="GL68" s="286"/>
      <c r="GM68" s="286"/>
      <c r="GN68" s="286"/>
      <c r="GO68" s="286"/>
      <c r="GP68" s="286"/>
      <c r="GQ68" s="286"/>
      <c r="GR68" s="286"/>
      <c r="GS68" s="286"/>
      <c r="GT68" s="286"/>
      <c r="GU68" s="286"/>
      <c r="GV68" s="286"/>
      <c r="GW68" s="286"/>
      <c r="GX68" s="286"/>
      <c r="GY68" s="286"/>
      <c r="GZ68" s="286"/>
      <c r="HA68" s="286"/>
      <c r="HB68" s="286"/>
      <c r="HC68" s="286"/>
      <c r="HD68" s="286"/>
      <c r="HE68" s="286"/>
      <c r="HF68" s="286"/>
      <c r="HG68" s="286"/>
      <c r="HH68" s="286"/>
      <c r="HI68" s="286"/>
      <c r="HJ68" s="286"/>
      <c r="HK68" s="286"/>
      <c r="HL68" s="286"/>
      <c r="HM68" s="286"/>
      <c r="HN68" s="286"/>
      <c r="HO68" s="286"/>
      <c r="HP68" s="286"/>
      <c r="HQ68" s="286"/>
      <c r="HR68" s="286"/>
      <c r="HS68" s="286"/>
      <c r="HT68" s="286"/>
      <c r="HU68" s="286"/>
      <c r="HV68" s="286"/>
      <c r="HW68" s="286"/>
      <c r="HX68" s="286"/>
      <c r="HY68" s="286"/>
      <c r="HZ68" s="286"/>
      <c r="IA68" s="286"/>
      <c r="IB68" s="286"/>
      <c r="IC68" s="286"/>
      <c r="ID68" s="286"/>
      <c r="IE68" s="286"/>
      <c r="IF68" s="286"/>
      <c r="IG68" s="286"/>
      <c r="IH68" s="286"/>
      <c r="II68" s="286"/>
      <c r="IJ68" s="286"/>
      <c r="IK68" s="286"/>
      <c r="IL68" s="286"/>
      <c r="IM68" s="286"/>
      <c r="IN68" s="286"/>
      <c r="IO68" s="286"/>
      <c r="IP68" s="286"/>
      <c r="IQ68" s="286"/>
      <c r="IR68" s="286"/>
      <c r="IS68" s="286"/>
      <c r="IT68" s="286"/>
      <c r="IU68" s="286"/>
      <c r="IV68" s="286"/>
      <c r="IW68" s="286"/>
      <c r="IX68" s="286"/>
      <c r="IY68" s="286"/>
      <c r="IZ68" s="286"/>
      <c r="JA68" s="286"/>
      <c r="JB68" s="286"/>
      <c r="JC68" s="286"/>
      <c r="JD68" s="286"/>
      <c r="JE68" s="286"/>
      <c r="JF68" s="286"/>
      <c r="JG68" s="286"/>
      <c r="JH68" s="286"/>
      <c r="JI68" s="287">
        <f t="shared" si="0"/>
        <v>0</v>
      </c>
      <c r="JJ68" s="301"/>
      <c r="JK68" s="288"/>
      <c r="JL68" s="286">
        <f t="shared" ref="JL68:JL78" si="2">+JI68-JK68</f>
        <v>0</v>
      </c>
      <c r="JM68" s="290"/>
      <c r="JN68" s="289"/>
      <c r="JO68" s="289"/>
      <c r="JP68" s="286"/>
    </row>
    <row r="69" spans="1:276" ht="15.6" x14ac:dyDescent="0.3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6"/>
      <c r="AS69" s="286"/>
      <c r="AT69" s="286"/>
      <c r="AU69" s="286"/>
      <c r="AV69" s="286"/>
      <c r="AW69" s="286"/>
      <c r="AX69" s="286"/>
      <c r="AY69" s="286"/>
      <c r="AZ69" s="286"/>
      <c r="BA69" s="286"/>
      <c r="BB69" s="286"/>
      <c r="BC69" s="286"/>
      <c r="BD69" s="286"/>
      <c r="BE69" s="286"/>
      <c r="BF69" s="286"/>
      <c r="BG69" s="286"/>
      <c r="BH69" s="286"/>
      <c r="BI69" s="286"/>
      <c r="BJ69" s="286"/>
      <c r="BK69" s="286"/>
      <c r="BL69" s="286"/>
      <c r="BM69" s="286"/>
      <c r="BN69" s="286"/>
      <c r="BO69" s="286"/>
      <c r="BP69" s="286"/>
      <c r="BQ69" s="286"/>
      <c r="BR69" s="286"/>
      <c r="BS69" s="286"/>
      <c r="BT69" s="286"/>
      <c r="BU69" s="286"/>
      <c r="BV69" s="286"/>
      <c r="BW69" s="286"/>
      <c r="BX69" s="286"/>
      <c r="BY69" s="286"/>
      <c r="BZ69" s="286"/>
      <c r="CA69" s="286"/>
      <c r="CB69" s="286"/>
      <c r="CC69" s="286"/>
      <c r="CD69" s="286"/>
      <c r="CE69" s="286"/>
      <c r="CF69" s="286"/>
      <c r="CG69" s="286"/>
      <c r="CH69" s="286"/>
      <c r="CI69" s="286"/>
      <c r="CJ69" s="286"/>
      <c r="CK69" s="286"/>
      <c r="CL69" s="286"/>
      <c r="CM69" s="286"/>
      <c r="CN69" s="286"/>
      <c r="CO69" s="286"/>
      <c r="CP69" s="286"/>
      <c r="CQ69" s="286"/>
      <c r="CR69" s="286"/>
      <c r="CS69" s="286"/>
      <c r="CT69" s="286"/>
      <c r="CU69" s="286"/>
      <c r="CV69" s="286"/>
      <c r="CW69" s="286"/>
      <c r="CX69" s="286"/>
      <c r="CY69" s="286"/>
      <c r="CZ69" s="286"/>
      <c r="DA69" s="286"/>
      <c r="DB69" s="286"/>
      <c r="DC69" s="286"/>
      <c r="DD69" s="286"/>
      <c r="DE69" s="286"/>
      <c r="DF69" s="286"/>
      <c r="DG69" s="286"/>
      <c r="DH69" s="286"/>
      <c r="DI69" s="286"/>
      <c r="DJ69" s="286"/>
      <c r="DK69" s="286"/>
      <c r="DL69" s="286"/>
      <c r="DM69" s="286"/>
      <c r="DN69" s="286"/>
      <c r="DO69" s="286"/>
      <c r="DP69" s="286"/>
      <c r="DQ69" s="286"/>
      <c r="DR69" s="286"/>
      <c r="DS69" s="286"/>
      <c r="DT69" s="286"/>
      <c r="DU69" s="286"/>
      <c r="DV69" s="286"/>
      <c r="DW69" s="286"/>
      <c r="DX69" s="286"/>
      <c r="DY69" s="286"/>
      <c r="DZ69" s="286"/>
      <c r="EA69" s="286"/>
      <c r="EB69" s="286"/>
      <c r="EC69" s="286"/>
      <c r="ED69" s="286"/>
      <c r="EE69" s="286"/>
      <c r="EF69" s="286"/>
      <c r="EG69" s="286"/>
      <c r="EH69" s="286"/>
      <c r="EI69" s="286"/>
      <c r="EJ69" s="286"/>
      <c r="EK69" s="286"/>
      <c r="EL69" s="286"/>
      <c r="EM69" s="286"/>
      <c r="EN69" s="286"/>
      <c r="EO69" s="286"/>
      <c r="EP69" s="286"/>
      <c r="EQ69" s="286"/>
      <c r="ER69" s="286"/>
      <c r="ES69" s="286"/>
      <c r="ET69" s="286"/>
      <c r="EU69" s="286"/>
      <c r="EV69" s="286"/>
      <c r="EW69" s="286"/>
      <c r="EX69" s="286"/>
      <c r="EY69" s="286"/>
      <c r="EZ69" s="286"/>
      <c r="FA69" s="286"/>
      <c r="FB69" s="286"/>
      <c r="FC69" s="286"/>
      <c r="FD69" s="286"/>
      <c r="FE69" s="286"/>
      <c r="FF69" s="286"/>
      <c r="FG69" s="286"/>
      <c r="FH69" s="286"/>
      <c r="FI69" s="286"/>
      <c r="FJ69" s="286"/>
      <c r="FK69" s="286"/>
      <c r="FL69" s="286"/>
      <c r="FM69" s="286"/>
      <c r="FN69" s="286"/>
      <c r="FO69" s="286"/>
      <c r="FP69" s="286"/>
      <c r="FQ69" s="286"/>
      <c r="FR69" s="286"/>
      <c r="FS69" s="286"/>
      <c r="FT69" s="286"/>
      <c r="FU69" s="286"/>
      <c r="FV69" s="286"/>
      <c r="FW69" s="286"/>
      <c r="FX69" s="286"/>
      <c r="FY69" s="286"/>
      <c r="FZ69" s="286"/>
      <c r="GA69" s="286"/>
      <c r="GB69" s="286"/>
      <c r="GC69" s="286"/>
      <c r="GD69" s="286"/>
      <c r="GE69" s="286"/>
      <c r="GF69" s="286"/>
      <c r="GG69" s="286"/>
      <c r="GH69" s="286"/>
      <c r="GI69" s="286"/>
      <c r="GJ69" s="286"/>
      <c r="GK69" s="286"/>
      <c r="GL69" s="286"/>
      <c r="GM69" s="286"/>
      <c r="GN69" s="286"/>
      <c r="GO69" s="286"/>
      <c r="GP69" s="286"/>
      <c r="GQ69" s="286"/>
      <c r="GR69" s="286"/>
      <c r="GS69" s="286"/>
      <c r="GT69" s="286"/>
      <c r="GU69" s="286"/>
      <c r="GV69" s="286"/>
      <c r="GW69" s="286"/>
      <c r="GX69" s="286"/>
      <c r="GY69" s="286"/>
      <c r="GZ69" s="286"/>
      <c r="HA69" s="286"/>
      <c r="HB69" s="286"/>
      <c r="HC69" s="286"/>
      <c r="HD69" s="286"/>
      <c r="HE69" s="286"/>
      <c r="HF69" s="286"/>
      <c r="HG69" s="286"/>
      <c r="HH69" s="286"/>
      <c r="HI69" s="286"/>
      <c r="HJ69" s="286"/>
      <c r="HK69" s="286"/>
      <c r="HL69" s="286"/>
      <c r="HM69" s="286"/>
      <c r="HN69" s="286"/>
      <c r="HO69" s="286"/>
      <c r="HP69" s="286"/>
      <c r="HQ69" s="286"/>
      <c r="HR69" s="286"/>
      <c r="HS69" s="286"/>
      <c r="HT69" s="286"/>
      <c r="HU69" s="286"/>
      <c r="HV69" s="286"/>
      <c r="HW69" s="286"/>
      <c r="HX69" s="286"/>
      <c r="HY69" s="286"/>
      <c r="HZ69" s="286"/>
      <c r="IA69" s="286"/>
      <c r="IB69" s="286"/>
      <c r="IC69" s="286"/>
      <c r="ID69" s="286"/>
      <c r="IE69" s="286"/>
      <c r="IF69" s="286"/>
      <c r="IG69" s="286"/>
      <c r="IH69" s="286"/>
      <c r="II69" s="286"/>
      <c r="IJ69" s="286"/>
      <c r="IK69" s="286"/>
      <c r="IL69" s="286"/>
      <c r="IM69" s="286"/>
      <c r="IN69" s="286"/>
      <c r="IO69" s="286"/>
      <c r="IP69" s="286"/>
      <c r="IQ69" s="286"/>
      <c r="IR69" s="286"/>
      <c r="IS69" s="286"/>
      <c r="IT69" s="286"/>
      <c r="IU69" s="286"/>
      <c r="IV69" s="286"/>
      <c r="IW69" s="286"/>
      <c r="IX69" s="286"/>
      <c r="IY69" s="286"/>
      <c r="IZ69" s="286"/>
      <c r="JA69" s="286"/>
      <c r="JB69" s="286"/>
      <c r="JC69" s="286"/>
      <c r="JD69" s="286"/>
      <c r="JE69" s="286"/>
      <c r="JF69" s="286"/>
      <c r="JG69" s="286"/>
      <c r="JH69" s="286"/>
      <c r="JI69" s="287">
        <f t="shared" ref="JI69:JI78" si="3">SUM(A69:JH69)</f>
        <v>0</v>
      </c>
      <c r="JJ69" s="301"/>
      <c r="JK69" s="288"/>
      <c r="JL69" s="286">
        <f t="shared" si="2"/>
        <v>0</v>
      </c>
      <c r="JM69" s="290"/>
      <c r="JN69" s="289"/>
      <c r="JO69" s="289"/>
      <c r="JP69" s="286"/>
    </row>
    <row r="70" spans="1:276" ht="15.6" x14ac:dyDescent="0.3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6"/>
      <c r="AU70" s="286"/>
      <c r="AV70" s="286"/>
      <c r="AW70" s="286"/>
      <c r="AX70" s="286"/>
      <c r="AY70" s="286"/>
      <c r="AZ70" s="286"/>
      <c r="BA70" s="286"/>
      <c r="BB70" s="286"/>
      <c r="BC70" s="286"/>
      <c r="BD70" s="286"/>
      <c r="BE70" s="286"/>
      <c r="BF70" s="286"/>
      <c r="BG70" s="286"/>
      <c r="BH70" s="286"/>
      <c r="BI70" s="286"/>
      <c r="BJ70" s="286"/>
      <c r="BK70" s="286"/>
      <c r="BL70" s="286"/>
      <c r="BM70" s="286"/>
      <c r="BN70" s="286"/>
      <c r="BO70" s="286"/>
      <c r="BP70" s="286"/>
      <c r="BQ70" s="286"/>
      <c r="BR70" s="286"/>
      <c r="BS70" s="286"/>
      <c r="BT70" s="286"/>
      <c r="BU70" s="286"/>
      <c r="BV70" s="286"/>
      <c r="BW70" s="286"/>
      <c r="BX70" s="286"/>
      <c r="BY70" s="286"/>
      <c r="BZ70" s="286"/>
      <c r="CA70" s="286"/>
      <c r="CB70" s="286"/>
      <c r="CC70" s="286"/>
      <c r="CD70" s="286"/>
      <c r="CE70" s="286"/>
      <c r="CF70" s="286"/>
      <c r="CG70" s="286"/>
      <c r="CH70" s="286"/>
      <c r="CI70" s="286"/>
      <c r="CJ70" s="286"/>
      <c r="CK70" s="286"/>
      <c r="CL70" s="286"/>
      <c r="CM70" s="286"/>
      <c r="CN70" s="286"/>
      <c r="CO70" s="286"/>
      <c r="CP70" s="286"/>
      <c r="CQ70" s="286"/>
      <c r="CR70" s="286"/>
      <c r="CS70" s="286"/>
      <c r="CT70" s="286"/>
      <c r="CU70" s="286"/>
      <c r="CV70" s="286"/>
      <c r="CW70" s="286"/>
      <c r="CX70" s="286"/>
      <c r="CY70" s="286"/>
      <c r="CZ70" s="286"/>
      <c r="DA70" s="286"/>
      <c r="DB70" s="286"/>
      <c r="DC70" s="286"/>
      <c r="DD70" s="286"/>
      <c r="DE70" s="286"/>
      <c r="DF70" s="286"/>
      <c r="DG70" s="286"/>
      <c r="DH70" s="286"/>
      <c r="DI70" s="286"/>
      <c r="DJ70" s="286"/>
      <c r="DK70" s="286"/>
      <c r="DL70" s="286"/>
      <c r="DM70" s="286"/>
      <c r="DN70" s="286"/>
      <c r="DO70" s="286"/>
      <c r="DP70" s="286"/>
      <c r="DQ70" s="286"/>
      <c r="DR70" s="286"/>
      <c r="DS70" s="286"/>
      <c r="DT70" s="286"/>
      <c r="DU70" s="286"/>
      <c r="DV70" s="286"/>
      <c r="DW70" s="286"/>
      <c r="DX70" s="286"/>
      <c r="DY70" s="286"/>
      <c r="DZ70" s="286"/>
      <c r="EA70" s="286"/>
      <c r="EB70" s="286"/>
      <c r="EC70" s="286"/>
      <c r="ED70" s="286"/>
      <c r="EE70" s="286"/>
      <c r="EF70" s="286"/>
      <c r="EG70" s="286"/>
      <c r="EH70" s="286"/>
      <c r="EI70" s="286"/>
      <c r="EJ70" s="286"/>
      <c r="EK70" s="286"/>
      <c r="EL70" s="286"/>
      <c r="EM70" s="286"/>
      <c r="EN70" s="286"/>
      <c r="EO70" s="286"/>
      <c r="EP70" s="286"/>
      <c r="EQ70" s="286"/>
      <c r="ER70" s="286"/>
      <c r="ES70" s="286"/>
      <c r="ET70" s="286"/>
      <c r="EU70" s="286"/>
      <c r="EV70" s="286"/>
      <c r="EW70" s="286"/>
      <c r="EX70" s="286"/>
      <c r="EY70" s="286"/>
      <c r="EZ70" s="286"/>
      <c r="FA70" s="286"/>
      <c r="FB70" s="286"/>
      <c r="FC70" s="286"/>
      <c r="FD70" s="286"/>
      <c r="FE70" s="286"/>
      <c r="FF70" s="286"/>
      <c r="FG70" s="286"/>
      <c r="FH70" s="286"/>
      <c r="FI70" s="286"/>
      <c r="FJ70" s="286"/>
      <c r="FK70" s="286"/>
      <c r="FL70" s="286"/>
      <c r="FM70" s="286"/>
      <c r="FN70" s="286"/>
      <c r="FO70" s="286"/>
      <c r="FP70" s="286"/>
      <c r="FQ70" s="286"/>
      <c r="FR70" s="286"/>
      <c r="FS70" s="286"/>
      <c r="FT70" s="286"/>
      <c r="FU70" s="286"/>
      <c r="FV70" s="286"/>
      <c r="FW70" s="286"/>
      <c r="FX70" s="286"/>
      <c r="FY70" s="286"/>
      <c r="FZ70" s="286"/>
      <c r="GA70" s="286"/>
      <c r="GB70" s="286"/>
      <c r="GC70" s="286"/>
      <c r="GD70" s="286"/>
      <c r="GE70" s="286"/>
      <c r="GF70" s="286"/>
      <c r="GG70" s="286"/>
      <c r="GH70" s="286"/>
      <c r="GI70" s="286"/>
      <c r="GJ70" s="286"/>
      <c r="GK70" s="286"/>
      <c r="GL70" s="286"/>
      <c r="GM70" s="286"/>
      <c r="GN70" s="286"/>
      <c r="GO70" s="286"/>
      <c r="GP70" s="286"/>
      <c r="GQ70" s="286"/>
      <c r="GR70" s="286"/>
      <c r="GS70" s="286"/>
      <c r="GT70" s="286"/>
      <c r="GU70" s="286"/>
      <c r="GV70" s="286"/>
      <c r="GW70" s="286"/>
      <c r="GX70" s="286"/>
      <c r="GY70" s="286"/>
      <c r="GZ70" s="286"/>
      <c r="HA70" s="286"/>
      <c r="HB70" s="286"/>
      <c r="HC70" s="286"/>
      <c r="HD70" s="286"/>
      <c r="HE70" s="286"/>
      <c r="HF70" s="286"/>
      <c r="HG70" s="286"/>
      <c r="HH70" s="286"/>
      <c r="HI70" s="286"/>
      <c r="HJ70" s="286"/>
      <c r="HK70" s="286"/>
      <c r="HL70" s="286"/>
      <c r="HM70" s="286"/>
      <c r="HN70" s="286"/>
      <c r="HO70" s="286"/>
      <c r="HP70" s="286"/>
      <c r="HQ70" s="286"/>
      <c r="HR70" s="286"/>
      <c r="HS70" s="286"/>
      <c r="HT70" s="286"/>
      <c r="HU70" s="286"/>
      <c r="HV70" s="286"/>
      <c r="HW70" s="286"/>
      <c r="HX70" s="286"/>
      <c r="HY70" s="286"/>
      <c r="HZ70" s="286"/>
      <c r="IA70" s="286"/>
      <c r="IB70" s="286"/>
      <c r="IC70" s="286"/>
      <c r="ID70" s="286"/>
      <c r="IE70" s="286"/>
      <c r="IF70" s="286"/>
      <c r="IG70" s="286"/>
      <c r="IH70" s="286"/>
      <c r="II70" s="286"/>
      <c r="IJ70" s="286"/>
      <c r="IK70" s="286"/>
      <c r="IL70" s="286"/>
      <c r="IM70" s="286"/>
      <c r="IN70" s="286"/>
      <c r="IO70" s="286"/>
      <c r="IP70" s="286"/>
      <c r="IQ70" s="286"/>
      <c r="IR70" s="286"/>
      <c r="IS70" s="286"/>
      <c r="IT70" s="286"/>
      <c r="IU70" s="286"/>
      <c r="IV70" s="286"/>
      <c r="IW70" s="286"/>
      <c r="IX70" s="286"/>
      <c r="IY70" s="286"/>
      <c r="IZ70" s="286"/>
      <c r="JA70" s="286"/>
      <c r="JB70" s="286"/>
      <c r="JC70" s="286"/>
      <c r="JD70" s="286"/>
      <c r="JE70" s="286"/>
      <c r="JF70" s="286"/>
      <c r="JG70" s="286"/>
      <c r="JH70" s="286"/>
      <c r="JI70" s="287">
        <f t="shared" si="3"/>
        <v>0</v>
      </c>
      <c r="JJ70" s="301"/>
      <c r="JK70" s="288"/>
      <c r="JL70" s="286">
        <f t="shared" si="2"/>
        <v>0</v>
      </c>
      <c r="JM70" s="290"/>
      <c r="JN70" s="289"/>
      <c r="JO70" s="289"/>
      <c r="JP70" s="286"/>
    </row>
    <row r="71" spans="1:276" ht="15.6" x14ac:dyDescent="0.3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  <c r="BC71" s="286"/>
      <c r="BD71" s="286"/>
      <c r="BE71" s="286"/>
      <c r="BF71" s="286"/>
      <c r="BG71" s="286"/>
      <c r="BH71" s="286"/>
      <c r="BI71" s="286"/>
      <c r="BJ71" s="286"/>
      <c r="BK71" s="286"/>
      <c r="BL71" s="286"/>
      <c r="BM71" s="286"/>
      <c r="BN71" s="286"/>
      <c r="BO71" s="286"/>
      <c r="BP71" s="286"/>
      <c r="BQ71" s="286"/>
      <c r="BR71" s="286"/>
      <c r="BS71" s="286"/>
      <c r="BT71" s="286"/>
      <c r="BU71" s="286"/>
      <c r="BV71" s="286"/>
      <c r="BW71" s="286"/>
      <c r="BX71" s="286"/>
      <c r="BY71" s="286"/>
      <c r="BZ71" s="286"/>
      <c r="CA71" s="286"/>
      <c r="CB71" s="286"/>
      <c r="CC71" s="286"/>
      <c r="CD71" s="286"/>
      <c r="CE71" s="286"/>
      <c r="CF71" s="286"/>
      <c r="CG71" s="286"/>
      <c r="CH71" s="286"/>
      <c r="CI71" s="286"/>
      <c r="CJ71" s="286"/>
      <c r="CK71" s="286"/>
      <c r="CL71" s="286"/>
      <c r="CM71" s="286"/>
      <c r="CN71" s="286"/>
      <c r="CO71" s="286"/>
      <c r="CP71" s="286"/>
      <c r="CQ71" s="286"/>
      <c r="CR71" s="286"/>
      <c r="CS71" s="286"/>
      <c r="CT71" s="286"/>
      <c r="CU71" s="286"/>
      <c r="CV71" s="286"/>
      <c r="CW71" s="286"/>
      <c r="CX71" s="286"/>
      <c r="CY71" s="286"/>
      <c r="CZ71" s="286"/>
      <c r="DA71" s="286"/>
      <c r="DB71" s="286"/>
      <c r="DC71" s="286"/>
      <c r="DD71" s="286"/>
      <c r="DE71" s="286"/>
      <c r="DF71" s="286"/>
      <c r="DG71" s="286"/>
      <c r="DH71" s="286"/>
      <c r="DI71" s="286"/>
      <c r="DJ71" s="286"/>
      <c r="DK71" s="286"/>
      <c r="DL71" s="286"/>
      <c r="DM71" s="286"/>
      <c r="DN71" s="286"/>
      <c r="DO71" s="286"/>
      <c r="DP71" s="286"/>
      <c r="DQ71" s="286"/>
      <c r="DR71" s="286"/>
      <c r="DS71" s="286"/>
      <c r="DT71" s="286"/>
      <c r="DU71" s="286"/>
      <c r="DV71" s="286"/>
      <c r="DW71" s="286"/>
      <c r="DX71" s="286"/>
      <c r="DY71" s="286"/>
      <c r="DZ71" s="286"/>
      <c r="EA71" s="286"/>
      <c r="EB71" s="286"/>
      <c r="EC71" s="286"/>
      <c r="ED71" s="286"/>
      <c r="EE71" s="286"/>
      <c r="EF71" s="286"/>
      <c r="EG71" s="286"/>
      <c r="EH71" s="286"/>
      <c r="EI71" s="286"/>
      <c r="EJ71" s="286"/>
      <c r="EK71" s="286"/>
      <c r="EL71" s="286"/>
      <c r="EM71" s="286"/>
      <c r="EN71" s="286"/>
      <c r="EO71" s="286"/>
      <c r="EP71" s="286"/>
      <c r="EQ71" s="286"/>
      <c r="ER71" s="286"/>
      <c r="ES71" s="286"/>
      <c r="ET71" s="286"/>
      <c r="EU71" s="286"/>
      <c r="EV71" s="286"/>
      <c r="EW71" s="286"/>
      <c r="EX71" s="286"/>
      <c r="EY71" s="286"/>
      <c r="EZ71" s="286"/>
      <c r="FA71" s="286"/>
      <c r="FB71" s="286"/>
      <c r="FC71" s="286"/>
      <c r="FD71" s="286"/>
      <c r="FE71" s="286"/>
      <c r="FF71" s="286"/>
      <c r="FG71" s="286"/>
      <c r="FH71" s="286"/>
      <c r="FI71" s="286"/>
      <c r="FJ71" s="286"/>
      <c r="FK71" s="286"/>
      <c r="FL71" s="286"/>
      <c r="FM71" s="286"/>
      <c r="FN71" s="286"/>
      <c r="FO71" s="286"/>
      <c r="FP71" s="286"/>
      <c r="FQ71" s="286"/>
      <c r="FR71" s="286"/>
      <c r="FS71" s="286"/>
      <c r="FT71" s="286"/>
      <c r="FU71" s="286"/>
      <c r="FV71" s="286"/>
      <c r="FW71" s="286"/>
      <c r="FX71" s="286"/>
      <c r="FY71" s="286"/>
      <c r="FZ71" s="286"/>
      <c r="GA71" s="286"/>
      <c r="GB71" s="286"/>
      <c r="GC71" s="286"/>
      <c r="GD71" s="286"/>
      <c r="GE71" s="286"/>
      <c r="GF71" s="286"/>
      <c r="GG71" s="286"/>
      <c r="GH71" s="286"/>
      <c r="GI71" s="286"/>
      <c r="GJ71" s="286"/>
      <c r="GK71" s="286"/>
      <c r="GL71" s="286"/>
      <c r="GM71" s="286"/>
      <c r="GN71" s="286"/>
      <c r="GO71" s="286"/>
      <c r="GP71" s="286"/>
      <c r="GQ71" s="286"/>
      <c r="GR71" s="286"/>
      <c r="GS71" s="286"/>
      <c r="GT71" s="286"/>
      <c r="GU71" s="286"/>
      <c r="GV71" s="286"/>
      <c r="GW71" s="286"/>
      <c r="GX71" s="286"/>
      <c r="GY71" s="286"/>
      <c r="GZ71" s="286"/>
      <c r="HA71" s="286"/>
      <c r="HB71" s="286"/>
      <c r="HC71" s="286"/>
      <c r="HD71" s="286"/>
      <c r="HE71" s="286"/>
      <c r="HF71" s="286"/>
      <c r="HG71" s="286"/>
      <c r="HH71" s="286"/>
      <c r="HI71" s="286"/>
      <c r="HJ71" s="286"/>
      <c r="HK71" s="286"/>
      <c r="HL71" s="286"/>
      <c r="HM71" s="286"/>
      <c r="HN71" s="286"/>
      <c r="HO71" s="286"/>
      <c r="HP71" s="286"/>
      <c r="HQ71" s="286"/>
      <c r="HR71" s="286"/>
      <c r="HS71" s="286"/>
      <c r="HT71" s="286"/>
      <c r="HU71" s="286"/>
      <c r="HV71" s="286"/>
      <c r="HW71" s="286"/>
      <c r="HX71" s="286"/>
      <c r="HY71" s="286"/>
      <c r="HZ71" s="286"/>
      <c r="IA71" s="286"/>
      <c r="IB71" s="286"/>
      <c r="IC71" s="286"/>
      <c r="ID71" s="286"/>
      <c r="IE71" s="286"/>
      <c r="IF71" s="286"/>
      <c r="IG71" s="286"/>
      <c r="IH71" s="286"/>
      <c r="II71" s="286"/>
      <c r="IJ71" s="286"/>
      <c r="IK71" s="286"/>
      <c r="IL71" s="286"/>
      <c r="IM71" s="286"/>
      <c r="IN71" s="286"/>
      <c r="IO71" s="286"/>
      <c r="IP71" s="286"/>
      <c r="IQ71" s="286"/>
      <c r="IR71" s="286"/>
      <c r="IS71" s="286"/>
      <c r="IT71" s="286"/>
      <c r="IU71" s="286"/>
      <c r="IV71" s="286"/>
      <c r="IW71" s="286"/>
      <c r="IX71" s="286"/>
      <c r="IY71" s="286"/>
      <c r="IZ71" s="286"/>
      <c r="JA71" s="286"/>
      <c r="JB71" s="286"/>
      <c r="JC71" s="286"/>
      <c r="JD71" s="286"/>
      <c r="JE71" s="286"/>
      <c r="JF71" s="286"/>
      <c r="JG71" s="286"/>
      <c r="JH71" s="286"/>
      <c r="JI71" s="287">
        <f t="shared" si="3"/>
        <v>0</v>
      </c>
      <c r="JJ71" s="301"/>
      <c r="JK71" s="288"/>
      <c r="JL71" s="286">
        <f t="shared" si="2"/>
        <v>0</v>
      </c>
      <c r="JM71" s="290"/>
      <c r="JN71" s="289"/>
      <c r="JO71" s="289"/>
      <c r="JP71" s="286"/>
    </row>
    <row r="72" spans="1:276" ht="15.6" x14ac:dyDescent="0.3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  <c r="BA72" s="286"/>
      <c r="BB72" s="286"/>
      <c r="BC72" s="286"/>
      <c r="BD72" s="286"/>
      <c r="BE72" s="286"/>
      <c r="BF72" s="286"/>
      <c r="BG72" s="286"/>
      <c r="BH72" s="286"/>
      <c r="BI72" s="286"/>
      <c r="BJ72" s="286"/>
      <c r="BK72" s="286"/>
      <c r="BL72" s="286"/>
      <c r="BM72" s="286"/>
      <c r="BN72" s="286"/>
      <c r="BO72" s="286"/>
      <c r="BP72" s="286"/>
      <c r="BQ72" s="286"/>
      <c r="BR72" s="286"/>
      <c r="BS72" s="286"/>
      <c r="BT72" s="286"/>
      <c r="BU72" s="286"/>
      <c r="BV72" s="286"/>
      <c r="BW72" s="286"/>
      <c r="BX72" s="286"/>
      <c r="BY72" s="286"/>
      <c r="BZ72" s="286"/>
      <c r="CA72" s="286"/>
      <c r="CB72" s="286"/>
      <c r="CC72" s="286"/>
      <c r="CD72" s="286"/>
      <c r="CE72" s="286"/>
      <c r="CF72" s="286"/>
      <c r="CG72" s="286"/>
      <c r="CH72" s="286"/>
      <c r="CI72" s="286"/>
      <c r="CJ72" s="286"/>
      <c r="CK72" s="286"/>
      <c r="CL72" s="286"/>
      <c r="CM72" s="286"/>
      <c r="CN72" s="286"/>
      <c r="CO72" s="286"/>
      <c r="CP72" s="286"/>
      <c r="CQ72" s="286"/>
      <c r="CR72" s="286"/>
      <c r="CS72" s="286"/>
      <c r="CT72" s="286"/>
      <c r="CU72" s="286"/>
      <c r="CV72" s="286"/>
      <c r="CW72" s="286"/>
      <c r="CX72" s="286"/>
      <c r="CY72" s="286"/>
      <c r="CZ72" s="286"/>
      <c r="DA72" s="286"/>
      <c r="DB72" s="286"/>
      <c r="DC72" s="286"/>
      <c r="DD72" s="286"/>
      <c r="DE72" s="286"/>
      <c r="DF72" s="286"/>
      <c r="DG72" s="286"/>
      <c r="DH72" s="286"/>
      <c r="DI72" s="286"/>
      <c r="DJ72" s="286"/>
      <c r="DK72" s="286"/>
      <c r="DL72" s="286"/>
      <c r="DM72" s="286"/>
      <c r="DN72" s="286"/>
      <c r="DO72" s="286"/>
      <c r="DP72" s="286"/>
      <c r="DQ72" s="286"/>
      <c r="DR72" s="286"/>
      <c r="DS72" s="286"/>
      <c r="DT72" s="286"/>
      <c r="DU72" s="286"/>
      <c r="DV72" s="286"/>
      <c r="DW72" s="286"/>
      <c r="DX72" s="286"/>
      <c r="DY72" s="286"/>
      <c r="DZ72" s="286"/>
      <c r="EA72" s="286"/>
      <c r="EB72" s="286"/>
      <c r="EC72" s="286"/>
      <c r="ED72" s="286"/>
      <c r="EE72" s="286"/>
      <c r="EF72" s="286"/>
      <c r="EG72" s="286"/>
      <c r="EH72" s="286"/>
      <c r="EI72" s="286"/>
      <c r="EJ72" s="286"/>
      <c r="EK72" s="286"/>
      <c r="EL72" s="286"/>
      <c r="EM72" s="286"/>
      <c r="EN72" s="286"/>
      <c r="EO72" s="286"/>
      <c r="EP72" s="286"/>
      <c r="EQ72" s="286"/>
      <c r="ER72" s="286"/>
      <c r="ES72" s="286"/>
      <c r="ET72" s="286"/>
      <c r="EU72" s="286"/>
      <c r="EV72" s="286"/>
      <c r="EW72" s="286"/>
      <c r="EX72" s="286"/>
      <c r="EY72" s="286"/>
      <c r="EZ72" s="286"/>
      <c r="FA72" s="286"/>
      <c r="FB72" s="286"/>
      <c r="FC72" s="286"/>
      <c r="FD72" s="286"/>
      <c r="FE72" s="286"/>
      <c r="FF72" s="286"/>
      <c r="FG72" s="286"/>
      <c r="FH72" s="286"/>
      <c r="FI72" s="286"/>
      <c r="FJ72" s="286"/>
      <c r="FK72" s="286"/>
      <c r="FL72" s="286"/>
      <c r="FM72" s="286"/>
      <c r="FN72" s="286"/>
      <c r="FO72" s="286"/>
      <c r="FP72" s="286"/>
      <c r="FQ72" s="286"/>
      <c r="FR72" s="286"/>
      <c r="FS72" s="286"/>
      <c r="FT72" s="286"/>
      <c r="FU72" s="286"/>
      <c r="FV72" s="286"/>
      <c r="FW72" s="286"/>
      <c r="FX72" s="286"/>
      <c r="FY72" s="286"/>
      <c r="FZ72" s="286"/>
      <c r="GA72" s="286"/>
      <c r="GB72" s="286"/>
      <c r="GC72" s="286"/>
      <c r="GD72" s="286"/>
      <c r="GE72" s="286"/>
      <c r="GF72" s="286"/>
      <c r="GG72" s="286"/>
      <c r="GH72" s="286"/>
      <c r="GI72" s="286"/>
      <c r="GJ72" s="286"/>
      <c r="GK72" s="286"/>
      <c r="GL72" s="286"/>
      <c r="GM72" s="286"/>
      <c r="GN72" s="286"/>
      <c r="GO72" s="286"/>
      <c r="GP72" s="286"/>
      <c r="GQ72" s="286"/>
      <c r="GR72" s="286"/>
      <c r="GS72" s="286"/>
      <c r="GT72" s="286"/>
      <c r="GU72" s="286"/>
      <c r="GV72" s="286"/>
      <c r="GW72" s="286"/>
      <c r="GX72" s="286"/>
      <c r="GY72" s="286"/>
      <c r="GZ72" s="286"/>
      <c r="HA72" s="286"/>
      <c r="HB72" s="286"/>
      <c r="HC72" s="286"/>
      <c r="HD72" s="286"/>
      <c r="HE72" s="286"/>
      <c r="HF72" s="286"/>
      <c r="HG72" s="286"/>
      <c r="HH72" s="286"/>
      <c r="HI72" s="286"/>
      <c r="HJ72" s="286"/>
      <c r="HK72" s="286"/>
      <c r="HL72" s="286"/>
      <c r="HM72" s="286"/>
      <c r="HN72" s="286"/>
      <c r="HO72" s="286"/>
      <c r="HP72" s="286"/>
      <c r="HQ72" s="286"/>
      <c r="HR72" s="286"/>
      <c r="HS72" s="286"/>
      <c r="HT72" s="286"/>
      <c r="HU72" s="286"/>
      <c r="HV72" s="286"/>
      <c r="HW72" s="286"/>
      <c r="HX72" s="286"/>
      <c r="HY72" s="286"/>
      <c r="HZ72" s="286"/>
      <c r="IA72" s="286"/>
      <c r="IB72" s="286"/>
      <c r="IC72" s="286"/>
      <c r="ID72" s="286"/>
      <c r="IE72" s="286"/>
      <c r="IF72" s="286"/>
      <c r="IG72" s="286"/>
      <c r="IH72" s="286"/>
      <c r="II72" s="286"/>
      <c r="IJ72" s="286"/>
      <c r="IK72" s="286"/>
      <c r="IL72" s="286"/>
      <c r="IM72" s="286"/>
      <c r="IN72" s="286"/>
      <c r="IO72" s="286"/>
      <c r="IP72" s="286"/>
      <c r="IQ72" s="286"/>
      <c r="IR72" s="286"/>
      <c r="IS72" s="286"/>
      <c r="IT72" s="286"/>
      <c r="IU72" s="286"/>
      <c r="IV72" s="286"/>
      <c r="IW72" s="286"/>
      <c r="IX72" s="286"/>
      <c r="IY72" s="286"/>
      <c r="IZ72" s="286"/>
      <c r="JA72" s="286"/>
      <c r="JB72" s="286"/>
      <c r="JC72" s="286"/>
      <c r="JD72" s="286"/>
      <c r="JE72" s="286"/>
      <c r="JF72" s="286"/>
      <c r="JG72" s="286"/>
      <c r="JH72" s="286"/>
      <c r="JI72" s="287">
        <f t="shared" si="3"/>
        <v>0</v>
      </c>
      <c r="JJ72" s="301"/>
      <c r="JK72" s="288"/>
      <c r="JL72" s="286">
        <f t="shared" si="2"/>
        <v>0</v>
      </c>
      <c r="JM72" s="290"/>
      <c r="JN72" s="289"/>
      <c r="JO72" s="289"/>
      <c r="JP72" s="286">
        <f t="shared" ref="JP72:JP78" si="4">+JI72-JL72</f>
        <v>0</v>
      </c>
    </row>
    <row r="73" spans="1:276" ht="15.6" x14ac:dyDescent="0.3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6"/>
      <c r="AU73" s="286"/>
      <c r="AV73" s="286"/>
      <c r="AW73" s="286"/>
      <c r="AX73" s="286"/>
      <c r="AY73" s="286"/>
      <c r="AZ73" s="286"/>
      <c r="BA73" s="286"/>
      <c r="BB73" s="286"/>
      <c r="BC73" s="286"/>
      <c r="BD73" s="286"/>
      <c r="BE73" s="286"/>
      <c r="BF73" s="286"/>
      <c r="BG73" s="286"/>
      <c r="BH73" s="286"/>
      <c r="BI73" s="286"/>
      <c r="BJ73" s="286"/>
      <c r="BK73" s="286"/>
      <c r="BL73" s="286"/>
      <c r="BM73" s="286"/>
      <c r="BN73" s="286"/>
      <c r="BO73" s="286"/>
      <c r="BP73" s="286"/>
      <c r="BQ73" s="286"/>
      <c r="BR73" s="286"/>
      <c r="BS73" s="286"/>
      <c r="BT73" s="286"/>
      <c r="BU73" s="286"/>
      <c r="BV73" s="286"/>
      <c r="BW73" s="286"/>
      <c r="BX73" s="286"/>
      <c r="BY73" s="286"/>
      <c r="BZ73" s="286"/>
      <c r="CA73" s="286"/>
      <c r="CB73" s="286"/>
      <c r="CC73" s="286"/>
      <c r="CD73" s="286"/>
      <c r="CE73" s="286"/>
      <c r="CF73" s="286"/>
      <c r="CG73" s="286"/>
      <c r="CH73" s="286"/>
      <c r="CI73" s="286"/>
      <c r="CJ73" s="286"/>
      <c r="CK73" s="286"/>
      <c r="CL73" s="286"/>
      <c r="CM73" s="286"/>
      <c r="CN73" s="286"/>
      <c r="CO73" s="286"/>
      <c r="CP73" s="286"/>
      <c r="CQ73" s="286"/>
      <c r="CR73" s="286"/>
      <c r="CS73" s="286"/>
      <c r="CT73" s="286"/>
      <c r="CU73" s="286"/>
      <c r="CV73" s="286"/>
      <c r="CW73" s="286"/>
      <c r="CX73" s="286"/>
      <c r="CY73" s="286"/>
      <c r="CZ73" s="286"/>
      <c r="DA73" s="286"/>
      <c r="DB73" s="286"/>
      <c r="DC73" s="286"/>
      <c r="DD73" s="286"/>
      <c r="DE73" s="286"/>
      <c r="DF73" s="286"/>
      <c r="DG73" s="286"/>
      <c r="DH73" s="286"/>
      <c r="DI73" s="286"/>
      <c r="DJ73" s="286"/>
      <c r="DK73" s="286"/>
      <c r="DL73" s="286"/>
      <c r="DM73" s="286"/>
      <c r="DN73" s="286"/>
      <c r="DO73" s="286"/>
      <c r="DP73" s="286"/>
      <c r="DQ73" s="286"/>
      <c r="DR73" s="286"/>
      <c r="DS73" s="286"/>
      <c r="DT73" s="286"/>
      <c r="DU73" s="286"/>
      <c r="DV73" s="286"/>
      <c r="DW73" s="286"/>
      <c r="DX73" s="286"/>
      <c r="DY73" s="286"/>
      <c r="DZ73" s="286"/>
      <c r="EA73" s="286"/>
      <c r="EB73" s="286"/>
      <c r="EC73" s="286"/>
      <c r="ED73" s="286"/>
      <c r="EE73" s="286"/>
      <c r="EF73" s="286"/>
      <c r="EG73" s="286"/>
      <c r="EH73" s="286"/>
      <c r="EI73" s="286"/>
      <c r="EJ73" s="286"/>
      <c r="EK73" s="286"/>
      <c r="EL73" s="286"/>
      <c r="EM73" s="286"/>
      <c r="EN73" s="286"/>
      <c r="EO73" s="286"/>
      <c r="EP73" s="286"/>
      <c r="EQ73" s="286"/>
      <c r="ER73" s="286"/>
      <c r="ES73" s="286"/>
      <c r="ET73" s="286"/>
      <c r="EU73" s="286"/>
      <c r="EV73" s="286"/>
      <c r="EW73" s="286"/>
      <c r="EX73" s="286"/>
      <c r="EY73" s="286"/>
      <c r="EZ73" s="286"/>
      <c r="FA73" s="286"/>
      <c r="FB73" s="286"/>
      <c r="FC73" s="286"/>
      <c r="FD73" s="286"/>
      <c r="FE73" s="286"/>
      <c r="FF73" s="286"/>
      <c r="FG73" s="286"/>
      <c r="FH73" s="286"/>
      <c r="FI73" s="286"/>
      <c r="FJ73" s="286"/>
      <c r="FK73" s="286"/>
      <c r="FL73" s="286"/>
      <c r="FM73" s="286"/>
      <c r="FN73" s="286"/>
      <c r="FO73" s="286"/>
      <c r="FP73" s="286"/>
      <c r="FQ73" s="286"/>
      <c r="FR73" s="286"/>
      <c r="FS73" s="286"/>
      <c r="FT73" s="286"/>
      <c r="FU73" s="286"/>
      <c r="FV73" s="286"/>
      <c r="FW73" s="286"/>
      <c r="FX73" s="286"/>
      <c r="FY73" s="286"/>
      <c r="FZ73" s="286"/>
      <c r="GA73" s="286"/>
      <c r="GB73" s="286"/>
      <c r="GC73" s="286"/>
      <c r="GD73" s="286"/>
      <c r="GE73" s="286"/>
      <c r="GF73" s="286"/>
      <c r="GG73" s="286"/>
      <c r="GH73" s="286"/>
      <c r="GI73" s="286"/>
      <c r="GJ73" s="286"/>
      <c r="GK73" s="286"/>
      <c r="GL73" s="286"/>
      <c r="GM73" s="286"/>
      <c r="GN73" s="286"/>
      <c r="GO73" s="286"/>
      <c r="GP73" s="286"/>
      <c r="GQ73" s="286"/>
      <c r="GR73" s="286"/>
      <c r="GS73" s="286"/>
      <c r="GT73" s="286"/>
      <c r="GU73" s="286"/>
      <c r="GV73" s="286"/>
      <c r="GW73" s="286"/>
      <c r="GX73" s="286"/>
      <c r="GY73" s="286"/>
      <c r="GZ73" s="286"/>
      <c r="HA73" s="286"/>
      <c r="HB73" s="286"/>
      <c r="HC73" s="286"/>
      <c r="HD73" s="286"/>
      <c r="HE73" s="286"/>
      <c r="HF73" s="286"/>
      <c r="HG73" s="286"/>
      <c r="HH73" s="286"/>
      <c r="HI73" s="286"/>
      <c r="HJ73" s="286"/>
      <c r="HK73" s="286"/>
      <c r="HL73" s="286"/>
      <c r="HM73" s="286"/>
      <c r="HN73" s="286"/>
      <c r="HO73" s="286"/>
      <c r="HP73" s="286"/>
      <c r="HQ73" s="286"/>
      <c r="HR73" s="286"/>
      <c r="HS73" s="286"/>
      <c r="HT73" s="286"/>
      <c r="HU73" s="286"/>
      <c r="HV73" s="286"/>
      <c r="HW73" s="286"/>
      <c r="HX73" s="286"/>
      <c r="HY73" s="286"/>
      <c r="HZ73" s="286"/>
      <c r="IA73" s="286"/>
      <c r="IB73" s="286"/>
      <c r="IC73" s="286"/>
      <c r="ID73" s="286"/>
      <c r="IE73" s="286"/>
      <c r="IF73" s="286"/>
      <c r="IG73" s="286"/>
      <c r="IH73" s="286"/>
      <c r="II73" s="286"/>
      <c r="IJ73" s="286"/>
      <c r="IK73" s="286"/>
      <c r="IL73" s="286"/>
      <c r="IM73" s="286"/>
      <c r="IN73" s="286"/>
      <c r="IO73" s="286"/>
      <c r="IP73" s="286"/>
      <c r="IQ73" s="286"/>
      <c r="IR73" s="286"/>
      <c r="IS73" s="286"/>
      <c r="IT73" s="286"/>
      <c r="IU73" s="286"/>
      <c r="IV73" s="286"/>
      <c r="IW73" s="286"/>
      <c r="IX73" s="286"/>
      <c r="IY73" s="286"/>
      <c r="IZ73" s="286"/>
      <c r="JA73" s="286"/>
      <c r="JB73" s="286"/>
      <c r="JC73" s="286"/>
      <c r="JD73" s="286"/>
      <c r="JE73" s="286"/>
      <c r="JF73" s="286"/>
      <c r="JG73" s="286"/>
      <c r="JH73" s="286"/>
      <c r="JI73" s="287">
        <f t="shared" si="3"/>
        <v>0</v>
      </c>
      <c r="JJ73" s="301"/>
      <c r="JK73" s="288"/>
      <c r="JL73" s="286">
        <f t="shared" si="2"/>
        <v>0</v>
      </c>
      <c r="JM73" s="290"/>
      <c r="JN73" s="289"/>
      <c r="JO73" s="289"/>
      <c r="JP73" s="286">
        <f t="shared" si="4"/>
        <v>0</v>
      </c>
    </row>
    <row r="74" spans="1:276" ht="15.6" x14ac:dyDescent="0.3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  <c r="AV74" s="286"/>
      <c r="AW74" s="286"/>
      <c r="AX74" s="286"/>
      <c r="AY74" s="286"/>
      <c r="AZ74" s="286"/>
      <c r="BA74" s="286"/>
      <c r="BB74" s="286"/>
      <c r="BC74" s="286"/>
      <c r="BD74" s="286"/>
      <c r="BE74" s="286"/>
      <c r="BF74" s="286"/>
      <c r="BG74" s="286"/>
      <c r="BH74" s="286"/>
      <c r="BI74" s="286"/>
      <c r="BJ74" s="286"/>
      <c r="BK74" s="286"/>
      <c r="BL74" s="286"/>
      <c r="BM74" s="286"/>
      <c r="BN74" s="286"/>
      <c r="BO74" s="286"/>
      <c r="BP74" s="286"/>
      <c r="BQ74" s="286"/>
      <c r="BR74" s="286"/>
      <c r="BS74" s="286"/>
      <c r="BT74" s="286"/>
      <c r="BU74" s="286"/>
      <c r="BV74" s="286"/>
      <c r="BW74" s="286"/>
      <c r="BX74" s="286"/>
      <c r="BY74" s="286"/>
      <c r="BZ74" s="286"/>
      <c r="CA74" s="286"/>
      <c r="CB74" s="286"/>
      <c r="CC74" s="286"/>
      <c r="CD74" s="286"/>
      <c r="CE74" s="286"/>
      <c r="CF74" s="286"/>
      <c r="CG74" s="286"/>
      <c r="CH74" s="286"/>
      <c r="CI74" s="286"/>
      <c r="CJ74" s="286"/>
      <c r="CK74" s="286"/>
      <c r="CL74" s="286"/>
      <c r="CM74" s="286"/>
      <c r="CN74" s="286"/>
      <c r="CO74" s="286"/>
      <c r="CP74" s="286"/>
      <c r="CQ74" s="286"/>
      <c r="CR74" s="286"/>
      <c r="CS74" s="286"/>
      <c r="CT74" s="286"/>
      <c r="CU74" s="286"/>
      <c r="CV74" s="286"/>
      <c r="CW74" s="286"/>
      <c r="CX74" s="286"/>
      <c r="CY74" s="286"/>
      <c r="CZ74" s="286"/>
      <c r="DA74" s="286"/>
      <c r="DB74" s="286"/>
      <c r="DC74" s="286"/>
      <c r="DD74" s="286"/>
      <c r="DE74" s="286"/>
      <c r="DF74" s="286"/>
      <c r="DG74" s="286"/>
      <c r="DH74" s="286"/>
      <c r="DI74" s="286"/>
      <c r="DJ74" s="286"/>
      <c r="DK74" s="286"/>
      <c r="DL74" s="286"/>
      <c r="DM74" s="286"/>
      <c r="DN74" s="286"/>
      <c r="DO74" s="286"/>
      <c r="DP74" s="286"/>
      <c r="DQ74" s="286"/>
      <c r="DR74" s="286"/>
      <c r="DS74" s="286"/>
      <c r="DT74" s="286"/>
      <c r="DU74" s="286"/>
      <c r="DV74" s="286"/>
      <c r="DW74" s="286"/>
      <c r="DX74" s="286"/>
      <c r="DY74" s="286"/>
      <c r="DZ74" s="286"/>
      <c r="EA74" s="286"/>
      <c r="EB74" s="286"/>
      <c r="EC74" s="286"/>
      <c r="ED74" s="286"/>
      <c r="EE74" s="286"/>
      <c r="EF74" s="286"/>
      <c r="EG74" s="286"/>
      <c r="EH74" s="286"/>
      <c r="EI74" s="286"/>
      <c r="EJ74" s="286"/>
      <c r="EK74" s="286"/>
      <c r="EL74" s="286"/>
      <c r="EM74" s="286"/>
      <c r="EN74" s="286"/>
      <c r="EO74" s="286"/>
      <c r="EP74" s="286"/>
      <c r="EQ74" s="286"/>
      <c r="ER74" s="286"/>
      <c r="ES74" s="286"/>
      <c r="ET74" s="286"/>
      <c r="EU74" s="286"/>
      <c r="EV74" s="286"/>
      <c r="EW74" s="286"/>
      <c r="EX74" s="286"/>
      <c r="EY74" s="286"/>
      <c r="EZ74" s="286"/>
      <c r="FA74" s="286"/>
      <c r="FB74" s="286"/>
      <c r="FC74" s="286"/>
      <c r="FD74" s="286"/>
      <c r="FE74" s="286"/>
      <c r="FF74" s="286"/>
      <c r="FG74" s="286"/>
      <c r="FH74" s="286"/>
      <c r="FI74" s="286"/>
      <c r="FJ74" s="286"/>
      <c r="FK74" s="286"/>
      <c r="FL74" s="286"/>
      <c r="FM74" s="286"/>
      <c r="FN74" s="286"/>
      <c r="FO74" s="286"/>
      <c r="FP74" s="286"/>
      <c r="FQ74" s="286"/>
      <c r="FR74" s="286"/>
      <c r="FS74" s="286"/>
      <c r="FT74" s="286"/>
      <c r="FU74" s="286"/>
      <c r="FV74" s="286"/>
      <c r="FW74" s="286"/>
      <c r="FX74" s="286"/>
      <c r="FY74" s="286"/>
      <c r="FZ74" s="286"/>
      <c r="GA74" s="286"/>
      <c r="GB74" s="286"/>
      <c r="GC74" s="286"/>
      <c r="GD74" s="286"/>
      <c r="GE74" s="286"/>
      <c r="GF74" s="286"/>
      <c r="GG74" s="286"/>
      <c r="GH74" s="286"/>
      <c r="GI74" s="286"/>
      <c r="GJ74" s="286"/>
      <c r="GK74" s="286"/>
      <c r="GL74" s="286"/>
      <c r="GM74" s="286"/>
      <c r="GN74" s="286"/>
      <c r="GO74" s="286"/>
      <c r="GP74" s="286"/>
      <c r="GQ74" s="286"/>
      <c r="GR74" s="286"/>
      <c r="GS74" s="286"/>
      <c r="GT74" s="286"/>
      <c r="GU74" s="286"/>
      <c r="GV74" s="286"/>
      <c r="GW74" s="286"/>
      <c r="GX74" s="286"/>
      <c r="GY74" s="286"/>
      <c r="GZ74" s="286"/>
      <c r="HA74" s="286"/>
      <c r="HB74" s="286"/>
      <c r="HC74" s="286"/>
      <c r="HD74" s="286"/>
      <c r="HE74" s="286"/>
      <c r="HF74" s="286"/>
      <c r="HG74" s="286"/>
      <c r="HH74" s="286"/>
      <c r="HI74" s="286"/>
      <c r="HJ74" s="286"/>
      <c r="HK74" s="286"/>
      <c r="HL74" s="286"/>
      <c r="HM74" s="286"/>
      <c r="HN74" s="286"/>
      <c r="HO74" s="286"/>
      <c r="HP74" s="286"/>
      <c r="HQ74" s="286"/>
      <c r="HR74" s="286"/>
      <c r="HS74" s="286"/>
      <c r="HT74" s="286"/>
      <c r="HU74" s="286"/>
      <c r="HV74" s="286"/>
      <c r="HW74" s="286"/>
      <c r="HX74" s="286"/>
      <c r="HY74" s="286"/>
      <c r="HZ74" s="286"/>
      <c r="IA74" s="286"/>
      <c r="IB74" s="286"/>
      <c r="IC74" s="286"/>
      <c r="ID74" s="286"/>
      <c r="IE74" s="286"/>
      <c r="IF74" s="286"/>
      <c r="IG74" s="286"/>
      <c r="IH74" s="286"/>
      <c r="II74" s="286"/>
      <c r="IJ74" s="286"/>
      <c r="IK74" s="286"/>
      <c r="IL74" s="286"/>
      <c r="IM74" s="286"/>
      <c r="IN74" s="286"/>
      <c r="IO74" s="286"/>
      <c r="IP74" s="286"/>
      <c r="IQ74" s="286"/>
      <c r="IR74" s="286"/>
      <c r="IS74" s="286"/>
      <c r="IT74" s="286"/>
      <c r="IU74" s="286"/>
      <c r="IV74" s="286"/>
      <c r="IW74" s="286"/>
      <c r="IX74" s="286"/>
      <c r="IY74" s="286"/>
      <c r="IZ74" s="286"/>
      <c r="JA74" s="286"/>
      <c r="JB74" s="286"/>
      <c r="JC74" s="286"/>
      <c r="JD74" s="286"/>
      <c r="JE74" s="286"/>
      <c r="JF74" s="286"/>
      <c r="JG74" s="286"/>
      <c r="JH74" s="286"/>
      <c r="JI74" s="287">
        <f t="shared" si="3"/>
        <v>0</v>
      </c>
      <c r="JJ74" s="301"/>
      <c r="JK74" s="288"/>
      <c r="JL74" s="286">
        <f t="shared" si="2"/>
        <v>0</v>
      </c>
      <c r="JM74" s="290"/>
      <c r="JN74" s="289"/>
      <c r="JO74" s="289"/>
      <c r="JP74" s="286">
        <f t="shared" si="4"/>
        <v>0</v>
      </c>
    </row>
    <row r="75" spans="1:276" ht="15.6" x14ac:dyDescent="0.3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286"/>
      <c r="AO75" s="286"/>
      <c r="AP75" s="286"/>
      <c r="AQ75" s="286"/>
      <c r="AR75" s="286"/>
      <c r="AS75" s="286"/>
      <c r="AT75" s="286"/>
      <c r="AU75" s="286"/>
      <c r="AV75" s="286"/>
      <c r="AW75" s="286"/>
      <c r="AX75" s="286"/>
      <c r="AY75" s="286"/>
      <c r="AZ75" s="286"/>
      <c r="BA75" s="286"/>
      <c r="BB75" s="286"/>
      <c r="BC75" s="286"/>
      <c r="BD75" s="286"/>
      <c r="BE75" s="286"/>
      <c r="BF75" s="286"/>
      <c r="BG75" s="286"/>
      <c r="BH75" s="286"/>
      <c r="BI75" s="286"/>
      <c r="BJ75" s="286"/>
      <c r="BK75" s="286"/>
      <c r="BL75" s="286"/>
      <c r="BM75" s="286"/>
      <c r="BN75" s="286"/>
      <c r="BO75" s="286"/>
      <c r="BP75" s="286"/>
      <c r="BQ75" s="286"/>
      <c r="BR75" s="286"/>
      <c r="BS75" s="286"/>
      <c r="BT75" s="286"/>
      <c r="BU75" s="286"/>
      <c r="BV75" s="286"/>
      <c r="BW75" s="286"/>
      <c r="BX75" s="286"/>
      <c r="BY75" s="286"/>
      <c r="BZ75" s="286"/>
      <c r="CA75" s="286"/>
      <c r="CB75" s="286"/>
      <c r="CC75" s="286"/>
      <c r="CD75" s="286"/>
      <c r="CE75" s="286"/>
      <c r="CF75" s="286"/>
      <c r="CG75" s="286"/>
      <c r="CH75" s="286"/>
      <c r="CI75" s="286"/>
      <c r="CJ75" s="286"/>
      <c r="CK75" s="286"/>
      <c r="CL75" s="286"/>
      <c r="CM75" s="286"/>
      <c r="CN75" s="286"/>
      <c r="CO75" s="286"/>
      <c r="CP75" s="286"/>
      <c r="CQ75" s="286"/>
      <c r="CR75" s="286"/>
      <c r="CS75" s="286"/>
      <c r="CT75" s="286"/>
      <c r="CU75" s="286"/>
      <c r="CV75" s="286"/>
      <c r="CW75" s="286"/>
      <c r="CX75" s="286"/>
      <c r="CY75" s="286"/>
      <c r="CZ75" s="286"/>
      <c r="DA75" s="286"/>
      <c r="DB75" s="286"/>
      <c r="DC75" s="286"/>
      <c r="DD75" s="286"/>
      <c r="DE75" s="286"/>
      <c r="DF75" s="286"/>
      <c r="DG75" s="286"/>
      <c r="DH75" s="286"/>
      <c r="DI75" s="286"/>
      <c r="DJ75" s="286"/>
      <c r="DK75" s="286"/>
      <c r="DL75" s="286"/>
      <c r="DM75" s="286"/>
      <c r="DN75" s="286"/>
      <c r="DO75" s="286"/>
      <c r="DP75" s="286"/>
      <c r="DQ75" s="286"/>
      <c r="DR75" s="286"/>
      <c r="DS75" s="286"/>
      <c r="DT75" s="286"/>
      <c r="DU75" s="286"/>
      <c r="DV75" s="286"/>
      <c r="DW75" s="286"/>
      <c r="DX75" s="286"/>
      <c r="DY75" s="286"/>
      <c r="DZ75" s="286"/>
      <c r="EA75" s="286"/>
      <c r="EB75" s="286"/>
      <c r="EC75" s="286"/>
      <c r="ED75" s="286"/>
      <c r="EE75" s="286"/>
      <c r="EF75" s="286"/>
      <c r="EG75" s="286"/>
      <c r="EH75" s="286"/>
      <c r="EI75" s="286"/>
      <c r="EJ75" s="286"/>
      <c r="EK75" s="286"/>
      <c r="EL75" s="286"/>
      <c r="EM75" s="286"/>
      <c r="EN75" s="286"/>
      <c r="EO75" s="286"/>
      <c r="EP75" s="286"/>
      <c r="EQ75" s="286"/>
      <c r="ER75" s="286"/>
      <c r="ES75" s="286"/>
      <c r="ET75" s="286"/>
      <c r="EU75" s="286"/>
      <c r="EV75" s="286"/>
      <c r="EW75" s="286"/>
      <c r="EX75" s="286"/>
      <c r="EY75" s="286"/>
      <c r="EZ75" s="286"/>
      <c r="FA75" s="286"/>
      <c r="FB75" s="286"/>
      <c r="FC75" s="286"/>
      <c r="FD75" s="286"/>
      <c r="FE75" s="286"/>
      <c r="FF75" s="286"/>
      <c r="FG75" s="286"/>
      <c r="FH75" s="286"/>
      <c r="FI75" s="286"/>
      <c r="FJ75" s="286"/>
      <c r="FK75" s="286"/>
      <c r="FL75" s="286"/>
      <c r="FM75" s="286"/>
      <c r="FN75" s="286"/>
      <c r="FO75" s="286"/>
      <c r="FP75" s="286"/>
      <c r="FQ75" s="286"/>
      <c r="FR75" s="286"/>
      <c r="FS75" s="286"/>
      <c r="FT75" s="286"/>
      <c r="FU75" s="286"/>
      <c r="FV75" s="286"/>
      <c r="FW75" s="286"/>
      <c r="FX75" s="286"/>
      <c r="FY75" s="286"/>
      <c r="FZ75" s="286"/>
      <c r="GA75" s="286"/>
      <c r="GB75" s="286"/>
      <c r="GC75" s="286"/>
      <c r="GD75" s="286"/>
      <c r="GE75" s="286"/>
      <c r="GF75" s="286"/>
      <c r="GG75" s="286"/>
      <c r="GH75" s="286"/>
      <c r="GI75" s="286"/>
      <c r="GJ75" s="286"/>
      <c r="GK75" s="286"/>
      <c r="GL75" s="286"/>
      <c r="GM75" s="286"/>
      <c r="GN75" s="286"/>
      <c r="GO75" s="286"/>
      <c r="GP75" s="286"/>
      <c r="GQ75" s="286"/>
      <c r="GR75" s="286"/>
      <c r="GS75" s="286"/>
      <c r="GT75" s="286"/>
      <c r="GU75" s="286"/>
      <c r="GV75" s="286"/>
      <c r="GW75" s="286"/>
      <c r="GX75" s="286"/>
      <c r="GY75" s="286"/>
      <c r="GZ75" s="286"/>
      <c r="HA75" s="286"/>
      <c r="HB75" s="286"/>
      <c r="HC75" s="286"/>
      <c r="HD75" s="286"/>
      <c r="HE75" s="286"/>
      <c r="HF75" s="286"/>
      <c r="HG75" s="286"/>
      <c r="HH75" s="286"/>
      <c r="HI75" s="286"/>
      <c r="HJ75" s="286"/>
      <c r="HK75" s="286"/>
      <c r="HL75" s="286"/>
      <c r="HM75" s="286"/>
      <c r="HN75" s="286"/>
      <c r="HO75" s="286"/>
      <c r="HP75" s="286"/>
      <c r="HQ75" s="286"/>
      <c r="HR75" s="286"/>
      <c r="HS75" s="286"/>
      <c r="HT75" s="286"/>
      <c r="HU75" s="286"/>
      <c r="HV75" s="286"/>
      <c r="HW75" s="286"/>
      <c r="HX75" s="286"/>
      <c r="HY75" s="286"/>
      <c r="HZ75" s="286"/>
      <c r="IA75" s="286"/>
      <c r="IB75" s="286"/>
      <c r="IC75" s="286"/>
      <c r="ID75" s="286"/>
      <c r="IE75" s="286"/>
      <c r="IF75" s="286"/>
      <c r="IG75" s="286"/>
      <c r="IH75" s="286"/>
      <c r="II75" s="286"/>
      <c r="IJ75" s="286"/>
      <c r="IK75" s="286"/>
      <c r="IL75" s="286"/>
      <c r="IM75" s="286"/>
      <c r="IN75" s="286"/>
      <c r="IO75" s="286"/>
      <c r="IP75" s="286"/>
      <c r="IQ75" s="286"/>
      <c r="IR75" s="286"/>
      <c r="IS75" s="286"/>
      <c r="IT75" s="286"/>
      <c r="IU75" s="286"/>
      <c r="IV75" s="286"/>
      <c r="IW75" s="286"/>
      <c r="IX75" s="286"/>
      <c r="IY75" s="286"/>
      <c r="IZ75" s="286"/>
      <c r="JA75" s="286"/>
      <c r="JB75" s="286"/>
      <c r="JC75" s="286"/>
      <c r="JD75" s="286"/>
      <c r="JE75" s="286"/>
      <c r="JF75" s="286"/>
      <c r="JG75" s="286"/>
      <c r="JH75" s="286"/>
      <c r="JI75" s="287">
        <f t="shared" si="3"/>
        <v>0</v>
      </c>
      <c r="JJ75" s="301"/>
      <c r="JK75" s="288"/>
      <c r="JL75" s="286">
        <f t="shared" si="2"/>
        <v>0</v>
      </c>
      <c r="JM75" s="290"/>
      <c r="JN75" s="289"/>
      <c r="JO75" s="289"/>
      <c r="JP75" s="286">
        <f t="shared" si="4"/>
        <v>0</v>
      </c>
    </row>
    <row r="76" spans="1:276" ht="15.6" x14ac:dyDescent="0.3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286"/>
      <c r="AO76" s="286"/>
      <c r="AP76" s="286"/>
      <c r="AQ76" s="286"/>
      <c r="AR76" s="286"/>
      <c r="AS76" s="286"/>
      <c r="AT76" s="286"/>
      <c r="AU76" s="286"/>
      <c r="AV76" s="286"/>
      <c r="AW76" s="286"/>
      <c r="AX76" s="286"/>
      <c r="AY76" s="286"/>
      <c r="AZ76" s="286"/>
      <c r="BA76" s="286"/>
      <c r="BB76" s="286"/>
      <c r="BC76" s="286"/>
      <c r="BD76" s="286"/>
      <c r="BE76" s="286"/>
      <c r="BF76" s="286"/>
      <c r="BG76" s="286"/>
      <c r="BH76" s="286"/>
      <c r="BI76" s="286"/>
      <c r="BJ76" s="286"/>
      <c r="BK76" s="286"/>
      <c r="BL76" s="286"/>
      <c r="BM76" s="286"/>
      <c r="BN76" s="286"/>
      <c r="BO76" s="286"/>
      <c r="BP76" s="286"/>
      <c r="BQ76" s="286"/>
      <c r="BR76" s="286"/>
      <c r="BS76" s="286"/>
      <c r="BT76" s="286"/>
      <c r="BU76" s="286"/>
      <c r="BV76" s="286"/>
      <c r="BW76" s="286"/>
      <c r="BX76" s="286"/>
      <c r="BY76" s="286"/>
      <c r="BZ76" s="286"/>
      <c r="CA76" s="286"/>
      <c r="CB76" s="286"/>
      <c r="CC76" s="286"/>
      <c r="CD76" s="286"/>
      <c r="CE76" s="286"/>
      <c r="CF76" s="286"/>
      <c r="CG76" s="286"/>
      <c r="CH76" s="286"/>
      <c r="CI76" s="286"/>
      <c r="CJ76" s="286"/>
      <c r="CK76" s="286"/>
      <c r="CL76" s="286"/>
      <c r="CM76" s="286"/>
      <c r="CN76" s="286"/>
      <c r="CO76" s="286"/>
      <c r="CP76" s="286">
        <v>13357.35</v>
      </c>
      <c r="CQ76" s="286"/>
      <c r="CR76" s="286"/>
      <c r="CS76" s="286"/>
      <c r="CT76" s="286"/>
      <c r="CU76" s="286"/>
      <c r="CV76" s="286"/>
      <c r="CW76" s="286"/>
      <c r="CX76" s="286"/>
      <c r="CY76" s="286"/>
      <c r="CZ76" s="286"/>
      <c r="DA76" s="286"/>
      <c r="DB76" s="286"/>
      <c r="DC76" s="286"/>
      <c r="DD76" s="286"/>
      <c r="DE76" s="286"/>
      <c r="DF76" s="286"/>
      <c r="DG76" s="286"/>
      <c r="DH76" s="286"/>
      <c r="DI76" s="286"/>
      <c r="DJ76" s="286"/>
      <c r="DK76" s="286"/>
      <c r="DL76" s="286"/>
      <c r="DM76" s="286"/>
      <c r="DN76" s="286"/>
      <c r="DO76" s="286"/>
      <c r="DP76" s="286"/>
      <c r="DQ76" s="286"/>
      <c r="DR76" s="286"/>
      <c r="DS76" s="286"/>
      <c r="DT76" s="286"/>
      <c r="DU76" s="286"/>
      <c r="DV76" s="286"/>
      <c r="DW76" s="286"/>
      <c r="DX76" s="286"/>
      <c r="DY76" s="286"/>
      <c r="DZ76" s="286"/>
      <c r="EA76" s="286"/>
      <c r="EB76" s="286"/>
      <c r="EC76" s="286"/>
      <c r="ED76" s="286"/>
      <c r="EE76" s="286"/>
      <c r="EF76" s="286"/>
      <c r="EG76" s="286"/>
      <c r="EH76" s="286"/>
      <c r="EI76" s="286"/>
      <c r="EJ76" s="286"/>
      <c r="EK76" s="286"/>
      <c r="EL76" s="286"/>
      <c r="EM76" s="286"/>
      <c r="EN76" s="286"/>
      <c r="EO76" s="286"/>
      <c r="EP76" s="286"/>
      <c r="EQ76" s="286"/>
      <c r="ER76" s="286"/>
      <c r="ES76" s="286"/>
      <c r="ET76" s="286"/>
      <c r="EU76" s="286"/>
      <c r="EV76" s="286"/>
      <c r="EW76" s="286"/>
      <c r="EX76" s="286"/>
      <c r="EY76" s="286"/>
      <c r="EZ76" s="286"/>
      <c r="FA76" s="286"/>
      <c r="FB76" s="286"/>
      <c r="FC76" s="286"/>
      <c r="FD76" s="286"/>
      <c r="FE76" s="286"/>
      <c r="FF76" s="286"/>
      <c r="FG76" s="286"/>
      <c r="FH76" s="286"/>
      <c r="FI76" s="286"/>
      <c r="FJ76" s="286"/>
      <c r="FK76" s="286"/>
      <c r="FL76" s="286"/>
      <c r="FM76" s="286"/>
      <c r="FN76" s="286"/>
      <c r="FO76" s="286"/>
      <c r="FP76" s="286"/>
      <c r="FQ76" s="286"/>
      <c r="FR76" s="286"/>
      <c r="FS76" s="286"/>
      <c r="FT76" s="286"/>
      <c r="FU76" s="286"/>
      <c r="FV76" s="286"/>
      <c r="FW76" s="286"/>
      <c r="FX76" s="286"/>
      <c r="FY76" s="286"/>
      <c r="FZ76" s="286"/>
      <c r="GA76" s="286"/>
      <c r="GB76" s="286"/>
      <c r="GC76" s="286"/>
      <c r="GD76" s="286"/>
      <c r="GE76" s="286"/>
      <c r="GF76" s="286"/>
      <c r="GG76" s="286"/>
      <c r="GH76" s="286"/>
      <c r="GI76" s="286"/>
      <c r="GJ76" s="286"/>
      <c r="GK76" s="286"/>
      <c r="GL76" s="286"/>
      <c r="GM76" s="286"/>
      <c r="GN76" s="286"/>
      <c r="GO76" s="286"/>
      <c r="GP76" s="286"/>
      <c r="GQ76" s="286"/>
      <c r="GR76" s="286"/>
      <c r="GS76" s="286"/>
      <c r="GT76" s="286"/>
      <c r="GU76" s="286"/>
      <c r="GV76" s="286"/>
      <c r="GW76" s="286"/>
      <c r="GX76" s="286"/>
      <c r="GY76" s="286"/>
      <c r="GZ76" s="286"/>
      <c r="HA76" s="286"/>
      <c r="HB76" s="286"/>
      <c r="HC76" s="286"/>
      <c r="HD76" s="286"/>
      <c r="HE76" s="286"/>
      <c r="HF76" s="286"/>
      <c r="HG76" s="286"/>
      <c r="HH76" s="286"/>
      <c r="HI76" s="286"/>
      <c r="HJ76" s="286"/>
      <c r="HK76" s="286"/>
      <c r="HL76" s="286"/>
      <c r="HM76" s="286"/>
      <c r="HN76" s="286"/>
      <c r="HO76" s="286"/>
      <c r="HP76" s="286"/>
      <c r="HQ76" s="286"/>
      <c r="HR76" s="286"/>
      <c r="HS76" s="286"/>
      <c r="HT76" s="286"/>
      <c r="HU76" s="286"/>
      <c r="HV76" s="286"/>
      <c r="HW76" s="286"/>
      <c r="HX76" s="286"/>
      <c r="HY76" s="286"/>
      <c r="HZ76" s="286"/>
      <c r="IA76" s="286"/>
      <c r="IB76" s="286"/>
      <c r="IC76" s="286"/>
      <c r="ID76" s="286"/>
      <c r="IE76" s="286"/>
      <c r="IF76" s="286"/>
      <c r="IG76" s="286"/>
      <c r="IH76" s="286"/>
      <c r="II76" s="286"/>
      <c r="IJ76" s="286"/>
      <c r="IK76" s="286"/>
      <c r="IL76" s="286"/>
      <c r="IM76" s="286"/>
      <c r="IN76" s="286"/>
      <c r="IO76" s="286"/>
      <c r="IP76" s="286"/>
      <c r="IQ76" s="286"/>
      <c r="IR76" s="286"/>
      <c r="IS76" s="286"/>
      <c r="IT76" s="286"/>
      <c r="IU76" s="286"/>
      <c r="IV76" s="286"/>
      <c r="IW76" s="286"/>
      <c r="IX76" s="286"/>
      <c r="IY76" s="286"/>
      <c r="IZ76" s="286"/>
      <c r="JA76" s="286"/>
      <c r="JB76" s="286"/>
      <c r="JC76" s="286"/>
      <c r="JD76" s="286"/>
      <c r="JE76" s="286"/>
      <c r="JF76" s="286"/>
      <c r="JG76" s="286"/>
      <c r="JH76" s="286"/>
      <c r="JI76" s="287">
        <f t="shared" si="3"/>
        <v>13357.35</v>
      </c>
      <c r="JJ76" s="301"/>
      <c r="JK76" s="288"/>
      <c r="JL76" s="286">
        <f t="shared" si="2"/>
        <v>13357.35</v>
      </c>
      <c r="JM76" s="290"/>
      <c r="JN76" s="289"/>
      <c r="JO76" s="289"/>
      <c r="JP76" s="286">
        <f t="shared" si="4"/>
        <v>0</v>
      </c>
    </row>
    <row r="77" spans="1:276" ht="15.6" x14ac:dyDescent="0.3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286"/>
      <c r="AO77" s="286"/>
      <c r="AP77" s="286"/>
      <c r="AQ77" s="286"/>
      <c r="AR77" s="286"/>
      <c r="AS77" s="286"/>
      <c r="AT77" s="286"/>
      <c r="AU77" s="286"/>
      <c r="AV77" s="286"/>
      <c r="AW77" s="286"/>
      <c r="AX77" s="286"/>
      <c r="AY77" s="286"/>
      <c r="AZ77" s="286"/>
      <c r="BA77" s="286"/>
      <c r="BB77" s="286"/>
      <c r="BC77" s="286"/>
      <c r="BD77" s="286"/>
      <c r="BE77" s="286"/>
      <c r="BF77" s="286"/>
      <c r="BG77" s="286"/>
      <c r="BH77" s="286"/>
      <c r="BI77" s="286"/>
      <c r="BJ77" s="286"/>
      <c r="BK77" s="286"/>
      <c r="BL77" s="286"/>
      <c r="BM77" s="286"/>
      <c r="BN77" s="286"/>
      <c r="BO77" s="286"/>
      <c r="BP77" s="286"/>
      <c r="BQ77" s="286"/>
      <c r="BR77" s="286"/>
      <c r="BS77" s="286"/>
      <c r="BT77" s="286"/>
      <c r="BU77" s="286"/>
      <c r="BV77" s="286"/>
      <c r="BW77" s="286"/>
      <c r="BX77" s="286"/>
      <c r="BY77" s="286"/>
      <c r="BZ77" s="286"/>
      <c r="CA77" s="286"/>
      <c r="CB77" s="286"/>
      <c r="CC77" s="286"/>
      <c r="CD77" s="286"/>
      <c r="CE77" s="286"/>
      <c r="CF77" s="286"/>
      <c r="CG77" s="286"/>
      <c r="CH77" s="286"/>
      <c r="CI77" s="286"/>
      <c r="CJ77" s="286"/>
      <c r="CK77" s="286"/>
      <c r="CL77" s="286"/>
      <c r="CM77" s="286"/>
      <c r="CN77" s="286"/>
      <c r="CO77" s="286"/>
      <c r="CP77" s="286"/>
      <c r="CQ77" s="286"/>
      <c r="CR77" s="286"/>
      <c r="CS77" s="286"/>
      <c r="CT77" s="286"/>
      <c r="CU77" s="286"/>
      <c r="CV77" s="286"/>
      <c r="CW77" s="286"/>
      <c r="CX77" s="286"/>
      <c r="CY77" s="286"/>
      <c r="CZ77" s="286"/>
      <c r="DA77" s="286"/>
      <c r="DB77" s="286"/>
      <c r="DC77" s="286"/>
      <c r="DD77" s="286"/>
      <c r="DE77" s="286"/>
      <c r="DF77" s="286"/>
      <c r="DG77" s="286"/>
      <c r="DH77" s="286"/>
      <c r="DI77" s="286"/>
      <c r="DJ77" s="286"/>
      <c r="DK77" s="286"/>
      <c r="DL77" s="286"/>
      <c r="DM77" s="286"/>
      <c r="DN77" s="286"/>
      <c r="DO77" s="286"/>
      <c r="DP77" s="286"/>
      <c r="DQ77" s="286"/>
      <c r="DR77" s="286"/>
      <c r="DS77" s="286"/>
      <c r="DT77" s="286"/>
      <c r="DU77" s="286"/>
      <c r="DV77" s="286"/>
      <c r="DW77" s="286"/>
      <c r="DX77" s="286"/>
      <c r="DY77" s="286"/>
      <c r="DZ77" s="286"/>
      <c r="EA77" s="286"/>
      <c r="EB77" s="286"/>
      <c r="EC77" s="286"/>
      <c r="ED77" s="286"/>
      <c r="EE77" s="286"/>
      <c r="EF77" s="286"/>
      <c r="EG77" s="286"/>
      <c r="EH77" s="286"/>
      <c r="EI77" s="286"/>
      <c r="EJ77" s="286"/>
      <c r="EK77" s="286"/>
      <c r="EL77" s="286"/>
      <c r="EM77" s="286"/>
      <c r="EN77" s="286"/>
      <c r="EO77" s="286"/>
      <c r="EP77" s="286"/>
      <c r="EQ77" s="286"/>
      <c r="ER77" s="286"/>
      <c r="ES77" s="286"/>
      <c r="ET77" s="286"/>
      <c r="EU77" s="286"/>
      <c r="EV77" s="286"/>
      <c r="EW77" s="286"/>
      <c r="EX77" s="286"/>
      <c r="EY77" s="286"/>
      <c r="EZ77" s="286"/>
      <c r="FA77" s="286"/>
      <c r="FB77" s="286"/>
      <c r="FC77" s="286"/>
      <c r="FD77" s="286"/>
      <c r="FE77" s="286"/>
      <c r="FF77" s="286"/>
      <c r="FG77" s="286"/>
      <c r="FH77" s="286"/>
      <c r="FI77" s="286"/>
      <c r="FJ77" s="286"/>
      <c r="FK77" s="286"/>
      <c r="FL77" s="286"/>
      <c r="FM77" s="286"/>
      <c r="FN77" s="286"/>
      <c r="FO77" s="286"/>
      <c r="FP77" s="286"/>
      <c r="FQ77" s="286"/>
      <c r="FR77" s="286"/>
      <c r="FS77" s="286"/>
      <c r="FT77" s="286"/>
      <c r="FU77" s="286"/>
      <c r="FV77" s="286"/>
      <c r="FW77" s="286"/>
      <c r="FX77" s="286"/>
      <c r="FY77" s="286"/>
      <c r="FZ77" s="286"/>
      <c r="GA77" s="286"/>
      <c r="GB77" s="286"/>
      <c r="GC77" s="286"/>
      <c r="GD77" s="286"/>
      <c r="GE77" s="286"/>
      <c r="GF77" s="286"/>
      <c r="GG77" s="286"/>
      <c r="GH77" s="286"/>
      <c r="GI77" s="286"/>
      <c r="GJ77" s="286"/>
      <c r="GK77" s="286"/>
      <c r="GL77" s="286"/>
      <c r="GM77" s="286"/>
      <c r="GN77" s="286"/>
      <c r="GO77" s="286"/>
      <c r="GP77" s="286"/>
      <c r="GQ77" s="286"/>
      <c r="GR77" s="286"/>
      <c r="GS77" s="286"/>
      <c r="GT77" s="286"/>
      <c r="GU77" s="286"/>
      <c r="GV77" s="286"/>
      <c r="GW77" s="286"/>
      <c r="GX77" s="286"/>
      <c r="GY77" s="286"/>
      <c r="GZ77" s="286"/>
      <c r="HA77" s="286"/>
      <c r="HB77" s="286"/>
      <c r="HC77" s="286"/>
      <c r="HD77" s="286"/>
      <c r="HE77" s="286"/>
      <c r="HF77" s="286"/>
      <c r="HG77" s="286"/>
      <c r="HH77" s="286"/>
      <c r="HI77" s="286"/>
      <c r="HJ77" s="286"/>
      <c r="HK77" s="286"/>
      <c r="HL77" s="286"/>
      <c r="HM77" s="286"/>
      <c r="HN77" s="286"/>
      <c r="HO77" s="286"/>
      <c r="HP77" s="286"/>
      <c r="HQ77" s="286"/>
      <c r="HR77" s="286"/>
      <c r="HS77" s="286"/>
      <c r="HT77" s="286"/>
      <c r="HU77" s="286"/>
      <c r="HV77" s="286"/>
      <c r="HW77" s="286"/>
      <c r="HX77" s="286"/>
      <c r="HY77" s="286"/>
      <c r="HZ77" s="286"/>
      <c r="IA77" s="286"/>
      <c r="IB77" s="286"/>
      <c r="IC77" s="286"/>
      <c r="ID77" s="286"/>
      <c r="IE77" s="286"/>
      <c r="IF77" s="286"/>
      <c r="IG77" s="286"/>
      <c r="IH77" s="286"/>
      <c r="II77" s="286"/>
      <c r="IJ77" s="286"/>
      <c r="IK77" s="286"/>
      <c r="IL77" s="286"/>
      <c r="IM77" s="286"/>
      <c r="IN77" s="286"/>
      <c r="IO77" s="286"/>
      <c r="IP77" s="286"/>
      <c r="IQ77" s="286"/>
      <c r="IR77" s="286"/>
      <c r="IS77" s="286"/>
      <c r="IT77" s="286"/>
      <c r="IU77" s="286"/>
      <c r="IV77" s="286"/>
      <c r="IW77" s="286"/>
      <c r="IX77" s="286"/>
      <c r="IY77" s="286"/>
      <c r="IZ77" s="286"/>
      <c r="JA77" s="286"/>
      <c r="JB77" s="286"/>
      <c r="JC77" s="286"/>
      <c r="JD77" s="286"/>
      <c r="JE77" s="286"/>
      <c r="JF77" s="286"/>
      <c r="JG77" s="286"/>
      <c r="JH77" s="286"/>
      <c r="JI77" s="287">
        <f t="shared" si="3"/>
        <v>0</v>
      </c>
      <c r="JJ77" s="301"/>
      <c r="JK77" s="288"/>
      <c r="JL77" s="286">
        <f t="shared" si="2"/>
        <v>0</v>
      </c>
      <c r="JM77" s="290"/>
      <c r="JN77" s="289"/>
      <c r="JO77" s="289"/>
      <c r="JP77" s="286">
        <f t="shared" si="4"/>
        <v>0</v>
      </c>
    </row>
    <row r="78" spans="1:276" ht="15.6" x14ac:dyDescent="0.3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/>
      <c r="AZ78" s="286"/>
      <c r="BA78" s="286"/>
      <c r="BB78" s="286"/>
      <c r="BC78" s="286"/>
      <c r="BD78" s="286"/>
      <c r="BE78" s="286"/>
      <c r="BF78" s="286"/>
      <c r="BG78" s="286"/>
      <c r="BH78" s="286"/>
      <c r="BI78" s="286"/>
      <c r="BJ78" s="286"/>
      <c r="BK78" s="286"/>
      <c r="BL78" s="286"/>
      <c r="BM78" s="286"/>
      <c r="BN78" s="286"/>
      <c r="BO78" s="286"/>
      <c r="BP78" s="286"/>
      <c r="BQ78" s="286"/>
      <c r="BR78" s="286"/>
      <c r="BS78" s="286"/>
      <c r="BT78" s="286"/>
      <c r="BU78" s="286"/>
      <c r="BV78" s="286"/>
      <c r="BW78" s="286"/>
      <c r="BX78" s="286"/>
      <c r="BY78" s="286"/>
      <c r="BZ78" s="286"/>
      <c r="CA78" s="286"/>
      <c r="CB78" s="286"/>
      <c r="CC78" s="286"/>
      <c r="CD78" s="286"/>
      <c r="CE78" s="286"/>
      <c r="CF78" s="286"/>
      <c r="CG78" s="286"/>
      <c r="CH78" s="286"/>
      <c r="CI78" s="286"/>
      <c r="CJ78" s="286"/>
      <c r="CK78" s="286"/>
      <c r="CL78" s="286"/>
      <c r="CM78" s="286"/>
      <c r="CN78" s="286"/>
      <c r="CO78" s="286"/>
      <c r="CP78" s="286"/>
      <c r="CQ78" s="286"/>
      <c r="CR78" s="286"/>
      <c r="CS78" s="286"/>
      <c r="CT78" s="286"/>
      <c r="CU78" s="286"/>
      <c r="CV78" s="286"/>
      <c r="CW78" s="286"/>
      <c r="CX78" s="286"/>
      <c r="CY78" s="286"/>
      <c r="CZ78" s="286"/>
      <c r="DA78" s="286"/>
      <c r="DB78" s="286"/>
      <c r="DC78" s="286"/>
      <c r="DD78" s="286"/>
      <c r="DE78" s="286"/>
      <c r="DF78" s="286"/>
      <c r="DG78" s="286"/>
      <c r="DH78" s="286"/>
      <c r="DI78" s="286"/>
      <c r="DJ78" s="286"/>
      <c r="DK78" s="286"/>
      <c r="DL78" s="286"/>
      <c r="DM78" s="286"/>
      <c r="DN78" s="286"/>
      <c r="DO78" s="286"/>
      <c r="DP78" s="286"/>
      <c r="DQ78" s="286"/>
      <c r="DR78" s="286"/>
      <c r="DS78" s="286"/>
      <c r="DT78" s="286"/>
      <c r="DU78" s="286"/>
      <c r="DV78" s="286"/>
      <c r="DW78" s="286"/>
      <c r="DX78" s="286"/>
      <c r="DY78" s="286"/>
      <c r="DZ78" s="286"/>
      <c r="EA78" s="286"/>
      <c r="EB78" s="286"/>
      <c r="EC78" s="286"/>
      <c r="ED78" s="286"/>
      <c r="EE78" s="286"/>
      <c r="EF78" s="286"/>
      <c r="EG78" s="286"/>
      <c r="EH78" s="286"/>
      <c r="EI78" s="286"/>
      <c r="EJ78" s="286"/>
      <c r="EK78" s="286"/>
      <c r="EL78" s="286"/>
      <c r="EM78" s="286"/>
      <c r="EN78" s="286"/>
      <c r="EO78" s="286"/>
      <c r="EP78" s="286"/>
      <c r="EQ78" s="286"/>
      <c r="ER78" s="286"/>
      <c r="ES78" s="286"/>
      <c r="ET78" s="286"/>
      <c r="EU78" s="286"/>
      <c r="EV78" s="286"/>
      <c r="EW78" s="286"/>
      <c r="EX78" s="286"/>
      <c r="EY78" s="286"/>
      <c r="EZ78" s="286"/>
      <c r="FA78" s="286"/>
      <c r="FB78" s="286"/>
      <c r="FC78" s="286"/>
      <c r="FD78" s="286"/>
      <c r="FE78" s="286"/>
      <c r="FF78" s="286"/>
      <c r="FG78" s="286"/>
      <c r="FH78" s="286"/>
      <c r="FI78" s="286"/>
      <c r="FJ78" s="286"/>
      <c r="FK78" s="286"/>
      <c r="FL78" s="286"/>
      <c r="FM78" s="286"/>
      <c r="FN78" s="286"/>
      <c r="FO78" s="286"/>
      <c r="FP78" s="286"/>
      <c r="FQ78" s="286"/>
      <c r="FR78" s="286"/>
      <c r="FS78" s="286"/>
      <c r="FT78" s="286"/>
      <c r="FU78" s="286"/>
      <c r="FV78" s="286"/>
      <c r="FW78" s="286"/>
      <c r="FX78" s="286"/>
      <c r="FY78" s="286"/>
      <c r="FZ78" s="286"/>
      <c r="GA78" s="286"/>
      <c r="GB78" s="286"/>
      <c r="GC78" s="286"/>
      <c r="GD78" s="286"/>
      <c r="GE78" s="286"/>
      <c r="GF78" s="286"/>
      <c r="GG78" s="286"/>
      <c r="GH78" s="286"/>
      <c r="GI78" s="286"/>
      <c r="GJ78" s="286"/>
      <c r="GK78" s="286"/>
      <c r="GL78" s="286"/>
      <c r="GM78" s="286"/>
      <c r="GN78" s="286"/>
      <c r="GO78" s="286"/>
      <c r="GP78" s="286"/>
      <c r="GQ78" s="286"/>
      <c r="GR78" s="286"/>
      <c r="GS78" s="286"/>
      <c r="GT78" s="286"/>
      <c r="GU78" s="286"/>
      <c r="GV78" s="286"/>
      <c r="GW78" s="286"/>
      <c r="GX78" s="286"/>
      <c r="GY78" s="286"/>
      <c r="GZ78" s="286"/>
      <c r="HA78" s="286"/>
      <c r="HB78" s="286"/>
      <c r="HC78" s="286"/>
      <c r="HD78" s="286"/>
      <c r="HE78" s="286"/>
      <c r="HF78" s="286"/>
      <c r="HG78" s="286"/>
      <c r="HH78" s="286"/>
      <c r="HI78" s="286"/>
      <c r="HJ78" s="286"/>
      <c r="HK78" s="286"/>
      <c r="HL78" s="286"/>
      <c r="HM78" s="286"/>
      <c r="HN78" s="286"/>
      <c r="HO78" s="286"/>
      <c r="HP78" s="286"/>
      <c r="HQ78" s="286"/>
      <c r="HR78" s="286"/>
      <c r="HS78" s="286"/>
      <c r="HT78" s="286"/>
      <c r="HU78" s="286"/>
      <c r="HV78" s="286"/>
      <c r="HW78" s="286"/>
      <c r="HX78" s="286"/>
      <c r="HY78" s="286"/>
      <c r="HZ78" s="286"/>
      <c r="IA78" s="286"/>
      <c r="IB78" s="286"/>
      <c r="IC78" s="286"/>
      <c r="ID78" s="286"/>
      <c r="IE78" s="286"/>
      <c r="IF78" s="286"/>
      <c r="IG78" s="286"/>
      <c r="IH78" s="286"/>
      <c r="II78" s="286"/>
      <c r="IJ78" s="286"/>
      <c r="IK78" s="286"/>
      <c r="IL78" s="286"/>
      <c r="IM78" s="286"/>
      <c r="IN78" s="286"/>
      <c r="IO78" s="286"/>
      <c r="IP78" s="286"/>
      <c r="IQ78" s="286"/>
      <c r="IR78" s="286"/>
      <c r="IS78" s="286"/>
      <c r="IT78" s="286"/>
      <c r="IU78" s="286"/>
      <c r="IV78" s="286"/>
      <c r="IW78" s="286"/>
      <c r="IX78" s="286"/>
      <c r="IY78" s="286"/>
      <c r="IZ78" s="286"/>
      <c r="JA78" s="286"/>
      <c r="JB78" s="286"/>
      <c r="JC78" s="286"/>
      <c r="JD78" s="286"/>
      <c r="JE78" s="286"/>
      <c r="JF78" s="286"/>
      <c r="JG78" s="286"/>
      <c r="JH78" s="286"/>
      <c r="JI78" s="287">
        <f t="shared" si="3"/>
        <v>0</v>
      </c>
      <c r="JJ78" s="301"/>
      <c r="JK78" s="288"/>
      <c r="JL78" s="286">
        <f t="shared" si="2"/>
        <v>0</v>
      </c>
      <c r="JM78" s="290"/>
      <c r="JN78" s="289"/>
      <c r="JO78" s="289"/>
      <c r="JP78" s="286">
        <f t="shared" si="4"/>
        <v>0</v>
      </c>
    </row>
    <row r="79" spans="1:276" ht="15.6" x14ac:dyDescent="0.3">
      <c r="A79" s="286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6"/>
      <c r="AS79" s="286"/>
      <c r="AT79" s="286"/>
      <c r="AU79" s="286"/>
      <c r="AV79" s="286"/>
      <c r="AW79" s="286"/>
      <c r="AX79" s="286"/>
      <c r="AY79" s="286"/>
      <c r="AZ79" s="286"/>
      <c r="BA79" s="286"/>
      <c r="BB79" s="286"/>
      <c r="BC79" s="286"/>
      <c r="BD79" s="286"/>
      <c r="BE79" s="286"/>
      <c r="BF79" s="286"/>
      <c r="BG79" s="286"/>
      <c r="BH79" s="286"/>
      <c r="BI79" s="286"/>
      <c r="BJ79" s="286"/>
      <c r="BK79" s="286"/>
      <c r="BL79" s="286"/>
      <c r="BM79" s="286"/>
      <c r="BN79" s="286"/>
      <c r="BO79" s="286"/>
      <c r="BP79" s="286"/>
      <c r="BQ79" s="286"/>
      <c r="BR79" s="286"/>
      <c r="BS79" s="286"/>
      <c r="BT79" s="286"/>
      <c r="BU79" s="286"/>
      <c r="BV79" s="286"/>
      <c r="BW79" s="286"/>
      <c r="BX79" s="286"/>
      <c r="BY79" s="286"/>
      <c r="BZ79" s="286"/>
      <c r="CA79" s="286"/>
      <c r="CB79" s="286"/>
      <c r="CC79" s="286"/>
      <c r="CD79" s="286"/>
      <c r="CE79" s="286"/>
      <c r="CF79" s="286"/>
      <c r="CG79" s="286"/>
      <c r="CH79" s="286"/>
      <c r="CI79" s="286"/>
      <c r="CJ79" s="286"/>
      <c r="CK79" s="286"/>
      <c r="CL79" s="286"/>
      <c r="CM79" s="286"/>
      <c r="CN79" s="286"/>
      <c r="CO79" s="286"/>
      <c r="CP79" s="286"/>
      <c r="CQ79" s="286"/>
      <c r="CR79" s="286"/>
      <c r="CS79" s="286"/>
      <c r="CT79" s="286"/>
      <c r="CU79" s="286"/>
      <c r="CV79" s="286"/>
      <c r="CW79" s="286"/>
      <c r="CX79" s="286"/>
      <c r="CY79" s="286"/>
      <c r="CZ79" s="286"/>
      <c r="DA79" s="286"/>
      <c r="DB79" s="286"/>
      <c r="DC79" s="286"/>
      <c r="DD79" s="286"/>
      <c r="DE79" s="286"/>
      <c r="DF79" s="286"/>
      <c r="DG79" s="286"/>
      <c r="DH79" s="286"/>
      <c r="DI79" s="286"/>
      <c r="DJ79" s="286"/>
      <c r="DK79" s="286"/>
      <c r="DL79" s="286"/>
      <c r="DM79" s="286"/>
      <c r="DN79" s="286"/>
      <c r="DO79" s="286"/>
      <c r="DP79" s="286"/>
      <c r="DQ79" s="286"/>
      <c r="DR79" s="286"/>
      <c r="DS79" s="286"/>
      <c r="DT79" s="286"/>
      <c r="DU79" s="286"/>
      <c r="DV79" s="286"/>
      <c r="DW79" s="286"/>
      <c r="DX79" s="286"/>
      <c r="DY79" s="286"/>
      <c r="DZ79" s="286"/>
      <c r="EA79" s="286"/>
      <c r="EB79" s="286"/>
      <c r="EC79" s="286"/>
      <c r="ED79" s="286"/>
      <c r="EE79" s="286"/>
      <c r="EF79" s="286"/>
      <c r="EG79" s="286"/>
      <c r="EH79" s="286"/>
      <c r="EI79" s="286"/>
      <c r="EJ79" s="286"/>
      <c r="EK79" s="286"/>
      <c r="EL79" s="286"/>
      <c r="EM79" s="286"/>
      <c r="EN79" s="286"/>
      <c r="EO79" s="286"/>
      <c r="EP79" s="286"/>
      <c r="EQ79" s="286"/>
      <c r="ER79" s="286"/>
      <c r="ES79" s="286"/>
      <c r="ET79" s="286"/>
      <c r="EU79" s="286"/>
      <c r="EV79" s="286"/>
      <c r="EW79" s="286"/>
      <c r="EX79" s="286"/>
      <c r="EY79" s="286"/>
      <c r="EZ79" s="286"/>
      <c r="FA79" s="286"/>
      <c r="FB79" s="286"/>
      <c r="FC79" s="286"/>
      <c r="FD79" s="286"/>
      <c r="FE79" s="286"/>
      <c r="FF79" s="286"/>
      <c r="FG79" s="286"/>
      <c r="FH79" s="286"/>
      <c r="FI79" s="286"/>
      <c r="FJ79" s="286"/>
      <c r="FK79" s="286"/>
      <c r="FL79" s="286"/>
      <c r="FM79" s="286"/>
      <c r="FN79" s="286"/>
      <c r="FO79" s="286"/>
      <c r="FP79" s="286"/>
      <c r="FQ79" s="286"/>
      <c r="FR79" s="286"/>
      <c r="FS79" s="286"/>
      <c r="FT79" s="286"/>
      <c r="FU79" s="286"/>
      <c r="FV79" s="286"/>
      <c r="FW79" s="286"/>
      <c r="FX79" s="286"/>
      <c r="FY79" s="286"/>
      <c r="FZ79" s="286"/>
      <c r="GA79" s="286"/>
      <c r="GB79" s="286"/>
      <c r="GC79" s="286"/>
      <c r="GD79" s="286"/>
      <c r="GE79" s="286"/>
      <c r="GF79" s="286"/>
      <c r="GG79" s="286"/>
      <c r="GH79" s="286"/>
      <c r="GI79" s="286"/>
      <c r="GJ79" s="286"/>
      <c r="GK79" s="286"/>
      <c r="GL79" s="286"/>
      <c r="GM79" s="286"/>
      <c r="GN79" s="286"/>
      <c r="GO79" s="286"/>
      <c r="GP79" s="286"/>
      <c r="GQ79" s="286"/>
      <c r="GR79" s="286"/>
      <c r="GS79" s="286"/>
      <c r="GT79" s="286"/>
      <c r="GU79" s="286"/>
      <c r="GV79" s="286"/>
      <c r="GW79" s="286"/>
      <c r="GX79" s="286"/>
      <c r="GY79" s="286"/>
      <c r="GZ79" s="286"/>
      <c r="HA79" s="286"/>
      <c r="HB79" s="286"/>
      <c r="HC79" s="286"/>
      <c r="HD79" s="286"/>
      <c r="HE79" s="286"/>
      <c r="HF79" s="286"/>
      <c r="HG79" s="286"/>
      <c r="HH79" s="286"/>
      <c r="HI79" s="286"/>
      <c r="HJ79" s="286"/>
      <c r="HK79" s="286"/>
      <c r="HL79" s="286"/>
      <c r="HM79" s="286"/>
      <c r="HN79" s="286"/>
      <c r="HO79" s="286"/>
      <c r="HP79" s="286"/>
      <c r="HQ79" s="286"/>
      <c r="HR79" s="286"/>
      <c r="HS79" s="286"/>
      <c r="HT79" s="286"/>
      <c r="HU79" s="286"/>
      <c r="HV79" s="286"/>
      <c r="HW79" s="286"/>
      <c r="HX79" s="286"/>
      <c r="HY79" s="286"/>
      <c r="HZ79" s="286"/>
      <c r="IA79" s="286"/>
      <c r="IB79" s="286"/>
      <c r="IC79" s="286"/>
      <c r="ID79" s="286"/>
      <c r="IE79" s="286"/>
      <c r="IF79" s="286"/>
      <c r="IG79" s="286"/>
      <c r="IH79" s="286"/>
      <c r="II79" s="286"/>
      <c r="IJ79" s="286"/>
      <c r="IK79" s="286"/>
      <c r="IL79" s="286"/>
      <c r="IM79" s="286"/>
      <c r="IN79" s="286"/>
      <c r="IO79" s="286"/>
      <c r="IP79" s="286"/>
      <c r="IQ79" s="286"/>
      <c r="IR79" s="286"/>
      <c r="IS79" s="286"/>
      <c r="IT79" s="286"/>
      <c r="IU79" s="286"/>
      <c r="IV79" s="286"/>
      <c r="IW79" s="286"/>
      <c r="IX79" s="286"/>
      <c r="IY79" s="286"/>
      <c r="IZ79" s="286"/>
      <c r="JA79" s="286"/>
      <c r="JB79" s="286"/>
      <c r="JC79" s="286"/>
      <c r="JD79" s="286"/>
      <c r="JE79" s="286"/>
      <c r="JF79" s="286"/>
      <c r="JG79" s="286"/>
      <c r="JH79" s="286"/>
      <c r="JI79" s="287"/>
      <c r="JJ79" s="301"/>
      <c r="JK79" s="303"/>
      <c r="JL79" s="288"/>
      <c r="JM79" s="290"/>
      <c r="JN79" s="289"/>
      <c r="JO79" s="289"/>
      <c r="JP79" s="289"/>
    </row>
    <row r="80" spans="1:276" ht="15.6" x14ac:dyDescent="0.3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4"/>
      <c r="AQ80" s="294"/>
      <c r="AR80" s="294"/>
      <c r="AS80" s="294"/>
      <c r="AT80" s="294"/>
      <c r="AU80" s="294"/>
      <c r="AV80" s="294"/>
      <c r="AW80" s="294"/>
      <c r="AX80" s="294"/>
      <c r="AY80" s="294"/>
      <c r="AZ80" s="294"/>
      <c r="BA80" s="294"/>
      <c r="BB80" s="294"/>
      <c r="BC80" s="294"/>
      <c r="BD80" s="294"/>
      <c r="BE80" s="294"/>
      <c r="BF80" s="294"/>
      <c r="BG80" s="294"/>
      <c r="BH80" s="294"/>
      <c r="BI80" s="294"/>
      <c r="BJ80" s="294"/>
      <c r="BK80" s="294"/>
      <c r="BL80" s="294"/>
      <c r="BM80" s="294"/>
      <c r="BN80" s="294"/>
      <c r="BO80" s="294"/>
      <c r="BP80" s="294"/>
      <c r="BQ80" s="294"/>
      <c r="BR80" s="294"/>
      <c r="BS80" s="294"/>
      <c r="BT80" s="294"/>
      <c r="BU80" s="294"/>
      <c r="BV80" s="294"/>
      <c r="BW80" s="294"/>
      <c r="BX80" s="294"/>
      <c r="BY80" s="294"/>
      <c r="BZ80" s="294"/>
      <c r="CA80" s="294"/>
      <c r="CB80" s="294"/>
      <c r="CC80" s="294"/>
      <c r="CD80" s="294"/>
      <c r="CE80" s="294"/>
      <c r="CF80" s="294"/>
      <c r="CG80" s="294"/>
      <c r="CH80" s="294"/>
      <c r="CI80" s="294"/>
      <c r="CJ80" s="294"/>
      <c r="CK80" s="294"/>
      <c r="CL80" s="294"/>
      <c r="CM80" s="294"/>
      <c r="CN80" s="294"/>
      <c r="CO80" s="294"/>
      <c r="CP80" s="294"/>
      <c r="CQ80" s="294"/>
      <c r="CR80" s="294"/>
      <c r="CS80" s="294"/>
      <c r="CT80" s="294"/>
      <c r="CU80" s="294"/>
      <c r="CV80" s="294"/>
      <c r="CW80" s="294"/>
      <c r="CX80" s="294"/>
      <c r="CY80" s="294"/>
      <c r="CZ80" s="294"/>
      <c r="DA80" s="294"/>
      <c r="DB80" s="294"/>
      <c r="DC80" s="294"/>
      <c r="DD80" s="294"/>
      <c r="DE80" s="294"/>
      <c r="DF80" s="294"/>
      <c r="DG80" s="294"/>
      <c r="DH80" s="294"/>
      <c r="DI80" s="294"/>
      <c r="DJ80" s="294"/>
      <c r="DK80" s="294"/>
      <c r="DL80" s="294"/>
      <c r="DM80" s="294"/>
      <c r="DN80" s="294"/>
      <c r="DO80" s="294"/>
      <c r="DP80" s="294"/>
      <c r="DQ80" s="294"/>
      <c r="DR80" s="294"/>
      <c r="DS80" s="294"/>
      <c r="DT80" s="294"/>
      <c r="DU80" s="294"/>
      <c r="DV80" s="294"/>
      <c r="DW80" s="294"/>
      <c r="DX80" s="294"/>
      <c r="DY80" s="294"/>
      <c r="DZ80" s="294"/>
      <c r="EA80" s="294"/>
      <c r="EB80" s="294"/>
      <c r="EC80" s="294"/>
      <c r="ED80" s="294"/>
      <c r="EE80" s="294"/>
      <c r="EF80" s="294"/>
      <c r="EG80" s="294"/>
      <c r="EH80" s="294"/>
      <c r="EI80" s="294"/>
      <c r="EJ80" s="294"/>
      <c r="EK80" s="294"/>
      <c r="EL80" s="294"/>
      <c r="EM80" s="294"/>
      <c r="EN80" s="294"/>
      <c r="EO80" s="294"/>
      <c r="EP80" s="294"/>
      <c r="EQ80" s="294"/>
      <c r="ER80" s="294"/>
      <c r="ES80" s="294"/>
      <c r="ET80" s="294"/>
      <c r="EU80" s="294"/>
      <c r="EV80" s="294"/>
      <c r="EW80" s="294"/>
      <c r="EX80" s="294"/>
      <c r="EY80" s="294"/>
      <c r="EZ80" s="294"/>
      <c r="FA80" s="294"/>
      <c r="FB80" s="294"/>
      <c r="FC80" s="294"/>
      <c r="FD80" s="294"/>
      <c r="FE80" s="294"/>
      <c r="FF80" s="294"/>
      <c r="FG80" s="294"/>
      <c r="FH80" s="294"/>
      <c r="FI80" s="294"/>
      <c r="FJ80" s="294"/>
      <c r="FK80" s="294"/>
      <c r="FL80" s="294"/>
      <c r="FM80" s="294"/>
      <c r="FN80" s="294"/>
      <c r="FO80" s="294"/>
      <c r="FP80" s="294"/>
      <c r="FQ80" s="294"/>
      <c r="FR80" s="294"/>
      <c r="FS80" s="294"/>
      <c r="FT80" s="294"/>
      <c r="FU80" s="294"/>
      <c r="FV80" s="294"/>
      <c r="FW80" s="294"/>
      <c r="FX80" s="294"/>
      <c r="FY80" s="294"/>
      <c r="FZ80" s="294"/>
      <c r="GA80" s="294"/>
      <c r="GB80" s="294"/>
      <c r="GC80" s="294"/>
      <c r="GD80" s="294"/>
      <c r="GE80" s="294"/>
      <c r="GF80" s="294"/>
      <c r="GG80" s="294"/>
      <c r="GH80" s="294"/>
      <c r="GI80" s="294"/>
      <c r="GJ80" s="294"/>
      <c r="GK80" s="294"/>
      <c r="GL80" s="294"/>
      <c r="GM80" s="294"/>
      <c r="GN80" s="294"/>
      <c r="GO80" s="294"/>
      <c r="GP80" s="294"/>
      <c r="GQ80" s="294"/>
      <c r="GR80" s="294"/>
      <c r="GS80" s="294"/>
      <c r="GT80" s="294"/>
      <c r="GU80" s="294"/>
      <c r="GV80" s="294"/>
      <c r="GW80" s="294"/>
      <c r="GX80" s="294"/>
      <c r="GY80" s="294"/>
      <c r="GZ80" s="294"/>
      <c r="HA80" s="294"/>
      <c r="HB80" s="294"/>
      <c r="HC80" s="294"/>
      <c r="HD80" s="294"/>
      <c r="HE80" s="294"/>
      <c r="HF80" s="294"/>
      <c r="HG80" s="294"/>
      <c r="HH80" s="294"/>
      <c r="HI80" s="294"/>
      <c r="HJ80" s="294"/>
      <c r="HK80" s="294"/>
      <c r="HL80" s="294"/>
      <c r="HM80" s="294"/>
      <c r="HN80" s="294"/>
      <c r="HO80" s="294"/>
      <c r="HP80" s="294"/>
      <c r="HQ80" s="294"/>
      <c r="HR80" s="294"/>
      <c r="HS80" s="294"/>
      <c r="HT80" s="294"/>
      <c r="HU80" s="294"/>
      <c r="HV80" s="294"/>
      <c r="HW80" s="294"/>
      <c r="HX80" s="294"/>
      <c r="HY80" s="294"/>
      <c r="HZ80" s="294"/>
      <c r="IA80" s="294"/>
      <c r="IB80" s="294"/>
      <c r="IC80" s="294"/>
      <c r="ID80" s="294"/>
      <c r="IE80" s="294"/>
      <c r="IF80" s="294"/>
      <c r="IG80" s="294"/>
      <c r="IH80" s="294"/>
      <c r="II80" s="294"/>
      <c r="IJ80" s="294"/>
      <c r="IK80" s="294"/>
      <c r="IL80" s="294"/>
      <c r="IM80" s="294"/>
      <c r="IN80" s="294"/>
      <c r="IO80" s="294"/>
      <c r="IP80" s="294"/>
      <c r="IQ80" s="294"/>
      <c r="IR80" s="294"/>
      <c r="IS80" s="294"/>
      <c r="IT80" s="294"/>
      <c r="IU80" s="294"/>
      <c r="IV80" s="294"/>
      <c r="IW80" s="294"/>
      <c r="IX80" s="294"/>
      <c r="IY80" s="294"/>
      <c r="IZ80" s="294"/>
      <c r="JA80" s="294"/>
      <c r="JB80" s="294"/>
      <c r="JC80" s="294"/>
      <c r="JD80" s="294"/>
      <c r="JE80" s="294"/>
      <c r="JF80" s="294"/>
      <c r="JG80" s="294"/>
      <c r="JH80" s="294"/>
      <c r="JI80" s="294"/>
      <c r="JJ80" s="302"/>
      <c r="JK80" s="293"/>
    </row>
    <row r="81" spans="1:282" ht="23.25" customHeight="1" x14ac:dyDescent="0.3">
      <c r="A81" s="278">
        <f t="shared" ref="A81:BL81" si="5">SUM(A3:A80)</f>
        <v>0</v>
      </c>
      <c r="B81" s="278">
        <f t="shared" si="5"/>
        <v>0</v>
      </c>
      <c r="C81" s="278">
        <f t="shared" si="5"/>
        <v>0</v>
      </c>
      <c r="D81" s="278">
        <f t="shared" si="5"/>
        <v>0</v>
      </c>
      <c r="E81" s="278">
        <f t="shared" si="5"/>
        <v>0</v>
      </c>
      <c r="F81" s="278">
        <f t="shared" si="5"/>
        <v>0</v>
      </c>
      <c r="G81" s="278">
        <f t="shared" si="5"/>
        <v>0</v>
      </c>
      <c r="H81" s="278">
        <f t="shared" si="5"/>
        <v>0</v>
      </c>
      <c r="I81" s="278">
        <f t="shared" si="5"/>
        <v>0</v>
      </c>
      <c r="J81" s="278">
        <f t="shared" si="5"/>
        <v>0</v>
      </c>
      <c r="K81" s="278">
        <f t="shared" si="5"/>
        <v>0</v>
      </c>
      <c r="L81" s="278">
        <f t="shared" si="5"/>
        <v>0</v>
      </c>
      <c r="M81" s="278">
        <f t="shared" si="5"/>
        <v>0</v>
      </c>
      <c r="N81" s="278">
        <f t="shared" si="5"/>
        <v>0</v>
      </c>
      <c r="O81" s="278">
        <f t="shared" si="5"/>
        <v>0</v>
      </c>
      <c r="P81" s="278">
        <f t="shared" si="5"/>
        <v>0</v>
      </c>
      <c r="Q81" s="278">
        <f t="shared" si="5"/>
        <v>0</v>
      </c>
      <c r="R81" s="278">
        <f t="shared" si="5"/>
        <v>0</v>
      </c>
      <c r="S81" s="278">
        <f t="shared" si="5"/>
        <v>0</v>
      </c>
      <c r="T81" s="278">
        <f t="shared" si="5"/>
        <v>0</v>
      </c>
      <c r="U81" s="278">
        <f t="shared" si="5"/>
        <v>0</v>
      </c>
      <c r="V81" s="278">
        <f t="shared" si="5"/>
        <v>0</v>
      </c>
      <c r="W81" s="278">
        <f t="shared" si="5"/>
        <v>0</v>
      </c>
      <c r="X81" s="278">
        <f t="shared" si="5"/>
        <v>0</v>
      </c>
      <c r="Y81" s="278">
        <f t="shared" si="5"/>
        <v>0</v>
      </c>
      <c r="Z81" s="278">
        <f t="shared" si="5"/>
        <v>0</v>
      </c>
      <c r="AA81" s="278">
        <f t="shared" si="5"/>
        <v>0</v>
      </c>
      <c r="AB81" s="278">
        <f t="shared" si="5"/>
        <v>0</v>
      </c>
      <c r="AC81" s="278">
        <f t="shared" si="5"/>
        <v>0</v>
      </c>
      <c r="AD81" s="278">
        <f t="shared" si="5"/>
        <v>0</v>
      </c>
      <c r="AE81" s="278">
        <f t="shared" si="5"/>
        <v>0</v>
      </c>
      <c r="AF81" s="278">
        <f t="shared" si="5"/>
        <v>0</v>
      </c>
      <c r="AG81" s="278">
        <f t="shared" si="5"/>
        <v>0</v>
      </c>
      <c r="AH81" s="278">
        <f t="shared" si="5"/>
        <v>0</v>
      </c>
      <c r="AI81" s="278">
        <f t="shared" si="5"/>
        <v>0</v>
      </c>
      <c r="AJ81" s="278">
        <f t="shared" si="5"/>
        <v>0</v>
      </c>
      <c r="AK81" s="278">
        <f t="shared" si="5"/>
        <v>0</v>
      </c>
      <c r="AL81" s="278">
        <f t="shared" si="5"/>
        <v>0</v>
      </c>
      <c r="AM81" s="278">
        <f t="shared" si="5"/>
        <v>0</v>
      </c>
      <c r="AN81" s="278">
        <f t="shared" si="5"/>
        <v>0</v>
      </c>
      <c r="AO81" s="278">
        <f t="shared" si="5"/>
        <v>0</v>
      </c>
      <c r="AP81" s="278">
        <f t="shared" si="5"/>
        <v>0</v>
      </c>
      <c r="AQ81" s="278">
        <f t="shared" si="5"/>
        <v>301316.33</v>
      </c>
      <c r="AR81" s="278">
        <f t="shared" si="5"/>
        <v>0</v>
      </c>
      <c r="AS81" s="278">
        <f t="shared" si="5"/>
        <v>0</v>
      </c>
      <c r="AT81" s="278">
        <f t="shared" si="5"/>
        <v>0</v>
      </c>
      <c r="AU81" s="278">
        <f t="shared" si="5"/>
        <v>0</v>
      </c>
      <c r="AV81" s="278">
        <f t="shared" si="5"/>
        <v>0</v>
      </c>
      <c r="AW81" s="278">
        <f t="shared" si="5"/>
        <v>50000</v>
      </c>
      <c r="AX81" s="278">
        <f t="shared" si="5"/>
        <v>0</v>
      </c>
      <c r="AY81" s="278">
        <f t="shared" si="5"/>
        <v>0</v>
      </c>
      <c r="AZ81" s="278">
        <f t="shared" si="5"/>
        <v>0</v>
      </c>
      <c r="BA81" s="278">
        <f t="shared" si="5"/>
        <v>0</v>
      </c>
      <c r="BB81" s="278">
        <f t="shared" si="5"/>
        <v>0</v>
      </c>
      <c r="BC81" s="278">
        <f t="shared" si="5"/>
        <v>0</v>
      </c>
      <c r="BD81" s="278">
        <f t="shared" si="5"/>
        <v>0</v>
      </c>
      <c r="BE81" s="278">
        <f t="shared" si="5"/>
        <v>0</v>
      </c>
      <c r="BF81" s="278">
        <f t="shared" si="5"/>
        <v>0</v>
      </c>
      <c r="BG81" s="278">
        <f t="shared" si="5"/>
        <v>0</v>
      </c>
      <c r="BH81" s="278">
        <f t="shared" si="5"/>
        <v>0</v>
      </c>
      <c r="BI81" s="278">
        <f t="shared" si="5"/>
        <v>266664.26</v>
      </c>
      <c r="BJ81" s="278">
        <f t="shared" si="5"/>
        <v>0</v>
      </c>
      <c r="BK81" s="278">
        <f t="shared" si="5"/>
        <v>0</v>
      </c>
      <c r="BL81" s="278">
        <f t="shared" si="5"/>
        <v>0</v>
      </c>
      <c r="BM81" s="278">
        <f t="shared" ref="BM81:DX81" si="6">SUM(BM3:BM80)</f>
        <v>0</v>
      </c>
      <c r="BN81" s="278">
        <f t="shared" si="6"/>
        <v>0</v>
      </c>
      <c r="BO81" s="278">
        <f t="shared" si="6"/>
        <v>0</v>
      </c>
      <c r="BP81" s="278">
        <f t="shared" si="6"/>
        <v>0</v>
      </c>
      <c r="BQ81" s="278">
        <f t="shared" si="6"/>
        <v>0</v>
      </c>
      <c r="BR81" s="278">
        <f t="shared" si="6"/>
        <v>0</v>
      </c>
      <c r="BS81" s="278">
        <f t="shared" si="6"/>
        <v>0</v>
      </c>
      <c r="BT81" s="278">
        <f t="shared" si="6"/>
        <v>0</v>
      </c>
      <c r="BU81" s="278">
        <f t="shared" si="6"/>
        <v>0</v>
      </c>
      <c r="BV81" s="278">
        <f t="shared" si="6"/>
        <v>0</v>
      </c>
      <c r="BW81" s="278">
        <f t="shared" si="6"/>
        <v>21673.46</v>
      </c>
      <c r="BX81" s="278">
        <f t="shared" si="6"/>
        <v>131244.89000000001</v>
      </c>
      <c r="BY81" s="278">
        <f t="shared" si="6"/>
        <v>0</v>
      </c>
      <c r="BZ81" s="278">
        <f t="shared" si="6"/>
        <v>0</v>
      </c>
      <c r="CA81" s="278">
        <f t="shared" si="6"/>
        <v>0</v>
      </c>
      <c r="CB81" s="278">
        <f t="shared" si="6"/>
        <v>0</v>
      </c>
      <c r="CC81" s="278">
        <f t="shared" si="6"/>
        <v>0</v>
      </c>
      <c r="CD81" s="278">
        <f t="shared" si="6"/>
        <v>0</v>
      </c>
      <c r="CE81" s="278">
        <f t="shared" si="6"/>
        <v>0</v>
      </c>
      <c r="CF81" s="278">
        <f t="shared" si="6"/>
        <v>0</v>
      </c>
      <c r="CG81" s="278">
        <f t="shared" si="6"/>
        <v>0</v>
      </c>
      <c r="CH81" s="278">
        <f t="shared" si="6"/>
        <v>1888000</v>
      </c>
      <c r="CI81" s="278">
        <f t="shared" si="6"/>
        <v>0</v>
      </c>
      <c r="CJ81" s="278">
        <f t="shared" si="6"/>
        <v>23600</v>
      </c>
      <c r="CK81" s="278">
        <f t="shared" si="6"/>
        <v>0</v>
      </c>
      <c r="CL81" s="278">
        <f t="shared" si="6"/>
        <v>0</v>
      </c>
      <c r="CM81" s="278">
        <f t="shared" si="6"/>
        <v>0</v>
      </c>
      <c r="CN81" s="278">
        <f t="shared" si="6"/>
        <v>0</v>
      </c>
      <c r="CO81" s="278">
        <f t="shared" si="6"/>
        <v>0</v>
      </c>
      <c r="CP81" s="278">
        <f t="shared" si="6"/>
        <v>13357.35</v>
      </c>
      <c r="CQ81" s="278">
        <f t="shared" si="6"/>
        <v>0</v>
      </c>
      <c r="CR81" s="278">
        <f t="shared" si="6"/>
        <v>0</v>
      </c>
      <c r="CS81" s="278">
        <f t="shared" si="6"/>
        <v>0</v>
      </c>
      <c r="CT81" s="278">
        <f t="shared" si="6"/>
        <v>0</v>
      </c>
      <c r="CU81" s="278">
        <f t="shared" si="6"/>
        <v>10148</v>
      </c>
      <c r="CV81" s="278">
        <f t="shared" si="6"/>
        <v>0</v>
      </c>
      <c r="CW81" s="278">
        <f t="shared" si="6"/>
        <v>0</v>
      </c>
      <c r="CX81" s="278">
        <f t="shared" si="6"/>
        <v>0</v>
      </c>
      <c r="CY81" s="278">
        <f t="shared" si="6"/>
        <v>0</v>
      </c>
      <c r="CZ81" s="278">
        <f t="shared" si="6"/>
        <v>0</v>
      </c>
      <c r="DA81" s="278">
        <f t="shared" si="6"/>
        <v>0</v>
      </c>
      <c r="DB81" s="278">
        <f t="shared" si="6"/>
        <v>0</v>
      </c>
      <c r="DC81" s="278">
        <f t="shared" si="6"/>
        <v>0</v>
      </c>
      <c r="DD81" s="278">
        <f t="shared" si="6"/>
        <v>0</v>
      </c>
      <c r="DE81" s="278">
        <f t="shared" si="6"/>
        <v>27840</v>
      </c>
      <c r="DF81" s="278">
        <f t="shared" si="6"/>
        <v>0</v>
      </c>
      <c r="DG81" s="278">
        <f t="shared" si="6"/>
        <v>0</v>
      </c>
      <c r="DH81" s="278">
        <f t="shared" si="6"/>
        <v>0</v>
      </c>
      <c r="DI81" s="278">
        <f t="shared" si="6"/>
        <v>0</v>
      </c>
      <c r="DJ81" s="278">
        <f t="shared" si="6"/>
        <v>0</v>
      </c>
      <c r="DK81" s="278">
        <f t="shared" si="6"/>
        <v>541265</v>
      </c>
      <c r="DL81" s="278">
        <f t="shared" si="6"/>
        <v>0</v>
      </c>
      <c r="DM81" s="278">
        <f t="shared" si="6"/>
        <v>0</v>
      </c>
      <c r="DN81" s="278">
        <f t="shared" si="6"/>
        <v>0</v>
      </c>
      <c r="DO81" s="278">
        <f t="shared" si="6"/>
        <v>0</v>
      </c>
      <c r="DP81" s="278">
        <f t="shared" si="6"/>
        <v>0</v>
      </c>
      <c r="DQ81" s="278">
        <f t="shared" si="6"/>
        <v>0</v>
      </c>
      <c r="DR81" s="278">
        <f t="shared" si="6"/>
        <v>0</v>
      </c>
      <c r="DS81" s="278">
        <f t="shared" si="6"/>
        <v>0</v>
      </c>
      <c r="DT81" s="278">
        <f t="shared" si="6"/>
        <v>0</v>
      </c>
      <c r="DU81" s="278">
        <f t="shared" si="6"/>
        <v>0</v>
      </c>
      <c r="DV81" s="278">
        <f t="shared" si="6"/>
        <v>0</v>
      </c>
      <c r="DW81" s="278">
        <f t="shared" si="6"/>
        <v>85550</v>
      </c>
      <c r="DX81" s="278">
        <f t="shared" si="6"/>
        <v>0</v>
      </c>
      <c r="DY81" s="278">
        <f t="shared" ref="DY81:GJ81" si="7">SUM(DY3:DY80)</f>
        <v>0</v>
      </c>
      <c r="DZ81" s="278">
        <f t="shared" si="7"/>
        <v>0</v>
      </c>
      <c r="EA81" s="278">
        <f t="shared" si="7"/>
        <v>308000</v>
      </c>
      <c r="EB81" s="278">
        <f t="shared" si="7"/>
        <v>0</v>
      </c>
      <c r="EC81" s="278">
        <f t="shared" si="7"/>
        <v>0</v>
      </c>
      <c r="ED81" s="278">
        <f t="shared" si="7"/>
        <v>0</v>
      </c>
      <c r="EE81" s="278">
        <f t="shared" si="7"/>
        <v>0</v>
      </c>
      <c r="EF81" s="278">
        <f t="shared" si="7"/>
        <v>0</v>
      </c>
      <c r="EG81" s="278">
        <f t="shared" si="7"/>
        <v>0</v>
      </c>
      <c r="EH81" s="278">
        <f t="shared" si="7"/>
        <v>0</v>
      </c>
      <c r="EI81" s="278">
        <f t="shared" si="7"/>
        <v>0</v>
      </c>
      <c r="EJ81" s="278">
        <f t="shared" si="7"/>
        <v>0</v>
      </c>
      <c r="EK81" s="278">
        <f t="shared" si="7"/>
        <v>0</v>
      </c>
      <c r="EL81" s="278">
        <f t="shared" si="7"/>
        <v>0</v>
      </c>
      <c r="EM81" s="278">
        <f t="shared" si="7"/>
        <v>0</v>
      </c>
      <c r="EN81" s="278">
        <f t="shared" si="7"/>
        <v>0</v>
      </c>
      <c r="EO81" s="278">
        <f t="shared" si="7"/>
        <v>0</v>
      </c>
      <c r="EP81" s="278">
        <f t="shared" si="7"/>
        <v>0</v>
      </c>
      <c r="EQ81" s="278">
        <f t="shared" si="7"/>
        <v>0</v>
      </c>
      <c r="ER81" s="278">
        <f t="shared" si="7"/>
        <v>0</v>
      </c>
      <c r="ES81" s="278">
        <f t="shared" si="7"/>
        <v>0</v>
      </c>
      <c r="ET81" s="278">
        <f t="shared" si="7"/>
        <v>0</v>
      </c>
      <c r="EU81" s="278">
        <f t="shared" si="7"/>
        <v>0</v>
      </c>
      <c r="EV81" s="278">
        <f t="shared" si="7"/>
        <v>0</v>
      </c>
      <c r="EW81" s="278">
        <f t="shared" si="7"/>
        <v>0</v>
      </c>
      <c r="EX81" s="278">
        <f t="shared" si="7"/>
        <v>0</v>
      </c>
      <c r="EY81" s="278">
        <f t="shared" si="7"/>
        <v>0</v>
      </c>
      <c r="EZ81" s="278">
        <f t="shared" si="7"/>
        <v>0</v>
      </c>
      <c r="FA81" s="278">
        <f t="shared" si="7"/>
        <v>172000</v>
      </c>
      <c r="FB81" s="278">
        <f t="shared" si="7"/>
        <v>0</v>
      </c>
      <c r="FC81" s="278">
        <f t="shared" si="7"/>
        <v>0</v>
      </c>
      <c r="FD81" s="278">
        <f t="shared" si="7"/>
        <v>49512.84</v>
      </c>
      <c r="FE81" s="278">
        <f t="shared" si="7"/>
        <v>0</v>
      </c>
      <c r="FF81" s="278">
        <f t="shared" si="7"/>
        <v>0</v>
      </c>
      <c r="FG81" s="278">
        <f t="shared" si="7"/>
        <v>0</v>
      </c>
      <c r="FH81" s="278">
        <f t="shared" si="7"/>
        <v>0</v>
      </c>
      <c r="FI81" s="278">
        <f t="shared" si="7"/>
        <v>0</v>
      </c>
      <c r="FJ81" s="278">
        <f t="shared" si="7"/>
        <v>6900</v>
      </c>
      <c r="FK81" s="278">
        <f t="shared" si="7"/>
        <v>0</v>
      </c>
      <c r="FL81" s="278">
        <f t="shared" si="7"/>
        <v>0</v>
      </c>
      <c r="FM81" s="278">
        <f t="shared" si="7"/>
        <v>0</v>
      </c>
      <c r="FN81" s="278">
        <f t="shared" si="7"/>
        <v>0</v>
      </c>
      <c r="FO81" s="278">
        <f t="shared" si="7"/>
        <v>0</v>
      </c>
      <c r="FP81" s="278">
        <f t="shared" si="7"/>
        <v>0</v>
      </c>
      <c r="FQ81" s="278">
        <f t="shared" si="7"/>
        <v>0</v>
      </c>
      <c r="FR81" s="278">
        <f t="shared" si="7"/>
        <v>0</v>
      </c>
      <c r="FS81" s="278">
        <f t="shared" si="7"/>
        <v>0</v>
      </c>
      <c r="FT81" s="278">
        <f t="shared" si="7"/>
        <v>1799341.1300000001</v>
      </c>
      <c r="FU81" s="278">
        <f t="shared" si="7"/>
        <v>0</v>
      </c>
      <c r="FV81" s="278">
        <f t="shared" si="7"/>
        <v>0</v>
      </c>
      <c r="FW81" s="278">
        <f t="shared" si="7"/>
        <v>0</v>
      </c>
      <c r="FX81" s="278">
        <f t="shared" si="7"/>
        <v>0</v>
      </c>
      <c r="FY81" s="278">
        <f t="shared" si="7"/>
        <v>0</v>
      </c>
      <c r="FZ81" s="278">
        <f t="shared" si="7"/>
        <v>0</v>
      </c>
      <c r="GA81" s="278">
        <f t="shared" si="7"/>
        <v>100061.7</v>
      </c>
      <c r="GB81" s="278">
        <f t="shared" si="7"/>
        <v>0</v>
      </c>
      <c r="GC81" s="278">
        <f t="shared" si="7"/>
        <v>6800</v>
      </c>
      <c r="GD81" s="278">
        <f t="shared" si="7"/>
        <v>130166.7</v>
      </c>
      <c r="GE81" s="278">
        <f t="shared" si="7"/>
        <v>0</v>
      </c>
      <c r="GF81" s="278">
        <f t="shared" si="7"/>
        <v>0</v>
      </c>
      <c r="GG81" s="278">
        <f t="shared" si="7"/>
        <v>0</v>
      </c>
      <c r="GH81" s="278">
        <f t="shared" si="7"/>
        <v>0</v>
      </c>
      <c r="GI81" s="278">
        <f t="shared" si="7"/>
        <v>0</v>
      </c>
      <c r="GJ81" s="278">
        <f t="shared" si="7"/>
        <v>0</v>
      </c>
      <c r="GK81" s="278">
        <f t="shared" ref="GK81:IV81" si="8">SUM(GK3:GK80)</f>
        <v>0</v>
      </c>
      <c r="GL81" s="278">
        <f t="shared" si="8"/>
        <v>0</v>
      </c>
      <c r="GM81" s="278">
        <f t="shared" si="8"/>
        <v>0</v>
      </c>
      <c r="GN81" s="278">
        <f t="shared" si="8"/>
        <v>0</v>
      </c>
      <c r="GO81" s="278">
        <f t="shared" si="8"/>
        <v>0</v>
      </c>
      <c r="GP81" s="278">
        <f t="shared" si="8"/>
        <v>0</v>
      </c>
      <c r="GQ81" s="278">
        <f t="shared" si="8"/>
        <v>887994.84</v>
      </c>
      <c r="GR81" s="278">
        <f t="shared" si="8"/>
        <v>0</v>
      </c>
      <c r="GS81" s="278">
        <f t="shared" si="8"/>
        <v>0</v>
      </c>
      <c r="GT81" s="278">
        <f t="shared" si="8"/>
        <v>0</v>
      </c>
      <c r="GU81" s="278">
        <f t="shared" si="8"/>
        <v>0</v>
      </c>
      <c r="GV81" s="278">
        <f t="shared" si="8"/>
        <v>0</v>
      </c>
      <c r="GW81" s="278">
        <f t="shared" si="8"/>
        <v>0</v>
      </c>
      <c r="GX81" s="278">
        <f t="shared" si="8"/>
        <v>0</v>
      </c>
      <c r="GY81" s="278">
        <f t="shared" si="8"/>
        <v>0</v>
      </c>
      <c r="GZ81" s="278">
        <f t="shared" si="8"/>
        <v>0</v>
      </c>
      <c r="HA81" s="278">
        <f t="shared" si="8"/>
        <v>0</v>
      </c>
      <c r="HB81" s="278">
        <f t="shared" si="8"/>
        <v>0</v>
      </c>
      <c r="HC81" s="278">
        <f t="shared" si="8"/>
        <v>0</v>
      </c>
      <c r="HD81" s="278">
        <f t="shared" si="8"/>
        <v>0</v>
      </c>
      <c r="HE81" s="278">
        <f t="shared" si="8"/>
        <v>0</v>
      </c>
      <c r="HF81" s="278">
        <f t="shared" si="8"/>
        <v>0</v>
      </c>
      <c r="HG81" s="278">
        <f t="shared" si="8"/>
        <v>0</v>
      </c>
      <c r="HH81" s="278">
        <f t="shared" si="8"/>
        <v>0</v>
      </c>
      <c r="HI81" s="278">
        <f t="shared" si="8"/>
        <v>0</v>
      </c>
      <c r="HJ81" s="278">
        <f t="shared" si="8"/>
        <v>0</v>
      </c>
      <c r="HK81" s="278">
        <f t="shared" si="8"/>
        <v>0</v>
      </c>
      <c r="HL81" s="278">
        <f t="shared" si="8"/>
        <v>0</v>
      </c>
      <c r="HM81" s="278">
        <f t="shared" si="8"/>
        <v>0</v>
      </c>
      <c r="HN81" s="278">
        <f t="shared" si="8"/>
        <v>0</v>
      </c>
      <c r="HO81" s="278">
        <f t="shared" si="8"/>
        <v>0</v>
      </c>
      <c r="HP81" s="278">
        <f t="shared" si="8"/>
        <v>0</v>
      </c>
      <c r="HQ81" s="278">
        <f t="shared" si="8"/>
        <v>0</v>
      </c>
      <c r="HR81" s="278">
        <f t="shared" si="8"/>
        <v>0</v>
      </c>
      <c r="HS81" s="278">
        <f t="shared" si="8"/>
        <v>0</v>
      </c>
      <c r="HT81" s="278">
        <f t="shared" si="8"/>
        <v>0</v>
      </c>
      <c r="HU81" s="278">
        <f t="shared" si="8"/>
        <v>0</v>
      </c>
      <c r="HV81" s="278">
        <f t="shared" si="8"/>
        <v>0</v>
      </c>
      <c r="HW81" s="278">
        <f t="shared" si="8"/>
        <v>0</v>
      </c>
      <c r="HX81" s="278">
        <f t="shared" si="8"/>
        <v>0</v>
      </c>
      <c r="HY81" s="278">
        <f t="shared" si="8"/>
        <v>0</v>
      </c>
      <c r="HZ81" s="278">
        <f t="shared" si="8"/>
        <v>0</v>
      </c>
      <c r="IA81" s="278">
        <f t="shared" si="8"/>
        <v>0</v>
      </c>
      <c r="IB81" s="278">
        <f t="shared" si="8"/>
        <v>0</v>
      </c>
      <c r="IC81" s="278">
        <f t="shared" si="8"/>
        <v>0</v>
      </c>
      <c r="ID81" s="278">
        <f t="shared" si="8"/>
        <v>0</v>
      </c>
      <c r="IE81" s="278">
        <f t="shared" si="8"/>
        <v>0</v>
      </c>
      <c r="IF81" s="278">
        <f t="shared" si="8"/>
        <v>0</v>
      </c>
      <c r="IG81" s="278">
        <f t="shared" si="8"/>
        <v>0</v>
      </c>
      <c r="IH81" s="278">
        <f t="shared" si="8"/>
        <v>0</v>
      </c>
      <c r="II81" s="278">
        <f t="shared" si="8"/>
        <v>0</v>
      </c>
      <c r="IJ81" s="278">
        <f t="shared" si="8"/>
        <v>0</v>
      </c>
      <c r="IK81" s="278">
        <f t="shared" si="8"/>
        <v>0</v>
      </c>
      <c r="IL81" s="278">
        <f t="shared" si="8"/>
        <v>0</v>
      </c>
      <c r="IM81" s="278">
        <f t="shared" si="8"/>
        <v>0</v>
      </c>
      <c r="IN81" s="278">
        <f t="shared" si="8"/>
        <v>0</v>
      </c>
      <c r="IO81" s="278">
        <f t="shared" si="8"/>
        <v>0</v>
      </c>
      <c r="IP81" s="278">
        <f t="shared" si="8"/>
        <v>0</v>
      </c>
      <c r="IQ81" s="278">
        <f t="shared" si="8"/>
        <v>0</v>
      </c>
      <c r="IR81" s="278">
        <f t="shared" si="8"/>
        <v>0</v>
      </c>
      <c r="IS81" s="278">
        <f t="shared" si="8"/>
        <v>0</v>
      </c>
      <c r="IT81" s="278">
        <f t="shared" si="8"/>
        <v>0</v>
      </c>
      <c r="IU81" s="278">
        <f t="shared" si="8"/>
        <v>0</v>
      </c>
      <c r="IV81" s="278">
        <f t="shared" si="8"/>
        <v>0</v>
      </c>
      <c r="IW81" s="278">
        <f>SUM(IW3:IW80)</f>
        <v>0</v>
      </c>
      <c r="IX81" s="278">
        <f t="shared" ref="IX81:JV81" si="9">SUM(IX3:IX80)</f>
        <v>0</v>
      </c>
      <c r="IY81" s="278">
        <f t="shared" si="9"/>
        <v>0</v>
      </c>
      <c r="IZ81" s="278">
        <f t="shared" si="9"/>
        <v>0</v>
      </c>
      <c r="JA81" s="278">
        <f t="shared" si="9"/>
        <v>0</v>
      </c>
      <c r="JB81" s="278">
        <f t="shared" si="9"/>
        <v>0</v>
      </c>
      <c r="JC81" s="278">
        <f t="shared" si="9"/>
        <v>0</v>
      </c>
      <c r="JD81" s="278">
        <f t="shared" si="9"/>
        <v>0</v>
      </c>
      <c r="JE81" s="278">
        <f t="shared" si="9"/>
        <v>0</v>
      </c>
      <c r="JF81" s="278">
        <f t="shared" si="9"/>
        <v>0</v>
      </c>
      <c r="JG81" s="278">
        <f t="shared" si="9"/>
        <v>0</v>
      </c>
      <c r="JH81" s="278">
        <f t="shared" si="9"/>
        <v>0</v>
      </c>
      <c r="JI81" s="278">
        <f t="shared" si="9"/>
        <v>6821436.4999999991</v>
      </c>
      <c r="JJ81" s="278"/>
      <c r="JK81" s="278">
        <f t="shared" si="9"/>
        <v>6526260.3000000007</v>
      </c>
      <c r="JL81" s="278">
        <f t="shared" si="9"/>
        <v>295176.19999999984</v>
      </c>
      <c r="JM81" s="278">
        <f t="shared" si="9"/>
        <v>0</v>
      </c>
      <c r="JN81" s="278">
        <f>SUM(JN3:JN80)</f>
        <v>0</v>
      </c>
      <c r="JO81" s="278">
        <f t="shared" si="9"/>
        <v>0</v>
      </c>
      <c r="JP81" s="278"/>
      <c r="JQ81" s="278">
        <f t="shared" si="9"/>
        <v>0</v>
      </c>
      <c r="JR81" s="278">
        <f t="shared" si="9"/>
        <v>0</v>
      </c>
      <c r="JS81" s="278">
        <f t="shared" si="9"/>
        <v>0</v>
      </c>
      <c r="JT81" s="278">
        <f t="shared" si="9"/>
        <v>0</v>
      </c>
      <c r="JU81" s="278">
        <f t="shared" si="9"/>
        <v>0</v>
      </c>
      <c r="JV81" s="278">
        <f t="shared" si="9"/>
        <v>0</v>
      </c>
    </row>
    <row r="82" spans="1:282" x14ac:dyDescent="0.3">
      <c r="JK82" s="278"/>
    </row>
    <row r="83" spans="1:282" x14ac:dyDescent="0.3">
      <c r="JI83" s="187"/>
      <c r="JK83" s="187"/>
    </row>
    <row r="84" spans="1:282" x14ac:dyDescent="0.3">
      <c r="JK84" s="187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D58"/>
  <sheetViews>
    <sheetView zoomScale="90" zoomScaleNormal="90" workbookViewId="0">
      <selection activeCell="J24" sqref="J24"/>
    </sheetView>
  </sheetViews>
  <sheetFormatPr baseColWidth="10" defaultColWidth="11.44140625" defaultRowHeight="14.4" x14ac:dyDescent="0.3"/>
  <cols>
    <col min="43" max="43" width="15.5546875" bestFit="1" customWidth="1"/>
    <col min="914" max="914" width="11.44140625" style="1"/>
  </cols>
  <sheetData>
    <row r="1" spans="1:43" ht="23.4" x14ac:dyDescent="0.45">
      <c r="A1" s="594" t="s">
        <v>78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</row>
    <row r="2" spans="1:43" ht="18" x14ac:dyDescent="0.35">
      <c r="A2" s="119">
        <v>211101</v>
      </c>
      <c r="B2" s="119">
        <v>211102</v>
      </c>
      <c r="C2" s="119">
        <v>211103</v>
      </c>
      <c r="D2" s="119">
        <v>211104</v>
      </c>
      <c r="E2" s="119">
        <v>211105</v>
      </c>
      <c r="F2" s="119">
        <v>211106</v>
      </c>
      <c r="G2" s="119">
        <v>211203</v>
      </c>
      <c r="H2" s="119">
        <v>211205</v>
      </c>
      <c r="I2" s="119">
        <v>211206</v>
      </c>
      <c r="J2" s="119">
        <v>211208</v>
      </c>
      <c r="K2" s="119">
        <v>211209</v>
      </c>
      <c r="L2" s="119">
        <v>211211</v>
      </c>
      <c r="M2" s="119">
        <v>211301</v>
      </c>
      <c r="N2" s="119">
        <v>211401</v>
      </c>
      <c r="O2" s="119">
        <v>211501</v>
      </c>
      <c r="P2" s="119">
        <v>211502</v>
      </c>
      <c r="Q2" s="119">
        <v>211503</v>
      </c>
      <c r="R2" s="119">
        <v>211504</v>
      </c>
      <c r="S2" s="119">
        <v>212101</v>
      </c>
      <c r="T2" s="119">
        <v>212201</v>
      </c>
      <c r="U2" s="119">
        <v>212203</v>
      </c>
      <c r="V2" s="119">
        <v>212204</v>
      </c>
      <c r="W2" s="119">
        <v>212205</v>
      </c>
      <c r="X2" s="119">
        <v>212206</v>
      </c>
      <c r="Y2" s="119">
        <v>212207</v>
      </c>
      <c r="Z2" s="119">
        <v>212208</v>
      </c>
      <c r="AA2" s="119">
        <v>212209</v>
      </c>
      <c r="AB2" s="119">
        <v>212210</v>
      </c>
      <c r="AC2" s="119">
        <v>213101</v>
      </c>
      <c r="AD2" s="119">
        <v>213102</v>
      </c>
      <c r="AE2" s="119">
        <v>213201</v>
      </c>
      <c r="AF2" s="119">
        <v>213202</v>
      </c>
      <c r="AG2" s="119">
        <v>214101</v>
      </c>
      <c r="AH2" s="119">
        <v>214201</v>
      </c>
      <c r="AI2" s="119">
        <v>214202</v>
      </c>
      <c r="AJ2" s="119">
        <v>214203</v>
      </c>
      <c r="AK2" s="119">
        <v>215101</v>
      </c>
      <c r="AL2" s="119">
        <v>215201</v>
      </c>
      <c r="AM2" s="119">
        <v>215301</v>
      </c>
      <c r="AN2" s="119">
        <v>215401</v>
      </c>
      <c r="AO2" s="121" t="s">
        <v>0</v>
      </c>
      <c r="AP2" s="2"/>
      <c r="AQ2" s="2"/>
    </row>
    <row r="3" spans="1:43" x14ac:dyDescent="0.3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0">
        <f>SUM(A3:AN3)</f>
        <v>0</v>
      </c>
      <c r="AP3" s="2"/>
      <c r="AQ3" s="2"/>
    </row>
    <row r="4" spans="1:43" x14ac:dyDescent="0.3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0">
        <f t="shared" ref="AO4:AO57" si="0">SUM(A4:AN4)</f>
        <v>0</v>
      </c>
      <c r="AP4" s="2"/>
      <c r="AQ4" s="2"/>
    </row>
    <row r="5" spans="1:43" x14ac:dyDescent="0.3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0">
        <f t="shared" si="0"/>
        <v>0</v>
      </c>
      <c r="AP5" s="2"/>
      <c r="AQ5" s="2"/>
    </row>
    <row r="6" spans="1:43" x14ac:dyDescent="0.3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0">
        <f t="shared" si="0"/>
        <v>0</v>
      </c>
      <c r="AP6" s="2"/>
      <c r="AQ6" s="2"/>
    </row>
    <row r="7" spans="1:43" x14ac:dyDescent="0.3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0">
        <f t="shared" si="0"/>
        <v>0</v>
      </c>
      <c r="AP7" s="2"/>
      <c r="AQ7" s="2"/>
    </row>
    <row r="8" spans="1:43" x14ac:dyDescent="0.3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0">
        <f t="shared" si="0"/>
        <v>0</v>
      </c>
      <c r="AP8" s="2"/>
      <c r="AQ8" s="2"/>
    </row>
    <row r="9" spans="1:43" x14ac:dyDescent="0.3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0">
        <f t="shared" si="0"/>
        <v>0</v>
      </c>
      <c r="AP9" s="2"/>
      <c r="AQ9" s="2"/>
    </row>
    <row r="10" spans="1:43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0">
        <f t="shared" si="0"/>
        <v>0</v>
      </c>
      <c r="AP10" s="2"/>
      <c r="AQ10" s="2"/>
    </row>
    <row r="11" spans="1:43" x14ac:dyDescent="0.3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0">
        <f t="shared" si="0"/>
        <v>0</v>
      </c>
      <c r="AP11" s="2"/>
      <c r="AQ11" s="2"/>
    </row>
    <row r="12" spans="1:43" x14ac:dyDescent="0.3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0">
        <f t="shared" si="0"/>
        <v>0</v>
      </c>
      <c r="AP12" s="2"/>
      <c r="AQ12" s="2"/>
    </row>
    <row r="13" spans="1:43" x14ac:dyDescent="0.3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0">
        <f t="shared" si="0"/>
        <v>0</v>
      </c>
      <c r="AP13" s="2"/>
      <c r="AQ13" s="2"/>
    </row>
    <row r="14" spans="1:43" x14ac:dyDescent="0.3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0">
        <f t="shared" si="0"/>
        <v>0</v>
      </c>
      <c r="AP14" s="2"/>
      <c r="AQ14" s="2"/>
    </row>
    <row r="15" spans="1:43" x14ac:dyDescent="0.3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0">
        <f t="shared" si="0"/>
        <v>0</v>
      </c>
      <c r="AP15" s="2"/>
      <c r="AQ15" s="2"/>
    </row>
    <row r="16" spans="1:43" x14ac:dyDescent="0.3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0">
        <f t="shared" si="0"/>
        <v>0</v>
      </c>
      <c r="AP16" s="2"/>
      <c r="AQ16" s="2"/>
    </row>
    <row r="17" spans="1:43" x14ac:dyDescent="0.3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0">
        <f t="shared" si="0"/>
        <v>0</v>
      </c>
      <c r="AP17" s="2"/>
      <c r="AQ17" s="2"/>
    </row>
    <row r="18" spans="1:43" x14ac:dyDescent="0.3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0">
        <f t="shared" si="0"/>
        <v>0</v>
      </c>
      <c r="AP18" s="2"/>
      <c r="AQ18" s="2"/>
    </row>
    <row r="19" spans="1:43" x14ac:dyDescent="0.3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0">
        <f t="shared" si="0"/>
        <v>0</v>
      </c>
      <c r="AP19" s="2"/>
      <c r="AQ19" s="2"/>
    </row>
    <row r="20" spans="1:43" x14ac:dyDescent="0.3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0">
        <f t="shared" si="0"/>
        <v>0</v>
      </c>
      <c r="AP20" s="2"/>
      <c r="AQ20" s="2"/>
    </row>
    <row r="21" spans="1:43" x14ac:dyDescent="0.3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0">
        <f t="shared" si="0"/>
        <v>0</v>
      </c>
      <c r="AP21" s="2"/>
      <c r="AQ21" s="2"/>
    </row>
    <row r="22" spans="1:43" x14ac:dyDescent="0.3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0">
        <f t="shared" si="0"/>
        <v>0</v>
      </c>
      <c r="AP22" s="2"/>
      <c r="AQ22" s="2"/>
    </row>
    <row r="23" spans="1:43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0">
        <f t="shared" si="0"/>
        <v>0</v>
      </c>
      <c r="AP23" s="2"/>
      <c r="AQ23" s="2"/>
    </row>
    <row r="24" spans="1:43" x14ac:dyDescent="0.3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0">
        <f t="shared" si="0"/>
        <v>0</v>
      </c>
      <c r="AP24" s="2"/>
      <c r="AQ24" s="2"/>
    </row>
    <row r="25" spans="1:43" x14ac:dyDescent="0.3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0">
        <f t="shared" si="0"/>
        <v>0</v>
      </c>
      <c r="AP25" s="2"/>
      <c r="AQ25" s="2"/>
    </row>
    <row r="26" spans="1:43" x14ac:dyDescent="0.3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0">
        <f t="shared" si="0"/>
        <v>0</v>
      </c>
      <c r="AP26" s="2"/>
      <c r="AQ26" s="2"/>
    </row>
    <row r="27" spans="1:43" x14ac:dyDescent="0.3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0">
        <f t="shared" si="0"/>
        <v>0</v>
      </c>
      <c r="AP27" s="2"/>
      <c r="AQ27" s="2"/>
    </row>
    <row r="28" spans="1:43" x14ac:dyDescent="0.3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0">
        <f t="shared" si="0"/>
        <v>0</v>
      </c>
      <c r="AP28" s="2"/>
      <c r="AQ28" s="2"/>
    </row>
    <row r="29" spans="1:43" x14ac:dyDescent="0.3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0">
        <f t="shared" si="0"/>
        <v>0</v>
      </c>
      <c r="AP29" s="2"/>
      <c r="AQ29" s="2"/>
    </row>
    <row r="30" spans="1:43" x14ac:dyDescent="0.3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0">
        <f t="shared" si="0"/>
        <v>0</v>
      </c>
      <c r="AP30" s="2"/>
      <c r="AQ30" s="2"/>
    </row>
    <row r="31" spans="1:43" x14ac:dyDescent="0.3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0">
        <f t="shared" si="0"/>
        <v>0</v>
      </c>
      <c r="AP31" s="2"/>
      <c r="AQ31" s="2"/>
    </row>
    <row r="32" spans="1:43" x14ac:dyDescent="0.3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0">
        <f t="shared" si="0"/>
        <v>0</v>
      </c>
      <c r="AP32" s="2"/>
      <c r="AQ32" s="2"/>
    </row>
    <row r="33" spans="1:43" x14ac:dyDescent="0.3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0">
        <f t="shared" si="0"/>
        <v>0</v>
      </c>
      <c r="AP33" s="2"/>
      <c r="AQ33" s="2"/>
    </row>
    <row r="34" spans="1:43" x14ac:dyDescent="0.3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0">
        <f t="shared" si="0"/>
        <v>0</v>
      </c>
      <c r="AP34" s="2"/>
      <c r="AQ34" s="2"/>
    </row>
    <row r="35" spans="1:43" x14ac:dyDescent="0.3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0">
        <f t="shared" si="0"/>
        <v>0</v>
      </c>
      <c r="AP35" s="2"/>
      <c r="AQ35" s="2"/>
    </row>
    <row r="36" spans="1:43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0">
        <f t="shared" si="0"/>
        <v>0</v>
      </c>
      <c r="AP36" s="2"/>
      <c r="AQ36" s="2"/>
    </row>
    <row r="37" spans="1:43" x14ac:dyDescent="0.3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0">
        <f t="shared" si="0"/>
        <v>0</v>
      </c>
      <c r="AP37" s="2"/>
      <c r="AQ37" s="2"/>
    </row>
    <row r="38" spans="1:43" x14ac:dyDescent="0.3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0">
        <f t="shared" si="0"/>
        <v>0</v>
      </c>
      <c r="AP38" s="2"/>
      <c r="AQ38" s="2"/>
    </row>
    <row r="39" spans="1:43" x14ac:dyDescent="0.3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0">
        <f t="shared" si="0"/>
        <v>0</v>
      </c>
      <c r="AP39" s="2"/>
      <c r="AQ39" s="2"/>
    </row>
    <row r="40" spans="1:43" x14ac:dyDescent="0.3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0">
        <f t="shared" si="0"/>
        <v>0</v>
      </c>
      <c r="AP40" s="2"/>
      <c r="AQ40" s="2"/>
    </row>
    <row r="41" spans="1:43" x14ac:dyDescent="0.3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0">
        <f t="shared" si="0"/>
        <v>0</v>
      </c>
      <c r="AP41" s="2"/>
      <c r="AQ41" s="2"/>
    </row>
    <row r="42" spans="1:43" x14ac:dyDescent="0.3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0">
        <f t="shared" si="0"/>
        <v>0</v>
      </c>
      <c r="AP42" s="2"/>
      <c r="AQ42" s="2"/>
    </row>
    <row r="43" spans="1:43" x14ac:dyDescent="0.3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0">
        <f t="shared" si="0"/>
        <v>0</v>
      </c>
      <c r="AP43" s="2"/>
      <c r="AQ43" s="2"/>
    </row>
    <row r="44" spans="1:43" x14ac:dyDescent="0.3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0">
        <f t="shared" si="0"/>
        <v>0</v>
      </c>
      <c r="AP44" s="2"/>
      <c r="AQ44" s="2"/>
    </row>
    <row r="45" spans="1:43" x14ac:dyDescent="0.3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0">
        <f t="shared" si="0"/>
        <v>0</v>
      </c>
      <c r="AP45" s="2"/>
      <c r="AQ45" s="2"/>
    </row>
    <row r="46" spans="1:43" x14ac:dyDescent="0.3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0">
        <f t="shared" si="0"/>
        <v>0</v>
      </c>
      <c r="AP46" s="2"/>
      <c r="AQ46" s="2"/>
    </row>
    <row r="47" spans="1:43" x14ac:dyDescent="0.3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0">
        <f t="shared" si="0"/>
        <v>0</v>
      </c>
      <c r="AP47" s="2"/>
      <c r="AQ47" s="2"/>
    </row>
    <row r="48" spans="1:43" x14ac:dyDescent="0.3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0">
        <f t="shared" si="0"/>
        <v>0</v>
      </c>
      <c r="AP48" s="2"/>
      <c r="AQ48" s="2"/>
    </row>
    <row r="49" spans="1:914" x14ac:dyDescent="0.3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0">
        <f t="shared" si="0"/>
        <v>0</v>
      </c>
      <c r="AP49" s="2"/>
      <c r="AQ49" s="2"/>
    </row>
    <row r="50" spans="1:914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0">
        <f t="shared" si="0"/>
        <v>0</v>
      </c>
      <c r="AP50" s="2"/>
      <c r="AQ50" s="2"/>
    </row>
    <row r="51" spans="1:914" x14ac:dyDescent="0.3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0">
        <f t="shared" si="0"/>
        <v>0</v>
      </c>
      <c r="AP51" s="2"/>
      <c r="AQ51" s="2"/>
    </row>
    <row r="52" spans="1:914" x14ac:dyDescent="0.3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0">
        <f t="shared" si="0"/>
        <v>0</v>
      </c>
      <c r="AP52" s="2"/>
      <c r="AQ52" s="2"/>
    </row>
    <row r="53" spans="1:914" x14ac:dyDescent="0.3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0">
        <f t="shared" si="0"/>
        <v>0</v>
      </c>
      <c r="AP53" s="2"/>
      <c r="AQ53" s="2"/>
    </row>
    <row r="54" spans="1:914" x14ac:dyDescent="0.3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0">
        <f t="shared" si="0"/>
        <v>0</v>
      </c>
      <c r="AP54" s="2"/>
      <c r="AQ54" s="2"/>
    </row>
    <row r="55" spans="1:914" x14ac:dyDescent="0.3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0">
        <f t="shared" si="0"/>
        <v>0</v>
      </c>
      <c r="AP55" s="2"/>
      <c r="AQ55" s="2"/>
    </row>
    <row r="56" spans="1:914" x14ac:dyDescent="0.3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0">
        <f t="shared" si="0"/>
        <v>0</v>
      </c>
      <c r="AP56" s="2"/>
      <c r="AQ56" s="2"/>
    </row>
    <row r="57" spans="1:914" x14ac:dyDescent="0.3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0">
        <f t="shared" si="0"/>
        <v>0</v>
      </c>
      <c r="AP57" s="2"/>
      <c r="AQ57" s="2"/>
    </row>
    <row r="58" spans="1:914" s="132" customFormat="1" x14ac:dyDescent="0.3">
      <c r="A58" s="279">
        <f>SUM(A3:A57)</f>
        <v>0</v>
      </c>
      <c r="B58" s="279">
        <f t="shared" ref="B58:AN58" si="1">SUM(B3:B57)</f>
        <v>0</v>
      </c>
      <c r="C58" s="279">
        <f t="shared" si="1"/>
        <v>0</v>
      </c>
      <c r="D58" s="279">
        <f t="shared" si="1"/>
        <v>0</v>
      </c>
      <c r="E58" s="279">
        <f t="shared" si="1"/>
        <v>0</v>
      </c>
      <c r="F58" s="279">
        <f t="shared" si="1"/>
        <v>0</v>
      </c>
      <c r="G58" s="279">
        <f t="shared" si="1"/>
        <v>0</v>
      </c>
      <c r="H58" s="279">
        <f t="shared" si="1"/>
        <v>0</v>
      </c>
      <c r="I58" s="279">
        <f t="shared" si="1"/>
        <v>0</v>
      </c>
      <c r="J58" s="279">
        <f t="shared" si="1"/>
        <v>0</v>
      </c>
      <c r="K58" s="279">
        <f t="shared" si="1"/>
        <v>0</v>
      </c>
      <c r="L58" s="279">
        <f>SUM(L3:L57)</f>
        <v>0</v>
      </c>
      <c r="M58" s="279">
        <f t="shared" si="1"/>
        <v>0</v>
      </c>
      <c r="N58" s="279">
        <f t="shared" si="1"/>
        <v>0</v>
      </c>
      <c r="O58" s="279">
        <f t="shared" si="1"/>
        <v>0</v>
      </c>
      <c r="P58" s="279">
        <f t="shared" si="1"/>
        <v>0</v>
      </c>
      <c r="Q58" s="279">
        <f t="shared" si="1"/>
        <v>0</v>
      </c>
      <c r="R58" s="279">
        <f t="shared" si="1"/>
        <v>0</v>
      </c>
      <c r="S58" s="279">
        <f t="shared" si="1"/>
        <v>0</v>
      </c>
      <c r="T58" s="279">
        <f t="shared" si="1"/>
        <v>0</v>
      </c>
      <c r="U58" s="279">
        <f t="shared" si="1"/>
        <v>0</v>
      </c>
      <c r="V58" s="279">
        <f t="shared" si="1"/>
        <v>0</v>
      </c>
      <c r="W58" s="279">
        <f t="shared" si="1"/>
        <v>0</v>
      </c>
      <c r="X58" s="279">
        <f t="shared" si="1"/>
        <v>0</v>
      </c>
      <c r="Y58" s="279">
        <f t="shared" si="1"/>
        <v>0</v>
      </c>
      <c r="Z58" s="279">
        <f t="shared" si="1"/>
        <v>0</v>
      </c>
      <c r="AA58" s="279">
        <f t="shared" si="1"/>
        <v>0</v>
      </c>
      <c r="AB58" s="279">
        <f t="shared" si="1"/>
        <v>0</v>
      </c>
      <c r="AC58" s="279">
        <f t="shared" si="1"/>
        <v>0</v>
      </c>
      <c r="AD58" s="279">
        <f t="shared" si="1"/>
        <v>0</v>
      </c>
      <c r="AE58" s="279">
        <f t="shared" si="1"/>
        <v>0</v>
      </c>
      <c r="AF58" s="279">
        <f t="shared" si="1"/>
        <v>0</v>
      </c>
      <c r="AG58" s="279">
        <f t="shared" si="1"/>
        <v>0</v>
      </c>
      <c r="AH58" s="279">
        <f t="shared" si="1"/>
        <v>0</v>
      </c>
      <c r="AI58" s="279">
        <f t="shared" si="1"/>
        <v>0</v>
      </c>
      <c r="AJ58" s="279">
        <f t="shared" si="1"/>
        <v>0</v>
      </c>
      <c r="AK58" s="279">
        <f t="shared" si="1"/>
        <v>0</v>
      </c>
      <c r="AL58" s="279">
        <f t="shared" si="1"/>
        <v>0</v>
      </c>
      <c r="AM58" s="279">
        <f t="shared" si="1"/>
        <v>0</v>
      </c>
      <c r="AN58" s="279">
        <f t="shared" si="1"/>
        <v>0</v>
      </c>
      <c r="AO58" s="279">
        <f>SUM(AO3:AO57)</f>
        <v>0</v>
      </c>
      <c r="AP58" s="124"/>
      <c r="AQ58" s="124">
        <v>0</v>
      </c>
      <c r="AID58" s="168"/>
    </row>
  </sheetData>
  <mergeCells count="1">
    <mergeCell ref="A1:AN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view="pageBreakPreview" zoomScale="60" zoomScaleNormal="90" workbookViewId="0">
      <selection activeCell="B30" sqref="B30"/>
    </sheetView>
  </sheetViews>
  <sheetFormatPr baseColWidth="10" defaultColWidth="11.44140625" defaultRowHeight="13.2" x14ac:dyDescent="0.25"/>
  <cols>
    <col min="1" max="1" width="58.33203125" style="3" bestFit="1" customWidth="1"/>
    <col min="2" max="4" width="17.6640625" style="3" customWidth="1"/>
    <col min="5" max="16384" width="11.44140625" style="3"/>
  </cols>
  <sheetData>
    <row r="1" spans="1:5" ht="31.8" x14ac:dyDescent="0.5">
      <c r="A1" s="595" t="s">
        <v>77</v>
      </c>
      <c r="B1" s="595"/>
      <c r="C1" s="595"/>
      <c r="D1" s="595"/>
      <c r="E1" s="595"/>
    </row>
    <row r="2" spans="1:5" ht="20.399999999999999" x14ac:dyDescent="0.35">
      <c r="A2" s="596" t="str">
        <f>'CONS. FUENTES FINAN'!A6</f>
        <v>HOSPITAL MATERNO INFANTIL SAN LORENZO DE LOS MINA</v>
      </c>
      <c r="B2" s="596"/>
      <c r="C2" s="596"/>
      <c r="D2" s="596"/>
      <c r="E2" s="596"/>
    </row>
    <row r="3" spans="1:5" ht="15.6" x14ac:dyDescent="0.3">
      <c r="A3" s="597" t="s">
        <v>425</v>
      </c>
      <c r="B3" s="597"/>
      <c r="C3" s="597"/>
      <c r="D3" s="597"/>
      <c r="E3" s="597"/>
    </row>
    <row r="4" spans="1:5" ht="15.6" x14ac:dyDescent="0.3">
      <c r="A4" s="597"/>
      <c r="B4" s="597"/>
      <c r="C4" s="597"/>
      <c r="D4" s="597"/>
      <c r="E4" s="597"/>
    </row>
    <row r="5" spans="1:5" ht="16.2" thickBot="1" x14ac:dyDescent="0.35">
      <c r="A5" s="118"/>
      <c r="B5" s="118"/>
      <c r="C5" s="118"/>
      <c r="D5" s="118"/>
      <c r="E5" s="118"/>
    </row>
    <row r="6" spans="1:5" x14ac:dyDescent="0.25">
      <c r="A6" s="598" t="s">
        <v>373</v>
      </c>
      <c r="B6" s="600" t="s">
        <v>372</v>
      </c>
      <c r="C6" s="602" t="s">
        <v>371</v>
      </c>
      <c r="D6" s="598" t="s">
        <v>328</v>
      </c>
      <c r="E6" s="598" t="s">
        <v>72</v>
      </c>
    </row>
    <row r="7" spans="1:5" ht="20.25" customHeight="1" thickBot="1" x14ac:dyDescent="0.3">
      <c r="A7" s="599"/>
      <c r="B7" s="601"/>
      <c r="C7" s="603"/>
      <c r="D7" s="599"/>
      <c r="E7" s="599"/>
    </row>
    <row r="8" spans="1:5" ht="20.399999999999999" x14ac:dyDescent="0.3">
      <c r="A8" s="114" t="s">
        <v>370</v>
      </c>
      <c r="B8" s="113"/>
      <c r="C8" s="113"/>
      <c r="D8" s="112"/>
      <c r="E8" s="111"/>
    </row>
    <row r="9" spans="1:5" ht="18" x14ac:dyDescent="0.35">
      <c r="A9" s="117" t="s">
        <v>369</v>
      </c>
      <c r="B9" s="106">
        <f>'CONS. FUENTES FINAN'!G245+'CONS. FUENTES FINAN'!G315</f>
        <v>3125937.7800000003</v>
      </c>
      <c r="C9" s="106">
        <f>'CONS. FUENTES FINAN'!H245+'CONS. FUENTES FINAN'!H315</f>
        <v>2107341.13</v>
      </c>
      <c r="D9" s="106">
        <f>SUM(B9:C9)</f>
        <v>5233278.91</v>
      </c>
      <c r="E9" s="108">
        <f>+D9/D12</f>
        <v>0.73865848717999416</v>
      </c>
    </row>
    <row r="10" spans="1:5" ht="18" x14ac:dyDescent="0.35">
      <c r="A10" s="109" t="s">
        <v>368</v>
      </c>
      <c r="B10" s="106">
        <f>'CONS. FUENTES FINAN'!G302</f>
        <v>0</v>
      </c>
      <c r="C10" s="106">
        <f>'CONS. FUENTES FINAN'!H302</f>
        <v>0</v>
      </c>
      <c r="D10" s="106">
        <f>SUM(B10:C10)</f>
        <v>0</v>
      </c>
      <c r="E10" s="108">
        <f>+D10/D12</f>
        <v>0</v>
      </c>
    </row>
    <row r="11" spans="1:5" ht="18" x14ac:dyDescent="0.35">
      <c r="A11" s="109" t="s">
        <v>367</v>
      </c>
      <c r="B11" s="106">
        <f>'CONS. FUENTES FINAN'!G296+'CONS. FUENTES FINAN'!G297+'CONS. FUENTES FINAN'!G298</f>
        <v>1844663.41</v>
      </c>
      <c r="C11" s="106">
        <f>'CONS. FUENTES FINAN'!H296+'CONS. FUENTES FINAN'!H297+'CONS. FUENTES FINAN'!H298</f>
        <v>6900</v>
      </c>
      <c r="D11" s="106">
        <f>SUM(B11:C11)</f>
        <v>1851563.41</v>
      </c>
      <c r="E11" s="108">
        <f>+D11/D12</f>
        <v>0.26134151282000584</v>
      </c>
    </row>
    <row r="12" spans="1:5" ht="17.399999999999999" x14ac:dyDescent="0.3">
      <c r="A12" s="116" t="s">
        <v>348</v>
      </c>
      <c r="B12" s="102">
        <f>SUM(B9:B11)</f>
        <v>4970601.1900000004</v>
      </c>
      <c r="C12" s="102">
        <f>SUM(C9:C11)</f>
        <v>2114241.13</v>
      </c>
      <c r="D12" s="102">
        <f>SUM(D9:D11)</f>
        <v>7084842.3200000003</v>
      </c>
      <c r="E12" s="115">
        <f>+D12/D39</f>
        <v>9.2150699986813425E-2</v>
      </c>
    </row>
    <row r="13" spans="1:5" ht="20.399999999999999" x14ac:dyDescent="0.3">
      <c r="A13" s="114" t="s">
        <v>366</v>
      </c>
      <c r="B13" s="113"/>
      <c r="C13" s="113"/>
      <c r="D13" s="112"/>
      <c r="E13" s="111"/>
    </row>
    <row r="14" spans="1:5" ht="18" x14ac:dyDescent="0.35">
      <c r="A14" s="109" t="s">
        <v>365</v>
      </c>
      <c r="B14" s="106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0</v>
      </c>
      <c r="C14" s="106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2074666.35</v>
      </c>
      <c r="D14" s="105">
        <f>SUM(B14:C14)</f>
        <v>2074666.35</v>
      </c>
      <c r="E14" s="108">
        <f>+D14/D16</f>
        <v>1</v>
      </c>
    </row>
    <row r="15" spans="1:5" ht="18" x14ac:dyDescent="0.35">
      <c r="A15" s="109" t="s">
        <v>364</v>
      </c>
      <c r="B15" s="106">
        <f>'CONS. FUENTES FINAN'!G320</f>
        <v>0</v>
      </c>
      <c r="C15" s="106">
        <f>'CONS. FUENTES FINAN'!H320</f>
        <v>0</v>
      </c>
      <c r="D15" s="105">
        <f>SUM(B15:C15)</f>
        <v>0</v>
      </c>
      <c r="E15" s="108">
        <f>+D15/D16</f>
        <v>0</v>
      </c>
    </row>
    <row r="16" spans="1:5" ht="17.399999999999999" x14ac:dyDescent="0.3">
      <c r="A16" s="116" t="s">
        <v>348</v>
      </c>
      <c r="B16" s="102">
        <f>SUM(B14:B15)</f>
        <v>0</v>
      </c>
      <c r="C16" s="102">
        <f>SUM(C14:C15)</f>
        <v>2074666.35</v>
      </c>
      <c r="D16" s="102">
        <f>SUM(D14:D15)</f>
        <v>2074666.35</v>
      </c>
      <c r="E16" s="115">
        <f>+D16/D39</f>
        <v>2.6984645212483324E-2</v>
      </c>
    </row>
    <row r="17" spans="1:5" ht="20.399999999999999" x14ac:dyDescent="0.3">
      <c r="A17" s="114" t="s">
        <v>363</v>
      </c>
      <c r="B17" s="113"/>
      <c r="C17" s="113"/>
      <c r="D17" s="112"/>
      <c r="E17" s="111"/>
    </row>
    <row r="18" spans="1:5" ht="18" x14ac:dyDescent="0.35">
      <c r="A18" s="110" t="s">
        <v>362</v>
      </c>
      <c r="B18" s="106">
        <f>'CONS. FUENTES FINAN'!G26</f>
        <v>65091179.920000002</v>
      </c>
      <c r="C18" s="106">
        <f>'CONS. FUENTES FINAN'!H26</f>
        <v>0</v>
      </c>
      <c r="D18" s="105">
        <f t="shared" ref="D18:D33" si="0">SUM(B18:C18)</f>
        <v>65091179.920000002</v>
      </c>
      <c r="E18" s="108">
        <f>+D18/D34</f>
        <v>0.97389817400035827</v>
      </c>
    </row>
    <row r="19" spans="1:5" ht="18" x14ac:dyDescent="0.35">
      <c r="A19" s="109" t="s">
        <v>361</v>
      </c>
      <c r="B19" s="106">
        <f>'CONS. FUENTES FINAN'!G91+'CONS. FUENTES FINAN'!G93+'CONS. FUENTES FINAN'!G95+'CONS. FUENTES FINAN'!G97</f>
        <v>0</v>
      </c>
      <c r="C19" s="106">
        <f>'CONS. FUENTES FINAN'!H91+'CONS. FUENTES FINAN'!H93+'CONS. FUENTES FINAN'!H95+'CONS. FUENTES FINAN'!H97</f>
        <v>301316.33</v>
      </c>
      <c r="D19" s="105">
        <f t="shared" si="0"/>
        <v>301316.33</v>
      </c>
      <c r="E19" s="108">
        <f>+D19/D34</f>
        <v>4.5083131684531524E-3</v>
      </c>
    </row>
    <row r="20" spans="1:5" ht="18" x14ac:dyDescent="0.35">
      <c r="A20" s="109" t="s">
        <v>423</v>
      </c>
      <c r="B20" s="105">
        <f>'CONS. FUENTES FINAN'!G99+'CONS. FUENTES FINAN'!G102+'CONS. FUENTES FINAN'!G104</f>
        <v>0</v>
      </c>
      <c r="C20" s="105">
        <f>'CONS. FUENTES FINAN'!H99+'CONS. FUENTES FINAN'!H102+'CONS. FUENTES FINAN'!H104</f>
        <v>50000</v>
      </c>
      <c r="D20" s="105">
        <f t="shared" si="0"/>
        <v>50000</v>
      </c>
      <c r="E20" s="108">
        <f>+D20/D34</f>
        <v>7.4810302655238634E-4</v>
      </c>
    </row>
    <row r="21" spans="1:5" ht="18" x14ac:dyDescent="0.35">
      <c r="A21" s="109" t="s">
        <v>360</v>
      </c>
      <c r="B21" s="105">
        <f>'CONS. FUENTES FINAN'!G111</f>
        <v>0</v>
      </c>
      <c r="C21" s="105">
        <f>'CONS. FUENTES FINAN'!H111</f>
        <v>0</v>
      </c>
      <c r="D21" s="105">
        <f t="shared" si="0"/>
        <v>0</v>
      </c>
      <c r="E21" s="108">
        <f>+D21/D34</f>
        <v>0</v>
      </c>
    </row>
    <row r="22" spans="1:5" ht="18" x14ac:dyDescent="0.35">
      <c r="A22" s="109" t="s">
        <v>359</v>
      </c>
      <c r="B22" s="105">
        <f>'CONS. FUENTES FINAN'!G116</f>
        <v>0</v>
      </c>
      <c r="C22" s="105">
        <f>'CONS. FUENTES FINAN'!H116</f>
        <v>0</v>
      </c>
      <c r="D22" s="105">
        <f t="shared" si="0"/>
        <v>0</v>
      </c>
      <c r="E22" s="108">
        <f>+D22/D34</f>
        <v>0</v>
      </c>
    </row>
    <row r="23" spans="1:5" ht="18" x14ac:dyDescent="0.35">
      <c r="A23" s="109" t="s">
        <v>358</v>
      </c>
      <c r="B23" s="105">
        <f>'CONS. FUENTES FINAN'!G125</f>
        <v>0</v>
      </c>
      <c r="C23" s="105">
        <f>'CONS. FUENTES FINAN'!H125</f>
        <v>266664.26</v>
      </c>
      <c r="D23" s="105">
        <f t="shared" si="0"/>
        <v>266664.26</v>
      </c>
      <c r="E23" s="108">
        <f>+D23/D34</f>
        <v>3.9898467995870494E-3</v>
      </c>
    </row>
    <row r="24" spans="1:5" ht="18" x14ac:dyDescent="0.35">
      <c r="A24" s="109" t="s">
        <v>357</v>
      </c>
      <c r="B24" s="105">
        <f>'CONS. FUENTES FINAN'!G182</f>
        <v>0</v>
      </c>
      <c r="C24" s="105">
        <f>'CONS. FUENTES FINAN'!H182</f>
        <v>13357.35</v>
      </c>
      <c r="D24" s="105">
        <f t="shared" si="0"/>
        <v>13357.35</v>
      </c>
      <c r="E24" s="108">
        <f>+D24/D34</f>
        <v>1.9985347923439034E-4</v>
      </c>
    </row>
    <row r="25" spans="1:5" ht="18" x14ac:dyDescent="0.35">
      <c r="A25" s="109" t="s">
        <v>356</v>
      </c>
      <c r="B25" s="106">
        <f>'CONS. FUENTES FINAN'!G109+'CONS. FUENTES FINAN'!G312</f>
        <v>0</v>
      </c>
      <c r="C25" s="106">
        <f>'CONS. FUENTES FINAN'!H109+'CONS. FUENTES FINAN'!H312</f>
        <v>0</v>
      </c>
      <c r="D25" s="105">
        <f t="shared" si="0"/>
        <v>0</v>
      </c>
      <c r="E25" s="108">
        <f>+D25/D34</f>
        <v>0</v>
      </c>
    </row>
    <row r="26" spans="1:5" ht="18" x14ac:dyDescent="0.35">
      <c r="A26" s="109" t="s">
        <v>355</v>
      </c>
      <c r="B26" s="105">
        <f>'CONS. FUENTES FINAN'!G208+'CONS. FUENTES FINAN'!G214+'CONS. FUENTES FINAN'!G217+'CONS. FUENTES FINAN'!G219</f>
        <v>0</v>
      </c>
      <c r="C26" s="105">
        <f>'CONS. FUENTES FINAN'!H208+'CONS. FUENTES FINAN'!H214+'CONS. FUENTES FINAN'!H217+'CONS. FUENTES FINAN'!H219</f>
        <v>541265</v>
      </c>
      <c r="D26" s="105">
        <f t="shared" si="0"/>
        <v>541265</v>
      </c>
      <c r="E26" s="108">
        <f>+D26/D34</f>
        <v>8.0984396933375478E-3</v>
      </c>
    </row>
    <row r="27" spans="1:5" ht="18" x14ac:dyDescent="0.35">
      <c r="A27" s="109" t="s">
        <v>354</v>
      </c>
      <c r="B27" s="105">
        <f>'CONS. FUENTES FINAN'!G232</f>
        <v>0</v>
      </c>
      <c r="C27" s="105">
        <f>'CONS. FUENTES FINAN'!H232</f>
        <v>85550</v>
      </c>
      <c r="D27" s="105">
        <f t="shared" si="0"/>
        <v>85550</v>
      </c>
      <c r="E27" s="108">
        <f>+D27/D34</f>
        <v>1.2800042784311329E-3</v>
      </c>
    </row>
    <row r="28" spans="1:5" ht="18" x14ac:dyDescent="0.35">
      <c r="A28" s="109" t="s">
        <v>353</v>
      </c>
      <c r="B28" s="105">
        <f>'CONS. FUENTES FINAN'!G259</f>
        <v>0</v>
      </c>
      <c r="C28" s="105">
        <f>'CONS. FUENTES FINAN'!H259</f>
        <v>0</v>
      </c>
      <c r="D28" s="105">
        <f t="shared" si="0"/>
        <v>0</v>
      </c>
      <c r="E28" s="108">
        <f>+D28/D34</f>
        <v>0</v>
      </c>
    </row>
    <row r="29" spans="1:5" ht="18" x14ac:dyDescent="0.35">
      <c r="A29" s="109" t="s">
        <v>352</v>
      </c>
      <c r="B29" s="105">
        <f>'CONS. FUENTES FINAN'!G288</f>
        <v>0</v>
      </c>
      <c r="C29" s="105">
        <f>'CONS. FUENTES FINAN'!H288</f>
        <v>172000</v>
      </c>
      <c r="D29" s="105">
        <f t="shared" si="0"/>
        <v>172000</v>
      </c>
      <c r="E29" s="108">
        <f>+D29/D34</f>
        <v>2.5734744113402089E-3</v>
      </c>
    </row>
    <row r="30" spans="1:5" ht="18" x14ac:dyDescent="0.35">
      <c r="A30" s="109" t="s">
        <v>11</v>
      </c>
      <c r="B30" s="105">
        <f>'CONS. FUENTES FINAN'!G289+'CONS. FUENTES FINAN'!G290</f>
        <v>0</v>
      </c>
      <c r="C30" s="105">
        <f>'CONS. FUENTES FINAN'!H289+'CONS. FUENTES FINAN'!H290</f>
        <v>0</v>
      </c>
      <c r="D30" s="105">
        <f t="shared" si="0"/>
        <v>0</v>
      </c>
      <c r="E30" s="108">
        <f>+D30/D34</f>
        <v>0</v>
      </c>
    </row>
    <row r="31" spans="1:5" ht="18" x14ac:dyDescent="0.35">
      <c r="A31" s="109" t="s">
        <v>351</v>
      </c>
      <c r="B31" s="105">
        <f>'CONS. FUENTES FINAN'!G291+'CONS. FUENTES FINAN'!G294</f>
        <v>0</v>
      </c>
      <c r="C31" s="105">
        <f>'CONS. FUENTES FINAN'!H291+'CONS. FUENTES FINAN'!H294</f>
        <v>49512.84</v>
      </c>
      <c r="D31" s="105">
        <f t="shared" si="0"/>
        <v>49512.84</v>
      </c>
      <c r="E31" s="108">
        <f>+D31/D34</f>
        <v>7.4081410914408105E-4</v>
      </c>
    </row>
    <row r="32" spans="1:5" ht="18" x14ac:dyDescent="0.35">
      <c r="A32" s="109" t="s">
        <v>350</v>
      </c>
      <c r="B32" s="105">
        <f>'CONS. FUENTES FINAN'!G309</f>
        <v>0</v>
      </c>
      <c r="C32" s="105">
        <f>'CONS. FUENTES FINAN'!H309</f>
        <v>0</v>
      </c>
      <c r="D32" s="105">
        <f t="shared" si="0"/>
        <v>0</v>
      </c>
      <c r="E32" s="108">
        <f>+D32/D34</f>
        <v>0</v>
      </c>
    </row>
    <row r="33" spans="1:5" ht="18" x14ac:dyDescent="0.35">
      <c r="A33" s="107" t="s">
        <v>349</v>
      </c>
      <c r="B33" s="106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0</v>
      </c>
      <c r="C33" s="106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264868.40000000002</v>
      </c>
      <c r="D33" s="105">
        <f t="shared" si="0"/>
        <v>264868.40000000002</v>
      </c>
      <c r="E33" s="108">
        <f>+D33/D34</f>
        <v>3.9629770335617622E-3</v>
      </c>
    </row>
    <row r="34" spans="1:5" ht="17.399999999999999" x14ac:dyDescent="0.3">
      <c r="A34" s="116" t="s">
        <v>348</v>
      </c>
      <c r="B34" s="102">
        <f>SUM(B17:B33)</f>
        <v>65091179.920000002</v>
      </c>
      <c r="C34" s="102">
        <f>SUM(C17:C33)</f>
        <v>1744534.1800000002</v>
      </c>
      <c r="D34" s="102">
        <f>SUM(D17:D33)</f>
        <v>66835714.100000001</v>
      </c>
      <c r="E34" s="115">
        <f>+D34/D39</f>
        <v>0.86931473704746265</v>
      </c>
    </row>
    <row r="35" spans="1:5" ht="20.399999999999999" x14ac:dyDescent="0.3">
      <c r="A35" s="114" t="s">
        <v>422</v>
      </c>
      <c r="B35" s="113"/>
      <c r="C35" s="113"/>
      <c r="D35" s="112"/>
      <c r="E35" s="111"/>
    </row>
    <row r="36" spans="1:5" ht="18" x14ac:dyDescent="0.35">
      <c r="A36" s="110" t="s">
        <v>168</v>
      </c>
      <c r="B36" s="106">
        <f>'CONS. FUENTES FINAN'!G336</f>
        <v>0</v>
      </c>
      <c r="C36" s="106">
        <f>'CONS. FUENTES FINAN'!H336</f>
        <v>887994.84</v>
      </c>
      <c r="D36" s="106">
        <f>SUM(B36:C36)</f>
        <v>887994.84</v>
      </c>
      <c r="E36" s="104">
        <f>+D36/D38</f>
        <v>1</v>
      </c>
    </row>
    <row r="37" spans="1:5" ht="18.600000000000001" thickBot="1" x14ac:dyDescent="0.4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4">
        <f>+D37/D38</f>
        <v>0</v>
      </c>
    </row>
    <row r="38" spans="1:5" ht="16.2" thickBot="1" x14ac:dyDescent="0.35">
      <c r="A38" s="103" t="s">
        <v>348</v>
      </c>
      <c r="B38" s="128">
        <f>SUM(B36:B37)</f>
        <v>0</v>
      </c>
      <c r="C38" s="129">
        <f>SUM(C36:C37)</f>
        <v>887994.84</v>
      </c>
      <c r="D38" s="129">
        <f>SUM(D36:D37)</f>
        <v>887994.84</v>
      </c>
      <c r="E38" s="101">
        <f>+D38/D39</f>
        <v>1.1549917753240609E-2</v>
      </c>
    </row>
    <row r="39" spans="1:5" ht="18" thickBot="1" x14ac:dyDescent="0.35">
      <c r="A39" s="99" t="s">
        <v>347</v>
      </c>
      <c r="B39" s="100">
        <f>+B12+B16+B34+B38</f>
        <v>70061781.109999999</v>
      </c>
      <c r="C39" s="100">
        <f>+C12+C16+C34+C38</f>
        <v>6821436.5</v>
      </c>
      <c r="D39" s="100">
        <f>+D12+D16+D34+D38</f>
        <v>76883217.609999999</v>
      </c>
      <c r="E39" s="97">
        <f>+E12+E16+E34+E38</f>
        <v>1</v>
      </c>
    </row>
    <row r="40" spans="1:5" ht="18" thickBot="1" x14ac:dyDescent="0.35">
      <c r="A40" s="99" t="s">
        <v>346</v>
      </c>
      <c r="B40" s="98">
        <f>+B39/D39</f>
        <v>0.91127535095366829</v>
      </c>
      <c r="C40" s="98">
        <f>+C39/D39</f>
        <v>8.8724649046331719E-2</v>
      </c>
      <c r="D40" s="98">
        <f>+B40+C40</f>
        <v>1</v>
      </c>
      <c r="E40" s="97"/>
    </row>
    <row r="42" spans="1:5" ht="25.8" x14ac:dyDescent="0.5">
      <c r="A42" s="96"/>
    </row>
    <row r="43" spans="1:5" ht="25.8" x14ac:dyDescent="0.5">
      <c r="A43" s="96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scale="7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4"/>
  <sheetViews>
    <sheetView view="pageBreakPreview" zoomScale="60" zoomScaleNormal="66" workbookViewId="0">
      <pane xSplit="1" ySplit="7" topLeftCell="I50" activePane="bottomRight" state="frozen"/>
      <selection pane="topRight" activeCell="B1" sqref="B1"/>
      <selection pane="bottomLeft" activeCell="A8" sqref="A8"/>
      <selection pane="bottomRight" sqref="A1:XFD1048576"/>
    </sheetView>
  </sheetViews>
  <sheetFormatPr baseColWidth="10" defaultColWidth="9.109375" defaultRowHeight="14.4" x14ac:dyDescent="0.3"/>
  <cols>
    <col min="1" max="1" width="84.44140625" customWidth="1"/>
    <col min="2" max="2" width="22.6640625" bestFit="1" customWidth="1"/>
    <col min="3" max="4" width="21.88671875" bestFit="1" customWidth="1"/>
    <col min="5" max="5" width="20.88671875" bestFit="1" customWidth="1"/>
    <col min="6" max="6" width="15.88671875" customWidth="1"/>
    <col min="7" max="7" width="20.44140625" bestFit="1" customWidth="1"/>
    <col min="8" max="9" width="20" bestFit="1" customWidth="1"/>
    <col min="10" max="11" width="15.88671875" customWidth="1"/>
    <col min="12" max="14" width="22.6640625" bestFit="1" customWidth="1"/>
    <col min="15" max="15" width="21.88671875" bestFit="1" customWidth="1"/>
  </cols>
  <sheetData>
    <row r="1" spans="1:15" ht="18" x14ac:dyDescent="0.3">
      <c r="A1" s="604" t="s">
        <v>529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</row>
    <row r="2" spans="1:15" ht="18" x14ac:dyDescent="0.3">
      <c r="A2" s="604" t="s">
        <v>528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</row>
    <row r="3" spans="1:15" ht="18.75" customHeight="1" x14ac:dyDescent="0.3">
      <c r="A3" s="605" t="s">
        <v>536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</row>
    <row r="4" spans="1:15" x14ac:dyDescent="0.3">
      <c r="A4" s="606" t="s">
        <v>527</v>
      </c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</row>
    <row r="5" spans="1:15" x14ac:dyDescent="0.3">
      <c r="L5" s="130"/>
      <c r="M5" s="130"/>
      <c r="N5" s="130"/>
      <c r="O5" s="130"/>
    </row>
    <row r="6" spans="1:15" ht="48" customHeight="1" x14ac:dyDescent="0.3">
      <c r="A6" s="151" t="s">
        <v>526</v>
      </c>
      <c r="B6" s="607" t="s">
        <v>643</v>
      </c>
      <c r="C6" s="608"/>
      <c r="D6" s="608"/>
      <c r="E6" s="608"/>
      <c r="F6" s="609"/>
      <c r="G6" s="612" t="s">
        <v>530</v>
      </c>
      <c r="H6" s="612"/>
      <c r="I6" s="612"/>
      <c r="J6" s="612"/>
      <c r="K6" s="609"/>
      <c r="L6" s="613" t="s">
        <v>531</v>
      </c>
      <c r="M6" s="614"/>
      <c r="N6" s="614"/>
      <c r="O6" s="615"/>
    </row>
    <row r="7" spans="1:15" x14ac:dyDescent="0.3">
      <c r="A7" s="141" t="s">
        <v>512</v>
      </c>
      <c r="B7" s="152" t="s">
        <v>532</v>
      </c>
      <c r="C7" s="152" t="s">
        <v>533</v>
      </c>
      <c r="D7" s="152" t="s">
        <v>534</v>
      </c>
      <c r="E7" s="152" t="s">
        <v>535</v>
      </c>
      <c r="F7" s="610"/>
      <c r="G7" s="152" t="s">
        <v>532</v>
      </c>
      <c r="H7" s="152" t="s">
        <v>533</v>
      </c>
      <c r="I7" s="152" t="s">
        <v>534</v>
      </c>
      <c r="J7" s="152" t="s">
        <v>535</v>
      </c>
      <c r="K7" s="610"/>
      <c r="L7" s="152" t="s">
        <v>532</v>
      </c>
      <c r="M7" s="152" t="s">
        <v>533</v>
      </c>
      <c r="N7" s="152" t="s">
        <v>534</v>
      </c>
      <c r="O7" s="152" t="s">
        <v>535</v>
      </c>
    </row>
    <row r="8" spans="1:15" x14ac:dyDescent="0.3">
      <c r="A8" s="145" t="s">
        <v>511</v>
      </c>
      <c r="B8" s="153">
        <f>SUM(B9:B13)</f>
        <v>65091179.920000002</v>
      </c>
      <c r="C8" s="153">
        <f>SUM(C9:C13)</f>
        <v>0</v>
      </c>
      <c r="D8" s="153">
        <f>SUM(D9:D13)</f>
        <v>0</v>
      </c>
      <c r="E8" s="153">
        <f>SUM(E9:E13)</f>
        <v>0</v>
      </c>
      <c r="F8" s="610"/>
      <c r="G8" s="153">
        <f>SUM(G9:G13)</f>
        <v>0</v>
      </c>
      <c r="H8" s="153">
        <f>SUM(H9:H13)</f>
        <v>0</v>
      </c>
      <c r="I8" s="153">
        <f>SUM(I9:I13)</f>
        <v>0</v>
      </c>
      <c r="J8" s="153">
        <f>SUM(J9:J13)</f>
        <v>0</v>
      </c>
      <c r="K8" s="610"/>
      <c r="L8" s="154">
        <f t="shared" ref="L8:O9" si="0">SUM(B8+G8)</f>
        <v>65091179.920000002</v>
      </c>
      <c r="M8" s="154">
        <f t="shared" si="0"/>
        <v>0</v>
      </c>
      <c r="N8" s="154">
        <f t="shared" si="0"/>
        <v>0</v>
      </c>
      <c r="O8" s="154">
        <f t="shared" si="0"/>
        <v>0</v>
      </c>
    </row>
    <row r="9" spans="1:15" x14ac:dyDescent="0.3">
      <c r="A9" s="139" t="s">
        <v>510</v>
      </c>
      <c r="B9" s="155">
        <f>SUM('TRANSFERENCIA CORRIENTE'!C10:E10)</f>
        <v>53640338.710000001</v>
      </c>
      <c r="C9" s="155">
        <f>SUM('TRANSFERENCIA CORRIENTE'!F10:H10)</f>
        <v>0</v>
      </c>
      <c r="D9" s="155">
        <f>SUM('TRANSFERENCIA CORRIENTE'!I10:K10)</f>
        <v>0</v>
      </c>
      <c r="E9" s="155">
        <f>SUM('TRANSFERENCIA CORRIENTE'!L10:N10)</f>
        <v>0</v>
      </c>
      <c r="F9" s="610"/>
      <c r="G9" s="155">
        <f>SUM(VS!C10:E10)</f>
        <v>0</v>
      </c>
      <c r="H9" s="155">
        <f>SUM(VS!F10:H10)</f>
        <v>0</v>
      </c>
      <c r="I9" s="155">
        <f>SUM(VS!I10:K10)</f>
        <v>0</v>
      </c>
      <c r="J9" s="156">
        <f>SUM(VS!L10:N10)</f>
        <v>0</v>
      </c>
      <c r="K9" s="610"/>
      <c r="L9" s="157">
        <f t="shared" si="0"/>
        <v>53640338.710000001</v>
      </c>
      <c r="M9" s="157">
        <f t="shared" si="0"/>
        <v>0</v>
      </c>
      <c r="N9" s="157">
        <f t="shared" si="0"/>
        <v>0</v>
      </c>
      <c r="O9" s="157">
        <f t="shared" si="0"/>
        <v>0</v>
      </c>
    </row>
    <row r="10" spans="1:15" x14ac:dyDescent="0.3">
      <c r="A10" s="139" t="s">
        <v>509</v>
      </c>
      <c r="B10" s="155">
        <f>SUM('TRANSFERENCIA CORRIENTE'!C11:E11)</f>
        <v>3196999.6</v>
      </c>
      <c r="C10" s="155">
        <f>SUM('TRANSFERENCIA CORRIENTE'!F11:H11)</f>
        <v>0</v>
      </c>
      <c r="D10" s="155">
        <f>SUM('TRANSFERENCIA CORRIENTE'!I11:K11)</f>
        <v>0</v>
      </c>
      <c r="E10" s="155">
        <f>SUM('TRANSFERENCIA CORRIENTE'!L11:N11)</f>
        <v>0</v>
      </c>
      <c r="F10" s="610"/>
      <c r="G10" s="155">
        <f>SUM(VS!C11:E11)</f>
        <v>0</v>
      </c>
      <c r="H10" s="155">
        <f>SUM(VS!F11:H11)</f>
        <v>0</v>
      </c>
      <c r="I10" s="155">
        <f>SUM(VS!I11:K11)</f>
        <v>0</v>
      </c>
      <c r="J10" s="156">
        <f>SUM(VS!L11:N11)</f>
        <v>0</v>
      </c>
      <c r="K10" s="610"/>
      <c r="L10" s="157">
        <f t="shared" ref="L10:M13" si="1">SUM(B10+G10)</f>
        <v>3196999.6</v>
      </c>
      <c r="M10" s="157">
        <f t="shared" si="1"/>
        <v>0</v>
      </c>
      <c r="N10" s="157">
        <f t="shared" ref="N10:O13" si="2">SUM(D10+I10)</f>
        <v>0</v>
      </c>
      <c r="O10" s="157">
        <f t="shared" si="2"/>
        <v>0</v>
      </c>
    </row>
    <row r="11" spans="1:15" x14ac:dyDescent="0.3">
      <c r="A11" s="139" t="s">
        <v>508</v>
      </c>
      <c r="B11" s="155">
        <f>SUM('TRANSFERENCIA CORRIENTE'!C12:E12)</f>
        <v>0</v>
      </c>
      <c r="C11" s="155">
        <f>SUM('TRANSFERENCIA CORRIENTE'!F12:H12)</f>
        <v>0</v>
      </c>
      <c r="D11" s="155">
        <f>SUM('TRANSFERENCIA CORRIENTE'!I12:K12)</f>
        <v>0</v>
      </c>
      <c r="E11" s="155">
        <f>SUM('TRANSFERENCIA CORRIENTE'!L12:N12)</f>
        <v>0</v>
      </c>
      <c r="F11" s="610"/>
      <c r="G11" s="155">
        <f>SUM(VS!C12:E12)</f>
        <v>0</v>
      </c>
      <c r="H11" s="155">
        <f>SUM(VS!F12:H12)</f>
        <v>0</v>
      </c>
      <c r="I11" s="155">
        <f>SUM(VS!I12:K12)</f>
        <v>0</v>
      </c>
      <c r="J11" s="156">
        <f>SUM(VS!L12:N12)</f>
        <v>0</v>
      </c>
      <c r="K11" s="610"/>
      <c r="L11" s="157">
        <f t="shared" si="1"/>
        <v>0</v>
      </c>
      <c r="M11" s="157">
        <f t="shared" si="1"/>
        <v>0</v>
      </c>
      <c r="N11" s="157">
        <f t="shared" si="2"/>
        <v>0</v>
      </c>
      <c r="O11" s="157">
        <f t="shared" si="2"/>
        <v>0</v>
      </c>
    </row>
    <row r="12" spans="1:15" x14ac:dyDescent="0.3">
      <c r="A12" s="139" t="s">
        <v>507</v>
      </c>
      <c r="B12" s="155">
        <f>SUM('TRANSFERENCIA CORRIENTE'!C13:E13)</f>
        <v>0</v>
      </c>
      <c r="C12" s="155">
        <f>SUM('TRANSFERENCIA CORRIENTE'!F13:H13)</f>
        <v>0</v>
      </c>
      <c r="D12" s="155">
        <f>SUM('TRANSFERENCIA CORRIENTE'!I13:K13)</f>
        <v>0</v>
      </c>
      <c r="E12" s="155">
        <f>SUM('TRANSFERENCIA CORRIENTE'!L13:N13)</f>
        <v>0</v>
      </c>
      <c r="F12" s="610"/>
      <c r="G12" s="155">
        <f>SUM(VS!C13:E13)</f>
        <v>0</v>
      </c>
      <c r="H12" s="155">
        <f>SUM(VS!F13:H13)</f>
        <v>0</v>
      </c>
      <c r="I12" s="155">
        <f>SUM(VS!I13:K13)</f>
        <v>0</v>
      </c>
      <c r="J12" s="156">
        <f>SUM(VS!L13:N13)</f>
        <v>0</v>
      </c>
      <c r="K12" s="610"/>
      <c r="L12" s="157">
        <f t="shared" si="1"/>
        <v>0</v>
      </c>
      <c r="M12" s="157">
        <f t="shared" si="1"/>
        <v>0</v>
      </c>
      <c r="N12" s="157">
        <f t="shared" si="2"/>
        <v>0</v>
      </c>
      <c r="O12" s="157">
        <f t="shared" si="2"/>
        <v>0</v>
      </c>
    </row>
    <row r="13" spans="1:15" x14ac:dyDescent="0.3">
      <c r="A13" s="139" t="s">
        <v>506</v>
      </c>
      <c r="B13" s="155">
        <f>SUM('TRANSFERENCIA CORRIENTE'!C14:E14)</f>
        <v>8253841.6100000003</v>
      </c>
      <c r="C13" s="155">
        <f>SUM('TRANSFERENCIA CORRIENTE'!F14:H14)</f>
        <v>0</v>
      </c>
      <c r="D13" s="155">
        <f>SUM('TRANSFERENCIA CORRIENTE'!I14:K14)</f>
        <v>0</v>
      </c>
      <c r="E13" s="155">
        <f>SUM('TRANSFERENCIA CORRIENTE'!L14:N14)</f>
        <v>0</v>
      </c>
      <c r="F13" s="610"/>
      <c r="G13" s="155">
        <f>SUM(VS!C14:E14)</f>
        <v>0</v>
      </c>
      <c r="H13" s="155">
        <f>SUM(VS!F14:H14)</f>
        <v>0</v>
      </c>
      <c r="I13" s="155">
        <f>SUM(VS!I14:K14)</f>
        <v>0</v>
      </c>
      <c r="J13" s="156">
        <f>SUM(VS!L14:N14)</f>
        <v>0</v>
      </c>
      <c r="K13" s="610"/>
      <c r="L13" s="157">
        <f t="shared" si="1"/>
        <v>8253841.6100000003</v>
      </c>
      <c r="M13" s="157">
        <f t="shared" si="1"/>
        <v>0</v>
      </c>
      <c r="N13" s="157">
        <f t="shared" si="2"/>
        <v>0</v>
      </c>
      <c r="O13" s="157">
        <f t="shared" si="2"/>
        <v>0</v>
      </c>
    </row>
    <row r="14" spans="1:15" s="158" customFormat="1" x14ac:dyDescent="0.3">
      <c r="A14" s="145" t="s">
        <v>505</v>
      </c>
      <c r="B14" s="153">
        <f>SUM(B15:B23)</f>
        <v>0</v>
      </c>
      <c r="C14" s="153">
        <f>SUM(C15:C23)</f>
        <v>0</v>
      </c>
      <c r="D14" s="153">
        <f>SUM(D15:D23)</f>
        <v>0</v>
      </c>
      <c r="E14" s="153">
        <f>SUM(E15:E23)</f>
        <v>0</v>
      </c>
      <c r="F14" s="610"/>
      <c r="G14" s="153">
        <f>SUM(G15:G23)</f>
        <v>2733844.2900000005</v>
      </c>
      <c r="H14" s="153">
        <f>SUM(H15:H23)</f>
        <v>0</v>
      </c>
      <c r="I14" s="153">
        <f>SUM(I15:I23)</f>
        <v>0</v>
      </c>
      <c r="J14" s="153">
        <f>SUM(J15:J23)</f>
        <v>0</v>
      </c>
      <c r="K14" s="610"/>
      <c r="L14" s="154">
        <f>SUM(B14+G14)</f>
        <v>2733844.2900000005</v>
      </c>
      <c r="M14" s="154">
        <f t="shared" ref="M14:O29" si="3">SUM(C14+H14)</f>
        <v>0</v>
      </c>
      <c r="N14" s="154">
        <f t="shared" si="3"/>
        <v>0</v>
      </c>
      <c r="O14" s="154">
        <f t="shared" si="3"/>
        <v>0</v>
      </c>
    </row>
    <row r="15" spans="1:15" x14ac:dyDescent="0.3">
      <c r="A15" s="139" t="s">
        <v>504</v>
      </c>
      <c r="B15" s="155">
        <f>SUM('TRANSFERENCIA CORRIENTE'!C16:E16)</f>
        <v>0</v>
      </c>
      <c r="C15" s="155">
        <f>SUM('TRANSFERENCIA CORRIENTE'!F16:H16)</f>
        <v>0</v>
      </c>
      <c r="D15" s="155">
        <f>SUM('TRANSFERENCIA CORRIENTE'!J16:L16)</f>
        <v>0</v>
      </c>
      <c r="E15" s="155">
        <f>SUM('TRANSFERENCIA CORRIENTE'!L16:N16)</f>
        <v>0</v>
      </c>
      <c r="F15" s="610"/>
      <c r="G15" s="155">
        <f>SUM(VS!C16:E16)</f>
        <v>351316.33</v>
      </c>
      <c r="H15" s="155">
        <f>SUM(VS!F16:H16)</f>
        <v>0</v>
      </c>
      <c r="I15" s="155">
        <f>SUM(VS!I16:K16)</f>
        <v>0</v>
      </c>
      <c r="J15" s="156">
        <f>SUM(VS!L16:N16)</f>
        <v>0</v>
      </c>
      <c r="K15" s="610"/>
      <c r="L15" s="157">
        <f t="shared" ref="L15:L23" si="4">SUM(B15+G15)</f>
        <v>351316.33</v>
      </c>
      <c r="M15" s="157">
        <f t="shared" si="3"/>
        <v>0</v>
      </c>
      <c r="N15" s="157">
        <f t="shared" si="3"/>
        <v>0</v>
      </c>
      <c r="O15" s="157">
        <f t="shared" si="3"/>
        <v>0</v>
      </c>
    </row>
    <row r="16" spans="1:15" x14ac:dyDescent="0.3">
      <c r="A16" s="139" t="s">
        <v>503</v>
      </c>
      <c r="B16" s="155">
        <f>SUM('TRANSFERENCIA CORRIENTE'!C17:E17)</f>
        <v>0</v>
      </c>
      <c r="C16" s="155">
        <f>SUM('TRANSFERENCIA CORRIENTE'!F17:H17)</f>
        <v>0</v>
      </c>
      <c r="D16" s="155">
        <f>SUM('TRANSFERENCIA CORRIENTE'!J17:L17)</f>
        <v>0</v>
      </c>
      <c r="E16" s="155">
        <f>SUM('TRANSFERENCIA CORRIENTE'!L17:N17)</f>
        <v>0</v>
      </c>
      <c r="F16" s="610"/>
      <c r="G16" s="155">
        <f>SUM(VS!C17:E17)</f>
        <v>0</v>
      </c>
      <c r="H16" s="155">
        <f>SUM(VS!F17:H17)</f>
        <v>0</v>
      </c>
      <c r="I16" s="155">
        <f>SUM(VS!I17:K17)</f>
        <v>0</v>
      </c>
      <c r="J16" s="156">
        <f>SUM(VS!L17:N17)</f>
        <v>0</v>
      </c>
      <c r="K16" s="610"/>
      <c r="L16" s="157">
        <f t="shared" si="4"/>
        <v>0</v>
      </c>
      <c r="M16" s="157">
        <f t="shared" si="3"/>
        <v>0</v>
      </c>
      <c r="N16" s="157">
        <f t="shared" si="3"/>
        <v>0</v>
      </c>
      <c r="O16" s="157">
        <f t="shared" si="3"/>
        <v>0</v>
      </c>
    </row>
    <row r="17" spans="1:15" x14ac:dyDescent="0.3">
      <c r="A17" s="139" t="s">
        <v>502</v>
      </c>
      <c r="B17" s="155">
        <f>SUM('TRANSFERENCIA CORRIENTE'!C18:E18)</f>
        <v>0</v>
      </c>
      <c r="C17" s="155">
        <f>SUM('TRANSFERENCIA CORRIENTE'!F18:H18)</f>
        <v>0</v>
      </c>
      <c r="D17" s="155">
        <f>SUM('TRANSFERENCIA CORRIENTE'!J18:L18)</f>
        <v>0</v>
      </c>
      <c r="E17" s="155">
        <f>SUM('TRANSFERENCIA CORRIENTE'!L18:N18)</f>
        <v>0</v>
      </c>
      <c r="F17" s="610"/>
      <c r="G17" s="155">
        <f>SUM(VS!C18:E18)</f>
        <v>0</v>
      </c>
      <c r="H17" s="155">
        <f>SUM(VS!F18:H18)</f>
        <v>0</v>
      </c>
      <c r="I17" s="155">
        <f>SUM(VS!I18:K18)</f>
        <v>0</v>
      </c>
      <c r="J17" s="156">
        <f>SUM(VS!L18:N18)</f>
        <v>0</v>
      </c>
      <c r="K17" s="610"/>
      <c r="L17" s="157">
        <f t="shared" si="4"/>
        <v>0</v>
      </c>
      <c r="M17" s="157">
        <f t="shared" si="3"/>
        <v>0</v>
      </c>
      <c r="N17" s="157">
        <f t="shared" si="3"/>
        <v>0</v>
      </c>
      <c r="O17" s="157">
        <f t="shared" si="3"/>
        <v>0</v>
      </c>
    </row>
    <row r="18" spans="1:15" x14ac:dyDescent="0.3">
      <c r="A18" s="139" t="s">
        <v>501</v>
      </c>
      <c r="B18" s="155">
        <f>SUM('TRANSFERENCIA CORRIENTE'!C19:E19)</f>
        <v>0</v>
      </c>
      <c r="C18" s="155">
        <f>SUM('TRANSFERENCIA CORRIENTE'!F19:H19)</f>
        <v>0</v>
      </c>
      <c r="D18" s="155">
        <f>SUM('TRANSFERENCIA CORRIENTE'!J19:L19)</f>
        <v>0</v>
      </c>
      <c r="E18" s="155">
        <f>SUM('TRANSFERENCIA CORRIENTE'!L19:N19)</f>
        <v>0</v>
      </c>
      <c r="F18" s="610"/>
      <c r="G18" s="155">
        <f>SUM(VS!C19:E19)</f>
        <v>0</v>
      </c>
      <c r="H18" s="155">
        <f>SUM(VS!F19:H19)</f>
        <v>0</v>
      </c>
      <c r="I18" s="155">
        <f>SUM(VS!I19:K19)</f>
        <v>0</v>
      </c>
      <c r="J18" s="156">
        <f>SUM(VS!L19:N19)</f>
        <v>0</v>
      </c>
      <c r="K18" s="610"/>
      <c r="L18" s="157">
        <f t="shared" si="4"/>
        <v>0</v>
      </c>
      <c r="M18" s="157">
        <f t="shared" si="3"/>
        <v>0</v>
      </c>
      <c r="N18" s="157">
        <f t="shared" si="3"/>
        <v>0</v>
      </c>
      <c r="O18" s="157">
        <f t="shared" si="3"/>
        <v>0</v>
      </c>
    </row>
    <row r="19" spans="1:15" x14ac:dyDescent="0.3">
      <c r="A19" s="139" t="s">
        <v>500</v>
      </c>
      <c r="B19" s="155">
        <f>SUM('TRANSFERENCIA CORRIENTE'!C20:E20)</f>
        <v>0</v>
      </c>
      <c r="C19" s="155">
        <f>SUM('TRANSFERENCIA CORRIENTE'!F20:H20)</f>
        <v>0</v>
      </c>
      <c r="D19" s="155">
        <f>SUM('TRANSFERENCIA CORRIENTE'!J20:L20)</f>
        <v>0</v>
      </c>
      <c r="E19" s="155">
        <f>SUM('TRANSFERENCIA CORRIENTE'!L20:N20)</f>
        <v>0</v>
      </c>
      <c r="F19" s="610"/>
      <c r="G19" s="155">
        <f>SUM(VS!C20:E20)</f>
        <v>266664.26</v>
      </c>
      <c r="H19" s="155">
        <f>SUM(VS!F20:H20)</f>
        <v>0</v>
      </c>
      <c r="I19" s="155">
        <f>SUM(VS!I20:K20)</f>
        <v>0</v>
      </c>
      <c r="J19" s="156">
        <f>SUM(VS!L20:N20)</f>
        <v>0</v>
      </c>
      <c r="K19" s="610"/>
      <c r="L19" s="157">
        <f t="shared" si="4"/>
        <v>266664.26</v>
      </c>
      <c r="M19" s="157">
        <f t="shared" si="3"/>
        <v>0</v>
      </c>
      <c r="N19" s="157">
        <f t="shared" si="3"/>
        <v>0</v>
      </c>
      <c r="O19" s="157">
        <f t="shared" si="3"/>
        <v>0</v>
      </c>
    </row>
    <row r="20" spans="1:15" x14ac:dyDescent="0.3">
      <c r="A20" s="139" t="s">
        <v>499</v>
      </c>
      <c r="B20" s="155">
        <f>SUM('TRANSFERENCIA CORRIENTE'!C21:E21)</f>
        <v>0</v>
      </c>
      <c r="C20" s="155">
        <f>SUM('TRANSFERENCIA CORRIENTE'!F21:H21)</f>
        <v>0</v>
      </c>
      <c r="D20" s="155">
        <f>SUM('TRANSFERENCIA CORRIENTE'!J21:L21)</f>
        <v>0</v>
      </c>
      <c r="E20" s="155">
        <f>SUM('TRANSFERENCIA CORRIENTE'!L21:N21)</f>
        <v>0</v>
      </c>
      <c r="F20" s="610"/>
      <c r="G20" s="155">
        <f>SUM(VS!C21:E21)</f>
        <v>0</v>
      </c>
      <c r="H20" s="155">
        <f>SUM(VS!F21:H21)</f>
        <v>0</v>
      </c>
      <c r="I20" s="155">
        <f>SUM(VS!I21:K21)</f>
        <v>0</v>
      </c>
      <c r="J20" s="156">
        <f>SUM(VS!L21:N21)</f>
        <v>0</v>
      </c>
      <c r="K20" s="610"/>
      <c r="L20" s="157">
        <f t="shared" si="4"/>
        <v>0</v>
      </c>
      <c r="M20" s="157">
        <f t="shared" si="3"/>
        <v>0</v>
      </c>
      <c r="N20" s="157">
        <f t="shared" si="3"/>
        <v>0</v>
      </c>
      <c r="O20" s="157">
        <f t="shared" si="3"/>
        <v>0</v>
      </c>
    </row>
    <row r="21" spans="1:15" ht="28.8" x14ac:dyDescent="0.3">
      <c r="A21" s="139" t="s">
        <v>498</v>
      </c>
      <c r="B21" s="155">
        <f>SUM('TRANSFERENCIA CORRIENTE'!C22:E22)</f>
        <v>0</v>
      </c>
      <c r="C21" s="155">
        <f>SUM('TRANSFERENCIA CORRIENTE'!F22:H22)</f>
        <v>0</v>
      </c>
      <c r="D21" s="155">
        <f>SUM('TRANSFERENCIA CORRIENTE'!J22:L22)</f>
        <v>0</v>
      </c>
      <c r="E21" s="155">
        <f>SUM('TRANSFERENCIA CORRIENTE'!L22:N22)</f>
        <v>0</v>
      </c>
      <c r="F21" s="610"/>
      <c r="G21" s="155">
        <f>SUM(VS!C22:E22)</f>
        <v>2064518.35</v>
      </c>
      <c r="H21" s="155">
        <f>SUM(VS!F22:H22)</f>
        <v>0</v>
      </c>
      <c r="I21" s="155">
        <f>SUM(VS!I22:K22)</f>
        <v>0</v>
      </c>
      <c r="J21" s="156">
        <f>SUM(VS!L22:N22)</f>
        <v>0</v>
      </c>
      <c r="K21" s="610"/>
      <c r="L21" s="157">
        <f t="shared" si="4"/>
        <v>2064518.35</v>
      </c>
      <c r="M21" s="157">
        <f t="shared" si="3"/>
        <v>0</v>
      </c>
      <c r="N21" s="157">
        <f t="shared" si="3"/>
        <v>0</v>
      </c>
      <c r="O21" s="157">
        <f>SUM(E21+J21)</f>
        <v>0</v>
      </c>
    </row>
    <row r="22" spans="1:15" x14ac:dyDescent="0.3">
      <c r="A22" s="139" t="s">
        <v>497</v>
      </c>
      <c r="B22" s="155">
        <f>SUM('TRANSFERENCIA CORRIENTE'!C23:E23)</f>
        <v>0</v>
      </c>
      <c r="C22" s="155">
        <f>SUM('TRANSFERENCIA CORRIENTE'!F23:H23)</f>
        <v>0</v>
      </c>
      <c r="D22" s="155">
        <f>SUM('TRANSFERENCIA CORRIENTE'!J23:L23)</f>
        <v>0</v>
      </c>
      <c r="E22" s="155">
        <f>SUM('TRANSFERENCIA CORRIENTE'!L23:N23)</f>
        <v>0</v>
      </c>
      <c r="F22" s="610"/>
      <c r="G22" s="155">
        <f>SUM(VS!C23:E23)</f>
        <v>51345.35</v>
      </c>
      <c r="H22" s="155">
        <f>SUM(VS!F23:H23)</f>
        <v>0</v>
      </c>
      <c r="I22" s="155">
        <f>SUM(VS!I23:K23)</f>
        <v>0</v>
      </c>
      <c r="J22" s="156">
        <f>SUM(VS!L23:N23)</f>
        <v>0</v>
      </c>
      <c r="K22" s="610"/>
      <c r="L22" s="157">
        <f t="shared" si="4"/>
        <v>51345.35</v>
      </c>
      <c r="M22" s="157">
        <f t="shared" si="3"/>
        <v>0</v>
      </c>
      <c r="N22" s="157">
        <f t="shared" si="3"/>
        <v>0</v>
      </c>
      <c r="O22" s="157">
        <f t="shared" si="3"/>
        <v>0</v>
      </c>
    </row>
    <row r="23" spans="1:15" x14ac:dyDescent="0.3">
      <c r="A23" s="139" t="s">
        <v>496</v>
      </c>
      <c r="B23" s="155">
        <f>SUM('TRANSFERENCIA CORRIENTE'!C24:E24)</f>
        <v>0</v>
      </c>
      <c r="C23" s="155">
        <f>SUM('TRANSFERENCIA CORRIENTE'!F24:H24)</f>
        <v>0</v>
      </c>
      <c r="D23" s="155">
        <f>SUM('TRANSFERENCIA CORRIENTE'!J24:L24)</f>
        <v>0</v>
      </c>
      <c r="E23" s="155">
        <f>SUM('TRANSFERENCIA CORRIENTE'!L24:N24)</f>
        <v>0</v>
      </c>
      <c r="F23" s="610"/>
      <c r="G23" s="155">
        <f>SUM(VS!C24:E24)</f>
        <v>0</v>
      </c>
      <c r="H23" s="155">
        <f>SUM(VS!F24:H24)</f>
        <v>0</v>
      </c>
      <c r="I23" s="155">
        <f>SUM(VS!I24:K24)</f>
        <v>0</v>
      </c>
      <c r="J23" s="156">
        <f>SUM(VS!L24:N24)</f>
        <v>0</v>
      </c>
      <c r="K23" s="610"/>
      <c r="L23" s="157">
        <f t="shared" si="4"/>
        <v>0</v>
      </c>
      <c r="M23" s="157">
        <f t="shared" si="3"/>
        <v>0</v>
      </c>
      <c r="N23" s="157">
        <f t="shared" si="3"/>
        <v>0</v>
      </c>
      <c r="O23" s="157">
        <f t="shared" si="3"/>
        <v>0</v>
      </c>
    </row>
    <row r="24" spans="1:15" s="158" customFormat="1" x14ac:dyDescent="0.3">
      <c r="A24" s="145" t="s">
        <v>495</v>
      </c>
      <c r="B24" s="153">
        <f>SUM(B25:B33)</f>
        <v>4970600.3900000006</v>
      </c>
      <c r="C24" s="153">
        <f>SUM(C25:C33)</f>
        <v>0</v>
      </c>
      <c r="D24" s="153">
        <f>SUM(D25:D33)</f>
        <v>0</v>
      </c>
      <c r="E24" s="153">
        <f>SUM(E25:E33)</f>
        <v>0</v>
      </c>
      <c r="F24" s="610"/>
      <c r="G24" s="153">
        <f>SUM(G25:G33)</f>
        <v>3062630.67</v>
      </c>
      <c r="H24" s="153">
        <f>SUM(H25:H33)</f>
        <v>0</v>
      </c>
      <c r="I24" s="153">
        <f>SUM(I25:I33)</f>
        <v>0</v>
      </c>
      <c r="J24" s="153">
        <f>SUM(J25:J33)</f>
        <v>0</v>
      </c>
      <c r="K24" s="610"/>
      <c r="L24" s="154">
        <f>SUM(B24+G24)</f>
        <v>8033231.0600000005</v>
      </c>
      <c r="M24" s="154">
        <f t="shared" si="3"/>
        <v>0</v>
      </c>
      <c r="N24" s="154">
        <f t="shared" si="3"/>
        <v>0</v>
      </c>
      <c r="O24" s="154">
        <f t="shared" si="3"/>
        <v>0</v>
      </c>
    </row>
    <row r="25" spans="1:15" x14ac:dyDescent="0.3">
      <c r="A25" s="139" t="s">
        <v>494</v>
      </c>
      <c r="B25" s="155">
        <f>SUM('TRANSFERENCIA CORRIENTE'!C26:E26)</f>
        <v>0</v>
      </c>
      <c r="C25" s="155">
        <f>SUM('TRANSFERENCIA CORRIENTE'!F26:H26)</f>
        <v>0</v>
      </c>
      <c r="D25" s="155">
        <f>SUM('TRANSFERENCIA CORRIENTE'!I23:K23)</f>
        <v>0</v>
      </c>
      <c r="E25" s="155">
        <f>SUM('TRANSFERENCIA CORRIENTE'!L26:N26)</f>
        <v>0</v>
      </c>
      <c r="F25" s="610"/>
      <c r="G25" s="155">
        <f>SUM(VS!C26:E26)</f>
        <v>541265</v>
      </c>
      <c r="H25" s="155">
        <f>SUM(VS!F26:H26)</f>
        <v>0</v>
      </c>
      <c r="I25" s="155">
        <f>SUM(VS!I26:K26)</f>
        <v>0</v>
      </c>
      <c r="J25" s="156">
        <f>SUM(VS!L26:N26)</f>
        <v>0</v>
      </c>
      <c r="K25" s="610"/>
      <c r="L25" s="157">
        <f t="shared" ref="L25:O40" si="5">SUM(B25+G25)</f>
        <v>541265</v>
      </c>
      <c r="M25" s="157">
        <f t="shared" si="3"/>
        <v>0</v>
      </c>
      <c r="N25" s="157">
        <f t="shared" si="3"/>
        <v>0</v>
      </c>
      <c r="O25" s="157">
        <f t="shared" si="3"/>
        <v>0</v>
      </c>
    </row>
    <row r="26" spans="1:15" x14ac:dyDescent="0.3">
      <c r="A26" s="139" t="s">
        <v>493</v>
      </c>
      <c r="B26" s="155">
        <f>SUM('TRANSFERENCIA CORRIENTE'!C27:E27)</f>
        <v>0</v>
      </c>
      <c r="C26" s="155">
        <f>SUM('TRANSFERENCIA CORRIENTE'!F27:H27)</f>
        <v>0</v>
      </c>
      <c r="D26" s="155">
        <f>SUM('TRANSFERENCIA CORRIENTE'!I24:K24)</f>
        <v>0</v>
      </c>
      <c r="E26" s="155">
        <f>SUM('TRANSFERENCIA CORRIENTE'!L27:N27)</f>
        <v>0</v>
      </c>
      <c r="F26" s="610"/>
      <c r="G26" s="155">
        <f>SUM(VS!C27:E27)</f>
        <v>0</v>
      </c>
      <c r="H26" s="155">
        <f>SUM(VS!F27:H27)</f>
        <v>0</v>
      </c>
      <c r="I26" s="155">
        <f>SUM(VS!I27:K27)</f>
        <v>0</v>
      </c>
      <c r="J26" s="156">
        <f>SUM(VS!L27:N27)</f>
        <v>0</v>
      </c>
      <c r="K26" s="610"/>
      <c r="L26" s="157">
        <f t="shared" si="5"/>
        <v>0</v>
      </c>
      <c r="M26" s="157">
        <f t="shared" si="3"/>
        <v>0</v>
      </c>
      <c r="N26" s="157">
        <f t="shared" si="3"/>
        <v>0</v>
      </c>
      <c r="O26" s="157">
        <f t="shared" si="3"/>
        <v>0</v>
      </c>
    </row>
    <row r="27" spans="1:15" x14ac:dyDescent="0.3">
      <c r="A27" s="139" t="s">
        <v>492</v>
      </c>
      <c r="B27" s="155">
        <f>SUM('TRANSFERENCIA CORRIENTE'!C28:E28)</f>
        <v>0</v>
      </c>
      <c r="C27" s="155">
        <f>SUM('TRANSFERENCIA CORRIENTE'!F28:H28)</f>
        <v>0</v>
      </c>
      <c r="D27" s="155">
        <f>SUM('TRANSFERENCIA CORRIENTE'!I25:K25)</f>
        <v>0</v>
      </c>
      <c r="E27" s="155">
        <f>SUM('TRANSFERENCIA CORRIENTE'!L28:N28)</f>
        <v>0</v>
      </c>
      <c r="F27" s="610"/>
      <c r="G27" s="155">
        <f>SUM(VS!C28:E28)</f>
        <v>85550</v>
      </c>
      <c r="H27" s="155">
        <f>SUM(VS!F28:H28)</f>
        <v>0</v>
      </c>
      <c r="I27" s="155">
        <f>SUM(VS!I28:K28)</f>
        <v>0</v>
      </c>
      <c r="J27" s="156">
        <f>SUM(VS!L28:N28)</f>
        <v>0</v>
      </c>
      <c r="K27" s="610"/>
      <c r="L27" s="157">
        <f t="shared" si="5"/>
        <v>85550</v>
      </c>
      <c r="M27" s="157">
        <f t="shared" si="3"/>
        <v>0</v>
      </c>
      <c r="N27" s="157">
        <f t="shared" si="3"/>
        <v>0</v>
      </c>
      <c r="O27" s="157">
        <f t="shared" si="3"/>
        <v>0</v>
      </c>
    </row>
    <row r="28" spans="1:15" x14ac:dyDescent="0.3">
      <c r="A28" s="139" t="s">
        <v>491</v>
      </c>
      <c r="B28" s="155">
        <f>SUM('TRANSFERENCIA CORRIENTE'!C29:E29)</f>
        <v>1862880</v>
      </c>
      <c r="C28" s="155">
        <f>SUM('TRANSFERENCIA CORRIENTE'!F29:H29)</f>
        <v>0</v>
      </c>
      <c r="D28" s="155">
        <f>SUM('TRANSFERENCIA CORRIENTE'!I26:K26)</f>
        <v>0</v>
      </c>
      <c r="E28" s="155">
        <f>SUM('TRANSFERENCIA CORRIENTE'!L29:N29)</f>
        <v>0</v>
      </c>
      <c r="F28" s="610"/>
      <c r="G28" s="155">
        <f>SUM(VS!C29:E29)</f>
        <v>308000</v>
      </c>
      <c r="H28" s="155">
        <f>SUM(VS!F29:H29)</f>
        <v>0</v>
      </c>
      <c r="I28" s="155">
        <f>SUM(VS!I29:K29)</f>
        <v>0</v>
      </c>
      <c r="J28" s="156">
        <f>SUM(VS!L29:N29)</f>
        <v>0</v>
      </c>
      <c r="K28" s="610"/>
      <c r="L28" s="157">
        <f t="shared" si="5"/>
        <v>2170880</v>
      </c>
      <c r="M28" s="157">
        <f t="shared" si="3"/>
        <v>0</v>
      </c>
      <c r="N28" s="157">
        <f t="shared" si="3"/>
        <v>0</v>
      </c>
      <c r="O28" s="157">
        <f t="shared" si="3"/>
        <v>0</v>
      </c>
    </row>
    <row r="29" spans="1:15" x14ac:dyDescent="0.3">
      <c r="A29" s="139" t="s">
        <v>490</v>
      </c>
      <c r="B29" s="155">
        <f>SUM('TRANSFERENCIA CORRIENTE'!C30:E30)</f>
        <v>0</v>
      </c>
      <c r="C29" s="155">
        <f>SUM('TRANSFERENCIA CORRIENTE'!F30:H30)</f>
        <v>0</v>
      </c>
      <c r="D29" s="155">
        <f>SUM('TRANSFERENCIA CORRIENTE'!I27:K27)</f>
        <v>0</v>
      </c>
      <c r="E29" s="155">
        <f>SUM('TRANSFERENCIA CORRIENTE'!L30:N30)</f>
        <v>0</v>
      </c>
      <c r="F29" s="610"/>
      <c r="G29" s="155">
        <f>SUM(VS!C30:E30)</f>
        <v>0</v>
      </c>
      <c r="H29" s="155">
        <f>SUM(VS!F30:H30)</f>
        <v>0</v>
      </c>
      <c r="I29" s="155">
        <f>SUM(VS!I30:K30)</f>
        <v>0</v>
      </c>
      <c r="J29" s="156">
        <f>SUM(VS!L30:N30)</f>
        <v>0</v>
      </c>
      <c r="K29" s="610"/>
      <c r="L29" s="157">
        <f t="shared" si="5"/>
        <v>0</v>
      </c>
      <c r="M29" s="157">
        <f t="shared" si="3"/>
        <v>0</v>
      </c>
      <c r="N29" s="157">
        <f t="shared" si="3"/>
        <v>0</v>
      </c>
      <c r="O29" s="157">
        <f t="shared" si="3"/>
        <v>0</v>
      </c>
    </row>
    <row r="30" spans="1:15" x14ac:dyDescent="0.3">
      <c r="A30" s="139" t="s">
        <v>489</v>
      </c>
      <c r="B30" s="155">
        <f>SUM('TRANSFERENCIA CORRIENTE'!C31:E31)</f>
        <v>0</v>
      </c>
      <c r="C30" s="155">
        <f>SUM('TRANSFERENCIA CORRIENTE'!F31:H31)</f>
        <v>0</v>
      </c>
      <c r="D30" s="155">
        <f>SUM('TRANSFERENCIA CORRIENTE'!I28:K28)</f>
        <v>0</v>
      </c>
      <c r="E30" s="155">
        <f>SUM('TRANSFERENCIA CORRIENTE'!L31:N31)</f>
        <v>0</v>
      </c>
      <c r="F30" s="610"/>
      <c r="G30" s="155">
        <f>SUM(VS!C31:E31)</f>
        <v>0</v>
      </c>
      <c r="H30" s="155">
        <f>SUM(VS!F31:H31)</f>
        <v>0</v>
      </c>
      <c r="I30" s="155">
        <f>SUM(VS!I31:K31)</f>
        <v>0</v>
      </c>
      <c r="J30" s="156">
        <f>SUM(VS!L31:N31)</f>
        <v>0</v>
      </c>
      <c r="K30" s="610"/>
      <c r="L30" s="157">
        <f t="shared" si="5"/>
        <v>0</v>
      </c>
      <c r="M30" s="157">
        <f t="shared" si="5"/>
        <v>0</v>
      </c>
      <c r="N30" s="157">
        <f t="shared" si="5"/>
        <v>0</v>
      </c>
      <c r="O30" s="157">
        <f t="shared" si="5"/>
        <v>0</v>
      </c>
    </row>
    <row r="31" spans="1:15" x14ac:dyDescent="0.3">
      <c r="A31" s="139" t="s">
        <v>488</v>
      </c>
      <c r="B31" s="155">
        <f>SUM('TRANSFERENCIA CORRIENTE'!C32:E32)</f>
        <v>1844663.41</v>
      </c>
      <c r="C31" s="155">
        <f>SUM('TRANSFERENCIA CORRIENTE'!F32:H32)</f>
        <v>0</v>
      </c>
      <c r="D31" s="155">
        <f>SUM('TRANSFERENCIA CORRIENTE'!I29:K29)</f>
        <v>0</v>
      </c>
      <c r="E31" s="155">
        <f>SUM('TRANSFERENCIA CORRIENTE'!L32:N32)</f>
        <v>0</v>
      </c>
      <c r="F31" s="610"/>
      <c r="G31" s="155">
        <f>SUM(VS!C32:E32)</f>
        <v>228412.84</v>
      </c>
      <c r="H31" s="155">
        <f>SUM(VS!F32:H32)</f>
        <v>0</v>
      </c>
      <c r="I31" s="155">
        <f>SUM(VS!I32:K32)</f>
        <v>0</v>
      </c>
      <c r="J31" s="156">
        <f>SUM(VS!L32:N32)</f>
        <v>0</v>
      </c>
      <c r="K31" s="610"/>
      <c r="L31" s="157">
        <f t="shared" si="5"/>
        <v>2073076.25</v>
      </c>
      <c r="M31" s="157">
        <f t="shared" si="5"/>
        <v>0</v>
      </c>
      <c r="N31" s="157">
        <f t="shared" si="5"/>
        <v>0</v>
      </c>
      <c r="O31" s="157">
        <f t="shared" si="5"/>
        <v>0</v>
      </c>
    </row>
    <row r="32" spans="1:15" x14ac:dyDescent="0.3">
      <c r="A32" s="139" t="s">
        <v>487</v>
      </c>
      <c r="B32" s="155">
        <f>SUM('TRANSFERENCIA CORRIENTE'!C33:E33)</f>
        <v>0</v>
      </c>
      <c r="C32" s="155">
        <f>SUM('TRANSFERENCIA CORRIENTE'!F33:H33)</f>
        <v>0</v>
      </c>
      <c r="D32" s="155">
        <f>SUM('TRANSFERENCIA CORRIENTE'!I30:K30)</f>
        <v>0</v>
      </c>
      <c r="E32" s="155">
        <f>SUM('TRANSFERENCIA CORRIENTE'!L33:N33)</f>
        <v>0</v>
      </c>
      <c r="F32" s="610"/>
      <c r="G32" s="155">
        <f>SUM(VS!C33:E33)</f>
        <v>0</v>
      </c>
      <c r="H32" s="155">
        <f>SUM(VS!F33:H33)</f>
        <v>0</v>
      </c>
      <c r="I32" s="155">
        <f>SUM(VS!I33:K33)</f>
        <v>0</v>
      </c>
      <c r="J32" s="156">
        <f>SUM(VS!L33:N33)</f>
        <v>0</v>
      </c>
      <c r="K32" s="610"/>
      <c r="L32" s="157">
        <f t="shared" si="5"/>
        <v>0</v>
      </c>
      <c r="M32" s="157">
        <f t="shared" si="5"/>
        <v>0</v>
      </c>
      <c r="N32" s="157">
        <f t="shared" si="5"/>
        <v>0</v>
      </c>
      <c r="O32" s="157">
        <f t="shared" si="5"/>
        <v>0</v>
      </c>
    </row>
    <row r="33" spans="1:15" x14ac:dyDescent="0.3">
      <c r="A33" s="139" t="s">
        <v>486</v>
      </c>
      <c r="B33" s="155">
        <f>SUM('TRANSFERENCIA CORRIENTE'!C34:E34)</f>
        <v>1263056.98</v>
      </c>
      <c r="C33" s="155">
        <f>SUM('TRANSFERENCIA CORRIENTE'!F34:H34)</f>
        <v>0</v>
      </c>
      <c r="D33" s="155">
        <f>SUM('TRANSFERENCIA CORRIENTE'!I31:K31)</f>
        <v>0</v>
      </c>
      <c r="E33" s="155">
        <f>SUM('TRANSFERENCIA CORRIENTE'!L34:N34)</f>
        <v>0</v>
      </c>
      <c r="F33" s="610"/>
      <c r="G33" s="155">
        <f>SUM(VS!C34:E34)</f>
        <v>1899402.83</v>
      </c>
      <c r="H33" s="155">
        <f>SUM(VS!F34:H34)</f>
        <v>0</v>
      </c>
      <c r="I33" s="155">
        <f>SUM(VS!I34:K34)</f>
        <v>0</v>
      </c>
      <c r="J33" s="156">
        <f>SUM(VS!L34:N34)</f>
        <v>0</v>
      </c>
      <c r="K33" s="610"/>
      <c r="L33" s="157">
        <f t="shared" si="5"/>
        <v>3162459.81</v>
      </c>
      <c r="M33" s="157">
        <f t="shared" si="5"/>
        <v>0</v>
      </c>
      <c r="N33" s="157">
        <f t="shared" si="5"/>
        <v>0</v>
      </c>
      <c r="O33" s="157">
        <f t="shared" si="5"/>
        <v>0</v>
      </c>
    </row>
    <row r="34" spans="1:15" s="158" customFormat="1" x14ac:dyDescent="0.3">
      <c r="A34" s="145" t="s">
        <v>485</v>
      </c>
      <c r="B34" s="153">
        <f>SUM(B35:B41)</f>
        <v>0</v>
      </c>
      <c r="C34" s="153">
        <f>SUM(C35:C41)</f>
        <v>0</v>
      </c>
      <c r="D34" s="153">
        <f>SUM(D35:D41)</f>
        <v>0</v>
      </c>
      <c r="E34" s="153">
        <f>SUM(E35:E41)</f>
        <v>0</v>
      </c>
      <c r="F34" s="610"/>
      <c r="G34" s="153">
        <f>SUM(G35:G41)</f>
        <v>136966.70000000001</v>
      </c>
      <c r="H34" s="153">
        <f>SUM(H35:H41)</f>
        <v>0</v>
      </c>
      <c r="I34" s="153">
        <f>SUM(I35:I41)</f>
        <v>0</v>
      </c>
      <c r="J34" s="153">
        <f>SUM(J35:J41)</f>
        <v>0</v>
      </c>
      <c r="K34" s="610"/>
      <c r="L34" s="154">
        <f t="shared" si="5"/>
        <v>136966.70000000001</v>
      </c>
      <c r="M34" s="154">
        <f t="shared" si="5"/>
        <v>0</v>
      </c>
      <c r="N34" s="154">
        <f t="shared" si="5"/>
        <v>0</v>
      </c>
      <c r="O34" s="154">
        <f t="shared" si="5"/>
        <v>0</v>
      </c>
    </row>
    <row r="35" spans="1:15" x14ac:dyDescent="0.3">
      <c r="A35" s="139" t="s">
        <v>484</v>
      </c>
      <c r="B35" s="155">
        <f>SUM('TRANSFERENCIA CORRIENTE'!C36:E36)</f>
        <v>0</v>
      </c>
      <c r="C35" s="155">
        <f>SUM('TRANSFERENCIA CORRIENTE'!F36:H36)</f>
        <v>0</v>
      </c>
      <c r="D35" s="155">
        <f>SUM('TRANSFERENCIA CORRIENTE'!I36:K36)</f>
        <v>0</v>
      </c>
      <c r="E35" s="155">
        <f>SUM('TRANSFERENCIA CORRIENTE'!L36:N36)</f>
        <v>0</v>
      </c>
      <c r="F35" s="610"/>
      <c r="G35" s="155">
        <f>SUM(VS!C36:E36)</f>
        <v>136966.70000000001</v>
      </c>
      <c r="H35" s="155">
        <f>SUM(VS!F36:H36)</f>
        <v>0</v>
      </c>
      <c r="I35" s="155">
        <f>SUM(VS!I36:K36)</f>
        <v>0</v>
      </c>
      <c r="J35" s="156">
        <f>SUM(VS!L36:N36)</f>
        <v>0</v>
      </c>
      <c r="K35" s="610"/>
      <c r="L35" s="157">
        <f t="shared" si="5"/>
        <v>136966.70000000001</v>
      </c>
      <c r="M35" s="157">
        <f t="shared" si="5"/>
        <v>0</v>
      </c>
      <c r="N35" s="157">
        <f t="shared" si="5"/>
        <v>0</v>
      </c>
      <c r="O35" s="157">
        <f t="shared" si="5"/>
        <v>0</v>
      </c>
    </row>
    <row r="36" spans="1:15" x14ac:dyDescent="0.3">
      <c r="A36" s="139" t="s">
        <v>483</v>
      </c>
      <c r="B36" s="155">
        <f>SUM('TRANSFERENCIA CORRIENTE'!C37:E37)</f>
        <v>0</v>
      </c>
      <c r="C36" s="155">
        <f>SUM('TRANSFERENCIA CORRIENTE'!F37:H37)</f>
        <v>0</v>
      </c>
      <c r="D36" s="155">
        <f>SUM('TRANSFERENCIA CORRIENTE'!I37:K37)</f>
        <v>0</v>
      </c>
      <c r="E36" s="155">
        <f>SUM('TRANSFERENCIA CORRIENTE'!L37:N37)</f>
        <v>0</v>
      </c>
      <c r="F36" s="610"/>
      <c r="G36" s="155">
        <f>SUM(VS!C37:E37)</f>
        <v>0</v>
      </c>
      <c r="H36" s="155">
        <f>SUM(VS!F37:H37)</f>
        <v>0</v>
      </c>
      <c r="I36" s="155">
        <f>SUM(VS!I37:K37)</f>
        <v>0</v>
      </c>
      <c r="J36" s="156">
        <f>SUM(VS!L37:N37)</f>
        <v>0</v>
      </c>
      <c r="K36" s="610"/>
      <c r="L36" s="157">
        <f t="shared" si="5"/>
        <v>0</v>
      </c>
      <c r="M36" s="157">
        <f t="shared" si="5"/>
        <v>0</v>
      </c>
      <c r="N36" s="157">
        <f t="shared" si="5"/>
        <v>0</v>
      </c>
      <c r="O36" s="157">
        <f t="shared" si="5"/>
        <v>0</v>
      </c>
    </row>
    <row r="37" spans="1:15" x14ac:dyDescent="0.3">
      <c r="A37" s="139" t="s">
        <v>482</v>
      </c>
      <c r="B37" s="155">
        <f>SUM('TRANSFERENCIA CORRIENTE'!C38:E38)</f>
        <v>0</v>
      </c>
      <c r="C37" s="155">
        <f>SUM('TRANSFERENCIA CORRIENTE'!F38:H38)</f>
        <v>0</v>
      </c>
      <c r="D37" s="155">
        <f>SUM('TRANSFERENCIA CORRIENTE'!I38:K38)</f>
        <v>0</v>
      </c>
      <c r="E37" s="155">
        <f>SUM('TRANSFERENCIA CORRIENTE'!L38:N38)</f>
        <v>0</v>
      </c>
      <c r="F37" s="610"/>
      <c r="G37" s="155">
        <f>SUM(VS!C38:E38)</f>
        <v>0</v>
      </c>
      <c r="H37" s="155">
        <f>SUM(VS!F38:H38)</f>
        <v>0</v>
      </c>
      <c r="I37" s="155">
        <f>SUM(VS!I38:K38)</f>
        <v>0</v>
      </c>
      <c r="J37" s="156">
        <f>SUM(VS!L38:N38)</f>
        <v>0</v>
      </c>
      <c r="K37" s="610"/>
      <c r="L37" s="157">
        <f t="shared" si="5"/>
        <v>0</v>
      </c>
      <c r="M37" s="157">
        <f t="shared" si="5"/>
        <v>0</v>
      </c>
      <c r="N37" s="157">
        <f t="shared" si="5"/>
        <v>0</v>
      </c>
      <c r="O37" s="157">
        <f t="shared" si="5"/>
        <v>0</v>
      </c>
    </row>
    <row r="38" spans="1:15" x14ac:dyDescent="0.3">
      <c r="A38" s="139" t="s">
        <v>481</v>
      </c>
      <c r="B38" s="155">
        <f>SUM('TRANSFERENCIA CORRIENTE'!C39:E39)</f>
        <v>0</v>
      </c>
      <c r="C38" s="155">
        <f>SUM('TRANSFERENCIA CORRIENTE'!F39:H39)</f>
        <v>0</v>
      </c>
      <c r="D38" s="155">
        <f>SUM('TRANSFERENCIA CORRIENTE'!I39:K39)</f>
        <v>0</v>
      </c>
      <c r="E38" s="155">
        <f>SUM('TRANSFERENCIA CORRIENTE'!L39:N39)</f>
        <v>0</v>
      </c>
      <c r="F38" s="610"/>
      <c r="G38" s="155">
        <f>SUM(VS!C39:E39)</f>
        <v>0</v>
      </c>
      <c r="H38" s="155">
        <f>SUM(VS!F39:H39)</f>
        <v>0</v>
      </c>
      <c r="I38" s="155">
        <f>SUM(VS!I39:K39)</f>
        <v>0</v>
      </c>
      <c r="J38" s="156">
        <f>SUM(VS!L39:N39)</f>
        <v>0</v>
      </c>
      <c r="K38" s="610"/>
      <c r="L38" s="157">
        <f t="shared" si="5"/>
        <v>0</v>
      </c>
      <c r="M38" s="157">
        <f t="shared" si="5"/>
        <v>0</v>
      </c>
      <c r="N38" s="157">
        <f t="shared" si="5"/>
        <v>0</v>
      </c>
      <c r="O38" s="157">
        <f t="shared" si="5"/>
        <v>0</v>
      </c>
    </row>
    <row r="39" spans="1:15" x14ac:dyDescent="0.3">
      <c r="A39" s="139" t="s">
        <v>480</v>
      </c>
      <c r="B39" s="155">
        <f>SUM('TRANSFERENCIA CORRIENTE'!C40:E40)</f>
        <v>0</v>
      </c>
      <c r="C39" s="155">
        <f>SUM('TRANSFERENCIA CORRIENTE'!F40:H40)</f>
        <v>0</v>
      </c>
      <c r="D39" s="155">
        <f>SUM('TRANSFERENCIA CORRIENTE'!I40:K40)</f>
        <v>0</v>
      </c>
      <c r="E39" s="155">
        <f>SUM('TRANSFERENCIA CORRIENTE'!L40:N40)</f>
        <v>0</v>
      </c>
      <c r="F39" s="610"/>
      <c r="G39" s="155">
        <f>SUM(VS!C40:E40)</f>
        <v>0</v>
      </c>
      <c r="H39" s="155">
        <f>SUM(VS!F40:H40)</f>
        <v>0</v>
      </c>
      <c r="I39" s="155">
        <f>SUM(VS!I40:K40)</f>
        <v>0</v>
      </c>
      <c r="J39" s="156">
        <f>SUM(VS!L40:N40)</f>
        <v>0</v>
      </c>
      <c r="K39" s="610"/>
      <c r="L39" s="157">
        <f t="shared" si="5"/>
        <v>0</v>
      </c>
      <c r="M39" s="157">
        <f t="shared" si="5"/>
        <v>0</v>
      </c>
      <c r="N39" s="157">
        <f t="shared" si="5"/>
        <v>0</v>
      </c>
      <c r="O39" s="157">
        <f t="shared" si="5"/>
        <v>0</v>
      </c>
    </row>
    <row r="40" spans="1:15" x14ac:dyDescent="0.3">
      <c r="A40" s="139" t="s">
        <v>479</v>
      </c>
      <c r="B40" s="155">
        <f>SUM('TRANSFERENCIA CORRIENTE'!C41:E41)</f>
        <v>0</v>
      </c>
      <c r="C40" s="155">
        <f>SUM('TRANSFERENCIA CORRIENTE'!F41:H41)</f>
        <v>0</v>
      </c>
      <c r="D40" s="155">
        <f>SUM('TRANSFERENCIA CORRIENTE'!I41:K41)</f>
        <v>0</v>
      </c>
      <c r="E40" s="155">
        <f>SUM('TRANSFERENCIA CORRIENTE'!L41:N41)</f>
        <v>0</v>
      </c>
      <c r="F40" s="610"/>
      <c r="G40" s="155">
        <f>SUM(VS!C41:E41)</f>
        <v>0</v>
      </c>
      <c r="H40" s="155">
        <f>SUM(VS!F41:H41)</f>
        <v>0</v>
      </c>
      <c r="I40" s="155">
        <f>SUM(VS!I41:K41)</f>
        <v>0</v>
      </c>
      <c r="J40" s="156">
        <f>SUM(VS!L41:N41)</f>
        <v>0</v>
      </c>
      <c r="K40" s="610"/>
      <c r="L40" s="157">
        <f t="shared" si="5"/>
        <v>0</v>
      </c>
      <c r="M40" s="157">
        <f t="shared" si="5"/>
        <v>0</v>
      </c>
      <c r="N40" s="157">
        <f t="shared" si="5"/>
        <v>0</v>
      </c>
      <c r="O40" s="157">
        <f t="shared" si="5"/>
        <v>0</v>
      </c>
    </row>
    <row r="41" spans="1:15" x14ac:dyDescent="0.3">
      <c r="A41" s="139" t="s">
        <v>478</v>
      </c>
      <c r="B41" s="155">
        <f>SUM('TRANSFERENCIA CORRIENTE'!C42:E42)</f>
        <v>0</v>
      </c>
      <c r="C41" s="155">
        <f>SUM('TRANSFERENCIA CORRIENTE'!F42:H42)</f>
        <v>0</v>
      </c>
      <c r="D41" s="155">
        <f>SUM('TRANSFERENCIA CORRIENTE'!I42:K42)</f>
        <v>0</v>
      </c>
      <c r="E41" s="155">
        <f>SUM('TRANSFERENCIA CORRIENTE'!L42:N42)</f>
        <v>0</v>
      </c>
      <c r="F41" s="610"/>
      <c r="G41" s="155">
        <f>SUM(VS!C42:E42)</f>
        <v>0</v>
      </c>
      <c r="H41" s="155">
        <f>SUM(VS!F42:H42)</f>
        <v>0</v>
      </c>
      <c r="I41" s="155">
        <f>SUM(VS!I42:K42)</f>
        <v>0</v>
      </c>
      <c r="J41" s="156">
        <f>SUM(VS!L42:N42)</f>
        <v>0</v>
      </c>
      <c r="K41" s="610"/>
      <c r="L41" s="157">
        <f t="shared" ref="L41:O56" si="6">SUM(B41+G41)</f>
        <v>0</v>
      </c>
      <c r="M41" s="157">
        <f t="shared" si="6"/>
        <v>0</v>
      </c>
      <c r="N41" s="157">
        <f t="shared" si="6"/>
        <v>0</v>
      </c>
      <c r="O41" s="157">
        <f t="shared" si="6"/>
        <v>0</v>
      </c>
    </row>
    <row r="42" spans="1:15" x14ac:dyDescent="0.3">
      <c r="A42" s="145" t="s">
        <v>477</v>
      </c>
      <c r="B42" s="153">
        <f>SUM(B43:B49)</f>
        <v>0</v>
      </c>
      <c r="C42" s="153">
        <f>SUM(C43:C49)</f>
        <v>0</v>
      </c>
      <c r="D42" s="153">
        <f>SUM(D43:D49)</f>
        <v>0</v>
      </c>
      <c r="E42" s="153">
        <f>SUM(E43:E49)</f>
        <v>0</v>
      </c>
      <c r="F42" s="610"/>
      <c r="G42" s="153">
        <f>SUM(G43:G49)</f>
        <v>0</v>
      </c>
      <c r="H42" s="153">
        <f>SUM(H43:H49)</f>
        <v>0</v>
      </c>
      <c r="I42" s="153">
        <f>SUM(I43:I49)</f>
        <v>0</v>
      </c>
      <c r="J42" s="153">
        <f>SUM(J43:J49)</f>
        <v>0</v>
      </c>
      <c r="K42" s="610"/>
      <c r="L42" s="154">
        <f>SUM(B42+G42)</f>
        <v>0</v>
      </c>
      <c r="M42" s="154">
        <f t="shared" si="6"/>
        <v>0</v>
      </c>
      <c r="N42" s="154">
        <f>SUM(D42+I42)</f>
        <v>0</v>
      </c>
      <c r="O42" s="154">
        <f>SUM(E42+J42)</f>
        <v>0</v>
      </c>
    </row>
    <row r="43" spans="1:15" x14ac:dyDescent="0.3">
      <c r="A43" s="139" t="s">
        <v>476</v>
      </c>
      <c r="B43" s="155">
        <f>SUM('TRANSFERENCIA CORRIENTE'!C44:E44)</f>
        <v>0</v>
      </c>
      <c r="C43" s="155">
        <f>SUM('TRANSFERENCIA CORRIENTE'!F44:H44)</f>
        <v>0</v>
      </c>
      <c r="D43" s="155">
        <f>SUM('TRANSFERENCIA CORRIENTE'!I44:K44)</f>
        <v>0</v>
      </c>
      <c r="E43" s="155">
        <f>SUM('TRANSFERENCIA CORRIENTE'!L44:N44)</f>
        <v>0</v>
      </c>
      <c r="F43" s="610"/>
      <c r="G43" s="155">
        <f>SUM(VS!C44:E44)</f>
        <v>0</v>
      </c>
      <c r="H43" s="155">
        <f>SUM(VS!F44:H44)</f>
        <v>0</v>
      </c>
      <c r="I43" s="155">
        <f>SUM(VS!I44:K44)</f>
        <v>0</v>
      </c>
      <c r="J43" s="156">
        <f>SUM(VS!L44:N44)</f>
        <v>0</v>
      </c>
      <c r="K43" s="610"/>
      <c r="L43" s="157">
        <f t="shared" ref="L43:L49" si="7">SUM(B43+G43)</f>
        <v>0</v>
      </c>
      <c r="M43" s="157">
        <f t="shared" si="6"/>
        <v>0</v>
      </c>
      <c r="N43" s="157">
        <f t="shared" si="6"/>
        <v>0</v>
      </c>
      <c r="O43" s="157">
        <f t="shared" si="6"/>
        <v>0</v>
      </c>
    </row>
    <row r="44" spans="1:15" x14ac:dyDescent="0.3">
      <c r="A44" s="139" t="s">
        <v>475</v>
      </c>
      <c r="B44" s="155">
        <f>SUM('TRANSFERENCIA CORRIENTE'!C45:E45)</f>
        <v>0</v>
      </c>
      <c r="C44" s="155">
        <f>SUM('TRANSFERENCIA CORRIENTE'!F45:H45)</f>
        <v>0</v>
      </c>
      <c r="D44" s="155">
        <f>SUM('TRANSFERENCIA CORRIENTE'!I45:K45)</f>
        <v>0</v>
      </c>
      <c r="E44" s="155">
        <f>SUM('TRANSFERENCIA CORRIENTE'!L45:N45)</f>
        <v>0</v>
      </c>
      <c r="F44" s="610"/>
      <c r="G44" s="155">
        <f>SUM(VS!C45:E45)</f>
        <v>0</v>
      </c>
      <c r="H44" s="155">
        <f>SUM(VS!F45:H45)</f>
        <v>0</v>
      </c>
      <c r="I44" s="155">
        <f>SUM(VS!I45:K45)</f>
        <v>0</v>
      </c>
      <c r="J44" s="156">
        <f>SUM(VS!L45:N45)</f>
        <v>0</v>
      </c>
      <c r="K44" s="610"/>
      <c r="L44" s="157">
        <f t="shared" si="7"/>
        <v>0</v>
      </c>
      <c r="M44" s="157">
        <f t="shared" si="6"/>
        <v>0</v>
      </c>
      <c r="N44" s="157">
        <f t="shared" si="6"/>
        <v>0</v>
      </c>
      <c r="O44" s="157">
        <f t="shared" si="6"/>
        <v>0</v>
      </c>
    </row>
    <row r="45" spans="1:15" x14ac:dyDescent="0.3">
      <c r="A45" s="139" t="s">
        <v>474</v>
      </c>
      <c r="B45" s="155">
        <f>SUM('TRANSFERENCIA CORRIENTE'!C46:E46)</f>
        <v>0</v>
      </c>
      <c r="C45" s="155">
        <f>SUM('TRANSFERENCIA CORRIENTE'!F46:H46)</f>
        <v>0</v>
      </c>
      <c r="D45" s="155">
        <f>SUM('TRANSFERENCIA CORRIENTE'!I46:K46)</f>
        <v>0</v>
      </c>
      <c r="E45" s="155">
        <f>SUM('TRANSFERENCIA CORRIENTE'!L46:N46)</f>
        <v>0</v>
      </c>
      <c r="F45" s="610"/>
      <c r="G45" s="155">
        <f>SUM(VS!C46:E46)</f>
        <v>0</v>
      </c>
      <c r="H45" s="155">
        <f>SUM(VS!F46:H46)</f>
        <v>0</v>
      </c>
      <c r="I45" s="155">
        <f>SUM(VS!I46:K46)</f>
        <v>0</v>
      </c>
      <c r="J45" s="156">
        <f>SUM(VS!L46:N46)</f>
        <v>0</v>
      </c>
      <c r="K45" s="610"/>
      <c r="L45" s="157">
        <f t="shared" si="7"/>
        <v>0</v>
      </c>
      <c r="M45" s="157">
        <f t="shared" si="6"/>
        <v>0</v>
      </c>
      <c r="N45" s="157">
        <f t="shared" si="6"/>
        <v>0</v>
      </c>
      <c r="O45" s="157">
        <f t="shared" si="6"/>
        <v>0</v>
      </c>
    </row>
    <row r="46" spans="1:15" x14ac:dyDescent="0.3">
      <c r="A46" s="139" t="s">
        <v>473</v>
      </c>
      <c r="B46" s="155">
        <f>SUM('TRANSFERENCIA CORRIENTE'!C47:E47)</f>
        <v>0</v>
      </c>
      <c r="C46" s="155">
        <f>SUM('TRANSFERENCIA CORRIENTE'!F47:H47)</f>
        <v>0</v>
      </c>
      <c r="D46" s="155">
        <f>SUM('TRANSFERENCIA CORRIENTE'!I47:K47)</f>
        <v>0</v>
      </c>
      <c r="E46" s="155">
        <f>SUM('TRANSFERENCIA CORRIENTE'!L47:N47)</f>
        <v>0</v>
      </c>
      <c r="F46" s="610"/>
      <c r="G46" s="155">
        <f>SUM(VS!C47:E47)</f>
        <v>0</v>
      </c>
      <c r="H46" s="155">
        <f>SUM(VS!F47:H47)</f>
        <v>0</v>
      </c>
      <c r="I46" s="155">
        <f>SUM(VS!I47:K47)</f>
        <v>0</v>
      </c>
      <c r="J46" s="156">
        <f>SUM(VS!L47:N47)</f>
        <v>0</v>
      </c>
      <c r="K46" s="610"/>
      <c r="L46" s="157">
        <f t="shared" si="7"/>
        <v>0</v>
      </c>
      <c r="M46" s="157">
        <f t="shared" si="6"/>
        <v>0</v>
      </c>
      <c r="N46" s="157">
        <f t="shared" si="6"/>
        <v>0</v>
      </c>
      <c r="O46" s="157">
        <f t="shared" si="6"/>
        <v>0</v>
      </c>
    </row>
    <row r="47" spans="1:15" x14ac:dyDescent="0.3">
      <c r="A47" s="139" t="s">
        <v>472</v>
      </c>
      <c r="B47" s="155">
        <f>SUM('TRANSFERENCIA CORRIENTE'!C48:E48)</f>
        <v>0</v>
      </c>
      <c r="C47" s="155">
        <f>SUM('TRANSFERENCIA CORRIENTE'!F48:H48)</f>
        <v>0</v>
      </c>
      <c r="D47" s="155">
        <f>SUM('TRANSFERENCIA CORRIENTE'!I48:K48)</f>
        <v>0</v>
      </c>
      <c r="E47" s="155">
        <f>SUM('TRANSFERENCIA CORRIENTE'!L48:N48)</f>
        <v>0</v>
      </c>
      <c r="F47" s="610"/>
      <c r="G47" s="155">
        <f>SUM(VS!C48:E48)</f>
        <v>0</v>
      </c>
      <c r="H47" s="155">
        <f>SUM(VS!F48:H48)</f>
        <v>0</v>
      </c>
      <c r="I47" s="155">
        <f>SUM(VS!I48:K48)</f>
        <v>0</v>
      </c>
      <c r="J47" s="156">
        <f>SUM(VS!L48:N48)</f>
        <v>0</v>
      </c>
      <c r="K47" s="610"/>
      <c r="L47" s="157">
        <f t="shared" si="7"/>
        <v>0</v>
      </c>
      <c r="M47" s="157">
        <f t="shared" si="6"/>
        <v>0</v>
      </c>
      <c r="N47" s="157">
        <f t="shared" si="6"/>
        <v>0</v>
      </c>
      <c r="O47" s="157">
        <f t="shared" si="6"/>
        <v>0</v>
      </c>
    </row>
    <row r="48" spans="1:15" x14ac:dyDescent="0.3">
      <c r="A48" s="139" t="s">
        <v>471</v>
      </c>
      <c r="B48" s="155">
        <f>SUM('TRANSFERENCIA CORRIENTE'!C49:E49)</f>
        <v>0</v>
      </c>
      <c r="C48" s="155">
        <f>SUM('TRANSFERENCIA CORRIENTE'!F49:H49)</f>
        <v>0</v>
      </c>
      <c r="D48" s="155">
        <f>SUM('TRANSFERENCIA CORRIENTE'!I49:K49)</f>
        <v>0</v>
      </c>
      <c r="E48" s="155">
        <f>SUM('TRANSFERENCIA CORRIENTE'!L49:N49)</f>
        <v>0</v>
      </c>
      <c r="F48" s="610"/>
      <c r="G48" s="155">
        <f>SUM(VS!C49:E49)</f>
        <v>0</v>
      </c>
      <c r="H48" s="155">
        <f>SUM(VS!F49:H49)</f>
        <v>0</v>
      </c>
      <c r="I48" s="155">
        <f>SUM(VS!I49:K49)</f>
        <v>0</v>
      </c>
      <c r="J48" s="156">
        <f>SUM(VS!L49:N49)</f>
        <v>0</v>
      </c>
      <c r="K48" s="610"/>
      <c r="L48" s="157">
        <f t="shared" si="7"/>
        <v>0</v>
      </c>
      <c r="M48" s="157">
        <f t="shared" si="6"/>
        <v>0</v>
      </c>
      <c r="N48" s="157">
        <f t="shared" si="6"/>
        <v>0</v>
      </c>
      <c r="O48" s="157">
        <f t="shared" si="6"/>
        <v>0</v>
      </c>
    </row>
    <row r="49" spans="1:15" x14ac:dyDescent="0.3">
      <c r="A49" s="139" t="s">
        <v>470</v>
      </c>
      <c r="B49" s="155">
        <f>SUM('TRANSFERENCIA CORRIENTE'!C50:E50)</f>
        <v>0</v>
      </c>
      <c r="C49" s="155">
        <f>SUM('TRANSFERENCIA CORRIENTE'!F50:H50)</f>
        <v>0</v>
      </c>
      <c r="D49" s="155">
        <f>SUM('TRANSFERENCIA CORRIENTE'!I50:K50)</f>
        <v>0</v>
      </c>
      <c r="E49" s="155">
        <f>SUM('TRANSFERENCIA CORRIENTE'!L50:N50)</f>
        <v>0</v>
      </c>
      <c r="F49" s="610"/>
      <c r="G49" s="155">
        <f>SUM(VS!C50:E50)</f>
        <v>0</v>
      </c>
      <c r="H49" s="155">
        <f>SUM(VS!F50:H50)</f>
        <v>0</v>
      </c>
      <c r="I49" s="155">
        <f>SUM(VS!I50:K50)</f>
        <v>0</v>
      </c>
      <c r="J49" s="156">
        <f>SUM(VS!L50:N50)</f>
        <v>0</v>
      </c>
      <c r="K49" s="610"/>
      <c r="L49" s="157">
        <f t="shared" si="7"/>
        <v>0</v>
      </c>
      <c r="M49" s="157">
        <f t="shared" si="6"/>
        <v>0</v>
      </c>
      <c r="N49" s="157">
        <f t="shared" si="6"/>
        <v>0</v>
      </c>
      <c r="O49" s="157">
        <f t="shared" si="6"/>
        <v>0</v>
      </c>
    </row>
    <row r="50" spans="1:15" s="158" customFormat="1" x14ac:dyDescent="0.3">
      <c r="A50" s="145" t="s">
        <v>469</v>
      </c>
      <c r="B50" s="153">
        <f>SUM(B51:B59)</f>
        <v>0</v>
      </c>
      <c r="C50" s="153">
        <f>SUM(C51:C59)</f>
        <v>0</v>
      </c>
      <c r="D50" s="153">
        <f>SUM(D51:D59)</f>
        <v>0</v>
      </c>
      <c r="E50" s="153">
        <f>SUM(E51:E59)</f>
        <v>0</v>
      </c>
      <c r="F50" s="610"/>
      <c r="G50" s="153">
        <f>SUM(G51:G59)</f>
        <v>887994.84</v>
      </c>
      <c r="H50" s="153">
        <f>SUM(H51:H59)</f>
        <v>0</v>
      </c>
      <c r="I50" s="153">
        <f>SUM(I51:I59)</f>
        <v>0</v>
      </c>
      <c r="J50" s="153">
        <f>SUM(J51:J59)</f>
        <v>0</v>
      </c>
      <c r="K50" s="610"/>
      <c r="L50" s="154">
        <f>SUM(B50+G50)</f>
        <v>887994.84</v>
      </c>
      <c r="M50" s="154">
        <f t="shared" si="6"/>
        <v>0</v>
      </c>
      <c r="N50" s="154">
        <f t="shared" si="6"/>
        <v>0</v>
      </c>
      <c r="O50" s="154">
        <f t="shared" si="6"/>
        <v>0</v>
      </c>
    </row>
    <row r="51" spans="1:15" x14ac:dyDescent="0.3">
      <c r="A51" s="139" t="s">
        <v>468</v>
      </c>
      <c r="B51" s="155">
        <f>SUM('TRANSFERENCIA CORRIENTE'!C52:E52)</f>
        <v>0</v>
      </c>
      <c r="C51" s="155">
        <f>SUM('TRANSFERENCIA CORRIENTE'!F52:H52)</f>
        <v>0</v>
      </c>
      <c r="D51" s="155">
        <f>SUM('TRANSFERENCIA CORRIENTE'!I52:K52)</f>
        <v>0</v>
      </c>
      <c r="E51" s="155">
        <f>SUM('TRANSFERENCIA CORRIENTE'!L52:N52)</f>
        <v>0</v>
      </c>
      <c r="F51" s="610"/>
      <c r="G51" s="155">
        <f>SUM(VS!C52:E52)</f>
        <v>0</v>
      </c>
      <c r="H51" s="155">
        <f>SUM(VS!F52:H52)</f>
        <v>0</v>
      </c>
      <c r="I51" s="155">
        <f>SUM(VS!I52:K52)</f>
        <v>0</v>
      </c>
      <c r="J51" s="156">
        <f>SUM(VS!L52:N52)</f>
        <v>0</v>
      </c>
      <c r="K51" s="610"/>
      <c r="L51" s="157">
        <f t="shared" ref="L51:O66" si="8">SUM(B51+G51)</f>
        <v>0</v>
      </c>
      <c r="M51" s="157">
        <f t="shared" si="6"/>
        <v>0</v>
      </c>
      <c r="N51" s="157">
        <f t="shared" si="6"/>
        <v>0</v>
      </c>
      <c r="O51" s="157">
        <f t="shared" si="6"/>
        <v>0</v>
      </c>
    </row>
    <row r="52" spans="1:15" x14ac:dyDescent="0.3">
      <c r="A52" s="139" t="s">
        <v>467</v>
      </c>
      <c r="B52" s="155">
        <f>SUM('TRANSFERENCIA CORRIENTE'!C53:E53)</f>
        <v>0</v>
      </c>
      <c r="C52" s="155">
        <f>SUM('TRANSFERENCIA CORRIENTE'!F53:H53)</f>
        <v>0</v>
      </c>
      <c r="D52" s="155">
        <f>SUM('TRANSFERENCIA CORRIENTE'!I53:K53)</f>
        <v>0</v>
      </c>
      <c r="E52" s="155">
        <f>SUM('TRANSFERENCIA CORRIENTE'!L53:N53)</f>
        <v>0</v>
      </c>
      <c r="F52" s="610"/>
      <c r="G52" s="155">
        <f>SUM(VS!C53:E53)</f>
        <v>0</v>
      </c>
      <c r="H52" s="155">
        <f>SUM(VS!F53:H53)</f>
        <v>0</v>
      </c>
      <c r="I52" s="155">
        <f>SUM(VS!I53:K53)</f>
        <v>0</v>
      </c>
      <c r="J52" s="156">
        <f>SUM(VS!L53:N53)</f>
        <v>0</v>
      </c>
      <c r="K52" s="610"/>
      <c r="L52" s="157">
        <f t="shared" si="8"/>
        <v>0</v>
      </c>
      <c r="M52" s="157">
        <f t="shared" si="6"/>
        <v>0</v>
      </c>
      <c r="N52" s="157">
        <f t="shared" si="6"/>
        <v>0</v>
      </c>
      <c r="O52" s="157">
        <f t="shared" si="6"/>
        <v>0</v>
      </c>
    </row>
    <row r="53" spans="1:15" x14ac:dyDescent="0.3">
      <c r="A53" s="139" t="s">
        <v>466</v>
      </c>
      <c r="B53" s="155">
        <f>SUM('TRANSFERENCIA CORRIENTE'!C54:E54)</f>
        <v>0</v>
      </c>
      <c r="C53" s="155">
        <f>SUM('TRANSFERENCIA CORRIENTE'!F54:H54)</f>
        <v>0</v>
      </c>
      <c r="D53" s="155">
        <f>SUM('TRANSFERENCIA CORRIENTE'!I54:K54)</f>
        <v>0</v>
      </c>
      <c r="E53" s="155">
        <f>SUM('TRANSFERENCIA CORRIENTE'!L54:N54)</f>
        <v>0</v>
      </c>
      <c r="F53" s="610"/>
      <c r="G53" s="155">
        <f>SUM(VS!C54:E54)</f>
        <v>887994.84</v>
      </c>
      <c r="H53" s="155">
        <f>SUM(VS!F54:H54)</f>
        <v>0</v>
      </c>
      <c r="I53" s="155">
        <f>SUM(VS!I54:K54)</f>
        <v>0</v>
      </c>
      <c r="J53" s="156">
        <f>SUM(VS!L54:N54)</f>
        <v>0</v>
      </c>
      <c r="K53" s="610"/>
      <c r="L53" s="157">
        <f t="shared" si="8"/>
        <v>887994.84</v>
      </c>
      <c r="M53" s="157">
        <f t="shared" si="6"/>
        <v>0</v>
      </c>
      <c r="N53" s="157">
        <f t="shared" si="6"/>
        <v>0</v>
      </c>
      <c r="O53" s="157">
        <f t="shared" si="6"/>
        <v>0</v>
      </c>
    </row>
    <row r="54" spans="1:15" x14ac:dyDescent="0.3">
      <c r="A54" s="139" t="s">
        <v>465</v>
      </c>
      <c r="B54" s="155">
        <f>SUM('TRANSFERENCIA CORRIENTE'!C55:E55)</f>
        <v>0</v>
      </c>
      <c r="C54" s="155">
        <f>SUM('TRANSFERENCIA CORRIENTE'!F55:H55)</f>
        <v>0</v>
      </c>
      <c r="D54" s="155">
        <f>SUM('TRANSFERENCIA CORRIENTE'!I55:K55)</f>
        <v>0</v>
      </c>
      <c r="E54" s="155">
        <f>SUM('TRANSFERENCIA CORRIENTE'!L55:N55)</f>
        <v>0</v>
      </c>
      <c r="F54" s="610"/>
      <c r="G54" s="155">
        <f>SUM(VS!C55:E55)</f>
        <v>0</v>
      </c>
      <c r="H54" s="155">
        <f>SUM(VS!F55:H55)</f>
        <v>0</v>
      </c>
      <c r="I54" s="155">
        <f>SUM(VS!I55:K55)</f>
        <v>0</v>
      </c>
      <c r="J54" s="156">
        <f>SUM(VS!L55:N55)</f>
        <v>0</v>
      </c>
      <c r="K54" s="610"/>
      <c r="L54" s="157">
        <f t="shared" si="8"/>
        <v>0</v>
      </c>
      <c r="M54" s="157">
        <f t="shared" si="6"/>
        <v>0</v>
      </c>
      <c r="N54" s="157">
        <f t="shared" si="6"/>
        <v>0</v>
      </c>
      <c r="O54" s="157">
        <f t="shared" si="6"/>
        <v>0</v>
      </c>
    </row>
    <row r="55" spans="1:15" x14ac:dyDescent="0.3">
      <c r="A55" s="139" t="s">
        <v>464</v>
      </c>
      <c r="B55" s="155">
        <f>SUM('TRANSFERENCIA CORRIENTE'!C56:E56)</f>
        <v>0</v>
      </c>
      <c r="C55" s="155">
        <f>SUM('TRANSFERENCIA CORRIENTE'!F56:H56)</f>
        <v>0</v>
      </c>
      <c r="D55" s="155">
        <f>SUM('TRANSFERENCIA CORRIENTE'!I56:K56)</f>
        <v>0</v>
      </c>
      <c r="E55" s="155">
        <f>SUM('TRANSFERENCIA CORRIENTE'!L56:N56)</f>
        <v>0</v>
      </c>
      <c r="F55" s="610"/>
      <c r="G55" s="155">
        <f>SUM(VS!C56:E56)</f>
        <v>0</v>
      </c>
      <c r="H55" s="155">
        <f>SUM(VS!F56:H56)</f>
        <v>0</v>
      </c>
      <c r="I55" s="155">
        <f>SUM(VS!I56:K56)</f>
        <v>0</v>
      </c>
      <c r="J55" s="156">
        <f>SUM(VS!L56:N56)</f>
        <v>0</v>
      </c>
      <c r="K55" s="610"/>
      <c r="L55" s="157">
        <f t="shared" si="8"/>
        <v>0</v>
      </c>
      <c r="M55" s="157">
        <f t="shared" si="6"/>
        <v>0</v>
      </c>
      <c r="N55" s="157">
        <f t="shared" si="6"/>
        <v>0</v>
      </c>
      <c r="O55" s="157">
        <f t="shared" si="6"/>
        <v>0</v>
      </c>
    </row>
    <row r="56" spans="1:15" x14ac:dyDescent="0.3">
      <c r="A56" s="139" t="s">
        <v>463</v>
      </c>
      <c r="B56" s="155">
        <f>SUM('TRANSFERENCIA CORRIENTE'!C57:E57)</f>
        <v>0</v>
      </c>
      <c r="C56" s="155">
        <f>SUM('TRANSFERENCIA CORRIENTE'!F57:H57)</f>
        <v>0</v>
      </c>
      <c r="D56" s="155">
        <f>SUM('TRANSFERENCIA CORRIENTE'!I57:K57)</f>
        <v>0</v>
      </c>
      <c r="E56" s="155">
        <f>SUM('TRANSFERENCIA CORRIENTE'!L57:N57)</f>
        <v>0</v>
      </c>
      <c r="F56" s="610"/>
      <c r="G56" s="155">
        <f>SUM(VS!C57:E57)</f>
        <v>0</v>
      </c>
      <c r="H56" s="155">
        <f>SUM(VS!F57:H57)</f>
        <v>0</v>
      </c>
      <c r="I56" s="155">
        <f>SUM(VS!I57:K57)</f>
        <v>0</v>
      </c>
      <c r="J56" s="156">
        <f>SUM(VS!L57:N57)</f>
        <v>0</v>
      </c>
      <c r="K56" s="610"/>
      <c r="L56" s="157">
        <f t="shared" si="8"/>
        <v>0</v>
      </c>
      <c r="M56" s="157">
        <f t="shared" si="6"/>
        <v>0</v>
      </c>
      <c r="N56" s="157">
        <f t="shared" si="6"/>
        <v>0</v>
      </c>
      <c r="O56" s="157">
        <f t="shared" si="6"/>
        <v>0</v>
      </c>
    </row>
    <row r="57" spans="1:15" x14ac:dyDescent="0.3">
      <c r="A57" s="139" t="s">
        <v>462</v>
      </c>
      <c r="B57" s="155">
        <f>SUM('TRANSFERENCIA CORRIENTE'!C58:E58)</f>
        <v>0</v>
      </c>
      <c r="C57" s="155">
        <f>SUM('TRANSFERENCIA CORRIENTE'!F58:H58)</f>
        <v>0</v>
      </c>
      <c r="D57" s="155">
        <f>SUM('TRANSFERENCIA CORRIENTE'!I58:K58)</f>
        <v>0</v>
      </c>
      <c r="E57" s="155">
        <f>SUM('TRANSFERENCIA CORRIENTE'!L58:N58)</f>
        <v>0</v>
      </c>
      <c r="F57" s="610"/>
      <c r="G57" s="155">
        <f>SUM(VS!C58:E58)</f>
        <v>0</v>
      </c>
      <c r="H57" s="155">
        <f>SUM(VS!F58:H58)</f>
        <v>0</v>
      </c>
      <c r="I57" s="155">
        <f>SUM(VS!I58:K58)</f>
        <v>0</v>
      </c>
      <c r="J57" s="156">
        <f>SUM(VS!L58:N58)</f>
        <v>0</v>
      </c>
      <c r="K57" s="610"/>
      <c r="L57" s="157">
        <f t="shared" si="8"/>
        <v>0</v>
      </c>
      <c r="M57" s="157">
        <f t="shared" si="8"/>
        <v>0</v>
      </c>
      <c r="N57" s="157">
        <f t="shared" si="8"/>
        <v>0</v>
      </c>
      <c r="O57" s="157">
        <f t="shared" si="8"/>
        <v>0</v>
      </c>
    </row>
    <row r="58" spans="1:15" x14ac:dyDescent="0.3">
      <c r="A58" s="139" t="s">
        <v>461</v>
      </c>
      <c r="B58" s="155">
        <f>SUM('TRANSFERENCIA CORRIENTE'!C59:E59)</f>
        <v>0</v>
      </c>
      <c r="C58" s="155">
        <f>SUM('TRANSFERENCIA CORRIENTE'!F59:H59)</f>
        <v>0</v>
      </c>
      <c r="D58" s="155">
        <f>SUM('TRANSFERENCIA CORRIENTE'!I59:K59)</f>
        <v>0</v>
      </c>
      <c r="E58" s="155">
        <f>SUM('TRANSFERENCIA CORRIENTE'!L59:N59)</f>
        <v>0</v>
      </c>
      <c r="F58" s="610"/>
      <c r="G58" s="155">
        <f>SUM(VS!C59:E59)</f>
        <v>0</v>
      </c>
      <c r="H58" s="155">
        <f>SUM(VS!F59:H59)</f>
        <v>0</v>
      </c>
      <c r="I58" s="155">
        <f>SUM(VS!I59:K59)</f>
        <v>0</v>
      </c>
      <c r="J58" s="156">
        <f>SUM(VS!L59:N59)</f>
        <v>0</v>
      </c>
      <c r="K58" s="610"/>
      <c r="L58" s="157">
        <f t="shared" si="8"/>
        <v>0</v>
      </c>
      <c r="M58" s="157">
        <f t="shared" si="8"/>
        <v>0</v>
      </c>
      <c r="N58" s="157">
        <f t="shared" si="8"/>
        <v>0</v>
      </c>
      <c r="O58" s="157">
        <f t="shared" si="8"/>
        <v>0</v>
      </c>
    </row>
    <row r="59" spans="1:15" x14ac:dyDescent="0.3">
      <c r="A59" s="139" t="s">
        <v>460</v>
      </c>
      <c r="B59" s="155">
        <f>SUM('TRANSFERENCIA CORRIENTE'!C60:E60)</f>
        <v>0</v>
      </c>
      <c r="C59" s="155">
        <f>SUM('TRANSFERENCIA CORRIENTE'!F60:H60)</f>
        <v>0</v>
      </c>
      <c r="D59" s="155">
        <f>SUM('TRANSFERENCIA CORRIENTE'!I60:K60)</f>
        <v>0</v>
      </c>
      <c r="E59" s="155">
        <f>SUM('TRANSFERENCIA CORRIENTE'!L60:N60)</f>
        <v>0</v>
      </c>
      <c r="F59" s="610"/>
      <c r="G59" s="155">
        <f>SUM(VS!C60:E60)</f>
        <v>0</v>
      </c>
      <c r="H59" s="155">
        <f>SUM(VS!F60:H60)</f>
        <v>0</v>
      </c>
      <c r="I59" s="155">
        <f>SUM(VS!I60:K60)</f>
        <v>0</v>
      </c>
      <c r="J59" s="156">
        <f>SUM(VS!L60:N60)</f>
        <v>0</v>
      </c>
      <c r="K59" s="610"/>
      <c r="L59" s="157">
        <f t="shared" si="8"/>
        <v>0</v>
      </c>
      <c r="M59" s="157">
        <f t="shared" si="8"/>
        <v>0</v>
      </c>
      <c r="N59" s="157">
        <f t="shared" si="8"/>
        <v>0</v>
      </c>
      <c r="O59" s="157">
        <f t="shared" si="8"/>
        <v>0</v>
      </c>
    </row>
    <row r="60" spans="1:15" s="158" customFormat="1" x14ac:dyDescent="0.3">
      <c r="A60" s="145" t="s">
        <v>459</v>
      </c>
      <c r="B60" s="153">
        <f>SUM(B61:B64)</f>
        <v>0</v>
      </c>
      <c r="C60" s="153">
        <f>SUM(C61:C64)</f>
        <v>0</v>
      </c>
      <c r="D60" s="153">
        <f>SUM(D61:D64)</f>
        <v>0</v>
      </c>
      <c r="E60" s="153">
        <f>SUM(E61:E64)</f>
        <v>0</v>
      </c>
      <c r="F60" s="610"/>
      <c r="G60" s="153">
        <f>SUM(G61:G64)</f>
        <v>0</v>
      </c>
      <c r="H60" s="153">
        <f>SUM(H61:H64)</f>
        <v>0</v>
      </c>
      <c r="I60" s="153">
        <f>SUM(I61:I64)</f>
        <v>0</v>
      </c>
      <c r="J60" s="153">
        <f>SUM(J61:J64)</f>
        <v>0</v>
      </c>
      <c r="K60" s="610"/>
      <c r="L60" s="159">
        <f t="shared" ref="L60:L72" si="9">SUM(B60+G60)</f>
        <v>0</v>
      </c>
      <c r="M60" s="159">
        <f t="shared" si="8"/>
        <v>0</v>
      </c>
      <c r="N60" s="159">
        <f t="shared" si="8"/>
        <v>0</v>
      </c>
      <c r="O60" s="159">
        <f t="shared" si="8"/>
        <v>0</v>
      </c>
    </row>
    <row r="61" spans="1:15" x14ac:dyDescent="0.3">
      <c r="A61" s="139" t="s">
        <v>458</v>
      </c>
      <c r="B61" s="155">
        <f>SUM('TRANSFERENCIA CORRIENTE'!C62:E62)</f>
        <v>0</v>
      </c>
      <c r="C61" s="155">
        <f>SUM('TRANSFERENCIA CORRIENTE'!F62:H62)</f>
        <v>0</v>
      </c>
      <c r="D61" s="155">
        <f>SUM('TRANSFERENCIA CORRIENTE'!I62:K62)</f>
        <v>0</v>
      </c>
      <c r="E61" s="155">
        <f>SUM('TRANSFERENCIA CORRIENTE'!L62:N62)</f>
        <v>0</v>
      </c>
      <c r="F61" s="610"/>
      <c r="G61" s="155">
        <f>SUM(VS!C62:E62)</f>
        <v>0</v>
      </c>
      <c r="H61" s="155">
        <f>SUM(VS!F62:H62)</f>
        <v>0</v>
      </c>
      <c r="I61" s="155">
        <f>SUM(VS!I62:K62)</f>
        <v>0</v>
      </c>
      <c r="J61" s="156">
        <f>SUM(VS!L62:N62)</f>
        <v>0</v>
      </c>
      <c r="K61" s="610"/>
      <c r="L61" s="157">
        <f t="shared" si="9"/>
        <v>0</v>
      </c>
      <c r="M61" s="157">
        <f t="shared" si="8"/>
        <v>0</v>
      </c>
      <c r="N61" s="157">
        <f t="shared" si="8"/>
        <v>0</v>
      </c>
      <c r="O61" s="157">
        <f t="shared" si="8"/>
        <v>0</v>
      </c>
    </row>
    <row r="62" spans="1:15" x14ac:dyDescent="0.3">
      <c r="A62" s="139" t="s">
        <v>457</v>
      </c>
      <c r="B62" s="155">
        <f>SUM('TRANSFERENCIA CORRIENTE'!C63:E63)</f>
        <v>0</v>
      </c>
      <c r="C62" s="155">
        <f>SUM('TRANSFERENCIA CORRIENTE'!F63:H63)</f>
        <v>0</v>
      </c>
      <c r="D62" s="155">
        <f>SUM('TRANSFERENCIA CORRIENTE'!I63:K63)</f>
        <v>0</v>
      </c>
      <c r="E62" s="155">
        <f>SUM('TRANSFERENCIA CORRIENTE'!L63:N63)</f>
        <v>0</v>
      </c>
      <c r="F62" s="610"/>
      <c r="G62" s="155">
        <f>SUM(VS!C63:E63)</f>
        <v>0</v>
      </c>
      <c r="H62" s="155">
        <f>SUM(VS!F63:H63)</f>
        <v>0</v>
      </c>
      <c r="I62" s="155">
        <f>SUM(VS!I63:K63)</f>
        <v>0</v>
      </c>
      <c r="J62" s="156">
        <f>SUM(VS!L63:N63)</f>
        <v>0</v>
      </c>
      <c r="K62" s="610"/>
      <c r="L62" s="157">
        <f t="shared" si="9"/>
        <v>0</v>
      </c>
      <c r="M62" s="157">
        <f t="shared" si="8"/>
        <v>0</v>
      </c>
      <c r="N62" s="157">
        <f t="shared" si="8"/>
        <v>0</v>
      </c>
      <c r="O62" s="157">
        <f t="shared" si="8"/>
        <v>0</v>
      </c>
    </row>
    <row r="63" spans="1:15" x14ac:dyDescent="0.3">
      <c r="A63" s="139" t="s">
        <v>456</v>
      </c>
      <c r="B63" s="155">
        <f>SUM('TRANSFERENCIA CORRIENTE'!C64:E64)</f>
        <v>0</v>
      </c>
      <c r="C63" s="155">
        <f>SUM('TRANSFERENCIA CORRIENTE'!F64:H64)</f>
        <v>0</v>
      </c>
      <c r="D63" s="155">
        <f>SUM('TRANSFERENCIA CORRIENTE'!I64:K64)</f>
        <v>0</v>
      </c>
      <c r="E63" s="155">
        <f>SUM('TRANSFERENCIA CORRIENTE'!L64:N64)</f>
        <v>0</v>
      </c>
      <c r="F63" s="610"/>
      <c r="G63" s="155">
        <f>SUM(VS!C64:E64)</f>
        <v>0</v>
      </c>
      <c r="H63" s="155">
        <f>SUM(VS!F64:H64)</f>
        <v>0</v>
      </c>
      <c r="I63" s="155">
        <f>SUM(VS!I64:K64)</f>
        <v>0</v>
      </c>
      <c r="J63" s="156">
        <f>SUM(VS!L64:N64)</f>
        <v>0</v>
      </c>
      <c r="K63" s="610"/>
      <c r="L63" s="157">
        <f t="shared" si="9"/>
        <v>0</v>
      </c>
      <c r="M63" s="157">
        <f t="shared" si="8"/>
        <v>0</v>
      </c>
      <c r="N63" s="157">
        <f t="shared" si="8"/>
        <v>0</v>
      </c>
      <c r="O63" s="157">
        <f t="shared" si="8"/>
        <v>0</v>
      </c>
    </row>
    <row r="64" spans="1:15" ht="28.8" x14ac:dyDescent="0.3">
      <c r="A64" s="139" t="s">
        <v>455</v>
      </c>
      <c r="B64" s="155">
        <f>SUM('TRANSFERENCIA CORRIENTE'!C65:E65)</f>
        <v>0</v>
      </c>
      <c r="C64" s="155">
        <f>SUM('TRANSFERENCIA CORRIENTE'!F65:H65)</f>
        <v>0</v>
      </c>
      <c r="D64" s="155">
        <f>SUM('TRANSFERENCIA CORRIENTE'!I65:K65)</f>
        <v>0</v>
      </c>
      <c r="E64" s="155">
        <f>SUM('TRANSFERENCIA CORRIENTE'!L65:N65)</f>
        <v>0</v>
      </c>
      <c r="F64" s="610"/>
      <c r="G64" s="155">
        <f>SUM(VS!C65:E65)</f>
        <v>0</v>
      </c>
      <c r="H64" s="155">
        <f>SUM(VS!F65:H65)</f>
        <v>0</v>
      </c>
      <c r="I64" s="155">
        <f>SUM(VS!I65:K65)</f>
        <v>0</v>
      </c>
      <c r="J64" s="156">
        <f>SUM(VS!L65:N65)</f>
        <v>0</v>
      </c>
      <c r="K64" s="610"/>
      <c r="L64" s="157">
        <f t="shared" si="9"/>
        <v>0</v>
      </c>
      <c r="M64" s="157">
        <f t="shared" si="8"/>
        <v>0</v>
      </c>
      <c r="N64" s="157">
        <f t="shared" si="8"/>
        <v>0</v>
      </c>
      <c r="O64" s="157">
        <f t="shared" si="8"/>
        <v>0</v>
      </c>
    </row>
    <row r="65" spans="1:15" s="158" customFormat="1" x14ac:dyDescent="0.3">
      <c r="A65" s="145" t="s">
        <v>454</v>
      </c>
      <c r="B65" s="153">
        <f>SUM(B66:B67)</f>
        <v>0</v>
      </c>
      <c r="C65" s="153">
        <f>SUM(C66:C67)</f>
        <v>0</v>
      </c>
      <c r="D65" s="153">
        <f>SUM(D66:D67)</f>
        <v>0</v>
      </c>
      <c r="E65" s="153">
        <f>SUM(E66:E67)</f>
        <v>0</v>
      </c>
      <c r="F65" s="610"/>
      <c r="G65" s="153">
        <f>SUM(G66:G67)</f>
        <v>0</v>
      </c>
      <c r="H65" s="153">
        <f>SUM(H66:H67)</f>
        <v>0</v>
      </c>
      <c r="I65" s="153">
        <f>SUM(I66:I67)</f>
        <v>0</v>
      </c>
      <c r="J65" s="153">
        <f>SUM(J66:J67)</f>
        <v>0</v>
      </c>
      <c r="K65" s="610"/>
      <c r="L65" s="159">
        <f t="shared" si="9"/>
        <v>0</v>
      </c>
      <c r="M65" s="159">
        <f t="shared" si="8"/>
        <v>0</v>
      </c>
      <c r="N65" s="159">
        <f t="shared" si="8"/>
        <v>0</v>
      </c>
      <c r="O65" s="159">
        <f t="shared" si="8"/>
        <v>0</v>
      </c>
    </row>
    <row r="66" spans="1:15" x14ac:dyDescent="0.3">
      <c r="A66" s="139" t="s">
        <v>453</v>
      </c>
      <c r="B66" s="155">
        <f>SUM('TRANSFERENCIA CORRIENTE'!C67:E67)</f>
        <v>0</v>
      </c>
      <c r="C66" s="155">
        <f>SUM('TRANSFERENCIA CORRIENTE'!F67:H67)</f>
        <v>0</v>
      </c>
      <c r="D66" s="155">
        <f>SUM('TRANSFERENCIA CORRIENTE'!I67:K67)</f>
        <v>0</v>
      </c>
      <c r="E66" s="155">
        <f>SUM('TRANSFERENCIA CORRIENTE'!L67:N67)</f>
        <v>0</v>
      </c>
      <c r="F66" s="610"/>
      <c r="G66" s="155">
        <f>SUM(VS!C67:E67)</f>
        <v>0</v>
      </c>
      <c r="H66" s="155">
        <f>SUM(VS!F67:H67)</f>
        <v>0</v>
      </c>
      <c r="I66" s="155">
        <f>SUM(VS!I67:K67)</f>
        <v>0</v>
      </c>
      <c r="J66" s="156">
        <f>SUM(VS!L67:N67)</f>
        <v>0</v>
      </c>
      <c r="K66" s="610"/>
      <c r="L66" s="157">
        <f t="shared" si="9"/>
        <v>0</v>
      </c>
      <c r="M66" s="157">
        <f>SUM(C66+H66)</f>
        <v>0</v>
      </c>
      <c r="N66" s="157">
        <f t="shared" si="8"/>
        <v>0</v>
      </c>
      <c r="O66" s="157">
        <f t="shared" si="8"/>
        <v>0</v>
      </c>
    </row>
    <row r="67" spans="1:15" x14ac:dyDescent="0.3">
      <c r="A67" s="139" t="s">
        <v>452</v>
      </c>
      <c r="B67" s="155">
        <f>SUM('TRANSFERENCIA CORRIENTE'!C68:E68)</f>
        <v>0</v>
      </c>
      <c r="C67" s="155">
        <f>SUM('TRANSFERENCIA CORRIENTE'!F68:H68)</f>
        <v>0</v>
      </c>
      <c r="D67" s="155">
        <f>SUM('TRANSFERENCIA CORRIENTE'!I68:K68)</f>
        <v>0</v>
      </c>
      <c r="E67" s="155">
        <f>SUM('TRANSFERENCIA CORRIENTE'!L68:N68)</f>
        <v>0</v>
      </c>
      <c r="F67" s="610"/>
      <c r="G67" s="155">
        <f>SUM(VS!C68:E68)</f>
        <v>0</v>
      </c>
      <c r="H67" s="155">
        <f>SUM(VS!F68:H68)</f>
        <v>0</v>
      </c>
      <c r="I67" s="155">
        <f>SUM(VS!I68:K68)</f>
        <v>0</v>
      </c>
      <c r="J67" s="156">
        <f>SUM(VS!L68:N68)</f>
        <v>0</v>
      </c>
      <c r="K67" s="610"/>
      <c r="L67" s="157">
        <f t="shared" si="9"/>
        <v>0</v>
      </c>
      <c r="M67" s="157">
        <f>SUM(C67+H67)</f>
        <v>0</v>
      </c>
      <c r="N67" s="157">
        <f>SUM(D67+I67)</f>
        <v>0</v>
      </c>
      <c r="O67" s="157">
        <f>SUM(E67+J67)</f>
        <v>0</v>
      </c>
    </row>
    <row r="68" spans="1:15" s="158" customFormat="1" x14ac:dyDescent="0.3">
      <c r="A68" s="145" t="s">
        <v>451</v>
      </c>
      <c r="B68" s="153">
        <f>SUM(B69:B71)</f>
        <v>0</v>
      </c>
      <c r="C68" s="153">
        <f>SUM(C69:C71)</f>
        <v>0</v>
      </c>
      <c r="D68" s="153">
        <f>SUM(D69:D71)</f>
        <v>0</v>
      </c>
      <c r="E68" s="153">
        <f>SUM(E69:E71)</f>
        <v>0</v>
      </c>
      <c r="F68" s="610"/>
      <c r="G68" s="153">
        <f>SUM(G69:G71)</f>
        <v>0</v>
      </c>
      <c r="H68" s="153">
        <f>SUM(H69:H71)</f>
        <v>0</v>
      </c>
      <c r="I68" s="153">
        <f>SUM(I69:I71)</f>
        <v>0</v>
      </c>
      <c r="J68" s="153">
        <f>SUM(J69:J71)</f>
        <v>0</v>
      </c>
      <c r="K68" s="610"/>
      <c r="L68" s="159">
        <f t="shared" si="9"/>
        <v>0</v>
      </c>
      <c r="M68" s="159">
        <f t="shared" ref="M68:O82" si="10">SUM(C68+H68)</f>
        <v>0</v>
      </c>
      <c r="N68" s="159">
        <f t="shared" si="10"/>
        <v>0</v>
      </c>
      <c r="O68" s="159">
        <f t="shared" si="10"/>
        <v>0</v>
      </c>
    </row>
    <row r="69" spans="1:15" x14ac:dyDescent="0.3">
      <c r="A69" s="139" t="s">
        <v>450</v>
      </c>
      <c r="B69" s="155">
        <f>SUM('TRANSFERENCIA CORRIENTE'!C70:E70)</f>
        <v>0</v>
      </c>
      <c r="C69" s="155">
        <f>SUM('TRANSFERENCIA CORRIENTE'!F70:H70)</f>
        <v>0</v>
      </c>
      <c r="D69" s="155">
        <f>SUM('TRANSFERENCIA CORRIENTE'!I70:K70)</f>
        <v>0</v>
      </c>
      <c r="E69" s="155">
        <f>SUM('TRANSFERENCIA CORRIENTE'!L70:N70)</f>
        <v>0</v>
      </c>
      <c r="F69" s="610"/>
      <c r="G69" s="155">
        <f>SUM(VS!C70:E70)</f>
        <v>0</v>
      </c>
      <c r="H69" s="155">
        <f>SUM(VS!F70:H70)</f>
        <v>0</v>
      </c>
      <c r="I69" s="155">
        <f>SUM(VS!I70:K70)</f>
        <v>0</v>
      </c>
      <c r="J69" s="156">
        <f>SUM(VS!L70:N70)</f>
        <v>0</v>
      </c>
      <c r="K69" s="610"/>
      <c r="L69" s="157">
        <f t="shared" si="9"/>
        <v>0</v>
      </c>
      <c r="M69" s="157">
        <f t="shared" si="10"/>
        <v>0</v>
      </c>
      <c r="N69" s="157">
        <f t="shared" si="10"/>
        <v>0</v>
      </c>
      <c r="O69" s="157">
        <f t="shared" si="10"/>
        <v>0</v>
      </c>
    </row>
    <row r="70" spans="1:15" x14ac:dyDescent="0.3">
      <c r="A70" s="139" t="s">
        <v>449</v>
      </c>
      <c r="B70" s="155">
        <f>SUM('TRANSFERENCIA CORRIENTE'!C71:E71)</f>
        <v>0</v>
      </c>
      <c r="C70" s="155">
        <f>SUM('TRANSFERENCIA CORRIENTE'!F71:H71)</f>
        <v>0</v>
      </c>
      <c r="D70" s="155">
        <f>SUM('TRANSFERENCIA CORRIENTE'!I71:K71)</f>
        <v>0</v>
      </c>
      <c r="E70" s="155">
        <f>SUM('TRANSFERENCIA CORRIENTE'!L71:N71)</f>
        <v>0</v>
      </c>
      <c r="F70" s="610"/>
      <c r="G70" s="155">
        <f>SUM(VS!C71:E71)</f>
        <v>0</v>
      </c>
      <c r="H70" s="155">
        <f>SUM(VS!F71:H71)</f>
        <v>0</v>
      </c>
      <c r="I70" s="155">
        <f>SUM(VS!I71:K71)</f>
        <v>0</v>
      </c>
      <c r="J70" s="156">
        <f>SUM(VS!L71:N71)</f>
        <v>0</v>
      </c>
      <c r="K70" s="610"/>
      <c r="L70" s="157">
        <f t="shared" si="9"/>
        <v>0</v>
      </c>
      <c r="M70" s="157">
        <f t="shared" si="10"/>
        <v>0</v>
      </c>
      <c r="N70" s="157">
        <f t="shared" si="10"/>
        <v>0</v>
      </c>
      <c r="O70" s="157">
        <f t="shared" si="10"/>
        <v>0</v>
      </c>
    </row>
    <row r="71" spans="1:15" x14ac:dyDescent="0.3">
      <c r="A71" s="139" t="s">
        <v>448</v>
      </c>
      <c r="B71" s="155">
        <f>SUM('TRANSFERENCIA CORRIENTE'!C72:E72)</f>
        <v>0</v>
      </c>
      <c r="C71" s="155">
        <f>SUM('TRANSFERENCIA CORRIENTE'!F72:H72)</f>
        <v>0</v>
      </c>
      <c r="D71" s="155">
        <f>SUM('TRANSFERENCIA CORRIENTE'!I72:K72)</f>
        <v>0</v>
      </c>
      <c r="E71" s="155">
        <f>SUM('TRANSFERENCIA CORRIENTE'!L72:N72)</f>
        <v>0</v>
      </c>
      <c r="F71" s="610"/>
      <c r="G71" s="155"/>
      <c r="H71" s="155">
        <f>SUM(VS!F72:H72)</f>
        <v>0</v>
      </c>
      <c r="I71" s="155">
        <f>SUM(VS!I72:K72)</f>
        <v>0</v>
      </c>
      <c r="J71" s="156">
        <f>SUM(VS!L72:N72)</f>
        <v>0</v>
      </c>
      <c r="K71" s="610"/>
      <c r="L71" s="157">
        <f t="shared" si="9"/>
        <v>0</v>
      </c>
      <c r="M71" s="157">
        <f t="shared" si="10"/>
        <v>0</v>
      </c>
      <c r="N71" s="157">
        <f t="shared" si="10"/>
        <v>0</v>
      </c>
      <c r="O71" s="157">
        <f t="shared" si="10"/>
        <v>0</v>
      </c>
    </row>
    <row r="72" spans="1:15" s="158" customFormat="1" x14ac:dyDescent="0.3">
      <c r="A72" s="145" t="s">
        <v>447</v>
      </c>
      <c r="B72" s="153">
        <f>+B8+B14+B24+B34+B42+B50+B60+B65+B68</f>
        <v>70061780.310000002</v>
      </c>
      <c r="C72" s="153">
        <f>+C8+C14+C24+C34+C42+C50+C60+C65+C68</f>
        <v>0</v>
      </c>
      <c r="D72" s="153">
        <f>+D8+D14+D24+D34+D42+D50+D60+D65+D68</f>
        <v>0</v>
      </c>
      <c r="E72" s="153">
        <f>+E8+E14+E24+E34+E42+E50+E60+E65+E68</f>
        <v>0</v>
      </c>
      <c r="F72" s="610"/>
      <c r="G72" s="153">
        <f>+G8+G14+G24+G34+G42+G50+G60+G65+G68</f>
        <v>6821436.5000000009</v>
      </c>
      <c r="H72" s="153">
        <f>+H8+H14+H24+H34+H42+H50+H60+H65+H68</f>
        <v>0</v>
      </c>
      <c r="I72" s="153">
        <f>+I8+I14+I24+I34+I42+I50+I60+I65+I68</f>
        <v>0</v>
      </c>
      <c r="J72" s="153">
        <f>+J8+J14+J24+J34+J42+J50+J60+J65+J68</f>
        <v>0</v>
      </c>
      <c r="K72" s="610"/>
      <c r="L72" s="159">
        <f t="shared" si="9"/>
        <v>76883216.810000002</v>
      </c>
      <c r="M72" s="159">
        <f t="shared" si="10"/>
        <v>0</v>
      </c>
      <c r="N72" s="159">
        <f t="shared" si="10"/>
        <v>0</v>
      </c>
      <c r="O72" s="159">
        <f t="shared" si="10"/>
        <v>0</v>
      </c>
    </row>
    <row r="73" spans="1:15" x14ac:dyDescent="0.3">
      <c r="A73" s="141" t="s">
        <v>446</v>
      </c>
      <c r="B73" s="155">
        <f>SUM('TRANSFERENCIA CORRIENTE'!C74:E74)</f>
        <v>0</v>
      </c>
      <c r="C73" s="155">
        <f>SUM('TRANSFERENCIA CORRIENTE'!F74:H74)</f>
        <v>0</v>
      </c>
      <c r="D73" s="155">
        <f>SUM('TRANSFERENCIA CORRIENTE'!I74:K74)</f>
        <v>0</v>
      </c>
      <c r="E73" s="155">
        <f>SUM('TRANSFERENCIA CORRIENTE'!L74:N74)</f>
        <v>0</v>
      </c>
      <c r="F73" s="610"/>
      <c r="G73" s="155">
        <f>SUM(VS!C74:E74)</f>
        <v>0</v>
      </c>
      <c r="H73" s="155">
        <f>SUM(VS!F74:H74)</f>
        <v>0</v>
      </c>
      <c r="I73" s="155">
        <f>SUM(VS!I74:K74)</f>
        <v>0</v>
      </c>
      <c r="J73" s="156">
        <f>SUM(VS!L74:N74)</f>
        <v>0</v>
      </c>
      <c r="K73" s="610"/>
      <c r="L73" s="157">
        <f t="shared" ref="L73:L81" si="11">SUM(B73+G73)</f>
        <v>0</v>
      </c>
      <c r="M73" s="157">
        <f t="shared" si="10"/>
        <v>0</v>
      </c>
      <c r="N73" s="157">
        <f t="shared" si="10"/>
        <v>0</v>
      </c>
      <c r="O73" s="157">
        <f t="shared" si="10"/>
        <v>0</v>
      </c>
    </row>
    <row r="74" spans="1:15" x14ac:dyDescent="0.3">
      <c r="A74" s="141" t="s">
        <v>445</v>
      </c>
      <c r="B74" s="155">
        <f>SUM('TRANSFERENCIA CORRIENTE'!C75:E75)</f>
        <v>0</v>
      </c>
      <c r="C74" s="155">
        <f>SUM('TRANSFERENCIA CORRIENTE'!F75:H75)</f>
        <v>0</v>
      </c>
      <c r="D74" s="155">
        <f>SUM('TRANSFERENCIA CORRIENTE'!I75:K75)</f>
        <v>0</v>
      </c>
      <c r="E74" s="155">
        <f>SUM('TRANSFERENCIA CORRIENTE'!L75:N75)</f>
        <v>0</v>
      </c>
      <c r="F74" s="610"/>
      <c r="G74" s="155">
        <f>SUM(VS!C75:E75)</f>
        <v>0</v>
      </c>
      <c r="H74" s="155">
        <f>SUM(VS!F75:H75)</f>
        <v>0</v>
      </c>
      <c r="I74" s="155">
        <f>SUM(VS!I75:K75)</f>
        <v>0</v>
      </c>
      <c r="J74" s="156">
        <f>SUM(VS!L75:N75)</f>
        <v>0</v>
      </c>
      <c r="K74" s="610"/>
      <c r="L74" s="157">
        <f t="shared" si="11"/>
        <v>0</v>
      </c>
      <c r="M74" s="157">
        <f t="shared" si="10"/>
        <v>0</v>
      </c>
      <c r="N74" s="157">
        <f t="shared" si="10"/>
        <v>0</v>
      </c>
      <c r="O74" s="157">
        <f t="shared" si="10"/>
        <v>0</v>
      </c>
    </row>
    <row r="75" spans="1:15" x14ac:dyDescent="0.3">
      <c r="A75" s="139" t="s">
        <v>444</v>
      </c>
      <c r="B75" s="155">
        <f>SUM('TRANSFERENCIA CORRIENTE'!C76:E76)</f>
        <v>0</v>
      </c>
      <c r="C75" s="155">
        <f>SUM('TRANSFERENCIA CORRIENTE'!F76:H76)</f>
        <v>0</v>
      </c>
      <c r="D75" s="155">
        <f>SUM('TRANSFERENCIA CORRIENTE'!I76:K76)</f>
        <v>0</v>
      </c>
      <c r="E75" s="155">
        <f>SUM('TRANSFERENCIA CORRIENTE'!L76:N76)</f>
        <v>0</v>
      </c>
      <c r="F75" s="610"/>
      <c r="G75" s="155">
        <f>SUM(VS!C76:E76)</f>
        <v>0</v>
      </c>
      <c r="H75" s="155">
        <f>SUM(VS!F76:H76)</f>
        <v>0</v>
      </c>
      <c r="I75" s="155">
        <f>SUM(VS!I76:K76)</f>
        <v>0</v>
      </c>
      <c r="J75" s="156">
        <f>SUM(VS!L76:N76)</f>
        <v>0</v>
      </c>
      <c r="K75" s="610"/>
      <c r="L75" s="157">
        <f t="shared" si="11"/>
        <v>0</v>
      </c>
      <c r="M75" s="157">
        <f t="shared" si="10"/>
        <v>0</v>
      </c>
      <c r="N75" s="157">
        <f t="shared" si="10"/>
        <v>0</v>
      </c>
      <c r="O75" s="157">
        <f t="shared" si="10"/>
        <v>0</v>
      </c>
    </row>
    <row r="76" spans="1:15" x14ac:dyDescent="0.3">
      <c r="A76" s="139" t="s">
        <v>443</v>
      </c>
      <c r="B76" s="155">
        <f>SUM('TRANSFERENCIA CORRIENTE'!C77:E77)</f>
        <v>0</v>
      </c>
      <c r="C76" s="155">
        <f>SUM('TRANSFERENCIA CORRIENTE'!F77:H77)</f>
        <v>0</v>
      </c>
      <c r="D76" s="155">
        <f>SUM('TRANSFERENCIA CORRIENTE'!I77:K77)</f>
        <v>0</v>
      </c>
      <c r="E76" s="155">
        <f>SUM('TRANSFERENCIA CORRIENTE'!L77:N77)</f>
        <v>0</v>
      </c>
      <c r="F76" s="610"/>
      <c r="G76" s="155">
        <f>SUM(VS!C77:E77)</f>
        <v>0</v>
      </c>
      <c r="H76" s="155">
        <f>SUM(VS!F77:H77)</f>
        <v>0</v>
      </c>
      <c r="I76" s="155">
        <f>SUM(VS!I77:K77)</f>
        <v>0</v>
      </c>
      <c r="J76" s="156">
        <f>SUM(VS!L77:N77)</f>
        <v>0</v>
      </c>
      <c r="K76" s="610"/>
      <c r="L76" s="157">
        <f t="shared" si="11"/>
        <v>0</v>
      </c>
      <c r="M76" s="157">
        <f t="shared" si="10"/>
        <v>0</v>
      </c>
      <c r="N76" s="157">
        <f t="shared" si="10"/>
        <v>0</v>
      </c>
      <c r="O76" s="157">
        <f t="shared" si="10"/>
        <v>0</v>
      </c>
    </row>
    <row r="77" spans="1:15" x14ac:dyDescent="0.3">
      <c r="A77" s="141" t="s">
        <v>442</v>
      </c>
      <c r="B77" s="155">
        <f>SUM('TRANSFERENCIA CORRIENTE'!C78:E78)</f>
        <v>0</v>
      </c>
      <c r="C77" s="155">
        <f>SUM('TRANSFERENCIA CORRIENTE'!F78:H78)</f>
        <v>0</v>
      </c>
      <c r="D77" s="155">
        <f>SUM('TRANSFERENCIA CORRIENTE'!I78:K78)</f>
        <v>0</v>
      </c>
      <c r="E77" s="155">
        <f>SUM('TRANSFERENCIA CORRIENTE'!L78:N78)</f>
        <v>0</v>
      </c>
      <c r="F77" s="610"/>
      <c r="G77" s="155">
        <f>SUM(VS!C78:E78)</f>
        <v>0</v>
      </c>
      <c r="H77" s="155">
        <f>SUM(VS!F78:H78)</f>
        <v>0</v>
      </c>
      <c r="I77" s="155">
        <f>SUM(VS!I78:K78)</f>
        <v>0</v>
      </c>
      <c r="J77" s="156">
        <f>SUM(VS!L78:N78)</f>
        <v>0</v>
      </c>
      <c r="K77" s="610"/>
      <c r="L77" s="157">
        <f t="shared" si="11"/>
        <v>0</v>
      </c>
      <c r="M77" s="157">
        <f t="shared" si="10"/>
        <v>0</v>
      </c>
      <c r="N77" s="157">
        <f t="shared" si="10"/>
        <v>0</v>
      </c>
      <c r="O77" s="157">
        <f t="shared" si="10"/>
        <v>0</v>
      </c>
    </row>
    <row r="78" spans="1:15" x14ac:dyDescent="0.3">
      <c r="A78" s="139" t="s">
        <v>441</v>
      </c>
      <c r="B78" s="155">
        <f>SUM('TRANSFERENCIA CORRIENTE'!C79:E79)</f>
        <v>0</v>
      </c>
      <c r="C78" s="155">
        <f>SUM('TRANSFERENCIA CORRIENTE'!F79:H79)</f>
        <v>0</v>
      </c>
      <c r="D78" s="155">
        <f>SUM('TRANSFERENCIA CORRIENTE'!I79:K79)</f>
        <v>0</v>
      </c>
      <c r="E78" s="155">
        <f>SUM('TRANSFERENCIA CORRIENTE'!L79:N79)</f>
        <v>0</v>
      </c>
      <c r="F78" s="610"/>
      <c r="G78" s="155">
        <f>SUM(VS!C79:E79)</f>
        <v>0</v>
      </c>
      <c r="H78" s="155">
        <f>SUM(VS!F79:H79)</f>
        <v>0</v>
      </c>
      <c r="I78" s="155">
        <f>SUM(VS!I79:K79)</f>
        <v>0</v>
      </c>
      <c r="J78" s="156">
        <f>SUM(VS!L79:N79)</f>
        <v>0</v>
      </c>
      <c r="K78" s="610"/>
      <c r="L78" s="157">
        <f t="shared" si="11"/>
        <v>0</v>
      </c>
      <c r="M78" s="157">
        <f t="shared" si="10"/>
        <v>0</v>
      </c>
      <c r="N78" s="157">
        <f t="shared" si="10"/>
        <v>0</v>
      </c>
      <c r="O78" s="157">
        <f t="shared" si="10"/>
        <v>0</v>
      </c>
    </row>
    <row r="79" spans="1:15" x14ac:dyDescent="0.3">
      <c r="A79" s="139" t="s">
        <v>440</v>
      </c>
      <c r="B79" s="155">
        <f>SUM('TRANSFERENCIA CORRIENTE'!C80:E80)</f>
        <v>0</v>
      </c>
      <c r="C79" s="155">
        <f>SUM('TRANSFERENCIA CORRIENTE'!F80:H80)</f>
        <v>0</v>
      </c>
      <c r="D79" s="155">
        <f>SUM('TRANSFERENCIA CORRIENTE'!I80:K80)</f>
        <v>0</v>
      </c>
      <c r="E79" s="155">
        <f>SUM('TRANSFERENCIA CORRIENTE'!L80:N80)</f>
        <v>0</v>
      </c>
      <c r="F79" s="610"/>
      <c r="G79" s="155">
        <f>SUM(VS!C80:E80)</f>
        <v>0</v>
      </c>
      <c r="H79" s="155">
        <f>SUM(VS!F80:H80)</f>
        <v>0</v>
      </c>
      <c r="I79" s="155">
        <f>SUM(VS!I80:K80)</f>
        <v>0</v>
      </c>
      <c r="J79" s="156">
        <f>SUM(VS!L80:N80)</f>
        <v>0</v>
      </c>
      <c r="K79" s="610"/>
      <c r="L79" s="157">
        <f t="shared" si="11"/>
        <v>0</v>
      </c>
      <c r="M79" s="157">
        <f t="shared" si="10"/>
        <v>0</v>
      </c>
      <c r="N79" s="157">
        <f t="shared" si="10"/>
        <v>0</v>
      </c>
      <c r="O79" s="157">
        <f t="shared" si="10"/>
        <v>0</v>
      </c>
    </row>
    <row r="80" spans="1:15" x14ac:dyDescent="0.3">
      <c r="A80" s="141" t="s">
        <v>439</v>
      </c>
      <c r="B80" s="155">
        <f>SUM('TRANSFERENCIA CORRIENTE'!C81:E81)</f>
        <v>0</v>
      </c>
      <c r="C80" s="155">
        <f>SUM('TRANSFERENCIA CORRIENTE'!F81:H81)</f>
        <v>0</v>
      </c>
      <c r="D80" s="155">
        <f>SUM('TRANSFERENCIA CORRIENTE'!I81:K81)</f>
        <v>0</v>
      </c>
      <c r="E80" s="155">
        <f>SUM('TRANSFERENCIA CORRIENTE'!L81:N81)</f>
        <v>0</v>
      </c>
      <c r="F80" s="610"/>
      <c r="G80" s="155">
        <f>SUM(VS!C81:E81)</f>
        <v>0</v>
      </c>
      <c r="H80" s="155">
        <f>SUM(VS!F81:H81)</f>
        <v>0</v>
      </c>
      <c r="I80" s="155">
        <f>SUM(VS!I81:K81)</f>
        <v>0</v>
      </c>
      <c r="J80" s="156">
        <f>SUM(VS!L81:N81)</f>
        <v>0</v>
      </c>
      <c r="K80" s="610"/>
      <c r="L80" s="157">
        <f t="shared" si="11"/>
        <v>0</v>
      </c>
      <c r="M80" s="157">
        <f t="shared" si="10"/>
        <v>0</v>
      </c>
      <c r="N80" s="157">
        <f t="shared" si="10"/>
        <v>0</v>
      </c>
      <c r="O80" s="157">
        <f t="shared" si="10"/>
        <v>0</v>
      </c>
    </row>
    <row r="81" spans="1:15" x14ac:dyDescent="0.3">
      <c r="A81" s="139" t="s">
        <v>438</v>
      </c>
      <c r="B81" s="155">
        <f>SUM('TRANSFERENCIA CORRIENTE'!C82:E82)</f>
        <v>0</v>
      </c>
      <c r="C81" s="155">
        <f>SUM('TRANSFERENCIA CORRIENTE'!F82:H82)</f>
        <v>0</v>
      </c>
      <c r="D81" s="155">
        <f>SUM('TRANSFERENCIA CORRIENTE'!I82:K82)</f>
        <v>0</v>
      </c>
      <c r="E81" s="155">
        <f>SUM('TRANSFERENCIA CORRIENTE'!L82:N82)</f>
        <v>0</v>
      </c>
      <c r="F81" s="610"/>
      <c r="G81" s="155">
        <f>SUM(VS!C82:E82)</f>
        <v>0</v>
      </c>
      <c r="H81" s="155">
        <f>SUM(VS!F82:H82)</f>
        <v>0</v>
      </c>
      <c r="I81" s="155">
        <f>SUM(VS!I82:K82)</f>
        <v>0</v>
      </c>
      <c r="J81" s="156">
        <f>SUM(VS!L82:N82)</f>
        <v>0</v>
      </c>
      <c r="K81" s="610"/>
      <c r="L81" s="157">
        <f t="shared" si="11"/>
        <v>0</v>
      </c>
      <c r="M81" s="157">
        <f t="shared" si="10"/>
        <v>0</v>
      </c>
      <c r="N81" s="157">
        <f t="shared" si="10"/>
        <v>0</v>
      </c>
      <c r="O81" s="157">
        <f t="shared" si="10"/>
        <v>0</v>
      </c>
    </row>
    <row r="82" spans="1:15" s="158" customFormat="1" x14ac:dyDescent="0.3">
      <c r="A82" s="145" t="s">
        <v>437</v>
      </c>
      <c r="B82" s="153">
        <f>SUM(B83)</f>
        <v>70061780.310000002</v>
      </c>
      <c r="C82" s="153">
        <f>SUM(C83)</f>
        <v>0</v>
      </c>
      <c r="D82" s="153">
        <f>SUM(D83)</f>
        <v>0</v>
      </c>
      <c r="E82" s="153">
        <f>SUM(E83)</f>
        <v>0</v>
      </c>
      <c r="F82" s="610"/>
      <c r="G82" s="153">
        <f>SUM(G83)</f>
        <v>6821436.5000000009</v>
      </c>
      <c r="H82" s="153">
        <f>SUM(H83)</f>
        <v>0</v>
      </c>
      <c r="I82" s="153">
        <f>SUM(I83)</f>
        <v>0</v>
      </c>
      <c r="J82" s="153">
        <f>SUM(J83)</f>
        <v>0</v>
      </c>
      <c r="K82" s="610"/>
      <c r="L82" s="159">
        <f>SUM(B82+G82)</f>
        <v>76883216.810000002</v>
      </c>
      <c r="M82" s="159">
        <f t="shared" si="10"/>
        <v>0</v>
      </c>
      <c r="N82" s="159">
        <f t="shared" si="10"/>
        <v>0</v>
      </c>
      <c r="O82" s="159">
        <f t="shared" si="10"/>
        <v>0</v>
      </c>
    </row>
    <row r="83" spans="1:15" ht="15.6" x14ac:dyDescent="0.3">
      <c r="A83" s="160" t="s">
        <v>436</v>
      </c>
      <c r="B83" s="155">
        <f>SUM('TRANSFERENCIA CORRIENTE'!C85:E85)</f>
        <v>70061780.310000002</v>
      </c>
      <c r="C83" s="155">
        <f>SUM('TRANSFERENCIA CORRIENTE'!F85:H85)</f>
        <v>0</v>
      </c>
      <c r="D83" s="155">
        <f>SUM('TRANSFERENCIA CORRIENTE'!I85:K85)</f>
        <v>0</v>
      </c>
      <c r="E83" s="155">
        <f>SUM('TRANSFERENCIA CORRIENTE'!L85:N85)</f>
        <v>0</v>
      </c>
      <c r="F83" s="611"/>
      <c r="G83" s="155">
        <f>SUM(VS!C85:E85)</f>
        <v>6821436.5000000009</v>
      </c>
      <c r="H83" s="155">
        <f>SUM(VS!F85:H85)</f>
        <v>0</v>
      </c>
      <c r="I83" s="155">
        <f>SUM(VS!I85:K85)</f>
        <v>0</v>
      </c>
      <c r="J83" s="155">
        <f>SUM(VS!L85:N85)</f>
        <v>0</v>
      </c>
      <c r="K83" s="611"/>
      <c r="L83" s="157">
        <f>SUM(B83+G83)</f>
        <v>76883216.810000002</v>
      </c>
      <c r="M83" s="157">
        <f>SUM(C83+H83)</f>
        <v>0</v>
      </c>
      <c r="N83" s="157">
        <f>SUM(D83+I83)</f>
        <v>0</v>
      </c>
      <c r="O83" s="157">
        <f>SUM(E83+J83)</f>
        <v>0</v>
      </c>
    </row>
    <row r="85" spans="1:15" x14ac:dyDescent="0.3">
      <c r="B85" s="187"/>
      <c r="D85" s="314"/>
    </row>
    <row r="86" spans="1:15" x14ac:dyDescent="0.3">
      <c r="B86" s="187"/>
    </row>
    <row r="87" spans="1:15" x14ac:dyDescent="0.3">
      <c r="B87" s="187"/>
      <c r="D87" s="187"/>
    </row>
    <row r="88" spans="1:15" x14ac:dyDescent="0.3">
      <c r="B88" s="187"/>
      <c r="C88" s="187"/>
    </row>
    <row r="89" spans="1:15" x14ac:dyDescent="0.3">
      <c r="D89" s="314"/>
    </row>
    <row r="91" spans="1:15" x14ac:dyDescent="0.3">
      <c r="D91" s="170"/>
    </row>
    <row r="92" spans="1:15" x14ac:dyDescent="0.3">
      <c r="D92" s="187"/>
    </row>
    <row r="93" spans="1:15" x14ac:dyDescent="0.3">
      <c r="D93" s="187"/>
    </row>
    <row r="94" spans="1:15" x14ac:dyDescent="0.3">
      <c r="D94" s="187"/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8"/>
  <sheetViews>
    <sheetView view="pageBreakPreview" topLeftCell="B1" zoomScale="64" zoomScaleNormal="90" zoomScaleSheetLayoutView="64" workbookViewId="0">
      <selection activeCell="E15" sqref="E15"/>
    </sheetView>
  </sheetViews>
  <sheetFormatPr baseColWidth="10" defaultColWidth="9.109375" defaultRowHeight="14.4" x14ac:dyDescent="0.3"/>
  <cols>
    <col min="1" max="1" width="52.6640625" customWidth="1"/>
    <col min="2" max="2" width="18.88671875" bestFit="1" customWidth="1"/>
    <col min="3" max="3" width="17.6640625" bestFit="1" customWidth="1"/>
    <col min="4" max="9" width="14.5546875" bestFit="1" customWidth="1"/>
    <col min="10" max="12" width="14.5546875" hidden="1" customWidth="1"/>
    <col min="13" max="14" width="15.6640625" hidden="1" customWidth="1"/>
  </cols>
  <sheetData>
    <row r="1" spans="1:14" ht="18" x14ac:dyDescent="0.3">
      <c r="A1" s="616" t="s">
        <v>77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</row>
    <row r="2" spans="1:14" ht="18" x14ac:dyDescent="0.3">
      <c r="A2" s="616" t="s">
        <v>611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</row>
    <row r="3" spans="1:14" ht="18" x14ac:dyDescent="0.3">
      <c r="A3" s="616" t="s">
        <v>640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</row>
    <row r="4" spans="1:14" ht="15.6" x14ac:dyDescent="0.3">
      <c r="A4" s="617" t="s">
        <v>537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617"/>
      <c r="N4" s="617"/>
    </row>
    <row r="5" spans="1:14" x14ac:dyDescent="0.3">
      <c r="A5" s="618" t="s">
        <v>527</v>
      </c>
      <c r="B5" s="618"/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x14ac:dyDescent="0.3">
      <c r="A6" s="170"/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</row>
    <row r="7" spans="1:14" ht="15.6" x14ac:dyDescent="0.3">
      <c r="A7" s="308" t="s">
        <v>526</v>
      </c>
      <c r="B7" s="309" t="s">
        <v>525</v>
      </c>
      <c r="C7" s="309" t="s">
        <v>524</v>
      </c>
      <c r="D7" s="309" t="s">
        <v>523</v>
      </c>
      <c r="E7" s="309" t="s">
        <v>522</v>
      </c>
      <c r="F7" s="309" t="s">
        <v>521</v>
      </c>
      <c r="G7" s="309" t="s">
        <v>520</v>
      </c>
      <c r="H7" s="309" t="s">
        <v>519</v>
      </c>
      <c r="I7" s="309" t="s">
        <v>518</v>
      </c>
      <c r="J7" s="309" t="s">
        <v>517</v>
      </c>
      <c r="K7" s="309" t="s">
        <v>516</v>
      </c>
      <c r="L7" s="309" t="s">
        <v>515</v>
      </c>
      <c r="M7" s="309" t="s">
        <v>514</v>
      </c>
      <c r="N7" s="309" t="s">
        <v>513</v>
      </c>
    </row>
    <row r="8" spans="1:14" x14ac:dyDescent="0.3">
      <c r="A8" s="146" t="s">
        <v>512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</row>
    <row r="9" spans="1:14" x14ac:dyDescent="0.3">
      <c r="A9" s="310" t="s">
        <v>511</v>
      </c>
      <c r="B9" s="283">
        <f>SUM(C9:N9)</f>
        <v>65091179.920000002</v>
      </c>
      <c r="C9" s="143">
        <f t="shared" ref="C9:N9" si="0">SUM(C10:C14)</f>
        <v>65091179.920000002</v>
      </c>
      <c r="D9" s="143">
        <f t="shared" si="0"/>
        <v>0</v>
      </c>
      <c r="E9" s="143">
        <f t="shared" si="0"/>
        <v>0</v>
      </c>
      <c r="F9" s="143">
        <f t="shared" si="0"/>
        <v>0</v>
      </c>
      <c r="G9" s="143">
        <f t="shared" si="0"/>
        <v>0</v>
      </c>
      <c r="H9" s="143">
        <f t="shared" si="0"/>
        <v>0</v>
      </c>
      <c r="I9" s="143">
        <f t="shared" si="0"/>
        <v>0</v>
      </c>
      <c r="J9" s="143">
        <f t="shared" si="0"/>
        <v>0</v>
      </c>
      <c r="K9" s="143">
        <f t="shared" si="0"/>
        <v>0</v>
      </c>
      <c r="L9" s="143">
        <f t="shared" si="0"/>
        <v>0</v>
      </c>
      <c r="M9" s="143">
        <f t="shared" si="0"/>
        <v>0</v>
      </c>
      <c r="N9" s="143">
        <f t="shared" si="0"/>
        <v>0</v>
      </c>
    </row>
    <row r="10" spans="1:14" x14ac:dyDescent="0.3">
      <c r="A10" s="311" t="s">
        <v>510</v>
      </c>
      <c r="B10" s="142">
        <f t="shared" ref="B10:B40" si="1">SUM(C10:N10)</f>
        <v>53640338.710000001</v>
      </c>
      <c r="C10" s="138">
        <v>53640338.710000001</v>
      </c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14" x14ac:dyDescent="0.3">
      <c r="A11" s="311" t="s">
        <v>509</v>
      </c>
      <c r="B11" s="142">
        <f t="shared" si="1"/>
        <v>3196999.6</v>
      </c>
      <c r="C11" s="138">
        <v>3196999.6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</row>
    <row r="12" spans="1:14" x14ac:dyDescent="0.3">
      <c r="A12" s="311" t="s">
        <v>508</v>
      </c>
      <c r="B12" s="142">
        <f t="shared" si="1"/>
        <v>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</row>
    <row r="13" spans="1:14" x14ac:dyDescent="0.3">
      <c r="A13" s="311" t="s">
        <v>507</v>
      </c>
      <c r="B13" s="142">
        <f t="shared" si="1"/>
        <v>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</row>
    <row r="14" spans="1:14" x14ac:dyDescent="0.3">
      <c r="A14" s="311" t="s">
        <v>506</v>
      </c>
      <c r="B14" s="142">
        <f t="shared" si="1"/>
        <v>8253841.6100000003</v>
      </c>
      <c r="C14" s="138">
        <v>8253841.6100000003</v>
      </c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</row>
    <row r="15" spans="1:14" x14ac:dyDescent="0.3">
      <c r="A15" s="310" t="s">
        <v>505</v>
      </c>
      <c r="B15" s="283">
        <f t="shared" si="1"/>
        <v>0</v>
      </c>
      <c r="C15" s="143">
        <f t="shared" ref="C15:N15" si="2">SUM(C16:C24)</f>
        <v>0</v>
      </c>
      <c r="D15" s="143">
        <f t="shared" si="2"/>
        <v>0</v>
      </c>
      <c r="E15" s="143">
        <f t="shared" si="2"/>
        <v>0</v>
      </c>
      <c r="F15" s="143">
        <f t="shared" si="2"/>
        <v>0</v>
      </c>
      <c r="G15" s="143">
        <f t="shared" si="2"/>
        <v>0</v>
      </c>
      <c r="H15" s="143">
        <f t="shared" si="2"/>
        <v>0</v>
      </c>
      <c r="I15" s="143">
        <f t="shared" si="2"/>
        <v>0</v>
      </c>
      <c r="J15" s="143">
        <f t="shared" si="2"/>
        <v>0</v>
      </c>
      <c r="K15" s="143">
        <f t="shared" si="2"/>
        <v>0</v>
      </c>
      <c r="L15" s="143">
        <f t="shared" si="2"/>
        <v>0</v>
      </c>
      <c r="M15" s="143">
        <f t="shared" si="2"/>
        <v>0</v>
      </c>
      <c r="N15" s="143">
        <f t="shared" si="2"/>
        <v>0</v>
      </c>
    </row>
    <row r="16" spans="1:14" x14ac:dyDescent="0.3">
      <c r="A16" s="311" t="s">
        <v>504</v>
      </c>
      <c r="B16" s="142">
        <f t="shared" si="1"/>
        <v>0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</row>
    <row r="17" spans="1:14" x14ac:dyDescent="0.3">
      <c r="A17" s="311" t="s">
        <v>503</v>
      </c>
      <c r="B17" s="142">
        <f t="shared" si="1"/>
        <v>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</row>
    <row r="18" spans="1:14" x14ac:dyDescent="0.3">
      <c r="A18" s="311" t="s">
        <v>502</v>
      </c>
      <c r="B18" s="142">
        <f t="shared" si="1"/>
        <v>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</row>
    <row r="19" spans="1:14" x14ac:dyDescent="0.3">
      <c r="A19" s="311" t="s">
        <v>501</v>
      </c>
      <c r="B19" s="142">
        <f t="shared" si="1"/>
        <v>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</row>
    <row r="20" spans="1:14" x14ac:dyDescent="0.3">
      <c r="A20" s="311" t="s">
        <v>500</v>
      </c>
      <c r="B20" s="142">
        <f t="shared" si="1"/>
        <v>0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</row>
    <row r="21" spans="1:14" x14ac:dyDescent="0.3">
      <c r="A21" s="311" t="s">
        <v>499</v>
      </c>
      <c r="B21" s="142">
        <f t="shared" si="1"/>
        <v>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</row>
    <row r="22" spans="1:14" ht="28.8" x14ac:dyDescent="0.3">
      <c r="A22" s="311" t="s">
        <v>498</v>
      </c>
      <c r="B22" s="142">
        <f t="shared" si="1"/>
        <v>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</row>
    <row r="23" spans="1:14" ht="28.8" x14ac:dyDescent="0.3">
      <c r="A23" s="311" t="s">
        <v>497</v>
      </c>
      <c r="B23" s="142">
        <f t="shared" si="1"/>
        <v>0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1:14" x14ac:dyDescent="0.3">
      <c r="A24" s="311" t="s">
        <v>496</v>
      </c>
      <c r="B24" s="142">
        <f t="shared" si="1"/>
        <v>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1:14" x14ac:dyDescent="0.3">
      <c r="A25" s="310" t="s">
        <v>495</v>
      </c>
      <c r="B25" s="283">
        <f t="shared" si="1"/>
        <v>4970600.3900000006</v>
      </c>
      <c r="C25" s="143">
        <f t="shared" ref="C25:N25" si="3">SUM(C26:C34)</f>
        <v>4970600.3900000006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  <c r="H25" s="143">
        <f t="shared" si="3"/>
        <v>0</v>
      </c>
      <c r="I25" s="143">
        <f t="shared" si="3"/>
        <v>0</v>
      </c>
      <c r="J25" s="143">
        <f t="shared" si="3"/>
        <v>0</v>
      </c>
      <c r="K25" s="143">
        <f t="shared" si="3"/>
        <v>0</v>
      </c>
      <c r="L25" s="143">
        <f t="shared" si="3"/>
        <v>0</v>
      </c>
      <c r="M25" s="143">
        <f t="shared" si="3"/>
        <v>0</v>
      </c>
      <c r="N25" s="143">
        <f t="shared" si="3"/>
        <v>0</v>
      </c>
    </row>
    <row r="26" spans="1:14" x14ac:dyDescent="0.3">
      <c r="A26" s="311" t="s">
        <v>494</v>
      </c>
      <c r="B26" s="368">
        <f t="shared" si="1"/>
        <v>0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1:14" x14ac:dyDescent="0.3">
      <c r="A27" s="311" t="s">
        <v>493</v>
      </c>
      <c r="B27" s="368">
        <f t="shared" si="1"/>
        <v>0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 spans="1:14" x14ac:dyDescent="0.3">
      <c r="A28" s="311" t="s">
        <v>492</v>
      </c>
      <c r="B28" s="368">
        <f t="shared" si="1"/>
        <v>0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1:14" x14ac:dyDescent="0.3">
      <c r="A29" s="311" t="s">
        <v>491</v>
      </c>
      <c r="B29" s="368">
        <f t="shared" si="1"/>
        <v>1862880</v>
      </c>
      <c r="C29" s="138">
        <v>1862880</v>
      </c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1:14" x14ac:dyDescent="0.3">
      <c r="A30" s="311" t="s">
        <v>490</v>
      </c>
      <c r="B30" s="368">
        <f t="shared" si="1"/>
        <v>0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</row>
    <row r="31" spans="1:14" ht="28.8" x14ac:dyDescent="0.3">
      <c r="A31" s="311" t="s">
        <v>489</v>
      </c>
      <c r="B31" s="368">
        <f t="shared" si="1"/>
        <v>0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</row>
    <row r="32" spans="1:14" ht="28.8" x14ac:dyDescent="0.3">
      <c r="A32" s="311" t="s">
        <v>488</v>
      </c>
      <c r="B32" s="368">
        <f t="shared" si="1"/>
        <v>1844663.41</v>
      </c>
      <c r="C32" s="138">
        <v>1844663.41</v>
      </c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3" spans="1:14" ht="28.8" x14ac:dyDescent="0.3">
      <c r="A33" s="311" t="s">
        <v>487</v>
      </c>
      <c r="B33" s="368">
        <f t="shared" si="1"/>
        <v>0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1:14" x14ac:dyDescent="0.3">
      <c r="A34" s="311" t="s">
        <v>486</v>
      </c>
      <c r="B34" s="368">
        <f t="shared" si="1"/>
        <v>1263056.98</v>
      </c>
      <c r="C34" s="138">
        <v>1263056.98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1:14" x14ac:dyDescent="0.3">
      <c r="A35" s="310" t="s">
        <v>485</v>
      </c>
      <c r="B35" s="144">
        <f t="shared" si="1"/>
        <v>0</v>
      </c>
      <c r="C35" s="143">
        <f t="shared" ref="C35:N35" si="4">SUM(C36:C42)</f>
        <v>0</v>
      </c>
      <c r="D35" s="143">
        <f t="shared" si="4"/>
        <v>0</v>
      </c>
      <c r="E35" s="143">
        <f t="shared" si="4"/>
        <v>0</v>
      </c>
      <c r="F35" s="143">
        <f t="shared" si="4"/>
        <v>0</v>
      </c>
      <c r="G35" s="143">
        <f t="shared" si="4"/>
        <v>0</v>
      </c>
      <c r="H35" s="143">
        <f t="shared" si="4"/>
        <v>0</v>
      </c>
      <c r="I35" s="143">
        <f t="shared" si="4"/>
        <v>0</v>
      </c>
      <c r="J35" s="143">
        <f t="shared" si="4"/>
        <v>0</v>
      </c>
      <c r="K35" s="143">
        <f t="shared" si="4"/>
        <v>0</v>
      </c>
      <c r="L35" s="143">
        <f t="shared" si="4"/>
        <v>0</v>
      </c>
      <c r="M35" s="143">
        <f t="shared" si="4"/>
        <v>0</v>
      </c>
      <c r="N35" s="143">
        <f t="shared" si="4"/>
        <v>0</v>
      </c>
    </row>
    <row r="36" spans="1:14" ht="28.8" x14ac:dyDescent="0.3">
      <c r="A36" s="311" t="s">
        <v>484</v>
      </c>
      <c r="B36" s="142">
        <f t="shared" si="1"/>
        <v>0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</row>
    <row r="37" spans="1:14" ht="28.8" x14ac:dyDescent="0.3">
      <c r="A37" s="311" t="s">
        <v>483</v>
      </c>
      <c r="B37" s="142">
        <f t="shared" si="1"/>
        <v>0</v>
      </c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</row>
    <row r="38" spans="1:14" ht="28.8" x14ac:dyDescent="0.3">
      <c r="A38" s="311" t="s">
        <v>482</v>
      </c>
      <c r="B38" s="142">
        <f t="shared" si="1"/>
        <v>0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</row>
    <row r="39" spans="1:14" ht="28.8" x14ac:dyDescent="0.3">
      <c r="A39" s="311" t="s">
        <v>481</v>
      </c>
      <c r="B39" s="142">
        <f t="shared" si="1"/>
        <v>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</row>
    <row r="40" spans="1:14" ht="28.8" x14ac:dyDescent="0.3">
      <c r="A40" s="311" t="s">
        <v>480</v>
      </c>
      <c r="B40" s="142">
        <f t="shared" si="1"/>
        <v>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</row>
    <row r="41" spans="1:14" ht="28.8" x14ac:dyDescent="0.3">
      <c r="A41" s="311" t="s">
        <v>479</v>
      </c>
      <c r="B41" s="142">
        <f t="shared" ref="B41:B72" si="5">SUM(C41:N41)</f>
        <v>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 ht="28.8" x14ac:dyDescent="0.3">
      <c r="A42" s="311" t="s">
        <v>478</v>
      </c>
      <c r="B42" s="142">
        <f t="shared" si="5"/>
        <v>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</row>
    <row r="43" spans="1:14" x14ac:dyDescent="0.3">
      <c r="A43" s="310" t="s">
        <v>477</v>
      </c>
      <c r="B43" s="144">
        <f t="shared" si="5"/>
        <v>0</v>
      </c>
      <c r="C43" s="143">
        <f t="shared" ref="C43:N43" si="6">SUM(C44:C50)</f>
        <v>0</v>
      </c>
      <c r="D43" s="143">
        <f t="shared" si="6"/>
        <v>0</v>
      </c>
      <c r="E43" s="143">
        <f t="shared" si="6"/>
        <v>0</v>
      </c>
      <c r="F43" s="143">
        <f t="shared" si="6"/>
        <v>0</v>
      </c>
      <c r="G43" s="143">
        <f t="shared" si="6"/>
        <v>0</v>
      </c>
      <c r="H43" s="143">
        <f t="shared" si="6"/>
        <v>0</v>
      </c>
      <c r="I43" s="143">
        <f t="shared" si="6"/>
        <v>0</v>
      </c>
      <c r="J43" s="143">
        <f t="shared" si="6"/>
        <v>0</v>
      </c>
      <c r="K43" s="143">
        <f t="shared" si="6"/>
        <v>0</v>
      </c>
      <c r="L43" s="143">
        <f t="shared" si="6"/>
        <v>0</v>
      </c>
      <c r="M43" s="143">
        <f t="shared" si="6"/>
        <v>0</v>
      </c>
      <c r="N43" s="143">
        <f t="shared" si="6"/>
        <v>0</v>
      </c>
    </row>
    <row r="44" spans="1:14" x14ac:dyDescent="0.3">
      <c r="A44" s="311" t="s">
        <v>476</v>
      </c>
      <c r="B44" s="142">
        <f t="shared" si="5"/>
        <v>0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</row>
    <row r="45" spans="1:14" ht="28.8" x14ac:dyDescent="0.3">
      <c r="A45" s="311" t="s">
        <v>475</v>
      </c>
      <c r="B45" s="142">
        <f t="shared" si="5"/>
        <v>0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</row>
    <row r="46" spans="1:14" ht="28.8" x14ac:dyDescent="0.3">
      <c r="A46" s="311" t="s">
        <v>474</v>
      </c>
      <c r="B46" s="142">
        <f t="shared" si="5"/>
        <v>0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 spans="1:14" ht="28.8" x14ac:dyDescent="0.3">
      <c r="A47" s="311" t="s">
        <v>473</v>
      </c>
      <c r="B47" s="142">
        <f t="shared" si="5"/>
        <v>0</v>
      </c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</row>
    <row r="48" spans="1:14" ht="28.8" x14ac:dyDescent="0.3">
      <c r="A48" s="311" t="s">
        <v>472</v>
      </c>
      <c r="B48" s="142">
        <f t="shared" si="5"/>
        <v>0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14" x14ac:dyDescent="0.3">
      <c r="A49" s="311" t="s">
        <v>471</v>
      </c>
      <c r="B49" s="142">
        <f t="shared" si="5"/>
        <v>0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</row>
    <row r="50" spans="1:14" ht="28.8" x14ac:dyDescent="0.3">
      <c r="A50" s="311" t="s">
        <v>470</v>
      </c>
      <c r="B50" s="142">
        <f t="shared" si="5"/>
        <v>0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</row>
    <row r="51" spans="1:14" x14ac:dyDescent="0.3">
      <c r="A51" s="310" t="s">
        <v>469</v>
      </c>
      <c r="B51" s="144">
        <f t="shared" si="5"/>
        <v>0</v>
      </c>
      <c r="C51" s="143">
        <f t="shared" ref="C51:N51" si="7">SUM(C52:C60)</f>
        <v>0</v>
      </c>
      <c r="D51" s="143">
        <f t="shared" si="7"/>
        <v>0</v>
      </c>
      <c r="E51" s="143">
        <f t="shared" si="7"/>
        <v>0</v>
      </c>
      <c r="F51" s="143">
        <f t="shared" si="7"/>
        <v>0</v>
      </c>
      <c r="G51" s="143">
        <f t="shared" si="7"/>
        <v>0</v>
      </c>
      <c r="H51" s="143">
        <f t="shared" si="7"/>
        <v>0</v>
      </c>
      <c r="I51" s="143">
        <f t="shared" si="7"/>
        <v>0</v>
      </c>
      <c r="J51" s="143">
        <f t="shared" si="7"/>
        <v>0</v>
      </c>
      <c r="K51" s="143">
        <f t="shared" si="7"/>
        <v>0</v>
      </c>
      <c r="L51" s="143">
        <f t="shared" si="7"/>
        <v>0</v>
      </c>
      <c r="M51" s="143">
        <f t="shared" si="7"/>
        <v>0</v>
      </c>
      <c r="N51" s="143">
        <f t="shared" si="7"/>
        <v>0</v>
      </c>
    </row>
    <row r="52" spans="1:14" x14ac:dyDescent="0.3">
      <c r="A52" s="311" t="s">
        <v>468</v>
      </c>
      <c r="B52" s="284">
        <f t="shared" si="5"/>
        <v>0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ht="28.8" x14ac:dyDescent="0.3">
      <c r="A53" s="311" t="s">
        <v>467</v>
      </c>
      <c r="B53" s="284">
        <f t="shared" si="5"/>
        <v>0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14" ht="28.8" x14ac:dyDescent="0.3">
      <c r="A54" s="311" t="s">
        <v>466</v>
      </c>
      <c r="B54" s="284">
        <f t="shared" si="5"/>
        <v>0</v>
      </c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  <row r="55" spans="1:14" ht="28.8" x14ac:dyDescent="0.3">
      <c r="A55" s="311" t="s">
        <v>465</v>
      </c>
      <c r="B55" s="284">
        <f t="shared" si="5"/>
        <v>0</v>
      </c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</row>
    <row r="56" spans="1:14" x14ac:dyDescent="0.3">
      <c r="A56" s="311" t="s">
        <v>464</v>
      </c>
      <c r="B56" s="284">
        <f t="shared" si="5"/>
        <v>0</v>
      </c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</row>
    <row r="57" spans="1:14" x14ac:dyDescent="0.3">
      <c r="A57" s="311" t="s">
        <v>463</v>
      </c>
      <c r="B57" s="284">
        <f t="shared" si="5"/>
        <v>0</v>
      </c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</row>
    <row r="58" spans="1:14" x14ac:dyDescent="0.3">
      <c r="A58" s="311" t="s">
        <v>462</v>
      </c>
      <c r="B58" s="284">
        <f t="shared" si="5"/>
        <v>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</row>
    <row r="59" spans="1:14" x14ac:dyDescent="0.3">
      <c r="A59" s="311" t="s">
        <v>461</v>
      </c>
      <c r="B59" s="284">
        <f t="shared" si="5"/>
        <v>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</row>
    <row r="60" spans="1:14" ht="28.8" x14ac:dyDescent="0.3">
      <c r="A60" s="311" t="s">
        <v>460</v>
      </c>
      <c r="B60" s="284">
        <f t="shared" si="5"/>
        <v>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</row>
    <row r="61" spans="1:14" x14ac:dyDescent="0.3">
      <c r="A61" s="310" t="s">
        <v>459</v>
      </c>
      <c r="B61" s="144">
        <f t="shared" si="5"/>
        <v>0</v>
      </c>
      <c r="C61" s="143">
        <f t="shared" ref="C61:N61" si="8">SUM(C62:C65)</f>
        <v>0</v>
      </c>
      <c r="D61" s="143">
        <f t="shared" si="8"/>
        <v>0</v>
      </c>
      <c r="E61" s="143">
        <f t="shared" si="8"/>
        <v>0</v>
      </c>
      <c r="F61" s="143">
        <f t="shared" si="8"/>
        <v>0</v>
      </c>
      <c r="G61" s="143">
        <f t="shared" si="8"/>
        <v>0</v>
      </c>
      <c r="H61" s="143">
        <f t="shared" si="8"/>
        <v>0</v>
      </c>
      <c r="I61" s="143">
        <f t="shared" si="8"/>
        <v>0</v>
      </c>
      <c r="J61" s="143">
        <f t="shared" si="8"/>
        <v>0</v>
      </c>
      <c r="K61" s="143">
        <f t="shared" si="8"/>
        <v>0</v>
      </c>
      <c r="L61" s="143">
        <f t="shared" si="8"/>
        <v>0</v>
      </c>
      <c r="M61" s="143">
        <f t="shared" si="8"/>
        <v>0</v>
      </c>
      <c r="N61" s="143">
        <f t="shared" si="8"/>
        <v>0</v>
      </c>
    </row>
    <row r="62" spans="1:14" x14ac:dyDescent="0.3">
      <c r="A62" s="311" t="s">
        <v>458</v>
      </c>
      <c r="B62" s="142">
        <f t="shared" si="5"/>
        <v>0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</row>
    <row r="63" spans="1:14" x14ac:dyDescent="0.3">
      <c r="A63" s="311" t="s">
        <v>457</v>
      </c>
      <c r="B63" s="142">
        <f t="shared" si="5"/>
        <v>0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</row>
    <row r="64" spans="1:14" x14ac:dyDescent="0.3">
      <c r="A64" s="311" t="s">
        <v>456</v>
      </c>
      <c r="B64" s="142">
        <f t="shared" si="5"/>
        <v>0</v>
      </c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</row>
    <row r="65" spans="1:14" ht="28.8" x14ac:dyDescent="0.3">
      <c r="A65" s="311" t="s">
        <v>455</v>
      </c>
      <c r="B65" s="142">
        <f t="shared" si="5"/>
        <v>0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</row>
    <row r="66" spans="1:14" ht="28.8" x14ac:dyDescent="0.3">
      <c r="A66" s="310" t="s">
        <v>454</v>
      </c>
      <c r="B66" s="144">
        <f t="shared" si="5"/>
        <v>0</v>
      </c>
      <c r="C66" s="143">
        <f t="shared" ref="C66:N66" si="9">SUM(C67:C68)</f>
        <v>0</v>
      </c>
      <c r="D66" s="143">
        <f t="shared" si="9"/>
        <v>0</v>
      </c>
      <c r="E66" s="143">
        <f t="shared" si="9"/>
        <v>0</v>
      </c>
      <c r="F66" s="143">
        <f t="shared" si="9"/>
        <v>0</v>
      </c>
      <c r="G66" s="143">
        <f t="shared" si="9"/>
        <v>0</v>
      </c>
      <c r="H66" s="143">
        <f t="shared" si="9"/>
        <v>0</v>
      </c>
      <c r="I66" s="143">
        <f t="shared" si="9"/>
        <v>0</v>
      </c>
      <c r="J66" s="143">
        <f t="shared" si="9"/>
        <v>0</v>
      </c>
      <c r="K66" s="143">
        <f t="shared" si="9"/>
        <v>0</v>
      </c>
      <c r="L66" s="143">
        <f t="shared" si="9"/>
        <v>0</v>
      </c>
      <c r="M66" s="143">
        <f t="shared" si="9"/>
        <v>0</v>
      </c>
      <c r="N66" s="143">
        <f t="shared" si="9"/>
        <v>0</v>
      </c>
    </row>
    <row r="67" spans="1:14" x14ac:dyDescent="0.3">
      <c r="A67" s="311" t="s">
        <v>453</v>
      </c>
      <c r="B67" s="142">
        <f t="shared" si="5"/>
        <v>0</v>
      </c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</row>
    <row r="68" spans="1:14" ht="28.8" x14ac:dyDescent="0.3">
      <c r="A68" s="311" t="s">
        <v>452</v>
      </c>
      <c r="B68" s="142">
        <f t="shared" si="5"/>
        <v>0</v>
      </c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</row>
    <row r="69" spans="1:14" x14ac:dyDescent="0.3">
      <c r="A69" s="310" t="s">
        <v>451</v>
      </c>
      <c r="B69" s="144">
        <f t="shared" si="5"/>
        <v>0</v>
      </c>
      <c r="C69" s="143">
        <f t="shared" ref="C69:N69" si="10">SUM(C70:C72)</f>
        <v>0</v>
      </c>
      <c r="D69" s="143">
        <f t="shared" si="10"/>
        <v>0</v>
      </c>
      <c r="E69" s="143">
        <f t="shared" si="10"/>
        <v>0</v>
      </c>
      <c r="F69" s="143">
        <f t="shared" si="10"/>
        <v>0</v>
      </c>
      <c r="G69" s="143">
        <f t="shared" si="10"/>
        <v>0</v>
      </c>
      <c r="H69" s="143">
        <f t="shared" si="10"/>
        <v>0</v>
      </c>
      <c r="I69" s="143">
        <f t="shared" si="10"/>
        <v>0</v>
      </c>
      <c r="J69" s="143">
        <f t="shared" si="10"/>
        <v>0</v>
      </c>
      <c r="K69" s="143">
        <f t="shared" si="10"/>
        <v>0</v>
      </c>
      <c r="L69" s="143">
        <f t="shared" si="10"/>
        <v>0</v>
      </c>
      <c r="M69" s="143">
        <f t="shared" si="10"/>
        <v>0</v>
      </c>
      <c r="N69" s="143">
        <f t="shared" si="10"/>
        <v>0</v>
      </c>
    </row>
    <row r="70" spans="1:14" x14ac:dyDescent="0.3">
      <c r="A70" s="311" t="s">
        <v>450</v>
      </c>
      <c r="B70" s="142">
        <f t="shared" si="5"/>
        <v>0</v>
      </c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</row>
    <row r="71" spans="1:14" x14ac:dyDescent="0.3">
      <c r="A71" s="311" t="s">
        <v>449</v>
      </c>
      <c r="B71" s="142">
        <f t="shared" si="5"/>
        <v>0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</row>
    <row r="72" spans="1:14" ht="28.8" x14ac:dyDescent="0.3">
      <c r="A72" s="311" t="s">
        <v>448</v>
      </c>
      <c r="B72" s="142">
        <f t="shared" si="5"/>
        <v>0</v>
      </c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</row>
    <row r="73" spans="1:14" x14ac:dyDescent="0.3">
      <c r="A73" s="312" t="s">
        <v>447</v>
      </c>
      <c r="B73" s="136">
        <f t="shared" ref="B73:N73" si="11">B9+B15+B25+B35+B43+B51+B61+B66+B69</f>
        <v>70061780.310000002</v>
      </c>
      <c r="C73" s="136">
        <f t="shared" si="11"/>
        <v>70061780.310000002</v>
      </c>
      <c r="D73" s="136">
        <f t="shared" si="11"/>
        <v>0</v>
      </c>
      <c r="E73" s="136">
        <f t="shared" si="11"/>
        <v>0</v>
      </c>
      <c r="F73" s="136">
        <f t="shared" si="11"/>
        <v>0</v>
      </c>
      <c r="G73" s="136">
        <f t="shared" si="11"/>
        <v>0</v>
      </c>
      <c r="H73" s="136">
        <f t="shared" si="11"/>
        <v>0</v>
      </c>
      <c r="I73" s="136">
        <f t="shared" si="11"/>
        <v>0</v>
      </c>
      <c r="J73" s="136">
        <f t="shared" si="11"/>
        <v>0</v>
      </c>
      <c r="K73" s="136">
        <f t="shared" si="11"/>
        <v>0</v>
      </c>
      <c r="L73" s="136">
        <f t="shared" si="11"/>
        <v>0</v>
      </c>
      <c r="M73" s="136">
        <f t="shared" si="11"/>
        <v>0</v>
      </c>
      <c r="N73" s="136">
        <f t="shared" si="11"/>
        <v>0</v>
      </c>
    </row>
    <row r="74" spans="1:14" x14ac:dyDescent="0.3">
      <c r="A74" s="146" t="s">
        <v>446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</row>
    <row r="75" spans="1:14" x14ac:dyDescent="0.3">
      <c r="A75" s="146" t="s">
        <v>445</v>
      </c>
      <c r="B75" s="125"/>
      <c r="C75" s="140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28.8" x14ac:dyDescent="0.3">
      <c r="A76" s="311" t="s">
        <v>444</v>
      </c>
      <c r="B76" s="125"/>
      <c r="C76" s="138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28.8" x14ac:dyDescent="0.3">
      <c r="A77" s="311" t="s">
        <v>443</v>
      </c>
      <c r="B77" s="125"/>
      <c r="C77" s="138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3">
      <c r="A78" s="146" t="s">
        <v>442</v>
      </c>
      <c r="B78" s="125"/>
      <c r="C78" s="140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x14ac:dyDescent="0.3">
      <c r="A79" s="311" t="s">
        <v>441</v>
      </c>
      <c r="B79" s="125"/>
      <c r="C79" s="138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x14ac:dyDescent="0.3">
      <c r="A80" s="311" t="s">
        <v>440</v>
      </c>
      <c r="B80" s="125"/>
      <c r="C80" s="138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x14ac:dyDescent="0.3">
      <c r="A81" s="146" t="s">
        <v>439</v>
      </c>
      <c r="B81" s="125"/>
      <c r="C81" s="140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x14ac:dyDescent="0.3">
      <c r="A82" s="311" t="s">
        <v>438</v>
      </c>
      <c r="B82" s="125"/>
      <c r="C82" s="138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3">
      <c r="A83" s="312" t="s">
        <v>437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</row>
    <row r="84" spans="1:14" x14ac:dyDescent="0.3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15.6" x14ac:dyDescent="0.3">
      <c r="A85" s="313" t="s">
        <v>436</v>
      </c>
      <c r="B85" s="134">
        <f>+B83+B73</f>
        <v>70061780.310000002</v>
      </c>
      <c r="C85" s="134">
        <f t="shared" ref="C85:N85" si="12">+C83+C73</f>
        <v>70061780.310000002</v>
      </c>
      <c r="D85" s="134">
        <f t="shared" si="12"/>
        <v>0</v>
      </c>
      <c r="E85" s="134">
        <f t="shared" si="12"/>
        <v>0</v>
      </c>
      <c r="F85" s="134">
        <f t="shared" si="12"/>
        <v>0</v>
      </c>
      <c r="G85" s="134">
        <f t="shared" si="12"/>
        <v>0</v>
      </c>
      <c r="H85" s="134">
        <f t="shared" si="12"/>
        <v>0</v>
      </c>
      <c r="I85" s="134">
        <f t="shared" si="12"/>
        <v>0</v>
      </c>
      <c r="J85" s="134">
        <f t="shared" si="12"/>
        <v>0</v>
      </c>
      <c r="K85" s="134">
        <f t="shared" si="12"/>
        <v>0</v>
      </c>
      <c r="L85" s="134">
        <f t="shared" si="12"/>
        <v>0</v>
      </c>
      <c r="M85" s="134">
        <f>+M83+M73</f>
        <v>0</v>
      </c>
      <c r="N85" s="134">
        <f t="shared" si="12"/>
        <v>0</v>
      </c>
    </row>
    <row r="86" spans="1:14" x14ac:dyDescent="0.3">
      <c r="A86" t="s">
        <v>650</v>
      </c>
    </row>
    <row r="87" spans="1:14" x14ac:dyDescent="0.3">
      <c r="A87" t="s">
        <v>649</v>
      </c>
      <c r="J87" s="187"/>
      <c r="L87" s="187"/>
    </row>
    <row r="88" spans="1:14" x14ac:dyDescent="0.3">
      <c r="A88" t="s">
        <v>818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88"/>
  <sheetViews>
    <sheetView zoomScale="90" zoomScaleNormal="90" zoomScaleSheetLayoutView="78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C24" sqref="C24"/>
    </sheetView>
  </sheetViews>
  <sheetFormatPr baseColWidth="10" defaultColWidth="9.109375" defaultRowHeight="14.4" x14ac:dyDescent="0.3"/>
  <cols>
    <col min="1" max="1" width="71.33203125" bestFit="1" customWidth="1"/>
    <col min="2" max="2" width="16.109375" bestFit="1" customWidth="1"/>
    <col min="3" max="5" width="13.44140625" bestFit="1" customWidth="1"/>
    <col min="6" max="6" width="14.5546875" bestFit="1" customWidth="1"/>
    <col min="7" max="8" width="13.44140625" bestFit="1" customWidth="1"/>
    <col min="9" max="9" width="14.5546875" bestFit="1" customWidth="1"/>
    <col min="10" max="10" width="13.44140625" bestFit="1" customWidth="1"/>
    <col min="11" max="11" width="14.5546875" bestFit="1" customWidth="1"/>
    <col min="12" max="13" width="13.44140625" bestFit="1" customWidth="1"/>
    <col min="14" max="14" width="14.5546875" bestFit="1" customWidth="1"/>
  </cols>
  <sheetData>
    <row r="1" spans="1:14" ht="18" x14ac:dyDescent="0.3">
      <c r="A1" s="604" t="s">
        <v>77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</row>
    <row r="2" spans="1:14" ht="18" x14ac:dyDescent="0.3">
      <c r="A2" s="604" t="s">
        <v>611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</row>
    <row r="3" spans="1:14" ht="18" x14ac:dyDescent="0.3">
      <c r="A3" s="604" t="s">
        <v>640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</row>
    <row r="4" spans="1:14" ht="15.6" x14ac:dyDescent="0.3">
      <c r="A4" s="605" t="s">
        <v>641</v>
      </c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  <c r="N4" s="605"/>
    </row>
    <row r="5" spans="1:14" x14ac:dyDescent="0.3">
      <c r="A5" s="606" t="s">
        <v>527</v>
      </c>
      <c r="B5" s="606"/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</row>
    <row r="7" spans="1:14" ht="15.6" x14ac:dyDescent="0.3">
      <c r="A7" s="148" t="s">
        <v>526</v>
      </c>
      <c r="B7" s="147" t="s">
        <v>525</v>
      </c>
      <c r="C7" s="147" t="s">
        <v>524</v>
      </c>
      <c r="D7" s="147" t="s">
        <v>523</v>
      </c>
      <c r="E7" s="147" t="s">
        <v>522</v>
      </c>
      <c r="F7" s="147" t="s">
        <v>521</v>
      </c>
      <c r="G7" s="147" t="s">
        <v>520</v>
      </c>
      <c r="H7" s="147" t="s">
        <v>519</v>
      </c>
      <c r="I7" s="147" t="s">
        <v>518</v>
      </c>
      <c r="J7" s="147" t="s">
        <v>517</v>
      </c>
      <c r="K7" s="147" t="s">
        <v>516</v>
      </c>
      <c r="L7" s="147" t="s">
        <v>515</v>
      </c>
      <c r="M7" s="147" t="s">
        <v>514</v>
      </c>
      <c r="N7" s="147" t="s">
        <v>513</v>
      </c>
    </row>
    <row r="8" spans="1:14" x14ac:dyDescent="0.3">
      <c r="A8" s="141" t="s">
        <v>512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</row>
    <row r="9" spans="1:14" x14ac:dyDescent="0.3">
      <c r="A9" s="145" t="s">
        <v>511</v>
      </c>
      <c r="B9" s="283">
        <f t="shared" ref="B9:B15" si="0">SUM(C9:N9)</f>
        <v>0</v>
      </c>
      <c r="C9" s="143">
        <f>SUM(C10:C14)</f>
        <v>0</v>
      </c>
      <c r="D9" s="143">
        <f t="shared" ref="D9:N9" si="1">SUM(D10:D14)</f>
        <v>0</v>
      </c>
      <c r="E9" s="143">
        <f t="shared" si="1"/>
        <v>0</v>
      </c>
      <c r="F9" s="143">
        <f t="shared" si="1"/>
        <v>0</v>
      </c>
      <c r="G9" s="143">
        <f t="shared" si="1"/>
        <v>0</v>
      </c>
      <c r="H9" s="143">
        <f t="shared" si="1"/>
        <v>0</v>
      </c>
      <c r="I9" s="143">
        <f t="shared" si="1"/>
        <v>0</v>
      </c>
      <c r="J9" s="143">
        <f t="shared" si="1"/>
        <v>0</v>
      </c>
      <c r="K9" s="143">
        <f t="shared" si="1"/>
        <v>0</v>
      </c>
      <c r="L9" s="143">
        <f t="shared" si="1"/>
        <v>0</v>
      </c>
      <c r="M9" s="143">
        <f t="shared" si="1"/>
        <v>0</v>
      </c>
      <c r="N9" s="143">
        <f t="shared" si="1"/>
        <v>0</v>
      </c>
    </row>
    <row r="10" spans="1:14" x14ac:dyDescent="0.3">
      <c r="A10" s="139" t="s">
        <v>510</v>
      </c>
      <c r="B10" s="284">
        <f t="shared" si="0"/>
        <v>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14" x14ac:dyDescent="0.3">
      <c r="A11" s="139" t="s">
        <v>509</v>
      </c>
      <c r="B11" s="142">
        <f t="shared" si="0"/>
        <v>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</row>
    <row r="12" spans="1:14" x14ac:dyDescent="0.3">
      <c r="A12" s="139" t="s">
        <v>508</v>
      </c>
      <c r="B12" s="142">
        <f t="shared" si="0"/>
        <v>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</row>
    <row r="13" spans="1:14" x14ac:dyDescent="0.3">
      <c r="A13" s="139" t="s">
        <v>507</v>
      </c>
      <c r="B13" s="142">
        <f t="shared" si="0"/>
        <v>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</row>
    <row r="14" spans="1:14" x14ac:dyDescent="0.3">
      <c r="A14" s="139" t="s">
        <v>506</v>
      </c>
      <c r="B14" s="142">
        <f t="shared" si="0"/>
        <v>0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</row>
    <row r="15" spans="1:14" x14ac:dyDescent="0.3">
      <c r="A15" s="145" t="s">
        <v>505</v>
      </c>
      <c r="B15" s="283">
        <f t="shared" si="0"/>
        <v>2733844.2900000005</v>
      </c>
      <c r="C15" s="143">
        <f>SUM(C16:C24)</f>
        <v>2733844.2900000005</v>
      </c>
      <c r="D15" s="143">
        <f t="shared" ref="D15:M15" si="2">SUM(D16:D24)</f>
        <v>0</v>
      </c>
      <c r="E15" s="143">
        <f t="shared" si="2"/>
        <v>0</v>
      </c>
      <c r="F15" s="143">
        <f t="shared" si="2"/>
        <v>0</v>
      </c>
      <c r="G15" s="143">
        <f t="shared" si="2"/>
        <v>0</v>
      </c>
      <c r="H15" s="143">
        <f t="shared" si="2"/>
        <v>0</v>
      </c>
      <c r="I15" s="143">
        <f t="shared" si="2"/>
        <v>0</v>
      </c>
      <c r="J15" s="143">
        <f t="shared" si="2"/>
        <v>0</v>
      </c>
      <c r="K15" s="143">
        <f t="shared" si="2"/>
        <v>0</v>
      </c>
      <c r="L15" s="143">
        <f t="shared" si="2"/>
        <v>0</v>
      </c>
      <c r="M15" s="143">
        <f t="shared" si="2"/>
        <v>0</v>
      </c>
      <c r="N15" s="143">
        <f>SUM(N16:N24)</f>
        <v>0</v>
      </c>
    </row>
    <row r="16" spans="1:14" x14ac:dyDescent="0.3">
      <c r="A16" s="139" t="s">
        <v>504</v>
      </c>
      <c r="B16" s="284">
        <f t="shared" ref="B16:B24" si="3">SUM(C16:N16)</f>
        <v>351316.33</v>
      </c>
      <c r="C16" s="138">
        <v>351316.33</v>
      </c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</row>
    <row r="17" spans="1:14" x14ac:dyDescent="0.3">
      <c r="A17" s="139" t="s">
        <v>503</v>
      </c>
      <c r="B17" s="284">
        <f>SUM(C17:N17)</f>
        <v>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</row>
    <row r="18" spans="1:14" x14ac:dyDescent="0.3">
      <c r="A18" s="139" t="s">
        <v>502</v>
      </c>
      <c r="B18" s="284">
        <f t="shared" si="3"/>
        <v>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</row>
    <row r="19" spans="1:14" ht="18" customHeight="1" x14ac:dyDescent="0.3">
      <c r="A19" s="139" t="s">
        <v>501</v>
      </c>
      <c r="B19" s="284">
        <f t="shared" si="3"/>
        <v>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</row>
    <row r="20" spans="1:14" x14ac:dyDescent="0.3">
      <c r="A20" s="139" t="s">
        <v>500</v>
      </c>
      <c r="B20" s="284">
        <f t="shared" si="3"/>
        <v>266664.26</v>
      </c>
      <c r="C20" s="138">
        <v>266664.26</v>
      </c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</row>
    <row r="21" spans="1:14" x14ac:dyDescent="0.3">
      <c r="A21" s="139" t="s">
        <v>499</v>
      </c>
      <c r="B21" s="284">
        <f t="shared" si="3"/>
        <v>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</row>
    <row r="22" spans="1:14" ht="28.8" x14ac:dyDescent="0.3">
      <c r="A22" s="139" t="s">
        <v>498</v>
      </c>
      <c r="B22" s="284">
        <f t="shared" si="3"/>
        <v>2064518.35</v>
      </c>
      <c r="C22" s="138">
        <v>2064518.35</v>
      </c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</row>
    <row r="23" spans="1:14" x14ac:dyDescent="0.3">
      <c r="A23" s="139" t="s">
        <v>497</v>
      </c>
      <c r="B23" s="284">
        <f t="shared" si="3"/>
        <v>51345.35</v>
      </c>
      <c r="C23" s="138">
        <f>37988+13357.35</f>
        <v>51345.35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1:14" x14ac:dyDescent="0.3">
      <c r="A24" s="139" t="s">
        <v>496</v>
      </c>
      <c r="B24" s="284">
        <f t="shared" si="3"/>
        <v>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1:14" x14ac:dyDescent="0.3">
      <c r="A25" s="145" t="s">
        <v>495</v>
      </c>
      <c r="B25" s="283">
        <f>SUM(C25:N25)</f>
        <v>3062630.67</v>
      </c>
      <c r="C25" s="143">
        <f>SUM(C26:C34)</f>
        <v>3062630.67</v>
      </c>
      <c r="D25" s="143">
        <f>SUM(D26:D34)</f>
        <v>0</v>
      </c>
      <c r="E25" s="143">
        <f t="shared" ref="E25:M25" si="4">SUM(E26:E34)</f>
        <v>0</v>
      </c>
      <c r="F25" s="143">
        <f t="shared" si="4"/>
        <v>0</v>
      </c>
      <c r="G25" s="143">
        <f t="shared" si="4"/>
        <v>0</v>
      </c>
      <c r="H25" s="143">
        <f t="shared" si="4"/>
        <v>0</v>
      </c>
      <c r="I25" s="143">
        <f t="shared" si="4"/>
        <v>0</v>
      </c>
      <c r="J25" s="143">
        <f t="shared" si="4"/>
        <v>0</v>
      </c>
      <c r="K25" s="143">
        <f t="shared" si="4"/>
        <v>0</v>
      </c>
      <c r="L25" s="143">
        <f t="shared" si="4"/>
        <v>0</v>
      </c>
      <c r="M25" s="143">
        <f t="shared" si="4"/>
        <v>0</v>
      </c>
      <c r="N25" s="143">
        <f>SUM(N26:N34)</f>
        <v>0</v>
      </c>
    </row>
    <row r="26" spans="1:14" x14ac:dyDescent="0.3">
      <c r="A26" s="139" t="s">
        <v>494</v>
      </c>
      <c r="B26" s="284">
        <f t="shared" ref="B26:B34" si="5">SUM(C26:N26)</f>
        <v>541265</v>
      </c>
      <c r="C26" s="138">
        <v>541265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  <row r="27" spans="1:14" x14ac:dyDescent="0.3">
      <c r="A27" s="139" t="s">
        <v>493</v>
      </c>
      <c r="B27" s="284">
        <f t="shared" si="5"/>
        <v>0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 spans="1:14" x14ac:dyDescent="0.3">
      <c r="A28" s="139" t="s">
        <v>492</v>
      </c>
      <c r="B28" s="284">
        <f t="shared" si="5"/>
        <v>85550</v>
      </c>
      <c r="C28" s="138">
        <v>85550</v>
      </c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1:14" x14ac:dyDescent="0.3">
      <c r="A29" s="139" t="s">
        <v>491</v>
      </c>
      <c r="B29" s="284">
        <f t="shared" si="5"/>
        <v>308000</v>
      </c>
      <c r="C29" s="138">
        <v>308000</v>
      </c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</row>
    <row r="30" spans="1:14" x14ac:dyDescent="0.3">
      <c r="A30" s="139" t="s">
        <v>490</v>
      </c>
      <c r="B30" s="284">
        <f t="shared" si="5"/>
        <v>0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</row>
    <row r="31" spans="1:14" x14ac:dyDescent="0.3">
      <c r="A31" s="139" t="s">
        <v>489</v>
      </c>
      <c r="B31" s="284">
        <f t="shared" si="5"/>
        <v>0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</row>
    <row r="32" spans="1:14" x14ac:dyDescent="0.3">
      <c r="A32" s="139" t="s">
        <v>488</v>
      </c>
      <c r="B32" s="284">
        <f t="shared" si="5"/>
        <v>228412.84</v>
      </c>
      <c r="C32" s="138">
        <v>228412.84</v>
      </c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</row>
    <row r="33" spans="1:14" ht="28.8" x14ac:dyDescent="0.3">
      <c r="A33" s="139" t="s">
        <v>487</v>
      </c>
      <c r="B33" s="284">
        <f t="shared" si="5"/>
        <v>0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1:14" x14ac:dyDescent="0.3">
      <c r="A34" s="139" t="s">
        <v>486</v>
      </c>
      <c r="B34" s="284">
        <f t="shared" si="5"/>
        <v>1899402.83</v>
      </c>
      <c r="C34" s="138">
        <v>1899402.83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1:14" x14ac:dyDescent="0.3">
      <c r="A35" s="145" t="s">
        <v>485</v>
      </c>
      <c r="B35" s="283">
        <f>SUM(C35:N35)</f>
        <v>136966.70000000001</v>
      </c>
      <c r="C35" s="143">
        <f>SUM(C36:C42)</f>
        <v>136966.70000000001</v>
      </c>
      <c r="D35" s="143">
        <f t="shared" ref="D35:N35" si="6">SUM(D36:D42)</f>
        <v>0</v>
      </c>
      <c r="E35" s="143">
        <f t="shared" si="6"/>
        <v>0</v>
      </c>
      <c r="F35" s="143">
        <f t="shared" si="6"/>
        <v>0</v>
      </c>
      <c r="G35" s="143">
        <f t="shared" si="6"/>
        <v>0</v>
      </c>
      <c r="H35" s="143">
        <f t="shared" si="6"/>
        <v>0</v>
      </c>
      <c r="I35" s="143">
        <f t="shared" si="6"/>
        <v>0</v>
      </c>
      <c r="J35" s="143">
        <f t="shared" si="6"/>
        <v>0</v>
      </c>
      <c r="K35" s="143">
        <f t="shared" si="6"/>
        <v>0</v>
      </c>
      <c r="L35" s="143">
        <f t="shared" si="6"/>
        <v>0</v>
      </c>
      <c r="M35" s="143">
        <f t="shared" si="6"/>
        <v>0</v>
      </c>
      <c r="N35" s="143">
        <f t="shared" si="6"/>
        <v>0</v>
      </c>
    </row>
    <row r="36" spans="1:14" x14ac:dyDescent="0.3">
      <c r="A36" s="139" t="s">
        <v>484</v>
      </c>
      <c r="B36" s="284">
        <f>SUM(C36:N36)</f>
        <v>136966.70000000001</v>
      </c>
      <c r="C36" s="138">
        <v>136966.70000000001</v>
      </c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</row>
    <row r="37" spans="1:14" x14ac:dyDescent="0.3">
      <c r="A37" s="139" t="s">
        <v>483</v>
      </c>
      <c r="B37" s="142">
        <f t="shared" ref="B37:B42" si="7">SUM(C37:N37)</f>
        <v>0</v>
      </c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</row>
    <row r="38" spans="1:14" x14ac:dyDescent="0.3">
      <c r="A38" s="139" t="s">
        <v>482</v>
      </c>
      <c r="B38" s="142">
        <f t="shared" si="7"/>
        <v>0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</row>
    <row r="39" spans="1:14" x14ac:dyDescent="0.3">
      <c r="A39" s="139" t="s">
        <v>481</v>
      </c>
      <c r="B39" s="142">
        <f t="shared" si="7"/>
        <v>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</row>
    <row r="40" spans="1:14" x14ac:dyDescent="0.3">
      <c r="A40" s="139" t="s">
        <v>480</v>
      </c>
      <c r="B40" s="142">
        <f t="shared" si="7"/>
        <v>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</row>
    <row r="41" spans="1:14" x14ac:dyDescent="0.3">
      <c r="A41" s="139" t="s">
        <v>479</v>
      </c>
      <c r="B41" s="142">
        <f t="shared" si="7"/>
        <v>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</row>
    <row r="42" spans="1:14" x14ac:dyDescent="0.3">
      <c r="A42" s="139" t="s">
        <v>478</v>
      </c>
      <c r="B42" s="142">
        <f t="shared" si="7"/>
        <v>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</row>
    <row r="43" spans="1:14" x14ac:dyDescent="0.3">
      <c r="A43" s="145" t="s">
        <v>477</v>
      </c>
      <c r="B43" s="144">
        <f>SUM(C43:N43)</f>
        <v>0</v>
      </c>
      <c r="C43" s="143">
        <f>SUM(C44:C50)</f>
        <v>0</v>
      </c>
      <c r="D43" s="143">
        <f t="shared" ref="D43:N43" si="8">SUM(D44:D50)</f>
        <v>0</v>
      </c>
      <c r="E43" s="143">
        <f t="shared" si="8"/>
        <v>0</v>
      </c>
      <c r="F43" s="143">
        <f t="shared" si="8"/>
        <v>0</v>
      </c>
      <c r="G43" s="143">
        <f t="shared" si="8"/>
        <v>0</v>
      </c>
      <c r="H43" s="143">
        <f t="shared" si="8"/>
        <v>0</v>
      </c>
      <c r="I43" s="143">
        <f t="shared" si="8"/>
        <v>0</v>
      </c>
      <c r="J43" s="143">
        <f t="shared" si="8"/>
        <v>0</v>
      </c>
      <c r="K43" s="143">
        <f t="shared" si="8"/>
        <v>0</v>
      </c>
      <c r="L43" s="143">
        <f t="shared" si="8"/>
        <v>0</v>
      </c>
      <c r="M43" s="143">
        <f t="shared" si="8"/>
        <v>0</v>
      </c>
      <c r="N43" s="143">
        <f t="shared" si="8"/>
        <v>0</v>
      </c>
    </row>
    <row r="44" spans="1:14" x14ac:dyDescent="0.3">
      <c r="A44" s="139" t="s">
        <v>476</v>
      </c>
      <c r="B44" s="142">
        <f t="shared" ref="B44:B49" si="9">SUM(C44:N44)</f>
        <v>0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</row>
    <row r="45" spans="1:14" x14ac:dyDescent="0.3">
      <c r="A45" s="139" t="s">
        <v>475</v>
      </c>
      <c r="B45" s="142">
        <f t="shared" si="9"/>
        <v>0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</row>
    <row r="46" spans="1:14" x14ac:dyDescent="0.3">
      <c r="A46" s="139" t="s">
        <v>474</v>
      </c>
      <c r="B46" s="142">
        <f t="shared" si="9"/>
        <v>0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 spans="1:14" x14ac:dyDescent="0.3">
      <c r="A47" s="139" t="s">
        <v>473</v>
      </c>
      <c r="B47" s="142">
        <f t="shared" si="9"/>
        <v>0</v>
      </c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</row>
    <row r="48" spans="1:14" x14ac:dyDescent="0.3">
      <c r="A48" s="139" t="s">
        <v>472</v>
      </c>
      <c r="B48" s="142">
        <f t="shared" si="9"/>
        <v>0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 spans="1:14" x14ac:dyDescent="0.3">
      <c r="A49" s="139" t="s">
        <v>471</v>
      </c>
      <c r="B49" s="142">
        <f t="shared" si="9"/>
        <v>0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</row>
    <row r="50" spans="1:14" x14ac:dyDescent="0.3">
      <c r="A50" s="139" t="s">
        <v>470</v>
      </c>
      <c r="B50" s="142">
        <f>SUM(C50:N50)</f>
        <v>0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</row>
    <row r="51" spans="1:14" x14ac:dyDescent="0.3">
      <c r="A51" s="145" t="s">
        <v>469</v>
      </c>
      <c r="B51" s="283">
        <f>SUM(C51:N51)</f>
        <v>887994.84</v>
      </c>
      <c r="C51" s="143">
        <f>SUM(C52:C60)</f>
        <v>887994.84</v>
      </c>
      <c r="D51" s="143">
        <f>SUM(D52:D60)</f>
        <v>0</v>
      </c>
      <c r="E51" s="143">
        <f>SUM(E52:E60)</f>
        <v>0</v>
      </c>
      <c r="F51" s="143">
        <f t="shared" ref="F51:N51" si="10">SUM(F52:F60)</f>
        <v>0</v>
      </c>
      <c r="G51" s="143">
        <f t="shared" si="10"/>
        <v>0</v>
      </c>
      <c r="H51" s="143">
        <f t="shared" si="10"/>
        <v>0</v>
      </c>
      <c r="I51" s="143">
        <f t="shared" si="10"/>
        <v>0</v>
      </c>
      <c r="J51" s="143">
        <f t="shared" si="10"/>
        <v>0</v>
      </c>
      <c r="K51" s="143">
        <f t="shared" si="10"/>
        <v>0</v>
      </c>
      <c r="L51" s="143">
        <f t="shared" si="10"/>
        <v>0</v>
      </c>
      <c r="M51" s="143">
        <f t="shared" si="10"/>
        <v>0</v>
      </c>
      <c r="N51" s="143">
        <f t="shared" si="10"/>
        <v>0</v>
      </c>
    </row>
    <row r="52" spans="1:14" x14ac:dyDescent="0.3">
      <c r="A52" s="139" t="s">
        <v>468</v>
      </c>
      <c r="B52" s="284">
        <f t="shared" ref="B52:B60" si="11">SUM(C52:N52)</f>
        <v>0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x14ac:dyDescent="0.3">
      <c r="A53" s="139" t="s">
        <v>467</v>
      </c>
      <c r="B53" s="284">
        <f t="shared" si="11"/>
        <v>0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14" x14ac:dyDescent="0.3">
      <c r="A54" s="139" t="s">
        <v>466</v>
      </c>
      <c r="B54" s="284">
        <f t="shared" si="11"/>
        <v>887994.84</v>
      </c>
      <c r="C54" s="138">
        <v>887994.84</v>
      </c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  <row r="55" spans="1:14" x14ac:dyDescent="0.3">
      <c r="A55" s="139" t="s">
        <v>465</v>
      </c>
      <c r="B55" s="284">
        <f t="shared" si="11"/>
        <v>0</v>
      </c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</row>
    <row r="56" spans="1:14" x14ac:dyDescent="0.3">
      <c r="A56" s="139" t="s">
        <v>464</v>
      </c>
      <c r="B56" s="284">
        <f t="shared" si="11"/>
        <v>0</v>
      </c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</row>
    <row r="57" spans="1:14" x14ac:dyDescent="0.3">
      <c r="A57" s="139" t="s">
        <v>463</v>
      </c>
      <c r="B57" s="142">
        <f>SUM(C57:N57)</f>
        <v>0</v>
      </c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</row>
    <row r="58" spans="1:14" x14ac:dyDescent="0.3">
      <c r="A58" s="139" t="s">
        <v>462</v>
      </c>
      <c r="B58" s="142">
        <f t="shared" si="11"/>
        <v>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</row>
    <row r="59" spans="1:14" x14ac:dyDescent="0.3">
      <c r="A59" s="139" t="s">
        <v>461</v>
      </c>
      <c r="B59" s="142">
        <f t="shared" si="11"/>
        <v>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</row>
    <row r="60" spans="1:14" x14ac:dyDescent="0.3">
      <c r="A60" s="139" t="s">
        <v>460</v>
      </c>
      <c r="B60" s="142">
        <f t="shared" si="11"/>
        <v>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</row>
    <row r="61" spans="1:14" x14ac:dyDescent="0.3">
      <c r="A61" s="145" t="s">
        <v>459</v>
      </c>
      <c r="B61" s="144">
        <f t="shared" ref="B61:B72" si="12">SUM(C61:N61)</f>
        <v>0</v>
      </c>
      <c r="C61" s="143">
        <f>SUM(C62:C65)</f>
        <v>0</v>
      </c>
      <c r="D61" s="143">
        <f t="shared" ref="D61:N61" si="13">SUM(D62:D65)</f>
        <v>0</v>
      </c>
      <c r="E61" s="143">
        <f t="shared" si="13"/>
        <v>0</v>
      </c>
      <c r="F61" s="143">
        <f t="shared" si="13"/>
        <v>0</v>
      </c>
      <c r="G61" s="143">
        <f t="shared" si="13"/>
        <v>0</v>
      </c>
      <c r="H61" s="143">
        <f t="shared" si="13"/>
        <v>0</v>
      </c>
      <c r="I61" s="143">
        <f t="shared" si="13"/>
        <v>0</v>
      </c>
      <c r="J61" s="143">
        <f t="shared" si="13"/>
        <v>0</v>
      </c>
      <c r="K61" s="143">
        <f t="shared" si="13"/>
        <v>0</v>
      </c>
      <c r="L61" s="143">
        <f t="shared" si="13"/>
        <v>0</v>
      </c>
      <c r="M61" s="143">
        <f t="shared" si="13"/>
        <v>0</v>
      </c>
      <c r="N61" s="143">
        <f t="shared" si="13"/>
        <v>0</v>
      </c>
    </row>
    <row r="62" spans="1:14" x14ac:dyDescent="0.3">
      <c r="A62" s="139" t="s">
        <v>458</v>
      </c>
      <c r="B62" s="142">
        <f t="shared" si="12"/>
        <v>0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</row>
    <row r="63" spans="1:14" x14ac:dyDescent="0.3">
      <c r="A63" s="139" t="s">
        <v>457</v>
      </c>
      <c r="B63" s="142">
        <f t="shared" si="12"/>
        <v>0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</row>
    <row r="64" spans="1:14" x14ac:dyDescent="0.3">
      <c r="A64" s="139" t="s">
        <v>456</v>
      </c>
      <c r="B64" s="142">
        <f t="shared" si="12"/>
        <v>0</v>
      </c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</row>
    <row r="65" spans="1:14" ht="28.8" x14ac:dyDescent="0.3">
      <c r="A65" s="139" t="s">
        <v>455</v>
      </c>
      <c r="B65" s="142">
        <f t="shared" si="12"/>
        <v>0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</row>
    <row r="66" spans="1:14" x14ac:dyDescent="0.3">
      <c r="A66" s="145" t="s">
        <v>454</v>
      </c>
      <c r="B66" s="144">
        <f t="shared" si="12"/>
        <v>0</v>
      </c>
      <c r="C66" s="143">
        <f>SUM(C67:C68)</f>
        <v>0</v>
      </c>
      <c r="D66" s="143">
        <f t="shared" ref="D66:N66" si="14">SUM(D67:D68)</f>
        <v>0</v>
      </c>
      <c r="E66" s="143">
        <f t="shared" si="14"/>
        <v>0</v>
      </c>
      <c r="F66" s="143">
        <f t="shared" si="14"/>
        <v>0</v>
      </c>
      <c r="G66" s="143">
        <f t="shared" si="14"/>
        <v>0</v>
      </c>
      <c r="H66" s="143">
        <f t="shared" si="14"/>
        <v>0</v>
      </c>
      <c r="I66" s="143">
        <f t="shared" si="14"/>
        <v>0</v>
      </c>
      <c r="J66" s="143">
        <f t="shared" si="14"/>
        <v>0</v>
      </c>
      <c r="K66" s="143">
        <f t="shared" si="14"/>
        <v>0</v>
      </c>
      <c r="L66" s="143">
        <f t="shared" si="14"/>
        <v>0</v>
      </c>
      <c r="M66" s="143">
        <f t="shared" si="14"/>
        <v>0</v>
      </c>
      <c r="N66" s="143">
        <f t="shared" si="14"/>
        <v>0</v>
      </c>
    </row>
    <row r="67" spans="1:14" x14ac:dyDescent="0.3">
      <c r="A67" s="139" t="s">
        <v>453</v>
      </c>
      <c r="B67" s="142">
        <f t="shared" si="12"/>
        <v>0</v>
      </c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</row>
    <row r="68" spans="1:14" x14ac:dyDescent="0.3">
      <c r="A68" s="139" t="s">
        <v>452</v>
      </c>
      <c r="B68" s="142">
        <f t="shared" si="12"/>
        <v>0</v>
      </c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</row>
    <row r="69" spans="1:14" x14ac:dyDescent="0.3">
      <c r="A69" s="145" t="s">
        <v>451</v>
      </c>
      <c r="B69" s="144">
        <f t="shared" si="12"/>
        <v>0</v>
      </c>
      <c r="C69" s="143">
        <f>SUM(C70:C72)</f>
        <v>0</v>
      </c>
      <c r="D69" s="143">
        <f t="shared" ref="D69:N69" si="15">SUM(D70:D72)</f>
        <v>0</v>
      </c>
      <c r="E69" s="143">
        <f t="shared" si="15"/>
        <v>0</v>
      </c>
      <c r="F69" s="143">
        <f t="shared" si="15"/>
        <v>0</v>
      </c>
      <c r="G69" s="143">
        <f t="shared" si="15"/>
        <v>0</v>
      </c>
      <c r="H69" s="143">
        <f t="shared" si="15"/>
        <v>0</v>
      </c>
      <c r="I69" s="143">
        <f t="shared" si="15"/>
        <v>0</v>
      </c>
      <c r="J69" s="143">
        <f t="shared" si="15"/>
        <v>0</v>
      </c>
      <c r="K69" s="143">
        <f t="shared" si="15"/>
        <v>0</v>
      </c>
      <c r="L69" s="143">
        <f t="shared" si="15"/>
        <v>0</v>
      </c>
      <c r="M69" s="143">
        <f t="shared" si="15"/>
        <v>0</v>
      </c>
      <c r="N69" s="143">
        <f t="shared" si="15"/>
        <v>0</v>
      </c>
    </row>
    <row r="70" spans="1:14" x14ac:dyDescent="0.3">
      <c r="A70" s="139" t="s">
        <v>450</v>
      </c>
      <c r="B70" s="142">
        <f t="shared" si="12"/>
        <v>0</v>
      </c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</row>
    <row r="71" spans="1:14" x14ac:dyDescent="0.3">
      <c r="A71" s="139" t="s">
        <v>449</v>
      </c>
      <c r="B71" s="142">
        <f t="shared" si="12"/>
        <v>0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</row>
    <row r="72" spans="1:14" x14ac:dyDescent="0.3">
      <c r="A72" s="139" t="s">
        <v>448</v>
      </c>
      <c r="B72" s="142">
        <f t="shared" si="12"/>
        <v>0</v>
      </c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</row>
    <row r="73" spans="1:14" x14ac:dyDescent="0.3">
      <c r="A73" s="137" t="s">
        <v>447</v>
      </c>
      <c r="B73" s="136">
        <f>B9+B15+B25+B35+B43+B51+B61+B66+B69</f>
        <v>6821436.5000000009</v>
      </c>
      <c r="C73" s="136">
        <f t="shared" ref="C73:N73" si="16">C9+C15+C25+C35+C43+C51+C61+C66+C69</f>
        <v>6821436.5000000009</v>
      </c>
      <c r="D73" s="136">
        <f t="shared" si="16"/>
        <v>0</v>
      </c>
      <c r="E73" s="136">
        <f t="shared" si="16"/>
        <v>0</v>
      </c>
      <c r="F73" s="136">
        <f t="shared" si="16"/>
        <v>0</v>
      </c>
      <c r="G73" s="136">
        <f t="shared" si="16"/>
        <v>0</v>
      </c>
      <c r="H73" s="136">
        <f t="shared" si="16"/>
        <v>0</v>
      </c>
      <c r="I73" s="136">
        <f>I9+I15+I25+I35+I43+I51+I61+I66+I69</f>
        <v>0</v>
      </c>
      <c r="J73" s="136">
        <f t="shared" si="16"/>
        <v>0</v>
      </c>
      <c r="K73" s="136">
        <f t="shared" si="16"/>
        <v>0</v>
      </c>
      <c r="L73" s="136">
        <f t="shared" si="16"/>
        <v>0</v>
      </c>
      <c r="M73" s="136">
        <f t="shared" si="16"/>
        <v>0</v>
      </c>
      <c r="N73" s="136">
        <f t="shared" si="16"/>
        <v>0</v>
      </c>
    </row>
    <row r="74" spans="1:14" x14ac:dyDescent="0.3">
      <c r="A74" s="141" t="s">
        <v>446</v>
      </c>
      <c r="B74" s="140"/>
      <c r="C74" s="140"/>
      <c r="D74" s="140"/>
      <c r="E74" s="140"/>
      <c r="F74" s="140"/>
      <c r="G74" s="140"/>
      <c r="H74" s="149"/>
      <c r="I74" s="149"/>
      <c r="J74" s="149"/>
      <c r="K74" s="149"/>
      <c r="L74" s="149"/>
      <c r="M74" s="149"/>
      <c r="N74" s="149"/>
    </row>
    <row r="75" spans="1:14" x14ac:dyDescent="0.3">
      <c r="A75" s="141" t="s">
        <v>445</v>
      </c>
      <c r="B75" s="125"/>
      <c r="C75" s="140"/>
      <c r="D75" s="125"/>
      <c r="E75" s="125"/>
      <c r="F75" s="125"/>
      <c r="G75" s="125"/>
      <c r="H75" s="1"/>
      <c r="I75" s="1"/>
      <c r="J75" s="1"/>
      <c r="K75" s="1"/>
      <c r="L75" s="1"/>
      <c r="M75" s="1"/>
      <c r="N75" s="1"/>
    </row>
    <row r="76" spans="1:14" x14ac:dyDescent="0.3">
      <c r="A76" s="139" t="s">
        <v>444</v>
      </c>
      <c r="B76" s="125"/>
      <c r="C76" s="138"/>
      <c r="D76" s="125"/>
      <c r="E76" s="125"/>
      <c r="F76" s="125"/>
      <c r="G76" s="125"/>
      <c r="H76" s="1"/>
      <c r="I76" s="1"/>
      <c r="J76" s="1"/>
      <c r="K76" s="1"/>
      <c r="L76" s="1"/>
      <c r="M76" s="1"/>
      <c r="N76" s="1"/>
    </row>
    <row r="77" spans="1:14" x14ac:dyDescent="0.3">
      <c r="A77" s="139" t="s">
        <v>443</v>
      </c>
      <c r="B77" s="125"/>
      <c r="C77" s="138"/>
      <c r="D77" s="125"/>
      <c r="E77" s="125"/>
      <c r="F77" s="125"/>
      <c r="G77" s="125"/>
      <c r="H77" s="1"/>
      <c r="I77" s="1"/>
      <c r="J77" s="1"/>
      <c r="K77" s="1"/>
      <c r="L77" s="1"/>
      <c r="M77" s="1"/>
      <c r="N77" s="1"/>
    </row>
    <row r="78" spans="1:14" x14ac:dyDescent="0.3">
      <c r="A78" s="141" t="s">
        <v>442</v>
      </c>
      <c r="B78" s="125"/>
      <c r="C78" s="140"/>
      <c r="D78" s="125"/>
      <c r="E78" s="125"/>
      <c r="F78" s="125"/>
      <c r="G78" s="125"/>
      <c r="H78" s="1"/>
      <c r="I78" s="1"/>
      <c r="J78" s="1"/>
      <c r="K78" s="1"/>
      <c r="L78" s="1"/>
      <c r="M78" s="1"/>
      <c r="N78" s="1"/>
    </row>
    <row r="79" spans="1:14" x14ac:dyDescent="0.3">
      <c r="A79" s="139" t="s">
        <v>441</v>
      </c>
      <c r="B79" s="125"/>
      <c r="C79" s="138"/>
      <c r="D79" s="125"/>
      <c r="E79" s="125"/>
      <c r="F79" s="125"/>
      <c r="G79" s="125"/>
      <c r="H79" s="1"/>
      <c r="I79" s="1"/>
      <c r="J79" s="1"/>
      <c r="K79" s="1"/>
      <c r="L79" s="1"/>
      <c r="M79" s="1"/>
      <c r="N79" s="1"/>
    </row>
    <row r="80" spans="1:14" x14ac:dyDescent="0.3">
      <c r="A80" s="139" t="s">
        <v>440</v>
      </c>
      <c r="B80" s="125"/>
      <c r="C80" s="138"/>
      <c r="D80" s="125"/>
      <c r="E80" s="125"/>
      <c r="F80" s="125"/>
      <c r="G80" s="125"/>
      <c r="H80" s="1"/>
      <c r="I80" s="1"/>
      <c r="J80" s="1"/>
      <c r="K80" s="1"/>
      <c r="L80" s="1"/>
      <c r="M80" s="1"/>
      <c r="N80" s="1"/>
    </row>
    <row r="81" spans="1:14" x14ac:dyDescent="0.3">
      <c r="A81" s="141" t="s">
        <v>439</v>
      </c>
      <c r="B81" s="125"/>
      <c r="C81" s="140"/>
      <c r="D81" s="125"/>
      <c r="E81" s="125"/>
      <c r="F81" s="125"/>
      <c r="G81" s="125"/>
      <c r="H81" s="1"/>
      <c r="I81" s="1"/>
      <c r="J81" s="1"/>
      <c r="K81" s="1"/>
      <c r="L81" s="1"/>
      <c r="M81" s="1"/>
      <c r="N81" s="1"/>
    </row>
    <row r="82" spans="1:14" x14ac:dyDescent="0.3">
      <c r="A82" s="139" t="s">
        <v>438</v>
      </c>
      <c r="B82" s="125"/>
      <c r="C82" s="138"/>
      <c r="D82" s="125"/>
      <c r="E82" s="125"/>
      <c r="F82" s="125"/>
      <c r="G82" s="125"/>
      <c r="H82" s="1"/>
      <c r="I82" s="1"/>
      <c r="J82" s="1"/>
      <c r="K82" s="1"/>
      <c r="L82" s="1"/>
      <c r="M82" s="1"/>
      <c r="N82" s="1"/>
    </row>
    <row r="83" spans="1:14" x14ac:dyDescent="0.3">
      <c r="A83" s="137" t="s">
        <v>437</v>
      </c>
      <c r="B83" s="136"/>
      <c r="C83" s="136"/>
      <c r="D83" s="136"/>
      <c r="E83" s="136"/>
      <c r="F83" s="136"/>
      <c r="G83" s="136"/>
      <c r="H83" s="150"/>
      <c r="I83" s="150"/>
      <c r="J83" s="150"/>
      <c r="K83" s="150"/>
      <c r="L83" s="150"/>
      <c r="M83" s="150"/>
      <c r="N83" s="150"/>
    </row>
    <row r="84" spans="1:14" x14ac:dyDescent="0.3">
      <c r="A84" s="1"/>
      <c r="B84" s="125"/>
      <c r="C84" s="125"/>
      <c r="D84" s="125"/>
      <c r="E84" s="125"/>
      <c r="F84" s="125"/>
      <c r="G84" s="125"/>
      <c r="H84" s="1"/>
      <c r="I84" s="1"/>
      <c r="J84" s="1"/>
      <c r="K84" s="1"/>
      <c r="L84" s="1"/>
      <c r="M84" s="1"/>
      <c r="N84" s="1"/>
    </row>
    <row r="85" spans="1:14" ht="15.6" x14ac:dyDescent="0.3">
      <c r="A85" s="135" t="s">
        <v>436</v>
      </c>
      <c r="B85" s="134">
        <f>+B83+B73</f>
        <v>6821436.5000000009</v>
      </c>
      <c r="C85" s="134">
        <f t="shared" ref="C85:N85" si="17">+C83+C73</f>
        <v>6821436.5000000009</v>
      </c>
      <c r="D85" s="134">
        <f t="shared" si="17"/>
        <v>0</v>
      </c>
      <c r="E85" s="134">
        <f t="shared" si="17"/>
        <v>0</v>
      </c>
      <c r="F85" s="134">
        <f t="shared" si="17"/>
        <v>0</v>
      </c>
      <c r="G85" s="134">
        <f t="shared" si="17"/>
        <v>0</v>
      </c>
      <c r="H85" s="134">
        <f t="shared" si="17"/>
        <v>0</v>
      </c>
      <c r="I85" s="134">
        <f t="shared" si="17"/>
        <v>0</v>
      </c>
      <c r="J85" s="134">
        <f t="shared" si="17"/>
        <v>0</v>
      </c>
      <c r="K85" s="134">
        <f t="shared" si="17"/>
        <v>0</v>
      </c>
      <c r="L85" s="134">
        <f t="shared" si="17"/>
        <v>0</v>
      </c>
      <c r="M85" s="134">
        <f t="shared" si="17"/>
        <v>0</v>
      </c>
      <c r="N85" s="134">
        <f t="shared" si="17"/>
        <v>0</v>
      </c>
    </row>
    <row r="86" spans="1:14" x14ac:dyDescent="0.3">
      <c r="A86" t="s">
        <v>651</v>
      </c>
      <c r="B86" s="187"/>
    </row>
    <row r="87" spans="1:14" x14ac:dyDescent="0.3">
      <c r="A87" t="s">
        <v>649</v>
      </c>
      <c r="C87" s="187"/>
      <c r="I87" s="187"/>
      <c r="K87" s="187"/>
    </row>
    <row r="88" spans="1:14" x14ac:dyDescent="0.3">
      <c r="A88" t="s">
        <v>657</v>
      </c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scale="4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I29"/>
  <sheetViews>
    <sheetView zoomScale="90" zoomScaleNormal="90" workbookViewId="0">
      <selection activeCell="F2" sqref="F2"/>
    </sheetView>
  </sheetViews>
  <sheetFormatPr baseColWidth="10" defaultColWidth="11.44140625" defaultRowHeight="14.4" x14ac:dyDescent="0.3"/>
  <cols>
    <col min="1" max="1" width="5.44140625" customWidth="1"/>
    <col min="2" max="2" width="61.5546875" customWidth="1"/>
    <col min="3" max="3" width="30.88671875" customWidth="1"/>
    <col min="5" max="5" width="20.88671875" bestFit="1" customWidth="1"/>
    <col min="6" max="6" width="23.33203125" customWidth="1"/>
    <col min="7" max="7" width="15.44140625" customWidth="1"/>
    <col min="8" max="8" width="16.88671875" customWidth="1"/>
    <col min="9" max="9" width="14.88671875" bestFit="1" customWidth="1"/>
  </cols>
  <sheetData>
    <row r="4" spans="2:9" ht="18" x14ac:dyDescent="0.35">
      <c r="B4" s="627" t="s">
        <v>538</v>
      </c>
      <c r="C4" s="627"/>
      <c r="D4" s="627"/>
      <c r="E4" s="627"/>
      <c r="F4" s="627"/>
      <c r="G4" s="627"/>
      <c r="H4" s="627"/>
    </row>
    <row r="5" spans="2:9" ht="18" x14ac:dyDescent="0.35">
      <c r="B5" s="627" t="s">
        <v>625</v>
      </c>
      <c r="C5" s="627"/>
      <c r="D5" s="627"/>
      <c r="E5" s="627"/>
      <c r="F5" s="627"/>
      <c r="G5" s="627"/>
      <c r="H5" s="627"/>
    </row>
    <row r="6" spans="2:9" ht="18" x14ac:dyDescent="0.35">
      <c r="B6" s="627" t="s">
        <v>924</v>
      </c>
      <c r="C6" s="627"/>
      <c r="D6" s="627"/>
      <c r="E6" s="627"/>
      <c r="F6" s="627"/>
      <c r="G6" s="627"/>
      <c r="H6" s="627"/>
    </row>
    <row r="7" spans="2:9" ht="18.600000000000001" thickBot="1" x14ac:dyDescent="0.4">
      <c r="B7" s="628" t="s">
        <v>611</v>
      </c>
      <c r="C7" s="628"/>
      <c r="D7" s="628"/>
      <c r="E7" s="628"/>
      <c r="F7" s="628"/>
      <c r="G7" s="628"/>
      <c r="H7" s="628"/>
    </row>
    <row r="8" spans="2:9" ht="15.6" x14ac:dyDescent="0.3">
      <c r="B8" s="161" t="s">
        <v>539</v>
      </c>
      <c r="C8" s="629" t="s">
        <v>540</v>
      </c>
      <c r="D8" s="630"/>
      <c r="E8" s="194" t="s">
        <v>541</v>
      </c>
      <c r="F8" s="195" t="s">
        <v>542</v>
      </c>
      <c r="G8" s="196" t="s">
        <v>543</v>
      </c>
      <c r="H8" s="197" t="s">
        <v>544</v>
      </c>
    </row>
    <row r="9" spans="2:9" ht="15.6" x14ac:dyDescent="0.3">
      <c r="B9" s="619" t="s">
        <v>435</v>
      </c>
      <c r="C9" s="621" t="s">
        <v>545</v>
      </c>
      <c r="D9" s="622"/>
      <c r="E9" s="420"/>
      <c r="F9" s="623" t="s">
        <v>546</v>
      </c>
      <c r="G9" s="624"/>
      <c r="H9" s="625"/>
    </row>
    <row r="10" spans="2:9" ht="31.2" x14ac:dyDescent="0.3">
      <c r="B10" s="620"/>
      <c r="C10" s="420" t="s">
        <v>547</v>
      </c>
      <c r="D10" s="420" t="s">
        <v>548</v>
      </c>
      <c r="E10" s="420" t="s">
        <v>434</v>
      </c>
      <c r="F10" s="198" t="s">
        <v>549</v>
      </c>
      <c r="G10" s="162" t="s">
        <v>550</v>
      </c>
      <c r="H10" s="163" t="s">
        <v>551</v>
      </c>
    </row>
    <row r="11" spans="2:9" x14ac:dyDescent="0.3">
      <c r="B11" s="165" t="s">
        <v>626</v>
      </c>
      <c r="C11" s="199"/>
      <c r="D11" s="169"/>
      <c r="E11" s="125"/>
      <c r="F11" s="2"/>
      <c r="G11" s="2"/>
      <c r="H11" s="164"/>
    </row>
    <row r="12" spans="2:9" x14ac:dyDescent="0.3">
      <c r="B12" s="165" t="s">
        <v>552</v>
      </c>
      <c r="C12" s="200">
        <v>44470</v>
      </c>
      <c r="D12" s="200">
        <v>45688</v>
      </c>
      <c r="E12" s="125">
        <f>6455721.37+191917.63+545919.42+146780.59+231604.06+289366.65+335354.64+387110.47+660164.03+254405.37+295100.71+268154.84+476725.77+301006.83+418780.67+471731.75</f>
        <v>11729844.799999999</v>
      </c>
      <c r="F12" s="2"/>
      <c r="G12" s="2"/>
      <c r="H12" s="164"/>
      <c r="I12" s="170"/>
    </row>
    <row r="13" spans="2:9" x14ac:dyDescent="0.3">
      <c r="B13" s="165" t="s">
        <v>553</v>
      </c>
      <c r="C13" s="200">
        <v>45505</v>
      </c>
      <c r="D13" s="200">
        <v>45688</v>
      </c>
      <c r="E13" s="201">
        <v>4432093.6250000019</v>
      </c>
      <c r="F13" s="202"/>
      <c r="G13" s="2"/>
      <c r="H13" s="164"/>
      <c r="I13" s="170"/>
    </row>
    <row r="14" spans="2:9" x14ac:dyDescent="0.3">
      <c r="B14" s="165" t="s">
        <v>554</v>
      </c>
      <c r="C14" s="169"/>
      <c r="D14" s="169"/>
      <c r="E14" s="201"/>
      <c r="F14" s="2"/>
      <c r="G14" s="2"/>
      <c r="H14" s="164"/>
      <c r="I14" s="170"/>
    </row>
    <row r="15" spans="2:9" x14ac:dyDescent="0.3">
      <c r="B15" s="165" t="s">
        <v>555</v>
      </c>
      <c r="C15" s="169"/>
      <c r="D15" s="169"/>
      <c r="E15" s="201"/>
      <c r="F15" s="458"/>
      <c r="G15" s="2"/>
      <c r="H15" s="164"/>
    </row>
    <row r="16" spans="2:9" x14ac:dyDescent="0.3">
      <c r="B16" s="165" t="s">
        <v>556</v>
      </c>
      <c r="C16" s="169">
        <v>45623</v>
      </c>
      <c r="D16" s="169">
        <v>45688</v>
      </c>
      <c r="E16" s="201">
        <f>894240.08+200792.95</f>
        <v>1095033.03</v>
      </c>
      <c r="F16" s="2"/>
      <c r="G16" s="2"/>
      <c r="H16" s="164"/>
    </row>
    <row r="17" spans="2:8" x14ac:dyDescent="0.3">
      <c r="B17" s="165" t="s">
        <v>557</v>
      </c>
      <c r="C17" s="169"/>
      <c r="D17" s="169"/>
      <c r="E17" s="201"/>
      <c r="F17" s="2"/>
      <c r="G17" s="2"/>
      <c r="H17" s="164"/>
    </row>
    <row r="18" spans="2:8" x14ac:dyDescent="0.3">
      <c r="B18" s="165" t="s">
        <v>558</v>
      </c>
      <c r="C18" s="1"/>
      <c r="D18" s="1"/>
      <c r="E18" s="1"/>
      <c r="F18" s="1"/>
      <c r="G18" s="1"/>
      <c r="H18" s="166"/>
    </row>
    <row r="19" spans="2:8" ht="15" thickBot="1" x14ac:dyDescent="0.35">
      <c r="B19" s="203" t="s">
        <v>328</v>
      </c>
      <c r="C19" s="204"/>
      <c r="D19" s="204"/>
      <c r="E19" s="205">
        <f>SUM(E12:E18)+E11</f>
        <v>17256971.455000002</v>
      </c>
      <c r="F19" s="205"/>
      <c r="G19" s="205"/>
      <c r="H19" s="206"/>
    </row>
    <row r="21" spans="2:8" ht="15.6" x14ac:dyDescent="0.3">
      <c r="B21" s="167" t="s">
        <v>559</v>
      </c>
    </row>
    <row r="23" spans="2:8" x14ac:dyDescent="0.3">
      <c r="F23" s="170"/>
    </row>
    <row r="25" spans="2:8" x14ac:dyDescent="0.3">
      <c r="B25" s="626" t="s">
        <v>560</v>
      </c>
      <c r="C25" s="626"/>
      <c r="E25" s="626" t="s">
        <v>561</v>
      </c>
      <c r="F25" s="626"/>
      <c r="G25" s="626"/>
      <c r="H25" s="626"/>
    </row>
    <row r="28" spans="2:8" x14ac:dyDescent="0.3">
      <c r="B28" s="631"/>
      <c r="C28" s="631"/>
      <c r="E28" s="631"/>
      <c r="F28" s="631"/>
      <c r="G28" s="631"/>
      <c r="H28" s="631"/>
    </row>
    <row r="29" spans="2:8" x14ac:dyDescent="0.3">
      <c r="B29" s="632"/>
      <c r="C29" s="632"/>
      <c r="E29" s="632"/>
      <c r="F29" s="632"/>
    </row>
  </sheetData>
  <mergeCells count="14">
    <mergeCell ref="B28:C28"/>
    <mergeCell ref="B29:C29"/>
    <mergeCell ref="E29:F29"/>
    <mergeCell ref="E28:H28"/>
    <mergeCell ref="E25:H25"/>
    <mergeCell ref="B9:B10"/>
    <mergeCell ref="C9:D9"/>
    <mergeCell ref="F9:H9"/>
    <mergeCell ref="B25:C25"/>
    <mergeCell ref="B4:H4"/>
    <mergeCell ref="B5:H5"/>
    <mergeCell ref="B6:H6"/>
    <mergeCell ref="B7:H7"/>
    <mergeCell ref="C8:D8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L228"/>
  <sheetViews>
    <sheetView view="pageBreakPreview" zoomScale="106" zoomScaleNormal="100" zoomScaleSheetLayoutView="106" workbookViewId="0">
      <pane ySplit="8" topLeftCell="A67" activePane="bottomLeft" state="frozen"/>
      <selection activeCell="F1" sqref="F1"/>
      <selection pane="bottomLeft" activeCell="C67" sqref="C67"/>
    </sheetView>
  </sheetViews>
  <sheetFormatPr baseColWidth="10" defaultColWidth="11.44140625" defaultRowHeight="15.6" x14ac:dyDescent="0.3"/>
  <cols>
    <col min="1" max="1" width="11.109375" style="297" bestFit="1" customWidth="1"/>
    <col min="2" max="2" width="51" style="297" bestFit="1" customWidth="1"/>
    <col min="3" max="3" width="16.5546875" style="416" bestFit="1" customWidth="1"/>
    <col min="4" max="4" width="27.44140625" style="297" bestFit="1" customWidth="1"/>
    <col min="5" max="5" width="34" style="300" bestFit="1" customWidth="1"/>
    <col min="6" max="8" width="20.33203125" style="297" bestFit="1" customWidth="1"/>
    <col min="9" max="9" width="20" style="297" bestFit="1" customWidth="1"/>
    <col min="10" max="10" width="16.6640625" style="416" bestFit="1" customWidth="1"/>
    <col min="11" max="11" width="16.5546875" style="416" bestFit="1" customWidth="1"/>
    <col min="12" max="12" width="23.88671875" style="416" bestFit="1" customWidth="1"/>
    <col min="13" max="16384" width="11.44140625" style="297"/>
  </cols>
  <sheetData>
    <row r="1" spans="1:12" s="296" customFormat="1" ht="17.399999999999999" x14ac:dyDescent="0.3">
      <c r="B1" s="406" t="s">
        <v>344</v>
      </c>
      <c r="C1" s="413"/>
      <c r="D1" s="406"/>
      <c r="J1" s="470"/>
      <c r="K1" s="470"/>
      <c r="L1" s="470"/>
    </row>
    <row r="2" spans="1:12" ht="17.399999999999999" x14ac:dyDescent="0.3">
      <c r="B2" s="406" t="s">
        <v>614</v>
      </c>
      <c r="C2" s="413"/>
      <c r="D2" s="406"/>
    </row>
    <row r="3" spans="1:12" ht="17.399999999999999" x14ac:dyDescent="0.3">
      <c r="B3" s="407" t="s">
        <v>615</v>
      </c>
      <c r="C3" s="413"/>
      <c r="D3" s="407"/>
    </row>
    <row r="4" spans="1:12" ht="17.399999999999999" x14ac:dyDescent="0.3">
      <c r="B4" s="407" t="s">
        <v>616</v>
      </c>
      <c r="C4" s="413"/>
      <c r="D4" s="407"/>
    </row>
    <row r="5" spans="1:12" ht="17.399999999999999" x14ac:dyDescent="0.3">
      <c r="B5" s="405" t="s">
        <v>925</v>
      </c>
      <c r="C5" s="414"/>
      <c r="D5" s="405"/>
      <c r="E5" s="405"/>
      <c r="F5" s="405"/>
      <c r="G5" s="405"/>
      <c r="H5" s="405"/>
      <c r="I5" s="405"/>
      <c r="J5" s="414"/>
      <c r="K5" s="414"/>
      <c r="L5" s="414"/>
    </row>
    <row r="6" spans="1:12" ht="17.399999999999999" x14ac:dyDescent="0.3">
      <c r="C6" s="415"/>
      <c r="D6" s="304"/>
      <c r="E6" s="390"/>
      <c r="F6" s="390"/>
    </row>
    <row r="7" spans="1:12" ht="17.399999999999999" x14ac:dyDescent="0.3">
      <c r="D7" s="305"/>
      <c r="E7" s="306"/>
      <c r="F7" s="307"/>
    </row>
    <row r="8" spans="1:12" s="403" customFormat="1" ht="39.75" customHeight="1" x14ac:dyDescent="0.3">
      <c r="A8" s="401" t="s">
        <v>658</v>
      </c>
      <c r="B8" s="402" t="s">
        <v>659</v>
      </c>
      <c r="C8" s="417" t="s">
        <v>434</v>
      </c>
      <c r="D8" s="402" t="s">
        <v>660</v>
      </c>
      <c r="E8" s="401" t="s">
        <v>661</v>
      </c>
      <c r="F8" s="401" t="s">
        <v>662</v>
      </c>
      <c r="G8" s="401" t="s">
        <v>663</v>
      </c>
      <c r="H8" s="401" t="s">
        <v>664</v>
      </c>
      <c r="I8" s="401" t="s">
        <v>665</v>
      </c>
      <c r="J8" s="471" t="s">
        <v>632</v>
      </c>
      <c r="K8" s="476" t="s">
        <v>1219</v>
      </c>
      <c r="L8" s="472" t="s">
        <v>328</v>
      </c>
    </row>
    <row r="9" spans="1:12" hidden="1" x14ac:dyDescent="0.3">
      <c r="A9" s="298">
        <v>1</v>
      </c>
      <c r="B9" s="380" t="s">
        <v>758</v>
      </c>
      <c r="C9" s="386">
        <v>14300</v>
      </c>
      <c r="D9" s="381" t="s">
        <v>792</v>
      </c>
      <c r="E9" s="400"/>
      <c r="F9" s="382"/>
      <c r="G9" s="298"/>
      <c r="H9" s="386">
        <v>14300</v>
      </c>
      <c r="I9" s="386"/>
      <c r="J9" s="327"/>
      <c r="K9" s="382"/>
      <c r="L9" s="327">
        <f t="shared" ref="L9:L40" si="0">SUM(E9:K9)</f>
        <v>14300</v>
      </c>
    </row>
    <row r="10" spans="1:12" hidden="1" x14ac:dyDescent="0.3">
      <c r="A10" s="298">
        <f>+A9+1</f>
        <v>2</v>
      </c>
      <c r="B10" s="380" t="s">
        <v>666</v>
      </c>
      <c r="C10" s="386">
        <v>54000</v>
      </c>
      <c r="D10" s="381" t="s">
        <v>792</v>
      </c>
      <c r="E10" s="400"/>
      <c r="F10" s="382"/>
      <c r="G10" s="298"/>
      <c r="H10" s="298"/>
      <c r="I10" s="386">
        <v>54000</v>
      </c>
      <c r="J10" s="327"/>
      <c r="K10" s="327"/>
      <c r="L10" s="327">
        <f t="shared" si="0"/>
        <v>54000</v>
      </c>
    </row>
    <row r="11" spans="1:12" hidden="1" x14ac:dyDescent="0.3">
      <c r="A11" s="298">
        <f t="shared" ref="A11:A74" si="1">+A10+1</f>
        <v>3</v>
      </c>
      <c r="B11" s="388" t="s">
        <v>683</v>
      </c>
      <c r="C11" s="386">
        <v>11375</v>
      </c>
      <c r="D11" s="381" t="s">
        <v>792</v>
      </c>
      <c r="E11" s="400"/>
      <c r="F11" s="382"/>
      <c r="G11" s="298"/>
      <c r="H11" s="298"/>
      <c r="I11" s="386">
        <v>11375</v>
      </c>
      <c r="J11" s="473"/>
      <c r="K11" s="327"/>
      <c r="L11" s="327">
        <f t="shared" si="0"/>
        <v>11375</v>
      </c>
    </row>
    <row r="12" spans="1:12" hidden="1" x14ac:dyDescent="0.3">
      <c r="A12" s="298">
        <f t="shared" si="1"/>
        <v>4</v>
      </c>
      <c r="B12" s="384" t="s">
        <v>683</v>
      </c>
      <c r="C12" s="386">
        <v>94965</v>
      </c>
      <c r="D12" s="381" t="s">
        <v>792</v>
      </c>
      <c r="E12" s="400"/>
      <c r="F12" s="382"/>
      <c r="G12" s="298"/>
      <c r="H12" s="298"/>
      <c r="I12" s="386">
        <v>94965</v>
      </c>
      <c r="J12" s="473"/>
      <c r="K12" s="327"/>
      <c r="L12" s="327">
        <f t="shared" si="0"/>
        <v>94965</v>
      </c>
    </row>
    <row r="13" spans="1:12" hidden="1" x14ac:dyDescent="0.3">
      <c r="A13" s="298">
        <f t="shared" si="1"/>
        <v>5</v>
      </c>
      <c r="B13" s="384" t="s">
        <v>775</v>
      </c>
      <c r="C13" s="386">
        <v>1650</v>
      </c>
      <c r="D13" s="381" t="s">
        <v>792</v>
      </c>
      <c r="E13" s="400"/>
      <c r="F13" s="382"/>
      <c r="G13" s="298"/>
      <c r="H13" s="298"/>
      <c r="I13" s="386">
        <v>1650</v>
      </c>
      <c r="J13" s="474"/>
      <c r="K13" s="327"/>
      <c r="L13" s="327">
        <f t="shared" si="0"/>
        <v>1650</v>
      </c>
    </row>
    <row r="14" spans="1:12" hidden="1" x14ac:dyDescent="0.3">
      <c r="A14" s="298">
        <f t="shared" si="1"/>
        <v>6</v>
      </c>
      <c r="B14" s="380" t="s">
        <v>775</v>
      </c>
      <c r="C14" s="386">
        <v>1650</v>
      </c>
      <c r="D14" s="381" t="s">
        <v>792</v>
      </c>
      <c r="E14" s="400"/>
      <c r="F14" s="382"/>
      <c r="G14" s="298"/>
      <c r="H14" s="298"/>
      <c r="I14" s="386">
        <v>1650</v>
      </c>
      <c r="J14" s="382"/>
      <c r="K14" s="327"/>
      <c r="L14" s="327">
        <f t="shared" si="0"/>
        <v>1650</v>
      </c>
    </row>
    <row r="15" spans="1:12" hidden="1" x14ac:dyDescent="0.3">
      <c r="A15" s="298">
        <f t="shared" si="1"/>
        <v>7</v>
      </c>
      <c r="B15" s="387" t="s">
        <v>619</v>
      </c>
      <c r="C15" s="386">
        <v>88116</v>
      </c>
      <c r="D15" s="381" t="s">
        <v>792</v>
      </c>
      <c r="E15" s="400"/>
      <c r="F15" s="382"/>
      <c r="G15" s="298"/>
      <c r="H15" s="298"/>
      <c r="I15" s="386">
        <v>88116</v>
      </c>
      <c r="J15" s="327"/>
      <c r="K15" s="327"/>
      <c r="L15" s="327">
        <f t="shared" si="0"/>
        <v>88116</v>
      </c>
    </row>
    <row r="16" spans="1:12" hidden="1" x14ac:dyDescent="0.3">
      <c r="A16" s="298">
        <f t="shared" si="1"/>
        <v>8</v>
      </c>
      <c r="B16" s="380" t="s">
        <v>670</v>
      </c>
      <c r="C16" s="386">
        <v>53395</v>
      </c>
      <c r="D16" s="381" t="s">
        <v>792</v>
      </c>
      <c r="E16" s="400"/>
      <c r="F16" s="382"/>
      <c r="G16" s="298"/>
      <c r="H16" s="298"/>
      <c r="I16" s="386">
        <v>53395</v>
      </c>
      <c r="J16" s="473"/>
      <c r="K16" s="327"/>
      <c r="L16" s="327">
        <f t="shared" si="0"/>
        <v>53395</v>
      </c>
    </row>
    <row r="17" spans="1:12" hidden="1" x14ac:dyDescent="0.3">
      <c r="A17" s="298">
        <f t="shared" si="1"/>
        <v>9</v>
      </c>
      <c r="B17" s="380" t="s">
        <v>789</v>
      </c>
      <c r="C17" s="386">
        <v>224775</v>
      </c>
      <c r="D17" s="381" t="s">
        <v>792</v>
      </c>
      <c r="E17" s="400"/>
      <c r="F17" s="382"/>
      <c r="G17" s="298"/>
      <c r="H17" s="298"/>
      <c r="I17" s="386">
        <v>224775</v>
      </c>
      <c r="J17" s="473"/>
      <c r="K17" s="327"/>
      <c r="L17" s="327">
        <f t="shared" si="0"/>
        <v>224775</v>
      </c>
    </row>
    <row r="18" spans="1:12" hidden="1" x14ac:dyDescent="0.3">
      <c r="A18" s="298">
        <f t="shared" si="1"/>
        <v>10</v>
      </c>
      <c r="B18" s="380" t="s">
        <v>620</v>
      </c>
      <c r="C18" s="386">
        <v>287920</v>
      </c>
      <c r="D18" s="381" t="s">
        <v>792</v>
      </c>
      <c r="E18" s="400"/>
      <c r="F18" s="382"/>
      <c r="G18" s="327"/>
      <c r="H18" s="298"/>
      <c r="I18" s="386">
        <v>287920</v>
      </c>
      <c r="J18" s="327"/>
      <c r="K18" s="327"/>
      <c r="L18" s="327">
        <f t="shared" si="0"/>
        <v>287920</v>
      </c>
    </row>
    <row r="19" spans="1:12" hidden="1" x14ac:dyDescent="0.3">
      <c r="A19" s="298">
        <f t="shared" si="1"/>
        <v>11</v>
      </c>
      <c r="B19" s="380" t="s">
        <v>731</v>
      </c>
      <c r="C19" s="386">
        <v>25180</v>
      </c>
      <c r="D19" s="381" t="s">
        <v>792</v>
      </c>
      <c r="E19" s="400"/>
      <c r="F19" s="382"/>
      <c r="G19" s="298"/>
      <c r="H19" s="298"/>
      <c r="I19" s="386">
        <v>25180</v>
      </c>
      <c r="J19" s="327"/>
      <c r="K19" s="327"/>
      <c r="L19" s="327">
        <f t="shared" si="0"/>
        <v>25180</v>
      </c>
    </row>
    <row r="20" spans="1:12" hidden="1" x14ac:dyDescent="0.3">
      <c r="A20" s="298">
        <f t="shared" si="1"/>
        <v>12</v>
      </c>
      <c r="B20" s="388" t="s">
        <v>788</v>
      </c>
      <c r="C20" s="386">
        <v>220483.05</v>
      </c>
      <c r="D20" s="381" t="s">
        <v>792</v>
      </c>
      <c r="E20" s="400"/>
      <c r="F20" s="382"/>
      <c r="G20" s="298"/>
      <c r="H20" s="298"/>
      <c r="I20" s="386">
        <v>220483.05</v>
      </c>
      <c r="J20" s="473"/>
      <c r="K20" s="327"/>
      <c r="L20" s="327">
        <f t="shared" si="0"/>
        <v>220483.05</v>
      </c>
    </row>
    <row r="21" spans="1:12" hidden="1" x14ac:dyDescent="0.3">
      <c r="A21" s="298">
        <f t="shared" si="1"/>
        <v>13</v>
      </c>
      <c r="B21" s="384" t="s">
        <v>621</v>
      </c>
      <c r="C21" s="386">
        <v>58382.86</v>
      </c>
      <c r="D21" s="381" t="s">
        <v>792</v>
      </c>
      <c r="E21" s="400"/>
      <c r="F21" s="382"/>
      <c r="G21" s="298"/>
      <c r="H21" s="298"/>
      <c r="I21" s="386">
        <v>58382.86</v>
      </c>
      <c r="J21" s="327"/>
      <c r="K21" s="473"/>
      <c r="L21" s="327">
        <f t="shared" si="0"/>
        <v>58382.86</v>
      </c>
    </row>
    <row r="22" spans="1:12" hidden="1" x14ac:dyDescent="0.3">
      <c r="A22" s="298">
        <f t="shared" si="1"/>
        <v>14</v>
      </c>
      <c r="B22" s="388" t="s">
        <v>789</v>
      </c>
      <c r="C22" s="386">
        <v>171690</v>
      </c>
      <c r="D22" s="381" t="s">
        <v>792</v>
      </c>
      <c r="E22" s="400"/>
      <c r="F22" s="382"/>
      <c r="G22" s="298"/>
      <c r="H22" s="298"/>
      <c r="I22" s="386">
        <v>171690</v>
      </c>
      <c r="J22" s="473"/>
      <c r="K22" s="327"/>
      <c r="L22" s="327">
        <f t="shared" si="0"/>
        <v>171690</v>
      </c>
    </row>
    <row r="23" spans="1:12" hidden="1" x14ac:dyDescent="0.3">
      <c r="A23" s="298">
        <f t="shared" si="1"/>
        <v>15</v>
      </c>
      <c r="B23" s="380" t="s">
        <v>652</v>
      </c>
      <c r="C23" s="386">
        <v>200600</v>
      </c>
      <c r="D23" s="381" t="s">
        <v>792</v>
      </c>
      <c r="E23" s="400"/>
      <c r="F23" s="382"/>
      <c r="G23" s="298"/>
      <c r="H23" s="298"/>
      <c r="I23" s="386">
        <v>200600</v>
      </c>
      <c r="J23" s="327"/>
      <c r="K23" s="382"/>
      <c r="L23" s="327">
        <f t="shared" si="0"/>
        <v>200600</v>
      </c>
    </row>
    <row r="24" spans="1:12" hidden="1" x14ac:dyDescent="0.3">
      <c r="A24" s="298">
        <f t="shared" si="1"/>
        <v>16</v>
      </c>
      <c r="B24" s="383" t="s">
        <v>761</v>
      </c>
      <c r="C24" s="386">
        <v>85629.6</v>
      </c>
      <c r="D24" s="381" t="s">
        <v>792</v>
      </c>
      <c r="E24" s="400"/>
      <c r="F24" s="382"/>
      <c r="G24" s="298"/>
      <c r="H24" s="298"/>
      <c r="I24" s="386">
        <v>85629.6</v>
      </c>
      <c r="J24" s="473"/>
      <c r="K24" s="327"/>
      <c r="L24" s="327">
        <f t="shared" si="0"/>
        <v>85629.6</v>
      </c>
    </row>
    <row r="25" spans="1:12" hidden="1" x14ac:dyDescent="0.3">
      <c r="A25" s="298">
        <f t="shared" si="1"/>
        <v>17</v>
      </c>
      <c r="B25" s="387" t="s">
        <v>761</v>
      </c>
      <c r="C25" s="386">
        <v>167208</v>
      </c>
      <c r="D25" s="381" t="s">
        <v>792</v>
      </c>
      <c r="E25" s="400"/>
      <c r="F25" s="382"/>
      <c r="G25" s="298"/>
      <c r="H25" s="298"/>
      <c r="I25" s="386">
        <v>167208</v>
      </c>
      <c r="J25" s="327"/>
      <c r="K25" s="382"/>
      <c r="L25" s="327">
        <f t="shared" si="0"/>
        <v>167208</v>
      </c>
    </row>
    <row r="26" spans="1:12" hidden="1" x14ac:dyDescent="0.3">
      <c r="A26" s="298">
        <f t="shared" si="1"/>
        <v>18</v>
      </c>
      <c r="B26" s="380" t="s">
        <v>771</v>
      </c>
      <c r="C26" s="386">
        <v>150096</v>
      </c>
      <c r="D26" s="381" t="s">
        <v>792</v>
      </c>
      <c r="E26" s="400"/>
      <c r="F26" s="382"/>
      <c r="G26" s="298"/>
      <c r="H26" s="298"/>
      <c r="I26" s="386">
        <v>150096</v>
      </c>
      <c r="J26" s="327"/>
      <c r="K26" s="327"/>
      <c r="L26" s="327">
        <f t="shared" si="0"/>
        <v>150096</v>
      </c>
    </row>
    <row r="27" spans="1:12" hidden="1" x14ac:dyDescent="0.3">
      <c r="A27" s="298">
        <f t="shared" si="1"/>
        <v>19</v>
      </c>
      <c r="B27" s="380" t="s">
        <v>622</v>
      </c>
      <c r="C27" s="386">
        <v>252089.3</v>
      </c>
      <c r="D27" s="381" t="s">
        <v>792</v>
      </c>
      <c r="E27" s="400"/>
      <c r="F27" s="382"/>
      <c r="G27" s="298"/>
      <c r="H27" s="298"/>
      <c r="I27" s="386">
        <v>252089.3</v>
      </c>
      <c r="J27" s="386"/>
      <c r="K27" s="327"/>
      <c r="L27" s="327">
        <f t="shared" si="0"/>
        <v>252089.3</v>
      </c>
    </row>
    <row r="28" spans="1:12" hidden="1" x14ac:dyDescent="0.3">
      <c r="A28" s="298">
        <f t="shared" si="1"/>
        <v>20</v>
      </c>
      <c r="B28" s="383" t="s">
        <v>644</v>
      </c>
      <c r="C28" s="386">
        <v>39361.26</v>
      </c>
      <c r="D28" s="381" t="s">
        <v>792</v>
      </c>
      <c r="E28" s="400"/>
      <c r="F28" s="386"/>
      <c r="G28" s="298"/>
      <c r="H28" s="298"/>
      <c r="I28" s="298"/>
      <c r="J28" s="386">
        <v>39361.26</v>
      </c>
      <c r="K28" s="327"/>
      <c r="L28" s="327">
        <f t="shared" si="0"/>
        <v>39361.26</v>
      </c>
    </row>
    <row r="29" spans="1:12" hidden="1" x14ac:dyDescent="0.3">
      <c r="A29" s="298">
        <f t="shared" si="1"/>
        <v>21</v>
      </c>
      <c r="B29" s="384" t="s">
        <v>618</v>
      </c>
      <c r="C29" s="386">
        <v>88100</v>
      </c>
      <c r="D29" s="381" t="s">
        <v>792</v>
      </c>
      <c r="E29" s="400"/>
      <c r="F29" s="382"/>
      <c r="G29" s="298"/>
      <c r="H29" s="298"/>
      <c r="I29" s="298"/>
      <c r="J29" s="386">
        <v>88100</v>
      </c>
      <c r="K29" s="382"/>
      <c r="L29" s="327">
        <f t="shared" si="0"/>
        <v>88100</v>
      </c>
    </row>
    <row r="30" spans="1:12" hidden="1" x14ac:dyDescent="0.3">
      <c r="A30" s="298">
        <f t="shared" si="1"/>
        <v>22</v>
      </c>
      <c r="B30" s="384" t="s">
        <v>785</v>
      </c>
      <c r="C30" s="386">
        <v>120006</v>
      </c>
      <c r="D30" s="381" t="s">
        <v>792</v>
      </c>
      <c r="E30" s="400"/>
      <c r="F30" s="382"/>
      <c r="G30" s="298"/>
      <c r="H30" s="298"/>
      <c r="I30" s="298"/>
      <c r="J30" s="386">
        <v>120006</v>
      </c>
      <c r="K30" s="327"/>
      <c r="L30" s="327">
        <f t="shared" si="0"/>
        <v>120006</v>
      </c>
    </row>
    <row r="31" spans="1:12" hidden="1" x14ac:dyDescent="0.3">
      <c r="A31" s="298">
        <f t="shared" si="1"/>
        <v>23</v>
      </c>
      <c r="B31" s="380" t="s">
        <v>687</v>
      </c>
      <c r="C31" s="386">
        <v>253810.92</v>
      </c>
      <c r="D31" s="381" t="s">
        <v>792</v>
      </c>
      <c r="E31" s="400"/>
      <c r="F31" s="382"/>
      <c r="G31" s="298"/>
      <c r="H31" s="298"/>
      <c r="I31" s="298"/>
      <c r="J31" s="386">
        <v>253810.92</v>
      </c>
      <c r="K31" s="386"/>
      <c r="L31" s="327">
        <f t="shared" si="0"/>
        <v>253810.92</v>
      </c>
    </row>
    <row r="32" spans="1:12" hidden="1" x14ac:dyDescent="0.3">
      <c r="A32" s="298">
        <f t="shared" si="1"/>
        <v>24</v>
      </c>
      <c r="B32" s="380" t="s">
        <v>687</v>
      </c>
      <c r="C32" s="386">
        <v>298492.79999999999</v>
      </c>
      <c r="D32" s="381" t="s">
        <v>792</v>
      </c>
      <c r="E32" s="400"/>
      <c r="F32" s="382"/>
      <c r="G32" s="298"/>
      <c r="H32" s="298"/>
      <c r="I32" s="298"/>
      <c r="J32" s="386">
        <v>298492.79999999999</v>
      </c>
      <c r="K32" s="386"/>
      <c r="L32" s="327">
        <f t="shared" si="0"/>
        <v>298492.79999999999</v>
      </c>
    </row>
    <row r="33" spans="1:12" hidden="1" x14ac:dyDescent="0.3">
      <c r="A33" s="298">
        <f t="shared" si="1"/>
        <v>25</v>
      </c>
      <c r="B33" s="381" t="s">
        <v>654</v>
      </c>
      <c r="C33" s="386">
        <v>5568</v>
      </c>
      <c r="D33" s="381" t="s">
        <v>792</v>
      </c>
      <c r="E33" s="400"/>
      <c r="F33" s="382"/>
      <c r="G33" s="298"/>
      <c r="H33" s="298"/>
      <c r="I33" s="323"/>
      <c r="J33" s="386">
        <v>5568</v>
      </c>
      <c r="K33" s="386"/>
      <c r="L33" s="327">
        <f t="shared" si="0"/>
        <v>5568</v>
      </c>
    </row>
    <row r="34" spans="1:12" hidden="1" x14ac:dyDescent="0.3">
      <c r="A34" s="298">
        <f t="shared" si="1"/>
        <v>26</v>
      </c>
      <c r="B34" s="381" t="s">
        <v>745</v>
      </c>
      <c r="C34" s="386">
        <v>215000</v>
      </c>
      <c r="D34" s="381" t="s">
        <v>792</v>
      </c>
      <c r="E34" s="400"/>
      <c r="F34" s="382"/>
      <c r="G34" s="298"/>
      <c r="H34" s="298"/>
      <c r="I34" s="382"/>
      <c r="J34" s="386">
        <v>215000</v>
      </c>
      <c r="K34" s="386"/>
      <c r="L34" s="327">
        <f t="shared" si="0"/>
        <v>215000</v>
      </c>
    </row>
    <row r="35" spans="1:12" hidden="1" x14ac:dyDescent="0.3">
      <c r="A35" s="298">
        <f t="shared" si="1"/>
        <v>27</v>
      </c>
      <c r="B35" s="388" t="s">
        <v>668</v>
      </c>
      <c r="C35" s="386">
        <v>6369.3686000000007</v>
      </c>
      <c r="D35" s="381" t="s">
        <v>792</v>
      </c>
      <c r="E35" s="400"/>
      <c r="F35" s="382"/>
      <c r="G35" s="298"/>
      <c r="H35" s="382"/>
      <c r="I35" s="323"/>
      <c r="J35" s="386">
        <v>6369.3686000000007</v>
      </c>
      <c r="K35" s="386"/>
      <c r="L35" s="327">
        <f t="shared" si="0"/>
        <v>6369.3686000000007</v>
      </c>
    </row>
    <row r="36" spans="1:12" hidden="1" x14ac:dyDescent="0.3">
      <c r="A36" s="298">
        <f t="shared" si="1"/>
        <v>28</v>
      </c>
      <c r="B36" s="384" t="s">
        <v>653</v>
      </c>
      <c r="C36" s="386">
        <v>48852</v>
      </c>
      <c r="D36" s="381" t="s">
        <v>792</v>
      </c>
      <c r="E36" s="400"/>
      <c r="F36" s="382"/>
      <c r="G36" s="298"/>
      <c r="H36" s="298"/>
      <c r="I36" s="298"/>
      <c r="J36" s="386">
        <v>48852</v>
      </c>
      <c r="K36" s="386"/>
      <c r="L36" s="327">
        <f t="shared" si="0"/>
        <v>48852</v>
      </c>
    </row>
    <row r="37" spans="1:12" hidden="1" x14ac:dyDescent="0.3">
      <c r="A37" s="298">
        <f t="shared" si="1"/>
        <v>29</v>
      </c>
      <c r="B37" s="380" t="s">
        <v>653</v>
      </c>
      <c r="C37" s="386">
        <v>48852</v>
      </c>
      <c r="D37" s="381" t="s">
        <v>792</v>
      </c>
      <c r="E37" s="400"/>
      <c r="F37" s="382"/>
      <c r="G37" s="298"/>
      <c r="H37" s="298"/>
      <c r="I37" s="298"/>
      <c r="J37" s="386">
        <v>48852</v>
      </c>
      <c r="K37" s="327"/>
      <c r="L37" s="327">
        <f t="shared" si="0"/>
        <v>48852</v>
      </c>
    </row>
    <row r="38" spans="1:12" hidden="1" x14ac:dyDescent="0.3">
      <c r="A38" s="298">
        <f t="shared" si="1"/>
        <v>30</v>
      </c>
      <c r="B38" s="387" t="s">
        <v>668</v>
      </c>
      <c r="C38" s="386">
        <v>12832.5</v>
      </c>
      <c r="D38" s="381" t="s">
        <v>792</v>
      </c>
      <c r="E38" s="400"/>
      <c r="F38" s="382"/>
      <c r="G38" s="298"/>
      <c r="H38" s="298"/>
      <c r="I38" s="298"/>
      <c r="J38" s="386">
        <v>12832.5</v>
      </c>
      <c r="K38" s="382"/>
      <c r="L38" s="327">
        <f t="shared" si="0"/>
        <v>12832.5</v>
      </c>
    </row>
    <row r="39" spans="1:12" hidden="1" x14ac:dyDescent="0.3">
      <c r="A39" s="298">
        <f t="shared" si="1"/>
        <v>31</v>
      </c>
      <c r="B39" s="380" t="s">
        <v>622</v>
      </c>
      <c r="C39" s="386">
        <v>42000</v>
      </c>
      <c r="D39" s="381" t="s">
        <v>792</v>
      </c>
      <c r="E39" s="400"/>
      <c r="F39" s="382"/>
      <c r="G39" s="298"/>
      <c r="H39" s="298"/>
      <c r="I39" s="382"/>
      <c r="J39" s="386">
        <v>42000</v>
      </c>
      <c r="K39" s="327"/>
      <c r="L39" s="327">
        <f t="shared" si="0"/>
        <v>42000</v>
      </c>
    </row>
    <row r="40" spans="1:12" hidden="1" x14ac:dyDescent="0.3">
      <c r="A40" s="298">
        <f t="shared" si="1"/>
        <v>32</v>
      </c>
      <c r="B40" s="388" t="s">
        <v>755</v>
      </c>
      <c r="C40" s="386">
        <v>125976.8</v>
      </c>
      <c r="D40" s="381" t="s">
        <v>792</v>
      </c>
      <c r="E40" s="400"/>
      <c r="F40" s="382"/>
      <c r="G40" s="298"/>
      <c r="H40" s="298"/>
      <c r="I40" s="298"/>
      <c r="J40" s="386">
        <v>125976.8</v>
      </c>
      <c r="K40" s="327"/>
      <c r="L40" s="327">
        <f t="shared" si="0"/>
        <v>125976.8</v>
      </c>
    </row>
    <row r="41" spans="1:12" hidden="1" x14ac:dyDescent="0.3">
      <c r="A41" s="298">
        <f t="shared" si="1"/>
        <v>33</v>
      </c>
      <c r="B41" s="384" t="s">
        <v>617</v>
      </c>
      <c r="C41" s="386">
        <v>43200</v>
      </c>
      <c r="D41" s="381" t="s">
        <v>792</v>
      </c>
      <c r="E41" s="400"/>
      <c r="F41" s="382"/>
      <c r="G41" s="298"/>
      <c r="H41" s="298"/>
      <c r="I41" s="382"/>
      <c r="J41" s="386">
        <v>43200</v>
      </c>
      <c r="K41" s="327"/>
      <c r="L41" s="327">
        <f t="shared" ref="L41:L72" si="2">SUM(E41:K41)</f>
        <v>43200</v>
      </c>
    </row>
    <row r="42" spans="1:12" hidden="1" x14ac:dyDescent="0.3">
      <c r="A42" s="298">
        <f t="shared" si="1"/>
        <v>34</v>
      </c>
      <c r="B42" s="388" t="s">
        <v>648</v>
      </c>
      <c r="C42" s="386">
        <v>65000</v>
      </c>
      <c r="D42" s="381" t="s">
        <v>792</v>
      </c>
      <c r="E42" s="400"/>
      <c r="F42" s="382"/>
      <c r="G42" s="298"/>
      <c r="H42" s="298"/>
      <c r="I42" s="298"/>
      <c r="J42" s="386">
        <v>65000</v>
      </c>
      <c r="K42" s="327"/>
      <c r="L42" s="327">
        <f t="shared" si="2"/>
        <v>65000</v>
      </c>
    </row>
    <row r="43" spans="1:12" hidden="1" x14ac:dyDescent="0.3">
      <c r="A43" s="298">
        <f t="shared" si="1"/>
        <v>35</v>
      </c>
      <c r="B43" s="384" t="s">
        <v>618</v>
      </c>
      <c r="C43" s="386">
        <v>3450</v>
      </c>
      <c r="D43" s="381" t="s">
        <v>792</v>
      </c>
      <c r="E43" s="400"/>
      <c r="F43" s="382"/>
      <c r="G43" s="324"/>
      <c r="H43" s="298"/>
      <c r="I43" s="298"/>
      <c r="J43" s="386">
        <v>3450</v>
      </c>
      <c r="K43" s="327"/>
      <c r="L43" s="327">
        <f t="shared" si="2"/>
        <v>3450</v>
      </c>
    </row>
    <row r="44" spans="1:12" hidden="1" x14ac:dyDescent="0.3">
      <c r="A44" s="298">
        <f t="shared" si="1"/>
        <v>36</v>
      </c>
      <c r="B44" s="380" t="s">
        <v>668</v>
      </c>
      <c r="C44" s="386">
        <v>5459.4587999999994</v>
      </c>
      <c r="D44" s="381" t="s">
        <v>792</v>
      </c>
      <c r="E44" s="400"/>
      <c r="F44" s="382"/>
      <c r="G44" s="298"/>
      <c r="H44" s="298"/>
      <c r="I44" s="298"/>
      <c r="J44" s="386">
        <v>5459.4587999999994</v>
      </c>
      <c r="K44" s="327"/>
      <c r="L44" s="327">
        <f t="shared" si="2"/>
        <v>5459.4587999999994</v>
      </c>
    </row>
    <row r="45" spans="1:12" hidden="1" x14ac:dyDescent="0.3">
      <c r="A45" s="298">
        <f t="shared" si="1"/>
        <v>37</v>
      </c>
      <c r="B45" s="380" t="s">
        <v>618</v>
      </c>
      <c r="C45" s="386">
        <v>77150</v>
      </c>
      <c r="D45" s="381" t="s">
        <v>792</v>
      </c>
      <c r="E45" s="400"/>
      <c r="F45" s="382"/>
      <c r="G45" s="298"/>
      <c r="H45" s="298"/>
      <c r="I45" s="298"/>
      <c r="J45" s="386">
        <v>77150</v>
      </c>
      <c r="K45" s="327"/>
      <c r="L45" s="327">
        <f t="shared" si="2"/>
        <v>77150</v>
      </c>
    </row>
    <row r="46" spans="1:12" hidden="1" x14ac:dyDescent="0.3">
      <c r="A46" s="298">
        <f t="shared" si="1"/>
        <v>38</v>
      </c>
      <c r="B46" s="385" t="s">
        <v>771</v>
      </c>
      <c r="C46" s="386">
        <v>162462.39999999999</v>
      </c>
      <c r="D46" s="381" t="s">
        <v>792</v>
      </c>
      <c r="E46" s="400"/>
      <c r="F46" s="382"/>
      <c r="G46" s="298"/>
      <c r="H46" s="298"/>
      <c r="I46" s="298"/>
      <c r="J46" s="386">
        <v>162462.39999999999</v>
      </c>
      <c r="K46" s="327"/>
      <c r="L46" s="327">
        <f t="shared" si="2"/>
        <v>162462.39999999999</v>
      </c>
    </row>
    <row r="47" spans="1:12" hidden="1" x14ac:dyDescent="0.3">
      <c r="A47" s="298">
        <f t="shared" si="1"/>
        <v>39</v>
      </c>
      <c r="B47" s="380" t="s">
        <v>617</v>
      </c>
      <c r="C47" s="386">
        <v>43200</v>
      </c>
      <c r="D47" s="381" t="s">
        <v>792</v>
      </c>
      <c r="E47" s="400"/>
      <c r="F47" s="382"/>
      <c r="G47" s="298"/>
      <c r="H47" s="298"/>
      <c r="I47" s="298"/>
      <c r="J47" s="386">
        <v>43200</v>
      </c>
      <c r="K47" s="327"/>
      <c r="L47" s="327">
        <f t="shared" si="2"/>
        <v>43200</v>
      </c>
    </row>
    <row r="48" spans="1:12" hidden="1" x14ac:dyDescent="0.3">
      <c r="A48" s="298">
        <f t="shared" si="1"/>
        <v>40</v>
      </c>
      <c r="B48" s="380" t="s">
        <v>668</v>
      </c>
      <c r="C48" s="386">
        <v>853.73</v>
      </c>
      <c r="D48" s="381" t="s">
        <v>792</v>
      </c>
      <c r="E48" s="400"/>
      <c r="F48" s="382"/>
      <c r="G48" s="298"/>
      <c r="H48" s="298"/>
      <c r="I48" s="298"/>
      <c r="J48" s="386">
        <v>853.73</v>
      </c>
      <c r="K48" s="327"/>
      <c r="L48" s="327">
        <f t="shared" si="2"/>
        <v>853.73</v>
      </c>
    </row>
    <row r="49" spans="1:12" hidden="1" x14ac:dyDescent="0.3">
      <c r="A49" s="298">
        <f t="shared" si="1"/>
        <v>41</v>
      </c>
      <c r="B49" s="383" t="s">
        <v>1202</v>
      </c>
      <c r="C49" s="386">
        <v>203654.83</v>
      </c>
      <c r="D49" s="381" t="s">
        <v>792</v>
      </c>
      <c r="E49" s="381"/>
      <c r="F49" s="382"/>
      <c r="G49" s="298"/>
      <c r="H49" s="298"/>
      <c r="I49" s="323"/>
      <c r="J49" s="386">
        <v>203654.83</v>
      </c>
      <c r="K49" s="327"/>
      <c r="L49" s="327">
        <f t="shared" si="2"/>
        <v>203654.83</v>
      </c>
    </row>
    <row r="50" spans="1:12" hidden="1" x14ac:dyDescent="0.3">
      <c r="A50" s="298">
        <f t="shared" si="1"/>
        <v>42</v>
      </c>
      <c r="B50" s="380" t="s">
        <v>668</v>
      </c>
      <c r="C50" s="386">
        <v>12738.737200000001</v>
      </c>
      <c r="D50" s="381" t="s">
        <v>792</v>
      </c>
      <c r="E50" s="400"/>
      <c r="F50" s="382"/>
      <c r="G50" s="298"/>
      <c r="H50" s="298"/>
      <c r="I50" s="298"/>
      <c r="J50" s="386">
        <v>12738.737200000001</v>
      </c>
      <c r="K50" s="327"/>
      <c r="L50" s="327">
        <f t="shared" si="2"/>
        <v>12738.737200000001</v>
      </c>
    </row>
    <row r="51" spans="1:12" hidden="1" x14ac:dyDescent="0.3">
      <c r="A51" s="298">
        <f t="shared" si="1"/>
        <v>43</v>
      </c>
      <c r="B51" s="384" t="s">
        <v>687</v>
      </c>
      <c r="C51" s="386">
        <v>80363.899999999994</v>
      </c>
      <c r="D51" s="381" t="s">
        <v>792</v>
      </c>
      <c r="E51" s="400"/>
      <c r="F51" s="382"/>
      <c r="G51" s="298"/>
      <c r="H51" s="298"/>
      <c r="I51" s="382"/>
      <c r="J51" s="386">
        <v>80363.899999999994</v>
      </c>
      <c r="K51" s="327"/>
      <c r="L51" s="327">
        <f t="shared" si="2"/>
        <v>80363.899999999994</v>
      </c>
    </row>
    <row r="52" spans="1:12" hidden="1" x14ac:dyDescent="0.3">
      <c r="A52" s="298">
        <f t="shared" si="1"/>
        <v>44</v>
      </c>
      <c r="B52" s="380" t="s">
        <v>617</v>
      </c>
      <c r="C52" s="386">
        <v>43200</v>
      </c>
      <c r="D52" s="381" t="s">
        <v>792</v>
      </c>
      <c r="E52" s="400"/>
      <c r="F52" s="382"/>
      <c r="G52" s="298"/>
      <c r="H52" s="298"/>
      <c r="I52" s="298"/>
      <c r="J52" s="386">
        <v>43200</v>
      </c>
      <c r="K52" s="327"/>
      <c r="L52" s="327">
        <f t="shared" si="2"/>
        <v>43200</v>
      </c>
    </row>
    <row r="53" spans="1:12" hidden="1" x14ac:dyDescent="0.3">
      <c r="A53" s="298">
        <f t="shared" si="1"/>
        <v>45</v>
      </c>
      <c r="B53" s="380" t="s">
        <v>644</v>
      </c>
      <c r="C53" s="386">
        <v>240720</v>
      </c>
      <c r="D53" s="381" t="s">
        <v>792</v>
      </c>
      <c r="E53" s="400"/>
      <c r="F53" s="382"/>
      <c r="G53" s="298"/>
      <c r="H53" s="298"/>
      <c r="I53" s="298"/>
      <c r="J53" s="386">
        <v>240720</v>
      </c>
      <c r="K53" s="473"/>
      <c r="L53" s="327">
        <f t="shared" si="2"/>
        <v>240720</v>
      </c>
    </row>
    <row r="54" spans="1:12" hidden="1" x14ac:dyDescent="0.3">
      <c r="A54" s="298">
        <f t="shared" si="1"/>
        <v>46</v>
      </c>
      <c r="B54" s="383" t="s">
        <v>668</v>
      </c>
      <c r="C54" s="386">
        <v>10918.917599999999</v>
      </c>
      <c r="D54" s="381" t="s">
        <v>792</v>
      </c>
      <c r="E54" s="400"/>
      <c r="F54" s="382"/>
      <c r="G54" s="298"/>
      <c r="H54" s="298"/>
      <c r="I54" s="298"/>
      <c r="J54" s="386">
        <v>10918.917599999999</v>
      </c>
      <c r="K54" s="327"/>
      <c r="L54" s="327">
        <f t="shared" si="2"/>
        <v>10918.917599999999</v>
      </c>
    </row>
    <row r="55" spans="1:12" hidden="1" x14ac:dyDescent="0.3">
      <c r="A55" s="298">
        <f t="shared" si="1"/>
        <v>47</v>
      </c>
      <c r="B55" s="380" t="s">
        <v>789</v>
      </c>
      <c r="C55" s="386">
        <v>190410</v>
      </c>
      <c r="D55" s="381" t="s">
        <v>792</v>
      </c>
      <c r="E55" s="400"/>
      <c r="F55" s="382"/>
      <c r="G55" s="298"/>
      <c r="H55" s="298"/>
      <c r="I55" s="298"/>
      <c r="J55" s="386">
        <v>190410</v>
      </c>
      <c r="K55" s="382"/>
      <c r="L55" s="327">
        <f t="shared" si="2"/>
        <v>190410</v>
      </c>
    </row>
    <row r="56" spans="1:12" hidden="1" x14ac:dyDescent="0.3">
      <c r="A56" s="298">
        <f t="shared" si="1"/>
        <v>48</v>
      </c>
      <c r="B56" s="380" t="s">
        <v>656</v>
      </c>
      <c r="C56" s="386">
        <v>145848</v>
      </c>
      <c r="D56" s="381" t="s">
        <v>792</v>
      </c>
      <c r="E56" s="400"/>
      <c r="F56" s="382"/>
      <c r="G56" s="298"/>
      <c r="H56" s="298"/>
      <c r="I56" s="298"/>
      <c r="J56" s="386">
        <v>145848</v>
      </c>
      <c r="K56" s="327"/>
      <c r="L56" s="327">
        <f t="shared" si="2"/>
        <v>145848</v>
      </c>
    </row>
    <row r="57" spans="1:12" hidden="1" x14ac:dyDescent="0.3">
      <c r="A57" s="298">
        <f t="shared" si="1"/>
        <v>49</v>
      </c>
      <c r="B57" s="380" t="s">
        <v>617</v>
      </c>
      <c r="C57" s="386">
        <v>43200</v>
      </c>
      <c r="D57" s="381" t="s">
        <v>792</v>
      </c>
      <c r="E57" s="400"/>
      <c r="F57" s="382"/>
      <c r="G57" s="298"/>
      <c r="H57" s="298"/>
      <c r="I57" s="382"/>
      <c r="J57" s="386">
        <v>43200</v>
      </c>
      <c r="K57" s="327"/>
      <c r="L57" s="327">
        <f t="shared" si="2"/>
        <v>43200</v>
      </c>
    </row>
    <row r="58" spans="1:12" hidden="1" x14ac:dyDescent="0.3">
      <c r="A58" s="298">
        <f t="shared" si="1"/>
        <v>50</v>
      </c>
      <c r="B58" s="380" t="s">
        <v>653</v>
      </c>
      <c r="C58" s="386">
        <v>48852</v>
      </c>
      <c r="D58" s="381" t="s">
        <v>792</v>
      </c>
      <c r="E58" s="400"/>
      <c r="F58" s="382"/>
      <c r="G58" s="298"/>
      <c r="H58" s="298"/>
      <c r="I58" s="298"/>
      <c r="J58" s="386">
        <v>48852</v>
      </c>
      <c r="K58" s="327"/>
      <c r="L58" s="327">
        <f t="shared" si="2"/>
        <v>48852</v>
      </c>
    </row>
    <row r="59" spans="1:12" hidden="1" x14ac:dyDescent="0.3">
      <c r="A59" s="298">
        <f t="shared" si="1"/>
        <v>51</v>
      </c>
      <c r="B59" s="380" t="s">
        <v>653</v>
      </c>
      <c r="C59" s="386">
        <v>48852</v>
      </c>
      <c r="D59" s="381" t="s">
        <v>792</v>
      </c>
      <c r="E59" s="400"/>
      <c r="F59" s="382"/>
      <c r="G59" s="298"/>
      <c r="H59" s="298"/>
      <c r="I59" s="298"/>
      <c r="J59" s="386">
        <v>48852</v>
      </c>
      <c r="K59" s="382"/>
      <c r="L59" s="327">
        <f t="shared" si="2"/>
        <v>48852</v>
      </c>
    </row>
    <row r="60" spans="1:12" hidden="1" x14ac:dyDescent="0.3">
      <c r="A60" s="298">
        <f t="shared" si="1"/>
        <v>52</v>
      </c>
      <c r="B60" s="388" t="s">
        <v>653</v>
      </c>
      <c r="C60" s="386">
        <v>48852</v>
      </c>
      <c r="D60" s="381" t="s">
        <v>792</v>
      </c>
      <c r="E60" s="400"/>
      <c r="F60" s="382"/>
      <c r="G60" s="298"/>
      <c r="H60" s="298"/>
      <c r="I60" s="298"/>
      <c r="J60" s="386">
        <v>48852</v>
      </c>
      <c r="K60" s="327"/>
      <c r="L60" s="327">
        <f t="shared" si="2"/>
        <v>48852</v>
      </c>
    </row>
    <row r="61" spans="1:12" hidden="1" x14ac:dyDescent="0.3">
      <c r="A61" s="298">
        <f t="shared" si="1"/>
        <v>53</v>
      </c>
      <c r="B61" s="389" t="s">
        <v>653</v>
      </c>
      <c r="C61" s="386">
        <v>48852</v>
      </c>
      <c r="D61" s="381" t="s">
        <v>792</v>
      </c>
      <c r="E61" s="400"/>
      <c r="F61" s="382"/>
      <c r="G61" s="298"/>
      <c r="H61" s="298"/>
      <c r="I61" s="298"/>
      <c r="J61" s="386">
        <v>48852</v>
      </c>
      <c r="K61" s="327"/>
      <c r="L61" s="327">
        <f t="shared" si="2"/>
        <v>48852</v>
      </c>
    </row>
    <row r="62" spans="1:12" hidden="1" x14ac:dyDescent="0.3">
      <c r="A62" s="298">
        <f t="shared" si="1"/>
        <v>54</v>
      </c>
      <c r="B62" s="380" t="s">
        <v>682</v>
      </c>
      <c r="C62" s="386">
        <v>82269.600000000006</v>
      </c>
      <c r="D62" s="381" t="s">
        <v>792</v>
      </c>
      <c r="E62" s="400"/>
      <c r="F62" s="382"/>
      <c r="G62" s="298"/>
      <c r="H62" s="298"/>
      <c r="I62" s="323"/>
      <c r="J62" s="386">
        <v>82269.600000000006</v>
      </c>
      <c r="K62" s="327"/>
      <c r="L62" s="327">
        <f t="shared" si="2"/>
        <v>82269.600000000006</v>
      </c>
    </row>
    <row r="63" spans="1:12" hidden="1" x14ac:dyDescent="0.3">
      <c r="A63" s="298">
        <f t="shared" si="1"/>
        <v>55</v>
      </c>
      <c r="B63" s="383" t="s">
        <v>687</v>
      </c>
      <c r="C63" s="386">
        <v>130810.08</v>
      </c>
      <c r="D63" s="381" t="s">
        <v>792</v>
      </c>
      <c r="E63" s="400"/>
      <c r="F63" s="382"/>
      <c r="G63" s="298"/>
      <c r="H63" s="298"/>
      <c r="I63" s="323"/>
      <c r="J63" s="386">
        <v>130810.08</v>
      </c>
      <c r="K63" s="327"/>
      <c r="L63" s="327">
        <f t="shared" si="2"/>
        <v>130810.08</v>
      </c>
    </row>
    <row r="64" spans="1:12" hidden="1" x14ac:dyDescent="0.3">
      <c r="A64" s="298">
        <f t="shared" si="1"/>
        <v>56</v>
      </c>
      <c r="B64" s="383" t="s">
        <v>775</v>
      </c>
      <c r="C64" s="386">
        <v>1725</v>
      </c>
      <c r="D64" s="381" t="s">
        <v>792</v>
      </c>
      <c r="E64" s="400"/>
      <c r="F64" s="382"/>
      <c r="G64" s="298"/>
      <c r="H64" s="298"/>
      <c r="I64" s="298"/>
      <c r="J64" s="386">
        <v>1725</v>
      </c>
      <c r="K64" s="382"/>
      <c r="L64" s="327">
        <f t="shared" si="2"/>
        <v>1725</v>
      </c>
    </row>
    <row r="65" spans="1:12" hidden="1" x14ac:dyDescent="0.3">
      <c r="A65" s="298">
        <f t="shared" si="1"/>
        <v>57</v>
      </c>
      <c r="B65" s="383" t="s">
        <v>648</v>
      </c>
      <c r="C65" s="386">
        <v>150000</v>
      </c>
      <c r="D65" s="381" t="s">
        <v>792</v>
      </c>
      <c r="E65" s="400"/>
      <c r="F65" s="382"/>
      <c r="G65" s="298"/>
      <c r="H65" s="298"/>
      <c r="I65" s="298"/>
      <c r="J65" s="386">
        <v>150000</v>
      </c>
      <c r="K65" s="327"/>
      <c r="L65" s="327">
        <f t="shared" si="2"/>
        <v>150000</v>
      </c>
    </row>
    <row r="66" spans="1:12" hidden="1" x14ac:dyDescent="0.3">
      <c r="A66" s="298">
        <f t="shared" si="1"/>
        <v>58</v>
      </c>
      <c r="B66" s="383" t="s">
        <v>769</v>
      </c>
      <c r="C66" s="386">
        <v>105000</v>
      </c>
      <c r="D66" s="381" t="s">
        <v>792</v>
      </c>
      <c r="E66" s="400"/>
      <c r="F66" s="382"/>
      <c r="G66" s="298"/>
      <c r="H66" s="298"/>
      <c r="I66" s="298"/>
      <c r="J66" s="386">
        <v>105000</v>
      </c>
      <c r="K66" s="327"/>
      <c r="L66" s="327">
        <f t="shared" si="2"/>
        <v>105000</v>
      </c>
    </row>
    <row r="67" spans="1:12" x14ac:dyDescent="0.3">
      <c r="A67" s="298">
        <f t="shared" si="1"/>
        <v>59</v>
      </c>
      <c r="B67" s="380" t="s">
        <v>684</v>
      </c>
      <c r="C67" s="386">
        <v>112271.1</v>
      </c>
      <c r="D67" s="381" t="s">
        <v>792</v>
      </c>
      <c r="E67" s="400"/>
      <c r="F67" s="382"/>
      <c r="G67" s="298"/>
      <c r="H67" s="298"/>
      <c r="I67" s="323"/>
      <c r="J67" s="386">
        <v>112271.1</v>
      </c>
      <c r="K67" s="327"/>
      <c r="L67" s="327">
        <f t="shared" si="2"/>
        <v>112271.1</v>
      </c>
    </row>
    <row r="68" spans="1:12" hidden="1" x14ac:dyDescent="0.3">
      <c r="A68" s="298">
        <f t="shared" si="1"/>
        <v>60</v>
      </c>
      <c r="B68" s="383" t="s">
        <v>617</v>
      </c>
      <c r="C68" s="386">
        <v>43200</v>
      </c>
      <c r="D68" s="381" t="s">
        <v>792</v>
      </c>
      <c r="E68" s="400"/>
      <c r="F68" s="382"/>
      <c r="G68" s="298"/>
      <c r="H68" s="298"/>
      <c r="I68" s="298"/>
      <c r="J68" s="386">
        <v>43200</v>
      </c>
      <c r="K68" s="382"/>
      <c r="L68" s="327">
        <f t="shared" si="2"/>
        <v>43200</v>
      </c>
    </row>
    <row r="69" spans="1:12" hidden="1" x14ac:dyDescent="0.3">
      <c r="A69" s="298">
        <f t="shared" si="1"/>
        <v>61</v>
      </c>
      <c r="B69" s="383" t="s">
        <v>812</v>
      </c>
      <c r="C69" s="386">
        <v>53100</v>
      </c>
      <c r="D69" s="381" t="s">
        <v>792</v>
      </c>
      <c r="E69" s="400"/>
      <c r="F69" s="382"/>
      <c r="G69" s="298"/>
      <c r="H69" s="298"/>
      <c r="I69" s="298"/>
      <c r="J69" s="386">
        <v>53100</v>
      </c>
      <c r="K69" s="327"/>
      <c r="L69" s="327">
        <f t="shared" si="2"/>
        <v>53100</v>
      </c>
    </row>
    <row r="70" spans="1:12" hidden="1" x14ac:dyDescent="0.3">
      <c r="A70" s="298">
        <f t="shared" si="1"/>
        <v>62</v>
      </c>
      <c r="B70" s="380" t="s">
        <v>668</v>
      </c>
      <c r="C70" s="386">
        <v>5459.4587999999994</v>
      </c>
      <c r="D70" s="381" t="s">
        <v>792</v>
      </c>
      <c r="E70" s="400"/>
      <c r="F70" s="382"/>
      <c r="G70" s="298"/>
      <c r="H70" s="298"/>
      <c r="I70" s="382"/>
      <c r="J70" s="386">
        <v>5459.4587999999994</v>
      </c>
      <c r="K70" s="327"/>
      <c r="L70" s="327">
        <f t="shared" si="2"/>
        <v>5459.4587999999994</v>
      </c>
    </row>
    <row r="71" spans="1:12" hidden="1" x14ac:dyDescent="0.3">
      <c r="A71" s="298">
        <f t="shared" si="1"/>
        <v>63</v>
      </c>
      <c r="B71" s="380" t="s">
        <v>668</v>
      </c>
      <c r="C71" s="386">
        <v>10009.007799999999</v>
      </c>
      <c r="D71" s="381" t="s">
        <v>792</v>
      </c>
      <c r="E71" s="400"/>
      <c r="F71" s="382"/>
      <c r="G71" s="298"/>
      <c r="H71" s="298"/>
      <c r="I71" s="324"/>
      <c r="J71" s="386">
        <v>10009.007799999999</v>
      </c>
      <c r="K71" s="327"/>
      <c r="L71" s="327">
        <f t="shared" si="2"/>
        <v>10009.007799999999</v>
      </c>
    </row>
    <row r="72" spans="1:12" hidden="1" x14ac:dyDescent="0.3">
      <c r="A72" s="298">
        <f t="shared" si="1"/>
        <v>64</v>
      </c>
      <c r="B72" s="383" t="s">
        <v>1203</v>
      </c>
      <c r="C72" s="386">
        <v>1770000</v>
      </c>
      <c r="D72" s="381" t="s">
        <v>792</v>
      </c>
      <c r="E72" s="400"/>
      <c r="F72" s="382"/>
      <c r="G72" s="298"/>
      <c r="H72" s="298"/>
      <c r="I72" s="382"/>
      <c r="J72" s="386">
        <v>1770000</v>
      </c>
      <c r="K72" s="327"/>
      <c r="L72" s="327">
        <f t="shared" si="2"/>
        <v>1770000</v>
      </c>
    </row>
    <row r="73" spans="1:12" hidden="1" x14ac:dyDescent="0.3">
      <c r="A73" s="298">
        <f t="shared" si="1"/>
        <v>65</v>
      </c>
      <c r="B73" s="380" t="s">
        <v>682</v>
      </c>
      <c r="C73" s="386">
        <v>198145.6</v>
      </c>
      <c r="D73" s="381" t="s">
        <v>792</v>
      </c>
      <c r="E73" s="400"/>
      <c r="F73" s="382"/>
      <c r="G73" s="298"/>
      <c r="H73" s="298"/>
      <c r="I73" s="382"/>
      <c r="J73" s="386">
        <v>198145.6</v>
      </c>
      <c r="K73" s="327"/>
      <c r="L73" s="327">
        <f t="shared" ref="L73:L104" si="3">SUM(E73:K73)</f>
        <v>198145.6</v>
      </c>
    </row>
    <row r="74" spans="1:12" hidden="1" x14ac:dyDescent="0.3">
      <c r="A74" s="298">
        <f t="shared" si="1"/>
        <v>66</v>
      </c>
      <c r="B74" s="389" t="s">
        <v>623</v>
      </c>
      <c r="C74" s="386">
        <v>100069.88</v>
      </c>
      <c r="D74" s="381" t="s">
        <v>792</v>
      </c>
      <c r="E74" s="400"/>
      <c r="F74" s="382"/>
      <c r="G74" s="298"/>
      <c r="H74" s="298"/>
      <c r="I74" s="324"/>
      <c r="J74" s="386">
        <v>100069.88</v>
      </c>
      <c r="K74" s="327"/>
      <c r="L74" s="327">
        <f t="shared" si="3"/>
        <v>100069.88</v>
      </c>
    </row>
    <row r="75" spans="1:12" hidden="1" x14ac:dyDescent="0.3">
      <c r="A75" s="298">
        <f t="shared" ref="A75:A134" si="4">+A74+1</f>
        <v>67</v>
      </c>
      <c r="B75" s="383" t="s">
        <v>668</v>
      </c>
      <c r="C75" s="386">
        <v>830700.75419999997</v>
      </c>
      <c r="D75" s="381" t="s">
        <v>792</v>
      </c>
      <c r="E75" s="400"/>
      <c r="F75" s="382"/>
      <c r="G75" s="298"/>
      <c r="H75" s="298"/>
      <c r="I75" s="298"/>
      <c r="J75" s="386">
        <v>830700.75419999997</v>
      </c>
      <c r="K75" s="327"/>
      <c r="L75" s="327">
        <f t="shared" si="3"/>
        <v>830700.75419999997</v>
      </c>
    </row>
    <row r="76" spans="1:12" hidden="1" x14ac:dyDescent="0.3">
      <c r="A76" s="298">
        <f t="shared" si="4"/>
        <v>68</v>
      </c>
      <c r="B76" s="380" t="s">
        <v>786</v>
      </c>
      <c r="C76" s="386">
        <v>771838</v>
      </c>
      <c r="D76" s="381" t="s">
        <v>792</v>
      </c>
      <c r="E76" s="400"/>
      <c r="F76" s="382"/>
      <c r="G76" s="298"/>
      <c r="H76" s="298"/>
      <c r="I76" s="298"/>
      <c r="J76" s="386">
        <v>771838</v>
      </c>
      <c r="K76" s="327"/>
      <c r="L76" s="327">
        <f t="shared" si="3"/>
        <v>771838</v>
      </c>
    </row>
    <row r="77" spans="1:12" hidden="1" x14ac:dyDescent="0.3">
      <c r="A77" s="298">
        <f t="shared" si="4"/>
        <v>69</v>
      </c>
      <c r="B77" s="380" t="s">
        <v>721</v>
      </c>
      <c r="C77" s="386">
        <v>13375</v>
      </c>
      <c r="D77" s="381" t="s">
        <v>792</v>
      </c>
      <c r="E77" s="400"/>
      <c r="F77" s="382"/>
      <c r="G77" s="298"/>
      <c r="H77" s="298"/>
      <c r="I77" s="323"/>
      <c r="J77" s="386">
        <v>13375</v>
      </c>
      <c r="K77" s="327"/>
      <c r="L77" s="327">
        <f t="shared" si="3"/>
        <v>13375</v>
      </c>
    </row>
    <row r="78" spans="1:12" hidden="1" x14ac:dyDescent="0.3">
      <c r="A78" s="298">
        <f t="shared" si="4"/>
        <v>70</v>
      </c>
      <c r="B78" s="388" t="s">
        <v>768</v>
      </c>
      <c r="C78" s="386">
        <v>250000</v>
      </c>
      <c r="D78" s="381" t="s">
        <v>792</v>
      </c>
      <c r="E78" s="400"/>
      <c r="F78" s="382"/>
      <c r="G78" s="298"/>
      <c r="H78" s="298"/>
      <c r="I78" s="298"/>
      <c r="J78" s="386">
        <v>250000</v>
      </c>
      <c r="K78" s="327"/>
      <c r="L78" s="327">
        <f t="shared" si="3"/>
        <v>250000</v>
      </c>
    </row>
    <row r="79" spans="1:12" hidden="1" x14ac:dyDescent="0.3">
      <c r="A79" s="298">
        <f t="shared" si="4"/>
        <v>71</v>
      </c>
      <c r="B79" s="380" t="s">
        <v>755</v>
      </c>
      <c r="C79" s="386">
        <v>207868.79999999999</v>
      </c>
      <c r="D79" s="381" t="s">
        <v>792</v>
      </c>
      <c r="E79" s="400"/>
      <c r="F79" s="382"/>
      <c r="G79" s="298"/>
      <c r="H79" s="298"/>
      <c r="I79" s="298"/>
      <c r="J79" s="386">
        <v>207868.79999999999</v>
      </c>
      <c r="K79" s="327"/>
      <c r="L79" s="327">
        <f t="shared" si="3"/>
        <v>207868.79999999999</v>
      </c>
    </row>
    <row r="80" spans="1:12" hidden="1" x14ac:dyDescent="0.3">
      <c r="A80" s="298">
        <f t="shared" si="4"/>
        <v>72</v>
      </c>
      <c r="B80" s="380" t="s">
        <v>612</v>
      </c>
      <c r="C80" s="386">
        <v>198475</v>
      </c>
      <c r="D80" s="381" t="s">
        <v>792</v>
      </c>
      <c r="E80" s="400"/>
      <c r="F80" s="382"/>
      <c r="G80" s="298"/>
      <c r="H80" s="298"/>
      <c r="I80" s="323"/>
      <c r="J80" s="386">
        <v>198475</v>
      </c>
      <c r="K80" s="327"/>
      <c r="L80" s="327">
        <f t="shared" si="3"/>
        <v>198475</v>
      </c>
    </row>
    <row r="81" spans="1:12" hidden="1" x14ac:dyDescent="0.3">
      <c r="A81" s="298">
        <f t="shared" si="4"/>
        <v>73</v>
      </c>
      <c r="B81" s="380" t="s">
        <v>668</v>
      </c>
      <c r="C81" s="386">
        <v>5869.2255999999998</v>
      </c>
      <c r="D81" s="381" t="s">
        <v>792</v>
      </c>
      <c r="E81" s="400"/>
      <c r="F81" s="382"/>
      <c r="G81" s="298"/>
      <c r="H81" s="298"/>
      <c r="I81" s="298"/>
      <c r="J81" s="386">
        <v>5869.2255999999998</v>
      </c>
      <c r="K81" s="327"/>
      <c r="L81" s="327">
        <f t="shared" si="3"/>
        <v>5869.2255999999998</v>
      </c>
    </row>
    <row r="82" spans="1:12" hidden="1" x14ac:dyDescent="0.3">
      <c r="A82" s="298">
        <f t="shared" si="4"/>
        <v>74</v>
      </c>
      <c r="B82" s="388" t="s">
        <v>1204</v>
      </c>
      <c r="C82" s="386">
        <v>489700</v>
      </c>
      <c r="D82" s="381" t="s">
        <v>792</v>
      </c>
      <c r="E82" s="400"/>
      <c r="F82" s="382"/>
      <c r="G82" s="298"/>
      <c r="H82" s="298"/>
      <c r="I82" s="298"/>
      <c r="J82" s="386">
        <v>489700</v>
      </c>
      <c r="K82" s="327"/>
      <c r="L82" s="327">
        <f t="shared" si="3"/>
        <v>489700</v>
      </c>
    </row>
    <row r="83" spans="1:12" hidden="1" x14ac:dyDescent="0.3">
      <c r="A83" s="298">
        <f t="shared" si="4"/>
        <v>75</v>
      </c>
      <c r="B83" s="384" t="s">
        <v>775</v>
      </c>
      <c r="C83" s="386">
        <v>2875</v>
      </c>
      <c r="D83" s="381" t="s">
        <v>792</v>
      </c>
      <c r="E83" s="400"/>
      <c r="F83" s="382"/>
      <c r="G83" s="298"/>
      <c r="H83" s="298"/>
      <c r="I83" s="298"/>
      <c r="J83" s="386">
        <v>2875</v>
      </c>
      <c r="K83" s="382"/>
      <c r="L83" s="327">
        <f t="shared" si="3"/>
        <v>2875</v>
      </c>
    </row>
    <row r="84" spans="1:12" hidden="1" x14ac:dyDescent="0.3">
      <c r="A84" s="298">
        <f t="shared" si="4"/>
        <v>76</v>
      </c>
      <c r="B84" s="380" t="s">
        <v>734</v>
      </c>
      <c r="C84" s="386">
        <v>123045.18</v>
      </c>
      <c r="D84" s="381" t="s">
        <v>792</v>
      </c>
      <c r="E84" s="400"/>
      <c r="F84" s="382"/>
      <c r="G84" s="298"/>
      <c r="H84" s="298"/>
      <c r="I84" s="298"/>
      <c r="J84" s="386">
        <v>123045.18</v>
      </c>
      <c r="K84" s="382"/>
      <c r="L84" s="327">
        <f t="shared" si="3"/>
        <v>123045.18</v>
      </c>
    </row>
    <row r="85" spans="1:12" hidden="1" x14ac:dyDescent="0.3">
      <c r="A85" s="298">
        <f t="shared" si="4"/>
        <v>77</v>
      </c>
      <c r="B85" s="387" t="s">
        <v>777</v>
      </c>
      <c r="C85" s="386">
        <v>14475.5</v>
      </c>
      <c r="D85" s="381" t="s">
        <v>792</v>
      </c>
      <c r="E85" s="400"/>
      <c r="F85" s="382"/>
      <c r="G85" s="298"/>
      <c r="H85" s="298"/>
      <c r="I85" s="298"/>
      <c r="J85" s="386">
        <v>14475.5</v>
      </c>
      <c r="K85" s="327"/>
      <c r="L85" s="327">
        <f t="shared" si="3"/>
        <v>14475.5</v>
      </c>
    </row>
    <row r="86" spans="1:12" hidden="1" x14ac:dyDescent="0.3">
      <c r="A86" s="298">
        <f t="shared" si="4"/>
        <v>78</v>
      </c>
      <c r="B86" s="380" t="s">
        <v>810</v>
      </c>
      <c r="C86" s="386">
        <v>16520</v>
      </c>
      <c r="D86" s="381" t="s">
        <v>792</v>
      </c>
      <c r="E86" s="400"/>
      <c r="F86" s="382"/>
      <c r="G86" s="298"/>
      <c r="H86" s="298"/>
      <c r="I86" s="298"/>
      <c r="J86" s="386">
        <v>16520</v>
      </c>
      <c r="K86" s="327"/>
      <c r="L86" s="327">
        <f t="shared" si="3"/>
        <v>16520</v>
      </c>
    </row>
    <row r="87" spans="1:12" hidden="1" x14ac:dyDescent="0.3">
      <c r="A87" s="298">
        <f t="shared" si="4"/>
        <v>79</v>
      </c>
      <c r="B87" s="380" t="s">
        <v>668</v>
      </c>
      <c r="C87" s="386">
        <v>13648.646999999999</v>
      </c>
      <c r="D87" s="381" t="s">
        <v>792</v>
      </c>
      <c r="E87" s="400"/>
      <c r="F87" s="382"/>
      <c r="G87" s="298"/>
      <c r="H87" s="298"/>
      <c r="I87" s="298"/>
      <c r="J87" s="386">
        <v>13648.646999999999</v>
      </c>
      <c r="K87" s="327"/>
      <c r="L87" s="327">
        <f t="shared" si="3"/>
        <v>13648.646999999999</v>
      </c>
    </row>
    <row r="88" spans="1:12" hidden="1" x14ac:dyDescent="0.3">
      <c r="A88" s="298">
        <f t="shared" si="4"/>
        <v>80</v>
      </c>
      <c r="B88" s="380" t="s">
        <v>775</v>
      </c>
      <c r="C88" s="386">
        <v>1725</v>
      </c>
      <c r="D88" s="381" t="s">
        <v>792</v>
      </c>
      <c r="E88" s="400"/>
      <c r="F88" s="382"/>
      <c r="G88" s="298"/>
      <c r="H88" s="298"/>
      <c r="I88" s="298"/>
      <c r="J88" s="386">
        <v>1725</v>
      </c>
      <c r="K88" s="327"/>
      <c r="L88" s="327">
        <f t="shared" si="3"/>
        <v>1725</v>
      </c>
    </row>
    <row r="89" spans="1:12" hidden="1" x14ac:dyDescent="0.3">
      <c r="A89" s="298">
        <f t="shared" si="4"/>
        <v>81</v>
      </c>
      <c r="B89" s="380" t="s">
        <v>1205</v>
      </c>
      <c r="C89" s="386">
        <v>57151.44</v>
      </c>
      <c r="D89" s="381" t="s">
        <v>792</v>
      </c>
      <c r="E89" s="400"/>
      <c r="F89" s="382"/>
      <c r="G89" s="298"/>
      <c r="H89" s="298"/>
      <c r="I89" s="298"/>
      <c r="J89" s="386">
        <v>57151.44</v>
      </c>
      <c r="K89" s="327"/>
      <c r="L89" s="327">
        <f t="shared" si="3"/>
        <v>57151.44</v>
      </c>
    </row>
    <row r="90" spans="1:12" hidden="1" x14ac:dyDescent="0.3">
      <c r="A90" s="298">
        <f t="shared" si="4"/>
        <v>82</v>
      </c>
      <c r="B90" s="383" t="s">
        <v>618</v>
      </c>
      <c r="C90" s="386">
        <v>10775</v>
      </c>
      <c r="D90" s="381" t="s">
        <v>792</v>
      </c>
      <c r="E90" s="400"/>
      <c r="F90" s="382"/>
      <c r="G90" s="298"/>
      <c r="H90" s="298"/>
      <c r="I90" s="298"/>
      <c r="J90" s="386">
        <v>10775</v>
      </c>
      <c r="K90" s="473"/>
      <c r="L90" s="327">
        <f t="shared" si="3"/>
        <v>10775</v>
      </c>
    </row>
    <row r="91" spans="1:12" hidden="1" x14ac:dyDescent="0.3">
      <c r="A91" s="298">
        <f t="shared" si="4"/>
        <v>83</v>
      </c>
      <c r="B91" s="380" t="s">
        <v>681</v>
      </c>
      <c r="C91" s="386">
        <v>192930</v>
      </c>
      <c r="D91" s="381" t="s">
        <v>792</v>
      </c>
      <c r="E91" s="400"/>
      <c r="F91" s="382"/>
      <c r="G91" s="298"/>
      <c r="H91" s="298"/>
      <c r="I91" s="382"/>
      <c r="J91" s="386">
        <v>192930</v>
      </c>
      <c r="K91" s="473"/>
      <c r="L91" s="327">
        <f t="shared" si="3"/>
        <v>192930</v>
      </c>
    </row>
    <row r="92" spans="1:12" hidden="1" x14ac:dyDescent="0.3">
      <c r="A92" s="298">
        <f t="shared" si="4"/>
        <v>84</v>
      </c>
      <c r="B92" s="380" t="s">
        <v>686</v>
      </c>
      <c r="C92" s="386">
        <v>51061.81</v>
      </c>
      <c r="D92" s="381" t="s">
        <v>792</v>
      </c>
      <c r="E92" s="400"/>
      <c r="F92" s="382"/>
      <c r="G92" s="298"/>
      <c r="H92" s="298"/>
      <c r="I92" s="298"/>
      <c r="J92" s="386">
        <v>51061.81</v>
      </c>
      <c r="K92" s="327"/>
      <c r="L92" s="327">
        <f t="shared" si="3"/>
        <v>51061.81</v>
      </c>
    </row>
    <row r="93" spans="1:12" hidden="1" x14ac:dyDescent="0.3">
      <c r="A93" s="298">
        <f t="shared" si="4"/>
        <v>85</v>
      </c>
      <c r="B93" s="380" t="s">
        <v>668</v>
      </c>
      <c r="C93" s="386">
        <v>9099.1</v>
      </c>
      <c r="D93" s="381" t="s">
        <v>792</v>
      </c>
      <c r="E93" s="400"/>
      <c r="F93" s="382"/>
      <c r="G93" s="298"/>
      <c r="H93" s="298"/>
      <c r="I93" s="298"/>
      <c r="J93" s="386">
        <v>9099.1</v>
      </c>
      <c r="K93" s="327"/>
      <c r="L93" s="327">
        <f t="shared" si="3"/>
        <v>9099.1</v>
      </c>
    </row>
    <row r="94" spans="1:12" hidden="1" x14ac:dyDescent="0.3">
      <c r="A94" s="298">
        <f t="shared" si="4"/>
        <v>86</v>
      </c>
      <c r="B94" s="380" t="s">
        <v>668</v>
      </c>
      <c r="C94" s="386">
        <v>46000.94</v>
      </c>
      <c r="D94" s="381" t="s">
        <v>792</v>
      </c>
      <c r="E94" s="400"/>
      <c r="F94" s="382"/>
      <c r="G94" s="298"/>
      <c r="H94" s="298"/>
      <c r="I94" s="298"/>
      <c r="J94" s="386">
        <v>46000.94</v>
      </c>
      <c r="K94" s="327"/>
      <c r="L94" s="327">
        <f t="shared" si="3"/>
        <v>46000.94</v>
      </c>
    </row>
    <row r="95" spans="1:12" hidden="1" x14ac:dyDescent="0.3">
      <c r="A95" s="298">
        <f t="shared" si="4"/>
        <v>87</v>
      </c>
      <c r="B95" s="380" t="s">
        <v>745</v>
      </c>
      <c r="C95" s="386">
        <v>231533.7</v>
      </c>
      <c r="D95" s="381" t="s">
        <v>792</v>
      </c>
      <c r="E95" s="400"/>
      <c r="F95" s="382"/>
      <c r="G95" s="298"/>
      <c r="H95" s="298"/>
      <c r="I95" s="298"/>
      <c r="J95" s="386">
        <v>231533.7</v>
      </c>
      <c r="K95" s="327"/>
      <c r="L95" s="327">
        <f t="shared" si="3"/>
        <v>231533.7</v>
      </c>
    </row>
    <row r="96" spans="1:12" hidden="1" x14ac:dyDescent="0.3">
      <c r="A96" s="298">
        <f t="shared" si="4"/>
        <v>88</v>
      </c>
      <c r="B96" s="383" t="s">
        <v>668</v>
      </c>
      <c r="C96" s="386">
        <v>9099.098</v>
      </c>
      <c r="D96" s="381" t="s">
        <v>792</v>
      </c>
      <c r="E96" s="400"/>
      <c r="F96" s="382"/>
      <c r="G96" s="298"/>
      <c r="H96" s="298"/>
      <c r="I96" s="324"/>
      <c r="J96" s="386">
        <v>9099.098</v>
      </c>
      <c r="K96" s="327"/>
      <c r="L96" s="327">
        <f t="shared" si="3"/>
        <v>9099.098</v>
      </c>
    </row>
    <row r="97" spans="1:12" hidden="1" x14ac:dyDescent="0.3">
      <c r="A97" s="298">
        <f t="shared" si="4"/>
        <v>89</v>
      </c>
      <c r="B97" s="380" t="s">
        <v>771</v>
      </c>
      <c r="C97" s="386">
        <v>66080</v>
      </c>
      <c r="D97" s="381" t="s">
        <v>792</v>
      </c>
      <c r="E97" s="400"/>
      <c r="F97" s="382"/>
      <c r="G97" s="298"/>
      <c r="H97" s="298"/>
      <c r="I97" s="298"/>
      <c r="J97" s="386">
        <v>66080</v>
      </c>
      <c r="K97" s="327"/>
      <c r="L97" s="327">
        <f t="shared" si="3"/>
        <v>66080</v>
      </c>
    </row>
    <row r="98" spans="1:12" hidden="1" x14ac:dyDescent="0.3">
      <c r="A98" s="298">
        <f t="shared" si="4"/>
        <v>90</v>
      </c>
      <c r="B98" s="380" t="s">
        <v>686</v>
      </c>
      <c r="C98" s="386">
        <v>90330.74</v>
      </c>
      <c r="D98" s="381" t="s">
        <v>792</v>
      </c>
      <c r="E98" s="400"/>
      <c r="F98" s="382"/>
      <c r="G98" s="298"/>
      <c r="H98" s="298"/>
      <c r="I98" s="298"/>
      <c r="J98" s="386">
        <v>90330.74</v>
      </c>
      <c r="K98" s="327"/>
      <c r="L98" s="327">
        <f t="shared" si="3"/>
        <v>90330.74</v>
      </c>
    </row>
    <row r="99" spans="1:12" hidden="1" x14ac:dyDescent="0.3">
      <c r="A99" s="298">
        <f t="shared" si="4"/>
        <v>91</v>
      </c>
      <c r="B99" s="383" t="s">
        <v>775</v>
      </c>
      <c r="C99" s="386">
        <v>1725</v>
      </c>
      <c r="D99" s="381" t="s">
        <v>792</v>
      </c>
      <c r="E99" s="400"/>
      <c r="F99" s="382"/>
      <c r="G99" s="298"/>
      <c r="H99" s="298"/>
      <c r="I99" s="382"/>
      <c r="J99" s="386">
        <v>1725</v>
      </c>
      <c r="K99" s="327"/>
      <c r="L99" s="327">
        <f t="shared" si="3"/>
        <v>1725</v>
      </c>
    </row>
    <row r="100" spans="1:12" hidden="1" x14ac:dyDescent="0.3">
      <c r="A100" s="298">
        <f t="shared" si="4"/>
        <v>92</v>
      </c>
      <c r="B100" s="380" t="s">
        <v>771</v>
      </c>
      <c r="C100" s="386">
        <v>99940.1</v>
      </c>
      <c r="D100" s="381" t="s">
        <v>792</v>
      </c>
      <c r="E100" s="400"/>
      <c r="F100" s="382"/>
      <c r="G100" s="298"/>
      <c r="H100" s="298"/>
      <c r="I100" s="382"/>
      <c r="J100" s="386">
        <v>99940.1</v>
      </c>
      <c r="K100" s="473"/>
      <c r="L100" s="327">
        <f t="shared" si="3"/>
        <v>99940.1</v>
      </c>
    </row>
    <row r="101" spans="1:12" hidden="1" x14ac:dyDescent="0.3">
      <c r="A101" s="298">
        <f t="shared" si="4"/>
        <v>93</v>
      </c>
      <c r="B101" s="380" t="s">
        <v>734</v>
      </c>
      <c r="C101" s="386">
        <v>230599.76</v>
      </c>
      <c r="D101" s="381" t="s">
        <v>792</v>
      </c>
      <c r="E101" s="400"/>
      <c r="F101" s="382"/>
      <c r="G101" s="298"/>
      <c r="H101" s="298"/>
      <c r="I101" s="298"/>
      <c r="J101" s="386">
        <v>230599.76</v>
      </c>
      <c r="K101" s="327"/>
      <c r="L101" s="327">
        <f t="shared" si="3"/>
        <v>230599.76</v>
      </c>
    </row>
    <row r="102" spans="1:12" hidden="1" x14ac:dyDescent="0.3">
      <c r="A102" s="298">
        <f t="shared" si="4"/>
        <v>94</v>
      </c>
      <c r="B102" s="380" t="s">
        <v>685</v>
      </c>
      <c r="C102" s="386">
        <v>218300</v>
      </c>
      <c r="D102" s="381" t="s">
        <v>792</v>
      </c>
      <c r="E102" s="400"/>
      <c r="F102" s="382"/>
      <c r="G102" s="298"/>
      <c r="H102" s="298"/>
      <c r="I102" s="298"/>
      <c r="J102" s="386">
        <v>218300</v>
      </c>
      <c r="K102" s="382"/>
      <c r="L102" s="327">
        <f t="shared" si="3"/>
        <v>218300</v>
      </c>
    </row>
    <row r="103" spans="1:12" hidden="1" x14ac:dyDescent="0.3">
      <c r="A103" s="298">
        <f t="shared" si="4"/>
        <v>95</v>
      </c>
      <c r="B103" s="387" t="s">
        <v>813</v>
      </c>
      <c r="C103" s="386">
        <v>235300.06</v>
      </c>
      <c r="D103" s="381" t="s">
        <v>792</v>
      </c>
      <c r="E103" s="400"/>
      <c r="F103" s="382"/>
      <c r="G103" s="298"/>
      <c r="H103" s="298"/>
      <c r="I103" s="298"/>
      <c r="J103" s="386">
        <v>235300.06</v>
      </c>
      <c r="K103" s="327"/>
      <c r="L103" s="327">
        <f t="shared" si="3"/>
        <v>235300.06</v>
      </c>
    </row>
    <row r="104" spans="1:12" hidden="1" x14ac:dyDescent="0.3">
      <c r="A104" s="298">
        <f t="shared" si="4"/>
        <v>96</v>
      </c>
      <c r="B104" s="384" t="s">
        <v>777</v>
      </c>
      <c r="C104" s="386">
        <v>313130.69</v>
      </c>
      <c r="D104" s="381" t="s">
        <v>792</v>
      </c>
      <c r="E104" s="400"/>
      <c r="F104" s="382"/>
      <c r="G104" s="298"/>
      <c r="H104" s="298"/>
      <c r="I104" s="298"/>
      <c r="J104" s="386">
        <v>313130.69</v>
      </c>
      <c r="K104" s="473"/>
      <c r="L104" s="327">
        <f t="shared" si="3"/>
        <v>313130.69</v>
      </c>
    </row>
    <row r="105" spans="1:12" hidden="1" x14ac:dyDescent="0.3">
      <c r="A105" s="298">
        <f t="shared" si="4"/>
        <v>97</v>
      </c>
      <c r="B105" s="383" t="s">
        <v>668</v>
      </c>
      <c r="C105" s="386">
        <v>7278.28</v>
      </c>
      <c r="D105" s="381" t="s">
        <v>792</v>
      </c>
      <c r="E105" s="400"/>
      <c r="F105" s="382"/>
      <c r="G105" s="298"/>
      <c r="H105" s="298"/>
      <c r="I105" s="382"/>
      <c r="J105" s="386">
        <v>7278.28</v>
      </c>
      <c r="K105" s="327"/>
      <c r="L105" s="327">
        <f t="shared" ref="L105:L136" si="5">SUM(E105:K105)</f>
        <v>7278.28</v>
      </c>
    </row>
    <row r="106" spans="1:12" hidden="1" x14ac:dyDescent="0.3">
      <c r="A106" s="298">
        <f t="shared" si="4"/>
        <v>98</v>
      </c>
      <c r="B106" s="383" t="s">
        <v>668</v>
      </c>
      <c r="C106" s="386">
        <v>7279.2784000000001</v>
      </c>
      <c r="D106" s="381" t="s">
        <v>792</v>
      </c>
      <c r="E106" s="400"/>
      <c r="F106" s="382"/>
      <c r="G106" s="298"/>
      <c r="H106" s="298"/>
      <c r="I106" s="298"/>
      <c r="J106" s="386">
        <v>7279.2784000000001</v>
      </c>
      <c r="K106" s="382"/>
      <c r="L106" s="327">
        <f t="shared" si="5"/>
        <v>7279.2784000000001</v>
      </c>
    </row>
    <row r="107" spans="1:12" hidden="1" x14ac:dyDescent="0.3">
      <c r="A107" s="298">
        <f t="shared" si="4"/>
        <v>99</v>
      </c>
      <c r="B107" s="404" t="s">
        <v>775</v>
      </c>
      <c r="C107" s="386">
        <v>1725</v>
      </c>
      <c r="D107" s="381" t="s">
        <v>792</v>
      </c>
      <c r="E107" s="400"/>
      <c r="F107" s="382"/>
      <c r="G107" s="298"/>
      <c r="H107" s="298"/>
      <c r="I107" s="298"/>
      <c r="J107" s="386">
        <v>1725</v>
      </c>
      <c r="K107" s="327"/>
      <c r="L107" s="327">
        <f t="shared" si="5"/>
        <v>1725</v>
      </c>
    </row>
    <row r="108" spans="1:12" hidden="1" x14ac:dyDescent="0.3">
      <c r="A108" s="298">
        <f t="shared" si="4"/>
        <v>100</v>
      </c>
      <c r="B108" s="384" t="s">
        <v>668</v>
      </c>
      <c r="C108" s="386">
        <v>10918.917599999999</v>
      </c>
      <c r="D108" s="381" t="s">
        <v>792</v>
      </c>
      <c r="E108" s="400"/>
      <c r="F108" s="382"/>
      <c r="G108" s="298"/>
      <c r="H108" s="298"/>
      <c r="I108" s="298"/>
      <c r="J108" s="386">
        <v>10918.917599999999</v>
      </c>
      <c r="K108" s="327"/>
      <c r="L108" s="327">
        <f t="shared" si="5"/>
        <v>10918.917599999999</v>
      </c>
    </row>
    <row r="109" spans="1:12" hidden="1" x14ac:dyDescent="0.3">
      <c r="A109" s="298">
        <f t="shared" si="4"/>
        <v>101</v>
      </c>
      <c r="B109" s="388" t="s">
        <v>668</v>
      </c>
      <c r="C109" s="386">
        <v>10918.92</v>
      </c>
      <c r="D109" s="381" t="s">
        <v>792</v>
      </c>
      <c r="E109" s="400"/>
      <c r="F109" s="382"/>
      <c r="G109" s="298"/>
      <c r="H109" s="298"/>
      <c r="I109" s="298"/>
      <c r="J109" s="386">
        <v>10918.92</v>
      </c>
      <c r="K109" s="327"/>
      <c r="L109" s="327">
        <f t="shared" si="5"/>
        <v>10918.92</v>
      </c>
    </row>
    <row r="110" spans="1:12" hidden="1" x14ac:dyDescent="0.3">
      <c r="A110" s="298">
        <f t="shared" si="4"/>
        <v>102</v>
      </c>
      <c r="B110" s="380" t="s">
        <v>668</v>
      </c>
      <c r="C110" s="386">
        <v>13648.646999999999</v>
      </c>
      <c r="D110" s="381" t="s">
        <v>792</v>
      </c>
      <c r="E110" s="400"/>
      <c r="F110" s="382"/>
      <c r="G110" s="298"/>
      <c r="H110" s="298"/>
      <c r="I110" s="323"/>
      <c r="J110" s="386">
        <v>13648.646999999999</v>
      </c>
      <c r="K110" s="327"/>
      <c r="L110" s="327">
        <f t="shared" si="5"/>
        <v>13648.646999999999</v>
      </c>
    </row>
    <row r="111" spans="1:12" hidden="1" x14ac:dyDescent="0.3">
      <c r="A111" s="298">
        <f t="shared" si="4"/>
        <v>103</v>
      </c>
      <c r="B111" s="384" t="s">
        <v>668</v>
      </c>
      <c r="C111" s="386">
        <v>13648.65</v>
      </c>
      <c r="D111" s="381" t="s">
        <v>792</v>
      </c>
      <c r="E111" s="400"/>
      <c r="F111" s="382"/>
      <c r="G111" s="298"/>
      <c r="H111" s="298"/>
      <c r="I111" s="323"/>
      <c r="J111" s="386">
        <v>13648.65</v>
      </c>
      <c r="K111" s="327"/>
      <c r="L111" s="327">
        <f t="shared" si="5"/>
        <v>13648.65</v>
      </c>
    </row>
    <row r="112" spans="1:12" hidden="1" x14ac:dyDescent="0.3">
      <c r="A112" s="298">
        <f t="shared" si="4"/>
        <v>104</v>
      </c>
      <c r="B112" s="383" t="s">
        <v>814</v>
      </c>
      <c r="C112" s="386">
        <v>216648</v>
      </c>
      <c r="D112" s="381" t="s">
        <v>792</v>
      </c>
      <c r="E112" s="400"/>
      <c r="F112" s="382"/>
      <c r="G112" s="298"/>
      <c r="H112" s="298"/>
      <c r="I112" s="298"/>
      <c r="J112" s="386">
        <v>216648</v>
      </c>
      <c r="K112" s="382"/>
      <c r="L112" s="327">
        <f t="shared" si="5"/>
        <v>216648</v>
      </c>
    </row>
    <row r="113" spans="1:12" hidden="1" x14ac:dyDescent="0.3">
      <c r="A113" s="298">
        <f t="shared" si="4"/>
        <v>105</v>
      </c>
      <c r="B113" s="380" t="s">
        <v>775</v>
      </c>
      <c r="C113" s="386">
        <v>1150</v>
      </c>
      <c r="D113" s="381" t="s">
        <v>792</v>
      </c>
      <c r="E113" s="400"/>
      <c r="F113" s="382"/>
      <c r="G113" s="298"/>
      <c r="H113" s="298"/>
      <c r="I113" s="325"/>
      <c r="J113" s="386">
        <v>1150</v>
      </c>
      <c r="K113" s="327"/>
      <c r="L113" s="327">
        <f t="shared" si="5"/>
        <v>1150</v>
      </c>
    </row>
    <row r="114" spans="1:12" hidden="1" x14ac:dyDescent="0.3">
      <c r="A114" s="298">
        <f t="shared" si="4"/>
        <v>106</v>
      </c>
      <c r="B114" s="387" t="s">
        <v>668</v>
      </c>
      <c r="C114" s="386">
        <v>11828.8274</v>
      </c>
      <c r="D114" s="381" t="s">
        <v>792</v>
      </c>
      <c r="E114" s="400"/>
      <c r="F114" s="382"/>
      <c r="G114" s="298"/>
      <c r="H114" s="298"/>
      <c r="I114" s="298"/>
      <c r="J114" s="386">
        <v>11828.8274</v>
      </c>
      <c r="K114" s="327"/>
      <c r="L114" s="327">
        <f t="shared" si="5"/>
        <v>11828.8274</v>
      </c>
    </row>
    <row r="115" spans="1:12" hidden="1" x14ac:dyDescent="0.3">
      <c r="A115" s="298">
        <f t="shared" si="4"/>
        <v>107</v>
      </c>
      <c r="B115" s="380" t="s">
        <v>668</v>
      </c>
      <c r="C115" s="386">
        <v>852738.19819999998</v>
      </c>
      <c r="D115" s="381" t="s">
        <v>792</v>
      </c>
      <c r="E115" s="400"/>
      <c r="F115" s="382"/>
      <c r="G115" s="298"/>
      <c r="H115" s="298"/>
      <c r="I115" s="298"/>
      <c r="J115" s="386">
        <v>852738.19819999998</v>
      </c>
      <c r="K115" s="327"/>
      <c r="L115" s="327">
        <f t="shared" si="5"/>
        <v>852738.19819999998</v>
      </c>
    </row>
    <row r="116" spans="1:12" hidden="1" x14ac:dyDescent="0.3">
      <c r="A116" s="298">
        <f t="shared" si="4"/>
        <v>108</v>
      </c>
      <c r="B116" s="380" t="s">
        <v>787</v>
      </c>
      <c r="C116" s="386">
        <v>92675</v>
      </c>
      <c r="D116" s="381" t="s">
        <v>792</v>
      </c>
      <c r="E116" s="400"/>
      <c r="F116" s="382"/>
      <c r="G116" s="298"/>
      <c r="H116" s="298"/>
      <c r="I116" s="298"/>
      <c r="J116" s="386">
        <v>92675</v>
      </c>
      <c r="K116" s="327"/>
      <c r="L116" s="327">
        <f t="shared" si="5"/>
        <v>92675</v>
      </c>
    </row>
    <row r="117" spans="1:12" hidden="1" x14ac:dyDescent="0.3">
      <c r="A117" s="298">
        <f t="shared" si="4"/>
        <v>109</v>
      </c>
      <c r="B117" s="384" t="s">
        <v>791</v>
      </c>
      <c r="C117" s="386">
        <v>11220</v>
      </c>
      <c r="D117" s="381" t="s">
        <v>792</v>
      </c>
      <c r="E117" s="400"/>
      <c r="F117" s="382"/>
      <c r="G117" s="298"/>
      <c r="H117" s="298"/>
      <c r="I117" s="323"/>
      <c r="J117" s="386">
        <v>11220</v>
      </c>
      <c r="K117" s="327"/>
      <c r="L117" s="327">
        <f t="shared" si="5"/>
        <v>11220</v>
      </c>
    </row>
    <row r="118" spans="1:12" hidden="1" x14ac:dyDescent="0.3">
      <c r="A118" s="298">
        <f t="shared" si="4"/>
        <v>110</v>
      </c>
      <c r="B118" s="380" t="s">
        <v>781</v>
      </c>
      <c r="C118" s="386">
        <v>39530</v>
      </c>
      <c r="D118" s="381" t="s">
        <v>792</v>
      </c>
      <c r="E118" s="400"/>
      <c r="F118" s="382"/>
      <c r="G118" s="298"/>
      <c r="H118" s="298"/>
      <c r="I118" s="298"/>
      <c r="J118" s="386">
        <v>39530</v>
      </c>
      <c r="K118" s="327"/>
      <c r="L118" s="327">
        <f t="shared" si="5"/>
        <v>39530</v>
      </c>
    </row>
    <row r="119" spans="1:12" hidden="1" x14ac:dyDescent="0.3">
      <c r="A119" s="298">
        <f t="shared" si="4"/>
        <v>111</v>
      </c>
      <c r="B119" s="380" t="s">
        <v>775</v>
      </c>
      <c r="C119" s="386">
        <v>1150</v>
      </c>
      <c r="D119" s="381" t="s">
        <v>792</v>
      </c>
      <c r="E119" s="400"/>
      <c r="F119" s="382"/>
      <c r="G119" s="298"/>
      <c r="H119" s="298"/>
      <c r="I119" s="298"/>
      <c r="J119" s="386">
        <v>1150</v>
      </c>
      <c r="K119" s="473"/>
      <c r="L119" s="327">
        <f t="shared" si="5"/>
        <v>1150</v>
      </c>
    </row>
    <row r="120" spans="1:12" hidden="1" x14ac:dyDescent="0.3">
      <c r="A120" s="298">
        <f t="shared" si="4"/>
        <v>112</v>
      </c>
      <c r="B120" s="383" t="s">
        <v>813</v>
      </c>
      <c r="C120" s="386">
        <v>232800</v>
      </c>
      <c r="D120" s="381" t="s">
        <v>792</v>
      </c>
      <c r="E120" s="400"/>
      <c r="F120" s="382"/>
      <c r="G120" s="298"/>
      <c r="H120" s="298"/>
      <c r="I120" s="323"/>
      <c r="J120" s="386">
        <v>232800</v>
      </c>
      <c r="K120" s="327"/>
      <c r="L120" s="327">
        <f t="shared" si="5"/>
        <v>232800</v>
      </c>
    </row>
    <row r="121" spans="1:12" hidden="1" x14ac:dyDescent="0.3">
      <c r="A121" s="298">
        <f t="shared" si="4"/>
        <v>113</v>
      </c>
      <c r="B121" s="383" t="s">
        <v>777</v>
      </c>
      <c r="C121" s="386">
        <v>45197.08</v>
      </c>
      <c r="D121" s="381" t="s">
        <v>792</v>
      </c>
      <c r="E121" s="400"/>
      <c r="F121" s="382"/>
      <c r="G121" s="298"/>
      <c r="H121" s="298"/>
      <c r="I121" s="298"/>
      <c r="J121" s="386">
        <v>45197.08</v>
      </c>
      <c r="K121" s="327"/>
      <c r="L121" s="327">
        <f t="shared" si="5"/>
        <v>45197.08</v>
      </c>
    </row>
    <row r="122" spans="1:12" hidden="1" x14ac:dyDescent="0.3">
      <c r="A122" s="298">
        <f t="shared" si="4"/>
        <v>114</v>
      </c>
      <c r="B122" s="384" t="s">
        <v>811</v>
      </c>
      <c r="C122" s="386">
        <v>51330</v>
      </c>
      <c r="D122" s="381" t="s">
        <v>792</v>
      </c>
      <c r="E122" s="400"/>
      <c r="F122" s="382"/>
      <c r="G122" s="298"/>
      <c r="H122" s="298"/>
      <c r="I122" s="382"/>
      <c r="J122" s="386">
        <v>51330</v>
      </c>
      <c r="K122" s="327"/>
      <c r="L122" s="327">
        <f t="shared" si="5"/>
        <v>51330</v>
      </c>
    </row>
    <row r="123" spans="1:12" hidden="1" x14ac:dyDescent="0.3">
      <c r="A123" s="298">
        <f t="shared" si="4"/>
        <v>115</v>
      </c>
      <c r="B123" s="384" t="s">
        <v>811</v>
      </c>
      <c r="C123" s="386">
        <v>256650</v>
      </c>
      <c r="D123" s="381" t="s">
        <v>792</v>
      </c>
      <c r="E123" s="400"/>
      <c r="F123" s="382"/>
      <c r="G123" s="298"/>
      <c r="H123" s="298"/>
      <c r="I123" s="298"/>
      <c r="J123" s="386">
        <v>256650</v>
      </c>
      <c r="K123" s="327"/>
      <c r="L123" s="327">
        <f t="shared" si="5"/>
        <v>256650</v>
      </c>
    </row>
    <row r="124" spans="1:12" hidden="1" x14ac:dyDescent="0.3">
      <c r="A124" s="298">
        <f t="shared" si="4"/>
        <v>116</v>
      </c>
      <c r="B124" s="380" t="s">
        <v>811</v>
      </c>
      <c r="C124" s="386">
        <v>257500</v>
      </c>
      <c r="D124" s="381" t="s">
        <v>792</v>
      </c>
      <c r="E124" s="400"/>
      <c r="F124" s="382"/>
      <c r="G124" s="298"/>
      <c r="H124" s="298"/>
      <c r="I124" s="325"/>
      <c r="J124" s="386">
        <v>257500</v>
      </c>
      <c r="K124" s="327"/>
      <c r="L124" s="327">
        <f t="shared" si="5"/>
        <v>257500</v>
      </c>
    </row>
    <row r="125" spans="1:12" hidden="1" x14ac:dyDescent="0.3">
      <c r="A125" s="298">
        <f t="shared" si="4"/>
        <v>117</v>
      </c>
      <c r="B125" s="380" t="s">
        <v>811</v>
      </c>
      <c r="C125" s="386">
        <v>257830</v>
      </c>
      <c r="D125" s="381" t="s">
        <v>792</v>
      </c>
      <c r="E125" s="400"/>
      <c r="F125" s="382"/>
      <c r="G125" s="298"/>
      <c r="H125" s="298"/>
      <c r="I125" s="298"/>
      <c r="J125" s="386">
        <v>257830</v>
      </c>
      <c r="K125" s="473"/>
      <c r="L125" s="327">
        <f t="shared" si="5"/>
        <v>257830</v>
      </c>
    </row>
    <row r="126" spans="1:12" hidden="1" x14ac:dyDescent="0.3">
      <c r="A126" s="298">
        <f t="shared" si="4"/>
        <v>118</v>
      </c>
      <c r="B126" s="383" t="s">
        <v>791</v>
      </c>
      <c r="C126" s="386">
        <v>3600</v>
      </c>
      <c r="D126" s="381" t="s">
        <v>792</v>
      </c>
      <c r="E126" s="400"/>
      <c r="F126" s="382"/>
      <c r="G126" s="298"/>
      <c r="H126" s="298"/>
      <c r="I126" s="382"/>
      <c r="J126" s="386">
        <v>3600</v>
      </c>
      <c r="K126" s="327"/>
      <c r="L126" s="327">
        <f t="shared" si="5"/>
        <v>3600</v>
      </c>
    </row>
    <row r="127" spans="1:12" hidden="1" x14ac:dyDescent="0.3">
      <c r="A127" s="298">
        <f t="shared" si="4"/>
        <v>119</v>
      </c>
      <c r="B127" s="380" t="s">
        <v>791</v>
      </c>
      <c r="C127" s="386">
        <v>14000</v>
      </c>
      <c r="D127" s="381" t="s">
        <v>792</v>
      </c>
      <c r="E127" s="400"/>
      <c r="F127" s="382"/>
      <c r="G127" s="298"/>
      <c r="H127" s="298"/>
      <c r="I127" s="298"/>
      <c r="J127" s="386">
        <v>14000</v>
      </c>
      <c r="K127" s="327"/>
      <c r="L127" s="327">
        <f t="shared" si="5"/>
        <v>14000</v>
      </c>
    </row>
    <row r="128" spans="1:12" hidden="1" x14ac:dyDescent="0.3">
      <c r="A128" s="298">
        <f t="shared" si="4"/>
        <v>120</v>
      </c>
      <c r="B128" s="384" t="s">
        <v>791</v>
      </c>
      <c r="C128" s="386">
        <v>6540</v>
      </c>
      <c r="D128" s="381" t="s">
        <v>792</v>
      </c>
      <c r="E128" s="400"/>
      <c r="F128" s="382"/>
      <c r="G128" s="298"/>
      <c r="H128" s="298"/>
      <c r="I128" s="298"/>
      <c r="J128" s="386">
        <v>6540</v>
      </c>
      <c r="K128" s="327"/>
      <c r="L128" s="327">
        <f t="shared" si="5"/>
        <v>6540</v>
      </c>
    </row>
    <row r="129" spans="1:12" hidden="1" x14ac:dyDescent="0.3">
      <c r="A129" s="298">
        <f t="shared" si="4"/>
        <v>121</v>
      </c>
      <c r="B129" s="380" t="s">
        <v>668</v>
      </c>
      <c r="C129" s="386">
        <v>12832.5</v>
      </c>
      <c r="D129" s="381" t="s">
        <v>792</v>
      </c>
      <c r="E129" s="400"/>
      <c r="F129" s="382"/>
      <c r="G129" s="298"/>
      <c r="H129" s="298"/>
      <c r="I129" s="298"/>
      <c r="J129" s="386">
        <v>12832.5</v>
      </c>
      <c r="K129" s="327"/>
      <c r="L129" s="327">
        <f t="shared" si="5"/>
        <v>12832.5</v>
      </c>
    </row>
    <row r="130" spans="1:12" hidden="1" x14ac:dyDescent="0.3">
      <c r="A130" s="298">
        <f t="shared" si="4"/>
        <v>122</v>
      </c>
      <c r="B130" s="380" t="s">
        <v>654</v>
      </c>
      <c r="C130" s="386">
        <v>29300</v>
      </c>
      <c r="D130" s="381" t="s">
        <v>792</v>
      </c>
      <c r="E130" s="400"/>
      <c r="F130" s="382"/>
      <c r="G130" s="298"/>
      <c r="H130" s="298"/>
      <c r="I130" s="325"/>
      <c r="J130" s="386">
        <v>29300</v>
      </c>
      <c r="K130" s="327"/>
      <c r="L130" s="327">
        <f t="shared" si="5"/>
        <v>29300</v>
      </c>
    </row>
    <row r="131" spans="1:12" hidden="1" x14ac:dyDescent="0.3">
      <c r="A131" s="298">
        <f t="shared" si="4"/>
        <v>123</v>
      </c>
      <c r="B131" s="384" t="s">
        <v>668</v>
      </c>
      <c r="C131" s="386">
        <v>46000.942999999999</v>
      </c>
      <c r="D131" s="381" t="s">
        <v>792</v>
      </c>
      <c r="E131" s="400"/>
      <c r="F131" s="382"/>
      <c r="G131" s="298"/>
      <c r="H131" s="298"/>
      <c r="I131" s="298"/>
      <c r="J131" s="386">
        <v>46000.942999999999</v>
      </c>
      <c r="K131" s="327"/>
      <c r="L131" s="327">
        <f t="shared" si="5"/>
        <v>46000.942999999999</v>
      </c>
    </row>
    <row r="132" spans="1:12" hidden="1" x14ac:dyDescent="0.3">
      <c r="A132" s="298">
        <f t="shared" si="4"/>
        <v>124</v>
      </c>
      <c r="B132" s="380" t="s">
        <v>775</v>
      </c>
      <c r="C132" s="386">
        <v>1150</v>
      </c>
      <c r="D132" s="381" t="s">
        <v>792</v>
      </c>
      <c r="E132" s="400"/>
      <c r="F132" s="382"/>
      <c r="G132" s="298"/>
      <c r="H132" s="298"/>
      <c r="I132" s="298"/>
      <c r="J132" s="386">
        <v>1150</v>
      </c>
      <c r="K132" s="327"/>
      <c r="L132" s="327">
        <f t="shared" si="5"/>
        <v>1150</v>
      </c>
    </row>
    <row r="133" spans="1:12" hidden="1" x14ac:dyDescent="0.3">
      <c r="A133" s="298">
        <f t="shared" si="4"/>
        <v>125</v>
      </c>
      <c r="B133" s="380" t="s">
        <v>668</v>
      </c>
      <c r="C133" s="386">
        <v>5396.3052000000007</v>
      </c>
      <c r="D133" s="381" t="s">
        <v>792</v>
      </c>
      <c r="E133" s="400"/>
      <c r="F133" s="382"/>
      <c r="G133" s="298"/>
      <c r="H133" s="298"/>
      <c r="I133" s="298"/>
      <c r="J133" s="386">
        <v>5396.3052000000007</v>
      </c>
      <c r="K133" s="327"/>
      <c r="L133" s="327">
        <f t="shared" si="5"/>
        <v>5396.3052000000007</v>
      </c>
    </row>
    <row r="134" spans="1:12" hidden="1" x14ac:dyDescent="0.3">
      <c r="A134" s="298">
        <f t="shared" si="4"/>
        <v>126</v>
      </c>
      <c r="B134" s="383" t="s">
        <v>668</v>
      </c>
      <c r="C134" s="386">
        <v>8982.75</v>
      </c>
      <c r="D134" s="381" t="s">
        <v>792</v>
      </c>
      <c r="E134" s="400"/>
      <c r="F134" s="382"/>
      <c r="G134" s="298"/>
      <c r="H134" s="298"/>
      <c r="I134" s="382"/>
      <c r="J134" s="386">
        <v>8982.75</v>
      </c>
      <c r="K134" s="473"/>
      <c r="L134" s="327">
        <f t="shared" si="5"/>
        <v>8982.75</v>
      </c>
    </row>
    <row r="135" spans="1:12" hidden="1" x14ac:dyDescent="0.3">
      <c r="A135" s="298">
        <f>+A134+1</f>
        <v>127</v>
      </c>
      <c r="B135" s="298" t="s">
        <v>816</v>
      </c>
      <c r="C135" s="327">
        <v>253700</v>
      </c>
      <c r="D135" s="381" t="s">
        <v>792</v>
      </c>
      <c r="E135" s="400"/>
      <c r="F135" s="382"/>
      <c r="G135" s="298"/>
      <c r="H135" s="298"/>
      <c r="I135" s="322"/>
      <c r="J135" s="327">
        <v>253700</v>
      </c>
      <c r="K135" s="327"/>
      <c r="L135" s="327">
        <f t="shared" si="5"/>
        <v>253700</v>
      </c>
    </row>
    <row r="136" spans="1:12" hidden="1" x14ac:dyDescent="0.3">
      <c r="A136" s="298">
        <f t="shared" ref="A136:A147" si="6">+A135+1</f>
        <v>128</v>
      </c>
      <c r="B136" s="383" t="s">
        <v>668</v>
      </c>
      <c r="C136" s="386">
        <v>4549.55</v>
      </c>
      <c r="D136" s="381" t="s">
        <v>792</v>
      </c>
      <c r="E136" s="400"/>
      <c r="F136" s="382"/>
      <c r="G136" s="298"/>
      <c r="H136" s="298"/>
      <c r="I136" s="298"/>
      <c r="J136" s="386">
        <v>4549.55</v>
      </c>
      <c r="K136" s="327"/>
      <c r="L136" s="327">
        <f t="shared" si="5"/>
        <v>4549.55</v>
      </c>
    </row>
    <row r="137" spans="1:12" s="299" customFormat="1" hidden="1" x14ac:dyDescent="0.3">
      <c r="A137" s="298">
        <f t="shared" si="6"/>
        <v>129</v>
      </c>
      <c r="B137" s="383" t="s">
        <v>689</v>
      </c>
      <c r="C137" s="386">
        <v>141380</v>
      </c>
      <c r="D137" s="381" t="s">
        <v>792</v>
      </c>
      <c r="E137" s="400"/>
      <c r="F137" s="382"/>
      <c r="G137" s="298"/>
      <c r="H137" s="298"/>
      <c r="I137" s="298"/>
      <c r="J137" s="386">
        <v>141380</v>
      </c>
      <c r="K137" s="327"/>
      <c r="L137" s="327">
        <f t="shared" ref="L137:L148" si="7">SUM(E137:K137)</f>
        <v>141380</v>
      </c>
    </row>
    <row r="138" spans="1:12" s="299" customFormat="1" hidden="1" x14ac:dyDescent="0.3">
      <c r="A138" s="298">
        <f t="shared" si="6"/>
        <v>130</v>
      </c>
      <c r="B138" s="380" t="s">
        <v>1206</v>
      </c>
      <c r="C138" s="386">
        <v>192288.08</v>
      </c>
      <c r="D138" s="381" t="s">
        <v>792</v>
      </c>
      <c r="E138" s="400"/>
      <c r="F138" s="382"/>
      <c r="G138" s="298"/>
      <c r="H138" s="298"/>
      <c r="I138" s="298"/>
      <c r="J138" s="386">
        <v>192288.08</v>
      </c>
      <c r="K138" s="327"/>
      <c r="L138" s="327">
        <f t="shared" si="7"/>
        <v>192288.08</v>
      </c>
    </row>
    <row r="139" spans="1:12" hidden="1" x14ac:dyDescent="0.3">
      <c r="A139" s="298">
        <f t="shared" si="6"/>
        <v>131</v>
      </c>
      <c r="B139" s="380" t="s">
        <v>758</v>
      </c>
      <c r="C139" s="386">
        <v>249286.8</v>
      </c>
      <c r="D139" s="381" t="s">
        <v>792</v>
      </c>
      <c r="E139" s="400"/>
      <c r="F139" s="382"/>
      <c r="G139" s="298"/>
      <c r="H139" s="298"/>
      <c r="I139" s="382"/>
      <c r="J139" s="386">
        <v>249286.8</v>
      </c>
      <c r="K139" s="327"/>
      <c r="L139" s="327">
        <f t="shared" si="7"/>
        <v>249286.8</v>
      </c>
    </row>
    <row r="140" spans="1:12" hidden="1" x14ac:dyDescent="0.3">
      <c r="A140" s="298">
        <f t="shared" si="6"/>
        <v>132</v>
      </c>
      <c r="B140" s="383" t="s">
        <v>668</v>
      </c>
      <c r="C140" s="386">
        <v>9099.1</v>
      </c>
      <c r="D140" s="381" t="s">
        <v>792</v>
      </c>
      <c r="E140" s="400"/>
      <c r="F140" s="382"/>
      <c r="G140" s="298"/>
      <c r="H140" s="298"/>
      <c r="I140" s="298"/>
      <c r="J140" s="386">
        <v>9099.1</v>
      </c>
      <c r="K140" s="327"/>
      <c r="L140" s="327">
        <f t="shared" si="7"/>
        <v>9099.1</v>
      </c>
    </row>
    <row r="141" spans="1:12" hidden="1" x14ac:dyDescent="0.3">
      <c r="A141" s="298">
        <f t="shared" si="6"/>
        <v>133</v>
      </c>
      <c r="B141" s="383" t="s">
        <v>737</v>
      </c>
      <c r="C141" s="386">
        <v>238006</v>
      </c>
      <c r="D141" s="381" t="s">
        <v>792</v>
      </c>
      <c r="E141" s="400"/>
      <c r="F141" s="382"/>
      <c r="G141" s="298"/>
      <c r="H141" s="298"/>
      <c r="I141" s="323"/>
      <c r="J141" s="386">
        <v>238006</v>
      </c>
      <c r="K141" s="327"/>
      <c r="L141" s="327">
        <f t="shared" si="7"/>
        <v>238006</v>
      </c>
    </row>
    <row r="142" spans="1:12" s="299" customFormat="1" hidden="1" x14ac:dyDescent="0.3">
      <c r="A142" s="298">
        <f t="shared" si="6"/>
        <v>134</v>
      </c>
      <c r="B142" s="380" t="s">
        <v>771</v>
      </c>
      <c r="C142" s="386">
        <v>500320</v>
      </c>
      <c r="D142" s="381" t="s">
        <v>792</v>
      </c>
      <c r="E142" s="400"/>
      <c r="F142" s="382"/>
      <c r="G142" s="298"/>
      <c r="H142" s="298"/>
      <c r="I142" s="382"/>
      <c r="J142" s="386">
        <v>500320</v>
      </c>
      <c r="K142" s="327"/>
      <c r="L142" s="327">
        <f t="shared" si="7"/>
        <v>500320</v>
      </c>
    </row>
    <row r="143" spans="1:12" s="299" customFormat="1" hidden="1" x14ac:dyDescent="0.3">
      <c r="A143" s="298">
        <f t="shared" si="6"/>
        <v>135</v>
      </c>
      <c r="B143" s="387" t="s">
        <v>797</v>
      </c>
      <c r="C143" s="386">
        <v>1800668.94</v>
      </c>
      <c r="D143" s="381" t="s">
        <v>792</v>
      </c>
      <c r="E143" s="400"/>
      <c r="F143" s="382"/>
      <c r="G143" s="298"/>
      <c r="H143" s="298"/>
      <c r="I143" s="298"/>
      <c r="J143" s="386">
        <v>1800668.94</v>
      </c>
      <c r="K143" s="327"/>
      <c r="L143" s="327">
        <f t="shared" si="7"/>
        <v>1800668.94</v>
      </c>
    </row>
    <row r="144" spans="1:12" s="299" customFormat="1" hidden="1" x14ac:dyDescent="0.3">
      <c r="A144" s="298">
        <f t="shared" si="6"/>
        <v>136</v>
      </c>
      <c r="B144" s="387" t="s">
        <v>791</v>
      </c>
      <c r="C144" s="386">
        <v>7080</v>
      </c>
      <c r="D144" s="381" t="s">
        <v>792</v>
      </c>
      <c r="E144" s="400"/>
      <c r="F144" s="382"/>
      <c r="G144" s="298"/>
      <c r="H144" s="298"/>
      <c r="I144" s="298"/>
      <c r="J144" s="386">
        <v>7080</v>
      </c>
      <c r="K144" s="327"/>
      <c r="L144" s="327">
        <f t="shared" si="7"/>
        <v>7080</v>
      </c>
    </row>
    <row r="145" spans="1:12" hidden="1" x14ac:dyDescent="0.3">
      <c r="A145" s="298">
        <f t="shared" si="6"/>
        <v>137</v>
      </c>
      <c r="B145" s="381" t="s">
        <v>668</v>
      </c>
      <c r="C145" s="386">
        <v>12738.74</v>
      </c>
      <c r="D145" s="381" t="s">
        <v>792</v>
      </c>
      <c r="E145" s="400"/>
      <c r="F145" s="382"/>
      <c r="G145" s="298"/>
      <c r="H145" s="298"/>
      <c r="I145" s="382"/>
      <c r="J145" s="386">
        <v>12738.74</v>
      </c>
      <c r="K145" s="327"/>
      <c r="L145" s="327">
        <f t="shared" si="7"/>
        <v>12738.74</v>
      </c>
    </row>
    <row r="146" spans="1:12" hidden="1" x14ac:dyDescent="0.3">
      <c r="A146" s="298">
        <f t="shared" si="6"/>
        <v>138</v>
      </c>
      <c r="B146" s="380" t="s">
        <v>781</v>
      </c>
      <c r="C146" s="386">
        <v>136762</v>
      </c>
      <c r="D146" s="381" t="s">
        <v>792</v>
      </c>
      <c r="E146" s="400"/>
      <c r="F146" s="382"/>
      <c r="G146" s="298"/>
      <c r="H146" s="298"/>
      <c r="I146" s="323"/>
      <c r="J146" s="386">
        <v>136762</v>
      </c>
      <c r="K146" s="327"/>
      <c r="L146" s="327">
        <f t="shared" si="7"/>
        <v>136762</v>
      </c>
    </row>
    <row r="147" spans="1:12" hidden="1" x14ac:dyDescent="0.3">
      <c r="A147" s="298">
        <f t="shared" si="6"/>
        <v>139</v>
      </c>
      <c r="B147" s="380" t="s">
        <v>648</v>
      </c>
      <c r="C147" s="386">
        <v>75000</v>
      </c>
      <c r="D147" s="381" t="s">
        <v>792</v>
      </c>
      <c r="E147" s="400"/>
      <c r="F147" s="382"/>
      <c r="G147" s="298"/>
      <c r="H147" s="298"/>
      <c r="I147" s="382"/>
      <c r="J147" s="386">
        <v>75000</v>
      </c>
      <c r="K147" s="327"/>
      <c r="L147" s="327">
        <f t="shared" si="7"/>
        <v>75000</v>
      </c>
    </row>
    <row r="148" spans="1:12" hidden="1" x14ac:dyDescent="0.3">
      <c r="A148" s="298">
        <f t="shared" ref="A148:A211" si="8">+A147+1</f>
        <v>140</v>
      </c>
      <c r="B148" s="532" t="s">
        <v>742</v>
      </c>
      <c r="C148" s="298">
        <v>146640</v>
      </c>
      <c r="D148" s="381" t="s">
        <v>792</v>
      </c>
      <c r="E148" s="400"/>
      <c r="F148" s="382"/>
      <c r="G148" s="298"/>
      <c r="H148" s="298"/>
      <c r="I148" s="298"/>
      <c r="J148" s="327">
        <v>146640</v>
      </c>
      <c r="K148" s="327"/>
      <c r="L148" s="327">
        <f t="shared" si="7"/>
        <v>146640</v>
      </c>
    </row>
    <row r="149" spans="1:12" s="419" customFormat="1" hidden="1" x14ac:dyDescent="0.3">
      <c r="A149" s="298">
        <f t="shared" si="8"/>
        <v>141</v>
      </c>
      <c r="B149" s="298" t="s">
        <v>796</v>
      </c>
      <c r="C149" s="327">
        <v>206472.22</v>
      </c>
      <c r="D149" s="381" t="s">
        <v>792</v>
      </c>
      <c r="E149" s="298"/>
      <c r="F149" s="298"/>
      <c r="G149" s="298"/>
      <c r="H149" s="298"/>
      <c r="I149" s="298"/>
      <c r="J149" s="327">
        <v>206472.22</v>
      </c>
      <c r="K149" s="327"/>
      <c r="L149" s="327">
        <f t="shared" ref="L149:L204" si="9">SUM(E149:K149)</f>
        <v>206472.22</v>
      </c>
    </row>
    <row r="150" spans="1:12" hidden="1" x14ac:dyDescent="0.3">
      <c r="A150" s="298">
        <f t="shared" si="8"/>
        <v>142</v>
      </c>
      <c r="B150" s="298" t="s">
        <v>796</v>
      </c>
      <c r="C150" s="327">
        <v>235971.68</v>
      </c>
      <c r="D150" s="381" t="s">
        <v>792</v>
      </c>
      <c r="E150" s="475"/>
      <c r="F150" s="298"/>
      <c r="G150" s="298"/>
      <c r="H150" s="298"/>
      <c r="I150" s="298"/>
      <c r="J150" s="327">
        <v>235971.68</v>
      </c>
      <c r="K150" s="327"/>
      <c r="L150" s="327">
        <f t="shared" si="9"/>
        <v>235971.68</v>
      </c>
    </row>
    <row r="151" spans="1:12" hidden="1" x14ac:dyDescent="0.3">
      <c r="A151" s="298">
        <f t="shared" si="8"/>
        <v>143</v>
      </c>
      <c r="B151" s="298" t="s">
        <v>734</v>
      </c>
      <c r="C151" s="327">
        <v>239349.12</v>
      </c>
      <c r="D151" s="381" t="s">
        <v>792</v>
      </c>
      <c r="E151" s="475"/>
      <c r="F151" s="298"/>
      <c r="G151" s="298"/>
      <c r="H151" s="298"/>
      <c r="I151" s="298"/>
      <c r="J151" s="327">
        <v>239349.12</v>
      </c>
      <c r="K151" s="327"/>
      <c r="L151" s="327">
        <f t="shared" si="9"/>
        <v>239349.12</v>
      </c>
    </row>
    <row r="152" spans="1:12" hidden="1" x14ac:dyDescent="0.3">
      <c r="A152" s="298">
        <f t="shared" si="8"/>
        <v>144</v>
      </c>
      <c r="B152" s="298" t="s">
        <v>726</v>
      </c>
      <c r="C152" s="327">
        <v>341016.8</v>
      </c>
      <c r="D152" s="381" t="s">
        <v>792</v>
      </c>
      <c r="E152" s="475"/>
      <c r="F152" s="298"/>
      <c r="G152" s="298"/>
      <c r="H152" s="298"/>
      <c r="I152" s="298"/>
      <c r="J152" s="327">
        <v>341016.8</v>
      </c>
      <c r="K152" s="327"/>
      <c r="L152" s="327">
        <f t="shared" si="9"/>
        <v>341016.8</v>
      </c>
    </row>
    <row r="153" spans="1:12" hidden="1" x14ac:dyDescent="0.3">
      <c r="A153" s="298">
        <f t="shared" si="8"/>
        <v>145</v>
      </c>
      <c r="B153" s="298" t="s">
        <v>775</v>
      </c>
      <c r="C153" s="327">
        <v>1150</v>
      </c>
      <c r="D153" s="381" t="s">
        <v>792</v>
      </c>
      <c r="E153" s="475"/>
      <c r="F153" s="298"/>
      <c r="G153" s="298"/>
      <c r="H153" s="298"/>
      <c r="I153" s="298"/>
      <c r="J153" s="327">
        <v>1150</v>
      </c>
      <c r="K153" s="327"/>
      <c r="L153" s="327">
        <f t="shared" si="9"/>
        <v>1150</v>
      </c>
    </row>
    <row r="154" spans="1:12" hidden="1" x14ac:dyDescent="0.3">
      <c r="A154" s="298">
        <f t="shared" si="8"/>
        <v>146</v>
      </c>
      <c r="B154" s="298" t="s">
        <v>668</v>
      </c>
      <c r="C154" s="327">
        <v>7689.05</v>
      </c>
      <c r="D154" s="381" t="s">
        <v>792</v>
      </c>
      <c r="E154" s="475"/>
      <c r="F154" s="298"/>
      <c r="G154" s="298"/>
      <c r="H154" s="298"/>
      <c r="I154" s="298"/>
      <c r="J154" s="327">
        <v>7689.05</v>
      </c>
      <c r="K154" s="327"/>
      <c r="L154" s="327">
        <f t="shared" si="9"/>
        <v>7689.05</v>
      </c>
    </row>
    <row r="155" spans="1:12" hidden="1" x14ac:dyDescent="0.3">
      <c r="A155" s="298">
        <f t="shared" si="8"/>
        <v>147</v>
      </c>
      <c r="B155" s="298" t="s">
        <v>667</v>
      </c>
      <c r="C155" s="327">
        <v>55550</v>
      </c>
      <c r="D155" s="381" t="s">
        <v>792</v>
      </c>
      <c r="E155" s="475"/>
      <c r="F155" s="298"/>
      <c r="G155" s="298"/>
      <c r="H155" s="298"/>
      <c r="I155" s="298"/>
      <c r="J155" s="327">
        <v>55550</v>
      </c>
      <c r="K155" s="327"/>
      <c r="L155" s="327">
        <f t="shared" si="9"/>
        <v>55550</v>
      </c>
    </row>
    <row r="156" spans="1:12" hidden="1" x14ac:dyDescent="0.3">
      <c r="A156" s="298">
        <f t="shared" si="8"/>
        <v>148</v>
      </c>
      <c r="B156" s="298" t="s">
        <v>755</v>
      </c>
      <c r="C156" s="327">
        <v>249952</v>
      </c>
      <c r="D156" s="381" t="s">
        <v>792</v>
      </c>
      <c r="E156" s="475"/>
      <c r="F156" s="298"/>
      <c r="G156" s="298"/>
      <c r="H156" s="298"/>
      <c r="I156" s="298"/>
      <c r="J156" s="327">
        <v>249952</v>
      </c>
      <c r="K156" s="327"/>
      <c r="L156" s="327">
        <f t="shared" si="9"/>
        <v>249952</v>
      </c>
    </row>
    <row r="157" spans="1:12" hidden="1" x14ac:dyDescent="0.3">
      <c r="A157" s="298">
        <f t="shared" si="8"/>
        <v>149</v>
      </c>
      <c r="B157" s="298" t="s">
        <v>755</v>
      </c>
      <c r="C157" s="327">
        <v>129664</v>
      </c>
      <c r="D157" s="381" t="s">
        <v>792</v>
      </c>
      <c r="E157" s="475"/>
      <c r="F157" s="298"/>
      <c r="G157" s="298"/>
      <c r="H157" s="298"/>
      <c r="I157" s="298"/>
      <c r="J157" s="327">
        <v>129664</v>
      </c>
      <c r="K157" s="327"/>
      <c r="L157" s="327">
        <f t="shared" si="9"/>
        <v>129664</v>
      </c>
    </row>
    <row r="158" spans="1:12" hidden="1" x14ac:dyDescent="0.3">
      <c r="A158" s="298">
        <f t="shared" si="8"/>
        <v>150</v>
      </c>
      <c r="B158" s="298" t="s">
        <v>668</v>
      </c>
      <c r="C158" s="327">
        <v>5459.46</v>
      </c>
      <c r="D158" s="381" t="s">
        <v>792</v>
      </c>
      <c r="E158" s="475"/>
      <c r="F158" s="298"/>
      <c r="G158" s="298"/>
      <c r="H158" s="298"/>
      <c r="I158" s="298"/>
      <c r="J158" s="327">
        <v>5459.46</v>
      </c>
      <c r="K158" s="327"/>
      <c r="L158" s="327">
        <f t="shared" si="9"/>
        <v>5459.46</v>
      </c>
    </row>
    <row r="159" spans="1:12" hidden="1" x14ac:dyDescent="0.3">
      <c r="A159" s="298">
        <f t="shared" si="8"/>
        <v>151</v>
      </c>
      <c r="B159" s="298" t="s">
        <v>668</v>
      </c>
      <c r="C159" s="327">
        <v>428016.55</v>
      </c>
      <c r="D159" s="381" t="s">
        <v>792</v>
      </c>
      <c r="E159" s="475"/>
      <c r="F159" s="298"/>
      <c r="G159" s="298"/>
      <c r="H159" s="298"/>
      <c r="I159" s="298"/>
      <c r="J159" s="327">
        <v>428016.55</v>
      </c>
      <c r="K159" s="327"/>
      <c r="L159" s="327">
        <f t="shared" si="9"/>
        <v>428016.55</v>
      </c>
    </row>
    <row r="160" spans="1:12" hidden="1" x14ac:dyDescent="0.3">
      <c r="A160" s="298">
        <f t="shared" si="8"/>
        <v>152</v>
      </c>
      <c r="B160" s="298" t="s">
        <v>648</v>
      </c>
      <c r="C160" s="327">
        <v>75000</v>
      </c>
      <c r="D160" s="381" t="s">
        <v>792</v>
      </c>
      <c r="E160" s="475"/>
      <c r="F160" s="298"/>
      <c r="G160" s="298"/>
      <c r="H160" s="298"/>
      <c r="I160" s="298"/>
      <c r="J160" s="327">
        <v>75000</v>
      </c>
      <c r="K160" s="327"/>
      <c r="L160" s="327">
        <f t="shared" si="9"/>
        <v>75000</v>
      </c>
    </row>
    <row r="161" spans="1:12" hidden="1" x14ac:dyDescent="0.3">
      <c r="A161" s="298">
        <f t="shared" si="8"/>
        <v>153</v>
      </c>
      <c r="B161" s="298" t="s">
        <v>668</v>
      </c>
      <c r="C161" s="327">
        <v>5133</v>
      </c>
      <c r="D161" s="381" t="s">
        <v>792</v>
      </c>
      <c r="E161" s="475"/>
      <c r="F161" s="298"/>
      <c r="G161" s="298"/>
      <c r="H161" s="298"/>
      <c r="I161" s="298"/>
      <c r="J161" s="327">
        <v>5133</v>
      </c>
      <c r="K161" s="327"/>
      <c r="L161" s="327">
        <f t="shared" si="9"/>
        <v>5133</v>
      </c>
    </row>
    <row r="162" spans="1:12" hidden="1" x14ac:dyDescent="0.3">
      <c r="A162" s="298">
        <f t="shared" si="8"/>
        <v>154</v>
      </c>
      <c r="B162" s="298" t="s">
        <v>815</v>
      </c>
      <c r="C162" s="327">
        <v>237945.58</v>
      </c>
      <c r="D162" s="381" t="s">
        <v>792</v>
      </c>
      <c r="E162" s="475"/>
      <c r="F162" s="298"/>
      <c r="G162" s="298"/>
      <c r="H162" s="298"/>
      <c r="I162" s="298"/>
      <c r="J162" s="327">
        <v>237945.58</v>
      </c>
      <c r="K162" s="327"/>
      <c r="L162" s="327">
        <f t="shared" si="9"/>
        <v>237945.58</v>
      </c>
    </row>
    <row r="163" spans="1:12" hidden="1" x14ac:dyDescent="0.3">
      <c r="A163" s="298">
        <f t="shared" si="8"/>
        <v>155</v>
      </c>
      <c r="B163" s="298" t="s">
        <v>648</v>
      </c>
      <c r="C163" s="327">
        <v>75000</v>
      </c>
      <c r="D163" s="381" t="s">
        <v>792</v>
      </c>
      <c r="E163" s="475"/>
      <c r="F163" s="298"/>
      <c r="G163" s="298"/>
      <c r="H163" s="298"/>
      <c r="I163" s="298"/>
      <c r="J163" s="327">
        <v>75000</v>
      </c>
      <c r="K163" s="327"/>
      <c r="L163" s="327">
        <f t="shared" si="9"/>
        <v>75000</v>
      </c>
    </row>
    <row r="164" spans="1:12" hidden="1" x14ac:dyDescent="0.3">
      <c r="A164" s="298">
        <f t="shared" si="8"/>
        <v>156</v>
      </c>
      <c r="B164" s="298" t="s">
        <v>737</v>
      </c>
      <c r="C164" s="327">
        <v>248744</v>
      </c>
      <c r="D164" s="381" t="s">
        <v>792</v>
      </c>
      <c r="E164" s="475"/>
      <c r="F164" s="298"/>
      <c r="G164" s="298"/>
      <c r="H164" s="298"/>
      <c r="I164" s="298"/>
      <c r="J164" s="327">
        <v>248744</v>
      </c>
      <c r="K164" s="327"/>
      <c r="L164" s="327">
        <f t="shared" si="9"/>
        <v>248744</v>
      </c>
    </row>
    <row r="165" spans="1:12" hidden="1" x14ac:dyDescent="0.3">
      <c r="A165" s="298">
        <f t="shared" si="8"/>
        <v>157</v>
      </c>
      <c r="B165" s="298" t="s">
        <v>817</v>
      </c>
      <c r="C165" s="327">
        <v>1121000</v>
      </c>
      <c r="D165" s="381" t="s">
        <v>792</v>
      </c>
      <c r="E165" s="475"/>
      <c r="F165" s="298"/>
      <c r="G165" s="298"/>
      <c r="H165" s="298"/>
      <c r="I165" s="298"/>
      <c r="J165" s="327">
        <v>1121000</v>
      </c>
      <c r="K165" s="327"/>
      <c r="L165" s="327">
        <f t="shared" si="9"/>
        <v>1121000</v>
      </c>
    </row>
    <row r="166" spans="1:12" hidden="1" x14ac:dyDescent="0.3">
      <c r="A166" s="298">
        <f t="shared" si="8"/>
        <v>158</v>
      </c>
      <c r="B166" s="298" t="s">
        <v>668</v>
      </c>
      <c r="C166" s="327">
        <v>4549.55</v>
      </c>
      <c r="D166" s="381" t="s">
        <v>792</v>
      </c>
      <c r="E166" s="475"/>
      <c r="F166" s="298"/>
      <c r="G166" s="298"/>
      <c r="H166" s="298"/>
      <c r="I166" s="298"/>
      <c r="J166" s="327">
        <v>4549.55</v>
      </c>
      <c r="K166" s="327"/>
      <c r="L166" s="327">
        <f t="shared" si="9"/>
        <v>4549.55</v>
      </c>
    </row>
    <row r="167" spans="1:12" hidden="1" x14ac:dyDescent="0.3">
      <c r="A167" s="298">
        <f t="shared" si="8"/>
        <v>159</v>
      </c>
      <c r="B167" s="298" t="s">
        <v>668</v>
      </c>
      <c r="C167" s="327">
        <v>6369.37</v>
      </c>
      <c r="D167" s="381" t="s">
        <v>792</v>
      </c>
      <c r="E167" s="475"/>
      <c r="F167" s="298"/>
      <c r="G167" s="298"/>
      <c r="H167" s="298"/>
      <c r="I167" s="298"/>
      <c r="J167" s="327">
        <v>6369.37</v>
      </c>
      <c r="K167" s="327"/>
      <c r="L167" s="327">
        <f t="shared" si="9"/>
        <v>6369.37</v>
      </c>
    </row>
    <row r="168" spans="1:12" hidden="1" x14ac:dyDescent="0.3">
      <c r="A168" s="298">
        <f t="shared" si="8"/>
        <v>160</v>
      </c>
      <c r="B168" s="298" t="s">
        <v>971</v>
      </c>
      <c r="C168" s="327">
        <v>56356.800000000003</v>
      </c>
      <c r="D168" s="381" t="s">
        <v>792</v>
      </c>
      <c r="E168" s="475"/>
      <c r="F168" s="298"/>
      <c r="G168" s="298"/>
      <c r="H168" s="298"/>
      <c r="I168" s="298"/>
      <c r="J168" s="327">
        <v>56356.800000000003</v>
      </c>
      <c r="K168" s="327"/>
      <c r="L168" s="327">
        <f t="shared" si="9"/>
        <v>56356.800000000003</v>
      </c>
    </row>
    <row r="169" spans="1:12" hidden="1" x14ac:dyDescent="0.3">
      <c r="A169" s="298">
        <f t="shared" si="8"/>
        <v>161</v>
      </c>
      <c r="B169" s="298" t="s">
        <v>654</v>
      </c>
      <c r="C169" s="327">
        <v>60590</v>
      </c>
      <c r="D169" s="381" t="s">
        <v>792</v>
      </c>
      <c r="E169" s="475"/>
      <c r="F169" s="298"/>
      <c r="G169" s="298"/>
      <c r="H169" s="298"/>
      <c r="I169" s="298"/>
      <c r="J169" s="327">
        <v>60590</v>
      </c>
      <c r="K169" s="327"/>
      <c r="L169" s="327">
        <f t="shared" si="9"/>
        <v>60590</v>
      </c>
    </row>
    <row r="170" spans="1:12" hidden="1" x14ac:dyDescent="0.3">
      <c r="A170" s="298">
        <f t="shared" si="8"/>
        <v>162</v>
      </c>
      <c r="B170" s="298" t="s">
        <v>1207</v>
      </c>
      <c r="C170" s="327">
        <v>114009.24</v>
      </c>
      <c r="D170" s="381" t="s">
        <v>792</v>
      </c>
      <c r="E170" s="475"/>
      <c r="F170" s="298"/>
      <c r="G170" s="298"/>
      <c r="H170" s="298"/>
      <c r="I170" s="298"/>
      <c r="J170" s="327">
        <v>114009.24</v>
      </c>
      <c r="K170" s="327"/>
      <c r="L170" s="327">
        <f t="shared" si="9"/>
        <v>114009.24</v>
      </c>
    </row>
    <row r="171" spans="1:12" hidden="1" x14ac:dyDescent="0.3">
      <c r="A171" s="298">
        <f t="shared" si="8"/>
        <v>163</v>
      </c>
      <c r="B171" s="298" t="s">
        <v>1208</v>
      </c>
      <c r="C171" s="327">
        <v>244288.8</v>
      </c>
      <c r="D171" s="381" t="s">
        <v>792</v>
      </c>
      <c r="E171" s="475"/>
      <c r="F171" s="298"/>
      <c r="G171" s="298"/>
      <c r="H171" s="298"/>
      <c r="I171" s="298"/>
      <c r="J171" s="327">
        <v>244288.8</v>
      </c>
      <c r="K171" s="327"/>
      <c r="L171" s="327">
        <f t="shared" si="9"/>
        <v>244288.8</v>
      </c>
    </row>
    <row r="172" spans="1:12" hidden="1" x14ac:dyDescent="0.3">
      <c r="A172" s="298">
        <f t="shared" si="8"/>
        <v>164</v>
      </c>
      <c r="B172" s="298" t="s">
        <v>1208</v>
      </c>
      <c r="C172" s="327">
        <v>251008.8</v>
      </c>
      <c r="D172" s="381" t="s">
        <v>792</v>
      </c>
      <c r="E172" s="475"/>
      <c r="F172" s="298"/>
      <c r="G172" s="298"/>
      <c r="H172" s="298"/>
      <c r="I172" s="298"/>
      <c r="J172" s="327">
        <v>251008.8</v>
      </c>
      <c r="K172" s="327"/>
      <c r="L172" s="327">
        <f t="shared" si="9"/>
        <v>251008.8</v>
      </c>
    </row>
    <row r="173" spans="1:12" hidden="1" x14ac:dyDescent="0.3">
      <c r="A173" s="298">
        <f t="shared" si="8"/>
        <v>165</v>
      </c>
      <c r="B173" s="298" t="s">
        <v>668</v>
      </c>
      <c r="C173" s="327">
        <v>673433.54</v>
      </c>
      <c r="D173" s="381" t="s">
        <v>792</v>
      </c>
      <c r="E173" s="475"/>
      <c r="F173" s="298"/>
      <c r="G173" s="298"/>
      <c r="H173" s="298"/>
      <c r="I173" s="298"/>
      <c r="J173" s="327">
        <v>673433.54</v>
      </c>
      <c r="K173" s="327"/>
      <c r="L173" s="327">
        <f t="shared" si="9"/>
        <v>673433.54</v>
      </c>
    </row>
    <row r="174" spans="1:12" hidden="1" x14ac:dyDescent="0.3">
      <c r="A174" s="298">
        <f t="shared" si="8"/>
        <v>166</v>
      </c>
      <c r="B174" s="298" t="s">
        <v>668</v>
      </c>
      <c r="C174" s="327">
        <v>5459.46</v>
      </c>
      <c r="D174" s="381" t="s">
        <v>792</v>
      </c>
      <c r="E174" s="475"/>
      <c r="F174" s="298"/>
      <c r="G174" s="298"/>
      <c r="H174" s="298"/>
      <c r="I174" s="298"/>
      <c r="J174" s="327"/>
      <c r="K174" s="327">
        <v>5459.46</v>
      </c>
      <c r="L174" s="327">
        <f t="shared" si="9"/>
        <v>5459.46</v>
      </c>
    </row>
    <row r="175" spans="1:12" hidden="1" x14ac:dyDescent="0.3">
      <c r="A175" s="298">
        <f t="shared" si="8"/>
        <v>167</v>
      </c>
      <c r="B175" s="298" t="s">
        <v>1209</v>
      </c>
      <c r="C175" s="327">
        <v>218400</v>
      </c>
      <c r="D175" s="381" t="s">
        <v>792</v>
      </c>
      <c r="E175" s="475"/>
      <c r="F175" s="298"/>
      <c r="G175" s="298"/>
      <c r="H175" s="298"/>
      <c r="I175" s="298"/>
      <c r="J175" s="327"/>
      <c r="K175" s="327">
        <v>218400</v>
      </c>
      <c r="L175" s="327">
        <f t="shared" si="9"/>
        <v>218400</v>
      </c>
    </row>
    <row r="176" spans="1:12" hidden="1" x14ac:dyDescent="0.3">
      <c r="A176" s="298">
        <f t="shared" si="8"/>
        <v>168</v>
      </c>
      <c r="B176" s="298" t="s">
        <v>689</v>
      </c>
      <c r="C176" s="327">
        <v>264900</v>
      </c>
      <c r="D176" s="381" t="s">
        <v>792</v>
      </c>
      <c r="E176" s="475"/>
      <c r="F176" s="298"/>
      <c r="G176" s="298"/>
      <c r="H176" s="298"/>
      <c r="I176" s="298"/>
      <c r="J176" s="327"/>
      <c r="K176" s="327">
        <v>264900</v>
      </c>
      <c r="L176" s="327">
        <f t="shared" si="9"/>
        <v>264900</v>
      </c>
    </row>
    <row r="177" spans="1:12" hidden="1" x14ac:dyDescent="0.3">
      <c r="A177" s="298">
        <f t="shared" si="8"/>
        <v>169</v>
      </c>
      <c r="B177" s="298" t="s">
        <v>689</v>
      </c>
      <c r="C177" s="327">
        <v>269892.40000000002</v>
      </c>
      <c r="D177" s="381" t="s">
        <v>792</v>
      </c>
      <c r="E177" s="475"/>
      <c r="F177" s="298"/>
      <c r="G177" s="298"/>
      <c r="H177" s="298"/>
      <c r="I177" s="298"/>
      <c r="J177" s="327"/>
      <c r="K177" s="327">
        <v>269892.40000000002</v>
      </c>
      <c r="L177" s="327">
        <f t="shared" si="9"/>
        <v>269892.40000000002</v>
      </c>
    </row>
    <row r="178" spans="1:12" hidden="1" x14ac:dyDescent="0.3">
      <c r="A178" s="298">
        <f t="shared" si="8"/>
        <v>170</v>
      </c>
      <c r="B178" s="298" t="s">
        <v>1210</v>
      </c>
      <c r="C178" s="327">
        <v>6490</v>
      </c>
      <c r="D178" s="381" t="s">
        <v>792</v>
      </c>
      <c r="E178" s="475"/>
      <c r="F178" s="298"/>
      <c r="G178" s="298"/>
      <c r="H178" s="298"/>
      <c r="I178" s="298"/>
      <c r="J178" s="327"/>
      <c r="K178" s="327">
        <v>6490</v>
      </c>
      <c r="L178" s="327">
        <f t="shared" si="9"/>
        <v>6490</v>
      </c>
    </row>
    <row r="179" spans="1:12" hidden="1" x14ac:dyDescent="0.3">
      <c r="A179" s="298">
        <f t="shared" si="8"/>
        <v>171</v>
      </c>
      <c r="B179" s="298" t="s">
        <v>737</v>
      </c>
      <c r="C179" s="327">
        <v>226357.04</v>
      </c>
      <c r="D179" s="381" t="s">
        <v>792</v>
      </c>
      <c r="E179" s="475"/>
      <c r="F179" s="298"/>
      <c r="G179" s="298"/>
      <c r="H179" s="298"/>
      <c r="I179" s="298"/>
      <c r="J179" s="327"/>
      <c r="K179" s="327">
        <v>226357.04</v>
      </c>
      <c r="L179" s="327">
        <f t="shared" si="9"/>
        <v>226357.04</v>
      </c>
    </row>
    <row r="180" spans="1:12" hidden="1" x14ac:dyDescent="0.3">
      <c r="A180" s="298">
        <f t="shared" si="8"/>
        <v>172</v>
      </c>
      <c r="B180" s="298" t="s">
        <v>898</v>
      </c>
      <c r="C180" s="327">
        <v>269040</v>
      </c>
      <c r="D180" s="381" t="s">
        <v>792</v>
      </c>
      <c r="E180" s="475"/>
      <c r="F180" s="298"/>
      <c r="G180" s="298"/>
      <c r="H180" s="298"/>
      <c r="I180" s="298"/>
      <c r="J180" s="327"/>
      <c r="K180" s="327">
        <v>269040</v>
      </c>
      <c r="L180" s="327">
        <f t="shared" si="9"/>
        <v>269040</v>
      </c>
    </row>
    <row r="181" spans="1:12" hidden="1" x14ac:dyDescent="0.3">
      <c r="A181" s="298">
        <f t="shared" si="8"/>
        <v>173</v>
      </c>
      <c r="B181" s="298" t="s">
        <v>668</v>
      </c>
      <c r="C181" s="327">
        <v>8982.75</v>
      </c>
      <c r="D181" s="381" t="s">
        <v>792</v>
      </c>
      <c r="E181" s="475"/>
      <c r="F181" s="298"/>
      <c r="G181" s="298"/>
      <c r="H181" s="298"/>
      <c r="I181" s="298"/>
      <c r="J181" s="327"/>
      <c r="K181" s="327">
        <v>8982.75</v>
      </c>
      <c r="L181" s="327">
        <f t="shared" si="9"/>
        <v>8982.75</v>
      </c>
    </row>
    <row r="182" spans="1:12" hidden="1" x14ac:dyDescent="0.3">
      <c r="A182" s="298">
        <f t="shared" si="8"/>
        <v>174</v>
      </c>
      <c r="B182" s="298" t="s">
        <v>668</v>
      </c>
      <c r="C182" s="327">
        <v>5459.46</v>
      </c>
      <c r="D182" s="381" t="s">
        <v>792</v>
      </c>
      <c r="E182" s="475"/>
      <c r="F182" s="298"/>
      <c r="G182" s="298"/>
      <c r="H182" s="298"/>
      <c r="I182" s="298"/>
      <c r="J182" s="327"/>
      <c r="K182" s="327">
        <v>5459.46</v>
      </c>
      <c r="L182" s="327">
        <f t="shared" si="9"/>
        <v>5459.46</v>
      </c>
    </row>
    <row r="183" spans="1:12" hidden="1" x14ac:dyDescent="0.3">
      <c r="A183" s="298">
        <f t="shared" si="8"/>
        <v>175</v>
      </c>
      <c r="B183" s="298" t="s">
        <v>771</v>
      </c>
      <c r="C183" s="327">
        <v>20060</v>
      </c>
      <c r="D183" s="381" t="s">
        <v>792</v>
      </c>
      <c r="E183" s="475"/>
      <c r="F183" s="298"/>
      <c r="G183" s="298"/>
      <c r="H183" s="298"/>
      <c r="I183" s="298"/>
      <c r="J183" s="327"/>
      <c r="K183" s="327">
        <v>20060</v>
      </c>
      <c r="L183" s="327">
        <f t="shared" si="9"/>
        <v>20060</v>
      </c>
    </row>
    <row r="184" spans="1:12" hidden="1" x14ac:dyDescent="0.3">
      <c r="A184" s="298">
        <f t="shared" si="8"/>
        <v>176</v>
      </c>
      <c r="B184" s="298" t="s">
        <v>666</v>
      </c>
      <c r="C184" s="327">
        <v>86700</v>
      </c>
      <c r="D184" s="381" t="s">
        <v>792</v>
      </c>
      <c r="E184" s="475"/>
      <c r="F184" s="298"/>
      <c r="G184" s="298"/>
      <c r="H184" s="298"/>
      <c r="I184" s="298"/>
      <c r="J184" s="327"/>
      <c r="K184" s="327">
        <v>86700</v>
      </c>
      <c r="L184" s="327">
        <f t="shared" si="9"/>
        <v>86700</v>
      </c>
    </row>
    <row r="185" spans="1:12" hidden="1" x14ac:dyDescent="0.3">
      <c r="A185" s="298">
        <f t="shared" si="8"/>
        <v>177</v>
      </c>
      <c r="B185" s="298" t="s">
        <v>815</v>
      </c>
      <c r="C185" s="327">
        <v>128506.72</v>
      </c>
      <c r="D185" s="381" t="s">
        <v>792</v>
      </c>
      <c r="E185" s="475"/>
      <c r="F185" s="298"/>
      <c r="G185" s="298"/>
      <c r="H185" s="298"/>
      <c r="I185" s="298"/>
      <c r="J185" s="327"/>
      <c r="K185" s="327">
        <v>128506.72</v>
      </c>
      <c r="L185" s="327">
        <f t="shared" si="9"/>
        <v>128506.72</v>
      </c>
    </row>
    <row r="186" spans="1:12" hidden="1" x14ac:dyDescent="0.3">
      <c r="A186" s="298">
        <f t="shared" si="8"/>
        <v>178</v>
      </c>
      <c r="B186" s="298" t="s">
        <v>666</v>
      </c>
      <c r="C186" s="327">
        <v>185400</v>
      </c>
      <c r="D186" s="381" t="s">
        <v>792</v>
      </c>
      <c r="E186" s="475"/>
      <c r="F186" s="298"/>
      <c r="G186" s="298"/>
      <c r="H186" s="298"/>
      <c r="I186" s="298"/>
      <c r="J186" s="327"/>
      <c r="K186" s="327">
        <v>185400</v>
      </c>
      <c r="L186" s="327">
        <f t="shared" si="9"/>
        <v>185400</v>
      </c>
    </row>
    <row r="187" spans="1:12" hidden="1" x14ac:dyDescent="0.3">
      <c r="A187" s="298">
        <f t="shared" si="8"/>
        <v>179</v>
      </c>
      <c r="B187" s="298" t="s">
        <v>1205</v>
      </c>
      <c r="C187" s="327">
        <v>334708.95</v>
      </c>
      <c r="D187" s="381" t="s">
        <v>792</v>
      </c>
      <c r="E187" s="475"/>
      <c r="F187" s="298"/>
      <c r="G187" s="298"/>
      <c r="H187" s="298"/>
      <c r="I187" s="298"/>
      <c r="J187" s="327"/>
      <c r="K187" s="327">
        <v>334708.95</v>
      </c>
      <c r="L187" s="327">
        <f t="shared" si="9"/>
        <v>334708.95</v>
      </c>
    </row>
    <row r="188" spans="1:12" hidden="1" x14ac:dyDescent="0.3">
      <c r="A188" s="298">
        <f t="shared" si="8"/>
        <v>180</v>
      </c>
      <c r="B188" s="298" t="s">
        <v>771</v>
      </c>
      <c r="C188" s="327">
        <v>1164512.5</v>
      </c>
      <c r="D188" s="381" t="s">
        <v>792</v>
      </c>
      <c r="E188" s="475"/>
      <c r="F188" s="298"/>
      <c r="G188" s="298"/>
      <c r="H188" s="298"/>
      <c r="I188" s="298"/>
      <c r="J188" s="327"/>
      <c r="K188" s="327">
        <v>1164512.5</v>
      </c>
      <c r="L188" s="327">
        <f t="shared" si="9"/>
        <v>1164512.5</v>
      </c>
    </row>
    <row r="189" spans="1:12" hidden="1" x14ac:dyDescent="0.3">
      <c r="A189" s="298">
        <f t="shared" si="8"/>
        <v>181</v>
      </c>
      <c r="B189" s="298" t="s">
        <v>668</v>
      </c>
      <c r="C189" s="327">
        <v>5459.46</v>
      </c>
      <c r="D189" s="381" t="s">
        <v>792</v>
      </c>
      <c r="E189" s="475"/>
      <c r="F189" s="298"/>
      <c r="G189" s="298"/>
      <c r="H189" s="298"/>
      <c r="I189" s="298"/>
      <c r="J189" s="327"/>
      <c r="K189" s="327">
        <v>5459.46</v>
      </c>
      <c r="L189" s="327">
        <f t="shared" si="9"/>
        <v>5459.46</v>
      </c>
    </row>
    <row r="190" spans="1:12" hidden="1" x14ac:dyDescent="0.3">
      <c r="A190" s="298">
        <f t="shared" si="8"/>
        <v>182</v>
      </c>
      <c r="B190" s="298" t="s">
        <v>1211</v>
      </c>
      <c r="C190" s="327">
        <v>2150</v>
      </c>
      <c r="D190" s="381" t="s">
        <v>792</v>
      </c>
      <c r="E190" s="475"/>
      <c r="F190" s="298"/>
      <c r="G190" s="298"/>
      <c r="H190" s="298"/>
      <c r="I190" s="298"/>
      <c r="J190" s="327"/>
      <c r="K190" s="327">
        <v>2150</v>
      </c>
      <c r="L190" s="327">
        <f t="shared" si="9"/>
        <v>2150</v>
      </c>
    </row>
    <row r="191" spans="1:12" hidden="1" x14ac:dyDescent="0.3">
      <c r="A191" s="298">
        <f t="shared" si="8"/>
        <v>183</v>
      </c>
      <c r="B191" s="298" t="s">
        <v>652</v>
      </c>
      <c r="C191" s="327">
        <v>150000</v>
      </c>
      <c r="D191" s="381" t="s">
        <v>792</v>
      </c>
      <c r="E191" s="475"/>
      <c r="F191" s="298"/>
      <c r="G191" s="298"/>
      <c r="H191" s="298"/>
      <c r="I191" s="298"/>
      <c r="J191" s="327"/>
      <c r="K191" s="327">
        <v>150000</v>
      </c>
      <c r="L191" s="327">
        <f t="shared" si="9"/>
        <v>150000</v>
      </c>
    </row>
    <row r="192" spans="1:12" hidden="1" x14ac:dyDescent="0.3">
      <c r="A192" s="298">
        <f t="shared" si="8"/>
        <v>184</v>
      </c>
      <c r="B192" s="298" t="s">
        <v>1212</v>
      </c>
      <c r="C192" s="327">
        <v>180000</v>
      </c>
      <c r="D192" s="381" t="s">
        <v>792</v>
      </c>
      <c r="E192" s="475"/>
      <c r="F192" s="298"/>
      <c r="G192" s="298"/>
      <c r="H192" s="298"/>
      <c r="I192" s="298"/>
      <c r="J192" s="327"/>
      <c r="K192" s="327">
        <v>180000</v>
      </c>
      <c r="L192" s="327">
        <f t="shared" si="9"/>
        <v>180000</v>
      </c>
    </row>
    <row r="193" spans="1:12" hidden="1" x14ac:dyDescent="0.3">
      <c r="A193" s="298">
        <f t="shared" si="8"/>
        <v>185</v>
      </c>
      <c r="B193" s="298" t="s">
        <v>668</v>
      </c>
      <c r="C193" s="327">
        <v>386946.77</v>
      </c>
      <c r="D193" s="381" t="s">
        <v>792</v>
      </c>
      <c r="E193" s="475"/>
      <c r="F193" s="298"/>
      <c r="G193" s="298"/>
      <c r="H193" s="298"/>
      <c r="I193" s="298"/>
      <c r="J193" s="327"/>
      <c r="K193" s="327">
        <v>386946.77</v>
      </c>
      <c r="L193" s="327">
        <f t="shared" si="9"/>
        <v>386946.77</v>
      </c>
    </row>
    <row r="194" spans="1:12" hidden="1" x14ac:dyDescent="0.3">
      <c r="A194" s="298">
        <f t="shared" si="8"/>
        <v>186</v>
      </c>
      <c r="B194" s="298" t="s">
        <v>1037</v>
      </c>
      <c r="C194" s="327">
        <v>144590</v>
      </c>
      <c r="D194" s="381" t="s">
        <v>792</v>
      </c>
      <c r="E194" s="475"/>
      <c r="F194" s="298"/>
      <c r="G194" s="298"/>
      <c r="H194" s="298"/>
      <c r="I194" s="298"/>
      <c r="J194" s="327"/>
      <c r="K194" s="327">
        <v>144590</v>
      </c>
      <c r="L194" s="327">
        <f t="shared" si="9"/>
        <v>144590</v>
      </c>
    </row>
    <row r="195" spans="1:12" hidden="1" x14ac:dyDescent="0.3">
      <c r="A195" s="298">
        <f t="shared" si="8"/>
        <v>187</v>
      </c>
      <c r="B195" s="298" t="s">
        <v>1206</v>
      </c>
      <c r="C195" s="327">
        <v>220500</v>
      </c>
      <c r="D195" s="381" t="s">
        <v>792</v>
      </c>
      <c r="E195" s="475"/>
      <c r="F195" s="298"/>
      <c r="G195" s="298"/>
      <c r="H195" s="298"/>
      <c r="I195" s="298"/>
      <c r="J195" s="327"/>
      <c r="K195" s="327">
        <v>220500</v>
      </c>
      <c r="L195" s="327">
        <f t="shared" si="9"/>
        <v>220500</v>
      </c>
    </row>
    <row r="196" spans="1:12" hidden="1" x14ac:dyDescent="0.3">
      <c r="A196" s="298">
        <f t="shared" si="8"/>
        <v>188</v>
      </c>
      <c r="B196" s="298" t="s">
        <v>1064</v>
      </c>
      <c r="C196" s="327">
        <v>253279</v>
      </c>
      <c r="D196" s="381" t="s">
        <v>792</v>
      </c>
      <c r="E196" s="475"/>
      <c r="F196" s="298"/>
      <c r="G196" s="298"/>
      <c r="H196" s="298"/>
      <c r="I196" s="298"/>
      <c r="J196" s="327"/>
      <c r="K196" s="327">
        <v>253279</v>
      </c>
      <c r="L196" s="327">
        <f t="shared" si="9"/>
        <v>253279</v>
      </c>
    </row>
    <row r="197" spans="1:12" hidden="1" x14ac:dyDescent="0.3">
      <c r="A197" s="298">
        <f t="shared" si="8"/>
        <v>189</v>
      </c>
      <c r="B197" s="298" t="s">
        <v>785</v>
      </c>
      <c r="C197" s="327">
        <v>267156.5</v>
      </c>
      <c r="D197" s="381" t="s">
        <v>792</v>
      </c>
      <c r="E197" s="475"/>
      <c r="F197" s="298"/>
      <c r="G197" s="298"/>
      <c r="H197" s="298"/>
      <c r="I197" s="298"/>
      <c r="J197" s="327"/>
      <c r="K197" s="327">
        <v>267156.5</v>
      </c>
      <c r="L197" s="327">
        <f t="shared" si="9"/>
        <v>267156.5</v>
      </c>
    </row>
    <row r="198" spans="1:12" hidden="1" x14ac:dyDescent="0.3">
      <c r="A198" s="298">
        <f t="shared" si="8"/>
        <v>190</v>
      </c>
      <c r="B198" s="298" t="s">
        <v>1213</v>
      </c>
      <c r="C198" s="327">
        <v>271350</v>
      </c>
      <c r="D198" s="381" t="s">
        <v>792</v>
      </c>
      <c r="E198" s="475"/>
      <c r="F198" s="298"/>
      <c r="G198" s="298"/>
      <c r="H198" s="298"/>
      <c r="I198" s="298"/>
      <c r="J198" s="327"/>
      <c r="K198" s="327">
        <v>271350</v>
      </c>
      <c r="L198" s="327">
        <f t="shared" si="9"/>
        <v>271350</v>
      </c>
    </row>
    <row r="199" spans="1:12" hidden="1" x14ac:dyDescent="0.3">
      <c r="A199" s="298">
        <f t="shared" si="8"/>
        <v>191</v>
      </c>
      <c r="B199" s="298" t="s">
        <v>668</v>
      </c>
      <c r="C199" s="327">
        <v>4549.55</v>
      </c>
      <c r="D199" s="381" t="s">
        <v>792</v>
      </c>
      <c r="E199" s="475"/>
      <c r="F199" s="298"/>
      <c r="G199" s="298"/>
      <c r="H199" s="298"/>
      <c r="I199" s="298"/>
      <c r="J199" s="327"/>
      <c r="K199" s="327">
        <v>4549.55</v>
      </c>
      <c r="L199" s="327">
        <f t="shared" si="9"/>
        <v>4549.55</v>
      </c>
    </row>
    <row r="200" spans="1:12" hidden="1" x14ac:dyDescent="0.3">
      <c r="A200" s="298">
        <f t="shared" si="8"/>
        <v>192</v>
      </c>
      <c r="B200" s="298" t="s">
        <v>668</v>
      </c>
      <c r="C200" s="327">
        <v>13698.11</v>
      </c>
      <c r="D200" s="381" t="s">
        <v>792</v>
      </c>
      <c r="E200" s="475"/>
      <c r="F200" s="298"/>
      <c r="G200" s="298"/>
      <c r="H200" s="298"/>
      <c r="I200" s="298"/>
      <c r="J200" s="327"/>
      <c r="K200" s="327">
        <v>13698.11</v>
      </c>
      <c r="L200" s="327">
        <f t="shared" si="9"/>
        <v>13698.11</v>
      </c>
    </row>
    <row r="201" spans="1:12" hidden="1" x14ac:dyDescent="0.3">
      <c r="A201" s="298">
        <f t="shared" si="8"/>
        <v>193</v>
      </c>
      <c r="B201" s="298" t="s">
        <v>1214</v>
      </c>
      <c r="C201" s="327">
        <v>215685.19</v>
      </c>
      <c r="D201" s="381" t="s">
        <v>792</v>
      </c>
      <c r="E201" s="475"/>
      <c r="F201" s="298"/>
      <c r="G201" s="298"/>
      <c r="H201" s="298"/>
      <c r="I201" s="298"/>
      <c r="J201" s="327"/>
      <c r="K201" s="327">
        <v>215685.19</v>
      </c>
      <c r="L201" s="327">
        <f t="shared" si="9"/>
        <v>215685.19</v>
      </c>
    </row>
    <row r="202" spans="1:12" hidden="1" x14ac:dyDescent="0.3">
      <c r="A202" s="298">
        <f t="shared" si="8"/>
        <v>194</v>
      </c>
      <c r="B202" s="298" t="s">
        <v>789</v>
      </c>
      <c r="C202" s="327">
        <v>233050</v>
      </c>
      <c r="D202" s="381" t="s">
        <v>792</v>
      </c>
      <c r="E202" s="475"/>
      <c r="F202" s="298"/>
      <c r="G202" s="298"/>
      <c r="H202" s="298"/>
      <c r="I202" s="298"/>
      <c r="J202" s="327"/>
      <c r="K202" s="327">
        <v>233050</v>
      </c>
      <c r="L202" s="327">
        <f t="shared" si="9"/>
        <v>233050</v>
      </c>
    </row>
    <row r="203" spans="1:12" hidden="1" x14ac:dyDescent="0.3">
      <c r="A203" s="298">
        <f t="shared" si="8"/>
        <v>195</v>
      </c>
      <c r="B203" s="298" t="s">
        <v>789</v>
      </c>
      <c r="C203" s="327">
        <v>233050</v>
      </c>
      <c r="D203" s="381" t="s">
        <v>792</v>
      </c>
      <c r="E203" s="475"/>
      <c r="F203" s="298"/>
      <c r="G203" s="298"/>
      <c r="H203" s="298"/>
      <c r="I203" s="298"/>
      <c r="J203" s="327"/>
      <c r="K203" s="327">
        <v>233050</v>
      </c>
      <c r="L203" s="327">
        <f t="shared" si="9"/>
        <v>233050</v>
      </c>
    </row>
    <row r="204" spans="1:12" hidden="1" x14ac:dyDescent="0.3">
      <c r="A204" s="298">
        <f t="shared" si="8"/>
        <v>196</v>
      </c>
      <c r="B204" s="298" t="s">
        <v>742</v>
      </c>
      <c r="C204" s="327">
        <v>31250</v>
      </c>
      <c r="D204" s="381" t="s">
        <v>792</v>
      </c>
      <c r="E204" s="475"/>
      <c r="F204" s="298"/>
      <c r="G204" s="298"/>
      <c r="H204" s="298"/>
      <c r="I204" s="298"/>
      <c r="J204" s="327"/>
      <c r="K204" s="327">
        <v>31250</v>
      </c>
      <c r="L204" s="327">
        <f t="shared" si="9"/>
        <v>31250</v>
      </c>
    </row>
    <row r="205" spans="1:12" hidden="1" x14ac:dyDescent="0.3">
      <c r="A205" s="298">
        <f t="shared" si="8"/>
        <v>197</v>
      </c>
      <c r="B205" s="298" t="s">
        <v>742</v>
      </c>
      <c r="C205" s="327">
        <v>54720</v>
      </c>
      <c r="D205" s="381" t="s">
        <v>792</v>
      </c>
      <c r="E205" s="475"/>
      <c r="F205" s="298"/>
      <c r="G205" s="298"/>
      <c r="H205" s="298"/>
      <c r="I205" s="298"/>
      <c r="J205" s="327"/>
      <c r="K205" s="327">
        <v>54720</v>
      </c>
      <c r="L205" s="327">
        <f t="shared" ref="L205:L227" si="10">SUM(E205:K205)</f>
        <v>54720</v>
      </c>
    </row>
    <row r="206" spans="1:12" hidden="1" x14ac:dyDescent="0.3">
      <c r="A206" s="298">
        <f t="shared" si="8"/>
        <v>198</v>
      </c>
      <c r="B206" s="298" t="s">
        <v>789</v>
      </c>
      <c r="C206" s="327">
        <v>70092</v>
      </c>
      <c r="D206" s="381" t="s">
        <v>792</v>
      </c>
      <c r="E206" s="475"/>
      <c r="F206" s="298"/>
      <c r="G206" s="298"/>
      <c r="H206" s="298"/>
      <c r="I206" s="298"/>
      <c r="J206" s="327"/>
      <c r="K206" s="327">
        <v>70092</v>
      </c>
      <c r="L206" s="327">
        <f t="shared" si="10"/>
        <v>70092</v>
      </c>
    </row>
    <row r="207" spans="1:12" hidden="1" x14ac:dyDescent="0.3">
      <c r="A207" s="298">
        <f t="shared" si="8"/>
        <v>199</v>
      </c>
      <c r="B207" s="298" t="s">
        <v>1037</v>
      </c>
      <c r="C207" s="327">
        <v>182375</v>
      </c>
      <c r="D207" s="381" t="s">
        <v>792</v>
      </c>
      <c r="E207" s="475"/>
      <c r="F207" s="298"/>
      <c r="G207" s="298"/>
      <c r="H207" s="298"/>
      <c r="I207" s="298"/>
      <c r="J207" s="327"/>
      <c r="K207" s="327">
        <v>182375</v>
      </c>
      <c r="L207" s="327">
        <f t="shared" si="10"/>
        <v>182375</v>
      </c>
    </row>
    <row r="208" spans="1:12" hidden="1" x14ac:dyDescent="0.3">
      <c r="A208" s="298">
        <f t="shared" si="8"/>
        <v>200</v>
      </c>
      <c r="B208" s="298" t="s">
        <v>1078</v>
      </c>
      <c r="C208" s="327">
        <v>203550</v>
      </c>
      <c r="D208" s="381" t="s">
        <v>792</v>
      </c>
      <c r="E208" s="475"/>
      <c r="F208" s="298"/>
      <c r="G208" s="298"/>
      <c r="H208" s="298"/>
      <c r="I208" s="298"/>
      <c r="J208" s="327"/>
      <c r="K208" s="327">
        <v>203550</v>
      </c>
      <c r="L208" s="327">
        <f t="shared" si="10"/>
        <v>203550</v>
      </c>
    </row>
    <row r="209" spans="1:12" hidden="1" x14ac:dyDescent="0.3">
      <c r="A209" s="298">
        <f t="shared" si="8"/>
        <v>201</v>
      </c>
      <c r="B209" s="298" t="s">
        <v>686</v>
      </c>
      <c r="C209" s="327">
        <v>244381.47</v>
      </c>
      <c r="D209" s="381" t="s">
        <v>792</v>
      </c>
      <c r="E209" s="475"/>
      <c r="F209" s="298"/>
      <c r="G209" s="298"/>
      <c r="H209" s="298"/>
      <c r="I209" s="298"/>
      <c r="J209" s="327"/>
      <c r="K209" s="327">
        <v>244381.47</v>
      </c>
      <c r="L209" s="327">
        <f t="shared" si="10"/>
        <v>244381.47</v>
      </c>
    </row>
    <row r="210" spans="1:12" hidden="1" x14ac:dyDescent="0.3">
      <c r="A210" s="298">
        <f t="shared" si="8"/>
        <v>202</v>
      </c>
      <c r="B210" s="298" t="s">
        <v>785</v>
      </c>
      <c r="C210" s="327">
        <v>272843.74</v>
      </c>
      <c r="D210" s="381" t="s">
        <v>792</v>
      </c>
      <c r="E210" s="475"/>
      <c r="F210" s="298"/>
      <c r="G210" s="298"/>
      <c r="H210" s="298"/>
      <c r="I210" s="298"/>
      <c r="J210" s="327"/>
      <c r="K210" s="327">
        <v>272843.74</v>
      </c>
      <c r="L210" s="327">
        <f t="shared" si="10"/>
        <v>272843.74</v>
      </c>
    </row>
    <row r="211" spans="1:12" hidden="1" x14ac:dyDescent="0.3">
      <c r="A211" s="298">
        <f t="shared" si="8"/>
        <v>203</v>
      </c>
      <c r="B211" s="298" t="s">
        <v>1210</v>
      </c>
      <c r="C211" s="327">
        <v>57230</v>
      </c>
      <c r="D211" s="381" t="s">
        <v>792</v>
      </c>
      <c r="E211" s="475"/>
      <c r="F211" s="298"/>
      <c r="G211" s="298"/>
      <c r="H211" s="298"/>
      <c r="I211" s="298"/>
      <c r="J211" s="327"/>
      <c r="K211" s="327">
        <v>57230</v>
      </c>
      <c r="L211" s="327">
        <f t="shared" si="10"/>
        <v>57230</v>
      </c>
    </row>
    <row r="212" spans="1:12" hidden="1" x14ac:dyDescent="0.3">
      <c r="A212" s="298">
        <f t="shared" ref="A212:A227" si="11">+A211+1</f>
        <v>204</v>
      </c>
      <c r="B212" s="298" t="s">
        <v>1078</v>
      </c>
      <c r="C212" s="327">
        <v>110000</v>
      </c>
      <c r="D212" s="381" t="s">
        <v>792</v>
      </c>
      <c r="E212" s="475"/>
      <c r="F212" s="298"/>
      <c r="G212" s="298"/>
      <c r="H212" s="298"/>
      <c r="I212" s="298"/>
      <c r="J212" s="327"/>
      <c r="K212" s="327">
        <v>110000</v>
      </c>
      <c r="L212" s="327">
        <f t="shared" si="10"/>
        <v>110000</v>
      </c>
    </row>
    <row r="213" spans="1:12" hidden="1" x14ac:dyDescent="0.3">
      <c r="A213" s="298">
        <f t="shared" si="11"/>
        <v>205</v>
      </c>
      <c r="B213" s="298" t="s">
        <v>1078</v>
      </c>
      <c r="C213" s="327">
        <v>209354.3</v>
      </c>
      <c r="D213" s="381" t="s">
        <v>792</v>
      </c>
      <c r="E213" s="475"/>
      <c r="F213" s="298"/>
      <c r="G213" s="298"/>
      <c r="H213" s="298"/>
      <c r="I213" s="298"/>
      <c r="J213" s="327"/>
      <c r="K213" s="327">
        <v>209354.3</v>
      </c>
      <c r="L213" s="327">
        <f t="shared" si="10"/>
        <v>209354.3</v>
      </c>
    </row>
    <row r="214" spans="1:12" hidden="1" x14ac:dyDescent="0.3">
      <c r="A214" s="298">
        <f t="shared" si="11"/>
        <v>206</v>
      </c>
      <c r="B214" s="298" t="s">
        <v>1078</v>
      </c>
      <c r="C214" s="327">
        <v>236948</v>
      </c>
      <c r="D214" s="381" t="s">
        <v>792</v>
      </c>
      <c r="E214" s="475"/>
      <c r="F214" s="298"/>
      <c r="G214" s="298"/>
      <c r="H214" s="298"/>
      <c r="I214" s="298"/>
      <c r="J214" s="327"/>
      <c r="K214" s="327">
        <v>236948</v>
      </c>
      <c r="L214" s="327">
        <f t="shared" si="10"/>
        <v>236948</v>
      </c>
    </row>
    <row r="215" spans="1:12" hidden="1" x14ac:dyDescent="0.3">
      <c r="A215" s="298">
        <f t="shared" si="11"/>
        <v>207</v>
      </c>
      <c r="B215" s="298" t="s">
        <v>686</v>
      </c>
      <c r="C215" s="327">
        <v>82346.95</v>
      </c>
      <c r="D215" s="381" t="s">
        <v>792</v>
      </c>
      <c r="E215" s="475"/>
      <c r="F215" s="298"/>
      <c r="G215" s="298"/>
      <c r="H215" s="298"/>
      <c r="I215" s="298"/>
      <c r="J215" s="327"/>
      <c r="K215" s="327">
        <v>82346.95</v>
      </c>
      <c r="L215" s="327">
        <f t="shared" si="10"/>
        <v>82346.95</v>
      </c>
    </row>
    <row r="216" spans="1:12" hidden="1" x14ac:dyDescent="0.3">
      <c r="A216" s="298">
        <f t="shared" si="11"/>
        <v>208</v>
      </c>
      <c r="B216" s="298" t="s">
        <v>686</v>
      </c>
      <c r="C216" s="327">
        <v>241859.88</v>
      </c>
      <c r="D216" s="381" t="s">
        <v>792</v>
      </c>
      <c r="E216" s="475"/>
      <c r="F216" s="298"/>
      <c r="G216" s="298"/>
      <c r="H216" s="298"/>
      <c r="I216" s="298"/>
      <c r="J216" s="327"/>
      <c r="K216" s="327">
        <v>241859.88</v>
      </c>
      <c r="L216" s="327">
        <f t="shared" si="10"/>
        <v>241859.88</v>
      </c>
    </row>
    <row r="217" spans="1:12" hidden="1" x14ac:dyDescent="0.3">
      <c r="A217" s="298">
        <f t="shared" si="11"/>
        <v>209</v>
      </c>
      <c r="B217" s="298" t="s">
        <v>790</v>
      </c>
      <c r="C217" s="327">
        <v>252960.9</v>
      </c>
      <c r="D217" s="381" t="s">
        <v>792</v>
      </c>
      <c r="E217" s="475"/>
      <c r="F217" s="298"/>
      <c r="G217" s="298"/>
      <c r="H217" s="298"/>
      <c r="I217" s="298"/>
      <c r="J217" s="327"/>
      <c r="K217" s="327">
        <v>252960.9</v>
      </c>
      <c r="L217" s="327">
        <f t="shared" si="10"/>
        <v>252960.9</v>
      </c>
    </row>
    <row r="218" spans="1:12" hidden="1" x14ac:dyDescent="0.3">
      <c r="A218" s="298">
        <f t="shared" si="11"/>
        <v>210</v>
      </c>
      <c r="B218" s="298" t="s">
        <v>1215</v>
      </c>
      <c r="C218" s="327">
        <v>371464</v>
      </c>
      <c r="D218" s="381" t="s">
        <v>792</v>
      </c>
      <c r="E218" s="475"/>
      <c r="F218" s="298"/>
      <c r="G218" s="298"/>
      <c r="H218" s="298"/>
      <c r="I218" s="298"/>
      <c r="J218" s="327"/>
      <c r="K218" s="327">
        <v>371464</v>
      </c>
      <c r="L218" s="327">
        <f t="shared" si="10"/>
        <v>371464</v>
      </c>
    </row>
    <row r="219" spans="1:12" hidden="1" x14ac:dyDescent="0.3">
      <c r="A219" s="298">
        <f t="shared" si="11"/>
        <v>211</v>
      </c>
      <c r="B219" s="298" t="s">
        <v>1216</v>
      </c>
      <c r="C219" s="327">
        <v>107616</v>
      </c>
      <c r="D219" s="381" t="s">
        <v>792</v>
      </c>
      <c r="E219" s="475"/>
      <c r="F219" s="298"/>
      <c r="G219" s="298"/>
      <c r="H219" s="298"/>
      <c r="I219" s="298"/>
      <c r="J219" s="327"/>
      <c r="K219" s="327">
        <v>107616</v>
      </c>
      <c r="L219" s="327">
        <f t="shared" si="10"/>
        <v>107616</v>
      </c>
    </row>
    <row r="220" spans="1:12" hidden="1" x14ac:dyDescent="0.3">
      <c r="A220" s="298">
        <f t="shared" si="11"/>
        <v>212</v>
      </c>
      <c r="B220" s="298" t="s">
        <v>668</v>
      </c>
      <c r="C220" s="327">
        <v>7279.28</v>
      </c>
      <c r="D220" s="381" t="s">
        <v>792</v>
      </c>
      <c r="E220" s="475"/>
      <c r="F220" s="298"/>
      <c r="G220" s="298"/>
      <c r="H220" s="298"/>
      <c r="I220" s="298"/>
      <c r="J220" s="327"/>
      <c r="K220" s="327">
        <v>7279.28</v>
      </c>
      <c r="L220" s="327">
        <f t="shared" si="10"/>
        <v>7279.28</v>
      </c>
    </row>
    <row r="221" spans="1:12" hidden="1" x14ac:dyDescent="0.3">
      <c r="A221" s="298">
        <f t="shared" si="11"/>
        <v>213</v>
      </c>
      <c r="B221" s="298" t="s">
        <v>645</v>
      </c>
      <c r="C221" s="327">
        <v>21879</v>
      </c>
      <c r="D221" s="381" t="s">
        <v>792</v>
      </c>
      <c r="E221" s="475"/>
      <c r="F221" s="298"/>
      <c r="G221" s="298"/>
      <c r="H221" s="298"/>
      <c r="I221" s="298"/>
      <c r="J221" s="327"/>
      <c r="K221" s="327">
        <v>21879</v>
      </c>
      <c r="L221" s="327">
        <f t="shared" si="10"/>
        <v>21879</v>
      </c>
    </row>
    <row r="222" spans="1:12" hidden="1" x14ac:dyDescent="0.3">
      <c r="A222" s="298">
        <f t="shared" si="11"/>
        <v>214</v>
      </c>
      <c r="B222" s="298" t="s">
        <v>1217</v>
      </c>
      <c r="C222" s="327">
        <v>192276.37</v>
      </c>
      <c r="D222" s="381" t="s">
        <v>792</v>
      </c>
      <c r="E222" s="475"/>
      <c r="F222" s="298"/>
      <c r="G222" s="298"/>
      <c r="H222" s="298"/>
      <c r="I222" s="298"/>
      <c r="J222" s="327"/>
      <c r="K222" s="327">
        <v>192276.37</v>
      </c>
      <c r="L222" s="327">
        <f t="shared" si="10"/>
        <v>192276.37</v>
      </c>
    </row>
    <row r="223" spans="1:12" hidden="1" x14ac:dyDescent="0.3">
      <c r="A223" s="298">
        <f t="shared" si="11"/>
        <v>215</v>
      </c>
      <c r="B223" s="380" t="s">
        <v>1064</v>
      </c>
      <c r="C223" s="386">
        <v>226560</v>
      </c>
      <c r="D223" s="381" t="s">
        <v>792</v>
      </c>
      <c r="E223" s="475"/>
      <c r="F223" s="298"/>
      <c r="G223" s="298"/>
      <c r="H223" s="298"/>
      <c r="I223" s="298"/>
      <c r="J223" s="327"/>
      <c r="K223" s="386">
        <v>226560</v>
      </c>
      <c r="L223" s="327">
        <f t="shared" si="10"/>
        <v>226560</v>
      </c>
    </row>
    <row r="224" spans="1:12" hidden="1" x14ac:dyDescent="0.3">
      <c r="A224" s="298">
        <f t="shared" si="11"/>
        <v>216</v>
      </c>
      <c r="B224" s="383" t="s">
        <v>670</v>
      </c>
      <c r="C224" s="386">
        <v>1970600</v>
      </c>
      <c r="D224" s="381" t="s">
        <v>792</v>
      </c>
      <c r="E224" s="475"/>
      <c r="F224" s="298"/>
      <c r="G224" s="298"/>
      <c r="H224" s="298"/>
      <c r="I224" s="298"/>
      <c r="J224" s="327"/>
      <c r="K224" s="386">
        <v>1970600</v>
      </c>
      <c r="L224" s="327">
        <f t="shared" si="10"/>
        <v>1970600</v>
      </c>
    </row>
    <row r="225" spans="1:12" hidden="1" x14ac:dyDescent="0.3">
      <c r="A225" s="298">
        <f t="shared" si="11"/>
        <v>217</v>
      </c>
      <c r="B225" s="298" t="s">
        <v>1213</v>
      </c>
      <c r="C225" s="327">
        <v>229800</v>
      </c>
      <c r="D225" s="381" t="s">
        <v>792</v>
      </c>
      <c r="E225" s="475"/>
      <c r="F225" s="298"/>
      <c r="G225" s="298"/>
      <c r="H225" s="298"/>
      <c r="I225" s="298"/>
      <c r="J225" s="327"/>
      <c r="K225" s="327">
        <v>229800</v>
      </c>
      <c r="L225" s="327">
        <f t="shared" si="10"/>
        <v>229800</v>
      </c>
    </row>
    <row r="226" spans="1:12" hidden="1" x14ac:dyDescent="0.3">
      <c r="A226" s="298">
        <f t="shared" si="11"/>
        <v>218</v>
      </c>
      <c r="B226" s="298" t="s">
        <v>1218</v>
      </c>
      <c r="C226" s="327">
        <v>1968240</v>
      </c>
      <c r="D226" s="381" t="s">
        <v>792</v>
      </c>
      <c r="E226" s="475"/>
      <c r="F226" s="298"/>
      <c r="G226" s="298"/>
      <c r="H226" s="298"/>
      <c r="I226" s="298"/>
      <c r="J226" s="327"/>
      <c r="K226" s="327">
        <v>1968240</v>
      </c>
      <c r="L226" s="327">
        <f t="shared" si="10"/>
        <v>1968240</v>
      </c>
    </row>
    <row r="227" spans="1:12" hidden="1" x14ac:dyDescent="0.3">
      <c r="A227" s="298">
        <f t="shared" si="11"/>
        <v>219</v>
      </c>
      <c r="B227" s="298" t="s">
        <v>1210</v>
      </c>
      <c r="C227" s="327">
        <v>120360</v>
      </c>
      <c r="D227" s="381" t="s">
        <v>792</v>
      </c>
      <c r="E227" s="475"/>
      <c r="F227" s="298"/>
      <c r="G227" s="298"/>
      <c r="H227" s="298"/>
      <c r="I227" s="298"/>
      <c r="J227" s="327"/>
      <c r="K227" s="327">
        <v>120360</v>
      </c>
      <c r="L227" s="327">
        <f t="shared" si="10"/>
        <v>120360</v>
      </c>
    </row>
    <row r="228" spans="1:12" hidden="1" x14ac:dyDescent="0.3">
      <c r="A228" s="418"/>
      <c r="B228" s="418" t="s">
        <v>624</v>
      </c>
      <c r="C228" s="418">
        <f t="shared" ref="C228:L228" si="12">SUM(C9:C227)</f>
        <v>37206224.520399995</v>
      </c>
      <c r="D228" s="418">
        <f t="shared" si="12"/>
        <v>0</v>
      </c>
      <c r="E228" s="418">
        <f t="shared" si="12"/>
        <v>0</v>
      </c>
      <c r="F228" s="418">
        <f t="shared" si="12"/>
        <v>0</v>
      </c>
      <c r="G228" s="418">
        <f t="shared" si="12"/>
        <v>0</v>
      </c>
      <c r="H228" s="418">
        <f t="shared" si="12"/>
        <v>14300</v>
      </c>
      <c r="I228" s="418">
        <f t="shared" si="12"/>
        <v>2149204.81</v>
      </c>
      <c r="J228" s="418">
        <f t="shared" si="12"/>
        <v>21800398.9604</v>
      </c>
      <c r="K228" s="418">
        <f t="shared" si="12"/>
        <v>13242320.75</v>
      </c>
      <c r="L228" s="418">
        <f t="shared" si="12"/>
        <v>37206224.520399995</v>
      </c>
    </row>
  </sheetData>
  <autoFilter ref="A8:L228" xr:uid="{00000000-0009-0000-0000-00000C000000}">
    <filterColumn colId="1">
      <filters>
        <filter val="UNIQUE REPRESENTACIONES, S.R.L"/>
      </filters>
    </filterColumn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B654"/>
  <sheetViews>
    <sheetView topLeftCell="A21" workbookViewId="0">
      <selection activeCell="C8" sqref="A8:D36"/>
    </sheetView>
  </sheetViews>
  <sheetFormatPr baseColWidth="10" defaultColWidth="11.44140625" defaultRowHeight="14.4" x14ac:dyDescent="0.3"/>
  <cols>
    <col min="1" max="1" width="4.109375" style="302" bestFit="1" customWidth="1"/>
    <col min="2" max="2" width="32.88671875" style="131" bestFit="1" customWidth="1"/>
    <col min="3" max="10" width="20.109375" bestFit="1" customWidth="1"/>
    <col min="11" max="11" width="21.88671875" bestFit="1" customWidth="1"/>
    <col min="12" max="14" width="20.109375" style="170" bestFit="1" customWidth="1"/>
    <col min="15" max="15" width="21.88671875" bestFit="1" customWidth="1"/>
    <col min="16" max="18" width="20.109375" bestFit="1" customWidth="1"/>
    <col min="19" max="19" width="14.44140625" bestFit="1" customWidth="1"/>
    <col min="20" max="22" width="20.109375" bestFit="1" customWidth="1"/>
    <col min="23" max="23" width="21.88671875" bestFit="1" customWidth="1"/>
    <col min="24" max="24" width="20.109375" bestFit="1" customWidth="1"/>
    <col min="25" max="25" width="14.44140625" bestFit="1" customWidth="1"/>
    <col min="26" max="26" width="18.109375" bestFit="1" customWidth="1"/>
    <col min="27" max="28" width="22.6640625" bestFit="1" customWidth="1"/>
    <col min="29" max="29" width="16.5546875" customWidth="1"/>
    <col min="30" max="30" width="17.44140625" customWidth="1"/>
    <col min="32" max="32" width="15" customWidth="1"/>
  </cols>
  <sheetData>
    <row r="2" spans="1:28" ht="28.8" x14ac:dyDescent="0.55000000000000004">
      <c r="A2" s="633" t="s">
        <v>574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217"/>
    </row>
    <row r="3" spans="1:28" ht="23.4" x14ac:dyDescent="0.45">
      <c r="A3" s="634" t="s">
        <v>631</v>
      </c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217"/>
    </row>
    <row r="4" spans="1:28" ht="18" x14ac:dyDescent="0.35">
      <c r="A4" s="635" t="s">
        <v>575</v>
      </c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217"/>
    </row>
    <row r="5" spans="1:28" x14ac:dyDescent="0.3">
      <c r="E5" s="636" t="s">
        <v>632</v>
      </c>
      <c r="F5" s="606"/>
      <c r="AA5" s="187"/>
    </row>
    <row r="6" spans="1:28" s="172" customFormat="1" ht="23.4" x14ac:dyDescent="0.45">
      <c r="A6" s="642" t="s">
        <v>633</v>
      </c>
      <c r="B6" s="642"/>
      <c r="C6" s="642"/>
      <c r="D6" s="642"/>
      <c r="E6" s="642"/>
      <c r="F6" s="642"/>
      <c r="G6" s="642"/>
      <c r="H6" s="642"/>
      <c r="I6" s="642"/>
      <c r="J6" s="642"/>
      <c r="K6" s="218"/>
      <c r="L6" s="219"/>
      <c r="M6" s="171"/>
      <c r="N6" s="171"/>
      <c r="Z6" s="173"/>
      <c r="AA6" s="171"/>
    </row>
    <row r="7" spans="1:28" ht="24" thickBot="1" x14ac:dyDescent="0.5">
      <c r="A7" s="193"/>
      <c r="B7" s="220"/>
      <c r="C7" s="3"/>
      <c r="D7" s="3"/>
      <c r="E7" s="3"/>
      <c r="F7" s="3"/>
      <c r="G7" s="3"/>
      <c r="H7" s="3"/>
      <c r="I7" s="3"/>
      <c r="J7" s="3"/>
      <c r="K7" s="3"/>
      <c r="L7" s="174"/>
      <c r="AA7" s="171"/>
    </row>
    <row r="8" spans="1:28" ht="18" x14ac:dyDescent="0.3">
      <c r="A8" s="637" t="s">
        <v>563</v>
      </c>
      <c r="B8" s="638"/>
      <c r="C8" s="639" t="s">
        <v>576</v>
      </c>
      <c r="D8" s="640"/>
      <c r="E8" s="641" t="s">
        <v>577</v>
      </c>
      <c r="F8" s="641"/>
      <c r="G8" s="641" t="s">
        <v>578</v>
      </c>
      <c r="H8" s="641"/>
      <c r="I8" s="641" t="s">
        <v>579</v>
      </c>
      <c r="J8" s="641"/>
      <c r="K8" s="641" t="s">
        <v>580</v>
      </c>
      <c r="L8" s="641"/>
      <c r="M8" s="641" t="s">
        <v>581</v>
      </c>
      <c r="N8" s="641"/>
      <c r="O8" s="641" t="s">
        <v>582</v>
      </c>
      <c r="P8" s="641"/>
      <c r="Q8" s="641" t="s">
        <v>583</v>
      </c>
      <c r="R8" s="641"/>
      <c r="S8" s="641" t="s">
        <v>584</v>
      </c>
      <c r="T8" s="641"/>
      <c r="U8" s="641" t="s">
        <v>585</v>
      </c>
      <c r="V8" s="641"/>
      <c r="W8" s="641" t="s">
        <v>586</v>
      </c>
      <c r="X8" s="641"/>
      <c r="Y8" s="641" t="s">
        <v>587</v>
      </c>
      <c r="Z8" s="641"/>
      <c r="AA8" s="639" t="s">
        <v>525</v>
      </c>
      <c r="AB8" s="640"/>
    </row>
    <row r="9" spans="1:28" ht="18" x14ac:dyDescent="0.3">
      <c r="A9" s="221"/>
      <c r="B9" s="222"/>
      <c r="C9" s="326" t="s">
        <v>588</v>
      </c>
      <c r="D9" s="326" t="s">
        <v>589</v>
      </c>
      <c r="E9" s="326" t="s">
        <v>588</v>
      </c>
      <c r="F9" s="326" t="s">
        <v>589</v>
      </c>
      <c r="G9" s="326" t="s">
        <v>588</v>
      </c>
      <c r="H9" s="326" t="s">
        <v>589</v>
      </c>
      <c r="I9" s="326" t="s">
        <v>588</v>
      </c>
      <c r="J9" s="326" t="s">
        <v>589</v>
      </c>
      <c r="K9" s="326" t="s">
        <v>588</v>
      </c>
      <c r="L9" s="175" t="s">
        <v>589</v>
      </c>
      <c r="M9" s="175" t="s">
        <v>588</v>
      </c>
      <c r="N9" s="175" t="s">
        <v>589</v>
      </c>
      <c r="O9" s="326" t="s">
        <v>588</v>
      </c>
      <c r="P9" s="326" t="s">
        <v>589</v>
      </c>
      <c r="Q9" s="326" t="s">
        <v>588</v>
      </c>
      <c r="R9" s="326" t="s">
        <v>589</v>
      </c>
      <c r="S9" s="326" t="s">
        <v>588</v>
      </c>
      <c r="T9" s="326" t="s">
        <v>589</v>
      </c>
      <c r="U9" s="326" t="s">
        <v>588</v>
      </c>
      <c r="V9" s="326" t="s">
        <v>589</v>
      </c>
      <c r="W9" s="326" t="s">
        <v>588</v>
      </c>
      <c r="X9" s="326" t="s">
        <v>589</v>
      </c>
      <c r="Y9" s="326" t="s">
        <v>588</v>
      </c>
      <c r="Z9" s="326" t="s">
        <v>589</v>
      </c>
      <c r="AA9" s="326" t="s">
        <v>588</v>
      </c>
      <c r="AB9" s="326" t="s">
        <v>589</v>
      </c>
    </row>
    <row r="10" spans="1:28" ht="18" x14ac:dyDescent="0.35">
      <c r="A10" s="223">
        <v>1</v>
      </c>
      <c r="B10" s="224" t="s">
        <v>590</v>
      </c>
      <c r="C10" s="225">
        <f>4014536.9+12720.43</f>
        <v>4027257.33</v>
      </c>
      <c r="D10" s="176">
        <f>4783111.5+50000</f>
        <v>4833111.5</v>
      </c>
      <c r="E10" s="177"/>
      <c r="F10" s="177"/>
      <c r="G10" s="177"/>
      <c r="H10" s="177"/>
      <c r="I10" s="178"/>
      <c r="J10" s="177"/>
      <c r="K10" s="178"/>
      <c r="L10" s="177"/>
      <c r="M10" s="177"/>
      <c r="N10" s="177"/>
      <c r="O10" s="179"/>
      <c r="P10" s="179"/>
      <c r="Q10" s="179"/>
      <c r="R10" s="179"/>
      <c r="S10" s="179"/>
      <c r="T10" s="178"/>
      <c r="U10" s="178"/>
      <c r="V10" s="178"/>
      <c r="W10" s="178"/>
      <c r="X10" s="178"/>
      <c r="Y10" s="178"/>
      <c r="Z10" s="178"/>
      <c r="AA10" s="178">
        <f>+C10+E10+G10+I10+K10+M10+O10+Q10+S10+U10+W10+Y10</f>
        <v>4027257.33</v>
      </c>
      <c r="AB10" s="226">
        <f>+R10+D10+F10+H10+J10+L11+N10+P10+T10+V10+X10+Z10</f>
        <v>4833111.5</v>
      </c>
    </row>
    <row r="11" spans="1:28" ht="18" x14ac:dyDescent="0.35">
      <c r="A11" s="223">
        <v>2</v>
      </c>
      <c r="B11" s="224" t="s">
        <v>591</v>
      </c>
      <c r="C11" s="225">
        <v>1094583.75</v>
      </c>
      <c r="D11" s="176"/>
      <c r="E11" s="177"/>
      <c r="F11" s="177"/>
      <c r="G11" s="177"/>
      <c r="H11" s="177"/>
      <c r="I11" s="178"/>
      <c r="J11" s="177"/>
      <c r="K11" s="178"/>
      <c r="L11" s="177"/>
      <c r="M11" s="177"/>
      <c r="N11" s="177"/>
      <c r="O11" s="179"/>
      <c r="P11" s="179"/>
      <c r="Q11" s="179"/>
      <c r="R11" s="179"/>
      <c r="S11" s="179"/>
      <c r="T11" s="178"/>
      <c r="U11" s="178"/>
      <c r="V11" s="178"/>
      <c r="W11" s="178"/>
      <c r="X11" s="178"/>
      <c r="Y11" s="178"/>
      <c r="Z11" s="178"/>
      <c r="AA11" s="178">
        <f>+C11+E11+G11+I11+K11+M11+O11+Q11+S11+U11+W11+Y11</f>
        <v>1094583.75</v>
      </c>
      <c r="AB11" s="226">
        <f>+R11+D11+F11+H11+J11+L12+N11+P11+T11+V11+X11+Z11</f>
        <v>0</v>
      </c>
    </row>
    <row r="12" spans="1:28" ht="18" x14ac:dyDescent="0.35">
      <c r="A12" s="223"/>
      <c r="B12" s="224" t="s">
        <v>592</v>
      </c>
      <c r="C12" s="176"/>
      <c r="D12" s="176"/>
      <c r="E12" s="177"/>
      <c r="F12" s="177"/>
      <c r="G12" s="177"/>
      <c r="H12" s="177"/>
      <c r="I12" s="177"/>
      <c r="J12" s="177"/>
      <c r="M12" s="177"/>
      <c r="N12" s="177"/>
      <c r="O12" s="179"/>
      <c r="P12" s="179"/>
      <c r="Q12" s="179"/>
      <c r="R12" s="179"/>
      <c r="S12" s="179"/>
      <c r="T12" s="178"/>
      <c r="U12" s="178"/>
      <c r="V12" s="178"/>
      <c r="W12" s="178"/>
      <c r="X12" s="178"/>
      <c r="Y12" s="178"/>
      <c r="Z12" s="178"/>
      <c r="AA12" s="178">
        <f>+Y12+W12+U12+S12+Q12+O12+M12+K12+I12+G12+E12+C12</f>
        <v>0</v>
      </c>
      <c r="AB12" s="226"/>
    </row>
    <row r="13" spans="1:28" ht="18" x14ac:dyDescent="0.35">
      <c r="A13" s="643" t="s">
        <v>593</v>
      </c>
      <c r="B13" s="643"/>
      <c r="C13" s="227">
        <f t="shared" ref="C13:J13" si="0">SUM(C10:C12)</f>
        <v>5121841.08</v>
      </c>
      <c r="D13" s="227">
        <f t="shared" si="0"/>
        <v>4833111.5</v>
      </c>
      <c r="E13" s="228">
        <f t="shared" si="0"/>
        <v>0</v>
      </c>
      <c r="F13" s="228">
        <f t="shared" si="0"/>
        <v>0</v>
      </c>
      <c r="G13" s="228">
        <f t="shared" si="0"/>
        <v>0</v>
      </c>
      <c r="H13" s="228">
        <f t="shared" si="0"/>
        <v>0</v>
      </c>
      <c r="I13" s="228">
        <f t="shared" si="0"/>
        <v>0</v>
      </c>
      <c r="J13" s="228">
        <f t="shared" si="0"/>
        <v>0</v>
      </c>
      <c r="K13" s="181">
        <f>SUM(K10:K11)</f>
        <v>0</v>
      </c>
      <c r="L13" s="180">
        <f>SUM(L10:L11)</f>
        <v>0</v>
      </c>
      <c r="M13" s="180">
        <v>6698468.8799999999</v>
      </c>
      <c r="N13" s="180">
        <f t="shared" ref="N13:AB13" si="1">SUM(N10:N12)</f>
        <v>0</v>
      </c>
      <c r="O13" s="181">
        <f t="shared" si="1"/>
        <v>0</v>
      </c>
      <c r="P13" s="181">
        <f t="shared" si="1"/>
        <v>0</v>
      </c>
      <c r="Q13" s="181">
        <f t="shared" si="1"/>
        <v>0</v>
      </c>
      <c r="R13" s="181">
        <f>SUM(R10:R12)</f>
        <v>0</v>
      </c>
      <c r="S13" s="181">
        <f t="shared" si="1"/>
        <v>0</v>
      </c>
      <c r="T13" s="181">
        <f t="shared" si="1"/>
        <v>0</v>
      </c>
      <c r="U13" s="181">
        <f t="shared" si="1"/>
        <v>0</v>
      </c>
      <c r="V13" s="181">
        <f t="shared" si="1"/>
        <v>0</v>
      </c>
      <c r="W13" s="181">
        <f t="shared" si="1"/>
        <v>0</v>
      </c>
      <c r="X13" s="181">
        <f t="shared" si="1"/>
        <v>0</v>
      </c>
      <c r="Y13" s="181">
        <f t="shared" si="1"/>
        <v>0</v>
      </c>
      <c r="Z13" s="181">
        <f t="shared" si="1"/>
        <v>0</v>
      </c>
      <c r="AA13" s="181">
        <f t="shared" si="1"/>
        <v>5121841.08</v>
      </c>
      <c r="AB13" s="181">
        <f t="shared" si="1"/>
        <v>4833111.5</v>
      </c>
    </row>
    <row r="14" spans="1:28" ht="18" x14ac:dyDescent="0.35">
      <c r="A14" s="223">
        <v>3</v>
      </c>
      <c r="B14" s="224" t="s">
        <v>634</v>
      </c>
      <c r="C14" s="229">
        <f>39434.4+16378.75+155901.42</f>
        <v>211714.57</v>
      </c>
      <c r="D14" s="230">
        <f>143189.49+55488.8+8230.16</f>
        <v>206908.44999999998</v>
      </c>
      <c r="E14" s="230"/>
      <c r="F14" s="230"/>
      <c r="G14" s="230"/>
      <c r="H14" s="230"/>
      <c r="I14" s="230"/>
      <c r="J14" s="230"/>
      <c r="K14" s="178"/>
      <c r="L14" s="177"/>
      <c r="M14" s="177"/>
      <c r="N14" s="177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>
        <f t="shared" ref="AA14:AA34" si="2">+Y14+W14+U14+S14+Q14+O14+M14+K14+I14+G14+E14+C14</f>
        <v>211714.57</v>
      </c>
      <c r="AB14" s="226">
        <f t="shared" ref="AB14:AB34" si="3">+R14+D14+F14+H14+J14+L15+N14+P14+T14+V14+X14+Z14</f>
        <v>206908.44999999998</v>
      </c>
    </row>
    <row r="15" spans="1:28" ht="18" x14ac:dyDescent="0.35">
      <c r="A15" s="223">
        <v>4</v>
      </c>
      <c r="B15" s="224" t="s">
        <v>594</v>
      </c>
      <c r="C15" s="229"/>
      <c r="D15" s="176"/>
      <c r="E15" s="231"/>
      <c r="F15" s="231"/>
      <c r="G15" s="231"/>
      <c r="H15" s="231"/>
      <c r="I15" s="230"/>
      <c r="J15" s="230"/>
      <c r="K15" s="178"/>
      <c r="L15" s="177"/>
      <c r="M15" s="177"/>
      <c r="N15" s="177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>
        <f t="shared" si="2"/>
        <v>0</v>
      </c>
      <c r="AB15" s="226">
        <f t="shared" si="3"/>
        <v>0</v>
      </c>
    </row>
    <row r="16" spans="1:28" ht="18" x14ac:dyDescent="0.35">
      <c r="A16" s="223">
        <v>5</v>
      </c>
      <c r="B16" s="224" t="s">
        <v>595</v>
      </c>
      <c r="C16" s="229">
        <v>275352.44</v>
      </c>
      <c r="D16" s="176">
        <v>156983.54999999999</v>
      </c>
      <c r="E16" s="177"/>
      <c r="F16" s="177"/>
      <c r="G16" s="177"/>
      <c r="H16" s="177"/>
      <c r="I16" s="230"/>
      <c r="J16" s="230"/>
      <c r="K16" s="177"/>
      <c r="L16" s="177"/>
      <c r="M16" s="177"/>
      <c r="N16" s="177"/>
      <c r="O16" s="177"/>
      <c r="P16" s="177"/>
      <c r="Q16" s="177"/>
      <c r="R16" s="178"/>
      <c r="S16" s="177"/>
      <c r="T16" s="177"/>
      <c r="U16" s="177"/>
      <c r="V16" s="177"/>
      <c r="W16" s="177"/>
      <c r="X16" s="177"/>
      <c r="Y16" s="177"/>
      <c r="Z16" s="177"/>
      <c r="AA16" s="178">
        <f t="shared" si="2"/>
        <v>275352.44</v>
      </c>
      <c r="AB16" s="226">
        <f t="shared" si="3"/>
        <v>156983.54999999999</v>
      </c>
    </row>
    <row r="17" spans="1:28" ht="18" x14ac:dyDescent="0.35">
      <c r="A17" s="223">
        <v>6</v>
      </c>
      <c r="B17" s="224" t="s">
        <v>570</v>
      </c>
      <c r="C17" s="229">
        <v>7848.94</v>
      </c>
      <c r="D17" s="176">
        <v>55135.74</v>
      </c>
      <c r="E17" s="177"/>
      <c r="F17" s="177"/>
      <c r="G17" s="177"/>
      <c r="H17" s="177"/>
      <c r="I17" s="230"/>
      <c r="J17" s="230"/>
      <c r="K17" s="177"/>
      <c r="L17" s="177"/>
      <c r="M17" s="177"/>
      <c r="N17" s="177"/>
      <c r="O17" s="177"/>
      <c r="P17" s="177"/>
      <c r="Q17" s="177"/>
      <c r="R17" s="178"/>
      <c r="S17" s="177"/>
      <c r="T17" s="178"/>
      <c r="U17" s="178"/>
      <c r="V17" s="178"/>
      <c r="W17" s="178"/>
      <c r="X17" s="178"/>
      <c r="Y17" s="178"/>
      <c r="Z17" s="178"/>
      <c r="AA17" s="178">
        <f t="shared" si="2"/>
        <v>7848.94</v>
      </c>
      <c r="AB17" s="226">
        <f t="shared" si="3"/>
        <v>55135.74</v>
      </c>
    </row>
    <row r="18" spans="1:28" ht="18" x14ac:dyDescent="0.35">
      <c r="A18" s="223">
        <v>7</v>
      </c>
      <c r="B18" s="224" t="s">
        <v>571</v>
      </c>
      <c r="C18" s="229"/>
      <c r="D18" s="176"/>
      <c r="E18" s="177"/>
      <c r="F18" s="177"/>
      <c r="G18" s="177"/>
      <c r="H18" s="177"/>
      <c r="I18" s="230"/>
      <c r="J18" s="230"/>
      <c r="K18" s="177"/>
      <c r="L18" s="177"/>
      <c r="M18" s="177"/>
      <c r="N18" s="177"/>
      <c r="O18" s="177"/>
      <c r="P18" s="177"/>
      <c r="Q18" s="177"/>
      <c r="R18" s="178"/>
      <c r="S18" s="177"/>
      <c r="T18" s="178"/>
      <c r="U18" s="232"/>
      <c r="V18" s="178"/>
      <c r="W18" s="232"/>
      <c r="X18" s="178"/>
      <c r="Y18" s="178"/>
      <c r="Z18" s="178"/>
      <c r="AA18" s="178">
        <f t="shared" si="2"/>
        <v>0</v>
      </c>
      <c r="AB18" s="226">
        <f t="shared" si="3"/>
        <v>0</v>
      </c>
    </row>
    <row r="19" spans="1:28" ht="18" x14ac:dyDescent="0.35">
      <c r="A19" s="223">
        <v>8</v>
      </c>
      <c r="B19" s="224" t="s">
        <v>596</v>
      </c>
      <c r="C19" s="229">
        <v>44770.98</v>
      </c>
      <c r="D19" s="176"/>
      <c r="E19" s="177"/>
      <c r="F19" s="177"/>
      <c r="G19" s="177"/>
      <c r="H19" s="177"/>
      <c r="I19" s="230"/>
      <c r="J19" s="230"/>
      <c r="K19" s="177"/>
      <c r="L19" s="177"/>
      <c r="M19" s="177"/>
      <c r="N19" s="177"/>
      <c r="O19" s="177"/>
      <c r="P19" s="177"/>
      <c r="Q19" s="177"/>
      <c r="R19" s="178"/>
      <c r="S19" s="177"/>
      <c r="T19" s="178"/>
      <c r="U19" s="178"/>
      <c r="V19" s="178"/>
      <c r="W19" s="178"/>
      <c r="X19" s="178"/>
      <c r="Y19" s="178"/>
      <c r="Z19" s="178"/>
      <c r="AA19" s="178">
        <f t="shared" si="2"/>
        <v>44770.98</v>
      </c>
      <c r="AB19" s="226">
        <f t="shared" si="3"/>
        <v>0</v>
      </c>
    </row>
    <row r="20" spans="1:28" ht="36" x14ac:dyDescent="0.35">
      <c r="A20" s="223">
        <v>9</v>
      </c>
      <c r="B20" s="224" t="s">
        <v>597</v>
      </c>
      <c r="C20" s="229"/>
      <c r="D20" s="176"/>
      <c r="E20" s="177"/>
      <c r="F20" s="177"/>
      <c r="G20" s="177"/>
      <c r="H20" s="177"/>
      <c r="I20" s="230"/>
      <c r="J20" s="230"/>
      <c r="K20" s="177"/>
      <c r="L20" s="177"/>
      <c r="M20" s="177"/>
      <c r="N20" s="177"/>
      <c r="O20" s="177"/>
      <c r="P20" s="177"/>
      <c r="Q20" s="177"/>
      <c r="R20" s="178"/>
      <c r="S20" s="177"/>
      <c r="T20" s="178"/>
      <c r="U20" s="178"/>
      <c r="V20" s="178"/>
      <c r="W20" s="178"/>
      <c r="X20" s="178"/>
      <c r="Y20" s="178"/>
      <c r="Z20" s="178"/>
      <c r="AA20" s="178">
        <f t="shared" si="2"/>
        <v>0</v>
      </c>
      <c r="AB20" s="226">
        <f t="shared" si="3"/>
        <v>0</v>
      </c>
    </row>
    <row r="21" spans="1:28" ht="18" x14ac:dyDescent="0.35">
      <c r="A21" s="223">
        <v>10</v>
      </c>
      <c r="B21" s="224" t="s">
        <v>598</v>
      </c>
      <c r="C21" s="229">
        <v>7193.05</v>
      </c>
      <c r="D21" s="176">
        <v>15993.02</v>
      </c>
      <c r="E21" s="177"/>
      <c r="F21" s="177"/>
      <c r="G21" s="177"/>
      <c r="H21" s="177"/>
      <c r="I21" s="176"/>
      <c r="J21" s="176"/>
      <c r="K21" s="177"/>
      <c r="L21" s="177"/>
      <c r="M21" s="177"/>
      <c r="N21" s="177"/>
      <c r="O21" s="177"/>
      <c r="P21" s="177"/>
      <c r="Q21" s="177"/>
      <c r="R21" s="178"/>
      <c r="S21" s="177"/>
      <c r="T21" s="178"/>
      <c r="U21" s="178"/>
      <c r="V21" s="178"/>
      <c r="W21" s="178"/>
      <c r="X21" s="178"/>
      <c r="Y21" s="178"/>
      <c r="Z21" s="178"/>
      <c r="AA21" s="178">
        <f t="shared" si="2"/>
        <v>7193.05</v>
      </c>
      <c r="AB21" s="226">
        <f t="shared" si="3"/>
        <v>15993.02</v>
      </c>
    </row>
    <row r="22" spans="1:28" ht="18" x14ac:dyDescent="0.35">
      <c r="A22" s="223">
        <v>11</v>
      </c>
      <c r="B22" s="224" t="s">
        <v>573</v>
      </c>
      <c r="C22" s="229">
        <v>269639.73</v>
      </c>
      <c r="D22" s="230">
        <v>234503.89</v>
      </c>
      <c r="E22" s="177"/>
      <c r="F22" s="177"/>
      <c r="G22" s="177"/>
      <c r="H22" s="177"/>
      <c r="I22" s="230"/>
      <c r="J22" s="230"/>
      <c r="K22" s="177"/>
      <c r="L22" s="177"/>
      <c r="M22" s="177"/>
      <c r="N22" s="177"/>
      <c r="O22" s="177"/>
      <c r="P22" s="177"/>
      <c r="Q22" s="177"/>
      <c r="R22" s="178"/>
      <c r="S22" s="177"/>
      <c r="T22" s="178"/>
      <c r="U22" s="178"/>
      <c r="V22" s="178"/>
      <c r="W22" s="178"/>
      <c r="X22" s="178"/>
      <c r="Y22" s="178"/>
      <c r="Z22" s="178"/>
      <c r="AA22" s="178">
        <f t="shared" si="2"/>
        <v>269639.73</v>
      </c>
      <c r="AB22" s="226">
        <f t="shared" si="3"/>
        <v>234503.89</v>
      </c>
    </row>
    <row r="23" spans="1:28" ht="18" x14ac:dyDescent="0.35">
      <c r="A23" s="223">
        <v>12</v>
      </c>
      <c r="B23" s="224" t="s">
        <v>567</v>
      </c>
      <c r="C23" s="229">
        <v>69588.33</v>
      </c>
      <c r="D23" s="176"/>
      <c r="E23" s="177"/>
      <c r="F23" s="177"/>
      <c r="G23" s="177"/>
      <c r="H23" s="177"/>
      <c r="I23" s="230"/>
      <c r="J23" s="230"/>
      <c r="K23" s="177"/>
      <c r="L23" s="177"/>
      <c r="M23" s="177"/>
      <c r="N23" s="177"/>
      <c r="O23" s="177"/>
      <c r="P23" s="177"/>
      <c r="Q23" s="177"/>
      <c r="R23" s="178"/>
      <c r="S23" s="177"/>
      <c r="T23" s="178"/>
      <c r="U23" s="178"/>
      <c r="V23" s="178"/>
      <c r="W23" s="178"/>
      <c r="X23" s="178"/>
      <c r="Y23" s="178"/>
      <c r="Z23" s="178"/>
      <c r="AA23" s="178">
        <f t="shared" si="2"/>
        <v>69588.33</v>
      </c>
      <c r="AB23" s="226">
        <f t="shared" si="3"/>
        <v>0</v>
      </c>
    </row>
    <row r="24" spans="1:28" ht="18" x14ac:dyDescent="0.35">
      <c r="A24" s="223">
        <v>13</v>
      </c>
      <c r="B24" s="224" t="s">
        <v>566</v>
      </c>
      <c r="C24" s="229"/>
      <c r="D24" s="176"/>
      <c r="E24" s="177"/>
      <c r="F24" s="177"/>
      <c r="G24" s="177"/>
      <c r="H24" s="177"/>
      <c r="I24" s="230"/>
      <c r="J24" s="230"/>
      <c r="K24" s="177"/>
      <c r="L24" s="177"/>
      <c r="M24" s="177"/>
      <c r="N24" s="177"/>
      <c r="O24" s="177"/>
      <c r="P24" s="177"/>
      <c r="Q24" s="177"/>
      <c r="R24" s="178"/>
      <c r="S24" s="177"/>
      <c r="T24" s="178"/>
      <c r="U24" s="178"/>
      <c r="V24" s="178"/>
      <c r="W24" s="178"/>
      <c r="X24" s="178"/>
      <c r="Y24" s="178"/>
      <c r="Z24" s="178"/>
      <c r="AA24" s="178">
        <f t="shared" si="2"/>
        <v>0</v>
      </c>
      <c r="AB24" s="226">
        <f t="shared" si="3"/>
        <v>0</v>
      </c>
    </row>
    <row r="25" spans="1:28" ht="18" x14ac:dyDescent="0.35">
      <c r="A25" s="223">
        <v>14</v>
      </c>
      <c r="B25" s="224" t="s">
        <v>635</v>
      </c>
      <c r="C25" s="229"/>
      <c r="D25" s="176"/>
      <c r="E25" s="177"/>
      <c r="F25" s="177"/>
      <c r="G25" s="177"/>
      <c r="H25" s="177"/>
      <c r="I25" s="230"/>
      <c r="J25" s="230"/>
      <c r="K25" s="177"/>
      <c r="L25" s="177"/>
      <c r="M25" s="177"/>
      <c r="N25" s="177"/>
      <c r="O25" s="177"/>
      <c r="P25" s="177"/>
      <c r="Q25" s="177"/>
      <c r="R25" s="178"/>
      <c r="S25" s="177"/>
      <c r="T25" s="178"/>
      <c r="U25" s="178"/>
      <c r="V25" s="178"/>
      <c r="W25" s="178"/>
      <c r="X25" s="178"/>
      <c r="Y25" s="178"/>
      <c r="Z25" s="178"/>
      <c r="AA25" s="178">
        <f t="shared" si="2"/>
        <v>0</v>
      </c>
      <c r="AB25" s="226">
        <f t="shared" si="3"/>
        <v>0</v>
      </c>
    </row>
    <row r="26" spans="1:28" ht="18" x14ac:dyDescent="0.35">
      <c r="A26" s="223">
        <v>15</v>
      </c>
      <c r="B26" s="224" t="s">
        <v>599</v>
      </c>
      <c r="C26" s="229">
        <v>1396</v>
      </c>
      <c r="D26" s="176"/>
      <c r="E26" s="177"/>
      <c r="F26" s="177"/>
      <c r="G26" s="177"/>
      <c r="H26" s="177"/>
      <c r="I26" s="230"/>
      <c r="J26" s="230"/>
      <c r="K26" s="177"/>
      <c r="L26" s="177"/>
      <c r="M26" s="177"/>
      <c r="N26" s="177"/>
      <c r="O26" s="177"/>
      <c r="P26" s="177"/>
      <c r="Q26" s="177"/>
      <c r="R26" s="178"/>
      <c r="S26" s="177"/>
      <c r="T26" s="178"/>
      <c r="U26" s="178"/>
      <c r="V26" s="178"/>
      <c r="W26" s="178"/>
      <c r="X26" s="178"/>
      <c r="Y26" s="178"/>
      <c r="Z26" s="178"/>
      <c r="AA26" s="178">
        <f t="shared" si="2"/>
        <v>1396</v>
      </c>
      <c r="AB26" s="226">
        <f t="shared" si="3"/>
        <v>0</v>
      </c>
    </row>
    <row r="27" spans="1:28" ht="18" x14ac:dyDescent="0.35">
      <c r="A27" s="223">
        <v>16</v>
      </c>
      <c r="B27" s="224" t="s">
        <v>600</v>
      </c>
      <c r="C27" s="229">
        <v>4869.5200000000004</v>
      </c>
      <c r="D27" s="176">
        <v>6475.14</v>
      </c>
      <c r="E27" s="177"/>
      <c r="F27" s="177"/>
      <c r="G27" s="177"/>
      <c r="H27" s="177"/>
      <c r="I27" s="230"/>
      <c r="J27" s="230"/>
      <c r="K27" s="177"/>
      <c r="L27" s="177"/>
      <c r="M27" s="177"/>
      <c r="N27" s="177"/>
      <c r="O27" s="177"/>
      <c r="P27" s="177"/>
      <c r="Q27" s="177"/>
      <c r="R27" s="178"/>
      <c r="S27" s="177"/>
      <c r="T27" s="178"/>
      <c r="U27" s="178"/>
      <c r="V27" s="178"/>
      <c r="W27" s="178"/>
      <c r="X27" s="178"/>
      <c r="Y27" s="178"/>
      <c r="Z27" s="178"/>
      <c r="AA27" s="178">
        <f t="shared" si="2"/>
        <v>4869.5200000000004</v>
      </c>
      <c r="AB27" s="226">
        <f t="shared" si="3"/>
        <v>6475.14</v>
      </c>
    </row>
    <row r="28" spans="1:28" ht="18" x14ac:dyDescent="0.35">
      <c r="A28" s="223">
        <v>17</v>
      </c>
      <c r="B28" s="224" t="s">
        <v>569</v>
      </c>
      <c r="C28" s="229">
        <v>76159.34</v>
      </c>
      <c r="D28" s="176"/>
      <c r="E28" s="177"/>
      <c r="F28" s="177"/>
      <c r="G28" s="177"/>
      <c r="H28" s="177"/>
      <c r="I28" s="230"/>
      <c r="J28" s="230"/>
      <c r="K28" s="177"/>
      <c r="L28" s="177"/>
      <c r="M28" s="177"/>
      <c r="N28" s="177"/>
      <c r="O28" s="177"/>
      <c r="P28" s="177"/>
      <c r="Q28" s="177"/>
      <c r="R28" s="178"/>
      <c r="S28" s="177"/>
      <c r="T28" s="178"/>
      <c r="U28" s="178"/>
      <c r="V28" s="178"/>
      <c r="W28" s="178"/>
      <c r="X28" s="178"/>
      <c r="Y28" s="178"/>
      <c r="Z28" s="178"/>
      <c r="AA28" s="178">
        <f t="shared" si="2"/>
        <v>76159.34</v>
      </c>
      <c r="AB28" s="226">
        <f t="shared" si="3"/>
        <v>0</v>
      </c>
    </row>
    <row r="29" spans="1:28" ht="18" x14ac:dyDescent="0.35">
      <c r="A29" s="223">
        <v>18</v>
      </c>
      <c r="B29" s="224" t="s">
        <v>572</v>
      </c>
      <c r="C29" s="229">
        <v>75131.09</v>
      </c>
      <c r="D29" s="176">
        <v>71992.2</v>
      </c>
      <c r="E29" s="177"/>
      <c r="F29" s="177"/>
      <c r="G29" s="177"/>
      <c r="H29" s="177"/>
      <c r="I29" s="230"/>
      <c r="J29" s="230"/>
      <c r="K29" s="177"/>
      <c r="L29" s="177"/>
      <c r="M29" s="177"/>
      <c r="N29" s="177"/>
      <c r="O29" s="177"/>
      <c r="P29" s="177"/>
      <c r="Q29" s="177"/>
      <c r="R29" s="178"/>
      <c r="S29" s="177"/>
      <c r="T29" s="178"/>
      <c r="U29" s="178"/>
      <c r="V29" s="178"/>
      <c r="W29" s="178"/>
      <c r="X29" s="178"/>
      <c r="Y29" s="178"/>
      <c r="Z29" s="178"/>
      <c r="AA29" s="178">
        <f t="shared" si="2"/>
        <v>75131.09</v>
      </c>
      <c r="AB29" s="226">
        <f t="shared" si="3"/>
        <v>71992.2</v>
      </c>
    </row>
    <row r="30" spans="1:28" ht="18" x14ac:dyDescent="0.35">
      <c r="A30" s="223">
        <v>19</v>
      </c>
      <c r="B30" s="224" t="s">
        <v>601</v>
      </c>
      <c r="C30" s="229">
        <v>273646.7</v>
      </c>
      <c r="D30" s="176">
        <v>273646.7</v>
      </c>
      <c r="E30" s="177"/>
      <c r="F30" s="177"/>
      <c r="G30" s="177"/>
      <c r="H30" s="177"/>
      <c r="I30" s="230"/>
      <c r="J30" s="230"/>
      <c r="K30" s="177"/>
      <c r="L30" s="177"/>
      <c r="M30" s="177"/>
      <c r="N30" s="177"/>
      <c r="O30" s="177"/>
      <c r="P30" s="177"/>
      <c r="Q30" s="177"/>
      <c r="R30" s="178"/>
      <c r="S30" s="177"/>
      <c r="T30" s="178"/>
      <c r="U30" s="178"/>
      <c r="V30" s="178"/>
      <c r="W30" s="178"/>
      <c r="X30" s="178"/>
      <c r="Y30" s="178"/>
      <c r="Z30" s="178"/>
      <c r="AA30" s="178">
        <f t="shared" si="2"/>
        <v>273646.7</v>
      </c>
      <c r="AB30" s="226">
        <f t="shared" si="3"/>
        <v>273646.7</v>
      </c>
    </row>
    <row r="31" spans="1:28" ht="18" x14ac:dyDescent="0.35">
      <c r="A31" s="223">
        <v>20</v>
      </c>
      <c r="B31" s="224" t="s">
        <v>602</v>
      </c>
      <c r="C31" s="229">
        <v>48081.02</v>
      </c>
      <c r="D31" s="176">
        <v>48081.02</v>
      </c>
      <c r="E31" s="177"/>
      <c r="F31" s="177"/>
      <c r="G31" s="177"/>
      <c r="H31" s="177"/>
      <c r="I31" s="230"/>
      <c r="J31" s="230"/>
      <c r="K31" s="177"/>
      <c r="L31" s="177"/>
      <c r="M31" s="177"/>
      <c r="N31" s="177"/>
      <c r="O31" s="177"/>
      <c r="P31" s="177"/>
      <c r="Q31" s="177"/>
      <c r="R31" s="178"/>
      <c r="S31" s="177"/>
      <c r="T31" s="178"/>
      <c r="U31" s="179"/>
      <c r="V31" s="178"/>
      <c r="W31" s="179"/>
      <c r="X31" s="178"/>
      <c r="Y31" s="178"/>
      <c r="Z31" s="178"/>
      <c r="AA31" s="178">
        <f t="shared" si="2"/>
        <v>48081.02</v>
      </c>
      <c r="AB31" s="226">
        <f t="shared" si="3"/>
        <v>48081.02</v>
      </c>
    </row>
    <row r="32" spans="1:28" ht="18" x14ac:dyDescent="0.35">
      <c r="A32" s="223">
        <v>21</v>
      </c>
      <c r="B32" s="224" t="s">
        <v>568</v>
      </c>
      <c r="C32" s="229">
        <v>28637.51</v>
      </c>
      <c r="D32" s="176"/>
      <c r="E32" s="177"/>
      <c r="F32" s="177"/>
      <c r="G32" s="177"/>
      <c r="H32" s="177"/>
      <c r="I32" s="230"/>
      <c r="J32" s="230"/>
      <c r="K32" s="177"/>
      <c r="L32" s="177"/>
      <c r="M32" s="177"/>
      <c r="N32" s="177"/>
      <c r="O32" s="177"/>
      <c r="P32" s="177"/>
      <c r="Q32" s="177"/>
      <c r="R32" s="178"/>
      <c r="S32" s="177"/>
      <c r="T32" s="178"/>
      <c r="U32" s="179"/>
      <c r="V32" s="178"/>
      <c r="W32" s="179"/>
      <c r="X32" s="178"/>
      <c r="Y32" s="178"/>
      <c r="Z32" s="178"/>
      <c r="AA32" s="178">
        <f t="shared" si="2"/>
        <v>28637.51</v>
      </c>
      <c r="AB32" s="226">
        <f t="shared" si="3"/>
        <v>0</v>
      </c>
    </row>
    <row r="33" spans="1:28" ht="18" x14ac:dyDescent="0.35">
      <c r="A33" s="223">
        <v>22</v>
      </c>
      <c r="B33" s="224" t="s">
        <v>603</v>
      </c>
      <c r="C33" s="229"/>
      <c r="D33" s="176"/>
      <c r="E33" s="177"/>
      <c r="F33" s="177"/>
      <c r="G33" s="177"/>
      <c r="H33" s="177"/>
      <c r="I33" s="230"/>
      <c r="J33" s="230"/>
      <c r="K33" s="177"/>
      <c r="L33" s="177"/>
      <c r="M33" s="177"/>
      <c r="N33" s="177"/>
      <c r="O33" s="177"/>
      <c r="P33" s="177"/>
      <c r="Q33" s="177"/>
      <c r="R33" s="178"/>
      <c r="S33" s="177"/>
      <c r="T33" s="178"/>
      <c r="U33" s="182"/>
      <c r="V33" s="178"/>
      <c r="W33" s="182"/>
      <c r="X33" s="178"/>
      <c r="Y33" s="178"/>
      <c r="Z33" s="178"/>
      <c r="AA33" s="178">
        <f t="shared" si="2"/>
        <v>0</v>
      </c>
      <c r="AB33" s="226">
        <f t="shared" si="3"/>
        <v>0</v>
      </c>
    </row>
    <row r="34" spans="1:28" ht="18" x14ac:dyDescent="0.35">
      <c r="A34" s="223">
        <v>23</v>
      </c>
      <c r="B34" s="224" t="s">
        <v>604</v>
      </c>
      <c r="C34" s="229">
        <v>259154.57</v>
      </c>
      <c r="D34" s="176"/>
      <c r="E34" s="177"/>
      <c r="F34" s="177"/>
      <c r="G34" s="177"/>
      <c r="H34" s="177"/>
      <c r="I34" s="230"/>
      <c r="J34" s="230"/>
      <c r="K34" s="177"/>
      <c r="L34" s="177"/>
      <c r="M34" s="177"/>
      <c r="N34" s="177"/>
      <c r="O34" s="177"/>
      <c r="P34" s="177"/>
      <c r="Q34" s="177"/>
      <c r="R34" s="178"/>
      <c r="S34" s="177"/>
      <c r="T34" s="178"/>
      <c r="U34" s="183"/>
      <c r="V34" s="178"/>
      <c r="W34" s="183"/>
      <c r="X34" s="178"/>
      <c r="Y34" s="178"/>
      <c r="Z34" s="178"/>
      <c r="AA34" s="178">
        <f t="shared" si="2"/>
        <v>259154.57</v>
      </c>
      <c r="AB34" s="226">
        <f t="shared" si="3"/>
        <v>0</v>
      </c>
    </row>
    <row r="35" spans="1:28" ht="18" x14ac:dyDescent="0.35">
      <c r="A35" s="643" t="s">
        <v>605</v>
      </c>
      <c r="B35" s="643"/>
      <c r="C35" s="227">
        <f>SUM(C14:C34)</f>
        <v>1653183.79</v>
      </c>
      <c r="D35" s="227">
        <f>SUM(D14:D34)</f>
        <v>1069719.71</v>
      </c>
      <c r="E35" s="228">
        <f t="shared" ref="E35:AB35" si="4">SUM(E14:E34)</f>
        <v>0</v>
      </c>
      <c r="F35" s="228">
        <f t="shared" si="4"/>
        <v>0</v>
      </c>
      <c r="G35" s="228">
        <f t="shared" si="4"/>
        <v>0</v>
      </c>
      <c r="H35" s="228">
        <f t="shared" si="4"/>
        <v>0</v>
      </c>
      <c r="I35" s="228">
        <f>SUM(I14:I34)</f>
        <v>0</v>
      </c>
      <c r="J35" s="228">
        <f t="shared" si="4"/>
        <v>0</v>
      </c>
      <c r="K35" s="181">
        <f t="shared" si="4"/>
        <v>0</v>
      </c>
      <c r="L35" s="180">
        <f t="shared" si="4"/>
        <v>0</v>
      </c>
      <c r="M35" s="180">
        <f>SUM(M14:M34)</f>
        <v>0</v>
      </c>
      <c r="N35" s="180">
        <f t="shared" si="4"/>
        <v>0</v>
      </c>
      <c r="O35" s="181">
        <f t="shared" si="4"/>
        <v>0</v>
      </c>
      <c r="P35" s="181">
        <f t="shared" si="4"/>
        <v>0</v>
      </c>
      <c r="Q35" s="181">
        <f t="shared" si="4"/>
        <v>0</v>
      </c>
      <c r="R35" s="181">
        <f>SUM(R14:R34)</f>
        <v>0</v>
      </c>
      <c r="S35" s="181">
        <f t="shared" si="4"/>
        <v>0</v>
      </c>
      <c r="T35" s="181">
        <f t="shared" si="4"/>
        <v>0</v>
      </c>
      <c r="U35" s="181">
        <f t="shared" si="4"/>
        <v>0</v>
      </c>
      <c r="V35" s="181">
        <f>SUM(V14:V34)</f>
        <v>0</v>
      </c>
      <c r="W35" s="181">
        <f t="shared" si="4"/>
        <v>0</v>
      </c>
      <c r="X35" s="181">
        <f t="shared" si="4"/>
        <v>0</v>
      </c>
      <c r="Y35" s="181">
        <f t="shared" si="4"/>
        <v>0</v>
      </c>
      <c r="Z35" s="181">
        <f t="shared" si="4"/>
        <v>0</v>
      </c>
      <c r="AA35" s="181">
        <f t="shared" si="4"/>
        <v>1653183.79</v>
      </c>
      <c r="AB35" s="181">
        <f t="shared" si="4"/>
        <v>1069719.71</v>
      </c>
    </row>
    <row r="36" spans="1:28" s="234" customFormat="1" ht="18" x14ac:dyDescent="0.3">
      <c r="A36" s="644" t="s">
        <v>531</v>
      </c>
      <c r="B36" s="644"/>
      <c r="C36" s="233">
        <f>C13+C35</f>
        <v>6775024.8700000001</v>
      </c>
      <c r="D36" s="233">
        <f t="shared" ref="D36:AA36" si="5">D13+D35</f>
        <v>5902831.21</v>
      </c>
      <c r="E36" s="233">
        <f t="shared" si="5"/>
        <v>0</v>
      </c>
      <c r="F36" s="233">
        <f t="shared" si="5"/>
        <v>0</v>
      </c>
      <c r="G36" s="233">
        <f t="shared" si="5"/>
        <v>0</v>
      </c>
      <c r="H36" s="233">
        <f t="shared" si="5"/>
        <v>0</v>
      </c>
      <c r="I36" s="233">
        <f>I13+I35</f>
        <v>0</v>
      </c>
      <c r="J36" s="233">
        <f t="shared" si="5"/>
        <v>0</v>
      </c>
      <c r="K36" s="233">
        <f>K13+K35</f>
        <v>0</v>
      </c>
      <c r="L36" s="175">
        <f t="shared" si="5"/>
        <v>0</v>
      </c>
      <c r="M36" s="175">
        <f>+M35+M13</f>
        <v>6698468.8799999999</v>
      </c>
      <c r="N36" s="175">
        <f>+N35+N13</f>
        <v>0</v>
      </c>
      <c r="O36" s="233">
        <f t="shared" si="5"/>
        <v>0</v>
      </c>
      <c r="P36" s="233">
        <f t="shared" si="5"/>
        <v>0</v>
      </c>
      <c r="Q36" s="233">
        <f t="shared" si="5"/>
        <v>0</v>
      </c>
      <c r="R36" s="233">
        <f>R13+R35</f>
        <v>0</v>
      </c>
      <c r="S36" s="233">
        <f t="shared" si="5"/>
        <v>0</v>
      </c>
      <c r="T36" s="233">
        <f t="shared" si="5"/>
        <v>0</v>
      </c>
      <c r="U36" s="233">
        <f t="shared" si="5"/>
        <v>0</v>
      </c>
      <c r="V36" s="233">
        <f>V13+V35</f>
        <v>0</v>
      </c>
      <c r="W36" s="233">
        <f>W13+W35</f>
        <v>0</v>
      </c>
      <c r="X36" s="233">
        <f t="shared" si="5"/>
        <v>0</v>
      </c>
      <c r="Y36" s="233">
        <f t="shared" si="5"/>
        <v>0</v>
      </c>
      <c r="Z36" s="233">
        <f t="shared" si="5"/>
        <v>0</v>
      </c>
      <c r="AA36" s="233">
        <f t="shared" si="5"/>
        <v>6775024.8700000001</v>
      </c>
      <c r="AB36" s="233">
        <f>AB13+AB35</f>
        <v>5902831.21</v>
      </c>
    </row>
    <row r="37" spans="1:28" s="238" customFormat="1" ht="18" x14ac:dyDescent="0.3">
      <c r="A37" s="235"/>
      <c r="B37" s="236"/>
      <c r="C37" s="237"/>
      <c r="D37" s="237"/>
      <c r="E37" s="237"/>
      <c r="F37" s="237"/>
      <c r="G37" s="237"/>
      <c r="H37" s="237"/>
      <c r="I37" s="237"/>
      <c r="J37" s="237"/>
      <c r="K37" s="237"/>
      <c r="L37" s="184"/>
      <c r="M37" s="184"/>
      <c r="N37" s="184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</row>
    <row r="38" spans="1:28" ht="18" x14ac:dyDescent="0.35">
      <c r="A38" s="185"/>
      <c r="C38" s="186"/>
      <c r="D38" s="186"/>
      <c r="E38" s="239"/>
      <c r="F38" s="186"/>
      <c r="G38" s="239"/>
      <c r="H38" s="239"/>
      <c r="I38" s="240"/>
      <c r="J38" s="240"/>
      <c r="K38" s="240"/>
      <c r="L38" s="241"/>
      <c r="O38" s="187"/>
      <c r="P38" s="170"/>
      <c r="R38" s="187"/>
      <c r="S38" s="187"/>
      <c r="T38" s="187"/>
      <c r="U38" s="187"/>
      <c r="V38" s="187"/>
      <c r="W38" s="187"/>
      <c r="Y38" s="187"/>
    </row>
    <row r="39" spans="1:28" ht="18" x14ac:dyDescent="0.35">
      <c r="A39" s="188"/>
      <c r="B39" s="215"/>
      <c r="C39" s="186"/>
      <c r="D39" s="186"/>
      <c r="E39" s="239"/>
      <c r="F39" s="186"/>
      <c r="G39" s="239"/>
      <c r="H39" s="239"/>
      <c r="I39" s="240"/>
      <c r="J39" s="240"/>
      <c r="K39" s="240"/>
      <c r="L39" s="241"/>
      <c r="O39" s="187"/>
      <c r="P39" s="170"/>
      <c r="Q39" s="187"/>
      <c r="R39" s="187"/>
      <c r="U39" s="187"/>
      <c r="V39" s="187"/>
      <c r="AA39" s="187"/>
      <c r="AB39" s="187"/>
    </row>
    <row r="40" spans="1:28" ht="25.8" x14ac:dyDescent="0.5">
      <c r="A40" s="242"/>
      <c r="B40" s="243"/>
      <c r="C40" s="186"/>
      <c r="D40" s="186"/>
      <c r="E40" s="239"/>
      <c r="F40" s="186"/>
      <c r="G40" s="239"/>
      <c r="H40" s="239"/>
      <c r="I40" s="239"/>
      <c r="J40" s="240"/>
      <c r="K40" s="239"/>
      <c r="L40" s="241"/>
      <c r="P40" s="170"/>
    </row>
    <row r="41" spans="1:28" ht="18" x14ac:dyDescent="0.35">
      <c r="B41" s="243"/>
      <c r="C41" s="186"/>
      <c r="D41" s="186"/>
      <c r="E41" s="239"/>
      <c r="F41" s="186"/>
      <c r="G41" s="239"/>
      <c r="H41" s="239"/>
      <c r="I41" s="239"/>
      <c r="J41" s="239"/>
      <c r="K41" s="239"/>
      <c r="L41" s="241"/>
    </row>
    <row r="42" spans="1:28" ht="18" x14ac:dyDescent="0.35">
      <c r="A42"/>
      <c r="B42" s="244"/>
      <c r="C42" s="239"/>
      <c r="D42" s="239"/>
      <c r="E42" s="239"/>
      <c r="F42" s="239"/>
      <c r="G42" s="239"/>
      <c r="H42" s="239"/>
      <c r="I42" s="239"/>
      <c r="J42" s="239"/>
      <c r="K42" s="239"/>
      <c r="L42" s="241"/>
    </row>
    <row r="43" spans="1:28" ht="18" x14ac:dyDescent="0.3">
      <c r="A43"/>
      <c r="B43" s="245"/>
      <c r="C43" s="246"/>
      <c r="D43" s="246"/>
      <c r="E43" s="246"/>
      <c r="F43" s="246"/>
      <c r="G43" s="246"/>
      <c r="H43" s="246"/>
      <c r="I43" s="246"/>
      <c r="J43" s="246"/>
      <c r="K43" s="246"/>
      <c r="L43" s="247"/>
    </row>
    <row r="44" spans="1:28" ht="18" x14ac:dyDescent="0.35">
      <c r="A44"/>
      <c r="B44" s="243"/>
      <c r="C44" s="186"/>
      <c r="D44" s="186"/>
      <c r="E44" s="186"/>
      <c r="F44" s="240"/>
      <c r="G44" s="248"/>
      <c r="H44" s="248"/>
      <c r="I44" s="248"/>
      <c r="J44" s="248"/>
      <c r="K44" s="248"/>
      <c r="L44" s="241"/>
    </row>
    <row r="45" spans="1:28" ht="18" x14ac:dyDescent="0.3">
      <c r="A45"/>
      <c r="B45" s="245"/>
      <c r="C45" s="246"/>
      <c r="D45" s="246"/>
      <c r="E45" s="246"/>
      <c r="F45" s="246"/>
      <c r="G45" s="246"/>
      <c r="H45" s="246"/>
      <c r="I45" s="246"/>
      <c r="J45" s="246"/>
      <c r="K45" s="246"/>
      <c r="L45" s="247"/>
    </row>
    <row r="46" spans="1:28" ht="18" x14ac:dyDescent="0.35">
      <c r="A46"/>
      <c r="B46" s="243"/>
      <c r="C46" s="249"/>
      <c r="D46" s="249"/>
      <c r="E46" s="239"/>
      <c r="F46" s="249"/>
      <c r="G46" s="239"/>
      <c r="H46" s="239"/>
      <c r="I46" s="239"/>
      <c r="J46" s="239"/>
      <c r="K46" s="239"/>
      <c r="L46" s="241"/>
    </row>
    <row r="47" spans="1:28" ht="18" x14ac:dyDescent="0.35">
      <c r="A47"/>
      <c r="B47" s="243"/>
      <c r="C47" s="249"/>
      <c r="D47" s="249"/>
      <c r="E47" s="250"/>
      <c r="F47" s="249"/>
      <c r="G47" s="239"/>
      <c r="H47" s="239"/>
      <c r="I47" s="239"/>
      <c r="J47" s="239"/>
      <c r="K47" s="239"/>
      <c r="L47" s="241"/>
    </row>
    <row r="48" spans="1:28" ht="18" x14ac:dyDescent="0.35">
      <c r="A48"/>
      <c r="B48" s="243"/>
      <c r="C48" s="249"/>
      <c r="D48" s="249"/>
      <c r="E48" s="250"/>
      <c r="F48" s="249"/>
      <c r="G48" s="239"/>
      <c r="H48" s="239"/>
      <c r="I48" s="239"/>
      <c r="J48" s="239"/>
      <c r="K48" s="239"/>
      <c r="L48" s="241"/>
    </row>
    <row r="49" spans="1:12" ht="18" x14ac:dyDescent="0.35">
      <c r="A49"/>
      <c r="B49" s="243"/>
      <c r="C49" s="249"/>
      <c r="D49" s="249"/>
      <c r="E49" s="239"/>
      <c r="F49" s="249"/>
      <c r="G49" s="239"/>
      <c r="H49" s="239"/>
      <c r="I49" s="239"/>
      <c r="J49" s="239"/>
      <c r="K49" s="239"/>
      <c r="L49" s="241"/>
    </row>
    <row r="50" spans="1:12" ht="18" x14ac:dyDescent="0.35">
      <c r="A50"/>
      <c r="B50" s="243"/>
      <c r="C50" s="249"/>
      <c r="D50" s="249"/>
      <c r="E50" s="239"/>
      <c r="F50" s="249"/>
      <c r="G50" s="239"/>
      <c r="H50" s="239"/>
      <c r="I50" s="239"/>
      <c r="J50" s="239"/>
      <c r="K50" s="239"/>
      <c r="L50" s="241"/>
    </row>
    <row r="51" spans="1:12" ht="18" x14ac:dyDescent="0.35">
      <c r="A51"/>
      <c r="B51" s="243"/>
      <c r="C51" s="249"/>
      <c r="D51" s="249"/>
      <c r="E51" s="239"/>
      <c r="F51" s="249"/>
      <c r="G51" s="239"/>
      <c r="H51" s="239"/>
      <c r="I51" s="239"/>
      <c r="J51" s="239"/>
      <c r="K51" s="239"/>
      <c r="L51" s="241"/>
    </row>
    <row r="52" spans="1:12" ht="18" x14ac:dyDescent="0.35">
      <c r="A52"/>
      <c r="B52" s="243"/>
      <c r="C52" s="249"/>
      <c r="D52" s="249"/>
      <c r="E52" s="239"/>
      <c r="F52" s="249"/>
      <c r="G52" s="239"/>
      <c r="H52" s="239"/>
      <c r="I52" s="239"/>
      <c r="J52" s="239"/>
      <c r="K52" s="239"/>
      <c r="L52" s="241"/>
    </row>
    <row r="53" spans="1:12" ht="18" x14ac:dyDescent="0.35">
      <c r="A53"/>
      <c r="B53" s="243"/>
      <c r="C53" s="249"/>
      <c r="D53" s="249"/>
      <c r="E53" s="239"/>
      <c r="F53" s="249"/>
      <c r="G53" s="239"/>
      <c r="H53" s="239"/>
      <c r="I53" s="239"/>
      <c r="J53" s="239"/>
      <c r="K53" s="239"/>
      <c r="L53" s="241"/>
    </row>
    <row r="54" spans="1:12" ht="18" x14ac:dyDescent="0.35">
      <c r="A54"/>
      <c r="B54" s="243"/>
      <c r="C54" s="249"/>
      <c r="D54" s="249"/>
      <c r="E54" s="239"/>
      <c r="F54" s="249"/>
      <c r="G54" s="239"/>
      <c r="H54" s="239"/>
      <c r="I54" s="239"/>
      <c r="J54" s="239"/>
      <c r="K54" s="239"/>
      <c r="L54" s="241"/>
    </row>
    <row r="55" spans="1:12" ht="18" x14ac:dyDescent="0.35">
      <c r="A55"/>
      <c r="B55" s="243"/>
      <c r="C55" s="249"/>
      <c r="D55" s="249"/>
      <c r="E55" s="239"/>
      <c r="F55" s="249"/>
      <c r="G55" s="239"/>
      <c r="H55" s="239"/>
      <c r="I55" s="239"/>
      <c r="J55" s="239"/>
      <c r="K55" s="239"/>
      <c r="L55" s="241"/>
    </row>
    <row r="56" spans="1:12" ht="18" x14ac:dyDescent="0.35">
      <c r="A56"/>
      <c r="B56" s="243"/>
      <c r="C56" s="249"/>
      <c r="D56" s="249"/>
      <c r="E56" s="239"/>
      <c r="F56" s="249"/>
      <c r="G56" s="239"/>
      <c r="H56" s="239"/>
      <c r="I56" s="239"/>
      <c r="J56" s="239"/>
      <c r="K56" s="239"/>
      <c r="L56" s="241"/>
    </row>
    <row r="57" spans="1:12" ht="18" x14ac:dyDescent="0.35">
      <c r="A57"/>
      <c r="B57" s="243"/>
      <c r="C57" s="249"/>
      <c r="D57" s="249"/>
      <c r="E57" s="239"/>
      <c r="F57" s="249"/>
      <c r="G57" s="239"/>
      <c r="H57" s="239"/>
      <c r="I57" s="239"/>
      <c r="J57" s="239"/>
      <c r="K57" s="239"/>
      <c r="L57" s="241"/>
    </row>
    <row r="58" spans="1:12" ht="18" x14ac:dyDescent="0.35">
      <c r="A58"/>
      <c r="B58" s="251"/>
      <c r="C58" s="252"/>
      <c r="D58" s="252"/>
      <c r="E58" s="252"/>
      <c r="F58" s="252"/>
      <c r="G58" s="239"/>
      <c r="H58" s="239"/>
      <c r="I58" s="239"/>
      <c r="J58" s="239"/>
      <c r="K58" s="239"/>
      <c r="L58" s="253"/>
    </row>
    <row r="59" spans="1:12" ht="18" x14ac:dyDescent="0.35">
      <c r="A59"/>
      <c r="B59" s="244"/>
      <c r="C59" s="239"/>
      <c r="D59" s="239"/>
      <c r="E59" s="239"/>
      <c r="F59" s="239"/>
      <c r="G59" s="239"/>
      <c r="H59" s="239"/>
      <c r="I59" s="239"/>
      <c r="J59" s="239"/>
      <c r="K59" s="239"/>
      <c r="L59" s="241"/>
    </row>
    <row r="60" spans="1:12" ht="18" x14ac:dyDescent="0.3">
      <c r="A60"/>
      <c r="B60" s="245"/>
      <c r="C60" s="246"/>
      <c r="D60" s="246"/>
      <c r="E60" s="246"/>
      <c r="F60" s="246"/>
      <c r="G60" s="246"/>
      <c r="H60" s="246"/>
      <c r="I60" s="246"/>
      <c r="J60" s="246"/>
      <c r="K60" s="246"/>
      <c r="L60" s="247"/>
    </row>
    <row r="61" spans="1:12" ht="18" x14ac:dyDescent="0.35">
      <c r="A61"/>
      <c r="B61" s="243"/>
      <c r="C61" s="249"/>
      <c r="D61" s="249"/>
      <c r="E61" s="239"/>
      <c r="F61" s="249"/>
      <c r="G61" s="239"/>
      <c r="H61" s="239"/>
      <c r="I61" s="239"/>
      <c r="J61" s="239"/>
      <c r="K61" s="239"/>
      <c r="L61" s="241"/>
    </row>
    <row r="62" spans="1:12" ht="18" x14ac:dyDescent="0.35">
      <c r="A62"/>
      <c r="B62" s="243"/>
      <c r="C62" s="249"/>
      <c r="D62" s="249"/>
      <c r="E62" s="239"/>
      <c r="F62" s="249"/>
      <c r="G62" s="239"/>
      <c r="H62" s="239"/>
      <c r="I62" s="239"/>
      <c r="J62" s="239"/>
      <c r="K62" s="239"/>
      <c r="L62" s="241"/>
    </row>
    <row r="63" spans="1:12" ht="18" x14ac:dyDescent="0.35">
      <c r="A63"/>
      <c r="B63" s="243"/>
      <c r="C63" s="249"/>
      <c r="D63" s="249"/>
      <c r="E63" s="239"/>
      <c r="F63" s="249"/>
      <c r="G63" s="239"/>
      <c r="H63" s="239"/>
      <c r="I63" s="239"/>
      <c r="J63" s="239"/>
      <c r="K63" s="239"/>
      <c r="L63" s="241"/>
    </row>
    <row r="64" spans="1:12" ht="18" x14ac:dyDescent="0.35">
      <c r="A64"/>
      <c r="B64" s="243"/>
      <c r="C64" s="249"/>
      <c r="D64" s="249"/>
      <c r="E64" s="239"/>
      <c r="F64" s="249"/>
      <c r="G64" s="239"/>
      <c r="H64" s="239"/>
      <c r="I64" s="239"/>
      <c r="J64" s="239"/>
      <c r="K64" s="239"/>
      <c r="L64" s="241"/>
    </row>
    <row r="65" spans="1:12" ht="18" x14ac:dyDescent="0.35">
      <c r="A65"/>
      <c r="B65" s="243"/>
      <c r="C65" s="249"/>
      <c r="D65" s="249"/>
      <c r="E65" s="239"/>
      <c r="F65" s="249"/>
      <c r="G65" s="239"/>
      <c r="H65" s="239"/>
      <c r="I65" s="239"/>
      <c r="J65" s="239"/>
      <c r="K65" s="239"/>
      <c r="L65" s="241"/>
    </row>
    <row r="66" spans="1:12" ht="18" x14ac:dyDescent="0.35">
      <c r="A66"/>
      <c r="B66" s="243"/>
      <c r="C66" s="249"/>
      <c r="D66" s="249"/>
      <c r="E66" s="239"/>
      <c r="F66" s="249"/>
      <c r="G66" s="239"/>
      <c r="H66" s="239"/>
      <c r="I66" s="239"/>
      <c r="J66" s="239"/>
      <c r="K66" s="239"/>
      <c r="L66" s="241"/>
    </row>
    <row r="67" spans="1:12" ht="18" x14ac:dyDescent="0.35">
      <c r="A67"/>
      <c r="B67" s="243"/>
      <c r="C67" s="249"/>
      <c r="D67" s="249"/>
      <c r="E67" s="239"/>
      <c r="F67" s="249"/>
      <c r="G67" s="239"/>
      <c r="H67" s="239"/>
      <c r="I67" s="239"/>
      <c r="J67" s="239"/>
      <c r="K67" s="239"/>
      <c r="L67" s="241"/>
    </row>
    <row r="68" spans="1:12" ht="18" x14ac:dyDescent="0.35">
      <c r="A68"/>
      <c r="B68" s="243"/>
      <c r="C68" s="249"/>
      <c r="D68" s="249"/>
      <c r="E68" s="239"/>
      <c r="F68" s="249"/>
      <c r="G68" s="239"/>
      <c r="H68" s="239"/>
      <c r="I68" s="239"/>
      <c r="J68" s="239"/>
      <c r="K68" s="239"/>
      <c r="L68" s="241"/>
    </row>
    <row r="69" spans="1:12" ht="18" x14ac:dyDescent="0.35">
      <c r="A69"/>
      <c r="B69" s="243"/>
      <c r="C69" s="249"/>
      <c r="D69" s="249"/>
      <c r="E69" s="239"/>
      <c r="F69" s="249"/>
      <c r="G69" s="239"/>
      <c r="H69" s="239"/>
      <c r="I69" s="239"/>
      <c r="J69" s="239"/>
      <c r="K69" s="239"/>
      <c r="L69" s="241"/>
    </row>
    <row r="70" spans="1:12" ht="18" x14ac:dyDescent="0.35">
      <c r="A70"/>
      <c r="B70" s="243"/>
      <c r="C70" s="249"/>
      <c r="D70" s="249"/>
      <c r="E70" s="239"/>
      <c r="F70" s="249"/>
      <c r="G70" s="239"/>
      <c r="H70" s="239"/>
      <c r="I70" s="239"/>
      <c r="J70" s="239"/>
      <c r="K70" s="239"/>
      <c r="L70" s="241"/>
    </row>
    <row r="71" spans="1:12" ht="18" x14ac:dyDescent="0.35">
      <c r="A71"/>
      <c r="B71" s="243"/>
      <c r="C71" s="249"/>
      <c r="D71" s="249"/>
      <c r="E71" s="239"/>
      <c r="F71" s="249"/>
      <c r="G71" s="239"/>
      <c r="H71" s="239"/>
      <c r="I71" s="239"/>
      <c r="J71" s="239"/>
      <c r="K71" s="239"/>
      <c r="L71" s="241"/>
    </row>
    <row r="72" spans="1:12" ht="18" x14ac:dyDescent="0.35">
      <c r="A72"/>
      <c r="B72" s="243"/>
      <c r="C72" s="249"/>
      <c r="D72" s="249"/>
      <c r="E72" s="239"/>
      <c r="F72" s="249"/>
      <c r="G72" s="239"/>
      <c r="H72" s="239"/>
      <c r="I72" s="239"/>
      <c r="J72" s="239"/>
      <c r="K72" s="239"/>
      <c r="L72" s="241"/>
    </row>
    <row r="73" spans="1:12" ht="18" x14ac:dyDescent="0.35">
      <c r="A73"/>
      <c r="B73" s="243"/>
      <c r="C73" s="249"/>
      <c r="D73" s="249"/>
      <c r="E73" s="239"/>
      <c r="F73" s="249"/>
      <c r="G73" s="239"/>
      <c r="H73" s="239"/>
      <c r="I73" s="239"/>
      <c r="J73" s="239"/>
      <c r="K73" s="239"/>
      <c r="L73" s="241"/>
    </row>
    <row r="74" spans="1:12" ht="18" x14ac:dyDescent="0.35">
      <c r="A74"/>
      <c r="B74" s="251"/>
      <c r="C74" s="252"/>
      <c r="D74" s="252"/>
      <c r="E74" s="252"/>
      <c r="F74" s="252"/>
      <c r="G74" s="239"/>
      <c r="H74" s="239"/>
      <c r="I74" s="239"/>
      <c r="J74" s="239"/>
      <c r="K74" s="239"/>
      <c r="L74" s="253"/>
    </row>
    <row r="75" spans="1:12" ht="18" x14ac:dyDescent="0.35">
      <c r="A75"/>
      <c r="B75" s="251"/>
      <c r="C75" s="252"/>
      <c r="D75" s="252"/>
      <c r="E75" s="252"/>
      <c r="F75" s="252"/>
      <c r="G75" s="239"/>
      <c r="H75" s="239"/>
      <c r="I75" s="239"/>
      <c r="J75" s="239"/>
      <c r="K75" s="239"/>
      <c r="L75" s="253"/>
    </row>
    <row r="76" spans="1:12" ht="18" x14ac:dyDescent="0.3">
      <c r="A76"/>
      <c r="B76" s="245"/>
      <c r="C76" s="246"/>
      <c r="D76" s="246"/>
      <c r="E76" s="246"/>
      <c r="F76" s="246"/>
      <c r="G76" s="246"/>
      <c r="H76" s="246"/>
      <c r="I76" s="246"/>
      <c r="J76" s="246"/>
      <c r="K76" s="246"/>
      <c r="L76" s="247"/>
    </row>
    <row r="77" spans="1:12" ht="18" x14ac:dyDescent="0.35">
      <c r="A77"/>
      <c r="B77" s="254"/>
      <c r="C77" s="255"/>
      <c r="D77" s="255"/>
      <c r="E77" s="255"/>
      <c r="F77" s="255"/>
      <c r="G77" s="255"/>
      <c r="H77" s="255"/>
      <c r="I77" s="255"/>
      <c r="J77" s="255"/>
      <c r="K77" s="255"/>
      <c r="L77" s="256"/>
    </row>
    <row r="78" spans="1:12" ht="18" x14ac:dyDescent="0.35">
      <c r="A78"/>
      <c r="B78" s="254"/>
      <c r="C78" s="255"/>
      <c r="D78" s="255"/>
      <c r="E78" s="255"/>
      <c r="F78" s="255"/>
      <c r="G78" s="255"/>
      <c r="H78" s="255"/>
      <c r="I78" s="255"/>
      <c r="J78" s="255"/>
      <c r="K78" s="255"/>
      <c r="L78" s="256"/>
    </row>
    <row r="79" spans="1:12" ht="18" x14ac:dyDescent="0.35">
      <c r="A79"/>
      <c r="B79" s="254"/>
      <c r="C79" s="255"/>
      <c r="D79" s="255"/>
      <c r="E79" s="255"/>
      <c r="F79" s="255"/>
      <c r="G79" s="255"/>
      <c r="H79" s="255"/>
      <c r="I79" s="255"/>
      <c r="J79" s="255"/>
      <c r="K79" s="255"/>
      <c r="L79" s="256"/>
    </row>
    <row r="80" spans="1:12" ht="18" x14ac:dyDescent="0.35">
      <c r="A80"/>
      <c r="B80" s="254"/>
      <c r="C80" s="255"/>
      <c r="D80" s="255"/>
      <c r="E80" s="255"/>
      <c r="F80" s="255"/>
      <c r="G80" s="255"/>
      <c r="H80" s="255"/>
      <c r="I80" s="255"/>
      <c r="J80" s="255"/>
      <c r="K80" s="255"/>
      <c r="L80" s="256"/>
    </row>
    <row r="81" spans="1:12" ht="18" x14ac:dyDescent="0.35">
      <c r="A81"/>
      <c r="B81" s="254"/>
      <c r="C81" s="255"/>
      <c r="D81" s="255"/>
      <c r="E81" s="255"/>
      <c r="F81" s="255"/>
      <c r="G81" s="255"/>
      <c r="H81" s="255"/>
      <c r="I81" s="255"/>
      <c r="J81" s="255"/>
      <c r="K81" s="255"/>
      <c r="L81" s="256"/>
    </row>
    <row r="82" spans="1:12" ht="18" x14ac:dyDescent="0.35">
      <c r="A82"/>
      <c r="B82" s="254"/>
      <c r="C82" s="255"/>
      <c r="D82" s="255"/>
      <c r="E82" s="255"/>
      <c r="F82" s="255"/>
      <c r="G82" s="255"/>
      <c r="H82" s="255"/>
      <c r="I82" s="255"/>
      <c r="J82" s="255"/>
      <c r="K82" s="255"/>
      <c r="L82" s="256"/>
    </row>
    <row r="83" spans="1:12" ht="18" x14ac:dyDescent="0.35">
      <c r="A83"/>
      <c r="B83" s="254"/>
      <c r="C83" s="255"/>
      <c r="D83" s="255"/>
      <c r="E83" s="255"/>
      <c r="F83" s="255"/>
      <c r="G83" s="255"/>
      <c r="H83" s="255"/>
      <c r="I83" s="255"/>
      <c r="J83" s="255"/>
      <c r="K83" s="255"/>
      <c r="L83" s="256"/>
    </row>
    <row r="84" spans="1:12" ht="18" x14ac:dyDescent="0.35">
      <c r="A84"/>
      <c r="B84" s="254"/>
      <c r="C84" s="255"/>
      <c r="D84" s="255"/>
      <c r="E84" s="255"/>
      <c r="F84" s="255"/>
      <c r="G84" s="255"/>
      <c r="H84" s="255"/>
      <c r="I84" s="255"/>
      <c r="J84" s="255"/>
      <c r="K84" s="255"/>
      <c r="L84" s="256"/>
    </row>
    <row r="85" spans="1:12" ht="18" x14ac:dyDescent="0.35">
      <c r="A85"/>
      <c r="B85" s="254"/>
      <c r="C85" s="255"/>
      <c r="D85" s="255"/>
      <c r="E85" s="255"/>
      <c r="F85" s="255"/>
      <c r="G85" s="255"/>
      <c r="H85" s="255"/>
      <c r="I85" s="255"/>
      <c r="J85" s="255"/>
      <c r="K85" s="255"/>
      <c r="L85" s="256"/>
    </row>
    <row r="86" spans="1:12" ht="18" x14ac:dyDescent="0.35">
      <c r="A86"/>
      <c r="B86" s="254"/>
      <c r="C86" s="255"/>
      <c r="D86" s="255"/>
      <c r="E86" s="255"/>
      <c r="F86" s="255"/>
      <c r="G86" s="255"/>
      <c r="H86" s="255"/>
      <c r="I86" s="255"/>
      <c r="J86" s="255"/>
      <c r="K86" s="255"/>
      <c r="L86" s="256"/>
    </row>
    <row r="87" spans="1:12" ht="18" x14ac:dyDescent="0.35">
      <c r="A87"/>
      <c r="B87" s="254"/>
      <c r="C87" s="255"/>
      <c r="D87" s="255"/>
      <c r="E87" s="255"/>
      <c r="F87" s="255"/>
      <c r="G87" s="255"/>
      <c r="H87" s="255"/>
      <c r="I87" s="255"/>
      <c r="J87" s="255"/>
      <c r="K87" s="255"/>
      <c r="L87" s="256"/>
    </row>
    <row r="88" spans="1:12" ht="18" x14ac:dyDescent="0.35">
      <c r="A88"/>
      <c r="B88" s="254"/>
      <c r="C88" s="255"/>
      <c r="D88" s="255"/>
      <c r="E88" s="255"/>
      <c r="F88" s="255"/>
      <c r="G88" s="255"/>
      <c r="H88" s="255"/>
      <c r="I88" s="255"/>
      <c r="J88" s="255"/>
      <c r="K88" s="255"/>
      <c r="L88" s="256"/>
    </row>
    <row r="89" spans="1:12" ht="18" x14ac:dyDescent="0.35">
      <c r="A89"/>
      <c r="B89" s="251"/>
      <c r="C89" s="252"/>
      <c r="D89" s="252"/>
      <c r="E89" s="252"/>
      <c r="F89" s="252"/>
      <c r="G89" s="239"/>
      <c r="H89" s="239"/>
      <c r="I89" s="239"/>
      <c r="J89" s="239"/>
      <c r="K89" s="239"/>
      <c r="L89" s="253"/>
    </row>
    <row r="90" spans="1:12" ht="18" x14ac:dyDescent="0.35">
      <c r="A90"/>
      <c r="B90" s="244"/>
      <c r="C90" s="239"/>
      <c r="D90" s="239"/>
      <c r="E90" s="239"/>
      <c r="F90" s="239"/>
      <c r="G90" s="239"/>
      <c r="H90" s="239"/>
      <c r="I90" s="239"/>
      <c r="J90" s="239"/>
      <c r="K90" s="239"/>
      <c r="L90" s="241"/>
    </row>
    <row r="91" spans="1:12" ht="18" x14ac:dyDescent="0.3">
      <c r="A91"/>
      <c r="B91" s="245"/>
      <c r="C91" s="246"/>
      <c r="D91" s="246"/>
      <c r="E91" s="246"/>
      <c r="F91" s="246"/>
      <c r="G91" s="246"/>
      <c r="H91" s="246"/>
      <c r="I91" s="246"/>
      <c r="J91" s="246"/>
      <c r="K91" s="246"/>
      <c r="L91" s="247"/>
    </row>
    <row r="92" spans="1:12" ht="18" x14ac:dyDescent="0.35">
      <c r="A92"/>
      <c r="B92" s="243"/>
      <c r="C92" s="186"/>
      <c r="D92" s="186"/>
      <c r="E92" s="186"/>
      <c r="F92" s="186"/>
      <c r="G92" s="239"/>
      <c r="H92" s="239"/>
      <c r="I92" s="239"/>
      <c r="J92" s="239"/>
      <c r="K92" s="239"/>
      <c r="L92" s="241"/>
    </row>
    <row r="93" spans="1:12" ht="18" x14ac:dyDescent="0.35">
      <c r="A93"/>
      <c r="B93" s="243"/>
      <c r="C93" s="186"/>
      <c r="D93" s="186"/>
      <c r="E93" s="186"/>
      <c r="F93" s="186"/>
      <c r="G93" s="239"/>
      <c r="H93" s="239"/>
      <c r="I93" s="239"/>
      <c r="J93" s="239"/>
      <c r="K93" s="239"/>
      <c r="L93" s="241"/>
    </row>
    <row r="94" spans="1:12" ht="18" x14ac:dyDescent="0.35">
      <c r="A94"/>
      <c r="B94" s="243"/>
      <c r="C94" s="186"/>
      <c r="D94" s="186"/>
      <c r="E94" s="186"/>
      <c r="F94" s="186"/>
      <c r="G94" s="239"/>
      <c r="H94" s="239"/>
      <c r="I94" s="239"/>
      <c r="J94" s="239"/>
      <c r="K94" s="239"/>
      <c r="L94" s="241"/>
    </row>
    <row r="95" spans="1:12" ht="18" x14ac:dyDescent="0.35">
      <c r="A95"/>
      <c r="B95" s="243"/>
      <c r="C95" s="186"/>
      <c r="D95" s="186"/>
      <c r="E95" s="186"/>
      <c r="F95" s="186"/>
      <c r="G95" s="239"/>
      <c r="H95" s="239"/>
      <c r="I95" s="239"/>
      <c r="J95" s="239"/>
      <c r="K95" s="239"/>
      <c r="L95" s="241"/>
    </row>
    <row r="96" spans="1:12" ht="18" x14ac:dyDescent="0.35">
      <c r="A96"/>
      <c r="B96" s="243"/>
      <c r="C96" s="186"/>
      <c r="D96" s="186"/>
      <c r="E96" s="186"/>
      <c r="F96" s="186"/>
      <c r="G96" s="239"/>
      <c r="H96" s="239"/>
      <c r="I96" s="239"/>
      <c r="J96" s="239"/>
      <c r="K96" s="239"/>
      <c r="L96" s="241"/>
    </row>
    <row r="97" spans="1:12" ht="18" x14ac:dyDescent="0.35">
      <c r="A97"/>
      <c r="B97" s="243"/>
      <c r="C97" s="186"/>
      <c r="D97" s="186"/>
      <c r="E97" s="186"/>
      <c r="F97" s="186"/>
      <c r="G97" s="239"/>
      <c r="H97" s="239"/>
      <c r="I97" s="239"/>
      <c r="J97" s="239"/>
      <c r="K97" s="239"/>
      <c r="L97" s="241"/>
    </row>
    <row r="98" spans="1:12" ht="18" x14ac:dyDescent="0.35">
      <c r="A98"/>
      <c r="B98" s="243"/>
      <c r="C98" s="186"/>
      <c r="D98" s="186"/>
      <c r="E98" s="186"/>
      <c r="F98" s="186"/>
      <c r="G98" s="239"/>
      <c r="H98" s="239"/>
      <c r="I98" s="239"/>
      <c r="J98" s="239"/>
      <c r="K98" s="239"/>
      <c r="L98" s="241"/>
    </row>
    <row r="99" spans="1:12" ht="18" x14ac:dyDescent="0.35">
      <c r="A99"/>
      <c r="B99" s="243"/>
      <c r="C99" s="186"/>
      <c r="D99" s="186"/>
      <c r="E99" s="186"/>
      <c r="F99" s="186"/>
      <c r="G99" s="239"/>
      <c r="H99" s="239"/>
      <c r="I99" s="239"/>
      <c r="J99" s="239"/>
      <c r="K99" s="239"/>
      <c r="L99" s="241"/>
    </row>
    <row r="100" spans="1:12" ht="18" x14ac:dyDescent="0.35">
      <c r="A100"/>
      <c r="B100" s="243"/>
      <c r="C100" s="186"/>
      <c r="D100" s="186"/>
      <c r="E100" s="186"/>
      <c r="F100" s="186"/>
      <c r="G100" s="239"/>
      <c r="H100" s="239"/>
      <c r="I100" s="239"/>
      <c r="J100" s="239"/>
      <c r="K100" s="239"/>
      <c r="L100" s="241"/>
    </row>
    <row r="101" spans="1:12" ht="18" x14ac:dyDescent="0.35">
      <c r="A101"/>
      <c r="B101" s="243"/>
      <c r="C101" s="186"/>
      <c r="D101" s="186"/>
      <c r="E101" s="186"/>
      <c r="F101" s="186"/>
      <c r="G101" s="239"/>
      <c r="H101" s="239"/>
      <c r="I101" s="239"/>
      <c r="J101" s="239"/>
      <c r="K101" s="239"/>
      <c r="L101" s="241"/>
    </row>
    <row r="102" spans="1:12" ht="18" x14ac:dyDescent="0.35">
      <c r="A102"/>
      <c r="B102" s="243"/>
      <c r="C102" s="186"/>
      <c r="D102" s="186"/>
      <c r="E102" s="186"/>
      <c r="F102" s="186"/>
      <c r="G102" s="239"/>
      <c r="H102" s="239"/>
      <c r="I102" s="239"/>
      <c r="J102" s="239"/>
      <c r="K102" s="239"/>
      <c r="L102" s="241"/>
    </row>
    <row r="103" spans="1:12" ht="18" x14ac:dyDescent="0.35">
      <c r="A103"/>
      <c r="B103" s="243"/>
      <c r="C103" s="186"/>
      <c r="D103" s="186"/>
      <c r="E103" s="186"/>
      <c r="F103" s="186"/>
      <c r="G103" s="239"/>
      <c r="H103" s="239"/>
      <c r="I103" s="239"/>
      <c r="J103" s="239"/>
      <c r="K103" s="239"/>
      <c r="L103" s="241"/>
    </row>
    <row r="104" spans="1:12" ht="18" x14ac:dyDescent="0.35">
      <c r="A104"/>
      <c r="B104" s="251"/>
      <c r="C104" s="252"/>
      <c r="D104" s="252"/>
      <c r="E104" s="252"/>
      <c r="F104" s="252"/>
      <c r="G104" s="239"/>
      <c r="H104" s="239"/>
      <c r="I104" s="239"/>
      <c r="J104" s="239"/>
      <c r="K104" s="239"/>
      <c r="L104" s="253"/>
    </row>
    <row r="105" spans="1:12" ht="18" x14ac:dyDescent="0.35">
      <c r="A105"/>
      <c r="B105" s="244"/>
      <c r="C105" s="239"/>
      <c r="D105" s="239"/>
      <c r="E105" s="239"/>
      <c r="F105" s="239"/>
      <c r="G105" s="239"/>
      <c r="H105" s="239"/>
      <c r="I105" s="239"/>
      <c r="J105" s="239"/>
      <c r="K105" s="239"/>
      <c r="L105" s="241"/>
    </row>
    <row r="106" spans="1:12" ht="18" x14ac:dyDescent="0.3">
      <c r="A106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7"/>
    </row>
    <row r="107" spans="1:12" ht="18" x14ac:dyDescent="0.35">
      <c r="A107"/>
      <c r="B107" s="243"/>
      <c r="C107" s="186"/>
      <c r="D107" s="186"/>
      <c r="E107" s="239"/>
      <c r="F107" s="186"/>
      <c r="G107" s="257"/>
      <c r="H107" s="257"/>
      <c r="I107" s="257"/>
      <c r="J107" s="257"/>
      <c r="K107" s="257"/>
      <c r="L107" s="241"/>
    </row>
    <row r="108" spans="1:12" ht="18" x14ac:dyDescent="0.35">
      <c r="A108"/>
      <c r="B108" s="243"/>
      <c r="C108" s="186"/>
      <c r="D108" s="186"/>
      <c r="E108" s="239"/>
      <c r="F108" s="186"/>
      <c r="G108" s="257"/>
      <c r="H108" s="257"/>
      <c r="I108" s="257"/>
      <c r="J108" s="257"/>
      <c r="K108" s="257"/>
      <c r="L108" s="241"/>
    </row>
    <row r="109" spans="1:12" ht="18" x14ac:dyDescent="0.35">
      <c r="A109"/>
      <c r="B109" s="243"/>
      <c r="C109" s="186"/>
      <c r="D109" s="186"/>
      <c r="E109" s="239"/>
      <c r="F109" s="186"/>
      <c r="G109" s="257"/>
      <c r="H109" s="257"/>
      <c r="I109" s="257"/>
      <c r="J109" s="257"/>
      <c r="K109" s="257"/>
      <c r="L109" s="241"/>
    </row>
    <row r="110" spans="1:12" ht="18" x14ac:dyDescent="0.35">
      <c r="A110"/>
      <c r="B110" s="243"/>
      <c r="C110" s="186"/>
      <c r="D110" s="186"/>
      <c r="E110" s="239"/>
      <c r="F110" s="186"/>
      <c r="G110" s="257"/>
      <c r="H110" s="257"/>
      <c r="I110" s="257"/>
      <c r="J110" s="257"/>
      <c r="K110" s="257"/>
      <c r="L110" s="241"/>
    </row>
    <row r="111" spans="1:12" ht="18" x14ac:dyDescent="0.35">
      <c r="A111"/>
      <c r="B111" s="243"/>
      <c r="C111" s="186"/>
      <c r="D111" s="186"/>
      <c r="E111" s="239"/>
      <c r="F111" s="186"/>
      <c r="G111" s="257"/>
      <c r="H111" s="257"/>
      <c r="I111" s="257"/>
      <c r="J111" s="257"/>
      <c r="K111" s="257"/>
      <c r="L111" s="241"/>
    </row>
    <row r="112" spans="1:12" ht="18" x14ac:dyDescent="0.35">
      <c r="A112"/>
      <c r="B112" s="243"/>
      <c r="C112" s="186"/>
      <c r="D112" s="186"/>
      <c r="E112" s="239"/>
      <c r="F112" s="186"/>
      <c r="G112" s="257"/>
      <c r="H112" s="257"/>
      <c r="I112" s="257"/>
      <c r="J112" s="257"/>
      <c r="K112" s="257"/>
      <c r="L112" s="241"/>
    </row>
    <row r="113" spans="1:12" ht="18" x14ac:dyDescent="0.35">
      <c r="A113"/>
      <c r="B113" s="243"/>
      <c r="C113" s="186"/>
      <c r="D113" s="186"/>
      <c r="E113" s="239"/>
      <c r="F113" s="186"/>
      <c r="G113" s="257"/>
      <c r="H113" s="257"/>
      <c r="I113" s="257"/>
      <c r="J113" s="257"/>
      <c r="K113" s="257"/>
      <c r="L113" s="241"/>
    </row>
    <row r="114" spans="1:12" ht="18" x14ac:dyDescent="0.35">
      <c r="A114"/>
      <c r="B114" s="243"/>
      <c r="C114" s="186"/>
      <c r="D114" s="186"/>
      <c r="E114" s="239"/>
      <c r="F114" s="186"/>
      <c r="G114" s="257"/>
      <c r="H114" s="257"/>
      <c r="I114" s="257"/>
      <c r="J114" s="257"/>
      <c r="K114" s="257"/>
      <c r="L114" s="241"/>
    </row>
    <row r="115" spans="1:12" ht="18" x14ac:dyDescent="0.35">
      <c r="A115"/>
      <c r="B115" s="243"/>
      <c r="C115" s="186"/>
      <c r="D115" s="186"/>
      <c r="E115" s="239"/>
      <c r="F115" s="186"/>
      <c r="G115" s="257"/>
      <c r="H115" s="257"/>
      <c r="I115" s="257"/>
      <c r="J115" s="257"/>
      <c r="K115" s="257"/>
      <c r="L115" s="241"/>
    </row>
    <row r="116" spans="1:12" ht="18" x14ac:dyDescent="0.35">
      <c r="A116"/>
      <c r="B116" s="243"/>
      <c r="C116" s="186"/>
      <c r="D116" s="186"/>
      <c r="E116" s="239"/>
      <c r="F116" s="186"/>
      <c r="G116" s="257"/>
      <c r="H116" s="257"/>
      <c r="I116" s="257"/>
      <c r="J116" s="257"/>
      <c r="K116" s="257"/>
      <c r="L116" s="241"/>
    </row>
    <row r="117" spans="1:12" ht="18" x14ac:dyDescent="0.35">
      <c r="A117"/>
      <c r="B117" s="243"/>
      <c r="C117" s="186"/>
      <c r="D117" s="186"/>
      <c r="E117" s="239"/>
      <c r="F117" s="186"/>
      <c r="G117" s="257"/>
      <c r="H117" s="257"/>
      <c r="I117" s="257"/>
      <c r="J117" s="257"/>
      <c r="K117" s="257"/>
      <c r="L117" s="241"/>
    </row>
    <row r="118" spans="1:12" ht="18" x14ac:dyDescent="0.35">
      <c r="A118"/>
      <c r="B118" s="243"/>
      <c r="C118" s="186"/>
      <c r="D118" s="186"/>
      <c r="E118" s="239"/>
      <c r="F118" s="186"/>
      <c r="G118" s="257"/>
      <c r="H118" s="257"/>
      <c r="I118" s="257"/>
      <c r="J118" s="257"/>
      <c r="K118" s="257"/>
      <c r="L118" s="241"/>
    </row>
    <row r="119" spans="1:12" ht="18" x14ac:dyDescent="0.35">
      <c r="A119"/>
      <c r="B119" s="251"/>
      <c r="C119" s="252"/>
      <c r="D119" s="252"/>
      <c r="E119" s="252"/>
      <c r="F119" s="252"/>
      <c r="G119" s="239"/>
      <c r="H119" s="239"/>
      <c r="I119" s="239"/>
      <c r="J119" s="239"/>
      <c r="K119" s="239"/>
      <c r="L119" s="253"/>
    </row>
    <row r="120" spans="1:12" ht="18" x14ac:dyDescent="0.35">
      <c r="A120"/>
      <c r="B120" s="244"/>
      <c r="C120" s="239"/>
      <c r="D120" s="239"/>
      <c r="E120" s="239"/>
      <c r="F120" s="239"/>
      <c r="G120" s="239"/>
      <c r="H120" s="239"/>
      <c r="I120" s="239"/>
      <c r="J120" s="239"/>
      <c r="K120" s="239"/>
      <c r="L120" s="241"/>
    </row>
    <row r="121" spans="1:12" ht="18" x14ac:dyDescent="0.3">
      <c r="A121"/>
      <c r="B121" s="245"/>
      <c r="C121" s="246"/>
      <c r="D121" s="246"/>
      <c r="E121" s="246"/>
      <c r="F121" s="246"/>
      <c r="G121" s="246"/>
      <c r="H121" s="246"/>
      <c r="I121" s="246"/>
      <c r="J121" s="246"/>
      <c r="K121" s="246"/>
      <c r="L121" s="247"/>
    </row>
    <row r="122" spans="1:12" ht="18" x14ac:dyDescent="0.35">
      <c r="A122"/>
      <c r="B122" s="243"/>
      <c r="C122" s="186"/>
      <c r="D122" s="250"/>
      <c r="E122" s="250"/>
      <c r="F122" s="186"/>
      <c r="G122" s="239"/>
      <c r="H122" s="239"/>
      <c r="I122" s="239"/>
      <c r="J122" s="239"/>
      <c r="K122" s="239"/>
      <c r="L122" s="241"/>
    </row>
    <row r="123" spans="1:12" ht="18" x14ac:dyDescent="0.35">
      <c r="A123"/>
      <c r="B123" s="243"/>
      <c r="C123" s="186"/>
      <c r="D123" s="250"/>
      <c r="E123" s="250"/>
      <c r="F123" s="186"/>
      <c r="G123" s="239"/>
      <c r="H123" s="239"/>
      <c r="I123" s="239"/>
      <c r="J123" s="239"/>
      <c r="K123" s="239"/>
      <c r="L123" s="241"/>
    </row>
    <row r="124" spans="1:12" ht="18" x14ac:dyDescent="0.35">
      <c r="A124"/>
      <c r="B124" s="243"/>
      <c r="C124" s="186"/>
      <c r="D124" s="250"/>
      <c r="E124" s="239"/>
      <c r="F124" s="186"/>
      <c r="G124" s="239"/>
      <c r="H124" s="239"/>
      <c r="I124" s="239"/>
      <c r="J124" s="239"/>
      <c r="K124" s="239"/>
      <c r="L124" s="241"/>
    </row>
    <row r="125" spans="1:12" ht="18" x14ac:dyDescent="0.35">
      <c r="A125"/>
      <c r="B125" s="243"/>
      <c r="C125" s="186"/>
      <c r="D125" s="250"/>
      <c r="E125" s="250"/>
      <c r="F125" s="186"/>
      <c r="G125" s="239"/>
      <c r="H125" s="239"/>
      <c r="I125" s="239"/>
      <c r="J125" s="239"/>
      <c r="K125" s="239"/>
      <c r="L125" s="241"/>
    </row>
    <row r="126" spans="1:12" ht="18" x14ac:dyDescent="0.35">
      <c r="A126"/>
      <c r="B126" s="243"/>
      <c r="C126" s="186"/>
      <c r="D126" s="250"/>
      <c r="E126" s="239"/>
      <c r="F126" s="186"/>
      <c r="G126" s="239"/>
      <c r="H126" s="239"/>
      <c r="I126" s="239"/>
      <c r="J126" s="239"/>
      <c r="K126" s="239"/>
      <c r="L126" s="241"/>
    </row>
    <row r="127" spans="1:12" ht="18" x14ac:dyDescent="0.35">
      <c r="A127"/>
      <c r="B127" s="243"/>
      <c r="C127" s="186"/>
      <c r="D127" s="250"/>
      <c r="E127" s="239"/>
      <c r="F127" s="186"/>
      <c r="G127" s="239"/>
      <c r="H127" s="239"/>
      <c r="I127" s="239"/>
      <c r="J127" s="239"/>
      <c r="K127" s="239"/>
      <c r="L127" s="241"/>
    </row>
    <row r="128" spans="1:12" ht="18" x14ac:dyDescent="0.35">
      <c r="A128"/>
      <c r="B128" s="243"/>
      <c r="C128" s="186"/>
      <c r="D128" s="250"/>
      <c r="E128" s="239"/>
      <c r="F128" s="186"/>
      <c r="G128" s="239"/>
      <c r="H128" s="239"/>
      <c r="I128" s="239"/>
      <c r="J128" s="239"/>
      <c r="K128" s="239"/>
      <c r="L128" s="241"/>
    </row>
    <row r="129" spans="1:12" ht="18" x14ac:dyDescent="0.35">
      <c r="A129"/>
      <c r="B129" s="243"/>
      <c r="C129" s="186"/>
      <c r="D129" s="250"/>
      <c r="E129" s="239"/>
      <c r="F129" s="186"/>
      <c r="G129" s="239"/>
      <c r="H129" s="239"/>
      <c r="I129" s="239"/>
      <c r="J129" s="239"/>
      <c r="K129" s="239"/>
      <c r="L129" s="241"/>
    </row>
    <row r="130" spans="1:12" ht="18" x14ac:dyDescent="0.35">
      <c r="A130"/>
      <c r="B130" s="243"/>
      <c r="C130" s="186"/>
      <c r="D130" s="250"/>
      <c r="E130" s="239"/>
      <c r="F130" s="186"/>
      <c r="G130" s="239"/>
      <c r="H130" s="239"/>
      <c r="I130" s="239"/>
      <c r="J130" s="239"/>
      <c r="K130" s="239"/>
      <c r="L130" s="241"/>
    </row>
    <row r="131" spans="1:12" ht="18" x14ac:dyDescent="0.35">
      <c r="A131"/>
      <c r="B131" s="243"/>
      <c r="C131" s="186"/>
      <c r="D131" s="250"/>
      <c r="E131" s="239"/>
      <c r="F131" s="186"/>
      <c r="G131" s="239"/>
      <c r="H131" s="239"/>
      <c r="I131" s="239"/>
      <c r="J131" s="239"/>
      <c r="K131" s="239"/>
      <c r="L131" s="241"/>
    </row>
    <row r="132" spans="1:12" ht="18" x14ac:dyDescent="0.35">
      <c r="A132"/>
      <c r="B132" s="243"/>
      <c r="C132" s="186"/>
      <c r="D132" s="250"/>
      <c r="E132" s="239"/>
      <c r="F132" s="186"/>
      <c r="G132" s="239"/>
      <c r="H132" s="239"/>
      <c r="I132" s="239"/>
      <c r="J132" s="239"/>
      <c r="K132" s="239"/>
      <c r="L132" s="241"/>
    </row>
    <row r="133" spans="1:12" ht="18" x14ac:dyDescent="0.35">
      <c r="A133"/>
      <c r="B133" s="243"/>
      <c r="C133" s="186"/>
      <c r="D133" s="250"/>
      <c r="E133" s="239"/>
      <c r="F133" s="186"/>
      <c r="G133" s="239"/>
      <c r="H133" s="239"/>
      <c r="I133" s="239"/>
      <c r="J133" s="239"/>
      <c r="K133" s="239"/>
      <c r="L133" s="241"/>
    </row>
    <row r="134" spans="1:12" ht="18" x14ac:dyDescent="0.35">
      <c r="A134"/>
      <c r="B134" s="251"/>
      <c r="C134" s="252"/>
      <c r="D134" s="252"/>
      <c r="E134" s="252"/>
      <c r="F134" s="252"/>
      <c r="G134" s="239"/>
      <c r="H134" s="239"/>
      <c r="I134" s="239"/>
      <c r="J134" s="239"/>
      <c r="K134" s="239"/>
      <c r="L134" s="253"/>
    </row>
    <row r="135" spans="1:12" ht="18" x14ac:dyDescent="0.35">
      <c r="A135"/>
      <c r="B135" s="244"/>
      <c r="C135" s="239"/>
      <c r="D135" s="239"/>
      <c r="E135" s="239"/>
      <c r="F135" s="239"/>
      <c r="G135" s="239"/>
      <c r="H135" s="239"/>
      <c r="I135" s="239"/>
      <c r="J135" s="239"/>
      <c r="K135" s="239"/>
      <c r="L135" s="241"/>
    </row>
    <row r="136" spans="1:12" ht="18" x14ac:dyDescent="0.3">
      <c r="A136"/>
      <c r="B136" s="245"/>
      <c r="C136" s="246"/>
      <c r="D136" s="246"/>
      <c r="E136" s="246"/>
      <c r="F136" s="246"/>
      <c r="G136" s="246"/>
      <c r="H136" s="246"/>
      <c r="I136" s="246"/>
      <c r="J136" s="246"/>
      <c r="K136" s="246"/>
      <c r="L136" s="247"/>
    </row>
    <row r="137" spans="1:12" ht="18" x14ac:dyDescent="0.35">
      <c r="A137"/>
      <c r="B137" s="243"/>
      <c r="C137" s="186"/>
      <c r="D137" s="186"/>
      <c r="E137" s="186"/>
      <c r="F137" s="240"/>
      <c r="G137" s="239"/>
      <c r="H137" s="239"/>
      <c r="I137" s="239"/>
      <c r="J137" s="239"/>
      <c r="K137" s="239"/>
      <c r="L137" s="241"/>
    </row>
    <row r="138" spans="1:12" ht="18" x14ac:dyDescent="0.35">
      <c r="A138"/>
      <c r="B138" s="243"/>
      <c r="C138" s="186"/>
      <c r="D138" s="186"/>
      <c r="E138" s="186"/>
      <c r="F138" s="240"/>
      <c r="G138" s="239"/>
      <c r="H138" s="239"/>
      <c r="I138" s="239"/>
      <c r="J138" s="239"/>
      <c r="K138" s="239"/>
      <c r="L138" s="241"/>
    </row>
    <row r="139" spans="1:12" ht="18" x14ac:dyDescent="0.35">
      <c r="A139"/>
      <c r="B139" s="243"/>
      <c r="C139" s="186"/>
      <c r="D139" s="186"/>
      <c r="E139" s="186"/>
      <c r="F139" s="240"/>
      <c r="G139" s="239"/>
      <c r="H139" s="239"/>
      <c r="I139" s="239"/>
      <c r="J139" s="239"/>
      <c r="K139" s="239"/>
      <c r="L139" s="241"/>
    </row>
    <row r="140" spans="1:12" ht="18" x14ac:dyDescent="0.35">
      <c r="A140"/>
      <c r="B140" s="243"/>
      <c r="C140" s="186"/>
      <c r="D140" s="186"/>
      <c r="E140" s="186"/>
      <c r="F140" s="240"/>
      <c r="G140" s="239"/>
      <c r="H140" s="239"/>
      <c r="I140" s="239"/>
      <c r="J140" s="239"/>
      <c r="K140" s="239"/>
      <c r="L140" s="241"/>
    </row>
    <row r="141" spans="1:12" ht="18" x14ac:dyDescent="0.35">
      <c r="A141"/>
      <c r="B141" s="243"/>
      <c r="C141" s="186"/>
      <c r="D141" s="186"/>
      <c r="E141" s="186"/>
      <c r="F141" s="240"/>
      <c r="G141" s="239"/>
      <c r="H141" s="239"/>
      <c r="I141" s="239"/>
      <c r="J141" s="239"/>
      <c r="K141" s="239"/>
      <c r="L141" s="241"/>
    </row>
    <row r="142" spans="1:12" ht="18" x14ac:dyDescent="0.35">
      <c r="A142"/>
      <c r="B142" s="243"/>
      <c r="C142" s="186"/>
      <c r="D142" s="186"/>
      <c r="E142" s="186"/>
      <c r="F142" s="240"/>
      <c r="G142" s="239"/>
      <c r="H142" s="239"/>
      <c r="I142" s="239"/>
      <c r="J142" s="239"/>
      <c r="K142" s="239"/>
      <c r="L142" s="241"/>
    </row>
    <row r="143" spans="1:12" ht="18" x14ac:dyDescent="0.35">
      <c r="A143"/>
      <c r="B143" s="243"/>
      <c r="C143" s="186"/>
      <c r="D143" s="186"/>
      <c r="E143" s="186"/>
      <c r="F143" s="240"/>
      <c r="G143" s="239"/>
      <c r="H143" s="239"/>
      <c r="I143" s="239"/>
      <c r="J143" s="239"/>
      <c r="K143" s="239"/>
      <c r="L143" s="241"/>
    </row>
    <row r="144" spans="1:12" ht="18" x14ac:dyDescent="0.35">
      <c r="A144"/>
      <c r="B144" s="243"/>
      <c r="C144" s="186"/>
      <c r="D144" s="186"/>
      <c r="E144" s="186"/>
      <c r="F144" s="240"/>
      <c r="G144" s="239"/>
      <c r="H144" s="239"/>
      <c r="I144" s="239"/>
      <c r="J144" s="239"/>
      <c r="K144" s="239"/>
      <c r="L144" s="241"/>
    </row>
    <row r="145" spans="1:12" ht="18" x14ac:dyDescent="0.35">
      <c r="A145"/>
      <c r="B145" s="243"/>
      <c r="C145" s="186"/>
      <c r="D145" s="186"/>
      <c r="E145" s="186"/>
      <c r="F145" s="240"/>
      <c r="G145" s="239"/>
      <c r="H145" s="239"/>
      <c r="I145" s="239"/>
      <c r="J145" s="239"/>
      <c r="K145" s="239"/>
      <c r="L145" s="241"/>
    </row>
    <row r="146" spans="1:12" ht="18" x14ac:dyDescent="0.35">
      <c r="A146"/>
      <c r="B146" s="243"/>
      <c r="C146" s="186"/>
      <c r="D146" s="186"/>
      <c r="E146" s="186"/>
      <c r="F146" s="240"/>
      <c r="G146" s="239"/>
      <c r="H146" s="239"/>
      <c r="I146" s="239"/>
      <c r="J146" s="239"/>
      <c r="K146" s="239"/>
      <c r="L146" s="241"/>
    </row>
    <row r="147" spans="1:12" ht="18" x14ac:dyDescent="0.35">
      <c r="A147"/>
      <c r="B147" s="243"/>
      <c r="C147" s="186"/>
      <c r="D147" s="186"/>
      <c r="E147" s="186"/>
      <c r="F147" s="240"/>
      <c r="G147" s="239"/>
      <c r="H147" s="239"/>
      <c r="I147" s="239"/>
      <c r="J147" s="239"/>
      <c r="K147" s="239"/>
      <c r="L147" s="241"/>
    </row>
    <row r="148" spans="1:12" ht="18" x14ac:dyDescent="0.35">
      <c r="A148"/>
      <c r="B148" s="243"/>
      <c r="C148" s="186"/>
      <c r="D148" s="186"/>
      <c r="E148" s="186"/>
      <c r="F148" s="240"/>
      <c r="G148" s="239"/>
      <c r="H148" s="239"/>
      <c r="I148" s="239"/>
      <c r="J148" s="239"/>
      <c r="K148" s="239"/>
      <c r="L148" s="241"/>
    </row>
    <row r="149" spans="1:12" ht="18" x14ac:dyDescent="0.35">
      <c r="A149"/>
      <c r="B149" s="251"/>
      <c r="C149" s="252"/>
      <c r="D149" s="252"/>
      <c r="E149" s="252"/>
      <c r="F149" s="252"/>
      <c r="G149" s="239"/>
      <c r="H149" s="239"/>
      <c r="I149" s="239"/>
      <c r="J149" s="239"/>
      <c r="K149" s="239"/>
      <c r="L149" s="253"/>
    </row>
    <row r="150" spans="1:12" ht="18" x14ac:dyDescent="0.35">
      <c r="A150"/>
      <c r="B150" s="244"/>
      <c r="C150" s="239"/>
      <c r="D150" s="239"/>
      <c r="E150" s="239"/>
      <c r="F150" s="239"/>
      <c r="G150" s="239"/>
      <c r="H150" s="239"/>
      <c r="I150" s="239"/>
      <c r="J150" s="239"/>
      <c r="K150" s="239"/>
      <c r="L150" s="241"/>
    </row>
    <row r="151" spans="1:12" ht="18" x14ac:dyDescent="0.35">
      <c r="A151"/>
      <c r="B151" s="258"/>
      <c r="C151" s="239"/>
      <c r="D151" s="239"/>
      <c r="E151" s="239"/>
      <c r="F151" s="239"/>
      <c r="G151" s="239"/>
      <c r="H151" s="239"/>
      <c r="I151" s="239"/>
      <c r="J151" s="239"/>
      <c r="K151" s="239"/>
      <c r="L151" s="259"/>
    </row>
    <row r="152" spans="1:12" ht="18" x14ac:dyDescent="0.35">
      <c r="A152"/>
      <c r="B152" s="244"/>
      <c r="C152" s="239"/>
      <c r="D152" s="239"/>
      <c r="E152" s="239"/>
      <c r="F152" s="239"/>
      <c r="G152" s="239"/>
      <c r="H152" s="239"/>
      <c r="I152" s="239"/>
      <c r="J152" s="239"/>
      <c r="K152" s="239"/>
      <c r="L152" s="241"/>
    </row>
    <row r="153" spans="1:12" ht="18" x14ac:dyDescent="0.3">
      <c r="A153"/>
      <c r="B153" s="245"/>
      <c r="C153" s="246"/>
      <c r="D153" s="246"/>
      <c r="E153" s="246"/>
      <c r="F153" s="246"/>
      <c r="G153" s="246"/>
      <c r="H153" s="246"/>
      <c r="I153" s="246"/>
      <c r="J153" s="246"/>
      <c r="K153" s="246"/>
      <c r="L153" s="247"/>
    </row>
    <row r="154" spans="1:12" ht="18" x14ac:dyDescent="0.35">
      <c r="A154"/>
      <c r="B154" s="243"/>
      <c r="C154" s="240"/>
      <c r="D154" s="186"/>
      <c r="E154" s="186"/>
      <c r="F154" s="240"/>
      <c r="G154" s="239"/>
      <c r="H154" s="239"/>
      <c r="I154" s="239"/>
      <c r="J154" s="239"/>
      <c r="K154" s="239"/>
      <c r="L154" s="241"/>
    </row>
    <row r="155" spans="1:12" ht="18" x14ac:dyDescent="0.35">
      <c r="A155"/>
      <c r="B155" s="243"/>
      <c r="C155" s="240"/>
      <c r="D155" s="186"/>
      <c r="E155" s="186"/>
      <c r="F155" s="240"/>
      <c r="G155" s="239"/>
      <c r="H155" s="239"/>
      <c r="I155" s="239"/>
      <c r="J155" s="239"/>
      <c r="K155" s="239"/>
      <c r="L155" s="241"/>
    </row>
    <row r="156" spans="1:12" ht="18" x14ac:dyDescent="0.35">
      <c r="A156"/>
      <c r="B156" s="243"/>
      <c r="C156" s="240"/>
      <c r="D156" s="186"/>
      <c r="E156" s="186"/>
      <c r="F156" s="240"/>
      <c r="G156" s="239"/>
      <c r="H156" s="239"/>
      <c r="I156" s="239"/>
      <c r="J156" s="239"/>
      <c r="K156" s="239"/>
      <c r="L156" s="241"/>
    </row>
    <row r="157" spans="1:12" ht="18" x14ac:dyDescent="0.35">
      <c r="A157"/>
      <c r="B157" s="243"/>
      <c r="C157" s="240"/>
      <c r="D157" s="186"/>
      <c r="E157" s="186"/>
      <c r="F157" s="240"/>
      <c r="G157" s="239"/>
      <c r="H157" s="239"/>
      <c r="I157" s="239"/>
      <c r="J157" s="239"/>
      <c r="K157" s="239"/>
      <c r="L157" s="241"/>
    </row>
    <row r="158" spans="1:12" ht="18" x14ac:dyDescent="0.35">
      <c r="A158"/>
      <c r="B158" s="243"/>
      <c r="C158" s="240"/>
      <c r="D158" s="186"/>
      <c r="E158" s="186"/>
      <c r="F158" s="240"/>
      <c r="G158" s="239"/>
      <c r="H158" s="239"/>
      <c r="I158" s="239"/>
      <c r="J158" s="239"/>
      <c r="K158" s="239"/>
      <c r="L158" s="241"/>
    </row>
    <row r="159" spans="1:12" ht="18" x14ac:dyDescent="0.35">
      <c r="A159"/>
      <c r="B159" s="243"/>
      <c r="C159" s="240"/>
      <c r="D159" s="186"/>
      <c r="E159" s="186"/>
      <c r="F159" s="240"/>
      <c r="G159" s="239"/>
      <c r="H159" s="239"/>
      <c r="I159" s="239"/>
      <c r="J159" s="239"/>
      <c r="K159" s="239"/>
      <c r="L159" s="241"/>
    </row>
    <row r="160" spans="1:12" ht="18" x14ac:dyDescent="0.35">
      <c r="A160"/>
      <c r="B160" s="243"/>
      <c r="C160" s="240"/>
      <c r="D160" s="186"/>
      <c r="E160" s="186"/>
      <c r="F160" s="240"/>
      <c r="G160" s="239"/>
      <c r="H160" s="239"/>
      <c r="I160" s="239"/>
      <c r="J160" s="239"/>
      <c r="K160" s="239"/>
      <c r="L160" s="241"/>
    </row>
    <row r="161" spans="1:12" ht="18" x14ac:dyDescent="0.35">
      <c r="A161"/>
      <c r="B161" s="243"/>
      <c r="C161" s="240"/>
      <c r="D161" s="186"/>
      <c r="E161" s="186"/>
      <c r="F161" s="240"/>
      <c r="G161" s="239"/>
      <c r="H161" s="239"/>
      <c r="I161" s="239"/>
      <c r="J161" s="239"/>
      <c r="K161" s="239"/>
      <c r="L161" s="241"/>
    </row>
    <row r="162" spans="1:12" ht="18" x14ac:dyDescent="0.35">
      <c r="A162"/>
      <c r="B162" s="243"/>
      <c r="C162" s="240"/>
      <c r="D162" s="186"/>
      <c r="E162" s="186"/>
      <c r="F162" s="240"/>
      <c r="G162" s="239"/>
      <c r="H162" s="239"/>
      <c r="I162" s="239"/>
      <c r="J162" s="239"/>
      <c r="K162" s="239"/>
      <c r="L162" s="241"/>
    </row>
    <row r="163" spans="1:12" ht="18" x14ac:dyDescent="0.35">
      <c r="A163"/>
      <c r="B163" s="243"/>
      <c r="C163" s="240"/>
      <c r="D163" s="186"/>
      <c r="E163" s="186"/>
      <c r="F163" s="240"/>
      <c r="G163" s="239"/>
      <c r="H163" s="239"/>
      <c r="I163" s="239"/>
      <c r="J163" s="239"/>
      <c r="K163" s="239"/>
      <c r="L163" s="241"/>
    </row>
    <row r="164" spans="1:12" ht="18" x14ac:dyDescent="0.35">
      <c r="A164"/>
      <c r="B164" s="243"/>
      <c r="C164" s="240"/>
      <c r="D164" s="186"/>
      <c r="E164" s="186"/>
      <c r="F164" s="240"/>
      <c r="G164" s="239"/>
      <c r="H164" s="239"/>
      <c r="I164" s="239"/>
      <c r="J164" s="239"/>
      <c r="K164" s="239"/>
      <c r="L164" s="241"/>
    </row>
    <row r="165" spans="1:12" ht="18" x14ac:dyDescent="0.35">
      <c r="A165"/>
      <c r="B165" s="243"/>
      <c r="C165" s="240"/>
      <c r="D165" s="186"/>
      <c r="E165" s="186"/>
      <c r="F165" s="240"/>
      <c r="G165" s="239"/>
      <c r="H165" s="239"/>
      <c r="I165" s="239"/>
      <c r="J165" s="239"/>
      <c r="K165" s="239"/>
      <c r="L165" s="241"/>
    </row>
    <row r="166" spans="1:12" ht="18" x14ac:dyDescent="0.35">
      <c r="A166"/>
      <c r="B166" s="251"/>
      <c r="C166" s="252"/>
      <c r="D166" s="252"/>
      <c r="E166" s="252"/>
      <c r="F166" s="252"/>
      <c r="G166" s="239"/>
      <c r="H166" s="239"/>
      <c r="I166" s="239"/>
      <c r="J166" s="239"/>
      <c r="K166" s="239"/>
      <c r="L166" s="253"/>
    </row>
    <row r="167" spans="1:12" ht="18" x14ac:dyDescent="0.35">
      <c r="A167"/>
      <c r="B167" s="244"/>
      <c r="C167" s="239"/>
      <c r="D167" s="239"/>
      <c r="E167" s="239"/>
      <c r="F167" s="239"/>
      <c r="G167" s="239"/>
      <c r="H167" s="239"/>
      <c r="I167" s="239"/>
      <c r="J167" s="239"/>
      <c r="K167" s="239"/>
      <c r="L167" s="241"/>
    </row>
    <row r="168" spans="1:12" ht="18" x14ac:dyDescent="0.3">
      <c r="A168"/>
      <c r="B168" s="245"/>
      <c r="C168" s="246"/>
      <c r="D168" s="246"/>
      <c r="E168" s="246"/>
      <c r="F168" s="246"/>
      <c r="G168" s="246"/>
      <c r="H168" s="246"/>
      <c r="I168" s="246"/>
      <c r="J168" s="246"/>
      <c r="K168" s="246"/>
      <c r="L168" s="247"/>
    </row>
    <row r="169" spans="1:12" ht="18" x14ac:dyDescent="0.35">
      <c r="A169"/>
      <c r="B169" s="260"/>
      <c r="C169" s="189"/>
      <c r="D169" s="189"/>
      <c r="E169" s="189"/>
      <c r="F169" s="261"/>
      <c r="G169" s="248"/>
      <c r="H169" s="248"/>
      <c r="I169" s="248"/>
      <c r="J169" s="248"/>
      <c r="K169" s="248"/>
      <c r="L169" s="262"/>
    </row>
    <row r="170" spans="1:12" ht="18" x14ac:dyDescent="0.35">
      <c r="A170"/>
      <c r="B170" s="260"/>
      <c r="C170" s="189"/>
      <c r="D170" s="189"/>
      <c r="E170" s="189"/>
      <c r="F170" s="261"/>
      <c r="G170" s="248"/>
      <c r="H170" s="248"/>
      <c r="I170" s="248"/>
      <c r="J170" s="248"/>
      <c r="K170" s="248"/>
      <c r="L170" s="262"/>
    </row>
    <row r="171" spans="1:12" ht="18" x14ac:dyDescent="0.35">
      <c r="A171"/>
      <c r="B171" s="260"/>
      <c r="C171" s="189"/>
      <c r="D171" s="189"/>
      <c r="E171" s="189"/>
      <c r="F171" s="261"/>
      <c r="G171" s="248"/>
      <c r="H171" s="248"/>
      <c r="I171" s="248"/>
      <c r="J171" s="248"/>
      <c r="K171" s="248"/>
      <c r="L171" s="262"/>
    </row>
    <row r="172" spans="1:12" ht="18" x14ac:dyDescent="0.35">
      <c r="A172"/>
      <c r="B172" s="260"/>
      <c r="C172" s="189"/>
      <c r="D172" s="189"/>
      <c r="E172" s="189"/>
      <c r="F172" s="261"/>
      <c r="G172" s="248"/>
      <c r="H172" s="248"/>
      <c r="I172" s="248"/>
      <c r="J172" s="248"/>
      <c r="K172" s="248"/>
      <c r="L172" s="262"/>
    </row>
    <row r="173" spans="1:12" ht="18" x14ac:dyDescent="0.35">
      <c r="A173"/>
      <c r="B173" s="260"/>
      <c r="C173" s="189"/>
      <c r="D173" s="189"/>
      <c r="E173" s="189"/>
      <c r="F173" s="261"/>
      <c r="G173" s="248"/>
      <c r="H173" s="248"/>
      <c r="I173" s="248"/>
      <c r="J173" s="248"/>
      <c r="K173" s="248"/>
      <c r="L173" s="262"/>
    </row>
    <row r="174" spans="1:12" ht="18" x14ac:dyDescent="0.35">
      <c r="A174"/>
      <c r="B174" s="260"/>
      <c r="C174" s="189"/>
      <c r="D174" s="189"/>
      <c r="E174" s="189"/>
      <c r="F174" s="261"/>
      <c r="G174" s="248"/>
      <c r="H174" s="248"/>
      <c r="I174" s="248"/>
      <c r="J174" s="248"/>
      <c r="K174" s="248"/>
      <c r="L174" s="262"/>
    </row>
    <row r="175" spans="1:12" ht="18" x14ac:dyDescent="0.35">
      <c r="A175"/>
      <c r="B175" s="260"/>
      <c r="C175" s="189"/>
      <c r="D175" s="189"/>
      <c r="E175" s="189"/>
      <c r="F175" s="261"/>
      <c r="G175" s="248"/>
      <c r="H175" s="248"/>
      <c r="I175" s="248"/>
      <c r="J175" s="248"/>
      <c r="K175" s="248"/>
      <c r="L175" s="262"/>
    </row>
    <row r="176" spans="1:12" ht="18" x14ac:dyDescent="0.35">
      <c r="A176"/>
      <c r="B176" s="260"/>
      <c r="C176" s="189"/>
      <c r="D176" s="189"/>
      <c r="E176" s="189"/>
      <c r="F176" s="261"/>
      <c r="G176" s="248"/>
      <c r="H176" s="248"/>
      <c r="I176" s="248"/>
      <c r="J176" s="248"/>
      <c r="K176" s="248"/>
      <c r="L176" s="262"/>
    </row>
    <row r="177" spans="1:12" ht="18" x14ac:dyDescent="0.35">
      <c r="A177"/>
      <c r="B177" s="260"/>
      <c r="C177" s="189"/>
      <c r="D177" s="189"/>
      <c r="E177" s="189"/>
      <c r="F177" s="261"/>
      <c r="G177" s="248"/>
      <c r="H177" s="248"/>
      <c r="I177" s="248"/>
      <c r="J177" s="248"/>
      <c r="K177" s="248"/>
      <c r="L177" s="262"/>
    </row>
    <row r="178" spans="1:12" ht="18" x14ac:dyDescent="0.35">
      <c r="A178"/>
      <c r="B178" s="260"/>
      <c r="C178" s="189"/>
      <c r="D178" s="189"/>
      <c r="E178" s="189"/>
      <c r="F178" s="261"/>
      <c r="G178" s="248"/>
      <c r="H178" s="248"/>
      <c r="I178" s="248"/>
      <c r="J178" s="248"/>
      <c r="K178" s="248"/>
      <c r="L178" s="262"/>
    </row>
    <row r="179" spans="1:12" ht="18" x14ac:dyDescent="0.35">
      <c r="A179"/>
      <c r="B179" s="260"/>
      <c r="C179" s="189"/>
      <c r="D179" s="189"/>
      <c r="E179" s="189"/>
      <c r="F179" s="261"/>
      <c r="G179" s="248"/>
      <c r="H179" s="248"/>
      <c r="I179" s="248"/>
      <c r="J179" s="248"/>
      <c r="K179" s="248"/>
      <c r="L179" s="262"/>
    </row>
    <row r="180" spans="1:12" ht="18" x14ac:dyDescent="0.35">
      <c r="A180"/>
      <c r="B180" s="260"/>
      <c r="C180" s="189"/>
      <c r="D180" s="189"/>
      <c r="E180" s="189"/>
      <c r="F180" s="261"/>
      <c r="G180" s="248"/>
      <c r="H180" s="248"/>
      <c r="I180" s="248"/>
      <c r="J180" s="248"/>
      <c r="K180" s="248"/>
      <c r="L180" s="262"/>
    </row>
    <row r="181" spans="1:12" ht="18" x14ac:dyDescent="0.35">
      <c r="A181"/>
      <c r="B181" s="251"/>
      <c r="C181" s="252"/>
      <c r="D181" s="252"/>
      <c r="E181" s="252"/>
      <c r="F181" s="252"/>
      <c r="G181" s="239"/>
      <c r="H181" s="239"/>
      <c r="I181" s="239"/>
      <c r="J181" s="239"/>
      <c r="K181" s="239"/>
      <c r="L181" s="253"/>
    </row>
    <row r="182" spans="1:12" ht="18" x14ac:dyDescent="0.35">
      <c r="A182"/>
      <c r="B182" s="244"/>
      <c r="C182" s="239"/>
      <c r="D182" s="239"/>
      <c r="E182" s="239"/>
      <c r="F182" s="239"/>
      <c r="G182" s="239"/>
      <c r="H182" s="239"/>
      <c r="I182" s="239"/>
      <c r="J182" s="239"/>
      <c r="K182" s="239"/>
      <c r="L182" s="241"/>
    </row>
    <row r="183" spans="1:12" ht="18" x14ac:dyDescent="0.3">
      <c r="A183"/>
      <c r="B183" s="245"/>
      <c r="C183" s="246"/>
      <c r="D183" s="246"/>
      <c r="E183" s="246"/>
      <c r="F183" s="246"/>
      <c r="G183" s="246"/>
      <c r="H183" s="246"/>
      <c r="I183" s="246"/>
      <c r="J183" s="246"/>
      <c r="K183" s="246"/>
      <c r="L183" s="247"/>
    </row>
    <row r="184" spans="1:12" ht="18" x14ac:dyDescent="0.35">
      <c r="A184"/>
      <c r="B184" s="243"/>
      <c r="C184" s="186"/>
      <c r="D184" s="186"/>
      <c r="E184" s="239"/>
      <c r="F184" s="186"/>
      <c r="G184" s="239"/>
      <c r="H184" s="239"/>
      <c r="I184" s="239"/>
      <c r="J184" s="239"/>
      <c r="K184" s="239"/>
      <c r="L184" s="241"/>
    </row>
    <row r="185" spans="1:12" ht="18" x14ac:dyDescent="0.35">
      <c r="A185"/>
      <c r="B185" s="243"/>
      <c r="C185" s="186"/>
      <c r="D185" s="186"/>
      <c r="E185" s="239"/>
      <c r="F185" s="186"/>
      <c r="G185" s="239"/>
      <c r="H185" s="239"/>
      <c r="I185" s="239"/>
      <c r="J185" s="239"/>
      <c r="K185" s="239"/>
      <c r="L185" s="241"/>
    </row>
    <row r="186" spans="1:12" ht="18" x14ac:dyDescent="0.35">
      <c r="A186"/>
      <c r="B186" s="243"/>
      <c r="C186" s="186"/>
      <c r="D186" s="186"/>
      <c r="E186" s="239"/>
      <c r="F186" s="186"/>
      <c r="G186" s="239"/>
      <c r="H186" s="239"/>
      <c r="I186" s="239"/>
      <c r="J186" s="239"/>
      <c r="K186" s="239"/>
      <c r="L186" s="241"/>
    </row>
    <row r="187" spans="1:12" ht="18" x14ac:dyDescent="0.35">
      <c r="A187"/>
      <c r="B187" s="243"/>
      <c r="C187" s="186"/>
      <c r="D187" s="186"/>
      <c r="E187" s="239"/>
      <c r="F187" s="186"/>
      <c r="G187" s="239"/>
      <c r="H187" s="239"/>
      <c r="I187" s="239"/>
      <c r="J187" s="239"/>
      <c r="K187" s="239"/>
      <c r="L187" s="241"/>
    </row>
    <row r="188" spans="1:12" ht="18" x14ac:dyDescent="0.35">
      <c r="A188"/>
      <c r="B188" s="243"/>
      <c r="C188" s="186"/>
      <c r="D188" s="186"/>
      <c r="E188" s="239"/>
      <c r="F188" s="186"/>
      <c r="G188" s="239"/>
      <c r="H188" s="239"/>
      <c r="I188" s="239"/>
      <c r="J188" s="239"/>
      <c r="K188" s="239"/>
      <c r="L188" s="241"/>
    </row>
    <row r="189" spans="1:12" ht="18" x14ac:dyDescent="0.35">
      <c r="A189"/>
      <c r="B189" s="243"/>
      <c r="C189" s="186"/>
      <c r="D189" s="186"/>
      <c r="E189" s="239"/>
      <c r="F189" s="186"/>
      <c r="G189" s="239"/>
      <c r="H189" s="239"/>
      <c r="I189" s="239"/>
      <c r="J189" s="239"/>
      <c r="K189" s="239"/>
      <c r="L189" s="241"/>
    </row>
    <row r="190" spans="1:12" ht="18" x14ac:dyDescent="0.35">
      <c r="A190"/>
      <c r="B190" s="243"/>
      <c r="C190" s="186"/>
      <c r="D190" s="186"/>
      <c r="E190" s="239"/>
      <c r="F190" s="186"/>
      <c r="G190" s="239"/>
      <c r="H190" s="239"/>
      <c r="I190" s="239"/>
      <c r="J190" s="239"/>
      <c r="K190" s="239"/>
      <c r="L190" s="241"/>
    </row>
    <row r="191" spans="1:12" ht="18" x14ac:dyDescent="0.35">
      <c r="A191"/>
      <c r="B191" s="243"/>
      <c r="C191" s="186"/>
      <c r="D191" s="186"/>
      <c r="E191" s="239"/>
      <c r="F191" s="186"/>
      <c r="G191" s="239"/>
      <c r="H191" s="239"/>
      <c r="I191" s="239"/>
      <c r="J191" s="239"/>
      <c r="K191" s="239"/>
      <c r="L191" s="241"/>
    </row>
    <row r="192" spans="1:12" ht="18" x14ac:dyDescent="0.35">
      <c r="A192"/>
      <c r="B192" s="243"/>
      <c r="C192" s="186"/>
      <c r="D192" s="186"/>
      <c r="E192" s="239"/>
      <c r="F192" s="186"/>
      <c r="G192" s="239"/>
      <c r="H192" s="239"/>
      <c r="I192" s="239"/>
      <c r="J192" s="239"/>
      <c r="K192" s="239"/>
      <c r="L192" s="241"/>
    </row>
    <row r="193" spans="1:12" ht="18" x14ac:dyDescent="0.35">
      <c r="A193"/>
      <c r="B193" s="243"/>
      <c r="C193" s="186"/>
      <c r="D193" s="186"/>
      <c r="E193" s="239"/>
      <c r="F193" s="186"/>
      <c r="G193" s="239"/>
      <c r="H193" s="239"/>
      <c r="I193" s="239"/>
      <c r="J193" s="239"/>
      <c r="K193" s="239"/>
      <c r="L193" s="241"/>
    </row>
    <row r="194" spans="1:12" ht="18" x14ac:dyDescent="0.35">
      <c r="A194"/>
      <c r="B194" s="243"/>
      <c r="C194" s="186"/>
      <c r="D194" s="186"/>
      <c r="E194" s="239"/>
      <c r="F194" s="186"/>
      <c r="G194" s="239"/>
      <c r="H194" s="239"/>
      <c r="I194" s="239"/>
      <c r="J194" s="239"/>
      <c r="K194" s="239"/>
      <c r="L194" s="241"/>
    </row>
    <row r="195" spans="1:12" ht="18" x14ac:dyDescent="0.35">
      <c r="A195"/>
      <c r="B195" s="243"/>
      <c r="C195" s="186"/>
      <c r="D195" s="186"/>
      <c r="E195" s="239"/>
      <c r="F195" s="186"/>
      <c r="G195" s="239"/>
      <c r="H195" s="239"/>
      <c r="I195" s="239"/>
      <c r="J195" s="239"/>
      <c r="K195" s="239"/>
      <c r="L195" s="241"/>
    </row>
    <row r="196" spans="1:12" ht="18" x14ac:dyDescent="0.35">
      <c r="A196"/>
      <c r="B196" s="251"/>
      <c r="C196" s="252"/>
      <c r="D196" s="252"/>
      <c r="E196" s="252"/>
      <c r="F196" s="252"/>
      <c r="G196" s="239"/>
      <c r="H196" s="239"/>
      <c r="I196" s="239"/>
      <c r="J196" s="239"/>
      <c r="K196" s="239"/>
      <c r="L196" s="253"/>
    </row>
    <row r="197" spans="1:12" ht="18" x14ac:dyDescent="0.35">
      <c r="A197"/>
      <c r="B197" s="244"/>
      <c r="C197" s="239"/>
      <c r="D197" s="239"/>
      <c r="E197" s="239"/>
      <c r="F197" s="239"/>
      <c r="G197" s="239"/>
      <c r="H197" s="239"/>
      <c r="I197" s="239"/>
      <c r="J197" s="239"/>
      <c r="K197" s="239"/>
      <c r="L197" s="241"/>
    </row>
    <row r="198" spans="1:12" ht="18" x14ac:dyDescent="0.3">
      <c r="A198"/>
      <c r="B198" s="245"/>
      <c r="C198" s="246"/>
      <c r="D198" s="246"/>
      <c r="E198" s="246"/>
      <c r="F198" s="246"/>
      <c r="G198" s="246"/>
      <c r="H198" s="246"/>
      <c r="I198" s="246"/>
      <c r="J198" s="246"/>
      <c r="K198" s="246"/>
      <c r="L198" s="247"/>
    </row>
    <row r="199" spans="1:12" ht="18" x14ac:dyDescent="0.35">
      <c r="A199"/>
      <c r="B199" s="243"/>
      <c r="C199" s="186"/>
      <c r="D199" s="186"/>
      <c r="E199" s="186"/>
      <c r="F199" s="186"/>
      <c r="G199" s="239"/>
      <c r="H199" s="239"/>
      <c r="I199" s="239"/>
      <c r="J199" s="239"/>
      <c r="K199" s="239"/>
      <c r="L199" s="241"/>
    </row>
    <row r="200" spans="1:12" ht="18" x14ac:dyDescent="0.35">
      <c r="A200"/>
      <c r="B200" s="243"/>
      <c r="C200" s="186"/>
      <c r="D200" s="186"/>
      <c r="E200" s="186"/>
      <c r="F200" s="186"/>
      <c r="G200" s="239"/>
      <c r="H200" s="239"/>
      <c r="I200" s="239"/>
      <c r="J200" s="239"/>
      <c r="K200" s="239"/>
      <c r="L200" s="241"/>
    </row>
    <row r="201" spans="1:12" ht="18" x14ac:dyDescent="0.35">
      <c r="A201"/>
      <c r="B201" s="243"/>
      <c r="C201" s="186"/>
      <c r="D201" s="186"/>
      <c r="E201" s="186"/>
      <c r="F201" s="186"/>
      <c r="G201" s="239"/>
      <c r="H201" s="239"/>
      <c r="I201" s="239"/>
      <c r="J201" s="239"/>
      <c r="K201" s="239"/>
      <c r="L201" s="241"/>
    </row>
    <row r="202" spans="1:12" ht="18" x14ac:dyDescent="0.35">
      <c r="A202"/>
      <c r="B202" s="243"/>
      <c r="C202" s="186"/>
      <c r="D202" s="186"/>
      <c r="E202" s="186"/>
      <c r="F202" s="186"/>
      <c r="G202" s="239"/>
      <c r="H202" s="239"/>
      <c r="I202" s="239"/>
      <c r="J202" s="239"/>
      <c r="K202" s="239"/>
      <c r="L202" s="241"/>
    </row>
    <row r="203" spans="1:12" ht="18" x14ac:dyDescent="0.35">
      <c r="A203"/>
      <c r="B203" s="243"/>
      <c r="C203" s="186"/>
      <c r="D203" s="186"/>
      <c r="E203" s="186"/>
      <c r="F203" s="186"/>
      <c r="G203" s="239"/>
      <c r="H203" s="239"/>
      <c r="I203" s="239"/>
      <c r="J203" s="239"/>
      <c r="K203" s="239"/>
      <c r="L203" s="241"/>
    </row>
    <row r="204" spans="1:12" ht="18" x14ac:dyDescent="0.35">
      <c r="A204"/>
      <c r="B204" s="243"/>
      <c r="C204" s="186"/>
      <c r="D204" s="186"/>
      <c r="E204" s="186"/>
      <c r="F204" s="186"/>
      <c r="G204" s="239"/>
      <c r="H204" s="239"/>
      <c r="I204" s="239"/>
      <c r="J204" s="239"/>
      <c r="K204" s="239"/>
      <c r="L204" s="241"/>
    </row>
    <row r="205" spans="1:12" ht="18" x14ac:dyDescent="0.35">
      <c r="A205"/>
      <c r="B205" s="243"/>
      <c r="C205" s="186"/>
      <c r="D205" s="186"/>
      <c r="E205" s="186"/>
      <c r="F205" s="186"/>
      <c r="G205" s="239"/>
      <c r="H205" s="239"/>
      <c r="I205" s="239"/>
      <c r="J205" s="239"/>
      <c r="K205" s="239"/>
      <c r="L205" s="241"/>
    </row>
    <row r="206" spans="1:12" ht="18" x14ac:dyDescent="0.35">
      <c r="A206"/>
      <c r="B206" s="243"/>
      <c r="C206" s="186"/>
      <c r="D206" s="186"/>
      <c r="E206" s="186"/>
      <c r="F206" s="186"/>
      <c r="G206" s="239"/>
      <c r="H206" s="239"/>
      <c r="I206" s="239"/>
      <c r="J206" s="239"/>
      <c r="K206" s="239"/>
      <c r="L206" s="241"/>
    </row>
    <row r="207" spans="1:12" ht="18" x14ac:dyDescent="0.35">
      <c r="A207"/>
      <c r="B207" s="243"/>
      <c r="C207" s="186"/>
      <c r="D207" s="186"/>
      <c r="E207" s="186"/>
      <c r="F207" s="186"/>
      <c r="G207" s="239"/>
      <c r="H207" s="239"/>
      <c r="I207" s="239"/>
      <c r="J207" s="239"/>
      <c r="K207" s="239"/>
      <c r="L207" s="241"/>
    </row>
    <row r="208" spans="1:12" ht="18" x14ac:dyDescent="0.35">
      <c r="A208"/>
      <c r="B208" s="243"/>
      <c r="C208" s="186"/>
      <c r="D208" s="186"/>
      <c r="E208" s="186"/>
      <c r="F208" s="186"/>
      <c r="G208" s="239"/>
      <c r="H208" s="239"/>
      <c r="I208" s="239"/>
      <c r="J208" s="239"/>
      <c r="K208" s="239"/>
      <c r="L208" s="241"/>
    </row>
    <row r="209" spans="1:12" ht="18" x14ac:dyDescent="0.35">
      <c r="A209"/>
      <c r="B209" s="243"/>
      <c r="C209" s="186"/>
      <c r="D209" s="186"/>
      <c r="E209" s="186"/>
      <c r="F209" s="186"/>
      <c r="G209" s="239"/>
      <c r="H209" s="239"/>
      <c r="I209" s="239"/>
      <c r="J209" s="239"/>
      <c r="K209" s="239"/>
      <c r="L209" s="241"/>
    </row>
    <row r="210" spans="1:12" ht="18" x14ac:dyDescent="0.35">
      <c r="A210"/>
      <c r="B210" s="243"/>
      <c r="C210" s="186"/>
      <c r="D210" s="186"/>
      <c r="E210" s="186"/>
      <c r="F210" s="186"/>
      <c r="G210" s="239"/>
      <c r="H210" s="239"/>
      <c r="I210" s="239"/>
      <c r="J210" s="239"/>
      <c r="K210" s="239"/>
      <c r="L210" s="241"/>
    </row>
    <row r="211" spans="1:12" ht="18" x14ac:dyDescent="0.35">
      <c r="A211"/>
      <c r="B211" s="251"/>
      <c r="C211" s="252"/>
      <c r="D211" s="252"/>
      <c r="E211" s="252"/>
      <c r="F211" s="252"/>
      <c r="G211" s="239"/>
      <c r="H211" s="239"/>
      <c r="I211" s="239"/>
      <c r="J211" s="239"/>
      <c r="K211" s="239"/>
      <c r="L211" s="253"/>
    </row>
    <row r="212" spans="1:12" ht="18" x14ac:dyDescent="0.35">
      <c r="A212"/>
      <c r="B212" s="244"/>
      <c r="C212" s="239"/>
      <c r="D212" s="239"/>
      <c r="E212" s="239"/>
      <c r="F212" s="239"/>
      <c r="G212" s="239"/>
      <c r="H212" s="239"/>
      <c r="I212" s="239"/>
      <c r="J212" s="239"/>
      <c r="K212" s="239"/>
      <c r="L212" s="241"/>
    </row>
    <row r="213" spans="1:12" ht="18" x14ac:dyDescent="0.35">
      <c r="A213"/>
      <c r="B213" s="251"/>
      <c r="C213" s="252"/>
      <c r="D213" s="252"/>
      <c r="E213" s="252"/>
      <c r="F213" s="252"/>
      <c r="G213" s="239"/>
      <c r="H213" s="239"/>
      <c r="I213" s="239"/>
      <c r="J213" s="239"/>
      <c r="K213" s="239"/>
      <c r="L213" s="253"/>
    </row>
    <row r="214" spans="1:12" ht="18" x14ac:dyDescent="0.35">
      <c r="A214"/>
      <c r="B214" s="244"/>
      <c r="C214" s="239"/>
      <c r="D214" s="239"/>
      <c r="E214" s="239"/>
      <c r="F214" s="239"/>
      <c r="G214" s="239"/>
      <c r="H214" s="239"/>
      <c r="I214" s="239"/>
      <c r="J214" s="239"/>
      <c r="K214" s="239"/>
      <c r="L214" s="241"/>
    </row>
    <row r="215" spans="1:12" ht="18" x14ac:dyDescent="0.35">
      <c r="A215"/>
      <c r="B215" s="244"/>
      <c r="C215" s="239"/>
      <c r="D215" s="239"/>
      <c r="E215" s="239"/>
      <c r="F215" s="239"/>
      <c r="G215" s="239"/>
      <c r="H215" s="239"/>
      <c r="I215" s="239"/>
      <c r="J215" s="239"/>
      <c r="K215" s="239"/>
      <c r="L215" s="241"/>
    </row>
    <row r="216" spans="1:12" ht="18" x14ac:dyDescent="0.35">
      <c r="A216"/>
      <c r="B216" s="244"/>
      <c r="C216" s="239"/>
      <c r="D216" s="239"/>
      <c r="E216" s="239"/>
      <c r="F216" s="239"/>
      <c r="G216" s="239"/>
      <c r="H216" s="239"/>
      <c r="I216" s="239"/>
      <c r="J216" s="239"/>
      <c r="K216" s="239"/>
      <c r="L216" s="241"/>
    </row>
    <row r="217" spans="1:12" ht="18" x14ac:dyDescent="0.35">
      <c r="A217"/>
      <c r="B217" s="244"/>
      <c r="C217" s="239"/>
      <c r="D217" s="239"/>
      <c r="E217" s="239"/>
      <c r="F217" s="239"/>
      <c r="G217" s="239"/>
      <c r="H217" s="239"/>
      <c r="I217" s="239"/>
      <c r="J217" s="239"/>
      <c r="K217" s="239"/>
      <c r="L217" s="241"/>
    </row>
    <row r="218" spans="1:12" ht="18" x14ac:dyDescent="0.35">
      <c r="A218"/>
      <c r="B218" s="244"/>
      <c r="C218" s="239"/>
      <c r="D218" s="239"/>
      <c r="E218" s="239"/>
      <c r="F218" s="239"/>
      <c r="G218" s="239"/>
      <c r="H218" s="239"/>
      <c r="I218" s="239"/>
      <c r="J218" s="239"/>
      <c r="K218" s="239"/>
      <c r="L218" s="241"/>
    </row>
    <row r="219" spans="1:12" ht="18" x14ac:dyDescent="0.35">
      <c r="A219"/>
      <c r="B219" s="244"/>
      <c r="C219" s="239"/>
      <c r="D219" s="239"/>
      <c r="E219" s="239"/>
      <c r="F219" s="239"/>
      <c r="G219" s="239"/>
      <c r="H219" s="239"/>
      <c r="I219" s="239"/>
      <c r="J219" s="239"/>
      <c r="K219" s="239"/>
      <c r="L219" s="241"/>
    </row>
    <row r="220" spans="1:12" ht="18" x14ac:dyDescent="0.35">
      <c r="A220"/>
      <c r="B220" s="244"/>
      <c r="C220" s="239"/>
      <c r="D220" s="239"/>
      <c r="E220" s="239"/>
      <c r="F220" s="239"/>
      <c r="G220" s="239"/>
      <c r="H220" s="239"/>
      <c r="I220" s="239"/>
      <c r="J220" s="239"/>
      <c r="K220" s="239"/>
      <c r="L220" s="241"/>
    </row>
    <row r="221" spans="1:12" ht="18" x14ac:dyDescent="0.35">
      <c r="A221"/>
      <c r="B221" s="244"/>
      <c r="C221" s="239"/>
      <c r="D221" s="239"/>
      <c r="E221" s="239"/>
      <c r="F221" s="239"/>
      <c r="G221" s="239"/>
      <c r="H221" s="239"/>
      <c r="I221" s="239"/>
      <c r="J221" s="239"/>
      <c r="K221" s="239"/>
      <c r="L221" s="241"/>
    </row>
    <row r="222" spans="1:12" ht="18" x14ac:dyDescent="0.35">
      <c r="A222"/>
      <c r="B222" s="244"/>
      <c r="C222" s="239"/>
      <c r="D222" s="239"/>
      <c r="E222" s="239"/>
      <c r="F222" s="239"/>
      <c r="G222" s="239"/>
      <c r="H222" s="239"/>
      <c r="I222" s="239"/>
      <c r="J222" s="239"/>
      <c r="K222" s="239"/>
      <c r="L222" s="241"/>
    </row>
    <row r="223" spans="1:12" ht="18" x14ac:dyDescent="0.35">
      <c r="A223"/>
      <c r="B223" s="244"/>
      <c r="C223" s="239"/>
      <c r="D223" s="239"/>
      <c r="E223" s="239"/>
      <c r="F223" s="239"/>
      <c r="G223" s="239"/>
      <c r="H223" s="239"/>
      <c r="I223" s="239"/>
      <c r="J223" s="239"/>
      <c r="K223" s="239"/>
      <c r="L223" s="241"/>
    </row>
    <row r="224" spans="1:12" ht="18" x14ac:dyDescent="0.35">
      <c r="A224"/>
      <c r="B224" s="244"/>
      <c r="C224" s="239"/>
      <c r="D224" s="239"/>
      <c r="E224" s="239"/>
      <c r="F224" s="239"/>
      <c r="G224" s="239"/>
      <c r="H224" s="239"/>
      <c r="I224" s="239"/>
      <c r="J224" s="239"/>
      <c r="K224" s="239"/>
      <c r="L224" s="241"/>
    </row>
    <row r="225" spans="1:12" ht="18" x14ac:dyDescent="0.35">
      <c r="A225"/>
      <c r="B225" s="244"/>
      <c r="C225" s="239"/>
      <c r="D225" s="239"/>
      <c r="E225" s="239"/>
      <c r="F225" s="239"/>
      <c r="G225" s="239"/>
      <c r="H225" s="239"/>
      <c r="I225" s="239"/>
      <c r="J225" s="239"/>
      <c r="K225" s="239"/>
      <c r="L225" s="241"/>
    </row>
    <row r="226" spans="1:12" ht="18" x14ac:dyDescent="0.35">
      <c r="A226"/>
      <c r="B226" s="244"/>
      <c r="C226" s="239"/>
      <c r="D226" s="239"/>
      <c r="E226" s="239"/>
      <c r="F226" s="239"/>
      <c r="G226" s="239"/>
      <c r="H226" s="239"/>
      <c r="I226" s="239"/>
      <c r="J226" s="239"/>
      <c r="K226" s="239"/>
      <c r="L226" s="241"/>
    </row>
    <row r="227" spans="1:12" ht="18" x14ac:dyDescent="0.35">
      <c r="A227"/>
      <c r="B227" s="244"/>
      <c r="C227" s="239"/>
      <c r="D227" s="239"/>
      <c r="E227" s="239"/>
      <c r="F227" s="239"/>
      <c r="G227" s="239"/>
      <c r="H227" s="239"/>
      <c r="I227" s="239"/>
      <c r="J227" s="239"/>
      <c r="K227" s="239"/>
      <c r="L227" s="241"/>
    </row>
    <row r="228" spans="1:12" ht="18" x14ac:dyDescent="0.35">
      <c r="A228"/>
      <c r="B228" s="244"/>
      <c r="C228" s="239"/>
      <c r="D228" s="239"/>
      <c r="E228" s="239"/>
      <c r="F228" s="239"/>
      <c r="G228" s="239"/>
      <c r="H228" s="239"/>
      <c r="I228" s="239"/>
      <c r="J228" s="239"/>
      <c r="K228" s="239"/>
      <c r="L228" s="241"/>
    </row>
    <row r="229" spans="1:12" ht="18" x14ac:dyDescent="0.35">
      <c r="A229"/>
      <c r="B229" s="244"/>
      <c r="C229" s="239"/>
      <c r="D229" s="239"/>
      <c r="E229" s="239"/>
      <c r="F229" s="239"/>
      <c r="G229" s="239"/>
      <c r="H229" s="239"/>
      <c r="I229" s="239"/>
      <c r="J229" s="239"/>
      <c r="K229" s="239"/>
      <c r="L229" s="241"/>
    </row>
    <row r="230" spans="1:12" ht="18" x14ac:dyDescent="0.35">
      <c r="A230"/>
      <c r="B230" s="244"/>
      <c r="C230" s="239"/>
      <c r="D230" s="239"/>
      <c r="E230" s="239"/>
      <c r="F230" s="239"/>
      <c r="G230" s="239"/>
      <c r="H230" s="239"/>
      <c r="I230" s="239"/>
      <c r="J230" s="239"/>
      <c r="K230" s="239"/>
      <c r="L230" s="241"/>
    </row>
    <row r="231" spans="1:12" ht="18" x14ac:dyDescent="0.35">
      <c r="A231"/>
      <c r="B231" s="244"/>
      <c r="C231" s="239"/>
      <c r="D231" s="239"/>
      <c r="E231" s="239"/>
      <c r="F231" s="239"/>
      <c r="G231" s="239"/>
      <c r="H231" s="239"/>
      <c r="I231" s="239"/>
      <c r="J231" s="239"/>
      <c r="K231" s="239"/>
      <c r="L231" s="241"/>
    </row>
    <row r="232" spans="1:12" ht="18" x14ac:dyDescent="0.35">
      <c r="A232"/>
      <c r="B232" s="244"/>
      <c r="C232" s="239"/>
      <c r="D232" s="239"/>
      <c r="E232" s="239"/>
      <c r="F232" s="239"/>
      <c r="G232" s="239"/>
      <c r="H232" s="239"/>
      <c r="I232" s="239"/>
      <c r="J232" s="239"/>
      <c r="K232" s="239"/>
      <c r="L232" s="241"/>
    </row>
    <row r="233" spans="1:12" ht="18" x14ac:dyDescent="0.35">
      <c r="A233"/>
      <c r="B233" s="244"/>
      <c r="C233" s="239"/>
      <c r="D233" s="239"/>
      <c r="E233" s="239"/>
      <c r="F233" s="239"/>
      <c r="G233" s="239"/>
      <c r="H233" s="239"/>
      <c r="I233" s="239"/>
      <c r="J233" s="239"/>
      <c r="K233" s="239"/>
      <c r="L233" s="241"/>
    </row>
    <row r="234" spans="1:12" ht="18" x14ac:dyDescent="0.35">
      <c r="A234"/>
      <c r="B234" s="244"/>
      <c r="C234" s="239"/>
      <c r="D234" s="239"/>
      <c r="E234" s="239"/>
      <c r="F234" s="239"/>
      <c r="G234" s="239"/>
      <c r="H234" s="239"/>
      <c r="I234" s="239"/>
      <c r="J234" s="239"/>
      <c r="K234" s="239"/>
      <c r="L234" s="241"/>
    </row>
    <row r="235" spans="1:12" ht="18" x14ac:dyDescent="0.35">
      <c r="A235"/>
      <c r="B235" s="244"/>
      <c r="C235" s="239"/>
      <c r="D235" s="239"/>
      <c r="E235" s="239"/>
      <c r="F235" s="239"/>
      <c r="G235" s="239"/>
      <c r="H235" s="239"/>
      <c r="I235" s="239"/>
      <c r="J235" s="239"/>
      <c r="K235" s="239"/>
      <c r="L235" s="241"/>
    </row>
    <row r="236" spans="1:12" ht="18" x14ac:dyDescent="0.35">
      <c r="A236"/>
      <c r="B236" s="244"/>
      <c r="C236" s="239"/>
      <c r="D236" s="239"/>
      <c r="E236" s="239"/>
      <c r="F236" s="239"/>
      <c r="G236" s="239"/>
      <c r="H236" s="239"/>
      <c r="I236" s="239"/>
      <c r="J236" s="239"/>
      <c r="K236" s="239"/>
      <c r="L236" s="241"/>
    </row>
    <row r="237" spans="1:12" ht="18" x14ac:dyDescent="0.35">
      <c r="A237"/>
      <c r="B237" s="244"/>
      <c r="C237" s="239"/>
      <c r="D237" s="239"/>
      <c r="E237" s="239"/>
      <c r="F237" s="239"/>
      <c r="G237" s="239"/>
      <c r="H237" s="239"/>
      <c r="I237" s="239"/>
      <c r="J237" s="239"/>
      <c r="K237" s="239"/>
      <c r="L237" s="241"/>
    </row>
    <row r="238" spans="1:12" ht="18" x14ac:dyDescent="0.35">
      <c r="A238"/>
      <c r="B238" s="244"/>
      <c r="C238" s="239"/>
      <c r="D238" s="239"/>
      <c r="E238" s="239"/>
      <c r="F238" s="239"/>
      <c r="G238" s="239"/>
      <c r="H238" s="239"/>
      <c r="I238" s="239"/>
      <c r="J238" s="239"/>
      <c r="K238" s="239"/>
      <c r="L238" s="241"/>
    </row>
    <row r="239" spans="1:12" ht="18" x14ac:dyDescent="0.35">
      <c r="A239"/>
      <c r="B239" s="244"/>
      <c r="C239" s="239"/>
      <c r="D239" s="239"/>
      <c r="E239" s="239"/>
      <c r="F239" s="239"/>
      <c r="G239" s="239"/>
      <c r="H239" s="239"/>
      <c r="I239" s="239"/>
      <c r="J239" s="239"/>
      <c r="K239" s="239"/>
      <c r="L239" s="241"/>
    </row>
    <row r="240" spans="1:12" ht="18" x14ac:dyDescent="0.35">
      <c r="A240"/>
      <c r="B240" s="244"/>
      <c r="C240" s="239"/>
      <c r="D240" s="239"/>
      <c r="E240" s="239"/>
      <c r="F240" s="239"/>
      <c r="G240" s="239"/>
      <c r="H240" s="239"/>
      <c r="I240" s="239"/>
      <c r="J240" s="239"/>
      <c r="K240" s="239"/>
      <c r="L240" s="241"/>
    </row>
    <row r="241" spans="1:12" ht="18" x14ac:dyDescent="0.35">
      <c r="A241"/>
      <c r="B241" s="244"/>
      <c r="C241" s="239"/>
      <c r="D241" s="239"/>
      <c r="E241" s="239"/>
      <c r="F241" s="239"/>
      <c r="G241" s="239"/>
      <c r="H241" s="239"/>
      <c r="I241" s="239"/>
      <c r="J241" s="239"/>
      <c r="K241" s="239"/>
      <c r="L241" s="241"/>
    </row>
    <row r="242" spans="1:12" ht="18" x14ac:dyDescent="0.35">
      <c r="A242"/>
      <c r="B242" s="244"/>
      <c r="C242" s="239"/>
      <c r="D242" s="239"/>
      <c r="E242" s="239"/>
      <c r="F242" s="239"/>
      <c r="G242" s="239"/>
      <c r="H242" s="239"/>
      <c r="I242" s="239"/>
      <c r="J242" s="239"/>
      <c r="K242" s="239"/>
      <c r="L242" s="241"/>
    </row>
    <row r="243" spans="1:12" ht="18" x14ac:dyDescent="0.35">
      <c r="A243"/>
      <c r="B243" s="244"/>
      <c r="C243" s="239"/>
      <c r="D243" s="239"/>
      <c r="E243" s="239"/>
      <c r="F243" s="239"/>
      <c r="G243" s="239"/>
      <c r="H243" s="239"/>
      <c r="I243" s="239"/>
      <c r="J243" s="239"/>
      <c r="K243" s="239"/>
      <c r="L243" s="241"/>
    </row>
    <row r="244" spans="1:12" ht="18" x14ac:dyDescent="0.35">
      <c r="A244"/>
      <c r="B244" s="244"/>
      <c r="C244" s="239"/>
      <c r="D244" s="239"/>
      <c r="E244" s="239"/>
      <c r="F244" s="239"/>
      <c r="G244" s="239"/>
      <c r="H244" s="239"/>
      <c r="I244" s="239"/>
      <c r="J244" s="239"/>
      <c r="K244" s="239"/>
      <c r="L244" s="241"/>
    </row>
    <row r="245" spans="1:12" ht="18" x14ac:dyDescent="0.35">
      <c r="A245"/>
      <c r="B245" s="244"/>
      <c r="C245" s="239"/>
      <c r="D245" s="239"/>
      <c r="E245" s="239"/>
      <c r="F245" s="239"/>
      <c r="G245" s="239"/>
      <c r="H245" s="239"/>
      <c r="I245" s="239"/>
      <c r="J245" s="239"/>
      <c r="K245" s="239"/>
      <c r="L245" s="241"/>
    </row>
    <row r="246" spans="1:12" ht="18" x14ac:dyDescent="0.35">
      <c r="A246"/>
      <c r="B246" s="244"/>
      <c r="C246" s="239"/>
      <c r="D246" s="239"/>
      <c r="E246" s="239"/>
      <c r="F246" s="239"/>
      <c r="G246" s="239"/>
      <c r="H246" s="239"/>
      <c r="I246" s="239"/>
      <c r="J246" s="239"/>
      <c r="K246" s="239"/>
      <c r="L246" s="241"/>
    </row>
    <row r="247" spans="1:12" ht="18" x14ac:dyDescent="0.35">
      <c r="A247"/>
      <c r="B247" s="244"/>
      <c r="C247" s="239"/>
      <c r="D247" s="239"/>
      <c r="E247" s="239"/>
      <c r="F247" s="239"/>
      <c r="G247" s="239"/>
      <c r="H247" s="239"/>
      <c r="I247" s="239"/>
      <c r="J247" s="239"/>
      <c r="K247" s="239"/>
      <c r="L247" s="241"/>
    </row>
    <row r="248" spans="1:12" ht="18" x14ac:dyDescent="0.35">
      <c r="A248"/>
      <c r="B248" s="244"/>
      <c r="C248" s="239"/>
      <c r="D248" s="239"/>
      <c r="E248" s="239"/>
      <c r="F248" s="239"/>
      <c r="G248" s="239"/>
      <c r="H248" s="239"/>
      <c r="I248" s="239"/>
      <c r="J248" s="239"/>
      <c r="K248" s="239"/>
      <c r="L248" s="241"/>
    </row>
    <row r="249" spans="1:12" ht="18" x14ac:dyDescent="0.35">
      <c r="A249"/>
      <c r="B249" s="244"/>
      <c r="C249" s="239"/>
      <c r="D249" s="239"/>
      <c r="E249" s="239"/>
      <c r="F249" s="239"/>
      <c r="G249" s="239"/>
      <c r="H249" s="239"/>
      <c r="I249" s="239"/>
      <c r="J249" s="239"/>
      <c r="K249" s="239"/>
      <c r="L249" s="241"/>
    </row>
    <row r="250" spans="1:12" ht="18" x14ac:dyDescent="0.35">
      <c r="A250"/>
      <c r="B250" s="244"/>
      <c r="C250" s="239"/>
      <c r="D250" s="239"/>
      <c r="E250" s="239"/>
      <c r="F250" s="239"/>
      <c r="G250" s="239"/>
      <c r="H250" s="239"/>
      <c r="I250" s="239"/>
      <c r="J250" s="239"/>
      <c r="K250" s="239"/>
      <c r="L250" s="241"/>
    </row>
    <row r="251" spans="1:12" ht="18" x14ac:dyDescent="0.35">
      <c r="A251"/>
      <c r="B251" s="244"/>
      <c r="C251" s="239"/>
      <c r="D251" s="239"/>
      <c r="E251" s="239"/>
      <c r="F251" s="239"/>
      <c r="G251" s="239"/>
      <c r="H251" s="239"/>
      <c r="I251" s="239"/>
      <c r="J251" s="239"/>
      <c r="K251" s="239"/>
      <c r="L251" s="241"/>
    </row>
    <row r="252" spans="1:12" ht="18" x14ac:dyDescent="0.35">
      <c r="A252"/>
      <c r="B252" s="244"/>
      <c r="C252" s="239"/>
      <c r="D252" s="239"/>
      <c r="E252" s="239"/>
      <c r="F252" s="239"/>
      <c r="G252" s="239"/>
      <c r="H252" s="239"/>
      <c r="I252" s="239"/>
      <c r="J252" s="239"/>
      <c r="K252" s="239"/>
      <c r="L252" s="241"/>
    </row>
    <row r="253" spans="1:12" ht="18" x14ac:dyDescent="0.35">
      <c r="A253"/>
      <c r="B253" s="244"/>
      <c r="C253" s="239"/>
      <c r="D253" s="239"/>
      <c r="E253" s="239"/>
      <c r="F253" s="239"/>
      <c r="G253" s="239"/>
      <c r="H253" s="239"/>
      <c r="I253" s="239"/>
      <c r="J253" s="239"/>
      <c r="K253" s="239"/>
      <c r="L253" s="241"/>
    </row>
    <row r="254" spans="1:12" ht="18" x14ac:dyDescent="0.35">
      <c r="A254"/>
      <c r="B254" s="244"/>
      <c r="C254" s="239"/>
      <c r="D254" s="239"/>
      <c r="E254" s="239"/>
      <c r="F254" s="239"/>
      <c r="G254" s="239"/>
      <c r="H254" s="239"/>
      <c r="I254" s="239"/>
      <c r="J254" s="239"/>
      <c r="K254" s="239"/>
      <c r="L254" s="241"/>
    </row>
    <row r="255" spans="1:12" ht="18" x14ac:dyDescent="0.35">
      <c r="A255"/>
      <c r="B255" s="244"/>
      <c r="C255" s="239"/>
      <c r="D255" s="239"/>
      <c r="E255" s="239"/>
      <c r="F255" s="239"/>
      <c r="G255" s="239"/>
      <c r="H255" s="239"/>
      <c r="I255" s="239"/>
      <c r="J255" s="239"/>
      <c r="K255" s="239"/>
      <c r="L255" s="241"/>
    </row>
    <row r="256" spans="1:12" ht="18" x14ac:dyDescent="0.35">
      <c r="A256"/>
      <c r="B256" s="244"/>
      <c r="C256" s="239"/>
      <c r="D256" s="239"/>
      <c r="E256" s="239"/>
      <c r="F256" s="239"/>
      <c r="G256" s="239"/>
      <c r="H256" s="239"/>
      <c r="I256" s="239"/>
      <c r="J256" s="239"/>
      <c r="K256" s="239"/>
      <c r="L256" s="241"/>
    </row>
    <row r="257" spans="1:12" ht="18" x14ac:dyDescent="0.35">
      <c r="A257"/>
      <c r="B257" s="244"/>
      <c r="C257" s="239"/>
      <c r="D257" s="239"/>
      <c r="E257" s="239"/>
      <c r="F257" s="239"/>
      <c r="G257" s="239"/>
      <c r="H257" s="239"/>
      <c r="I257" s="239"/>
      <c r="J257" s="239"/>
      <c r="K257" s="239"/>
      <c r="L257" s="241"/>
    </row>
    <row r="258" spans="1:12" ht="18" x14ac:dyDescent="0.35">
      <c r="A258"/>
      <c r="B258" s="244"/>
      <c r="C258" s="239"/>
      <c r="D258" s="239"/>
      <c r="E258" s="239"/>
      <c r="F258" s="239"/>
      <c r="G258" s="239"/>
      <c r="H258" s="239"/>
      <c r="I258" s="239"/>
      <c r="J258" s="239"/>
      <c r="K258" s="239"/>
      <c r="L258" s="241"/>
    </row>
    <row r="259" spans="1:12" ht="18" x14ac:dyDescent="0.35">
      <c r="A259"/>
      <c r="B259" s="244"/>
      <c r="C259" s="239"/>
      <c r="D259" s="239"/>
      <c r="E259" s="239"/>
      <c r="F259" s="239"/>
      <c r="G259" s="239"/>
      <c r="H259" s="239"/>
      <c r="I259" s="239"/>
      <c r="J259" s="239"/>
      <c r="K259" s="239"/>
      <c r="L259" s="241"/>
    </row>
    <row r="260" spans="1:12" ht="18" x14ac:dyDescent="0.35">
      <c r="A260"/>
      <c r="B260" s="244"/>
      <c r="C260" s="239"/>
      <c r="D260" s="239"/>
      <c r="E260" s="239"/>
      <c r="F260" s="239"/>
      <c r="G260" s="239"/>
      <c r="H260" s="239"/>
      <c r="I260" s="239"/>
      <c r="J260" s="239"/>
      <c r="K260" s="239"/>
      <c r="L260" s="241"/>
    </row>
    <row r="261" spans="1:12" ht="18" x14ac:dyDescent="0.35">
      <c r="A261"/>
      <c r="B261" s="244"/>
      <c r="C261" s="239"/>
      <c r="D261" s="239"/>
      <c r="E261" s="239"/>
      <c r="F261" s="239"/>
      <c r="G261" s="239"/>
      <c r="H261" s="239"/>
      <c r="I261" s="239"/>
      <c r="J261" s="239"/>
      <c r="K261" s="239"/>
      <c r="L261" s="241"/>
    </row>
    <row r="262" spans="1:12" ht="18" x14ac:dyDescent="0.35">
      <c r="A262"/>
      <c r="B262" s="244"/>
      <c r="C262" s="239"/>
      <c r="D262" s="239"/>
      <c r="E262" s="239"/>
      <c r="F262" s="239"/>
      <c r="G262" s="239"/>
      <c r="H262" s="239"/>
      <c r="I262" s="239"/>
      <c r="J262" s="239"/>
      <c r="K262" s="239"/>
      <c r="L262" s="241"/>
    </row>
    <row r="263" spans="1:12" ht="18" x14ac:dyDescent="0.35">
      <c r="A263"/>
      <c r="B263" s="244"/>
      <c r="C263" s="239"/>
      <c r="D263" s="239"/>
      <c r="E263" s="239"/>
      <c r="F263" s="239"/>
      <c r="G263" s="239"/>
      <c r="H263" s="239"/>
      <c r="I263" s="239"/>
      <c r="J263" s="239"/>
      <c r="K263" s="239"/>
      <c r="L263" s="241"/>
    </row>
    <row r="264" spans="1:12" ht="18" x14ac:dyDescent="0.35">
      <c r="A264"/>
      <c r="B264" s="244"/>
      <c r="C264" s="239"/>
      <c r="D264" s="239"/>
      <c r="E264" s="239"/>
      <c r="F264" s="239"/>
      <c r="G264" s="239"/>
      <c r="H264" s="239"/>
      <c r="I264" s="239"/>
      <c r="J264" s="239"/>
      <c r="K264" s="239"/>
      <c r="L264" s="241"/>
    </row>
    <row r="265" spans="1:12" ht="18" x14ac:dyDescent="0.35">
      <c r="A265"/>
      <c r="B265" s="244"/>
      <c r="C265" s="239"/>
      <c r="D265" s="239"/>
      <c r="E265" s="239"/>
      <c r="F265" s="239"/>
      <c r="G265" s="239"/>
      <c r="H265" s="239"/>
      <c r="I265" s="239"/>
      <c r="J265" s="239"/>
      <c r="K265" s="239"/>
      <c r="L265" s="241"/>
    </row>
    <row r="266" spans="1:12" ht="18" x14ac:dyDescent="0.35">
      <c r="A266"/>
      <c r="B266" s="244"/>
      <c r="C266" s="239"/>
      <c r="D266" s="239"/>
      <c r="E266" s="239"/>
      <c r="F266" s="239"/>
      <c r="G266" s="239"/>
      <c r="H266" s="239"/>
      <c r="I266" s="239"/>
      <c r="J266" s="239"/>
      <c r="K266" s="239"/>
      <c r="L266" s="241"/>
    </row>
    <row r="267" spans="1:12" ht="18" x14ac:dyDescent="0.35">
      <c r="A267"/>
      <c r="B267" s="244"/>
      <c r="C267" s="239"/>
      <c r="D267" s="239"/>
      <c r="E267" s="239"/>
      <c r="F267" s="239"/>
      <c r="G267" s="239"/>
      <c r="H267" s="239"/>
      <c r="I267" s="239"/>
      <c r="J267" s="239"/>
      <c r="K267" s="239"/>
      <c r="L267" s="241"/>
    </row>
    <row r="268" spans="1:12" ht="18" x14ac:dyDescent="0.35">
      <c r="A268"/>
      <c r="B268" s="244"/>
      <c r="C268" s="239"/>
      <c r="D268" s="239"/>
      <c r="E268" s="239"/>
      <c r="F268" s="239"/>
      <c r="G268" s="239"/>
      <c r="H268" s="239"/>
      <c r="I268" s="239"/>
      <c r="J268" s="239"/>
      <c r="K268" s="239"/>
      <c r="L268" s="241"/>
    </row>
    <row r="269" spans="1:12" ht="18" x14ac:dyDescent="0.35">
      <c r="A269"/>
      <c r="B269" s="244"/>
      <c r="C269" s="239"/>
      <c r="D269" s="239"/>
      <c r="E269" s="239"/>
      <c r="F269" s="239"/>
      <c r="G269" s="239"/>
      <c r="H269" s="239"/>
      <c r="I269" s="239"/>
      <c r="J269" s="239"/>
      <c r="K269" s="239"/>
      <c r="L269" s="241"/>
    </row>
    <row r="270" spans="1:12" ht="18" x14ac:dyDescent="0.35">
      <c r="A270"/>
      <c r="B270" s="244"/>
      <c r="C270" s="239"/>
      <c r="D270" s="239"/>
      <c r="E270" s="239"/>
      <c r="F270" s="239"/>
      <c r="G270" s="239"/>
      <c r="H270" s="239"/>
      <c r="I270" s="239"/>
      <c r="J270" s="239"/>
      <c r="K270" s="239"/>
      <c r="L270" s="241"/>
    </row>
    <row r="271" spans="1:12" ht="18" x14ac:dyDescent="0.35">
      <c r="A271"/>
      <c r="B271" s="244"/>
      <c r="C271" s="239"/>
      <c r="D271" s="239"/>
      <c r="E271" s="239"/>
      <c r="F271" s="239"/>
      <c r="G271" s="239"/>
      <c r="H271" s="239"/>
      <c r="I271" s="239"/>
      <c r="J271" s="239"/>
      <c r="K271" s="239"/>
      <c r="L271" s="241"/>
    </row>
    <row r="272" spans="1:12" ht="18" x14ac:dyDescent="0.35">
      <c r="A272"/>
      <c r="B272" s="244"/>
      <c r="C272" s="239"/>
      <c r="D272" s="239"/>
      <c r="E272" s="239"/>
      <c r="F272" s="239"/>
      <c r="G272" s="239"/>
      <c r="H272" s="239"/>
      <c r="I272" s="239"/>
      <c r="J272" s="239"/>
      <c r="K272" s="239"/>
      <c r="L272" s="241"/>
    </row>
    <row r="273" spans="1:12" ht="18" x14ac:dyDescent="0.35">
      <c r="A273"/>
      <c r="B273" s="244"/>
      <c r="C273" s="239"/>
      <c r="D273" s="239"/>
      <c r="E273" s="239"/>
      <c r="F273" s="239"/>
      <c r="G273" s="239"/>
      <c r="H273" s="239"/>
      <c r="I273" s="239"/>
      <c r="J273" s="239"/>
      <c r="K273" s="239"/>
      <c r="L273" s="241"/>
    </row>
    <row r="274" spans="1:12" ht="18" x14ac:dyDescent="0.35">
      <c r="A274"/>
      <c r="B274" s="244"/>
      <c r="C274" s="239"/>
      <c r="D274" s="239"/>
      <c r="E274" s="239"/>
      <c r="F274" s="239"/>
      <c r="G274" s="239"/>
      <c r="H274" s="239"/>
      <c r="I274" s="239"/>
      <c r="J274" s="239"/>
      <c r="K274" s="239"/>
      <c r="L274" s="241"/>
    </row>
    <row r="275" spans="1:12" ht="18" x14ac:dyDescent="0.35">
      <c r="A275"/>
      <c r="B275" s="244"/>
      <c r="C275" s="239"/>
      <c r="D275" s="239"/>
      <c r="E275" s="239"/>
      <c r="F275" s="239"/>
      <c r="G275" s="239"/>
      <c r="H275" s="239"/>
      <c r="I275" s="239"/>
      <c r="J275" s="239"/>
      <c r="K275" s="239"/>
      <c r="L275" s="241"/>
    </row>
    <row r="276" spans="1:12" ht="18" x14ac:dyDescent="0.35">
      <c r="A276"/>
      <c r="B276" s="244"/>
      <c r="C276" s="239"/>
      <c r="D276" s="239"/>
      <c r="E276" s="239"/>
      <c r="F276" s="239"/>
      <c r="G276" s="239"/>
      <c r="H276" s="239"/>
      <c r="I276" s="239"/>
      <c r="J276" s="239"/>
      <c r="K276" s="239"/>
      <c r="L276" s="241"/>
    </row>
    <row r="277" spans="1:12" ht="18" x14ac:dyDescent="0.35">
      <c r="A277"/>
      <c r="B277" s="244"/>
      <c r="C277" s="239"/>
      <c r="D277" s="239"/>
      <c r="E277" s="239"/>
      <c r="F277" s="239"/>
      <c r="G277" s="239"/>
      <c r="H277" s="239"/>
      <c r="I277" s="239"/>
      <c r="J277" s="239"/>
      <c r="K277" s="239"/>
      <c r="L277" s="241"/>
    </row>
    <row r="278" spans="1:12" ht="18" x14ac:dyDescent="0.35">
      <c r="A278"/>
      <c r="B278" s="244"/>
      <c r="C278" s="239"/>
      <c r="D278" s="239"/>
      <c r="E278" s="239"/>
      <c r="F278" s="239"/>
      <c r="G278" s="239"/>
      <c r="H278" s="239"/>
      <c r="I278" s="239"/>
      <c r="J278" s="239"/>
      <c r="K278" s="239"/>
      <c r="L278" s="241"/>
    </row>
    <row r="279" spans="1:12" ht="18" x14ac:dyDescent="0.35">
      <c r="A279"/>
      <c r="B279" s="244"/>
      <c r="C279" s="239"/>
      <c r="D279" s="239"/>
      <c r="E279" s="239"/>
      <c r="F279" s="239"/>
      <c r="G279" s="239"/>
      <c r="H279" s="239"/>
      <c r="I279" s="239"/>
      <c r="J279" s="239"/>
      <c r="K279" s="239"/>
      <c r="L279" s="241"/>
    </row>
    <row r="280" spans="1:12" ht="18" x14ac:dyDescent="0.35">
      <c r="A280"/>
      <c r="B280" s="244"/>
      <c r="C280" s="239"/>
      <c r="D280" s="239"/>
      <c r="E280" s="239"/>
      <c r="F280" s="239"/>
      <c r="G280" s="239"/>
      <c r="H280" s="239"/>
      <c r="I280" s="239"/>
      <c r="J280" s="239"/>
      <c r="K280" s="239"/>
      <c r="L280" s="241"/>
    </row>
    <row r="281" spans="1:12" ht="18" x14ac:dyDescent="0.35">
      <c r="A281"/>
      <c r="B281" s="244"/>
      <c r="C281" s="239"/>
      <c r="D281" s="239"/>
      <c r="E281" s="239"/>
      <c r="F281" s="239"/>
      <c r="G281" s="239"/>
      <c r="H281" s="239"/>
      <c r="I281" s="239"/>
      <c r="J281" s="239"/>
      <c r="K281" s="239"/>
      <c r="L281" s="241"/>
    </row>
    <row r="282" spans="1:12" ht="18" x14ac:dyDescent="0.35">
      <c r="A282"/>
      <c r="B282" s="244"/>
      <c r="C282" s="239"/>
      <c r="D282" s="239"/>
      <c r="E282" s="239"/>
      <c r="F282" s="239"/>
      <c r="G282" s="239"/>
      <c r="H282" s="239"/>
      <c r="I282" s="239"/>
      <c r="J282" s="239"/>
      <c r="K282" s="239"/>
      <c r="L282" s="241"/>
    </row>
    <row r="283" spans="1:12" ht="18" x14ac:dyDescent="0.35">
      <c r="A283"/>
      <c r="B283" s="244"/>
      <c r="C283" s="239"/>
      <c r="D283" s="239"/>
      <c r="E283" s="239"/>
      <c r="F283" s="239"/>
      <c r="G283" s="239"/>
      <c r="H283" s="239"/>
      <c r="I283" s="239"/>
      <c r="J283" s="239"/>
      <c r="K283" s="239"/>
      <c r="L283" s="241"/>
    </row>
    <row r="284" spans="1:12" ht="18" x14ac:dyDescent="0.35">
      <c r="A284"/>
      <c r="B284" s="244"/>
      <c r="C284" s="239"/>
      <c r="D284" s="239"/>
      <c r="E284" s="239"/>
      <c r="F284" s="239"/>
      <c r="G284" s="239"/>
      <c r="H284" s="239"/>
      <c r="I284" s="239"/>
      <c r="J284" s="239"/>
      <c r="K284" s="239"/>
      <c r="L284" s="241"/>
    </row>
    <row r="285" spans="1:12" ht="18" x14ac:dyDescent="0.35">
      <c r="A285"/>
      <c r="B285" s="244"/>
      <c r="C285" s="239"/>
      <c r="D285" s="239"/>
      <c r="E285" s="239"/>
      <c r="F285" s="239"/>
      <c r="G285" s="239"/>
      <c r="H285" s="239"/>
      <c r="I285" s="239"/>
      <c r="J285" s="239"/>
      <c r="K285" s="239"/>
      <c r="L285" s="241"/>
    </row>
    <row r="286" spans="1:12" ht="18" x14ac:dyDescent="0.35">
      <c r="A286"/>
      <c r="B286" s="244"/>
      <c r="C286" s="239"/>
      <c r="D286" s="239"/>
      <c r="E286" s="239"/>
      <c r="F286" s="239"/>
      <c r="G286" s="239"/>
      <c r="H286" s="239"/>
      <c r="I286" s="239"/>
      <c r="J286" s="239"/>
      <c r="K286" s="239"/>
      <c r="L286" s="241"/>
    </row>
    <row r="287" spans="1:12" ht="18" x14ac:dyDescent="0.35">
      <c r="A287"/>
      <c r="B287" s="244"/>
      <c r="C287" s="239"/>
      <c r="D287" s="239"/>
      <c r="E287" s="239"/>
      <c r="F287" s="239"/>
      <c r="G287" s="239"/>
      <c r="H287" s="239"/>
      <c r="I287" s="239"/>
      <c r="J287" s="239"/>
      <c r="K287" s="239"/>
      <c r="L287" s="241"/>
    </row>
    <row r="288" spans="1:12" ht="18" x14ac:dyDescent="0.35">
      <c r="A288"/>
      <c r="B288" s="244"/>
      <c r="C288" s="239"/>
      <c r="D288" s="239"/>
      <c r="E288" s="239"/>
      <c r="F288" s="239"/>
      <c r="G288" s="239"/>
      <c r="H288" s="239"/>
      <c r="I288" s="239"/>
      <c r="J288" s="239"/>
      <c r="K288" s="239"/>
      <c r="L288" s="241"/>
    </row>
    <row r="289" spans="1:12" ht="18" x14ac:dyDescent="0.35">
      <c r="A289"/>
      <c r="B289" s="244"/>
      <c r="C289" s="239"/>
      <c r="D289" s="239"/>
      <c r="E289" s="239"/>
      <c r="F289" s="239"/>
      <c r="G289" s="239"/>
      <c r="H289" s="239"/>
      <c r="I289" s="239"/>
      <c r="J289" s="239"/>
      <c r="K289" s="239"/>
      <c r="L289" s="241"/>
    </row>
    <row r="290" spans="1:12" ht="18" x14ac:dyDescent="0.35">
      <c r="A290"/>
      <c r="B290" s="244"/>
      <c r="C290" s="239"/>
      <c r="D290" s="239"/>
      <c r="E290" s="239"/>
      <c r="F290" s="239"/>
      <c r="G290" s="239"/>
      <c r="H290" s="239"/>
      <c r="I290" s="239"/>
      <c r="J290" s="239"/>
      <c r="K290" s="239"/>
      <c r="L290" s="241"/>
    </row>
    <row r="291" spans="1:12" ht="18" x14ac:dyDescent="0.35">
      <c r="A291"/>
      <c r="B291" s="244"/>
      <c r="C291" s="239"/>
      <c r="D291" s="239"/>
      <c r="E291" s="239"/>
      <c r="F291" s="239"/>
      <c r="G291" s="239"/>
      <c r="H291" s="239"/>
      <c r="I291" s="239"/>
      <c r="J291" s="239"/>
      <c r="K291" s="239"/>
      <c r="L291" s="241"/>
    </row>
    <row r="292" spans="1:12" ht="18" x14ac:dyDescent="0.35">
      <c r="A292"/>
      <c r="B292" s="244"/>
      <c r="C292" s="239"/>
      <c r="D292" s="239"/>
      <c r="E292" s="239"/>
      <c r="F292" s="239"/>
      <c r="G292" s="239"/>
      <c r="H292" s="239"/>
      <c r="I292" s="239"/>
      <c r="J292" s="239"/>
      <c r="K292" s="239"/>
      <c r="L292" s="241"/>
    </row>
    <row r="293" spans="1:12" ht="18" x14ac:dyDescent="0.35">
      <c r="A293"/>
      <c r="B293" s="244"/>
      <c r="C293" s="239"/>
      <c r="D293" s="239"/>
      <c r="E293" s="239"/>
      <c r="F293" s="239"/>
      <c r="G293" s="239"/>
      <c r="H293" s="239"/>
      <c r="I293" s="239"/>
      <c r="J293" s="239"/>
      <c r="K293" s="239"/>
      <c r="L293" s="241"/>
    </row>
    <row r="294" spans="1:12" ht="18" x14ac:dyDescent="0.35">
      <c r="A294"/>
      <c r="B294" s="244"/>
      <c r="C294" s="239"/>
      <c r="D294" s="239"/>
      <c r="E294" s="239"/>
      <c r="F294" s="239"/>
      <c r="G294" s="239"/>
      <c r="H294" s="239"/>
      <c r="I294" s="239"/>
      <c r="J294" s="239"/>
      <c r="K294" s="239"/>
      <c r="L294" s="241"/>
    </row>
    <row r="295" spans="1:12" ht="18" x14ac:dyDescent="0.35">
      <c r="A295"/>
      <c r="B295" s="244"/>
      <c r="C295" s="239"/>
      <c r="D295" s="239"/>
      <c r="E295" s="239"/>
      <c r="F295" s="239"/>
      <c r="G295" s="239"/>
      <c r="H295" s="239"/>
      <c r="I295" s="239"/>
      <c r="J295" s="239"/>
      <c r="K295" s="239"/>
      <c r="L295" s="241"/>
    </row>
    <row r="296" spans="1:12" ht="18" x14ac:dyDescent="0.35">
      <c r="A296"/>
      <c r="B296" s="244"/>
      <c r="C296" s="239"/>
      <c r="D296" s="239"/>
      <c r="E296" s="239"/>
      <c r="F296" s="239"/>
      <c r="G296" s="239"/>
      <c r="H296" s="239"/>
      <c r="I296" s="239"/>
      <c r="J296" s="239"/>
      <c r="K296" s="239"/>
      <c r="L296" s="241"/>
    </row>
    <row r="297" spans="1:12" ht="18" x14ac:dyDescent="0.35">
      <c r="A297"/>
      <c r="B297" s="244"/>
      <c r="C297" s="239"/>
      <c r="D297" s="239"/>
      <c r="E297" s="239"/>
      <c r="F297" s="239"/>
      <c r="G297" s="239"/>
      <c r="H297" s="239"/>
      <c r="I297" s="239"/>
      <c r="J297" s="239"/>
      <c r="K297" s="239"/>
      <c r="L297" s="241"/>
    </row>
    <row r="298" spans="1:12" ht="18" x14ac:dyDescent="0.35">
      <c r="A298"/>
      <c r="B298" s="244"/>
      <c r="C298" s="239"/>
      <c r="D298" s="239"/>
      <c r="E298" s="239"/>
      <c r="F298" s="239"/>
      <c r="G298" s="239"/>
      <c r="H298" s="239"/>
      <c r="I298" s="239"/>
      <c r="J298" s="239"/>
      <c r="K298" s="239"/>
      <c r="L298" s="241"/>
    </row>
    <row r="299" spans="1:12" ht="18" x14ac:dyDescent="0.35">
      <c r="A299"/>
      <c r="B299" s="244"/>
      <c r="C299" s="239"/>
      <c r="D299" s="239"/>
      <c r="E299" s="239"/>
      <c r="F299" s="239"/>
      <c r="G299" s="239"/>
      <c r="H299" s="239"/>
      <c r="I299" s="239"/>
      <c r="J299" s="239"/>
      <c r="K299" s="239"/>
      <c r="L299" s="241"/>
    </row>
    <row r="300" spans="1:12" ht="18" x14ac:dyDescent="0.35">
      <c r="A300"/>
      <c r="B300" s="244"/>
      <c r="C300" s="239"/>
      <c r="D300" s="239"/>
      <c r="E300" s="239"/>
      <c r="F300" s="239"/>
      <c r="G300" s="239"/>
      <c r="H300" s="239"/>
      <c r="I300" s="239"/>
      <c r="J300" s="239"/>
      <c r="K300" s="239"/>
      <c r="L300" s="241"/>
    </row>
    <row r="301" spans="1:12" ht="18" x14ac:dyDescent="0.35">
      <c r="A301"/>
      <c r="B301" s="244"/>
      <c r="C301" s="239"/>
      <c r="D301" s="239"/>
      <c r="E301" s="239"/>
      <c r="F301" s="239"/>
      <c r="G301" s="239"/>
      <c r="H301" s="239"/>
      <c r="I301" s="239"/>
      <c r="J301" s="239"/>
      <c r="K301" s="239"/>
      <c r="L301" s="241"/>
    </row>
    <row r="302" spans="1:12" ht="18" x14ac:dyDescent="0.35">
      <c r="A302"/>
      <c r="B302" s="244"/>
      <c r="C302" s="239"/>
      <c r="D302" s="239"/>
      <c r="E302" s="239"/>
      <c r="F302" s="239"/>
      <c r="G302" s="239"/>
      <c r="H302" s="239"/>
      <c r="I302" s="239"/>
      <c r="J302" s="239"/>
      <c r="K302" s="239"/>
      <c r="L302" s="241"/>
    </row>
    <row r="303" spans="1:12" ht="18" x14ac:dyDescent="0.35">
      <c r="A303"/>
      <c r="B303" s="244"/>
      <c r="C303" s="239"/>
      <c r="D303" s="239"/>
      <c r="E303" s="239"/>
      <c r="F303" s="239"/>
      <c r="G303" s="239"/>
      <c r="H303" s="239"/>
      <c r="I303" s="239"/>
      <c r="J303" s="239"/>
      <c r="K303" s="239"/>
      <c r="L303" s="241"/>
    </row>
    <row r="304" spans="1:12" ht="18" x14ac:dyDescent="0.35">
      <c r="A304"/>
      <c r="B304" s="244"/>
      <c r="C304" s="239"/>
      <c r="D304" s="239"/>
      <c r="E304" s="239"/>
      <c r="F304" s="239"/>
      <c r="G304" s="239"/>
      <c r="H304" s="239"/>
      <c r="I304" s="239"/>
      <c r="J304" s="239"/>
      <c r="K304" s="239"/>
      <c r="L304" s="241"/>
    </row>
    <row r="305" spans="1:12" ht="18" x14ac:dyDescent="0.35">
      <c r="A305"/>
      <c r="B305" s="244"/>
      <c r="C305" s="239"/>
      <c r="D305" s="239"/>
      <c r="E305" s="239"/>
      <c r="F305" s="239"/>
      <c r="G305" s="239"/>
      <c r="H305" s="239"/>
      <c r="I305" s="239"/>
      <c r="J305" s="239"/>
      <c r="K305" s="239"/>
      <c r="L305" s="241"/>
    </row>
    <row r="306" spans="1:12" ht="18" x14ac:dyDescent="0.35">
      <c r="A306"/>
      <c r="B306" s="244"/>
      <c r="C306" s="239"/>
      <c r="D306" s="239"/>
      <c r="E306" s="239"/>
      <c r="F306" s="239"/>
      <c r="G306" s="239"/>
      <c r="H306" s="239"/>
      <c r="I306" s="239"/>
      <c r="J306" s="239"/>
      <c r="K306" s="239"/>
      <c r="L306" s="241"/>
    </row>
    <row r="307" spans="1:12" ht="18" x14ac:dyDescent="0.35">
      <c r="A307"/>
      <c r="B307" s="244"/>
      <c r="C307" s="239"/>
      <c r="D307" s="239"/>
      <c r="E307" s="239"/>
      <c r="F307" s="239"/>
      <c r="G307" s="239"/>
      <c r="H307" s="239"/>
      <c r="I307" s="239"/>
      <c r="J307" s="239"/>
      <c r="K307" s="239"/>
      <c r="L307" s="241"/>
    </row>
    <row r="308" spans="1:12" ht="18" x14ac:dyDescent="0.35">
      <c r="A308"/>
      <c r="B308" s="244"/>
      <c r="C308" s="239"/>
      <c r="D308" s="239"/>
      <c r="E308" s="239"/>
      <c r="F308" s="239"/>
      <c r="G308" s="239"/>
      <c r="H308" s="239"/>
      <c r="I308" s="239"/>
      <c r="J308" s="239"/>
      <c r="K308" s="239"/>
      <c r="L308" s="241"/>
    </row>
    <row r="309" spans="1:12" ht="18" x14ac:dyDescent="0.35">
      <c r="A309"/>
      <c r="B309" s="244"/>
      <c r="C309" s="239"/>
      <c r="D309" s="239"/>
      <c r="E309" s="239"/>
      <c r="F309" s="239"/>
      <c r="G309" s="239"/>
      <c r="H309" s="239"/>
      <c r="I309" s="239"/>
      <c r="J309" s="239"/>
      <c r="K309" s="239"/>
      <c r="L309" s="241"/>
    </row>
    <row r="310" spans="1:12" ht="18" x14ac:dyDescent="0.35">
      <c r="A310"/>
      <c r="B310" s="244"/>
      <c r="C310" s="239"/>
      <c r="D310" s="239"/>
      <c r="E310" s="239"/>
      <c r="F310" s="239"/>
      <c r="G310" s="239"/>
      <c r="H310" s="239"/>
      <c r="I310" s="239"/>
      <c r="J310" s="239"/>
      <c r="K310" s="239"/>
      <c r="L310" s="241"/>
    </row>
    <row r="311" spans="1:12" ht="18" x14ac:dyDescent="0.35">
      <c r="A311"/>
      <c r="B311" s="244"/>
      <c r="C311" s="239"/>
      <c r="D311" s="239"/>
      <c r="E311" s="239"/>
      <c r="F311" s="239"/>
      <c r="G311" s="239"/>
      <c r="H311" s="239"/>
      <c r="I311" s="239"/>
      <c r="J311" s="239"/>
      <c r="K311" s="239"/>
      <c r="L311" s="241"/>
    </row>
    <row r="312" spans="1:12" ht="18" x14ac:dyDescent="0.35">
      <c r="A312"/>
      <c r="B312" s="244"/>
      <c r="C312" s="239"/>
      <c r="D312" s="239"/>
      <c r="E312" s="239"/>
      <c r="F312" s="239"/>
      <c r="G312" s="239"/>
      <c r="H312" s="239"/>
      <c r="I312" s="239"/>
      <c r="J312" s="239"/>
      <c r="K312" s="239"/>
      <c r="L312" s="241"/>
    </row>
    <row r="313" spans="1:12" ht="18" x14ac:dyDescent="0.35">
      <c r="A313"/>
      <c r="B313" s="244"/>
      <c r="C313" s="239"/>
      <c r="D313" s="239"/>
      <c r="E313" s="239"/>
      <c r="F313" s="239"/>
      <c r="G313" s="239"/>
      <c r="H313" s="239"/>
      <c r="I313" s="239"/>
      <c r="J313" s="239"/>
      <c r="K313" s="239"/>
      <c r="L313" s="241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</sheetData>
  <mergeCells count="22">
    <mergeCell ref="AA8:AB8"/>
    <mergeCell ref="A35:B35"/>
    <mergeCell ref="Y8:Z8"/>
    <mergeCell ref="A13:B13"/>
    <mergeCell ref="A36:B36"/>
    <mergeCell ref="M8:N8"/>
    <mergeCell ref="O8:P8"/>
    <mergeCell ref="Q8:R8"/>
    <mergeCell ref="S8:T8"/>
    <mergeCell ref="U8:V8"/>
    <mergeCell ref="W8:X8"/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A6:J6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topLeftCell="A16" zoomScale="120" zoomScaleNormal="120" workbookViewId="0">
      <selection activeCell="E31" activeCellId="2" sqref="E10 E26 E31"/>
    </sheetView>
  </sheetViews>
  <sheetFormatPr baseColWidth="10" defaultColWidth="11.44140625" defaultRowHeight="14.4" x14ac:dyDescent="0.3"/>
  <cols>
    <col min="1" max="1" width="20.88671875" customWidth="1"/>
    <col min="2" max="2" width="26.88671875" style="131" customWidth="1"/>
    <col min="3" max="3" width="12.33203125" customWidth="1"/>
    <col min="4" max="4" width="23" customWidth="1"/>
    <col min="5" max="5" width="16.44140625" customWidth="1"/>
    <col min="6" max="6" width="17.33203125" bestFit="1" customWidth="1"/>
    <col min="7" max="7" width="13.88671875" style="170" bestFit="1" customWidth="1"/>
    <col min="8" max="8" width="12" style="170" bestFit="1" customWidth="1"/>
  </cols>
  <sheetData>
    <row r="1" spans="1:6" ht="23.4" x14ac:dyDescent="0.45">
      <c r="A1" s="657" t="s">
        <v>671</v>
      </c>
      <c r="B1" s="657"/>
      <c r="C1" s="657"/>
      <c r="D1" s="657"/>
      <c r="E1" s="657"/>
    </row>
    <row r="2" spans="1:6" ht="18" x14ac:dyDescent="0.35">
      <c r="A2" s="627" t="s">
        <v>637</v>
      </c>
      <c r="B2" s="627"/>
      <c r="C2" s="627"/>
      <c r="D2" s="627"/>
      <c r="E2" s="627"/>
    </row>
    <row r="3" spans="1:6" ht="15" thickBot="1" x14ac:dyDescent="0.35">
      <c r="A3" s="660" t="s">
        <v>819</v>
      </c>
      <c r="B3" s="660"/>
      <c r="C3" s="660"/>
      <c r="D3" s="660"/>
      <c r="E3" s="660"/>
    </row>
    <row r="4" spans="1:6" ht="15" thickBot="1" x14ac:dyDescent="0.35">
      <c r="A4" s="661" t="s">
        <v>672</v>
      </c>
      <c r="B4" s="662"/>
      <c r="C4" s="662"/>
      <c r="D4" s="662"/>
      <c r="E4" s="663"/>
    </row>
    <row r="5" spans="1:6" ht="15" thickBot="1" x14ac:dyDescent="0.35">
      <c r="A5" s="658" t="s">
        <v>673</v>
      </c>
      <c r="B5" s="626"/>
      <c r="C5" s="626"/>
      <c r="D5" s="626"/>
      <c r="E5" s="659"/>
    </row>
    <row r="6" spans="1:6" ht="43.8" thickBot="1" x14ac:dyDescent="0.35">
      <c r="A6" s="319" t="s">
        <v>562</v>
      </c>
      <c r="B6" s="207" t="s">
        <v>563</v>
      </c>
      <c r="C6" s="328" t="s">
        <v>627</v>
      </c>
      <c r="D6" s="208" t="s">
        <v>564</v>
      </c>
      <c r="E6" s="209" t="s">
        <v>565</v>
      </c>
    </row>
    <row r="7" spans="1:6" ht="29.4" thickBot="1" x14ac:dyDescent="0.35">
      <c r="A7" s="653" t="s">
        <v>674</v>
      </c>
      <c r="B7" s="366" t="s">
        <v>646</v>
      </c>
      <c r="C7" s="329">
        <v>45658</v>
      </c>
      <c r="D7" s="330"/>
      <c r="E7" s="331">
        <f>79621891.83+4931430</f>
        <v>84553321.829999998</v>
      </c>
      <c r="F7" s="457"/>
    </row>
    <row r="8" spans="1:6" ht="29.4" thickBot="1" x14ac:dyDescent="0.35">
      <c r="A8" s="654"/>
      <c r="B8" s="366" t="s">
        <v>647</v>
      </c>
      <c r="C8" s="329">
        <v>45659</v>
      </c>
      <c r="D8" s="332"/>
      <c r="E8" s="333">
        <f>3169632.08+12593841.17</f>
        <v>15763473.25</v>
      </c>
    </row>
    <row r="9" spans="1:6" x14ac:dyDescent="0.3">
      <c r="A9" s="654"/>
      <c r="B9" s="359" t="s">
        <v>675</v>
      </c>
      <c r="C9" s="329">
        <v>45660</v>
      </c>
      <c r="D9" s="334"/>
      <c r="E9" s="333"/>
    </row>
    <row r="10" spans="1:6" ht="15" thickBot="1" x14ac:dyDescent="0.35">
      <c r="A10" s="655"/>
      <c r="B10" s="360" t="s">
        <v>628</v>
      </c>
      <c r="C10" s="335"/>
      <c r="D10" s="336"/>
      <c r="E10" s="367">
        <f>(E7+E8)</f>
        <v>100316795.08</v>
      </c>
    </row>
    <row r="11" spans="1:6" x14ac:dyDescent="0.3">
      <c r="A11" s="656" t="s">
        <v>676</v>
      </c>
      <c r="B11" s="361" t="s">
        <v>926</v>
      </c>
      <c r="C11" s="369">
        <v>45659</v>
      </c>
      <c r="D11" s="337"/>
      <c r="E11" s="338">
        <v>4783111.5</v>
      </c>
    </row>
    <row r="12" spans="1:6" x14ac:dyDescent="0.3">
      <c r="A12" s="656"/>
      <c r="B12" s="361" t="s">
        <v>926</v>
      </c>
      <c r="C12" s="369">
        <v>45666</v>
      </c>
      <c r="D12" s="337"/>
      <c r="E12" s="339">
        <v>50000</v>
      </c>
    </row>
    <row r="13" spans="1:6" x14ac:dyDescent="0.3">
      <c r="A13" s="646"/>
      <c r="B13" s="358" t="s">
        <v>930</v>
      </c>
      <c r="C13" s="370">
        <v>45674</v>
      </c>
      <c r="D13" s="332"/>
      <c r="E13" s="340">
        <v>156983.54999999999</v>
      </c>
    </row>
    <row r="14" spans="1:6" x14ac:dyDescent="0.3">
      <c r="A14" s="647"/>
      <c r="B14" s="361" t="s">
        <v>927</v>
      </c>
      <c r="C14" s="371">
        <v>45677</v>
      </c>
      <c r="D14" s="332"/>
      <c r="E14" s="340">
        <v>143189.49</v>
      </c>
    </row>
    <row r="15" spans="1:6" x14ac:dyDescent="0.3">
      <c r="A15" s="647"/>
      <c r="B15" s="361" t="s">
        <v>927</v>
      </c>
      <c r="C15" s="371">
        <v>45677</v>
      </c>
      <c r="D15" s="334"/>
      <c r="E15" s="341">
        <v>55488.800000000003</v>
      </c>
    </row>
    <row r="16" spans="1:6" x14ac:dyDescent="0.3">
      <c r="A16" s="647"/>
      <c r="B16" s="361" t="s">
        <v>927</v>
      </c>
      <c r="C16" s="371">
        <v>45677</v>
      </c>
      <c r="D16" s="334"/>
      <c r="E16" s="341">
        <v>8230.16</v>
      </c>
    </row>
    <row r="17" spans="1:8" x14ac:dyDescent="0.3">
      <c r="A17" s="647"/>
      <c r="B17" s="359" t="s">
        <v>931</v>
      </c>
      <c r="C17" s="371">
        <v>45677</v>
      </c>
      <c r="D17" s="334"/>
      <c r="E17" s="341">
        <v>15993.02</v>
      </c>
    </row>
    <row r="18" spans="1:8" x14ac:dyDescent="0.3">
      <c r="A18" s="647"/>
      <c r="B18" s="359" t="s">
        <v>932</v>
      </c>
      <c r="C18" s="371">
        <v>45680</v>
      </c>
      <c r="D18" s="334"/>
      <c r="E18" s="341">
        <v>6475.14</v>
      </c>
    </row>
    <row r="19" spans="1:8" x14ac:dyDescent="0.3">
      <c r="A19" s="647"/>
      <c r="B19" s="359" t="s">
        <v>933</v>
      </c>
      <c r="C19" s="371">
        <v>45680</v>
      </c>
      <c r="D19" s="334"/>
      <c r="E19" s="341">
        <v>71992.2</v>
      </c>
    </row>
    <row r="20" spans="1:8" x14ac:dyDescent="0.3">
      <c r="A20" s="647"/>
      <c r="B20" s="359" t="s">
        <v>928</v>
      </c>
      <c r="C20" s="371">
        <v>45681</v>
      </c>
      <c r="D20" s="334"/>
      <c r="E20" s="341">
        <v>273646.7</v>
      </c>
    </row>
    <row r="21" spans="1:8" x14ac:dyDescent="0.3">
      <c r="A21" s="647"/>
      <c r="B21" s="361" t="s">
        <v>929</v>
      </c>
      <c r="C21" s="371">
        <v>45686</v>
      </c>
      <c r="D21" s="334"/>
      <c r="E21" s="341">
        <v>234503.89</v>
      </c>
    </row>
    <row r="22" spans="1:8" x14ac:dyDescent="0.3">
      <c r="A22" s="647"/>
      <c r="B22" s="358" t="s">
        <v>934</v>
      </c>
      <c r="C22" s="371">
        <v>45687</v>
      </c>
      <c r="D22" s="334"/>
      <c r="E22" s="341">
        <v>48081.02</v>
      </c>
    </row>
    <row r="23" spans="1:8" ht="15" thickBot="1" x14ac:dyDescent="0.35">
      <c r="A23" s="647"/>
      <c r="B23" s="359" t="s">
        <v>935</v>
      </c>
      <c r="C23" s="371">
        <v>45688</v>
      </c>
      <c r="D23" s="334"/>
      <c r="E23" s="341">
        <v>55135.74</v>
      </c>
    </row>
    <row r="24" spans="1:8" ht="15" thickBot="1" x14ac:dyDescent="0.35">
      <c r="A24" s="647"/>
      <c r="B24" s="366"/>
      <c r="C24" s="329"/>
      <c r="D24" s="330"/>
      <c r="E24" s="543"/>
    </row>
    <row r="25" spans="1:8" x14ac:dyDescent="0.3">
      <c r="A25" s="647"/>
      <c r="B25" s="366"/>
      <c r="C25" s="329"/>
      <c r="D25" s="332"/>
      <c r="E25" s="544"/>
    </row>
    <row r="26" spans="1:8" ht="15" thickBot="1" x14ac:dyDescent="0.35">
      <c r="A26" s="648"/>
      <c r="B26" s="360" t="s">
        <v>628</v>
      </c>
      <c r="C26" s="342"/>
      <c r="D26" s="343"/>
      <c r="E26" s="344">
        <f>SUM(E11:E25)</f>
        <v>5902831.209999999</v>
      </c>
      <c r="F26" s="457"/>
      <c r="H26"/>
    </row>
    <row r="27" spans="1:8" ht="57.6" x14ac:dyDescent="0.3">
      <c r="A27" s="645" t="s">
        <v>677</v>
      </c>
      <c r="B27" s="364" t="s">
        <v>680</v>
      </c>
      <c r="C27" s="345"/>
      <c r="D27" s="346"/>
      <c r="E27" s="333">
        <v>129650</v>
      </c>
      <c r="H27"/>
    </row>
    <row r="28" spans="1:8" ht="28.8" x14ac:dyDescent="0.3">
      <c r="A28" s="646"/>
      <c r="B28" s="364" t="s">
        <v>679</v>
      </c>
      <c r="C28" s="347"/>
      <c r="D28" s="348"/>
      <c r="E28" s="333"/>
      <c r="H28"/>
    </row>
    <row r="29" spans="1:8" x14ac:dyDescent="0.3">
      <c r="A29" s="646"/>
      <c r="B29" s="364"/>
      <c r="C29" s="347"/>
      <c r="D29" s="348"/>
      <c r="E29" s="333"/>
      <c r="H29"/>
    </row>
    <row r="30" spans="1:8" x14ac:dyDescent="0.3">
      <c r="A30" s="647"/>
      <c r="B30" s="365" t="s">
        <v>795</v>
      </c>
      <c r="C30" s="349"/>
      <c r="D30" s="350"/>
      <c r="E30" s="333">
        <v>0</v>
      </c>
      <c r="G30" s="187"/>
      <c r="H30"/>
    </row>
    <row r="31" spans="1:8" ht="15" thickBot="1" x14ac:dyDescent="0.35">
      <c r="A31" s="647"/>
      <c r="B31" s="362" t="s">
        <v>628</v>
      </c>
      <c r="C31" s="351"/>
      <c r="D31" s="352"/>
      <c r="E31" s="353">
        <f>SUM(E27:E30)</f>
        <v>129650</v>
      </c>
      <c r="F31" s="187"/>
      <c r="G31" s="187"/>
      <c r="H31"/>
    </row>
    <row r="32" spans="1:8" ht="16.2" thickBot="1" x14ac:dyDescent="0.35">
      <c r="A32" s="648"/>
      <c r="B32" s="363" t="s">
        <v>348</v>
      </c>
      <c r="C32" s="354"/>
      <c r="D32" s="355"/>
      <c r="E32" s="356">
        <f>E26+E31+E10</f>
        <v>106349276.28999999</v>
      </c>
      <c r="G32" s="187"/>
      <c r="H32"/>
    </row>
    <row r="33" spans="1:8" x14ac:dyDescent="0.3">
      <c r="A33" s="210"/>
      <c r="C33" s="357"/>
      <c r="D33" s="211"/>
      <c r="E33" s="212"/>
      <c r="G33"/>
      <c r="H33"/>
    </row>
    <row r="34" spans="1:8" x14ac:dyDescent="0.3">
      <c r="A34" s="649" t="s">
        <v>959</v>
      </c>
      <c r="B34" s="649"/>
      <c r="C34" s="649"/>
      <c r="D34" s="649"/>
      <c r="E34" s="649"/>
      <c r="G34"/>
      <c r="H34"/>
    </row>
    <row r="35" spans="1:8" x14ac:dyDescent="0.3">
      <c r="A35" s="649"/>
      <c r="B35" s="649"/>
      <c r="C35" s="649"/>
      <c r="D35" s="649"/>
      <c r="E35" s="649"/>
      <c r="G35"/>
      <c r="H35"/>
    </row>
    <row r="36" spans="1:8" x14ac:dyDescent="0.3">
      <c r="A36" s="650"/>
      <c r="B36" s="650"/>
      <c r="C36" s="650"/>
      <c r="D36" s="650"/>
      <c r="E36" s="650"/>
      <c r="G36"/>
      <c r="H36"/>
    </row>
    <row r="37" spans="1:8" x14ac:dyDescent="0.3">
      <c r="C37" s="211"/>
      <c r="D37" s="211"/>
      <c r="E37" s="211"/>
      <c r="G37"/>
      <c r="H37"/>
    </row>
    <row r="38" spans="1:8" x14ac:dyDescent="0.3">
      <c r="C38" s="211"/>
      <c r="D38" s="211"/>
      <c r="E38" s="211"/>
      <c r="G38"/>
      <c r="H38"/>
    </row>
    <row r="39" spans="1:8" x14ac:dyDescent="0.3">
      <c r="A39" s="192"/>
      <c r="B39" s="213"/>
      <c r="C39" s="211"/>
      <c r="D39" s="214"/>
      <c r="E39" s="214"/>
      <c r="G39"/>
      <c r="H39"/>
    </row>
    <row r="40" spans="1:8" x14ac:dyDescent="0.3">
      <c r="A40" s="651" t="s">
        <v>629</v>
      </c>
      <c r="B40" s="651"/>
      <c r="C40" s="211"/>
      <c r="D40" s="652" t="s">
        <v>630</v>
      </c>
      <c r="E40" s="652"/>
      <c r="G40"/>
      <c r="H40"/>
    </row>
    <row r="41" spans="1:8" x14ac:dyDescent="0.3">
      <c r="C41" s="211"/>
      <c r="D41" s="211"/>
      <c r="E41" s="211"/>
      <c r="G41"/>
      <c r="H41"/>
    </row>
    <row r="42" spans="1:8" x14ac:dyDescent="0.3">
      <c r="C42" s="211"/>
      <c r="D42" s="211"/>
      <c r="E42" s="211"/>
      <c r="G42"/>
      <c r="H42"/>
    </row>
    <row r="43" spans="1:8" ht="15.6" x14ac:dyDescent="0.3">
      <c r="A43" s="133" t="s">
        <v>678</v>
      </c>
      <c r="B43" s="215"/>
      <c r="C43" s="216"/>
      <c r="D43" s="216"/>
      <c r="E43" s="216"/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G46"/>
      <c r="H46"/>
    </row>
  </sheetData>
  <mergeCells count="12">
    <mergeCell ref="A7:A10"/>
    <mergeCell ref="A11:A26"/>
    <mergeCell ref="A1:E1"/>
    <mergeCell ref="A2:E2"/>
    <mergeCell ref="A5:E5"/>
    <mergeCell ref="A3:E3"/>
    <mergeCell ref="A4:E4"/>
    <mergeCell ref="A27:A32"/>
    <mergeCell ref="A34:E35"/>
    <mergeCell ref="A36:E36"/>
    <mergeCell ref="A40:B40"/>
    <mergeCell ref="D40:E40"/>
  </mergeCells>
  <pageMargins left="0.70866141732283472" right="0.31496062992125984" top="0.74803149606299213" bottom="0" header="0.31496062992125984" footer="0.31496062992125984"/>
  <pageSetup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workbookViewId="0">
      <selection activeCell="D7" sqref="D7"/>
    </sheetView>
  </sheetViews>
  <sheetFormatPr baseColWidth="10" defaultColWidth="11.44140625" defaultRowHeight="13.8" x14ac:dyDescent="0.25"/>
  <cols>
    <col min="1" max="1" width="44.6640625" style="191" customWidth="1"/>
    <col min="2" max="2" width="19.33203125" style="191" bestFit="1" customWidth="1"/>
    <col min="3" max="3" width="17.88671875" style="191" bestFit="1" customWidth="1"/>
    <col min="4" max="4" width="19.33203125" style="191" bestFit="1" customWidth="1"/>
    <col min="5" max="5" width="13.5546875" style="191" customWidth="1"/>
    <col min="6" max="6" width="15.33203125" style="191" customWidth="1"/>
    <col min="7" max="7" width="11.44140625" style="191"/>
    <col min="8" max="8" width="14.88671875" style="191" customWidth="1"/>
    <col min="9" max="16384" width="11.44140625" style="191"/>
  </cols>
  <sheetData>
    <row r="1" spans="1:7" ht="22.8" x14ac:dyDescent="0.4">
      <c r="A1" s="666" t="s">
        <v>636</v>
      </c>
      <c r="B1" s="666"/>
      <c r="C1" s="666"/>
    </row>
    <row r="2" spans="1:7" ht="22.5" customHeight="1" x14ac:dyDescent="0.35">
      <c r="A2" s="664" t="s">
        <v>615</v>
      </c>
      <c r="B2" s="664"/>
      <c r="C2" s="664"/>
      <c r="D2" s="664"/>
      <c r="E2" s="664"/>
    </row>
    <row r="3" spans="1:7" ht="22.5" customHeight="1" x14ac:dyDescent="0.4">
      <c r="A3" s="665" t="s">
        <v>637</v>
      </c>
      <c r="B3" s="665"/>
      <c r="C3" s="665"/>
      <c r="D3" s="665"/>
      <c r="E3" s="665"/>
    </row>
    <row r="4" spans="1:7" ht="22.5" customHeight="1" x14ac:dyDescent="0.4">
      <c r="A4" s="642" t="s">
        <v>638</v>
      </c>
      <c r="B4" s="642"/>
      <c r="C4" s="642"/>
      <c r="D4" s="642"/>
      <c r="E4" s="642"/>
    </row>
    <row r="5" spans="1:7" ht="17.399999999999999" x14ac:dyDescent="0.25">
      <c r="A5" s="263" t="s">
        <v>608</v>
      </c>
      <c r="B5" s="263" t="s">
        <v>609</v>
      </c>
      <c r="C5" s="263" t="s">
        <v>589</v>
      </c>
      <c r="D5" s="263" t="s">
        <v>610</v>
      </c>
      <c r="E5" s="263" t="s">
        <v>72</v>
      </c>
    </row>
    <row r="6" spans="1:7" s="268" customFormat="1" ht="15.6" x14ac:dyDescent="0.3">
      <c r="A6" s="264" t="s">
        <v>639</v>
      </c>
      <c r="B6" s="190">
        <v>6672189.8700000001</v>
      </c>
      <c r="C6" s="265">
        <v>5902831.209999999</v>
      </c>
      <c r="D6" s="266">
        <v>102835</v>
      </c>
      <c r="E6" s="267">
        <f>+D6/B6</f>
        <v>1.5412481059985182E-2</v>
      </c>
    </row>
    <row r="7" spans="1:7" s="268" customFormat="1" ht="15.6" x14ac:dyDescent="0.25">
      <c r="A7" s="264" t="s">
        <v>577</v>
      </c>
      <c r="B7" s="266"/>
      <c r="C7" s="265"/>
      <c r="D7" s="266"/>
      <c r="E7" s="267" t="e">
        <f t="shared" ref="E7:E12" si="0">+D7/B7</f>
        <v>#DIV/0!</v>
      </c>
    </row>
    <row r="8" spans="1:7" s="268" customFormat="1" ht="15.6" x14ac:dyDescent="0.25">
      <c r="A8" s="264" t="s">
        <v>578</v>
      </c>
      <c r="B8" s="266"/>
      <c r="C8" s="265"/>
      <c r="D8" s="266"/>
      <c r="E8" s="267" t="e">
        <f t="shared" si="0"/>
        <v>#DIV/0!</v>
      </c>
    </row>
    <row r="9" spans="1:7" s="268" customFormat="1" ht="15.6" x14ac:dyDescent="0.3">
      <c r="A9" s="269" t="s">
        <v>579</v>
      </c>
      <c r="B9" s="266"/>
      <c r="C9" s="266"/>
      <c r="D9" s="266"/>
      <c r="E9" s="267" t="e">
        <f t="shared" si="0"/>
        <v>#DIV/0!</v>
      </c>
    </row>
    <row r="10" spans="1:7" ht="15.6" x14ac:dyDescent="0.3">
      <c r="A10" s="269" t="s">
        <v>580</v>
      </c>
      <c r="B10" s="270"/>
      <c r="C10" s="270"/>
      <c r="D10" s="266"/>
      <c r="E10" s="267" t="e">
        <f t="shared" si="0"/>
        <v>#DIV/0!</v>
      </c>
    </row>
    <row r="11" spans="1:7" ht="15.6" x14ac:dyDescent="0.3">
      <c r="A11" s="269" t="s">
        <v>581</v>
      </c>
      <c r="B11" s="270"/>
      <c r="C11" s="270"/>
      <c r="D11" s="266"/>
      <c r="E11" s="267" t="e">
        <f t="shared" si="0"/>
        <v>#DIV/0!</v>
      </c>
      <c r="F11" s="271"/>
    </row>
    <row r="12" spans="1:7" ht="15.6" x14ac:dyDescent="0.3">
      <c r="A12" s="269" t="s">
        <v>582</v>
      </c>
      <c r="B12" s="270"/>
      <c r="C12" s="270"/>
      <c r="D12" s="266"/>
      <c r="E12" s="267" t="e">
        <f t="shared" si="0"/>
        <v>#DIV/0!</v>
      </c>
      <c r="F12" s="271"/>
      <c r="G12" s="320"/>
    </row>
    <row r="13" spans="1:7" ht="15.6" x14ac:dyDescent="0.3">
      <c r="A13" s="269" t="s">
        <v>583</v>
      </c>
      <c r="B13" s="270"/>
      <c r="C13" s="270"/>
      <c r="D13" s="266"/>
      <c r="E13" s="267">
        <v>0</v>
      </c>
      <c r="F13" s="272"/>
    </row>
    <row r="14" spans="1:7" ht="15.6" x14ac:dyDescent="0.3">
      <c r="A14" s="269" t="s">
        <v>584</v>
      </c>
      <c r="B14" s="270"/>
      <c r="C14" s="270"/>
      <c r="D14" s="266"/>
      <c r="E14" s="267">
        <v>0</v>
      </c>
      <c r="F14" s="271"/>
    </row>
    <row r="15" spans="1:7" ht="15.6" x14ac:dyDescent="0.3">
      <c r="A15" s="269" t="s">
        <v>585</v>
      </c>
      <c r="B15" s="270"/>
      <c r="C15" s="270"/>
      <c r="D15" s="266"/>
      <c r="E15" s="267">
        <v>0</v>
      </c>
      <c r="F15" s="271"/>
    </row>
    <row r="16" spans="1:7" ht="15.6" x14ac:dyDescent="0.3">
      <c r="A16" s="269" t="s">
        <v>586</v>
      </c>
      <c r="B16" s="270"/>
      <c r="C16" s="270"/>
      <c r="D16" s="266"/>
      <c r="E16" s="267">
        <v>0</v>
      </c>
      <c r="F16" s="271"/>
    </row>
    <row r="17" spans="1:6" ht="15.6" x14ac:dyDescent="0.3">
      <c r="A17" s="269" t="s">
        <v>587</v>
      </c>
      <c r="B17" s="270"/>
      <c r="C17" s="270"/>
      <c r="D17" s="266"/>
      <c r="E17" s="267">
        <v>0</v>
      </c>
      <c r="F17" s="271"/>
    </row>
    <row r="18" spans="1:6" ht="17.399999999999999" x14ac:dyDescent="0.3">
      <c r="A18" s="273" t="s">
        <v>348</v>
      </c>
      <c r="B18" s="274">
        <f>SUM(B6:B17)</f>
        <v>6672189.8700000001</v>
      </c>
      <c r="C18" s="274">
        <f>SUM(C6:C17)</f>
        <v>5902831.209999999</v>
      </c>
      <c r="D18" s="274">
        <f>SUM(D6:D17)</f>
        <v>102835</v>
      </c>
      <c r="E18" s="275">
        <f>+D18/B18</f>
        <v>1.5412481059985182E-2</v>
      </c>
    </row>
    <row r="19" spans="1:6" ht="15.6" x14ac:dyDescent="0.3">
      <c r="A19" s="276"/>
      <c r="B19" s="277"/>
      <c r="C19" s="277"/>
      <c r="D19" s="277"/>
    </row>
    <row r="20" spans="1:6" ht="15.6" x14ac:dyDescent="0.3">
      <c r="A20" s="185" t="s">
        <v>606</v>
      </c>
      <c r="B20" s="277"/>
      <c r="C20" s="277"/>
      <c r="D20" s="277"/>
    </row>
    <row r="21" spans="1:6" ht="15.6" x14ac:dyDescent="0.3">
      <c r="A21" s="188" t="s">
        <v>607</v>
      </c>
      <c r="B21" s="277"/>
      <c r="C21" s="277"/>
      <c r="D21" s="277"/>
    </row>
    <row r="22" spans="1:6" ht="15.6" x14ac:dyDescent="0.3">
      <c r="A22" s="276"/>
      <c r="B22" s="277"/>
      <c r="C22" s="277"/>
      <c r="D22" s="277"/>
    </row>
  </sheetData>
  <mergeCells count="4">
    <mergeCell ref="A2:E2"/>
    <mergeCell ref="A3:E3"/>
    <mergeCell ref="A1:C1"/>
    <mergeCell ref="A4:E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65"/>
  <sheetViews>
    <sheetView topLeftCell="A35" workbookViewId="0">
      <selection activeCell="A35" sqref="A1:XFD1048576"/>
    </sheetView>
  </sheetViews>
  <sheetFormatPr baseColWidth="10" defaultColWidth="11.44140625" defaultRowHeight="14.4" x14ac:dyDescent="0.3"/>
  <cols>
    <col min="1" max="1" width="23.44140625" style="130" customWidth="1"/>
    <col min="2" max="2" width="18.6640625" bestFit="1" customWidth="1"/>
    <col min="3" max="3" width="15.44140625" style="130" bestFit="1" customWidth="1"/>
    <col min="4" max="4" width="16.6640625" bestFit="1" customWidth="1"/>
    <col min="5" max="5" width="16.5546875" style="477" bestFit="1" customWidth="1"/>
    <col min="6" max="6" width="18.88671875" bestFit="1" customWidth="1"/>
    <col min="7" max="7" width="18.33203125" style="170" bestFit="1" customWidth="1"/>
    <col min="8" max="8" width="17.44140625" bestFit="1" customWidth="1"/>
    <col min="9" max="9" width="21.5546875" bestFit="1" customWidth="1"/>
    <col min="10" max="10" width="19.88671875" bestFit="1" customWidth="1"/>
    <col min="11" max="11" width="17.6640625" bestFit="1" customWidth="1"/>
    <col min="12" max="12" width="20.109375" bestFit="1" customWidth="1"/>
    <col min="14" max="14" width="13.109375" bestFit="1" customWidth="1"/>
  </cols>
  <sheetData>
    <row r="2" spans="1:12" x14ac:dyDescent="0.3">
      <c r="H2" t="s">
        <v>1220</v>
      </c>
    </row>
    <row r="4" spans="1:12" ht="23.4" x14ac:dyDescent="0.45">
      <c r="A4" s="657" t="s">
        <v>611</v>
      </c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</row>
    <row r="5" spans="1:12" ht="18" x14ac:dyDescent="0.35">
      <c r="A5" s="627" t="s">
        <v>1270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</row>
    <row r="6" spans="1:12" ht="15" thickBot="1" x14ac:dyDescent="0.35">
      <c r="D6" s="478"/>
      <c r="E6" s="479"/>
      <c r="F6" s="480"/>
      <c r="G6" s="481"/>
    </row>
    <row r="7" spans="1:12" ht="15" thickBot="1" x14ac:dyDescent="0.35">
      <c r="A7" s="668" t="s">
        <v>1221</v>
      </c>
      <c r="B7" s="669"/>
      <c r="C7" s="669"/>
      <c r="D7" s="669"/>
      <c r="E7" s="669"/>
      <c r="F7" s="669"/>
      <c r="G7" s="669"/>
      <c r="H7" s="669"/>
      <c r="I7" s="669"/>
      <c r="J7" s="669"/>
      <c r="K7" s="669"/>
      <c r="L7" s="669"/>
    </row>
    <row r="8" spans="1:12" ht="15" thickBot="1" x14ac:dyDescent="0.35">
      <c r="A8" s="482"/>
      <c r="B8" s="483"/>
      <c r="C8" s="484"/>
      <c r="D8" s="483"/>
      <c r="E8" s="485"/>
      <c r="F8" s="483"/>
      <c r="G8" s="486"/>
      <c r="H8" s="483"/>
      <c r="I8" s="483"/>
      <c r="J8" s="483" t="s">
        <v>1222</v>
      </c>
      <c r="K8" s="486">
        <v>2710241.0900000008</v>
      </c>
      <c r="L8" s="487"/>
    </row>
    <row r="9" spans="1:12" ht="28.8" x14ac:dyDescent="0.3">
      <c r="A9" s="488" t="s">
        <v>563</v>
      </c>
      <c r="B9" s="489" t="s">
        <v>1223</v>
      </c>
      <c r="C9" s="490" t="s">
        <v>1224</v>
      </c>
      <c r="D9" s="489" t="s">
        <v>1225</v>
      </c>
      <c r="E9" s="491" t="s">
        <v>1226</v>
      </c>
      <c r="F9" s="489" t="s">
        <v>1227</v>
      </c>
      <c r="G9" s="492" t="s">
        <v>72</v>
      </c>
      <c r="H9" s="489" t="s">
        <v>1228</v>
      </c>
      <c r="I9" s="493" t="s">
        <v>1229</v>
      </c>
      <c r="J9" s="493" t="s">
        <v>1230</v>
      </c>
      <c r="K9" s="494" t="s">
        <v>1231</v>
      </c>
    </row>
    <row r="10" spans="1:12" x14ac:dyDescent="0.3">
      <c r="A10" s="495" t="s">
        <v>1232</v>
      </c>
      <c r="B10" s="496">
        <v>45657</v>
      </c>
      <c r="C10" s="497"/>
      <c r="D10" s="125">
        <v>4014536.9</v>
      </c>
      <c r="E10" s="498">
        <v>4014536.9</v>
      </c>
      <c r="F10" s="295">
        <v>85535</v>
      </c>
      <c r="G10" s="527">
        <f>+F10/E10</f>
        <v>2.1306318046298192E-2</v>
      </c>
      <c r="H10" s="515">
        <v>3929001.9</v>
      </c>
      <c r="I10" s="528"/>
      <c r="J10" s="498"/>
      <c r="K10" s="529">
        <f>+K8+H10-J10</f>
        <v>6639242.9900000002</v>
      </c>
    </row>
    <row r="11" spans="1:12" x14ac:dyDescent="0.3">
      <c r="A11" s="495" t="s">
        <v>1232</v>
      </c>
      <c r="B11" s="496"/>
      <c r="C11" s="497"/>
      <c r="D11" s="498"/>
      <c r="E11" s="498"/>
      <c r="F11" s="295"/>
      <c r="G11" s="527"/>
      <c r="H11" s="515"/>
      <c r="I11" s="530" t="s">
        <v>1252</v>
      </c>
      <c r="J11" s="529">
        <v>4783111.5</v>
      </c>
      <c r="K11" s="529">
        <f>+K10+H11-J11</f>
        <v>1856131.4900000002</v>
      </c>
    </row>
    <row r="12" spans="1:12" ht="15" customHeight="1" thickBot="1" x14ac:dyDescent="0.35">
      <c r="A12" s="495" t="s">
        <v>1232</v>
      </c>
      <c r="B12" s="496"/>
      <c r="C12" s="497"/>
      <c r="D12" s="1"/>
      <c r="E12" s="498"/>
      <c r="F12" s="295"/>
      <c r="G12" s="527"/>
      <c r="H12" s="515"/>
      <c r="I12" s="530" t="s">
        <v>1253</v>
      </c>
      <c r="J12" s="498">
        <v>50000</v>
      </c>
      <c r="K12" s="529">
        <f t="shared" ref="K12" si="0">+K11+H12-J12</f>
        <v>1806131.4900000002</v>
      </c>
    </row>
    <row r="13" spans="1:12" ht="15" thickBot="1" x14ac:dyDescent="0.35">
      <c r="A13" s="500" t="s">
        <v>1233</v>
      </c>
      <c r="B13" s="524"/>
      <c r="C13" s="525"/>
      <c r="D13" s="526">
        <f>SUM(D10:D11)</f>
        <v>4014536.9</v>
      </c>
      <c r="E13" s="526">
        <f t="shared" ref="E13:J13" si="1">SUM(E10:E11)</f>
        <v>4014536.9</v>
      </c>
      <c r="F13" s="526">
        <f t="shared" si="1"/>
        <v>85535</v>
      </c>
      <c r="G13" s="526"/>
      <c r="H13" s="526">
        <f t="shared" si="1"/>
        <v>3929001.9</v>
      </c>
      <c r="I13" s="526">
        <f t="shared" si="1"/>
        <v>0</v>
      </c>
      <c r="J13" s="526">
        <f t="shared" si="1"/>
        <v>4783111.5</v>
      </c>
      <c r="K13" s="526">
        <f>+K12</f>
        <v>1806131.4900000002</v>
      </c>
    </row>
    <row r="14" spans="1:12" x14ac:dyDescent="0.3">
      <c r="A14" s="501"/>
      <c r="D14" s="278"/>
      <c r="E14" s="502"/>
      <c r="F14" s="278"/>
      <c r="G14" s="503"/>
      <c r="H14" s="278"/>
      <c r="I14" s="278"/>
      <c r="J14" s="278"/>
      <c r="K14" s="278"/>
      <c r="L14" s="278"/>
    </row>
    <row r="15" spans="1:12" x14ac:dyDescent="0.3">
      <c r="A15" s="501"/>
      <c r="D15" s="278"/>
      <c r="E15" s="502"/>
      <c r="F15" s="278"/>
      <c r="G15" s="503"/>
      <c r="H15" s="278"/>
      <c r="I15" s="278"/>
      <c r="J15" s="278"/>
      <c r="K15" s="278"/>
      <c r="L15" s="278"/>
    </row>
    <row r="16" spans="1:12" x14ac:dyDescent="0.3">
      <c r="A16" s="670" t="s">
        <v>1234</v>
      </c>
      <c r="B16" s="671"/>
      <c r="C16" s="671"/>
      <c r="D16" s="671"/>
      <c r="E16" s="671"/>
      <c r="F16" s="671"/>
      <c r="G16" s="671"/>
      <c r="H16" s="671"/>
      <c r="I16" s="671"/>
      <c r="J16" s="671"/>
    </row>
    <row r="17" spans="1:11" x14ac:dyDescent="0.3">
      <c r="A17" s="504"/>
      <c r="B17" s="132"/>
      <c r="C17" s="504"/>
      <c r="D17" s="132"/>
      <c r="E17" s="505"/>
      <c r="F17" s="132"/>
      <c r="G17" s="672"/>
      <c r="H17" s="672"/>
      <c r="I17" s="132" t="s">
        <v>1235</v>
      </c>
      <c r="J17" s="503">
        <v>15638557.548999995</v>
      </c>
    </row>
    <row r="18" spans="1:11" ht="43.2" x14ac:dyDescent="0.3">
      <c r="A18" s="506" t="s">
        <v>563</v>
      </c>
      <c r="B18" s="507" t="s">
        <v>1236</v>
      </c>
      <c r="C18" s="145" t="s">
        <v>1237</v>
      </c>
      <c r="D18" s="508" t="s">
        <v>1238</v>
      </c>
      <c r="E18" s="509" t="s">
        <v>1239</v>
      </c>
      <c r="F18" s="508" t="s">
        <v>1229</v>
      </c>
      <c r="G18" s="510" t="s">
        <v>1227</v>
      </c>
      <c r="H18" s="508" t="s">
        <v>1240</v>
      </c>
      <c r="I18" s="508" t="s">
        <v>1241</v>
      </c>
      <c r="J18" s="511" t="s">
        <v>1231</v>
      </c>
    </row>
    <row r="19" spans="1:11" ht="15" customHeight="1" x14ac:dyDescent="0.3">
      <c r="A19" s="513" t="s">
        <v>1242</v>
      </c>
      <c r="B19" s="200">
        <v>45667</v>
      </c>
      <c r="C19" s="513" t="s">
        <v>1254</v>
      </c>
      <c r="D19" s="1"/>
      <c r="E19" s="120">
        <v>44770.98</v>
      </c>
      <c r="F19" s="1"/>
      <c r="G19" s="514"/>
      <c r="H19" s="516"/>
      <c r="I19" s="1"/>
      <c r="J19" s="515">
        <f>+J17+E19-H19</f>
        <v>15683328.528999995</v>
      </c>
    </row>
    <row r="20" spans="1:11" x14ac:dyDescent="0.3">
      <c r="A20" s="513" t="s">
        <v>1247</v>
      </c>
      <c r="B20" s="200">
        <v>45667</v>
      </c>
      <c r="C20" s="513" t="s">
        <v>1255</v>
      </c>
      <c r="D20" s="1"/>
      <c r="E20" s="120">
        <v>259154.57</v>
      </c>
      <c r="F20" s="1"/>
      <c r="G20" s="514"/>
      <c r="H20" s="516"/>
      <c r="I20" s="1"/>
      <c r="J20" s="515">
        <f>+J19+E20-G20-H20</f>
        <v>15942483.098999996</v>
      </c>
    </row>
    <row r="21" spans="1:11" x14ac:dyDescent="0.3">
      <c r="A21" s="513" t="s">
        <v>1243</v>
      </c>
      <c r="B21" s="200">
        <v>45667</v>
      </c>
      <c r="C21" s="513" t="s">
        <v>1256</v>
      </c>
      <c r="D21" s="1"/>
      <c r="E21" s="120">
        <v>39434.400000000001</v>
      </c>
      <c r="F21" s="1"/>
      <c r="G21" s="514"/>
      <c r="H21" s="516"/>
      <c r="I21" s="1"/>
      <c r="J21" s="515">
        <f t="shared" ref="J21:J45" si="2">+J20+E21-G21-H21</f>
        <v>15981917.498999996</v>
      </c>
    </row>
    <row r="22" spans="1:11" x14ac:dyDescent="0.3">
      <c r="A22" s="513" t="s">
        <v>1244</v>
      </c>
      <c r="B22" s="200">
        <v>45667</v>
      </c>
      <c r="C22" s="513" t="s">
        <v>1257</v>
      </c>
      <c r="D22" s="1"/>
      <c r="E22" s="120">
        <v>16378.75</v>
      </c>
      <c r="F22" s="1"/>
      <c r="G22" s="514"/>
      <c r="H22" s="516"/>
      <c r="I22" s="1"/>
      <c r="J22" s="515">
        <f t="shared" si="2"/>
        <v>15998296.248999996</v>
      </c>
    </row>
    <row r="23" spans="1:11" x14ac:dyDescent="0.3">
      <c r="A23" s="513" t="s">
        <v>1245</v>
      </c>
      <c r="B23" s="200">
        <v>45667</v>
      </c>
      <c r="C23" s="513" t="s">
        <v>1258</v>
      </c>
      <c r="D23" s="1"/>
      <c r="E23" s="120">
        <v>155901.42000000001</v>
      </c>
      <c r="F23" s="1"/>
      <c r="G23" s="514"/>
      <c r="H23" s="516"/>
      <c r="I23" s="1"/>
      <c r="J23" s="515">
        <f t="shared" si="2"/>
        <v>16154197.668999996</v>
      </c>
    </row>
    <row r="24" spans="1:11" x14ac:dyDescent="0.3">
      <c r="A24" s="513" t="s">
        <v>595</v>
      </c>
      <c r="B24" s="200">
        <v>45667</v>
      </c>
      <c r="C24" s="513" t="s">
        <v>1259</v>
      </c>
      <c r="D24" s="1"/>
      <c r="E24" s="120">
        <v>275352.44</v>
      </c>
      <c r="F24" s="1"/>
      <c r="G24" s="514"/>
      <c r="H24" s="516"/>
      <c r="I24" s="1"/>
      <c r="J24" s="515">
        <f t="shared" si="2"/>
        <v>16429550.108999996</v>
      </c>
    </row>
    <row r="25" spans="1:11" x14ac:dyDescent="0.3">
      <c r="A25" s="513" t="s">
        <v>570</v>
      </c>
      <c r="B25" s="200">
        <v>45667</v>
      </c>
      <c r="C25" s="512" t="s">
        <v>1260</v>
      </c>
      <c r="D25" s="1"/>
      <c r="E25" s="125">
        <v>7848.94</v>
      </c>
      <c r="F25" s="1"/>
      <c r="G25" s="514"/>
      <c r="H25" s="514"/>
      <c r="I25" s="1"/>
      <c r="J25" s="515">
        <f t="shared" si="2"/>
        <v>16437399.048999995</v>
      </c>
    </row>
    <row r="26" spans="1:11" x14ac:dyDescent="0.3">
      <c r="A26" s="513" t="s">
        <v>600</v>
      </c>
      <c r="B26" s="200">
        <v>45667</v>
      </c>
      <c r="C26" s="512" t="s">
        <v>1261</v>
      </c>
      <c r="D26" s="1"/>
      <c r="E26" s="125">
        <v>4869.5200000000004</v>
      </c>
      <c r="F26" s="1"/>
      <c r="G26" s="514"/>
      <c r="H26" s="514"/>
      <c r="I26" s="1"/>
      <c r="J26" s="515">
        <f t="shared" si="2"/>
        <v>16442268.568999995</v>
      </c>
    </row>
    <row r="27" spans="1:11" x14ac:dyDescent="0.3">
      <c r="A27" s="513" t="s">
        <v>1246</v>
      </c>
      <c r="B27" s="200">
        <v>45667</v>
      </c>
      <c r="C27" s="512" t="s">
        <v>1262</v>
      </c>
      <c r="D27" s="1"/>
      <c r="E27" s="125">
        <v>269639.73</v>
      </c>
      <c r="F27" s="1"/>
      <c r="G27" s="514">
        <v>2300</v>
      </c>
      <c r="H27" s="514"/>
      <c r="I27" s="1"/>
      <c r="J27" s="515">
        <f t="shared" si="2"/>
        <v>16709608.298999995</v>
      </c>
    </row>
    <row r="28" spans="1:11" x14ac:dyDescent="0.3">
      <c r="A28" s="513" t="s">
        <v>572</v>
      </c>
      <c r="B28" s="200">
        <v>45667</v>
      </c>
      <c r="C28" s="512" t="s">
        <v>1263</v>
      </c>
      <c r="D28" s="1"/>
      <c r="E28" s="125">
        <v>75131.09</v>
      </c>
      <c r="F28" s="1"/>
      <c r="G28" s="514"/>
      <c r="H28" s="514"/>
      <c r="I28" s="1"/>
      <c r="J28" s="515">
        <f t="shared" si="2"/>
        <v>16784739.388999995</v>
      </c>
      <c r="K28" s="187"/>
    </row>
    <row r="29" spans="1:11" x14ac:dyDescent="0.3">
      <c r="A29" s="513" t="s">
        <v>1248</v>
      </c>
      <c r="B29" s="200">
        <v>45667</v>
      </c>
      <c r="C29" s="512" t="s">
        <v>1264</v>
      </c>
      <c r="D29" s="1"/>
      <c r="E29" s="125">
        <v>48081.02</v>
      </c>
      <c r="F29" s="1"/>
      <c r="G29" s="514"/>
      <c r="H29" s="514"/>
      <c r="I29" s="1"/>
      <c r="J29" s="515">
        <f t="shared" si="2"/>
        <v>16832820.408999994</v>
      </c>
    </row>
    <row r="30" spans="1:11" x14ac:dyDescent="0.3">
      <c r="A30" s="513" t="s">
        <v>601</v>
      </c>
      <c r="B30" s="200">
        <v>45667</v>
      </c>
      <c r="C30" s="512" t="s">
        <v>1265</v>
      </c>
      <c r="D30" s="1"/>
      <c r="E30" s="125">
        <v>273646.7</v>
      </c>
      <c r="F30" s="1"/>
      <c r="G30" s="514"/>
      <c r="H30" s="514"/>
      <c r="I30" s="1"/>
      <c r="J30" s="515">
        <f t="shared" si="2"/>
        <v>17106467.108999994</v>
      </c>
    </row>
    <row r="31" spans="1:11" x14ac:dyDescent="0.3">
      <c r="A31" s="513" t="s">
        <v>599</v>
      </c>
      <c r="B31" s="200">
        <v>45667</v>
      </c>
      <c r="C31" s="512" t="s">
        <v>1266</v>
      </c>
      <c r="D31" s="1"/>
      <c r="E31" s="125">
        <v>1396</v>
      </c>
      <c r="F31" s="1"/>
      <c r="G31" s="514"/>
      <c r="H31" s="514"/>
      <c r="I31" s="1"/>
      <c r="J31" s="515">
        <f t="shared" si="2"/>
        <v>17107863.108999994</v>
      </c>
    </row>
    <row r="32" spans="1:11" x14ac:dyDescent="0.3">
      <c r="A32" s="513" t="s">
        <v>568</v>
      </c>
      <c r="B32" s="200">
        <v>45667</v>
      </c>
      <c r="C32" s="512" t="s">
        <v>1267</v>
      </c>
      <c r="D32" s="1"/>
      <c r="E32" s="125">
        <v>28637.51</v>
      </c>
      <c r="F32" s="1"/>
      <c r="G32" s="514"/>
      <c r="H32" s="514"/>
      <c r="I32" s="1"/>
      <c r="J32" s="515">
        <f t="shared" si="2"/>
        <v>17136500.618999995</v>
      </c>
    </row>
    <row r="33" spans="1:10" x14ac:dyDescent="0.3">
      <c r="A33" s="513" t="s">
        <v>569</v>
      </c>
      <c r="B33" s="200">
        <v>45667</v>
      </c>
      <c r="C33" s="512" t="s">
        <v>1268</v>
      </c>
      <c r="D33" s="1"/>
      <c r="E33" s="125">
        <v>76159.34</v>
      </c>
      <c r="F33" s="1"/>
      <c r="G33" s="514"/>
      <c r="H33" s="514"/>
      <c r="I33" s="1"/>
      <c r="J33" s="515">
        <f t="shared" si="2"/>
        <v>17212659.958999995</v>
      </c>
    </row>
    <row r="34" spans="1:10" x14ac:dyDescent="0.3">
      <c r="A34" s="513" t="s">
        <v>567</v>
      </c>
      <c r="B34" s="200">
        <v>45667</v>
      </c>
      <c r="C34" s="512" t="s">
        <v>1269</v>
      </c>
      <c r="D34" s="1"/>
      <c r="E34" s="125">
        <v>69588.33</v>
      </c>
      <c r="F34" s="1"/>
      <c r="G34" s="514"/>
      <c r="H34" s="514"/>
      <c r="I34" s="1"/>
      <c r="J34" s="515">
        <f t="shared" si="2"/>
        <v>17282248.288999993</v>
      </c>
    </row>
    <row r="35" spans="1:10" x14ac:dyDescent="0.3">
      <c r="A35" s="513" t="s">
        <v>595</v>
      </c>
      <c r="B35" s="200">
        <v>45674</v>
      </c>
      <c r="C35" s="512"/>
      <c r="D35" s="1"/>
      <c r="E35" s="125"/>
      <c r="F35" s="1"/>
      <c r="G35" s="514"/>
      <c r="H35" s="514">
        <v>156983.54999999999</v>
      </c>
      <c r="I35" s="1"/>
      <c r="J35" s="515">
        <f t="shared" si="2"/>
        <v>17125264.738999993</v>
      </c>
    </row>
    <row r="36" spans="1:10" x14ac:dyDescent="0.3">
      <c r="A36" s="513" t="s">
        <v>1243</v>
      </c>
      <c r="B36" s="200">
        <v>45677</v>
      </c>
      <c r="C36" s="512"/>
      <c r="D36" s="1"/>
      <c r="E36" s="125"/>
      <c r="F36" s="1"/>
      <c r="G36" s="514"/>
      <c r="H36" s="514">
        <v>143189.49</v>
      </c>
      <c r="I36" s="1"/>
      <c r="J36" s="515">
        <f t="shared" si="2"/>
        <v>16982075.248999994</v>
      </c>
    </row>
    <row r="37" spans="1:10" x14ac:dyDescent="0.3">
      <c r="A37" s="513" t="s">
        <v>1244</v>
      </c>
      <c r="B37" s="200">
        <v>45677</v>
      </c>
      <c r="C37" s="512"/>
      <c r="D37" s="1"/>
      <c r="E37" s="125"/>
      <c r="F37" s="1"/>
      <c r="G37" s="514"/>
      <c r="H37" s="514">
        <v>55488.800000000003</v>
      </c>
      <c r="I37" s="1"/>
      <c r="J37" s="515">
        <f t="shared" si="2"/>
        <v>16926586.448999994</v>
      </c>
    </row>
    <row r="38" spans="1:10" x14ac:dyDescent="0.3">
      <c r="A38" s="513" t="s">
        <v>1245</v>
      </c>
      <c r="B38" s="200">
        <v>45677</v>
      </c>
      <c r="C38" s="512"/>
      <c r="D38" s="1"/>
      <c r="E38" s="125"/>
      <c r="F38" s="1"/>
      <c r="G38" s="514"/>
      <c r="H38" s="514">
        <v>8230.16</v>
      </c>
      <c r="I38" s="1"/>
      <c r="J38" s="515">
        <f t="shared" si="2"/>
        <v>16918356.288999993</v>
      </c>
    </row>
    <row r="39" spans="1:10" x14ac:dyDescent="0.3">
      <c r="A39" s="513" t="s">
        <v>931</v>
      </c>
      <c r="B39" s="200">
        <v>45677</v>
      </c>
      <c r="C39" s="512"/>
      <c r="D39" s="1"/>
      <c r="E39" s="125"/>
      <c r="F39" s="1"/>
      <c r="G39" s="514"/>
      <c r="H39" s="514">
        <v>15993.02</v>
      </c>
      <c r="I39" s="1"/>
      <c r="J39" s="515">
        <f t="shared" si="2"/>
        <v>16902363.268999994</v>
      </c>
    </row>
    <row r="40" spans="1:10" x14ac:dyDescent="0.3">
      <c r="A40" s="513" t="s">
        <v>932</v>
      </c>
      <c r="B40" s="200">
        <v>45680</v>
      </c>
      <c r="C40" s="512"/>
      <c r="D40" s="1"/>
      <c r="E40" s="125"/>
      <c r="F40" s="1"/>
      <c r="G40" s="514"/>
      <c r="H40" s="514">
        <v>6475.14</v>
      </c>
      <c r="I40" s="1"/>
      <c r="J40" s="515">
        <f t="shared" si="2"/>
        <v>16895888.128999993</v>
      </c>
    </row>
    <row r="41" spans="1:10" x14ac:dyDescent="0.3">
      <c r="A41" s="513" t="s">
        <v>933</v>
      </c>
      <c r="B41" s="200">
        <v>45680</v>
      </c>
      <c r="C41" s="512"/>
      <c r="D41" s="1"/>
      <c r="E41" s="125"/>
      <c r="F41" s="1"/>
      <c r="G41" s="514"/>
      <c r="H41" s="514">
        <v>71992.2</v>
      </c>
      <c r="I41" s="1"/>
      <c r="J41" s="515">
        <f t="shared" si="2"/>
        <v>16823895.928999994</v>
      </c>
    </row>
    <row r="42" spans="1:10" x14ac:dyDescent="0.3">
      <c r="A42" s="513" t="s">
        <v>928</v>
      </c>
      <c r="B42" s="200">
        <v>45681</v>
      </c>
      <c r="C42" s="512"/>
      <c r="D42" s="1"/>
      <c r="E42" s="125"/>
      <c r="F42" s="1"/>
      <c r="G42" s="514"/>
      <c r="H42" s="514">
        <v>273646.7</v>
      </c>
      <c r="I42" s="1"/>
      <c r="J42" s="515">
        <f t="shared" si="2"/>
        <v>16550249.228999995</v>
      </c>
    </row>
    <row r="43" spans="1:10" x14ac:dyDescent="0.3">
      <c r="A43" s="513" t="s">
        <v>929</v>
      </c>
      <c r="B43" s="200">
        <v>45686</v>
      </c>
      <c r="C43" s="512"/>
      <c r="D43" s="1"/>
      <c r="E43" s="125"/>
      <c r="F43" s="1"/>
      <c r="G43" s="514"/>
      <c r="H43" s="514">
        <v>234503.89</v>
      </c>
      <c r="I43" s="1"/>
      <c r="J43" s="515">
        <f t="shared" si="2"/>
        <v>16315745.338999994</v>
      </c>
    </row>
    <row r="44" spans="1:10" x14ac:dyDescent="0.3">
      <c r="A44" s="513" t="s">
        <v>934</v>
      </c>
      <c r="B44" s="200">
        <v>45687</v>
      </c>
      <c r="C44" s="512"/>
      <c r="D44" s="1"/>
      <c r="E44" s="125"/>
      <c r="F44" s="1"/>
      <c r="G44" s="514"/>
      <c r="H44" s="514">
        <v>48081.02</v>
      </c>
      <c r="I44" s="1"/>
      <c r="J44" s="515">
        <f t="shared" si="2"/>
        <v>16267664.318999995</v>
      </c>
    </row>
    <row r="45" spans="1:10" x14ac:dyDescent="0.3">
      <c r="A45" s="513" t="s">
        <v>935</v>
      </c>
      <c r="B45" s="200">
        <v>45688</v>
      </c>
      <c r="C45" s="512"/>
      <c r="D45" s="1"/>
      <c r="E45" s="125"/>
      <c r="F45" s="1"/>
      <c r="G45" s="514"/>
      <c r="H45" s="514">
        <v>55135.74</v>
      </c>
      <c r="I45" s="1"/>
      <c r="J45" s="515">
        <f t="shared" si="2"/>
        <v>16212528.578999994</v>
      </c>
    </row>
    <row r="46" spans="1:10" ht="15" thickBot="1" x14ac:dyDescent="0.35">
      <c r="A46" s="673" t="s">
        <v>624</v>
      </c>
      <c r="B46" s="674"/>
      <c r="C46" s="674"/>
      <c r="D46" s="675"/>
      <c r="E46" s="517">
        <f>SUM(E19:E45)</f>
        <v>1645990.7400000002</v>
      </c>
      <c r="F46" s="517">
        <f t="shared" ref="F46:G46" si="3">SUM(F19:F45)</f>
        <v>0</v>
      </c>
      <c r="G46" s="517">
        <f t="shared" si="3"/>
        <v>2300</v>
      </c>
      <c r="H46" s="518">
        <f>SUM(H35:H45)</f>
        <v>1069719.7100000002</v>
      </c>
      <c r="I46" s="518">
        <f>SUM(I19:I34)</f>
        <v>0</v>
      </c>
      <c r="J46" s="518">
        <f>+J45</f>
        <v>16212528.578999994</v>
      </c>
    </row>
    <row r="47" spans="1:10" x14ac:dyDescent="0.3">
      <c r="G47" s="519"/>
      <c r="J47" s="531"/>
    </row>
    <row r="48" spans="1:10" x14ac:dyDescent="0.3">
      <c r="A48" s="667" t="s">
        <v>1249</v>
      </c>
      <c r="B48" s="667"/>
      <c r="J48" s="531"/>
    </row>
    <row r="49" spans="1:10" ht="28.8" x14ac:dyDescent="0.3">
      <c r="A49" s="520" t="s">
        <v>1250</v>
      </c>
      <c r="B49" s="521">
        <f>+K13</f>
        <v>1806131.4900000002</v>
      </c>
      <c r="J49" s="531"/>
    </row>
    <row r="50" spans="1:10" x14ac:dyDescent="0.3">
      <c r="A50" s="520" t="s">
        <v>1251</v>
      </c>
      <c r="B50" s="521">
        <f>+J46</f>
        <v>16212528.578999994</v>
      </c>
      <c r="J50" s="499"/>
    </row>
    <row r="51" spans="1:10" x14ac:dyDescent="0.3">
      <c r="A51" s="522" t="s">
        <v>624</v>
      </c>
      <c r="B51" s="523">
        <f>SUM(B49:B50)</f>
        <v>18018660.068999995</v>
      </c>
      <c r="J51" s="499"/>
    </row>
    <row r="52" spans="1:10" x14ac:dyDescent="0.3">
      <c r="J52" s="499"/>
    </row>
    <row r="53" spans="1:10" x14ac:dyDescent="0.3">
      <c r="J53" s="499"/>
    </row>
    <row r="54" spans="1:10" x14ac:dyDescent="0.3">
      <c r="J54" s="499"/>
    </row>
    <row r="55" spans="1:10" x14ac:dyDescent="0.3">
      <c r="J55" s="499"/>
    </row>
    <row r="56" spans="1:10" x14ac:dyDescent="0.3">
      <c r="J56" s="499"/>
    </row>
    <row r="57" spans="1:10" x14ac:dyDescent="0.3">
      <c r="J57" s="499"/>
    </row>
    <row r="65" spans="8:8" x14ac:dyDescent="0.3">
      <c r="H65">
        <v>3</v>
      </c>
    </row>
  </sheetData>
  <mergeCells count="7">
    <mergeCell ref="A48:B48"/>
    <mergeCell ref="A4:L4"/>
    <mergeCell ref="A5:L5"/>
    <mergeCell ref="A7:L7"/>
    <mergeCell ref="A16:J16"/>
    <mergeCell ref="G17:H17"/>
    <mergeCell ref="A46:D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CB089-94A8-429F-A92D-B88DDF68251D}">
  <ds:schemaRefs>
    <ds:schemaRef ds:uri="66a0fbff-63c5-42e0-aeb3-a526626be49b"/>
    <ds:schemaRef ds:uri="http://schemas.microsoft.com/office/2006/documentManagement/types"/>
    <ds:schemaRef ds:uri="http://purl.org/dc/terms/"/>
    <ds:schemaRef ds:uri="http://purl.org/dc/dcmitype/"/>
    <ds:schemaRef ds:uri="07c79e06-4b95-4bd7-9f70-1708916ba346"/>
    <ds:schemaRef ds:uri="http://schemas.microsoft.com/office/2006/metadata/properties"/>
    <ds:schemaRef ds:uri="http://schemas.microsoft.com/sharepoint/v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4</vt:i4>
      </vt:variant>
    </vt:vector>
  </HeadingPairs>
  <TitlesOfParts>
    <vt:vector size="21" baseType="lpstr">
      <vt:lpstr>RELACION CHEQUES EMITIDOS</vt:lpstr>
      <vt:lpstr>RELACION ORDENES DE COMPRAS</vt:lpstr>
      <vt:lpstr>Hoja1</vt:lpstr>
      <vt:lpstr>CONS. FUENTES FINAN</vt:lpstr>
      <vt:lpstr>CUENTA T FONDO 100</vt:lpstr>
      <vt:lpstr>CUENTA T VS</vt:lpstr>
      <vt:lpstr>CUENTA T NOMINA SNS</vt:lpstr>
      <vt:lpstr>GASTOS X ATENCION</vt:lpstr>
      <vt:lpstr>PLANTILLA PRESUPUESTO</vt:lpstr>
      <vt:lpstr>TRANSFERENCIA CORRIENTE</vt:lpstr>
      <vt:lpstr>VS</vt:lpstr>
      <vt:lpstr>OBLIGACIONES PENDIENTES</vt:lpstr>
      <vt:lpstr>DEUDA</vt:lpstr>
      <vt:lpstr>INGRESOS POR A.R.S</vt:lpstr>
      <vt:lpstr>INGRESOS SEGUN ORIGEN</vt:lpstr>
      <vt:lpstr>GLOSA</vt:lpstr>
      <vt:lpstr>CXC</vt:lpstr>
      <vt:lpstr>'CONS. FUENTES FINAN'!Área_de_impresión</vt:lpstr>
      <vt:lpstr>'INGRESOS SEGUN ORIGEN'!Área_de_impresión</vt:lpstr>
      <vt:lpstr>'RELACION CHEQUES EMITIDOS'!Área_de_impresión</vt:lpstr>
      <vt:lpstr>'RELACION CHEQUES EMITIDOS'!Títulos_a_imprimir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Blacdimir Rosario</cp:lastModifiedBy>
  <cp:lastPrinted>2025-10-07T13:15:52Z</cp:lastPrinted>
  <dcterms:created xsi:type="dcterms:W3CDTF">2021-03-19T19:51:23Z</dcterms:created>
  <dcterms:modified xsi:type="dcterms:W3CDTF">2026-01-21T18:05:05Z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